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5" yWindow="6390" windowWidth="28830" windowHeight="6435" activeTab="3"/>
  </bookViews>
  <sheets>
    <sheet name="SAF 011" sheetId="1" r:id="rId1"/>
    <sheet name="NP LABORATORIO" sheetId="2" r:id="rId2"/>
    <sheet name="APG LABORATORIO" sheetId="3" r:id="rId3"/>
    <sheet name="NP BANCO DE SANGRE" sheetId="6" r:id="rId4"/>
    <sheet name="APG BANCO DE SANGRE" sheetId="5" r:id="rId5"/>
  </sheets>
  <definedNames>
    <definedName name="_xlnm._FilterDatabase" localSheetId="0" hidden="1">'SAF 011'!$A$9:$M$9</definedName>
  </definedNames>
  <calcPr calcId="144525"/>
</workbook>
</file>

<file path=xl/calcChain.xml><?xml version="1.0" encoding="utf-8"?>
<calcChain xmlns="http://schemas.openxmlformats.org/spreadsheetml/2006/main">
  <c r="A41" i="5" l="1"/>
  <c r="G6" i="5"/>
  <c r="G7" i="5"/>
  <c r="D4" i="6"/>
  <c r="G5" i="5" s="1"/>
  <c r="D3" i="6"/>
  <c r="G4" i="5" s="1"/>
  <c r="K12" i="6"/>
  <c r="K13" i="6"/>
  <c r="K14" i="6"/>
  <c r="K15" i="6"/>
  <c r="K16" i="6"/>
  <c r="K17" i="6"/>
  <c r="K18" i="6"/>
  <c r="K19" i="6"/>
  <c r="K20" i="6"/>
  <c r="K21" i="6"/>
  <c r="K22" i="6"/>
  <c r="K23" i="6"/>
  <c r="K24" i="6"/>
  <c r="K25" i="6"/>
  <c r="K26" i="6"/>
  <c r="K27" i="6"/>
  <c r="K28" i="6"/>
  <c r="K29" i="6"/>
  <c r="K30" i="6"/>
  <c r="K31" i="6"/>
  <c r="K32" i="6"/>
  <c r="K33" i="6"/>
  <c r="K34" i="6"/>
  <c r="K35" i="6"/>
  <c r="J35" i="6"/>
  <c r="I35" i="6"/>
  <c r="C35" i="6"/>
  <c r="B35" i="6"/>
  <c r="J34" i="6"/>
  <c r="I34" i="6"/>
  <c r="C34" i="6"/>
  <c r="B34" i="6"/>
  <c r="J33" i="6"/>
  <c r="I33" i="6"/>
  <c r="C33" i="6"/>
  <c r="B33" i="6"/>
  <c r="J32" i="6"/>
  <c r="I32" i="6"/>
  <c r="C32" i="6"/>
  <c r="B32" i="6"/>
  <c r="J31" i="6"/>
  <c r="I31" i="6"/>
  <c r="C31" i="6"/>
  <c r="B31" i="6"/>
  <c r="J30" i="6"/>
  <c r="I30" i="6"/>
  <c r="C30" i="6"/>
  <c r="B30" i="6"/>
  <c r="J29" i="6"/>
  <c r="I29" i="6"/>
  <c r="C29" i="6"/>
  <c r="B29" i="6"/>
  <c r="J28" i="6"/>
  <c r="I28" i="6"/>
  <c r="C28" i="6"/>
  <c r="B28" i="6"/>
  <c r="J27" i="6"/>
  <c r="I27" i="6"/>
  <c r="C27" i="6"/>
  <c r="B27" i="6"/>
  <c r="J26" i="6"/>
  <c r="I26" i="6"/>
  <c r="C26" i="6"/>
  <c r="B26" i="6"/>
  <c r="J25" i="6"/>
  <c r="I25" i="6"/>
  <c r="C25" i="6"/>
  <c r="B25" i="6"/>
  <c r="J24" i="6"/>
  <c r="I24" i="6"/>
  <c r="C24" i="6"/>
  <c r="B24" i="6"/>
  <c r="J23" i="6"/>
  <c r="I23" i="6"/>
  <c r="C23" i="6"/>
  <c r="B23" i="6"/>
  <c r="J22" i="6"/>
  <c r="I22" i="6"/>
  <c r="C22" i="6"/>
  <c r="B22" i="6"/>
  <c r="J21" i="6"/>
  <c r="I21" i="6"/>
  <c r="C21" i="6"/>
  <c r="B21" i="6"/>
  <c r="J20" i="6"/>
  <c r="I20" i="6"/>
  <c r="C20" i="6"/>
  <c r="B20" i="6"/>
  <c r="J19" i="6"/>
  <c r="I19" i="6"/>
  <c r="C19" i="6"/>
  <c r="B19" i="6"/>
  <c r="J18" i="6"/>
  <c r="I18" i="6"/>
  <c r="C18" i="6"/>
  <c r="B18" i="6"/>
  <c r="J17" i="6"/>
  <c r="I17" i="6"/>
  <c r="C17" i="6"/>
  <c r="B17" i="6"/>
  <c r="J16" i="6"/>
  <c r="I16" i="6"/>
  <c r="C16" i="6"/>
  <c r="B16" i="6"/>
  <c r="J15" i="6"/>
  <c r="I15" i="6"/>
  <c r="C15" i="6"/>
  <c r="B15" i="6"/>
  <c r="J14" i="6"/>
  <c r="I14" i="6"/>
  <c r="C14" i="6"/>
  <c r="B14" i="6"/>
  <c r="J13" i="6"/>
  <c r="I13" i="6"/>
  <c r="C13" i="6"/>
  <c r="B13" i="6"/>
  <c r="J12" i="6"/>
  <c r="I12" i="6"/>
  <c r="C12" i="6"/>
  <c r="B12" i="6"/>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J13" i="2"/>
  <c r="O13" i="2" s="1"/>
  <c r="J14" i="2"/>
  <c r="J15" i="2"/>
  <c r="O15" i="2" s="1"/>
  <c r="J16" i="2"/>
  <c r="J17" i="2"/>
  <c r="O17" i="2" s="1"/>
  <c r="J18" i="2"/>
  <c r="J19" i="2"/>
  <c r="O19" i="2" s="1"/>
  <c r="J20" i="2"/>
  <c r="J21" i="2"/>
  <c r="O21" i="2" s="1"/>
  <c r="J22" i="2"/>
  <c r="J23" i="2"/>
  <c r="O23" i="2" s="1"/>
  <c r="J24" i="2"/>
  <c r="J25" i="2"/>
  <c r="O25" i="2" s="1"/>
  <c r="J26" i="2"/>
  <c r="J27" i="2"/>
  <c r="O27" i="2" s="1"/>
  <c r="J28" i="2"/>
  <c r="J29" i="2"/>
  <c r="O29" i="2" s="1"/>
  <c r="J30" i="2"/>
  <c r="J31" i="2"/>
  <c r="O31" i="2" s="1"/>
  <c r="J32" i="2"/>
  <c r="J33" i="2"/>
  <c r="O33" i="2" s="1"/>
  <c r="J34" i="2"/>
  <c r="J35" i="2"/>
  <c r="O35" i="2" s="1"/>
  <c r="J36" i="2"/>
  <c r="J37" i="2"/>
  <c r="J38" i="2"/>
  <c r="J39" i="2"/>
  <c r="J40" i="2"/>
  <c r="J41" i="2"/>
  <c r="O41" i="2" s="1"/>
  <c r="J42" i="2"/>
  <c r="J43" i="2"/>
  <c r="O43" i="2" s="1"/>
  <c r="J44" i="2"/>
  <c r="J45" i="2"/>
  <c r="O45" i="2" s="1"/>
  <c r="J46" i="2"/>
  <c r="J47" i="2"/>
  <c r="M47" i="2" s="1"/>
  <c r="J48" i="2"/>
  <c r="J49" i="2"/>
  <c r="M49" i="2" s="1"/>
  <c r="J50" i="2"/>
  <c r="J51" i="2"/>
  <c r="O51" i="2" s="1"/>
  <c r="J52" i="2"/>
  <c r="J53" i="2"/>
  <c r="O53" i="2" s="1"/>
  <c r="J54" i="2"/>
  <c r="J55" i="2"/>
  <c r="O55" i="2" s="1"/>
  <c r="J56" i="2"/>
  <c r="J57" i="2"/>
  <c r="O57" i="2" s="1"/>
  <c r="J58" i="2"/>
  <c r="J59" i="2"/>
  <c r="O59" i="2" s="1"/>
  <c r="J60" i="2"/>
  <c r="J61" i="2"/>
  <c r="P61" i="2" s="1"/>
  <c r="J62" i="2"/>
  <c r="J63" i="2"/>
  <c r="O63" i="2" s="1"/>
  <c r="J64" i="2"/>
  <c r="J65" i="2"/>
  <c r="O65" i="2" s="1"/>
  <c r="J66" i="2"/>
  <c r="J67" i="2"/>
  <c r="O67" i="2" s="1"/>
  <c r="J68" i="2"/>
  <c r="J69" i="2"/>
  <c r="J70" i="2"/>
  <c r="J71" i="2"/>
  <c r="J72" i="2"/>
  <c r="J73" i="2"/>
  <c r="J12"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O64" i="2" l="1"/>
  <c r="O60" i="2"/>
  <c r="O56" i="2"/>
  <c r="O52" i="2"/>
  <c r="M48" i="2"/>
  <c r="O44" i="2"/>
  <c r="O40" i="2"/>
  <c r="O36" i="2"/>
  <c r="O32" i="2"/>
  <c r="O28" i="2"/>
  <c r="O24" i="2"/>
  <c r="O20" i="2"/>
  <c r="O16" i="2"/>
  <c r="O66" i="2"/>
  <c r="O62" i="2"/>
  <c r="O58" i="2"/>
  <c r="O54" i="2"/>
  <c r="M50" i="2"/>
  <c r="O46" i="2"/>
  <c r="O42" i="2"/>
  <c r="O34" i="2"/>
  <c r="O30" i="2"/>
  <c r="O26" i="2"/>
  <c r="M22" i="2"/>
  <c r="O18" i="2"/>
  <c r="O14" i="2"/>
  <c r="N39" i="2"/>
  <c r="N38" i="2"/>
  <c r="N37" i="2"/>
  <c r="J36" i="6"/>
  <c r="Q15" i="5" s="1"/>
  <c r="A41" i="3" l="1"/>
  <c r="G6" i="3"/>
  <c r="G7" i="3"/>
  <c r="Q36" i="6" l="1"/>
  <c r="O72" i="2"/>
  <c r="O71" i="2"/>
  <c r="O73" i="2"/>
  <c r="O70" i="2"/>
  <c r="O69" i="2"/>
  <c r="O68" i="2"/>
  <c r="Q38" i="5"/>
  <c r="K11" i="1"/>
  <c r="K12" i="1"/>
  <c r="K13" i="1"/>
  <c r="K14" i="1"/>
  <c r="K15" i="1"/>
  <c r="K16" i="1"/>
  <c r="K17" i="1"/>
  <c r="K18" i="1"/>
  <c r="K19" i="1"/>
  <c r="K20" i="1"/>
  <c r="K21" i="1"/>
  <c r="K22" i="1"/>
  <c r="M22" i="1" s="1"/>
  <c r="K23" i="1"/>
  <c r="M23" i="1" s="1"/>
  <c r="K24" i="1"/>
  <c r="K25" i="1"/>
  <c r="K42" i="1"/>
  <c r="K26" i="1"/>
  <c r="K27" i="1"/>
  <c r="K28" i="1"/>
  <c r="K29" i="1"/>
  <c r="K30" i="1"/>
  <c r="K31" i="1"/>
  <c r="K32" i="1"/>
  <c r="K33" i="1"/>
  <c r="K34" i="1"/>
  <c r="K35" i="1"/>
  <c r="K36" i="1"/>
  <c r="K37" i="1"/>
  <c r="K38" i="1"/>
  <c r="K39" i="1"/>
  <c r="K40" i="1"/>
  <c r="K41"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10" i="1"/>
  <c r="H22" i="1"/>
  <c r="J23" i="1"/>
  <c r="D3" i="2"/>
  <c r="G4" i="3" s="1"/>
  <c r="N74" i="2" l="1"/>
  <c r="Q16" i="3" s="1"/>
  <c r="M74" i="2"/>
  <c r="Q15" i="3" s="1"/>
  <c r="C12" i="2"/>
  <c r="B12" i="2"/>
  <c r="H31" i="1"/>
  <c r="J29" i="1"/>
  <c r="J12" i="1"/>
  <c r="O12" i="2" l="1"/>
  <c r="P74" i="2"/>
  <c r="Q18" i="3" s="1"/>
  <c r="J74" i="2"/>
  <c r="J68" i="1" l="1"/>
  <c r="J65" i="1"/>
  <c r="J66" i="1"/>
  <c r="J67" i="1"/>
  <c r="J78" i="1"/>
  <c r="J79" i="1"/>
  <c r="J77" i="1"/>
  <c r="J14" i="1"/>
  <c r="J31" i="1"/>
  <c r="J30" i="1"/>
  <c r="J72" i="1"/>
  <c r="J88" i="1"/>
  <c r="J87" i="1"/>
  <c r="J85" i="1"/>
  <c r="J86" i="1"/>
  <c r="J60" i="1"/>
  <c r="J89" i="1"/>
  <c r="J18" i="1"/>
  <c r="J49" i="1"/>
  <c r="J48" i="1"/>
  <c r="J17" i="1"/>
  <c r="M17" i="1"/>
  <c r="M68" i="1"/>
  <c r="M65" i="1"/>
  <c r="M66" i="1"/>
  <c r="M67" i="1"/>
  <c r="M78" i="1"/>
  <c r="M79" i="1"/>
  <c r="M77" i="1"/>
  <c r="M14" i="1"/>
  <c r="M31" i="1"/>
  <c r="M30" i="1"/>
  <c r="M72" i="1"/>
  <c r="M88" i="1"/>
  <c r="M87" i="1"/>
  <c r="M85" i="1"/>
  <c r="M86" i="1"/>
  <c r="M60" i="1"/>
  <c r="M89" i="1"/>
  <c r="M18" i="1"/>
  <c r="M49" i="1"/>
  <c r="M48" i="1"/>
  <c r="J93" i="1" l="1"/>
  <c r="M11" i="1"/>
  <c r="M12" i="1"/>
  <c r="M13" i="1"/>
  <c r="M71" i="1"/>
  <c r="M15" i="1"/>
  <c r="M19" i="1"/>
  <c r="M43" i="1"/>
  <c r="M26" i="1"/>
  <c r="M27" i="1"/>
  <c r="M28" i="1"/>
  <c r="M33" i="1"/>
  <c r="M35" i="1"/>
  <c r="M34" i="1"/>
  <c r="M29" i="1"/>
  <c r="M38" i="1"/>
  <c r="M39" i="1"/>
  <c r="M37" i="1"/>
  <c r="M32" i="1"/>
  <c r="M52" i="1"/>
  <c r="M53" i="1"/>
  <c r="M54" i="1"/>
  <c r="M55" i="1"/>
  <c r="M36" i="1"/>
  <c r="M90" i="1"/>
  <c r="M24" i="1"/>
  <c r="M80" i="1"/>
  <c r="M69" i="1"/>
  <c r="M70" i="1"/>
  <c r="M20" i="1"/>
  <c r="M21" i="1"/>
  <c r="M25" i="1"/>
  <c r="M40" i="1"/>
  <c r="M42" i="1"/>
  <c r="M41" i="1"/>
  <c r="M81" i="1"/>
  <c r="M50" i="1"/>
  <c r="M51" i="1"/>
  <c r="M64" i="1"/>
  <c r="M83" i="1"/>
  <c r="M84" i="1"/>
  <c r="M46" i="1"/>
  <c r="M44" i="1"/>
  <c r="M45" i="1"/>
  <c r="M47" i="1"/>
  <c r="M56" i="1"/>
  <c r="M57" i="1"/>
  <c r="M58" i="1"/>
  <c r="M59" i="1"/>
  <c r="M61" i="1"/>
  <c r="M63" i="1"/>
  <c r="M62" i="1"/>
  <c r="M16" i="1"/>
  <c r="M73" i="1"/>
  <c r="M74" i="1"/>
  <c r="M75" i="1"/>
  <c r="M76" i="1"/>
  <c r="M82" i="1"/>
  <c r="M92" i="1"/>
  <c r="M91" i="1"/>
  <c r="M10" i="1"/>
  <c r="H11" i="1"/>
  <c r="H12" i="1"/>
  <c r="H13" i="1"/>
  <c r="H71" i="1"/>
  <c r="H15" i="1"/>
  <c r="H19" i="1"/>
  <c r="H43" i="1"/>
  <c r="H26" i="1"/>
  <c r="H27" i="1"/>
  <c r="H28" i="1"/>
  <c r="H33" i="1"/>
  <c r="H35" i="1"/>
  <c r="H34" i="1"/>
  <c r="H29" i="1"/>
  <c r="H38" i="1"/>
  <c r="H39" i="1"/>
  <c r="H37" i="1"/>
  <c r="H32" i="1"/>
  <c r="H52" i="1"/>
  <c r="H53" i="1"/>
  <c r="H54" i="1"/>
  <c r="H55" i="1"/>
  <c r="H36" i="1"/>
  <c r="H90" i="1"/>
  <c r="H24" i="1"/>
  <c r="H80" i="1"/>
  <c r="H69" i="1"/>
  <c r="H70" i="1"/>
  <c r="H20" i="1"/>
  <c r="H21" i="1"/>
  <c r="H25" i="1"/>
  <c r="H40" i="1"/>
  <c r="H42" i="1"/>
  <c r="H41" i="1"/>
  <c r="H81" i="1"/>
  <c r="H50" i="1"/>
  <c r="H51" i="1"/>
  <c r="H64" i="1"/>
  <c r="H83" i="1"/>
  <c r="H84" i="1"/>
  <c r="H46" i="1"/>
  <c r="H44" i="1"/>
  <c r="H45" i="1"/>
  <c r="H47" i="1"/>
  <c r="H56" i="1"/>
  <c r="H57" i="1"/>
  <c r="H58" i="1"/>
  <c r="H59" i="1"/>
  <c r="H61" i="1"/>
  <c r="H63" i="1"/>
  <c r="H62" i="1"/>
  <c r="H16" i="1"/>
  <c r="H73" i="1"/>
  <c r="H74" i="1"/>
  <c r="H75" i="1"/>
  <c r="H76" i="1"/>
  <c r="H82" i="1"/>
  <c r="H92" i="1"/>
  <c r="H91" i="1"/>
  <c r="H10" i="1"/>
  <c r="H93" i="1" l="1"/>
  <c r="M93" i="1"/>
  <c r="D4" i="2" l="1"/>
  <c r="G5" i="3" s="1"/>
  <c r="O74" i="2" l="1"/>
  <c r="Q74" i="2" l="1"/>
  <c r="Q17" i="3"/>
  <c r="Q38" i="3" s="1"/>
</calcChain>
</file>

<file path=xl/sharedStrings.xml><?xml version="1.0" encoding="utf-8"?>
<sst xmlns="http://schemas.openxmlformats.org/spreadsheetml/2006/main" count="869" uniqueCount="323">
  <si>
    <t>Pedido de Necesidades Trimestrales</t>
  </si>
  <si>
    <t>JURISDICCION:</t>
  </si>
  <si>
    <t>040 - MINISTERIO DE SALUD</t>
  </si>
  <si>
    <t xml:space="preserve">SAF N°: </t>
  </si>
  <si>
    <t>EJERCICIO:</t>
  </si>
  <si>
    <t>TRIMESTRE:</t>
  </si>
  <si>
    <t>ID</t>
  </si>
  <si>
    <t>CODIGO ITEM</t>
  </si>
  <si>
    <t>RUBRO DE COMPRA</t>
  </si>
  <si>
    <t xml:space="preserve">I.P.P. </t>
  </si>
  <si>
    <t>DESCRIPCION</t>
  </si>
  <si>
    <t>UNIDAD DE MEDIDA</t>
  </si>
  <si>
    <t>DIR. LAB. CENTRAL</t>
  </si>
  <si>
    <t>TOTAL DE LAB CENTRAL</t>
  </si>
  <si>
    <t xml:space="preserve">BCO DE SANGRE </t>
  </si>
  <si>
    <t xml:space="preserve">TOTAL BANCO DE SANGRE </t>
  </si>
  <si>
    <t>CANTIDAD TOTAL</t>
  </si>
  <si>
    <t>PRECIO UNITARIO ESTIMADO</t>
  </si>
  <si>
    <t xml:space="preserve">IMPORTE TOTAL ESTIMADO </t>
  </si>
  <si>
    <t>ESPECIFICACION TECNICA</t>
  </si>
  <si>
    <t>UNIDAD</t>
  </si>
  <si>
    <t>CAJA</t>
  </si>
  <si>
    <t>PROD. MEDICO/FARMACEUTICOS/LAB.</t>
  </si>
  <si>
    <t>FRASCO</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</si>
  <si>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</si>
  <si>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</si>
  <si>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</si>
  <si>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</si>
  <si>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</si>
  <si>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</si>
  <si>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</si>
  <si>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</si>
  <si>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</si>
  <si>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</si>
  <si>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</si>
  <si>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</si>
  <si>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</si>
  <si>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</si>
  <si>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</si>
  <si>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</si>
  <si>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</si>
  <si>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</si>
  <si>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Lugar de Entrega:</t>
  </si>
  <si>
    <t>Calidad Minima esperada</t>
  </si>
  <si>
    <t>Mantenimiento</t>
  </si>
  <si>
    <t>cuarenta y cinco (45) días</t>
  </si>
  <si>
    <t>BOLSA</t>
  </si>
  <si>
    <t>CUBETA PARA FIBRINTIMER x 500 UN. Tipo WIENER</t>
  </si>
  <si>
    <t>ETIQUETAS TERMICO PARA IMPRESORA ZEBRA 80X25 MM X 12 ROLLOS</t>
  </si>
  <si>
    <t>MANOPLAS DE POLIETILENO x 100 U Tipo NP</t>
  </si>
  <si>
    <t>TUBO DE KAHN DE VIDRIO 12X75X1 Tipo LUMEN</t>
  </si>
  <si>
    <t xml:space="preserve">TUBO CONICO PP GRADUADO ESTERIL CON TAPA 15 ML Tipo KINDER </t>
  </si>
  <si>
    <t>2.9.5-1909.96</t>
  </si>
  <si>
    <t>2.9.5-5003.8</t>
  </si>
  <si>
    <t>2.9.5-4487.20</t>
  </si>
  <si>
    <t>2.9.5-4633.11</t>
  </si>
  <si>
    <t>2.9.5-2582.2</t>
  </si>
  <si>
    <t>CUARTO</t>
  </si>
  <si>
    <t>PAQUETE</t>
  </si>
  <si>
    <t>ANSA DESCARTABLE DE PLASTICO CALIBRADA DE 10 ul ESTERIL X 20 UNIDADES Tipo DELTALAB</t>
  </si>
  <si>
    <t>MICROTUBO EPPENDORF ESTERIL 1,5 ML (BOLSA X1000 UNIDADES) Tipo APTACA</t>
  </si>
  <si>
    <t>GRADILLA</t>
  </si>
  <si>
    <t xml:space="preserve">LAMPARA PARA MICROSCOPIO 6V 20 W </t>
  </si>
  <si>
    <t xml:space="preserve">LAMPARA PARA ESPECTROFOTOMETRO METROLAB 1600 SIN ZOCALO 6V 10 W </t>
  </si>
  <si>
    <t>CAPILARES MICROHEMATOCRITO CON HEPARINA X 500 UNIDADES Tipo BIOCAP</t>
  </si>
  <si>
    <t>CAPILARES MICROHEMATOCRITO SIN HEPARINA X 500 UNIDADES Tipo BIOCAP</t>
  </si>
  <si>
    <t>PIPETA AUTOMATICA VOLUMEN REGULABLE 1 A 10 MICROLITROS Tipo SOCOREX</t>
  </si>
  <si>
    <t>PIPETA AUTOMATICA VOLUMEN REGULABLE 2 A 20 MICROLITROS Tipo SOCOREX</t>
  </si>
  <si>
    <t>PIPETA AUTOMATICA VOLUMEN REGULABLE 100 A 1000 MICROLITROS Tipo SOCOREX</t>
  </si>
  <si>
    <t>PLACA DE VIDRIO VDRL 12 POCILLOS</t>
  </si>
  <si>
    <t>PLACA DE VIDRIO VDRL 6 POCILLOS</t>
  </si>
  <si>
    <t xml:space="preserve">RECOLECTORES DE ORINA PEDIATRICOS </t>
  </si>
  <si>
    <t>PORTAOBJETOS X 50 UNIDADES Tipo DELTALAB</t>
  </si>
  <si>
    <t>JERINGAS 3 ML X 100 UNIDADES Tipo BREMEN</t>
  </si>
  <si>
    <t>JERINGAS 5 ML X 100 UNIDADES Tipo BREMEN</t>
  </si>
  <si>
    <t>JERINGAS 10 ML X 100 UNIDADES Tipo BREMEN</t>
  </si>
  <si>
    <t xml:space="preserve">TUBO PARA SUERO CON GEL X 5 ML TAPA AMARILLA TIPO WEIGAO </t>
  </si>
  <si>
    <t xml:space="preserve">TUBO PARA COAGULOGRAMA 1 ML TAPA CELESTE CON CITRATO Tipo WEIGAO </t>
  </si>
  <si>
    <t>2.9.5-2583.29</t>
  </si>
  <si>
    <t>KingFisher 96 tip comb for deep-well magnets, 10x10 pcs/box (for Flex, Apex ande Presto)</t>
  </si>
  <si>
    <t>2.9.5-2583.30</t>
  </si>
  <si>
    <t xml:space="preserve">KingFisher Plastic Consumables for SARS-COV2 Testing </t>
  </si>
  <si>
    <t>2.9.5-2583.31</t>
  </si>
  <si>
    <t>KingFisher TM Plastic for standard and PCR format</t>
  </si>
  <si>
    <t xml:space="preserve">LAMPARA PARA ESPECTROFOTOMETRO MINDRAY BS-200 E CON ZOCALO  </t>
  </si>
  <si>
    <t xml:space="preserve">LAMPARA PARA ESPECTROFOTOMETRO MINDRAY BA 88A CON ZOCALO  </t>
  </si>
  <si>
    <t>2.9.5-470.13</t>
  </si>
  <si>
    <t>2.9.5-5703.15</t>
  </si>
  <si>
    <t>2.9.5-4047.6</t>
  </si>
  <si>
    <t xml:space="preserve">CRIOTUBO CON TAPA A ROSCA ESTERIL 5 ML </t>
  </si>
  <si>
    <t>2.9.5-2557.32</t>
  </si>
  <si>
    <t>GRADILLA ALAMBRE PLASTIFICADO PARA 48 TUBOS DE KAHN 1,6x1,6 cmTipo ARGA</t>
  </si>
  <si>
    <t>APOYA BRAZO PARA EXTRACCION DE SANGRE X UNIDAD</t>
  </si>
  <si>
    <t>2.9.6-8875.101</t>
  </si>
  <si>
    <t>APOSITO POST EXTRACCION SANGUNEA 2X7,5 CM CAJA X 250 UNIDADES Tipo BANDERM</t>
  </si>
  <si>
    <t>2.9.5-427.74</t>
  </si>
  <si>
    <t>2.9.5-1909.77</t>
  </si>
  <si>
    <t>2.9.5-3017.45</t>
  </si>
  <si>
    <t>2.9.5-3017.27</t>
  </si>
  <si>
    <t>GRADILLA ALAMBRE PLASTIFICADO PARA 36 TUBOS FALCON de25 mm DIAMETRO Tipo ARGA</t>
  </si>
  <si>
    <t>GRADILLA ALAMBRE PLASTIFICADO PARA 24 TUBOS FALCON de 25 mm DIAMETRO Tipo ARGA</t>
  </si>
  <si>
    <t>2.9.5-3017.36</t>
  </si>
  <si>
    <t>2.9.5-1909.82</t>
  </si>
  <si>
    <t>GUANTES DE NITRILO SIN POLVO TALLE "L" (GRANDE) CAJAX100 UNIDADES Tipo TOP GLOVE</t>
  </si>
  <si>
    <t>2.9.5-1909.83</t>
  </si>
  <si>
    <t>2.9.5-1909.84</t>
  </si>
  <si>
    <t>GUANTES DE NITRILO SIN POLVO TALLE "S" (CHICO) CAJAX100 UNIDADES Tipo TOP GLOVE</t>
  </si>
  <si>
    <t>GUANTES DE NITRILO SIN POLVO TALLE "M" (MEDIANO) CAJAX100 UNIDADES Tipo TOP GLOVE</t>
  </si>
  <si>
    <t xml:space="preserve">GUANTES DE LATEX TALLE "S" (CHICO) CAJA X 100 UNIDADES Tipo SRITRANG </t>
  </si>
  <si>
    <t>2.9.5-8799.8</t>
  </si>
  <si>
    <t>2.9.5-8799.11</t>
  </si>
  <si>
    <t>2.9.5-8799.12</t>
  </si>
  <si>
    <t>2.9.5-2553.6</t>
  </si>
  <si>
    <t>PAPEL TERMOSENSIBLE PARA CONTADOR HEMATOLOGICO COUNTER W19 50 MM</t>
  </si>
  <si>
    <t xml:space="preserve">PAPEL TERMOSENSIBLE PARA SYSMEX XP 300 56 MM </t>
  </si>
  <si>
    <t>HISOPO DE ALGODÓN  BOLSAX 100 UNIDADES</t>
  </si>
  <si>
    <t>2.9.5-2366.2</t>
  </si>
  <si>
    <t>2.9.5-5409.13</t>
  </si>
  <si>
    <t>2.9.6-6345.64</t>
  </si>
  <si>
    <t>CUBETAS DE REACCION PARA AUTOANALIZADOR DE QUIMICA INCCA</t>
  </si>
  <si>
    <t>CUBETAS SERIE X 500 UN PARA COAGULOMETRO COATRON  Tipo TECO GMBH</t>
  </si>
  <si>
    <t>2.9.5-5410.11</t>
  </si>
  <si>
    <t>2.9.5-6877.16</t>
  </si>
  <si>
    <t>2.9.5-7870.15</t>
  </si>
  <si>
    <t>2.9.5-7870.16</t>
  </si>
  <si>
    <t>2.9.5-4633.47</t>
  </si>
  <si>
    <t>MICROTUBO EPPENDORF ESTERIL  2 ML (BOLSA X1000 UNIDADES) Tipo APTACA</t>
  </si>
  <si>
    <t>2.9.5-5773.1</t>
  </si>
  <si>
    <t>2.9.5-2582.1</t>
  </si>
  <si>
    <t>2.9.5-6479.34</t>
  </si>
  <si>
    <t>2.9.5-6479.35</t>
  </si>
  <si>
    <t>2.9.5-6479.44</t>
  </si>
  <si>
    <t>PIPETA AUTOMATICA VOLUMEN REGULABLE 20 A 200 MICROLITROS Tipo SOCOREX</t>
  </si>
  <si>
    <t>2.9.5-6479.46</t>
  </si>
  <si>
    <t>2.9.5-2592.2</t>
  </si>
  <si>
    <t>2.9.5-2782.1</t>
  </si>
  <si>
    <t>2.9.5-6786.6</t>
  </si>
  <si>
    <t>2.9.5-2505.10</t>
  </si>
  <si>
    <t>2.9.5-3492.97</t>
  </si>
  <si>
    <t>2.9.5-3492.42</t>
  </si>
  <si>
    <t>2.9.5-2576.56</t>
  </si>
  <si>
    <t xml:space="preserve">TUBO PARA HEMOGRAMA 2 ML TAPA LILA CON EDTA Tipo WEIGAO </t>
  </si>
  <si>
    <t>2.9.5-5380.6</t>
  </si>
  <si>
    <t>2.9.5-5409.1</t>
  </si>
  <si>
    <t>2.9.2-675.161</t>
  </si>
  <si>
    <t xml:space="preserve">ERITUBO CON CITRATO 3.8% + GRADILLA +  PIPETA PARA ERITROSEDIMENTACION 1 ML Tipo DELTALAB </t>
  </si>
  <si>
    <t>CUBETAS CURE CAJA X 1200 UNIDADES PARA AUTOANALIZADOR CM250 Tipo WIENER</t>
  </si>
  <si>
    <t>PIPETA PLASTICA DESCARTABLE PASTEUR CAJA X 500 UNIDADES</t>
  </si>
  <si>
    <t>TIPS AMARILLOS SIN CORONA 5-200 ULBOLSA X 1000 UNIDADES</t>
  </si>
  <si>
    <t>TIPS AMARILLOS CON CORONA 5-200 UL BOLSA X 1000 UNIDADES</t>
  </si>
  <si>
    <t>TIPS AZULES CON CORONA 100-1000 UL BOLSA X 1000 UNIDADES</t>
  </si>
  <si>
    <t>TIPS AZULES SIN CORONA 100-1000 UL  PP AUTOCLAVABLE BOLSA X 1000 UNIDADES</t>
  </si>
  <si>
    <t xml:space="preserve">LAZO DE LATEX PARA EXTRACCION DE SANGRE CAJA X 10 U TIPO DELTALAB </t>
  </si>
  <si>
    <t>2.9.5-2516.3</t>
  </si>
  <si>
    <t>ALGODONES; TIPO: HIDROFILADO, CAPACIDAD: 500 GR, PRESENTACION: ENVASE X 500 GR</t>
  </si>
  <si>
    <t>ANSA; PRESENTACION: UNIDAD, TIPO: PLASTICA DESCARTABLE</t>
  </si>
  <si>
    <t>REP. Y ACC. P/EQUIPO MEDICO; USO: EXTRACCION DE SANGRE, MARCA EQUIPO: UNIVERSAL, ELEMENTO: APOYABRAZOS, MODELO EQUIPO: UNIVERSAL</t>
  </si>
  <si>
    <t>APOSITOS; TIPO: POST EXTRACCION SANGUINEA, TAMAÑO: 2 X 7,5 Cm</t>
  </si>
  <si>
    <t>CRIOVIALES; MATERIAL: POLIPROPILENO, VOLUMEN: 5 mL</t>
  </si>
  <si>
    <t>CUBREOBJETOS; MATERIAL: VIDRIO, DIMENSION: 20 X 20 mm, PRESENTACION: ENVASE X 200 UN</t>
  </si>
  <si>
    <t>LAZOS P/EXTRACCION; MATERIAL: LATEX, DIAMETRO: PLANO 2 X 35 Cm</t>
  </si>
  <si>
    <t>GRADILLAS P/LABORATORIO; TAMAÑO TUBO: 15 X 2 Cm, CANTIDAD DE TUBOS: 36, MATERIAL: ALAMBRE REV.EN RESINA ANTIAD., MEDIDA TUBO: 15 X 2 Cm, CANT. DE ELEMENTOS: 36, MEDIDA: 15 X 2 Cm</t>
  </si>
  <si>
    <t>GRADILLAS P/LABORATORIO; TAMAÑO TUBO: 25 mm, CANTIDAD DE TUBOS: 24, MATERIAL: ALAMBRE PLASTIFICADO, MEDIDA TUBO: 25 mm, CANT. DE ELEMENTOS: 24, MEDIDA: 25 mm</t>
  </si>
  <si>
    <t>GRADILLAS P/LABORATORIO; TAMAÑO TUBO: DIAM. EXT. 15 mm, CANTIDAD DE TUBOS: 48, MATERIAL: POLIPROPILENO, MEDIDA TUBO: DIAM. EXT. 15 mm, CANT. DE ELEMENTOS: 48, MEDIDA: DIAM. EXT. 15 mm</t>
  </si>
  <si>
    <t>GUANTES USO MEDICINAL; TIPO: P/QUIMICOS, TAMAÑO: CHICO, MATERIAL: NITRILO, PRESENTACION: ENVASE X 100 UN</t>
  </si>
  <si>
    <t>GUANTES USO MEDICINAL; TIPO: P/QUIMICOS, TAMAÑO: MEDIANO, MATERIAL: NITRILO, PRESENTACION: ENVASE X 100 UN</t>
  </si>
  <si>
    <t>GUANTES USO MEDICINAL; TIPO: P/QUIMICOS, TAMAÑO: GRANDE, MATERIAL: NITRILO, PRESENTACION: ENVASE X 100 UN</t>
  </si>
  <si>
    <t>GUANTES USO MEDICINAL; TIPO: DESCARTABLE, TAMAÑO: CHICO, MATERIAL: LATEX, PRESENTACION: ENVASE X 100 UN</t>
  </si>
  <si>
    <t>GUANTES USO MEDICINAL; TIPO: EXAMINACION , TAMAÑO: MEDIANO, MATERIAL: LATEX, PRESENTACION: ENVASE X 100 UN</t>
  </si>
  <si>
    <t>JERINGA; MATERIAL: PLASTICO, CAPACIDAD: 3 mL, ACCESORIOS: SIN, TIPO: NICHIRYO, ACCESORIO: SIN</t>
  </si>
  <si>
    <t>JERINGA; MATERIAL: PLASTICO, CAPACIDAD: 5 CM3, ACCESORIOS: SIN, TIPO: ESTERIL, ACCESORIO: SIN</t>
  </si>
  <si>
    <t>JERINGA; MATERIAL: PLASTICO, CAPACIDAD: 10 CM3, ACCESORIOS: SIN, TIPO: ESTERIL, ACCESORIO: SIN</t>
  </si>
  <si>
    <t>GUANTES USO MEDICINAL; TIPO: MANOPLA, TAMAÑO: MEDIANO, MATERIAL: POLIETILENO, PRESENTACION: ENVASE X 100</t>
  </si>
  <si>
    <t>PAPEL P/ELECTROCARDIOGRAM.; MEDIDA: 50 MM X 30 M</t>
  </si>
  <si>
    <t>HISOPOS; MATERIAL DE EXTREMOS: ALGODON, PRESENTACION: CAJA X 100</t>
  </si>
  <si>
    <t>TUBOS P/ANALISIS DE SANGRE; MATERIAL: PLASTICO, DIMENSION: 13 X 75 mm, TIPO: CONJUNTO ERITROSEDIMENTACION</t>
  </si>
  <si>
    <t>TUBO DE KHAN; MATERIAL: VIDRIO, DIMENSION: 12 X 75 mm</t>
  </si>
  <si>
    <t>REP. Y ACC. P/AUTOANALIZADOR; REPUESTO: CUBETA DE REACCION, MARCA EQUIPO: METROLAB, MODELO EQUIPO: 2300</t>
  </si>
  <si>
    <t>CUBETAS DE REACCION; MATERIAL: PLASTICO, CELDAS: 500 C/AGITADOR, USO: COAGULOMETRO</t>
  </si>
  <si>
    <t>FUENTES DE LUZ; USO: ILUMINADOR DE MICROSCOPIO, POTENCIA: 20 W, LAMPARA: LED</t>
  </si>
  <si>
    <t>LAMPARAS P/AUTOANALIZADOR; TIPO: HALOGENA, TENSION: 6 V, POTENCIA: 10 W</t>
  </si>
  <si>
    <t>TUBOS A ROSCA; MEDIDA: 15 mm, TIPO: GRADUADO DE POLIPROPILENO, ACCESORIO: CON TAPA</t>
  </si>
  <si>
    <t>MICROTUBOS P/LABORATORIO; MATERIAL: POLIPROPILENO, PRESENTACION: ENVASE X 1000 UN, MEDIDA: 1.5 mL, COLOR: TRANSPARENTE, TIPO: C/TAPA, LIBRE DNASAS/RNASAS</t>
  </si>
  <si>
    <t>MICROTUBOS P/LABORATORIO; MATERIAL: POLIPROPILENO, PRESENTACION: ENVASE X 1000 UN, MEDIDA: 2 mL, TIPO: EPPENDORF</t>
  </si>
  <si>
    <t>PORTAOBJETOS P/LABORATORIO; PRESENTACION: CAJA X 50 UN, MEDIDA: 2,5 X 7,5 Cm, USO: LABORATORIO, MATERIAL: VIDRIO</t>
  </si>
  <si>
    <t>TUBOS CAPILARES P/HEMATOCRITO; ADITIVO: CON HEPARINA, PRESENTACION: CAJA X 500 UN</t>
  </si>
  <si>
    <t>TUBOS CAPILARES P/HEMATOCRITO; PRESENTACION: CAJA X 500 UN, ADITIVO: SIN HEPARINA</t>
  </si>
  <si>
    <t>MICROPIPETAS AUTOMATICAS; TIPO: MONOCANAL, ESCALA: 1 A 10 µL, VOLUMEN: 10 µL, SENSIBILIDAD: 0,1 µL</t>
  </si>
  <si>
    <t>MICROPIPETAS AUTOMATICAS; TIPO: MONOCANAL, ESCALA: 1 µL, VOLUMEN: 2 A 20 µL, SENSIBILIDAD: 0,01 µL</t>
  </si>
  <si>
    <t>MICROPIPETAS AUTOMATICAS; TIPO: MONOCANAL, ESCALA: 1 µL, VOLUMEN: 20 A 200 µL, SENSIBILIDAD: 0,1 µL</t>
  </si>
  <si>
    <t>MICROPIPETAS AUTOMATICAS; TIPO: MONOCANAL, ESCALA: 100 A 10000 µL, VOLUMEN: 1000 µL, SENSIBILIDAD: 1 µL</t>
  </si>
  <si>
    <t>PIPETAS GRADUADAS; MATERIAL: PLASTICO, CAPACIDAD: 3 mL, MEDIDA MINIMA: SIN VALOR, TIPO: PASTEUR DESCARTABLE</t>
  </si>
  <si>
    <t>PISETAS DE LABORATORIO; CAPACIDAD: 500 mL, MATERIAL: PLASTICO</t>
  </si>
  <si>
    <t>PLACAS DE TOQUE; MATERIAL: VIDRIO, LARGO: 8 Cm, ANCHO: 6 Cm, ESPESOR: 5 mm, USO: DETERMINACION VDRL</t>
  </si>
  <si>
    <t>PLACAS POLICUBETA P/LAB.; DIVISIONES: 96; MATERIAL: PLACAS DE PLÁSTICO DESECHABLES Y PEINES DE PUNTA DE POLIPROPILENO KIN FISHER FLEX; MARCA: THERMOFISHER</t>
  </si>
  <si>
    <t>PLACAS POLICUBETA P/LAB.; DIVISIONES: 96; MATERIAL: POLIPROPILENO; ESTERILIZADA: NO; FONDO: EN V; FONDO TIPO: PROFUNDO KING FISHER FLEX; MARCA: THERMOFISHER</t>
  </si>
  <si>
    <t>PLACAS POLICUBETA P/LAB.; DIVISIONES: 96; MATERIAL: PLÁSTICO; ESTERILIZADA: NO; FONDO TIPO: TM PROFUNDO 200 UL KING FISHER FLEX; MARCA: THERMOFISHER</t>
  </si>
  <si>
    <t>BOLSAS COLECTORAS; TIPO: DE ORINA, USO: PEDIATRICO, CAPACIDAD: 100 mL</t>
  </si>
  <si>
    <t>TIP; TIPO: AMARILLO, PRESENTACION: BOLSA X 1000 UN, CAP. USO: 1 A 200 µL, CAPACIDAD: 1 A 200 µL</t>
  </si>
  <si>
    <t>TIP; TIPO: P/PIPETA AUTOMATICA, PRESENTACION: BOLSA X 1000, CAP. USO: 100 A 1000 µL, CAPACIDAD: 100 A 1000 µL</t>
  </si>
  <si>
    <t>TUBOS AL VACIO P/EXTRACCION; MATERIAL: PLASTICO, MEDIDA: 2 mL, ADITIVO: EDTA TRIPOTASICO, AGUJA: SIN</t>
  </si>
  <si>
    <t>TUBOS P/COAGULOGRAMA; DIMENSION: 12 X 86 mm, VOLUMEN: 2,5 mL, TIPO: ANTICOAGULANTE CITRATO</t>
  </si>
  <si>
    <t>TUBOS P/ANALISIS DE SANGRE; MATERIAL: POLIMETILMETACRILATO, TIPO: C/ACELER. COAG. C/ GEL SEPARAD, DIMENSION: 13 X 75 mm</t>
  </si>
  <si>
    <t>ETIQUETAS AUTOADHESIVAS; MEDIDA: 80 X 25 mm, PRESENTACION: ROLLO X 380 GR, PAPEL BASE: AUTOADHESIVO</t>
  </si>
  <si>
    <t>2.9.5-2694.22</t>
  </si>
  <si>
    <t>PROD.MEDICO/FARMACEUTICOS/LAB</t>
  </si>
  <si>
    <t>BOLSAS P/TRANSFUSIONES SANGRE; CAPACIDAD: 450 mL, SOLUCIONES: CFD CON ADENINA, TIPO: HEMOTERAPIA</t>
  </si>
  <si>
    <t xml:space="preserve">UNIDAD </t>
  </si>
  <si>
    <t>2.9.6-8875.292</t>
  </si>
  <si>
    <t>REP. Y ACC. P/ EQUIPO MEDICO; USO: FRACCIONADOR AUTOMATICO HEMODERIVADOS, MARCA EQUIPO: GRIFOLS, ELEMENTO: CONEXIÓN POR RADIO FRECUENCIA Y GR, MODELO DE EQUIPO: FRACTIOMATIC PLUS 2</t>
  </si>
  <si>
    <t>2.9.6-8875.293</t>
  </si>
  <si>
    <t>REP. Y ACC P/ EQUIPO MEDICO; USO: PARA EQUIPO DE AFERESIS, MARCA DE EQUIPO: GRIFOLS, ELEMENTO: KITS PARA PLAQUETOFERESIS CON FILTRO CAJA X 8 UNID; EQUIPO: HAEMONETICS CS+</t>
  </si>
  <si>
    <t>2.9.6-8875.294</t>
  </si>
  <si>
    <t>REP. Y ACC P/ EQUIPO MEDICO; USO: PARA EQUIPO DE AFERESIS, MARCA DE EQUIPO: GRIFOLS, ELEMENTO: KITS PARA PLASMAFERESIS CON FILTRO CAJA X 8UNID, EQUIPO: HAEMONETIC CS+</t>
  </si>
  <si>
    <t>2.9.6-8875.295</t>
  </si>
  <si>
    <t>REP. Y ACC. P/ EQUIPO MEDICO, USO: BAÑO TERMOSTATIZADO PARA TARJETAS DE INMUNOHEMATOLOGIA, MARCA EQUIPO: GRIFOLS, ELEMENTO:TARJETA DE GEL ABO RH 2D, EQUIPO: CENTRIFUGA</t>
  </si>
  <si>
    <t>2.9.5-3492.341</t>
  </si>
  <si>
    <t>TIP; TIPO: TIPS AMARILLO SIN CORONA,PRESENTACION: X 1000 UNID., CAPACIDAD:0,2 ML</t>
  </si>
  <si>
    <t>2.9.5-3492.342</t>
  </si>
  <si>
    <t>TIP; TIPO: TIPS AZUL AUTOCLAVABLE,PRESENTACION: X 1000 UNID., CAPACIDAD: 1000 MICROLITROS</t>
  </si>
  <si>
    <t>2.9.5-3492.343</t>
  </si>
  <si>
    <t>TIP; TIPO: TIPS AMARILLO CON CORONA, PRESENTACION: X 1000 UNID., CAPACIDAD:0,2 ML</t>
  </si>
  <si>
    <t>2.9.5-427.131</t>
  </si>
  <si>
    <t>APOSITOS; TIPO: HIPOALARGENICO, TAMAÑO: 40 X 40 MM</t>
  </si>
  <si>
    <t>2.9.5-2160.1</t>
  </si>
  <si>
    <t>DESCARTADORES DE AGUJAS; BOCA: 1, CAPACIDAD: 500 AGUJAS, MODELO: 500, MODELO EQUIPO: 500, SISTEMA DE CIERRE: 500</t>
  </si>
  <si>
    <t>2.9.5-1909.87</t>
  </si>
  <si>
    <t>GUANTES USO MEDICINAL; TIPO: DESCARTABLE, TAMAÑO: MEDIANO, MATERIAL: LATEX, PRESENTACION: ENVASE X 100 UNID.</t>
  </si>
  <si>
    <t>2.9.5-1909.81</t>
  </si>
  <si>
    <t>GUANTES USO MEDICINAL; TIPO: DESCARTABLE, TAMAÑO: GRANDE, MATERIAL: LATEX, PRESENTACION: ENVASE X 100 UNID.</t>
  </si>
  <si>
    <t>2.9.5-931.3</t>
  </si>
  <si>
    <t>TELAS ADHESIVAS; ANCHO: 5.00 Cm, LONG.DE CUERPO: 9 M, TIPO: HIPOALERGENICA</t>
  </si>
  <si>
    <t>2.9.5-468.85</t>
  </si>
  <si>
    <t>TUBOS DE ENSAYO; TIPO: VACUTAINER, MATERIAL: VIDRIO BOROSILICATO, DIMENSION: 10 mL, ACCESORIOS: TAPA, ACCESORIO: TAPA</t>
  </si>
  <si>
    <t>2.9.5-468.249</t>
  </si>
  <si>
    <t>TUBOS DE ENSAYO; TIPO: VACUTAINER P/ SUERO, MATERIAL: PLASTICO, DIMENSION: 4 ML, ACCESORIO: SIN</t>
  </si>
  <si>
    <t>2.9.5-468.232</t>
  </si>
  <si>
    <t>TUBOS DE ENSAYO; TIPO: CONICO P/CENTRIFUGA, MATERIAL: POLIPROPILENO, DIMENSION: 0,5 A 15 mL, ACCESORIO: TAPA A ROSCA</t>
  </si>
  <si>
    <t>2.9.5-468.42</t>
  </si>
  <si>
    <t>TUBOS DE ENSAYO; TIPO: EPPENDORF, MATERIAL: PLASTICO, DIMENSION: 1.5 mL, ACCESORIOS: SIN, ACCESORIO: SIN</t>
  </si>
  <si>
    <t>2.9.5-4522.1</t>
  </si>
  <si>
    <t>TUBOS DE HEMOLISIS; MATERIAL: VIDRIO, PRESENTACION: CAJA, DIMENSION: 100 X 13 DIAM. EXT., MEDIDAS: 100 X 13 DIAM. EXT., FORMA DE PRESENTACION: SOLIDO, ESTADO: SOLIDO</t>
  </si>
  <si>
    <t>2.9.5-1908.28</t>
  </si>
  <si>
    <t>CEPILLOS P/LABORATORIO; TIPO: LIMPIEZA DE TUBOS, MATERIAL: CERDA, TAMAÑO: DIAM. 9 mm</t>
  </si>
  <si>
    <t>2.9.5-2578.16</t>
  </si>
  <si>
    <t>MICROPIPETAS REGULABLES; CAPACIDAD: 10-100 µL, DIVISIONES: CADA 1 µL, MATERIAL: PLASTICO</t>
  </si>
  <si>
    <t>2.9.5-2578.17</t>
  </si>
  <si>
    <t>MICROPIPETAS REGULABLES; CAPACIDAD: 100 - 1000 µL, DIVISIONES: CADA 5 µL, MATERIAL: PLASTICO</t>
  </si>
  <si>
    <t>BOLSAS DE SANGRE TRIPLE KS  TIPO GRIFOLS</t>
  </si>
  <si>
    <t>CONEXIÓN POR RADIO Y FRECUENCIA Y GR  PARA FRACCIONADOR AUTOMATICO DE HEMODERIVADOS. TIPO FRACTIOMATIC PLUS. 2 GRIFOLS</t>
  </si>
  <si>
    <t xml:space="preserve">KITS PARA PLAQUETOFERESIS CON FILTRO </t>
  </si>
  <si>
    <t>KIT PLASMAFERESIS</t>
  </si>
  <si>
    <t xml:space="preserve">TARJETA DE GEL ABO RH 2d </t>
  </si>
  <si>
    <t>CAJA X 250 UNID</t>
  </si>
  <si>
    <t>GUANTES USO MEDICINAL; TIPO: EXAMINACION , TAMAÑO: GRANDE, MATERIAL: LATEX, PRESENTACION: ENVASE X 100 UN</t>
  </si>
  <si>
    <t>CAJA X 1000 UNID.</t>
  </si>
  <si>
    <t>TUBOS VACUTAINER P/SUERO DE 4ML, TAPA ROJA C/ETIQUETA - CAJA X 1000 UNID</t>
  </si>
  <si>
    <t>CAJA X 25 UNID. TIPO BIOLOGIX</t>
  </si>
  <si>
    <t>BOLSA X 1000 UNID.</t>
  </si>
  <si>
    <t>CEPILLO LIMPIA PIPETA DE CERDA NATURAL</t>
  </si>
  <si>
    <t>ALGODONES PLISADO PRE-CORTADO - ENVASE X 500 GR</t>
  </si>
  <si>
    <t>CAJA X 100 UNIDADES</t>
  </si>
  <si>
    <t>PAPEL TERMOSENSIBLE PARA METROLAB DR 1600  57 MM</t>
  </si>
  <si>
    <t>PAPEL TERMOSENSIBLE  PARA CONTADOR  MINDRAY 50 MM</t>
  </si>
  <si>
    <t>PLACA PARA VDRL CON POCILLO PROFUNDO 12 HOYOS</t>
  </si>
  <si>
    <t>REPUESTOS</t>
  </si>
  <si>
    <t>diez (10) dias habiles</t>
  </si>
  <si>
    <t>TOTAL RUBRO DESCARTABLE PARA LABORATORIO</t>
  </si>
  <si>
    <t>TRES MESES</t>
  </si>
  <si>
    <t>468 - DIRECCION PROVINCIAL DE LABORATORIO</t>
  </si>
  <si>
    <t>XX/2022</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</si>
  <si>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</si>
  <si>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</si>
  <si>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</si>
  <si>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</si>
  <si>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</si>
  <si>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</si>
  <si>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</si>
  <si>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</si>
  <si>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</si>
  <si>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</si>
  <si>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</si>
  <si>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</si>
  <si>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</si>
  <si>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</si>
  <si>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</si>
  <si>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</si>
  <si>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</si>
  <si>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</si>
  <si>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</si>
  <si>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</si>
  <si>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</si>
  <si>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</si>
  <si>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</si>
  <si>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747 - DIRECCION PROVINCIAL BANCO DE SANGRE</t>
  </si>
  <si>
    <t>SI</t>
  </si>
  <si>
    <t>NO</t>
  </si>
  <si>
    <t>1.1</t>
  </si>
  <si>
    <t>2.9.5</t>
  </si>
  <si>
    <t>2.9.6</t>
  </si>
  <si>
    <t>2.3.4</t>
  </si>
  <si>
    <t>2.9.3</t>
  </si>
  <si>
    <t>PRODUCTOS DE PAPEL Y CARTON</t>
  </si>
  <si>
    <t>UTILES Y MATERIALES ELECTRICOS</t>
  </si>
  <si>
    <t>UTILES MENORES MEDICOS, QUIRURGICOS Y DE LABORATORIO</t>
  </si>
  <si>
    <t>REPUESTOS Y ACCESORIOS</t>
  </si>
  <si>
    <t>LIBRERIA,PAP. Y UTILES OFICINA</t>
  </si>
  <si>
    <t>PACK</t>
  </si>
  <si>
    <t>LAMPARAS P/AUTOANALIZADOR; TIPO: HALOGENA, TENSION: 6 V, POTENCIA: 20 W</t>
  </si>
  <si>
    <t>2.9.5-441.470</t>
  </si>
  <si>
    <t>AGUJAS QUIRURGICAS; TIPO: TERUMO 21GX1", ESPECIFICACION: 25/8, UNIDAD VENTA: CAJA X 100, PRESENTACION: CAJA X 100</t>
  </si>
  <si>
    <t>2.9.5-441.471</t>
  </si>
  <si>
    <t>AGUJAS QUIRURGICAS; TIPO: TERUMO 25GX5/8", ESPECIFICACION: 16/5, UNIDAD VENTA: CAJA X 100, PRESENTACION: CAJA X 100</t>
  </si>
  <si>
    <t>MICROSPORE - CAJA X 8 UNIDADES</t>
  </si>
  <si>
    <t>Costo total estimado: PESOS DIEZ MILLONES SEIS MIL CIENTO CINCUENTA Y CINCO CON 00/100.-</t>
  </si>
  <si>
    <t>TOTAL DE PESOS: CUARENTA Y UN MILLONES OCHOCIENTOS SESENTA Y NUEVE MIL OCHOCIENTOS SESENTA CON 00/100.-</t>
  </si>
  <si>
    <t>ITEMS 3 (40 unid), 5, 8, 9, 14, 20 (50 unid), 21, 22 (50 unid), 39, 40, 51, 56 al 59, 63, 68 al 70, 76 al 80 - DIR. PROV. BANCO DE SANGRE - BOTO GARAY N° 500 - en el horario de 8:00hs a 12:00hs de lunes a viernes.  DEBIENDO CORRER LOS GASTOS DE FLETES, ACARREO, CARGA, DESCARGA Y SEGURO A CARGO DEL ADJUDICATARIO.</t>
  </si>
  <si>
    <t>ITEMS 1, 2, 3 (200 unid), 4, 6, 7, 10 al 13, 15 al 19, 20 (800 unid), 21, 22 (800 unid), 23 al 38, 41 al 50, 52 al 55, 60 al 62, 64 al 67, 71 al 75, 81 al 83 - DIR. PROV. DE LABORATORIO - CHACABUCO N° 169 - en el horario de 8:00hs a 12:00hs de lunes a viernes.  DEBIENDO CORRER LOS GASTOS DE FLETES, ACARREO, CARGA, DESCARGA Y SEGURO A CARGO DEL ADJUDICATARIO.</t>
  </si>
  <si>
    <t>Especificidad item N°</t>
  </si>
  <si>
    <t>ADQUISICION DEL RUBRO INSUMOS PARA LABORATORIO</t>
  </si>
  <si>
    <t>Costo total estimado: PESOS CUARENTA Y UN MILLONES OCHOCIENTOS SESENTA Y NUEVE MIL OCHOCIENTOS SESENTA CON 00/100.-</t>
  </si>
  <si>
    <t>011 - DIRECCION PROVINCIAL DE ADMINISTRACION - MINISTERIO DE SALUD</t>
  </si>
  <si>
    <t>TOTAL DE PESOS: DIEZ MILLONES SEIS MIL CIENTO CINCUENTA Y CINCO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</si>
</sst>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4" formatCode="_-&quot;$&quot;\ * #,##0.00_-;\-&quot;$&quot;\ * #,##0.00_-;_-&quot;$&quot;\ * &quot;-&quot;??_-;_-@_-"/>
    <numFmt numFmtId="43" formatCode="_-* #,##0.00_-;\-* #,##0.00_-;_-* &quot;-&quot;??_-;_-@_-"/>
    <numFmt numFmtId="164" formatCode="&quot;$&quot;\ #,##0.00"/>
    <numFmt numFmtId="165" formatCode="_-[$$-2C0A]\ * #,##0.00_-;\-[$$-2C0A]\ * #,##0.00_-;_-[$$-2C0A]\ * &quot;-&quot;??_-;_-@_-"/>
    <numFmt numFmtId="166" formatCode="[$$-2C0A]\ #,##0.00"/>
    <numFmt numFmtId="167" formatCode="_ &quot;$&quot;\ * #,##0.00_ ;_ &quot;$&quot;\ * \-#,##0.00_ ;_ &quot;$&quot;\ * &quot;-&quot;??_ ;_ @_ "/>
    <numFmt numFmtId="168" formatCode="_-* #,##0.00&quot; €&quot;_-;\-* #,##0.00&quot; €&quot;_-;_-* \-??&quot; €&quot;_-;_-@_-"/>
    <numFmt numFmtId="169" formatCode="dd\-mm\-yy;@"/>
    <numFmt numFmtId="170" formatCode="_(\$* #,##0.00_);_(\$* \(#,##0.00\);_(\$* \-??_);_(@_)"/>
    <numFmt numFmtId="171" formatCode="[$$-2C0A]\ #,##0.00;[$$-2C0A]&quot; -&quot;#,##0.00"/>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color theme="1"/>
      <name val="Calibri"/>
      <family val="2"/>
      <scheme val="minor"/>
    </font>
    <font>
      <sz val="10"/>
      <name val="Arial"/>
      <family val="2"/>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b/>
      <sz val="15"/>
      <color rgb="FF666699"/>
      <name val="Calibri"/>
      <family val="2"/>
      <charset val="1"/>
    </font>
    <font>
      <sz val="11"/>
      <color rgb="FF993300"/>
      <name val="Calibri"/>
      <family val="2"/>
      <charset val="1"/>
    </font>
    <font>
      <sz val="11"/>
      <name val="Times New Roman"/>
      <family val="1"/>
    </font>
    <font>
      <sz val="11"/>
      <color theme="0"/>
      <name val="Calibri"/>
      <family val="2"/>
      <scheme val="minor"/>
    </font>
    <font>
      <sz val="11"/>
      <name val="Calibri"/>
      <family val="2"/>
      <scheme val="minor"/>
    </font>
    <font>
      <b/>
      <sz val="10"/>
      <color theme="1"/>
      <name val="Calibri"/>
      <family val="2"/>
      <scheme val="minor"/>
    </font>
    <font>
      <sz val="10"/>
      <color rgb="FF333333"/>
      <name val="Calibri"/>
      <family val="2"/>
      <scheme val="minor"/>
    </font>
    <font>
      <b/>
      <sz val="10"/>
      <color rgb="FFFF0000"/>
      <name val="Calibri"/>
      <family val="2"/>
      <scheme val="minor"/>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b/>
      <sz val="12"/>
      <name val="Times New Roman"/>
      <family val="1"/>
    </font>
    <font>
      <b/>
      <sz val="11"/>
      <name val="Calibri"/>
      <family val="2"/>
      <scheme val="minor"/>
    </font>
    <font>
      <sz val="10"/>
      <name val="Calibri"/>
      <family val="2"/>
      <scheme val="minor"/>
    </font>
    <font>
      <b/>
      <sz val="14"/>
      <name val="Times New Roman"/>
      <family val="1"/>
    </font>
  </fonts>
  <fills count="4">
    <fill>
      <patternFill patternType="none"/>
    </fill>
    <fill>
      <patternFill patternType="gray125"/>
    </fill>
    <fill>
      <patternFill patternType="solid">
        <fgColor theme="0"/>
        <bgColor indexed="64"/>
      </patternFill>
    </fill>
    <fill>
      <patternFill patternType="solid">
        <fgColor rgb="FFFFFF99"/>
        <bgColor rgb="FFFFFFCC"/>
      </patternFill>
    </fill>
  </fills>
  <borders count="7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medium">
        <color auto="1"/>
      </right>
      <top/>
      <bottom style="medium">
        <color auto="1"/>
      </bottom>
      <diagonal/>
    </border>
    <border>
      <left/>
      <right/>
      <top style="medium">
        <color auto="1"/>
      </top>
      <bottom/>
      <diagonal/>
    </border>
    <border>
      <left/>
      <right/>
      <top/>
      <bottom style="thick">
        <color rgb="FF33CCCC"/>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3D3D3D"/>
      </left>
      <right style="medium">
        <color rgb="FF3D3D3D"/>
      </right>
      <top style="medium">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auto="1"/>
      </top>
      <bottom style="medium">
        <color auto="1"/>
      </bottom>
      <diagonal/>
    </border>
  </borders>
  <cellStyleXfs count="33">
    <xf numFmtId="0" fontId="0" fillId="0" borderId="0"/>
    <xf numFmtId="44" fontId="1" fillId="0" borderId="0" applyFont="0" applyFill="0" applyBorder="0" applyAlignment="0" applyProtection="0"/>
    <xf numFmtId="0" fontId="8" fillId="0" borderId="0"/>
    <xf numFmtId="167" fontId="8" fillId="0" borderId="0" applyBorder="0" applyAlignment="0" applyProtection="0"/>
    <xf numFmtId="0" fontId="1" fillId="0" borderId="0"/>
    <xf numFmtId="0" fontId="8" fillId="0" borderId="0"/>
    <xf numFmtId="0" fontId="8" fillId="0" borderId="0"/>
    <xf numFmtId="0" fontId="17" fillId="0" borderId="20" applyProtection="0"/>
    <xf numFmtId="0" fontId="17" fillId="0" borderId="20" applyProtection="0"/>
    <xf numFmtId="43" fontId="1" fillId="0" borderId="0" applyFont="0" applyFill="0" applyBorder="0" applyAlignment="0" applyProtection="0"/>
    <xf numFmtId="43" fontId="1" fillId="0" borderId="0" applyFont="0" applyFill="0" applyBorder="0" applyAlignment="0" applyProtection="0"/>
    <xf numFmtId="167" fontId="8" fillId="0" borderId="0" applyBorder="0" applyAlignment="0" applyProtection="0"/>
    <xf numFmtId="168" fontId="8" fillId="0" borderId="0" applyBorder="0" applyProtection="0"/>
    <xf numFmtId="168" fontId="8" fillId="0" borderId="0" applyBorder="0" applyProtection="0"/>
    <xf numFmtId="168" fontId="8" fillId="0" borderId="0" applyBorder="0" applyProtection="0"/>
    <xf numFmtId="0" fontId="18" fillId="3" borderId="0" applyBorder="0" applyProtection="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170" fontId="27" fillId="0" borderId="0" applyBorder="0" applyProtection="0"/>
  </cellStyleXfs>
  <cellXfs count="246">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xf>
    <xf numFmtId="165" fontId="3" fillId="0" borderId="0" xfId="0" applyNumberFormat="1" applyFont="1" applyAlignment="1">
      <alignment horizontal="center" vertical="center"/>
    </xf>
    <xf numFmtId="165" fontId="3" fillId="0" borderId="0" xfId="1" applyNumberFormat="1" applyFont="1" applyAlignment="1">
      <alignment horizontal="center" vertical="center"/>
    </xf>
    <xf numFmtId="0" fontId="6" fillId="0" borderId="0" xfId="0" applyFont="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wrapText="1"/>
    </xf>
    <xf numFmtId="165" fontId="4" fillId="0" borderId="1" xfId="1"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19" fillId="0" borderId="3" xfId="5" applyFont="1" applyFill="1" applyBorder="1" applyAlignment="1">
      <alignment horizontal="center" vertical="center" wrapText="1"/>
    </xf>
    <xf numFmtId="0" fontId="19" fillId="0" borderId="14" xfId="5" applyFont="1" applyFill="1" applyBorder="1" applyAlignment="1">
      <alignment horizontal="center" vertical="center" wrapText="1"/>
    </xf>
    <xf numFmtId="0" fontId="5" fillId="0" borderId="0" xfId="0" applyFont="1" applyFill="1" applyBorder="1" applyAlignment="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0" fillId="0" borderId="0" xfId="0" applyFont="1"/>
    <xf numFmtId="165" fontId="20" fillId="0" borderId="0" xfId="0" applyNumberFormat="1" applyFont="1"/>
    <xf numFmtId="0" fontId="20" fillId="0" borderId="0" xfId="0" applyFont="1"/>
    <xf numFmtId="0" fontId="7" fillId="0" borderId="2"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165" fontId="7" fillId="0" borderId="1" xfId="0" applyNumberFormat="1" applyFont="1" applyFill="1" applyBorder="1" applyAlignment="1">
      <alignment horizontal="center" vertical="center"/>
    </xf>
    <xf numFmtId="165" fontId="7" fillId="0" borderId="2" xfId="0" applyNumberFormat="1" applyFont="1" applyFill="1" applyBorder="1" applyAlignment="1">
      <alignment horizontal="center" vertical="center"/>
    </xf>
    <xf numFmtId="0" fontId="7" fillId="0" borderId="1" xfId="0" applyFont="1" applyFill="1" applyBorder="1"/>
    <xf numFmtId="0" fontId="7" fillId="0" borderId="0" xfId="0" applyFont="1" applyFill="1"/>
    <xf numFmtId="0" fontId="3" fillId="0" borderId="0" xfId="5" applyFont="1" applyFill="1" applyBorder="1" applyAlignment="1">
      <alignment horizontal="left" vertical="center" wrapText="1"/>
    </xf>
    <xf numFmtId="0" fontId="3" fillId="0" borderId="8" xfId="5" applyFont="1" applyFill="1" applyBorder="1" applyAlignment="1">
      <alignment horizontal="left" vertical="center" wrapText="1"/>
    </xf>
    <xf numFmtId="0" fontId="7" fillId="0" borderId="0" xfId="0" applyFont="1" applyFill="1" applyBorder="1" applyAlignment="1">
      <alignment horizontal="center" vertical="center"/>
    </xf>
    <xf numFmtId="0" fontId="0" fillId="0" borderId="0" xfId="0" applyBorder="1" applyAlignment="1">
      <alignment horizontal="center" vertical="center"/>
    </xf>
    <xf numFmtId="0" fontId="23" fillId="0" borderId="0" xfId="0" applyFont="1" applyFill="1" applyBorder="1"/>
    <xf numFmtId="165" fontId="7" fillId="0" borderId="0" xfId="0" applyNumberFormat="1" applyFont="1" applyFill="1" applyBorder="1" applyAlignment="1">
      <alignment horizontal="center" vertical="center"/>
    </xf>
    <xf numFmtId="0" fontId="0" fillId="0" borderId="0" xfId="0" applyFill="1" applyBorder="1" applyAlignment="1">
      <alignment horizontal="center" vertical="center"/>
    </xf>
    <xf numFmtId="0" fontId="7" fillId="0" borderId="0" xfId="0" applyFont="1" applyFill="1" applyBorder="1"/>
    <xf numFmtId="165" fontId="0" fillId="0" borderId="0" xfId="0" applyNumberFormat="1" applyBorder="1" applyAlignment="1">
      <alignment horizontal="center" vertical="center"/>
    </xf>
    <xf numFmtId="0" fontId="0" fillId="0" borderId="0" xfId="0" applyBorder="1"/>
    <xf numFmtId="0" fontId="3" fillId="0" borderId="0" xfId="5" applyFont="1" applyBorder="1" applyAlignment="1">
      <alignment horizontal="left" vertical="center" wrapText="1"/>
    </xf>
    <xf numFmtId="0" fontId="3" fillId="0" borderId="8" xfId="5" applyFont="1" applyBorder="1" applyAlignment="1">
      <alignment horizontal="left"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4" xfId="0" applyBorder="1" applyAlignment="1">
      <alignment horizontal="center" vertical="center"/>
    </xf>
    <xf numFmtId="0" fontId="23" fillId="0" borderId="1" xfId="0" applyFont="1" applyFill="1" applyBorder="1"/>
    <xf numFmtId="3" fontId="0" fillId="0" borderId="0" xfId="0" applyNumberFormat="1" applyFill="1" applyBorder="1" applyAlignment="1">
      <alignment horizontal="center" vertical="center"/>
    </xf>
    <xf numFmtId="165" fontId="0" fillId="0" borderId="0" xfId="0" applyNumberFormat="1" applyFill="1" applyBorder="1" applyAlignment="1">
      <alignment horizontal="center" vertical="center"/>
    </xf>
    <xf numFmtId="0" fontId="3" fillId="0" borderId="0" xfId="0" applyFont="1" applyFill="1" applyAlignment="1">
      <alignment horizontal="center" vertical="center"/>
    </xf>
    <xf numFmtId="1" fontId="3" fillId="0" borderId="0" xfId="0" applyNumberFormat="1" applyFont="1" applyFill="1" applyAlignment="1">
      <alignment horizontal="center" vertical="center"/>
    </xf>
    <xf numFmtId="164" fontId="3" fillId="0" borderId="0" xfId="0" applyNumberFormat="1" applyFont="1" applyFill="1" applyAlignment="1">
      <alignment horizontal="center" vertical="center"/>
    </xf>
    <xf numFmtId="3" fontId="3" fillId="0" borderId="0" xfId="0" applyNumberFormat="1" applyFont="1" applyFill="1" applyAlignment="1">
      <alignment horizontal="center" vertical="center"/>
    </xf>
    <xf numFmtId="0" fontId="6" fillId="0" borderId="0" xfId="0" applyFont="1" applyFill="1" applyAlignment="1">
      <alignment horizontal="center" vertical="center" wrapText="1"/>
    </xf>
    <xf numFmtId="1" fontId="6" fillId="0" borderId="0" xfId="0" applyNumberFormat="1" applyFont="1" applyFill="1" applyAlignment="1">
      <alignment horizontal="center" vertical="center" wrapText="1"/>
    </xf>
    <xf numFmtId="164" fontId="6" fillId="0" borderId="0" xfId="0" applyNumberFormat="1" applyFont="1" applyFill="1" applyAlignment="1">
      <alignment horizontal="center" vertical="center" wrapText="1"/>
    </xf>
    <xf numFmtId="3" fontId="6" fillId="0" borderId="0" xfId="0" applyNumberFormat="1" applyFont="1" applyFill="1" applyAlignment="1">
      <alignment horizontal="center" vertical="center" wrapText="1"/>
    </xf>
    <xf numFmtId="0" fontId="5" fillId="0" borderId="1" xfId="0"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wrapText="1"/>
    </xf>
    <xf numFmtId="0" fontId="0" fillId="0" borderId="0" xfId="0" applyFill="1" applyAlignment="1">
      <alignment horizontal="center" vertical="center"/>
    </xf>
    <xf numFmtId="3" fontId="0" fillId="0" borderId="0" xfId="0" applyNumberFormat="1" applyFill="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22"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Border="1" applyAlignment="1">
      <alignment horizontal="center" vertical="center"/>
    </xf>
    <xf numFmtId="0" fontId="2" fillId="0" borderId="0" xfId="0" applyFont="1" applyAlignment="1">
      <alignment horizontal="center" vertical="center"/>
    </xf>
    <xf numFmtId="0" fontId="23" fillId="0" borderId="0" xfId="0" applyFont="1" applyFill="1" applyAlignment="1">
      <alignment vertical="center"/>
    </xf>
    <xf numFmtId="0" fontId="7" fillId="0" borderId="0" xfId="0" applyFont="1" applyFill="1" applyAlignment="1">
      <alignment vertical="center"/>
    </xf>
    <xf numFmtId="0" fontId="23" fillId="0" borderId="1" xfId="0" applyFont="1" applyFill="1" applyBorder="1" applyAlignment="1">
      <alignment vertical="center"/>
    </xf>
    <xf numFmtId="0" fontId="23" fillId="0" borderId="25" xfId="0" applyFont="1" applyFill="1" applyBorder="1" applyAlignment="1">
      <alignment vertical="center"/>
    </xf>
    <xf numFmtId="0" fontId="23" fillId="0" borderId="0" xfId="0" applyFont="1" applyFill="1" applyBorder="1" applyAlignment="1">
      <alignment vertical="center"/>
    </xf>
    <xf numFmtId="0" fontId="7" fillId="0" borderId="26" xfId="0" applyFont="1" applyFill="1" applyBorder="1" applyAlignment="1">
      <alignment horizontal="center" vertical="center"/>
    </xf>
    <xf numFmtId="0" fontId="23" fillId="0" borderId="26" xfId="0" applyFont="1" applyFill="1" applyBorder="1" applyAlignment="1">
      <alignment vertical="center"/>
    </xf>
    <xf numFmtId="165" fontId="7" fillId="0" borderId="26" xfId="0" applyNumberFormat="1" applyFont="1" applyFill="1" applyBorder="1" applyAlignment="1">
      <alignment horizontal="center" vertical="center"/>
    </xf>
    <xf numFmtId="0" fontId="7" fillId="0" borderId="26" xfId="0" applyFont="1" applyFill="1" applyBorder="1" applyAlignment="1">
      <alignment horizontal="left" vertical="center" wrapText="1"/>
    </xf>
    <xf numFmtId="0" fontId="7" fillId="0" borderId="27" xfId="0" applyFont="1" applyFill="1" applyBorder="1" applyAlignment="1">
      <alignment horizontal="center" vertical="center"/>
    </xf>
    <xf numFmtId="0" fontId="23" fillId="0" borderId="27" xfId="0" applyFont="1" applyFill="1" applyBorder="1" applyAlignment="1">
      <alignment vertical="center"/>
    </xf>
    <xf numFmtId="165" fontId="7" fillId="0" borderId="27"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0" fontId="24" fillId="0" borderId="30" xfId="0" applyFont="1" applyFill="1" applyBorder="1" applyAlignment="1">
      <alignment horizontal="center" vertical="center"/>
    </xf>
    <xf numFmtId="165" fontId="24" fillId="0" borderId="30" xfId="0" applyNumberFormat="1" applyFont="1" applyFill="1" applyBorder="1" applyAlignment="1">
      <alignment horizontal="center" vertical="center"/>
    </xf>
    <xf numFmtId="165" fontId="24" fillId="0" borderId="31" xfId="0" applyNumberFormat="1" applyFont="1" applyFill="1" applyBorder="1" applyAlignment="1">
      <alignment horizontal="center" vertical="center"/>
    </xf>
    <xf numFmtId="0" fontId="24" fillId="0" borderId="0" xfId="0" applyFont="1" applyFill="1" applyBorder="1"/>
    <xf numFmtId="0" fontId="24" fillId="0" borderId="0" xfId="0" applyFont="1" applyFill="1"/>
    <xf numFmtId="3" fontId="25" fillId="0" borderId="19" xfId="0" applyNumberFormat="1" applyFont="1" applyBorder="1" applyAlignment="1"/>
    <xf numFmtId="169" fontId="0" fillId="0" borderId="19" xfId="0" applyNumberFormat="1" applyBorder="1" applyAlignment="1">
      <alignment horizontal="left"/>
    </xf>
    <xf numFmtId="0" fontId="0" fillId="0" borderId="19" xfId="0" applyBorder="1"/>
    <xf numFmtId="0" fontId="0" fillId="0" borderId="14"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8" xfId="0" applyBorder="1"/>
    <xf numFmtId="0" fontId="0" fillId="0" borderId="6" xfId="0" applyBorder="1"/>
    <xf numFmtId="0" fontId="0" fillId="0" borderId="7" xfId="0" applyBorder="1"/>
    <xf numFmtId="0" fontId="0" fillId="0" borderId="7" xfId="0" applyBorder="1" applyAlignment="1">
      <alignment horizontal="left"/>
    </xf>
    <xf numFmtId="0" fontId="0" fillId="0" borderId="49" xfId="0" applyBorder="1"/>
    <xf numFmtId="0" fontId="30" fillId="0" borderId="52" xfId="0" applyFont="1" applyBorder="1" applyAlignment="1">
      <alignment horizontal="center" vertical="center"/>
    </xf>
    <xf numFmtId="0" fontId="30" fillId="0" borderId="53" xfId="0" applyFont="1" applyBorder="1" applyAlignment="1">
      <alignment horizontal="center" vertical="center"/>
    </xf>
    <xf numFmtId="0" fontId="30" fillId="0" borderId="53" xfId="0" applyFont="1" applyBorder="1" applyAlignment="1">
      <alignment horizontal="left" vertical="center"/>
    </xf>
    <xf numFmtId="0" fontId="30" fillId="0" borderId="54" xfId="0" applyFont="1" applyBorder="1" applyAlignment="1">
      <alignment horizontal="center" vertical="center"/>
    </xf>
    <xf numFmtId="0" fontId="30" fillId="0" borderId="55" xfId="0" applyFont="1" applyBorder="1" applyAlignment="1">
      <alignment horizontal="center" vertical="center"/>
    </xf>
    <xf numFmtId="0" fontId="0" fillId="0" borderId="56" xfId="0" applyFont="1" applyBorder="1" applyAlignment="1">
      <alignment horizontal="center" vertical="center"/>
    </xf>
    <xf numFmtId="0" fontId="0" fillId="0" borderId="57" xfId="0" applyFont="1" applyBorder="1" applyAlignment="1">
      <alignment horizontal="center" vertical="center"/>
    </xf>
    <xf numFmtId="0" fontId="0" fillId="0" borderId="58" xfId="0" applyFont="1" applyBorder="1" applyAlignment="1">
      <alignment horizontal="center" vertical="center"/>
    </xf>
    <xf numFmtId="171" fontId="0" fillId="0" borderId="59" xfId="32" applyNumberFormat="1" applyFont="1" applyBorder="1" applyAlignment="1" applyProtection="1">
      <alignment horizontal="center" vertical="center"/>
    </xf>
    <xf numFmtId="0" fontId="0" fillId="0" borderId="60" xfId="0" applyFont="1" applyBorder="1" applyAlignment="1">
      <alignment horizontal="center" vertical="center"/>
    </xf>
    <xf numFmtId="0" fontId="0" fillId="0" borderId="61" xfId="0" applyFont="1" applyBorder="1" applyAlignment="1">
      <alignment horizontal="center" vertical="center"/>
    </xf>
    <xf numFmtId="0" fontId="0" fillId="0" borderId="62" xfId="0" applyFont="1" applyBorder="1" applyAlignment="1">
      <alignment horizontal="center" vertical="center"/>
    </xf>
    <xf numFmtId="0" fontId="0" fillId="0" borderId="63" xfId="0" applyFont="1" applyBorder="1" applyAlignment="1">
      <alignment horizontal="center" vertical="center"/>
    </xf>
    <xf numFmtId="171" fontId="0" fillId="0" borderId="64" xfId="32" applyNumberFormat="1" applyFont="1" applyBorder="1" applyAlignment="1" applyProtection="1">
      <alignment horizontal="center" vertical="center"/>
    </xf>
    <xf numFmtId="0" fontId="0" fillId="0" borderId="63" xfId="0" applyFont="1" applyBorder="1" applyAlignment="1">
      <alignment horizontal="center" vertical="center"/>
    </xf>
    <xf numFmtId="0" fontId="28" fillId="0" borderId="60" xfId="0" applyFont="1" applyBorder="1" applyAlignment="1">
      <alignment horizontal="center" vertical="center"/>
    </xf>
    <xf numFmtId="0" fontId="28" fillId="0" borderId="61" xfId="0" applyFont="1" applyBorder="1" applyAlignment="1">
      <alignment horizontal="center" vertical="center"/>
    </xf>
    <xf numFmtId="0" fontId="0" fillId="0" borderId="63" xfId="0" applyBorder="1" applyAlignment="1">
      <alignment horizontal="center" vertical="center"/>
    </xf>
    <xf numFmtId="0" fontId="28" fillId="0" borderId="62" xfId="0" applyFont="1" applyBorder="1" applyAlignment="1">
      <alignment horizontal="center" vertical="center"/>
    </xf>
    <xf numFmtId="0" fontId="28" fillId="0" borderId="63" xfId="0" applyFont="1"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171" fontId="0" fillId="0" borderId="68" xfId="32" applyNumberFormat="1" applyFont="1" applyBorder="1" applyAlignment="1" applyProtection="1">
      <alignment horizontal="center" vertical="center"/>
    </xf>
    <xf numFmtId="171" fontId="30" fillId="0" borderId="70" xfId="0" applyNumberFormat="1" applyFont="1" applyBorder="1" applyAlignment="1">
      <alignment horizontal="center" vertical="center"/>
    </xf>
    <xf numFmtId="0" fontId="11" fillId="0" borderId="32" xfId="0" applyFont="1" applyBorder="1" applyAlignment="1">
      <alignment vertical="center"/>
    </xf>
    <xf numFmtId="0" fontId="11" fillId="0" borderId="71" xfId="0" applyFont="1" applyBorder="1" applyAlignment="1">
      <alignment vertical="center"/>
    </xf>
    <xf numFmtId="44" fontId="0" fillId="0" borderId="0" xfId="1" applyFont="1"/>
    <xf numFmtId="44" fontId="0" fillId="0" borderId="8" xfId="1" applyFont="1" applyBorder="1"/>
    <xf numFmtId="44" fontId="0" fillId="0" borderId="49" xfId="1" applyFont="1" applyBorder="1"/>
    <xf numFmtId="44" fontId="0" fillId="0" borderId="59" xfId="1" applyFont="1" applyBorder="1" applyAlignment="1" applyProtection="1">
      <alignment horizontal="center" vertical="center"/>
    </xf>
    <xf numFmtId="44" fontId="0" fillId="0" borderId="64" xfId="1" applyFont="1" applyBorder="1" applyAlignment="1" applyProtection="1">
      <alignment horizontal="center" vertical="center"/>
    </xf>
    <xf numFmtId="44" fontId="0" fillId="0" borderId="68" xfId="1" applyFont="1" applyBorder="1" applyAlignment="1" applyProtection="1">
      <alignment horizontal="center" vertical="center"/>
    </xf>
    <xf numFmtId="44" fontId="30" fillId="0" borderId="70" xfId="1" applyFont="1" applyBorder="1" applyAlignment="1">
      <alignment horizontal="center" vertical="center"/>
    </xf>
    <xf numFmtId="44" fontId="20" fillId="0" borderId="0" xfId="1" applyFont="1"/>
    <xf numFmtId="165" fontId="20" fillId="0" borderId="0" xfId="0" applyNumberFormat="1" applyFont="1" applyFill="1"/>
    <xf numFmtId="0" fontId="0" fillId="0" borderId="0" xfId="0" applyFill="1" applyBorder="1" applyAlignment="1">
      <alignment vertical="center"/>
    </xf>
    <xf numFmtId="0" fontId="19" fillId="0" borderId="14" xfId="5" applyFont="1" applyBorder="1" applyAlignment="1">
      <alignment horizontal="center" vertical="center" wrapText="1"/>
    </xf>
    <xf numFmtId="0" fontId="0" fillId="0" borderId="0" xfId="0" applyBorder="1" applyAlignment="1">
      <alignment vertical="center"/>
    </xf>
    <xf numFmtId="0" fontId="23" fillId="0" borderId="26" xfId="0" applyFont="1" applyFill="1" applyBorder="1" applyAlignment="1">
      <alignment vertical="center" wrapText="1"/>
    </xf>
    <xf numFmtId="165" fontId="10" fillId="0" borderId="4" xfId="0" applyNumberFormat="1" applyFont="1" applyFill="1" applyBorder="1" applyAlignment="1">
      <alignment horizontal="right" vertical="center"/>
    </xf>
    <xf numFmtId="0" fontId="11" fillId="0" borderId="5" xfId="0" applyFont="1" applyFill="1" applyBorder="1" applyAlignment="1">
      <alignment horizontal="center" vertical="center"/>
    </xf>
    <xf numFmtId="0" fontId="10" fillId="0" borderId="6" xfId="0" applyFont="1" applyFill="1" applyBorder="1" applyAlignment="1">
      <alignment vertical="center"/>
    </xf>
    <xf numFmtId="0" fontId="10" fillId="0" borderId="7" xfId="0" applyFont="1" applyFill="1" applyBorder="1" applyAlignment="1">
      <alignment vertical="center"/>
    </xf>
    <xf numFmtId="0" fontId="10" fillId="0" borderId="0" xfId="0" applyFont="1" applyFill="1" applyBorder="1" applyAlignment="1">
      <alignment vertical="center"/>
    </xf>
    <xf numFmtId="165" fontId="10" fillId="0" borderId="0" xfId="0" applyNumberFormat="1" applyFont="1" applyFill="1" applyBorder="1" applyAlignment="1">
      <alignment vertical="center"/>
    </xf>
    <xf numFmtId="0" fontId="10" fillId="0" borderId="8" xfId="0" applyFont="1" applyFill="1" applyBorder="1" applyAlignment="1">
      <alignment vertical="center"/>
    </xf>
    <xf numFmtId="0" fontId="11" fillId="0" borderId="32" xfId="0" applyFont="1" applyFill="1" applyBorder="1" applyAlignment="1">
      <alignment vertical="center"/>
    </xf>
    <xf numFmtId="0" fontId="11" fillId="0" borderId="33" xfId="0" applyFont="1" applyFill="1" applyBorder="1" applyAlignment="1">
      <alignment vertical="center"/>
    </xf>
    <xf numFmtId="0" fontId="11" fillId="0" borderId="43" xfId="0" applyFont="1" applyFill="1" applyBorder="1" applyAlignment="1">
      <alignment vertical="center"/>
    </xf>
    <xf numFmtId="0" fontId="11" fillId="0" borderId="71" xfId="0" applyFont="1" applyFill="1" applyBorder="1" applyAlignment="1">
      <alignment vertical="center"/>
    </xf>
    <xf numFmtId="0" fontId="12" fillId="0" borderId="14" xfId="0" applyFont="1" applyFill="1" applyBorder="1" applyAlignment="1">
      <alignment horizontal="left" vertical="center"/>
    </xf>
    <xf numFmtId="0" fontId="12" fillId="0" borderId="0" xfId="0" applyFont="1" applyFill="1" applyBorder="1" applyAlignment="1">
      <alignment horizontal="left" vertical="center"/>
    </xf>
    <xf numFmtId="0" fontId="11" fillId="0" borderId="0" xfId="0" applyFont="1" applyFill="1" applyBorder="1" applyAlignment="1">
      <alignment horizontal="left" vertical="center" wrapText="1" indent="1"/>
    </xf>
    <xf numFmtId="165" fontId="11" fillId="0" borderId="0" xfId="0" applyNumberFormat="1" applyFont="1" applyFill="1" applyBorder="1" applyAlignment="1">
      <alignment horizontal="left" vertical="center" wrapText="1" indent="1"/>
    </xf>
    <xf numFmtId="0" fontId="11" fillId="0" borderId="8" xfId="0" applyFont="1" applyFill="1" applyBorder="1" applyAlignment="1">
      <alignment horizontal="left" vertical="center" wrapText="1" indent="1"/>
    </xf>
    <xf numFmtId="0" fontId="21" fillId="0" borderId="36" xfId="0" applyFont="1" applyFill="1" applyBorder="1" applyAlignment="1">
      <alignment horizontal="center" vertical="center"/>
    </xf>
    <xf numFmtId="0" fontId="21" fillId="0" borderId="37" xfId="0" applyFont="1" applyFill="1" applyBorder="1" applyAlignment="1">
      <alignment horizontal="center" vertical="center"/>
    </xf>
    <xf numFmtId="0" fontId="21" fillId="0" borderId="37" xfId="0" applyFont="1" applyFill="1" applyBorder="1" applyAlignment="1">
      <alignment horizontal="center" vertical="center" wrapText="1"/>
    </xf>
    <xf numFmtId="165" fontId="21" fillId="0" borderId="37" xfId="0" applyNumberFormat="1" applyFont="1" applyFill="1" applyBorder="1" applyAlignment="1">
      <alignment horizontal="center" vertical="center" wrapText="1"/>
    </xf>
    <xf numFmtId="3" fontId="21" fillId="0" borderId="38" xfId="0" applyNumberFormat="1" applyFont="1" applyFill="1" applyBorder="1" applyAlignment="1">
      <alignment horizontal="center" vertical="center"/>
    </xf>
    <xf numFmtId="0" fontId="21" fillId="0" borderId="39" xfId="0" applyFont="1" applyFill="1" applyBorder="1" applyAlignment="1">
      <alignment horizontal="center" vertical="center"/>
    </xf>
    <xf numFmtId="0" fontId="21" fillId="0" borderId="26" xfId="0" applyFont="1" applyFill="1" applyBorder="1" applyAlignment="1">
      <alignment horizontal="center" vertical="center"/>
    </xf>
    <xf numFmtId="0" fontId="21" fillId="0" borderId="26" xfId="0" applyFont="1" applyFill="1" applyBorder="1" applyAlignment="1">
      <alignment horizontal="center" vertical="center" wrapText="1"/>
    </xf>
    <xf numFmtId="165" fontId="21" fillId="0" borderId="26" xfId="0" applyNumberFormat="1" applyFont="1" applyFill="1" applyBorder="1" applyAlignment="1">
      <alignment horizontal="center" vertical="center" wrapText="1"/>
    </xf>
    <xf numFmtId="3" fontId="21" fillId="0" borderId="40" xfId="0" applyNumberFormat="1" applyFont="1" applyFill="1" applyBorder="1" applyAlignment="1">
      <alignment horizontal="center" vertical="center"/>
    </xf>
    <xf numFmtId="0" fontId="15" fillId="0" borderId="26" xfId="0" applyFont="1" applyFill="1" applyBorder="1" applyAlignment="1">
      <alignment horizontal="center" vertical="center" wrapText="1"/>
    </xf>
    <xf numFmtId="3" fontId="15" fillId="0" borderId="40" xfId="0" applyNumberFormat="1" applyFont="1" applyFill="1" applyBorder="1" applyAlignment="1">
      <alignment horizontal="center" vertical="center"/>
    </xf>
    <xf numFmtId="0" fontId="14" fillId="0" borderId="26" xfId="0" applyFont="1" applyFill="1" applyBorder="1" applyAlignment="1">
      <alignment horizontal="center" vertical="center"/>
    </xf>
    <xf numFmtId="0" fontId="0" fillId="0" borderId="0" xfId="0" applyFill="1"/>
    <xf numFmtId="165" fontId="0" fillId="0" borderId="0" xfId="0" applyNumberFormat="1" applyFill="1"/>
    <xf numFmtId="0" fontId="0" fillId="2" borderId="3" xfId="0" applyFill="1" applyBorder="1" applyAlignment="1">
      <alignment horizontal="right" vertical="center"/>
    </xf>
    <xf numFmtId="0" fontId="0" fillId="2" borderId="19" xfId="0" applyFill="1" applyBorder="1" applyAlignment="1">
      <alignment horizontal="center" vertical="center"/>
    </xf>
    <xf numFmtId="0" fontId="0" fillId="2" borderId="23" xfId="0" applyFill="1" applyBorder="1" applyAlignment="1">
      <alignment horizontal="left" vertical="center"/>
    </xf>
    <xf numFmtId="0" fontId="0" fillId="2" borderId="14" xfId="0" applyFill="1" applyBorder="1" applyAlignment="1">
      <alignment horizontal="right" vertical="center"/>
    </xf>
    <xf numFmtId="0" fontId="0" fillId="2" borderId="0" xfId="0" applyFill="1" applyBorder="1" applyAlignment="1">
      <alignment horizontal="center" vertical="center"/>
    </xf>
    <xf numFmtId="0" fontId="0" fillId="2" borderId="8" xfId="0" applyFill="1" applyBorder="1" applyAlignment="1">
      <alignment horizontal="left" vertical="center"/>
    </xf>
    <xf numFmtId="0" fontId="0" fillId="2" borderId="21" xfId="0" applyFill="1" applyBorder="1" applyAlignment="1">
      <alignment horizontal="right" vertical="center"/>
    </xf>
    <xf numFmtId="0" fontId="0" fillId="2" borderId="22" xfId="0" applyFill="1" applyBorder="1" applyAlignment="1">
      <alignment horizontal="center" vertical="center"/>
    </xf>
    <xf numFmtId="0" fontId="0" fillId="2" borderId="24" xfId="0" applyFill="1" applyBorder="1" applyAlignment="1">
      <alignment horizontal="left" vertical="center"/>
    </xf>
    <xf numFmtId="0" fontId="23" fillId="0" borderId="25" xfId="0" applyFont="1" applyFill="1" applyBorder="1" applyAlignment="1">
      <alignment vertical="center" wrapText="1"/>
    </xf>
    <xf numFmtId="0" fontId="33" fillId="0" borderId="26" xfId="0" applyFont="1" applyFill="1" applyBorder="1" applyAlignment="1">
      <alignment horizontal="center" vertical="center" wrapText="1"/>
    </xf>
    <xf numFmtId="3" fontId="33" fillId="0" borderId="40" xfId="0" applyNumberFormat="1" applyFont="1" applyFill="1" applyBorder="1" applyAlignment="1">
      <alignment horizontal="center" vertical="center"/>
    </xf>
    <xf numFmtId="0" fontId="5" fillId="0" borderId="0" xfId="0" applyFont="1" applyBorder="1" applyAlignment="1">
      <alignment horizontal="center" vertical="center" wrapText="1"/>
    </xf>
    <xf numFmtId="0" fontId="3" fillId="0" borderId="19" xfId="5" applyFont="1" applyFill="1" applyBorder="1" applyAlignment="1">
      <alignment horizontal="left" vertical="center" wrapText="1"/>
    </xf>
    <xf numFmtId="0" fontId="3" fillId="0" borderId="23" xfId="5" applyFont="1" applyFill="1" applyBorder="1" applyAlignment="1">
      <alignment horizontal="left" vertical="center" wrapText="1"/>
    </xf>
    <xf numFmtId="0" fontId="3" fillId="0" borderId="0" xfId="5" applyFont="1" applyFill="1" applyBorder="1" applyAlignment="1">
      <alignment horizontal="left" vertical="center" wrapText="1"/>
    </xf>
    <xf numFmtId="0" fontId="3" fillId="0" borderId="8" xfId="5" applyFont="1" applyFill="1" applyBorder="1" applyAlignment="1">
      <alignment horizontal="left" vertical="center" wrapText="1"/>
    </xf>
    <xf numFmtId="0" fontId="3" fillId="0" borderId="0" xfId="5" applyFont="1" applyBorder="1" applyAlignment="1">
      <alignment horizontal="left" vertical="center" wrapText="1"/>
    </xf>
    <xf numFmtId="0" fontId="3" fillId="0" borderId="8" xfId="5" applyFont="1" applyBorder="1" applyAlignment="1">
      <alignment horizontal="left" vertical="center" wrapText="1"/>
    </xf>
    <xf numFmtId="0" fontId="24" fillId="0" borderId="32" xfId="0" applyFont="1" applyFill="1" applyBorder="1" applyAlignment="1">
      <alignment horizontal="center" vertical="center"/>
    </xf>
    <xf numFmtId="0" fontId="24" fillId="0" borderId="33" xfId="0" applyFont="1" applyFill="1" applyBorder="1" applyAlignment="1">
      <alignment horizontal="center" vertical="center"/>
    </xf>
    <xf numFmtId="0" fontId="24" fillId="0" borderId="34" xfId="0" applyFont="1" applyFill="1" applyBorder="1" applyAlignment="1">
      <alignment horizontal="center" vertical="center"/>
    </xf>
    <xf numFmtId="0" fontId="19" fillId="0" borderId="14" xfId="5" applyFont="1" applyFill="1" applyBorder="1" applyAlignment="1">
      <alignment horizontal="center" vertical="center" wrapText="1"/>
    </xf>
    <xf numFmtId="0" fontId="21" fillId="0" borderId="28" xfId="0" applyFont="1" applyFill="1" applyBorder="1" applyAlignment="1">
      <alignment horizontal="left" vertical="center" wrapText="1"/>
    </xf>
    <xf numFmtId="0" fontId="21" fillId="0" borderId="41" xfId="0" applyFont="1" applyFill="1" applyBorder="1" applyAlignment="1">
      <alignment horizontal="left" vertical="center" wrapText="1"/>
    </xf>
    <xf numFmtId="0" fontId="21" fillId="0" borderId="42" xfId="0" applyFont="1" applyFill="1" applyBorder="1" applyAlignment="1">
      <alignment horizontal="left" vertical="center" wrapText="1"/>
    </xf>
    <xf numFmtId="0" fontId="32" fillId="0" borderId="17" xfId="0" applyFont="1" applyFill="1" applyBorder="1" applyAlignment="1">
      <alignment horizontal="center" vertical="center" wrapText="1"/>
    </xf>
    <xf numFmtId="0" fontId="32" fillId="0" borderId="13" xfId="0" applyFont="1" applyFill="1" applyBorder="1" applyAlignment="1">
      <alignment horizontal="center" vertical="center" wrapText="1"/>
    </xf>
    <xf numFmtId="0" fontId="21" fillId="0" borderId="37" xfId="0" applyFont="1" applyFill="1" applyBorder="1" applyAlignment="1">
      <alignment horizontal="left" vertical="center" wrapText="1"/>
    </xf>
    <xf numFmtId="165" fontId="32" fillId="0" borderId="16" xfId="0" applyNumberFormat="1" applyFont="1" applyFill="1" applyBorder="1" applyAlignment="1">
      <alignment horizontal="center" vertical="center" wrapText="1"/>
    </xf>
    <xf numFmtId="165" fontId="32" fillId="0" borderId="35" xfId="0" applyNumberFormat="1" applyFont="1" applyFill="1" applyBorder="1" applyAlignment="1">
      <alignment horizontal="center" vertical="center" wrapText="1"/>
    </xf>
    <xf numFmtId="0" fontId="32" fillId="0" borderId="16" xfId="0" applyFont="1" applyFill="1" applyBorder="1" applyAlignment="1">
      <alignment horizontal="center" vertical="center" wrapText="1"/>
    </xf>
    <xf numFmtId="0" fontId="32" fillId="0" borderId="35" xfId="0" applyFont="1" applyFill="1" applyBorder="1" applyAlignment="1">
      <alignment horizontal="center" vertical="center" wrapText="1"/>
    </xf>
    <xf numFmtId="166" fontId="31" fillId="0" borderId="10" xfId="0" applyNumberFormat="1" applyFont="1" applyFill="1" applyBorder="1" applyAlignment="1">
      <alignment horizontal="center" vertical="center"/>
    </xf>
    <xf numFmtId="0" fontId="16" fillId="0" borderId="10" xfId="0" applyFont="1" applyFill="1" applyBorder="1" applyAlignment="1">
      <alignment horizontal="left" vertical="center" wrapText="1" indent="1"/>
    </xf>
    <xf numFmtId="0" fontId="32" fillId="0" borderId="15" xfId="0" applyFont="1" applyFill="1" applyBorder="1" applyAlignment="1">
      <alignment horizontal="center" vertical="center"/>
    </xf>
    <xf numFmtId="0" fontId="32" fillId="0" borderId="12" xfId="0" applyFont="1" applyFill="1" applyBorder="1" applyAlignment="1">
      <alignment horizontal="center" vertical="center"/>
    </xf>
    <xf numFmtId="0" fontId="9" fillId="0" borderId="3" xfId="0" applyFont="1" applyFill="1" applyBorder="1" applyAlignment="1">
      <alignment horizontal="center" vertical="center"/>
    </xf>
    <xf numFmtId="0" fontId="12" fillId="0" borderId="9" xfId="0" applyFont="1" applyFill="1" applyBorder="1" applyAlignment="1">
      <alignment horizontal="left" vertical="center" wrapText="1"/>
    </xf>
    <xf numFmtId="0" fontId="12" fillId="0" borderId="11" xfId="0" applyFont="1" applyFill="1" applyBorder="1" applyAlignment="1">
      <alignment horizontal="left" vertical="center" wrapText="1"/>
    </xf>
    <xf numFmtId="0" fontId="12" fillId="0" borderId="12" xfId="0" applyFont="1" applyFill="1" applyBorder="1" applyAlignment="1">
      <alignment horizontal="left" vertical="center"/>
    </xf>
    <xf numFmtId="0" fontId="25" fillId="0" borderId="10" xfId="0" applyFont="1" applyBorder="1" applyAlignment="1">
      <alignment vertical="center" wrapText="1"/>
    </xf>
    <xf numFmtId="0" fontId="28" fillId="0" borderId="51" xfId="0" applyFont="1" applyBorder="1" applyAlignment="1">
      <alignment vertical="center" wrapText="1"/>
    </xf>
    <xf numFmtId="0" fontId="28" fillId="0" borderId="18" xfId="0" applyFont="1" applyBorder="1" applyAlignment="1">
      <alignment horizontal="left" vertical="center" wrapText="1" indent="1"/>
    </xf>
    <xf numFmtId="0" fontId="0" fillId="0" borderId="63" xfId="0" applyFont="1" applyBorder="1" applyAlignment="1">
      <alignment horizontal="left" vertical="center"/>
    </xf>
    <xf numFmtId="0" fontId="0" fillId="0" borderId="63" xfId="0" applyBorder="1" applyAlignment="1">
      <alignment horizontal="left" vertical="center"/>
    </xf>
    <xf numFmtId="0" fontId="0" fillId="0" borderId="66" xfId="0" applyBorder="1" applyAlignment="1">
      <alignment horizontal="left" vertical="center"/>
    </xf>
    <xf numFmtId="0" fontId="25" fillId="0" borderId="69" xfId="0" applyFont="1" applyBorder="1" applyAlignment="1">
      <alignment horizontal="left" vertical="center" wrapText="1"/>
    </xf>
    <xf numFmtId="0" fontId="0" fillId="0" borderId="47" xfId="0" applyBorder="1"/>
    <xf numFmtId="0" fontId="0" fillId="0" borderId="63" xfId="0" applyFont="1" applyBorder="1" applyAlignment="1">
      <alignment horizontal="center" vertical="center"/>
    </xf>
    <xf numFmtId="49" fontId="28" fillId="0" borderId="48" xfId="0" applyNumberFormat="1" applyFont="1" applyBorder="1" applyAlignment="1">
      <alignment horizontal="justify" vertical="center" wrapText="1"/>
    </xf>
    <xf numFmtId="0" fontId="30" fillId="0" borderId="47" xfId="0" applyFont="1" applyBorder="1" applyAlignment="1">
      <alignment horizontal="center" vertical="center"/>
    </xf>
    <xf numFmtId="0" fontId="30" fillId="0" borderId="44" xfId="0" applyFont="1" applyBorder="1" applyAlignment="1">
      <alignment horizontal="center" vertical="center"/>
    </xf>
    <xf numFmtId="0" fontId="30" fillId="0" borderId="50" xfId="0" applyFont="1" applyBorder="1" applyAlignment="1">
      <alignment horizontal="center" vertical="center" wrapText="1"/>
    </xf>
    <xf numFmtId="44" fontId="30" fillId="0" borderId="51" xfId="1" applyFont="1" applyBorder="1" applyAlignment="1">
      <alignment horizontal="center" vertical="center"/>
    </xf>
    <xf numFmtId="0" fontId="0" fillId="0" borderId="57" xfId="0" applyFont="1" applyBorder="1" applyAlignment="1">
      <alignment vertical="center" wrapText="1"/>
    </xf>
    <xf numFmtId="0" fontId="0" fillId="0" borderId="63" xfId="0" applyFont="1" applyBorder="1" applyAlignment="1">
      <alignment vertical="center"/>
    </xf>
    <xf numFmtId="0" fontId="0" fillId="0" borderId="63" xfId="0" applyBorder="1" applyAlignment="1"/>
    <xf numFmtId="0" fontId="28" fillId="0" borderId="47" xfId="0" applyFont="1" applyBorder="1" applyAlignment="1">
      <alignment horizontal="left"/>
    </xf>
    <xf numFmtId="0" fontId="0" fillId="0" borderId="32" xfId="0" applyFont="1" applyBorder="1" applyAlignment="1">
      <alignment horizontal="center"/>
    </xf>
    <xf numFmtId="3" fontId="25" fillId="0" borderId="43" xfId="0" applyNumberFormat="1" applyFont="1" applyBorder="1" applyAlignment="1">
      <alignment horizontal="center"/>
    </xf>
    <xf numFmtId="0" fontId="26" fillId="0" borderId="5" xfId="0" applyFont="1" applyBorder="1" applyAlignment="1">
      <alignment horizontal="center" vertical="center" wrapText="1"/>
    </xf>
    <xf numFmtId="0" fontId="27" fillId="0" borderId="44" xfId="0" applyFont="1" applyBorder="1"/>
    <xf numFmtId="0" fontId="28" fillId="0" borderId="45" xfId="0" applyFont="1" applyBorder="1" applyAlignment="1">
      <alignment horizontal="left" indent="1"/>
    </xf>
    <xf numFmtId="0" fontId="15" fillId="0" borderId="44" xfId="0" applyFont="1" applyBorder="1" applyAlignment="1">
      <alignment horizontal="left" vertical="center" wrapText="1"/>
    </xf>
    <xf numFmtId="0" fontId="29" fillId="0" borderId="46" xfId="0" applyFont="1" applyBorder="1" applyAlignment="1">
      <alignment horizontal="left"/>
    </xf>
    <xf numFmtId="165" fontId="13" fillId="0" borderId="16" xfId="0" applyNumberFormat="1" applyFont="1" applyFill="1" applyBorder="1" applyAlignment="1">
      <alignment horizontal="center" vertical="center" wrapText="1"/>
    </xf>
    <xf numFmtId="165" fontId="13" fillId="0" borderId="35" xfId="0" applyNumberFormat="1"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15"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16" xfId="0" applyFont="1" applyFill="1" applyBorder="1" applyAlignment="1">
      <alignment horizontal="center" vertical="center" wrapText="1"/>
    </xf>
    <xf numFmtId="0" fontId="13" fillId="0" borderId="35" xfId="0" applyFont="1" applyFill="1" applyBorder="1" applyAlignment="1">
      <alignment horizontal="center" vertical="center" wrapText="1"/>
    </xf>
    <xf numFmtId="166" fontId="31" fillId="0" borderId="32" xfId="0" applyNumberFormat="1" applyFont="1" applyFill="1" applyBorder="1" applyAlignment="1">
      <alignment horizontal="center" vertical="center"/>
    </xf>
    <xf numFmtId="166" fontId="31" fillId="0" borderId="43" xfId="0" applyNumberFormat="1" applyFont="1" applyFill="1" applyBorder="1" applyAlignment="1">
      <alignment horizontal="center" vertical="center"/>
    </xf>
    <xf numFmtId="0" fontId="30" fillId="0" borderId="51" xfId="0" applyFont="1" applyBorder="1" applyAlignment="1">
      <alignment horizontal="center" vertical="center"/>
    </xf>
    <xf numFmtId="0" fontId="0" fillId="0" borderId="57" xfId="0" applyFont="1" applyBorder="1" applyAlignment="1">
      <alignment horizontal="left" vertical="center" wrapText="1"/>
    </xf>
    <xf numFmtId="0" fontId="0" fillId="0" borderId="63" xfId="0" applyBorder="1" applyAlignment="1">
      <alignment horizontal="center"/>
    </xf>
    <xf numFmtId="0" fontId="34" fillId="0" borderId="0" xfId="0" applyFont="1" applyBorder="1" applyAlignment="1">
      <alignment horizontal="center" vertical="center"/>
    </xf>
  </cellXfs>
  <cellStyles count="33">
    <cellStyle name="Encabezado 1" xfId="7"/>
    <cellStyle name="Encabezado 1 2" xfId="8"/>
    <cellStyle name="Millares 2" xfId="9"/>
    <cellStyle name="Millares 2 2" xfId="10"/>
    <cellStyle name="Moneda" xfId="1" builtinId="4"/>
    <cellStyle name="Moneda 2" xfId="3"/>
    <cellStyle name="Moneda 2 2" xfId="11"/>
    <cellStyle name="Moneda 3" xfId="12"/>
    <cellStyle name="Moneda 4" xfId="13"/>
    <cellStyle name="Moneda 5" xfId="14"/>
    <cellStyle name="Moneda_AUTORIZACION Y NOTA DE PEDIDO" xfId="32"/>
    <cellStyle name="Neutral 1" xfId="15"/>
    <cellStyle name="Normal" xfId="0" builtinId="0"/>
    <cellStyle name="Normal 2" xfId="2"/>
    <cellStyle name="Normal 2 2" xfId="5"/>
    <cellStyle name="Normal 3" xfId="16"/>
    <cellStyle name="Normal 3 2" xfId="17"/>
    <cellStyle name="Normal 3 2 2" xfId="18"/>
    <cellStyle name="Normal 3 3" xfId="19"/>
    <cellStyle name="Normal 3 4" xfId="20"/>
    <cellStyle name="Normal 3 4 2" xfId="21"/>
    <cellStyle name="Normal 4" xfId="6"/>
    <cellStyle name="Normal 4 2" xfId="22"/>
    <cellStyle name="Normal 4 3" xfId="23"/>
    <cellStyle name="Normal 4 3 2" xfId="24"/>
    <cellStyle name="Normal 5" xfId="4"/>
    <cellStyle name="Normal 5 2" xfId="25"/>
    <cellStyle name="Normal 6" xfId="26"/>
    <cellStyle name="Normal 7" xfId="27"/>
    <cellStyle name="Normal 8" xfId="28"/>
    <cellStyle name="Normal 8 2" xfId="29"/>
    <cellStyle name="Normal 8 3" xfId="30"/>
    <cellStyle name="Normal 8 4" xfId="31"/>
  </cellStyles>
  <dxfs count="6">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10"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1"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2"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3"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2"/>
  <sheetViews>
    <sheetView zoomScaleNormal="100" workbookViewId="0">
      <selection activeCell="E21" sqref="E21:E22"/>
    </sheetView>
  </sheetViews>
  <sheetFormatPr baseColWidth="10" defaultRowHeight="15" x14ac:dyDescent="0.25"/>
  <cols>
    <col min="1" max="1" width="4.85546875" style="11" bestFit="1" customWidth="1"/>
    <col min="2" max="2" width="13" style="65" bestFit="1" customWidth="1"/>
    <col min="3" max="3" width="37.140625" style="11" customWidth="1"/>
    <col min="4" max="4" width="5.5703125" style="11" bestFit="1" customWidth="1"/>
    <col min="5" max="5" width="152.85546875" style="11" customWidth="1"/>
    <col min="6" max="6" width="10.42578125" style="11" bestFit="1" customWidth="1"/>
    <col min="7" max="7" width="9.42578125" style="58" hidden="1" customWidth="1"/>
    <col min="8" max="8" width="14.85546875" style="58" hidden="1" customWidth="1"/>
    <col min="9" max="9" width="8.140625" style="58" hidden="1" customWidth="1"/>
    <col min="10" max="10" width="15.140625" style="58" hidden="1" customWidth="1"/>
    <col min="11" max="11" width="12.85546875" style="59" customWidth="1"/>
    <col min="12" max="12" width="13.85546875" style="12" bestFit="1" customWidth="1"/>
    <col min="13" max="13" width="16.28515625" style="12" bestFit="1" customWidth="1"/>
    <col min="14" max="14" width="114.42578125" hidden="1" customWidth="1"/>
  </cols>
  <sheetData>
    <row r="1" spans="1:14" ht="14.45" x14ac:dyDescent="0.3">
      <c r="A1" s="1">
        <v>2022</v>
      </c>
      <c r="B1" s="60"/>
      <c r="C1" s="2"/>
      <c r="D1" s="2"/>
      <c r="E1" s="2"/>
      <c r="F1" s="2"/>
      <c r="G1" s="46"/>
      <c r="H1" s="46"/>
      <c r="I1" s="47"/>
      <c r="J1" s="48"/>
      <c r="K1" s="49"/>
      <c r="L1" s="4"/>
      <c r="M1" s="3"/>
    </row>
    <row r="2" spans="1:14" ht="18.75" x14ac:dyDescent="0.25">
      <c r="A2" s="2"/>
      <c r="B2" s="245" t="s">
        <v>0</v>
      </c>
      <c r="C2" s="245"/>
      <c r="D2" s="245"/>
      <c r="E2" s="245"/>
      <c r="F2" s="245"/>
      <c r="G2" s="245"/>
      <c r="H2" s="245"/>
      <c r="I2" s="245"/>
      <c r="J2" s="245"/>
      <c r="K2" s="245"/>
      <c r="L2" s="245"/>
      <c r="M2" s="3"/>
    </row>
    <row r="3" spans="1:14" ht="14.45" x14ac:dyDescent="0.3">
      <c r="A3" s="2"/>
      <c r="B3" s="60"/>
      <c r="C3" s="2"/>
      <c r="D3" s="2"/>
      <c r="E3" s="2"/>
      <c r="F3" s="2"/>
      <c r="G3" s="46"/>
      <c r="H3" s="46"/>
      <c r="I3" s="47"/>
      <c r="J3" s="48"/>
      <c r="K3" s="49"/>
      <c r="L3" s="4"/>
      <c r="M3" s="3"/>
    </row>
    <row r="4" spans="1:14" ht="14.45" x14ac:dyDescent="0.3">
      <c r="A4" s="178" t="s">
        <v>1</v>
      </c>
      <c r="B4" s="178"/>
      <c r="C4" s="15" t="s">
        <v>2</v>
      </c>
      <c r="D4" s="15"/>
      <c r="E4" s="15"/>
      <c r="F4" s="5"/>
      <c r="G4" s="50"/>
      <c r="H4" s="50"/>
      <c r="I4" s="51"/>
      <c r="J4" s="52"/>
      <c r="K4" s="53"/>
      <c r="L4" s="4"/>
      <c r="M4" s="3"/>
    </row>
    <row r="5" spans="1:14" ht="15" customHeight="1" x14ac:dyDescent="0.25">
      <c r="A5" s="178" t="s">
        <v>3</v>
      </c>
      <c r="B5" s="178"/>
      <c r="C5" s="15" t="s">
        <v>321</v>
      </c>
      <c r="D5" s="15"/>
      <c r="E5" s="15"/>
      <c r="F5" s="5"/>
      <c r="G5" s="50"/>
      <c r="H5" s="50"/>
      <c r="I5" s="51"/>
      <c r="J5" s="52"/>
      <c r="K5" s="53"/>
      <c r="L5" s="4"/>
      <c r="M5" s="3"/>
    </row>
    <row r="6" spans="1:14" ht="14.45" x14ac:dyDescent="0.3">
      <c r="A6" s="178" t="s">
        <v>4</v>
      </c>
      <c r="B6" s="178"/>
      <c r="C6" s="16">
        <v>2022</v>
      </c>
      <c r="D6" s="17"/>
      <c r="E6" s="17"/>
      <c r="F6" s="5"/>
      <c r="G6" s="50"/>
      <c r="H6" s="50"/>
      <c r="I6" s="51"/>
      <c r="J6" s="52"/>
      <c r="K6" s="53"/>
      <c r="L6" s="4"/>
      <c r="M6" s="3"/>
    </row>
    <row r="7" spans="1:14" ht="14.45" x14ac:dyDescent="0.3">
      <c r="A7" s="178" t="s">
        <v>5</v>
      </c>
      <c r="B7" s="178"/>
      <c r="C7" s="16" t="s">
        <v>57</v>
      </c>
      <c r="D7" s="17"/>
      <c r="E7" s="17"/>
      <c r="F7" s="5"/>
      <c r="G7" s="50"/>
      <c r="H7" s="50"/>
      <c r="I7" s="51"/>
      <c r="J7" s="52"/>
      <c r="K7" s="53"/>
      <c r="L7" s="4"/>
      <c r="M7" s="3"/>
    </row>
    <row r="8" spans="1:14" ht="14.45" x14ac:dyDescent="0.3">
      <c r="A8" s="2"/>
      <c r="B8" s="61"/>
      <c r="C8" s="5"/>
      <c r="D8" s="5"/>
      <c r="E8" s="5"/>
      <c r="F8" s="5"/>
      <c r="G8" s="50"/>
      <c r="H8" s="50"/>
      <c r="I8" s="51"/>
      <c r="J8" s="52"/>
      <c r="K8" s="53"/>
      <c r="L8" s="4"/>
      <c r="M8" s="3"/>
    </row>
    <row r="9" spans="1:14" ht="38.25" x14ac:dyDescent="0.25">
      <c r="A9" s="6" t="s">
        <v>6</v>
      </c>
      <c r="B9" s="6" t="s">
        <v>7</v>
      </c>
      <c r="C9" s="7" t="s">
        <v>8</v>
      </c>
      <c r="D9" s="6" t="s">
        <v>9</v>
      </c>
      <c r="E9" s="7" t="s">
        <v>10</v>
      </c>
      <c r="F9" s="7" t="s">
        <v>11</v>
      </c>
      <c r="G9" s="54" t="s">
        <v>12</v>
      </c>
      <c r="H9" s="54" t="s">
        <v>13</v>
      </c>
      <c r="I9" s="55" t="s">
        <v>14</v>
      </c>
      <c r="J9" s="56" t="s">
        <v>15</v>
      </c>
      <c r="K9" s="57" t="s">
        <v>16</v>
      </c>
      <c r="L9" s="9" t="s">
        <v>17</v>
      </c>
      <c r="M9" s="8" t="s">
        <v>18</v>
      </c>
      <c r="N9" s="10" t="s">
        <v>19</v>
      </c>
    </row>
    <row r="10" spans="1:14" s="67" customFormat="1" ht="13.9" customHeight="1" x14ac:dyDescent="0.25">
      <c r="A10" s="21">
        <v>1</v>
      </c>
      <c r="B10" s="22" t="s">
        <v>309</v>
      </c>
      <c r="C10" s="22" t="s">
        <v>22</v>
      </c>
      <c r="D10" s="22" t="s">
        <v>298</v>
      </c>
      <c r="E10" s="66" t="s">
        <v>310</v>
      </c>
      <c r="F10" s="22" t="s">
        <v>21</v>
      </c>
      <c r="G10" s="22">
        <v>500</v>
      </c>
      <c r="H10" s="24">
        <f>+G10*L10</f>
        <v>1502500</v>
      </c>
      <c r="I10" s="22"/>
      <c r="J10" s="25"/>
      <c r="K10" s="22">
        <f t="shared" ref="K10:K41" si="0">+G10+I10</f>
        <v>500</v>
      </c>
      <c r="L10" s="24">
        <v>3005</v>
      </c>
      <c r="M10" s="25">
        <f t="shared" ref="M10:M41" si="1">+K10*L10</f>
        <v>1502500</v>
      </c>
      <c r="N10" s="23"/>
    </row>
    <row r="11" spans="1:14" s="67" customFormat="1" ht="12.75" x14ac:dyDescent="0.25">
      <c r="A11" s="21">
        <v>2</v>
      </c>
      <c r="B11" s="22" t="s">
        <v>311</v>
      </c>
      <c r="C11" s="22" t="s">
        <v>22</v>
      </c>
      <c r="D11" s="22" t="s">
        <v>298</v>
      </c>
      <c r="E11" s="68" t="s">
        <v>312</v>
      </c>
      <c r="F11" s="22" t="s">
        <v>21</v>
      </c>
      <c r="G11" s="22">
        <v>400</v>
      </c>
      <c r="H11" s="24">
        <f>+G11*L11</f>
        <v>1296800</v>
      </c>
      <c r="I11" s="22"/>
      <c r="J11" s="25"/>
      <c r="K11" s="22">
        <f t="shared" si="0"/>
        <v>400</v>
      </c>
      <c r="L11" s="24">
        <v>3242</v>
      </c>
      <c r="M11" s="25">
        <f t="shared" si="1"/>
        <v>1296800</v>
      </c>
      <c r="N11" s="23"/>
    </row>
    <row r="12" spans="1:14" s="67" customFormat="1" ht="12.75" x14ac:dyDescent="0.25">
      <c r="A12" s="21">
        <v>3</v>
      </c>
      <c r="B12" s="22" t="s">
        <v>86</v>
      </c>
      <c r="C12" s="22" t="s">
        <v>22</v>
      </c>
      <c r="D12" s="22" t="s">
        <v>298</v>
      </c>
      <c r="E12" s="69" t="s">
        <v>154</v>
      </c>
      <c r="F12" s="22" t="s">
        <v>58</v>
      </c>
      <c r="G12" s="22">
        <v>200</v>
      </c>
      <c r="H12" s="24">
        <f>+G12*L12</f>
        <v>172400</v>
      </c>
      <c r="I12" s="22">
        <v>40</v>
      </c>
      <c r="J12" s="25">
        <f>+I12*L12</f>
        <v>34480</v>
      </c>
      <c r="K12" s="22">
        <f t="shared" si="0"/>
        <v>240</v>
      </c>
      <c r="L12" s="24">
        <v>862</v>
      </c>
      <c r="M12" s="25">
        <f t="shared" si="1"/>
        <v>206880</v>
      </c>
      <c r="N12" s="23" t="s">
        <v>260</v>
      </c>
    </row>
    <row r="13" spans="1:14" s="67" customFormat="1" ht="12.75" x14ac:dyDescent="0.25">
      <c r="A13" s="21">
        <v>4</v>
      </c>
      <c r="B13" s="22" t="s">
        <v>87</v>
      </c>
      <c r="C13" s="22" t="s">
        <v>22</v>
      </c>
      <c r="D13" s="22" t="s">
        <v>298</v>
      </c>
      <c r="E13" s="69" t="s">
        <v>155</v>
      </c>
      <c r="F13" s="22" t="s">
        <v>46</v>
      </c>
      <c r="G13" s="22">
        <v>100</v>
      </c>
      <c r="H13" s="24">
        <f>+G13*L13</f>
        <v>47500</v>
      </c>
      <c r="I13" s="22"/>
      <c r="J13" s="25"/>
      <c r="K13" s="22">
        <f t="shared" si="0"/>
        <v>100</v>
      </c>
      <c r="L13" s="24">
        <v>475</v>
      </c>
      <c r="M13" s="25">
        <f t="shared" si="1"/>
        <v>47500</v>
      </c>
      <c r="N13" s="23" t="s">
        <v>59</v>
      </c>
    </row>
    <row r="14" spans="1:14" s="67" customFormat="1" ht="12.75" x14ac:dyDescent="0.25">
      <c r="A14" s="21">
        <v>5</v>
      </c>
      <c r="B14" s="22" t="s">
        <v>222</v>
      </c>
      <c r="C14" s="22" t="s">
        <v>205</v>
      </c>
      <c r="D14" s="22" t="s">
        <v>298</v>
      </c>
      <c r="E14" s="69" t="s">
        <v>223</v>
      </c>
      <c r="F14" s="22" t="s">
        <v>21</v>
      </c>
      <c r="G14" s="22"/>
      <c r="H14" s="24"/>
      <c r="I14" s="22">
        <v>50</v>
      </c>
      <c r="J14" s="25">
        <f>+I14*L14</f>
        <v>35100</v>
      </c>
      <c r="K14" s="22">
        <f t="shared" si="0"/>
        <v>50</v>
      </c>
      <c r="L14" s="24">
        <v>702</v>
      </c>
      <c r="M14" s="25">
        <f t="shared" si="1"/>
        <v>35100</v>
      </c>
      <c r="N14" s="23" t="s">
        <v>253</v>
      </c>
    </row>
    <row r="15" spans="1:14" s="67" customFormat="1" ht="12.75" x14ac:dyDescent="0.25">
      <c r="A15" s="21">
        <v>6</v>
      </c>
      <c r="B15" s="22" t="s">
        <v>95</v>
      </c>
      <c r="C15" s="22" t="s">
        <v>22</v>
      </c>
      <c r="D15" s="22" t="s">
        <v>298</v>
      </c>
      <c r="E15" s="69" t="s">
        <v>157</v>
      </c>
      <c r="F15" s="22" t="s">
        <v>21</v>
      </c>
      <c r="G15" s="22">
        <v>250</v>
      </c>
      <c r="H15" s="24">
        <f>+G15*L15</f>
        <v>244250</v>
      </c>
      <c r="I15" s="22"/>
      <c r="J15" s="25"/>
      <c r="K15" s="22">
        <f t="shared" si="0"/>
        <v>250</v>
      </c>
      <c r="L15" s="24">
        <v>977</v>
      </c>
      <c r="M15" s="25">
        <f t="shared" si="1"/>
        <v>244250</v>
      </c>
      <c r="N15" s="23" t="s">
        <v>94</v>
      </c>
    </row>
    <row r="16" spans="1:14" s="67" customFormat="1" ht="12.75" x14ac:dyDescent="0.25">
      <c r="A16" s="21">
        <v>7</v>
      </c>
      <c r="B16" s="22" t="s">
        <v>137</v>
      </c>
      <c r="C16" s="22" t="s">
        <v>22</v>
      </c>
      <c r="D16" s="22" t="s">
        <v>298</v>
      </c>
      <c r="E16" s="68" t="s">
        <v>197</v>
      </c>
      <c r="F16" s="22" t="s">
        <v>20</v>
      </c>
      <c r="G16" s="22">
        <v>10000</v>
      </c>
      <c r="H16" s="24">
        <f>+G16*L16</f>
        <v>2300000</v>
      </c>
      <c r="I16" s="22"/>
      <c r="J16" s="25"/>
      <c r="K16" s="22">
        <f t="shared" si="0"/>
        <v>10000</v>
      </c>
      <c r="L16" s="24">
        <v>230</v>
      </c>
      <c r="M16" s="25">
        <f t="shared" si="1"/>
        <v>2300000</v>
      </c>
      <c r="N16" s="23" t="s">
        <v>71</v>
      </c>
    </row>
    <row r="17" spans="1:14" s="67" customFormat="1" ht="12.75" x14ac:dyDescent="0.25">
      <c r="A17" s="21">
        <v>8</v>
      </c>
      <c r="B17" s="22" t="s">
        <v>204</v>
      </c>
      <c r="C17" s="22" t="s">
        <v>205</v>
      </c>
      <c r="D17" s="22" t="s">
        <v>298</v>
      </c>
      <c r="E17" s="70" t="s">
        <v>206</v>
      </c>
      <c r="F17" s="22" t="s">
        <v>207</v>
      </c>
      <c r="G17" s="22"/>
      <c r="H17" s="24"/>
      <c r="I17" s="22">
        <v>1800</v>
      </c>
      <c r="J17" s="25">
        <f>+I17*L17</f>
        <v>2142000</v>
      </c>
      <c r="K17" s="22">
        <f t="shared" si="0"/>
        <v>1800</v>
      </c>
      <c r="L17" s="24">
        <v>1190</v>
      </c>
      <c r="M17" s="25">
        <f t="shared" si="1"/>
        <v>2142000</v>
      </c>
      <c r="N17" s="23" t="s">
        <v>248</v>
      </c>
    </row>
    <row r="18" spans="1:14" s="67" customFormat="1" ht="12.75" x14ac:dyDescent="0.25">
      <c r="A18" s="21">
        <v>9</v>
      </c>
      <c r="B18" s="22" t="s">
        <v>242</v>
      </c>
      <c r="C18" s="22" t="s">
        <v>205</v>
      </c>
      <c r="D18" s="22" t="s">
        <v>298</v>
      </c>
      <c r="E18" s="69" t="s">
        <v>243</v>
      </c>
      <c r="F18" s="22" t="s">
        <v>20</v>
      </c>
      <c r="G18" s="22"/>
      <c r="H18" s="24"/>
      <c r="I18" s="22">
        <v>10</v>
      </c>
      <c r="J18" s="25">
        <f>+I18*L18</f>
        <v>1250</v>
      </c>
      <c r="K18" s="22">
        <f t="shared" si="0"/>
        <v>10</v>
      </c>
      <c r="L18" s="24">
        <v>125</v>
      </c>
      <c r="M18" s="25">
        <f t="shared" si="1"/>
        <v>1250</v>
      </c>
      <c r="N18" s="23" t="s">
        <v>259</v>
      </c>
    </row>
    <row r="19" spans="1:14" s="67" customFormat="1" ht="12.75" x14ac:dyDescent="0.25">
      <c r="A19" s="21">
        <v>10</v>
      </c>
      <c r="B19" s="22" t="s">
        <v>88</v>
      </c>
      <c r="C19" s="22" t="s">
        <v>22</v>
      </c>
      <c r="D19" s="22" t="s">
        <v>298</v>
      </c>
      <c r="E19" s="69" t="s">
        <v>158</v>
      </c>
      <c r="F19" s="22" t="s">
        <v>20</v>
      </c>
      <c r="G19" s="22">
        <v>5000</v>
      </c>
      <c r="H19" s="24">
        <f>+G19*L19</f>
        <v>332000</v>
      </c>
      <c r="I19" s="22"/>
      <c r="J19" s="25"/>
      <c r="K19" s="22">
        <f t="shared" si="0"/>
        <v>5000</v>
      </c>
      <c r="L19" s="24">
        <v>66.400000000000006</v>
      </c>
      <c r="M19" s="25">
        <f t="shared" si="1"/>
        <v>332000</v>
      </c>
      <c r="N19" s="23" t="s">
        <v>89</v>
      </c>
    </row>
    <row r="20" spans="1:14" s="67" customFormat="1" ht="12.75" x14ac:dyDescent="0.25">
      <c r="A20" s="21">
        <v>11</v>
      </c>
      <c r="B20" s="22" t="s">
        <v>121</v>
      </c>
      <c r="C20" s="22" t="s">
        <v>22</v>
      </c>
      <c r="D20" s="22" t="s">
        <v>298</v>
      </c>
      <c r="E20" s="68" t="s">
        <v>178</v>
      </c>
      <c r="F20" s="22" t="s">
        <v>21</v>
      </c>
      <c r="G20" s="22">
        <v>20</v>
      </c>
      <c r="H20" s="24">
        <f>+G20*L20</f>
        <v>357360</v>
      </c>
      <c r="I20" s="22"/>
      <c r="J20" s="25"/>
      <c r="K20" s="22">
        <f t="shared" si="0"/>
        <v>20</v>
      </c>
      <c r="L20" s="24">
        <v>17868</v>
      </c>
      <c r="M20" s="25">
        <f t="shared" si="1"/>
        <v>357360</v>
      </c>
      <c r="N20" s="23" t="s">
        <v>120</v>
      </c>
    </row>
    <row r="21" spans="1:14" s="67" customFormat="1" ht="12.75" x14ac:dyDescent="0.25">
      <c r="A21" s="21">
        <v>12</v>
      </c>
      <c r="B21" s="22" t="s">
        <v>121</v>
      </c>
      <c r="C21" s="22" t="s">
        <v>22</v>
      </c>
      <c r="D21" s="22" t="s">
        <v>298</v>
      </c>
      <c r="E21" s="70" t="s">
        <v>178</v>
      </c>
      <c r="F21" s="22" t="s">
        <v>21</v>
      </c>
      <c r="G21" s="22">
        <v>20</v>
      </c>
      <c r="H21" s="24">
        <f>+G21*L21</f>
        <v>640360</v>
      </c>
      <c r="I21" s="22"/>
      <c r="J21" s="25"/>
      <c r="K21" s="22">
        <f t="shared" si="0"/>
        <v>20</v>
      </c>
      <c r="L21" s="24">
        <v>32018</v>
      </c>
      <c r="M21" s="25">
        <f t="shared" si="1"/>
        <v>640360</v>
      </c>
      <c r="N21" s="23" t="s">
        <v>47</v>
      </c>
    </row>
    <row r="22" spans="1:14" s="67" customFormat="1" ht="12.75" x14ac:dyDescent="0.25">
      <c r="A22" s="21">
        <v>13</v>
      </c>
      <c r="B22" s="22" t="s">
        <v>90</v>
      </c>
      <c r="C22" s="22" t="s">
        <v>22</v>
      </c>
      <c r="D22" s="22" t="s">
        <v>298</v>
      </c>
      <c r="E22" s="69" t="s">
        <v>159</v>
      </c>
      <c r="F22" s="22" t="s">
        <v>21</v>
      </c>
      <c r="G22" s="22">
        <v>400</v>
      </c>
      <c r="H22" s="24">
        <f>+G22*L22</f>
        <v>150000</v>
      </c>
      <c r="I22" s="22"/>
      <c r="J22" s="25"/>
      <c r="K22" s="22">
        <f t="shared" si="0"/>
        <v>400</v>
      </c>
      <c r="L22" s="24">
        <v>375</v>
      </c>
      <c r="M22" s="25">
        <f t="shared" si="1"/>
        <v>150000</v>
      </c>
      <c r="N22" s="23"/>
    </row>
    <row r="23" spans="1:14" s="67" customFormat="1" ht="12.75" x14ac:dyDescent="0.25">
      <c r="A23" s="21">
        <v>14</v>
      </c>
      <c r="B23" s="22" t="s">
        <v>224</v>
      </c>
      <c r="C23" s="22" t="s">
        <v>205</v>
      </c>
      <c r="D23" s="22" t="s">
        <v>298</v>
      </c>
      <c r="E23" s="69" t="s">
        <v>225</v>
      </c>
      <c r="F23" s="22" t="s">
        <v>20</v>
      </c>
      <c r="G23" s="22"/>
      <c r="H23" s="24"/>
      <c r="I23" s="22">
        <v>200</v>
      </c>
      <c r="J23" s="25">
        <f>+I23*L23</f>
        <v>39000</v>
      </c>
      <c r="K23" s="22">
        <f t="shared" si="0"/>
        <v>200</v>
      </c>
      <c r="L23" s="24">
        <v>195</v>
      </c>
      <c r="M23" s="25">
        <f t="shared" si="1"/>
        <v>39000</v>
      </c>
      <c r="N23" s="23"/>
    </row>
    <row r="24" spans="1:14" s="67" customFormat="1" ht="12.75" x14ac:dyDescent="0.25">
      <c r="A24" s="21">
        <v>15</v>
      </c>
      <c r="B24" s="22" t="s">
        <v>144</v>
      </c>
      <c r="C24" s="22" t="s">
        <v>306</v>
      </c>
      <c r="D24" s="22" t="s">
        <v>300</v>
      </c>
      <c r="E24" s="69" t="s">
        <v>203</v>
      </c>
      <c r="F24" s="22" t="s">
        <v>307</v>
      </c>
      <c r="G24" s="22">
        <v>10</v>
      </c>
      <c r="H24" s="24">
        <f t="shared" ref="H24:H29" si="2">+G24*L24</f>
        <v>23080</v>
      </c>
      <c r="I24" s="22"/>
      <c r="J24" s="25"/>
      <c r="K24" s="22">
        <f t="shared" si="0"/>
        <v>10</v>
      </c>
      <c r="L24" s="24">
        <v>2308</v>
      </c>
      <c r="M24" s="25">
        <f t="shared" si="1"/>
        <v>23080</v>
      </c>
      <c r="N24" s="23" t="s">
        <v>48</v>
      </c>
    </row>
    <row r="25" spans="1:14" s="67" customFormat="1" ht="12.75" x14ac:dyDescent="0.25">
      <c r="A25" s="21">
        <v>16</v>
      </c>
      <c r="B25" s="22" t="s">
        <v>122</v>
      </c>
      <c r="C25" s="22" t="s">
        <v>22</v>
      </c>
      <c r="D25" s="22" t="s">
        <v>298</v>
      </c>
      <c r="E25" s="69" t="s">
        <v>179</v>
      </c>
      <c r="F25" s="22" t="s">
        <v>20</v>
      </c>
      <c r="G25" s="22">
        <v>50</v>
      </c>
      <c r="H25" s="24">
        <f t="shared" si="2"/>
        <v>110350</v>
      </c>
      <c r="I25" s="22"/>
      <c r="J25" s="25"/>
      <c r="K25" s="22">
        <f t="shared" si="0"/>
        <v>50</v>
      </c>
      <c r="L25" s="24">
        <v>2207</v>
      </c>
      <c r="M25" s="25">
        <f t="shared" si="1"/>
        <v>110350</v>
      </c>
      <c r="N25" s="23" t="s">
        <v>62</v>
      </c>
    </row>
    <row r="26" spans="1:14" s="67" customFormat="1" ht="27.75" customHeight="1" x14ac:dyDescent="0.25">
      <c r="A26" s="21">
        <v>17</v>
      </c>
      <c r="B26" s="22" t="s">
        <v>98</v>
      </c>
      <c r="C26" s="22" t="s">
        <v>22</v>
      </c>
      <c r="D26" s="22" t="s">
        <v>298</v>
      </c>
      <c r="E26" s="175" t="s">
        <v>161</v>
      </c>
      <c r="F26" s="22" t="s">
        <v>20</v>
      </c>
      <c r="G26" s="22">
        <v>40</v>
      </c>
      <c r="H26" s="24">
        <f t="shared" si="2"/>
        <v>133440</v>
      </c>
      <c r="I26" s="22"/>
      <c r="J26" s="25"/>
      <c r="K26" s="22">
        <f t="shared" si="0"/>
        <v>40</v>
      </c>
      <c r="L26" s="24">
        <v>3336</v>
      </c>
      <c r="M26" s="25">
        <f t="shared" si="1"/>
        <v>133440</v>
      </c>
      <c r="N26" s="23" t="s">
        <v>99</v>
      </c>
    </row>
    <row r="27" spans="1:14" s="67" customFormat="1" ht="12.75" x14ac:dyDescent="0.25">
      <c r="A27" s="21">
        <v>18</v>
      </c>
      <c r="B27" s="22" t="s">
        <v>97</v>
      </c>
      <c r="C27" s="22" t="s">
        <v>22</v>
      </c>
      <c r="D27" s="22" t="s">
        <v>298</v>
      </c>
      <c r="E27" s="69" t="s">
        <v>162</v>
      </c>
      <c r="F27" s="22" t="s">
        <v>20</v>
      </c>
      <c r="G27" s="22">
        <v>40</v>
      </c>
      <c r="H27" s="24">
        <f t="shared" si="2"/>
        <v>108160</v>
      </c>
      <c r="I27" s="22"/>
      <c r="J27" s="25"/>
      <c r="K27" s="22">
        <f t="shared" si="0"/>
        <v>40</v>
      </c>
      <c r="L27" s="24">
        <v>2704</v>
      </c>
      <c r="M27" s="25">
        <f t="shared" si="1"/>
        <v>108160</v>
      </c>
      <c r="N27" s="23" t="s">
        <v>100</v>
      </c>
    </row>
    <row r="28" spans="1:14" s="67" customFormat="1" ht="25.5" x14ac:dyDescent="0.25">
      <c r="A28" s="21">
        <v>19</v>
      </c>
      <c r="B28" s="22" t="s">
        <v>101</v>
      </c>
      <c r="C28" s="22" t="s">
        <v>22</v>
      </c>
      <c r="D28" s="22" t="s">
        <v>298</v>
      </c>
      <c r="E28" s="175" t="s">
        <v>163</v>
      </c>
      <c r="F28" s="22" t="s">
        <v>20</v>
      </c>
      <c r="G28" s="22">
        <v>40</v>
      </c>
      <c r="H28" s="24">
        <f t="shared" si="2"/>
        <v>169720</v>
      </c>
      <c r="I28" s="22"/>
      <c r="J28" s="25"/>
      <c r="K28" s="22">
        <f t="shared" si="0"/>
        <v>40</v>
      </c>
      <c r="L28" s="24">
        <v>4243</v>
      </c>
      <c r="M28" s="25">
        <f t="shared" si="1"/>
        <v>169720</v>
      </c>
      <c r="N28" s="23" t="s">
        <v>91</v>
      </c>
    </row>
    <row r="29" spans="1:14" s="67" customFormat="1" ht="12.75" x14ac:dyDescent="0.25">
      <c r="A29" s="21">
        <v>20</v>
      </c>
      <c r="B29" s="22" t="s">
        <v>96</v>
      </c>
      <c r="C29" s="22" t="s">
        <v>22</v>
      </c>
      <c r="D29" s="22" t="s">
        <v>298</v>
      </c>
      <c r="E29" s="69" t="s">
        <v>167</v>
      </c>
      <c r="F29" s="22" t="s">
        <v>21</v>
      </c>
      <c r="G29" s="22">
        <v>800</v>
      </c>
      <c r="H29" s="24">
        <f t="shared" si="2"/>
        <v>472000</v>
      </c>
      <c r="I29" s="22">
        <v>50</v>
      </c>
      <c r="J29" s="25">
        <f>+I29*L29</f>
        <v>29500</v>
      </c>
      <c r="K29" s="22">
        <f t="shared" si="0"/>
        <v>850</v>
      </c>
      <c r="L29" s="24">
        <v>590</v>
      </c>
      <c r="M29" s="25">
        <f t="shared" si="1"/>
        <v>501500</v>
      </c>
      <c r="N29" s="23" t="s">
        <v>108</v>
      </c>
    </row>
    <row r="30" spans="1:14" s="67" customFormat="1" ht="12.75" x14ac:dyDescent="0.25">
      <c r="A30" s="21">
        <v>21</v>
      </c>
      <c r="B30" s="22" t="s">
        <v>228</v>
      </c>
      <c r="C30" s="22" t="s">
        <v>205</v>
      </c>
      <c r="D30" s="22" t="s">
        <v>298</v>
      </c>
      <c r="E30" s="69" t="s">
        <v>229</v>
      </c>
      <c r="F30" s="22" t="s">
        <v>21</v>
      </c>
      <c r="G30" s="22"/>
      <c r="H30" s="24"/>
      <c r="I30" s="22">
        <v>50</v>
      </c>
      <c r="J30" s="25">
        <f>+I30*L30</f>
        <v>29500</v>
      </c>
      <c r="K30" s="22">
        <f t="shared" si="0"/>
        <v>50</v>
      </c>
      <c r="L30" s="24">
        <v>590</v>
      </c>
      <c r="M30" s="25">
        <f t="shared" si="1"/>
        <v>29500</v>
      </c>
      <c r="N30" s="23" t="s">
        <v>254</v>
      </c>
    </row>
    <row r="31" spans="1:14" s="67" customFormat="1" ht="12.75" x14ac:dyDescent="0.25">
      <c r="A31" s="21">
        <v>22</v>
      </c>
      <c r="B31" s="22" t="s">
        <v>226</v>
      </c>
      <c r="C31" s="22" t="s">
        <v>205</v>
      </c>
      <c r="D31" s="22" t="s">
        <v>298</v>
      </c>
      <c r="E31" s="68" t="s">
        <v>227</v>
      </c>
      <c r="F31" s="22" t="s">
        <v>21</v>
      </c>
      <c r="G31" s="22">
        <v>800</v>
      </c>
      <c r="H31" s="24">
        <f t="shared" ref="H31:H47" si="3">+G31*L31</f>
        <v>472000</v>
      </c>
      <c r="I31" s="22">
        <v>50</v>
      </c>
      <c r="J31" s="25">
        <f>+I31*L31</f>
        <v>29500</v>
      </c>
      <c r="K31" s="22">
        <f t="shared" si="0"/>
        <v>850</v>
      </c>
      <c r="L31" s="24">
        <v>590</v>
      </c>
      <c r="M31" s="25">
        <f t="shared" si="1"/>
        <v>501500</v>
      </c>
      <c r="N31" s="23" t="s">
        <v>168</v>
      </c>
    </row>
    <row r="32" spans="1:14" s="67" customFormat="1" ht="12.75" x14ac:dyDescent="0.25">
      <c r="A32" s="21">
        <v>23</v>
      </c>
      <c r="B32" s="22" t="s">
        <v>52</v>
      </c>
      <c r="C32" s="22" t="s">
        <v>22</v>
      </c>
      <c r="D32" s="22" t="s">
        <v>298</v>
      </c>
      <c r="E32" s="70" t="s">
        <v>172</v>
      </c>
      <c r="F32" s="22" t="s">
        <v>46</v>
      </c>
      <c r="G32" s="22">
        <v>500</v>
      </c>
      <c r="H32" s="24">
        <f t="shared" si="3"/>
        <v>1025000</v>
      </c>
      <c r="I32" s="22"/>
      <c r="J32" s="25"/>
      <c r="K32" s="22">
        <f t="shared" si="0"/>
        <v>500</v>
      </c>
      <c r="L32" s="24">
        <v>2050</v>
      </c>
      <c r="M32" s="25">
        <f t="shared" si="1"/>
        <v>1025000</v>
      </c>
      <c r="N32" s="23" t="s">
        <v>49</v>
      </c>
    </row>
    <row r="33" spans="1:14" s="67" customFormat="1" ht="12.75" x14ac:dyDescent="0.25">
      <c r="A33" s="21">
        <v>24</v>
      </c>
      <c r="B33" s="22" t="s">
        <v>105</v>
      </c>
      <c r="C33" s="22" t="s">
        <v>22</v>
      </c>
      <c r="D33" s="22" t="s">
        <v>298</v>
      </c>
      <c r="E33" s="69" t="s">
        <v>164</v>
      </c>
      <c r="F33" s="22" t="s">
        <v>21</v>
      </c>
      <c r="G33" s="22">
        <v>400</v>
      </c>
      <c r="H33" s="24">
        <f t="shared" si="3"/>
        <v>551200</v>
      </c>
      <c r="I33" s="22"/>
      <c r="J33" s="25"/>
      <c r="K33" s="22">
        <f t="shared" si="0"/>
        <v>400</v>
      </c>
      <c r="L33" s="24">
        <v>1378</v>
      </c>
      <c r="M33" s="25">
        <f t="shared" si="1"/>
        <v>551200</v>
      </c>
      <c r="N33" s="23" t="s">
        <v>106</v>
      </c>
    </row>
    <row r="34" spans="1:14" s="67" customFormat="1" ht="12.75" x14ac:dyDescent="0.25">
      <c r="A34" s="21">
        <v>25</v>
      </c>
      <c r="B34" s="22" t="s">
        <v>102</v>
      </c>
      <c r="C34" s="22" t="s">
        <v>22</v>
      </c>
      <c r="D34" s="22" t="s">
        <v>298</v>
      </c>
      <c r="E34" s="69" t="s">
        <v>166</v>
      </c>
      <c r="F34" s="22" t="s">
        <v>21</v>
      </c>
      <c r="G34" s="22">
        <v>50</v>
      </c>
      <c r="H34" s="24">
        <f t="shared" si="3"/>
        <v>68900</v>
      </c>
      <c r="I34" s="22"/>
      <c r="J34" s="25"/>
      <c r="K34" s="22">
        <f t="shared" si="0"/>
        <v>50</v>
      </c>
      <c r="L34" s="24">
        <v>1378</v>
      </c>
      <c r="M34" s="25">
        <f t="shared" si="1"/>
        <v>68900</v>
      </c>
      <c r="N34" s="23" t="s">
        <v>103</v>
      </c>
    </row>
    <row r="35" spans="1:14" s="67" customFormat="1" ht="12.75" x14ac:dyDescent="0.25">
      <c r="A35" s="21">
        <v>26</v>
      </c>
      <c r="B35" s="22" t="s">
        <v>104</v>
      </c>
      <c r="C35" s="22" t="s">
        <v>22</v>
      </c>
      <c r="D35" s="22" t="s">
        <v>298</v>
      </c>
      <c r="E35" s="68" t="s">
        <v>165</v>
      </c>
      <c r="F35" s="22" t="s">
        <v>21</v>
      </c>
      <c r="G35" s="22">
        <v>500</v>
      </c>
      <c r="H35" s="24">
        <f t="shared" si="3"/>
        <v>689000</v>
      </c>
      <c r="I35" s="22"/>
      <c r="J35" s="25"/>
      <c r="K35" s="22">
        <f t="shared" si="0"/>
        <v>500</v>
      </c>
      <c r="L35" s="24">
        <v>1378</v>
      </c>
      <c r="M35" s="25">
        <f t="shared" si="1"/>
        <v>689000</v>
      </c>
      <c r="N35" s="23" t="s">
        <v>107</v>
      </c>
    </row>
    <row r="36" spans="1:14" s="67" customFormat="1" ht="12.75" x14ac:dyDescent="0.25">
      <c r="A36" s="21">
        <v>27</v>
      </c>
      <c r="B36" s="22" t="s">
        <v>116</v>
      </c>
      <c r="C36" s="22" t="s">
        <v>22</v>
      </c>
      <c r="D36" s="22" t="s">
        <v>298</v>
      </c>
      <c r="E36" s="70" t="s">
        <v>174</v>
      </c>
      <c r="F36" s="22" t="s">
        <v>46</v>
      </c>
      <c r="G36" s="22">
        <v>400</v>
      </c>
      <c r="H36" s="24">
        <f t="shared" si="3"/>
        <v>110400</v>
      </c>
      <c r="I36" s="22"/>
      <c r="J36" s="25"/>
      <c r="K36" s="22">
        <f t="shared" si="0"/>
        <v>400</v>
      </c>
      <c r="L36" s="24">
        <v>276</v>
      </c>
      <c r="M36" s="25">
        <f t="shared" si="1"/>
        <v>110400</v>
      </c>
      <c r="N36" s="23" t="s">
        <v>115</v>
      </c>
    </row>
    <row r="37" spans="1:14" s="67" customFormat="1" ht="12.75" x14ac:dyDescent="0.25">
      <c r="A37" s="21">
        <v>28</v>
      </c>
      <c r="B37" s="22" t="s">
        <v>111</v>
      </c>
      <c r="C37" s="22" t="s">
        <v>22</v>
      </c>
      <c r="D37" s="22" t="s">
        <v>298</v>
      </c>
      <c r="E37" s="69" t="s">
        <v>171</v>
      </c>
      <c r="F37" s="22" t="s">
        <v>21</v>
      </c>
      <c r="G37" s="22">
        <v>300</v>
      </c>
      <c r="H37" s="24">
        <f t="shared" si="3"/>
        <v>608100</v>
      </c>
      <c r="I37" s="22"/>
      <c r="J37" s="25"/>
      <c r="K37" s="22">
        <f t="shared" si="0"/>
        <v>300</v>
      </c>
      <c r="L37" s="24">
        <v>2027</v>
      </c>
      <c r="M37" s="25">
        <f t="shared" si="1"/>
        <v>608100</v>
      </c>
      <c r="N37" s="23" t="s">
        <v>75</v>
      </c>
    </row>
    <row r="38" spans="1:14" s="67" customFormat="1" ht="12.75" x14ac:dyDescent="0.25">
      <c r="A38" s="21">
        <v>29</v>
      </c>
      <c r="B38" s="22" t="s">
        <v>109</v>
      </c>
      <c r="C38" s="22" t="s">
        <v>22</v>
      </c>
      <c r="D38" s="22" t="s">
        <v>298</v>
      </c>
      <c r="E38" s="69" t="s">
        <v>169</v>
      </c>
      <c r="F38" s="22" t="s">
        <v>21</v>
      </c>
      <c r="G38" s="22">
        <v>500</v>
      </c>
      <c r="H38" s="24">
        <f t="shared" si="3"/>
        <v>702500</v>
      </c>
      <c r="I38" s="22"/>
      <c r="J38" s="25"/>
      <c r="K38" s="22">
        <f t="shared" si="0"/>
        <v>500</v>
      </c>
      <c r="L38" s="24">
        <v>1405</v>
      </c>
      <c r="M38" s="25">
        <f t="shared" si="1"/>
        <v>702500</v>
      </c>
      <c r="N38" s="23" t="s">
        <v>73</v>
      </c>
    </row>
    <row r="39" spans="1:14" s="67" customFormat="1" ht="12.75" x14ac:dyDescent="0.25">
      <c r="A39" s="21">
        <v>30</v>
      </c>
      <c r="B39" s="22" t="s">
        <v>110</v>
      </c>
      <c r="C39" s="22" t="s">
        <v>22</v>
      </c>
      <c r="D39" s="22" t="s">
        <v>298</v>
      </c>
      <c r="E39" s="69" t="s">
        <v>170</v>
      </c>
      <c r="F39" s="22" t="s">
        <v>21</v>
      </c>
      <c r="G39" s="22">
        <v>800</v>
      </c>
      <c r="H39" s="24">
        <f t="shared" si="3"/>
        <v>1104000</v>
      </c>
      <c r="I39" s="22"/>
      <c r="J39" s="25"/>
      <c r="K39" s="22">
        <f t="shared" si="0"/>
        <v>800</v>
      </c>
      <c r="L39" s="24">
        <v>1380</v>
      </c>
      <c r="M39" s="25">
        <f t="shared" si="1"/>
        <v>1104000</v>
      </c>
      <c r="N39" s="23" t="s">
        <v>74</v>
      </c>
    </row>
    <row r="40" spans="1:14" s="67" customFormat="1" ht="12.75" x14ac:dyDescent="0.25">
      <c r="A40" s="21">
        <v>31</v>
      </c>
      <c r="B40" s="22" t="s">
        <v>123</v>
      </c>
      <c r="C40" s="22" t="s">
        <v>22</v>
      </c>
      <c r="D40" s="22" t="s">
        <v>301</v>
      </c>
      <c r="E40" s="69" t="s">
        <v>180</v>
      </c>
      <c r="F40" s="22" t="s">
        <v>20</v>
      </c>
      <c r="G40" s="22">
        <v>15</v>
      </c>
      <c r="H40" s="24">
        <f t="shared" si="3"/>
        <v>69000</v>
      </c>
      <c r="I40" s="22"/>
      <c r="J40" s="25"/>
      <c r="K40" s="22">
        <f t="shared" si="0"/>
        <v>15</v>
      </c>
      <c r="L40" s="24">
        <v>4600</v>
      </c>
      <c r="M40" s="25">
        <f t="shared" si="1"/>
        <v>69000</v>
      </c>
      <c r="N40" s="23" t="s">
        <v>85</v>
      </c>
    </row>
    <row r="41" spans="1:14" s="67" customFormat="1" ht="12.75" x14ac:dyDescent="0.25">
      <c r="A41" s="21">
        <v>32</v>
      </c>
      <c r="B41" s="30" t="s">
        <v>123</v>
      </c>
      <c r="C41" s="22" t="s">
        <v>22</v>
      </c>
      <c r="D41" s="22" t="s">
        <v>301</v>
      </c>
      <c r="E41" s="69" t="s">
        <v>180</v>
      </c>
      <c r="F41" s="22" t="s">
        <v>20</v>
      </c>
      <c r="G41" s="22">
        <v>30</v>
      </c>
      <c r="H41" s="24">
        <f t="shared" si="3"/>
        <v>77250</v>
      </c>
      <c r="I41" s="22"/>
      <c r="J41" s="25"/>
      <c r="K41" s="22">
        <f t="shared" si="0"/>
        <v>30</v>
      </c>
      <c r="L41" s="24">
        <v>2575</v>
      </c>
      <c r="M41" s="25">
        <f t="shared" si="1"/>
        <v>77250</v>
      </c>
      <c r="N41" s="23" t="s">
        <v>63</v>
      </c>
    </row>
    <row r="42" spans="1:14" s="67" customFormat="1" ht="12.75" x14ac:dyDescent="0.25">
      <c r="A42" s="21">
        <v>33</v>
      </c>
      <c r="B42" s="22" t="s">
        <v>124</v>
      </c>
      <c r="C42" s="22" t="s">
        <v>22</v>
      </c>
      <c r="D42" s="22" t="s">
        <v>301</v>
      </c>
      <c r="E42" s="69" t="s">
        <v>308</v>
      </c>
      <c r="F42" s="22" t="s">
        <v>20</v>
      </c>
      <c r="G42" s="22">
        <v>5</v>
      </c>
      <c r="H42" s="24">
        <f t="shared" si="3"/>
        <v>19000</v>
      </c>
      <c r="I42" s="22"/>
      <c r="J42" s="25"/>
      <c r="K42" s="22">
        <f t="shared" ref="K42:K73" si="4">+G42+I42</f>
        <v>5</v>
      </c>
      <c r="L42" s="24">
        <v>3800</v>
      </c>
      <c r="M42" s="25">
        <f t="shared" ref="M42:M73" si="5">+K42*L42</f>
        <v>19000</v>
      </c>
      <c r="N42" s="23" t="s">
        <v>84</v>
      </c>
    </row>
    <row r="43" spans="1:14" s="67" customFormat="1" ht="12.75" x14ac:dyDescent="0.25">
      <c r="A43" s="21">
        <v>34</v>
      </c>
      <c r="B43" s="22" t="s">
        <v>153</v>
      </c>
      <c r="C43" s="22" t="s">
        <v>22</v>
      </c>
      <c r="D43" s="22" t="s">
        <v>301</v>
      </c>
      <c r="E43" s="69" t="s">
        <v>160</v>
      </c>
      <c r="F43" s="22" t="s">
        <v>21</v>
      </c>
      <c r="G43" s="22">
        <v>100</v>
      </c>
      <c r="H43" s="24">
        <f t="shared" si="3"/>
        <v>42700</v>
      </c>
      <c r="I43" s="22"/>
      <c r="J43" s="25"/>
      <c r="K43" s="22">
        <f t="shared" si="4"/>
        <v>100</v>
      </c>
      <c r="L43" s="24">
        <v>427</v>
      </c>
      <c r="M43" s="25">
        <f t="shared" si="5"/>
        <v>42700</v>
      </c>
      <c r="N43" s="23" t="s">
        <v>152</v>
      </c>
    </row>
    <row r="44" spans="1:14" s="67" customFormat="1" ht="15" customHeight="1" x14ac:dyDescent="0.25">
      <c r="A44" s="21">
        <v>35</v>
      </c>
      <c r="B44" s="22" t="s">
        <v>131</v>
      </c>
      <c r="C44" s="22" t="s">
        <v>22</v>
      </c>
      <c r="D44" s="22" t="s">
        <v>298</v>
      </c>
      <c r="E44" s="69" t="s">
        <v>188</v>
      </c>
      <c r="F44" s="22" t="s">
        <v>20</v>
      </c>
      <c r="G44" s="22">
        <v>10</v>
      </c>
      <c r="H44" s="24">
        <f t="shared" si="3"/>
        <v>1517340</v>
      </c>
      <c r="I44" s="22"/>
      <c r="J44" s="25"/>
      <c r="K44" s="22">
        <f t="shared" si="4"/>
        <v>10</v>
      </c>
      <c r="L44" s="24">
        <v>151734</v>
      </c>
      <c r="M44" s="25">
        <f t="shared" si="5"/>
        <v>1517340</v>
      </c>
      <c r="N44" s="23" t="s">
        <v>67</v>
      </c>
    </row>
    <row r="45" spans="1:14" s="67" customFormat="1" ht="15" customHeight="1" x14ac:dyDescent="0.25">
      <c r="A45" s="21">
        <v>36</v>
      </c>
      <c r="B45" s="22" t="s">
        <v>133</v>
      </c>
      <c r="C45" s="22" t="s">
        <v>22</v>
      </c>
      <c r="D45" s="22" t="s">
        <v>298</v>
      </c>
      <c r="E45" s="69" t="s">
        <v>189</v>
      </c>
      <c r="F45" s="22" t="s">
        <v>20</v>
      </c>
      <c r="G45" s="22">
        <v>10</v>
      </c>
      <c r="H45" s="24">
        <f t="shared" si="3"/>
        <v>1517340</v>
      </c>
      <c r="I45" s="22"/>
      <c r="J45" s="25"/>
      <c r="K45" s="22">
        <f t="shared" si="4"/>
        <v>10</v>
      </c>
      <c r="L45" s="24">
        <v>151734</v>
      </c>
      <c r="M45" s="25">
        <f t="shared" si="5"/>
        <v>1517340</v>
      </c>
      <c r="N45" s="23" t="s">
        <v>132</v>
      </c>
    </row>
    <row r="46" spans="1:14" s="67" customFormat="1" ht="15" customHeight="1" x14ac:dyDescent="0.25">
      <c r="A46" s="21">
        <v>37</v>
      </c>
      <c r="B46" s="22" t="s">
        <v>130</v>
      </c>
      <c r="C46" s="22" t="s">
        <v>22</v>
      </c>
      <c r="D46" s="22" t="s">
        <v>298</v>
      </c>
      <c r="E46" s="69" t="s">
        <v>187</v>
      </c>
      <c r="F46" s="22" t="s">
        <v>20</v>
      </c>
      <c r="G46" s="22">
        <v>10</v>
      </c>
      <c r="H46" s="24">
        <f t="shared" si="3"/>
        <v>1517340</v>
      </c>
      <c r="I46" s="22"/>
      <c r="J46" s="25"/>
      <c r="K46" s="22">
        <f t="shared" si="4"/>
        <v>10</v>
      </c>
      <c r="L46" s="24">
        <v>151734</v>
      </c>
      <c r="M46" s="25">
        <f t="shared" si="5"/>
        <v>1517340</v>
      </c>
      <c r="N46" s="23" t="s">
        <v>66</v>
      </c>
    </row>
    <row r="47" spans="1:14" s="67" customFormat="1" ht="12.75" x14ac:dyDescent="0.25">
      <c r="A47" s="21">
        <v>38</v>
      </c>
      <c r="B47" s="22" t="s">
        <v>129</v>
      </c>
      <c r="C47" s="22" t="s">
        <v>22</v>
      </c>
      <c r="D47" s="22" t="s">
        <v>298</v>
      </c>
      <c r="E47" s="69" t="s">
        <v>190</v>
      </c>
      <c r="F47" s="22" t="s">
        <v>20</v>
      </c>
      <c r="G47" s="22">
        <v>20</v>
      </c>
      <c r="H47" s="24">
        <f t="shared" si="3"/>
        <v>3034680</v>
      </c>
      <c r="I47" s="22"/>
      <c r="J47" s="25"/>
      <c r="K47" s="22">
        <f t="shared" si="4"/>
        <v>20</v>
      </c>
      <c r="L47" s="24">
        <v>151734</v>
      </c>
      <c r="M47" s="25">
        <f t="shared" si="5"/>
        <v>3034680</v>
      </c>
      <c r="N47" s="23" t="s">
        <v>68</v>
      </c>
    </row>
    <row r="48" spans="1:14" s="67" customFormat="1" ht="12.75" x14ac:dyDescent="0.2">
      <c r="A48" s="21">
        <v>39</v>
      </c>
      <c r="B48" s="22" t="s">
        <v>246</v>
      </c>
      <c r="C48" s="22" t="s">
        <v>205</v>
      </c>
      <c r="D48" s="22" t="s">
        <v>298</v>
      </c>
      <c r="E48" s="43" t="s">
        <v>247</v>
      </c>
      <c r="F48" s="22" t="s">
        <v>21</v>
      </c>
      <c r="G48" s="22"/>
      <c r="H48" s="24"/>
      <c r="I48" s="22">
        <v>2</v>
      </c>
      <c r="J48" s="25">
        <f>+I48*L48</f>
        <v>100700</v>
      </c>
      <c r="K48" s="22">
        <f t="shared" si="4"/>
        <v>2</v>
      </c>
      <c r="L48" s="24">
        <v>50350</v>
      </c>
      <c r="M48" s="25">
        <f t="shared" si="5"/>
        <v>100700</v>
      </c>
      <c r="N48" s="26" t="s">
        <v>261</v>
      </c>
    </row>
    <row r="49" spans="1:14" s="67" customFormat="1" ht="12.75" x14ac:dyDescent="0.25">
      <c r="A49" s="21">
        <v>40</v>
      </c>
      <c r="B49" s="22" t="s">
        <v>244</v>
      </c>
      <c r="C49" s="22" t="s">
        <v>205</v>
      </c>
      <c r="D49" s="22" t="s">
        <v>298</v>
      </c>
      <c r="E49" s="70" t="s">
        <v>245</v>
      </c>
      <c r="F49" s="22" t="s">
        <v>21</v>
      </c>
      <c r="G49" s="22"/>
      <c r="H49" s="24"/>
      <c r="I49" s="22">
        <v>2</v>
      </c>
      <c r="J49" s="25">
        <f>+I49*L49</f>
        <v>100700</v>
      </c>
      <c r="K49" s="22">
        <f t="shared" si="4"/>
        <v>2</v>
      </c>
      <c r="L49" s="24">
        <v>50350</v>
      </c>
      <c r="M49" s="25">
        <f t="shared" si="5"/>
        <v>100700</v>
      </c>
      <c r="N49" s="23" t="s">
        <v>261</v>
      </c>
    </row>
    <row r="50" spans="1:14" s="67" customFormat="1" ht="12.75" x14ac:dyDescent="0.25">
      <c r="A50" s="21">
        <v>41</v>
      </c>
      <c r="B50" s="22" t="s">
        <v>55</v>
      </c>
      <c r="C50" s="22" t="s">
        <v>22</v>
      </c>
      <c r="D50" s="22" t="s">
        <v>298</v>
      </c>
      <c r="E50" s="69" t="s">
        <v>182</v>
      </c>
      <c r="F50" s="22" t="s">
        <v>46</v>
      </c>
      <c r="G50" s="22">
        <v>80</v>
      </c>
      <c r="H50" s="24">
        <f t="shared" ref="H50:H59" si="6">+G50*L50</f>
        <v>471200</v>
      </c>
      <c r="I50" s="22"/>
      <c r="J50" s="25"/>
      <c r="K50" s="22">
        <f t="shared" si="4"/>
        <v>80</v>
      </c>
      <c r="L50" s="24">
        <v>5890</v>
      </c>
      <c r="M50" s="25">
        <f t="shared" si="5"/>
        <v>471200</v>
      </c>
      <c r="N50" s="23" t="s">
        <v>60</v>
      </c>
    </row>
    <row r="51" spans="1:14" s="67" customFormat="1" ht="12.75" x14ac:dyDescent="0.25">
      <c r="A51" s="21">
        <v>42</v>
      </c>
      <c r="B51" s="22" t="s">
        <v>125</v>
      </c>
      <c r="C51" s="22" t="s">
        <v>22</v>
      </c>
      <c r="D51" s="22" t="s">
        <v>298</v>
      </c>
      <c r="E51" s="69" t="s">
        <v>183</v>
      </c>
      <c r="F51" s="22" t="s">
        <v>46</v>
      </c>
      <c r="G51" s="22">
        <v>100</v>
      </c>
      <c r="H51" s="24">
        <f t="shared" si="6"/>
        <v>630000</v>
      </c>
      <c r="I51" s="22"/>
      <c r="J51" s="25"/>
      <c r="K51" s="22">
        <f t="shared" si="4"/>
        <v>100</v>
      </c>
      <c r="L51" s="24">
        <v>6300</v>
      </c>
      <c r="M51" s="25">
        <f t="shared" si="5"/>
        <v>630000</v>
      </c>
      <c r="N51" s="23" t="s">
        <v>126</v>
      </c>
    </row>
    <row r="52" spans="1:14" s="67" customFormat="1" ht="12.75" x14ac:dyDescent="0.25">
      <c r="A52" s="21">
        <v>43</v>
      </c>
      <c r="B52" s="22" t="s">
        <v>112</v>
      </c>
      <c r="C52" s="22" t="s">
        <v>22</v>
      </c>
      <c r="D52" s="22" t="s">
        <v>300</v>
      </c>
      <c r="E52" s="69" t="s">
        <v>173</v>
      </c>
      <c r="F52" s="22" t="s">
        <v>20</v>
      </c>
      <c r="G52" s="22">
        <v>300</v>
      </c>
      <c r="H52" s="24">
        <f t="shared" si="6"/>
        <v>76200</v>
      </c>
      <c r="I52" s="22"/>
      <c r="J52" s="25"/>
      <c r="K52" s="22">
        <f t="shared" si="4"/>
        <v>300</v>
      </c>
      <c r="L52" s="24">
        <v>254</v>
      </c>
      <c r="M52" s="25">
        <f t="shared" si="5"/>
        <v>76200</v>
      </c>
      <c r="N52" s="23" t="s">
        <v>113</v>
      </c>
    </row>
    <row r="53" spans="1:14" s="67" customFormat="1" ht="12.75" x14ac:dyDescent="0.25">
      <c r="A53" s="21">
        <v>44</v>
      </c>
      <c r="B53" s="22" t="s">
        <v>112</v>
      </c>
      <c r="C53" s="22" t="s">
        <v>22</v>
      </c>
      <c r="D53" s="22" t="s">
        <v>300</v>
      </c>
      <c r="E53" s="69" t="s">
        <v>173</v>
      </c>
      <c r="F53" s="22" t="s">
        <v>20</v>
      </c>
      <c r="G53" s="22">
        <v>300</v>
      </c>
      <c r="H53" s="24">
        <f t="shared" si="6"/>
        <v>106800</v>
      </c>
      <c r="I53" s="22"/>
      <c r="J53" s="25"/>
      <c r="K53" s="22">
        <f t="shared" si="4"/>
        <v>300</v>
      </c>
      <c r="L53" s="24">
        <v>356</v>
      </c>
      <c r="M53" s="25">
        <f t="shared" si="5"/>
        <v>106800</v>
      </c>
      <c r="N53" s="23" t="s">
        <v>262</v>
      </c>
    </row>
    <row r="54" spans="1:14" s="67" customFormat="1" ht="12.75" x14ac:dyDescent="0.25">
      <c r="A54" s="21">
        <v>45</v>
      </c>
      <c r="B54" s="22" t="s">
        <v>112</v>
      </c>
      <c r="C54" s="22" t="s">
        <v>22</v>
      </c>
      <c r="D54" s="22" t="s">
        <v>300</v>
      </c>
      <c r="E54" s="69" t="s">
        <v>173</v>
      </c>
      <c r="F54" s="22" t="s">
        <v>20</v>
      </c>
      <c r="G54" s="22">
        <v>200</v>
      </c>
      <c r="H54" s="24">
        <f t="shared" si="6"/>
        <v>82000</v>
      </c>
      <c r="I54" s="22"/>
      <c r="J54" s="25"/>
      <c r="K54" s="22">
        <f t="shared" si="4"/>
        <v>200</v>
      </c>
      <c r="L54" s="24">
        <v>410</v>
      </c>
      <c r="M54" s="25">
        <f t="shared" si="5"/>
        <v>82000</v>
      </c>
      <c r="N54" s="23" t="s">
        <v>114</v>
      </c>
    </row>
    <row r="55" spans="1:14" s="67" customFormat="1" ht="12.75" x14ac:dyDescent="0.25">
      <c r="A55" s="21">
        <v>46</v>
      </c>
      <c r="B55" s="22" t="s">
        <v>112</v>
      </c>
      <c r="C55" s="22" t="s">
        <v>22</v>
      </c>
      <c r="D55" s="22" t="s">
        <v>300</v>
      </c>
      <c r="E55" s="69" t="s">
        <v>173</v>
      </c>
      <c r="F55" s="22" t="s">
        <v>20</v>
      </c>
      <c r="G55" s="22">
        <v>200</v>
      </c>
      <c r="H55" s="24">
        <f t="shared" si="6"/>
        <v>102000</v>
      </c>
      <c r="I55" s="22"/>
      <c r="J55" s="25"/>
      <c r="K55" s="22">
        <f t="shared" si="4"/>
        <v>200</v>
      </c>
      <c r="L55" s="24">
        <v>510</v>
      </c>
      <c r="M55" s="25">
        <f t="shared" si="5"/>
        <v>102000</v>
      </c>
      <c r="N55" s="23" t="s">
        <v>263</v>
      </c>
    </row>
    <row r="56" spans="1:14" s="67" customFormat="1" ht="12.75" x14ac:dyDescent="0.25">
      <c r="A56" s="21">
        <v>47</v>
      </c>
      <c r="B56" s="22" t="s">
        <v>134</v>
      </c>
      <c r="C56" s="22" t="s">
        <v>22</v>
      </c>
      <c r="D56" s="22" t="s">
        <v>298</v>
      </c>
      <c r="E56" s="69" t="s">
        <v>191</v>
      </c>
      <c r="F56" s="22" t="s">
        <v>21</v>
      </c>
      <c r="G56" s="22">
        <v>200</v>
      </c>
      <c r="H56" s="24">
        <f t="shared" si="6"/>
        <v>896800</v>
      </c>
      <c r="I56" s="22"/>
      <c r="J56" s="25"/>
      <c r="K56" s="22">
        <f t="shared" si="4"/>
        <v>200</v>
      </c>
      <c r="L56" s="24">
        <v>4484</v>
      </c>
      <c r="M56" s="25">
        <f t="shared" si="5"/>
        <v>896800</v>
      </c>
      <c r="N56" s="23" t="s">
        <v>147</v>
      </c>
    </row>
    <row r="57" spans="1:14" s="67" customFormat="1" ht="12.75" x14ac:dyDescent="0.25">
      <c r="A57" s="21">
        <v>48</v>
      </c>
      <c r="B57" s="22" t="s">
        <v>135</v>
      </c>
      <c r="C57" s="22" t="s">
        <v>22</v>
      </c>
      <c r="D57" s="22" t="s">
        <v>298</v>
      </c>
      <c r="E57" s="68" t="s">
        <v>192</v>
      </c>
      <c r="F57" s="22" t="s">
        <v>20</v>
      </c>
      <c r="G57" s="22">
        <v>50</v>
      </c>
      <c r="H57" s="24">
        <f t="shared" si="6"/>
        <v>78750</v>
      </c>
      <c r="I57" s="22"/>
      <c r="J57" s="25"/>
      <c r="K57" s="22">
        <f t="shared" si="4"/>
        <v>50</v>
      </c>
      <c r="L57" s="24">
        <v>1575</v>
      </c>
      <c r="M57" s="25">
        <f t="shared" si="5"/>
        <v>78750</v>
      </c>
      <c r="N57" s="23"/>
    </row>
    <row r="58" spans="1:14" s="67" customFormat="1" ht="12.75" x14ac:dyDescent="0.25">
      <c r="A58" s="21">
        <v>49</v>
      </c>
      <c r="B58" s="22" t="s">
        <v>136</v>
      </c>
      <c r="C58" s="22" t="s">
        <v>22</v>
      </c>
      <c r="D58" s="22" t="s">
        <v>298</v>
      </c>
      <c r="E58" s="69" t="s">
        <v>193</v>
      </c>
      <c r="F58" s="22" t="s">
        <v>20</v>
      </c>
      <c r="G58" s="22">
        <v>50</v>
      </c>
      <c r="H58" s="24">
        <f t="shared" si="6"/>
        <v>225000</v>
      </c>
      <c r="I58" s="22"/>
      <c r="J58" s="25"/>
      <c r="K58" s="22">
        <f t="shared" si="4"/>
        <v>50</v>
      </c>
      <c r="L58" s="24">
        <v>4500</v>
      </c>
      <c r="M58" s="25">
        <f t="shared" si="5"/>
        <v>225000</v>
      </c>
      <c r="N58" s="23" t="s">
        <v>69</v>
      </c>
    </row>
    <row r="59" spans="1:14" s="67" customFormat="1" ht="12.75" x14ac:dyDescent="0.25">
      <c r="A59" s="21">
        <v>50</v>
      </c>
      <c r="B59" s="22" t="s">
        <v>136</v>
      </c>
      <c r="C59" s="22" t="s">
        <v>22</v>
      </c>
      <c r="D59" s="22" t="s">
        <v>298</v>
      </c>
      <c r="E59" s="69" t="s">
        <v>193</v>
      </c>
      <c r="F59" s="22" t="s">
        <v>20</v>
      </c>
      <c r="G59" s="22">
        <v>50</v>
      </c>
      <c r="H59" s="24">
        <f t="shared" si="6"/>
        <v>225000</v>
      </c>
      <c r="I59" s="22"/>
      <c r="J59" s="25"/>
      <c r="K59" s="22">
        <f t="shared" si="4"/>
        <v>50</v>
      </c>
      <c r="L59" s="24">
        <v>4500</v>
      </c>
      <c r="M59" s="25">
        <f t="shared" si="5"/>
        <v>225000</v>
      </c>
      <c r="N59" s="23" t="s">
        <v>70</v>
      </c>
    </row>
    <row r="60" spans="1:14" s="67" customFormat="1" ht="12.75" x14ac:dyDescent="0.25">
      <c r="A60" s="21">
        <v>51</v>
      </c>
      <c r="B60" s="22" t="s">
        <v>136</v>
      </c>
      <c r="C60" s="22" t="s">
        <v>205</v>
      </c>
      <c r="D60" s="22" t="s">
        <v>298</v>
      </c>
      <c r="E60" s="69" t="s">
        <v>193</v>
      </c>
      <c r="F60" s="22" t="s">
        <v>20</v>
      </c>
      <c r="G60" s="22"/>
      <c r="H60" s="24"/>
      <c r="I60" s="22">
        <v>5</v>
      </c>
      <c r="J60" s="25">
        <f>+I60*L60</f>
        <v>6100</v>
      </c>
      <c r="K60" s="22">
        <f t="shared" si="4"/>
        <v>5</v>
      </c>
      <c r="L60" s="24">
        <v>1220</v>
      </c>
      <c r="M60" s="25">
        <f t="shared" si="5"/>
        <v>6100</v>
      </c>
      <c r="N60" s="23" t="s">
        <v>264</v>
      </c>
    </row>
    <row r="61" spans="1:14" s="67" customFormat="1" ht="12.75" x14ac:dyDescent="0.25">
      <c r="A61" s="21">
        <v>52</v>
      </c>
      <c r="B61" s="22" t="s">
        <v>78</v>
      </c>
      <c r="C61" s="22" t="s">
        <v>22</v>
      </c>
      <c r="D61" s="22" t="s">
        <v>298</v>
      </c>
      <c r="E61" s="69" t="s">
        <v>194</v>
      </c>
      <c r="F61" s="22" t="s">
        <v>20</v>
      </c>
      <c r="G61" s="22">
        <v>1</v>
      </c>
      <c r="H61" s="24">
        <f>+G61*L61</f>
        <v>280000</v>
      </c>
      <c r="I61" s="22"/>
      <c r="J61" s="25"/>
      <c r="K61" s="22">
        <f t="shared" si="4"/>
        <v>1</v>
      </c>
      <c r="L61" s="24">
        <v>280000</v>
      </c>
      <c r="M61" s="25">
        <f t="shared" si="5"/>
        <v>280000</v>
      </c>
      <c r="N61" s="23" t="s">
        <v>79</v>
      </c>
    </row>
    <row r="62" spans="1:14" s="67" customFormat="1" ht="12.75" x14ac:dyDescent="0.25">
      <c r="A62" s="21">
        <v>53</v>
      </c>
      <c r="B62" s="22" t="s">
        <v>82</v>
      </c>
      <c r="C62" s="22" t="s">
        <v>22</v>
      </c>
      <c r="D62" s="22" t="s">
        <v>298</v>
      </c>
      <c r="E62" s="69" t="s">
        <v>196</v>
      </c>
      <c r="F62" s="22" t="s">
        <v>20</v>
      </c>
      <c r="G62" s="22">
        <v>2</v>
      </c>
      <c r="H62" s="24">
        <f>+G62*L62</f>
        <v>165200</v>
      </c>
      <c r="I62" s="22"/>
      <c r="J62" s="25"/>
      <c r="K62" s="22">
        <f t="shared" si="4"/>
        <v>2</v>
      </c>
      <c r="L62" s="24">
        <v>82600</v>
      </c>
      <c r="M62" s="25">
        <f t="shared" si="5"/>
        <v>165200</v>
      </c>
      <c r="N62" s="23" t="s">
        <v>83</v>
      </c>
    </row>
    <row r="63" spans="1:14" s="67" customFormat="1" ht="12.75" x14ac:dyDescent="0.25">
      <c r="A63" s="21">
        <v>54</v>
      </c>
      <c r="B63" s="22" t="s">
        <v>80</v>
      </c>
      <c r="C63" s="22" t="s">
        <v>22</v>
      </c>
      <c r="D63" s="22" t="s">
        <v>298</v>
      </c>
      <c r="E63" s="68" t="s">
        <v>195</v>
      </c>
      <c r="F63" s="22" t="s">
        <v>20</v>
      </c>
      <c r="G63" s="22">
        <v>7</v>
      </c>
      <c r="H63" s="24">
        <f>+G63*L63</f>
        <v>1015000</v>
      </c>
      <c r="I63" s="22"/>
      <c r="J63" s="25"/>
      <c r="K63" s="22">
        <f t="shared" si="4"/>
        <v>7</v>
      </c>
      <c r="L63" s="24">
        <v>145000</v>
      </c>
      <c r="M63" s="25">
        <f t="shared" si="5"/>
        <v>1015000</v>
      </c>
      <c r="N63" s="23" t="s">
        <v>81</v>
      </c>
    </row>
    <row r="64" spans="1:14" s="67" customFormat="1" ht="12.75" x14ac:dyDescent="0.25">
      <c r="A64" s="21">
        <v>55</v>
      </c>
      <c r="B64" s="71" t="s">
        <v>127</v>
      </c>
      <c r="C64" s="71" t="s">
        <v>22</v>
      </c>
      <c r="D64" s="22" t="s">
        <v>298</v>
      </c>
      <c r="E64" s="72" t="s">
        <v>184</v>
      </c>
      <c r="F64" s="71" t="s">
        <v>21</v>
      </c>
      <c r="G64" s="71">
        <v>500</v>
      </c>
      <c r="H64" s="73">
        <f>+G64*L64</f>
        <v>132500</v>
      </c>
      <c r="I64" s="71"/>
      <c r="J64" s="73"/>
      <c r="K64" s="22">
        <f t="shared" si="4"/>
        <v>500</v>
      </c>
      <c r="L64" s="73">
        <v>265</v>
      </c>
      <c r="M64" s="25">
        <f t="shared" si="5"/>
        <v>132500</v>
      </c>
      <c r="N64" s="74" t="s">
        <v>72</v>
      </c>
    </row>
    <row r="65" spans="1:14" s="67" customFormat="1" ht="12.75" x14ac:dyDescent="0.25">
      <c r="A65" s="21">
        <v>56</v>
      </c>
      <c r="B65" s="71" t="s">
        <v>210</v>
      </c>
      <c r="C65" s="71" t="s">
        <v>265</v>
      </c>
      <c r="D65" s="22" t="s">
        <v>298</v>
      </c>
      <c r="E65" s="72" t="s">
        <v>211</v>
      </c>
      <c r="F65" s="71" t="s">
        <v>21</v>
      </c>
      <c r="G65" s="71"/>
      <c r="H65" s="73"/>
      <c r="I65" s="71">
        <v>48</v>
      </c>
      <c r="J65" s="73">
        <f>+I65*L65</f>
        <v>1968912</v>
      </c>
      <c r="K65" s="22">
        <f t="shared" si="4"/>
        <v>48</v>
      </c>
      <c r="L65" s="73">
        <v>41019</v>
      </c>
      <c r="M65" s="25">
        <f t="shared" si="5"/>
        <v>1968912</v>
      </c>
      <c r="N65" s="74" t="s">
        <v>250</v>
      </c>
    </row>
    <row r="66" spans="1:14" s="67" customFormat="1" ht="12.75" x14ac:dyDescent="0.25">
      <c r="A66" s="21">
        <v>57</v>
      </c>
      <c r="B66" s="71" t="s">
        <v>212</v>
      </c>
      <c r="C66" s="71" t="s">
        <v>265</v>
      </c>
      <c r="D66" s="22" t="s">
        <v>298</v>
      </c>
      <c r="E66" s="72" t="s">
        <v>213</v>
      </c>
      <c r="F66" s="71" t="s">
        <v>21</v>
      </c>
      <c r="G66" s="71"/>
      <c r="H66" s="73"/>
      <c r="I66" s="71">
        <v>24</v>
      </c>
      <c r="J66" s="73">
        <f>+I66*L66</f>
        <v>842160</v>
      </c>
      <c r="K66" s="22">
        <f t="shared" si="4"/>
        <v>24</v>
      </c>
      <c r="L66" s="73">
        <v>35090</v>
      </c>
      <c r="M66" s="25">
        <f t="shared" si="5"/>
        <v>842160</v>
      </c>
      <c r="N66" s="74" t="s">
        <v>251</v>
      </c>
    </row>
    <row r="67" spans="1:14" s="67" customFormat="1" ht="12.75" x14ac:dyDescent="0.25">
      <c r="A67" s="21">
        <v>58</v>
      </c>
      <c r="B67" s="71" t="s">
        <v>214</v>
      </c>
      <c r="C67" s="71" t="s">
        <v>265</v>
      </c>
      <c r="D67" s="22" t="s">
        <v>298</v>
      </c>
      <c r="E67" s="72" t="s">
        <v>215</v>
      </c>
      <c r="F67" s="71" t="s">
        <v>207</v>
      </c>
      <c r="G67" s="71"/>
      <c r="H67" s="73"/>
      <c r="I67" s="71">
        <v>1500</v>
      </c>
      <c r="J67" s="73">
        <f>+I67*L67</f>
        <v>885000</v>
      </c>
      <c r="K67" s="22">
        <f t="shared" si="4"/>
        <v>1500</v>
      </c>
      <c r="L67" s="73">
        <v>590</v>
      </c>
      <c r="M67" s="25">
        <f t="shared" si="5"/>
        <v>885000</v>
      </c>
      <c r="N67" s="74" t="s">
        <v>252</v>
      </c>
    </row>
    <row r="68" spans="1:14" s="67" customFormat="1" ht="24" customHeight="1" x14ac:dyDescent="0.25">
      <c r="A68" s="21">
        <v>59</v>
      </c>
      <c r="B68" s="71" t="s">
        <v>208</v>
      </c>
      <c r="C68" s="71" t="s">
        <v>265</v>
      </c>
      <c r="D68" s="22" t="s">
        <v>298</v>
      </c>
      <c r="E68" s="134" t="s">
        <v>209</v>
      </c>
      <c r="F68" s="71" t="s">
        <v>20</v>
      </c>
      <c r="G68" s="71"/>
      <c r="H68" s="73"/>
      <c r="I68" s="71">
        <v>900</v>
      </c>
      <c r="J68" s="73">
        <f>+I68*L68</f>
        <v>3555000</v>
      </c>
      <c r="K68" s="22">
        <f t="shared" si="4"/>
        <v>900</v>
      </c>
      <c r="L68" s="73">
        <v>3950</v>
      </c>
      <c r="M68" s="25">
        <f t="shared" si="5"/>
        <v>3555000</v>
      </c>
      <c r="N68" s="74" t="s">
        <v>249</v>
      </c>
    </row>
    <row r="69" spans="1:14" s="67" customFormat="1" ht="12.75" x14ac:dyDescent="0.25">
      <c r="A69" s="21">
        <v>60</v>
      </c>
      <c r="B69" s="71" t="s">
        <v>118</v>
      </c>
      <c r="C69" s="71" t="s">
        <v>265</v>
      </c>
      <c r="D69" s="22" t="s">
        <v>298</v>
      </c>
      <c r="E69" s="72" t="s">
        <v>177</v>
      </c>
      <c r="F69" s="71" t="s">
        <v>21</v>
      </c>
      <c r="G69" s="71">
        <v>50</v>
      </c>
      <c r="H69" s="73">
        <f>+G69*L69</f>
        <v>2031350</v>
      </c>
      <c r="I69" s="71"/>
      <c r="J69" s="73"/>
      <c r="K69" s="22">
        <f t="shared" si="4"/>
        <v>50</v>
      </c>
      <c r="L69" s="73">
        <v>40627</v>
      </c>
      <c r="M69" s="25">
        <f t="shared" si="5"/>
        <v>2031350</v>
      </c>
      <c r="N69" s="74" t="s">
        <v>146</v>
      </c>
    </row>
    <row r="70" spans="1:14" s="67" customFormat="1" ht="12.75" x14ac:dyDescent="0.25">
      <c r="A70" s="21">
        <v>61</v>
      </c>
      <c r="B70" s="71" t="s">
        <v>118</v>
      </c>
      <c r="C70" s="71" t="s">
        <v>265</v>
      </c>
      <c r="D70" s="22" t="s">
        <v>298</v>
      </c>
      <c r="E70" s="72" t="s">
        <v>177</v>
      </c>
      <c r="F70" s="71" t="s">
        <v>20</v>
      </c>
      <c r="G70" s="71">
        <v>100</v>
      </c>
      <c r="H70" s="73">
        <f>+G70*L70</f>
        <v>400000</v>
      </c>
      <c r="I70" s="71"/>
      <c r="J70" s="73"/>
      <c r="K70" s="22">
        <f t="shared" si="4"/>
        <v>100</v>
      </c>
      <c r="L70" s="73">
        <v>4000</v>
      </c>
      <c r="M70" s="25">
        <f t="shared" si="5"/>
        <v>400000</v>
      </c>
      <c r="N70" s="74" t="s">
        <v>119</v>
      </c>
    </row>
    <row r="71" spans="1:14" s="67" customFormat="1" ht="12.75" x14ac:dyDescent="0.25">
      <c r="A71" s="21">
        <v>62</v>
      </c>
      <c r="B71" s="71" t="s">
        <v>93</v>
      </c>
      <c r="C71" s="71" t="s">
        <v>265</v>
      </c>
      <c r="D71" s="22" t="s">
        <v>299</v>
      </c>
      <c r="E71" s="72" t="s">
        <v>156</v>
      </c>
      <c r="F71" s="71" t="s">
        <v>20</v>
      </c>
      <c r="G71" s="71">
        <v>10</v>
      </c>
      <c r="H71" s="73">
        <f>+G71*L71</f>
        <v>84190</v>
      </c>
      <c r="I71" s="71"/>
      <c r="J71" s="73"/>
      <c r="K71" s="22">
        <f t="shared" si="4"/>
        <v>10</v>
      </c>
      <c r="L71" s="73">
        <v>8419</v>
      </c>
      <c r="M71" s="25">
        <f t="shared" si="5"/>
        <v>84190</v>
      </c>
      <c r="N71" s="74" t="s">
        <v>92</v>
      </c>
    </row>
    <row r="72" spans="1:14" s="67" customFormat="1" ht="12.75" x14ac:dyDescent="0.25">
      <c r="A72" s="21">
        <v>63</v>
      </c>
      <c r="B72" s="71" t="s">
        <v>230</v>
      </c>
      <c r="C72" s="71" t="s">
        <v>205</v>
      </c>
      <c r="D72" s="22" t="s">
        <v>298</v>
      </c>
      <c r="E72" s="72" t="s">
        <v>231</v>
      </c>
      <c r="F72" s="71" t="s">
        <v>21</v>
      </c>
      <c r="G72" s="71"/>
      <c r="H72" s="73"/>
      <c r="I72" s="71">
        <v>5</v>
      </c>
      <c r="J72" s="73">
        <f>+I72*L72</f>
        <v>8305</v>
      </c>
      <c r="K72" s="22">
        <f t="shared" si="4"/>
        <v>5</v>
      </c>
      <c r="L72" s="73">
        <v>1661</v>
      </c>
      <c r="M72" s="25">
        <f t="shared" si="5"/>
        <v>8305</v>
      </c>
      <c r="N72" s="74" t="s">
        <v>313</v>
      </c>
    </row>
    <row r="73" spans="1:14" s="67" customFormat="1" ht="12.75" x14ac:dyDescent="0.25">
      <c r="A73" s="21">
        <v>64</v>
      </c>
      <c r="B73" s="71" t="s">
        <v>139</v>
      </c>
      <c r="C73" s="71" t="s">
        <v>22</v>
      </c>
      <c r="D73" s="22" t="s">
        <v>298</v>
      </c>
      <c r="E73" s="72" t="s">
        <v>198</v>
      </c>
      <c r="F73" s="71" t="s">
        <v>46</v>
      </c>
      <c r="G73" s="71">
        <v>400</v>
      </c>
      <c r="H73" s="73">
        <f>+G73*L73</f>
        <v>1033600</v>
      </c>
      <c r="I73" s="71"/>
      <c r="J73" s="73"/>
      <c r="K73" s="22">
        <f t="shared" si="4"/>
        <v>400</v>
      </c>
      <c r="L73" s="73">
        <v>2584</v>
      </c>
      <c r="M73" s="25">
        <f t="shared" si="5"/>
        <v>1033600</v>
      </c>
      <c r="N73" s="74" t="s">
        <v>148</v>
      </c>
    </row>
    <row r="74" spans="1:14" s="67" customFormat="1" ht="12.75" x14ac:dyDescent="0.25">
      <c r="A74" s="21">
        <v>65</v>
      </c>
      <c r="B74" s="71" t="s">
        <v>139</v>
      </c>
      <c r="C74" s="71" t="s">
        <v>22</v>
      </c>
      <c r="D74" s="22" t="s">
        <v>298</v>
      </c>
      <c r="E74" s="72" t="s">
        <v>198</v>
      </c>
      <c r="F74" s="71" t="s">
        <v>46</v>
      </c>
      <c r="G74" s="71">
        <v>100</v>
      </c>
      <c r="H74" s="73">
        <f>+G74*L74</f>
        <v>216600</v>
      </c>
      <c r="I74" s="71"/>
      <c r="J74" s="73"/>
      <c r="K74" s="22">
        <f t="shared" ref="K74:K92" si="7">+G74+I74</f>
        <v>100</v>
      </c>
      <c r="L74" s="73">
        <v>2166</v>
      </c>
      <c r="M74" s="25">
        <f t="shared" ref="M74:M92" si="8">+K74*L74</f>
        <v>216600</v>
      </c>
      <c r="N74" s="74" t="s">
        <v>149</v>
      </c>
    </row>
    <row r="75" spans="1:14" s="67" customFormat="1" ht="12.75" x14ac:dyDescent="0.25">
      <c r="A75" s="21">
        <v>66</v>
      </c>
      <c r="B75" s="71" t="s">
        <v>138</v>
      </c>
      <c r="C75" s="71" t="s">
        <v>22</v>
      </c>
      <c r="D75" s="22" t="s">
        <v>298</v>
      </c>
      <c r="E75" s="72" t="s">
        <v>199</v>
      </c>
      <c r="F75" s="71" t="s">
        <v>46</v>
      </c>
      <c r="G75" s="71">
        <v>200</v>
      </c>
      <c r="H75" s="73">
        <f>+G75*L75</f>
        <v>737200</v>
      </c>
      <c r="I75" s="71"/>
      <c r="J75" s="73"/>
      <c r="K75" s="22">
        <f t="shared" si="7"/>
        <v>200</v>
      </c>
      <c r="L75" s="73">
        <v>3686</v>
      </c>
      <c r="M75" s="25">
        <f t="shared" si="8"/>
        <v>737200</v>
      </c>
      <c r="N75" s="74" t="s">
        <v>150</v>
      </c>
    </row>
    <row r="76" spans="1:14" s="67" customFormat="1" ht="12.75" x14ac:dyDescent="0.25">
      <c r="A76" s="21">
        <v>67</v>
      </c>
      <c r="B76" s="71" t="s">
        <v>138</v>
      </c>
      <c r="C76" s="71" t="s">
        <v>22</v>
      </c>
      <c r="D76" s="22" t="s">
        <v>298</v>
      </c>
      <c r="E76" s="72" t="s">
        <v>199</v>
      </c>
      <c r="F76" s="71" t="s">
        <v>46</v>
      </c>
      <c r="G76" s="71">
        <v>100</v>
      </c>
      <c r="H76" s="73">
        <f>+G76*L76</f>
        <v>554800</v>
      </c>
      <c r="I76" s="71"/>
      <c r="J76" s="73"/>
      <c r="K76" s="22">
        <f t="shared" si="7"/>
        <v>100</v>
      </c>
      <c r="L76" s="73">
        <v>5548</v>
      </c>
      <c r="M76" s="25">
        <f t="shared" si="8"/>
        <v>554800</v>
      </c>
      <c r="N76" s="74" t="s">
        <v>151</v>
      </c>
    </row>
    <row r="77" spans="1:14" s="67" customFormat="1" ht="12.75" x14ac:dyDescent="0.25">
      <c r="A77" s="21">
        <v>68</v>
      </c>
      <c r="B77" s="71" t="s">
        <v>220</v>
      </c>
      <c r="C77" s="71" t="s">
        <v>205</v>
      </c>
      <c r="D77" s="22" t="s">
        <v>298</v>
      </c>
      <c r="E77" s="72" t="s">
        <v>221</v>
      </c>
      <c r="F77" s="71" t="s">
        <v>46</v>
      </c>
      <c r="G77" s="71"/>
      <c r="H77" s="73"/>
      <c r="I77" s="71">
        <v>2</v>
      </c>
      <c r="J77" s="73">
        <f>+I77*L77</f>
        <v>3080</v>
      </c>
      <c r="K77" s="22">
        <f t="shared" si="7"/>
        <v>2</v>
      </c>
      <c r="L77" s="73">
        <v>1540</v>
      </c>
      <c r="M77" s="25">
        <f t="shared" si="8"/>
        <v>3080</v>
      </c>
      <c r="N77" s="74"/>
    </row>
    <row r="78" spans="1:14" s="67" customFormat="1" ht="12.75" x14ac:dyDescent="0.25">
      <c r="A78" s="21">
        <v>69</v>
      </c>
      <c r="B78" s="71" t="s">
        <v>216</v>
      </c>
      <c r="C78" s="71" t="s">
        <v>205</v>
      </c>
      <c r="D78" s="22" t="s">
        <v>298</v>
      </c>
      <c r="E78" s="72" t="s">
        <v>217</v>
      </c>
      <c r="F78" s="71" t="s">
        <v>46</v>
      </c>
      <c r="G78" s="71"/>
      <c r="H78" s="73"/>
      <c r="I78" s="71">
        <v>2</v>
      </c>
      <c r="J78" s="73">
        <f>+I78*L78</f>
        <v>3080</v>
      </c>
      <c r="K78" s="22">
        <f t="shared" si="7"/>
        <v>2</v>
      </c>
      <c r="L78" s="73">
        <v>1540</v>
      </c>
      <c r="M78" s="25">
        <f t="shared" si="8"/>
        <v>3080</v>
      </c>
      <c r="N78" s="74"/>
    </row>
    <row r="79" spans="1:14" s="67" customFormat="1" ht="12.75" x14ac:dyDescent="0.25">
      <c r="A79" s="21">
        <v>70</v>
      </c>
      <c r="B79" s="71" t="s">
        <v>218</v>
      </c>
      <c r="C79" s="71" t="s">
        <v>205</v>
      </c>
      <c r="D79" s="22" t="s">
        <v>298</v>
      </c>
      <c r="E79" s="72" t="s">
        <v>219</v>
      </c>
      <c r="F79" s="71" t="s">
        <v>46</v>
      </c>
      <c r="G79" s="71"/>
      <c r="H79" s="73"/>
      <c r="I79" s="71">
        <v>2</v>
      </c>
      <c r="J79" s="73">
        <f>+I79*L79</f>
        <v>4408</v>
      </c>
      <c r="K79" s="22">
        <f t="shared" si="7"/>
        <v>2</v>
      </c>
      <c r="L79" s="73">
        <v>2204</v>
      </c>
      <c r="M79" s="25">
        <f t="shared" si="8"/>
        <v>4408</v>
      </c>
      <c r="N79" s="74"/>
    </row>
    <row r="80" spans="1:14" s="67" customFormat="1" ht="12.75" x14ac:dyDescent="0.25">
      <c r="A80" s="21">
        <v>71</v>
      </c>
      <c r="B80" s="71" t="s">
        <v>53</v>
      </c>
      <c r="C80" s="71" t="s">
        <v>22</v>
      </c>
      <c r="D80" s="22" t="s">
        <v>298</v>
      </c>
      <c r="E80" s="72" t="s">
        <v>176</v>
      </c>
      <c r="F80" s="71" t="s">
        <v>20</v>
      </c>
      <c r="G80" s="71">
        <v>5000</v>
      </c>
      <c r="H80" s="73">
        <f>+G80*L80</f>
        <v>145000</v>
      </c>
      <c r="I80" s="71"/>
      <c r="J80" s="73"/>
      <c r="K80" s="22">
        <f t="shared" si="7"/>
        <v>5000</v>
      </c>
      <c r="L80" s="73">
        <v>29</v>
      </c>
      <c r="M80" s="25">
        <f t="shared" si="8"/>
        <v>145000</v>
      </c>
      <c r="N80" s="74" t="s">
        <v>50</v>
      </c>
    </row>
    <row r="81" spans="1:14" s="67" customFormat="1" ht="12.75" x14ac:dyDescent="0.25">
      <c r="A81" s="21">
        <v>72</v>
      </c>
      <c r="B81" s="71" t="s">
        <v>54</v>
      </c>
      <c r="C81" s="71" t="s">
        <v>22</v>
      </c>
      <c r="D81" s="22" t="s">
        <v>298</v>
      </c>
      <c r="E81" s="72" t="s">
        <v>181</v>
      </c>
      <c r="F81" s="71" t="s">
        <v>20</v>
      </c>
      <c r="G81" s="71">
        <v>50000</v>
      </c>
      <c r="H81" s="73">
        <f>+G81*L81</f>
        <v>2200000</v>
      </c>
      <c r="I81" s="71"/>
      <c r="J81" s="73"/>
      <c r="K81" s="22">
        <f t="shared" si="7"/>
        <v>50000</v>
      </c>
      <c r="L81" s="73">
        <v>44</v>
      </c>
      <c r="M81" s="25">
        <f t="shared" si="8"/>
        <v>2200000</v>
      </c>
      <c r="N81" s="74" t="s">
        <v>51</v>
      </c>
    </row>
    <row r="82" spans="1:14" s="67" customFormat="1" ht="12.75" x14ac:dyDescent="0.25">
      <c r="A82" s="21">
        <v>73</v>
      </c>
      <c r="B82" s="71" t="s">
        <v>140</v>
      </c>
      <c r="C82" s="71" t="s">
        <v>22</v>
      </c>
      <c r="D82" s="22" t="s">
        <v>298</v>
      </c>
      <c r="E82" s="72" t="s">
        <v>200</v>
      </c>
      <c r="F82" s="71" t="s">
        <v>20</v>
      </c>
      <c r="G82" s="71">
        <v>20000</v>
      </c>
      <c r="H82" s="73">
        <f>+G82*L82</f>
        <v>640000</v>
      </c>
      <c r="I82" s="71"/>
      <c r="J82" s="73"/>
      <c r="K82" s="22">
        <f t="shared" si="7"/>
        <v>20000</v>
      </c>
      <c r="L82" s="73">
        <v>32</v>
      </c>
      <c r="M82" s="25">
        <f t="shared" si="8"/>
        <v>640000</v>
      </c>
      <c r="N82" s="74" t="s">
        <v>141</v>
      </c>
    </row>
    <row r="83" spans="1:14" s="67" customFormat="1" ht="12.75" x14ac:dyDescent="0.25">
      <c r="A83" s="21">
        <v>74</v>
      </c>
      <c r="B83" s="71" t="s">
        <v>56</v>
      </c>
      <c r="C83" s="71" t="s">
        <v>22</v>
      </c>
      <c r="D83" s="22" t="s">
        <v>298</v>
      </c>
      <c r="E83" s="72" t="s">
        <v>185</v>
      </c>
      <c r="F83" s="71" t="s">
        <v>23</v>
      </c>
      <c r="G83" s="71">
        <v>400</v>
      </c>
      <c r="H83" s="73">
        <f>+G83*L83</f>
        <v>596000</v>
      </c>
      <c r="I83" s="71"/>
      <c r="J83" s="73"/>
      <c r="K83" s="22">
        <f t="shared" si="7"/>
        <v>400</v>
      </c>
      <c r="L83" s="73">
        <v>1490</v>
      </c>
      <c r="M83" s="25">
        <f t="shared" si="8"/>
        <v>596000</v>
      </c>
      <c r="N83" s="74" t="s">
        <v>64</v>
      </c>
    </row>
    <row r="84" spans="1:14" s="67" customFormat="1" ht="12.75" x14ac:dyDescent="0.25">
      <c r="A84" s="21">
        <v>75</v>
      </c>
      <c r="B84" s="71" t="s">
        <v>128</v>
      </c>
      <c r="C84" s="71" t="s">
        <v>22</v>
      </c>
      <c r="D84" s="22" t="s">
        <v>298</v>
      </c>
      <c r="E84" s="72" t="s">
        <v>186</v>
      </c>
      <c r="F84" s="71" t="s">
        <v>23</v>
      </c>
      <c r="G84" s="71">
        <v>200</v>
      </c>
      <c r="H84" s="73">
        <f>+G84*L84</f>
        <v>229000</v>
      </c>
      <c r="I84" s="71"/>
      <c r="J84" s="73"/>
      <c r="K84" s="22">
        <f t="shared" si="7"/>
        <v>200</v>
      </c>
      <c r="L84" s="73">
        <v>1145</v>
      </c>
      <c r="M84" s="25">
        <f t="shared" si="8"/>
        <v>229000</v>
      </c>
      <c r="N84" s="74" t="s">
        <v>65</v>
      </c>
    </row>
    <row r="85" spans="1:14" s="27" customFormat="1" ht="12.75" x14ac:dyDescent="0.2">
      <c r="A85" s="21">
        <v>76</v>
      </c>
      <c r="B85" s="71" t="s">
        <v>236</v>
      </c>
      <c r="C85" s="71" t="s">
        <v>205</v>
      </c>
      <c r="D85" s="22" t="s">
        <v>298</v>
      </c>
      <c r="E85" s="72" t="s">
        <v>237</v>
      </c>
      <c r="F85" s="71" t="s">
        <v>21</v>
      </c>
      <c r="G85" s="71"/>
      <c r="H85" s="73"/>
      <c r="I85" s="71">
        <v>2</v>
      </c>
      <c r="J85" s="73">
        <f>+I85*L85</f>
        <v>27400</v>
      </c>
      <c r="K85" s="22">
        <f t="shared" si="7"/>
        <v>2</v>
      </c>
      <c r="L85" s="73">
        <v>13700</v>
      </c>
      <c r="M85" s="25">
        <f t="shared" si="8"/>
        <v>27400</v>
      </c>
      <c r="N85" s="74" t="s">
        <v>257</v>
      </c>
    </row>
    <row r="86" spans="1:14" s="27" customFormat="1" ht="12.75" x14ac:dyDescent="0.2">
      <c r="A86" s="21">
        <v>77</v>
      </c>
      <c r="B86" s="71" t="s">
        <v>238</v>
      </c>
      <c r="C86" s="71" t="s">
        <v>205</v>
      </c>
      <c r="D86" s="22" t="s">
        <v>298</v>
      </c>
      <c r="E86" s="72" t="s">
        <v>239</v>
      </c>
      <c r="F86" s="71" t="s">
        <v>46</v>
      </c>
      <c r="G86" s="71"/>
      <c r="H86" s="73"/>
      <c r="I86" s="71">
        <v>10</v>
      </c>
      <c r="J86" s="73">
        <f>+I86*L86</f>
        <v>35580</v>
      </c>
      <c r="K86" s="22">
        <f t="shared" si="7"/>
        <v>10</v>
      </c>
      <c r="L86" s="73">
        <v>3558</v>
      </c>
      <c r="M86" s="25">
        <f t="shared" si="8"/>
        <v>35580</v>
      </c>
      <c r="N86" s="74" t="s">
        <v>258</v>
      </c>
    </row>
    <row r="87" spans="1:14" s="27" customFormat="1" ht="12.75" x14ac:dyDescent="0.2">
      <c r="A87" s="21">
        <v>78</v>
      </c>
      <c r="B87" s="71" t="s">
        <v>234</v>
      </c>
      <c r="C87" s="71" t="s">
        <v>205</v>
      </c>
      <c r="D87" s="22" t="s">
        <v>298</v>
      </c>
      <c r="E87" s="72" t="s">
        <v>235</v>
      </c>
      <c r="F87" s="71" t="s">
        <v>21</v>
      </c>
      <c r="G87" s="71"/>
      <c r="H87" s="73"/>
      <c r="I87" s="71">
        <v>2</v>
      </c>
      <c r="J87" s="73">
        <f>+I87*L87</f>
        <v>27400</v>
      </c>
      <c r="K87" s="22">
        <f t="shared" si="7"/>
        <v>2</v>
      </c>
      <c r="L87" s="73">
        <v>13700</v>
      </c>
      <c r="M87" s="25">
        <f t="shared" si="8"/>
        <v>27400</v>
      </c>
      <c r="N87" s="74" t="s">
        <v>256</v>
      </c>
    </row>
    <row r="88" spans="1:14" s="27" customFormat="1" ht="12.75" x14ac:dyDescent="0.2">
      <c r="A88" s="21">
        <v>79</v>
      </c>
      <c r="B88" s="71" t="s">
        <v>232</v>
      </c>
      <c r="C88" s="71" t="s">
        <v>205</v>
      </c>
      <c r="D88" s="22" t="s">
        <v>298</v>
      </c>
      <c r="E88" s="72" t="s">
        <v>233</v>
      </c>
      <c r="F88" s="71" t="s">
        <v>21</v>
      </c>
      <c r="G88" s="71"/>
      <c r="H88" s="73"/>
      <c r="I88" s="71">
        <v>2</v>
      </c>
      <c r="J88" s="73">
        <f>+I88*L88</f>
        <v>26000</v>
      </c>
      <c r="K88" s="22">
        <f t="shared" si="7"/>
        <v>2</v>
      </c>
      <c r="L88" s="73">
        <v>13000</v>
      </c>
      <c r="M88" s="25">
        <f t="shared" si="8"/>
        <v>26000</v>
      </c>
      <c r="N88" s="74" t="s">
        <v>255</v>
      </c>
    </row>
    <row r="89" spans="1:14" s="27" customFormat="1" ht="12.75" x14ac:dyDescent="0.2">
      <c r="A89" s="21">
        <v>80</v>
      </c>
      <c r="B89" s="71" t="s">
        <v>240</v>
      </c>
      <c r="C89" s="71" t="s">
        <v>205</v>
      </c>
      <c r="D89" s="22" t="s">
        <v>298</v>
      </c>
      <c r="E89" s="72" t="s">
        <v>241</v>
      </c>
      <c r="F89" s="71" t="s">
        <v>21</v>
      </c>
      <c r="G89" s="71"/>
      <c r="H89" s="73"/>
      <c r="I89" s="71">
        <v>1</v>
      </c>
      <c r="J89" s="73">
        <f>+I89*L89</f>
        <v>72000</v>
      </c>
      <c r="K89" s="22">
        <f t="shared" si="7"/>
        <v>1</v>
      </c>
      <c r="L89" s="73">
        <v>72000</v>
      </c>
      <c r="M89" s="25">
        <f t="shared" si="8"/>
        <v>72000</v>
      </c>
      <c r="N89" s="74" t="s">
        <v>255</v>
      </c>
    </row>
    <row r="90" spans="1:14" s="27" customFormat="1" ht="12.75" x14ac:dyDescent="0.2">
      <c r="A90" s="21">
        <v>81</v>
      </c>
      <c r="B90" s="71" t="s">
        <v>117</v>
      </c>
      <c r="C90" s="71" t="s">
        <v>22</v>
      </c>
      <c r="D90" s="22" t="s">
        <v>298</v>
      </c>
      <c r="E90" s="72" t="s">
        <v>175</v>
      </c>
      <c r="F90" s="71" t="s">
        <v>61</v>
      </c>
      <c r="G90" s="71">
        <v>30000</v>
      </c>
      <c r="H90" s="73">
        <f>+G90*L90</f>
        <v>2850000</v>
      </c>
      <c r="I90" s="71"/>
      <c r="J90" s="73"/>
      <c r="K90" s="22">
        <f t="shared" si="7"/>
        <v>30000</v>
      </c>
      <c r="L90" s="73">
        <v>95</v>
      </c>
      <c r="M90" s="25">
        <f t="shared" si="8"/>
        <v>2850000</v>
      </c>
      <c r="N90" s="74" t="s">
        <v>145</v>
      </c>
    </row>
    <row r="91" spans="1:14" s="27" customFormat="1" ht="12.75" x14ac:dyDescent="0.2">
      <c r="A91" s="21">
        <v>82</v>
      </c>
      <c r="B91" s="71" t="s">
        <v>143</v>
      </c>
      <c r="C91" s="71" t="s">
        <v>22</v>
      </c>
      <c r="D91" s="22" t="s">
        <v>298</v>
      </c>
      <c r="E91" s="72" t="s">
        <v>202</v>
      </c>
      <c r="F91" s="71" t="s">
        <v>20</v>
      </c>
      <c r="G91" s="71">
        <v>80000</v>
      </c>
      <c r="H91" s="73">
        <f>+G91*L91</f>
        <v>4160000</v>
      </c>
      <c r="I91" s="71"/>
      <c r="J91" s="73"/>
      <c r="K91" s="22">
        <f t="shared" si="7"/>
        <v>80000</v>
      </c>
      <c r="L91" s="73">
        <v>52</v>
      </c>
      <c r="M91" s="25">
        <f t="shared" si="8"/>
        <v>4160000</v>
      </c>
      <c r="N91" s="74" t="s">
        <v>76</v>
      </c>
    </row>
    <row r="92" spans="1:14" s="27" customFormat="1" ht="13.5" thickBot="1" x14ac:dyDescent="0.25">
      <c r="A92" s="21">
        <v>83</v>
      </c>
      <c r="B92" s="75" t="s">
        <v>142</v>
      </c>
      <c r="C92" s="75" t="s">
        <v>22</v>
      </c>
      <c r="D92" s="22" t="s">
        <v>298</v>
      </c>
      <c r="E92" s="76" t="s">
        <v>201</v>
      </c>
      <c r="F92" s="75" t="s">
        <v>20</v>
      </c>
      <c r="G92" s="75">
        <v>10000</v>
      </c>
      <c r="H92" s="77">
        <f>+G92*L92</f>
        <v>320000</v>
      </c>
      <c r="I92" s="75"/>
      <c r="J92" s="77"/>
      <c r="K92" s="22">
        <f t="shared" si="7"/>
        <v>10000</v>
      </c>
      <c r="L92" s="77">
        <v>32</v>
      </c>
      <c r="M92" s="78">
        <f t="shared" si="8"/>
        <v>320000</v>
      </c>
      <c r="N92" s="74" t="s">
        <v>77</v>
      </c>
    </row>
    <row r="93" spans="1:14" s="83" customFormat="1" ht="15.75" customHeight="1" thickBot="1" x14ac:dyDescent="0.25">
      <c r="A93" s="185" t="s">
        <v>267</v>
      </c>
      <c r="B93" s="186"/>
      <c r="C93" s="186"/>
      <c r="D93" s="186"/>
      <c r="E93" s="187"/>
      <c r="F93" s="79"/>
      <c r="G93" s="79"/>
      <c r="H93" s="80">
        <f>SUM(H10:H92)</f>
        <v>41869860</v>
      </c>
      <c r="I93" s="79"/>
      <c r="J93" s="80">
        <f>SUM(J10:J92)</f>
        <v>10006155</v>
      </c>
      <c r="K93" s="79"/>
      <c r="L93" s="80"/>
      <c r="M93" s="81">
        <f>SUM(M10:M92)</f>
        <v>51876015</v>
      </c>
      <c r="N93" s="82"/>
    </row>
    <row r="94" spans="1:14" s="27" customFormat="1" ht="12.75" x14ac:dyDescent="0.2">
      <c r="A94" s="30"/>
      <c r="B94" s="62"/>
      <c r="C94" s="30"/>
      <c r="D94" s="30"/>
      <c r="E94" s="32"/>
      <c r="F94" s="30"/>
      <c r="G94" s="30"/>
      <c r="H94" s="33"/>
      <c r="I94" s="30"/>
      <c r="J94" s="33"/>
      <c r="K94" s="30"/>
      <c r="L94" s="33"/>
      <c r="M94" s="33"/>
      <c r="N94" s="35"/>
    </row>
    <row r="95" spans="1:14" s="27" customFormat="1" ht="13.5" thickBot="1" x14ac:dyDescent="0.25">
      <c r="A95" s="30"/>
      <c r="B95" s="62"/>
      <c r="C95" s="30"/>
      <c r="D95" s="30"/>
      <c r="E95" s="32"/>
      <c r="F95" s="30"/>
      <c r="G95" s="30"/>
      <c r="H95" s="33"/>
      <c r="I95" s="30"/>
      <c r="J95" s="33"/>
      <c r="K95" s="30"/>
      <c r="L95" s="33"/>
      <c r="M95" s="33"/>
      <c r="N95" s="35"/>
    </row>
    <row r="96" spans="1:14" s="131" customFormat="1" ht="89.45" customHeight="1" x14ac:dyDescent="0.25">
      <c r="A96" s="34"/>
      <c r="B96" s="63"/>
      <c r="C96" s="13" t="s">
        <v>39</v>
      </c>
      <c r="D96" s="179" t="s">
        <v>40</v>
      </c>
      <c r="E96" s="180"/>
      <c r="F96" s="34"/>
      <c r="G96" s="34"/>
      <c r="H96" s="34"/>
      <c r="I96" s="34"/>
      <c r="J96" s="34"/>
      <c r="K96" s="44"/>
      <c r="L96" s="45"/>
      <c r="M96" s="45"/>
    </row>
    <row r="97" spans="1:13" s="131" customFormat="1" x14ac:dyDescent="0.25">
      <c r="A97" s="34"/>
      <c r="B97" s="63"/>
      <c r="C97" s="14"/>
      <c r="D97" s="28"/>
      <c r="E97" s="29"/>
      <c r="F97" s="34"/>
      <c r="G97" s="34"/>
      <c r="H97" s="34"/>
      <c r="I97" s="34"/>
      <c r="J97" s="34"/>
      <c r="K97" s="44"/>
      <c r="L97" s="45"/>
      <c r="M97" s="45"/>
    </row>
    <row r="98" spans="1:13" s="131" customFormat="1" ht="15" customHeight="1" x14ac:dyDescent="0.25">
      <c r="A98" s="34"/>
      <c r="B98" s="63"/>
      <c r="C98" s="14" t="s">
        <v>41</v>
      </c>
      <c r="D98" s="181" t="s">
        <v>266</v>
      </c>
      <c r="E98" s="182"/>
      <c r="F98" s="34"/>
      <c r="G98" s="34"/>
      <c r="H98" s="34"/>
      <c r="I98" s="34"/>
      <c r="J98" s="34"/>
      <c r="K98" s="44"/>
      <c r="L98" s="45"/>
      <c r="M98" s="45"/>
    </row>
    <row r="99" spans="1:13" s="131" customFormat="1" x14ac:dyDescent="0.25">
      <c r="A99" s="34"/>
      <c r="B99" s="63"/>
      <c r="C99" s="14"/>
      <c r="D99" s="28"/>
      <c r="E99" s="29"/>
      <c r="F99" s="34"/>
      <c r="G99" s="34"/>
      <c r="H99" s="34"/>
      <c r="I99" s="34"/>
      <c r="J99" s="34"/>
      <c r="K99" s="44"/>
      <c r="L99" s="45"/>
      <c r="M99" s="45"/>
    </row>
    <row r="100" spans="1:13" s="131" customFormat="1" ht="27" customHeight="1" x14ac:dyDescent="0.25">
      <c r="A100" s="34"/>
      <c r="B100" s="63"/>
      <c r="C100" s="188" t="s">
        <v>42</v>
      </c>
      <c r="D100" s="181" t="s">
        <v>317</v>
      </c>
      <c r="E100" s="182"/>
      <c r="F100" s="34"/>
      <c r="G100" s="34"/>
      <c r="H100" s="34"/>
      <c r="I100" s="34"/>
      <c r="J100" s="34"/>
      <c r="K100" s="44"/>
      <c r="L100" s="45"/>
      <c r="M100" s="45"/>
    </row>
    <row r="101" spans="1:13" s="131" customFormat="1" ht="27" customHeight="1" x14ac:dyDescent="0.25">
      <c r="A101" s="34"/>
      <c r="B101" s="63"/>
      <c r="C101" s="188"/>
      <c r="D101" s="181" t="s">
        <v>316</v>
      </c>
      <c r="E101" s="182"/>
      <c r="F101" s="34"/>
      <c r="G101" s="34"/>
      <c r="H101" s="34"/>
      <c r="I101" s="34"/>
      <c r="J101" s="34"/>
      <c r="K101" s="44"/>
      <c r="L101" s="45"/>
      <c r="M101" s="45"/>
    </row>
    <row r="102" spans="1:13" s="131" customFormat="1" x14ac:dyDescent="0.25">
      <c r="A102" s="34"/>
      <c r="B102" s="63"/>
      <c r="C102" s="14"/>
      <c r="D102" s="28"/>
      <c r="E102" s="29"/>
      <c r="F102" s="34"/>
      <c r="G102" s="34"/>
      <c r="H102" s="34"/>
      <c r="I102" s="34"/>
      <c r="J102" s="34"/>
      <c r="K102" s="44"/>
      <c r="L102" s="45"/>
      <c r="M102" s="45"/>
    </row>
    <row r="103" spans="1:13" s="131" customFormat="1" x14ac:dyDescent="0.25">
      <c r="A103" s="34"/>
      <c r="B103" s="63"/>
      <c r="C103" s="14" t="s">
        <v>43</v>
      </c>
      <c r="D103" s="28"/>
      <c r="E103" s="29"/>
      <c r="F103" s="34"/>
      <c r="G103" s="34"/>
      <c r="H103" s="34"/>
      <c r="I103" s="34"/>
      <c r="J103" s="34"/>
      <c r="K103" s="44"/>
      <c r="L103" s="45"/>
      <c r="M103" s="45"/>
    </row>
    <row r="104" spans="1:13" s="133" customFormat="1" x14ac:dyDescent="0.25">
      <c r="A104" s="31"/>
      <c r="B104" s="64"/>
      <c r="C104" s="132"/>
      <c r="D104" s="38"/>
      <c r="E104" s="39"/>
      <c r="F104" s="31"/>
      <c r="G104" s="34"/>
      <c r="H104" s="34"/>
      <c r="I104" s="34"/>
      <c r="J104" s="34"/>
      <c r="K104" s="44"/>
      <c r="L104" s="36"/>
      <c r="M104" s="36"/>
    </row>
    <row r="105" spans="1:13" s="133" customFormat="1" ht="15" customHeight="1" x14ac:dyDescent="0.25">
      <c r="A105" s="31"/>
      <c r="B105" s="64"/>
      <c r="C105" s="132" t="s">
        <v>44</v>
      </c>
      <c r="D105" s="183" t="s">
        <v>45</v>
      </c>
      <c r="E105" s="184"/>
      <c r="F105" s="31"/>
      <c r="G105" s="34"/>
      <c r="H105" s="34"/>
      <c r="I105" s="34"/>
      <c r="J105" s="34"/>
      <c r="K105" s="44"/>
      <c r="L105" s="36"/>
      <c r="M105" s="36"/>
    </row>
    <row r="106" spans="1:13" s="37" customFormat="1" ht="15.75" thickBot="1" x14ac:dyDescent="0.3">
      <c r="A106" s="31"/>
      <c r="B106" s="64"/>
      <c r="C106" s="40"/>
      <c r="D106" s="41"/>
      <c r="E106" s="42"/>
      <c r="F106" s="31"/>
      <c r="G106" s="34"/>
      <c r="H106" s="34"/>
      <c r="I106" s="34"/>
      <c r="J106" s="34"/>
      <c r="K106" s="44"/>
      <c r="L106" s="36"/>
      <c r="M106" s="36"/>
    </row>
    <row r="107" spans="1:13" ht="15.75" thickBot="1" x14ac:dyDescent="0.3"/>
    <row r="108" spans="1:13" x14ac:dyDescent="0.25">
      <c r="C108" s="166" t="s">
        <v>318</v>
      </c>
      <c r="D108" s="167">
        <v>3</v>
      </c>
      <c r="E108" s="168" t="s">
        <v>260</v>
      </c>
    </row>
    <row r="109" spans="1:13" x14ac:dyDescent="0.25">
      <c r="C109" s="169" t="s">
        <v>318</v>
      </c>
      <c r="D109" s="170">
        <v>4</v>
      </c>
      <c r="E109" s="171" t="s">
        <v>59</v>
      </c>
    </row>
    <row r="110" spans="1:13" x14ac:dyDescent="0.25">
      <c r="C110" s="169" t="s">
        <v>318</v>
      </c>
      <c r="D110" s="170">
        <v>5</v>
      </c>
      <c r="E110" s="171" t="s">
        <v>253</v>
      </c>
    </row>
    <row r="111" spans="1:13" x14ac:dyDescent="0.25">
      <c r="C111" s="169" t="s">
        <v>318</v>
      </c>
      <c r="D111" s="170">
        <v>6</v>
      </c>
      <c r="E111" s="171" t="s">
        <v>94</v>
      </c>
    </row>
    <row r="112" spans="1:13" x14ac:dyDescent="0.25">
      <c r="C112" s="169" t="s">
        <v>318</v>
      </c>
      <c r="D112" s="170">
        <v>7</v>
      </c>
      <c r="E112" s="171" t="s">
        <v>71</v>
      </c>
    </row>
    <row r="113" spans="3:5" x14ac:dyDescent="0.25">
      <c r="C113" s="169" t="s">
        <v>318</v>
      </c>
      <c r="D113" s="170">
        <v>8</v>
      </c>
      <c r="E113" s="171" t="s">
        <v>248</v>
      </c>
    </row>
    <row r="114" spans="3:5" x14ac:dyDescent="0.25">
      <c r="C114" s="169" t="s">
        <v>318</v>
      </c>
      <c r="D114" s="170">
        <v>9</v>
      </c>
      <c r="E114" s="171" t="s">
        <v>259</v>
      </c>
    </row>
    <row r="115" spans="3:5" x14ac:dyDescent="0.25">
      <c r="C115" s="169" t="s">
        <v>318</v>
      </c>
      <c r="D115" s="170">
        <v>10</v>
      </c>
      <c r="E115" s="171" t="s">
        <v>89</v>
      </c>
    </row>
    <row r="116" spans="3:5" x14ac:dyDescent="0.25">
      <c r="C116" s="169" t="s">
        <v>318</v>
      </c>
      <c r="D116" s="170">
        <v>11</v>
      </c>
      <c r="E116" s="171" t="s">
        <v>120</v>
      </c>
    </row>
    <row r="117" spans="3:5" x14ac:dyDescent="0.25">
      <c r="C117" s="169" t="s">
        <v>318</v>
      </c>
      <c r="D117" s="170">
        <v>12</v>
      </c>
      <c r="E117" s="171" t="s">
        <v>47</v>
      </c>
    </row>
    <row r="118" spans="3:5" x14ac:dyDescent="0.25">
      <c r="C118" s="169" t="s">
        <v>318</v>
      </c>
      <c r="D118" s="170">
        <v>15</v>
      </c>
      <c r="E118" s="171" t="s">
        <v>48</v>
      </c>
    </row>
    <row r="119" spans="3:5" x14ac:dyDescent="0.25">
      <c r="C119" s="169" t="s">
        <v>318</v>
      </c>
      <c r="D119" s="170">
        <v>16</v>
      </c>
      <c r="E119" s="171" t="s">
        <v>62</v>
      </c>
    </row>
    <row r="120" spans="3:5" x14ac:dyDescent="0.25">
      <c r="C120" s="169" t="s">
        <v>318</v>
      </c>
      <c r="D120" s="170">
        <v>17</v>
      </c>
      <c r="E120" s="171" t="s">
        <v>99</v>
      </c>
    </row>
    <row r="121" spans="3:5" x14ac:dyDescent="0.25">
      <c r="C121" s="169" t="s">
        <v>318</v>
      </c>
      <c r="D121" s="170">
        <v>18</v>
      </c>
      <c r="E121" s="171" t="s">
        <v>100</v>
      </c>
    </row>
    <row r="122" spans="3:5" x14ac:dyDescent="0.25">
      <c r="C122" s="169" t="s">
        <v>318</v>
      </c>
      <c r="D122" s="170">
        <v>19</v>
      </c>
      <c r="E122" s="171" t="s">
        <v>91</v>
      </c>
    </row>
    <row r="123" spans="3:5" x14ac:dyDescent="0.25">
      <c r="C123" s="169" t="s">
        <v>318</v>
      </c>
      <c r="D123" s="170">
        <v>20</v>
      </c>
      <c r="E123" s="171" t="s">
        <v>108</v>
      </c>
    </row>
    <row r="124" spans="3:5" x14ac:dyDescent="0.25">
      <c r="C124" s="169" t="s">
        <v>318</v>
      </c>
      <c r="D124" s="170">
        <v>21</v>
      </c>
      <c r="E124" s="171" t="s">
        <v>254</v>
      </c>
    </row>
    <row r="125" spans="3:5" x14ac:dyDescent="0.25">
      <c r="C125" s="169" t="s">
        <v>318</v>
      </c>
      <c r="D125" s="170">
        <v>22</v>
      </c>
      <c r="E125" s="171" t="s">
        <v>168</v>
      </c>
    </row>
    <row r="126" spans="3:5" x14ac:dyDescent="0.25">
      <c r="C126" s="169" t="s">
        <v>318</v>
      </c>
      <c r="D126" s="170">
        <v>23</v>
      </c>
      <c r="E126" s="171" t="s">
        <v>49</v>
      </c>
    </row>
    <row r="127" spans="3:5" x14ac:dyDescent="0.25">
      <c r="C127" s="169" t="s">
        <v>318</v>
      </c>
      <c r="D127" s="170">
        <v>24</v>
      </c>
      <c r="E127" s="171" t="s">
        <v>106</v>
      </c>
    </row>
    <row r="128" spans="3:5" x14ac:dyDescent="0.25">
      <c r="C128" s="169" t="s">
        <v>318</v>
      </c>
      <c r="D128" s="170">
        <v>25</v>
      </c>
      <c r="E128" s="171" t="s">
        <v>103</v>
      </c>
    </row>
    <row r="129" spans="3:5" x14ac:dyDescent="0.25">
      <c r="C129" s="169" t="s">
        <v>318</v>
      </c>
      <c r="D129" s="170">
        <v>26</v>
      </c>
      <c r="E129" s="171" t="s">
        <v>107</v>
      </c>
    </row>
    <row r="130" spans="3:5" x14ac:dyDescent="0.25">
      <c r="C130" s="169" t="s">
        <v>318</v>
      </c>
      <c r="D130" s="170">
        <v>27</v>
      </c>
      <c r="E130" s="171" t="s">
        <v>115</v>
      </c>
    </row>
    <row r="131" spans="3:5" x14ac:dyDescent="0.25">
      <c r="C131" s="169" t="s">
        <v>318</v>
      </c>
      <c r="D131" s="170">
        <v>28</v>
      </c>
      <c r="E131" s="171" t="s">
        <v>75</v>
      </c>
    </row>
    <row r="132" spans="3:5" x14ac:dyDescent="0.25">
      <c r="C132" s="169" t="s">
        <v>318</v>
      </c>
      <c r="D132" s="170">
        <v>29</v>
      </c>
      <c r="E132" s="171" t="s">
        <v>73</v>
      </c>
    </row>
    <row r="133" spans="3:5" x14ac:dyDescent="0.25">
      <c r="C133" s="169" t="s">
        <v>318</v>
      </c>
      <c r="D133" s="170">
        <v>30</v>
      </c>
      <c r="E133" s="171" t="s">
        <v>74</v>
      </c>
    </row>
    <row r="134" spans="3:5" x14ac:dyDescent="0.25">
      <c r="C134" s="169" t="s">
        <v>318</v>
      </c>
      <c r="D134" s="170">
        <v>31</v>
      </c>
      <c r="E134" s="171" t="s">
        <v>85</v>
      </c>
    </row>
    <row r="135" spans="3:5" x14ac:dyDescent="0.25">
      <c r="C135" s="169" t="s">
        <v>318</v>
      </c>
      <c r="D135" s="170">
        <v>32</v>
      </c>
      <c r="E135" s="171" t="s">
        <v>63</v>
      </c>
    </row>
    <row r="136" spans="3:5" x14ac:dyDescent="0.25">
      <c r="C136" s="169" t="s">
        <v>318</v>
      </c>
      <c r="D136" s="170">
        <v>33</v>
      </c>
      <c r="E136" s="171" t="s">
        <v>84</v>
      </c>
    </row>
    <row r="137" spans="3:5" x14ac:dyDescent="0.25">
      <c r="C137" s="169" t="s">
        <v>318</v>
      </c>
      <c r="D137" s="170">
        <v>34</v>
      </c>
      <c r="E137" s="171" t="s">
        <v>152</v>
      </c>
    </row>
    <row r="138" spans="3:5" x14ac:dyDescent="0.25">
      <c r="C138" s="169" t="s">
        <v>318</v>
      </c>
      <c r="D138" s="170">
        <v>35</v>
      </c>
      <c r="E138" s="171" t="s">
        <v>67</v>
      </c>
    </row>
    <row r="139" spans="3:5" x14ac:dyDescent="0.25">
      <c r="C139" s="169" t="s">
        <v>318</v>
      </c>
      <c r="D139" s="170">
        <v>36</v>
      </c>
      <c r="E139" s="171" t="s">
        <v>132</v>
      </c>
    </row>
    <row r="140" spans="3:5" x14ac:dyDescent="0.25">
      <c r="C140" s="169" t="s">
        <v>318</v>
      </c>
      <c r="D140" s="170">
        <v>37</v>
      </c>
      <c r="E140" s="171" t="s">
        <v>66</v>
      </c>
    </row>
    <row r="141" spans="3:5" x14ac:dyDescent="0.25">
      <c r="C141" s="169" t="s">
        <v>318</v>
      </c>
      <c r="D141" s="170">
        <v>38</v>
      </c>
      <c r="E141" s="171" t="s">
        <v>68</v>
      </c>
    </row>
    <row r="142" spans="3:5" x14ac:dyDescent="0.25">
      <c r="C142" s="169" t="s">
        <v>318</v>
      </c>
      <c r="D142" s="170">
        <v>39</v>
      </c>
      <c r="E142" s="171" t="s">
        <v>261</v>
      </c>
    </row>
    <row r="143" spans="3:5" x14ac:dyDescent="0.25">
      <c r="C143" s="169" t="s">
        <v>318</v>
      </c>
      <c r="D143" s="170">
        <v>40</v>
      </c>
      <c r="E143" s="171" t="s">
        <v>261</v>
      </c>
    </row>
    <row r="144" spans="3:5" x14ac:dyDescent="0.25">
      <c r="C144" s="169" t="s">
        <v>318</v>
      </c>
      <c r="D144" s="170">
        <v>41</v>
      </c>
      <c r="E144" s="171" t="s">
        <v>60</v>
      </c>
    </row>
    <row r="145" spans="3:5" x14ac:dyDescent="0.25">
      <c r="C145" s="169" t="s">
        <v>318</v>
      </c>
      <c r="D145" s="170">
        <v>42</v>
      </c>
      <c r="E145" s="171" t="s">
        <v>126</v>
      </c>
    </row>
    <row r="146" spans="3:5" x14ac:dyDescent="0.25">
      <c r="C146" s="169" t="s">
        <v>318</v>
      </c>
      <c r="D146" s="170">
        <v>43</v>
      </c>
      <c r="E146" s="171" t="s">
        <v>113</v>
      </c>
    </row>
    <row r="147" spans="3:5" x14ac:dyDescent="0.25">
      <c r="C147" s="169" t="s">
        <v>318</v>
      </c>
      <c r="D147" s="170">
        <v>44</v>
      </c>
      <c r="E147" s="171" t="s">
        <v>262</v>
      </c>
    </row>
    <row r="148" spans="3:5" x14ac:dyDescent="0.25">
      <c r="C148" s="169" t="s">
        <v>318</v>
      </c>
      <c r="D148" s="170">
        <v>45</v>
      </c>
      <c r="E148" s="171" t="s">
        <v>114</v>
      </c>
    </row>
    <row r="149" spans="3:5" x14ac:dyDescent="0.25">
      <c r="C149" s="169" t="s">
        <v>318</v>
      </c>
      <c r="D149" s="170">
        <v>46</v>
      </c>
      <c r="E149" s="171" t="s">
        <v>263</v>
      </c>
    </row>
    <row r="150" spans="3:5" x14ac:dyDescent="0.25">
      <c r="C150" s="169" t="s">
        <v>318</v>
      </c>
      <c r="D150" s="170">
        <v>47</v>
      </c>
      <c r="E150" s="171" t="s">
        <v>147</v>
      </c>
    </row>
    <row r="151" spans="3:5" x14ac:dyDescent="0.25">
      <c r="C151" s="169" t="s">
        <v>318</v>
      </c>
      <c r="D151" s="170">
        <v>49</v>
      </c>
      <c r="E151" s="171" t="s">
        <v>69</v>
      </c>
    </row>
    <row r="152" spans="3:5" x14ac:dyDescent="0.25">
      <c r="C152" s="169" t="s">
        <v>318</v>
      </c>
      <c r="D152" s="170">
        <v>50</v>
      </c>
      <c r="E152" s="171" t="s">
        <v>70</v>
      </c>
    </row>
    <row r="153" spans="3:5" x14ac:dyDescent="0.25">
      <c r="C153" s="169" t="s">
        <v>318</v>
      </c>
      <c r="D153" s="170">
        <v>51</v>
      </c>
      <c r="E153" s="171" t="s">
        <v>264</v>
      </c>
    </row>
    <row r="154" spans="3:5" x14ac:dyDescent="0.25">
      <c r="C154" s="169" t="s">
        <v>318</v>
      </c>
      <c r="D154" s="170">
        <v>52</v>
      </c>
      <c r="E154" s="171" t="s">
        <v>79</v>
      </c>
    </row>
    <row r="155" spans="3:5" x14ac:dyDescent="0.25">
      <c r="C155" s="169" t="s">
        <v>318</v>
      </c>
      <c r="D155" s="170">
        <v>53</v>
      </c>
      <c r="E155" s="171" t="s">
        <v>83</v>
      </c>
    </row>
    <row r="156" spans="3:5" x14ac:dyDescent="0.25">
      <c r="C156" s="169" t="s">
        <v>318</v>
      </c>
      <c r="D156" s="170">
        <v>54</v>
      </c>
      <c r="E156" s="171" t="s">
        <v>81</v>
      </c>
    </row>
    <row r="157" spans="3:5" x14ac:dyDescent="0.25">
      <c r="C157" s="169" t="s">
        <v>318</v>
      </c>
      <c r="D157" s="170">
        <v>55</v>
      </c>
      <c r="E157" s="171" t="s">
        <v>72</v>
      </c>
    </row>
    <row r="158" spans="3:5" x14ac:dyDescent="0.25">
      <c r="C158" s="169" t="s">
        <v>318</v>
      </c>
      <c r="D158" s="170">
        <v>56</v>
      </c>
      <c r="E158" s="171" t="s">
        <v>250</v>
      </c>
    </row>
    <row r="159" spans="3:5" x14ac:dyDescent="0.25">
      <c r="C159" s="169" t="s">
        <v>318</v>
      </c>
      <c r="D159" s="170">
        <v>57</v>
      </c>
      <c r="E159" s="171" t="s">
        <v>251</v>
      </c>
    </row>
    <row r="160" spans="3:5" x14ac:dyDescent="0.25">
      <c r="C160" s="169" t="s">
        <v>318</v>
      </c>
      <c r="D160" s="170">
        <v>58</v>
      </c>
      <c r="E160" s="171" t="s">
        <v>252</v>
      </c>
    </row>
    <row r="161" spans="3:5" x14ac:dyDescent="0.25">
      <c r="C161" s="169" t="s">
        <v>318</v>
      </c>
      <c r="D161" s="170">
        <v>59</v>
      </c>
      <c r="E161" s="171" t="s">
        <v>249</v>
      </c>
    </row>
    <row r="162" spans="3:5" x14ac:dyDescent="0.25">
      <c r="C162" s="169" t="s">
        <v>318</v>
      </c>
      <c r="D162" s="170">
        <v>60</v>
      </c>
      <c r="E162" s="171" t="s">
        <v>146</v>
      </c>
    </row>
    <row r="163" spans="3:5" x14ac:dyDescent="0.25">
      <c r="C163" s="169" t="s">
        <v>318</v>
      </c>
      <c r="D163" s="170">
        <v>61</v>
      </c>
      <c r="E163" s="171" t="s">
        <v>119</v>
      </c>
    </row>
    <row r="164" spans="3:5" x14ac:dyDescent="0.25">
      <c r="C164" s="169" t="s">
        <v>318</v>
      </c>
      <c r="D164" s="170">
        <v>62</v>
      </c>
      <c r="E164" s="171" t="s">
        <v>92</v>
      </c>
    </row>
    <row r="165" spans="3:5" x14ac:dyDescent="0.25">
      <c r="C165" s="169" t="s">
        <v>318</v>
      </c>
      <c r="D165" s="170">
        <v>63</v>
      </c>
      <c r="E165" s="171" t="s">
        <v>313</v>
      </c>
    </row>
    <row r="166" spans="3:5" x14ac:dyDescent="0.25">
      <c r="C166" s="169" t="s">
        <v>318</v>
      </c>
      <c r="D166" s="170">
        <v>64</v>
      </c>
      <c r="E166" s="171" t="s">
        <v>148</v>
      </c>
    </row>
    <row r="167" spans="3:5" x14ac:dyDescent="0.25">
      <c r="C167" s="169" t="s">
        <v>318</v>
      </c>
      <c r="D167" s="170">
        <v>65</v>
      </c>
      <c r="E167" s="171" t="s">
        <v>149</v>
      </c>
    </row>
    <row r="168" spans="3:5" x14ac:dyDescent="0.25">
      <c r="C168" s="169" t="s">
        <v>318</v>
      </c>
      <c r="D168" s="170">
        <v>66</v>
      </c>
      <c r="E168" s="171" t="s">
        <v>150</v>
      </c>
    </row>
    <row r="169" spans="3:5" x14ac:dyDescent="0.25">
      <c r="C169" s="169" t="s">
        <v>318</v>
      </c>
      <c r="D169" s="170">
        <v>67</v>
      </c>
      <c r="E169" s="171" t="s">
        <v>151</v>
      </c>
    </row>
    <row r="170" spans="3:5" x14ac:dyDescent="0.25">
      <c r="C170" s="169" t="s">
        <v>318</v>
      </c>
      <c r="D170" s="170">
        <v>71</v>
      </c>
      <c r="E170" s="171" t="s">
        <v>50</v>
      </c>
    </row>
    <row r="171" spans="3:5" x14ac:dyDescent="0.25">
      <c r="C171" s="169" t="s">
        <v>318</v>
      </c>
      <c r="D171" s="170">
        <v>72</v>
      </c>
      <c r="E171" s="171" t="s">
        <v>51</v>
      </c>
    </row>
    <row r="172" spans="3:5" x14ac:dyDescent="0.25">
      <c r="C172" s="169" t="s">
        <v>318</v>
      </c>
      <c r="D172" s="170">
        <v>73</v>
      </c>
      <c r="E172" s="171" t="s">
        <v>141</v>
      </c>
    </row>
    <row r="173" spans="3:5" x14ac:dyDescent="0.25">
      <c r="C173" s="169" t="s">
        <v>318</v>
      </c>
      <c r="D173" s="170">
        <v>74</v>
      </c>
      <c r="E173" s="171" t="s">
        <v>64</v>
      </c>
    </row>
    <row r="174" spans="3:5" x14ac:dyDescent="0.25">
      <c r="C174" s="169" t="s">
        <v>318</v>
      </c>
      <c r="D174" s="170">
        <v>75</v>
      </c>
      <c r="E174" s="171" t="s">
        <v>65</v>
      </c>
    </row>
    <row r="175" spans="3:5" x14ac:dyDescent="0.25">
      <c r="C175" s="169" t="s">
        <v>318</v>
      </c>
      <c r="D175" s="170">
        <v>76</v>
      </c>
      <c r="E175" s="171" t="s">
        <v>257</v>
      </c>
    </row>
    <row r="176" spans="3:5" x14ac:dyDescent="0.25">
      <c r="C176" s="169" t="s">
        <v>318</v>
      </c>
      <c r="D176" s="170">
        <v>77</v>
      </c>
      <c r="E176" s="171" t="s">
        <v>258</v>
      </c>
    </row>
    <row r="177" spans="3:5" x14ac:dyDescent="0.25">
      <c r="C177" s="169" t="s">
        <v>318</v>
      </c>
      <c r="D177" s="170">
        <v>78</v>
      </c>
      <c r="E177" s="171" t="s">
        <v>256</v>
      </c>
    </row>
    <row r="178" spans="3:5" x14ac:dyDescent="0.25">
      <c r="C178" s="169" t="s">
        <v>318</v>
      </c>
      <c r="D178" s="170">
        <v>79</v>
      </c>
      <c r="E178" s="171" t="s">
        <v>255</v>
      </c>
    </row>
    <row r="179" spans="3:5" x14ac:dyDescent="0.25">
      <c r="C179" s="169" t="s">
        <v>318</v>
      </c>
      <c r="D179" s="170">
        <v>80</v>
      </c>
      <c r="E179" s="171" t="s">
        <v>255</v>
      </c>
    </row>
    <row r="180" spans="3:5" x14ac:dyDescent="0.25">
      <c r="C180" s="169" t="s">
        <v>318</v>
      </c>
      <c r="D180" s="170">
        <v>81</v>
      </c>
      <c r="E180" s="171" t="s">
        <v>145</v>
      </c>
    </row>
    <row r="181" spans="3:5" x14ac:dyDescent="0.25">
      <c r="C181" s="169" t="s">
        <v>318</v>
      </c>
      <c r="D181" s="170">
        <v>82</v>
      </c>
      <c r="E181" s="171" t="s">
        <v>76</v>
      </c>
    </row>
    <row r="182" spans="3:5" ht="15.75" thickBot="1" x14ac:dyDescent="0.3">
      <c r="C182" s="172" t="s">
        <v>318</v>
      </c>
      <c r="D182" s="173">
        <v>83</v>
      </c>
      <c r="E182" s="174" t="s">
        <v>77</v>
      </c>
    </row>
  </sheetData>
  <sortState ref="A10:N92">
    <sortCondition ref="E10"/>
  </sortState>
  <mergeCells count="12">
    <mergeCell ref="D96:E96"/>
    <mergeCell ref="D100:E100"/>
    <mergeCell ref="D105:E105"/>
    <mergeCell ref="D98:E98"/>
    <mergeCell ref="A93:E93"/>
    <mergeCell ref="D101:E101"/>
    <mergeCell ref="C100:C101"/>
    <mergeCell ref="A7:B7"/>
    <mergeCell ref="A6:B6"/>
    <mergeCell ref="B2:L2"/>
    <mergeCell ref="A4:B4"/>
    <mergeCell ref="A5:B5"/>
  </mergeCells>
  <conditionalFormatting sqref="C98:C100 C102:C105">
    <cfRule type="duplicateValues" dxfId="5" priority="1"/>
  </conditionalFormatting>
  <conditionalFormatting sqref="C98:C100 C102:C105">
    <cfRule type="duplicateValues" dxfId="4" priority="2"/>
  </conditionalFormatting>
  <conditionalFormatting sqref="C98:C100">
    <cfRule type="duplicateValues" dxfId="3" priority="3"/>
  </conditionalFormatting>
  <conditionalFormatting sqref="C98:C100">
    <cfRule type="duplicateValues" dxfId="2" priority="4"/>
  </conditionalFormatting>
  <conditionalFormatting sqref="B1:B9">
    <cfRule type="duplicateValues" dxfId="1" priority="144"/>
  </conditionalFormatting>
  <conditionalFormatting sqref="B1:B9">
    <cfRule type="duplicateValues" dxfId="0" priority="145"/>
  </conditionalFormatting>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zoomScaleNormal="100" workbookViewId="0">
      <selection activeCell="A75" sqref="A75"/>
    </sheetView>
  </sheetViews>
  <sheetFormatPr baseColWidth="10" defaultColWidth="10.7109375" defaultRowHeight="15" x14ac:dyDescent="0.25"/>
  <cols>
    <col min="1" max="1" width="5.5703125" style="164" customWidth="1"/>
    <col min="2" max="2" width="15.140625" style="164" customWidth="1"/>
    <col min="3" max="3" width="14.140625" style="164" customWidth="1"/>
    <col min="4" max="4" width="26" style="164" customWidth="1"/>
    <col min="5" max="5" width="8" style="164" customWidth="1"/>
    <col min="6" max="6" width="7.85546875" style="164" customWidth="1"/>
    <col min="7" max="7" width="39.140625" style="164" customWidth="1"/>
    <col min="8" max="8" width="9.28515625" style="164" customWidth="1"/>
    <col min="9" max="9" width="15.5703125" style="164" customWidth="1"/>
    <col min="10" max="10" width="14.7109375" style="165" customWidth="1"/>
    <col min="11" max="11" width="15.5703125" style="164" customWidth="1"/>
    <col min="12" max="14" width="17.7109375" style="20" customWidth="1"/>
    <col min="15" max="17" width="15.5703125" style="20" bestFit="1" customWidth="1"/>
  </cols>
  <sheetData>
    <row r="1" spans="1:17" ht="30.75" thickBot="1" x14ac:dyDescent="0.3">
      <c r="A1" s="203" t="s">
        <v>24</v>
      </c>
      <c r="B1" s="203"/>
      <c r="C1" s="203"/>
      <c r="D1" s="203"/>
      <c r="E1" s="203"/>
      <c r="F1" s="203"/>
      <c r="G1" s="203"/>
      <c r="H1" s="203"/>
      <c r="I1" s="203"/>
      <c r="J1" s="135" t="s">
        <v>25</v>
      </c>
      <c r="K1" s="136" t="s">
        <v>270</v>
      </c>
    </row>
    <row r="2" spans="1:17" ht="16.5" thickBot="1" x14ac:dyDescent="0.3">
      <c r="A2" s="137"/>
      <c r="B2" s="138"/>
      <c r="C2" s="138"/>
      <c r="D2" s="139"/>
      <c r="E2" s="139"/>
      <c r="F2" s="139"/>
      <c r="G2" s="139"/>
      <c r="H2" s="139"/>
      <c r="I2" s="139"/>
      <c r="J2" s="140"/>
      <c r="K2" s="141"/>
    </row>
    <row r="3" spans="1:17" ht="16.5" customHeight="1" thickBot="1" x14ac:dyDescent="0.3">
      <c r="A3" s="204" t="s">
        <v>26</v>
      </c>
      <c r="B3" s="204"/>
      <c r="C3" s="204"/>
      <c r="D3" s="142" t="str">
        <f>'SAF 011'!C4</f>
        <v>040 - MINISTERIO DE SALUD</v>
      </c>
      <c r="E3" s="143"/>
      <c r="F3" s="143"/>
      <c r="G3" s="143"/>
      <c r="H3" s="143"/>
      <c r="I3" s="143"/>
      <c r="J3" s="143"/>
      <c r="K3" s="144"/>
    </row>
    <row r="4" spans="1:17" ht="16.5" customHeight="1" thickBot="1" x14ac:dyDescent="0.3">
      <c r="A4" s="205" t="s">
        <v>27</v>
      </c>
      <c r="B4" s="205"/>
      <c r="C4" s="205"/>
      <c r="D4" s="142" t="str">
        <f>'SAF 011'!C5</f>
        <v>011 - DIRECCION PROVINCIAL DE ADMINISTRACION - MINISTERIO DE SALUD</v>
      </c>
      <c r="E4" s="143"/>
      <c r="F4" s="143"/>
      <c r="G4" s="143"/>
      <c r="H4" s="143"/>
      <c r="I4" s="143"/>
      <c r="J4" s="143"/>
      <c r="K4" s="144"/>
    </row>
    <row r="5" spans="1:17" ht="16.5" customHeight="1" thickBot="1" x14ac:dyDescent="0.3">
      <c r="A5" s="205" t="s">
        <v>28</v>
      </c>
      <c r="B5" s="205"/>
      <c r="C5" s="205"/>
      <c r="D5" s="142" t="s">
        <v>269</v>
      </c>
      <c r="E5" s="143"/>
      <c r="F5" s="143"/>
      <c r="G5" s="143"/>
      <c r="H5" s="143"/>
      <c r="I5" s="143"/>
      <c r="J5" s="143"/>
      <c r="K5" s="144"/>
    </row>
    <row r="6" spans="1:17" ht="16.5" customHeight="1" thickBot="1" x14ac:dyDescent="0.3">
      <c r="A6" s="204" t="s">
        <v>29</v>
      </c>
      <c r="B6" s="204"/>
      <c r="C6" s="204"/>
      <c r="D6" s="142" t="s">
        <v>269</v>
      </c>
      <c r="E6" s="143"/>
      <c r="F6" s="143"/>
      <c r="G6" s="143"/>
      <c r="H6" s="143"/>
      <c r="I6" s="143"/>
      <c r="J6" s="143"/>
      <c r="K6" s="144"/>
    </row>
    <row r="7" spans="1:17" ht="16.5" thickBot="1" x14ac:dyDescent="0.3">
      <c r="A7" s="205" t="s">
        <v>30</v>
      </c>
      <c r="B7" s="205"/>
      <c r="C7" s="205"/>
      <c r="D7" s="142" t="s">
        <v>268</v>
      </c>
      <c r="E7" s="143"/>
      <c r="F7" s="143"/>
      <c r="G7" s="143"/>
      <c r="H7" s="143"/>
      <c r="I7" s="143"/>
      <c r="J7" s="143"/>
      <c r="K7" s="144"/>
    </row>
    <row r="8" spans="1:17" ht="16.5" customHeight="1" thickBot="1" x14ac:dyDescent="0.3">
      <c r="A8" s="206" t="s">
        <v>31</v>
      </c>
      <c r="B8" s="206"/>
      <c r="C8" s="206"/>
      <c r="D8" s="145" t="s">
        <v>319</v>
      </c>
      <c r="E8" s="143"/>
      <c r="F8" s="143"/>
      <c r="G8" s="143"/>
      <c r="H8" s="143"/>
      <c r="I8" s="143"/>
      <c r="J8" s="143"/>
      <c r="K8" s="144"/>
    </row>
    <row r="9" spans="1:17" ht="16.5" thickBot="1" x14ac:dyDescent="0.3">
      <c r="A9" s="146"/>
      <c r="B9" s="147"/>
      <c r="C9" s="147"/>
      <c r="D9" s="148"/>
      <c r="E9" s="148"/>
      <c r="F9" s="148"/>
      <c r="G9" s="148"/>
      <c r="H9" s="148"/>
      <c r="I9" s="148"/>
      <c r="J9" s="149"/>
      <c r="K9" s="150"/>
    </row>
    <row r="10" spans="1:17" ht="15.75" thickBot="1" x14ac:dyDescent="0.3">
      <c r="A10" s="201" t="s">
        <v>32</v>
      </c>
      <c r="B10" s="197" t="s">
        <v>33</v>
      </c>
      <c r="C10" s="197" t="s">
        <v>34</v>
      </c>
      <c r="D10" s="197"/>
      <c r="E10" s="197"/>
      <c r="F10" s="197"/>
      <c r="G10" s="197"/>
      <c r="H10" s="197" t="s">
        <v>35</v>
      </c>
      <c r="I10" s="197" t="s">
        <v>36</v>
      </c>
      <c r="J10" s="195" t="s">
        <v>37</v>
      </c>
      <c r="K10" s="192" t="s">
        <v>38</v>
      </c>
    </row>
    <row r="11" spans="1:17" ht="27.75" customHeight="1" thickBot="1" x14ac:dyDescent="0.3">
      <c r="A11" s="202"/>
      <c r="B11" s="198"/>
      <c r="C11" s="198"/>
      <c r="D11" s="198"/>
      <c r="E11" s="198"/>
      <c r="F11" s="198"/>
      <c r="G11" s="198"/>
      <c r="H11" s="198"/>
      <c r="I11" s="198"/>
      <c r="J11" s="196"/>
      <c r="K11" s="193"/>
    </row>
    <row r="12" spans="1:17" s="18" customFormat="1" ht="35.25" customHeight="1" x14ac:dyDescent="0.25">
      <c r="A12" s="151">
        <v>1</v>
      </c>
      <c r="B12" s="152" t="str">
        <f>'SAF 011'!B10</f>
        <v>2.9.5-441.470</v>
      </c>
      <c r="C12" s="194" t="str">
        <f>'SAF 011'!E10</f>
        <v>AGUJAS QUIRURGICAS; TIPO: TERUMO 21GX1", ESPECIFICACION: 25/8, UNIDAD VENTA: CAJA X 100, PRESENTACION: CAJA X 100</v>
      </c>
      <c r="D12" s="194"/>
      <c r="E12" s="194"/>
      <c r="F12" s="194"/>
      <c r="G12" s="194"/>
      <c r="H12" s="152" t="s">
        <v>296</v>
      </c>
      <c r="I12" s="153" t="str">
        <f>'SAF 011'!F10</f>
        <v>CAJA</v>
      </c>
      <c r="J12" s="154">
        <f>'SAF 011'!L10</f>
        <v>3005</v>
      </c>
      <c r="K12" s="155">
        <f>'SAF 011'!G10</f>
        <v>500</v>
      </c>
      <c r="L12" s="19"/>
      <c r="M12" s="19"/>
      <c r="N12" s="19"/>
      <c r="O12" s="19">
        <f t="shared" ref="O12:O67" si="0">+J12*K12</f>
        <v>1502500</v>
      </c>
      <c r="P12" s="129"/>
      <c r="Q12" s="20"/>
    </row>
    <row r="13" spans="1:17" s="18" customFormat="1" ht="35.25" customHeight="1" x14ac:dyDescent="0.25">
      <c r="A13" s="156">
        <v>2</v>
      </c>
      <c r="B13" s="157" t="str">
        <f>'SAF 011'!B11</f>
        <v>2.9.5-441.471</v>
      </c>
      <c r="C13" s="189" t="str">
        <f>'SAF 011'!E11</f>
        <v>AGUJAS QUIRURGICAS; TIPO: TERUMO 25GX5/8", ESPECIFICACION: 16/5, UNIDAD VENTA: CAJA X 100, PRESENTACION: CAJA X 100</v>
      </c>
      <c r="D13" s="190"/>
      <c r="E13" s="190"/>
      <c r="F13" s="190"/>
      <c r="G13" s="191"/>
      <c r="H13" s="157" t="s">
        <v>296</v>
      </c>
      <c r="I13" s="158" t="str">
        <f>'SAF 011'!F11</f>
        <v>CAJA</v>
      </c>
      <c r="J13" s="159">
        <f>'SAF 011'!L11</f>
        <v>3242</v>
      </c>
      <c r="K13" s="160">
        <f>'SAF 011'!G11</f>
        <v>400</v>
      </c>
      <c r="L13" s="19"/>
      <c r="M13" s="19"/>
      <c r="N13" s="19"/>
      <c r="O13" s="19">
        <f t="shared" si="0"/>
        <v>1296800</v>
      </c>
      <c r="P13" s="129"/>
      <c r="Q13" s="20"/>
    </row>
    <row r="14" spans="1:17" s="18" customFormat="1" ht="35.25" customHeight="1" x14ac:dyDescent="0.25">
      <c r="A14" s="156">
        <v>3</v>
      </c>
      <c r="B14" s="157" t="str">
        <f>'SAF 011'!B12</f>
        <v>2.9.5-470.13</v>
      </c>
      <c r="C14" s="189" t="str">
        <f>'SAF 011'!E12</f>
        <v>ALGODONES; TIPO: HIDROFILADO, CAPACIDAD: 500 GR, PRESENTACION: ENVASE X 500 GR</v>
      </c>
      <c r="D14" s="190"/>
      <c r="E14" s="190"/>
      <c r="F14" s="190"/>
      <c r="G14" s="191"/>
      <c r="H14" s="157" t="s">
        <v>295</v>
      </c>
      <c r="I14" s="158" t="str">
        <f>'SAF 011'!F12</f>
        <v>PAQUETE</v>
      </c>
      <c r="J14" s="159">
        <f>'SAF 011'!L12</f>
        <v>862</v>
      </c>
      <c r="K14" s="160">
        <f>'SAF 011'!G12</f>
        <v>200</v>
      </c>
      <c r="L14" s="19"/>
      <c r="M14" s="19"/>
      <c r="N14" s="19"/>
      <c r="O14" s="19">
        <f t="shared" si="0"/>
        <v>172400</v>
      </c>
      <c r="P14" s="129"/>
      <c r="Q14" s="20"/>
    </row>
    <row r="15" spans="1:17" s="18" customFormat="1" ht="35.25" customHeight="1" x14ac:dyDescent="0.25">
      <c r="A15" s="156">
        <v>4</v>
      </c>
      <c r="B15" s="157" t="str">
        <f>'SAF 011'!B13</f>
        <v>2.9.5-5703.15</v>
      </c>
      <c r="C15" s="189" t="str">
        <f>'SAF 011'!E13</f>
        <v>ANSA; PRESENTACION: UNIDAD, TIPO: PLASTICA DESCARTABLE</v>
      </c>
      <c r="D15" s="190"/>
      <c r="E15" s="190"/>
      <c r="F15" s="190"/>
      <c r="G15" s="191"/>
      <c r="H15" s="157" t="s">
        <v>295</v>
      </c>
      <c r="I15" s="158" t="str">
        <f>'SAF 011'!F13</f>
        <v>BOLSA</v>
      </c>
      <c r="J15" s="159">
        <f>'SAF 011'!L13</f>
        <v>475</v>
      </c>
      <c r="K15" s="160">
        <f>'SAF 011'!G13</f>
        <v>100</v>
      </c>
      <c r="L15" s="19"/>
      <c r="M15" s="19"/>
      <c r="N15" s="19"/>
      <c r="O15" s="19">
        <f t="shared" si="0"/>
        <v>47500</v>
      </c>
      <c r="P15" s="129"/>
      <c r="Q15" s="20"/>
    </row>
    <row r="16" spans="1:17" s="18" customFormat="1" ht="35.25" customHeight="1" x14ac:dyDescent="0.25">
      <c r="A16" s="156">
        <v>5</v>
      </c>
      <c r="B16" s="157" t="str">
        <f>'SAF 011'!B15</f>
        <v>2.9.5-427.74</v>
      </c>
      <c r="C16" s="189" t="str">
        <f>'SAF 011'!E15</f>
        <v>APOSITOS; TIPO: POST EXTRACCION SANGUINEA, TAMAÑO: 2 X 7,5 Cm</v>
      </c>
      <c r="D16" s="190"/>
      <c r="E16" s="190"/>
      <c r="F16" s="190"/>
      <c r="G16" s="191"/>
      <c r="H16" s="157" t="s">
        <v>295</v>
      </c>
      <c r="I16" s="158" t="str">
        <f>'SAF 011'!F15</f>
        <v>CAJA</v>
      </c>
      <c r="J16" s="159">
        <f>'SAF 011'!L15</f>
        <v>977</v>
      </c>
      <c r="K16" s="160">
        <f>'SAF 011'!G15</f>
        <v>250</v>
      </c>
      <c r="L16" s="19"/>
      <c r="M16" s="19"/>
      <c r="N16" s="19"/>
      <c r="O16" s="19">
        <f t="shared" si="0"/>
        <v>244250</v>
      </c>
      <c r="P16" s="129"/>
      <c r="Q16" s="20"/>
    </row>
    <row r="17" spans="1:17" s="18" customFormat="1" ht="35.25" customHeight="1" x14ac:dyDescent="0.25">
      <c r="A17" s="156">
        <v>6</v>
      </c>
      <c r="B17" s="157" t="str">
        <f>'SAF 011'!B16</f>
        <v>2.9.5-2505.10</v>
      </c>
      <c r="C17" s="189" t="str">
        <f>'SAF 011'!E16</f>
        <v>BOLSAS COLECTORAS; TIPO: DE ORINA, USO: PEDIATRICO, CAPACIDAD: 100 mL</v>
      </c>
      <c r="D17" s="190"/>
      <c r="E17" s="190"/>
      <c r="F17" s="190"/>
      <c r="G17" s="191"/>
      <c r="H17" s="157" t="s">
        <v>295</v>
      </c>
      <c r="I17" s="158" t="str">
        <f>'SAF 011'!F16</f>
        <v>UNIDAD</v>
      </c>
      <c r="J17" s="159">
        <f>'SAF 011'!L16</f>
        <v>230</v>
      </c>
      <c r="K17" s="160">
        <f>'SAF 011'!G16</f>
        <v>10000</v>
      </c>
      <c r="L17" s="19"/>
      <c r="M17" s="19"/>
      <c r="N17" s="19"/>
      <c r="O17" s="19">
        <f t="shared" si="0"/>
        <v>2300000</v>
      </c>
      <c r="P17" s="129"/>
      <c r="Q17" s="20"/>
    </row>
    <row r="18" spans="1:17" s="18" customFormat="1" ht="35.25" customHeight="1" x14ac:dyDescent="0.25">
      <c r="A18" s="156">
        <v>7</v>
      </c>
      <c r="B18" s="157" t="str">
        <f>'SAF 011'!B19</f>
        <v>2.9.5-4047.6</v>
      </c>
      <c r="C18" s="189" t="str">
        <f>'SAF 011'!E19</f>
        <v>CRIOVIALES; MATERIAL: POLIPROPILENO, VOLUMEN: 5 mL</v>
      </c>
      <c r="D18" s="190"/>
      <c r="E18" s="190"/>
      <c r="F18" s="190"/>
      <c r="G18" s="191"/>
      <c r="H18" s="157" t="s">
        <v>295</v>
      </c>
      <c r="I18" s="158" t="str">
        <f>'SAF 011'!F19</f>
        <v>UNIDAD</v>
      </c>
      <c r="J18" s="159">
        <f>'SAF 011'!L19</f>
        <v>66.400000000000006</v>
      </c>
      <c r="K18" s="160">
        <f>'SAF 011'!G19</f>
        <v>5000</v>
      </c>
      <c r="L18" s="19"/>
      <c r="M18" s="19"/>
      <c r="N18" s="19"/>
      <c r="O18" s="19">
        <f t="shared" si="0"/>
        <v>332000</v>
      </c>
      <c r="P18" s="129"/>
      <c r="Q18" s="20"/>
    </row>
    <row r="19" spans="1:17" s="18" customFormat="1" ht="35.25" customHeight="1" x14ac:dyDescent="0.25">
      <c r="A19" s="156">
        <v>8</v>
      </c>
      <c r="B19" s="157" t="str">
        <f>'SAF 011'!B20</f>
        <v>2.9.5-5410.11</v>
      </c>
      <c r="C19" s="189" t="str">
        <f>'SAF 011'!E20</f>
        <v>CUBETAS DE REACCION; MATERIAL: PLASTICO, CELDAS: 500 C/AGITADOR, USO: COAGULOMETRO</v>
      </c>
      <c r="D19" s="190"/>
      <c r="E19" s="190"/>
      <c r="F19" s="190"/>
      <c r="G19" s="191"/>
      <c r="H19" s="157" t="s">
        <v>295</v>
      </c>
      <c r="I19" s="158" t="str">
        <f>'SAF 011'!F20</f>
        <v>CAJA</v>
      </c>
      <c r="J19" s="159">
        <f>'SAF 011'!L20</f>
        <v>17868</v>
      </c>
      <c r="K19" s="160">
        <f>'SAF 011'!G20</f>
        <v>20</v>
      </c>
      <c r="L19" s="19"/>
      <c r="M19" s="19"/>
      <c r="N19" s="19"/>
      <c r="O19" s="19">
        <f t="shared" si="0"/>
        <v>357360</v>
      </c>
      <c r="P19" s="129"/>
      <c r="Q19" s="20"/>
    </row>
    <row r="20" spans="1:17" s="18" customFormat="1" ht="35.25" customHeight="1" x14ac:dyDescent="0.25">
      <c r="A20" s="156">
        <v>9</v>
      </c>
      <c r="B20" s="157" t="str">
        <f>'SAF 011'!B21</f>
        <v>2.9.5-5410.11</v>
      </c>
      <c r="C20" s="189" t="str">
        <f>'SAF 011'!E21</f>
        <v>CUBETAS DE REACCION; MATERIAL: PLASTICO, CELDAS: 500 C/AGITADOR, USO: COAGULOMETRO</v>
      </c>
      <c r="D20" s="190"/>
      <c r="E20" s="190"/>
      <c r="F20" s="190"/>
      <c r="G20" s="191"/>
      <c r="H20" s="157" t="s">
        <v>295</v>
      </c>
      <c r="I20" s="158" t="str">
        <f>'SAF 011'!F21</f>
        <v>CAJA</v>
      </c>
      <c r="J20" s="159">
        <f>'SAF 011'!L21</f>
        <v>32018</v>
      </c>
      <c r="K20" s="160">
        <f>'SAF 011'!G21</f>
        <v>20</v>
      </c>
      <c r="L20" s="19"/>
      <c r="M20" s="19"/>
      <c r="N20" s="19"/>
      <c r="O20" s="19">
        <f t="shared" si="0"/>
        <v>640360</v>
      </c>
      <c r="P20" s="129"/>
      <c r="Q20" s="20"/>
    </row>
    <row r="21" spans="1:17" s="18" customFormat="1" ht="35.25" customHeight="1" x14ac:dyDescent="0.25">
      <c r="A21" s="156">
        <v>10</v>
      </c>
      <c r="B21" s="157" t="str">
        <f>'SAF 011'!B22</f>
        <v>2.9.5-2557.32</v>
      </c>
      <c r="C21" s="189" t="str">
        <f>'SAF 011'!E22</f>
        <v>CUBREOBJETOS; MATERIAL: VIDRIO, DIMENSION: 20 X 20 mm, PRESENTACION: ENVASE X 200 UN</v>
      </c>
      <c r="D21" s="190"/>
      <c r="E21" s="190"/>
      <c r="F21" s="190"/>
      <c r="G21" s="191"/>
      <c r="H21" s="157" t="s">
        <v>296</v>
      </c>
      <c r="I21" s="158" t="str">
        <f>'SAF 011'!F22</f>
        <v>CAJA</v>
      </c>
      <c r="J21" s="159">
        <f>'SAF 011'!L22</f>
        <v>375</v>
      </c>
      <c r="K21" s="160">
        <f>'SAF 011'!G22</f>
        <v>400</v>
      </c>
      <c r="L21" s="19"/>
      <c r="M21" s="19"/>
      <c r="N21" s="19"/>
      <c r="O21" s="19">
        <f t="shared" si="0"/>
        <v>150000</v>
      </c>
      <c r="P21" s="129"/>
      <c r="Q21" s="20"/>
    </row>
    <row r="22" spans="1:17" s="18" customFormat="1" ht="35.25" customHeight="1" x14ac:dyDescent="0.25">
      <c r="A22" s="156">
        <v>11</v>
      </c>
      <c r="B22" s="157" t="str">
        <f>'SAF 011'!B24</f>
        <v>2.9.2-675.161</v>
      </c>
      <c r="C22" s="189" t="str">
        <f>'SAF 011'!E24</f>
        <v>ETIQUETAS AUTOADHESIVAS; MEDIDA: 80 X 25 mm, PRESENTACION: ROLLO X 380 GR, PAPEL BASE: AUTOADHESIVO</v>
      </c>
      <c r="D22" s="190"/>
      <c r="E22" s="190"/>
      <c r="F22" s="190"/>
      <c r="G22" s="191"/>
      <c r="H22" s="157" t="s">
        <v>295</v>
      </c>
      <c r="I22" s="158" t="str">
        <f>'SAF 011'!F24</f>
        <v>PACK</v>
      </c>
      <c r="J22" s="159">
        <f>'SAF 011'!L24</f>
        <v>2308</v>
      </c>
      <c r="K22" s="160">
        <f>'SAF 011'!G24</f>
        <v>10</v>
      </c>
      <c r="L22" s="19"/>
      <c r="M22" s="19">
        <f t="shared" ref="M22:M50" si="1">+J22*K22</f>
        <v>23080</v>
      </c>
      <c r="N22" s="19"/>
      <c r="O22" s="19"/>
      <c r="P22" s="129"/>
      <c r="Q22" s="20"/>
    </row>
    <row r="23" spans="1:17" s="18" customFormat="1" ht="35.25" customHeight="1" x14ac:dyDescent="0.25">
      <c r="A23" s="156">
        <v>12</v>
      </c>
      <c r="B23" s="157" t="str">
        <f>'SAF 011'!B25</f>
        <v>2.9.5-6877.16</v>
      </c>
      <c r="C23" s="189" t="str">
        <f>'SAF 011'!E25</f>
        <v>FUENTES DE LUZ; USO: ILUMINADOR DE MICROSCOPIO, POTENCIA: 20 W, LAMPARA: LED</v>
      </c>
      <c r="D23" s="190"/>
      <c r="E23" s="190"/>
      <c r="F23" s="190"/>
      <c r="G23" s="191"/>
      <c r="H23" s="157" t="s">
        <v>295</v>
      </c>
      <c r="I23" s="158" t="str">
        <f>'SAF 011'!F25</f>
        <v>UNIDAD</v>
      </c>
      <c r="J23" s="159">
        <f>'SAF 011'!L25</f>
        <v>2207</v>
      </c>
      <c r="K23" s="160">
        <f>'SAF 011'!G25</f>
        <v>50</v>
      </c>
      <c r="L23" s="19"/>
      <c r="M23" s="19"/>
      <c r="N23" s="19"/>
      <c r="O23" s="19">
        <f t="shared" si="0"/>
        <v>110350</v>
      </c>
      <c r="P23" s="129"/>
      <c r="Q23" s="20"/>
    </row>
    <row r="24" spans="1:17" s="18" customFormat="1" ht="35.25" customHeight="1" x14ac:dyDescent="0.25">
      <c r="A24" s="156">
        <v>13</v>
      </c>
      <c r="B24" s="157" t="str">
        <f>'SAF 011'!B26</f>
        <v>2.9.5-3017.27</v>
      </c>
      <c r="C24" s="189" t="str">
        <f>'SAF 011'!E26</f>
        <v>GRADILLAS P/LABORATORIO; TAMAÑO TUBO: 15 X 2 Cm, CANTIDAD DE TUBOS: 36, MATERIAL: ALAMBRE REV.EN RESINA ANTIAD., MEDIDA TUBO: 15 X 2 Cm, CANT. DE ELEMENTOS: 36, MEDIDA: 15 X 2 Cm</v>
      </c>
      <c r="D24" s="190"/>
      <c r="E24" s="190"/>
      <c r="F24" s="190"/>
      <c r="G24" s="191"/>
      <c r="H24" s="157" t="s">
        <v>295</v>
      </c>
      <c r="I24" s="158" t="str">
        <f>'SAF 011'!F26</f>
        <v>UNIDAD</v>
      </c>
      <c r="J24" s="159">
        <f>'SAF 011'!L26</f>
        <v>3336</v>
      </c>
      <c r="K24" s="160">
        <f>'SAF 011'!G26</f>
        <v>40</v>
      </c>
      <c r="L24" s="19"/>
      <c r="M24" s="19"/>
      <c r="N24" s="19"/>
      <c r="O24" s="19">
        <f t="shared" si="0"/>
        <v>133440</v>
      </c>
      <c r="P24" s="129"/>
      <c r="Q24" s="20"/>
    </row>
    <row r="25" spans="1:17" s="18" customFormat="1" ht="35.25" customHeight="1" x14ac:dyDescent="0.25">
      <c r="A25" s="156">
        <v>14</v>
      </c>
      <c r="B25" s="157" t="str">
        <f>'SAF 011'!B27</f>
        <v>2.9.5-3017.45</v>
      </c>
      <c r="C25" s="189" t="str">
        <f>'SAF 011'!E27</f>
        <v>GRADILLAS P/LABORATORIO; TAMAÑO TUBO: 25 mm, CANTIDAD DE TUBOS: 24, MATERIAL: ALAMBRE PLASTIFICADO, MEDIDA TUBO: 25 mm, CANT. DE ELEMENTOS: 24, MEDIDA: 25 mm</v>
      </c>
      <c r="D25" s="190"/>
      <c r="E25" s="190"/>
      <c r="F25" s="190"/>
      <c r="G25" s="191"/>
      <c r="H25" s="157" t="s">
        <v>295</v>
      </c>
      <c r="I25" s="158" t="str">
        <f>'SAF 011'!F27</f>
        <v>UNIDAD</v>
      </c>
      <c r="J25" s="159">
        <f>'SAF 011'!L27</f>
        <v>2704</v>
      </c>
      <c r="K25" s="160">
        <f>'SAF 011'!G27</f>
        <v>40</v>
      </c>
      <c r="L25" s="19"/>
      <c r="M25" s="19"/>
      <c r="N25" s="19"/>
      <c r="O25" s="19">
        <f t="shared" si="0"/>
        <v>108160</v>
      </c>
      <c r="P25" s="129"/>
      <c r="Q25" s="20"/>
    </row>
    <row r="26" spans="1:17" s="18" customFormat="1" ht="35.25" customHeight="1" x14ac:dyDescent="0.25">
      <c r="A26" s="156">
        <v>15</v>
      </c>
      <c r="B26" s="157" t="str">
        <f>'SAF 011'!B28</f>
        <v>2.9.5-3017.36</v>
      </c>
      <c r="C26" s="189" t="str">
        <f>'SAF 011'!E28</f>
        <v>GRADILLAS P/LABORATORIO; TAMAÑO TUBO: DIAM. EXT. 15 mm, CANTIDAD DE TUBOS: 48, MATERIAL: POLIPROPILENO, MEDIDA TUBO: DIAM. EXT. 15 mm, CANT. DE ELEMENTOS: 48, MEDIDA: DIAM. EXT. 15 mm</v>
      </c>
      <c r="D26" s="190"/>
      <c r="E26" s="190"/>
      <c r="F26" s="190"/>
      <c r="G26" s="191"/>
      <c r="H26" s="157" t="s">
        <v>295</v>
      </c>
      <c r="I26" s="158" t="str">
        <f>'SAF 011'!F28</f>
        <v>UNIDAD</v>
      </c>
      <c r="J26" s="159">
        <f>'SAF 011'!L28</f>
        <v>4243</v>
      </c>
      <c r="K26" s="160">
        <f>'SAF 011'!G28</f>
        <v>40</v>
      </c>
      <c r="L26" s="19"/>
      <c r="M26" s="19"/>
      <c r="N26" s="19"/>
      <c r="O26" s="19">
        <f t="shared" si="0"/>
        <v>169720</v>
      </c>
      <c r="P26" s="129"/>
      <c r="Q26" s="20"/>
    </row>
    <row r="27" spans="1:17" s="18" customFormat="1" ht="35.25" customHeight="1" x14ac:dyDescent="0.25">
      <c r="A27" s="156">
        <v>16</v>
      </c>
      <c r="B27" s="157" t="str">
        <f>'SAF 011'!B29</f>
        <v>2.9.5-1909.77</v>
      </c>
      <c r="C27" s="189" t="str">
        <f>'SAF 011'!E29</f>
        <v>GUANTES USO MEDICINAL; TIPO: DESCARTABLE, TAMAÑO: CHICO, MATERIAL: LATEX, PRESENTACION: ENVASE X 100 UN</v>
      </c>
      <c r="D27" s="190"/>
      <c r="E27" s="190"/>
      <c r="F27" s="190"/>
      <c r="G27" s="191"/>
      <c r="H27" s="157" t="s">
        <v>295</v>
      </c>
      <c r="I27" s="158" t="str">
        <f>'SAF 011'!F29</f>
        <v>CAJA</v>
      </c>
      <c r="J27" s="159">
        <f>'SAF 011'!L29</f>
        <v>590</v>
      </c>
      <c r="K27" s="160">
        <f>'SAF 011'!G29</f>
        <v>800</v>
      </c>
      <c r="L27" s="19"/>
      <c r="M27" s="19"/>
      <c r="N27" s="19"/>
      <c r="O27" s="19">
        <f t="shared" si="0"/>
        <v>472000</v>
      </c>
      <c r="P27" s="129"/>
      <c r="Q27" s="20"/>
    </row>
    <row r="28" spans="1:17" s="18" customFormat="1" ht="35.25" customHeight="1" x14ac:dyDescent="0.25">
      <c r="A28" s="156">
        <v>17</v>
      </c>
      <c r="B28" s="157" t="str">
        <f>'SAF 011'!B31</f>
        <v>2.9.5-1909.87</v>
      </c>
      <c r="C28" s="189" t="str">
        <f>'SAF 011'!E31</f>
        <v>GUANTES USO MEDICINAL; TIPO: DESCARTABLE, TAMAÑO: MEDIANO, MATERIAL: LATEX, PRESENTACION: ENVASE X 100 UNID.</v>
      </c>
      <c r="D28" s="190"/>
      <c r="E28" s="190"/>
      <c r="F28" s="190"/>
      <c r="G28" s="191"/>
      <c r="H28" s="157" t="s">
        <v>295</v>
      </c>
      <c r="I28" s="158" t="str">
        <f>'SAF 011'!F31</f>
        <v>CAJA</v>
      </c>
      <c r="J28" s="159">
        <f>'SAF 011'!L31</f>
        <v>590</v>
      </c>
      <c r="K28" s="160">
        <f>'SAF 011'!G31</f>
        <v>800</v>
      </c>
      <c r="L28" s="19"/>
      <c r="M28" s="19"/>
      <c r="N28" s="19"/>
      <c r="O28" s="19">
        <f t="shared" si="0"/>
        <v>472000</v>
      </c>
      <c r="P28" s="129"/>
      <c r="Q28" s="20"/>
    </row>
    <row r="29" spans="1:17" s="18" customFormat="1" ht="35.25" customHeight="1" x14ac:dyDescent="0.25">
      <c r="A29" s="156">
        <v>18</v>
      </c>
      <c r="B29" s="157" t="str">
        <f>'SAF 011'!B32</f>
        <v>2.9.5-1909.96</v>
      </c>
      <c r="C29" s="189" t="str">
        <f>'SAF 011'!E32</f>
        <v>GUANTES USO MEDICINAL; TIPO: MANOPLA, TAMAÑO: MEDIANO, MATERIAL: POLIETILENO, PRESENTACION: ENVASE X 100</v>
      </c>
      <c r="D29" s="190"/>
      <c r="E29" s="190"/>
      <c r="F29" s="190"/>
      <c r="G29" s="191"/>
      <c r="H29" s="157" t="s">
        <v>295</v>
      </c>
      <c r="I29" s="158" t="str">
        <f>'SAF 011'!F32</f>
        <v>BOLSA</v>
      </c>
      <c r="J29" s="159">
        <f>'SAF 011'!L32</f>
        <v>2050</v>
      </c>
      <c r="K29" s="160">
        <f>'SAF 011'!G32</f>
        <v>500</v>
      </c>
      <c r="L29" s="19"/>
      <c r="M29" s="19"/>
      <c r="N29" s="19"/>
      <c r="O29" s="19">
        <f t="shared" si="0"/>
        <v>1025000</v>
      </c>
      <c r="P29" s="129"/>
      <c r="Q29" s="20"/>
    </row>
    <row r="30" spans="1:17" s="18" customFormat="1" ht="35.25" customHeight="1" x14ac:dyDescent="0.25">
      <c r="A30" s="156">
        <v>19</v>
      </c>
      <c r="B30" s="157" t="str">
        <f>'SAF 011'!B33</f>
        <v>2.9.5-1909.84</v>
      </c>
      <c r="C30" s="189" t="str">
        <f>'SAF 011'!E33</f>
        <v>GUANTES USO MEDICINAL; TIPO: P/QUIMICOS, TAMAÑO: CHICO, MATERIAL: NITRILO, PRESENTACION: ENVASE X 100 UN</v>
      </c>
      <c r="D30" s="190"/>
      <c r="E30" s="190"/>
      <c r="F30" s="190"/>
      <c r="G30" s="191"/>
      <c r="H30" s="157" t="s">
        <v>295</v>
      </c>
      <c r="I30" s="158" t="str">
        <f>'SAF 011'!F33</f>
        <v>CAJA</v>
      </c>
      <c r="J30" s="159">
        <f>'SAF 011'!L33</f>
        <v>1378</v>
      </c>
      <c r="K30" s="160">
        <f>'SAF 011'!G33</f>
        <v>400</v>
      </c>
      <c r="L30" s="19"/>
      <c r="M30" s="19"/>
      <c r="N30" s="19"/>
      <c r="O30" s="19">
        <f t="shared" si="0"/>
        <v>551200</v>
      </c>
      <c r="P30" s="129"/>
      <c r="Q30" s="20"/>
    </row>
    <row r="31" spans="1:17" s="18" customFormat="1" ht="35.25" customHeight="1" x14ac:dyDescent="0.25">
      <c r="A31" s="156">
        <v>20</v>
      </c>
      <c r="B31" s="157" t="str">
        <f>'SAF 011'!B34</f>
        <v>2.9.5-1909.82</v>
      </c>
      <c r="C31" s="189" t="str">
        <f>'SAF 011'!E34</f>
        <v>GUANTES USO MEDICINAL; TIPO: P/QUIMICOS, TAMAÑO: GRANDE, MATERIAL: NITRILO, PRESENTACION: ENVASE X 100 UN</v>
      </c>
      <c r="D31" s="190"/>
      <c r="E31" s="190"/>
      <c r="F31" s="190"/>
      <c r="G31" s="191"/>
      <c r="H31" s="157" t="s">
        <v>295</v>
      </c>
      <c r="I31" s="158" t="str">
        <f>'SAF 011'!F34</f>
        <v>CAJA</v>
      </c>
      <c r="J31" s="159">
        <f>'SAF 011'!L34</f>
        <v>1378</v>
      </c>
      <c r="K31" s="160">
        <f>'SAF 011'!G34</f>
        <v>50</v>
      </c>
      <c r="L31" s="19"/>
      <c r="M31" s="19"/>
      <c r="N31" s="19"/>
      <c r="O31" s="19">
        <f t="shared" si="0"/>
        <v>68900</v>
      </c>
      <c r="P31" s="129"/>
      <c r="Q31" s="20"/>
    </row>
    <row r="32" spans="1:17" s="18" customFormat="1" ht="35.25" customHeight="1" x14ac:dyDescent="0.25">
      <c r="A32" s="156">
        <v>21</v>
      </c>
      <c r="B32" s="157" t="str">
        <f>'SAF 011'!B35</f>
        <v>2.9.5-1909.83</v>
      </c>
      <c r="C32" s="189" t="str">
        <f>'SAF 011'!E35</f>
        <v>GUANTES USO MEDICINAL; TIPO: P/QUIMICOS, TAMAÑO: MEDIANO, MATERIAL: NITRILO, PRESENTACION: ENVASE X 100 UN</v>
      </c>
      <c r="D32" s="190"/>
      <c r="E32" s="190"/>
      <c r="F32" s="190"/>
      <c r="G32" s="191"/>
      <c r="H32" s="157" t="s">
        <v>295</v>
      </c>
      <c r="I32" s="158" t="str">
        <f>'SAF 011'!F35</f>
        <v>CAJA</v>
      </c>
      <c r="J32" s="159">
        <f>'SAF 011'!L35</f>
        <v>1378</v>
      </c>
      <c r="K32" s="160">
        <f>'SAF 011'!G35</f>
        <v>500</v>
      </c>
      <c r="L32" s="19"/>
      <c r="M32" s="19"/>
      <c r="N32" s="19"/>
      <c r="O32" s="19">
        <f t="shared" si="0"/>
        <v>689000</v>
      </c>
      <c r="P32" s="129"/>
      <c r="Q32" s="20"/>
    </row>
    <row r="33" spans="1:17" s="18" customFormat="1" ht="35.25" customHeight="1" x14ac:dyDescent="0.25">
      <c r="A33" s="156">
        <v>22</v>
      </c>
      <c r="B33" s="157" t="str">
        <f>'SAF 011'!B36</f>
        <v>2.9.5-2366.2</v>
      </c>
      <c r="C33" s="189" t="str">
        <f>'SAF 011'!E36</f>
        <v>HISOPOS; MATERIAL DE EXTREMOS: ALGODON, PRESENTACION: CAJA X 100</v>
      </c>
      <c r="D33" s="190"/>
      <c r="E33" s="190"/>
      <c r="F33" s="190"/>
      <c r="G33" s="191"/>
      <c r="H33" s="157" t="s">
        <v>295</v>
      </c>
      <c r="I33" s="158" t="str">
        <f>'SAF 011'!F36</f>
        <v>BOLSA</v>
      </c>
      <c r="J33" s="159">
        <f>'SAF 011'!L36</f>
        <v>276</v>
      </c>
      <c r="K33" s="160">
        <f>'SAF 011'!G36</f>
        <v>400</v>
      </c>
      <c r="L33" s="19"/>
      <c r="M33" s="19"/>
      <c r="N33" s="19"/>
      <c r="O33" s="19">
        <f t="shared" si="0"/>
        <v>110400</v>
      </c>
      <c r="P33" s="129"/>
      <c r="Q33" s="20"/>
    </row>
    <row r="34" spans="1:17" s="18" customFormat="1" ht="35.25" customHeight="1" x14ac:dyDescent="0.25">
      <c r="A34" s="156">
        <v>23</v>
      </c>
      <c r="B34" s="157" t="str">
        <f>'SAF 011'!B37</f>
        <v>2.9.5-8799.12</v>
      </c>
      <c r="C34" s="189" t="str">
        <f>'SAF 011'!E37</f>
        <v>JERINGA; MATERIAL: PLASTICO, CAPACIDAD: 10 CM3, ACCESORIOS: SIN, TIPO: ESTERIL, ACCESORIO: SIN</v>
      </c>
      <c r="D34" s="190"/>
      <c r="E34" s="190"/>
      <c r="F34" s="190"/>
      <c r="G34" s="191"/>
      <c r="H34" s="157" t="s">
        <v>295</v>
      </c>
      <c r="I34" s="158" t="str">
        <f>'SAF 011'!F37</f>
        <v>CAJA</v>
      </c>
      <c r="J34" s="159">
        <f>'SAF 011'!L37</f>
        <v>2027</v>
      </c>
      <c r="K34" s="160">
        <f>'SAF 011'!G37</f>
        <v>300</v>
      </c>
      <c r="L34" s="19"/>
      <c r="M34" s="19"/>
      <c r="N34" s="19"/>
      <c r="O34" s="19">
        <f t="shared" si="0"/>
        <v>608100</v>
      </c>
      <c r="P34" s="129"/>
      <c r="Q34" s="20"/>
    </row>
    <row r="35" spans="1:17" s="18" customFormat="1" ht="35.25" customHeight="1" x14ac:dyDescent="0.25">
      <c r="A35" s="156">
        <v>24</v>
      </c>
      <c r="B35" s="157" t="str">
        <f>'SAF 011'!B38</f>
        <v>2.9.5-8799.8</v>
      </c>
      <c r="C35" s="189" t="str">
        <f>'SAF 011'!E38</f>
        <v>JERINGA; MATERIAL: PLASTICO, CAPACIDAD: 3 mL, ACCESORIOS: SIN, TIPO: NICHIRYO, ACCESORIO: SIN</v>
      </c>
      <c r="D35" s="190"/>
      <c r="E35" s="190"/>
      <c r="F35" s="190"/>
      <c r="G35" s="191"/>
      <c r="H35" s="157" t="s">
        <v>295</v>
      </c>
      <c r="I35" s="158" t="str">
        <f>'SAF 011'!F38</f>
        <v>CAJA</v>
      </c>
      <c r="J35" s="159">
        <f>'SAF 011'!L38</f>
        <v>1405</v>
      </c>
      <c r="K35" s="160">
        <f>'SAF 011'!G38</f>
        <v>500</v>
      </c>
      <c r="L35" s="19"/>
      <c r="M35" s="19"/>
      <c r="N35" s="19"/>
      <c r="O35" s="19">
        <f t="shared" si="0"/>
        <v>702500</v>
      </c>
      <c r="P35" s="129"/>
      <c r="Q35" s="20"/>
    </row>
    <row r="36" spans="1:17" s="18" customFormat="1" ht="35.25" customHeight="1" x14ac:dyDescent="0.25">
      <c r="A36" s="156">
        <v>25</v>
      </c>
      <c r="B36" s="157" t="str">
        <f>'SAF 011'!B39</f>
        <v>2.9.5-8799.11</v>
      </c>
      <c r="C36" s="189" t="str">
        <f>'SAF 011'!E39</f>
        <v>JERINGA; MATERIAL: PLASTICO, CAPACIDAD: 5 CM3, ACCESORIOS: SIN, TIPO: ESTERIL, ACCESORIO: SIN</v>
      </c>
      <c r="D36" s="190"/>
      <c r="E36" s="190"/>
      <c r="F36" s="190"/>
      <c r="G36" s="191"/>
      <c r="H36" s="157" t="s">
        <v>295</v>
      </c>
      <c r="I36" s="158" t="str">
        <f>'SAF 011'!F39</f>
        <v>CAJA</v>
      </c>
      <c r="J36" s="159">
        <f>'SAF 011'!L39</f>
        <v>1380</v>
      </c>
      <c r="K36" s="160">
        <f>'SAF 011'!G39</f>
        <v>800</v>
      </c>
      <c r="L36" s="19"/>
      <c r="M36" s="19"/>
      <c r="N36" s="19"/>
      <c r="O36" s="19">
        <f t="shared" si="0"/>
        <v>1104000</v>
      </c>
      <c r="P36" s="129"/>
      <c r="Q36" s="20"/>
    </row>
    <row r="37" spans="1:17" s="18" customFormat="1" ht="35.25" customHeight="1" x14ac:dyDescent="0.25">
      <c r="A37" s="156">
        <v>26</v>
      </c>
      <c r="B37" s="157" t="str">
        <f>'SAF 011'!B40</f>
        <v>2.9.5-7870.15</v>
      </c>
      <c r="C37" s="189" t="str">
        <f>'SAF 011'!E40</f>
        <v>LAMPARAS P/AUTOANALIZADOR; TIPO: HALOGENA, TENSION: 6 V, POTENCIA: 10 W</v>
      </c>
      <c r="D37" s="190"/>
      <c r="E37" s="190"/>
      <c r="F37" s="190"/>
      <c r="G37" s="191"/>
      <c r="H37" s="157" t="s">
        <v>295</v>
      </c>
      <c r="I37" s="158" t="str">
        <f>'SAF 011'!F40</f>
        <v>UNIDAD</v>
      </c>
      <c r="J37" s="159">
        <f>'SAF 011'!L40</f>
        <v>4600</v>
      </c>
      <c r="K37" s="160">
        <f>'SAF 011'!G40</f>
        <v>15</v>
      </c>
      <c r="L37" s="19"/>
      <c r="M37" s="19"/>
      <c r="N37" s="19">
        <f t="shared" ref="N37:N39" si="2">+K37*J37</f>
        <v>69000</v>
      </c>
      <c r="O37" s="19"/>
      <c r="P37" s="129"/>
      <c r="Q37" s="20"/>
    </row>
    <row r="38" spans="1:17" s="18" customFormat="1" ht="35.25" customHeight="1" x14ac:dyDescent="0.25">
      <c r="A38" s="156">
        <v>27</v>
      </c>
      <c r="B38" s="157" t="str">
        <f>'SAF 011'!B41</f>
        <v>2.9.5-7870.15</v>
      </c>
      <c r="C38" s="189" t="str">
        <f>'SAF 011'!E41</f>
        <v>LAMPARAS P/AUTOANALIZADOR; TIPO: HALOGENA, TENSION: 6 V, POTENCIA: 10 W</v>
      </c>
      <c r="D38" s="190"/>
      <c r="E38" s="190"/>
      <c r="F38" s="190"/>
      <c r="G38" s="191"/>
      <c r="H38" s="157" t="s">
        <v>295</v>
      </c>
      <c r="I38" s="158" t="str">
        <f>'SAF 011'!F41</f>
        <v>UNIDAD</v>
      </c>
      <c r="J38" s="159">
        <f>'SAF 011'!L41</f>
        <v>2575</v>
      </c>
      <c r="K38" s="160">
        <f>'SAF 011'!G41</f>
        <v>30</v>
      </c>
      <c r="L38" s="19"/>
      <c r="M38" s="19"/>
      <c r="N38" s="19">
        <f t="shared" si="2"/>
        <v>77250</v>
      </c>
      <c r="O38" s="19"/>
      <c r="P38" s="129"/>
      <c r="Q38" s="20"/>
    </row>
    <row r="39" spans="1:17" s="18" customFormat="1" ht="35.25" customHeight="1" x14ac:dyDescent="0.25">
      <c r="A39" s="156">
        <v>28</v>
      </c>
      <c r="B39" s="157" t="str">
        <f>'SAF 011'!B42</f>
        <v>2.9.5-7870.16</v>
      </c>
      <c r="C39" s="189" t="str">
        <f>'SAF 011'!E42</f>
        <v>LAMPARAS P/AUTOANALIZADOR; TIPO: HALOGENA, TENSION: 6 V, POTENCIA: 20 W</v>
      </c>
      <c r="D39" s="190"/>
      <c r="E39" s="190"/>
      <c r="F39" s="190"/>
      <c r="G39" s="191"/>
      <c r="H39" s="157" t="s">
        <v>295</v>
      </c>
      <c r="I39" s="158" t="str">
        <f>'SAF 011'!F42</f>
        <v>UNIDAD</v>
      </c>
      <c r="J39" s="159">
        <f>'SAF 011'!L42</f>
        <v>3800</v>
      </c>
      <c r="K39" s="160">
        <f>'SAF 011'!G42</f>
        <v>5</v>
      </c>
      <c r="L39" s="19"/>
      <c r="M39" s="19"/>
      <c r="N39" s="19">
        <f t="shared" si="2"/>
        <v>19000</v>
      </c>
      <c r="O39" s="19"/>
      <c r="P39" s="129"/>
      <c r="Q39" s="20"/>
    </row>
    <row r="40" spans="1:17" s="18" customFormat="1" ht="35.25" customHeight="1" x14ac:dyDescent="0.25">
      <c r="A40" s="156">
        <v>29</v>
      </c>
      <c r="B40" s="157" t="str">
        <f>'SAF 011'!B43</f>
        <v>2.9.5-2516.3</v>
      </c>
      <c r="C40" s="189" t="str">
        <f>'SAF 011'!E43</f>
        <v>LAZOS P/EXTRACCION; MATERIAL: LATEX, DIAMETRO: PLANO 2 X 35 Cm</v>
      </c>
      <c r="D40" s="190"/>
      <c r="E40" s="190"/>
      <c r="F40" s="190"/>
      <c r="G40" s="191"/>
      <c r="H40" s="157" t="s">
        <v>295</v>
      </c>
      <c r="I40" s="158" t="str">
        <f>'SAF 011'!F43</f>
        <v>CAJA</v>
      </c>
      <c r="J40" s="159">
        <f>'SAF 011'!L43</f>
        <v>427</v>
      </c>
      <c r="K40" s="160">
        <f>'SAF 011'!G43</f>
        <v>100</v>
      </c>
      <c r="L40" s="19"/>
      <c r="M40" s="19"/>
      <c r="N40" s="19"/>
      <c r="O40" s="19">
        <f t="shared" si="0"/>
        <v>42700</v>
      </c>
      <c r="P40" s="129"/>
      <c r="Q40" s="20"/>
    </row>
    <row r="41" spans="1:17" s="18" customFormat="1" ht="35.25" customHeight="1" x14ac:dyDescent="0.25">
      <c r="A41" s="156">
        <v>30</v>
      </c>
      <c r="B41" s="157" t="str">
        <f>'SAF 011'!B44</f>
        <v>2.9.5-6479.44</v>
      </c>
      <c r="C41" s="189" t="str">
        <f>'SAF 011'!E44</f>
        <v>MICROPIPETAS AUTOMATICAS; TIPO: MONOCANAL, ESCALA: 1 µL, VOLUMEN: 2 A 20 µL, SENSIBILIDAD: 0,01 µL</v>
      </c>
      <c r="D41" s="190"/>
      <c r="E41" s="190"/>
      <c r="F41" s="190"/>
      <c r="G41" s="191"/>
      <c r="H41" s="157" t="s">
        <v>295</v>
      </c>
      <c r="I41" s="158" t="str">
        <f>'SAF 011'!F44</f>
        <v>UNIDAD</v>
      </c>
      <c r="J41" s="159">
        <f>'SAF 011'!L44</f>
        <v>151734</v>
      </c>
      <c r="K41" s="160">
        <f>'SAF 011'!G44</f>
        <v>10</v>
      </c>
      <c r="L41" s="19"/>
      <c r="M41" s="19"/>
      <c r="N41" s="19"/>
      <c r="O41" s="19">
        <f t="shared" si="0"/>
        <v>1517340</v>
      </c>
      <c r="P41" s="129"/>
      <c r="Q41" s="20"/>
    </row>
    <row r="42" spans="1:17" s="18" customFormat="1" ht="35.25" customHeight="1" x14ac:dyDescent="0.25">
      <c r="A42" s="156">
        <v>31</v>
      </c>
      <c r="B42" s="157" t="str">
        <f>'SAF 011'!B45</f>
        <v>2.9.5-6479.46</v>
      </c>
      <c r="C42" s="189" t="str">
        <f>'SAF 011'!E45</f>
        <v>MICROPIPETAS AUTOMATICAS; TIPO: MONOCANAL, ESCALA: 1 µL, VOLUMEN: 20 A 200 µL, SENSIBILIDAD: 0,1 µL</v>
      </c>
      <c r="D42" s="190"/>
      <c r="E42" s="190"/>
      <c r="F42" s="190"/>
      <c r="G42" s="191"/>
      <c r="H42" s="157" t="s">
        <v>295</v>
      </c>
      <c r="I42" s="158" t="str">
        <f>'SAF 011'!F45</f>
        <v>UNIDAD</v>
      </c>
      <c r="J42" s="159">
        <f>'SAF 011'!L45</f>
        <v>151734</v>
      </c>
      <c r="K42" s="160">
        <f>'SAF 011'!G45</f>
        <v>10</v>
      </c>
      <c r="L42" s="19"/>
      <c r="M42" s="19"/>
      <c r="N42" s="19"/>
      <c r="O42" s="19">
        <f t="shared" si="0"/>
        <v>1517340</v>
      </c>
      <c r="P42" s="129"/>
      <c r="Q42" s="20"/>
    </row>
    <row r="43" spans="1:17" s="18" customFormat="1" ht="35.25" customHeight="1" x14ac:dyDescent="0.25">
      <c r="A43" s="156">
        <v>32</v>
      </c>
      <c r="B43" s="157" t="str">
        <f>'SAF 011'!B46</f>
        <v>2.9.5-6479.35</v>
      </c>
      <c r="C43" s="189" t="str">
        <f>'SAF 011'!E46</f>
        <v>MICROPIPETAS AUTOMATICAS; TIPO: MONOCANAL, ESCALA: 1 A 10 µL, VOLUMEN: 10 µL, SENSIBILIDAD: 0,1 µL</v>
      </c>
      <c r="D43" s="190"/>
      <c r="E43" s="190"/>
      <c r="F43" s="190"/>
      <c r="G43" s="191"/>
      <c r="H43" s="157" t="s">
        <v>295</v>
      </c>
      <c r="I43" s="158" t="str">
        <f>'SAF 011'!F46</f>
        <v>UNIDAD</v>
      </c>
      <c r="J43" s="159">
        <f>'SAF 011'!L46</f>
        <v>151734</v>
      </c>
      <c r="K43" s="160">
        <f>'SAF 011'!G46</f>
        <v>10</v>
      </c>
      <c r="L43" s="19"/>
      <c r="M43" s="19"/>
      <c r="N43" s="19"/>
      <c r="O43" s="19">
        <f t="shared" si="0"/>
        <v>1517340</v>
      </c>
      <c r="P43" s="129"/>
      <c r="Q43" s="20"/>
    </row>
    <row r="44" spans="1:17" s="18" customFormat="1" ht="35.25" customHeight="1" x14ac:dyDescent="0.25">
      <c r="A44" s="156">
        <v>33</v>
      </c>
      <c r="B44" s="157" t="str">
        <f>'SAF 011'!B47</f>
        <v>2.9.5-6479.34</v>
      </c>
      <c r="C44" s="189" t="str">
        <f>'SAF 011'!E47</f>
        <v>MICROPIPETAS AUTOMATICAS; TIPO: MONOCANAL, ESCALA: 100 A 10000 µL, VOLUMEN: 1000 µL, SENSIBILIDAD: 1 µL</v>
      </c>
      <c r="D44" s="190"/>
      <c r="E44" s="190"/>
      <c r="F44" s="190"/>
      <c r="G44" s="191"/>
      <c r="H44" s="157" t="s">
        <v>295</v>
      </c>
      <c r="I44" s="158" t="str">
        <f>'SAF 011'!F47</f>
        <v>UNIDAD</v>
      </c>
      <c r="J44" s="159">
        <f>'SAF 011'!L47</f>
        <v>151734</v>
      </c>
      <c r="K44" s="160">
        <f>'SAF 011'!G47</f>
        <v>20</v>
      </c>
      <c r="L44" s="19"/>
      <c r="M44" s="19"/>
      <c r="N44" s="19"/>
      <c r="O44" s="19">
        <f t="shared" si="0"/>
        <v>3034680</v>
      </c>
      <c r="P44" s="129"/>
      <c r="Q44" s="20"/>
    </row>
    <row r="45" spans="1:17" s="18" customFormat="1" ht="35.25" customHeight="1" x14ac:dyDescent="0.25">
      <c r="A45" s="156">
        <v>34</v>
      </c>
      <c r="B45" s="157" t="str">
        <f>'SAF 011'!B50</f>
        <v>2.9.5-4633.11</v>
      </c>
      <c r="C45" s="189" t="str">
        <f>'SAF 011'!E50</f>
        <v>MICROTUBOS P/LABORATORIO; MATERIAL: POLIPROPILENO, PRESENTACION: ENVASE X 1000 UN, MEDIDA: 1.5 mL, COLOR: TRANSPARENTE, TIPO: C/TAPA, LIBRE DNASAS/RNASAS</v>
      </c>
      <c r="D45" s="190"/>
      <c r="E45" s="190"/>
      <c r="F45" s="190"/>
      <c r="G45" s="191"/>
      <c r="H45" s="157" t="s">
        <v>295</v>
      </c>
      <c r="I45" s="158" t="str">
        <f>'SAF 011'!F50</f>
        <v>BOLSA</v>
      </c>
      <c r="J45" s="159">
        <f>'SAF 011'!L50</f>
        <v>5890</v>
      </c>
      <c r="K45" s="160">
        <f>'SAF 011'!G50</f>
        <v>80</v>
      </c>
      <c r="L45" s="19"/>
      <c r="M45" s="19"/>
      <c r="N45" s="19"/>
      <c r="O45" s="19">
        <f t="shared" si="0"/>
        <v>471200</v>
      </c>
      <c r="P45" s="129"/>
      <c r="Q45" s="20"/>
    </row>
    <row r="46" spans="1:17" s="18" customFormat="1" ht="35.25" customHeight="1" x14ac:dyDescent="0.25">
      <c r="A46" s="156">
        <v>35</v>
      </c>
      <c r="B46" s="157" t="str">
        <f>'SAF 011'!B51</f>
        <v>2.9.5-4633.47</v>
      </c>
      <c r="C46" s="189" t="str">
        <f>'SAF 011'!E51</f>
        <v>MICROTUBOS P/LABORATORIO; MATERIAL: POLIPROPILENO, PRESENTACION: ENVASE X 1000 UN, MEDIDA: 2 mL, TIPO: EPPENDORF</v>
      </c>
      <c r="D46" s="190"/>
      <c r="E46" s="190"/>
      <c r="F46" s="190"/>
      <c r="G46" s="191"/>
      <c r="H46" s="157" t="s">
        <v>295</v>
      </c>
      <c r="I46" s="158" t="str">
        <f>'SAF 011'!F51</f>
        <v>BOLSA</v>
      </c>
      <c r="J46" s="159">
        <f>'SAF 011'!L51</f>
        <v>6300</v>
      </c>
      <c r="K46" s="160">
        <f>'SAF 011'!G51</f>
        <v>100</v>
      </c>
      <c r="L46" s="19"/>
      <c r="M46" s="19"/>
      <c r="N46" s="19"/>
      <c r="O46" s="19">
        <f t="shared" si="0"/>
        <v>630000</v>
      </c>
      <c r="P46" s="129"/>
      <c r="Q46" s="20"/>
    </row>
    <row r="47" spans="1:17" s="18" customFormat="1" ht="35.25" customHeight="1" x14ac:dyDescent="0.25">
      <c r="A47" s="156">
        <v>36</v>
      </c>
      <c r="B47" s="157" t="str">
        <f>'SAF 011'!B52</f>
        <v>2.9.5-2553.6</v>
      </c>
      <c r="C47" s="189" t="str">
        <f>'SAF 011'!E52</f>
        <v>PAPEL P/ELECTROCARDIOGRAM.; MEDIDA: 50 MM X 30 M</v>
      </c>
      <c r="D47" s="190"/>
      <c r="E47" s="190"/>
      <c r="F47" s="190"/>
      <c r="G47" s="191"/>
      <c r="H47" s="157" t="s">
        <v>295</v>
      </c>
      <c r="I47" s="158" t="str">
        <f>'SAF 011'!F52</f>
        <v>UNIDAD</v>
      </c>
      <c r="J47" s="159">
        <f>'SAF 011'!L52</f>
        <v>254</v>
      </c>
      <c r="K47" s="160">
        <f>'SAF 011'!G52</f>
        <v>300</v>
      </c>
      <c r="L47" s="19"/>
      <c r="M47" s="19">
        <f t="shared" si="1"/>
        <v>76200</v>
      </c>
      <c r="N47" s="19"/>
      <c r="O47" s="19"/>
      <c r="P47" s="129"/>
      <c r="Q47" s="20"/>
    </row>
    <row r="48" spans="1:17" s="18" customFormat="1" ht="35.25" customHeight="1" x14ac:dyDescent="0.25">
      <c r="A48" s="156">
        <v>37</v>
      </c>
      <c r="B48" s="157" t="str">
        <f>'SAF 011'!B53</f>
        <v>2.9.5-2553.6</v>
      </c>
      <c r="C48" s="189" t="str">
        <f>'SAF 011'!E53</f>
        <v>PAPEL P/ELECTROCARDIOGRAM.; MEDIDA: 50 MM X 30 M</v>
      </c>
      <c r="D48" s="190"/>
      <c r="E48" s="190"/>
      <c r="F48" s="190"/>
      <c r="G48" s="191"/>
      <c r="H48" s="157" t="s">
        <v>295</v>
      </c>
      <c r="I48" s="158" t="str">
        <f>'SAF 011'!F53</f>
        <v>UNIDAD</v>
      </c>
      <c r="J48" s="159">
        <f>'SAF 011'!L53</f>
        <v>356</v>
      </c>
      <c r="K48" s="160">
        <f>'SAF 011'!G53</f>
        <v>300</v>
      </c>
      <c r="L48" s="19"/>
      <c r="M48" s="19">
        <f t="shared" si="1"/>
        <v>106800</v>
      </c>
      <c r="N48" s="19"/>
      <c r="O48" s="19"/>
      <c r="P48" s="129"/>
      <c r="Q48" s="20"/>
    </row>
    <row r="49" spans="1:17" s="18" customFormat="1" ht="35.25" customHeight="1" x14ac:dyDescent="0.25">
      <c r="A49" s="156">
        <v>38</v>
      </c>
      <c r="B49" s="157" t="str">
        <f>'SAF 011'!B54</f>
        <v>2.9.5-2553.6</v>
      </c>
      <c r="C49" s="189" t="str">
        <f>'SAF 011'!E54</f>
        <v>PAPEL P/ELECTROCARDIOGRAM.; MEDIDA: 50 MM X 30 M</v>
      </c>
      <c r="D49" s="190"/>
      <c r="E49" s="190"/>
      <c r="F49" s="190"/>
      <c r="G49" s="191"/>
      <c r="H49" s="157" t="s">
        <v>295</v>
      </c>
      <c r="I49" s="158" t="str">
        <f>'SAF 011'!F54</f>
        <v>UNIDAD</v>
      </c>
      <c r="J49" s="159">
        <f>'SAF 011'!L54</f>
        <v>410</v>
      </c>
      <c r="K49" s="160">
        <f>'SAF 011'!G54</f>
        <v>200</v>
      </c>
      <c r="L49" s="19"/>
      <c r="M49" s="19">
        <f t="shared" si="1"/>
        <v>82000</v>
      </c>
      <c r="N49" s="19"/>
      <c r="O49" s="19"/>
      <c r="P49" s="129"/>
      <c r="Q49" s="20"/>
    </row>
    <row r="50" spans="1:17" s="18" customFormat="1" ht="35.25" customHeight="1" x14ac:dyDescent="0.25">
      <c r="A50" s="156">
        <v>39</v>
      </c>
      <c r="B50" s="157" t="str">
        <f>'SAF 011'!B55</f>
        <v>2.9.5-2553.6</v>
      </c>
      <c r="C50" s="189" t="str">
        <f>'SAF 011'!E55</f>
        <v>PAPEL P/ELECTROCARDIOGRAM.; MEDIDA: 50 MM X 30 M</v>
      </c>
      <c r="D50" s="190"/>
      <c r="E50" s="190"/>
      <c r="F50" s="190"/>
      <c r="G50" s="191"/>
      <c r="H50" s="157" t="s">
        <v>295</v>
      </c>
      <c r="I50" s="158" t="str">
        <f>'SAF 011'!F55</f>
        <v>UNIDAD</v>
      </c>
      <c r="J50" s="159">
        <f>'SAF 011'!L55</f>
        <v>510</v>
      </c>
      <c r="K50" s="160">
        <f>'SAF 011'!G55</f>
        <v>200</v>
      </c>
      <c r="L50" s="19"/>
      <c r="M50" s="19">
        <f t="shared" si="1"/>
        <v>102000</v>
      </c>
      <c r="N50" s="19"/>
      <c r="O50" s="19"/>
      <c r="P50" s="129"/>
      <c r="Q50" s="20"/>
    </row>
    <row r="51" spans="1:17" s="18" customFormat="1" ht="35.25" customHeight="1" x14ac:dyDescent="0.25">
      <c r="A51" s="156">
        <v>40</v>
      </c>
      <c r="B51" s="157" t="str">
        <f>'SAF 011'!B56</f>
        <v>2.9.5-2592.2</v>
      </c>
      <c r="C51" s="189" t="str">
        <f>'SAF 011'!E56</f>
        <v>PIPETAS GRADUADAS; MATERIAL: PLASTICO, CAPACIDAD: 3 mL, MEDIDA MINIMA: SIN VALOR, TIPO: PASTEUR DESCARTABLE</v>
      </c>
      <c r="D51" s="190"/>
      <c r="E51" s="190"/>
      <c r="F51" s="190"/>
      <c r="G51" s="191"/>
      <c r="H51" s="157" t="s">
        <v>295</v>
      </c>
      <c r="I51" s="158" t="str">
        <f>'SAF 011'!F56</f>
        <v>CAJA</v>
      </c>
      <c r="J51" s="159">
        <f>'SAF 011'!L56</f>
        <v>4484</v>
      </c>
      <c r="K51" s="160">
        <f>'SAF 011'!G56</f>
        <v>200</v>
      </c>
      <c r="L51" s="19"/>
      <c r="M51" s="19"/>
      <c r="N51" s="19"/>
      <c r="O51" s="19">
        <f t="shared" si="0"/>
        <v>896800</v>
      </c>
      <c r="P51" s="129"/>
      <c r="Q51" s="20"/>
    </row>
    <row r="52" spans="1:17" s="18" customFormat="1" ht="35.25" customHeight="1" x14ac:dyDescent="0.25">
      <c r="A52" s="156">
        <v>41</v>
      </c>
      <c r="B52" s="157" t="str">
        <f>'SAF 011'!B57</f>
        <v>2.9.5-2782.1</v>
      </c>
      <c r="C52" s="189" t="str">
        <f>'SAF 011'!E57</f>
        <v>PISETAS DE LABORATORIO; CAPACIDAD: 500 mL, MATERIAL: PLASTICO</v>
      </c>
      <c r="D52" s="190"/>
      <c r="E52" s="190"/>
      <c r="F52" s="190"/>
      <c r="G52" s="191"/>
      <c r="H52" s="157" t="s">
        <v>296</v>
      </c>
      <c r="I52" s="158" t="str">
        <f>'SAF 011'!F57</f>
        <v>UNIDAD</v>
      </c>
      <c r="J52" s="159">
        <f>'SAF 011'!L57</f>
        <v>1575</v>
      </c>
      <c r="K52" s="160">
        <f>'SAF 011'!G57</f>
        <v>50</v>
      </c>
      <c r="L52" s="19"/>
      <c r="M52" s="19"/>
      <c r="N52" s="19"/>
      <c r="O52" s="19">
        <f t="shared" si="0"/>
        <v>78750</v>
      </c>
      <c r="P52" s="129"/>
      <c r="Q52" s="20"/>
    </row>
    <row r="53" spans="1:17" s="18" customFormat="1" ht="35.25" customHeight="1" x14ac:dyDescent="0.25">
      <c r="A53" s="156">
        <v>42</v>
      </c>
      <c r="B53" s="157" t="str">
        <f>'SAF 011'!B58</f>
        <v>2.9.5-6786.6</v>
      </c>
      <c r="C53" s="189" t="str">
        <f>'SAF 011'!E58</f>
        <v>PLACAS DE TOQUE; MATERIAL: VIDRIO, LARGO: 8 Cm, ANCHO: 6 Cm, ESPESOR: 5 mm, USO: DETERMINACION VDRL</v>
      </c>
      <c r="D53" s="190"/>
      <c r="E53" s="190"/>
      <c r="F53" s="190"/>
      <c r="G53" s="191"/>
      <c r="H53" s="157" t="s">
        <v>295</v>
      </c>
      <c r="I53" s="158" t="str">
        <f>'SAF 011'!F58</f>
        <v>UNIDAD</v>
      </c>
      <c r="J53" s="159">
        <f>'SAF 011'!L58</f>
        <v>4500</v>
      </c>
      <c r="K53" s="160">
        <f>'SAF 011'!G58</f>
        <v>50</v>
      </c>
      <c r="L53" s="19"/>
      <c r="M53" s="19"/>
      <c r="N53" s="19"/>
      <c r="O53" s="19">
        <f t="shared" si="0"/>
        <v>225000</v>
      </c>
      <c r="P53" s="129"/>
      <c r="Q53" s="20"/>
    </row>
    <row r="54" spans="1:17" s="18" customFormat="1" ht="35.25" customHeight="1" x14ac:dyDescent="0.25">
      <c r="A54" s="156">
        <v>43</v>
      </c>
      <c r="B54" s="157" t="str">
        <f>'SAF 011'!B59</f>
        <v>2.9.5-6786.6</v>
      </c>
      <c r="C54" s="189" t="str">
        <f>'SAF 011'!E59</f>
        <v>PLACAS DE TOQUE; MATERIAL: VIDRIO, LARGO: 8 Cm, ANCHO: 6 Cm, ESPESOR: 5 mm, USO: DETERMINACION VDRL</v>
      </c>
      <c r="D54" s="190"/>
      <c r="E54" s="190"/>
      <c r="F54" s="190"/>
      <c r="G54" s="191"/>
      <c r="H54" s="157" t="s">
        <v>295</v>
      </c>
      <c r="I54" s="158" t="str">
        <f>'SAF 011'!F59</f>
        <v>UNIDAD</v>
      </c>
      <c r="J54" s="159">
        <f>'SAF 011'!L59</f>
        <v>4500</v>
      </c>
      <c r="K54" s="160">
        <f>'SAF 011'!G59</f>
        <v>50</v>
      </c>
      <c r="L54" s="19"/>
      <c r="M54" s="19"/>
      <c r="N54" s="19"/>
      <c r="O54" s="19">
        <f t="shared" si="0"/>
        <v>225000</v>
      </c>
      <c r="P54" s="129"/>
      <c r="Q54" s="20"/>
    </row>
    <row r="55" spans="1:17" s="18" customFormat="1" ht="35.25" customHeight="1" x14ac:dyDescent="0.25">
      <c r="A55" s="156">
        <v>44</v>
      </c>
      <c r="B55" s="157" t="str">
        <f>'SAF 011'!B61</f>
        <v>2.9.5-2583.29</v>
      </c>
      <c r="C55" s="189" t="str">
        <f>'SAF 011'!E61</f>
        <v>PLACAS POLICUBETA P/LAB.; DIVISIONES: 96; MATERIAL: PLACAS DE PLÁSTICO DESECHABLES Y PEINES DE PUNTA DE POLIPROPILENO KIN FISHER FLEX; MARCA: THERMOFISHER</v>
      </c>
      <c r="D55" s="190"/>
      <c r="E55" s="190"/>
      <c r="F55" s="190"/>
      <c r="G55" s="191"/>
      <c r="H55" s="157" t="s">
        <v>295</v>
      </c>
      <c r="I55" s="158" t="str">
        <f>'SAF 011'!F61</f>
        <v>UNIDAD</v>
      </c>
      <c r="J55" s="159">
        <f>'SAF 011'!L61</f>
        <v>280000</v>
      </c>
      <c r="K55" s="160">
        <f>'SAF 011'!G61</f>
        <v>1</v>
      </c>
      <c r="L55" s="19"/>
      <c r="M55" s="19"/>
      <c r="N55" s="19"/>
      <c r="O55" s="19">
        <f t="shared" si="0"/>
        <v>280000</v>
      </c>
      <c r="P55" s="129"/>
      <c r="Q55" s="20"/>
    </row>
    <row r="56" spans="1:17" s="18" customFormat="1" ht="35.25" customHeight="1" x14ac:dyDescent="0.25">
      <c r="A56" s="156">
        <v>45</v>
      </c>
      <c r="B56" s="157" t="str">
        <f>'SAF 011'!B62</f>
        <v>2.9.5-2583.31</v>
      </c>
      <c r="C56" s="189" t="str">
        <f>'SAF 011'!E62</f>
        <v>PLACAS POLICUBETA P/LAB.; DIVISIONES: 96; MATERIAL: PLÁSTICO; ESTERILIZADA: NO; FONDO TIPO: TM PROFUNDO 200 UL KING FISHER FLEX; MARCA: THERMOFISHER</v>
      </c>
      <c r="D56" s="190"/>
      <c r="E56" s="190"/>
      <c r="F56" s="190"/>
      <c r="G56" s="191"/>
      <c r="H56" s="157" t="s">
        <v>295</v>
      </c>
      <c r="I56" s="158" t="str">
        <f>'SAF 011'!F62</f>
        <v>UNIDAD</v>
      </c>
      <c r="J56" s="159">
        <f>'SAF 011'!L62</f>
        <v>82600</v>
      </c>
      <c r="K56" s="160">
        <f>'SAF 011'!G62</f>
        <v>2</v>
      </c>
      <c r="L56" s="19"/>
      <c r="M56" s="19"/>
      <c r="N56" s="19"/>
      <c r="O56" s="19">
        <f t="shared" si="0"/>
        <v>165200</v>
      </c>
      <c r="P56" s="129"/>
      <c r="Q56" s="20"/>
    </row>
    <row r="57" spans="1:17" s="18" customFormat="1" ht="35.25" customHeight="1" x14ac:dyDescent="0.25">
      <c r="A57" s="156">
        <v>46</v>
      </c>
      <c r="B57" s="157" t="str">
        <f>'SAF 011'!B63</f>
        <v>2.9.5-2583.30</v>
      </c>
      <c r="C57" s="189" t="str">
        <f>'SAF 011'!E63</f>
        <v>PLACAS POLICUBETA P/LAB.; DIVISIONES: 96; MATERIAL: POLIPROPILENO; ESTERILIZADA: NO; FONDO: EN V; FONDO TIPO: PROFUNDO KING FISHER FLEX; MARCA: THERMOFISHER</v>
      </c>
      <c r="D57" s="190"/>
      <c r="E57" s="190"/>
      <c r="F57" s="190"/>
      <c r="G57" s="191"/>
      <c r="H57" s="157" t="s">
        <v>295</v>
      </c>
      <c r="I57" s="158" t="str">
        <f>'SAF 011'!F63</f>
        <v>UNIDAD</v>
      </c>
      <c r="J57" s="159">
        <f>'SAF 011'!L63</f>
        <v>145000</v>
      </c>
      <c r="K57" s="160">
        <f>'SAF 011'!G63</f>
        <v>7</v>
      </c>
      <c r="L57" s="19"/>
      <c r="M57" s="19"/>
      <c r="N57" s="19"/>
      <c r="O57" s="19">
        <f t="shared" si="0"/>
        <v>1015000</v>
      </c>
      <c r="P57" s="129"/>
      <c r="Q57" s="20"/>
    </row>
    <row r="58" spans="1:17" s="18" customFormat="1" ht="35.25" customHeight="1" x14ac:dyDescent="0.25">
      <c r="A58" s="156">
        <v>47</v>
      </c>
      <c r="B58" s="157" t="str">
        <f>'SAF 011'!B64</f>
        <v>2.9.5-5773.1</v>
      </c>
      <c r="C58" s="189" t="str">
        <f>'SAF 011'!E64</f>
        <v>PORTAOBJETOS P/LABORATORIO; PRESENTACION: CAJA X 50 UN, MEDIDA: 2,5 X 7,5 Cm, USO: LABORATORIO, MATERIAL: VIDRIO</v>
      </c>
      <c r="D58" s="190"/>
      <c r="E58" s="190"/>
      <c r="F58" s="190"/>
      <c r="G58" s="191"/>
      <c r="H58" s="157" t="s">
        <v>295</v>
      </c>
      <c r="I58" s="158" t="str">
        <f>'SAF 011'!F64</f>
        <v>CAJA</v>
      </c>
      <c r="J58" s="159">
        <f>'SAF 011'!L64</f>
        <v>265</v>
      </c>
      <c r="K58" s="160">
        <f>'SAF 011'!G64</f>
        <v>500</v>
      </c>
      <c r="L58" s="19"/>
      <c r="M58" s="19"/>
      <c r="N58" s="19"/>
      <c r="O58" s="19">
        <f t="shared" si="0"/>
        <v>132500</v>
      </c>
      <c r="P58" s="129"/>
      <c r="Q58" s="20"/>
    </row>
    <row r="59" spans="1:17" s="18" customFormat="1" ht="35.25" customHeight="1" x14ac:dyDescent="0.25">
      <c r="A59" s="156">
        <v>48</v>
      </c>
      <c r="B59" s="157" t="str">
        <f>'SAF 011'!B69</f>
        <v>2.9.6-6345.64</v>
      </c>
      <c r="C59" s="189" t="str">
        <f>'SAF 011'!E69</f>
        <v>REP. Y ACC. P/AUTOANALIZADOR; REPUESTO: CUBETA DE REACCION, MARCA EQUIPO: METROLAB, MODELO EQUIPO: 2300</v>
      </c>
      <c r="D59" s="190"/>
      <c r="E59" s="190"/>
      <c r="F59" s="190"/>
      <c r="G59" s="191"/>
      <c r="H59" s="157" t="s">
        <v>295</v>
      </c>
      <c r="I59" s="158" t="str">
        <f>'SAF 011'!F69</f>
        <v>CAJA</v>
      </c>
      <c r="J59" s="159">
        <f>'SAF 011'!L69</f>
        <v>40627</v>
      </c>
      <c r="K59" s="160">
        <f>'SAF 011'!G69</f>
        <v>50</v>
      </c>
      <c r="L59" s="19"/>
      <c r="M59" s="19"/>
      <c r="N59" s="19"/>
      <c r="O59" s="19">
        <f t="shared" si="0"/>
        <v>2031350</v>
      </c>
      <c r="P59" s="129"/>
      <c r="Q59" s="20"/>
    </row>
    <row r="60" spans="1:17" s="18" customFormat="1" ht="35.25" customHeight="1" x14ac:dyDescent="0.25">
      <c r="A60" s="156">
        <v>49</v>
      </c>
      <c r="B60" s="157" t="str">
        <f>'SAF 011'!B70</f>
        <v>2.9.6-6345.64</v>
      </c>
      <c r="C60" s="189" t="str">
        <f>'SAF 011'!E70</f>
        <v>REP. Y ACC. P/AUTOANALIZADOR; REPUESTO: CUBETA DE REACCION, MARCA EQUIPO: METROLAB, MODELO EQUIPO: 2300</v>
      </c>
      <c r="D60" s="190"/>
      <c r="E60" s="190"/>
      <c r="F60" s="190"/>
      <c r="G60" s="191"/>
      <c r="H60" s="157" t="s">
        <v>295</v>
      </c>
      <c r="I60" s="158" t="str">
        <f>'SAF 011'!F70</f>
        <v>UNIDAD</v>
      </c>
      <c r="J60" s="159">
        <f>'SAF 011'!L70</f>
        <v>4000</v>
      </c>
      <c r="K60" s="160">
        <f>'SAF 011'!G70</f>
        <v>100</v>
      </c>
      <c r="L60" s="19"/>
      <c r="M60" s="19"/>
      <c r="N60" s="19"/>
      <c r="O60" s="19">
        <f t="shared" si="0"/>
        <v>400000</v>
      </c>
      <c r="P60" s="129"/>
      <c r="Q60" s="20"/>
    </row>
    <row r="61" spans="1:17" s="18" customFormat="1" ht="35.25" customHeight="1" x14ac:dyDescent="0.25">
      <c r="A61" s="156">
        <v>50</v>
      </c>
      <c r="B61" s="157" t="str">
        <f>'SAF 011'!B71</f>
        <v>2.9.6-8875.101</v>
      </c>
      <c r="C61" s="189" t="str">
        <f>'SAF 011'!E71</f>
        <v>REP. Y ACC. P/EQUIPO MEDICO; USO: EXTRACCION DE SANGRE, MARCA EQUIPO: UNIVERSAL, ELEMENTO: APOYABRAZOS, MODELO EQUIPO: UNIVERSAL</v>
      </c>
      <c r="D61" s="190"/>
      <c r="E61" s="190"/>
      <c r="F61" s="190"/>
      <c r="G61" s="191"/>
      <c r="H61" s="157" t="s">
        <v>295</v>
      </c>
      <c r="I61" s="158" t="str">
        <f>'SAF 011'!F71</f>
        <v>UNIDAD</v>
      </c>
      <c r="J61" s="159">
        <f>'SAF 011'!L71</f>
        <v>8419</v>
      </c>
      <c r="K61" s="160">
        <f>'SAF 011'!G71</f>
        <v>10</v>
      </c>
      <c r="L61" s="19"/>
      <c r="M61" s="19"/>
      <c r="N61" s="19"/>
      <c r="O61" s="19"/>
      <c r="P61" s="129">
        <f t="shared" ref="P61" si="3">+J61*K61</f>
        <v>84190</v>
      </c>
      <c r="Q61" s="20"/>
    </row>
    <row r="62" spans="1:17" s="18" customFormat="1" ht="35.25" customHeight="1" x14ac:dyDescent="0.25">
      <c r="A62" s="156">
        <v>51</v>
      </c>
      <c r="B62" s="157" t="str">
        <f>'SAF 011'!B73</f>
        <v>2.9.5-3492.42</v>
      </c>
      <c r="C62" s="189" t="str">
        <f>'SAF 011'!E73</f>
        <v>TIP; TIPO: AMARILLO, PRESENTACION: BOLSA X 1000 UN, CAP. USO: 1 A 200 µL, CAPACIDAD: 1 A 200 µL</v>
      </c>
      <c r="D62" s="190"/>
      <c r="E62" s="190"/>
      <c r="F62" s="190"/>
      <c r="G62" s="191"/>
      <c r="H62" s="157" t="s">
        <v>295</v>
      </c>
      <c r="I62" s="158" t="str">
        <f>'SAF 011'!F73</f>
        <v>BOLSA</v>
      </c>
      <c r="J62" s="159">
        <f>'SAF 011'!L73</f>
        <v>2584</v>
      </c>
      <c r="K62" s="160">
        <f>'SAF 011'!G73</f>
        <v>400</v>
      </c>
      <c r="L62" s="19"/>
      <c r="M62" s="19"/>
      <c r="N62" s="19"/>
      <c r="O62" s="19">
        <f t="shared" si="0"/>
        <v>1033600</v>
      </c>
      <c r="P62" s="129"/>
      <c r="Q62" s="20"/>
    </row>
    <row r="63" spans="1:17" ht="35.25" customHeight="1" x14ac:dyDescent="0.25">
      <c r="A63" s="156">
        <v>52</v>
      </c>
      <c r="B63" s="157" t="str">
        <f>'SAF 011'!B74</f>
        <v>2.9.5-3492.42</v>
      </c>
      <c r="C63" s="189" t="str">
        <f>'SAF 011'!E74</f>
        <v>TIP; TIPO: AMARILLO, PRESENTACION: BOLSA X 1000 UN, CAP. USO: 1 A 200 µL, CAPACIDAD: 1 A 200 µL</v>
      </c>
      <c r="D63" s="190"/>
      <c r="E63" s="190"/>
      <c r="F63" s="190"/>
      <c r="G63" s="191"/>
      <c r="H63" s="157" t="s">
        <v>295</v>
      </c>
      <c r="I63" s="176" t="str">
        <f>'SAF 011'!F74</f>
        <v>BOLSA</v>
      </c>
      <c r="J63" s="159">
        <f>'SAF 011'!L74</f>
        <v>2166</v>
      </c>
      <c r="K63" s="177">
        <f>'SAF 011'!G74</f>
        <v>100</v>
      </c>
      <c r="L63" s="19"/>
      <c r="M63" s="19"/>
      <c r="N63" s="19"/>
      <c r="O63" s="19">
        <f t="shared" si="0"/>
        <v>216600</v>
      </c>
      <c r="P63" s="129"/>
    </row>
    <row r="64" spans="1:17" ht="35.25" customHeight="1" x14ac:dyDescent="0.25">
      <c r="A64" s="156">
        <v>53</v>
      </c>
      <c r="B64" s="157" t="str">
        <f>'SAF 011'!B75</f>
        <v>2.9.5-3492.97</v>
      </c>
      <c r="C64" s="189" t="str">
        <f>'SAF 011'!E75</f>
        <v>TIP; TIPO: P/PIPETA AUTOMATICA, PRESENTACION: BOLSA X 1000, CAP. USO: 100 A 1000 µL, CAPACIDAD: 100 A 1000 µL</v>
      </c>
      <c r="D64" s="190"/>
      <c r="E64" s="190"/>
      <c r="F64" s="190"/>
      <c r="G64" s="191"/>
      <c r="H64" s="157" t="s">
        <v>295</v>
      </c>
      <c r="I64" s="176" t="str">
        <f>'SAF 011'!F75</f>
        <v>BOLSA</v>
      </c>
      <c r="J64" s="159">
        <f>'SAF 011'!L75</f>
        <v>3686</v>
      </c>
      <c r="K64" s="177">
        <f>'SAF 011'!G75</f>
        <v>200</v>
      </c>
      <c r="L64" s="19"/>
      <c r="M64" s="19"/>
      <c r="N64" s="19"/>
      <c r="O64" s="19">
        <f t="shared" si="0"/>
        <v>737200</v>
      </c>
      <c r="P64" s="129"/>
    </row>
    <row r="65" spans="1:17" ht="35.25" customHeight="1" x14ac:dyDescent="0.25">
      <c r="A65" s="156">
        <v>54</v>
      </c>
      <c r="B65" s="157" t="str">
        <f>'SAF 011'!B76</f>
        <v>2.9.5-3492.97</v>
      </c>
      <c r="C65" s="189" t="str">
        <f>'SAF 011'!E76</f>
        <v>TIP; TIPO: P/PIPETA AUTOMATICA, PRESENTACION: BOLSA X 1000, CAP. USO: 100 A 1000 µL, CAPACIDAD: 100 A 1000 µL</v>
      </c>
      <c r="D65" s="190"/>
      <c r="E65" s="190"/>
      <c r="F65" s="190"/>
      <c r="G65" s="191"/>
      <c r="H65" s="157" t="s">
        <v>295</v>
      </c>
      <c r="I65" s="176" t="str">
        <f>'SAF 011'!F76</f>
        <v>BOLSA</v>
      </c>
      <c r="J65" s="159">
        <f>'SAF 011'!L76</f>
        <v>5548</v>
      </c>
      <c r="K65" s="177">
        <f>'SAF 011'!G76</f>
        <v>100</v>
      </c>
      <c r="L65" s="19"/>
      <c r="M65" s="19"/>
      <c r="N65" s="19"/>
      <c r="O65" s="19">
        <f t="shared" si="0"/>
        <v>554800</v>
      </c>
      <c r="P65" s="129"/>
    </row>
    <row r="66" spans="1:17" ht="35.25" customHeight="1" x14ac:dyDescent="0.25">
      <c r="A66" s="156">
        <v>55</v>
      </c>
      <c r="B66" s="157" t="str">
        <f>'SAF 011'!B80</f>
        <v>2.9.5-5003.8</v>
      </c>
      <c r="C66" s="189" t="str">
        <f>'SAF 011'!E80</f>
        <v>TUBO DE KHAN; MATERIAL: VIDRIO, DIMENSION: 12 X 75 mm</v>
      </c>
      <c r="D66" s="190"/>
      <c r="E66" s="190"/>
      <c r="F66" s="190"/>
      <c r="G66" s="191"/>
      <c r="H66" s="157" t="s">
        <v>295</v>
      </c>
      <c r="I66" s="176" t="str">
        <f>'SAF 011'!F80</f>
        <v>UNIDAD</v>
      </c>
      <c r="J66" s="159">
        <f>'SAF 011'!L80</f>
        <v>29</v>
      </c>
      <c r="K66" s="177">
        <f>'SAF 011'!G80</f>
        <v>5000</v>
      </c>
      <c r="L66" s="19"/>
      <c r="M66" s="19"/>
      <c r="N66" s="19"/>
      <c r="O66" s="19">
        <f t="shared" si="0"/>
        <v>145000</v>
      </c>
      <c r="P66" s="129"/>
    </row>
    <row r="67" spans="1:17" ht="35.25" customHeight="1" x14ac:dyDescent="0.25">
      <c r="A67" s="156">
        <v>56</v>
      </c>
      <c r="B67" s="157" t="str">
        <f>'SAF 011'!B81</f>
        <v>2.9.5-4487.20</v>
      </c>
      <c r="C67" s="189" t="str">
        <f>'SAF 011'!E81</f>
        <v>TUBOS A ROSCA; MEDIDA: 15 mm, TIPO: GRADUADO DE POLIPROPILENO, ACCESORIO: CON TAPA</v>
      </c>
      <c r="D67" s="190"/>
      <c r="E67" s="190"/>
      <c r="F67" s="190"/>
      <c r="G67" s="191"/>
      <c r="H67" s="157" t="s">
        <v>295</v>
      </c>
      <c r="I67" s="176" t="str">
        <f>'SAF 011'!F81</f>
        <v>UNIDAD</v>
      </c>
      <c r="J67" s="159">
        <f>'SAF 011'!L81</f>
        <v>44</v>
      </c>
      <c r="K67" s="177">
        <f>'SAF 011'!G81</f>
        <v>50000</v>
      </c>
      <c r="L67" s="19"/>
      <c r="M67" s="19"/>
      <c r="N67" s="19"/>
      <c r="O67" s="19">
        <f t="shared" si="0"/>
        <v>2200000</v>
      </c>
      <c r="P67" s="129"/>
    </row>
    <row r="68" spans="1:17" ht="35.25" customHeight="1" x14ac:dyDescent="0.25">
      <c r="A68" s="156">
        <v>57</v>
      </c>
      <c r="B68" s="157" t="str">
        <f>'SAF 011'!B82</f>
        <v>2.9.5-2576.56</v>
      </c>
      <c r="C68" s="189" t="str">
        <f>'SAF 011'!E82</f>
        <v>TUBOS AL VACIO P/EXTRACCION; MATERIAL: PLASTICO, MEDIDA: 2 mL, ADITIVO: EDTA TRIPOTASICO, AGUJA: SIN</v>
      </c>
      <c r="D68" s="190"/>
      <c r="E68" s="190"/>
      <c r="F68" s="190"/>
      <c r="G68" s="191"/>
      <c r="H68" s="157" t="s">
        <v>295</v>
      </c>
      <c r="I68" s="176" t="str">
        <f>'SAF 011'!F82</f>
        <v>UNIDAD</v>
      </c>
      <c r="J68" s="159">
        <f>'SAF 011'!L82</f>
        <v>32</v>
      </c>
      <c r="K68" s="177">
        <f>'SAF 011'!G82</f>
        <v>20000</v>
      </c>
      <c r="L68" s="19"/>
      <c r="M68" s="19"/>
      <c r="N68" s="19"/>
      <c r="O68" s="19">
        <f t="shared" ref="O68:O73" si="4">+J68*K68</f>
        <v>640000</v>
      </c>
      <c r="P68" s="129"/>
    </row>
    <row r="69" spans="1:17" ht="35.25" customHeight="1" x14ac:dyDescent="0.25">
      <c r="A69" s="156">
        <v>58</v>
      </c>
      <c r="B69" s="157" t="str">
        <f>'SAF 011'!B83</f>
        <v>2.9.5-2582.2</v>
      </c>
      <c r="C69" s="189" t="str">
        <f>'SAF 011'!E83</f>
        <v>TUBOS CAPILARES P/HEMATOCRITO; ADITIVO: CON HEPARINA, PRESENTACION: CAJA X 500 UN</v>
      </c>
      <c r="D69" s="190"/>
      <c r="E69" s="190"/>
      <c r="F69" s="190"/>
      <c r="G69" s="191"/>
      <c r="H69" s="157" t="s">
        <v>295</v>
      </c>
      <c r="I69" s="176" t="str">
        <f>'SAF 011'!F83</f>
        <v>FRASCO</v>
      </c>
      <c r="J69" s="159">
        <f>'SAF 011'!L83</f>
        <v>1490</v>
      </c>
      <c r="K69" s="177">
        <f>'SAF 011'!G83</f>
        <v>400</v>
      </c>
      <c r="L69" s="19"/>
      <c r="M69" s="19"/>
      <c r="N69" s="19"/>
      <c r="O69" s="19">
        <f t="shared" si="4"/>
        <v>596000</v>
      </c>
      <c r="P69" s="129"/>
    </row>
    <row r="70" spans="1:17" ht="35.25" customHeight="1" x14ac:dyDescent="0.25">
      <c r="A70" s="156">
        <v>59</v>
      </c>
      <c r="B70" s="157" t="str">
        <f>'SAF 011'!B84</f>
        <v>2.9.5-2582.1</v>
      </c>
      <c r="C70" s="189" t="str">
        <f>'SAF 011'!E84</f>
        <v>TUBOS CAPILARES P/HEMATOCRITO; PRESENTACION: CAJA X 500 UN, ADITIVO: SIN HEPARINA</v>
      </c>
      <c r="D70" s="190"/>
      <c r="E70" s="190"/>
      <c r="F70" s="190"/>
      <c r="G70" s="191"/>
      <c r="H70" s="157" t="s">
        <v>295</v>
      </c>
      <c r="I70" s="176" t="str">
        <f>'SAF 011'!F84</f>
        <v>FRASCO</v>
      </c>
      <c r="J70" s="159">
        <f>'SAF 011'!L84</f>
        <v>1145</v>
      </c>
      <c r="K70" s="177">
        <f>'SAF 011'!G84</f>
        <v>200</v>
      </c>
      <c r="L70" s="19"/>
      <c r="M70" s="19"/>
      <c r="N70" s="19"/>
      <c r="O70" s="19">
        <f t="shared" si="4"/>
        <v>229000</v>
      </c>
      <c r="P70" s="129"/>
    </row>
    <row r="71" spans="1:17" ht="35.25" customHeight="1" x14ac:dyDescent="0.25">
      <c r="A71" s="156">
        <v>60</v>
      </c>
      <c r="B71" s="157" t="str">
        <f>'SAF 011'!B90</f>
        <v>2.9.5-5409.13</v>
      </c>
      <c r="C71" s="189" t="str">
        <f>'SAF 011'!E90</f>
        <v>TUBOS P/ANALISIS DE SANGRE; MATERIAL: PLASTICO, DIMENSION: 13 X 75 mm, TIPO: CONJUNTO ERITROSEDIMENTACION</v>
      </c>
      <c r="D71" s="190"/>
      <c r="E71" s="190"/>
      <c r="F71" s="190"/>
      <c r="G71" s="191"/>
      <c r="H71" s="157" t="s">
        <v>295</v>
      </c>
      <c r="I71" s="176" t="str">
        <f>'SAF 011'!F90</f>
        <v>GRADILLA</v>
      </c>
      <c r="J71" s="159">
        <f>'SAF 011'!L90</f>
        <v>95</v>
      </c>
      <c r="K71" s="177">
        <f>'SAF 011'!G90</f>
        <v>30000</v>
      </c>
      <c r="L71" s="19"/>
      <c r="M71" s="19"/>
      <c r="N71" s="19"/>
      <c r="O71" s="19">
        <f t="shared" si="4"/>
        <v>2850000</v>
      </c>
      <c r="P71" s="129"/>
    </row>
    <row r="72" spans="1:17" ht="35.25" customHeight="1" x14ac:dyDescent="0.25">
      <c r="A72" s="156">
        <v>61</v>
      </c>
      <c r="B72" s="157" t="str">
        <f>'SAF 011'!B91</f>
        <v>2.9.5-5409.1</v>
      </c>
      <c r="C72" s="189" t="str">
        <f>'SAF 011'!E91</f>
        <v>TUBOS P/ANALISIS DE SANGRE; MATERIAL: POLIMETILMETACRILATO, TIPO: C/ACELER. COAG. C/ GEL SEPARAD, DIMENSION: 13 X 75 mm</v>
      </c>
      <c r="D72" s="190"/>
      <c r="E72" s="190"/>
      <c r="F72" s="190"/>
      <c r="G72" s="191"/>
      <c r="H72" s="157" t="s">
        <v>295</v>
      </c>
      <c r="I72" s="176" t="str">
        <f>'SAF 011'!F91</f>
        <v>UNIDAD</v>
      </c>
      <c r="J72" s="159">
        <f>'SAF 011'!L91</f>
        <v>52</v>
      </c>
      <c r="K72" s="177">
        <f>'SAF 011'!G91</f>
        <v>80000</v>
      </c>
      <c r="L72" s="19"/>
      <c r="M72" s="19"/>
      <c r="N72" s="19"/>
      <c r="O72" s="19">
        <f t="shared" si="4"/>
        <v>4160000</v>
      </c>
      <c r="P72" s="129"/>
    </row>
    <row r="73" spans="1:17" ht="35.25" customHeight="1" thickBot="1" x14ac:dyDescent="0.3">
      <c r="A73" s="156">
        <v>62</v>
      </c>
      <c r="B73" s="157" t="str">
        <f>'SAF 011'!B92</f>
        <v>2.9.5-5380.6</v>
      </c>
      <c r="C73" s="189" t="str">
        <f>'SAF 011'!E92</f>
        <v>TUBOS P/COAGULOGRAMA; DIMENSION: 12 X 86 mm, VOLUMEN: 2,5 mL, TIPO: ANTICOAGULANTE CITRATO</v>
      </c>
      <c r="D73" s="190"/>
      <c r="E73" s="190"/>
      <c r="F73" s="190"/>
      <c r="G73" s="191"/>
      <c r="H73" s="157" t="s">
        <v>295</v>
      </c>
      <c r="I73" s="176" t="str">
        <f>'SAF 011'!F92</f>
        <v>UNIDAD</v>
      </c>
      <c r="J73" s="159">
        <f>'SAF 011'!L92</f>
        <v>32</v>
      </c>
      <c r="K73" s="177">
        <f>'SAF 011'!G92</f>
        <v>10000</v>
      </c>
      <c r="L73" s="19"/>
      <c r="M73" s="19"/>
      <c r="N73" s="19"/>
      <c r="O73" s="19">
        <f t="shared" si="4"/>
        <v>320000</v>
      </c>
      <c r="P73" s="129"/>
    </row>
    <row r="74" spans="1:17" ht="38.25" customHeight="1" thickBot="1" x14ac:dyDescent="0.3">
      <c r="A74" s="200" t="s">
        <v>320</v>
      </c>
      <c r="B74" s="200"/>
      <c r="C74" s="200"/>
      <c r="D74" s="200"/>
      <c r="E74" s="200"/>
      <c r="F74" s="200"/>
      <c r="G74" s="200"/>
      <c r="H74" s="200"/>
      <c r="I74" s="200"/>
      <c r="J74" s="199">
        <f>SUMPRODUCT(J12:J73,K12:K73)</f>
        <v>41869860</v>
      </c>
      <c r="K74" s="199"/>
      <c r="L74" s="130"/>
      <c r="M74" s="19">
        <f>SUM(M12:M73)</f>
        <v>390080</v>
      </c>
      <c r="N74" s="19">
        <f>SUM(N12:N73)</f>
        <v>165250</v>
      </c>
      <c r="O74" s="19">
        <f>SUM(O12:O73)</f>
        <v>41230340</v>
      </c>
      <c r="P74" s="129">
        <f>SUM(P12:P73)</f>
        <v>84190</v>
      </c>
      <c r="Q74" s="19">
        <f>SUM(M74:P74)</f>
        <v>41869860</v>
      </c>
    </row>
    <row r="76" spans="1:17" x14ac:dyDescent="0.25">
      <c r="M76" s="20">
        <v>234</v>
      </c>
      <c r="N76" s="20">
        <v>293</v>
      </c>
      <c r="O76" s="20">
        <v>295</v>
      </c>
      <c r="P76" s="20">
        <v>296</v>
      </c>
    </row>
  </sheetData>
  <mergeCells count="78">
    <mergeCell ref="C52:G52"/>
    <mergeCell ref="C53:G53"/>
    <mergeCell ref="C59:G59"/>
    <mergeCell ref="C60:G60"/>
    <mergeCell ref="C58:G58"/>
    <mergeCell ref="C54:G54"/>
    <mergeCell ref="C55:G55"/>
    <mergeCell ref="C56:G56"/>
    <mergeCell ref="C57:G57"/>
    <mergeCell ref="A7:C7"/>
    <mergeCell ref="A8:C8"/>
    <mergeCell ref="C45:G45"/>
    <mergeCell ref="C46:G46"/>
    <mergeCell ref="C47:G47"/>
    <mergeCell ref="C17:G17"/>
    <mergeCell ref="C19:G19"/>
    <mergeCell ref="C20:G20"/>
    <mergeCell ref="C18:G18"/>
    <mergeCell ref="C28:G28"/>
    <mergeCell ref="C29:G29"/>
    <mergeCell ref="C42:G42"/>
    <mergeCell ref="C40:G40"/>
    <mergeCell ref="C43:G43"/>
    <mergeCell ref="C35:G35"/>
    <mergeCell ref="C24:G24"/>
    <mergeCell ref="A1:I1"/>
    <mergeCell ref="A3:C3"/>
    <mergeCell ref="A4:C4"/>
    <mergeCell ref="A5:C5"/>
    <mergeCell ref="A6:C6"/>
    <mergeCell ref="A74:I74"/>
    <mergeCell ref="I10:I11"/>
    <mergeCell ref="C65:G65"/>
    <mergeCell ref="C67:G67"/>
    <mergeCell ref="C68:G68"/>
    <mergeCell ref="C69:G69"/>
    <mergeCell ref="C70:G70"/>
    <mergeCell ref="C39:G39"/>
    <mergeCell ref="C16:G16"/>
    <mergeCell ref="B10:B11"/>
    <mergeCell ref="C10:G11"/>
    <mergeCell ref="A10:A11"/>
    <mergeCell ref="C44:G44"/>
    <mergeCell ref="C22:G22"/>
    <mergeCell ref="C23:G23"/>
    <mergeCell ref="C71:G71"/>
    <mergeCell ref="J74:K74"/>
    <mergeCell ref="C62:G62"/>
    <mergeCell ref="C21:G21"/>
    <mergeCell ref="C36:G36"/>
    <mergeCell ref="C37:G37"/>
    <mergeCell ref="C30:G30"/>
    <mergeCell ref="C31:G31"/>
    <mergeCell ref="C32:G32"/>
    <mergeCell ref="C33:G33"/>
    <mergeCell ref="C63:G63"/>
    <mergeCell ref="C64:G64"/>
    <mergeCell ref="C66:G66"/>
    <mergeCell ref="C41:G41"/>
    <mergeCell ref="C61:G61"/>
    <mergeCell ref="C38:G38"/>
    <mergeCell ref="C34:G34"/>
    <mergeCell ref="C72:G72"/>
    <mergeCell ref="C73:G73"/>
    <mergeCell ref="K10:K11"/>
    <mergeCell ref="C12:G12"/>
    <mergeCell ref="C13:G13"/>
    <mergeCell ref="C15:G15"/>
    <mergeCell ref="C14:G14"/>
    <mergeCell ref="J10:J11"/>
    <mergeCell ref="H10:H11"/>
    <mergeCell ref="C26:G26"/>
    <mergeCell ref="C27:G27"/>
    <mergeCell ref="C48:G48"/>
    <mergeCell ref="C25:G25"/>
    <mergeCell ref="C49:G49"/>
    <mergeCell ref="C50:G50"/>
    <mergeCell ref="C51:G51"/>
  </mergeCells>
  <pageMargins left="0.25" right="0.25" top="0.75" bottom="0.75" header="0.3" footer="0.3"/>
  <pageSetup paperSize="9" scale="81" orientation="landscape" r:id="rId1"/>
  <colBreaks count="1" manualBreakCount="1">
    <brk id="11"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opLeftCell="A7" workbookViewId="0">
      <selection activeCell="N31" sqref="N31"/>
    </sheetView>
  </sheetViews>
  <sheetFormatPr baseColWidth="10" defaultRowHeight="15" x14ac:dyDescent="0.25"/>
  <cols>
    <col min="1" max="5" width="4.42578125" customWidth="1"/>
    <col min="6" max="6" width="5" bestFit="1" customWidth="1"/>
    <col min="7" max="14" width="4.42578125" customWidth="1"/>
    <col min="15" max="15" width="14.85546875" customWidth="1"/>
    <col min="16" max="16" width="45.7109375" customWidth="1"/>
    <col min="17" max="17" width="15.5703125" style="122" bestFit="1" customWidth="1"/>
  </cols>
  <sheetData>
    <row r="1" spans="1:17" ht="15.75" thickBot="1" x14ac:dyDescent="0.3">
      <c r="A1" s="225" t="s">
        <v>4</v>
      </c>
      <c r="B1" s="225"/>
      <c r="C1" s="225"/>
      <c r="D1" s="226">
        <v>2022</v>
      </c>
      <c r="E1" s="226"/>
      <c r="F1" s="84"/>
      <c r="G1" s="84"/>
      <c r="H1" s="85"/>
      <c r="I1" s="85"/>
      <c r="J1" s="85"/>
      <c r="K1" s="85"/>
      <c r="L1" s="85"/>
      <c r="M1" s="85"/>
      <c r="N1" s="85"/>
      <c r="O1" s="86"/>
      <c r="P1" s="227" t="s">
        <v>271</v>
      </c>
      <c r="Q1" s="227"/>
    </row>
    <row r="2" spans="1:17" ht="15.75" thickBot="1" x14ac:dyDescent="0.3">
      <c r="A2" s="87"/>
      <c r="B2" s="37"/>
      <c r="C2" s="37"/>
      <c r="D2" s="37"/>
      <c r="E2" s="37"/>
      <c r="F2" s="37"/>
      <c r="G2" s="88"/>
      <c r="H2" s="89"/>
      <c r="I2" s="89"/>
      <c r="J2" s="89"/>
      <c r="K2" s="89"/>
      <c r="L2" s="89"/>
      <c r="M2" s="89"/>
      <c r="N2" s="89"/>
      <c r="O2" s="37"/>
      <c r="P2" s="227"/>
      <c r="Q2" s="227"/>
    </row>
    <row r="3" spans="1:17" thickBot="1" x14ac:dyDescent="0.35">
      <c r="A3" s="87"/>
      <c r="B3" s="37"/>
      <c r="C3" s="37"/>
      <c r="D3" s="37"/>
      <c r="E3" s="37"/>
      <c r="F3" s="37"/>
      <c r="G3" s="88"/>
      <c r="H3" s="37"/>
      <c r="I3" s="37"/>
      <c r="J3" s="37"/>
      <c r="K3" s="37"/>
      <c r="L3" s="37"/>
      <c r="M3" s="37"/>
      <c r="N3" s="37"/>
      <c r="O3" s="37"/>
      <c r="P3" s="37"/>
      <c r="Q3" s="123"/>
    </row>
    <row r="4" spans="1:17" ht="15.75" thickBot="1" x14ac:dyDescent="0.3">
      <c r="A4" s="228" t="s">
        <v>272</v>
      </c>
      <c r="B4" s="228"/>
      <c r="C4" s="228"/>
      <c r="D4" s="228"/>
      <c r="E4" s="228"/>
      <c r="F4" s="228"/>
      <c r="G4" s="229" t="str">
        <f>'NP LABORATORIO'!D3</f>
        <v>040 - MINISTERIO DE SALUD</v>
      </c>
      <c r="H4" s="229"/>
      <c r="I4" s="229"/>
      <c r="J4" s="229"/>
      <c r="K4" s="229"/>
      <c r="L4" s="229"/>
      <c r="M4" s="229"/>
      <c r="N4" s="229"/>
      <c r="O4" s="229"/>
      <c r="P4" s="229"/>
      <c r="Q4" s="229"/>
    </row>
    <row r="5" spans="1:17" thickBot="1" x14ac:dyDescent="0.35">
      <c r="A5" s="230" t="s">
        <v>27</v>
      </c>
      <c r="B5" s="230"/>
      <c r="C5" s="230"/>
      <c r="D5" s="230"/>
      <c r="E5" s="230"/>
      <c r="F5" s="230"/>
      <c r="G5" s="229" t="str">
        <f>'NP LABORATORIO'!D4</f>
        <v>011 - DIRECCION PROVINCIAL DE ADMINISTRACION - MINISTERIO DE SALUD</v>
      </c>
      <c r="H5" s="229"/>
      <c r="I5" s="229"/>
      <c r="J5" s="229"/>
      <c r="K5" s="229"/>
      <c r="L5" s="229"/>
      <c r="M5" s="229"/>
      <c r="N5" s="229"/>
      <c r="O5" s="229"/>
      <c r="P5" s="229"/>
      <c r="Q5" s="229"/>
    </row>
    <row r="6" spans="1:17" thickBot="1" x14ac:dyDescent="0.35">
      <c r="A6" s="230" t="s">
        <v>28</v>
      </c>
      <c r="B6" s="230"/>
      <c r="C6" s="230"/>
      <c r="D6" s="230"/>
      <c r="E6" s="230"/>
      <c r="F6" s="230"/>
      <c r="G6" s="229" t="str">
        <f>'NP LABORATORIO'!D5</f>
        <v>468 - DIRECCION PROVINCIAL DE LABORATORIO</v>
      </c>
      <c r="H6" s="229"/>
      <c r="I6" s="229"/>
      <c r="J6" s="229"/>
      <c r="K6" s="229"/>
      <c r="L6" s="229"/>
      <c r="M6" s="229"/>
      <c r="N6" s="229"/>
      <c r="O6" s="229"/>
      <c r="P6" s="229"/>
      <c r="Q6" s="229"/>
    </row>
    <row r="7" spans="1:17" thickBot="1" x14ac:dyDescent="0.35">
      <c r="A7" s="230" t="s">
        <v>29</v>
      </c>
      <c r="B7" s="230"/>
      <c r="C7" s="230"/>
      <c r="D7" s="230"/>
      <c r="E7" s="230"/>
      <c r="F7" s="230"/>
      <c r="G7" s="229" t="str">
        <f>'NP LABORATORIO'!D6</f>
        <v>468 - DIRECCION PROVINCIAL DE LABORATORIO</v>
      </c>
      <c r="H7" s="229"/>
      <c r="I7" s="229"/>
      <c r="J7" s="229"/>
      <c r="K7" s="229"/>
      <c r="L7" s="229"/>
      <c r="M7" s="229"/>
      <c r="N7" s="229"/>
      <c r="O7" s="229"/>
      <c r="P7" s="229"/>
      <c r="Q7" s="229"/>
    </row>
    <row r="8" spans="1:17" ht="15.75" thickBot="1" x14ac:dyDescent="0.3">
      <c r="A8" s="231" t="s">
        <v>273</v>
      </c>
      <c r="B8" s="231"/>
      <c r="C8" s="231"/>
      <c r="D8" s="231"/>
      <c r="E8" s="231"/>
      <c r="F8" s="231"/>
      <c r="G8" s="231"/>
      <c r="H8" s="231"/>
      <c r="I8" s="231"/>
      <c r="J8" s="231"/>
      <c r="K8" s="231"/>
      <c r="L8" s="231"/>
      <c r="M8" s="231"/>
      <c r="N8" s="231"/>
      <c r="O8" s="231"/>
      <c r="P8" s="231"/>
      <c r="Q8" s="231"/>
    </row>
    <row r="9" spans="1:17" x14ac:dyDescent="0.25">
      <c r="A9" s="224" t="s">
        <v>274</v>
      </c>
      <c r="B9" s="224"/>
      <c r="C9" s="224"/>
      <c r="D9" s="224"/>
      <c r="E9" s="224"/>
      <c r="F9" s="224"/>
      <c r="G9" s="224"/>
      <c r="H9" s="224"/>
      <c r="I9" s="224"/>
      <c r="J9" s="224"/>
      <c r="K9" s="224"/>
      <c r="L9" s="224"/>
      <c r="M9" s="224"/>
      <c r="N9" s="224"/>
      <c r="O9" s="224"/>
      <c r="P9" s="224"/>
      <c r="Q9" s="224"/>
    </row>
    <row r="10" spans="1:17" ht="57" customHeight="1" x14ac:dyDescent="0.25">
      <c r="A10" s="216" t="s">
        <v>293</v>
      </c>
      <c r="B10" s="216"/>
      <c r="C10" s="216"/>
      <c r="D10" s="216"/>
      <c r="E10" s="216"/>
      <c r="F10" s="216"/>
      <c r="G10" s="216"/>
      <c r="H10" s="216"/>
      <c r="I10" s="216"/>
      <c r="J10" s="216"/>
      <c r="K10" s="216"/>
      <c r="L10" s="216"/>
      <c r="M10" s="216"/>
      <c r="N10" s="216"/>
      <c r="O10" s="216"/>
      <c r="P10" s="216"/>
      <c r="Q10" s="216"/>
    </row>
    <row r="11" spans="1:17" thickBot="1" x14ac:dyDescent="0.35">
      <c r="A11" s="91"/>
      <c r="B11" s="92"/>
      <c r="C11" s="92"/>
      <c r="D11" s="92"/>
      <c r="E11" s="92"/>
      <c r="F11" s="92"/>
      <c r="G11" s="93"/>
      <c r="H11" s="92"/>
      <c r="I11" s="92"/>
      <c r="J11" s="92"/>
      <c r="K11" s="92"/>
      <c r="L11" s="92"/>
      <c r="M11" s="92"/>
      <c r="N11" s="92"/>
      <c r="O11" s="92"/>
      <c r="P11" s="92"/>
      <c r="Q11" s="124"/>
    </row>
    <row r="12" spans="1:17" ht="15.75" thickBot="1" x14ac:dyDescent="0.3">
      <c r="A12" s="217" t="s">
        <v>275</v>
      </c>
      <c r="B12" s="217"/>
      <c r="C12" s="217"/>
      <c r="D12" s="217"/>
      <c r="E12" s="217"/>
      <c r="F12" s="217"/>
      <c r="G12" s="217"/>
      <c r="H12" s="217"/>
      <c r="I12" s="217"/>
      <c r="J12" s="217"/>
      <c r="K12" s="217"/>
      <c r="L12" s="217"/>
      <c r="M12" s="217"/>
      <c r="N12" s="217"/>
      <c r="O12" s="217"/>
      <c r="P12" s="217"/>
      <c r="Q12" s="217"/>
    </row>
    <row r="13" spans="1:17" ht="15.75" thickBot="1" x14ac:dyDescent="0.3">
      <c r="A13" s="218" t="s">
        <v>276</v>
      </c>
      <c r="B13" s="218"/>
      <c r="C13" s="218"/>
      <c r="D13" s="218"/>
      <c r="E13" s="218"/>
      <c r="F13" s="218"/>
      <c r="G13" s="218"/>
      <c r="H13" s="218"/>
      <c r="I13" s="218"/>
      <c r="J13" s="218"/>
      <c r="K13" s="218"/>
      <c r="L13" s="218"/>
      <c r="M13" s="218"/>
      <c r="N13" s="218"/>
      <c r="O13" s="219" t="s">
        <v>277</v>
      </c>
      <c r="P13" s="219"/>
      <c r="Q13" s="220" t="s">
        <v>278</v>
      </c>
    </row>
    <row r="14" spans="1:17" ht="15.75" thickBot="1" x14ac:dyDescent="0.3">
      <c r="A14" s="95" t="s">
        <v>279</v>
      </c>
      <c r="B14" s="96" t="s">
        <v>280</v>
      </c>
      <c r="C14" s="96" t="s">
        <v>281</v>
      </c>
      <c r="D14" s="96" t="s">
        <v>282</v>
      </c>
      <c r="E14" s="96" t="s">
        <v>283</v>
      </c>
      <c r="F14" s="96" t="s">
        <v>284</v>
      </c>
      <c r="G14" s="97" t="s">
        <v>285</v>
      </c>
      <c r="H14" s="96" t="s">
        <v>286</v>
      </c>
      <c r="I14" s="96" t="s">
        <v>287</v>
      </c>
      <c r="J14" s="96" t="s">
        <v>288</v>
      </c>
      <c r="K14" s="96" t="s">
        <v>288</v>
      </c>
      <c r="L14" s="96" t="s">
        <v>289</v>
      </c>
      <c r="M14" s="98" t="s">
        <v>290</v>
      </c>
      <c r="N14" s="99" t="s">
        <v>291</v>
      </c>
      <c r="O14" s="219"/>
      <c r="P14" s="219"/>
      <c r="Q14" s="220"/>
    </row>
    <row r="15" spans="1:17" ht="14.45" x14ac:dyDescent="0.3">
      <c r="A15" s="100">
        <v>62</v>
      </c>
      <c r="B15" s="101"/>
      <c r="C15" s="101"/>
      <c r="D15" s="101">
        <v>1</v>
      </c>
      <c r="E15" s="101"/>
      <c r="F15" s="101">
        <v>4901</v>
      </c>
      <c r="G15" s="101">
        <v>3</v>
      </c>
      <c r="H15" s="101">
        <v>1</v>
      </c>
      <c r="I15" s="101">
        <v>2</v>
      </c>
      <c r="J15" s="101">
        <v>3</v>
      </c>
      <c r="K15" s="101">
        <v>4</v>
      </c>
      <c r="L15" s="101"/>
      <c r="M15" s="102">
        <v>1</v>
      </c>
      <c r="N15" s="101" t="s">
        <v>297</v>
      </c>
      <c r="O15" s="221" t="s">
        <v>302</v>
      </c>
      <c r="P15" s="221"/>
      <c r="Q15" s="125">
        <f>'NP LABORATORIO'!M74</f>
        <v>390080</v>
      </c>
    </row>
    <row r="16" spans="1:17" x14ac:dyDescent="0.25">
      <c r="A16" s="104">
        <v>62</v>
      </c>
      <c r="B16" s="105"/>
      <c r="C16" s="105"/>
      <c r="D16" s="105">
        <v>1</v>
      </c>
      <c r="E16" s="105"/>
      <c r="F16" s="105">
        <v>4901</v>
      </c>
      <c r="G16" s="105">
        <v>3</v>
      </c>
      <c r="H16" s="105">
        <v>1</v>
      </c>
      <c r="I16" s="105">
        <v>2</v>
      </c>
      <c r="J16" s="105">
        <v>9</v>
      </c>
      <c r="K16" s="105">
        <v>3</v>
      </c>
      <c r="L16" s="105"/>
      <c r="M16" s="106">
        <v>1</v>
      </c>
      <c r="N16" s="107" t="s">
        <v>297</v>
      </c>
      <c r="O16" s="222" t="s">
        <v>303</v>
      </c>
      <c r="P16" s="222"/>
      <c r="Q16" s="126">
        <f>'NP LABORATORIO'!N74</f>
        <v>165250</v>
      </c>
    </row>
    <row r="17" spans="1:17" x14ac:dyDescent="0.25">
      <c r="A17" s="104">
        <v>62</v>
      </c>
      <c r="B17" s="105"/>
      <c r="C17" s="105"/>
      <c r="D17" s="105">
        <v>1</v>
      </c>
      <c r="E17" s="105"/>
      <c r="F17" s="105">
        <v>4901</v>
      </c>
      <c r="G17" s="105">
        <v>3</v>
      </c>
      <c r="H17" s="105">
        <v>1</v>
      </c>
      <c r="I17" s="105">
        <v>2</v>
      </c>
      <c r="J17" s="105">
        <v>9</v>
      </c>
      <c r="K17" s="105">
        <v>5</v>
      </c>
      <c r="L17" s="105"/>
      <c r="M17" s="106">
        <v>1</v>
      </c>
      <c r="N17" s="107" t="s">
        <v>297</v>
      </c>
      <c r="O17" s="223" t="s">
        <v>304</v>
      </c>
      <c r="P17" s="223"/>
      <c r="Q17" s="126">
        <f>'NP LABORATORIO'!O74</f>
        <v>41230340</v>
      </c>
    </row>
    <row r="18" spans="1:17" x14ac:dyDescent="0.25">
      <c r="A18" s="104">
        <v>62</v>
      </c>
      <c r="B18" s="105"/>
      <c r="C18" s="105"/>
      <c r="D18" s="105">
        <v>1</v>
      </c>
      <c r="E18" s="105"/>
      <c r="F18" s="105">
        <v>4901</v>
      </c>
      <c r="G18" s="105">
        <v>3</v>
      </c>
      <c r="H18" s="105">
        <v>1</v>
      </c>
      <c r="I18" s="105">
        <v>2</v>
      </c>
      <c r="J18" s="105">
        <v>9</v>
      </c>
      <c r="K18" s="105">
        <v>6</v>
      </c>
      <c r="L18" s="105"/>
      <c r="M18" s="106">
        <v>1</v>
      </c>
      <c r="N18" s="107" t="s">
        <v>297</v>
      </c>
      <c r="O18" s="222" t="s">
        <v>305</v>
      </c>
      <c r="P18" s="222"/>
      <c r="Q18" s="126">
        <f>'NP LABORATORIO'!P74</f>
        <v>84190</v>
      </c>
    </row>
    <row r="19" spans="1:17" x14ac:dyDescent="0.25">
      <c r="A19" s="104"/>
      <c r="B19" s="105"/>
      <c r="C19" s="105"/>
      <c r="D19" s="105"/>
      <c r="E19" s="105"/>
      <c r="F19" s="105"/>
      <c r="G19" s="105"/>
      <c r="H19" s="105"/>
      <c r="I19" s="105"/>
      <c r="J19" s="105"/>
      <c r="K19" s="105"/>
      <c r="L19" s="105"/>
      <c r="M19" s="106"/>
      <c r="N19" s="107"/>
      <c r="O19" s="215"/>
      <c r="P19" s="215"/>
      <c r="Q19" s="126"/>
    </row>
    <row r="20" spans="1:17" x14ac:dyDescent="0.25">
      <c r="A20" s="104"/>
      <c r="B20" s="105"/>
      <c r="C20" s="105"/>
      <c r="D20" s="105"/>
      <c r="E20" s="105"/>
      <c r="F20" s="105"/>
      <c r="G20" s="105"/>
      <c r="H20" s="105"/>
      <c r="I20" s="105"/>
      <c r="J20" s="105"/>
      <c r="K20" s="105"/>
      <c r="L20" s="105"/>
      <c r="M20" s="106"/>
      <c r="N20" s="107"/>
      <c r="O20" s="215"/>
      <c r="P20" s="215"/>
      <c r="Q20" s="126"/>
    </row>
    <row r="21" spans="1:17" x14ac:dyDescent="0.25">
      <c r="A21" s="104"/>
      <c r="B21" s="105"/>
      <c r="C21" s="105"/>
      <c r="D21" s="105"/>
      <c r="E21" s="105"/>
      <c r="F21" s="105"/>
      <c r="G21" s="105"/>
      <c r="H21" s="105"/>
      <c r="I21" s="105"/>
      <c r="J21" s="105"/>
      <c r="K21" s="105"/>
      <c r="L21" s="105"/>
      <c r="M21" s="106"/>
      <c r="N21" s="107"/>
      <c r="O21" s="215"/>
      <c r="P21" s="215"/>
      <c r="Q21" s="126"/>
    </row>
    <row r="22" spans="1:17" x14ac:dyDescent="0.25">
      <c r="A22" s="104"/>
      <c r="B22" s="105"/>
      <c r="C22" s="105"/>
      <c r="D22" s="105"/>
      <c r="E22" s="105"/>
      <c r="F22" s="105"/>
      <c r="G22" s="105"/>
      <c r="H22" s="105"/>
      <c r="I22" s="105"/>
      <c r="J22" s="105"/>
      <c r="K22" s="105"/>
      <c r="L22" s="105"/>
      <c r="M22" s="106"/>
      <c r="N22" s="107"/>
      <c r="O22" s="215"/>
      <c r="P22" s="215"/>
      <c r="Q22" s="126"/>
    </row>
    <row r="23" spans="1:17" x14ac:dyDescent="0.25">
      <c r="A23" s="104"/>
      <c r="B23" s="105"/>
      <c r="C23" s="105"/>
      <c r="D23" s="105"/>
      <c r="E23" s="105"/>
      <c r="F23" s="105"/>
      <c r="G23" s="105"/>
      <c r="H23" s="105"/>
      <c r="I23" s="105"/>
      <c r="J23" s="105"/>
      <c r="K23" s="105"/>
      <c r="L23" s="105"/>
      <c r="M23" s="106"/>
      <c r="N23" s="107"/>
      <c r="O23" s="215"/>
      <c r="P23" s="215"/>
      <c r="Q23" s="126"/>
    </row>
    <row r="24" spans="1:17" x14ac:dyDescent="0.25">
      <c r="A24" s="104"/>
      <c r="B24" s="105"/>
      <c r="C24" s="105"/>
      <c r="D24" s="105"/>
      <c r="E24" s="105"/>
      <c r="F24" s="105"/>
      <c r="G24" s="105"/>
      <c r="H24" s="105"/>
      <c r="I24" s="105"/>
      <c r="J24" s="105"/>
      <c r="K24" s="105"/>
      <c r="L24" s="105"/>
      <c r="M24" s="106"/>
      <c r="N24" s="107"/>
      <c r="O24" s="215"/>
      <c r="P24" s="215"/>
      <c r="Q24" s="126"/>
    </row>
    <row r="25" spans="1:17" x14ac:dyDescent="0.25">
      <c r="A25" s="104"/>
      <c r="B25" s="105"/>
      <c r="C25" s="105"/>
      <c r="D25" s="105"/>
      <c r="E25" s="105"/>
      <c r="F25" s="105"/>
      <c r="G25" s="105"/>
      <c r="H25" s="105"/>
      <c r="I25" s="105"/>
      <c r="J25" s="105"/>
      <c r="K25" s="105"/>
      <c r="L25" s="105"/>
      <c r="M25" s="106"/>
      <c r="N25" s="107"/>
      <c r="O25" s="215"/>
      <c r="P25" s="215"/>
      <c r="Q25" s="126"/>
    </row>
    <row r="26" spans="1:17" x14ac:dyDescent="0.25">
      <c r="A26" s="104"/>
      <c r="B26" s="105"/>
      <c r="C26" s="105"/>
      <c r="D26" s="105"/>
      <c r="E26" s="105"/>
      <c r="F26" s="105"/>
      <c r="G26" s="105"/>
      <c r="H26" s="105"/>
      <c r="I26" s="105"/>
      <c r="J26" s="105"/>
      <c r="K26" s="105"/>
      <c r="L26" s="105"/>
      <c r="M26" s="106"/>
      <c r="N26" s="107"/>
      <c r="O26" s="215"/>
      <c r="P26" s="215"/>
      <c r="Q26" s="126"/>
    </row>
    <row r="27" spans="1:17" x14ac:dyDescent="0.25">
      <c r="A27" s="104"/>
      <c r="B27" s="105"/>
      <c r="C27" s="105"/>
      <c r="D27" s="105"/>
      <c r="E27" s="105"/>
      <c r="F27" s="105"/>
      <c r="G27" s="105"/>
      <c r="H27" s="105"/>
      <c r="I27" s="105"/>
      <c r="J27" s="105"/>
      <c r="K27" s="105"/>
      <c r="L27" s="105"/>
      <c r="M27" s="106"/>
      <c r="N27" s="107"/>
      <c r="O27" s="215"/>
      <c r="P27" s="215"/>
      <c r="Q27" s="126"/>
    </row>
    <row r="28" spans="1:17" x14ac:dyDescent="0.25">
      <c r="A28" s="104"/>
      <c r="B28" s="105"/>
      <c r="C28" s="105"/>
      <c r="D28" s="105"/>
      <c r="E28" s="105"/>
      <c r="F28" s="105"/>
      <c r="G28" s="105"/>
      <c r="H28" s="105"/>
      <c r="I28" s="105"/>
      <c r="J28" s="105"/>
      <c r="K28" s="105"/>
      <c r="L28" s="105"/>
      <c r="M28" s="106"/>
      <c r="N28" s="107"/>
      <c r="O28" s="215"/>
      <c r="P28" s="215"/>
      <c r="Q28" s="126"/>
    </row>
    <row r="29" spans="1:17" x14ac:dyDescent="0.25">
      <c r="A29" s="104"/>
      <c r="B29" s="105"/>
      <c r="C29" s="105"/>
      <c r="D29" s="105"/>
      <c r="E29" s="105"/>
      <c r="F29" s="105"/>
      <c r="G29" s="105"/>
      <c r="H29" s="105"/>
      <c r="I29" s="105"/>
      <c r="J29" s="105"/>
      <c r="K29" s="105"/>
      <c r="L29" s="105"/>
      <c r="M29" s="106"/>
      <c r="N29" s="107"/>
      <c r="O29" s="215"/>
      <c r="P29" s="215"/>
      <c r="Q29" s="126"/>
    </row>
    <row r="30" spans="1:17" x14ac:dyDescent="0.25">
      <c r="A30" s="104"/>
      <c r="B30" s="105"/>
      <c r="C30" s="105"/>
      <c r="D30" s="105"/>
      <c r="E30" s="105"/>
      <c r="F30" s="105"/>
      <c r="G30" s="105"/>
      <c r="H30" s="105"/>
      <c r="I30" s="105"/>
      <c r="J30" s="105"/>
      <c r="K30" s="105"/>
      <c r="L30" s="105"/>
      <c r="M30" s="106"/>
      <c r="N30" s="107"/>
      <c r="O30" s="215"/>
      <c r="P30" s="215"/>
      <c r="Q30" s="126"/>
    </row>
    <row r="31" spans="1:17" x14ac:dyDescent="0.25">
      <c r="A31" s="104"/>
      <c r="B31" s="105"/>
      <c r="C31" s="105"/>
      <c r="D31" s="105"/>
      <c r="E31" s="105"/>
      <c r="F31" s="105"/>
      <c r="G31" s="105"/>
      <c r="H31" s="105"/>
      <c r="I31" s="105"/>
      <c r="J31" s="105"/>
      <c r="K31" s="105"/>
      <c r="L31" s="105"/>
      <c r="M31" s="106"/>
      <c r="N31" s="107"/>
      <c r="O31" s="215"/>
      <c r="P31" s="215"/>
      <c r="Q31" s="126"/>
    </row>
    <row r="32" spans="1:17" x14ac:dyDescent="0.25">
      <c r="A32" s="104"/>
      <c r="B32" s="105"/>
      <c r="C32" s="105"/>
      <c r="D32" s="105"/>
      <c r="E32" s="105"/>
      <c r="F32" s="107"/>
      <c r="G32" s="105"/>
      <c r="H32" s="105"/>
      <c r="I32" s="105"/>
      <c r="J32" s="105"/>
      <c r="K32" s="105"/>
      <c r="L32" s="105"/>
      <c r="M32" s="106"/>
      <c r="N32" s="107"/>
      <c r="O32" s="210"/>
      <c r="P32" s="210"/>
      <c r="Q32" s="126"/>
    </row>
    <row r="33" spans="1:17" x14ac:dyDescent="0.25">
      <c r="A33" s="104"/>
      <c r="B33" s="105"/>
      <c r="C33" s="105"/>
      <c r="D33" s="105"/>
      <c r="E33" s="105"/>
      <c r="F33" s="105"/>
      <c r="G33" s="105"/>
      <c r="H33" s="105"/>
      <c r="I33" s="105"/>
      <c r="J33" s="105"/>
      <c r="K33" s="105"/>
      <c r="L33" s="105"/>
      <c r="M33" s="106"/>
      <c r="N33" s="107"/>
      <c r="O33" s="210"/>
      <c r="P33" s="210"/>
      <c r="Q33" s="126"/>
    </row>
    <row r="34" spans="1:17" x14ac:dyDescent="0.25">
      <c r="A34" s="104"/>
      <c r="B34" s="105"/>
      <c r="C34" s="105"/>
      <c r="D34" s="105"/>
      <c r="E34" s="105"/>
      <c r="F34" s="107"/>
      <c r="G34" s="105"/>
      <c r="H34" s="105"/>
      <c r="I34" s="105"/>
      <c r="J34" s="105"/>
      <c r="K34" s="105"/>
      <c r="L34" s="105"/>
      <c r="M34" s="106"/>
      <c r="N34" s="107"/>
      <c r="O34" s="210"/>
      <c r="P34" s="210"/>
      <c r="Q34" s="126"/>
    </row>
    <row r="35" spans="1:17" x14ac:dyDescent="0.25">
      <c r="A35" s="104"/>
      <c r="B35" s="105"/>
      <c r="C35" s="105"/>
      <c r="D35" s="105"/>
      <c r="E35" s="105"/>
      <c r="F35" s="107"/>
      <c r="G35" s="105"/>
      <c r="H35" s="105"/>
      <c r="I35" s="105"/>
      <c r="J35" s="105"/>
      <c r="K35" s="105"/>
      <c r="L35" s="105"/>
      <c r="M35" s="106"/>
      <c r="N35" s="107"/>
      <c r="O35" s="210"/>
      <c r="P35" s="210"/>
      <c r="Q35" s="126"/>
    </row>
    <row r="36" spans="1:17" x14ac:dyDescent="0.25">
      <c r="A36" s="110"/>
      <c r="B36" s="111"/>
      <c r="C36" s="111"/>
      <c r="D36" s="111"/>
      <c r="E36" s="111"/>
      <c r="F36" s="112"/>
      <c r="G36" s="111"/>
      <c r="H36" s="111"/>
      <c r="I36" s="111"/>
      <c r="J36" s="111"/>
      <c r="K36" s="111"/>
      <c r="L36" s="111"/>
      <c r="M36" s="113"/>
      <c r="N36" s="114"/>
      <c r="O36" s="211"/>
      <c r="P36" s="211"/>
      <c r="Q36" s="126"/>
    </row>
    <row r="37" spans="1:17" ht="15.75" thickBot="1" x14ac:dyDescent="0.3">
      <c r="A37" s="115"/>
      <c r="B37" s="116"/>
      <c r="C37" s="116"/>
      <c r="D37" s="116"/>
      <c r="E37" s="116"/>
      <c r="F37" s="116"/>
      <c r="G37" s="116"/>
      <c r="H37" s="116"/>
      <c r="I37" s="116"/>
      <c r="J37" s="116"/>
      <c r="K37" s="116"/>
      <c r="L37" s="116"/>
      <c r="M37" s="117"/>
      <c r="N37" s="116"/>
      <c r="O37" s="212"/>
      <c r="P37" s="212"/>
      <c r="Q37" s="127"/>
    </row>
    <row r="38" spans="1:17" ht="37.5" customHeight="1" thickBot="1" x14ac:dyDescent="0.3">
      <c r="A38" s="213" t="s">
        <v>315</v>
      </c>
      <c r="B38" s="213"/>
      <c r="C38" s="213"/>
      <c r="D38" s="213"/>
      <c r="E38" s="213"/>
      <c r="F38" s="213"/>
      <c r="G38" s="213"/>
      <c r="H38" s="213"/>
      <c r="I38" s="213"/>
      <c r="J38" s="213"/>
      <c r="K38" s="213"/>
      <c r="L38" s="213"/>
      <c r="M38" s="213"/>
      <c r="N38" s="213"/>
      <c r="O38" s="213"/>
      <c r="P38" s="213"/>
      <c r="Q38" s="128">
        <f>SUM(Q15:Q37)</f>
        <v>41869860</v>
      </c>
    </row>
    <row r="39" spans="1:17" ht="15.75" thickBot="1" x14ac:dyDescent="0.3">
      <c r="A39" s="214"/>
      <c r="B39" s="214"/>
      <c r="C39" s="214"/>
      <c r="D39" s="214"/>
      <c r="E39" s="214"/>
      <c r="F39" s="214"/>
      <c r="G39" s="214"/>
      <c r="H39" s="214"/>
      <c r="I39" s="214"/>
      <c r="J39" s="214"/>
      <c r="K39" s="214"/>
      <c r="L39" s="214"/>
      <c r="M39" s="214"/>
      <c r="N39" s="214"/>
      <c r="O39" s="214"/>
      <c r="P39" s="214"/>
      <c r="Q39" s="214"/>
    </row>
    <row r="40" spans="1:17" ht="15.75" thickBot="1" x14ac:dyDescent="0.3">
      <c r="A40" s="207" t="s">
        <v>292</v>
      </c>
      <c r="B40" s="207"/>
      <c r="C40" s="207"/>
      <c r="D40" s="207"/>
      <c r="E40" s="207"/>
      <c r="F40" s="207"/>
      <c r="G40" s="208"/>
      <c r="H40" s="208"/>
      <c r="I40" s="208"/>
      <c r="J40" s="208"/>
      <c r="K40" s="208"/>
      <c r="L40" s="208"/>
      <c r="M40" s="208"/>
      <c r="N40" s="208"/>
      <c r="O40" s="208"/>
      <c r="P40" s="208"/>
      <c r="Q40" s="208"/>
    </row>
    <row r="41" spans="1:17" ht="15.75" thickBot="1" x14ac:dyDescent="0.3">
      <c r="A41" s="209" t="str">
        <f>'NP LABORATORIO'!D8</f>
        <v>ADQUISICION DEL RUBRO INSUMOS PARA LABORATORIO</v>
      </c>
      <c r="B41" s="209"/>
      <c r="C41" s="209"/>
      <c r="D41" s="209"/>
      <c r="E41" s="209"/>
      <c r="F41" s="209"/>
      <c r="G41" s="209"/>
      <c r="H41" s="209"/>
      <c r="I41" s="209"/>
      <c r="J41" s="209"/>
      <c r="K41" s="209"/>
      <c r="L41" s="209"/>
      <c r="M41" s="209"/>
      <c r="N41" s="209"/>
      <c r="O41" s="209"/>
      <c r="P41" s="209"/>
      <c r="Q41" s="209"/>
    </row>
    <row r="42" spans="1:17" ht="15.75" thickBot="1" x14ac:dyDescent="0.3">
      <c r="A42" s="209"/>
      <c r="B42" s="209"/>
      <c r="C42" s="209"/>
      <c r="D42" s="209"/>
      <c r="E42" s="209"/>
      <c r="F42" s="209"/>
      <c r="G42" s="209"/>
      <c r="H42" s="209"/>
      <c r="I42" s="209"/>
      <c r="J42" s="209"/>
      <c r="K42" s="209"/>
      <c r="L42" s="209"/>
      <c r="M42" s="209"/>
      <c r="N42" s="209"/>
      <c r="O42" s="209"/>
      <c r="P42" s="209"/>
      <c r="Q42" s="209"/>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abSelected="1" zoomScaleNormal="100" workbookViewId="0">
      <selection sqref="A1:I1"/>
    </sheetView>
  </sheetViews>
  <sheetFormatPr baseColWidth="10" defaultColWidth="10.7109375" defaultRowHeight="15" x14ac:dyDescent="0.25"/>
  <cols>
    <col min="1" max="1" width="5.5703125" style="164" customWidth="1"/>
    <col min="2" max="2" width="15.140625" style="164" customWidth="1"/>
    <col min="3" max="3" width="14.140625" style="164" customWidth="1"/>
    <col min="4" max="4" width="26" style="164" customWidth="1"/>
    <col min="5" max="5" width="8" style="164" customWidth="1"/>
    <col min="6" max="6" width="7.85546875" style="164" customWidth="1"/>
    <col min="7" max="7" width="116.7109375" style="164" customWidth="1"/>
    <col min="8" max="8" width="9.28515625" style="164" customWidth="1"/>
    <col min="9" max="9" width="15.5703125" style="164" customWidth="1"/>
    <col min="10" max="10" width="14.7109375" style="165" customWidth="1"/>
    <col min="11" max="11" width="15.5703125" style="164" customWidth="1"/>
    <col min="12" max="14" width="17.7109375" style="20" customWidth="1"/>
    <col min="15" max="17" width="15.5703125" style="20" bestFit="1" customWidth="1"/>
  </cols>
  <sheetData>
    <row r="1" spans="1:17" ht="30.75" thickBot="1" x14ac:dyDescent="0.3">
      <c r="A1" s="203" t="s">
        <v>24</v>
      </c>
      <c r="B1" s="203"/>
      <c r="C1" s="203"/>
      <c r="D1" s="203"/>
      <c r="E1" s="203"/>
      <c r="F1" s="203"/>
      <c r="G1" s="203"/>
      <c r="H1" s="203"/>
      <c r="I1" s="203"/>
      <c r="J1" s="135" t="s">
        <v>25</v>
      </c>
      <c r="K1" s="136" t="s">
        <v>270</v>
      </c>
    </row>
    <row r="2" spans="1:17" ht="16.5" thickBot="1" x14ac:dyDescent="0.3">
      <c r="A2" s="137"/>
      <c r="B2" s="138"/>
      <c r="C2" s="138"/>
      <c r="D2" s="139"/>
      <c r="E2" s="139"/>
      <c r="F2" s="139"/>
      <c r="G2" s="139"/>
      <c r="H2" s="139"/>
      <c r="I2" s="139"/>
      <c r="J2" s="140"/>
      <c r="K2" s="141"/>
    </row>
    <row r="3" spans="1:17" ht="16.5" customHeight="1" thickBot="1" x14ac:dyDescent="0.3">
      <c r="A3" s="204" t="s">
        <v>26</v>
      </c>
      <c r="B3" s="204"/>
      <c r="C3" s="204"/>
      <c r="D3" s="120" t="str">
        <f>'SAF 011'!C4</f>
        <v>040 - MINISTERIO DE SALUD</v>
      </c>
      <c r="E3" s="143"/>
      <c r="F3" s="143"/>
      <c r="G3" s="143"/>
      <c r="H3" s="143"/>
      <c r="I3" s="143"/>
      <c r="J3" s="143"/>
      <c r="K3" s="144"/>
    </row>
    <row r="4" spans="1:17" ht="16.5" customHeight="1" thickBot="1" x14ac:dyDescent="0.3">
      <c r="A4" s="205" t="s">
        <v>27</v>
      </c>
      <c r="B4" s="205"/>
      <c r="C4" s="205"/>
      <c r="D4" s="120" t="str">
        <f>'SAF 011'!C5</f>
        <v>011 - DIRECCION PROVINCIAL DE ADMINISTRACION - MINISTERIO DE SALUD</v>
      </c>
      <c r="E4" s="143"/>
      <c r="F4" s="143"/>
      <c r="G4" s="143"/>
      <c r="H4" s="143"/>
      <c r="I4" s="143"/>
      <c r="J4" s="143"/>
      <c r="K4" s="144"/>
    </row>
    <row r="5" spans="1:17" ht="16.5" customHeight="1" thickBot="1" x14ac:dyDescent="0.3">
      <c r="A5" s="205" t="s">
        <v>28</v>
      </c>
      <c r="B5" s="205"/>
      <c r="C5" s="205"/>
      <c r="D5" s="120" t="s">
        <v>294</v>
      </c>
      <c r="E5" s="143"/>
      <c r="F5" s="143"/>
      <c r="G5" s="143"/>
      <c r="H5" s="143"/>
      <c r="I5" s="143"/>
      <c r="J5" s="143"/>
      <c r="K5" s="144"/>
    </row>
    <row r="6" spans="1:17" ht="16.5" customHeight="1" thickBot="1" x14ac:dyDescent="0.3">
      <c r="A6" s="204" t="s">
        <v>29</v>
      </c>
      <c r="B6" s="204"/>
      <c r="C6" s="204"/>
      <c r="D6" s="120" t="s">
        <v>294</v>
      </c>
      <c r="E6" s="143"/>
      <c r="F6" s="143"/>
      <c r="G6" s="143"/>
      <c r="H6" s="143"/>
      <c r="I6" s="143"/>
      <c r="J6" s="143"/>
      <c r="K6" s="144"/>
    </row>
    <row r="7" spans="1:17" ht="16.5" thickBot="1" x14ac:dyDescent="0.3">
      <c r="A7" s="205" t="s">
        <v>30</v>
      </c>
      <c r="B7" s="205"/>
      <c r="C7" s="205"/>
      <c r="D7" s="120" t="s">
        <v>268</v>
      </c>
      <c r="E7" s="143"/>
      <c r="F7" s="143"/>
      <c r="G7" s="143"/>
      <c r="H7" s="143"/>
      <c r="I7" s="143"/>
      <c r="J7" s="143"/>
      <c r="K7" s="144"/>
    </row>
    <row r="8" spans="1:17" ht="16.5" customHeight="1" thickBot="1" x14ac:dyDescent="0.3">
      <c r="A8" s="206" t="s">
        <v>31</v>
      </c>
      <c r="B8" s="206"/>
      <c r="C8" s="206"/>
      <c r="D8" s="121" t="s">
        <v>319</v>
      </c>
      <c r="E8" s="143"/>
      <c r="F8" s="143"/>
      <c r="G8" s="143"/>
      <c r="H8" s="143"/>
      <c r="I8" s="143"/>
      <c r="J8" s="143"/>
      <c r="K8" s="144"/>
    </row>
    <row r="9" spans="1:17" ht="16.5" thickBot="1" x14ac:dyDescent="0.3">
      <c r="A9" s="146"/>
      <c r="B9" s="147"/>
      <c r="C9" s="147"/>
      <c r="D9" s="148"/>
      <c r="E9" s="148"/>
      <c r="F9" s="148"/>
      <c r="G9" s="148"/>
      <c r="H9" s="148"/>
      <c r="I9" s="148"/>
      <c r="J9" s="149"/>
      <c r="K9" s="150"/>
    </row>
    <row r="10" spans="1:17" ht="15.75" thickBot="1" x14ac:dyDescent="0.3">
      <c r="A10" s="236" t="s">
        <v>32</v>
      </c>
      <c r="B10" s="238" t="s">
        <v>33</v>
      </c>
      <c r="C10" s="238" t="s">
        <v>34</v>
      </c>
      <c r="D10" s="238"/>
      <c r="E10" s="238"/>
      <c r="F10" s="238"/>
      <c r="G10" s="238"/>
      <c r="H10" s="238" t="s">
        <v>35</v>
      </c>
      <c r="I10" s="238" t="s">
        <v>36</v>
      </c>
      <c r="J10" s="232" t="s">
        <v>37</v>
      </c>
      <c r="K10" s="234" t="s">
        <v>38</v>
      </c>
    </row>
    <row r="11" spans="1:17" ht="27.75" customHeight="1" thickBot="1" x14ac:dyDescent="0.3">
      <c r="A11" s="237"/>
      <c r="B11" s="239"/>
      <c r="C11" s="239"/>
      <c r="D11" s="239"/>
      <c r="E11" s="239"/>
      <c r="F11" s="239"/>
      <c r="G11" s="239"/>
      <c r="H11" s="239"/>
      <c r="I11" s="239"/>
      <c r="J11" s="233"/>
      <c r="K11" s="235"/>
    </row>
    <row r="12" spans="1:17" s="18" customFormat="1" ht="16.5" customHeight="1" x14ac:dyDescent="0.25">
      <c r="A12" s="156">
        <v>1</v>
      </c>
      <c r="B12" s="157" t="str">
        <f>'SAF 011'!B12</f>
        <v>2.9.5-470.13</v>
      </c>
      <c r="C12" s="189" t="str">
        <f>'SAF 011'!E12</f>
        <v>ALGODONES; TIPO: HIDROFILADO, CAPACIDAD: 500 GR, PRESENTACION: ENVASE X 500 GR</v>
      </c>
      <c r="D12" s="190"/>
      <c r="E12" s="190"/>
      <c r="F12" s="190"/>
      <c r="G12" s="191"/>
      <c r="H12" s="157" t="s">
        <v>295</v>
      </c>
      <c r="I12" s="158" t="str">
        <f>'SAF 011'!F12</f>
        <v>PAQUETE</v>
      </c>
      <c r="J12" s="159">
        <f>'SAF 011'!L12</f>
        <v>862</v>
      </c>
      <c r="K12" s="160">
        <f>'SAF 011'!I12</f>
        <v>40</v>
      </c>
      <c r="L12" s="19"/>
      <c r="M12" s="19"/>
      <c r="N12" s="19"/>
      <c r="O12" s="19"/>
      <c r="P12" s="129"/>
      <c r="Q12" s="20"/>
    </row>
    <row r="13" spans="1:17" s="18" customFormat="1" ht="16.5" customHeight="1" x14ac:dyDescent="0.25">
      <c r="A13" s="156">
        <v>2</v>
      </c>
      <c r="B13" s="157" t="str">
        <f>'SAF 011'!B14</f>
        <v>2.9.5-427.131</v>
      </c>
      <c r="C13" s="189" t="str">
        <f>'SAF 011'!E14</f>
        <v>APOSITOS; TIPO: HIPOALARGENICO, TAMAÑO: 40 X 40 MM</v>
      </c>
      <c r="D13" s="190"/>
      <c r="E13" s="190"/>
      <c r="F13" s="190"/>
      <c r="G13" s="191"/>
      <c r="H13" s="157" t="s">
        <v>295</v>
      </c>
      <c r="I13" s="158" t="str">
        <f>'SAF 011'!F14</f>
        <v>CAJA</v>
      </c>
      <c r="J13" s="159">
        <f>'SAF 011'!L14</f>
        <v>702</v>
      </c>
      <c r="K13" s="160">
        <f>'SAF 011'!I14</f>
        <v>50</v>
      </c>
      <c r="L13" s="19"/>
      <c r="M13" s="19"/>
      <c r="N13" s="19"/>
      <c r="O13" s="19"/>
      <c r="P13" s="129"/>
      <c r="Q13" s="20"/>
    </row>
    <row r="14" spans="1:17" s="18" customFormat="1" ht="16.5" customHeight="1" x14ac:dyDescent="0.25">
      <c r="A14" s="156">
        <v>3</v>
      </c>
      <c r="B14" s="157" t="str">
        <f>'SAF 011'!B17</f>
        <v>2.9.5-2694.22</v>
      </c>
      <c r="C14" s="189" t="str">
        <f>'SAF 011'!E17</f>
        <v>BOLSAS P/TRANSFUSIONES SANGRE; CAPACIDAD: 450 mL, SOLUCIONES: CFD CON ADENINA, TIPO: HEMOTERAPIA</v>
      </c>
      <c r="D14" s="190"/>
      <c r="E14" s="190"/>
      <c r="F14" s="190"/>
      <c r="G14" s="191"/>
      <c r="H14" s="157" t="s">
        <v>295</v>
      </c>
      <c r="I14" s="158" t="str">
        <f>'SAF 011'!F17</f>
        <v xml:space="preserve">UNIDAD </v>
      </c>
      <c r="J14" s="159">
        <f>'SAF 011'!L17</f>
        <v>1190</v>
      </c>
      <c r="K14" s="160">
        <f>'SAF 011'!I17</f>
        <v>1800</v>
      </c>
      <c r="L14" s="19"/>
      <c r="M14" s="19"/>
      <c r="N14" s="19"/>
      <c r="O14" s="19"/>
      <c r="P14" s="129"/>
      <c r="Q14" s="20"/>
    </row>
    <row r="15" spans="1:17" s="18" customFormat="1" ht="16.5" customHeight="1" x14ac:dyDescent="0.25">
      <c r="A15" s="156">
        <v>4</v>
      </c>
      <c r="B15" s="157" t="str">
        <f>'SAF 011'!B18</f>
        <v>2.9.5-1908.28</v>
      </c>
      <c r="C15" s="189" t="str">
        <f>'SAF 011'!E18</f>
        <v>CEPILLOS P/LABORATORIO; TIPO: LIMPIEZA DE TUBOS, MATERIAL: CERDA, TAMAÑO: DIAM. 9 mm</v>
      </c>
      <c r="D15" s="190"/>
      <c r="E15" s="190"/>
      <c r="F15" s="190"/>
      <c r="G15" s="191"/>
      <c r="H15" s="157" t="s">
        <v>295</v>
      </c>
      <c r="I15" s="158" t="str">
        <f>'SAF 011'!F18</f>
        <v>UNIDAD</v>
      </c>
      <c r="J15" s="159">
        <f>'SAF 011'!L18</f>
        <v>125</v>
      </c>
      <c r="K15" s="160">
        <f>'SAF 011'!I18</f>
        <v>10</v>
      </c>
      <c r="L15" s="19"/>
      <c r="M15" s="19"/>
      <c r="N15" s="19"/>
      <c r="O15" s="19"/>
      <c r="P15" s="129"/>
      <c r="Q15" s="20"/>
    </row>
    <row r="16" spans="1:17" s="18" customFormat="1" x14ac:dyDescent="0.25">
      <c r="A16" s="156">
        <v>5</v>
      </c>
      <c r="B16" s="157" t="str">
        <f>'SAF 011'!B23</f>
        <v>2.9.5-2160.1</v>
      </c>
      <c r="C16" s="189" t="str">
        <f>'SAF 011'!E23</f>
        <v>DESCARTADORES DE AGUJAS; BOCA: 1, CAPACIDAD: 500 AGUJAS, MODELO: 500, MODELO EQUIPO: 500, SISTEMA DE CIERRE: 500</v>
      </c>
      <c r="D16" s="190"/>
      <c r="E16" s="190"/>
      <c r="F16" s="190"/>
      <c r="G16" s="191"/>
      <c r="H16" s="157" t="s">
        <v>296</v>
      </c>
      <c r="I16" s="158" t="str">
        <f>'SAF 011'!F23</f>
        <v>UNIDAD</v>
      </c>
      <c r="J16" s="159">
        <f>'SAF 011'!L23</f>
        <v>195</v>
      </c>
      <c r="K16" s="160">
        <f>'SAF 011'!I23</f>
        <v>200</v>
      </c>
      <c r="L16" s="19"/>
      <c r="M16" s="19"/>
      <c r="N16" s="19"/>
      <c r="O16" s="19"/>
      <c r="P16" s="129"/>
      <c r="Q16" s="20"/>
    </row>
    <row r="17" spans="1:17" s="18" customFormat="1" ht="16.5" customHeight="1" x14ac:dyDescent="0.25">
      <c r="A17" s="156">
        <v>6</v>
      </c>
      <c r="B17" s="157" t="str">
        <f>'SAF 011'!B29</f>
        <v>2.9.5-1909.77</v>
      </c>
      <c r="C17" s="189" t="str">
        <f>'SAF 011'!E29</f>
        <v>GUANTES USO MEDICINAL; TIPO: DESCARTABLE, TAMAÑO: CHICO, MATERIAL: LATEX, PRESENTACION: ENVASE X 100 UN</v>
      </c>
      <c r="D17" s="190"/>
      <c r="E17" s="190"/>
      <c r="F17" s="190"/>
      <c r="G17" s="191"/>
      <c r="H17" s="157" t="s">
        <v>295</v>
      </c>
      <c r="I17" s="158" t="str">
        <f>'SAF 011'!F29</f>
        <v>CAJA</v>
      </c>
      <c r="J17" s="159">
        <f>'SAF 011'!L29</f>
        <v>590</v>
      </c>
      <c r="K17" s="160">
        <f>'SAF 011'!I29</f>
        <v>50</v>
      </c>
      <c r="L17" s="19"/>
      <c r="M17" s="19"/>
      <c r="N17" s="19"/>
      <c r="O17" s="19"/>
      <c r="P17" s="129"/>
      <c r="Q17" s="20"/>
    </row>
    <row r="18" spans="1:17" s="18" customFormat="1" ht="16.5" customHeight="1" x14ac:dyDescent="0.25">
      <c r="A18" s="156">
        <v>7</v>
      </c>
      <c r="B18" s="157" t="str">
        <f>'SAF 011'!B30</f>
        <v>2.9.5-1909.81</v>
      </c>
      <c r="C18" s="189" t="str">
        <f>'SAF 011'!E30</f>
        <v>GUANTES USO MEDICINAL; TIPO: DESCARTABLE, TAMAÑO: GRANDE, MATERIAL: LATEX, PRESENTACION: ENVASE X 100 UNID.</v>
      </c>
      <c r="D18" s="190"/>
      <c r="E18" s="190"/>
      <c r="F18" s="190"/>
      <c r="G18" s="191"/>
      <c r="H18" s="157" t="s">
        <v>295</v>
      </c>
      <c r="I18" s="158" t="str">
        <f>'SAF 011'!F30</f>
        <v>CAJA</v>
      </c>
      <c r="J18" s="159">
        <f>'SAF 011'!L30</f>
        <v>590</v>
      </c>
      <c r="K18" s="160">
        <f>'SAF 011'!I30</f>
        <v>50</v>
      </c>
      <c r="L18" s="19"/>
      <c r="M18" s="19"/>
      <c r="N18" s="19"/>
      <c r="O18" s="19"/>
      <c r="P18" s="129"/>
      <c r="Q18" s="20"/>
    </row>
    <row r="19" spans="1:17" s="18" customFormat="1" ht="16.5" customHeight="1" x14ac:dyDescent="0.25">
      <c r="A19" s="156">
        <v>8</v>
      </c>
      <c r="B19" s="157" t="str">
        <f>'SAF 011'!B31</f>
        <v>2.9.5-1909.87</v>
      </c>
      <c r="C19" s="189" t="str">
        <f>'SAF 011'!E31</f>
        <v>GUANTES USO MEDICINAL; TIPO: DESCARTABLE, TAMAÑO: MEDIANO, MATERIAL: LATEX, PRESENTACION: ENVASE X 100 UNID.</v>
      </c>
      <c r="D19" s="190"/>
      <c r="E19" s="190"/>
      <c r="F19" s="190"/>
      <c r="G19" s="191"/>
      <c r="H19" s="157" t="s">
        <v>295</v>
      </c>
      <c r="I19" s="158" t="str">
        <f>'SAF 011'!F31</f>
        <v>CAJA</v>
      </c>
      <c r="J19" s="159">
        <f>'SAF 011'!L31</f>
        <v>590</v>
      </c>
      <c r="K19" s="160">
        <f>'SAF 011'!I31</f>
        <v>50</v>
      </c>
      <c r="L19" s="19"/>
      <c r="M19" s="19"/>
      <c r="N19" s="19"/>
      <c r="O19" s="19"/>
      <c r="P19" s="129"/>
      <c r="Q19" s="20"/>
    </row>
    <row r="20" spans="1:17" s="18" customFormat="1" ht="16.5" customHeight="1" x14ac:dyDescent="0.25">
      <c r="A20" s="156">
        <v>9</v>
      </c>
      <c r="B20" s="157" t="str">
        <f>'SAF 011'!B48</f>
        <v>2.9.5-2578.17</v>
      </c>
      <c r="C20" s="189" t="str">
        <f>'SAF 011'!E48</f>
        <v>MICROPIPETAS REGULABLES; CAPACIDAD: 100 - 1000 µL, DIVISIONES: CADA 5 µL, MATERIAL: PLASTICO</v>
      </c>
      <c r="D20" s="190"/>
      <c r="E20" s="190"/>
      <c r="F20" s="190"/>
      <c r="G20" s="191"/>
      <c r="H20" s="157" t="s">
        <v>295</v>
      </c>
      <c r="I20" s="158" t="str">
        <f>'SAF 011'!F48</f>
        <v>CAJA</v>
      </c>
      <c r="J20" s="159">
        <f>'SAF 011'!L48</f>
        <v>50350</v>
      </c>
      <c r="K20" s="160">
        <f>'SAF 011'!I48</f>
        <v>2</v>
      </c>
      <c r="L20" s="19"/>
      <c r="M20" s="19"/>
      <c r="N20" s="19"/>
      <c r="O20" s="19"/>
      <c r="P20" s="129"/>
      <c r="Q20" s="20"/>
    </row>
    <row r="21" spans="1:17" s="18" customFormat="1" ht="16.5" customHeight="1" x14ac:dyDescent="0.25">
      <c r="A21" s="156">
        <v>10</v>
      </c>
      <c r="B21" s="157" t="str">
        <f>'SAF 011'!B49</f>
        <v>2.9.5-2578.16</v>
      </c>
      <c r="C21" s="189" t="str">
        <f>'SAF 011'!E49</f>
        <v>MICROPIPETAS REGULABLES; CAPACIDAD: 10-100 µL, DIVISIONES: CADA 1 µL, MATERIAL: PLASTICO</v>
      </c>
      <c r="D21" s="190"/>
      <c r="E21" s="190"/>
      <c r="F21" s="190"/>
      <c r="G21" s="191"/>
      <c r="H21" s="157" t="s">
        <v>295</v>
      </c>
      <c r="I21" s="158" t="str">
        <f>'SAF 011'!F49</f>
        <v>CAJA</v>
      </c>
      <c r="J21" s="159">
        <f>'SAF 011'!L49</f>
        <v>50350</v>
      </c>
      <c r="K21" s="160">
        <f>'SAF 011'!I49</f>
        <v>2</v>
      </c>
      <c r="L21" s="19"/>
      <c r="M21" s="19"/>
      <c r="N21" s="19"/>
      <c r="O21" s="19"/>
      <c r="P21" s="129"/>
      <c r="Q21" s="20"/>
    </row>
    <row r="22" spans="1:17" s="18" customFormat="1" ht="16.5" customHeight="1" x14ac:dyDescent="0.25">
      <c r="A22" s="156">
        <v>11</v>
      </c>
      <c r="B22" s="157" t="str">
        <f>'SAF 011'!B60</f>
        <v>2.9.5-6786.6</v>
      </c>
      <c r="C22" s="189" t="str">
        <f>'SAF 011'!E60</f>
        <v>PLACAS DE TOQUE; MATERIAL: VIDRIO, LARGO: 8 Cm, ANCHO: 6 Cm, ESPESOR: 5 mm, USO: DETERMINACION VDRL</v>
      </c>
      <c r="D22" s="190"/>
      <c r="E22" s="190"/>
      <c r="F22" s="190"/>
      <c r="G22" s="191"/>
      <c r="H22" s="157" t="s">
        <v>295</v>
      </c>
      <c r="I22" s="158" t="str">
        <f>'SAF 011'!F60</f>
        <v>UNIDAD</v>
      </c>
      <c r="J22" s="159">
        <f>'SAF 011'!L60</f>
        <v>1220</v>
      </c>
      <c r="K22" s="160">
        <f>'SAF 011'!I60</f>
        <v>5</v>
      </c>
      <c r="L22" s="19"/>
      <c r="M22" s="19"/>
      <c r="N22" s="19"/>
      <c r="O22" s="19"/>
      <c r="P22" s="129"/>
      <c r="Q22" s="20"/>
    </row>
    <row r="23" spans="1:17" s="18" customFormat="1" ht="16.5" customHeight="1" x14ac:dyDescent="0.25">
      <c r="A23" s="156">
        <v>12</v>
      </c>
      <c r="B23" s="157" t="str">
        <f>'SAF 011'!B65</f>
        <v>2.9.6-8875.293</v>
      </c>
      <c r="C23" s="189" t="str">
        <f>'SAF 011'!E65</f>
        <v>REP. Y ACC P/ EQUIPO MEDICO; USO: PARA EQUIPO DE AFERESIS, MARCA DE EQUIPO: GRIFOLS, ELEMENTO: KITS PARA PLAQUETOFERESIS CON FILTRO CAJA X 8 UNID; EQUIPO: HAEMONETICS CS+</v>
      </c>
      <c r="D23" s="190"/>
      <c r="E23" s="190"/>
      <c r="F23" s="190"/>
      <c r="G23" s="191"/>
      <c r="H23" s="157" t="s">
        <v>295</v>
      </c>
      <c r="I23" s="158" t="str">
        <f>'SAF 011'!F65</f>
        <v>CAJA</v>
      </c>
      <c r="J23" s="159">
        <f>'SAF 011'!L65</f>
        <v>41019</v>
      </c>
      <c r="K23" s="160">
        <f>'SAF 011'!I65</f>
        <v>48</v>
      </c>
      <c r="L23" s="19"/>
      <c r="M23" s="19"/>
      <c r="N23" s="19"/>
      <c r="O23" s="19"/>
      <c r="P23" s="129"/>
      <c r="Q23" s="20"/>
    </row>
    <row r="24" spans="1:17" s="18" customFormat="1" ht="16.5" customHeight="1" x14ac:dyDescent="0.25">
      <c r="A24" s="156">
        <v>13</v>
      </c>
      <c r="B24" s="157" t="str">
        <f>'SAF 011'!B66</f>
        <v>2.9.6-8875.294</v>
      </c>
      <c r="C24" s="189" t="str">
        <f>'SAF 011'!E66</f>
        <v>REP. Y ACC P/ EQUIPO MEDICO; USO: PARA EQUIPO DE AFERESIS, MARCA DE EQUIPO: GRIFOLS, ELEMENTO: KITS PARA PLASMAFERESIS CON FILTRO CAJA X 8UNID, EQUIPO: HAEMONETIC CS+</v>
      </c>
      <c r="D24" s="190"/>
      <c r="E24" s="190"/>
      <c r="F24" s="190"/>
      <c r="G24" s="191"/>
      <c r="H24" s="157" t="s">
        <v>295</v>
      </c>
      <c r="I24" s="158" t="str">
        <f>'SAF 011'!F66</f>
        <v>CAJA</v>
      </c>
      <c r="J24" s="159">
        <f>'SAF 011'!L66</f>
        <v>35090</v>
      </c>
      <c r="K24" s="160">
        <f>'SAF 011'!I66</f>
        <v>24</v>
      </c>
      <c r="L24" s="19"/>
      <c r="M24" s="19"/>
      <c r="N24" s="19"/>
      <c r="O24" s="19"/>
      <c r="P24" s="129"/>
      <c r="Q24" s="20"/>
    </row>
    <row r="25" spans="1:17" s="18" customFormat="1" ht="16.5" customHeight="1" x14ac:dyDescent="0.25">
      <c r="A25" s="156">
        <v>14</v>
      </c>
      <c r="B25" s="157" t="str">
        <f>'SAF 011'!B67</f>
        <v>2.9.6-8875.295</v>
      </c>
      <c r="C25" s="189" t="str">
        <f>'SAF 011'!E67</f>
        <v>REP. Y ACC. P/ EQUIPO MEDICO, USO: BAÑO TERMOSTATIZADO PARA TARJETAS DE INMUNOHEMATOLOGIA, MARCA EQUIPO: GRIFOLS, ELEMENTO:TARJETA DE GEL ABO RH 2D, EQUIPO: CENTRIFUGA</v>
      </c>
      <c r="D25" s="190"/>
      <c r="E25" s="190"/>
      <c r="F25" s="190"/>
      <c r="G25" s="191"/>
      <c r="H25" s="157" t="s">
        <v>295</v>
      </c>
      <c r="I25" s="158" t="str">
        <f>'SAF 011'!F67</f>
        <v xml:space="preserve">UNIDAD </v>
      </c>
      <c r="J25" s="159">
        <f>'SAF 011'!L67</f>
        <v>590</v>
      </c>
      <c r="K25" s="160">
        <f>'SAF 011'!I67</f>
        <v>1500</v>
      </c>
      <c r="L25" s="19"/>
      <c r="M25" s="19"/>
      <c r="N25" s="19"/>
      <c r="O25" s="19"/>
      <c r="P25" s="129"/>
      <c r="Q25" s="20"/>
    </row>
    <row r="26" spans="1:17" s="18" customFormat="1" ht="32.25" customHeight="1" x14ac:dyDescent="0.25">
      <c r="A26" s="156">
        <v>15</v>
      </c>
      <c r="B26" s="157" t="str">
        <f>'SAF 011'!B68</f>
        <v>2.9.6-8875.292</v>
      </c>
      <c r="C26" s="189" t="str">
        <f>'SAF 011'!E68</f>
        <v>REP. Y ACC. P/ EQUIPO MEDICO; USO: FRACCIONADOR AUTOMATICO HEMODERIVADOS, MARCA EQUIPO: GRIFOLS, ELEMENTO: CONEXIÓN POR RADIO FRECUENCIA Y GR, MODELO DE EQUIPO: FRACTIOMATIC PLUS 2</v>
      </c>
      <c r="D26" s="190"/>
      <c r="E26" s="190"/>
      <c r="F26" s="190"/>
      <c r="G26" s="191"/>
      <c r="H26" s="157" t="s">
        <v>295</v>
      </c>
      <c r="I26" s="158" t="str">
        <f>'SAF 011'!F68</f>
        <v>UNIDAD</v>
      </c>
      <c r="J26" s="159">
        <f>'SAF 011'!L68</f>
        <v>3950</v>
      </c>
      <c r="K26" s="160">
        <f>'SAF 011'!I68</f>
        <v>900</v>
      </c>
      <c r="L26" s="19"/>
      <c r="M26" s="19"/>
      <c r="N26" s="19"/>
      <c r="O26" s="19"/>
      <c r="P26" s="129"/>
      <c r="Q26" s="20"/>
    </row>
    <row r="27" spans="1:17" s="18" customFormat="1" ht="16.5" customHeight="1" x14ac:dyDescent="0.25">
      <c r="A27" s="156">
        <v>16</v>
      </c>
      <c r="B27" s="157" t="str">
        <f>'SAF 011'!B72</f>
        <v>2.9.5-931.3</v>
      </c>
      <c r="C27" s="189" t="str">
        <f>'SAF 011'!E72</f>
        <v>TELAS ADHESIVAS; ANCHO: 5.00 Cm, LONG.DE CUERPO: 9 M, TIPO: HIPOALERGENICA</v>
      </c>
      <c r="D27" s="190"/>
      <c r="E27" s="190"/>
      <c r="F27" s="190"/>
      <c r="G27" s="191"/>
      <c r="H27" s="157" t="s">
        <v>295</v>
      </c>
      <c r="I27" s="158" t="str">
        <f>'SAF 011'!F72</f>
        <v>CAJA</v>
      </c>
      <c r="J27" s="159">
        <f>'SAF 011'!L72</f>
        <v>1661</v>
      </c>
      <c r="K27" s="160">
        <f>'SAF 011'!I72</f>
        <v>5</v>
      </c>
      <c r="L27" s="19"/>
      <c r="M27" s="19"/>
      <c r="N27" s="19"/>
      <c r="O27" s="19"/>
      <c r="P27" s="129"/>
      <c r="Q27" s="20"/>
    </row>
    <row r="28" spans="1:17" x14ac:dyDescent="0.25">
      <c r="A28" s="156">
        <v>17</v>
      </c>
      <c r="B28" s="157" t="str">
        <f>'SAF 011'!B77</f>
        <v>2.9.5-3492.343</v>
      </c>
      <c r="C28" s="189" t="str">
        <f>'SAF 011'!E77</f>
        <v>TIP; TIPO: TIPS AMARILLO CON CORONA, PRESENTACION: X 1000 UNID., CAPACIDAD:0,2 ML</v>
      </c>
      <c r="D28" s="190"/>
      <c r="E28" s="190"/>
      <c r="F28" s="190"/>
      <c r="G28" s="191"/>
      <c r="H28" s="157" t="s">
        <v>296</v>
      </c>
      <c r="I28" s="161" t="str">
        <f>'SAF 011'!F77</f>
        <v>BOLSA</v>
      </c>
      <c r="J28" s="159">
        <f>'SAF 011'!L77</f>
        <v>1540</v>
      </c>
      <c r="K28" s="162">
        <f>'SAF 011'!I77</f>
        <v>2</v>
      </c>
      <c r="L28" s="19"/>
      <c r="M28" s="19"/>
      <c r="N28" s="19"/>
      <c r="O28" s="19"/>
      <c r="P28" s="129"/>
    </row>
    <row r="29" spans="1:17" ht="15" customHeight="1" x14ac:dyDescent="0.25">
      <c r="A29" s="156">
        <v>18</v>
      </c>
      <c r="B29" s="157" t="str">
        <f>'SAF 011'!B78</f>
        <v>2.9.5-3492.341</v>
      </c>
      <c r="C29" s="189" t="str">
        <f>'SAF 011'!E78</f>
        <v>TIP; TIPO: TIPS AMARILLO SIN CORONA,PRESENTACION: X 1000 UNID., CAPACIDAD:0,2 ML</v>
      </c>
      <c r="D29" s="190"/>
      <c r="E29" s="190"/>
      <c r="F29" s="190"/>
      <c r="G29" s="191"/>
      <c r="H29" s="157" t="s">
        <v>296</v>
      </c>
      <c r="I29" s="161" t="str">
        <f>'SAF 011'!F78</f>
        <v>BOLSA</v>
      </c>
      <c r="J29" s="159">
        <f>'SAF 011'!L78</f>
        <v>1540</v>
      </c>
      <c r="K29" s="162">
        <f>'SAF 011'!I78</f>
        <v>2</v>
      </c>
      <c r="L29" s="19"/>
      <c r="M29" s="19"/>
      <c r="N29" s="19"/>
      <c r="O29" s="19"/>
      <c r="P29" s="129"/>
    </row>
    <row r="30" spans="1:17" ht="15" customHeight="1" x14ac:dyDescent="0.25">
      <c r="A30" s="156">
        <v>19</v>
      </c>
      <c r="B30" s="157" t="str">
        <f>'SAF 011'!B79</f>
        <v>2.9.5-3492.342</v>
      </c>
      <c r="C30" s="189" t="str">
        <f>'SAF 011'!E79</f>
        <v>TIP; TIPO: TIPS AZUL AUTOCLAVABLE,PRESENTACION: X 1000 UNID., CAPACIDAD: 1000 MICROLITROS</v>
      </c>
      <c r="D30" s="190"/>
      <c r="E30" s="190"/>
      <c r="F30" s="190"/>
      <c r="G30" s="191"/>
      <c r="H30" s="157" t="s">
        <v>296</v>
      </c>
      <c r="I30" s="161" t="str">
        <f>'SAF 011'!F79</f>
        <v>BOLSA</v>
      </c>
      <c r="J30" s="159">
        <f>'SAF 011'!L79</f>
        <v>2204</v>
      </c>
      <c r="K30" s="162">
        <f>'SAF 011'!I79</f>
        <v>2</v>
      </c>
      <c r="L30" s="19"/>
      <c r="M30" s="19"/>
      <c r="N30" s="19"/>
      <c r="O30" s="19"/>
      <c r="P30" s="129"/>
    </row>
    <row r="31" spans="1:17" ht="15" customHeight="1" x14ac:dyDescent="0.25">
      <c r="A31" s="156">
        <v>20</v>
      </c>
      <c r="B31" s="157" t="str">
        <f>'SAF 011'!B85</f>
        <v>2.9.5-468.232</v>
      </c>
      <c r="C31" s="189" t="str">
        <f>'SAF 011'!E85</f>
        <v>TUBOS DE ENSAYO; TIPO: CONICO P/CENTRIFUGA, MATERIAL: POLIPROPILENO, DIMENSION: 0,5 A 15 mL, ACCESORIO: TAPA A ROSCA</v>
      </c>
      <c r="D31" s="190"/>
      <c r="E31" s="190"/>
      <c r="F31" s="190"/>
      <c r="G31" s="191"/>
      <c r="H31" s="157" t="s">
        <v>295</v>
      </c>
      <c r="I31" s="161" t="str">
        <f>'SAF 011'!F85</f>
        <v>CAJA</v>
      </c>
      <c r="J31" s="159">
        <f>'SAF 011'!L85</f>
        <v>13700</v>
      </c>
      <c r="K31" s="162">
        <f>'SAF 011'!I85</f>
        <v>2</v>
      </c>
      <c r="L31" s="19"/>
      <c r="M31" s="19"/>
      <c r="N31" s="19"/>
      <c r="O31" s="19"/>
      <c r="P31" s="129"/>
    </row>
    <row r="32" spans="1:17" ht="15" customHeight="1" x14ac:dyDescent="0.25">
      <c r="A32" s="156">
        <v>21</v>
      </c>
      <c r="B32" s="157" t="str">
        <f>'SAF 011'!B86</f>
        <v>2.9.5-468.42</v>
      </c>
      <c r="C32" s="189" t="str">
        <f>'SAF 011'!E86</f>
        <v>TUBOS DE ENSAYO; TIPO: EPPENDORF, MATERIAL: PLASTICO, DIMENSION: 1.5 mL, ACCESORIOS: SIN, ACCESORIO: SIN</v>
      </c>
      <c r="D32" s="190"/>
      <c r="E32" s="190"/>
      <c r="F32" s="190"/>
      <c r="G32" s="191"/>
      <c r="H32" s="157" t="s">
        <v>295</v>
      </c>
      <c r="I32" s="161" t="str">
        <f>'SAF 011'!F86</f>
        <v>BOLSA</v>
      </c>
      <c r="J32" s="159">
        <f>'SAF 011'!L86</f>
        <v>3558</v>
      </c>
      <c r="K32" s="162">
        <f>'SAF 011'!I86</f>
        <v>10</v>
      </c>
      <c r="L32" s="19"/>
      <c r="M32" s="19"/>
      <c r="N32" s="19"/>
      <c r="O32" s="19"/>
      <c r="P32" s="129"/>
    </row>
    <row r="33" spans="1:17" ht="15" customHeight="1" x14ac:dyDescent="0.25">
      <c r="A33" s="156">
        <v>22</v>
      </c>
      <c r="B33" s="157" t="str">
        <f>'SAF 011'!B87</f>
        <v>2.9.5-468.249</v>
      </c>
      <c r="C33" s="189" t="str">
        <f>'SAF 011'!E87</f>
        <v>TUBOS DE ENSAYO; TIPO: VACUTAINER P/ SUERO, MATERIAL: PLASTICO, DIMENSION: 4 ML, ACCESORIO: SIN</v>
      </c>
      <c r="D33" s="190"/>
      <c r="E33" s="190"/>
      <c r="F33" s="190"/>
      <c r="G33" s="191"/>
      <c r="H33" s="157" t="s">
        <v>295</v>
      </c>
      <c r="I33" s="161" t="str">
        <f>'SAF 011'!F87</f>
        <v>CAJA</v>
      </c>
      <c r="J33" s="159">
        <f>'SAF 011'!L87</f>
        <v>13700</v>
      </c>
      <c r="K33" s="162">
        <f>'SAF 011'!I87</f>
        <v>2</v>
      </c>
      <c r="L33" s="19"/>
      <c r="M33" s="19"/>
      <c r="N33" s="19"/>
      <c r="O33" s="19"/>
      <c r="P33" s="129"/>
    </row>
    <row r="34" spans="1:17" ht="15" customHeight="1" x14ac:dyDescent="0.25">
      <c r="A34" s="156">
        <v>23</v>
      </c>
      <c r="B34" s="157" t="str">
        <f>'SAF 011'!B88</f>
        <v>2.9.5-468.85</v>
      </c>
      <c r="C34" s="189" t="str">
        <f>'SAF 011'!E88</f>
        <v>TUBOS DE ENSAYO; TIPO: VACUTAINER, MATERIAL: VIDRIO BOROSILICATO, DIMENSION: 10 mL, ACCESORIOS: TAPA, ACCESORIO: TAPA</v>
      </c>
      <c r="D34" s="190"/>
      <c r="E34" s="190"/>
      <c r="F34" s="190"/>
      <c r="G34" s="191"/>
      <c r="H34" s="157" t="s">
        <v>295</v>
      </c>
      <c r="I34" s="161" t="str">
        <f>'SAF 011'!F88</f>
        <v>CAJA</v>
      </c>
      <c r="J34" s="159">
        <f>'SAF 011'!L88</f>
        <v>13000</v>
      </c>
      <c r="K34" s="162">
        <f>'SAF 011'!I88</f>
        <v>2</v>
      </c>
      <c r="L34" s="19"/>
      <c r="M34" s="19"/>
      <c r="N34" s="19"/>
      <c r="O34" s="19"/>
      <c r="P34" s="129"/>
    </row>
    <row r="35" spans="1:17" ht="15" customHeight="1" thickBot="1" x14ac:dyDescent="0.3">
      <c r="A35" s="156">
        <v>24</v>
      </c>
      <c r="B35" s="163" t="str">
        <f>'SAF 011'!B89</f>
        <v>2.9.5-4522.1</v>
      </c>
      <c r="C35" s="189" t="str">
        <f>'SAF 011'!E89</f>
        <v>TUBOS DE HEMOLISIS; MATERIAL: VIDRIO, PRESENTACION: CAJA, DIMENSION: 100 X 13 DIAM. EXT., MEDIDAS: 100 X 13 DIAM. EXT., FORMA DE PRESENTACION: SOLIDO, ESTADO: SOLIDO</v>
      </c>
      <c r="D35" s="190"/>
      <c r="E35" s="190"/>
      <c r="F35" s="190"/>
      <c r="G35" s="191"/>
      <c r="H35" s="157" t="s">
        <v>295</v>
      </c>
      <c r="I35" s="161" t="str">
        <f>'SAF 011'!F89</f>
        <v>CAJA</v>
      </c>
      <c r="J35" s="159">
        <f>'SAF 011'!L89</f>
        <v>72000</v>
      </c>
      <c r="K35" s="162">
        <f>'SAF 011'!I89</f>
        <v>1</v>
      </c>
      <c r="L35" s="19"/>
      <c r="M35" s="19"/>
      <c r="N35" s="19"/>
      <c r="O35" s="19"/>
      <c r="P35" s="129"/>
    </row>
    <row r="36" spans="1:17" ht="38.25" customHeight="1" thickBot="1" x14ac:dyDescent="0.3">
      <c r="A36" s="200" t="s">
        <v>314</v>
      </c>
      <c r="B36" s="200"/>
      <c r="C36" s="200"/>
      <c r="D36" s="200"/>
      <c r="E36" s="200"/>
      <c r="F36" s="200"/>
      <c r="G36" s="200"/>
      <c r="H36" s="200"/>
      <c r="I36" s="200"/>
      <c r="J36" s="240">
        <f>SUMPRODUCT(J12:J35,K12:K35)</f>
        <v>10006155</v>
      </c>
      <c r="K36" s="241"/>
      <c r="L36" s="130"/>
      <c r="M36" s="19"/>
      <c r="N36" s="19"/>
      <c r="O36" s="19"/>
      <c r="P36" s="129"/>
      <c r="Q36" s="19">
        <f>SUM(M36:P36)</f>
        <v>0</v>
      </c>
    </row>
  </sheetData>
  <mergeCells count="40">
    <mergeCell ref="A36:I36"/>
    <mergeCell ref="J36:K36"/>
    <mergeCell ref="C32:G32"/>
    <mergeCell ref="C33:G33"/>
    <mergeCell ref="C34:G34"/>
    <mergeCell ref="C35:G35"/>
    <mergeCell ref="C31:G31"/>
    <mergeCell ref="C28:G28"/>
    <mergeCell ref="C29:G29"/>
    <mergeCell ref="C30:G30"/>
    <mergeCell ref="C26:G26"/>
    <mergeCell ref="C27:G27"/>
    <mergeCell ref="C23:G23"/>
    <mergeCell ref="C24:G24"/>
    <mergeCell ref="C25:G25"/>
    <mergeCell ref="C22:G22"/>
    <mergeCell ref="C20:G20"/>
    <mergeCell ref="C21:G21"/>
    <mergeCell ref="C17:G17"/>
    <mergeCell ref="C18:G18"/>
    <mergeCell ref="C19:G19"/>
    <mergeCell ref="C16:G16"/>
    <mergeCell ref="C13:G13"/>
    <mergeCell ref="C14:G14"/>
    <mergeCell ref="C15:G15"/>
    <mergeCell ref="J10:J11"/>
    <mergeCell ref="K10:K11"/>
    <mergeCell ref="C12:G12"/>
    <mergeCell ref="A8:C8"/>
    <mergeCell ref="A10:A11"/>
    <mergeCell ref="B10:B11"/>
    <mergeCell ref="C10:G11"/>
    <mergeCell ref="H10:H11"/>
    <mergeCell ref="I10:I11"/>
    <mergeCell ref="A7:C7"/>
    <mergeCell ref="A1:I1"/>
    <mergeCell ref="A3:C3"/>
    <mergeCell ref="A4:C4"/>
    <mergeCell ref="A5:C5"/>
    <mergeCell ref="A6:C6"/>
  </mergeCells>
  <pageMargins left="0.7" right="0.7" top="0.75" bottom="0.75" header="0.3" footer="0.3"/>
  <pageSetup paperSize="9" scale="81" orientation="landscape" r:id="rId1"/>
  <colBreaks count="1" manualBreakCount="1">
    <brk id="1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opLeftCell="A13" workbookViewId="0">
      <selection activeCell="A39" sqref="A39:Q39"/>
    </sheetView>
  </sheetViews>
  <sheetFormatPr baseColWidth="10" defaultRowHeight="15" x14ac:dyDescent="0.25"/>
  <cols>
    <col min="1" max="5" width="4.42578125" customWidth="1"/>
    <col min="6" max="6" width="7.7109375" customWidth="1"/>
    <col min="7" max="14" width="4.42578125" customWidth="1"/>
    <col min="15" max="15" width="14.85546875" customWidth="1"/>
    <col min="16" max="16" width="21.85546875" customWidth="1"/>
    <col min="17" max="17" width="14.7109375" customWidth="1"/>
  </cols>
  <sheetData>
    <row r="1" spans="1:17" ht="15.75" thickBot="1" x14ac:dyDescent="0.3">
      <c r="A1" s="225" t="s">
        <v>4</v>
      </c>
      <c r="B1" s="225"/>
      <c r="C1" s="225"/>
      <c r="D1" s="226">
        <v>2022</v>
      </c>
      <c r="E1" s="226"/>
      <c r="F1" s="84"/>
      <c r="G1" s="84"/>
      <c r="H1" s="85"/>
      <c r="I1" s="85"/>
      <c r="J1" s="85"/>
      <c r="K1" s="85"/>
      <c r="L1" s="85"/>
      <c r="M1" s="85"/>
      <c r="N1" s="85"/>
      <c r="O1" s="86"/>
      <c r="P1" s="227" t="s">
        <v>271</v>
      </c>
      <c r="Q1" s="227"/>
    </row>
    <row r="2" spans="1:17" ht="15.75" thickBot="1" x14ac:dyDescent="0.3">
      <c r="A2" s="87"/>
      <c r="B2" s="37"/>
      <c r="C2" s="37"/>
      <c r="D2" s="37"/>
      <c r="E2" s="37"/>
      <c r="F2" s="37"/>
      <c r="G2" s="88"/>
      <c r="H2" s="89"/>
      <c r="I2" s="89"/>
      <c r="J2" s="89"/>
      <c r="K2" s="89"/>
      <c r="L2" s="89"/>
      <c r="M2" s="89"/>
      <c r="N2" s="89"/>
      <c r="O2" s="37"/>
      <c r="P2" s="227"/>
      <c r="Q2" s="227"/>
    </row>
    <row r="3" spans="1:17" thickBot="1" x14ac:dyDescent="0.35">
      <c r="A3" s="87"/>
      <c r="B3" s="37"/>
      <c r="C3" s="37"/>
      <c r="D3" s="37"/>
      <c r="E3" s="37"/>
      <c r="F3" s="37"/>
      <c r="G3" s="88"/>
      <c r="H3" s="37"/>
      <c r="I3" s="37"/>
      <c r="J3" s="37"/>
      <c r="K3" s="37"/>
      <c r="L3" s="37"/>
      <c r="M3" s="37"/>
      <c r="N3" s="37"/>
      <c r="O3" s="37"/>
      <c r="P3" s="37"/>
      <c r="Q3" s="90"/>
    </row>
    <row r="4" spans="1:17" ht="15.75" thickBot="1" x14ac:dyDescent="0.3">
      <c r="A4" s="228" t="s">
        <v>272</v>
      </c>
      <c r="B4" s="228"/>
      <c r="C4" s="228"/>
      <c r="D4" s="228"/>
      <c r="E4" s="228"/>
      <c r="F4" s="228"/>
      <c r="G4" s="229" t="str">
        <f>'NP BANCO DE SANGRE'!D3</f>
        <v>040 - MINISTERIO DE SALUD</v>
      </c>
      <c r="H4" s="229"/>
      <c r="I4" s="229"/>
      <c r="J4" s="229"/>
      <c r="K4" s="229"/>
      <c r="L4" s="229"/>
      <c r="M4" s="229"/>
      <c r="N4" s="229"/>
      <c r="O4" s="229"/>
      <c r="P4" s="229"/>
      <c r="Q4" s="229"/>
    </row>
    <row r="5" spans="1:17" ht="15" customHeight="1" thickBot="1" x14ac:dyDescent="0.3">
      <c r="A5" s="230" t="s">
        <v>27</v>
      </c>
      <c r="B5" s="230"/>
      <c r="C5" s="230"/>
      <c r="D5" s="230"/>
      <c r="E5" s="230"/>
      <c r="F5" s="230"/>
      <c r="G5" s="229" t="str">
        <f>'NP BANCO DE SANGRE'!D4</f>
        <v>011 - DIRECCION PROVINCIAL DE ADMINISTRACION - MINISTERIO DE SALUD</v>
      </c>
      <c r="H5" s="229"/>
      <c r="I5" s="229"/>
      <c r="J5" s="229"/>
      <c r="K5" s="229"/>
      <c r="L5" s="229"/>
      <c r="M5" s="229"/>
      <c r="N5" s="229"/>
      <c r="O5" s="229"/>
      <c r="P5" s="229"/>
      <c r="Q5" s="229"/>
    </row>
    <row r="6" spans="1:17" ht="15" customHeight="1" thickBot="1" x14ac:dyDescent="0.3">
      <c r="A6" s="230" t="s">
        <v>28</v>
      </c>
      <c r="B6" s="230"/>
      <c r="C6" s="230"/>
      <c r="D6" s="230"/>
      <c r="E6" s="230"/>
      <c r="F6" s="230"/>
      <c r="G6" s="229" t="str">
        <f>'NP BANCO DE SANGRE'!D5</f>
        <v>747 - DIRECCION PROVINCIAL BANCO DE SANGRE</v>
      </c>
      <c r="H6" s="229"/>
      <c r="I6" s="229"/>
      <c r="J6" s="229"/>
      <c r="K6" s="229"/>
      <c r="L6" s="229"/>
      <c r="M6" s="229"/>
      <c r="N6" s="229"/>
      <c r="O6" s="229"/>
      <c r="P6" s="229"/>
      <c r="Q6" s="229"/>
    </row>
    <row r="7" spans="1:17" ht="15" customHeight="1" thickBot="1" x14ac:dyDescent="0.3">
      <c r="A7" s="230" t="s">
        <v>29</v>
      </c>
      <c r="B7" s="230"/>
      <c r="C7" s="230"/>
      <c r="D7" s="230"/>
      <c r="E7" s="230"/>
      <c r="F7" s="230"/>
      <c r="G7" s="229" t="str">
        <f>'NP BANCO DE SANGRE'!D6</f>
        <v>747 - DIRECCION PROVINCIAL BANCO DE SANGRE</v>
      </c>
      <c r="H7" s="229"/>
      <c r="I7" s="229"/>
      <c r="J7" s="229"/>
      <c r="K7" s="229"/>
      <c r="L7" s="229"/>
      <c r="M7" s="229"/>
      <c r="N7" s="229"/>
      <c r="O7" s="229"/>
      <c r="P7" s="229"/>
      <c r="Q7" s="229"/>
    </row>
    <row r="8" spans="1:17" ht="15.75" thickBot="1" x14ac:dyDescent="0.3">
      <c r="A8" s="231" t="s">
        <v>273</v>
      </c>
      <c r="B8" s="231"/>
      <c r="C8" s="231"/>
      <c r="D8" s="231"/>
      <c r="E8" s="231"/>
      <c r="F8" s="231"/>
      <c r="G8" s="231"/>
      <c r="H8" s="231"/>
      <c r="I8" s="231"/>
      <c r="J8" s="231"/>
      <c r="K8" s="231"/>
      <c r="L8" s="231"/>
      <c r="M8" s="231"/>
      <c r="N8" s="231"/>
      <c r="O8" s="231"/>
      <c r="P8" s="231"/>
      <c r="Q8" s="231"/>
    </row>
    <row r="9" spans="1:17" x14ac:dyDescent="0.25">
      <c r="A9" s="224" t="s">
        <v>274</v>
      </c>
      <c r="B9" s="224"/>
      <c r="C9" s="224"/>
      <c r="D9" s="224"/>
      <c r="E9" s="224"/>
      <c r="F9" s="224"/>
      <c r="G9" s="224"/>
      <c r="H9" s="224"/>
      <c r="I9" s="224"/>
      <c r="J9" s="224"/>
      <c r="K9" s="224"/>
      <c r="L9" s="224"/>
      <c r="M9" s="224"/>
      <c r="N9" s="224"/>
      <c r="O9" s="224"/>
      <c r="P9" s="224"/>
      <c r="Q9" s="224"/>
    </row>
    <row r="10" spans="1:17" ht="57" customHeight="1" x14ac:dyDescent="0.25">
      <c r="A10" s="216" t="s">
        <v>293</v>
      </c>
      <c r="B10" s="216"/>
      <c r="C10" s="216"/>
      <c r="D10" s="216"/>
      <c r="E10" s="216"/>
      <c r="F10" s="216"/>
      <c r="G10" s="216"/>
      <c r="H10" s="216"/>
      <c r="I10" s="216"/>
      <c r="J10" s="216"/>
      <c r="K10" s="216"/>
      <c r="L10" s="216"/>
      <c r="M10" s="216"/>
      <c r="N10" s="216"/>
      <c r="O10" s="216"/>
      <c r="P10" s="216"/>
      <c r="Q10" s="216"/>
    </row>
    <row r="11" spans="1:17" thickBot="1" x14ac:dyDescent="0.35">
      <c r="A11" s="91"/>
      <c r="B11" s="92"/>
      <c r="C11" s="92"/>
      <c r="D11" s="92"/>
      <c r="E11" s="92"/>
      <c r="F11" s="92"/>
      <c r="G11" s="93"/>
      <c r="H11" s="92"/>
      <c r="I11" s="92"/>
      <c r="J11" s="92"/>
      <c r="K11" s="92"/>
      <c r="L11" s="92"/>
      <c r="M11" s="92"/>
      <c r="N11" s="92"/>
      <c r="O11" s="92"/>
      <c r="P11" s="92"/>
      <c r="Q11" s="94"/>
    </row>
    <row r="12" spans="1:17" ht="15.75" thickBot="1" x14ac:dyDescent="0.3">
      <c r="A12" s="217" t="s">
        <v>275</v>
      </c>
      <c r="B12" s="217"/>
      <c r="C12" s="217"/>
      <c r="D12" s="217"/>
      <c r="E12" s="217"/>
      <c r="F12" s="217"/>
      <c r="G12" s="217"/>
      <c r="H12" s="217"/>
      <c r="I12" s="217"/>
      <c r="J12" s="217"/>
      <c r="K12" s="217"/>
      <c r="L12" s="217"/>
      <c r="M12" s="217"/>
      <c r="N12" s="217"/>
      <c r="O12" s="217"/>
      <c r="P12" s="217"/>
      <c r="Q12" s="217"/>
    </row>
    <row r="13" spans="1:17" ht="15.75" thickBot="1" x14ac:dyDescent="0.3">
      <c r="A13" s="218" t="s">
        <v>276</v>
      </c>
      <c r="B13" s="218"/>
      <c r="C13" s="218"/>
      <c r="D13" s="218"/>
      <c r="E13" s="218"/>
      <c r="F13" s="218"/>
      <c r="G13" s="218"/>
      <c r="H13" s="218"/>
      <c r="I13" s="218"/>
      <c r="J13" s="218"/>
      <c r="K13" s="218"/>
      <c r="L13" s="218"/>
      <c r="M13" s="218"/>
      <c r="N13" s="218"/>
      <c r="O13" s="219" t="s">
        <v>277</v>
      </c>
      <c r="P13" s="219"/>
      <c r="Q13" s="242" t="s">
        <v>278</v>
      </c>
    </row>
    <row r="14" spans="1:17" ht="15.75" thickBot="1" x14ac:dyDescent="0.3">
      <c r="A14" s="95" t="s">
        <v>279</v>
      </c>
      <c r="B14" s="96" t="s">
        <v>280</v>
      </c>
      <c r="C14" s="96" t="s">
        <v>281</v>
      </c>
      <c r="D14" s="96" t="s">
        <v>282</v>
      </c>
      <c r="E14" s="96" t="s">
        <v>283</v>
      </c>
      <c r="F14" s="96" t="s">
        <v>284</v>
      </c>
      <c r="G14" s="97" t="s">
        <v>285</v>
      </c>
      <c r="H14" s="96" t="s">
        <v>286</v>
      </c>
      <c r="I14" s="96" t="s">
        <v>287</v>
      </c>
      <c r="J14" s="96" t="s">
        <v>288</v>
      </c>
      <c r="K14" s="96" t="s">
        <v>288</v>
      </c>
      <c r="L14" s="96" t="s">
        <v>289</v>
      </c>
      <c r="M14" s="98" t="s">
        <v>290</v>
      </c>
      <c r="N14" s="99" t="s">
        <v>291</v>
      </c>
      <c r="O14" s="219"/>
      <c r="P14" s="219"/>
      <c r="Q14" s="242"/>
    </row>
    <row r="15" spans="1:17" ht="29.25" customHeight="1" x14ac:dyDescent="0.25">
      <c r="A15" s="100">
        <v>27</v>
      </c>
      <c r="B15" s="101"/>
      <c r="C15" s="101"/>
      <c r="D15" s="101">
        <v>1</v>
      </c>
      <c r="E15" s="101"/>
      <c r="F15" s="101">
        <v>4901</v>
      </c>
      <c r="G15" s="101">
        <v>3</v>
      </c>
      <c r="H15" s="101">
        <v>1</v>
      </c>
      <c r="I15" s="101">
        <v>2</v>
      </c>
      <c r="J15" s="101">
        <v>9</v>
      </c>
      <c r="K15" s="101">
        <v>5</v>
      </c>
      <c r="L15" s="101"/>
      <c r="M15" s="102">
        <v>1</v>
      </c>
      <c r="N15" s="101" t="s">
        <v>297</v>
      </c>
      <c r="O15" s="243" t="s">
        <v>304</v>
      </c>
      <c r="P15" s="243"/>
      <c r="Q15" s="103">
        <f>'NP BANCO DE SANGRE'!J36</f>
        <v>10006155</v>
      </c>
    </row>
    <row r="16" spans="1:17" x14ac:dyDescent="0.25">
      <c r="A16" s="104"/>
      <c r="B16" s="105"/>
      <c r="C16" s="105"/>
      <c r="D16" s="105"/>
      <c r="E16" s="105"/>
      <c r="F16" s="105"/>
      <c r="G16" s="105"/>
      <c r="H16" s="105"/>
      <c r="I16" s="105"/>
      <c r="J16" s="105"/>
      <c r="K16" s="105"/>
      <c r="L16" s="105"/>
      <c r="M16" s="106"/>
      <c r="N16" s="109"/>
      <c r="O16" s="210"/>
      <c r="P16" s="210"/>
      <c r="Q16" s="108"/>
    </row>
    <row r="17" spans="1:17" x14ac:dyDescent="0.25">
      <c r="A17" s="104"/>
      <c r="B17" s="105"/>
      <c r="C17" s="105"/>
      <c r="D17" s="105"/>
      <c r="E17" s="105"/>
      <c r="F17" s="105"/>
      <c r="G17" s="105"/>
      <c r="H17" s="105"/>
      <c r="I17" s="105"/>
      <c r="J17" s="105"/>
      <c r="K17" s="105"/>
      <c r="L17" s="105"/>
      <c r="M17" s="106"/>
      <c r="N17" s="109"/>
      <c r="O17" s="244"/>
      <c r="P17" s="244"/>
      <c r="Q17" s="108"/>
    </row>
    <row r="18" spans="1:17" x14ac:dyDescent="0.25">
      <c r="A18" s="104"/>
      <c r="B18" s="105"/>
      <c r="C18" s="105"/>
      <c r="D18" s="105"/>
      <c r="E18" s="105"/>
      <c r="F18" s="105"/>
      <c r="G18" s="105"/>
      <c r="H18" s="105"/>
      <c r="I18" s="105"/>
      <c r="J18" s="105"/>
      <c r="K18" s="105"/>
      <c r="L18" s="105"/>
      <c r="M18" s="106"/>
      <c r="N18" s="109"/>
      <c r="O18" s="215"/>
      <c r="P18" s="215"/>
      <c r="Q18" s="108"/>
    </row>
    <row r="19" spans="1:17" x14ac:dyDescent="0.25">
      <c r="A19" s="104"/>
      <c r="B19" s="105"/>
      <c r="C19" s="105"/>
      <c r="D19" s="105"/>
      <c r="E19" s="105"/>
      <c r="F19" s="105"/>
      <c r="G19" s="105"/>
      <c r="H19" s="105"/>
      <c r="I19" s="105"/>
      <c r="J19" s="105"/>
      <c r="K19" s="105"/>
      <c r="L19" s="105"/>
      <c r="M19" s="106"/>
      <c r="N19" s="109"/>
      <c r="O19" s="215"/>
      <c r="P19" s="215"/>
      <c r="Q19" s="108"/>
    </row>
    <row r="20" spans="1:17" x14ac:dyDescent="0.25">
      <c r="A20" s="104"/>
      <c r="B20" s="105"/>
      <c r="C20" s="105"/>
      <c r="D20" s="105"/>
      <c r="E20" s="105"/>
      <c r="F20" s="105"/>
      <c r="G20" s="105"/>
      <c r="H20" s="105"/>
      <c r="I20" s="105"/>
      <c r="J20" s="105"/>
      <c r="K20" s="105"/>
      <c r="L20" s="105"/>
      <c r="M20" s="106"/>
      <c r="N20" s="109"/>
      <c r="O20" s="215"/>
      <c r="P20" s="215"/>
      <c r="Q20" s="108"/>
    </row>
    <row r="21" spans="1:17" x14ac:dyDescent="0.25">
      <c r="A21" s="104"/>
      <c r="B21" s="105"/>
      <c r="C21" s="105"/>
      <c r="D21" s="105"/>
      <c r="E21" s="105"/>
      <c r="F21" s="105"/>
      <c r="G21" s="105"/>
      <c r="H21" s="105"/>
      <c r="I21" s="105"/>
      <c r="J21" s="105"/>
      <c r="K21" s="105"/>
      <c r="L21" s="105"/>
      <c r="M21" s="106"/>
      <c r="N21" s="109"/>
      <c r="O21" s="215"/>
      <c r="P21" s="215"/>
      <c r="Q21" s="108"/>
    </row>
    <row r="22" spans="1:17" x14ac:dyDescent="0.25">
      <c r="A22" s="104"/>
      <c r="B22" s="105"/>
      <c r="C22" s="105"/>
      <c r="D22" s="105"/>
      <c r="E22" s="105"/>
      <c r="F22" s="105"/>
      <c r="G22" s="105"/>
      <c r="H22" s="105"/>
      <c r="I22" s="105"/>
      <c r="J22" s="105"/>
      <c r="K22" s="105"/>
      <c r="L22" s="105"/>
      <c r="M22" s="106"/>
      <c r="N22" s="109"/>
      <c r="O22" s="215"/>
      <c r="P22" s="215"/>
      <c r="Q22" s="108"/>
    </row>
    <row r="23" spans="1:17" x14ac:dyDescent="0.25">
      <c r="A23" s="104"/>
      <c r="B23" s="105"/>
      <c r="C23" s="105"/>
      <c r="D23" s="105"/>
      <c r="E23" s="105"/>
      <c r="F23" s="105"/>
      <c r="G23" s="105"/>
      <c r="H23" s="105"/>
      <c r="I23" s="105"/>
      <c r="J23" s="105"/>
      <c r="K23" s="105"/>
      <c r="L23" s="105"/>
      <c r="M23" s="106"/>
      <c r="N23" s="109"/>
      <c r="O23" s="215"/>
      <c r="P23" s="215"/>
      <c r="Q23" s="108"/>
    </row>
    <row r="24" spans="1:17" x14ac:dyDescent="0.25">
      <c r="A24" s="104"/>
      <c r="B24" s="105"/>
      <c r="C24" s="105"/>
      <c r="D24" s="105"/>
      <c r="E24" s="105"/>
      <c r="F24" s="105"/>
      <c r="G24" s="105"/>
      <c r="H24" s="105"/>
      <c r="I24" s="105"/>
      <c r="J24" s="105"/>
      <c r="K24" s="105"/>
      <c r="L24" s="105"/>
      <c r="M24" s="106"/>
      <c r="N24" s="109"/>
      <c r="O24" s="215"/>
      <c r="P24" s="215"/>
      <c r="Q24" s="108"/>
    </row>
    <row r="25" spans="1:17" x14ac:dyDescent="0.25">
      <c r="A25" s="104"/>
      <c r="B25" s="105"/>
      <c r="C25" s="105"/>
      <c r="D25" s="105"/>
      <c r="E25" s="105"/>
      <c r="F25" s="105"/>
      <c r="G25" s="105"/>
      <c r="H25" s="105"/>
      <c r="I25" s="105"/>
      <c r="J25" s="105"/>
      <c r="K25" s="105"/>
      <c r="L25" s="105"/>
      <c r="M25" s="106"/>
      <c r="N25" s="109"/>
      <c r="O25" s="215"/>
      <c r="P25" s="215"/>
      <c r="Q25" s="108"/>
    </row>
    <row r="26" spans="1:17" x14ac:dyDescent="0.25">
      <c r="A26" s="104"/>
      <c r="B26" s="105"/>
      <c r="C26" s="105"/>
      <c r="D26" s="105"/>
      <c r="E26" s="105"/>
      <c r="F26" s="105"/>
      <c r="G26" s="105"/>
      <c r="H26" s="105"/>
      <c r="I26" s="105"/>
      <c r="J26" s="105"/>
      <c r="K26" s="105"/>
      <c r="L26" s="105"/>
      <c r="M26" s="106"/>
      <c r="N26" s="109"/>
      <c r="O26" s="215"/>
      <c r="P26" s="215"/>
      <c r="Q26" s="108"/>
    </row>
    <row r="27" spans="1:17" x14ac:dyDescent="0.25">
      <c r="A27" s="104"/>
      <c r="B27" s="105"/>
      <c r="C27" s="105"/>
      <c r="D27" s="105"/>
      <c r="E27" s="105"/>
      <c r="F27" s="105"/>
      <c r="G27" s="105"/>
      <c r="H27" s="105"/>
      <c r="I27" s="105"/>
      <c r="J27" s="105"/>
      <c r="K27" s="105"/>
      <c r="L27" s="105"/>
      <c r="M27" s="106"/>
      <c r="N27" s="109"/>
      <c r="O27" s="215"/>
      <c r="P27" s="215"/>
      <c r="Q27" s="108"/>
    </row>
    <row r="28" spans="1:17" x14ac:dyDescent="0.25">
      <c r="A28" s="104"/>
      <c r="B28" s="105"/>
      <c r="C28" s="105"/>
      <c r="D28" s="105"/>
      <c r="E28" s="105"/>
      <c r="F28" s="105"/>
      <c r="G28" s="105"/>
      <c r="H28" s="105"/>
      <c r="I28" s="105"/>
      <c r="J28" s="105"/>
      <c r="K28" s="105"/>
      <c r="L28" s="105"/>
      <c r="M28" s="106"/>
      <c r="N28" s="109"/>
      <c r="O28" s="215"/>
      <c r="P28" s="215"/>
      <c r="Q28" s="108"/>
    </row>
    <row r="29" spans="1:17" x14ac:dyDescent="0.25">
      <c r="A29" s="104"/>
      <c r="B29" s="105"/>
      <c r="C29" s="105"/>
      <c r="D29" s="105"/>
      <c r="E29" s="105"/>
      <c r="F29" s="105"/>
      <c r="G29" s="105"/>
      <c r="H29" s="105"/>
      <c r="I29" s="105"/>
      <c r="J29" s="105"/>
      <c r="K29" s="105"/>
      <c r="L29" s="105"/>
      <c r="M29" s="106"/>
      <c r="N29" s="109"/>
      <c r="O29" s="215"/>
      <c r="P29" s="215"/>
      <c r="Q29" s="108"/>
    </row>
    <row r="30" spans="1:17" x14ac:dyDescent="0.25">
      <c r="A30" s="104"/>
      <c r="B30" s="105"/>
      <c r="C30" s="105"/>
      <c r="D30" s="105"/>
      <c r="E30" s="105"/>
      <c r="F30" s="105"/>
      <c r="G30" s="105"/>
      <c r="H30" s="105"/>
      <c r="I30" s="105"/>
      <c r="J30" s="105"/>
      <c r="K30" s="105"/>
      <c r="L30" s="105"/>
      <c r="M30" s="106"/>
      <c r="N30" s="109"/>
      <c r="O30" s="215"/>
      <c r="P30" s="215"/>
      <c r="Q30" s="108"/>
    </row>
    <row r="31" spans="1:17" x14ac:dyDescent="0.25">
      <c r="A31" s="104"/>
      <c r="B31" s="105"/>
      <c r="C31" s="105"/>
      <c r="D31" s="105"/>
      <c r="E31" s="105"/>
      <c r="F31" s="105"/>
      <c r="G31" s="105"/>
      <c r="H31" s="105"/>
      <c r="I31" s="105"/>
      <c r="J31" s="105"/>
      <c r="K31" s="105"/>
      <c r="L31" s="105"/>
      <c r="M31" s="106"/>
      <c r="N31" s="109"/>
      <c r="O31" s="215"/>
      <c r="P31" s="215"/>
      <c r="Q31" s="108"/>
    </row>
    <row r="32" spans="1:17" x14ac:dyDescent="0.25">
      <c r="A32" s="104"/>
      <c r="B32" s="105"/>
      <c r="C32" s="105"/>
      <c r="D32" s="105"/>
      <c r="E32" s="105"/>
      <c r="F32" s="109"/>
      <c r="G32" s="105"/>
      <c r="H32" s="105"/>
      <c r="I32" s="105"/>
      <c r="J32" s="105"/>
      <c r="K32" s="105"/>
      <c r="L32" s="105"/>
      <c r="M32" s="106"/>
      <c r="N32" s="109"/>
      <c r="O32" s="210"/>
      <c r="P32" s="210"/>
      <c r="Q32" s="108"/>
    </row>
    <row r="33" spans="1:17" x14ac:dyDescent="0.25">
      <c r="A33" s="104"/>
      <c r="B33" s="105"/>
      <c r="C33" s="105"/>
      <c r="D33" s="105"/>
      <c r="E33" s="105"/>
      <c r="F33" s="105"/>
      <c r="G33" s="105"/>
      <c r="H33" s="105"/>
      <c r="I33" s="105"/>
      <c r="J33" s="105"/>
      <c r="K33" s="105"/>
      <c r="L33" s="105"/>
      <c r="M33" s="106"/>
      <c r="N33" s="109"/>
      <c r="O33" s="210"/>
      <c r="P33" s="210"/>
      <c r="Q33" s="108"/>
    </row>
    <row r="34" spans="1:17" x14ac:dyDescent="0.25">
      <c r="A34" s="104"/>
      <c r="B34" s="105"/>
      <c r="C34" s="105"/>
      <c r="D34" s="105"/>
      <c r="E34" s="105"/>
      <c r="F34" s="109"/>
      <c r="G34" s="105"/>
      <c r="H34" s="105"/>
      <c r="I34" s="105"/>
      <c r="J34" s="105"/>
      <c r="K34" s="105"/>
      <c r="L34" s="105"/>
      <c r="M34" s="106"/>
      <c r="N34" s="109"/>
      <c r="O34" s="210"/>
      <c r="P34" s="210"/>
      <c r="Q34" s="108"/>
    </row>
    <row r="35" spans="1:17" x14ac:dyDescent="0.25">
      <c r="A35" s="104"/>
      <c r="B35" s="105"/>
      <c r="C35" s="105"/>
      <c r="D35" s="105"/>
      <c r="E35" s="105"/>
      <c r="F35" s="109"/>
      <c r="G35" s="105"/>
      <c r="H35" s="105"/>
      <c r="I35" s="105"/>
      <c r="J35" s="105"/>
      <c r="K35" s="105"/>
      <c r="L35" s="105"/>
      <c r="M35" s="106"/>
      <c r="N35" s="109"/>
      <c r="O35" s="210"/>
      <c r="P35" s="210"/>
      <c r="Q35" s="108"/>
    </row>
    <row r="36" spans="1:17" x14ac:dyDescent="0.25">
      <c r="A36" s="110"/>
      <c r="B36" s="111"/>
      <c r="C36" s="111"/>
      <c r="D36" s="111"/>
      <c r="E36" s="111"/>
      <c r="F36" s="112"/>
      <c r="G36" s="111"/>
      <c r="H36" s="111"/>
      <c r="I36" s="111"/>
      <c r="J36" s="111"/>
      <c r="K36" s="111"/>
      <c r="L36" s="111"/>
      <c r="M36" s="113"/>
      <c r="N36" s="114"/>
      <c r="O36" s="211"/>
      <c r="P36" s="211"/>
      <c r="Q36" s="108"/>
    </row>
    <row r="37" spans="1:17" ht="15.75" thickBot="1" x14ac:dyDescent="0.3">
      <c r="A37" s="115"/>
      <c r="B37" s="116"/>
      <c r="C37" s="116"/>
      <c r="D37" s="116"/>
      <c r="E37" s="116"/>
      <c r="F37" s="116"/>
      <c r="G37" s="116"/>
      <c r="H37" s="116"/>
      <c r="I37" s="116"/>
      <c r="J37" s="116"/>
      <c r="K37" s="116"/>
      <c r="L37" s="116"/>
      <c r="M37" s="117"/>
      <c r="N37" s="116"/>
      <c r="O37" s="212"/>
      <c r="P37" s="212"/>
      <c r="Q37" s="118"/>
    </row>
    <row r="38" spans="1:17" ht="15.75" thickBot="1" x14ac:dyDescent="0.3">
      <c r="A38" s="213" t="s">
        <v>322</v>
      </c>
      <c r="B38" s="213"/>
      <c r="C38" s="213"/>
      <c r="D38" s="213"/>
      <c r="E38" s="213"/>
      <c r="F38" s="213"/>
      <c r="G38" s="213"/>
      <c r="H38" s="213"/>
      <c r="I38" s="213"/>
      <c r="J38" s="213"/>
      <c r="K38" s="213"/>
      <c r="L38" s="213"/>
      <c r="M38" s="213"/>
      <c r="N38" s="213"/>
      <c r="O38" s="213"/>
      <c r="P38" s="213"/>
      <c r="Q38" s="119">
        <f>SUM(Q15:Q37)</f>
        <v>10006155</v>
      </c>
    </row>
    <row r="39" spans="1:17" ht="15.75" thickBot="1" x14ac:dyDescent="0.3">
      <c r="A39" s="214"/>
      <c r="B39" s="214"/>
      <c r="C39" s="214"/>
      <c r="D39" s="214"/>
      <c r="E39" s="214"/>
      <c r="F39" s="214"/>
      <c r="G39" s="214"/>
      <c r="H39" s="214"/>
      <c r="I39" s="214"/>
      <c r="J39" s="214"/>
      <c r="K39" s="214"/>
      <c r="L39" s="214"/>
      <c r="M39" s="214"/>
      <c r="N39" s="214"/>
      <c r="O39" s="214"/>
      <c r="P39" s="214"/>
      <c r="Q39" s="214"/>
    </row>
    <row r="40" spans="1:17" ht="15.75" thickBot="1" x14ac:dyDescent="0.3">
      <c r="A40" s="207" t="s">
        <v>292</v>
      </c>
      <c r="B40" s="207"/>
      <c r="C40" s="207"/>
      <c r="D40" s="207"/>
      <c r="E40" s="207"/>
      <c r="F40" s="207"/>
      <c r="G40" s="208"/>
      <c r="H40" s="208"/>
      <c r="I40" s="208"/>
      <c r="J40" s="208"/>
      <c r="K40" s="208"/>
      <c r="L40" s="208"/>
      <c r="M40" s="208"/>
      <c r="N40" s="208"/>
      <c r="O40" s="208"/>
      <c r="P40" s="208"/>
      <c r="Q40" s="208"/>
    </row>
    <row r="41" spans="1:17" ht="15.75" thickBot="1" x14ac:dyDescent="0.3">
      <c r="A41" s="209" t="str">
        <f>'NP BANCO DE SANGRE'!D8</f>
        <v>ADQUISICION DEL RUBRO INSUMOS PARA LABORATORIO</v>
      </c>
      <c r="B41" s="209"/>
      <c r="C41" s="209"/>
      <c r="D41" s="209"/>
      <c r="E41" s="209"/>
      <c r="F41" s="209"/>
      <c r="G41" s="209"/>
      <c r="H41" s="209"/>
      <c r="I41" s="209"/>
      <c r="J41" s="209"/>
      <c r="K41" s="209"/>
      <c r="L41" s="209"/>
      <c r="M41" s="209"/>
      <c r="N41" s="209"/>
      <c r="O41" s="209"/>
      <c r="P41" s="209"/>
      <c r="Q41" s="209"/>
    </row>
    <row r="42" spans="1:17" ht="15.75" thickBot="1" x14ac:dyDescent="0.3">
      <c r="A42" s="209"/>
      <c r="B42" s="209"/>
      <c r="C42" s="209"/>
      <c r="D42" s="209"/>
      <c r="E42" s="209"/>
      <c r="F42" s="209"/>
      <c r="G42" s="209"/>
      <c r="H42" s="209"/>
      <c r="I42" s="209"/>
      <c r="J42" s="209"/>
      <c r="K42" s="209"/>
      <c r="L42" s="209"/>
      <c r="M42" s="209"/>
      <c r="N42" s="209"/>
      <c r="O42" s="209"/>
      <c r="P42" s="209"/>
      <c r="Q42" s="209"/>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SAF 011</vt:lpstr>
      <vt:lpstr>NP LABORATORIO</vt:lpstr>
      <vt:lpstr>APG LABORATORIO</vt:lpstr>
      <vt:lpstr>NP BANCO DE SANGRE</vt:lpstr>
      <vt:lpstr>APG BANCO DE SANGRE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2022-11-25T19:04:02Z</cp:lastPrinted>
  <dcterms:created xsi:type="dcterms:W3CDTF">2021-12-21T17:55:07Z</dcterms:created>
  <dcterms:modified xsi:type="dcterms:W3CDTF">2022-11-28T19:50:50Z</dcterms:modified>
</cp:coreProperties>
</file>