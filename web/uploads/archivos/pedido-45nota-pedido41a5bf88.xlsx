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TERCER TRIMESTRE 2021\ARTICULO DE LIBRERIA\"/>
    </mc:Choice>
  </mc:AlternateContent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Trimestrales'!$A$9:$I$52</definedName>
    <definedName name="_xlnm.Print_Area" localSheetId="2">'Autor Gastar'!$A$1:$Q$27</definedName>
    <definedName name="_xlnm.Print_Area" localSheetId="1">NotaPedido!$A$1:$K$51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7" i="1" l="1"/>
  <c r="I48" i="1"/>
  <c r="I16" i="1" l="1"/>
  <c r="I11" i="1"/>
  <c r="I12" i="1"/>
  <c r="I13" i="1"/>
  <c r="I14" i="1"/>
  <c r="I15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10" i="1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49" i="1" l="1"/>
  <c r="J51" i="2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<sst xmlns="http://schemas.openxmlformats.org/spreadsheetml/2006/main" count="415" uniqueCount="193">
  <si>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</si>
  <si>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</si>
  <si>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</si>
  <si>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</si>
  <si>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</si>
  <si>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</si>
  <si>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</si>
  <si>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</si>
  <si>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</si>
  <si>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</si>
  <si>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</si>
  <si>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</si>
  <si>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</si>
  <si>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</si>
  <si>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</si>
  <si>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</si>
  <si>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</si>
  <si>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</si>
  <si>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</si>
  <si>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</si>
  <si>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</si>
  <si>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</si>
  <si>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</si>
  <si>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</si>
  <si>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</si>
  <si>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</si>
  <si>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</si>
  <si>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</si>
  <si>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</si>
  <si>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</si>
  <si>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</si>
  <si>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</si>
  <si>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</si>
  <si>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</si>
  <si>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</si>
  <si>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</si>
  <si>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</si>
  <si>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</si>
  <si>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</si>
  <si>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</si>
  <si>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</si>
  <si>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</si>
  <si>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</si>
  <si>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</si>
  <si>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</si>
  <si>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</si>
  <si>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</si>
  <si>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</si>
  <si>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</si>
  <si>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</si>
  <si>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</si>
  <si>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</si>
  <si>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</si>
  <si>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</si>
  <si>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</si>
  <si>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</si>
  <si>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</si>
  <si>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</si>
  <si>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</si>
  <si>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</si>
  <si>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</si>
  <si>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</si>
  <si>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</si>
  <si>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2.9.2-261.14</t>
  </si>
  <si>
    <t>ABROCHADORAS DE PAPEL; TIPO: PINZA, P/BROCHES: 10/50, MATERIAL: METALICA, MEDIDA: 10/50</t>
  </si>
  <si>
    <t>UNIDAD</t>
  </si>
  <si>
    <t>2.9.2-262.4</t>
  </si>
  <si>
    <t>ADHESIVOS P/PAPEL; PRESENTACION: 250 GR, TIPO: COLA VINILICA</t>
  </si>
  <si>
    <t>2.9.2-291.18</t>
  </si>
  <si>
    <t>2.9.2-700.28</t>
  </si>
  <si>
    <t>2.9.2-1358.359</t>
  </si>
  <si>
    <t>2.9.2-2766.9</t>
  </si>
  <si>
    <t>2.3.1-6563.814</t>
  </si>
  <si>
    <t>2.9.2-1153.35</t>
  </si>
  <si>
    <t>2.3.1-6587.298</t>
  </si>
  <si>
    <t>2.9.2-1611.11</t>
  </si>
  <si>
    <t>2.9.2-1611.10</t>
  </si>
  <si>
    <t>2.9.2-4984.6</t>
  </si>
  <si>
    <t>2.9.2-323.4</t>
  </si>
  <si>
    <t>2.9.2-848.5</t>
  </si>
  <si>
    <t>2.3.1-6587.324</t>
  </si>
  <si>
    <t>2.9.2-1616.80</t>
  </si>
  <si>
    <t>2.9.2-1616.137</t>
  </si>
  <si>
    <t>2.3.1-6563.968</t>
  </si>
  <si>
    <t>2.3.1-6563.1009</t>
  </si>
  <si>
    <t>2.9.2-660.4</t>
  </si>
  <si>
    <t>2.3.1-6590.484</t>
  </si>
  <si>
    <t>2.3.1-6590.541</t>
  </si>
  <si>
    <t>2.3.1-6590.465</t>
  </si>
  <si>
    <t>2.9.2-1450.36</t>
  </si>
  <si>
    <t>2.9.2-1354.28</t>
  </si>
  <si>
    <t>2.9.2-1354.4</t>
  </si>
  <si>
    <t>2.9.2-850.201</t>
  </si>
  <si>
    <t>BROCHES P/ABROCHADORA; NUMERO: 10/50, PRESENTACION: CAJA X 1000 UNIDADES</t>
  </si>
  <si>
    <t>CARPETAS; MATERIAL: FIBRA, TAMAÑO: OFICIO</t>
  </si>
  <si>
    <t>CARPETAS P/ENCUADERNACION; TAMAÑO: A4, PEGAMENTO: SIN, MATERIAL LOMO: PLASTICO TRANPARENTE, ESPESOR: 9 mm, TAPA: TRANSPARENTE</t>
  </si>
  <si>
    <t>PAPELES EN HOJA; TIPO DE PAPEL: CARTULINA, DIMENSION: 63 X 44,5 Cm, GRAMAJE: 125, PRESENTACION: UNIDAD, CERTIFICADO FORESTAL (GFS): CON</t>
  </si>
  <si>
    <t>CINTAS ADHESIVAS; TIPO: EMBALAR, COLOR MARRON, ANCHO: 5 Cm, LARGO ROLLO: 50 M, MATERIAL: CELOFAN, ACCESORIO: SIN, LARGO: 50 M</t>
  </si>
  <si>
    <t>PAPELES ENCUADERNADOS; CANT. DE HOJAS: 100, TAMAÑO: 21 X 16 Cm, TIPO: CUADERNO, CERTIFICADO FORESTAL (GFS): CON, PORC. FIBRAS RECICLADAS: 0 %, CERT. FIBRA ALTERNATIVA (FCA): SIN</t>
  </si>
  <si>
    <t>FOLIOS TRANSPARENTES; TAMAÑO: OFICIO, PERFORACIONES: 5, MATERIAL: POLIPROPILENO</t>
  </si>
  <si>
    <t>FOLIOS TRANSPARENTES; TAMAÑO: A-4, PERFORACIONES: 5, MATERIAL: POLIPROPILENO</t>
  </si>
  <si>
    <t>LAPICERAS ESTILOGRAFICAS; TIPO: TRAZO GRUESO, MATERIAL: PLASTICO Y METAL , RECARGABLE: NO</t>
  </si>
  <si>
    <t>CORRECTORES DE ESCRITURA; CAPACIDAD: 7 mL, ENVASE: LAPIZ (PUNTA METAL), PRESENTACION: LAPIZ (PUNTA METAL) X 7 mL</t>
  </si>
  <si>
    <t>LAPIZ; TIPO: COMUN NRO 2, COLOR: NEGRO</t>
  </si>
  <si>
    <t>PAPELES ENCUADERNADOS; CANT. DE HOJAS: 400, TAMAÑO: 21 X 33 Cm, TIPO: LIBRO DE ACTAS, CERTIFICADO FORESTAL (GFS): SIN, PORC. FIBRAS RECICLADAS: 0 %, CERT. FIBRA ALTERNATIVA (FCA): SIN</t>
  </si>
  <si>
    <t>MARCADORES; TIPO AL AGUA - TRAZO GRUESO - PUNTA REDONDA - RECARGABLE NO</t>
  </si>
  <si>
    <t>MARCADORES; TIPO: INDELEBLE, TRAZO: GRUESO, PUNTA: REDONDA, COLOR: NEGRO, RECARGABLE: NO</t>
  </si>
  <si>
    <t>PAPELES EN HOJA; TIPO DE PAPEL: EXTRA BLANCO, DIMENSION: A4, GRAMAJE: 80 GR, PRESENTACION: RESMA X 500 HOJAS, CERTIFICADO FORESTAL (GFS): SIN, PORC. FIBRAS RECICLADAS: 0 %, CERT. FIBRA ALTERNATIVA (FCA): CON</t>
  </si>
  <si>
    <t>PAPELES EN HOJA; TIPO DE PAPEL: BLANCO, DIMENSION: OFICIO, GRAMAJE: 80 GR, PRESENTACION: ENVASE X 500 HOJAS, CERTIFICADO FORESTAL (GFS): SIN, PORC. FIBRAS RECICLADAS: 0 %, CERT. FIBRA ALTERNATIVA (FCA): SIN</t>
  </si>
  <si>
    <t>CLIPS P/PAPEL; MATERIAL: METAL, NUMERO: 4, CANT. X CAJA: 100, PRESENTACION: CAJA X 100</t>
  </si>
  <si>
    <t>SOBRES DE PAPEL; TIPO: MANILA, TAMAÑO: 19 X 24 Cm, GRAMAJE: 80 GR/M2, PRESENTACION: UNIDAD UN, CERTIFICADO FORESTAL (GFS): SIN, PORC. FIBRAS RECICLADAS: SIN VALOR</t>
  </si>
  <si>
    <t>SOBRES DE PAPEL; TIPO: BOLSA DE PAPEL MANILA, TAMAÑO: 24 X 30 Cm, GRAMAJE: 80 GR/M2, PRESENTACION: ENVASE X 100 UN, CERTIFICADO FORESTAL (GFS): SIN, PORC. FIBRAS RECICLADAS: 0 %, CERT. FIBRA ALTERNATIVA (FCA): SIN</t>
  </si>
  <si>
    <t>SOBRES DE PAPEL; TIPO: BOLSA MANILA, TAMAÑO: 30 X 40 Cm, GRAMAJE: 90 GR/M2, PRESENTACION: UNIDAD, CERTIFICADO FORESTAL (GFS): SIN, PORC. FIBRAS RECICLADAS: 0 %</t>
  </si>
  <si>
    <t xml:space="preserve">TINTAS P/SELLOS; TIPO DE SELLO: DE GOMA, PRESENTACION: ENVASE X 28 CM3  </t>
  </si>
  <si>
    <t>RESALTADORES; PUNTA: FINA, ACCESORIO: SIN, COLOR: AMARILLO, TIPO PUNTA: FINA</t>
  </si>
  <si>
    <t>RESALTADORES; ACCESORIO: CON CLIPS, COLOR: ROJO, PUNTA: 5 (CHANFLEADA) mm, TIPO PUNTA: 5 (CHANFLEADA) mm</t>
  </si>
  <si>
    <t>CAJAS DE ARCHIVO; MATERIAL: CARTON, DIMENSION: 45 X 35 X 25 Cm</t>
  </si>
  <si>
    <t>CAJA</t>
  </si>
  <si>
    <t>LIBRERIA,PAP. Y UTILES OFICINA</t>
  </si>
  <si>
    <t>ABROCHADORA GRANDE PARA PAPELES N° 10/50, PRIMERA MARCA.-</t>
  </si>
  <si>
    <t>PLÁSTICOLA O ADHESIVO VINILICO EN ENVASE DE 250 GRS. PRIMERA CALIDAD.-</t>
  </si>
  <si>
    <t>Especificidades Item N° 3:</t>
  </si>
  <si>
    <t>BROCHES PARA PAPEL 10/50 EN CAJITAS DE 1000 UNIDADES, PRIMERA CALIDAD.-</t>
  </si>
  <si>
    <t>Especificidades Item N° 4:</t>
  </si>
  <si>
    <t>CARPETA CON GANCHO TAMAÑO OFICIO. PRIMERA CALIDAD.-</t>
  </si>
  <si>
    <t>Especificidades Item N° 5:</t>
  </si>
  <si>
    <t>CARPETA TRANSPARENTE TAMAÑO A/4, PRIMERA CALIDAD.-</t>
  </si>
  <si>
    <t>Especificidades Item N° 6:</t>
  </si>
  <si>
    <t>CARTULINA EN PLIEGOS DE 625 MM X 445 MM DE 120 GRS. COLOR AMARILLO, PRIMERA CALIDAD.-</t>
  </si>
  <si>
    <t>Especificidades Item N° 7:</t>
  </si>
  <si>
    <t>CINTA TRANSPARENTE DE EMBALAR 5 CM X 50 METROS DE LARGO, PRIMERA CALIDAD.-</t>
  </si>
  <si>
    <t>Especificidades Item N° 8:</t>
  </si>
  <si>
    <t>Especificidades Item N° 9:</t>
  </si>
  <si>
    <t>CUADERNO TAPA DURA FORRADO DE 170 HOJAS A RAYAS.-</t>
  </si>
  <si>
    <t>Especificidades Item N°12:</t>
  </si>
  <si>
    <t>LAPICERA TRAZO GRUESO COLOR NEGRA, TIPO BIC.-</t>
  </si>
  <si>
    <t>Especificidades Item N°13 :</t>
  </si>
  <si>
    <t>LAPICERA TRAZO GRUESO COLOR ROJO, TIPO BIC.-</t>
  </si>
  <si>
    <t>LIBRO DE ACTA 400 PÁGINAS (4 MANOS).-</t>
  </si>
  <si>
    <t>Especificidades Item N° 17:</t>
  </si>
  <si>
    <t>MARCADOR DE TINTA AL AGUA COLOR NEGRO, PRIMERA CALIDAD.-</t>
  </si>
  <si>
    <t>Especificidades Item N° 18:</t>
  </si>
  <si>
    <t>MARCADOR DE TINTA PERMANENTE, COLOR NEGRO, PRIMERA CALIDAD.-</t>
  </si>
  <si>
    <t>PAPEL ALCALINO A/4 POR 80 GRS. RESMAS DE 500 HOJAS.-</t>
  </si>
  <si>
    <t>PAPEL ALCALINO OFICIO POR 80 GRS. RESMAS DE 500 HOJAS.-</t>
  </si>
  <si>
    <t>Especificidades Item N° 21:</t>
  </si>
  <si>
    <t>TINTA PARA SELLO EN POTE DE 28 CC. COLOR NEGRO.-</t>
  </si>
  <si>
    <t>RESALTADOR DE TEXTOS COLOR FUCSIA, PRIMERA CALIDAD.-</t>
  </si>
  <si>
    <t>Especificidades Item N° 28:</t>
  </si>
  <si>
    <t>Especificidades Item N° 37:</t>
  </si>
  <si>
    <t>CARPETA TRANSPARENTE TAMAÑO OFICIO, PRIMERA CALIDAD.-</t>
  </si>
  <si>
    <t>CARPETAS P/ENCUADERNACION; TAMAÑO: OFICIO, ESPESOR: 9 mm, MATERIAL LOMO: PLASTICO TRANPARENTE, PEGAMENTO: SIN, TAPA: TRANSPARENTE</t>
  </si>
  <si>
    <t>2.9.2-2766.11</t>
  </si>
  <si>
    <t>2.9.2-1620.1</t>
  </si>
  <si>
    <t>2.9.2-8819.1</t>
  </si>
  <si>
    <t>DISCO VERSATIL DIGITAL (DVD) ; CAPACIDAD: 4,7 Gb, TIPO: GRABABLE</t>
  </si>
  <si>
    <t>LAPICERA TRAZO GRUESO COLOR AZUL, TIPO BIC.-</t>
  </si>
  <si>
    <t>Especificidades Item N°14 :</t>
  </si>
  <si>
    <t>Especificidades Item N° 19,:</t>
  </si>
  <si>
    <t>Especificidades Item N°20:</t>
  </si>
  <si>
    <t>PERFORADORAS; TAMAÑO: MEDIANA, N° PERFORACIONES: 2, DIST. ENTRE AGUJ.: SIN VALOR, GUIA POSICION PAPEL: SIN VALOR, MATERIAL ESTRUCTURA: MADERA, MATERIAL: MADERA</t>
  </si>
  <si>
    <t>2.9.2-858.16</t>
  </si>
  <si>
    <t>SOBRES DE PAPEL; TIPO: MANILA, TAMAÑO: 37 X 45 Cm, GRAMAJE: 80 GR/M2, PRESENTACION: ENVASE X 100 UN, CERTIFICADO FORESTAL (GFS): SIN, PORC. FIBRAS RECICLADAS: 0 %, CERT. FIBRA ALTERNATIVA (FCA): SIN</t>
  </si>
  <si>
    <t>2.3.1-6590.531</t>
  </si>
  <si>
    <t>Especificidades Item N° 30:</t>
  </si>
  <si>
    <t>GOMAS DE BORRAR; USO: LAPIZ Y TINTA, DIMENSION: 55 X 17 mm, MATERIAL: CAUCHO, CANT. X CAJA: UNIDAD, PRESENTACION: UNIDAD</t>
  </si>
  <si>
    <t>2.9.2-661.25</t>
  </si>
  <si>
    <t>CINTAS ADHESIVAS; TIPO: TRANSPARENTE, ANCHO: 1,2 Cm, LARGO ROLLO: 50 M, MATERIAL: POLIPROPILENO, ACCESORIO: SIN, LARGO: 50 M</t>
  </si>
  <si>
    <t>2.9.2-1153.89</t>
  </si>
  <si>
    <t>ALMOHADILLAS P/SELLOS; MEDIDA: 11 X 8 Cm, MATERIAL: METAL</t>
  </si>
  <si>
    <t>PAPELES ENCUADERNADOS; CANT. DE HOJAS: 196, TAMAÑO: 21 X 16 Cm, TIPO: CUADERNO, CERTIFICADO FORESTAL (GFS): SIN, PORC. FIBRAS RECICLADAS: 0 %, CERT. FIBRA ALTERNATIVA (FCA): SIN</t>
  </si>
  <si>
    <t>2.3.1-6587.292</t>
  </si>
  <si>
    <t>TIJERA; USO: P/PAPEL, MATERIAL: ACERO INOXIDABLE, LONG.DE CUERPO: 22 Cm</t>
  </si>
  <si>
    <t>2.9.2-5042.31</t>
  </si>
  <si>
    <t>HERRAMIENTAS</t>
  </si>
  <si>
    <t>CORTAPAPELES Y GUILLOTINAS; MATERIAL HOJA: ACERO, LARGO: 20 Cm, MANGO: SIN VALOR, ESTUCHE: SIN VALOR</t>
  </si>
  <si>
    <t>2.9.2-2836.2</t>
  </si>
  <si>
    <t>Cuchilla Trincheta 18 mm</t>
  </si>
  <si>
    <t>INFORMATICA</t>
  </si>
  <si>
    <t>DISCO COMPACTO; TIPO: VIRGEN, CAPACIDAD: 700 MB</t>
  </si>
  <si>
    <t>DISCO COMPACTO; TIPO VIRGEN, CAPACIDAD: 700 MB - EN SOBRE</t>
  </si>
  <si>
    <t>237 - Direccion de Mantenimiento</t>
  </si>
  <si>
    <t>Deposito Central</t>
  </si>
  <si>
    <t>Mantenimiento de Oferta: 45 dias habiles</t>
  </si>
  <si>
    <t>Papel de Escritorio y Cartón</t>
  </si>
  <si>
    <t>Utiles de Escritorio, Oficina y Enseñanza</t>
  </si>
  <si>
    <t xml:space="preserve">Lugar de entrega: Deposito Central - Avda. Illia y Mariano Moreno </t>
  </si>
  <si>
    <t>Plazo de entrega: 10 dias habiles</t>
  </si>
  <si>
    <t>Especificidades Item N° 38:</t>
  </si>
  <si>
    <t>064 - 2021</t>
  </si>
  <si>
    <t>Costo total estimado: PESOS UN MILLON CUATROCIENTOS DOS MIL QUINIENTOS TREINTA Y SEIS CON 50/100.---</t>
  </si>
  <si>
    <t>TOTAL DE PESOS: UN MILLON CUATROCIENTOS DOS MIL QUINIENTOS TREINTA Y SEIS CON 50/100.--</t>
  </si>
  <si>
    <t xml:space="preserve">Adquisición de Articulos de Librería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</si>
</sst>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16"/>
      <name val="Times New Roman"/>
      <family val="1"/>
    </font>
    <font>
      <sz val="8"/>
      <name val="Arial"/>
      <family val="2"/>
    </font>
    <font>
      <sz val="10"/>
      <color theme="0"/>
      <name val="Times New Roman"/>
      <family val="1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  <xf numFmtId="164" fontId="14" fillId="0" borderId="0" applyBorder="0" applyProtection="0"/>
  </cellStyleXfs>
  <cellXfs count="14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166" fontId="27" fillId="0" borderId="0" xfId="0" applyNumberFormat="1" applyFont="1"/>
    <xf numFmtId="166" fontId="0" fillId="0" borderId="34" xfId="3" applyNumberFormat="1" applyFont="1" applyBorder="1" applyAlignment="1" applyProtection="1">
      <alignment horizontal="right" vertical="center"/>
    </xf>
    <xf numFmtId="166" fontId="0" fillId="0" borderId="39" xfId="3" applyNumberFormat="1" applyFont="1" applyBorder="1" applyAlignment="1" applyProtection="1">
      <alignment horizontal="right" vertical="center"/>
    </xf>
    <xf numFmtId="166" fontId="13" fillId="0" borderId="44" xfId="0" applyNumberFormat="1" applyFont="1" applyBorder="1" applyAlignment="1">
      <alignment horizontal="right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15" fillId="3" borderId="0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25" fillId="6" borderId="20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5" fillId="6" borderId="2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  <xf numFmtId="0" fontId="26" fillId="0" borderId="32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7">
    <cellStyle name="Encabezado 1" xfId="2"/>
    <cellStyle name="Moneda" xfId="1" builtinId="4"/>
    <cellStyle name="Moneda 3" xfId="6"/>
    <cellStyle name="Moneda_AUTORIZACION Y NOTA DE PEDIDO" xfId="3"/>
    <cellStyle name="Neutral 1" xfId="4"/>
    <cellStyle name="Normal" xfId="0" builtinId="0"/>
    <cellStyle name="Normal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8"/>
  <sheetViews>
    <sheetView tabSelected="1" topLeftCell="A300" zoomScale="80" zoomScaleNormal="80" workbookViewId="0">
      <selection activeCell="B50" sqref="B50:E50"/>
    </sheetView>
  </sheetViews>
  <sheetFormatPr baseColWidth="10" defaultColWidth="11" defaultRowHeight="12.75" x14ac:dyDescent="0.2"/>
  <cols>
    <col min="1" max="1" width="4.5703125" style="37" customWidth="1"/>
    <col min="2" max="2" width="14.85546875" style="37" customWidth="1"/>
    <col min="3" max="3" width="32.4257812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95" t="s">
        <v>0</v>
      </c>
      <c r="C2" s="95"/>
      <c r="D2" s="95"/>
      <c r="E2" s="95"/>
      <c r="F2" s="95"/>
      <c r="G2" s="95"/>
      <c r="H2" s="95"/>
    </row>
    <row r="4" spans="1:9" ht="18" customHeight="1" x14ac:dyDescent="0.25">
      <c r="A4" s="90" t="s">
        <v>1</v>
      </c>
      <c r="B4" s="90"/>
      <c r="C4" s="96" t="s">
        <v>59</v>
      </c>
      <c r="D4" s="96"/>
      <c r="E4" s="96"/>
      <c r="F4" s="38"/>
      <c r="G4" s="39"/>
      <c r="H4" s="38"/>
    </row>
    <row r="5" spans="1:9" ht="18" customHeight="1" x14ac:dyDescent="0.25">
      <c r="A5" s="90" t="s">
        <v>2</v>
      </c>
      <c r="B5" s="90"/>
      <c r="C5" s="96" t="s">
        <v>60</v>
      </c>
      <c r="D5" s="96"/>
      <c r="E5" s="96"/>
      <c r="F5" s="38"/>
      <c r="G5" s="39"/>
      <c r="H5" s="38"/>
    </row>
    <row r="6" spans="1:9" ht="16.5" customHeight="1" x14ac:dyDescent="0.25">
      <c r="A6" s="90" t="s">
        <v>3</v>
      </c>
      <c r="B6" s="90"/>
      <c r="C6" s="61">
        <v>2021</v>
      </c>
      <c r="D6" s="62"/>
      <c r="E6" s="62"/>
      <c r="F6" s="38"/>
      <c r="G6" s="39"/>
      <c r="H6" s="38"/>
    </row>
    <row r="7" spans="1:9" ht="16.5" customHeight="1" x14ac:dyDescent="0.25">
      <c r="A7" s="90" t="s">
        <v>4</v>
      </c>
      <c r="B7" s="90"/>
      <c r="C7" s="61">
        <v>3</v>
      </c>
      <c r="D7" s="62"/>
      <c r="E7" s="62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51" customHeight="1" thickBot="1" x14ac:dyDescent="0.25">
      <c r="A9" s="53" t="s">
        <v>5</v>
      </c>
      <c r="B9" s="53" t="s">
        <v>6</v>
      </c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</row>
    <row r="10" spans="1:9" ht="41.25" customHeight="1" thickBot="1" x14ac:dyDescent="0.25">
      <c r="A10" s="54">
        <v>1</v>
      </c>
      <c r="B10" s="58" t="s">
        <v>63</v>
      </c>
      <c r="C10" s="55" t="s">
        <v>118</v>
      </c>
      <c r="D10" s="56" t="str">
        <f>LEFT(B10,5)</f>
        <v>2.9.2</v>
      </c>
      <c r="E10" s="57" t="s">
        <v>64</v>
      </c>
      <c r="F10" s="58" t="s">
        <v>65</v>
      </c>
      <c r="G10" s="58">
        <v>15</v>
      </c>
      <c r="H10" s="59">
        <v>1253.2</v>
      </c>
      <c r="I10" s="60">
        <f t="shared" ref="I10:I47" si="0">G10*H10</f>
        <v>18798</v>
      </c>
    </row>
    <row r="11" spans="1:9" ht="39" customHeight="1" thickBot="1" x14ac:dyDescent="0.25">
      <c r="A11" s="54">
        <v>2</v>
      </c>
      <c r="B11" s="58" t="s">
        <v>66</v>
      </c>
      <c r="C11" s="55" t="s">
        <v>118</v>
      </c>
      <c r="D11" s="56" t="str">
        <f t="shared" ref="D11:D47" si="1">LEFT(B11,5)</f>
        <v>2.9.2</v>
      </c>
      <c r="E11" s="57" t="s">
        <v>67</v>
      </c>
      <c r="F11" s="58" t="s">
        <v>65</v>
      </c>
      <c r="G11" s="58">
        <v>75</v>
      </c>
      <c r="H11" s="59">
        <v>100.3</v>
      </c>
      <c r="I11" s="60">
        <f t="shared" si="0"/>
        <v>7522.5</v>
      </c>
    </row>
    <row r="12" spans="1:9" ht="36" customHeight="1" thickBot="1" x14ac:dyDescent="0.25">
      <c r="A12" s="54">
        <v>3</v>
      </c>
      <c r="B12" s="58" t="s">
        <v>69</v>
      </c>
      <c r="C12" s="55" t="s">
        <v>118</v>
      </c>
      <c r="D12" s="56" t="str">
        <f t="shared" si="1"/>
        <v>2.9.2</v>
      </c>
      <c r="E12" s="57" t="s">
        <v>93</v>
      </c>
      <c r="F12" s="58" t="s">
        <v>117</v>
      </c>
      <c r="G12" s="58">
        <v>300</v>
      </c>
      <c r="H12" s="59">
        <v>67.599999999999994</v>
      </c>
      <c r="I12" s="60">
        <f t="shared" si="0"/>
        <v>20280</v>
      </c>
    </row>
    <row r="13" spans="1:9" ht="38.25" customHeight="1" thickBot="1" x14ac:dyDescent="0.25">
      <c r="A13" s="54">
        <v>4</v>
      </c>
      <c r="B13" s="58" t="s">
        <v>70</v>
      </c>
      <c r="C13" s="55" t="s">
        <v>118</v>
      </c>
      <c r="D13" s="56" t="str">
        <f t="shared" si="1"/>
        <v>2.9.2</v>
      </c>
      <c r="E13" s="57" t="s">
        <v>94</v>
      </c>
      <c r="F13" s="58" t="s">
        <v>65</v>
      </c>
      <c r="G13" s="58">
        <v>200</v>
      </c>
      <c r="H13" s="59">
        <v>145.9</v>
      </c>
      <c r="I13" s="60">
        <f t="shared" si="0"/>
        <v>29180</v>
      </c>
    </row>
    <row r="14" spans="1:9" ht="42.75" customHeight="1" thickBot="1" x14ac:dyDescent="0.25">
      <c r="A14" s="54">
        <v>5</v>
      </c>
      <c r="B14" s="58" t="s">
        <v>71</v>
      </c>
      <c r="C14" s="55" t="s">
        <v>118</v>
      </c>
      <c r="D14" s="56" t="str">
        <f t="shared" si="1"/>
        <v>2.9.2</v>
      </c>
      <c r="E14" s="57" t="s">
        <v>95</v>
      </c>
      <c r="F14" s="58" t="s">
        <v>65</v>
      </c>
      <c r="G14" s="58">
        <v>200</v>
      </c>
      <c r="H14" s="59">
        <v>32.9</v>
      </c>
      <c r="I14" s="60">
        <f t="shared" si="0"/>
        <v>6580</v>
      </c>
    </row>
    <row r="15" spans="1:9" ht="41.25" customHeight="1" thickBot="1" x14ac:dyDescent="0.25">
      <c r="A15" s="54">
        <v>6</v>
      </c>
      <c r="B15" s="58" t="s">
        <v>152</v>
      </c>
      <c r="C15" s="55" t="s">
        <v>118</v>
      </c>
      <c r="D15" s="56" t="str">
        <f t="shared" si="1"/>
        <v>2.9.2</v>
      </c>
      <c r="E15" s="57" t="s">
        <v>151</v>
      </c>
      <c r="F15" s="58" t="s">
        <v>65</v>
      </c>
      <c r="G15" s="58">
        <v>200</v>
      </c>
      <c r="H15" s="59">
        <v>39.9</v>
      </c>
      <c r="I15" s="60">
        <f t="shared" si="0"/>
        <v>7980</v>
      </c>
    </row>
    <row r="16" spans="1:9" ht="39.75" customHeight="1" thickBot="1" x14ac:dyDescent="0.25">
      <c r="A16" s="54">
        <v>7</v>
      </c>
      <c r="B16" s="58" t="s">
        <v>72</v>
      </c>
      <c r="C16" s="55" t="s">
        <v>118</v>
      </c>
      <c r="D16" s="56" t="str">
        <f t="shared" si="1"/>
        <v>2.3.1</v>
      </c>
      <c r="E16" s="57" t="s">
        <v>96</v>
      </c>
      <c r="F16" s="58" t="s">
        <v>65</v>
      </c>
      <c r="G16" s="58">
        <v>300</v>
      </c>
      <c r="H16" s="59">
        <v>20.399999999999999</v>
      </c>
      <c r="I16" s="60">
        <f t="shared" si="0"/>
        <v>6120</v>
      </c>
    </row>
    <row r="17" spans="1:9" ht="41.25" customHeight="1" thickBot="1" x14ac:dyDescent="0.25">
      <c r="A17" s="54">
        <v>8</v>
      </c>
      <c r="B17" s="58" t="s">
        <v>73</v>
      </c>
      <c r="C17" s="55" t="s">
        <v>118</v>
      </c>
      <c r="D17" s="56" t="str">
        <f t="shared" si="1"/>
        <v>2.9.2</v>
      </c>
      <c r="E17" s="57" t="s">
        <v>97</v>
      </c>
      <c r="F17" s="58" t="s">
        <v>65</v>
      </c>
      <c r="G17" s="58">
        <v>150</v>
      </c>
      <c r="H17" s="59">
        <v>158.27000000000001</v>
      </c>
      <c r="I17" s="60">
        <f t="shared" si="0"/>
        <v>23740.5</v>
      </c>
    </row>
    <row r="18" spans="1:9" ht="69.75" customHeight="1" thickBot="1" x14ac:dyDescent="0.25">
      <c r="A18" s="54">
        <v>9</v>
      </c>
      <c r="B18" s="58" t="s">
        <v>74</v>
      </c>
      <c r="C18" s="55" t="s">
        <v>118</v>
      </c>
      <c r="D18" s="56" t="str">
        <f t="shared" si="1"/>
        <v>2.3.1</v>
      </c>
      <c r="E18" s="57" t="s">
        <v>98</v>
      </c>
      <c r="F18" s="58" t="s">
        <v>65</v>
      </c>
      <c r="G18" s="58">
        <v>100</v>
      </c>
      <c r="H18" s="59">
        <v>404.6</v>
      </c>
      <c r="I18" s="60">
        <f t="shared" si="0"/>
        <v>40460</v>
      </c>
    </row>
    <row r="19" spans="1:9" ht="42.75" customHeight="1" thickBot="1" x14ac:dyDescent="0.25">
      <c r="A19" s="54">
        <v>10</v>
      </c>
      <c r="B19" s="58" t="s">
        <v>75</v>
      </c>
      <c r="C19" s="55" t="s">
        <v>118</v>
      </c>
      <c r="D19" s="56" t="str">
        <f t="shared" si="1"/>
        <v>2.9.2</v>
      </c>
      <c r="E19" s="57" t="s">
        <v>99</v>
      </c>
      <c r="F19" s="58" t="s">
        <v>65</v>
      </c>
      <c r="G19" s="58">
        <v>300</v>
      </c>
      <c r="H19" s="59">
        <v>14.8</v>
      </c>
      <c r="I19" s="60">
        <f t="shared" si="0"/>
        <v>4440</v>
      </c>
    </row>
    <row r="20" spans="1:9" ht="31.9" customHeight="1" thickBot="1" x14ac:dyDescent="0.25">
      <c r="A20" s="54">
        <v>11</v>
      </c>
      <c r="B20" s="58" t="s">
        <v>76</v>
      </c>
      <c r="C20" s="55" t="s">
        <v>118</v>
      </c>
      <c r="D20" s="56" t="str">
        <f t="shared" si="1"/>
        <v>2.9.2</v>
      </c>
      <c r="E20" s="57" t="s">
        <v>100</v>
      </c>
      <c r="F20" s="58" t="s">
        <v>65</v>
      </c>
      <c r="G20" s="58">
        <v>300</v>
      </c>
      <c r="H20" s="59">
        <v>12</v>
      </c>
      <c r="I20" s="60">
        <f t="shared" si="0"/>
        <v>3600</v>
      </c>
    </row>
    <row r="21" spans="1:9" ht="47.25" customHeight="1" thickBot="1" x14ac:dyDescent="0.25">
      <c r="A21" s="54">
        <v>12</v>
      </c>
      <c r="B21" s="58" t="s">
        <v>77</v>
      </c>
      <c r="C21" s="55" t="s">
        <v>118</v>
      </c>
      <c r="D21" s="56" t="str">
        <f t="shared" si="1"/>
        <v>2.9.2</v>
      </c>
      <c r="E21" s="57" t="s">
        <v>101</v>
      </c>
      <c r="F21" s="58" t="s">
        <v>65</v>
      </c>
      <c r="G21" s="58">
        <v>600</v>
      </c>
      <c r="H21" s="59">
        <v>39</v>
      </c>
      <c r="I21" s="60">
        <f t="shared" si="0"/>
        <v>23400</v>
      </c>
    </row>
    <row r="22" spans="1:9" ht="45" customHeight="1" thickBot="1" x14ac:dyDescent="0.25">
      <c r="A22" s="54">
        <v>13</v>
      </c>
      <c r="B22" s="58" t="s">
        <v>77</v>
      </c>
      <c r="C22" s="55" t="s">
        <v>118</v>
      </c>
      <c r="D22" s="56" t="str">
        <f t="shared" si="1"/>
        <v>2.9.2</v>
      </c>
      <c r="E22" s="57" t="s">
        <v>101</v>
      </c>
      <c r="F22" s="58" t="s">
        <v>65</v>
      </c>
      <c r="G22" s="58">
        <v>800</v>
      </c>
      <c r="H22" s="59">
        <v>39</v>
      </c>
      <c r="I22" s="60">
        <f t="shared" si="0"/>
        <v>31200</v>
      </c>
    </row>
    <row r="23" spans="1:9" ht="45.75" customHeight="1" thickBot="1" x14ac:dyDescent="0.25">
      <c r="A23" s="54">
        <v>14</v>
      </c>
      <c r="B23" s="58" t="s">
        <v>77</v>
      </c>
      <c r="C23" s="55" t="s">
        <v>118</v>
      </c>
      <c r="D23" s="56" t="str">
        <f t="shared" si="1"/>
        <v>2.9.2</v>
      </c>
      <c r="E23" s="57" t="s">
        <v>101</v>
      </c>
      <c r="F23" s="58" t="s">
        <v>65</v>
      </c>
      <c r="G23" s="58">
        <v>300</v>
      </c>
      <c r="H23" s="59">
        <v>39</v>
      </c>
      <c r="I23" s="60">
        <f t="shared" si="0"/>
        <v>11700</v>
      </c>
    </row>
    <row r="24" spans="1:9" ht="41.25" customHeight="1" thickBot="1" x14ac:dyDescent="0.25">
      <c r="A24" s="54">
        <v>15</v>
      </c>
      <c r="B24" s="58" t="s">
        <v>78</v>
      </c>
      <c r="C24" s="55" t="s">
        <v>118</v>
      </c>
      <c r="D24" s="56" t="str">
        <f t="shared" si="1"/>
        <v>2.9.2</v>
      </c>
      <c r="E24" s="57" t="s">
        <v>102</v>
      </c>
      <c r="F24" s="58" t="s">
        <v>65</v>
      </c>
      <c r="G24" s="58">
        <v>250</v>
      </c>
      <c r="H24" s="59">
        <v>43.8</v>
      </c>
      <c r="I24" s="60">
        <f t="shared" si="0"/>
        <v>10950</v>
      </c>
    </row>
    <row r="25" spans="1:9" ht="31.9" customHeight="1" thickBot="1" x14ac:dyDescent="0.25">
      <c r="A25" s="54">
        <v>16</v>
      </c>
      <c r="B25" s="58" t="s">
        <v>79</v>
      </c>
      <c r="C25" s="55" t="s">
        <v>118</v>
      </c>
      <c r="D25" s="56" t="str">
        <f t="shared" si="1"/>
        <v>2.9.2</v>
      </c>
      <c r="E25" s="57" t="s">
        <v>103</v>
      </c>
      <c r="F25" s="58" t="s">
        <v>65</v>
      </c>
      <c r="G25" s="58">
        <v>100</v>
      </c>
      <c r="H25" s="59">
        <v>23.8</v>
      </c>
      <c r="I25" s="60">
        <f t="shared" si="0"/>
        <v>2380</v>
      </c>
    </row>
    <row r="26" spans="1:9" ht="64.5" customHeight="1" thickBot="1" x14ac:dyDescent="0.25">
      <c r="A26" s="54">
        <v>17</v>
      </c>
      <c r="B26" s="58" t="s">
        <v>80</v>
      </c>
      <c r="C26" s="55" t="s">
        <v>118</v>
      </c>
      <c r="D26" s="56" t="str">
        <f t="shared" si="1"/>
        <v>2.3.1</v>
      </c>
      <c r="E26" s="57" t="s">
        <v>104</v>
      </c>
      <c r="F26" s="58" t="s">
        <v>65</v>
      </c>
      <c r="G26" s="58">
        <v>25</v>
      </c>
      <c r="H26" s="59">
        <v>847.3</v>
      </c>
      <c r="I26" s="60">
        <f t="shared" si="0"/>
        <v>21182.5</v>
      </c>
    </row>
    <row r="27" spans="1:9" ht="52.5" customHeight="1" thickBot="1" x14ac:dyDescent="0.25">
      <c r="A27" s="54">
        <v>18</v>
      </c>
      <c r="B27" s="58" t="s">
        <v>81</v>
      </c>
      <c r="C27" s="55" t="s">
        <v>118</v>
      </c>
      <c r="D27" s="56" t="str">
        <f t="shared" si="1"/>
        <v>2.9.2</v>
      </c>
      <c r="E27" s="57" t="s">
        <v>105</v>
      </c>
      <c r="F27" s="58" t="s">
        <v>65</v>
      </c>
      <c r="G27" s="58">
        <v>150</v>
      </c>
      <c r="H27" s="59">
        <v>68.180000000000007</v>
      </c>
      <c r="I27" s="60">
        <f t="shared" si="0"/>
        <v>10227.000000000002</v>
      </c>
    </row>
    <row r="28" spans="1:9" ht="49.5" customHeight="1" thickBot="1" x14ac:dyDescent="0.25">
      <c r="A28" s="54">
        <v>19</v>
      </c>
      <c r="B28" s="58" t="s">
        <v>82</v>
      </c>
      <c r="C28" s="55" t="s">
        <v>118</v>
      </c>
      <c r="D28" s="56" t="str">
        <f t="shared" si="1"/>
        <v>2.9.2</v>
      </c>
      <c r="E28" s="57" t="s">
        <v>106</v>
      </c>
      <c r="F28" s="58" t="s">
        <v>65</v>
      </c>
      <c r="G28" s="58">
        <v>250</v>
      </c>
      <c r="H28" s="59">
        <v>115.05</v>
      </c>
      <c r="I28" s="60">
        <f t="shared" si="0"/>
        <v>28762.5</v>
      </c>
    </row>
    <row r="29" spans="1:9" ht="63.75" customHeight="1" thickBot="1" x14ac:dyDescent="0.25">
      <c r="A29" s="54">
        <v>20</v>
      </c>
      <c r="B29" s="58" t="s">
        <v>83</v>
      </c>
      <c r="C29" s="55" t="s">
        <v>118</v>
      </c>
      <c r="D29" s="56" t="str">
        <f t="shared" si="1"/>
        <v>2.3.1</v>
      </c>
      <c r="E29" s="57" t="s">
        <v>107</v>
      </c>
      <c r="F29" s="58" t="s">
        <v>65</v>
      </c>
      <c r="G29" s="58">
        <v>450</v>
      </c>
      <c r="H29" s="59">
        <v>576.64</v>
      </c>
      <c r="I29" s="60">
        <f t="shared" si="0"/>
        <v>259488</v>
      </c>
    </row>
    <row r="30" spans="1:9" ht="66.75" customHeight="1" thickBot="1" x14ac:dyDescent="0.25">
      <c r="A30" s="54">
        <v>21</v>
      </c>
      <c r="B30" s="58" t="s">
        <v>84</v>
      </c>
      <c r="C30" s="55" t="s">
        <v>118</v>
      </c>
      <c r="D30" s="56" t="str">
        <f t="shared" si="1"/>
        <v>2.3.1</v>
      </c>
      <c r="E30" s="57" t="s">
        <v>108</v>
      </c>
      <c r="F30" s="58" t="s">
        <v>65</v>
      </c>
      <c r="G30" s="58">
        <v>550</v>
      </c>
      <c r="H30" s="59">
        <v>709.81</v>
      </c>
      <c r="I30" s="60">
        <f t="shared" si="0"/>
        <v>390395.49999999994</v>
      </c>
    </row>
    <row r="31" spans="1:9" ht="56.25" customHeight="1" thickBot="1" x14ac:dyDescent="0.25">
      <c r="A31" s="54">
        <v>22</v>
      </c>
      <c r="B31" s="58" t="s">
        <v>85</v>
      </c>
      <c r="C31" s="55" t="s">
        <v>118</v>
      </c>
      <c r="D31" s="56" t="str">
        <f t="shared" si="1"/>
        <v>2.9.2</v>
      </c>
      <c r="E31" s="57" t="s">
        <v>109</v>
      </c>
      <c r="F31" s="58" t="s">
        <v>117</v>
      </c>
      <c r="G31" s="58">
        <v>20</v>
      </c>
      <c r="H31" s="59">
        <v>54</v>
      </c>
      <c r="I31" s="60">
        <f t="shared" si="0"/>
        <v>1080</v>
      </c>
    </row>
    <row r="32" spans="1:9" ht="72.75" customHeight="1" thickBot="1" x14ac:dyDescent="0.25">
      <c r="A32" s="54">
        <v>23</v>
      </c>
      <c r="B32" s="58" t="s">
        <v>161</v>
      </c>
      <c r="C32" s="55" t="s">
        <v>118</v>
      </c>
      <c r="D32" s="56" t="str">
        <f t="shared" si="1"/>
        <v>2.9.2</v>
      </c>
      <c r="E32" s="57" t="s">
        <v>160</v>
      </c>
      <c r="F32" s="58" t="s">
        <v>65</v>
      </c>
      <c r="G32" s="58">
        <v>7</v>
      </c>
      <c r="H32" s="59">
        <v>2512.5</v>
      </c>
      <c r="I32" s="60">
        <f t="shared" si="0"/>
        <v>17587.5</v>
      </c>
    </row>
    <row r="33" spans="1:9" ht="60.75" customHeight="1" thickBot="1" x14ac:dyDescent="0.25">
      <c r="A33" s="54">
        <v>24</v>
      </c>
      <c r="B33" s="58" t="s">
        <v>86</v>
      </c>
      <c r="C33" s="55" t="s">
        <v>118</v>
      </c>
      <c r="D33" s="56" t="str">
        <f t="shared" si="1"/>
        <v>2.3.1</v>
      </c>
      <c r="E33" s="57" t="s">
        <v>110</v>
      </c>
      <c r="F33" s="58" t="s">
        <v>65</v>
      </c>
      <c r="G33" s="58">
        <v>1500</v>
      </c>
      <c r="H33" s="59">
        <v>5.6</v>
      </c>
      <c r="I33" s="60">
        <f t="shared" si="0"/>
        <v>8400</v>
      </c>
    </row>
    <row r="34" spans="1:9" ht="73.5" customHeight="1" thickBot="1" x14ac:dyDescent="0.25">
      <c r="A34" s="54">
        <v>25</v>
      </c>
      <c r="B34" s="58" t="s">
        <v>87</v>
      </c>
      <c r="C34" s="55" t="s">
        <v>118</v>
      </c>
      <c r="D34" s="56" t="str">
        <f t="shared" si="1"/>
        <v>2.3.1</v>
      </c>
      <c r="E34" s="57" t="s">
        <v>111</v>
      </c>
      <c r="F34" s="58" t="s">
        <v>65</v>
      </c>
      <c r="G34" s="58">
        <v>15</v>
      </c>
      <c r="H34" s="59">
        <v>676</v>
      </c>
      <c r="I34" s="60">
        <f t="shared" si="0"/>
        <v>10140</v>
      </c>
    </row>
    <row r="35" spans="1:9" ht="68.25" customHeight="1" thickBot="1" x14ac:dyDescent="0.25">
      <c r="A35" s="54">
        <v>26</v>
      </c>
      <c r="B35" s="58" t="s">
        <v>88</v>
      </c>
      <c r="C35" s="55" t="s">
        <v>118</v>
      </c>
      <c r="D35" s="56" t="str">
        <f t="shared" si="1"/>
        <v>2.3.1</v>
      </c>
      <c r="E35" s="57" t="s">
        <v>112</v>
      </c>
      <c r="F35" s="58" t="s">
        <v>65</v>
      </c>
      <c r="G35" s="58">
        <v>1700</v>
      </c>
      <c r="H35" s="59">
        <v>18</v>
      </c>
      <c r="I35" s="60">
        <f t="shared" si="0"/>
        <v>30600</v>
      </c>
    </row>
    <row r="36" spans="1:9" ht="57.75" customHeight="1" thickBot="1" x14ac:dyDescent="0.25">
      <c r="A36" s="54">
        <v>27</v>
      </c>
      <c r="B36" s="58" t="s">
        <v>163</v>
      </c>
      <c r="C36" s="55" t="s">
        <v>118</v>
      </c>
      <c r="D36" s="56" t="str">
        <f t="shared" si="1"/>
        <v>2.3.1</v>
      </c>
      <c r="E36" s="57" t="s">
        <v>162</v>
      </c>
      <c r="F36" s="58" t="s">
        <v>65</v>
      </c>
      <c r="G36" s="58">
        <v>10</v>
      </c>
      <c r="H36" s="59">
        <v>3000</v>
      </c>
      <c r="I36" s="60">
        <f t="shared" si="0"/>
        <v>30000</v>
      </c>
    </row>
    <row r="37" spans="1:9" ht="50.25" customHeight="1" thickBot="1" x14ac:dyDescent="0.25">
      <c r="A37" s="54">
        <v>28</v>
      </c>
      <c r="B37" s="58" t="s">
        <v>89</v>
      </c>
      <c r="C37" s="55" t="s">
        <v>118</v>
      </c>
      <c r="D37" s="56" t="str">
        <f t="shared" si="1"/>
        <v>2.9.2</v>
      </c>
      <c r="E37" s="57" t="s">
        <v>113</v>
      </c>
      <c r="F37" s="58" t="s">
        <v>65</v>
      </c>
      <c r="G37" s="58">
        <v>20</v>
      </c>
      <c r="H37" s="59">
        <v>146.69999999999999</v>
      </c>
      <c r="I37" s="60">
        <f t="shared" si="0"/>
        <v>2934</v>
      </c>
    </row>
    <row r="38" spans="1:9" ht="53.25" customHeight="1" thickBot="1" x14ac:dyDescent="0.25">
      <c r="A38" s="54">
        <v>29</v>
      </c>
      <c r="B38" s="58" t="s">
        <v>90</v>
      </c>
      <c r="C38" s="55" t="s">
        <v>118</v>
      </c>
      <c r="D38" s="56" t="str">
        <f t="shared" si="1"/>
        <v>2.9.2</v>
      </c>
      <c r="E38" s="57" t="s">
        <v>114</v>
      </c>
      <c r="F38" s="58" t="s">
        <v>65</v>
      </c>
      <c r="G38" s="58">
        <v>200</v>
      </c>
      <c r="H38" s="59">
        <v>67.349999999999994</v>
      </c>
      <c r="I38" s="60">
        <f t="shared" si="0"/>
        <v>13469.999999999998</v>
      </c>
    </row>
    <row r="39" spans="1:9" ht="45" customHeight="1" thickBot="1" x14ac:dyDescent="0.25">
      <c r="A39" s="54">
        <v>30</v>
      </c>
      <c r="B39" s="58" t="s">
        <v>91</v>
      </c>
      <c r="C39" s="55" t="s">
        <v>118</v>
      </c>
      <c r="D39" s="56" t="str">
        <f t="shared" si="1"/>
        <v>2.9.2</v>
      </c>
      <c r="E39" s="57" t="s">
        <v>115</v>
      </c>
      <c r="F39" s="58" t="s">
        <v>65</v>
      </c>
      <c r="G39" s="58">
        <v>200</v>
      </c>
      <c r="H39" s="59">
        <v>84.54</v>
      </c>
      <c r="I39" s="60">
        <f t="shared" si="0"/>
        <v>16908</v>
      </c>
    </row>
    <row r="40" spans="1:9" ht="42.75" customHeight="1" thickBot="1" x14ac:dyDescent="0.25">
      <c r="A40" s="54">
        <v>31</v>
      </c>
      <c r="B40" s="58" t="s">
        <v>166</v>
      </c>
      <c r="C40" s="55" t="s">
        <v>118</v>
      </c>
      <c r="D40" s="56" t="str">
        <f t="shared" si="1"/>
        <v>2.9.2</v>
      </c>
      <c r="E40" s="57" t="s">
        <v>165</v>
      </c>
      <c r="F40" s="58" t="s">
        <v>65</v>
      </c>
      <c r="G40" s="58">
        <v>200</v>
      </c>
      <c r="H40" s="59">
        <v>32.15</v>
      </c>
      <c r="I40" s="60">
        <f t="shared" si="0"/>
        <v>6430</v>
      </c>
    </row>
    <row r="41" spans="1:9" ht="31.9" customHeight="1" thickBot="1" x14ac:dyDescent="0.25">
      <c r="A41" s="54">
        <v>32</v>
      </c>
      <c r="B41" s="58" t="s">
        <v>92</v>
      </c>
      <c r="C41" s="55" t="s">
        <v>118</v>
      </c>
      <c r="D41" s="56" t="str">
        <f t="shared" si="1"/>
        <v>2.9.2</v>
      </c>
      <c r="E41" s="57" t="s">
        <v>116</v>
      </c>
      <c r="F41" s="58" t="s">
        <v>65</v>
      </c>
      <c r="G41" s="58">
        <v>200</v>
      </c>
      <c r="H41" s="59">
        <v>373.98</v>
      </c>
      <c r="I41" s="60">
        <f t="shared" si="0"/>
        <v>74796</v>
      </c>
    </row>
    <row r="42" spans="1:9" ht="46.5" customHeight="1" thickBot="1" x14ac:dyDescent="0.25">
      <c r="A42" s="54">
        <v>33</v>
      </c>
      <c r="B42" s="58" t="s">
        <v>168</v>
      </c>
      <c r="C42" s="55" t="s">
        <v>118</v>
      </c>
      <c r="D42" s="56" t="str">
        <f t="shared" si="1"/>
        <v>2.9.2</v>
      </c>
      <c r="E42" s="57" t="s">
        <v>167</v>
      </c>
      <c r="F42" s="58" t="s">
        <v>65</v>
      </c>
      <c r="G42" s="58">
        <v>50</v>
      </c>
      <c r="H42" s="59">
        <v>96</v>
      </c>
      <c r="I42" s="60">
        <f t="shared" si="0"/>
        <v>4800</v>
      </c>
    </row>
    <row r="43" spans="1:9" ht="31.9" customHeight="1" thickBot="1" x14ac:dyDescent="0.25">
      <c r="A43" s="54">
        <v>34</v>
      </c>
      <c r="B43" s="58" t="s">
        <v>68</v>
      </c>
      <c r="C43" s="55" t="s">
        <v>118</v>
      </c>
      <c r="D43" s="56" t="str">
        <f t="shared" si="1"/>
        <v>2.9.2</v>
      </c>
      <c r="E43" s="57" t="s">
        <v>169</v>
      </c>
      <c r="F43" s="58" t="s">
        <v>65</v>
      </c>
      <c r="G43" s="58">
        <v>15</v>
      </c>
      <c r="H43" s="59">
        <v>336</v>
      </c>
      <c r="I43" s="60">
        <f t="shared" si="0"/>
        <v>5040</v>
      </c>
    </row>
    <row r="44" spans="1:9" ht="54" customHeight="1" thickBot="1" x14ac:dyDescent="0.25">
      <c r="A44" s="54">
        <v>35</v>
      </c>
      <c r="B44" s="58" t="s">
        <v>171</v>
      </c>
      <c r="C44" s="55" t="s">
        <v>118</v>
      </c>
      <c r="D44" s="56" t="str">
        <f t="shared" si="1"/>
        <v>2.3.1</v>
      </c>
      <c r="E44" s="57" t="s">
        <v>170</v>
      </c>
      <c r="F44" s="58" t="s">
        <v>65</v>
      </c>
      <c r="G44" s="58">
        <v>150</v>
      </c>
      <c r="H44" s="59">
        <v>790</v>
      </c>
      <c r="I44" s="60">
        <f t="shared" si="0"/>
        <v>118500</v>
      </c>
    </row>
    <row r="45" spans="1:9" ht="39.75" customHeight="1" thickBot="1" x14ac:dyDescent="0.25">
      <c r="A45" s="54">
        <v>36</v>
      </c>
      <c r="B45" s="58" t="s">
        <v>173</v>
      </c>
      <c r="C45" s="55" t="s">
        <v>174</v>
      </c>
      <c r="D45" s="56" t="str">
        <f t="shared" si="1"/>
        <v>2.9.2</v>
      </c>
      <c r="E45" s="57" t="s">
        <v>172</v>
      </c>
      <c r="F45" s="58" t="s">
        <v>65</v>
      </c>
      <c r="G45" s="58">
        <v>25</v>
      </c>
      <c r="H45" s="59">
        <v>218.5</v>
      </c>
      <c r="I45" s="60">
        <f t="shared" si="0"/>
        <v>5462.5</v>
      </c>
    </row>
    <row r="46" spans="1:9" ht="47.25" customHeight="1" thickBot="1" x14ac:dyDescent="0.25">
      <c r="A46" s="54">
        <v>37</v>
      </c>
      <c r="B46" s="58" t="s">
        <v>176</v>
      </c>
      <c r="C46" s="55" t="s">
        <v>118</v>
      </c>
      <c r="D46" s="56" t="str">
        <f t="shared" si="1"/>
        <v>2.9.2</v>
      </c>
      <c r="E46" s="57" t="s">
        <v>175</v>
      </c>
      <c r="F46" s="58" t="s">
        <v>65</v>
      </c>
      <c r="G46" s="58">
        <v>20</v>
      </c>
      <c r="H46" s="59">
        <v>129.4</v>
      </c>
      <c r="I46" s="60">
        <f t="shared" si="0"/>
        <v>2588</v>
      </c>
    </row>
    <row r="47" spans="1:9" ht="31.9" customHeight="1" thickBot="1" x14ac:dyDescent="0.25">
      <c r="A47" s="54">
        <v>38</v>
      </c>
      <c r="B47" s="58" t="s">
        <v>153</v>
      </c>
      <c r="C47" s="82" t="s">
        <v>178</v>
      </c>
      <c r="D47" s="83" t="str">
        <f t="shared" si="1"/>
        <v>2.9.2</v>
      </c>
      <c r="E47" s="84" t="s">
        <v>179</v>
      </c>
      <c r="F47" s="58" t="s">
        <v>65</v>
      </c>
      <c r="G47" s="58">
        <v>1300</v>
      </c>
      <c r="H47" s="59">
        <v>38.78</v>
      </c>
      <c r="I47" s="60">
        <f t="shared" si="0"/>
        <v>50414</v>
      </c>
    </row>
    <row r="48" spans="1:9" ht="31.9" customHeight="1" thickBot="1" x14ac:dyDescent="0.25">
      <c r="A48" s="54">
        <v>39</v>
      </c>
      <c r="B48" s="58" t="s">
        <v>154</v>
      </c>
      <c r="C48" s="82" t="s">
        <v>178</v>
      </c>
      <c r="D48" s="83" t="str">
        <f t="shared" ref="D48" si="2">LEFT(B48,5)</f>
        <v>2.9.2</v>
      </c>
      <c r="E48" s="84" t="s">
        <v>155</v>
      </c>
      <c r="F48" s="58" t="s">
        <v>65</v>
      </c>
      <c r="G48" s="58">
        <v>300</v>
      </c>
      <c r="H48" s="59">
        <v>150</v>
      </c>
      <c r="I48" s="60">
        <f t="shared" ref="I48" si="3">G48*H48</f>
        <v>45000</v>
      </c>
    </row>
    <row r="49" spans="2:9" ht="13.5" thickBot="1" x14ac:dyDescent="0.25">
      <c r="I49" s="78">
        <f>SUM(I10:I48)</f>
        <v>1402536.5</v>
      </c>
    </row>
    <row r="50" spans="2:9" ht="29.25" customHeight="1" thickBot="1" x14ac:dyDescent="0.25">
      <c r="B50" s="97" t="s">
        <v>187</v>
      </c>
      <c r="C50" s="98"/>
      <c r="D50" s="98"/>
      <c r="E50" s="99"/>
      <c r="I50" s="77"/>
    </row>
    <row r="51" spans="2:9" ht="31.5" customHeight="1" thickBot="1" x14ac:dyDescent="0.25">
      <c r="B51" s="97" t="s">
        <v>186</v>
      </c>
      <c r="C51" s="98"/>
      <c r="D51" s="98"/>
      <c r="E51" s="99"/>
      <c r="I51" s="77"/>
    </row>
    <row r="52" spans="2:9" ht="35.25" customHeight="1" thickBot="1" x14ac:dyDescent="0.25">
      <c r="B52" s="97" t="s">
        <v>183</v>
      </c>
      <c r="C52" s="98"/>
      <c r="D52" s="98"/>
      <c r="E52" s="99"/>
      <c r="I52" s="77"/>
    </row>
    <row r="53" spans="2:9" ht="13.5" thickBot="1" x14ac:dyDescent="0.25"/>
    <row r="54" spans="2:9" x14ac:dyDescent="0.2">
      <c r="B54" s="40" t="s">
        <v>14</v>
      </c>
      <c r="C54" s="41"/>
      <c r="D54" s="41"/>
      <c r="E54" s="42"/>
    </row>
    <row r="55" spans="2:9" ht="5.25" customHeight="1" x14ac:dyDescent="0.2">
      <c r="B55" s="43"/>
      <c r="C55" s="44"/>
      <c r="D55" s="44"/>
      <c r="E55" s="45"/>
    </row>
    <row r="56" spans="2:9" x14ac:dyDescent="0.2">
      <c r="B56" s="46" t="s">
        <v>15</v>
      </c>
      <c r="C56" s="44"/>
      <c r="D56" s="44"/>
      <c r="E56" s="45"/>
    </row>
    <row r="57" spans="2:9" ht="12.75" customHeight="1" x14ac:dyDescent="0.2">
      <c r="B57" s="46"/>
      <c r="C57" s="91" t="s">
        <v>119</v>
      </c>
      <c r="D57" s="91"/>
      <c r="E57" s="92"/>
    </row>
    <row r="58" spans="2:9" x14ac:dyDescent="0.2">
      <c r="B58" s="46" t="s">
        <v>16</v>
      </c>
      <c r="C58" s="44"/>
      <c r="D58" s="44"/>
      <c r="E58" s="45"/>
    </row>
    <row r="59" spans="2:9" x14ac:dyDescent="0.2">
      <c r="B59" s="47"/>
      <c r="C59" s="93"/>
      <c r="D59" s="93"/>
      <c r="E59" s="93"/>
    </row>
    <row r="60" spans="2:9" x14ac:dyDescent="0.2">
      <c r="B60" s="47"/>
      <c r="C60" s="94"/>
      <c r="D60" s="94"/>
      <c r="E60" s="94"/>
    </row>
    <row r="61" spans="2:9" x14ac:dyDescent="0.2">
      <c r="B61" s="46" t="s">
        <v>17</v>
      </c>
      <c r="C61" s="44"/>
      <c r="D61" s="44"/>
      <c r="E61" s="45"/>
    </row>
    <row r="62" spans="2:9" ht="26.25" customHeight="1" x14ac:dyDescent="0.2">
      <c r="B62" s="47"/>
      <c r="C62" s="86"/>
      <c r="D62" s="86"/>
      <c r="E62" s="86"/>
    </row>
    <row r="63" spans="2:9" x14ac:dyDescent="0.2">
      <c r="B63" s="46" t="s">
        <v>18</v>
      </c>
      <c r="C63" s="48"/>
      <c r="D63" s="48"/>
      <c r="E63" s="49"/>
    </row>
    <row r="64" spans="2:9" ht="26.25" customHeight="1" x14ac:dyDescent="0.2">
      <c r="B64" s="47"/>
      <c r="C64" s="89"/>
      <c r="D64" s="89"/>
      <c r="E64" s="89"/>
    </row>
    <row r="65" spans="2:5" x14ac:dyDescent="0.2">
      <c r="B65" s="46" t="s">
        <v>19</v>
      </c>
      <c r="C65" s="44"/>
      <c r="D65" s="44"/>
      <c r="E65" s="45"/>
    </row>
    <row r="66" spans="2:5" ht="23.25" customHeight="1" x14ac:dyDescent="0.2">
      <c r="B66" s="46"/>
      <c r="C66" s="87"/>
      <c r="D66" s="87"/>
      <c r="E66" s="87"/>
    </row>
    <row r="67" spans="2:5" ht="13.5" thickBot="1" x14ac:dyDescent="0.25">
      <c r="B67" s="50"/>
      <c r="C67" s="51"/>
      <c r="D67" s="51"/>
      <c r="E67" s="52"/>
    </row>
    <row r="68" spans="2:5" ht="13.5" thickBot="1" x14ac:dyDescent="0.25"/>
    <row r="69" spans="2:5" x14ac:dyDescent="0.2">
      <c r="B69" s="40" t="s">
        <v>20</v>
      </c>
      <c r="C69" s="41"/>
      <c r="D69" s="41"/>
      <c r="E69" s="42"/>
    </row>
    <row r="70" spans="2:5" ht="7.5" customHeight="1" x14ac:dyDescent="0.2">
      <c r="B70" s="43"/>
      <c r="C70" s="44"/>
      <c r="D70" s="44"/>
      <c r="E70" s="45"/>
    </row>
    <row r="71" spans="2:5" x14ac:dyDescent="0.2">
      <c r="B71" s="46" t="s">
        <v>15</v>
      </c>
      <c r="C71" s="44"/>
      <c r="D71" s="44"/>
      <c r="E71" s="45"/>
    </row>
    <row r="72" spans="2:5" ht="13.5" customHeight="1" x14ac:dyDescent="0.2">
      <c r="B72" s="46"/>
      <c r="C72" s="85" t="s">
        <v>120</v>
      </c>
      <c r="D72" s="85"/>
      <c r="E72" s="86"/>
    </row>
    <row r="73" spans="2:5" x14ac:dyDescent="0.2">
      <c r="B73" s="46" t="s">
        <v>16</v>
      </c>
      <c r="C73" s="44"/>
      <c r="D73" s="44"/>
      <c r="E73" s="45"/>
    </row>
    <row r="74" spans="2:5" x14ac:dyDescent="0.2">
      <c r="B74" s="47"/>
      <c r="C74" s="88"/>
      <c r="D74" s="88"/>
      <c r="E74" s="87"/>
    </row>
    <row r="75" spans="2:5" x14ac:dyDescent="0.2">
      <c r="B75" s="47"/>
      <c r="C75" s="88"/>
      <c r="D75" s="88"/>
      <c r="E75" s="87"/>
    </row>
    <row r="76" spans="2:5" x14ac:dyDescent="0.2">
      <c r="B76" s="46" t="s">
        <v>17</v>
      </c>
      <c r="C76" s="44"/>
      <c r="D76" s="44"/>
      <c r="E76" s="45"/>
    </row>
    <row r="77" spans="2:5" x14ac:dyDescent="0.2">
      <c r="B77" s="47"/>
      <c r="C77" s="85"/>
      <c r="D77" s="85"/>
      <c r="E77" s="86"/>
    </row>
    <row r="78" spans="2:5" x14ac:dyDescent="0.2">
      <c r="B78" s="46" t="s">
        <v>18</v>
      </c>
      <c r="C78" s="48"/>
      <c r="D78" s="48"/>
      <c r="E78" s="49"/>
    </row>
    <row r="79" spans="2:5" x14ac:dyDescent="0.2">
      <c r="B79" s="47"/>
      <c r="C79" s="85"/>
      <c r="D79" s="85"/>
      <c r="E79" s="86"/>
    </row>
    <row r="80" spans="2:5" x14ac:dyDescent="0.2">
      <c r="B80" s="46" t="s">
        <v>19</v>
      </c>
      <c r="C80" s="44"/>
      <c r="D80" s="44"/>
      <c r="E80" s="45"/>
    </row>
    <row r="81" spans="2:5" x14ac:dyDescent="0.2">
      <c r="B81" s="46"/>
      <c r="C81" s="88"/>
      <c r="D81" s="88"/>
      <c r="E81" s="87"/>
    </row>
    <row r="82" spans="2:5" ht="13.5" thickBot="1" x14ac:dyDescent="0.25">
      <c r="B82" s="50"/>
      <c r="C82" s="51"/>
      <c r="D82" s="51"/>
      <c r="E82" s="52"/>
    </row>
    <row r="83" spans="2:5" ht="13.5" thickBot="1" x14ac:dyDescent="0.25"/>
    <row r="84" spans="2:5" x14ac:dyDescent="0.2">
      <c r="B84" s="40" t="s">
        <v>121</v>
      </c>
      <c r="C84" s="41"/>
      <c r="D84" s="41"/>
      <c r="E84" s="42"/>
    </row>
    <row r="85" spans="2:5" ht="7.5" customHeight="1" x14ac:dyDescent="0.2">
      <c r="B85" s="43"/>
      <c r="C85" s="44"/>
      <c r="D85" s="44"/>
      <c r="E85" s="45"/>
    </row>
    <row r="86" spans="2:5" x14ac:dyDescent="0.2">
      <c r="B86" s="46" t="s">
        <v>15</v>
      </c>
      <c r="C86" s="44"/>
      <c r="D86" s="44"/>
      <c r="E86" s="45"/>
    </row>
    <row r="87" spans="2:5" ht="13.5" customHeight="1" x14ac:dyDescent="0.2">
      <c r="B87" s="46"/>
      <c r="C87" s="85" t="s">
        <v>122</v>
      </c>
      <c r="D87" s="85"/>
      <c r="E87" s="86"/>
    </row>
    <row r="88" spans="2:5" x14ac:dyDescent="0.2">
      <c r="B88" s="46" t="s">
        <v>16</v>
      </c>
      <c r="C88" s="44"/>
      <c r="D88" s="44"/>
      <c r="E88" s="45"/>
    </row>
    <row r="89" spans="2:5" x14ac:dyDescent="0.2">
      <c r="B89" s="47"/>
      <c r="C89" s="88"/>
      <c r="D89" s="88"/>
      <c r="E89" s="87"/>
    </row>
    <row r="90" spans="2:5" x14ac:dyDescent="0.2">
      <c r="B90" s="47"/>
      <c r="C90" s="88"/>
      <c r="D90" s="88"/>
      <c r="E90" s="87"/>
    </row>
    <row r="91" spans="2:5" x14ac:dyDescent="0.2">
      <c r="B91" s="46" t="s">
        <v>17</v>
      </c>
      <c r="C91" s="44"/>
      <c r="D91" s="44"/>
      <c r="E91" s="45"/>
    </row>
    <row r="92" spans="2:5" x14ac:dyDescent="0.2">
      <c r="B92" s="47"/>
      <c r="C92" s="85"/>
      <c r="D92" s="85"/>
      <c r="E92" s="86"/>
    </row>
    <row r="93" spans="2:5" x14ac:dyDescent="0.2">
      <c r="B93" s="46" t="s">
        <v>18</v>
      </c>
      <c r="C93" s="48"/>
      <c r="D93" s="48"/>
      <c r="E93" s="49"/>
    </row>
    <row r="94" spans="2:5" x14ac:dyDescent="0.2">
      <c r="B94" s="47"/>
      <c r="C94" s="85"/>
      <c r="D94" s="85"/>
      <c r="E94" s="86"/>
    </row>
    <row r="95" spans="2:5" x14ac:dyDescent="0.2">
      <c r="B95" s="46" t="s">
        <v>19</v>
      </c>
      <c r="C95" s="44"/>
      <c r="D95" s="44"/>
      <c r="E95" s="45"/>
    </row>
    <row r="96" spans="2:5" x14ac:dyDescent="0.2">
      <c r="B96" s="46"/>
      <c r="C96" s="88"/>
      <c r="D96" s="88"/>
      <c r="E96" s="87"/>
    </row>
    <row r="97" spans="2:5" ht="13.5" thickBot="1" x14ac:dyDescent="0.25">
      <c r="B97" s="50"/>
      <c r="C97" s="51"/>
      <c r="D97" s="51"/>
      <c r="E97" s="52"/>
    </row>
    <row r="98" spans="2:5" ht="13.5" thickBot="1" x14ac:dyDescent="0.25"/>
    <row r="99" spans="2:5" x14ac:dyDescent="0.2">
      <c r="B99" s="40" t="s">
        <v>123</v>
      </c>
      <c r="C99" s="41"/>
      <c r="D99" s="41"/>
      <c r="E99" s="42"/>
    </row>
    <row r="100" spans="2:5" x14ac:dyDescent="0.2">
      <c r="B100" s="43"/>
      <c r="C100" s="44"/>
      <c r="D100" s="44"/>
      <c r="E100" s="45"/>
    </row>
    <row r="101" spans="2:5" x14ac:dyDescent="0.2">
      <c r="B101" s="46" t="s">
        <v>15</v>
      </c>
      <c r="C101" s="44"/>
      <c r="D101" s="44"/>
      <c r="E101" s="45"/>
    </row>
    <row r="102" spans="2:5" x14ac:dyDescent="0.2">
      <c r="B102" s="46"/>
      <c r="C102" s="85" t="s">
        <v>124</v>
      </c>
      <c r="D102" s="85"/>
      <c r="E102" s="86"/>
    </row>
    <row r="103" spans="2:5" x14ac:dyDescent="0.2">
      <c r="B103" s="46" t="s">
        <v>16</v>
      </c>
      <c r="C103" s="44"/>
      <c r="D103" s="44"/>
      <c r="E103" s="45"/>
    </row>
    <row r="104" spans="2:5" x14ac:dyDescent="0.2">
      <c r="B104" s="47"/>
      <c r="C104" s="87"/>
      <c r="D104" s="87"/>
      <c r="E104" s="87"/>
    </row>
    <row r="105" spans="2:5" x14ac:dyDescent="0.2">
      <c r="B105" s="47"/>
      <c r="C105" s="87"/>
      <c r="D105" s="87"/>
      <c r="E105" s="87"/>
    </row>
    <row r="106" spans="2:5" x14ac:dyDescent="0.2">
      <c r="B106" s="46" t="s">
        <v>17</v>
      </c>
      <c r="C106" s="44"/>
      <c r="D106" s="44"/>
      <c r="E106" s="45"/>
    </row>
    <row r="107" spans="2:5" x14ac:dyDescent="0.2">
      <c r="B107" s="47"/>
      <c r="C107" s="86"/>
      <c r="D107" s="86"/>
      <c r="E107" s="86"/>
    </row>
    <row r="108" spans="2:5" x14ac:dyDescent="0.2">
      <c r="B108" s="46" t="s">
        <v>18</v>
      </c>
      <c r="C108" s="48"/>
      <c r="D108" s="48"/>
      <c r="E108" s="49"/>
    </row>
    <row r="109" spans="2:5" x14ac:dyDescent="0.2">
      <c r="B109" s="47"/>
      <c r="C109" s="86"/>
      <c r="D109" s="86"/>
      <c r="E109" s="86"/>
    </row>
    <row r="110" spans="2:5" x14ac:dyDescent="0.2">
      <c r="B110" s="46" t="s">
        <v>19</v>
      </c>
      <c r="C110" s="44"/>
      <c r="D110" s="44"/>
      <c r="E110" s="45"/>
    </row>
    <row r="111" spans="2:5" x14ac:dyDescent="0.2">
      <c r="B111" s="46"/>
      <c r="C111" s="87"/>
      <c r="D111" s="87"/>
      <c r="E111" s="87"/>
    </row>
    <row r="112" spans="2:5" ht="13.5" thickBot="1" x14ac:dyDescent="0.25">
      <c r="B112" s="50"/>
      <c r="C112" s="51"/>
      <c r="D112" s="51"/>
      <c r="E112" s="52"/>
    </row>
    <row r="113" spans="2:5" ht="13.5" thickBot="1" x14ac:dyDescent="0.25"/>
    <row r="114" spans="2:5" x14ac:dyDescent="0.2">
      <c r="B114" s="40" t="s">
        <v>125</v>
      </c>
      <c r="C114" s="41"/>
      <c r="D114" s="41"/>
      <c r="E114" s="42"/>
    </row>
    <row r="115" spans="2:5" x14ac:dyDescent="0.2">
      <c r="B115" s="43"/>
      <c r="C115" s="44"/>
      <c r="D115" s="44"/>
      <c r="E115" s="45"/>
    </row>
    <row r="116" spans="2:5" x14ac:dyDescent="0.2">
      <c r="B116" s="46" t="s">
        <v>15</v>
      </c>
      <c r="C116" s="44"/>
      <c r="D116" s="44"/>
      <c r="E116" s="45"/>
    </row>
    <row r="117" spans="2:5" x14ac:dyDescent="0.2">
      <c r="B117" s="46"/>
      <c r="C117" s="85" t="s">
        <v>126</v>
      </c>
      <c r="D117" s="85"/>
      <c r="E117" s="86"/>
    </row>
    <row r="118" spans="2:5" x14ac:dyDescent="0.2">
      <c r="B118" s="46" t="s">
        <v>16</v>
      </c>
      <c r="C118" s="44"/>
      <c r="D118" s="44"/>
      <c r="E118" s="45"/>
    </row>
    <row r="119" spans="2:5" x14ac:dyDescent="0.2">
      <c r="B119" s="47"/>
      <c r="C119" s="87"/>
      <c r="D119" s="87"/>
      <c r="E119" s="87"/>
    </row>
    <row r="120" spans="2:5" x14ac:dyDescent="0.2">
      <c r="B120" s="47"/>
      <c r="C120" s="87"/>
      <c r="D120" s="87"/>
      <c r="E120" s="87"/>
    </row>
    <row r="121" spans="2:5" x14ac:dyDescent="0.2">
      <c r="B121" s="46" t="s">
        <v>17</v>
      </c>
      <c r="C121" s="44"/>
      <c r="D121" s="44"/>
      <c r="E121" s="45"/>
    </row>
    <row r="122" spans="2:5" x14ac:dyDescent="0.2">
      <c r="B122" s="47"/>
      <c r="C122" s="86"/>
      <c r="D122" s="86"/>
      <c r="E122" s="86"/>
    </row>
    <row r="123" spans="2:5" x14ac:dyDescent="0.2">
      <c r="B123" s="46" t="s">
        <v>18</v>
      </c>
      <c r="C123" s="48"/>
      <c r="D123" s="48"/>
      <c r="E123" s="49"/>
    </row>
    <row r="124" spans="2:5" x14ac:dyDescent="0.2">
      <c r="B124" s="47"/>
      <c r="C124" s="86"/>
      <c r="D124" s="86"/>
      <c r="E124" s="86"/>
    </row>
    <row r="125" spans="2:5" x14ac:dyDescent="0.2">
      <c r="B125" s="46" t="s">
        <v>19</v>
      </c>
      <c r="C125" s="44"/>
      <c r="D125" s="44"/>
      <c r="E125" s="45"/>
    </row>
    <row r="126" spans="2:5" x14ac:dyDescent="0.2">
      <c r="B126" s="46"/>
      <c r="C126" s="87"/>
      <c r="D126" s="87"/>
      <c r="E126" s="87"/>
    </row>
    <row r="127" spans="2:5" ht="13.5" thickBot="1" x14ac:dyDescent="0.25">
      <c r="B127" s="50"/>
      <c r="C127" s="51"/>
      <c r="D127" s="51"/>
      <c r="E127" s="52"/>
    </row>
    <row r="128" spans="2:5" ht="13.5" thickBot="1" x14ac:dyDescent="0.25"/>
    <row r="129" spans="2:5" x14ac:dyDescent="0.2">
      <c r="B129" s="40" t="s">
        <v>127</v>
      </c>
      <c r="C129" s="41"/>
      <c r="D129" s="41"/>
      <c r="E129" s="42"/>
    </row>
    <row r="130" spans="2:5" x14ac:dyDescent="0.2">
      <c r="B130" s="43"/>
      <c r="C130" s="44"/>
      <c r="D130" s="44"/>
      <c r="E130" s="45"/>
    </row>
    <row r="131" spans="2:5" x14ac:dyDescent="0.2">
      <c r="B131" s="46" t="s">
        <v>15</v>
      </c>
      <c r="C131" s="44"/>
      <c r="D131" s="44"/>
      <c r="E131" s="45"/>
    </row>
    <row r="132" spans="2:5" x14ac:dyDescent="0.2">
      <c r="B132" s="46"/>
      <c r="C132" s="85" t="s">
        <v>150</v>
      </c>
      <c r="D132" s="85"/>
      <c r="E132" s="86"/>
    </row>
    <row r="133" spans="2:5" x14ac:dyDescent="0.2">
      <c r="B133" s="46" t="s">
        <v>16</v>
      </c>
      <c r="C133" s="44"/>
      <c r="D133" s="44"/>
      <c r="E133" s="45"/>
    </row>
    <row r="134" spans="2:5" x14ac:dyDescent="0.2">
      <c r="B134" s="47"/>
      <c r="C134" s="87"/>
      <c r="D134" s="87"/>
      <c r="E134" s="87"/>
    </row>
    <row r="135" spans="2:5" x14ac:dyDescent="0.2">
      <c r="B135" s="47"/>
      <c r="C135" s="87"/>
      <c r="D135" s="87"/>
      <c r="E135" s="87"/>
    </row>
    <row r="136" spans="2:5" x14ac:dyDescent="0.2">
      <c r="B136" s="46" t="s">
        <v>17</v>
      </c>
      <c r="C136" s="44"/>
      <c r="D136" s="44"/>
      <c r="E136" s="45"/>
    </row>
    <row r="137" spans="2:5" x14ac:dyDescent="0.2">
      <c r="B137" s="47"/>
      <c r="C137" s="86"/>
      <c r="D137" s="86"/>
      <c r="E137" s="86"/>
    </row>
    <row r="138" spans="2:5" x14ac:dyDescent="0.2">
      <c r="B138" s="46" t="s">
        <v>18</v>
      </c>
      <c r="C138" s="48"/>
      <c r="D138" s="48"/>
      <c r="E138" s="49"/>
    </row>
    <row r="139" spans="2:5" x14ac:dyDescent="0.2">
      <c r="B139" s="47"/>
      <c r="C139" s="86"/>
      <c r="D139" s="86"/>
      <c r="E139" s="86"/>
    </row>
    <row r="140" spans="2:5" x14ac:dyDescent="0.2">
      <c r="B140" s="46" t="s">
        <v>19</v>
      </c>
      <c r="C140" s="44"/>
      <c r="D140" s="44"/>
      <c r="E140" s="45"/>
    </row>
    <row r="141" spans="2:5" x14ac:dyDescent="0.2">
      <c r="B141" s="46"/>
      <c r="C141" s="87"/>
      <c r="D141" s="87"/>
      <c r="E141" s="87"/>
    </row>
    <row r="142" spans="2:5" ht="13.5" thickBot="1" x14ac:dyDescent="0.25">
      <c r="B142" s="50"/>
      <c r="C142" s="51"/>
      <c r="D142" s="51"/>
      <c r="E142" s="52"/>
    </row>
    <row r="143" spans="2:5" ht="13.5" thickBot="1" x14ac:dyDescent="0.25"/>
    <row r="144" spans="2:5" x14ac:dyDescent="0.2">
      <c r="B144" s="40" t="s">
        <v>129</v>
      </c>
      <c r="C144" s="41"/>
      <c r="D144" s="41"/>
      <c r="E144" s="42"/>
    </row>
    <row r="145" spans="2:5" x14ac:dyDescent="0.2">
      <c r="B145" s="43"/>
      <c r="C145" s="44"/>
      <c r="D145" s="44"/>
      <c r="E145" s="45"/>
    </row>
    <row r="146" spans="2:5" x14ac:dyDescent="0.2">
      <c r="B146" s="46" t="s">
        <v>15</v>
      </c>
      <c r="C146" s="44"/>
      <c r="D146" s="44"/>
      <c r="E146" s="45"/>
    </row>
    <row r="147" spans="2:5" x14ac:dyDescent="0.2">
      <c r="B147" s="46"/>
      <c r="C147" s="86" t="s">
        <v>128</v>
      </c>
      <c r="D147" s="86"/>
      <c r="E147" s="86"/>
    </row>
    <row r="148" spans="2:5" x14ac:dyDescent="0.2">
      <c r="B148" s="46" t="s">
        <v>16</v>
      </c>
      <c r="C148" s="44"/>
      <c r="D148" s="44"/>
      <c r="E148" s="45"/>
    </row>
    <row r="149" spans="2:5" x14ac:dyDescent="0.2">
      <c r="B149" s="47"/>
      <c r="C149" s="87"/>
      <c r="D149" s="87"/>
      <c r="E149" s="87"/>
    </row>
    <row r="150" spans="2:5" x14ac:dyDescent="0.2">
      <c r="B150" s="47"/>
      <c r="C150" s="87"/>
      <c r="D150" s="87"/>
      <c r="E150" s="87"/>
    </row>
    <row r="151" spans="2:5" x14ac:dyDescent="0.2">
      <c r="B151" s="46" t="s">
        <v>17</v>
      </c>
      <c r="C151" s="44"/>
      <c r="D151" s="44"/>
      <c r="E151" s="45"/>
    </row>
    <row r="152" spans="2:5" x14ac:dyDescent="0.2">
      <c r="B152" s="47"/>
      <c r="C152" s="86"/>
      <c r="D152" s="86"/>
      <c r="E152" s="86"/>
    </row>
    <row r="153" spans="2:5" x14ac:dyDescent="0.2">
      <c r="B153" s="46" t="s">
        <v>18</v>
      </c>
      <c r="C153" s="48"/>
      <c r="D153" s="48"/>
      <c r="E153" s="49"/>
    </row>
    <row r="154" spans="2:5" x14ac:dyDescent="0.2">
      <c r="B154" s="47"/>
      <c r="C154" s="86"/>
      <c r="D154" s="86"/>
      <c r="E154" s="86"/>
    </row>
    <row r="155" spans="2:5" x14ac:dyDescent="0.2">
      <c r="B155" s="46" t="s">
        <v>19</v>
      </c>
      <c r="C155" s="44"/>
      <c r="D155" s="44"/>
      <c r="E155" s="45"/>
    </row>
    <row r="156" spans="2:5" x14ac:dyDescent="0.2">
      <c r="B156" s="46"/>
      <c r="C156" s="87"/>
      <c r="D156" s="87"/>
      <c r="E156" s="87"/>
    </row>
    <row r="157" spans="2:5" ht="13.5" thickBot="1" x14ac:dyDescent="0.25">
      <c r="B157" s="50"/>
      <c r="C157" s="51"/>
      <c r="D157" s="51"/>
      <c r="E157" s="52"/>
    </row>
    <row r="158" spans="2:5" ht="13.5" thickBot="1" x14ac:dyDescent="0.25"/>
    <row r="159" spans="2:5" x14ac:dyDescent="0.2">
      <c r="B159" s="40" t="s">
        <v>131</v>
      </c>
      <c r="C159" s="41"/>
      <c r="D159" s="41"/>
      <c r="E159" s="42"/>
    </row>
    <row r="160" spans="2:5" x14ac:dyDescent="0.2">
      <c r="B160" s="43"/>
      <c r="C160" s="44"/>
      <c r="D160" s="44"/>
      <c r="E160" s="45"/>
    </row>
    <row r="161" spans="2:5" x14ac:dyDescent="0.2">
      <c r="B161" s="46" t="s">
        <v>15</v>
      </c>
      <c r="C161" s="44"/>
      <c r="D161" s="44"/>
      <c r="E161" s="45"/>
    </row>
    <row r="162" spans="2:5" x14ac:dyDescent="0.2">
      <c r="B162" s="46"/>
      <c r="C162" s="85" t="s">
        <v>130</v>
      </c>
      <c r="D162" s="85"/>
      <c r="E162" s="86"/>
    </row>
    <row r="163" spans="2:5" x14ac:dyDescent="0.2">
      <c r="B163" s="46" t="s">
        <v>16</v>
      </c>
      <c r="C163" s="44"/>
      <c r="D163" s="44"/>
      <c r="E163" s="45"/>
    </row>
    <row r="164" spans="2:5" x14ac:dyDescent="0.2">
      <c r="B164" s="47"/>
      <c r="C164" s="87"/>
      <c r="D164" s="87"/>
      <c r="E164" s="87"/>
    </row>
    <row r="165" spans="2:5" x14ac:dyDescent="0.2">
      <c r="B165" s="47"/>
      <c r="C165" s="87"/>
      <c r="D165" s="87"/>
      <c r="E165" s="87"/>
    </row>
    <row r="166" spans="2:5" x14ac:dyDescent="0.2">
      <c r="B166" s="46" t="s">
        <v>17</v>
      </c>
      <c r="C166" s="44"/>
      <c r="D166" s="44"/>
      <c r="E166" s="45"/>
    </row>
    <row r="167" spans="2:5" x14ac:dyDescent="0.2">
      <c r="B167" s="47"/>
      <c r="C167" s="86"/>
      <c r="D167" s="86"/>
      <c r="E167" s="86"/>
    </row>
    <row r="168" spans="2:5" x14ac:dyDescent="0.2">
      <c r="B168" s="46" t="s">
        <v>18</v>
      </c>
      <c r="C168" s="48"/>
      <c r="D168" s="48"/>
      <c r="E168" s="49"/>
    </row>
    <row r="169" spans="2:5" x14ac:dyDescent="0.2">
      <c r="B169" s="47"/>
      <c r="C169" s="86"/>
      <c r="D169" s="86"/>
      <c r="E169" s="86"/>
    </row>
    <row r="170" spans="2:5" x14ac:dyDescent="0.2">
      <c r="B170" s="46" t="s">
        <v>19</v>
      </c>
      <c r="C170" s="44"/>
      <c r="D170" s="44"/>
      <c r="E170" s="45"/>
    </row>
    <row r="171" spans="2:5" x14ac:dyDescent="0.2">
      <c r="B171" s="46"/>
      <c r="C171" s="87"/>
      <c r="D171" s="87"/>
      <c r="E171" s="87"/>
    </row>
    <row r="172" spans="2:5" ht="13.5" thickBot="1" x14ac:dyDescent="0.25">
      <c r="B172" s="50"/>
      <c r="C172" s="51"/>
      <c r="D172" s="51"/>
      <c r="E172" s="52"/>
    </row>
    <row r="173" spans="2:5" ht="13.5" thickBot="1" x14ac:dyDescent="0.25"/>
    <row r="174" spans="2:5" x14ac:dyDescent="0.2">
      <c r="B174" s="40" t="s">
        <v>132</v>
      </c>
      <c r="C174" s="41"/>
      <c r="D174" s="41"/>
      <c r="E174" s="42"/>
    </row>
    <row r="175" spans="2:5" x14ac:dyDescent="0.2">
      <c r="B175" s="43"/>
      <c r="C175" s="44"/>
      <c r="D175" s="44"/>
      <c r="E175" s="45"/>
    </row>
    <row r="176" spans="2:5" x14ac:dyDescent="0.2">
      <c r="B176" s="46" t="s">
        <v>15</v>
      </c>
      <c r="C176" s="44"/>
      <c r="D176" s="44"/>
      <c r="E176" s="45"/>
    </row>
    <row r="177" spans="2:5" x14ac:dyDescent="0.2">
      <c r="B177" s="46"/>
      <c r="C177" s="85" t="s">
        <v>133</v>
      </c>
      <c r="D177" s="85"/>
      <c r="E177" s="86"/>
    </row>
    <row r="178" spans="2:5" x14ac:dyDescent="0.2">
      <c r="B178" s="46" t="s">
        <v>16</v>
      </c>
      <c r="C178" s="44"/>
      <c r="D178" s="44"/>
      <c r="E178" s="45"/>
    </row>
    <row r="179" spans="2:5" x14ac:dyDescent="0.2">
      <c r="B179" s="47"/>
      <c r="C179" s="87"/>
      <c r="D179" s="87"/>
      <c r="E179" s="87"/>
    </row>
    <row r="180" spans="2:5" x14ac:dyDescent="0.2">
      <c r="B180" s="47"/>
      <c r="C180" s="87"/>
      <c r="D180" s="87"/>
      <c r="E180" s="87"/>
    </row>
    <row r="181" spans="2:5" x14ac:dyDescent="0.2">
      <c r="B181" s="46" t="s">
        <v>17</v>
      </c>
      <c r="C181" s="44"/>
      <c r="D181" s="44"/>
      <c r="E181" s="45"/>
    </row>
    <row r="182" spans="2:5" x14ac:dyDescent="0.2">
      <c r="B182" s="47"/>
      <c r="C182" s="86"/>
      <c r="D182" s="86"/>
      <c r="E182" s="86"/>
    </row>
    <row r="183" spans="2:5" x14ac:dyDescent="0.2">
      <c r="B183" s="46" t="s">
        <v>18</v>
      </c>
      <c r="C183" s="48"/>
      <c r="D183" s="48"/>
      <c r="E183" s="49"/>
    </row>
    <row r="184" spans="2:5" x14ac:dyDescent="0.2">
      <c r="B184" s="47"/>
      <c r="C184" s="86"/>
      <c r="D184" s="86"/>
      <c r="E184" s="86"/>
    </row>
    <row r="185" spans="2:5" x14ac:dyDescent="0.2">
      <c r="B185" s="46" t="s">
        <v>19</v>
      </c>
      <c r="C185" s="44"/>
      <c r="D185" s="44"/>
      <c r="E185" s="45"/>
    </row>
    <row r="186" spans="2:5" x14ac:dyDescent="0.2">
      <c r="B186" s="46"/>
      <c r="C186" s="87"/>
      <c r="D186" s="87"/>
      <c r="E186" s="87"/>
    </row>
    <row r="187" spans="2:5" ht="13.5" thickBot="1" x14ac:dyDescent="0.25">
      <c r="B187" s="50"/>
      <c r="C187" s="51"/>
      <c r="D187" s="51"/>
      <c r="E187" s="52"/>
    </row>
    <row r="188" spans="2:5" ht="13.5" thickBot="1" x14ac:dyDescent="0.25"/>
    <row r="189" spans="2:5" x14ac:dyDescent="0.2">
      <c r="B189" s="40" t="s">
        <v>134</v>
      </c>
      <c r="C189" s="41"/>
      <c r="D189" s="41"/>
      <c r="E189" s="42"/>
    </row>
    <row r="190" spans="2:5" x14ac:dyDescent="0.2">
      <c r="B190" s="43"/>
      <c r="C190" s="44"/>
      <c r="D190" s="44"/>
      <c r="E190" s="45"/>
    </row>
    <row r="191" spans="2:5" x14ac:dyDescent="0.2">
      <c r="B191" s="46" t="s">
        <v>15</v>
      </c>
      <c r="C191" s="44"/>
      <c r="D191" s="44"/>
      <c r="E191" s="45"/>
    </row>
    <row r="192" spans="2:5" x14ac:dyDescent="0.2">
      <c r="B192" s="46"/>
      <c r="C192" s="85" t="s">
        <v>135</v>
      </c>
      <c r="D192" s="85"/>
      <c r="E192" s="86"/>
    </row>
    <row r="193" spans="2:5" x14ac:dyDescent="0.2">
      <c r="B193" s="46" t="s">
        <v>16</v>
      </c>
      <c r="C193" s="44"/>
      <c r="D193" s="44"/>
      <c r="E193" s="45"/>
    </row>
    <row r="194" spans="2:5" x14ac:dyDescent="0.2">
      <c r="B194" s="47"/>
      <c r="C194" s="87"/>
      <c r="D194" s="87"/>
      <c r="E194" s="87"/>
    </row>
    <row r="195" spans="2:5" x14ac:dyDescent="0.2">
      <c r="B195" s="47"/>
      <c r="C195" s="87"/>
      <c r="D195" s="87"/>
      <c r="E195" s="87"/>
    </row>
    <row r="196" spans="2:5" x14ac:dyDescent="0.2">
      <c r="B196" s="46" t="s">
        <v>17</v>
      </c>
      <c r="C196" s="44"/>
      <c r="D196" s="44"/>
      <c r="E196" s="45"/>
    </row>
    <row r="197" spans="2:5" x14ac:dyDescent="0.2">
      <c r="B197" s="47"/>
      <c r="C197" s="86"/>
      <c r="D197" s="86"/>
      <c r="E197" s="86"/>
    </row>
    <row r="198" spans="2:5" x14ac:dyDescent="0.2">
      <c r="B198" s="46" t="s">
        <v>18</v>
      </c>
      <c r="C198" s="48"/>
      <c r="D198" s="48"/>
      <c r="E198" s="49"/>
    </row>
    <row r="199" spans="2:5" x14ac:dyDescent="0.2">
      <c r="B199" s="47"/>
      <c r="C199" s="86"/>
      <c r="D199" s="86"/>
      <c r="E199" s="86"/>
    </row>
    <row r="200" spans="2:5" x14ac:dyDescent="0.2">
      <c r="B200" s="46" t="s">
        <v>19</v>
      </c>
      <c r="C200" s="44"/>
      <c r="D200" s="44"/>
      <c r="E200" s="45"/>
    </row>
    <row r="201" spans="2:5" x14ac:dyDescent="0.2">
      <c r="B201" s="46"/>
      <c r="C201" s="87"/>
      <c r="D201" s="87"/>
      <c r="E201" s="87"/>
    </row>
    <row r="202" spans="2:5" ht="13.5" thickBot="1" x14ac:dyDescent="0.25">
      <c r="B202" s="50"/>
      <c r="C202" s="51"/>
      <c r="D202" s="51"/>
      <c r="E202" s="52"/>
    </row>
    <row r="203" spans="2:5" ht="13.5" thickBot="1" x14ac:dyDescent="0.25"/>
    <row r="204" spans="2:5" x14ac:dyDescent="0.2">
      <c r="B204" s="40" t="s">
        <v>136</v>
      </c>
      <c r="C204" s="41"/>
      <c r="D204" s="41"/>
      <c r="E204" s="42"/>
    </row>
    <row r="205" spans="2:5" x14ac:dyDescent="0.2">
      <c r="B205" s="43"/>
      <c r="C205" s="44"/>
      <c r="D205" s="44"/>
      <c r="E205" s="45"/>
    </row>
    <row r="206" spans="2:5" x14ac:dyDescent="0.2">
      <c r="B206" s="46" t="s">
        <v>15</v>
      </c>
      <c r="C206" s="44"/>
      <c r="D206" s="44"/>
      <c r="E206" s="45"/>
    </row>
    <row r="207" spans="2:5" x14ac:dyDescent="0.2">
      <c r="B207" s="46"/>
      <c r="C207" s="88" t="s">
        <v>156</v>
      </c>
      <c r="D207" s="88"/>
      <c r="E207" s="87"/>
    </row>
    <row r="208" spans="2:5" x14ac:dyDescent="0.2">
      <c r="B208" s="46" t="s">
        <v>16</v>
      </c>
      <c r="C208" s="44"/>
      <c r="D208" s="44"/>
      <c r="E208" s="45"/>
    </row>
    <row r="209" spans="2:5" x14ac:dyDescent="0.2">
      <c r="B209" s="47"/>
      <c r="C209" s="87"/>
      <c r="D209" s="87"/>
      <c r="E209" s="87"/>
    </row>
    <row r="210" spans="2:5" x14ac:dyDescent="0.2">
      <c r="B210" s="47"/>
      <c r="C210" s="87"/>
      <c r="D210" s="87"/>
      <c r="E210" s="87"/>
    </row>
    <row r="211" spans="2:5" x14ac:dyDescent="0.2">
      <c r="B211" s="46" t="s">
        <v>17</v>
      </c>
      <c r="C211" s="44"/>
      <c r="D211" s="44"/>
      <c r="E211" s="45"/>
    </row>
    <row r="212" spans="2:5" x14ac:dyDescent="0.2">
      <c r="B212" s="47"/>
      <c r="C212" s="86"/>
      <c r="D212" s="86"/>
      <c r="E212" s="86"/>
    </row>
    <row r="213" spans="2:5" x14ac:dyDescent="0.2">
      <c r="B213" s="46" t="s">
        <v>18</v>
      </c>
      <c r="C213" s="48"/>
      <c r="D213" s="48"/>
      <c r="E213" s="49"/>
    </row>
    <row r="214" spans="2:5" x14ac:dyDescent="0.2">
      <c r="B214" s="47"/>
      <c r="C214" s="86"/>
      <c r="D214" s="86"/>
      <c r="E214" s="86"/>
    </row>
    <row r="215" spans="2:5" x14ac:dyDescent="0.2">
      <c r="B215" s="46" t="s">
        <v>19</v>
      </c>
      <c r="C215" s="44"/>
      <c r="D215" s="44"/>
      <c r="E215" s="45"/>
    </row>
    <row r="216" spans="2:5" x14ac:dyDescent="0.2">
      <c r="B216" s="46"/>
      <c r="C216" s="87"/>
      <c r="D216" s="87"/>
      <c r="E216" s="87"/>
    </row>
    <row r="217" spans="2:5" ht="13.5" thickBot="1" x14ac:dyDescent="0.25">
      <c r="B217" s="50"/>
      <c r="C217" s="51"/>
      <c r="D217" s="51"/>
      <c r="E217" s="52"/>
    </row>
    <row r="218" spans="2:5" ht="13.5" thickBot="1" x14ac:dyDescent="0.25"/>
    <row r="219" spans="2:5" x14ac:dyDescent="0.2">
      <c r="B219" s="40" t="s">
        <v>157</v>
      </c>
      <c r="C219" s="41"/>
      <c r="D219" s="41"/>
      <c r="E219" s="42"/>
    </row>
    <row r="220" spans="2:5" x14ac:dyDescent="0.2">
      <c r="B220" s="43"/>
      <c r="C220" s="44"/>
      <c r="D220" s="44"/>
      <c r="E220" s="45"/>
    </row>
    <row r="221" spans="2:5" x14ac:dyDescent="0.2">
      <c r="B221" s="46" t="s">
        <v>15</v>
      </c>
      <c r="C221" s="44"/>
      <c r="D221" s="44"/>
      <c r="E221" s="45"/>
    </row>
    <row r="222" spans="2:5" x14ac:dyDescent="0.2">
      <c r="B222" s="46"/>
      <c r="C222" s="88" t="s">
        <v>137</v>
      </c>
      <c r="D222" s="88"/>
      <c r="E222" s="87"/>
    </row>
    <row r="223" spans="2:5" x14ac:dyDescent="0.2">
      <c r="B223" s="46" t="s">
        <v>16</v>
      </c>
      <c r="C223" s="44"/>
      <c r="D223" s="44"/>
      <c r="E223" s="45"/>
    </row>
    <row r="224" spans="2:5" x14ac:dyDescent="0.2">
      <c r="B224" s="47"/>
      <c r="C224" s="87"/>
      <c r="D224" s="87"/>
      <c r="E224" s="87"/>
    </row>
    <row r="225" spans="2:5" x14ac:dyDescent="0.2">
      <c r="B225" s="47"/>
      <c r="C225" s="87"/>
      <c r="D225" s="87"/>
      <c r="E225" s="87"/>
    </row>
    <row r="226" spans="2:5" x14ac:dyDescent="0.2">
      <c r="B226" s="46" t="s">
        <v>17</v>
      </c>
      <c r="C226" s="44"/>
      <c r="D226" s="44"/>
      <c r="E226" s="45"/>
    </row>
    <row r="227" spans="2:5" x14ac:dyDescent="0.2">
      <c r="B227" s="47"/>
      <c r="C227" s="86"/>
      <c r="D227" s="86"/>
      <c r="E227" s="86"/>
    </row>
    <row r="228" spans="2:5" x14ac:dyDescent="0.2">
      <c r="B228" s="46" t="s">
        <v>18</v>
      </c>
      <c r="C228" s="48"/>
      <c r="D228" s="48"/>
      <c r="E228" s="49"/>
    </row>
    <row r="229" spans="2:5" x14ac:dyDescent="0.2">
      <c r="B229" s="47"/>
      <c r="C229" s="86"/>
      <c r="D229" s="86"/>
      <c r="E229" s="86"/>
    </row>
    <row r="230" spans="2:5" x14ac:dyDescent="0.2">
      <c r="B230" s="46" t="s">
        <v>19</v>
      </c>
      <c r="C230" s="44"/>
      <c r="D230" s="44"/>
      <c r="E230" s="45"/>
    </row>
    <row r="231" spans="2:5" x14ac:dyDescent="0.2">
      <c r="B231" s="46"/>
      <c r="C231" s="87"/>
      <c r="D231" s="87"/>
      <c r="E231" s="87"/>
    </row>
    <row r="232" spans="2:5" ht="13.5" thickBot="1" x14ac:dyDescent="0.25">
      <c r="B232" s="50"/>
      <c r="C232" s="51"/>
      <c r="D232" s="51"/>
      <c r="E232" s="52"/>
    </row>
    <row r="233" spans="2:5" ht="13.5" thickBot="1" x14ac:dyDescent="0.25"/>
    <row r="234" spans="2:5" x14ac:dyDescent="0.2">
      <c r="B234" s="40" t="s">
        <v>139</v>
      </c>
      <c r="C234" s="41"/>
      <c r="D234" s="41"/>
      <c r="E234" s="42"/>
    </row>
    <row r="235" spans="2:5" x14ac:dyDescent="0.2">
      <c r="B235" s="43"/>
      <c r="C235" s="44"/>
      <c r="D235" s="44"/>
      <c r="E235" s="45"/>
    </row>
    <row r="236" spans="2:5" x14ac:dyDescent="0.2">
      <c r="B236" s="46" t="s">
        <v>15</v>
      </c>
      <c r="C236" s="44"/>
      <c r="D236" s="44"/>
      <c r="E236" s="45"/>
    </row>
    <row r="237" spans="2:5" x14ac:dyDescent="0.2">
      <c r="B237" s="46"/>
      <c r="C237" s="85" t="s">
        <v>138</v>
      </c>
      <c r="D237" s="85"/>
      <c r="E237" s="86"/>
    </row>
    <row r="238" spans="2:5" x14ac:dyDescent="0.2">
      <c r="B238" s="46" t="s">
        <v>16</v>
      </c>
      <c r="C238" s="44"/>
      <c r="D238" s="44"/>
      <c r="E238" s="45"/>
    </row>
    <row r="239" spans="2:5" x14ac:dyDescent="0.2">
      <c r="B239" s="47"/>
      <c r="C239" s="87"/>
      <c r="D239" s="87"/>
      <c r="E239" s="87"/>
    </row>
    <row r="240" spans="2:5" x14ac:dyDescent="0.2">
      <c r="B240" s="47"/>
      <c r="C240" s="87"/>
      <c r="D240" s="87"/>
      <c r="E240" s="87"/>
    </row>
    <row r="241" spans="2:5" x14ac:dyDescent="0.2">
      <c r="B241" s="46" t="s">
        <v>17</v>
      </c>
      <c r="C241" s="44"/>
      <c r="D241" s="44"/>
      <c r="E241" s="45"/>
    </row>
    <row r="242" spans="2:5" x14ac:dyDescent="0.2">
      <c r="B242" s="47"/>
      <c r="C242" s="86"/>
      <c r="D242" s="86"/>
      <c r="E242" s="86"/>
    </row>
    <row r="243" spans="2:5" x14ac:dyDescent="0.2">
      <c r="B243" s="46" t="s">
        <v>18</v>
      </c>
      <c r="C243" s="48"/>
      <c r="D243" s="48"/>
      <c r="E243" s="49"/>
    </row>
    <row r="244" spans="2:5" x14ac:dyDescent="0.2">
      <c r="B244" s="47"/>
      <c r="C244" s="86"/>
      <c r="D244" s="86"/>
      <c r="E244" s="86"/>
    </row>
    <row r="245" spans="2:5" x14ac:dyDescent="0.2">
      <c r="B245" s="46" t="s">
        <v>19</v>
      </c>
      <c r="C245" s="44"/>
      <c r="D245" s="44"/>
      <c r="E245" s="45"/>
    </row>
    <row r="246" spans="2:5" x14ac:dyDescent="0.2">
      <c r="B246" s="46"/>
      <c r="C246" s="87"/>
      <c r="D246" s="87"/>
      <c r="E246" s="87"/>
    </row>
    <row r="247" spans="2:5" ht="13.5" thickBot="1" x14ac:dyDescent="0.25">
      <c r="B247" s="50"/>
      <c r="C247" s="51"/>
      <c r="D247" s="51"/>
      <c r="E247" s="52"/>
    </row>
    <row r="248" spans="2:5" ht="13.5" thickBot="1" x14ac:dyDescent="0.25"/>
    <row r="249" spans="2:5" x14ac:dyDescent="0.2">
      <c r="B249" s="40" t="s">
        <v>141</v>
      </c>
      <c r="C249" s="41"/>
      <c r="D249" s="41"/>
      <c r="E249" s="42"/>
    </row>
    <row r="250" spans="2:5" x14ac:dyDescent="0.2">
      <c r="B250" s="43"/>
      <c r="C250" s="44"/>
      <c r="D250" s="44"/>
      <c r="E250" s="45"/>
    </row>
    <row r="251" spans="2:5" x14ac:dyDescent="0.2">
      <c r="B251" s="46" t="s">
        <v>15</v>
      </c>
      <c r="C251" s="44"/>
      <c r="D251" s="44"/>
      <c r="E251" s="45"/>
    </row>
    <row r="252" spans="2:5" x14ac:dyDescent="0.2">
      <c r="B252" s="46"/>
      <c r="C252" s="85" t="s">
        <v>140</v>
      </c>
      <c r="D252" s="85"/>
      <c r="E252" s="86"/>
    </row>
    <row r="253" spans="2:5" x14ac:dyDescent="0.2">
      <c r="B253" s="46" t="s">
        <v>16</v>
      </c>
      <c r="C253" s="44"/>
      <c r="D253" s="44"/>
      <c r="E253" s="45"/>
    </row>
    <row r="254" spans="2:5" x14ac:dyDescent="0.2">
      <c r="B254" s="47"/>
      <c r="C254" s="87"/>
      <c r="D254" s="87"/>
      <c r="E254" s="87"/>
    </row>
    <row r="255" spans="2:5" x14ac:dyDescent="0.2">
      <c r="B255" s="47"/>
      <c r="C255" s="87"/>
      <c r="D255" s="87"/>
      <c r="E255" s="87"/>
    </row>
    <row r="256" spans="2:5" x14ac:dyDescent="0.2">
      <c r="B256" s="46" t="s">
        <v>17</v>
      </c>
      <c r="C256" s="44"/>
      <c r="D256" s="44"/>
      <c r="E256" s="45"/>
    </row>
    <row r="257" spans="2:5" x14ac:dyDescent="0.2">
      <c r="B257" s="47"/>
      <c r="C257" s="86"/>
      <c r="D257" s="86"/>
      <c r="E257" s="86"/>
    </row>
    <row r="258" spans="2:5" x14ac:dyDescent="0.2">
      <c r="B258" s="46" t="s">
        <v>18</v>
      </c>
      <c r="C258" s="48"/>
      <c r="D258" s="48"/>
      <c r="E258" s="49"/>
    </row>
    <row r="259" spans="2:5" x14ac:dyDescent="0.2">
      <c r="B259" s="47"/>
      <c r="C259" s="86"/>
      <c r="D259" s="86"/>
      <c r="E259" s="86"/>
    </row>
    <row r="260" spans="2:5" x14ac:dyDescent="0.2">
      <c r="B260" s="46" t="s">
        <v>19</v>
      </c>
      <c r="C260" s="44"/>
      <c r="D260" s="44"/>
      <c r="E260" s="45"/>
    </row>
    <row r="261" spans="2:5" x14ac:dyDescent="0.2">
      <c r="B261" s="46"/>
      <c r="C261" s="87"/>
      <c r="D261" s="87"/>
      <c r="E261" s="87"/>
    </row>
    <row r="262" spans="2:5" ht="13.5" thickBot="1" x14ac:dyDescent="0.25">
      <c r="B262" s="50"/>
      <c r="C262" s="51"/>
      <c r="D262" s="51"/>
      <c r="E262" s="52"/>
    </row>
    <row r="263" spans="2:5" ht="13.5" thickBot="1" x14ac:dyDescent="0.25"/>
    <row r="264" spans="2:5" x14ac:dyDescent="0.2">
      <c r="B264" s="40" t="s">
        <v>158</v>
      </c>
      <c r="C264" s="41"/>
      <c r="D264" s="41"/>
      <c r="E264" s="42"/>
    </row>
    <row r="265" spans="2:5" x14ac:dyDescent="0.2">
      <c r="B265" s="43"/>
      <c r="C265" s="44"/>
      <c r="D265" s="44"/>
      <c r="E265" s="45"/>
    </row>
    <row r="266" spans="2:5" x14ac:dyDescent="0.2">
      <c r="B266" s="46" t="s">
        <v>15</v>
      </c>
      <c r="C266" s="44"/>
      <c r="D266" s="44"/>
      <c r="E266" s="45"/>
    </row>
    <row r="267" spans="2:5" x14ac:dyDescent="0.2">
      <c r="B267" s="46"/>
      <c r="C267" s="85" t="s">
        <v>142</v>
      </c>
      <c r="D267" s="85"/>
      <c r="E267" s="86"/>
    </row>
    <row r="268" spans="2:5" x14ac:dyDescent="0.2">
      <c r="B268" s="46" t="s">
        <v>16</v>
      </c>
      <c r="C268" s="44"/>
      <c r="D268" s="44"/>
      <c r="E268" s="45"/>
    </row>
    <row r="269" spans="2:5" x14ac:dyDescent="0.2">
      <c r="B269" s="47"/>
      <c r="C269" s="87"/>
      <c r="D269" s="87"/>
      <c r="E269" s="87"/>
    </row>
    <row r="270" spans="2:5" x14ac:dyDescent="0.2">
      <c r="B270" s="47"/>
      <c r="C270" s="87"/>
      <c r="D270" s="87"/>
      <c r="E270" s="87"/>
    </row>
    <row r="271" spans="2:5" x14ac:dyDescent="0.2">
      <c r="B271" s="46" t="s">
        <v>17</v>
      </c>
      <c r="C271" s="44"/>
      <c r="D271" s="44"/>
      <c r="E271" s="45"/>
    </row>
    <row r="272" spans="2:5" x14ac:dyDescent="0.2">
      <c r="B272" s="47"/>
      <c r="C272" s="86"/>
      <c r="D272" s="86"/>
      <c r="E272" s="86"/>
    </row>
    <row r="273" spans="2:5" x14ac:dyDescent="0.2">
      <c r="B273" s="46" t="s">
        <v>18</v>
      </c>
      <c r="C273" s="48"/>
      <c r="D273" s="48"/>
      <c r="E273" s="49"/>
    </row>
    <row r="274" spans="2:5" x14ac:dyDescent="0.2">
      <c r="B274" s="47"/>
      <c r="C274" s="86"/>
      <c r="D274" s="86"/>
      <c r="E274" s="86"/>
    </row>
    <row r="275" spans="2:5" x14ac:dyDescent="0.2">
      <c r="B275" s="46" t="s">
        <v>19</v>
      </c>
      <c r="C275" s="44"/>
      <c r="D275" s="44"/>
      <c r="E275" s="45"/>
    </row>
    <row r="276" spans="2:5" x14ac:dyDescent="0.2">
      <c r="B276" s="46"/>
      <c r="C276" s="87"/>
      <c r="D276" s="87"/>
      <c r="E276" s="87"/>
    </row>
    <row r="277" spans="2:5" ht="13.5" thickBot="1" x14ac:dyDescent="0.25">
      <c r="B277" s="50"/>
      <c r="C277" s="51"/>
      <c r="D277" s="51"/>
      <c r="E277" s="52"/>
    </row>
    <row r="278" spans="2:5" ht="13.5" thickBot="1" x14ac:dyDescent="0.25"/>
    <row r="279" spans="2:5" x14ac:dyDescent="0.2">
      <c r="B279" s="40" t="s">
        <v>159</v>
      </c>
      <c r="C279" s="41"/>
      <c r="D279" s="41"/>
      <c r="E279" s="42"/>
    </row>
    <row r="280" spans="2:5" x14ac:dyDescent="0.2">
      <c r="B280" s="43"/>
      <c r="C280" s="44"/>
      <c r="D280" s="44"/>
      <c r="E280" s="45"/>
    </row>
    <row r="281" spans="2:5" x14ac:dyDescent="0.2">
      <c r="B281" s="46" t="s">
        <v>15</v>
      </c>
      <c r="C281" s="44"/>
      <c r="D281" s="44"/>
      <c r="E281" s="45"/>
    </row>
    <row r="282" spans="2:5" x14ac:dyDescent="0.2">
      <c r="B282" s="46"/>
      <c r="C282" s="85" t="s">
        <v>143</v>
      </c>
      <c r="D282" s="85"/>
      <c r="E282" s="86"/>
    </row>
    <row r="283" spans="2:5" x14ac:dyDescent="0.2">
      <c r="B283" s="46" t="s">
        <v>16</v>
      </c>
      <c r="C283" s="44"/>
      <c r="D283" s="44"/>
      <c r="E283" s="45"/>
    </row>
    <row r="284" spans="2:5" x14ac:dyDescent="0.2">
      <c r="B284" s="47"/>
      <c r="C284" s="87"/>
      <c r="D284" s="87"/>
      <c r="E284" s="87"/>
    </row>
    <row r="285" spans="2:5" x14ac:dyDescent="0.2">
      <c r="B285" s="47"/>
      <c r="C285" s="87"/>
      <c r="D285" s="87"/>
      <c r="E285" s="87"/>
    </row>
    <row r="286" spans="2:5" x14ac:dyDescent="0.2">
      <c r="B286" s="46" t="s">
        <v>17</v>
      </c>
      <c r="C286" s="44"/>
      <c r="D286" s="44"/>
      <c r="E286" s="45"/>
    </row>
    <row r="287" spans="2:5" x14ac:dyDescent="0.2">
      <c r="B287" s="47"/>
      <c r="C287" s="86"/>
      <c r="D287" s="86"/>
      <c r="E287" s="86"/>
    </row>
    <row r="288" spans="2:5" x14ac:dyDescent="0.2">
      <c r="B288" s="46" t="s">
        <v>18</v>
      </c>
      <c r="C288" s="48"/>
      <c r="D288" s="48"/>
      <c r="E288" s="49"/>
    </row>
    <row r="289" spans="2:5" x14ac:dyDescent="0.2">
      <c r="B289" s="47"/>
      <c r="C289" s="86"/>
      <c r="D289" s="86"/>
      <c r="E289" s="86"/>
    </row>
    <row r="290" spans="2:5" x14ac:dyDescent="0.2">
      <c r="B290" s="46" t="s">
        <v>19</v>
      </c>
      <c r="C290" s="44"/>
      <c r="D290" s="44"/>
      <c r="E290" s="45"/>
    </row>
    <row r="291" spans="2:5" x14ac:dyDescent="0.2">
      <c r="B291" s="46"/>
      <c r="C291" s="87"/>
      <c r="D291" s="87"/>
      <c r="E291" s="87"/>
    </row>
    <row r="292" spans="2:5" ht="13.5" thickBot="1" x14ac:dyDescent="0.25">
      <c r="B292" s="50"/>
      <c r="C292" s="51"/>
      <c r="D292" s="51"/>
      <c r="E292" s="52"/>
    </row>
    <row r="293" spans="2:5" ht="13.5" thickBot="1" x14ac:dyDescent="0.25"/>
    <row r="294" spans="2:5" x14ac:dyDescent="0.2">
      <c r="B294" s="40" t="s">
        <v>145</v>
      </c>
      <c r="C294" s="41"/>
      <c r="D294" s="41"/>
      <c r="E294" s="42"/>
    </row>
    <row r="295" spans="2:5" x14ac:dyDescent="0.2">
      <c r="B295" s="43"/>
      <c r="C295" s="44"/>
      <c r="D295" s="44"/>
      <c r="E295" s="45"/>
    </row>
    <row r="296" spans="2:5" x14ac:dyDescent="0.2">
      <c r="B296" s="46" t="s">
        <v>15</v>
      </c>
      <c r="C296" s="44"/>
      <c r="D296" s="44"/>
      <c r="E296" s="45"/>
    </row>
    <row r="297" spans="2:5" x14ac:dyDescent="0.2">
      <c r="B297" s="46"/>
      <c r="C297" s="85" t="s">
        <v>144</v>
      </c>
      <c r="D297" s="85"/>
      <c r="E297" s="86"/>
    </row>
    <row r="298" spans="2:5" x14ac:dyDescent="0.2">
      <c r="B298" s="46" t="s">
        <v>16</v>
      </c>
      <c r="C298" s="44"/>
      <c r="D298" s="44"/>
      <c r="E298" s="45"/>
    </row>
    <row r="299" spans="2:5" x14ac:dyDescent="0.2">
      <c r="B299" s="47"/>
      <c r="C299" s="87"/>
      <c r="D299" s="87"/>
      <c r="E299" s="87"/>
    </row>
    <row r="300" spans="2:5" x14ac:dyDescent="0.2">
      <c r="B300" s="47"/>
      <c r="C300" s="87"/>
      <c r="D300" s="87"/>
      <c r="E300" s="87"/>
    </row>
    <row r="301" spans="2:5" x14ac:dyDescent="0.2">
      <c r="B301" s="46" t="s">
        <v>17</v>
      </c>
      <c r="C301" s="44"/>
      <c r="D301" s="44"/>
      <c r="E301" s="45"/>
    </row>
    <row r="302" spans="2:5" x14ac:dyDescent="0.2">
      <c r="B302" s="47"/>
      <c r="C302" s="86"/>
      <c r="D302" s="86"/>
      <c r="E302" s="86"/>
    </row>
    <row r="303" spans="2:5" x14ac:dyDescent="0.2">
      <c r="B303" s="46" t="s">
        <v>18</v>
      </c>
      <c r="C303" s="48"/>
      <c r="D303" s="48"/>
      <c r="E303" s="49"/>
    </row>
    <row r="304" spans="2:5" x14ac:dyDescent="0.2">
      <c r="B304" s="47"/>
      <c r="C304" s="86"/>
      <c r="D304" s="86"/>
      <c r="E304" s="86"/>
    </row>
    <row r="305" spans="2:5" x14ac:dyDescent="0.2">
      <c r="B305" s="46" t="s">
        <v>19</v>
      </c>
      <c r="C305" s="44"/>
      <c r="D305" s="44"/>
      <c r="E305" s="45"/>
    </row>
    <row r="306" spans="2:5" x14ac:dyDescent="0.2">
      <c r="B306" s="46"/>
      <c r="C306" s="87"/>
      <c r="D306" s="87"/>
      <c r="E306" s="87"/>
    </row>
    <row r="307" spans="2:5" ht="13.5" thickBot="1" x14ac:dyDescent="0.25">
      <c r="B307" s="50"/>
      <c r="C307" s="51"/>
      <c r="D307" s="51"/>
      <c r="E307" s="52"/>
    </row>
    <row r="308" spans="2:5" ht="13.5" thickBot="1" x14ac:dyDescent="0.25"/>
    <row r="309" spans="2:5" x14ac:dyDescent="0.2">
      <c r="B309" s="40" t="s">
        <v>148</v>
      </c>
      <c r="C309" s="41"/>
      <c r="D309" s="41"/>
      <c r="E309" s="42"/>
    </row>
    <row r="310" spans="2:5" x14ac:dyDescent="0.2">
      <c r="B310" s="43"/>
      <c r="C310" s="44"/>
      <c r="D310" s="44"/>
      <c r="E310" s="45"/>
    </row>
    <row r="311" spans="2:5" x14ac:dyDescent="0.2">
      <c r="B311" s="46" t="s">
        <v>15</v>
      </c>
      <c r="C311" s="44"/>
      <c r="D311" s="44"/>
      <c r="E311" s="45"/>
    </row>
    <row r="312" spans="2:5" x14ac:dyDescent="0.2">
      <c r="B312" s="46"/>
      <c r="C312" s="85" t="s">
        <v>146</v>
      </c>
      <c r="D312" s="85"/>
      <c r="E312" s="86"/>
    </row>
    <row r="313" spans="2:5" x14ac:dyDescent="0.2">
      <c r="B313" s="46" t="s">
        <v>16</v>
      </c>
      <c r="C313" s="44"/>
      <c r="D313" s="44"/>
      <c r="E313" s="45"/>
    </row>
    <row r="314" spans="2:5" x14ac:dyDescent="0.2">
      <c r="B314" s="47"/>
      <c r="C314" s="87"/>
      <c r="D314" s="87"/>
      <c r="E314" s="87"/>
    </row>
    <row r="315" spans="2:5" x14ac:dyDescent="0.2">
      <c r="B315" s="47"/>
      <c r="C315" s="87"/>
      <c r="D315" s="87"/>
      <c r="E315" s="87"/>
    </row>
    <row r="316" spans="2:5" x14ac:dyDescent="0.2">
      <c r="B316" s="46" t="s">
        <v>17</v>
      </c>
      <c r="C316" s="44"/>
      <c r="D316" s="44"/>
      <c r="E316" s="45"/>
    </row>
    <row r="317" spans="2:5" x14ac:dyDescent="0.2">
      <c r="B317" s="47"/>
      <c r="C317" s="86"/>
      <c r="D317" s="86"/>
      <c r="E317" s="86"/>
    </row>
    <row r="318" spans="2:5" x14ac:dyDescent="0.2">
      <c r="B318" s="46" t="s">
        <v>18</v>
      </c>
      <c r="C318" s="48"/>
      <c r="D318" s="48"/>
      <c r="E318" s="49"/>
    </row>
    <row r="319" spans="2:5" x14ac:dyDescent="0.2">
      <c r="B319" s="47"/>
      <c r="C319" s="86"/>
      <c r="D319" s="86"/>
      <c r="E319" s="86"/>
    </row>
    <row r="320" spans="2:5" x14ac:dyDescent="0.2">
      <c r="B320" s="46" t="s">
        <v>19</v>
      </c>
      <c r="C320" s="44"/>
      <c r="D320" s="44"/>
      <c r="E320" s="45"/>
    </row>
    <row r="321" spans="2:5" x14ac:dyDescent="0.2">
      <c r="B321" s="46"/>
      <c r="C321" s="87"/>
      <c r="D321" s="87"/>
      <c r="E321" s="87"/>
    </row>
    <row r="322" spans="2:5" ht="13.5" thickBot="1" x14ac:dyDescent="0.25">
      <c r="B322" s="50"/>
      <c r="C322" s="51"/>
      <c r="D322" s="51"/>
      <c r="E322" s="52"/>
    </row>
    <row r="323" spans="2:5" ht="13.5" thickBot="1" x14ac:dyDescent="0.25"/>
    <row r="324" spans="2:5" x14ac:dyDescent="0.2">
      <c r="B324" s="40" t="s">
        <v>164</v>
      </c>
      <c r="C324" s="41"/>
      <c r="D324" s="41"/>
      <c r="E324" s="42"/>
    </row>
    <row r="325" spans="2:5" x14ac:dyDescent="0.2">
      <c r="B325" s="43"/>
      <c r="C325" s="44"/>
      <c r="D325" s="44"/>
      <c r="E325" s="45"/>
    </row>
    <row r="326" spans="2:5" x14ac:dyDescent="0.2">
      <c r="B326" s="46" t="s">
        <v>15</v>
      </c>
      <c r="C326" s="44"/>
      <c r="D326" s="44"/>
      <c r="E326" s="45"/>
    </row>
    <row r="327" spans="2:5" x14ac:dyDescent="0.2">
      <c r="B327" s="46"/>
      <c r="C327" s="85" t="s">
        <v>147</v>
      </c>
      <c r="D327" s="85"/>
      <c r="E327" s="86"/>
    </row>
    <row r="328" spans="2:5" x14ac:dyDescent="0.2">
      <c r="B328" s="46" t="s">
        <v>16</v>
      </c>
      <c r="C328" s="44"/>
      <c r="D328" s="44"/>
      <c r="E328" s="45"/>
    </row>
    <row r="329" spans="2:5" x14ac:dyDescent="0.2">
      <c r="B329" s="47"/>
      <c r="C329" s="87"/>
      <c r="D329" s="87"/>
      <c r="E329" s="87"/>
    </row>
    <row r="330" spans="2:5" x14ac:dyDescent="0.2">
      <c r="B330" s="47"/>
      <c r="C330" s="87"/>
      <c r="D330" s="87"/>
      <c r="E330" s="87"/>
    </row>
    <row r="331" spans="2:5" x14ac:dyDescent="0.2">
      <c r="B331" s="46" t="s">
        <v>17</v>
      </c>
      <c r="C331" s="44"/>
      <c r="D331" s="44"/>
      <c r="E331" s="45"/>
    </row>
    <row r="332" spans="2:5" x14ac:dyDescent="0.2">
      <c r="B332" s="47"/>
      <c r="C332" s="86"/>
      <c r="D332" s="86"/>
      <c r="E332" s="86"/>
    </row>
    <row r="333" spans="2:5" x14ac:dyDescent="0.2">
      <c r="B333" s="46" t="s">
        <v>18</v>
      </c>
      <c r="C333" s="48"/>
      <c r="D333" s="48"/>
      <c r="E333" s="49"/>
    </row>
    <row r="334" spans="2:5" x14ac:dyDescent="0.2">
      <c r="B334" s="47"/>
      <c r="C334" s="86"/>
      <c r="D334" s="86"/>
      <c r="E334" s="86"/>
    </row>
    <row r="335" spans="2:5" x14ac:dyDescent="0.2">
      <c r="B335" s="46" t="s">
        <v>19</v>
      </c>
      <c r="C335" s="44"/>
      <c r="D335" s="44"/>
      <c r="E335" s="45"/>
    </row>
    <row r="336" spans="2:5" x14ac:dyDescent="0.2">
      <c r="B336" s="46"/>
      <c r="C336" s="87"/>
      <c r="D336" s="87"/>
      <c r="E336" s="87"/>
    </row>
    <row r="337" spans="2:5" ht="13.5" thickBot="1" x14ac:dyDescent="0.25">
      <c r="B337" s="50"/>
      <c r="C337" s="51"/>
      <c r="D337" s="51"/>
      <c r="E337" s="52"/>
    </row>
    <row r="338" spans="2:5" ht="13.5" thickBot="1" x14ac:dyDescent="0.25"/>
    <row r="339" spans="2:5" x14ac:dyDescent="0.2">
      <c r="B339" s="40" t="s">
        <v>149</v>
      </c>
      <c r="C339" s="41"/>
      <c r="D339" s="41"/>
      <c r="E339" s="42"/>
    </row>
    <row r="340" spans="2:5" x14ac:dyDescent="0.2">
      <c r="B340" s="43"/>
      <c r="C340" s="44"/>
      <c r="D340" s="44"/>
      <c r="E340" s="45"/>
    </row>
    <row r="341" spans="2:5" x14ac:dyDescent="0.2">
      <c r="B341" s="46" t="s">
        <v>15</v>
      </c>
      <c r="C341" s="44"/>
      <c r="D341" s="44"/>
      <c r="E341" s="45"/>
    </row>
    <row r="342" spans="2:5" x14ac:dyDescent="0.2">
      <c r="B342" s="46"/>
      <c r="C342" s="85" t="s">
        <v>177</v>
      </c>
      <c r="D342" s="85"/>
      <c r="E342" s="86"/>
    </row>
    <row r="343" spans="2:5" x14ac:dyDescent="0.2">
      <c r="B343" s="46" t="s">
        <v>16</v>
      </c>
      <c r="C343" s="44"/>
      <c r="D343" s="44"/>
      <c r="E343" s="45"/>
    </row>
    <row r="344" spans="2:5" x14ac:dyDescent="0.2">
      <c r="B344" s="47"/>
      <c r="C344" s="87"/>
      <c r="D344" s="87"/>
      <c r="E344" s="87"/>
    </row>
    <row r="345" spans="2:5" x14ac:dyDescent="0.2">
      <c r="B345" s="47"/>
      <c r="C345" s="87"/>
      <c r="D345" s="87"/>
      <c r="E345" s="87"/>
    </row>
    <row r="346" spans="2:5" x14ac:dyDescent="0.2">
      <c r="B346" s="46" t="s">
        <v>17</v>
      </c>
      <c r="C346" s="44"/>
      <c r="D346" s="44"/>
      <c r="E346" s="45"/>
    </row>
    <row r="347" spans="2:5" x14ac:dyDescent="0.2">
      <c r="B347" s="47"/>
      <c r="C347" s="86"/>
      <c r="D347" s="86"/>
      <c r="E347" s="86"/>
    </row>
    <row r="348" spans="2:5" x14ac:dyDescent="0.2">
      <c r="B348" s="46" t="s">
        <v>18</v>
      </c>
      <c r="C348" s="48"/>
      <c r="D348" s="48"/>
      <c r="E348" s="49"/>
    </row>
    <row r="349" spans="2:5" x14ac:dyDescent="0.2">
      <c r="B349" s="47"/>
      <c r="C349" s="86"/>
      <c r="D349" s="86"/>
      <c r="E349" s="86"/>
    </row>
    <row r="350" spans="2:5" x14ac:dyDescent="0.2">
      <c r="B350" s="46" t="s">
        <v>19</v>
      </c>
      <c r="C350" s="44"/>
      <c r="D350" s="44"/>
      <c r="E350" s="45"/>
    </row>
    <row r="351" spans="2:5" x14ac:dyDescent="0.2">
      <c r="B351" s="46"/>
      <c r="C351" s="87"/>
      <c r="D351" s="87"/>
      <c r="E351" s="87"/>
    </row>
    <row r="352" spans="2:5" ht="13.5" thickBot="1" x14ac:dyDescent="0.25">
      <c r="B352" s="50"/>
      <c r="C352" s="51"/>
      <c r="D352" s="51"/>
      <c r="E352" s="52"/>
    </row>
    <row r="354" spans="2:5" ht="13.5" thickBot="1" x14ac:dyDescent="0.25"/>
    <row r="355" spans="2:5" x14ac:dyDescent="0.2">
      <c r="B355" s="40" t="s">
        <v>188</v>
      </c>
      <c r="C355" s="41"/>
      <c r="D355" s="41"/>
      <c r="E355" s="42"/>
    </row>
    <row r="356" spans="2:5" x14ac:dyDescent="0.2">
      <c r="B356" s="43"/>
      <c r="C356" s="44"/>
      <c r="D356" s="44"/>
      <c r="E356" s="45"/>
    </row>
    <row r="357" spans="2:5" x14ac:dyDescent="0.2">
      <c r="B357" s="46" t="s">
        <v>15</v>
      </c>
      <c r="C357" s="44"/>
      <c r="D357" s="44"/>
      <c r="E357" s="45"/>
    </row>
    <row r="358" spans="2:5" x14ac:dyDescent="0.2">
      <c r="B358" s="46"/>
      <c r="C358" s="86" t="s">
        <v>180</v>
      </c>
      <c r="D358" s="86"/>
      <c r="E358" s="86"/>
    </row>
    <row r="359" spans="2:5" x14ac:dyDescent="0.2">
      <c r="B359" s="46" t="s">
        <v>16</v>
      </c>
      <c r="C359" s="44"/>
      <c r="D359" s="44"/>
      <c r="E359" s="45"/>
    </row>
    <row r="360" spans="2:5" x14ac:dyDescent="0.2">
      <c r="B360" s="47"/>
      <c r="C360" s="87"/>
      <c r="D360" s="87"/>
      <c r="E360" s="87"/>
    </row>
    <row r="361" spans="2:5" x14ac:dyDescent="0.2">
      <c r="B361" s="47"/>
      <c r="C361" s="87"/>
      <c r="D361" s="87"/>
      <c r="E361" s="87"/>
    </row>
    <row r="362" spans="2:5" x14ac:dyDescent="0.2">
      <c r="B362" s="46" t="s">
        <v>17</v>
      </c>
      <c r="C362" s="44"/>
      <c r="D362" s="44"/>
      <c r="E362" s="45"/>
    </row>
    <row r="363" spans="2:5" x14ac:dyDescent="0.2">
      <c r="B363" s="47"/>
      <c r="C363" s="86"/>
      <c r="D363" s="86"/>
      <c r="E363" s="86"/>
    </row>
    <row r="364" spans="2:5" x14ac:dyDescent="0.2">
      <c r="B364" s="46" t="s">
        <v>18</v>
      </c>
      <c r="C364" s="48"/>
      <c r="D364" s="48"/>
      <c r="E364" s="49"/>
    </row>
    <row r="365" spans="2:5" x14ac:dyDescent="0.2">
      <c r="B365" s="47"/>
      <c r="C365" s="86"/>
      <c r="D365" s="86"/>
      <c r="E365" s="86"/>
    </row>
    <row r="366" spans="2:5" x14ac:dyDescent="0.2">
      <c r="B366" s="46" t="s">
        <v>19</v>
      </c>
      <c r="C366" s="44"/>
      <c r="D366" s="44"/>
      <c r="E366" s="45"/>
    </row>
    <row r="367" spans="2:5" x14ac:dyDescent="0.2">
      <c r="B367" s="46"/>
      <c r="C367" s="87"/>
      <c r="D367" s="87"/>
      <c r="E367" s="87"/>
    </row>
    <row r="368" spans="2:5" ht="13.5" thickBot="1" x14ac:dyDescent="0.25">
      <c r="B368" s="50"/>
      <c r="C368" s="51"/>
      <c r="D368" s="51"/>
      <c r="E368" s="52"/>
    </row>
  </sheetData>
  <mergeCells count="136">
    <mergeCell ref="A6:B6"/>
    <mergeCell ref="A7:B7"/>
    <mergeCell ref="C57:E57"/>
    <mergeCell ref="C59:E59"/>
    <mergeCell ref="C60:E60"/>
    <mergeCell ref="B2:H2"/>
    <mergeCell ref="A4:B4"/>
    <mergeCell ref="C4:E4"/>
    <mergeCell ref="A5:B5"/>
    <mergeCell ref="C5:E5"/>
    <mergeCell ref="B50:E50"/>
    <mergeCell ref="B51:E51"/>
    <mergeCell ref="B52:E52"/>
    <mergeCell ref="C75:E75"/>
    <mergeCell ref="C77:E77"/>
    <mergeCell ref="C79:E79"/>
    <mergeCell ref="C81:E81"/>
    <mergeCell ref="C62:E62"/>
    <mergeCell ref="C64:E64"/>
    <mergeCell ref="C66:E66"/>
    <mergeCell ref="C72:E72"/>
    <mergeCell ref="C74:E74"/>
    <mergeCell ref="C96:E96"/>
    <mergeCell ref="C102:E102"/>
    <mergeCell ref="C104:E104"/>
    <mergeCell ref="C105:E105"/>
    <mergeCell ref="C107:E107"/>
    <mergeCell ref="C87:E87"/>
    <mergeCell ref="C89:E89"/>
    <mergeCell ref="C90:E90"/>
    <mergeCell ref="C92:E92"/>
    <mergeCell ref="C94:E94"/>
    <mergeCell ref="C122:E122"/>
    <mergeCell ref="C124:E124"/>
    <mergeCell ref="C126:E126"/>
    <mergeCell ref="C147:E147"/>
    <mergeCell ref="C149:E149"/>
    <mergeCell ref="C109:E109"/>
    <mergeCell ref="C111:E111"/>
    <mergeCell ref="C117:E117"/>
    <mergeCell ref="C119:E119"/>
    <mergeCell ref="C120:E120"/>
    <mergeCell ref="C164:E164"/>
    <mergeCell ref="C165:E165"/>
    <mergeCell ref="C167:E167"/>
    <mergeCell ref="C169:E169"/>
    <mergeCell ref="C171:E171"/>
    <mergeCell ref="C150:E150"/>
    <mergeCell ref="C152:E152"/>
    <mergeCell ref="C154:E154"/>
    <mergeCell ref="C156:E156"/>
    <mergeCell ref="C162:E162"/>
    <mergeCell ref="C192:E192"/>
    <mergeCell ref="C207:E207"/>
    <mergeCell ref="C209:E209"/>
    <mergeCell ref="C184:E184"/>
    <mergeCell ref="C186:E186"/>
    <mergeCell ref="C177:E177"/>
    <mergeCell ref="C179:E179"/>
    <mergeCell ref="C180:E180"/>
    <mergeCell ref="C182:E182"/>
    <mergeCell ref="C194:E194"/>
    <mergeCell ref="C195:E195"/>
    <mergeCell ref="C197:E197"/>
    <mergeCell ref="C199:E199"/>
    <mergeCell ref="C201:E201"/>
    <mergeCell ref="C210:E210"/>
    <mergeCell ref="C212:E212"/>
    <mergeCell ref="C214:E214"/>
    <mergeCell ref="C216:E216"/>
    <mergeCell ref="C240:E240"/>
    <mergeCell ref="C242:E242"/>
    <mergeCell ref="C244:E244"/>
    <mergeCell ref="C246:E246"/>
    <mergeCell ref="C252:E252"/>
    <mergeCell ref="C237:E237"/>
    <mergeCell ref="C239:E239"/>
    <mergeCell ref="C231:E231"/>
    <mergeCell ref="C222:E222"/>
    <mergeCell ref="C224:E224"/>
    <mergeCell ref="C225:E225"/>
    <mergeCell ref="C227:E227"/>
    <mergeCell ref="C229:E229"/>
    <mergeCell ref="C267:E267"/>
    <mergeCell ref="C269:E269"/>
    <mergeCell ref="C270:E270"/>
    <mergeCell ref="C272:E272"/>
    <mergeCell ref="C274:E274"/>
    <mergeCell ref="C254:E254"/>
    <mergeCell ref="C255:E255"/>
    <mergeCell ref="C257:E257"/>
    <mergeCell ref="C259:E259"/>
    <mergeCell ref="C261:E261"/>
    <mergeCell ref="C289:E289"/>
    <mergeCell ref="C291:E291"/>
    <mergeCell ref="C297:E297"/>
    <mergeCell ref="C299:E299"/>
    <mergeCell ref="C300:E300"/>
    <mergeCell ref="C276:E276"/>
    <mergeCell ref="C282:E282"/>
    <mergeCell ref="C284:E284"/>
    <mergeCell ref="C285:E285"/>
    <mergeCell ref="C287:E287"/>
    <mergeCell ref="C317:E317"/>
    <mergeCell ref="C319:E319"/>
    <mergeCell ref="C321:E321"/>
    <mergeCell ref="C312:E312"/>
    <mergeCell ref="C314:E314"/>
    <mergeCell ref="C315:E315"/>
    <mergeCell ref="C302:E302"/>
    <mergeCell ref="C304:E304"/>
    <mergeCell ref="C306:E306"/>
    <mergeCell ref="C132:E132"/>
    <mergeCell ref="C134:E134"/>
    <mergeCell ref="C135:E135"/>
    <mergeCell ref="C137:E137"/>
    <mergeCell ref="C139:E139"/>
    <mergeCell ref="C141:E141"/>
    <mergeCell ref="C363:E363"/>
    <mergeCell ref="C365:E365"/>
    <mergeCell ref="C367:E367"/>
    <mergeCell ref="C358:E358"/>
    <mergeCell ref="C360:E360"/>
    <mergeCell ref="C361:E361"/>
    <mergeCell ref="C349:E349"/>
    <mergeCell ref="C351:E351"/>
    <mergeCell ref="C342:E342"/>
    <mergeCell ref="C344:E344"/>
    <mergeCell ref="C345:E345"/>
    <mergeCell ref="C347:E347"/>
    <mergeCell ref="C329:E329"/>
    <mergeCell ref="C330:E330"/>
    <mergeCell ref="C332:E332"/>
    <mergeCell ref="C334:E334"/>
    <mergeCell ref="C336:E336"/>
    <mergeCell ref="C327:E32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1"/>
  <sheetViews>
    <sheetView zoomScale="70" zoomScaleNormal="70" workbookViewId="0">
      <selection activeCell="D9" sqref="D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3" t="s">
        <v>22</v>
      </c>
      <c r="K1" s="63" t="s">
        <v>189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9" t="s">
        <v>55</v>
      </c>
      <c r="B3" s="109"/>
      <c r="C3" s="109"/>
      <c r="D3" s="110" t="str">
        <f>'Necesidades Trimestrales'!C4</f>
        <v>40 - Ministerio de Salud</v>
      </c>
      <c r="E3" s="110"/>
      <c r="F3" s="110"/>
      <c r="G3" s="110"/>
      <c r="H3" s="110"/>
      <c r="I3" s="110"/>
      <c r="J3" s="110"/>
      <c r="K3" s="110"/>
    </row>
    <row r="4" spans="1:11" ht="18.75" customHeight="1" thickBot="1" x14ac:dyDescent="0.25">
      <c r="A4" s="111" t="s">
        <v>56</v>
      </c>
      <c r="B4" s="111"/>
      <c r="C4" s="111"/>
      <c r="D4" s="110" t="str">
        <f>'Necesidades Trimestrales'!C5</f>
        <v>23 - Hospital Interzonal San Juan Bautista</v>
      </c>
      <c r="E4" s="110"/>
      <c r="F4" s="110"/>
      <c r="G4" s="110"/>
      <c r="H4" s="110"/>
      <c r="I4" s="110"/>
      <c r="J4" s="110"/>
      <c r="K4" s="110"/>
    </row>
    <row r="5" spans="1:11" ht="18.75" customHeight="1" thickBot="1" x14ac:dyDescent="0.25">
      <c r="A5" s="111" t="s">
        <v>34</v>
      </c>
      <c r="B5" s="111"/>
      <c r="C5" s="111"/>
      <c r="D5" s="110" t="s">
        <v>181</v>
      </c>
      <c r="E5" s="110"/>
      <c r="F5" s="110"/>
      <c r="G5" s="110"/>
      <c r="H5" s="110"/>
      <c r="I5" s="110"/>
      <c r="J5" s="110"/>
      <c r="K5" s="110"/>
    </row>
    <row r="6" spans="1:11" ht="16.5" customHeight="1" thickBot="1" x14ac:dyDescent="0.25">
      <c r="A6" s="109" t="s">
        <v>57</v>
      </c>
      <c r="B6" s="109"/>
      <c r="C6" s="109"/>
      <c r="D6" s="110" t="s">
        <v>182</v>
      </c>
      <c r="E6" s="110"/>
      <c r="F6" s="110"/>
      <c r="G6" s="110"/>
      <c r="H6" s="110"/>
      <c r="I6" s="110"/>
      <c r="J6" s="110"/>
      <c r="K6" s="110"/>
    </row>
    <row r="7" spans="1:11" ht="16.5" customHeight="1" x14ac:dyDescent="0.2">
      <c r="A7" s="111" t="s">
        <v>23</v>
      </c>
      <c r="B7" s="111"/>
      <c r="C7" s="111"/>
      <c r="D7" s="110" t="str">
        <f>'Necesidades Trimestrales'!C7 &amp; "° Trimestre - Año " &amp; 'Necesidades Trimestrales'!C6</f>
        <v>3° Trimestre - Año 2021</v>
      </c>
      <c r="E7" s="110"/>
      <c r="F7" s="110"/>
      <c r="G7" s="110"/>
      <c r="H7" s="110"/>
      <c r="I7" s="110"/>
      <c r="J7" s="110"/>
      <c r="K7" s="110"/>
    </row>
    <row r="8" spans="1:11" ht="16.5" customHeight="1" x14ac:dyDescent="0.2">
      <c r="A8" s="103" t="s">
        <v>24</v>
      </c>
      <c r="B8" s="103"/>
      <c r="C8" s="103"/>
      <c r="D8" s="104" t="s">
        <v>192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5" t="s">
        <v>25</v>
      </c>
      <c r="B10" s="106" t="s">
        <v>26</v>
      </c>
      <c r="C10" s="106" t="s">
        <v>27</v>
      </c>
      <c r="D10" s="106"/>
      <c r="E10" s="106"/>
      <c r="F10" s="106"/>
      <c r="G10" s="106"/>
      <c r="H10" s="106" t="s">
        <v>28</v>
      </c>
      <c r="I10" s="106" t="s">
        <v>29</v>
      </c>
      <c r="J10" s="106" t="s">
        <v>30</v>
      </c>
      <c r="K10" s="107" t="s">
        <v>31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1.9" customHeight="1" thickBot="1" x14ac:dyDescent="0.25">
      <c r="A12" s="8">
        <v>1</v>
      </c>
      <c r="B12" s="64" t="str">
        <f>'Necesidades Trimestrales'!B10</f>
        <v>2.9.2-261.14</v>
      </c>
      <c r="C12" s="100" t="str">
        <f>'Necesidades Trimestrales'!E10</f>
        <v>ABROCHADORAS DE PAPEL; TIPO: PINZA, P/BROCHES: 10/50, MATERIAL: METALICA, MEDIDA: 10/50</v>
      </c>
      <c r="D12" s="100"/>
      <c r="E12" s="100"/>
      <c r="F12" s="100"/>
      <c r="G12" s="100"/>
      <c r="H12" s="65" t="s">
        <v>58</v>
      </c>
      <c r="I12" s="66" t="str">
        <f>'Necesidades Trimestrales'!F10</f>
        <v>UNIDAD</v>
      </c>
      <c r="J12" s="67">
        <f>'Necesidades Trimestrales'!H10</f>
        <v>1253.2</v>
      </c>
      <c r="K12" s="68">
        <f>'Necesidades Trimestrales'!G10</f>
        <v>15</v>
      </c>
    </row>
    <row r="13" spans="1:11" ht="31.9" customHeight="1" thickBot="1" x14ac:dyDescent="0.25">
      <c r="A13" s="8">
        <v>2</v>
      </c>
      <c r="B13" s="64" t="str">
        <f>'Necesidades Trimestrales'!B11</f>
        <v>2.9.2-262.4</v>
      </c>
      <c r="C13" s="100" t="str">
        <f>'Necesidades Trimestrales'!E11</f>
        <v>ADHESIVOS P/PAPEL; PRESENTACION: 250 GR, TIPO: COLA VINILICA</v>
      </c>
      <c r="D13" s="100"/>
      <c r="E13" s="100"/>
      <c r="F13" s="100"/>
      <c r="G13" s="100"/>
      <c r="H13" s="65" t="s">
        <v>58</v>
      </c>
      <c r="I13" s="66" t="str">
        <f>'Necesidades Trimestrales'!F11</f>
        <v>UNIDAD</v>
      </c>
      <c r="J13" s="67">
        <f>'Necesidades Trimestrales'!H11</f>
        <v>100.3</v>
      </c>
      <c r="K13" s="68">
        <f>'Necesidades Trimestrales'!G11</f>
        <v>75</v>
      </c>
    </row>
    <row r="14" spans="1:11" ht="31.9" customHeight="1" thickBot="1" x14ac:dyDescent="0.25">
      <c r="A14" s="8">
        <v>3</v>
      </c>
      <c r="B14" s="64" t="str">
        <f>'Necesidades Trimestrales'!B12</f>
        <v>2.9.2-700.28</v>
      </c>
      <c r="C14" s="100" t="str">
        <f>'Necesidades Trimestrales'!E12</f>
        <v>BROCHES P/ABROCHADORA; NUMERO: 10/50, PRESENTACION: CAJA X 1000 UNIDADES</v>
      </c>
      <c r="D14" s="100"/>
      <c r="E14" s="100"/>
      <c r="F14" s="100"/>
      <c r="G14" s="100"/>
      <c r="H14" s="65" t="s">
        <v>58</v>
      </c>
      <c r="I14" s="66" t="str">
        <f>'Necesidades Trimestrales'!F12</f>
        <v>CAJA</v>
      </c>
      <c r="J14" s="67">
        <f>'Necesidades Trimestrales'!H12</f>
        <v>67.599999999999994</v>
      </c>
      <c r="K14" s="68">
        <f>'Necesidades Trimestrales'!G12</f>
        <v>300</v>
      </c>
    </row>
    <row r="15" spans="1:11" ht="31.9" customHeight="1" thickBot="1" x14ac:dyDescent="0.25">
      <c r="A15" s="8">
        <v>4</v>
      </c>
      <c r="B15" s="64" t="str">
        <f>'Necesidades Trimestrales'!B13</f>
        <v>2.9.2-1358.359</v>
      </c>
      <c r="C15" s="100" t="str">
        <f>'Necesidades Trimestrales'!E13</f>
        <v>CARPETAS; MATERIAL: FIBRA, TAMAÑO: OFICIO</v>
      </c>
      <c r="D15" s="100"/>
      <c r="E15" s="100"/>
      <c r="F15" s="100"/>
      <c r="G15" s="100"/>
      <c r="H15" s="65" t="s">
        <v>58</v>
      </c>
      <c r="I15" s="66" t="str">
        <f>'Necesidades Trimestrales'!F13</f>
        <v>UNIDAD</v>
      </c>
      <c r="J15" s="67">
        <f>'Necesidades Trimestrales'!H13</f>
        <v>145.9</v>
      </c>
      <c r="K15" s="68">
        <f>'Necesidades Trimestrales'!G13</f>
        <v>200</v>
      </c>
    </row>
    <row r="16" spans="1:11" ht="40.15" customHeight="1" thickBot="1" x14ac:dyDescent="0.25">
      <c r="A16" s="8">
        <v>5</v>
      </c>
      <c r="B16" s="64" t="str">
        <f>'Necesidades Trimestrales'!B14</f>
        <v>2.9.2-2766.9</v>
      </c>
      <c r="C16" s="100" t="str">
        <f>'Necesidades Trimestrales'!E14</f>
        <v>CARPETAS P/ENCUADERNACION; TAMAÑO: A4, PEGAMENTO: SIN, MATERIAL LOMO: PLASTICO TRANPARENTE, ESPESOR: 9 mm, TAPA: TRANSPARENTE</v>
      </c>
      <c r="D16" s="100"/>
      <c r="E16" s="100"/>
      <c r="F16" s="100"/>
      <c r="G16" s="100"/>
      <c r="H16" s="65" t="s">
        <v>58</v>
      </c>
      <c r="I16" s="66" t="str">
        <f>'Necesidades Trimestrales'!F14</f>
        <v>UNIDAD</v>
      </c>
      <c r="J16" s="67">
        <f>'Necesidades Trimestrales'!H14</f>
        <v>32.9</v>
      </c>
      <c r="K16" s="68">
        <f>'Necesidades Trimestrales'!G14</f>
        <v>200</v>
      </c>
    </row>
    <row r="17" spans="1:11" ht="40.15" customHeight="1" thickBot="1" x14ac:dyDescent="0.25">
      <c r="A17" s="8">
        <v>6</v>
      </c>
      <c r="B17" s="64" t="str">
        <f>'Necesidades Trimestrales'!B15</f>
        <v>2.9.2-2766.11</v>
      </c>
      <c r="C17" s="100" t="str">
        <f>'Necesidades Trimestrales'!E15</f>
        <v>CARPETAS P/ENCUADERNACION; TAMAÑO: OFICIO, ESPESOR: 9 mm, MATERIAL LOMO: PLASTICO TRANPARENTE, PEGAMENTO: SIN, TAPA: TRANSPARENTE</v>
      </c>
      <c r="D17" s="100"/>
      <c r="E17" s="100"/>
      <c r="F17" s="100"/>
      <c r="G17" s="100"/>
      <c r="H17" s="65" t="s">
        <v>58</v>
      </c>
      <c r="I17" s="66" t="str">
        <f>'Necesidades Trimestrales'!F15</f>
        <v>UNIDAD</v>
      </c>
      <c r="J17" s="67">
        <f>'Necesidades Trimestrales'!H15</f>
        <v>39.9</v>
      </c>
      <c r="K17" s="68">
        <f>'Necesidades Trimestrales'!G15</f>
        <v>200</v>
      </c>
    </row>
    <row r="18" spans="1:11" ht="40.15" customHeight="1" thickBot="1" x14ac:dyDescent="0.25">
      <c r="A18" s="8">
        <v>7</v>
      </c>
      <c r="B18" s="64" t="str">
        <f>'Necesidades Trimestrales'!B16</f>
        <v>2.3.1-6563.814</v>
      </c>
      <c r="C18" s="100" t="str">
        <f>'Necesidades Trimestrales'!E16</f>
        <v>PAPELES EN HOJA; TIPO DE PAPEL: CARTULINA, DIMENSION: 63 X 44,5 Cm, GRAMAJE: 125, PRESENTACION: UNIDAD, CERTIFICADO FORESTAL (GFS): CON</v>
      </c>
      <c r="D18" s="100"/>
      <c r="E18" s="100"/>
      <c r="F18" s="100"/>
      <c r="G18" s="100"/>
      <c r="H18" s="65" t="s">
        <v>58</v>
      </c>
      <c r="I18" s="66" t="str">
        <f>'Necesidades Trimestrales'!F16</f>
        <v>UNIDAD</v>
      </c>
      <c r="J18" s="67">
        <f>'Necesidades Trimestrales'!H16</f>
        <v>20.399999999999999</v>
      </c>
      <c r="K18" s="68">
        <f>'Necesidades Trimestrales'!G16</f>
        <v>300</v>
      </c>
    </row>
    <row r="19" spans="1:11" ht="40.15" customHeight="1" thickBot="1" x14ac:dyDescent="0.25">
      <c r="A19" s="8">
        <v>8</v>
      </c>
      <c r="B19" s="64" t="str">
        <f>'Necesidades Trimestrales'!B17</f>
        <v>2.9.2-1153.35</v>
      </c>
      <c r="C19" s="100" t="str">
        <f>'Necesidades Trimestrales'!E17</f>
        <v>CINTAS ADHESIVAS; TIPO: EMBALAR, COLOR MARRON, ANCHO: 5 Cm, LARGO ROLLO: 50 M, MATERIAL: CELOFAN, ACCESORIO: SIN, LARGO: 50 M</v>
      </c>
      <c r="D19" s="100"/>
      <c r="E19" s="100"/>
      <c r="F19" s="100"/>
      <c r="G19" s="100"/>
      <c r="H19" s="65" t="s">
        <v>58</v>
      </c>
      <c r="I19" s="66" t="str">
        <f>'Necesidades Trimestrales'!F17</f>
        <v>UNIDAD</v>
      </c>
      <c r="J19" s="67">
        <f>'Necesidades Trimestrales'!H17</f>
        <v>158.27000000000001</v>
      </c>
      <c r="K19" s="68">
        <f>'Necesidades Trimestrales'!G17</f>
        <v>150</v>
      </c>
    </row>
    <row r="20" spans="1:11" ht="40.15" customHeight="1" thickBot="1" x14ac:dyDescent="0.25">
      <c r="A20" s="8">
        <v>9</v>
      </c>
      <c r="B20" s="64" t="str">
        <f>'Necesidades Trimestrales'!B18</f>
        <v>2.3.1-6587.298</v>
      </c>
      <c r="C20" s="100" t="str">
        <f>'Necesidades Trimestrales'!E18</f>
        <v>PAPELES ENCUADERNADOS; CANT. DE HOJAS: 100, TAMAÑO: 21 X 16 Cm, TIPO: CUADERNO, CERTIFICADO FORESTAL (GFS): CON, PORC. FIBRAS RECICLADAS: 0 %, CERT. FIBRA ALTERNATIVA (FCA): SIN</v>
      </c>
      <c r="D20" s="100"/>
      <c r="E20" s="100"/>
      <c r="F20" s="100"/>
      <c r="G20" s="100"/>
      <c r="H20" s="65" t="s">
        <v>58</v>
      </c>
      <c r="I20" s="66" t="str">
        <f>'Necesidades Trimestrales'!F18</f>
        <v>UNIDAD</v>
      </c>
      <c r="J20" s="67">
        <f>'Necesidades Trimestrales'!H18</f>
        <v>404.6</v>
      </c>
      <c r="K20" s="68">
        <f>'Necesidades Trimestrales'!G18</f>
        <v>100</v>
      </c>
    </row>
    <row r="21" spans="1:11" ht="31.9" customHeight="1" thickBot="1" x14ac:dyDescent="0.25">
      <c r="A21" s="8">
        <v>10</v>
      </c>
      <c r="B21" s="64" t="str">
        <f>'Necesidades Trimestrales'!B19</f>
        <v>2.9.2-1611.11</v>
      </c>
      <c r="C21" s="100" t="str">
        <f>'Necesidades Trimestrales'!E19</f>
        <v>FOLIOS TRANSPARENTES; TAMAÑO: OFICIO, PERFORACIONES: 5, MATERIAL: POLIPROPILENO</v>
      </c>
      <c r="D21" s="100"/>
      <c r="E21" s="100"/>
      <c r="F21" s="100"/>
      <c r="G21" s="100"/>
      <c r="H21" s="65" t="s">
        <v>58</v>
      </c>
      <c r="I21" s="66" t="str">
        <f>'Necesidades Trimestrales'!F19</f>
        <v>UNIDAD</v>
      </c>
      <c r="J21" s="67">
        <f>'Necesidades Trimestrales'!H19</f>
        <v>14.8</v>
      </c>
      <c r="K21" s="68">
        <f>'Necesidades Trimestrales'!G19</f>
        <v>300</v>
      </c>
    </row>
    <row r="22" spans="1:11" ht="31.9" customHeight="1" thickBot="1" x14ac:dyDescent="0.25">
      <c r="A22" s="8">
        <v>11</v>
      </c>
      <c r="B22" s="64" t="str">
        <f>'Necesidades Trimestrales'!B20</f>
        <v>2.9.2-1611.10</v>
      </c>
      <c r="C22" s="100" t="str">
        <f>'Necesidades Trimestrales'!E20</f>
        <v>FOLIOS TRANSPARENTES; TAMAÑO: A-4, PERFORACIONES: 5, MATERIAL: POLIPROPILENO</v>
      </c>
      <c r="D22" s="100"/>
      <c r="E22" s="100"/>
      <c r="F22" s="100"/>
      <c r="G22" s="100"/>
      <c r="H22" s="65" t="s">
        <v>58</v>
      </c>
      <c r="I22" s="66" t="str">
        <f>'Necesidades Trimestrales'!F20</f>
        <v>UNIDAD</v>
      </c>
      <c r="J22" s="67">
        <f>'Necesidades Trimestrales'!H20</f>
        <v>12</v>
      </c>
      <c r="K22" s="68">
        <f>'Necesidades Trimestrales'!G20</f>
        <v>300</v>
      </c>
    </row>
    <row r="23" spans="1:11" ht="31.9" customHeight="1" thickBot="1" x14ac:dyDescent="0.25">
      <c r="A23" s="8">
        <v>12</v>
      </c>
      <c r="B23" s="64" t="str">
        <f>'Necesidades Trimestrales'!B21</f>
        <v>2.9.2-4984.6</v>
      </c>
      <c r="C23" s="100" t="str">
        <f>'Necesidades Trimestrales'!E21</f>
        <v>LAPICERAS ESTILOGRAFICAS; TIPO: TRAZO GRUESO, MATERIAL: PLASTICO Y METAL , RECARGABLE: NO</v>
      </c>
      <c r="D23" s="100"/>
      <c r="E23" s="100"/>
      <c r="F23" s="100"/>
      <c r="G23" s="100"/>
      <c r="H23" s="65" t="s">
        <v>58</v>
      </c>
      <c r="I23" s="66" t="str">
        <f>'Necesidades Trimestrales'!F21</f>
        <v>UNIDAD</v>
      </c>
      <c r="J23" s="67">
        <f>'Necesidades Trimestrales'!H21</f>
        <v>39</v>
      </c>
      <c r="K23" s="68">
        <f>'Necesidades Trimestrales'!G21</f>
        <v>600</v>
      </c>
    </row>
    <row r="24" spans="1:11" ht="31.9" customHeight="1" thickBot="1" x14ac:dyDescent="0.25">
      <c r="A24" s="8">
        <v>13</v>
      </c>
      <c r="B24" s="64" t="str">
        <f>'Necesidades Trimestrales'!B22</f>
        <v>2.9.2-4984.6</v>
      </c>
      <c r="C24" s="100" t="str">
        <f>'Necesidades Trimestrales'!E22</f>
        <v>LAPICERAS ESTILOGRAFICAS; TIPO: TRAZO GRUESO, MATERIAL: PLASTICO Y METAL , RECARGABLE: NO</v>
      </c>
      <c r="D24" s="100"/>
      <c r="E24" s="100"/>
      <c r="F24" s="100"/>
      <c r="G24" s="100"/>
      <c r="H24" s="65" t="s">
        <v>58</v>
      </c>
      <c r="I24" s="66" t="str">
        <f>'Necesidades Trimestrales'!F22</f>
        <v>UNIDAD</v>
      </c>
      <c r="J24" s="67">
        <f>'Necesidades Trimestrales'!H22</f>
        <v>39</v>
      </c>
      <c r="K24" s="68">
        <f>'Necesidades Trimestrales'!G22</f>
        <v>800</v>
      </c>
    </row>
    <row r="25" spans="1:11" ht="31.9" customHeight="1" thickBot="1" x14ac:dyDescent="0.25">
      <c r="A25" s="8">
        <v>14</v>
      </c>
      <c r="B25" s="64" t="str">
        <f>'Necesidades Trimestrales'!B23</f>
        <v>2.9.2-4984.6</v>
      </c>
      <c r="C25" s="100" t="str">
        <f>'Necesidades Trimestrales'!E23</f>
        <v>LAPICERAS ESTILOGRAFICAS; TIPO: TRAZO GRUESO, MATERIAL: PLASTICO Y METAL , RECARGABLE: NO</v>
      </c>
      <c r="D25" s="100"/>
      <c r="E25" s="100"/>
      <c r="F25" s="100"/>
      <c r="G25" s="100"/>
      <c r="H25" s="65" t="s">
        <v>58</v>
      </c>
      <c r="I25" s="66" t="str">
        <f>'Necesidades Trimestrales'!F23</f>
        <v>UNIDAD</v>
      </c>
      <c r="J25" s="67">
        <f>'Necesidades Trimestrales'!H23</f>
        <v>39</v>
      </c>
      <c r="K25" s="68">
        <f>'Necesidades Trimestrales'!G23</f>
        <v>300</v>
      </c>
    </row>
    <row r="26" spans="1:11" ht="40.15" customHeight="1" thickBot="1" x14ac:dyDescent="0.25">
      <c r="A26" s="8">
        <v>15</v>
      </c>
      <c r="B26" s="64" t="str">
        <f>'Necesidades Trimestrales'!B24</f>
        <v>2.9.2-323.4</v>
      </c>
      <c r="C26" s="100" t="str">
        <f>'Necesidades Trimestrales'!E24</f>
        <v>CORRECTORES DE ESCRITURA; CAPACIDAD: 7 mL, ENVASE: LAPIZ (PUNTA METAL), PRESENTACION: LAPIZ (PUNTA METAL) X 7 mL</v>
      </c>
      <c r="D26" s="100"/>
      <c r="E26" s="100"/>
      <c r="F26" s="100"/>
      <c r="G26" s="100"/>
      <c r="H26" s="65" t="s">
        <v>58</v>
      </c>
      <c r="I26" s="66" t="str">
        <f>'Necesidades Trimestrales'!F24</f>
        <v>UNIDAD</v>
      </c>
      <c r="J26" s="67">
        <f>'Necesidades Trimestrales'!H24</f>
        <v>43.8</v>
      </c>
      <c r="K26" s="68">
        <f>'Necesidades Trimestrales'!G24</f>
        <v>250</v>
      </c>
    </row>
    <row r="27" spans="1:11" ht="31.9" customHeight="1" thickBot="1" x14ac:dyDescent="0.25">
      <c r="A27" s="8">
        <v>16</v>
      </c>
      <c r="B27" s="64" t="str">
        <f>'Necesidades Trimestrales'!B25</f>
        <v>2.9.2-848.5</v>
      </c>
      <c r="C27" s="100" t="str">
        <f>'Necesidades Trimestrales'!E25</f>
        <v>LAPIZ; TIPO: COMUN NRO 2, COLOR: NEGRO</v>
      </c>
      <c r="D27" s="100"/>
      <c r="E27" s="100"/>
      <c r="F27" s="100"/>
      <c r="G27" s="100"/>
      <c r="H27" s="65" t="s">
        <v>58</v>
      </c>
      <c r="I27" s="66" t="str">
        <f>'Necesidades Trimestrales'!F25</f>
        <v>UNIDAD</v>
      </c>
      <c r="J27" s="67">
        <f>'Necesidades Trimestrales'!H25</f>
        <v>23.8</v>
      </c>
      <c r="K27" s="68">
        <f>'Necesidades Trimestrales'!G25</f>
        <v>100</v>
      </c>
    </row>
    <row r="28" spans="1:11" ht="42" customHeight="1" thickBot="1" x14ac:dyDescent="0.25">
      <c r="A28" s="8">
        <v>17</v>
      </c>
      <c r="B28" s="64" t="str">
        <f>'Necesidades Trimestrales'!B26</f>
        <v>2.3.1-6587.324</v>
      </c>
      <c r="C28" s="100" t="str">
        <f>'Necesidades Trimestrales'!E26</f>
        <v>PAPELES ENCUADERNADOS; CANT. DE HOJAS: 400, TAMAÑO: 21 X 33 Cm, TIPO: LIBRO DE ACTAS, CERTIFICADO FORESTAL (GFS): SIN, PORC. FIBRAS RECICLADAS: 0 %, CERT. FIBRA ALTERNATIVA (FCA): SIN</v>
      </c>
      <c r="D28" s="100"/>
      <c r="E28" s="100"/>
      <c r="F28" s="100"/>
      <c r="G28" s="100"/>
      <c r="H28" s="65" t="s">
        <v>58</v>
      </c>
      <c r="I28" s="66" t="str">
        <f>'Necesidades Trimestrales'!F26</f>
        <v>UNIDAD</v>
      </c>
      <c r="J28" s="67">
        <f>'Necesidades Trimestrales'!H26</f>
        <v>847.3</v>
      </c>
      <c r="K28" s="68">
        <f>'Necesidades Trimestrales'!G26</f>
        <v>25</v>
      </c>
    </row>
    <row r="29" spans="1:11" ht="31.9" customHeight="1" thickBot="1" x14ac:dyDescent="0.25">
      <c r="A29" s="8">
        <v>18</v>
      </c>
      <c r="B29" s="64" t="str">
        <f>'Necesidades Trimestrales'!B27</f>
        <v>2.9.2-1616.80</v>
      </c>
      <c r="C29" s="100" t="str">
        <f>'Necesidades Trimestrales'!E27</f>
        <v>MARCADORES; TIPO AL AGUA - TRAZO GRUESO - PUNTA REDONDA - RECARGABLE NO</v>
      </c>
      <c r="D29" s="100"/>
      <c r="E29" s="100"/>
      <c r="F29" s="100"/>
      <c r="G29" s="100"/>
      <c r="H29" s="65" t="s">
        <v>58</v>
      </c>
      <c r="I29" s="66" t="str">
        <f>'Necesidades Trimestrales'!F27</f>
        <v>UNIDAD</v>
      </c>
      <c r="J29" s="67">
        <f>'Necesidades Trimestrales'!H27</f>
        <v>68.180000000000007</v>
      </c>
      <c r="K29" s="68">
        <f>'Necesidades Trimestrales'!G27</f>
        <v>150</v>
      </c>
    </row>
    <row r="30" spans="1:11" ht="31.9" customHeight="1" thickBot="1" x14ac:dyDescent="0.25">
      <c r="A30" s="8">
        <v>19</v>
      </c>
      <c r="B30" s="64" t="str">
        <f>'Necesidades Trimestrales'!B28</f>
        <v>2.9.2-1616.137</v>
      </c>
      <c r="C30" s="100" t="str">
        <f>'Necesidades Trimestrales'!E28</f>
        <v>MARCADORES; TIPO: INDELEBLE, TRAZO: GRUESO, PUNTA: REDONDA, COLOR: NEGRO, RECARGABLE: NO</v>
      </c>
      <c r="D30" s="100"/>
      <c r="E30" s="100"/>
      <c r="F30" s="100"/>
      <c r="G30" s="100"/>
      <c r="H30" s="65" t="s">
        <v>58</v>
      </c>
      <c r="I30" s="66" t="str">
        <f>'Necesidades Trimestrales'!F28</f>
        <v>UNIDAD</v>
      </c>
      <c r="J30" s="67">
        <f>'Necesidades Trimestrales'!H28</f>
        <v>115.05</v>
      </c>
      <c r="K30" s="68">
        <f>'Necesidades Trimestrales'!G28</f>
        <v>250</v>
      </c>
    </row>
    <row r="31" spans="1:11" ht="49.15" customHeight="1" thickBot="1" x14ac:dyDescent="0.25">
      <c r="A31" s="8">
        <v>20</v>
      </c>
      <c r="B31" s="64" t="str">
        <f>'Necesidades Trimestrales'!B29</f>
        <v>2.3.1-6563.968</v>
      </c>
      <c r="C31" s="100" t="str">
        <f>'Necesidades Trimestrales'!E29</f>
        <v>PAPELES EN HOJA; TIPO DE PAPEL: EXTRA BLANCO, DIMENSION: A4, GRAMAJE: 80 GR, PRESENTACION: RESMA X 500 HOJAS, CERTIFICADO FORESTAL (GFS): SIN, PORC. FIBRAS RECICLADAS: 0 %, CERT. FIBRA ALTERNATIVA (FCA): CON</v>
      </c>
      <c r="D31" s="100"/>
      <c r="E31" s="100"/>
      <c r="F31" s="100"/>
      <c r="G31" s="100"/>
      <c r="H31" s="65" t="s">
        <v>58</v>
      </c>
      <c r="I31" s="66" t="str">
        <f>'Necesidades Trimestrales'!F29</f>
        <v>UNIDAD</v>
      </c>
      <c r="J31" s="67">
        <f>'Necesidades Trimestrales'!H29</f>
        <v>576.64</v>
      </c>
      <c r="K31" s="68">
        <f>'Necesidades Trimestrales'!G29</f>
        <v>450</v>
      </c>
    </row>
    <row r="32" spans="1:11" ht="49.15" customHeight="1" thickBot="1" x14ac:dyDescent="0.25">
      <c r="A32" s="8">
        <v>21</v>
      </c>
      <c r="B32" s="64" t="str">
        <f>'Necesidades Trimestrales'!B30</f>
        <v>2.3.1-6563.1009</v>
      </c>
      <c r="C32" s="100" t="str">
        <f>'Necesidades Trimestrales'!E30</f>
        <v>PAPELES EN HOJA; TIPO DE PAPEL: BLANCO, DIMENSION: OFICIO, GRAMAJE: 80 GR, PRESENTACION: ENVASE X 500 HOJAS, CERTIFICADO FORESTAL (GFS): SIN, PORC. FIBRAS RECICLADAS: 0 %, CERT. FIBRA ALTERNATIVA (FCA): SIN</v>
      </c>
      <c r="D32" s="100"/>
      <c r="E32" s="100"/>
      <c r="F32" s="100"/>
      <c r="G32" s="100"/>
      <c r="H32" s="65" t="s">
        <v>58</v>
      </c>
      <c r="I32" s="66" t="str">
        <f>'Necesidades Trimestrales'!F30</f>
        <v>UNIDAD</v>
      </c>
      <c r="J32" s="67">
        <f>'Necesidades Trimestrales'!H30</f>
        <v>709.81</v>
      </c>
      <c r="K32" s="68">
        <f>'Necesidades Trimestrales'!G30</f>
        <v>550</v>
      </c>
    </row>
    <row r="33" spans="1:11" ht="31.9" customHeight="1" thickBot="1" x14ac:dyDescent="0.25">
      <c r="A33" s="8">
        <v>22</v>
      </c>
      <c r="B33" s="64" t="str">
        <f>'Necesidades Trimestrales'!B31</f>
        <v>2.9.2-660.4</v>
      </c>
      <c r="C33" s="100" t="str">
        <f>'Necesidades Trimestrales'!E31</f>
        <v>CLIPS P/PAPEL; MATERIAL: METAL, NUMERO: 4, CANT. X CAJA: 100, PRESENTACION: CAJA X 100</v>
      </c>
      <c r="D33" s="100"/>
      <c r="E33" s="100"/>
      <c r="F33" s="100"/>
      <c r="G33" s="100"/>
      <c r="H33" s="65" t="s">
        <v>58</v>
      </c>
      <c r="I33" s="66" t="str">
        <f>'Necesidades Trimestrales'!F31</f>
        <v>CAJA</v>
      </c>
      <c r="J33" s="67">
        <f>'Necesidades Trimestrales'!H31</f>
        <v>54</v>
      </c>
      <c r="K33" s="68">
        <f>'Necesidades Trimestrales'!G31</f>
        <v>20</v>
      </c>
    </row>
    <row r="34" spans="1:11" ht="44.45" customHeight="1" thickBot="1" x14ac:dyDescent="0.25">
      <c r="A34" s="8">
        <v>23</v>
      </c>
      <c r="B34" s="64" t="str">
        <f>'Necesidades Trimestrales'!B32</f>
        <v>2.9.2-858.16</v>
      </c>
      <c r="C34" s="100" t="str">
        <f>'Necesidades Trimestrales'!E32</f>
        <v>PERFORADORAS; TAMAÑO: MEDIANA, N° PERFORACIONES: 2, DIST. ENTRE AGUJ.: SIN VALOR, GUIA POSICION PAPEL: SIN VALOR, MATERIAL ESTRUCTURA: MADERA, MATERIAL: MADERA</v>
      </c>
      <c r="D34" s="100"/>
      <c r="E34" s="100"/>
      <c r="F34" s="100"/>
      <c r="G34" s="100"/>
      <c r="H34" s="65" t="s">
        <v>58</v>
      </c>
      <c r="I34" s="66" t="str">
        <f>'Necesidades Trimestrales'!F32</f>
        <v>UNIDAD</v>
      </c>
      <c r="J34" s="67">
        <f>'Necesidades Trimestrales'!H32</f>
        <v>2512.5</v>
      </c>
      <c r="K34" s="68">
        <f>'Necesidades Trimestrales'!G32</f>
        <v>7</v>
      </c>
    </row>
    <row r="35" spans="1:11" ht="44.45" customHeight="1" thickBot="1" x14ac:dyDescent="0.25">
      <c r="A35" s="8">
        <v>24</v>
      </c>
      <c r="B35" s="64" t="str">
        <f>'Necesidades Trimestrales'!B33</f>
        <v>2.3.1-6590.484</v>
      </c>
      <c r="C35" s="100" t="str">
        <f>'Necesidades Trimestrales'!E33</f>
        <v>SOBRES DE PAPEL; TIPO: MANILA, TAMAÑO: 19 X 24 Cm, GRAMAJE: 80 GR/M2, PRESENTACION: UNIDAD UN, CERTIFICADO FORESTAL (GFS): SIN, PORC. FIBRAS RECICLADAS: SIN VALOR</v>
      </c>
      <c r="D35" s="100"/>
      <c r="E35" s="100"/>
      <c r="F35" s="100"/>
      <c r="G35" s="100"/>
      <c r="H35" s="65" t="s">
        <v>58</v>
      </c>
      <c r="I35" s="66" t="str">
        <f>'Necesidades Trimestrales'!F33</f>
        <v>UNIDAD</v>
      </c>
      <c r="J35" s="67">
        <f>'Necesidades Trimestrales'!H33</f>
        <v>5.6</v>
      </c>
      <c r="K35" s="68">
        <f>'Necesidades Trimestrales'!G33</f>
        <v>1500</v>
      </c>
    </row>
    <row r="36" spans="1:11" ht="49.15" customHeight="1" thickBot="1" x14ac:dyDescent="0.25">
      <c r="A36" s="8">
        <v>25</v>
      </c>
      <c r="B36" s="64" t="str">
        <f>'Necesidades Trimestrales'!B34</f>
        <v>2.3.1-6590.541</v>
      </c>
      <c r="C36" s="100" t="str">
        <f>'Necesidades Trimestrales'!E34</f>
        <v>SOBRES DE PAPEL; TIPO: BOLSA DE PAPEL MANILA, TAMAÑO: 24 X 30 Cm, GRAMAJE: 80 GR/M2, PRESENTACION: ENVASE X 100 UN, CERTIFICADO FORESTAL (GFS): SIN, PORC. FIBRAS RECICLADAS: 0 %, CERT. FIBRA ALTERNATIVA (FCA): SIN</v>
      </c>
      <c r="D36" s="100"/>
      <c r="E36" s="100"/>
      <c r="F36" s="100"/>
      <c r="G36" s="100"/>
      <c r="H36" s="65" t="s">
        <v>58</v>
      </c>
      <c r="I36" s="66" t="str">
        <f>'Necesidades Trimestrales'!F34</f>
        <v>UNIDAD</v>
      </c>
      <c r="J36" s="67">
        <f>'Necesidades Trimestrales'!H34</f>
        <v>676</v>
      </c>
      <c r="K36" s="68">
        <f>'Necesidades Trimestrales'!G34</f>
        <v>15</v>
      </c>
    </row>
    <row r="37" spans="1:11" ht="43.15" customHeight="1" thickBot="1" x14ac:dyDescent="0.25">
      <c r="A37" s="8">
        <v>26</v>
      </c>
      <c r="B37" s="64" t="str">
        <f>'Necesidades Trimestrales'!B35</f>
        <v>2.3.1-6590.465</v>
      </c>
      <c r="C37" s="100" t="str">
        <f>'Necesidades Trimestrales'!E35</f>
        <v>SOBRES DE PAPEL; TIPO: BOLSA MANILA, TAMAÑO: 30 X 40 Cm, GRAMAJE: 90 GR/M2, PRESENTACION: UNIDAD, CERTIFICADO FORESTAL (GFS): SIN, PORC. FIBRAS RECICLADAS: 0 %</v>
      </c>
      <c r="D37" s="100"/>
      <c r="E37" s="100"/>
      <c r="F37" s="100"/>
      <c r="G37" s="100"/>
      <c r="H37" s="65" t="s">
        <v>58</v>
      </c>
      <c r="I37" s="66" t="str">
        <f>'Necesidades Trimestrales'!F35</f>
        <v>UNIDAD</v>
      </c>
      <c r="J37" s="67">
        <f>'Necesidades Trimestrales'!H35</f>
        <v>18</v>
      </c>
      <c r="K37" s="68">
        <f>'Necesidades Trimestrales'!G35</f>
        <v>1700</v>
      </c>
    </row>
    <row r="38" spans="1:11" ht="51.6" customHeight="1" thickBot="1" x14ac:dyDescent="0.25">
      <c r="A38" s="8">
        <v>27</v>
      </c>
      <c r="B38" s="64" t="str">
        <f>'Necesidades Trimestrales'!B36</f>
        <v>2.3.1-6590.531</v>
      </c>
      <c r="C38" s="100" t="str">
        <f>'Necesidades Trimestrales'!E36</f>
        <v>SOBRES DE PAPEL; TIPO: MANILA, TAMAÑO: 37 X 45 Cm, GRAMAJE: 80 GR/M2, PRESENTACION: ENVASE X 100 UN, CERTIFICADO FORESTAL (GFS): SIN, PORC. FIBRAS RECICLADAS: 0 %, CERT. FIBRA ALTERNATIVA (FCA): SIN</v>
      </c>
      <c r="D38" s="100"/>
      <c r="E38" s="100"/>
      <c r="F38" s="100"/>
      <c r="G38" s="100"/>
      <c r="H38" s="65" t="s">
        <v>58</v>
      </c>
      <c r="I38" s="66" t="str">
        <f>'Necesidades Trimestrales'!F36</f>
        <v>UNIDAD</v>
      </c>
      <c r="J38" s="67">
        <f>'Necesidades Trimestrales'!H36</f>
        <v>3000</v>
      </c>
      <c r="K38" s="68">
        <f>'Necesidades Trimestrales'!G36</f>
        <v>10</v>
      </c>
    </row>
    <row r="39" spans="1:11" ht="31.9" customHeight="1" thickBot="1" x14ac:dyDescent="0.25">
      <c r="A39" s="8">
        <v>28</v>
      </c>
      <c r="B39" s="64" t="str">
        <f>'Necesidades Trimestrales'!B37</f>
        <v>2.9.2-1450.36</v>
      </c>
      <c r="C39" s="100" t="str">
        <f>'Necesidades Trimestrales'!E37</f>
        <v xml:space="preserve">TINTAS P/SELLOS; TIPO DE SELLO: DE GOMA, PRESENTACION: ENVASE X 28 CM3  </v>
      </c>
      <c r="D39" s="100"/>
      <c r="E39" s="100"/>
      <c r="F39" s="100"/>
      <c r="G39" s="100"/>
      <c r="H39" s="65" t="s">
        <v>58</v>
      </c>
      <c r="I39" s="66" t="str">
        <f>'Necesidades Trimestrales'!F37</f>
        <v>UNIDAD</v>
      </c>
      <c r="J39" s="67">
        <f>'Necesidades Trimestrales'!H37</f>
        <v>146.69999999999999</v>
      </c>
      <c r="K39" s="68">
        <f>'Necesidades Trimestrales'!G37</f>
        <v>20</v>
      </c>
    </row>
    <row r="40" spans="1:11" ht="31.9" customHeight="1" thickBot="1" x14ac:dyDescent="0.25">
      <c r="A40" s="8">
        <v>29</v>
      </c>
      <c r="B40" s="64" t="str">
        <f>'Necesidades Trimestrales'!B38</f>
        <v>2.9.2-1354.28</v>
      </c>
      <c r="C40" s="100" t="str">
        <f>'Necesidades Trimestrales'!E38</f>
        <v>RESALTADORES; PUNTA: FINA, ACCESORIO: SIN, COLOR: AMARILLO, TIPO PUNTA: FINA</v>
      </c>
      <c r="D40" s="100"/>
      <c r="E40" s="100"/>
      <c r="F40" s="100"/>
      <c r="G40" s="100"/>
      <c r="H40" s="65" t="s">
        <v>58</v>
      </c>
      <c r="I40" s="66" t="str">
        <f>'Necesidades Trimestrales'!F38</f>
        <v>UNIDAD</v>
      </c>
      <c r="J40" s="67">
        <f>'Necesidades Trimestrales'!H38</f>
        <v>67.349999999999994</v>
      </c>
      <c r="K40" s="68">
        <f>'Necesidades Trimestrales'!G38</f>
        <v>200</v>
      </c>
    </row>
    <row r="41" spans="1:11" ht="38.450000000000003" customHeight="1" thickBot="1" x14ac:dyDescent="0.25">
      <c r="A41" s="8">
        <v>30</v>
      </c>
      <c r="B41" s="64" t="str">
        <f>'Necesidades Trimestrales'!B39</f>
        <v>2.9.2-1354.4</v>
      </c>
      <c r="C41" s="100" t="str">
        <f>'Necesidades Trimestrales'!E39</f>
        <v>RESALTADORES; ACCESORIO: CON CLIPS, COLOR: ROJO, PUNTA: 5 (CHANFLEADA) mm, TIPO PUNTA: 5 (CHANFLEADA) mm</v>
      </c>
      <c r="D41" s="100"/>
      <c r="E41" s="100"/>
      <c r="F41" s="100"/>
      <c r="G41" s="100"/>
      <c r="H41" s="65" t="s">
        <v>58</v>
      </c>
      <c r="I41" s="66" t="str">
        <f>'Necesidades Trimestrales'!F39</f>
        <v>UNIDAD</v>
      </c>
      <c r="J41" s="67">
        <f>'Necesidades Trimestrales'!H39</f>
        <v>84.54</v>
      </c>
      <c r="K41" s="68">
        <f>'Necesidades Trimestrales'!G39</f>
        <v>200</v>
      </c>
    </row>
    <row r="42" spans="1:11" ht="38.450000000000003" customHeight="1" thickBot="1" x14ac:dyDescent="0.25">
      <c r="A42" s="8">
        <v>31</v>
      </c>
      <c r="B42" s="64" t="str">
        <f>'Necesidades Trimestrales'!B40</f>
        <v>2.9.2-661.25</v>
      </c>
      <c r="C42" s="100" t="str">
        <f>'Necesidades Trimestrales'!E40</f>
        <v>GOMAS DE BORRAR; USO: LAPIZ Y TINTA, DIMENSION: 55 X 17 mm, MATERIAL: CAUCHO, CANT. X CAJA: UNIDAD, PRESENTACION: UNIDAD</v>
      </c>
      <c r="D42" s="100"/>
      <c r="E42" s="100"/>
      <c r="F42" s="100"/>
      <c r="G42" s="100"/>
      <c r="H42" s="65" t="s">
        <v>58</v>
      </c>
      <c r="I42" s="66" t="str">
        <f>'Necesidades Trimestrales'!F40</f>
        <v>UNIDAD</v>
      </c>
      <c r="J42" s="67">
        <f>'Necesidades Trimestrales'!H40</f>
        <v>32.15</v>
      </c>
      <c r="K42" s="68">
        <f>'Necesidades Trimestrales'!G40</f>
        <v>200</v>
      </c>
    </row>
    <row r="43" spans="1:11" ht="31.9" customHeight="1" thickBot="1" x14ac:dyDescent="0.25">
      <c r="A43" s="8">
        <v>32</v>
      </c>
      <c r="B43" s="64" t="str">
        <f>'Necesidades Trimestrales'!B41</f>
        <v>2.9.2-850.201</v>
      </c>
      <c r="C43" s="100" t="str">
        <f>'Necesidades Trimestrales'!E41</f>
        <v>CAJAS DE ARCHIVO; MATERIAL: CARTON, DIMENSION: 45 X 35 X 25 Cm</v>
      </c>
      <c r="D43" s="100"/>
      <c r="E43" s="100"/>
      <c r="F43" s="100"/>
      <c r="G43" s="100"/>
      <c r="H43" s="65" t="s">
        <v>58</v>
      </c>
      <c r="I43" s="66" t="str">
        <f>'Necesidades Trimestrales'!F41</f>
        <v>UNIDAD</v>
      </c>
      <c r="J43" s="67">
        <f>'Necesidades Trimestrales'!H41</f>
        <v>373.98</v>
      </c>
      <c r="K43" s="68">
        <f>'Necesidades Trimestrales'!G41</f>
        <v>200</v>
      </c>
    </row>
    <row r="44" spans="1:11" ht="37.15" customHeight="1" thickBot="1" x14ac:dyDescent="0.25">
      <c r="A44" s="8">
        <v>33</v>
      </c>
      <c r="B44" s="64" t="str">
        <f>'Necesidades Trimestrales'!B42</f>
        <v>2.9.2-1153.89</v>
      </c>
      <c r="C44" s="100" t="str">
        <f>'Necesidades Trimestrales'!E42</f>
        <v>CINTAS ADHESIVAS; TIPO: TRANSPARENTE, ANCHO: 1,2 Cm, LARGO ROLLO: 50 M, MATERIAL: POLIPROPILENO, ACCESORIO: SIN, LARGO: 50 M</v>
      </c>
      <c r="D44" s="100"/>
      <c r="E44" s="100"/>
      <c r="F44" s="100"/>
      <c r="G44" s="100"/>
      <c r="H44" s="65" t="s">
        <v>58</v>
      </c>
      <c r="I44" s="66" t="str">
        <f>'Necesidades Trimestrales'!F42</f>
        <v>UNIDAD</v>
      </c>
      <c r="J44" s="67">
        <f>'Necesidades Trimestrales'!H42</f>
        <v>96</v>
      </c>
      <c r="K44" s="68">
        <f>'Necesidades Trimestrales'!G42</f>
        <v>50</v>
      </c>
    </row>
    <row r="45" spans="1:11" ht="31.9" customHeight="1" thickBot="1" x14ac:dyDescent="0.25">
      <c r="A45" s="8">
        <v>34</v>
      </c>
      <c r="B45" s="64" t="str">
        <f>'Necesidades Trimestrales'!B43</f>
        <v>2.9.2-291.18</v>
      </c>
      <c r="C45" s="100" t="str">
        <f>'Necesidades Trimestrales'!E43</f>
        <v>ALMOHADILLAS P/SELLOS; MEDIDA: 11 X 8 Cm, MATERIAL: METAL</v>
      </c>
      <c r="D45" s="100"/>
      <c r="E45" s="100"/>
      <c r="F45" s="100"/>
      <c r="G45" s="100"/>
      <c r="H45" s="65" t="s">
        <v>58</v>
      </c>
      <c r="I45" s="66" t="str">
        <f>'Necesidades Trimestrales'!F43</f>
        <v>UNIDAD</v>
      </c>
      <c r="J45" s="67">
        <f>'Necesidades Trimestrales'!H43</f>
        <v>336</v>
      </c>
      <c r="K45" s="68">
        <f>'Necesidades Trimestrales'!G43</f>
        <v>15</v>
      </c>
    </row>
    <row r="46" spans="1:11" ht="36" customHeight="1" thickBot="1" x14ac:dyDescent="0.25">
      <c r="A46" s="8">
        <v>35</v>
      </c>
      <c r="B46" s="64" t="str">
        <f>'Necesidades Trimestrales'!B44</f>
        <v>2.3.1-6587.292</v>
      </c>
      <c r="C46" s="100" t="str">
        <f>'Necesidades Trimestrales'!E44</f>
        <v>PAPELES ENCUADERNADOS; CANT. DE HOJAS: 196, TAMAÑO: 21 X 16 Cm, TIPO: CUADERNO, CERTIFICADO FORESTAL (GFS): SIN, PORC. FIBRAS RECICLADAS: 0 %, CERT. FIBRA ALTERNATIVA (FCA): SIN</v>
      </c>
      <c r="D46" s="100"/>
      <c r="E46" s="100"/>
      <c r="F46" s="100"/>
      <c r="G46" s="100"/>
      <c r="H46" s="65" t="s">
        <v>58</v>
      </c>
      <c r="I46" s="66" t="str">
        <f>'Necesidades Trimestrales'!F44</f>
        <v>UNIDAD</v>
      </c>
      <c r="J46" s="67">
        <f>'Necesidades Trimestrales'!H44</f>
        <v>790</v>
      </c>
      <c r="K46" s="68">
        <f>'Necesidades Trimestrales'!G44</f>
        <v>150</v>
      </c>
    </row>
    <row r="47" spans="1:11" ht="31.9" customHeight="1" thickBot="1" x14ac:dyDescent="0.25">
      <c r="A47" s="8">
        <v>36</v>
      </c>
      <c r="B47" s="64" t="str">
        <f>'Necesidades Trimestrales'!B45</f>
        <v>2.9.2-5042.31</v>
      </c>
      <c r="C47" s="100" t="str">
        <f>'Necesidades Trimestrales'!E45</f>
        <v>TIJERA; USO: P/PAPEL, MATERIAL: ACERO INOXIDABLE, LONG.DE CUERPO: 22 Cm</v>
      </c>
      <c r="D47" s="100"/>
      <c r="E47" s="100"/>
      <c r="F47" s="100"/>
      <c r="G47" s="100"/>
      <c r="H47" s="65" t="s">
        <v>58</v>
      </c>
      <c r="I47" s="66" t="str">
        <f>'Necesidades Trimestrales'!F45</f>
        <v>UNIDAD</v>
      </c>
      <c r="J47" s="67">
        <f>'Necesidades Trimestrales'!H45</f>
        <v>218.5</v>
      </c>
      <c r="K47" s="68">
        <f>'Necesidades Trimestrales'!G45</f>
        <v>25</v>
      </c>
    </row>
    <row r="48" spans="1:11" ht="41.45" customHeight="1" thickBot="1" x14ac:dyDescent="0.25">
      <c r="A48" s="8">
        <v>37</v>
      </c>
      <c r="B48" s="64" t="str">
        <f>'Necesidades Trimestrales'!B46</f>
        <v>2.9.2-2836.2</v>
      </c>
      <c r="C48" s="100" t="str">
        <f>'Necesidades Trimestrales'!E46</f>
        <v>CORTAPAPELES Y GUILLOTINAS; MATERIAL HOJA: ACERO, LARGO: 20 Cm, MANGO: SIN VALOR, ESTUCHE: SIN VALOR</v>
      </c>
      <c r="D48" s="100"/>
      <c r="E48" s="100"/>
      <c r="F48" s="100"/>
      <c r="G48" s="100"/>
      <c r="H48" s="65" t="s">
        <v>58</v>
      </c>
      <c r="I48" s="66" t="str">
        <f>'Necesidades Trimestrales'!F46</f>
        <v>UNIDAD</v>
      </c>
      <c r="J48" s="67">
        <f>'Necesidades Trimestrales'!H46</f>
        <v>129.4</v>
      </c>
      <c r="K48" s="68">
        <f>'Necesidades Trimestrales'!G46</f>
        <v>20</v>
      </c>
    </row>
    <row r="49" spans="1:1024" ht="31.9" customHeight="1" thickBot="1" x14ac:dyDescent="0.25">
      <c r="A49" s="8">
        <v>38</v>
      </c>
      <c r="B49" s="64" t="str">
        <f>'Necesidades Trimestrales'!B47</f>
        <v>2.9.2-1620.1</v>
      </c>
      <c r="C49" s="100" t="str">
        <f>'Necesidades Trimestrales'!E47</f>
        <v>DISCO COMPACTO; TIPO: VIRGEN, CAPACIDAD: 700 MB</v>
      </c>
      <c r="D49" s="100"/>
      <c r="E49" s="100"/>
      <c r="F49" s="100"/>
      <c r="G49" s="100"/>
      <c r="H49" s="65" t="s">
        <v>58</v>
      </c>
      <c r="I49" s="66" t="str">
        <f>'Necesidades Trimestrales'!F47</f>
        <v>UNIDAD</v>
      </c>
      <c r="J49" s="67">
        <f>'Necesidades Trimestrales'!H47</f>
        <v>38.78</v>
      </c>
      <c r="K49" s="68">
        <f>'Necesidades Trimestrales'!G47</f>
        <v>1300</v>
      </c>
    </row>
    <row r="50" spans="1:1024" ht="31.9" customHeight="1" thickBot="1" x14ac:dyDescent="0.25">
      <c r="A50" s="8">
        <v>39</v>
      </c>
      <c r="B50" s="64" t="str">
        <f>'Necesidades Trimestrales'!B48</f>
        <v>2.9.2-8819.1</v>
      </c>
      <c r="C50" s="100" t="str">
        <f>'Necesidades Trimestrales'!E48</f>
        <v>DISCO VERSATIL DIGITAL (DVD) ; CAPACIDAD: 4,7 Gb, TIPO: GRABABLE</v>
      </c>
      <c r="D50" s="100"/>
      <c r="E50" s="100"/>
      <c r="F50" s="100"/>
      <c r="G50" s="100"/>
      <c r="H50" s="65" t="s">
        <v>58</v>
      </c>
      <c r="I50" s="66" t="str">
        <f>'Necesidades Trimestrales'!F48</f>
        <v>UNIDAD</v>
      </c>
      <c r="J50" s="67">
        <f>'Necesidades Trimestrales'!H48</f>
        <v>150</v>
      </c>
      <c r="K50" s="68">
        <f>'Necesidades Trimestrales'!G48</f>
        <v>300</v>
      </c>
    </row>
    <row r="51" spans="1:1024" ht="42.75" customHeight="1" thickBot="1" x14ac:dyDescent="0.25">
      <c r="A51" s="101" t="s">
        <v>190</v>
      </c>
      <c r="B51" s="101"/>
      <c r="C51" s="101"/>
      <c r="D51" s="101"/>
      <c r="E51" s="101"/>
      <c r="F51" s="101"/>
      <c r="G51" s="101"/>
      <c r="H51" s="101"/>
      <c r="I51" s="101"/>
      <c r="J51" s="102">
        <f>SUMPRODUCT(J12:J50,K12:K50)</f>
        <v>1402536.5</v>
      </c>
      <c r="K51" s="102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</sheetData>
  <mergeCells count="6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51:I51"/>
    <mergeCell ref="J51:K51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40:G40"/>
    <mergeCell ref="C41:G41"/>
    <mergeCell ref="C44:G44"/>
    <mergeCell ref="C45:G45"/>
    <mergeCell ref="C18:G18"/>
    <mergeCell ref="C19:G19"/>
    <mergeCell ref="C20:G20"/>
    <mergeCell ref="C21:G21"/>
    <mergeCell ref="C22:G22"/>
    <mergeCell ref="C42:G42"/>
    <mergeCell ref="C43:G43"/>
    <mergeCell ref="C23:G23"/>
    <mergeCell ref="C24:G24"/>
    <mergeCell ref="C25:G25"/>
    <mergeCell ref="C35:G35"/>
    <mergeCell ref="C36:G36"/>
    <mergeCell ref="C37:G37"/>
    <mergeCell ref="C38:G38"/>
    <mergeCell ref="C39:G39"/>
    <mergeCell ref="C30:G30"/>
    <mergeCell ref="C31:G31"/>
    <mergeCell ref="C32:G32"/>
    <mergeCell ref="C33:G33"/>
    <mergeCell ref="C34:G34"/>
    <mergeCell ref="C50:G50"/>
    <mergeCell ref="C48:G48"/>
    <mergeCell ref="C49:G49"/>
    <mergeCell ref="C46:G46"/>
    <mergeCell ref="C47:G47"/>
  </mergeCells>
  <printOptions horizontalCentered="1"/>
  <pageMargins left="0.19685039370078741" right="0.19685039370078741" top="0.71" bottom="0.61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130" zoomScaleNormal="130" workbookViewId="0">
      <selection activeCell="A30" sqref="A3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6" t="s">
        <v>3</v>
      </c>
      <c r="B1" s="136"/>
      <c r="C1" s="136"/>
      <c r="D1" s="137">
        <f>'Necesidades Trimestrales'!C6</f>
        <v>2021</v>
      </c>
      <c r="E1" s="137"/>
      <c r="F1" s="10"/>
      <c r="G1" s="10"/>
      <c r="H1" s="11"/>
      <c r="I1" s="11"/>
      <c r="J1" s="11"/>
      <c r="K1" s="11"/>
      <c r="L1" s="11"/>
      <c r="M1" s="11"/>
      <c r="N1" s="11"/>
      <c r="P1" s="138" t="s">
        <v>32</v>
      </c>
      <c r="Q1" s="13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8"/>
      <c r="Q2" s="138"/>
    </row>
    <row r="4" spans="1:17" s="12" customFormat="1" ht="18" customHeight="1" thickBot="1" x14ac:dyDescent="0.25">
      <c r="A4" s="139" t="s">
        <v>33</v>
      </c>
      <c r="B4" s="139"/>
      <c r="C4" s="139"/>
      <c r="D4" s="139"/>
      <c r="E4" s="139"/>
      <c r="F4" s="139"/>
      <c r="G4" s="134" t="str">
        <f>NotaPedido!D3</f>
        <v>40 - Ministerio de Salud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7" s="12" customFormat="1" ht="18" customHeight="1" thickBot="1" x14ac:dyDescent="0.25">
      <c r="A5" s="131" t="s">
        <v>56</v>
      </c>
      <c r="B5" s="132"/>
      <c r="C5" s="132"/>
      <c r="D5" s="132"/>
      <c r="E5" s="132"/>
      <c r="F5" s="133"/>
      <c r="G5" s="134" t="str">
        <f>NotaPedido!D4</f>
        <v>23 - Hospital Interzonal San Juan Bautista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12" customFormat="1" ht="18" customHeight="1" thickBot="1" x14ac:dyDescent="0.25">
      <c r="A6" s="131" t="s">
        <v>34</v>
      </c>
      <c r="B6" s="132"/>
      <c r="C6" s="132"/>
      <c r="D6" s="132"/>
      <c r="E6" s="132"/>
      <c r="F6" s="133"/>
      <c r="G6" s="134" t="str">
        <f>NotaPedido!D5</f>
        <v>237 - Direccion de Mantenimiento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7" s="12" customFormat="1" ht="18" customHeight="1" thickBot="1" x14ac:dyDescent="0.25">
      <c r="A7" s="131" t="s">
        <v>57</v>
      </c>
      <c r="B7" s="132"/>
      <c r="C7" s="132"/>
      <c r="D7" s="132"/>
      <c r="E7" s="132"/>
      <c r="F7" s="133"/>
      <c r="G7" s="134" t="str">
        <f>NotaPedido!D6</f>
        <v>Deposito Central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7" ht="18" customHeight="1" thickBot="1" x14ac:dyDescent="0.25">
      <c r="A8" s="135" t="s">
        <v>35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7" ht="18" customHeight="1" x14ac:dyDescent="0.2">
      <c r="A9" s="125" t="s">
        <v>36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13"/>
    </row>
    <row r="10" spans="1:17" ht="54.75" customHeight="1" x14ac:dyDescent="0.2">
      <c r="A10" s="126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064 - 2021,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7" t="s">
        <v>37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x14ac:dyDescent="0.2">
      <c r="A13" s="128" t="s">
        <v>38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39</v>
      </c>
      <c r="P13" s="129"/>
      <c r="Q13" s="130" t="s">
        <v>40</v>
      </c>
    </row>
    <row r="14" spans="1:17" ht="15.75" customHeight="1" thickBot="1" x14ac:dyDescent="0.25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9"/>
      <c r="P14" s="129"/>
      <c r="Q14" s="130"/>
    </row>
    <row r="15" spans="1:17" ht="17.25" customHeight="1" x14ac:dyDescent="0.2">
      <c r="A15" s="71">
        <v>33</v>
      </c>
      <c r="B15" s="72"/>
      <c r="C15" s="72"/>
      <c r="D15" s="72">
        <v>4</v>
      </c>
      <c r="E15" s="72"/>
      <c r="F15" s="72">
        <v>4901</v>
      </c>
      <c r="G15" s="72">
        <v>3</v>
      </c>
      <c r="H15" s="73" t="s">
        <v>61</v>
      </c>
      <c r="I15" s="74">
        <v>2</v>
      </c>
      <c r="J15" s="74">
        <v>3</v>
      </c>
      <c r="K15" s="74">
        <v>1</v>
      </c>
      <c r="L15" s="72"/>
      <c r="M15" s="75">
        <v>1</v>
      </c>
      <c r="N15" s="73" t="s">
        <v>62</v>
      </c>
      <c r="O15" s="122" t="s">
        <v>184</v>
      </c>
      <c r="P15" s="122"/>
      <c r="Q15" s="79">
        <v>915286</v>
      </c>
    </row>
    <row r="16" spans="1:17" ht="17.25" customHeight="1" x14ac:dyDescent="0.2">
      <c r="A16" s="23">
        <v>33</v>
      </c>
      <c r="B16" s="24"/>
      <c r="C16" s="24"/>
      <c r="D16" s="24">
        <v>4</v>
      </c>
      <c r="E16" s="24"/>
      <c r="F16" s="24">
        <v>4901</v>
      </c>
      <c r="G16" s="24">
        <v>3</v>
      </c>
      <c r="H16" s="69" t="s">
        <v>61</v>
      </c>
      <c r="I16" s="24">
        <v>2</v>
      </c>
      <c r="J16" s="24">
        <v>9</v>
      </c>
      <c r="K16" s="24">
        <v>2</v>
      </c>
      <c r="L16" s="24"/>
      <c r="M16" s="25">
        <v>1</v>
      </c>
      <c r="N16" s="70" t="s">
        <v>62</v>
      </c>
      <c r="O16" s="123" t="s">
        <v>185</v>
      </c>
      <c r="P16" s="123"/>
      <c r="Q16" s="80">
        <v>487250.5</v>
      </c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69"/>
      <c r="I17" s="24"/>
      <c r="J17" s="24"/>
      <c r="K17" s="24"/>
      <c r="L17" s="24"/>
      <c r="M17" s="25"/>
      <c r="N17" s="70"/>
      <c r="O17" s="123"/>
      <c r="P17" s="123"/>
      <c r="Q17" s="80"/>
      <c r="S17" s="76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69"/>
      <c r="I18" s="24"/>
      <c r="J18" s="24"/>
      <c r="K18" s="24"/>
      <c r="L18" s="24"/>
      <c r="M18" s="25"/>
      <c r="N18" s="70"/>
      <c r="O18" s="124"/>
      <c r="P18" s="117"/>
      <c r="Q18" s="27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7"/>
      <c r="P19" s="117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7"/>
      <c r="P20" s="117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8"/>
      <c r="P21" s="118"/>
      <c r="Q21" s="27"/>
      <c r="R21" s="1"/>
    </row>
    <row r="22" spans="1:19" ht="17.25" customHeight="1" thickBot="1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19"/>
      <c r="P22" s="119"/>
      <c r="Q22" s="36"/>
    </row>
    <row r="23" spans="1:19" ht="28.9" customHeight="1" thickBot="1" x14ac:dyDescent="0.25">
      <c r="A23" s="120" t="s">
        <v>191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81">
        <f>SUM(Q15:Q22)</f>
        <v>1402536.5</v>
      </c>
    </row>
    <row r="24" spans="1:19" ht="18" customHeight="1" thickBot="1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</row>
    <row r="25" spans="1:19" ht="17.25" customHeight="1" thickBot="1" x14ac:dyDescent="0.25">
      <c r="A25" s="112" t="s">
        <v>54</v>
      </c>
      <c r="B25" s="113"/>
      <c r="C25" s="113"/>
      <c r="D25" s="113"/>
      <c r="E25" s="113"/>
      <c r="F25" s="114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</row>
    <row r="26" spans="1:19" ht="18" customHeight="1" thickBot="1" x14ac:dyDescent="0.25">
      <c r="A26" s="116" t="str">
        <f>"Para la "&amp; NotaPedido!D8 &amp;" para ser destinados al " &amp; NotaPedido!D6 &amp;"  del HISJB del Ministerio de Salud."</f>
        <v>Para la Adquisición de Articulos de Librería  para ser destinados al Deposito Central  del HISJB del Ministerio de Salud.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</row>
    <row r="27" spans="1:19" ht="15" customHeight="1" x14ac:dyDescent="0.2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2021-06-16T11:41:12Z</cp:lastPrinted>
  <dcterms:created xsi:type="dcterms:W3CDTF">2020-07-17T23:44:49Z</dcterms:created>
  <dcterms:modified xsi:type="dcterms:W3CDTF">2021-06-29T14:44:54Z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