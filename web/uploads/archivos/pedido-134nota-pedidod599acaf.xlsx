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20" yWindow="-120" windowWidth="29040" windowHeight="15840"/>
  </bookViews>
  <sheets>
    <sheet name="SAF 011" sheetId="1" r:id="rId1"/>
    <sheet name="NP FARMACIA" sheetId="2" r:id="rId2"/>
    <sheet name="NP LABORATORIO" sheetId="4" r:id="rId3"/>
    <sheet name="NP BANCO DE SANGRE" sheetId="6" r:id="rId4"/>
    <sheet name="APG FARMACIA" sheetId="3" r:id="rId5"/>
    <sheet name="NP ODONTOLOGIA" sheetId="8" r:id="rId6"/>
    <sheet name="APG ODONTOLOGIA" sheetId="9" r:id="rId7"/>
    <sheet name="NP SAME" sheetId="10" r:id="rId8"/>
    <sheet name="APG SAME" sheetId="11" r:id="rId9"/>
  </sheets>
  <externalReferences>
    <externalReference r:id="rId10"/>
  </externalReferences>
  <definedNames>
    <definedName name="_xlnm._FilterDatabase" localSheetId="0" hidden="1">'SAF 011'!$A$9:$AZ$22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B14" i="1" l="1"/>
  <c r="BB18" i="1"/>
  <c r="BB19" i="1"/>
  <c r="BI11" i="1"/>
  <c r="BJ11" i="1" s="1"/>
  <c r="BI12" i="1"/>
  <c r="BJ12" i="1" s="1"/>
  <c r="BI13" i="1"/>
  <c r="BJ13" i="1" s="1"/>
  <c r="BI14" i="1"/>
  <c r="BJ14" i="1" s="1"/>
  <c r="BI15" i="1"/>
  <c r="BJ15" i="1" s="1"/>
  <c r="BI16" i="1"/>
  <c r="BJ16" i="1" s="1"/>
  <c r="BI17" i="1"/>
  <c r="BJ17" i="1" s="1"/>
  <c r="BI18" i="1"/>
  <c r="BJ18" i="1" s="1"/>
  <c r="BI19" i="1"/>
  <c r="BJ19" i="1" s="1"/>
  <c r="BI20" i="1"/>
  <c r="BJ20" i="1" s="1"/>
  <c r="BI21" i="1"/>
  <c r="BJ21" i="1" s="1"/>
  <c r="BI10" i="1"/>
  <c r="BJ10" i="1" s="1"/>
  <c r="BG11" i="1"/>
  <c r="BH11" i="1" s="1"/>
  <c r="BG12" i="1"/>
  <c r="BH12" i="1" s="1"/>
  <c r="BG13" i="1"/>
  <c r="BH13" i="1" s="1"/>
  <c r="BG14" i="1"/>
  <c r="BH14" i="1" s="1"/>
  <c r="BG15" i="1"/>
  <c r="BH15" i="1" s="1"/>
  <c r="BG16" i="1"/>
  <c r="BH16" i="1" s="1"/>
  <c r="BG17" i="1"/>
  <c r="BH17" i="1" s="1"/>
  <c r="BG18" i="1"/>
  <c r="BH18" i="1" s="1"/>
  <c r="BG19" i="1"/>
  <c r="BH19" i="1" s="1"/>
  <c r="BG20" i="1"/>
  <c r="BH20" i="1" s="1"/>
  <c r="BG21" i="1"/>
  <c r="BH21" i="1" s="1"/>
  <c r="BG10" i="1"/>
  <c r="BH10" i="1" s="1"/>
  <c r="BE11" i="1"/>
  <c r="BF11" i="1" s="1"/>
  <c r="BE12" i="1"/>
  <c r="BF12" i="1" s="1"/>
  <c r="BE13" i="1"/>
  <c r="BF13" i="1" s="1"/>
  <c r="BE14" i="1"/>
  <c r="BF14" i="1" s="1"/>
  <c r="BE15" i="1"/>
  <c r="BF15" i="1" s="1"/>
  <c r="BE16" i="1"/>
  <c r="BF16" i="1" s="1"/>
  <c r="BE17" i="1"/>
  <c r="BF17" i="1" s="1"/>
  <c r="BE18" i="1"/>
  <c r="BF18" i="1" s="1"/>
  <c r="BE19" i="1"/>
  <c r="BF19" i="1" s="1"/>
  <c r="BE20" i="1"/>
  <c r="BF20" i="1" s="1"/>
  <c r="BE21" i="1"/>
  <c r="BF21" i="1" s="1"/>
  <c r="BE10" i="1"/>
  <c r="BF10" i="1" s="1"/>
  <c r="BD11" i="1" l="1"/>
  <c r="BD12" i="1"/>
  <c r="BD13" i="1"/>
  <c r="BD14" i="1"/>
  <c r="BD15" i="1"/>
  <c r="BD16" i="1"/>
  <c r="BD17" i="1"/>
  <c r="BD18" i="1"/>
  <c r="BD19" i="1"/>
  <c r="BD20" i="1"/>
  <c r="BD21" i="1"/>
  <c r="BD10" i="1"/>
  <c r="K13" i="10" l="1"/>
  <c r="J13" i="10"/>
  <c r="I13" i="10"/>
  <c r="C13" i="10"/>
  <c r="B13" i="10"/>
  <c r="B12" i="10"/>
  <c r="B12" i="8"/>
  <c r="M12" i="8" s="1"/>
  <c r="B13" i="8"/>
  <c r="M13" i="8" s="1"/>
  <c r="C12" i="8"/>
  <c r="O12" i="8" s="1"/>
  <c r="C13" i="8"/>
  <c r="O13" i="8" s="1"/>
  <c r="I12" i="8"/>
  <c r="I13" i="8"/>
  <c r="J12" i="8"/>
  <c r="J13" i="8"/>
  <c r="K12" i="8"/>
  <c r="K13" i="8"/>
  <c r="B13" i="6"/>
  <c r="M13" i="6" s="1"/>
  <c r="B12" i="6"/>
  <c r="M12" i="6" s="1"/>
  <c r="B12" i="4"/>
  <c r="M12" i="4" s="1"/>
  <c r="K13" i="2"/>
  <c r="K14" i="2"/>
  <c r="K15" i="2"/>
  <c r="K16" i="2"/>
  <c r="K17" i="2"/>
  <c r="K18" i="2"/>
  <c r="J13" i="2"/>
  <c r="J14" i="2"/>
  <c r="J15" i="2"/>
  <c r="J16" i="2"/>
  <c r="J17" i="2"/>
  <c r="J18" i="2"/>
  <c r="I13" i="2"/>
  <c r="I14" i="2"/>
  <c r="I15" i="2"/>
  <c r="I16" i="2"/>
  <c r="I17" i="2"/>
  <c r="I18" i="2"/>
  <c r="C13" i="2"/>
  <c r="O13" i="2" s="1"/>
  <c r="C14" i="2"/>
  <c r="O14" i="2" s="1"/>
  <c r="C15" i="2"/>
  <c r="O15" i="2" s="1"/>
  <c r="C16" i="2"/>
  <c r="O16" i="2" s="1"/>
  <c r="C17" i="2"/>
  <c r="O17" i="2" s="1"/>
  <c r="C18" i="2"/>
  <c r="O18" i="2" s="1"/>
  <c r="B13" i="2"/>
  <c r="M13" i="2" s="1"/>
  <c r="B14" i="2"/>
  <c r="M14" i="2" s="1"/>
  <c r="B15" i="2"/>
  <c r="M15" i="2" s="1"/>
  <c r="B16" i="2"/>
  <c r="M16" i="2" s="1"/>
  <c r="B17" i="2"/>
  <c r="M17" i="2" s="1"/>
  <c r="B18" i="2"/>
  <c r="M18" i="2" s="1"/>
  <c r="B12" i="2"/>
  <c r="M12" i="2" s="1"/>
  <c r="K18" i="8" l="1"/>
  <c r="L23" i="2"/>
  <c r="K19" i="8"/>
  <c r="N14" i="2"/>
  <c r="N17" i="2"/>
  <c r="N13" i="2"/>
  <c r="N13" i="8"/>
  <c r="Q15" i="9" s="1"/>
  <c r="N12" i="8"/>
  <c r="Q16" i="9" s="1"/>
  <c r="N16" i="2"/>
  <c r="N18" i="2"/>
  <c r="N15" i="2"/>
  <c r="M23" i="2" l="1"/>
  <c r="Q15" i="3"/>
  <c r="K12" i="10"/>
  <c r="J12" i="10"/>
  <c r="I12" i="10"/>
  <c r="C12" i="10"/>
  <c r="K12" i="6" l="1"/>
  <c r="K13" i="6"/>
  <c r="K12" i="4"/>
  <c r="A40" i="11"/>
  <c r="G7" i="11"/>
  <c r="G6" i="11"/>
  <c r="M13" i="10"/>
  <c r="M12" i="10"/>
  <c r="D4" i="10"/>
  <c r="G5" i="11" s="1"/>
  <c r="D3" i="10"/>
  <c r="G4" i="11" s="1"/>
  <c r="A41" i="9"/>
  <c r="G7" i="9"/>
  <c r="G6" i="9"/>
  <c r="D4" i="8"/>
  <c r="G5" i="9" s="1"/>
  <c r="D3" i="8"/>
  <c r="G4" i="9" s="1"/>
  <c r="J13" i="6"/>
  <c r="N13" i="6" s="1"/>
  <c r="I13" i="6"/>
  <c r="C13" i="6"/>
  <c r="O13" i="6" s="1"/>
  <c r="J12" i="6"/>
  <c r="I12" i="6"/>
  <c r="C12" i="6"/>
  <c r="O12" i="6" s="1"/>
  <c r="D4" i="6"/>
  <c r="D3" i="6"/>
  <c r="J12" i="4"/>
  <c r="I12" i="4"/>
  <c r="C12" i="4"/>
  <c r="O12" i="4" s="1"/>
  <c r="D4" i="4"/>
  <c r="D3" i="4"/>
  <c r="A41" i="3"/>
  <c r="K12" i="2"/>
  <c r="J12" i="2"/>
  <c r="I12" i="2"/>
  <c r="C12" i="2"/>
  <c r="O12" i="2" s="1"/>
  <c r="K16" i="4" l="1"/>
  <c r="L22" i="2"/>
  <c r="J17" i="6"/>
  <c r="N12" i="6"/>
  <c r="N12" i="2"/>
  <c r="Q38" i="9"/>
  <c r="M15" i="10"/>
  <c r="N15" i="8"/>
  <c r="J15" i="8" s="1"/>
  <c r="N12" i="4"/>
  <c r="N14" i="4" s="1"/>
  <c r="G6" i="3"/>
  <c r="G7" i="3"/>
  <c r="D4" i="2"/>
  <c r="G5" i="3" s="1"/>
  <c r="D3" i="2"/>
  <c r="G4" i="3" s="1"/>
  <c r="M22" i="2" l="1"/>
  <c r="M24" i="2" s="1"/>
  <c r="M25" i="2" s="1"/>
  <c r="Q16" i="3"/>
  <c r="J14" i="4"/>
  <c r="N20" i="2"/>
  <c r="N22" i="2" s="1"/>
  <c r="J15" i="10"/>
  <c r="Q15" i="11"/>
  <c r="Q37" i="11" s="1"/>
  <c r="N15" i="6"/>
  <c r="J15" i="6" s="1"/>
  <c r="AW17" i="1"/>
  <c r="X17" i="1"/>
  <c r="V17" i="1"/>
  <c r="T17" i="1"/>
  <c r="N17" i="1"/>
  <c r="L17" i="1"/>
  <c r="AW18" i="1"/>
  <c r="X18" i="1"/>
  <c r="V18" i="1"/>
  <c r="T18" i="1"/>
  <c r="N18" i="1"/>
  <c r="L18" i="1"/>
  <c r="AW14" i="1"/>
  <c r="X14" i="1"/>
  <c r="V14" i="1"/>
  <c r="T14" i="1"/>
  <c r="N14" i="1"/>
  <c r="L14" i="1"/>
  <c r="AW16" i="1"/>
  <c r="X16" i="1"/>
  <c r="V16" i="1"/>
  <c r="T16" i="1"/>
  <c r="N16" i="1"/>
  <c r="L16" i="1"/>
  <c r="AW20" i="1"/>
  <c r="X20" i="1"/>
  <c r="V20" i="1"/>
  <c r="T20" i="1"/>
  <c r="N20" i="1"/>
  <c r="L20" i="1"/>
  <c r="AW15" i="1"/>
  <c r="X15" i="1"/>
  <c r="V15" i="1"/>
  <c r="T15" i="1"/>
  <c r="N15" i="1"/>
  <c r="L15" i="1"/>
  <c r="AW21" i="1"/>
  <c r="X21" i="1"/>
  <c r="V21" i="1"/>
  <c r="T21" i="1"/>
  <c r="N21" i="1"/>
  <c r="L21" i="1"/>
  <c r="AW19" i="1"/>
  <c r="X19" i="1"/>
  <c r="V19" i="1"/>
  <c r="T19" i="1"/>
  <c r="N19" i="1"/>
  <c r="L19" i="1"/>
  <c r="AW11" i="1"/>
  <c r="X11" i="1"/>
  <c r="V11" i="1"/>
  <c r="T11" i="1"/>
  <c r="N11" i="1"/>
  <c r="L11" i="1"/>
  <c r="AW12" i="1"/>
  <c r="X12" i="1"/>
  <c r="V12" i="1"/>
  <c r="T12" i="1"/>
  <c r="N12" i="1"/>
  <c r="L12" i="1"/>
  <c r="AW13" i="1"/>
  <c r="X13" i="1"/>
  <c r="V13" i="1"/>
  <c r="T13" i="1"/>
  <c r="N13" i="1"/>
  <c r="L13" i="1"/>
  <c r="AW10" i="1"/>
  <c r="X10" i="1"/>
  <c r="V10" i="1"/>
  <c r="T10" i="1"/>
  <c r="N10" i="1"/>
  <c r="L10" i="1"/>
  <c r="AY10" i="1" l="1"/>
  <c r="BK10" i="1" s="1"/>
  <c r="AY12" i="1"/>
  <c r="BK12" i="1" s="1"/>
  <c r="AY19" i="1"/>
  <c r="BK19" i="1" s="1"/>
  <c r="AY15" i="1"/>
  <c r="BK15" i="1" s="1"/>
  <c r="AY16" i="1"/>
  <c r="BK16" i="1" s="1"/>
  <c r="AY18" i="1"/>
  <c r="BK18" i="1" s="1"/>
  <c r="AY13" i="1"/>
  <c r="BK13" i="1" s="1"/>
  <c r="AY11" i="1"/>
  <c r="BK11" i="1" s="1"/>
  <c r="AY21" i="1"/>
  <c r="BK21" i="1" s="1"/>
  <c r="AY20" i="1"/>
  <c r="BK20" i="1" s="1"/>
  <c r="AY14" i="1"/>
  <c r="BK14" i="1" s="1"/>
  <c r="AY17" i="1"/>
  <c r="BK17" i="1" s="1"/>
  <c r="X22" i="1"/>
  <c r="L22" i="1"/>
  <c r="T22" i="1"/>
  <c r="N22" i="1"/>
  <c r="V22" i="1"/>
  <c r="J20" i="2"/>
  <c r="AY22" i="1" l="1"/>
  <c r="Q38" i="3"/>
</calcChain>
</file>

<file path=xl/sharedStrings.xml><?xml version="1.0" encoding="utf-8"?>
<sst xmlns="http://schemas.openxmlformats.org/spreadsheetml/2006/main" count="360" uniqueCount="176">
  <si>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</si>
  <si>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</si>
  <si>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</si>
  <si>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</si>
  <si>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</si>
  <si>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</si>
  <si>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</si>
  <si>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</si>
  <si>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</si>
  <si>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</si>
  <si>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</si>
  <si>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</si>
  <si>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</si>
  <si>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</si>
  <si>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</si>
  <si>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</si>
  <si>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</si>
  <si>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</si>
  <si>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</si>
  <si>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</si>
  <si>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</si>
  <si>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</si>
  <si>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</si>
  <si>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</si>
  <si>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</si>
  <si>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</si>
  <si>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</si>
  <si>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</si>
  <si>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</si>
  <si>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</si>
  <si>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</si>
  <si>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</si>
  <si>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</si>
  <si>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</si>
  <si>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</si>
  <si>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</si>
  <si>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</si>
  <si>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</si>
  <si>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</si>
  <si>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</si>
  <si>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</si>
  <si>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</si>
  <si>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CRONICAS</t>
  </si>
  <si>
    <t>TOTAL CRONICAS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</si>
  <si>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</si>
  <si>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</si>
  <si>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</si>
  <si>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</si>
  <si>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</si>
  <si>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</si>
  <si>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</si>
  <si>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</si>
  <si>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EPIDEMIOLOGIA</t>
  </si>
  <si>
    <t>TOTAL EPIDEMIOLOGIA</t>
  </si>
  <si>
    <t>AREA 1</t>
  </si>
  <si>
    <t>TOTAL AREA 1</t>
  </si>
  <si>
    <t>CANTIDAD TOTAL</t>
  </si>
  <si>
    <t>PRECIO UNITARIO ESTIMADO</t>
  </si>
  <si>
    <t xml:space="preserve">IMPORTE TOTAL ESTIMADO </t>
  </si>
  <si>
    <t>ESPECIFICACION TECNICA</t>
  </si>
  <si>
    <t>UNIDAD</t>
  </si>
  <si>
    <t>CAJA</t>
  </si>
  <si>
    <t>BIDON</t>
  </si>
  <si>
    <t>BOTELLA</t>
  </si>
  <si>
    <t>BAG IN BOX</t>
  </si>
  <si>
    <t>TOTAL RUBRO ANTISEPTICOS Y DESINFECTANTES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</si>
  <si>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</si>
  <si>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</si>
  <si>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</si>
  <si>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</si>
  <si>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</si>
  <si>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</si>
  <si>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</si>
  <si>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</si>
  <si>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</si>
  <si>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</si>
  <si>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</si>
  <si>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</si>
  <si>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</si>
  <si>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</si>
  <si>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</si>
  <si>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</si>
  <si>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</si>
  <si>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</si>
  <si>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</si>
  <si>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</si>
  <si>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</si>
  <si>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</si>
  <si>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</si>
  <si>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</si>
  <si>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</si>
  <si>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</si>
  <si>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</si>
  <si>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</si>
  <si>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</si>
  <si>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</si>
  <si>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</si>
  <si>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</si>
  <si>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</si>
  <si>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</si>
  <si>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</si>
  <si>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</si>
  <si>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</si>
  <si>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</si>
  <si>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</si>
  <si>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</si>
  <si>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</si>
  <si>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</si>
  <si>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</si>
  <si>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</si>
  <si>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DIRECCION PROVINCIAL DE FARMACIA E INSUMOS</t>
  </si>
  <si>
    <t>1.1</t>
  </si>
  <si>
    <t>PRODUCTOS FARMACEUTICOS Y MEDICINALES</t>
  </si>
  <si>
    <t>ADQUISICION DEL RUBRO ANTISEPTICOS Y DESINFECTANTES</t>
  </si>
  <si>
    <t xml:space="preserve"> 12/2022</t>
  </si>
  <si>
    <t>SI</t>
  </si>
  <si>
    <t>COMPUESTOS QUIMICOS</t>
  </si>
  <si>
    <t>Costo total estimado: OCHENTA MIL CUATROCIENTOS CON 00/100.-</t>
  </si>
  <si>
    <t xml:space="preserve"> 02/2022</t>
  </si>
  <si>
    <t>Autorizo la realización de los  trámites correspondientes, a fin de proveer a  este Organismo los bienes que se detallan en Nota  de Pedido N° 02/2022 afectando la erogación resultante a los créditos presupuestarios aprobados a favor de esta Unidad Ejecutora, conforme al siguiente detalle:</t>
  </si>
  <si>
    <t>DIRECCION PROVINCIAL DE LABORATORIO</t>
  </si>
  <si>
    <t xml:space="preserve"> 03/2022</t>
  </si>
  <si>
    <t>DIRECCION PROVINCIAL BANCO DE SANGRE</t>
  </si>
  <si>
    <t>Costo total estimado: CINCUENTA Y UN MIL TRESCIENTOS SESENTA CON 00/100.-</t>
  </si>
  <si>
    <t>Autorizo la realización de los  trámites correspondientes, a fin de proveer a  este Organismo los bienes que se detallan en Nota  de Pedido N° 03/2022 afectando la erogación resultante a los créditos presupuestarios aprobados a favor de esta Unidad Ejecutora, conforme al siguiente detalle:</t>
  </si>
  <si>
    <t>DIRECCION PROVINCIAL DE ODONTOLOGIA</t>
  </si>
  <si>
    <t>Costo total estimado: QUINIENTOS OCHO MIL NOVECIENTOS SESENTA CON 00/100.-</t>
  </si>
  <si>
    <t>TOTAL DE PESOS: QUINIENTOS OCHO MIL NOVECIENTOS SESENTA CON 00/100.-</t>
  </si>
  <si>
    <t>DIRECCION PROVINCIAL SISTEMA DE ATENCION MEDICA DE EMERGENCIA</t>
  </si>
  <si>
    <t>Costo total estimado: DOCE MIL CUATROCIENTOS CINCUENTA Y DOS CON 70/100.-</t>
  </si>
  <si>
    <t>TOTAL DE PESOS: DOCE MIL CUATROCIENTOS CINCUENTA Y DOS CON 70/100.-</t>
  </si>
  <si>
    <t>Costo total estimado: SEISCIENTOS OCHENTA Y UN MIL SEISCIENTOS DIEZ CON 00/100.-</t>
  </si>
  <si>
    <t>Autorizo la realización de los  trámites correspondientes, a fin de proveer a  este Organismo los bienes que se detallan en Nota  de Pedido N° D.P.F.e I. 12/2022 - D.P.L. 02/2022 - D.P.B.S. 03/2022 afectando la erogación resultante a los créditos presupuestarios aprobados a favor de esta Unidad Ejecutora, conforme al siguiente detalle:</t>
  </si>
  <si>
    <t>veinte (20) dias habiles</t>
  </si>
  <si>
    <t>2.5.2-710.4</t>
  </si>
  <si>
    <t>PROD. MEDICO/FARMACEUTICOS/LAB</t>
  </si>
  <si>
    <t>AGUA OXIGENADA; CAPACIDAD: 1000 CM3, VOLUMEN: 10, PRESENTACION: ENVASE X 1000 CM3</t>
  </si>
  <si>
    <t>2.5.2-711.1</t>
  </si>
  <si>
    <t>ALCOHOL USO MEDICINAL; PUREZA: 96 %, PRESENTACION: ENVASE X 500 CM3, CAPACIDAD: 500 CM3</t>
  </si>
  <si>
    <t>2.5.2-711.32</t>
  </si>
  <si>
    <t>ALCOHOL USO MEDICINAL; PUREZA: 96 %, PRESENTACION: ENVASE X 1000 CM3</t>
  </si>
  <si>
    <t>2.5.1-9065.27</t>
  </si>
  <si>
    <t>QUIMICOS</t>
  </si>
  <si>
    <t>DESINFECTANTES Y DETERGENTES; PRINCIPIO ACTIVO: AMONIO CUATERNARIO, CALIDAD: COMERCIAL, CONCENTRACION/PUREZA: 99 %, PRESENTACION: ENVASE X 5 L</t>
  </si>
  <si>
    <t>2.5.2-711.41</t>
  </si>
  <si>
    <t>ALCOHOL USO MEDICINAL; PUREZA: 70 %, PRESENTACION: GEL ENVASE X 250 CM3</t>
  </si>
  <si>
    <t>2.5.2-1726.492</t>
  </si>
  <si>
    <t>SOLUCIONES P/MEDICINA; TIPO: FORMOL AL 40 %, PRESENTACION: ENVASE X 1 L</t>
  </si>
  <si>
    <t>2.5.2-1723.173</t>
  </si>
  <si>
    <t>ANTISEPTICOS LOCALES P/PERSONA; TIPO: MONODROGA, DROGA GENERICA: IODOFORMADA AL 10% , FORMA FARMACEUTICA: GASA, PRESENTACION: DE 10X10, 15 UNIDADES POR PACK</t>
  </si>
  <si>
    <t>2.5.1-9065.53</t>
  </si>
  <si>
    <t>DESINFECTANTES Y DETERGENTES; PRINCIPIO ACTIVO: GLUTARALDEHIDO CON SULFACTANTE, CALIDAD: BIOLOGIA MOLECULAR, CONCENTRACION/PUREZA: 2 %, PRESENTACION: ENVASE X 4 L</t>
  </si>
  <si>
    <t>2.5.2-1723.30</t>
  </si>
  <si>
    <t>ANTISEPTICOS LOCALES P/PERSONA; TIPO: MONODROGA, DROGA GENERICA: IODOPOVIDONA, FORMA FARMACEUTICA: SOLUCION, PRESENTACION: BIDON X 5 L</t>
  </si>
  <si>
    <t>2.5.2-1723.50</t>
  </si>
  <si>
    <t>ANTISEPTICOS LOCALES P/PERSONA; DROGA GENERICA: IODOPOVIDONA 10%, FORMA FARMACEUTICA: SOLUCION, PRESENTACION: ENVASE X 1 L, TIPO: MONODROGA</t>
  </si>
  <si>
    <t>2.9.1-6956.122</t>
  </si>
  <si>
    <t>ELEMENTOS DE LIMPIEZA</t>
  </si>
  <si>
    <t>ARTICULOS DE TOCADOR; TIPO: JABON LIQUIDO HIPOALERGENICO, PRESENTACION: ENVASE X 800 ML BAG IN BOX</t>
  </si>
  <si>
    <t>2.5.2-1723.35</t>
  </si>
  <si>
    <t>ANTISEPTICOS LOCALES P/PERSONA; TIPO: MONODROGA, DROGA GENERICA: NITROFURAZONA, FORMA FARMACEUTICA: SOLUCION, PRESENTACION: FRASCO X 1 L</t>
  </si>
  <si>
    <t>TOTAL DE PESOS: OCHOCIENTOS TRECE MIL TRESCIENTOS SETENTA CON 00/100.-</t>
  </si>
  <si>
    <t>IPP</t>
  </si>
  <si>
    <t>ESPECIFICACION TECNICA PROGRAMACION</t>
  </si>
  <si>
    <t>UTILES MENORES MEDICOS, QUIRURGICOS Y DE LABORATORIO</t>
  </si>
  <si>
    <t>con valvula atomizadora</t>
  </si>
  <si>
    <t xml:space="preserve">Jabón Líquido hipoalergenico. Ph Dérmico. No contiene cloruro de sodio, ni parabenos. Envase BAG IN BOX por 800 ml.Tipo JL4  ADOX. </t>
  </si>
  <si>
    <t>USO HOSPITALARIO. Limpiador para areas criticas en base a amonios cuaternarios de 4TA Generacion.Dilucion 2,5 ml/ litro .Aprobacion ANMAT</t>
  </si>
  <si>
    <t>DETALLE TECNICO Y ESPECIFICACIONES ITEMS 1 AL 12</t>
  </si>
  <si>
    <r>
      <t xml:space="preserve">Descripción técnica: </t>
    </r>
    <r>
      <rPr>
        <sz val="11"/>
        <color theme="1"/>
        <rFont val="Calibri"/>
        <family val="2"/>
        <scheme val="minor"/>
      </rPr>
      <t>con valvula atomizadora</t>
    </r>
  </si>
  <si>
    <r>
      <t>Descripción técnica:</t>
    </r>
    <r>
      <rPr>
        <sz val="11"/>
        <color theme="1"/>
        <rFont val="Calibri"/>
        <family val="2"/>
        <scheme val="minor"/>
      </rPr>
      <t xml:space="preserve"> Jabón Líquido hipoalergenico. Ph Dérmico. No contiene cloruro de sodio, ni parabenos. Envase BAG IN BOX por 800 ml.Tipo JL4  ADOX. </t>
    </r>
  </si>
  <si>
    <t>Especificidades Item N° 5:</t>
  </si>
  <si>
    <t>Especificidades Item N° 10:</t>
  </si>
  <si>
    <t>Especificidades Item N° 9:</t>
  </si>
  <si>
    <r>
      <t xml:space="preserve">Descripción técnica: </t>
    </r>
    <r>
      <rPr>
        <sz val="11"/>
        <color theme="1"/>
        <rFont val="Calibri"/>
        <family val="2"/>
        <scheme val="minor"/>
      </rPr>
      <t>USO HOSPITALARIO. Limpiador para areas criticas en base a amonios cuaternarios de 4TA Generacion.Dilucion 2,5 ml/ litro .Aprobacion ANMAT</t>
    </r>
  </si>
  <si>
    <t>SEMESTRAL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</si>
</sst>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"/>
    <numFmt numFmtId="165" formatCode="_-[$$-2C0A]\ * #,##0.00_-;\-[$$-2C0A]\ * #,##0.00_-;_-[$$-2C0A]\ * &quot;-&quot;??_-;_-@_-"/>
    <numFmt numFmtId="166" formatCode="[$$-2C0A]\ #,##0.00"/>
    <numFmt numFmtId="167" formatCode="_ &quot;$&quot;\ * #,##0.00_ ;_ &quot;$&quot;\ * \-#,##0.00_ ;_ &quot;$&quot;\ * &quot;-&quot;??_ ;_ @_ 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0"/>
      <name val="Times New Roman"/>
      <family val="1"/>
      <charset val="1"/>
    </font>
    <font>
      <b/>
      <u/>
      <sz val="12"/>
      <color theme="0"/>
      <name val="Times New Roman"/>
      <family val="1"/>
      <charset val="1"/>
    </font>
    <font>
      <b/>
      <sz val="11"/>
      <color theme="0"/>
      <name val="Times New Roman"/>
      <family val="1"/>
      <charset val="1"/>
    </font>
    <font>
      <sz val="10"/>
      <color theme="0"/>
      <name val="Times New Roman"/>
      <family val="1"/>
      <charset val="1"/>
    </font>
    <font>
      <sz val="12"/>
      <color theme="0"/>
      <name val="Times New Roman"/>
      <family val="1"/>
      <charset val="1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8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medium">
        <color auto="1"/>
      </right>
      <top/>
      <bottom style="thin">
        <color rgb="FF3D3D3D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9" fillId="0" borderId="0"/>
    <xf numFmtId="167" fontId="9" fillId="0" borderId="0" applyBorder="0" applyAlignment="0" applyProtection="0"/>
    <xf numFmtId="0" fontId="1" fillId="0" borderId="0"/>
    <xf numFmtId="0" fontId="9" fillId="0" borderId="0"/>
    <xf numFmtId="0" fontId="9" fillId="0" borderId="0"/>
    <xf numFmtId="169" fontId="21" fillId="0" borderId="0" applyBorder="0" applyProtection="0"/>
    <xf numFmtId="0" fontId="25" fillId="0" borderId="59" applyProtection="0"/>
    <xf numFmtId="0" fontId="25" fillId="0" borderId="59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9" fillId="0" borderId="0" applyBorder="0" applyAlignment="0" applyProtection="0"/>
    <xf numFmtId="171" fontId="9" fillId="0" borderId="0" applyBorder="0" applyProtection="0"/>
    <xf numFmtId="171" fontId="9" fillId="0" borderId="0" applyBorder="0" applyProtection="0"/>
    <xf numFmtId="171" fontId="9" fillId="0" borderId="0" applyBorder="0" applyProtection="0"/>
    <xf numFmtId="0" fontId="26" fillId="2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30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8" fillId="0" borderId="0" xfId="0" applyFont="1"/>
    <xf numFmtId="0" fontId="10" fillId="0" borderId="0" xfId="0" applyFont="1"/>
    <xf numFmtId="0" fontId="0" fillId="0" borderId="0" xfId="0" applyBorder="1"/>
    <xf numFmtId="0" fontId="27" fillId="0" borderId="9" xfId="5" applyFont="1" applyFill="1" applyBorder="1" applyAlignment="1">
      <alignment horizontal="center" vertical="center" wrapText="1"/>
    </xf>
    <xf numFmtId="0" fontId="27" fillId="0" borderId="20" xfId="5" applyFont="1" applyFill="1" applyBorder="1" applyAlignment="1">
      <alignment horizontal="center" vertical="center" wrapText="1"/>
    </xf>
    <xf numFmtId="0" fontId="27" fillId="0" borderId="20" xfId="5" applyFont="1" applyFill="1" applyBorder="1" applyAlignment="1">
      <alignment horizont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ont="1"/>
    <xf numFmtId="165" fontId="28" fillId="0" borderId="0" xfId="0" applyNumberFormat="1" applyFont="1"/>
    <xf numFmtId="0" fontId="7" fillId="0" borderId="0" xfId="0" applyFont="1"/>
    <xf numFmtId="0" fontId="2" fillId="0" borderId="0" xfId="0" applyFont="1"/>
    <xf numFmtId="165" fontId="30" fillId="0" borderId="0" xfId="0" applyNumberFormat="1" applyFont="1"/>
    <xf numFmtId="0" fontId="33" fillId="0" borderId="0" xfId="0" applyFont="1"/>
    <xf numFmtId="0" fontId="3" fillId="0" borderId="0" xfId="5" applyFont="1" applyFill="1" applyBorder="1" applyAlignment="1">
      <alignment horizontal="left" vertical="center" wrapText="1"/>
    </xf>
    <xf numFmtId="0" fontId="8" fillId="0" borderId="0" xfId="0" applyFont="1" applyBorder="1"/>
    <xf numFmtId="0" fontId="7" fillId="0" borderId="0" xfId="0" applyFont="1" applyBorder="1"/>
    <xf numFmtId="0" fontId="10" fillId="0" borderId="0" xfId="0" applyFont="1" applyBorder="1"/>
    <xf numFmtId="0" fontId="33" fillId="0" borderId="0" xfId="0" applyFont="1" applyBorder="1"/>
    <xf numFmtId="0" fontId="2" fillId="0" borderId="0" xfId="0" applyFont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left" vertical="center" wrapText="1" indent="1"/>
    </xf>
    <xf numFmtId="0" fontId="0" fillId="0" borderId="0" xfId="0" applyFill="1"/>
    <xf numFmtId="165" fontId="0" fillId="0" borderId="0" xfId="0" applyNumberFormat="1" applyFill="1"/>
    <xf numFmtId="0" fontId="0" fillId="0" borderId="44" xfId="0" applyFont="1" applyFill="1" applyBorder="1" applyAlignment="1">
      <alignment horizontal="center" vertical="center"/>
    </xf>
    <xf numFmtId="0" fontId="0" fillId="0" borderId="45" xfId="0" applyFont="1" applyFill="1" applyBorder="1" applyAlignment="1">
      <alignment horizontal="center" vertical="center"/>
    </xf>
    <xf numFmtId="0" fontId="0" fillId="0" borderId="46" xfId="0" applyFont="1" applyFill="1" applyBorder="1" applyAlignment="1">
      <alignment horizontal="center" vertical="center"/>
    </xf>
    <xf numFmtId="0" fontId="0" fillId="0" borderId="48" xfId="0" applyFont="1" applyFill="1" applyBorder="1" applyAlignment="1">
      <alignment horizontal="center" vertical="center"/>
    </xf>
    <xf numFmtId="0" fontId="0" fillId="0" borderId="49" xfId="0" applyFont="1" applyFill="1" applyBorder="1" applyAlignment="1">
      <alignment horizontal="center" vertical="center"/>
    </xf>
    <xf numFmtId="0" fontId="0" fillId="0" borderId="50" xfId="0" applyFont="1" applyFill="1" applyBorder="1" applyAlignment="1">
      <alignment horizontal="center" vertical="center"/>
    </xf>
    <xf numFmtId="0" fontId="0" fillId="0" borderId="51" xfId="0" applyFont="1" applyFill="1" applyBorder="1" applyAlignment="1">
      <alignment horizontal="center" vertical="center"/>
    </xf>
    <xf numFmtId="170" fontId="0" fillId="0" borderId="52" xfId="7" applyNumberFormat="1" applyFont="1" applyFill="1" applyBorder="1" applyAlignment="1" applyProtection="1">
      <alignment horizontal="center" vertical="center"/>
    </xf>
    <xf numFmtId="0" fontId="0" fillId="0" borderId="12" xfId="0" applyFill="1" applyBorder="1"/>
    <xf numFmtId="0" fontId="0" fillId="0" borderId="13" xfId="0" applyFill="1" applyBorder="1"/>
    <xf numFmtId="0" fontId="0" fillId="0" borderId="13" xfId="0" applyFill="1" applyBorder="1" applyAlignment="1">
      <alignment horizontal="left"/>
    </xf>
    <xf numFmtId="0" fontId="0" fillId="0" borderId="37" xfId="0" applyFill="1" applyBorder="1"/>
    <xf numFmtId="0" fontId="24" fillId="0" borderId="40" xfId="0" applyFont="1" applyFill="1" applyBorder="1" applyAlignment="1">
      <alignment horizontal="center" vertical="center"/>
    </xf>
    <xf numFmtId="0" fontId="24" fillId="0" borderId="41" xfId="0" applyFont="1" applyFill="1" applyBorder="1" applyAlignment="1">
      <alignment horizontal="center" vertical="center"/>
    </xf>
    <xf numFmtId="0" fontId="24" fillId="0" borderId="41" xfId="0" applyFont="1" applyFill="1" applyBorder="1" applyAlignment="1">
      <alignment horizontal="left" vertical="center"/>
    </xf>
    <xf numFmtId="0" fontId="24" fillId="0" borderId="42" xfId="0" applyFont="1" applyFill="1" applyBorder="1" applyAlignment="1">
      <alignment horizontal="center" vertical="center"/>
    </xf>
    <xf numFmtId="0" fontId="24" fillId="0" borderId="43" xfId="0" applyFont="1" applyFill="1" applyBorder="1" applyAlignment="1">
      <alignment horizontal="center" vertical="center"/>
    </xf>
    <xf numFmtId="170" fontId="0" fillId="0" borderId="47" xfId="7" applyNumberFormat="1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33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0" fillId="0" borderId="85" xfId="0" applyFont="1" applyBorder="1" applyAlignment="1">
      <alignment vertical="center"/>
    </xf>
    <xf numFmtId="0" fontId="8" fillId="0" borderId="1" xfId="0" applyFont="1" applyFill="1" applyBorder="1" applyAlignment="1">
      <alignment horizontal="left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1" fontId="3" fillId="0" borderId="0" xfId="0" applyNumberFormat="1" applyFont="1" applyFill="1" applyAlignment="1">
      <alignment horizontal="center" vertical="center"/>
    </xf>
    <xf numFmtId="164" fontId="3" fillId="0" borderId="0" xfId="0" applyNumberFormat="1" applyFont="1" applyFill="1" applyAlignment="1">
      <alignment horizontal="center" vertical="center"/>
    </xf>
    <xf numFmtId="3" fontId="3" fillId="0" borderId="0" xfId="0" applyNumberFormat="1" applyFont="1" applyFill="1" applyAlignment="1">
      <alignment horizontal="center" vertical="center"/>
    </xf>
    <xf numFmtId="165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65" fontId="3" fillId="0" borderId="0" xfId="1" applyNumberFormat="1" applyFont="1" applyFill="1" applyAlignment="1">
      <alignment horizontal="center" vertical="center"/>
    </xf>
    <xf numFmtId="0" fontId="31" fillId="0" borderId="0" xfId="0" applyFont="1" applyFill="1" applyAlignment="1">
      <alignment horizontal="center" vertical="center"/>
    </xf>
    <xf numFmtId="165" fontId="31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1" fontId="6" fillId="0" borderId="0" xfId="0" applyNumberFormat="1" applyFont="1" applyFill="1" applyAlignment="1">
      <alignment horizontal="center" vertical="center" wrapText="1"/>
    </xf>
    <xf numFmtId="164" fontId="6" fillId="0" borderId="0" xfId="0" applyNumberFormat="1" applyFont="1" applyFill="1" applyAlignment="1">
      <alignment horizontal="center" vertical="center" wrapText="1"/>
    </xf>
    <xf numFmtId="3" fontId="6" fillId="0" borderId="0" xfId="0" applyNumberFormat="1" applyFont="1" applyFill="1" applyAlignment="1">
      <alignment horizontal="center" vertical="center" wrapText="1"/>
    </xf>
    <xf numFmtId="165" fontId="6" fillId="0" borderId="0" xfId="0" applyNumberFormat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165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5" fontId="5" fillId="0" borderId="64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 wrapText="1"/>
    </xf>
    <xf numFmtId="165" fontId="8" fillId="0" borderId="3" xfId="0" applyNumberFormat="1" applyFont="1" applyFill="1" applyBorder="1" applyAlignment="1">
      <alignment horizontal="center" vertical="center"/>
    </xf>
    <xf numFmtId="3" fontId="8" fillId="0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/>
    </xf>
    <xf numFmtId="3" fontId="7" fillId="0" borderId="3" xfId="2" applyNumberFormat="1" applyFont="1" applyFill="1" applyBorder="1" applyAlignment="1">
      <alignment horizontal="center" vertical="center" wrapText="1"/>
    </xf>
    <xf numFmtId="165" fontId="8" fillId="0" borderId="80" xfId="0" applyNumberFormat="1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165" fontId="8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3" fontId="7" fillId="0" borderId="1" xfId="2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165" fontId="7" fillId="0" borderId="3" xfId="0" applyNumberFormat="1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vertical="center"/>
    </xf>
    <xf numFmtId="165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165" fontId="7" fillId="0" borderId="80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 wrapText="1"/>
    </xf>
    <xf numFmtId="165" fontId="8" fillId="0" borderId="5" xfId="0" applyNumberFormat="1" applyFont="1" applyFill="1" applyBorder="1" applyAlignment="1">
      <alignment horizontal="center" vertical="center"/>
    </xf>
    <xf numFmtId="3" fontId="8" fillId="0" borderId="2" xfId="0" applyNumberFormat="1" applyFont="1" applyFill="1" applyBorder="1" applyAlignment="1">
      <alignment horizontal="center" vertical="center"/>
    </xf>
    <xf numFmtId="165" fontId="8" fillId="0" borderId="2" xfId="0" applyNumberFormat="1" applyFont="1" applyFill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/>
    </xf>
    <xf numFmtId="3" fontId="7" fillId="0" borderId="2" xfId="2" applyNumberFormat="1" applyFont="1" applyFill="1" applyBorder="1" applyAlignment="1">
      <alignment horizontal="center" vertical="center" wrapText="1"/>
    </xf>
    <xf numFmtId="165" fontId="8" fillId="0" borderId="85" xfId="0" applyNumberFormat="1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34" fillId="0" borderId="7" xfId="0" applyFont="1" applyFill="1" applyBorder="1" applyAlignment="1">
      <alignment horizontal="left" vertical="center" wrapText="1"/>
    </xf>
    <xf numFmtId="0" fontId="34" fillId="0" borderId="7" xfId="0" applyFont="1" applyFill="1" applyBorder="1" applyAlignment="1">
      <alignment horizontal="center" vertical="center"/>
    </xf>
    <xf numFmtId="165" fontId="34" fillId="0" borderId="7" xfId="0" applyNumberFormat="1" applyFont="1" applyFill="1" applyBorder="1" applyAlignment="1">
      <alignment horizontal="center" vertical="center"/>
    </xf>
    <xf numFmtId="3" fontId="34" fillId="0" borderId="7" xfId="0" applyNumberFormat="1" applyFont="1" applyFill="1" applyBorder="1" applyAlignment="1">
      <alignment horizontal="center" vertical="center"/>
    </xf>
    <xf numFmtId="0" fontId="34" fillId="0" borderId="7" xfId="0" applyNumberFormat="1" applyFont="1" applyFill="1" applyBorder="1" applyAlignment="1">
      <alignment horizontal="center" vertical="center"/>
    </xf>
    <xf numFmtId="3" fontId="34" fillId="0" borderId="7" xfId="2" applyNumberFormat="1" applyFont="1" applyFill="1" applyBorder="1" applyAlignment="1">
      <alignment horizontal="center" vertical="center" wrapText="1"/>
    </xf>
    <xf numFmtId="165" fontId="34" fillId="0" borderId="86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3" fontId="0" fillId="0" borderId="0" xfId="0" applyNumberFormat="1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14" xfId="0" applyFill="1" applyBorder="1" applyAlignment="1">
      <alignment horizontal="left" vertical="center" wrapText="1"/>
    </xf>
    <xf numFmtId="0" fontId="35" fillId="0" borderId="0" xfId="0" applyFont="1" applyFill="1" applyBorder="1" applyAlignment="1">
      <alignment horizontal="center" vertical="center"/>
    </xf>
    <xf numFmtId="0" fontId="28" fillId="0" borderId="0" xfId="0" applyFont="1"/>
    <xf numFmtId="0" fontId="36" fillId="0" borderId="0" xfId="0" applyFont="1" applyFill="1" applyBorder="1" applyAlignment="1">
      <alignment vertical="center"/>
    </xf>
    <xf numFmtId="0" fontId="35" fillId="0" borderId="0" xfId="0" applyFont="1" applyFill="1" applyBorder="1" applyAlignment="1">
      <alignment horizontal="left" vertical="center" wrapText="1" indent="1"/>
    </xf>
    <xf numFmtId="0" fontId="37" fillId="0" borderId="0" xfId="0" applyFont="1" applyFill="1" applyBorder="1" applyAlignment="1">
      <alignment horizontal="center" vertical="center" wrapText="1"/>
    </xf>
    <xf numFmtId="3" fontId="28" fillId="0" borderId="0" xfId="0" applyNumberFormat="1" applyFont="1" applyFill="1" applyBorder="1" applyAlignment="1">
      <alignment horizontal="center" vertical="center"/>
    </xf>
    <xf numFmtId="3" fontId="38" fillId="0" borderId="0" xfId="0" applyNumberFormat="1" applyFont="1" applyFill="1" applyBorder="1" applyAlignment="1">
      <alignment horizontal="center" vertical="center"/>
    </xf>
    <xf numFmtId="166" fontId="35" fillId="0" borderId="0" xfId="0" applyNumberFormat="1" applyFont="1" applyFill="1" applyBorder="1" applyAlignment="1">
      <alignment horizontal="center" vertical="center"/>
    </xf>
    <xf numFmtId="0" fontId="30" fillId="0" borderId="0" xfId="0" applyFont="1"/>
    <xf numFmtId="165" fontId="28" fillId="0" borderId="0" xfId="0" applyNumberFormat="1" applyFont="1" applyFill="1" applyBorder="1" applyAlignment="1">
      <alignment horizontal="center"/>
    </xf>
    <xf numFmtId="165" fontId="28" fillId="0" borderId="0" xfId="0" applyNumberFormat="1" applyFont="1" applyFill="1"/>
    <xf numFmtId="0" fontId="28" fillId="0" borderId="0" xfId="0" applyFont="1" applyFill="1"/>
    <xf numFmtId="165" fontId="12" fillId="0" borderId="10" xfId="0" applyNumberFormat="1" applyFont="1" applyFill="1" applyBorder="1" applyAlignment="1">
      <alignment horizontal="right" vertical="center"/>
    </xf>
    <xf numFmtId="0" fontId="13" fillId="0" borderId="11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vertical="center"/>
    </xf>
    <xf numFmtId="0" fontId="12" fillId="0" borderId="13" xfId="0" applyFont="1" applyFill="1" applyBorder="1" applyAlignment="1">
      <alignment vertical="center"/>
    </xf>
    <xf numFmtId="165" fontId="12" fillId="0" borderId="0" xfId="0" applyNumberFormat="1" applyFont="1" applyFill="1" applyBorder="1" applyAlignment="1">
      <alignment vertical="center"/>
    </xf>
    <xf numFmtId="0" fontId="12" fillId="0" borderId="14" xfId="0" applyFont="1" applyFill="1" applyBorder="1" applyAlignment="1">
      <alignment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165" fontId="13" fillId="0" borderId="0" xfId="0" applyNumberFormat="1" applyFont="1" applyFill="1" applyBorder="1" applyAlignment="1">
      <alignment horizontal="left" vertical="center" wrapText="1" indent="1"/>
    </xf>
    <xf numFmtId="0" fontId="13" fillId="0" borderId="14" xfId="0" applyFont="1" applyFill="1" applyBorder="1" applyAlignment="1">
      <alignment horizontal="left" vertical="center" wrapText="1" indent="1"/>
    </xf>
    <xf numFmtId="0" fontId="29" fillId="0" borderId="79" xfId="0" applyFont="1" applyFill="1" applyBorder="1" applyAlignment="1">
      <alignment horizontal="center" vertical="center"/>
    </xf>
    <xf numFmtId="0" fontId="29" fillId="0" borderId="3" xfId="0" applyFont="1" applyFill="1" applyBorder="1" applyAlignment="1">
      <alignment horizontal="center" vertical="center"/>
    </xf>
    <xf numFmtId="0" fontId="29" fillId="0" borderId="3" xfId="0" applyFont="1" applyFill="1" applyBorder="1" applyAlignment="1">
      <alignment horizontal="center" vertical="center" wrapText="1"/>
    </xf>
    <xf numFmtId="165" fontId="29" fillId="0" borderId="3" xfId="0" applyNumberFormat="1" applyFont="1" applyFill="1" applyBorder="1" applyAlignment="1">
      <alignment horizontal="center" vertical="center" wrapText="1"/>
    </xf>
    <xf numFmtId="3" fontId="29" fillId="0" borderId="83" xfId="0" applyNumberFormat="1" applyFont="1" applyFill="1" applyBorder="1" applyAlignment="1">
      <alignment horizontal="center" vertical="center"/>
    </xf>
    <xf numFmtId="0" fontId="16" fillId="0" borderId="66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left" vertical="center"/>
    </xf>
    <xf numFmtId="0" fontId="17" fillId="0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 wrapText="1"/>
    </xf>
    <xf numFmtId="165" fontId="17" fillId="0" borderId="2" xfId="0" applyNumberFormat="1" applyFont="1" applyFill="1" applyBorder="1" applyAlignment="1">
      <alignment horizontal="center" vertical="center" wrapText="1"/>
    </xf>
    <xf numFmtId="3" fontId="17" fillId="0" borderId="67" xfId="0" applyNumberFormat="1" applyFont="1" applyFill="1" applyBorder="1" applyAlignment="1">
      <alignment horizontal="center" vertical="center"/>
    </xf>
    <xf numFmtId="0" fontId="33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0" fillId="0" borderId="1" xfId="0" applyFill="1" applyBorder="1"/>
    <xf numFmtId="0" fontId="8" fillId="0" borderId="1" xfId="0" applyFont="1" applyFill="1" applyBorder="1"/>
    <xf numFmtId="0" fontId="10" fillId="0" borderId="0" xfId="0" applyFont="1" applyFill="1" applyBorder="1"/>
    <xf numFmtId="0" fontId="10" fillId="0" borderId="87" xfId="0" applyFont="1" applyFill="1" applyBorder="1"/>
    <xf numFmtId="0" fontId="10" fillId="0" borderId="0" xfId="0" applyFont="1" applyFill="1"/>
    <xf numFmtId="0" fontId="12" fillId="0" borderId="13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8" xfId="0" applyFont="1" applyFill="1" applyBorder="1" applyAlignment="1">
      <alignment horizontal="center" vertical="center"/>
    </xf>
    <xf numFmtId="0" fontId="29" fillId="0" borderId="8" xfId="0" applyFont="1" applyFill="1" applyBorder="1" applyAlignment="1">
      <alignment horizontal="center" vertical="center" wrapText="1"/>
    </xf>
    <xf numFmtId="165" fontId="29" fillId="0" borderId="8" xfId="0" applyNumberFormat="1" applyFont="1" applyFill="1" applyBorder="1" applyAlignment="1">
      <alignment horizontal="center" vertical="center" wrapText="1"/>
    </xf>
    <xf numFmtId="3" fontId="29" fillId="0" borderId="25" xfId="0" applyNumberFormat="1" applyFont="1" applyFill="1" applyBorder="1" applyAlignment="1">
      <alignment horizontal="center" vertical="center"/>
    </xf>
    <xf numFmtId="0" fontId="29" fillId="0" borderId="26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wrapText="1"/>
    </xf>
    <xf numFmtId="165" fontId="29" fillId="0" borderId="1" xfId="0" applyNumberFormat="1" applyFont="1" applyFill="1" applyBorder="1" applyAlignment="1">
      <alignment horizontal="center" vertical="center" wrapText="1"/>
    </xf>
    <xf numFmtId="3" fontId="29" fillId="0" borderId="27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166" fontId="39" fillId="0" borderId="0" xfId="0" applyNumberFormat="1" applyFont="1" applyFill="1" applyBorder="1" applyAlignment="1">
      <alignment horizontal="center" vertical="center"/>
    </xf>
    <xf numFmtId="165" fontId="28" fillId="0" borderId="0" xfId="0" applyNumberFormat="1" applyFont="1" applyFill="1" applyAlignment="1">
      <alignment horizontal="center"/>
    </xf>
    <xf numFmtId="165" fontId="0" fillId="0" borderId="0" xfId="0" applyNumberFormat="1" applyFill="1" applyAlignment="1"/>
    <xf numFmtId="165" fontId="28" fillId="0" borderId="0" xfId="0" applyNumberFormat="1" applyFont="1" applyFill="1" applyAlignment="1"/>
    <xf numFmtId="3" fontId="19" fillId="0" borderId="31" xfId="0" applyNumberFormat="1" applyFont="1" applyFill="1" applyBorder="1" applyAlignment="1"/>
    <xf numFmtId="168" fontId="0" fillId="0" borderId="31" xfId="0" applyNumberFormat="1" applyFill="1" applyBorder="1" applyAlignment="1">
      <alignment horizontal="left"/>
    </xf>
    <xf numFmtId="0" fontId="0" fillId="0" borderId="31" xfId="0" applyFill="1" applyBorder="1"/>
    <xf numFmtId="0" fontId="0" fillId="0" borderId="20" xfId="0" applyFill="1" applyBorder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168" fontId="0" fillId="0" borderId="0" xfId="0" applyNumberFormat="1" applyFill="1" applyBorder="1" applyAlignment="1">
      <alignment horizontal="left"/>
    </xf>
    <xf numFmtId="0" fontId="0" fillId="0" borderId="14" xfId="0" applyFill="1" applyBorder="1"/>
    <xf numFmtId="0" fontId="22" fillId="0" borderId="48" xfId="0" applyFont="1" applyFill="1" applyBorder="1" applyAlignment="1">
      <alignment horizontal="center" vertical="center"/>
    </xf>
    <xf numFmtId="0" fontId="22" fillId="0" borderId="49" xfId="0" applyFont="1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22" fillId="0" borderId="50" xfId="0" applyFont="1" applyFill="1" applyBorder="1" applyAlignment="1">
      <alignment horizontal="center" vertical="center"/>
    </xf>
    <xf numFmtId="0" fontId="22" fillId="0" borderId="51" xfId="0" applyFont="1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5" xfId="0" applyFill="1" applyBorder="1" applyAlignment="1">
      <alignment horizontal="center" vertical="center"/>
    </xf>
    <xf numFmtId="170" fontId="0" fillId="0" borderId="56" xfId="7" applyNumberFormat="1" applyFont="1" applyFill="1" applyBorder="1" applyAlignment="1" applyProtection="1">
      <alignment horizontal="center" vertical="center"/>
    </xf>
    <xf numFmtId="170" fontId="24" fillId="0" borderId="58" xfId="0" applyNumberFormat="1" applyFont="1" applyFill="1" applyBorder="1" applyAlignment="1">
      <alignment horizontal="center" vertical="center"/>
    </xf>
    <xf numFmtId="165" fontId="0" fillId="0" borderId="14" xfId="0" applyNumberFormat="1" applyFill="1" applyBorder="1"/>
    <xf numFmtId="165" fontId="0" fillId="0" borderId="37" xfId="0" applyNumberFormat="1" applyFill="1" applyBorder="1"/>
    <xf numFmtId="165" fontId="0" fillId="0" borderId="47" xfId="7" applyNumberFormat="1" applyFont="1" applyFill="1" applyBorder="1" applyAlignment="1" applyProtection="1">
      <alignment horizontal="center" vertical="center"/>
    </xf>
    <xf numFmtId="165" fontId="0" fillId="0" borderId="52" xfId="7" applyNumberFormat="1" applyFont="1" applyFill="1" applyBorder="1" applyAlignment="1" applyProtection="1">
      <alignment horizontal="center" vertical="center"/>
    </xf>
    <xf numFmtId="165" fontId="0" fillId="0" borderId="56" xfId="7" applyNumberFormat="1" applyFont="1" applyFill="1" applyBorder="1" applyAlignment="1" applyProtection="1">
      <alignment horizontal="center" vertical="center"/>
    </xf>
    <xf numFmtId="165" fontId="24" fillId="0" borderId="58" xfId="0" applyNumberFormat="1" applyFont="1" applyFill="1" applyBorder="1" applyAlignment="1">
      <alignment horizontal="center" vertical="center"/>
    </xf>
    <xf numFmtId="0" fontId="24" fillId="0" borderId="73" xfId="0" applyFont="1" applyFill="1" applyBorder="1" applyAlignment="1">
      <alignment horizontal="center" vertical="center"/>
    </xf>
    <xf numFmtId="0" fontId="24" fillId="0" borderId="74" xfId="0" applyFont="1" applyFill="1" applyBorder="1" applyAlignment="1">
      <alignment horizontal="center" vertical="center"/>
    </xf>
    <xf numFmtId="0" fontId="24" fillId="0" borderId="74" xfId="0" applyFont="1" applyFill="1" applyBorder="1" applyAlignment="1">
      <alignment horizontal="left" vertical="center"/>
    </xf>
    <xf numFmtId="0" fontId="24" fillId="0" borderId="75" xfId="0" applyFont="1" applyFill="1" applyBorder="1" applyAlignment="1">
      <alignment horizontal="center" vertical="center"/>
    </xf>
    <xf numFmtId="0" fontId="24" fillId="0" borderId="76" xfId="0" applyFont="1" applyFill="1" applyBorder="1" applyAlignment="1">
      <alignment horizontal="center" vertical="center"/>
    </xf>
    <xf numFmtId="170" fontId="0" fillId="0" borderId="71" xfId="7" applyNumberFormat="1" applyFont="1" applyFill="1" applyBorder="1" applyAlignment="1" applyProtection="1">
      <alignment horizontal="center" vertical="center"/>
    </xf>
    <xf numFmtId="0" fontId="40" fillId="0" borderId="9" xfId="21" applyFont="1" applyBorder="1"/>
    <xf numFmtId="0" fontId="1" fillId="0" borderId="31" xfId="21" applyBorder="1"/>
    <xf numFmtId="0" fontId="1" fillId="0" borderId="62" xfId="21" applyBorder="1"/>
    <xf numFmtId="0" fontId="2" fillId="0" borderId="20" xfId="21" applyFont="1" applyBorder="1"/>
    <xf numFmtId="0" fontId="1" fillId="0" borderId="14" xfId="21" applyBorder="1"/>
    <xf numFmtId="0" fontId="2" fillId="0" borderId="60" xfId="21" applyFont="1" applyBorder="1"/>
    <xf numFmtId="0" fontId="1" fillId="0" borderId="61" xfId="21" applyBorder="1" applyAlignment="1">
      <alignment wrapText="1"/>
    </xf>
    <xf numFmtId="0" fontId="1" fillId="0" borderId="63" xfId="21" applyBorder="1" applyAlignment="1">
      <alignment wrapText="1"/>
    </xf>
    <xf numFmtId="0" fontId="1" fillId="0" borderId="14" xfId="21" applyBorder="1" applyAlignment="1">
      <alignment wrapText="1"/>
    </xf>
    <xf numFmtId="0" fontId="1" fillId="0" borderId="0" xfId="21" applyBorder="1"/>
    <xf numFmtId="0" fontId="2" fillId="0" borderId="0" xfId="21" applyFont="1" applyBorder="1"/>
    <xf numFmtId="0" fontId="1" fillId="0" borderId="0" xfId="21" applyBorder="1" applyAlignment="1">
      <alignment wrapText="1"/>
    </xf>
    <xf numFmtId="0" fontId="2" fillId="0" borderId="0" xfId="21" applyFont="1" applyBorder="1" applyAlignment="1">
      <alignment vertical="center" wrapText="1"/>
    </xf>
    <xf numFmtId="0" fontId="2" fillId="0" borderId="0" xfId="21" applyFont="1" applyBorder="1" applyAlignment="1">
      <alignment vertical="center"/>
    </xf>
    <xf numFmtId="0" fontId="2" fillId="0" borderId="20" xfId="21" applyFont="1" applyBorder="1" applyAlignment="1">
      <alignment vertical="center"/>
    </xf>
    <xf numFmtId="0" fontId="2" fillId="0" borderId="14" xfId="21" applyFont="1" applyBorder="1" applyAlignment="1">
      <alignment vertical="center"/>
    </xf>
    <xf numFmtId="0" fontId="0" fillId="0" borderId="14" xfId="0" applyBorder="1" applyAlignment="1">
      <alignment vertical="center" wrapText="1"/>
    </xf>
    <xf numFmtId="0" fontId="0" fillId="0" borderId="60" xfId="0" applyBorder="1" applyAlignment="1">
      <alignment vertical="center" wrapText="1"/>
    </xf>
    <xf numFmtId="0" fontId="0" fillId="0" borderId="61" xfId="0" applyBorder="1" applyAlignment="1">
      <alignment vertical="center" wrapText="1"/>
    </xf>
    <xf numFmtId="0" fontId="0" fillId="0" borderId="63" xfId="0" applyBorder="1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3" fillId="0" borderId="14" xfId="5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center" vertical="center"/>
    </xf>
    <xf numFmtId="0" fontId="3" fillId="0" borderId="31" xfId="5" applyFont="1" applyFill="1" applyBorder="1" applyAlignment="1">
      <alignment horizontal="left" vertical="center" wrapText="1"/>
    </xf>
    <xf numFmtId="0" fontId="3" fillId="0" borderId="62" xfId="5" applyFont="1" applyFill="1" applyBorder="1" applyAlignment="1">
      <alignment horizontal="left" vertical="center" wrapText="1"/>
    </xf>
    <xf numFmtId="165" fontId="0" fillId="0" borderId="31" xfId="0" applyNumberFormat="1" applyFill="1" applyBorder="1" applyAlignment="1">
      <alignment horizontal="center"/>
    </xf>
    <xf numFmtId="0" fontId="18" fillId="0" borderId="16" xfId="0" applyFont="1" applyFill="1" applyBorder="1" applyAlignment="1">
      <alignment horizontal="left" vertical="center" wrapText="1" indent="1"/>
    </xf>
    <xf numFmtId="166" fontId="13" fillId="0" borderId="16" xfId="0" applyNumberFormat="1" applyFont="1" applyFill="1" applyBorder="1" applyAlignment="1">
      <alignment horizontal="center" vertical="center"/>
    </xf>
    <xf numFmtId="0" fontId="29" fillId="0" borderId="64" xfId="0" applyFont="1" applyFill="1" applyBorder="1" applyAlignment="1">
      <alignment horizontal="left" vertical="center" wrapText="1"/>
    </xf>
    <xf numFmtId="0" fontId="29" fillId="0" borderId="65" xfId="0" applyFont="1" applyFill="1" applyBorder="1" applyAlignment="1">
      <alignment horizontal="left" vertical="center" wrapText="1"/>
    </xf>
    <xf numFmtId="0" fontId="29" fillId="0" borderId="4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5" fillId="0" borderId="23" xfId="0" applyFont="1" applyFill="1" applyBorder="1" applyAlignment="1">
      <alignment horizontal="center" vertical="center" wrapText="1"/>
    </xf>
    <xf numFmtId="0" fontId="29" fillId="0" borderId="8" xfId="0" applyFont="1" applyFill="1" applyBorder="1" applyAlignment="1">
      <alignment horizontal="left" vertical="center" wrapText="1"/>
    </xf>
    <xf numFmtId="0" fontId="15" fillId="0" borderId="22" xfId="0" applyFont="1" applyFill="1" applyBorder="1" applyAlignment="1">
      <alignment horizontal="center" vertical="center" wrapText="1"/>
    </xf>
    <xf numFmtId="165" fontId="15" fillId="0" borderId="22" xfId="0" applyNumberFormat="1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left" vertical="center" wrapText="1"/>
    </xf>
    <xf numFmtId="0" fontId="13" fillId="0" borderId="16" xfId="0" applyFont="1" applyFill="1" applyBorder="1" applyAlignment="1">
      <alignment horizontal="left" vertical="center" wrapText="1" indent="1"/>
    </xf>
    <xf numFmtId="0" fontId="14" fillId="0" borderId="17" xfId="0" applyFont="1" applyFill="1" applyBorder="1" applyAlignment="1">
      <alignment horizontal="left" vertical="center" wrapText="1"/>
    </xf>
    <xf numFmtId="0" fontId="14" fillId="0" borderId="18" xfId="0" applyFont="1" applyFill="1" applyBorder="1" applyAlignment="1">
      <alignment horizontal="left" vertical="center"/>
    </xf>
    <xf numFmtId="0" fontId="13" fillId="0" borderId="19" xfId="0" applyFont="1" applyFill="1" applyBorder="1" applyAlignment="1">
      <alignment horizontal="left" vertical="center" wrapText="1" indent="1"/>
    </xf>
    <xf numFmtId="0" fontId="11" fillId="0" borderId="9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 wrapText="1"/>
    </xf>
    <xf numFmtId="0" fontId="29" fillId="0" borderId="80" xfId="0" applyFont="1" applyFill="1" applyBorder="1" applyAlignment="1">
      <alignment horizontal="left" vertical="center" wrapText="1"/>
    </xf>
    <xf numFmtId="0" fontId="29" fillId="0" borderId="81" xfId="0" applyFont="1" applyFill="1" applyBorder="1" applyAlignment="1">
      <alignment horizontal="left" vertical="center" wrapText="1"/>
    </xf>
    <xf numFmtId="0" fontId="29" fillId="0" borderId="82" xfId="0" applyFont="1" applyFill="1" applyBorder="1" applyAlignment="1">
      <alignment horizontal="left" vertical="center" wrapText="1"/>
    </xf>
    <xf numFmtId="0" fontId="15" fillId="0" borderId="18" xfId="0" applyFont="1" applyFill="1" applyBorder="1" applyAlignment="1">
      <alignment horizontal="center" vertical="center"/>
    </xf>
    <xf numFmtId="0" fontId="15" fillId="0" borderId="84" xfId="0" applyFont="1" applyFill="1" applyBorder="1" applyAlignment="1">
      <alignment horizontal="center" vertical="center" wrapText="1"/>
    </xf>
    <xf numFmtId="165" fontId="15" fillId="0" borderId="84" xfId="0" applyNumberFormat="1" applyFont="1" applyFill="1" applyBorder="1" applyAlignment="1">
      <alignment horizontal="center" vertical="center" wrapText="1"/>
    </xf>
    <xf numFmtId="166" fontId="14" fillId="0" borderId="16" xfId="0" applyNumberFormat="1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vertical="center" wrapText="1"/>
    </xf>
    <xf numFmtId="0" fontId="22" fillId="0" borderId="39" xfId="0" applyFont="1" applyFill="1" applyBorder="1" applyAlignment="1">
      <alignment vertical="center" wrapText="1"/>
    </xf>
    <xf numFmtId="0" fontId="22" fillId="0" borderId="28" xfId="0" applyFont="1" applyFill="1" applyBorder="1" applyAlignment="1">
      <alignment horizontal="left" vertical="center" wrapText="1" indent="1"/>
    </xf>
    <xf numFmtId="0" fontId="0" fillId="0" borderId="51" xfId="0" applyFont="1" applyFill="1" applyBorder="1" applyAlignment="1">
      <alignment horizontal="left" vertical="center"/>
    </xf>
    <xf numFmtId="0" fontId="0" fillId="0" borderId="51" xfId="0" applyFill="1" applyBorder="1" applyAlignment="1">
      <alignment horizontal="left" vertical="center"/>
    </xf>
    <xf numFmtId="0" fontId="0" fillId="0" borderId="54" xfId="0" applyFill="1" applyBorder="1" applyAlignment="1">
      <alignment horizontal="left" vertical="center"/>
    </xf>
    <xf numFmtId="0" fontId="19" fillId="0" borderId="57" xfId="0" applyFont="1" applyFill="1" applyBorder="1" applyAlignment="1">
      <alignment horizontal="left" vertical="center" wrapText="1"/>
    </xf>
    <xf numFmtId="0" fontId="0" fillId="0" borderId="35" xfId="0" applyFill="1" applyBorder="1"/>
    <xf numFmtId="0" fontId="0" fillId="0" borderId="51" xfId="0" applyFont="1" applyFill="1" applyBorder="1" applyAlignment="1">
      <alignment horizontal="center" vertical="center"/>
    </xf>
    <xf numFmtId="49" fontId="22" fillId="0" borderId="36" xfId="0" applyNumberFormat="1" applyFont="1" applyFill="1" applyBorder="1" applyAlignment="1">
      <alignment horizontal="justify" vertical="center" wrapText="1"/>
    </xf>
    <xf numFmtId="0" fontId="24" fillId="0" borderId="35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4" fillId="0" borderId="38" xfId="0" applyFont="1" applyFill="1" applyBorder="1" applyAlignment="1">
      <alignment horizontal="center" vertical="center" wrapText="1"/>
    </xf>
    <xf numFmtId="0" fontId="24" fillId="0" borderId="39" xfId="0" applyFont="1" applyFill="1" applyBorder="1" applyAlignment="1">
      <alignment horizontal="center" vertical="center"/>
    </xf>
    <xf numFmtId="0" fontId="0" fillId="0" borderId="45" xfId="0" applyFont="1" applyFill="1" applyBorder="1" applyAlignment="1">
      <alignment horizontal="left" vertical="center" wrapText="1"/>
    </xf>
    <xf numFmtId="0" fontId="0" fillId="0" borderId="68" xfId="0" applyFont="1" applyFill="1" applyBorder="1" applyAlignment="1">
      <alignment horizontal="left" vertical="center" wrapText="1"/>
    </xf>
    <xf numFmtId="0" fontId="0" fillId="0" borderId="69" xfId="0" applyFont="1" applyFill="1" applyBorder="1" applyAlignment="1">
      <alignment horizontal="left" vertical="center" wrapText="1"/>
    </xf>
    <xf numFmtId="0" fontId="0" fillId="0" borderId="68" xfId="0" applyFill="1" applyBorder="1" applyAlignment="1">
      <alignment horizontal="left"/>
    </xf>
    <xf numFmtId="0" fontId="0" fillId="0" borderId="69" xfId="0" applyFill="1" applyBorder="1" applyAlignment="1">
      <alignment horizontal="left"/>
    </xf>
    <xf numFmtId="0" fontId="22" fillId="0" borderId="35" xfId="0" applyFont="1" applyFill="1" applyBorder="1" applyAlignment="1">
      <alignment horizontal="left"/>
    </xf>
    <xf numFmtId="0" fontId="0" fillId="0" borderId="29" xfId="0" applyFont="1" applyFill="1" applyBorder="1" applyAlignment="1">
      <alignment horizontal="center"/>
    </xf>
    <xf numFmtId="3" fontId="19" fillId="0" borderId="30" xfId="0" applyNumberFormat="1" applyFont="1" applyFill="1" applyBorder="1" applyAlignment="1">
      <alignment horizontal="center"/>
    </xf>
    <xf numFmtId="0" fontId="20" fillId="0" borderId="11" xfId="0" applyFont="1" applyFill="1" applyBorder="1" applyAlignment="1">
      <alignment horizontal="center" vertical="center" wrapText="1"/>
    </xf>
    <xf numFmtId="0" fontId="21" fillId="0" borderId="32" xfId="0" applyFont="1" applyFill="1" applyBorder="1"/>
    <xf numFmtId="0" fontId="22" fillId="0" borderId="33" xfId="0" applyFont="1" applyFill="1" applyBorder="1" applyAlignment="1">
      <alignment horizontal="left" indent="1"/>
    </xf>
    <xf numFmtId="0" fontId="17" fillId="0" borderId="32" xfId="0" applyFont="1" applyFill="1" applyBorder="1" applyAlignment="1">
      <alignment horizontal="left" vertical="center" wrapText="1"/>
    </xf>
    <xf numFmtId="0" fontId="23" fillId="0" borderId="34" xfId="0" applyFont="1" applyFill="1" applyBorder="1" applyAlignment="1">
      <alignment horizontal="left"/>
    </xf>
    <xf numFmtId="165" fontId="0" fillId="0" borderId="0" xfId="0" applyNumberFormat="1" applyFill="1" applyAlignment="1">
      <alignment horizontal="center"/>
    </xf>
    <xf numFmtId="165" fontId="24" fillId="0" borderId="39" xfId="0" applyNumberFormat="1" applyFont="1" applyFill="1" applyBorder="1" applyAlignment="1">
      <alignment horizontal="center" vertical="center"/>
    </xf>
    <xf numFmtId="0" fontId="0" fillId="0" borderId="51" xfId="0" applyFill="1" applyBorder="1" applyAlignment="1">
      <alignment horizontal="center"/>
    </xf>
    <xf numFmtId="0" fontId="24" fillId="0" borderId="72" xfId="0" applyFont="1" applyFill="1" applyBorder="1" applyAlignment="1">
      <alignment horizontal="center" vertical="center"/>
    </xf>
    <xf numFmtId="0" fontId="24" fillId="0" borderId="77" xfId="0" applyFont="1" applyFill="1" applyBorder="1" applyAlignment="1">
      <alignment horizontal="center" vertical="center" wrapText="1"/>
    </xf>
    <xf numFmtId="0" fontId="24" fillId="0" borderId="78" xfId="0" applyFont="1" applyFill="1" applyBorder="1" applyAlignment="1">
      <alignment horizontal="center" vertical="center"/>
    </xf>
    <xf numFmtId="0" fontId="0" fillId="0" borderId="50" xfId="0" applyFont="1" applyFill="1" applyBorder="1" applyAlignment="1">
      <alignment horizontal="left" vertical="center" wrapText="1"/>
    </xf>
    <xf numFmtId="0" fontId="0" fillId="0" borderId="70" xfId="0" applyFont="1" applyFill="1" applyBorder="1" applyAlignment="1">
      <alignment horizontal="left" vertical="center" wrapText="1"/>
    </xf>
  </cellXfs>
  <cellStyles count="33">
    <cellStyle name="Encabezado 1" xfId="8"/>
    <cellStyle name="Encabezado 1 2" xfId="9"/>
    <cellStyle name="Millares 2" xfId="10"/>
    <cellStyle name="Millares 2 2" xfId="11"/>
    <cellStyle name="Moneda" xfId="1" builtinId="4"/>
    <cellStyle name="Moneda 2" xfId="3"/>
    <cellStyle name="Moneda 2 2" xfId="12"/>
    <cellStyle name="Moneda 3" xfId="13"/>
    <cellStyle name="Moneda 4" xfId="14"/>
    <cellStyle name="Moneda 5" xfId="15"/>
    <cellStyle name="Moneda_AUTORIZACION Y NOTA DE PEDIDO" xfId="7"/>
    <cellStyle name="Neutral 1" xfId="16"/>
    <cellStyle name="Normal" xfId="0" builtinId="0"/>
    <cellStyle name="Normal 2" xfId="2"/>
    <cellStyle name="Normal 2 2" xfId="5"/>
    <cellStyle name="Normal 3" xfId="17"/>
    <cellStyle name="Normal 3 2" xfId="18"/>
    <cellStyle name="Normal 3 2 2" xfId="19"/>
    <cellStyle name="Normal 3 3" xfId="20"/>
    <cellStyle name="Normal 3 4" xfId="21"/>
    <cellStyle name="Normal 3 4 2" xfId="22"/>
    <cellStyle name="Normal 4" xfId="6"/>
    <cellStyle name="Normal 4 2" xfId="23"/>
    <cellStyle name="Normal 4 3" xfId="24"/>
    <cellStyle name="Normal 4 3 2" xfId="25"/>
    <cellStyle name="Normal 5" xfId="4"/>
    <cellStyle name="Normal 5 2" xfId="26"/>
    <cellStyle name="Normal 6" xfId="27"/>
    <cellStyle name="Normal 7" xfId="28"/>
    <cellStyle name="Normal 8" xfId="29"/>
    <cellStyle name="Normal 8 2" xfId="30"/>
    <cellStyle name="Normal 8 3" xfId="31"/>
    <cellStyle name="Normal 8 4" xfId="32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%20unidad\COMPARTIDA\DIRECCION%20DE%20PLANIFICACION\DOCUMENTACION\Mario\Pases%20a%20Compras%20Consolidados\Descartables\1er%20Trimestre%202022\ANTISEPTICOS%20ma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 refreshError="1">
        <row r="10">
          <cell r="H10" t="str">
            <v>ACIDOS; COMPUESTO QUIMICO: AC. ACETICO; ESTADO SOLIDO; CALIDAD: FARMACEUTICA; CONCENTRACION/PUREZA 25/30%; PRESENTACION: 5KG</v>
          </cell>
          <cell r="I10">
            <v>251</v>
          </cell>
          <cell r="K10" t="str">
            <v>BIDON</v>
          </cell>
          <cell r="M10">
            <v>3300</v>
          </cell>
        </row>
        <row r="11">
          <cell r="H11" t="str">
            <v>DESINFECTANTES Y DETERGENTES; PRINCIPIO ACTIVO: AC. PERACETICO, CALIDAD: COMERCIAL, CONCENTRACION/PUREZA: 3 %, PRESENTACION: ENVASE X 5 L</v>
          </cell>
          <cell r="I11">
            <v>251</v>
          </cell>
          <cell r="J11" t="str">
            <v>Para desinfeccion de alto poder/Esterilizacion en frio del material quirurgico,material de endoscopia, mat termosensible y dispositivos medicos.Ausencia de vapor.formulado sin acido acetico, PH Neutro, espectro completo en 5 min.Tipo ANIOXIDE 1000</v>
          </cell>
          <cell r="K11" t="str">
            <v>BIDON</v>
          </cell>
          <cell r="M11">
            <v>9100</v>
          </cell>
        </row>
        <row r="12">
          <cell r="H12" t="str">
            <v>ACIDOS; COMPUESTO QUIMICO: AC. CITRICO, ESTADO: SOLIDO, CALIDAD: BIOLOGIA MOLECULAR, CONCENTRACION/PUREZA: 99,99 %, PRESENTACION: ENVASE X 1 Kg</v>
          </cell>
          <cell r="I12">
            <v>251</v>
          </cell>
          <cell r="K12" t="str">
            <v>UNIDAD</v>
          </cell>
          <cell r="M12">
            <v>1560</v>
          </cell>
        </row>
        <row r="13">
          <cell r="H13" t="str">
            <v>AGUA OXIGENADA; CAPACIDAD: 1000 CM3, VOLUMEN: 10, PRESENTACION: ENVASE X 1000 CM3</v>
          </cell>
          <cell r="I13">
            <v>252</v>
          </cell>
          <cell r="K13" t="str">
            <v>BOTELLA</v>
          </cell>
          <cell r="M13">
            <v>128.59</v>
          </cell>
        </row>
        <row r="14">
          <cell r="H14" t="str">
            <v>ALCOHOL USO MEDICINAL; PUREZA: 70 %, PRESENTACION: ENVASE X 1 L</v>
          </cell>
          <cell r="I14">
            <v>252</v>
          </cell>
          <cell r="K14" t="str">
            <v>BOTELLA</v>
          </cell>
          <cell r="M14">
            <v>189</v>
          </cell>
        </row>
        <row r="15">
          <cell r="H15" t="str">
            <v>ALCOHOL USO MEDICINAL; PUREZA: 70 %, PRESENTACION: ENVASE X 500 mL</v>
          </cell>
          <cell r="I15">
            <v>252</v>
          </cell>
          <cell r="K15" t="str">
            <v>BOTELLA</v>
          </cell>
          <cell r="M15">
            <v>109</v>
          </cell>
        </row>
        <row r="16">
          <cell r="H16" t="str">
            <v>ALCOHOL USO MEDICINAL; PUREZA: 96 %, PRESENTACION: ENVASE X 500 CM3, CAPACIDAD: 500 CM3</v>
          </cell>
          <cell r="I16">
            <v>252</v>
          </cell>
          <cell r="K16" t="str">
            <v>BOTELLA</v>
          </cell>
          <cell r="M16">
            <v>108</v>
          </cell>
        </row>
        <row r="17">
          <cell r="H17" t="str">
            <v>ALCOHOL USO MEDICINAL; PUREZA: 96 %, PRESENTACION: ENVASE X 1000 CM3</v>
          </cell>
          <cell r="I17">
            <v>252</v>
          </cell>
          <cell r="K17" t="str">
            <v>BOTELLA</v>
          </cell>
          <cell r="M17">
            <v>201</v>
          </cell>
        </row>
        <row r="18">
          <cell r="H18" t="str">
            <v>ALCOHOL USO MEDICINAL; PUREZA: 70 %, PRESENTACION: GEL ENVASE X 250 CM3</v>
          </cell>
          <cell r="I18">
            <v>252</v>
          </cell>
          <cell r="K18" t="str">
            <v>UNIDAD</v>
          </cell>
          <cell r="M18">
            <v>158</v>
          </cell>
        </row>
        <row r="19">
          <cell r="H19" t="str">
            <v>ALCOHOL USO MEDICINAL; PUREZA: 70 %, PRESENTACION: GEL ENVASE X 500</v>
          </cell>
          <cell r="I19">
            <v>252</v>
          </cell>
          <cell r="K19" t="str">
            <v>UNIDAD</v>
          </cell>
          <cell r="M19">
            <v>298</v>
          </cell>
        </row>
        <row r="20">
          <cell r="H20" t="str">
            <v>ANTISEPTICOS LOCALES P/PERSONA; TIPO: DESINFECTANTE, DROGA GENERICA: ALCOHOL YODADO, FORMA FARMACEUTICA: SOLUCION, PRESENTACION: ENVASE X 1000 mL</v>
          </cell>
          <cell r="I20">
            <v>252</v>
          </cell>
          <cell r="J20" t="str">
            <v>concentracion ALCOHOL IODADO 2%</v>
          </cell>
          <cell r="K20" t="str">
            <v>BOTELLA</v>
          </cell>
          <cell r="M20">
            <v>1200</v>
          </cell>
        </row>
        <row r="21">
          <cell r="H21" t="str">
            <v>DESINFECTANTES Y DETERGENTES; PRINCIPIO ACTIVO: AMONIO CUATERNARIO, CALIDAD: COMERCIAL, CONCENTRACION/PUREZA: 99 %, PRESENTACION: ENVASE X 5 L</v>
          </cell>
          <cell r="I21">
            <v>251</v>
          </cell>
          <cell r="J21" t="str">
            <v>USO HOSPITALARIO. Limpiador para areas criticas en base a amonios cuaternarios de 4TA Generacion.Dilucion 2,5 ml/ litro .Aprobacion ANMAT</v>
          </cell>
          <cell r="K21" t="str">
            <v>BIDON</v>
          </cell>
          <cell r="M21">
            <v>9229.2000000000007</v>
          </cell>
        </row>
        <row r="22">
          <cell r="H22" t="str">
            <v>ANTISEPTICOS LOCALES P/PERSONA; TIPO: ASOCIACION, DROGA GENERICA: 2% CLORHEXIDINA+ALCOHOL, FORMA FARMACEUTICA: SOLUCION, PRESENTACION: ENVASE X 250 ML</v>
          </cell>
          <cell r="I22">
            <v>252</v>
          </cell>
          <cell r="K22" t="str">
            <v>FRASCO</v>
          </cell>
          <cell r="M22">
            <v>870</v>
          </cell>
        </row>
        <row r="23">
          <cell r="H23" t="str">
            <v>ANTISEPTICOS LOCALES P/PERSONA; TIPO: MONODROGA, DROGA GENERICA: CLORHEXIDINA AL 2%, FORMA FARMACEUTICA: SOLUCION ACUOSA, PRESENTACION: ENVASE X 250 ML</v>
          </cell>
          <cell r="I23">
            <v>252</v>
          </cell>
          <cell r="K23" t="str">
            <v>FRASCO</v>
          </cell>
          <cell r="M23">
            <v>630</v>
          </cell>
        </row>
        <row r="24">
          <cell r="H24" t="str">
            <v>ANTISEPTICOS LOCALES P/PERSONA; TIPO: MONODROGA, DROGA GENERICA: CLORHEXIDINA AL 4%, FORMA FARMACEUTICA: JABON MEDICINAL, PRESENTACION: ENVASE X 500 mL</v>
          </cell>
          <cell r="I24">
            <v>252</v>
          </cell>
          <cell r="K24" t="str">
            <v>FRASCO</v>
          </cell>
          <cell r="M24">
            <v>570</v>
          </cell>
        </row>
        <row r="25">
          <cell r="H25" t="str">
            <v>ANTISEPTICOS LOCALES P/PERSONA; TIPO: MONODROGA, DROGA GENERICA: CLOROXILENOL, FORMA FARMACEUTICA: SOLUCION, PRESENTACION: ENVASE X 5 L</v>
          </cell>
          <cell r="I25">
            <v>252</v>
          </cell>
          <cell r="K25" t="str">
            <v>BIDON</v>
          </cell>
          <cell r="M25">
            <v>4500</v>
          </cell>
        </row>
        <row r="26">
          <cell r="H26" t="str">
            <v>DESINFECTANTES Y DETERGENTES; PRINCIPIO ACTIVO: AMILASA, PROTEASA, LIPASA, CALIDAD: COMERCIAL, CONCENTRACION/PUREZA: 100 %, PRESENTACION: ENVASE X 5 L</v>
          </cell>
          <cell r="I26">
            <v>251</v>
          </cell>
          <cell r="J26" t="str">
            <v xml:space="preserve">Detergente trienzimatico (proteada, lipasa y amilasa). Concentración: 3 a 5 ml/litro. Libre de fenoles, Atoxico. Aprobación ANMAT. Proveer 1 válvula dosificadora cada 5 unidades. </v>
          </cell>
          <cell r="K26" t="str">
            <v>BIDON</v>
          </cell>
          <cell r="M26">
            <v>4900.5</v>
          </cell>
        </row>
        <row r="27">
          <cell r="H27" t="str">
            <v>SOLUCIONES P/MEDICINA; TIPO: FORMOL AL 40 %, PRESENTACION: ENVASE X 1 L</v>
          </cell>
          <cell r="I27">
            <v>251</v>
          </cell>
          <cell r="K27" t="str">
            <v>BOTELLA</v>
          </cell>
          <cell r="M27">
            <v>661</v>
          </cell>
        </row>
        <row r="28">
          <cell r="H28" t="str">
            <v>ANTISEPTICOS LOCALES P/PERSONA; TIPO: MONODROGA, DROGA GENERICA: IODOFORMADA AL 10% , FORMA FARMACEUTICA: GASA, PRESENTACION: DE 10X10, 15 UNIDADES POR PACK</v>
          </cell>
          <cell r="I28">
            <v>295</v>
          </cell>
          <cell r="K28" t="str">
            <v>CAJA</v>
          </cell>
          <cell r="M28">
            <v>950</v>
          </cell>
        </row>
        <row r="29">
          <cell r="H29" t="str">
            <v>DESINFECTANTES Y DETERGENTES; PRINCIPIO ACTIVO: GLUTARALDEHIDO CON SULFACTANTE, CALIDAD: BIOLOGIA MOLECULAR, CONCENTRACION/PUREZA: 2 %, PRESENTACION: ENVASE X 4 L</v>
          </cell>
          <cell r="I29">
            <v>251</v>
          </cell>
          <cell r="K29" t="str">
            <v>BIDON</v>
          </cell>
          <cell r="M29">
            <v>1680</v>
          </cell>
        </row>
        <row r="30">
          <cell r="H30" t="str">
            <v>ANTISEPTICOS LOCALES P/PERSONA; TIPO: MONODROGA, DROGA GENERICA: GLUTARALDEHIDO AL 2%, FORMA FARMACEUTICA: SOLUCION, PRESENTACION: ENVASE X 4 L</v>
          </cell>
          <cell r="I30">
            <v>251</v>
          </cell>
          <cell r="K30" t="str">
            <v>BIDON</v>
          </cell>
          <cell r="M30">
            <v>2600</v>
          </cell>
        </row>
        <row r="31">
          <cell r="H31" t="str">
            <v>ANTISEPTICOS LOCALES P/PERSONA; TIPO: MONODROGA, DROGA GENERICA: IODOPOVIDONA, FORMA FARMACEUTICA: SOLUCION, PRESENTACION: BIDON X 5 L</v>
          </cell>
          <cell r="I31">
            <v>252</v>
          </cell>
          <cell r="K31" t="str">
            <v>BIDON</v>
          </cell>
          <cell r="M31">
            <v>2250</v>
          </cell>
        </row>
        <row r="32">
          <cell r="H32" t="str">
            <v>ANTISEPTICOS LOCALES P/PERSONA; DROGA GENERICA: IODOPOVIDONA 10%, FORMA FARMACEUTICA: SOLUCION, PRESENTACION: ENVASE X 1 L, TIPO: MONODROGA</v>
          </cell>
          <cell r="I32">
            <v>252</v>
          </cell>
          <cell r="J32" t="str">
            <v>con valvula atomizadora</v>
          </cell>
          <cell r="K32" t="str">
            <v>BOTELLA</v>
          </cell>
          <cell r="M32">
            <v>573</v>
          </cell>
        </row>
        <row r="33">
          <cell r="H33" t="str">
            <v>ANTISEPTICOS LOCALES P/PERSONA; TIPO: MONODROGA, DROGA GENERICA: IODOPOVIDONA 5 %, FORMA FARMACEUTICA: JABON LIQUIDO, PRESENTACION: ENVASE X 1 L</v>
          </cell>
          <cell r="I33">
            <v>252</v>
          </cell>
          <cell r="J33" t="str">
            <v>con valvula atomizadora</v>
          </cell>
          <cell r="K33" t="str">
            <v>BOTELLA</v>
          </cell>
          <cell r="M33">
            <v>450</v>
          </cell>
        </row>
        <row r="34">
          <cell r="H34" t="str">
            <v>ANTISEPTICOS LOCALES P/PERSONA; TIPO: MONODROGA, DROGA GENERICA: IODOPOVIDONA 5 %, FORMA FARMACEUTICA: JABON LIQUIDO, PRESENTACION: ENVASE X 5 L</v>
          </cell>
          <cell r="I34">
            <v>252</v>
          </cell>
          <cell r="K34" t="str">
            <v>BIDON</v>
          </cell>
          <cell r="M34">
            <v>1520</v>
          </cell>
        </row>
        <row r="35">
          <cell r="H35" t="str">
            <v>ANTISEPTICOS LOCALES P/PERSONA; TIPO: ANTIBACTERIANO, DROGA GENERICA: CLORHEXIDINA, FORMA FARMACEUTICA: JABON LIQUIDO, PRESENTACION: ENVASE X 800 ML BAG IN BOX</v>
          </cell>
          <cell r="I35">
            <v>252</v>
          </cell>
          <cell r="J35" t="str">
            <v>Jabón Liquido Bactericida con clorhexidina. Ph Dérmico. Envase BAG IN BOX por 800 ml. Tipo JL9  ADOX.</v>
          </cell>
          <cell r="K35" t="str">
            <v>BAG IN BOX</v>
          </cell>
          <cell r="M35">
            <v>1420</v>
          </cell>
        </row>
        <row r="36">
          <cell r="H36" t="str">
            <v>ARTICULOS DE TOCADOR; TIPO: JABON LIQUIDO HIPOALERGENICO, PRESENTACION: ENVASE X 800 ML BAG IN BOX</v>
          </cell>
          <cell r="I36">
            <v>252</v>
          </cell>
          <cell r="J36" t="str">
            <v xml:space="preserve">Jabón Líquido hipoalergenico. Ph Dérmico. No contiene cloruro de sodio, ni parabenos. Envase BAG IN BOX por 800 ml.Tipo JL4  ADOX. </v>
          </cell>
          <cell r="K36" t="str">
            <v>BAG IN BOX</v>
          </cell>
          <cell r="M36">
            <v>1150</v>
          </cell>
        </row>
        <row r="37">
          <cell r="H37" t="str">
            <v>ANTISEPTICOS LOCALES P/PERSONA; TIPO: ANTIBACTERIANO, DROGA GENERICA: CLORHEXIDINA, FORMA FARMACEUTICA: LOCION ALCOHOLICA BACTERICIDA, PRESENTACION: ENVASE X 800 ML BAG IN BOX</v>
          </cell>
          <cell r="I37">
            <v>252</v>
          </cell>
          <cell r="J37" t="str">
            <v>Loción alcohólica bactericida con clorhexidina + emolientes y suavizantes. Envase BAG IN BOX por 800 ml. Tipo L 9 ADOX.</v>
          </cell>
          <cell r="K37" t="str">
            <v>BAG IN BOX</v>
          </cell>
          <cell r="M37">
            <v>1270.5</v>
          </cell>
        </row>
        <row r="38">
          <cell r="H38" t="str">
            <v>ARTICULOS DE TOCADOR; TIPO:LOCION ALCOHOLICA 70% BACTERICIDA, PRESENTACION: ENVASE X 800 ML BAG IN BOX</v>
          </cell>
          <cell r="I38">
            <v>252</v>
          </cell>
          <cell r="J38" t="str">
            <v xml:space="preserve">Loción alcohólica bactericida con emolientes y suavizantes. Envase BAG IN BOX por 800 ml. Tipo L 7 ADOX. </v>
          </cell>
          <cell r="K38" t="str">
            <v>BAG IN BOX</v>
          </cell>
          <cell r="M38">
            <v>955.9</v>
          </cell>
        </row>
        <row r="39">
          <cell r="H39" t="str">
            <v>DESINFECTANTES; PRINCIPIO ACTIVO: MONOPERSUFATO DE POTASIO, CONTROL: BACTERIAS, HONGOS, VIRUS, PRESENTACION: ENVASE X 20 G</v>
          </cell>
          <cell r="I39">
            <v>251</v>
          </cell>
          <cell r="K39" t="str">
            <v>SOBRE</v>
          </cell>
          <cell r="M39">
            <v>199.65</v>
          </cell>
        </row>
        <row r="40">
          <cell r="H40" t="str">
            <v>ANTISEPTICOS LOCALES P/PERSONA; TIPO: MONODROGA, DROGA GENERICA: NITROFURAZONA, FORMA FARMACEUTICA: SOLUCION, PRESENTACION: FRASCO X 1 L</v>
          </cell>
          <cell r="I40">
            <v>252</v>
          </cell>
          <cell r="K40" t="str">
            <v>BOTELLA</v>
          </cell>
          <cell r="M40">
            <v>859</v>
          </cell>
        </row>
        <row r="41">
          <cell r="H41" t="str">
            <v>ANTISEPTICOS LOCALES P/PERSONA; TIPO: MONODROGA, DROGA GENERICA: ORTOFTALDEHIDO, FORMA FARMACEUTICA: SOLUCION, PRESENTACION: ENVASE X 5 L</v>
          </cell>
          <cell r="I41">
            <v>251</v>
          </cell>
          <cell r="K41" t="str">
            <v>BIDON</v>
          </cell>
          <cell r="M41">
            <v>8900</v>
          </cell>
        </row>
        <row r="42">
          <cell r="H42" t="str">
            <v>ANTISEPTICOS P/MATERIALES; TIPO: ASOCIACION, DROGA GENERICA: PEROXIDO DE HIDROGENO+ ACIDO PERACETICO, FORMA FARMACEUTICA: SOLUCION, PRESENTACION: ENVASE X 5LT, USO: EQUIPO</v>
          </cell>
          <cell r="I42">
            <v>251</v>
          </cell>
          <cell r="K42" t="str">
            <v>BIDON</v>
          </cell>
          <cell r="M42">
            <v>1880</v>
          </cell>
        </row>
        <row r="43">
          <cell r="H43" t="str">
            <v>ANTISEPTICOS LOCALES P/PERSONA; TIPO: MONODROGA, DROGA GENERICA: TINTURA DE IODO FUERTE, FORMA FARMACEUTICA: SOLUCION, PRESENTACION: ENVASE X 1 L</v>
          </cell>
          <cell r="I43">
            <v>252</v>
          </cell>
          <cell r="K43" t="str">
            <v>BOTELLA</v>
          </cell>
          <cell r="M43">
            <v>989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BK42"/>
  <sheetViews>
    <sheetView tabSelected="1" zoomScaleNormal="100" workbookViewId="0">
      <selection activeCell="AW31" sqref="AW31"/>
    </sheetView>
  </sheetViews>
  <sheetFormatPr baseColWidth="10" defaultRowHeight="15" x14ac:dyDescent="0.25"/>
  <cols>
    <col min="1" max="1" width="4.85546875" style="118" bestFit="1" customWidth="1"/>
    <col min="2" max="2" width="13" style="118" bestFit="1" customWidth="1"/>
    <col min="3" max="3" width="47.85546875" style="118" customWidth="1"/>
    <col min="4" max="4" width="5.5703125" style="118" bestFit="1" customWidth="1"/>
    <col min="5" max="5" width="90.7109375" style="119" customWidth="1"/>
    <col min="6" max="6" width="10.5703125" style="118" bestFit="1" customWidth="1"/>
    <col min="7" max="7" width="17.140625" style="118" hidden="1" customWidth="1"/>
    <col min="8" max="8" width="10.85546875" style="118" hidden="1" customWidth="1"/>
    <col min="9" max="9" width="8" style="118" hidden="1" customWidth="1"/>
    <col min="10" max="10" width="14.5703125" style="118" hidden="1" customWidth="1"/>
    <col min="11" max="11" width="9.42578125" style="118" hidden="1" customWidth="1"/>
    <col min="12" max="12" width="14" style="118" hidden="1" customWidth="1"/>
    <col min="13" max="13" width="8.28515625" style="118" hidden="1" customWidth="1"/>
    <col min="14" max="14" width="14.140625" style="118" hidden="1" customWidth="1"/>
    <col min="15" max="15" width="4.5703125" style="118" hidden="1" customWidth="1"/>
    <col min="16" max="16" width="12.42578125" style="118" hidden="1" customWidth="1"/>
    <col min="17" max="17" width="14.7109375" style="118" hidden="1" customWidth="1"/>
    <col min="18" max="18" width="13.42578125" style="118" hidden="1" customWidth="1"/>
    <col min="19" max="19" width="10.5703125" style="120" hidden="1" customWidth="1"/>
    <col min="20" max="20" width="12.42578125" style="121" hidden="1" customWidth="1"/>
    <col min="21" max="21" width="14.7109375" style="118" hidden="1" customWidth="1"/>
    <col min="22" max="22" width="12.85546875" style="118" hidden="1" customWidth="1"/>
    <col min="23" max="23" width="6" style="118" hidden="1" customWidth="1"/>
    <col min="24" max="24" width="12.5703125" style="118" hidden="1" customWidth="1"/>
    <col min="25" max="25" width="10.140625" style="118" hidden="1" customWidth="1"/>
    <col min="26" max="26" width="13.5703125" style="118" hidden="1" customWidth="1"/>
    <col min="27" max="28" width="14.42578125" style="118" hidden="1" customWidth="1"/>
    <col min="29" max="29" width="5.7109375" style="118" hidden="1" customWidth="1"/>
    <col min="30" max="30" width="12.28515625" style="118" hidden="1" customWidth="1"/>
    <col min="31" max="31" width="10.140625" style="118" hidden="1" customWidth="1"/>
    <col min="32" max="32" width="13.5703125" style="118" hidden="1" customWidth="1"/>
    <col min="33" max="33" width="12.140625" style="118" hidden="1" customWidth="1"/>
    <col min="34" max="34" width="13" style="118" hidden="1" customWidth="1"/>
    <col min="35" max="36" width="10.5703125" style="118" hidden="1" customWidth="1"/>
    <col min="37" max="37" width="4.7109375" style="118" hidden="1" customWidth="1"/>
    <col min="38" max="38" width="11.28515625" style="118" hidden="1" customWidth="1"/>
    <col min="39" max="39" width="6.5703125" style="118" hidden="1" customWidth="1"/>
    <col min="40" max="40" width="13.5703125" style="121" hidden="1" customWidth="1"/>
    <col min="41" max="41" width="14.85546875" style="118" hidden="1" customWidth="1"/>
    <col min="42" max="42" width="13.5703125" style="118" hidden="1" customWidth="1"/>
    <col min="43" max="43" width="13.85546875" style="118" hidden="1" customWidth="1"/>
    <col min="44" max="44" width="12.85546875" style="121" hidden="1" customWidth="1"/>
    <col min="45" max="45" width="15.28515625" style="122" hidden="1" customWidth="1"/>
    <col min="46" max="46" width="15.28515625" style="118" hidden="1" customWidth="1"/>
    <col min="47" max="47" width="7.28515625" style="122" hidden="1" customWidth="1"/>
    <col min="48" max="48" width="13.85546875" style="118" hidden="1" customWidth="1"/>
    <col min="49" max="49" width="10.42578125" style="120" bestFit="1" customWidth="1"/>
    <col min="50" max="50" width="10.42578125" style="121" bestFit="1" customWidth="1"/>
    <col min="51" max="51" width="16.28515625" style="121" bestFit="1" customWidth="1"/>
    <col min="52" max="52" width="54" style="45" customWidth="1"/>
    <col min="53" max="53" width="3.85546875" style="4" customWidth="1"/>
    <col min="54" max="54" width="67.140625" style="25" hidden="1" customWidth="1"/>
    <col min="55" max="55" width="13.85546875" style="25" hidden="1" customWidth="1"/>
    <col min="56" max="63" width="0" style="25" hidden="1" customWidth="1"/>
  </cols>
  <sheetData>
    <row r="1" spans="1:63" x14ac:dyDescent="0.25">
      <c r="A1" s="52">
        <v>2022</v>
      </c>
      <c r="B1" s="53"/>
      <c r="C1" s="54"/>
      <c r="D1" s="54"/>
      <c r="E1" s="55"/>
      <c r="F1" s="54"/>
      <c r="G1" s="54"/>
      <c r="H1" s="54"/>
      <c r="I1" s="54"/>
      <c r="J1" s="54"/>
      <c r="K1" s="54"/>
      <c r="L1" s="54"/>
      <c r="M1" s="56"/>
      <c r="N1" s="57"/>
      <c r="O1" s="58"/>
      <c r="P1" s="54"/>
      <c r="Q1" s="56"/>
      <c r="R1" s="54"/>
      <c r="S1" s="58"/>
      <c r="T1" s="59"/>
      <c r="U1" s="56"/>
      <c r="V1" s="54"/>
      <c r="W1" s="58"/>
      <c r="X1" s="54"/>
      <c r="Y1" s="58"/>
      <c r="Z1" s="54"/>
      <c r="AA1" s="58"/>
      <c r="AB1" s="54"/>
      <c r="AC1" s="58"/>
      <c r="AD1" s="54"/>
      <c r="AE1" s="58"/>
      <c r="AF1" s="54"/>
      <c r="AG1" s="58"/>
      <c r="AH1" s="54"/>
      <c r="AI1" s="58"/>
      <c r="AJ1" s="54"/>
      <c r="AK1" s="58"/>
      <c r="AL1" s="54"/>
      <c r="AM1" s="58"/>
      <c r="AN1" s="59"/>
      <c r="AO1" s="58"/>
      <c r="AP1" s="54"/>
      <c r="AQ1" s="58"/>
      <c r="AR1" s="59"/>
      <c r="AS1" s="60"/>
      <c r="AT1" s="54"/>
      <c r="AU1" s="60"/>
      <c r="AV1" s="54"/>
      <c r="AW1" s="58"/>
      <c r="AX1" s="61"/>
      <c r="AY1" s="59"/>
    </row>
    <row r="2" spans="1:63" s="16" customFormat="1" ht="18.75" x14ac:dyDescent="0.3">
      <c r="A2" s="62"/>
      <c r="B2" s="242" t="s">
        <v>0</v>
      </c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2"/>
      <c r="AX2" s="242"/>
      <c r="AY2" s="63"/>
      <c r="AZ2" s="46"/>
      <c r="BA2" s="21"/>
      <c r="BB2" s="157"/>
      <c r="BC2" s="157"/>
      <c r="BD2" s="157"/>
      <c r="BE2" s="157"/>
      <c r="BF2" s="157"/>
      <c r="BG2" s="157"/>
      <c r="BH2" s="157"/>
      <c r="BI2" s="157"/>
      <c r="BJ2" s="157"/>
      <c r="BK2" s="157"/>
    </row>
    <row r="3" spans="1:63" x14ac:dyDescent="0.25">
      <c r="A3" s="54"/>
      <c r="B3" s="53"/>
      <c r="C3" s="54"/>
      <c r="D3" s="54"/>
      <c r="E3" s="55"/>
      <c r="F3" s="54"/>
      <c r="G3" s="54"/>
      <c r="H3" s="54"/>
      <c r="I3" s="54"/>
      <c r="J3" s="54"/>
      <c r="K3" s="54"/>
      <c r="L3" s="54"/>
      <c r="M3" s="56"/>
      <c r="N3" s="57"/>
      <c r="O3" s="58"/>
      <c r="P3" s="54"/>
      <c r="Q3" s="56"/>
      <c r="R3" s="54"/>
      <c r="S3" s="58"/>
      <c r="T3" s="59"/>
      <c r="U3" s="56"/>
      <c r="V3" s="54"/>
      <c r="W3" s="58"/>
      <c r="X3" s="54"/>
      <c r="Y3" s="58"/>
      <c r="Z3" s="54"/>
      <c r="AA3" s="58"/>
      <c r="AB3" s="54"/>
      <c r="AC3" s="58"/>
      <c r="AD3" s="54"/>
      <c r="AE3" s="58"/>
      <c r="AF3" s="54"/>
      <c r="AG3" s="58"/>
      <c r="AH3" s="54"/>
      <c r="AI3" s="58"/>
      <c r="AJ3" s="54"/>
      <c r="AK3" s="58"/>
      <c r="AL3" s="54"/>
      <c r="AM3" s="58"/>
      <c r="AN3" s="59"/>
      <c r="AO3" s="58"/>
      <c r="AP3" s="54"/>
      <c r="AQ3" s="58"/>
      <c r="AR3" s="59"/>
      <c r="AS3" s="60"/>
      <c r="AT3" s="54"/>
      <c r="AU3" s="60"/>
      <c r="AV3" s="54"/>
      <c r="AW3" s="58"/>
      <c r="AX3" s="61"/>
      <c r="AY3" s="59"/>
    </row>
    <row r="4" spans="1:63" x14ac:dyDescent="0.25">
      <c r="A4" s="241" t="s">
        <v>1</v>
      </c>
      <c r="B4" s="241"/>
      <c r="C4" s="8" t="s">
        <v>2</v>
      </c>
      <c r="D4" s="8"/>
      <c r="E4" s="8"/>
      <c r="F4" s="64"/>
      <c r="G4" s="64"/>
      <c r="H4" s="64"/>
      <c r="I4" s="64"/>
      <c r="J4" s="64"/>
      <c r="K4" s="64"/>
      <c r="L4" s="64"/>
      <c r="M4" s="65"/>
      <c r="N4" s="66"/>
      <c r="O4" s="67"/>
      <c r="P4" s="64"/>
      <c r="Q4" s="65"/>
      <c r="R4" s="64"/>
      <c r="S4" s="67"/>
      <c r="T4" s="68"/>
      <c r="U4" s="65"/>
      <c r="V4" s="64"/>
      <c r="W4" s="67"/>
      <c r="X4" s="64"/>
      <c r="Y4" s="67"/>
      <c r="Z4" s="64"/>
      <c r="AA4" s="67"/>
      <c r="AB4" s="64"/>
      <c r="AC4" s="67"/>
      <c r="AD4" s="64"/>
      <c r="AE4" s="67"/>
      <c r="AF4" s="64"/>
      <c r="AG4" s="67"/>
      <c r="AH4" s="64"/>
      <c r="AI4" s="67"/>
      <c r="AJ4" s="64"/>
      <c r="AK4" s="67"/>
      <c r="AL4" s="64"/>
      <c r="AM4" s="67"/>
      <c r="AN4" s="68"/>
      <c r="AO4" s="67"/>
      <c r="AP4" s="64"/>
      <c r="AQ4" s="67"/>
      <c r="AR4" s="68"/>
      <c r="AS4" s="69"/>
      <c r="AT4" s="64"/>
      <c r="AU4" s="69"/>
      <c r="AV4" s="64"/>
      <c r="AW4" s="67"/>
      <c r="AX4" s="61"/>
      <c r="AY4" s="59"/>
    </row>
    <row r="5" spans="1:63" ht="15" customHeight="1" x14ac:dyDescent="0.25">
      <c r="A5" s="241" t="s">
        <v>3</v>
      </c>
      <c r="B5" s="241"/>
      <c r="C5" s="8" t="s">
        <v>4</v>
      </c>
      <c r="D5" s="8"/>
      <c r="E5" s="8"/>
      <c r="F5" s="64"/>
      <c r="G5" s="64"/>
      <c r="H5" s="64"/>
      <c r="I5" s="64"/>
      <c r="J5" s="64"/>
      <c r="K5" s="64"/>
      <c r="L5" s="64"/>
      <c r="M5" s="65"/>
      <c r="N5" s="66"/>
      <c r="O5" s="67"/>
      <c r="P5" s="64"/>
      <c r="Q5" s="65"/>
      <c r="R5" s="64"/>
      <c r="S5" s="67"/>
      <c r="T5" s="68"/>
      <c r="U5" s="65"/>
      <c r="V5" s="64"/>
      <c r="W5" s="67"/>
      <c r="X5" s="64"/>
      <c r="Y5" s="67"/>
      <c r="Z5" s="64"/>
      <c r="AA5" s="67"/>
      <c r="AB5" s="64"/>
      <c r="AC5" s="67"/>
      <c r="AD5" s="64"/>
      <c r="AE5" s="67"/>
      <c r="AF5" s="64"/>
      <c r="AG5" s="67"/>
      <c r="AH5" s="64"/>
      <c r="AI5" s="67"/>
      <c r="AJ5" s="64"/>
      <c r="AK5" s="67"/>
      <c r="AL5" s="64"/>
      <c r="AM5" s="67"/>
      <c r="AN5" s="68"/>
      <c r="AO5" s="67"/>
      <c r="AP5" s="64"/>
      <c r="AQ5" s="67"/>
      <c r="AR5" s="68"/>
      <c r="AS5" s="69"/>
      <c r="AT5" s="64"/>
      <c r="AU5" s="69"/>
      <c r="AV5" s="64"/>
      <c r="AW5" s="67"/>
      <c r="AX5" s="61"/>
      <c r="AY5" s="59"/>
    </row>
    <row r="6" spans="1:63" x14ac:dyDescent="0.25">
      <c r="A6" s="241" t="s">
        <v>5</v>
      </c>
      <c r="B6" s="241"/>
      <c r="C6" s="9">
        <v>2022</v>
      </c>
      <c r="D6" s="10"/>
      <c r="E6" s="9"/>
      <c r="F6" s="64"/>
      <c r="G6" s="64"/>
      <c r="H6" s="64"/>
      <c r="I6" s="64"/>
      <c r="J6" s="64"/>
      <c r="K6" s="64"/>
      <c r="L6" s="64"/>
      <c r="M6" s="65"/>
      <c r="N6" s="66"/>
      <c r="O6" s="67"/>
      <c r="P6" s="64"/>
      <c r="Q6" s="65"/>
      <c r="R6" s="64"/>
      <c r="S6" s="67"/>
      <c r="T6" s="68"/>
      <c r="U6" s="65"/>
      <c r="V6" s="64"/>
      <c r="W6" s="67"/>
      <c r="X6" s="64"/>
      <c r="Y6" s="67"/>
      <c r="Z6" s="64"/>
      <c r="AA6" s="67"/>
      <c r="AB6" s="64"/>
      <c r="AC6" s="67"/>
      <c r="AD6" s="64"/>
      <c r="AE6" s="67"/>
      <c r="AF6" s="64"/>
      <c r="AG6" s="67"/>
      <c r="AH6" s="64"/>
      <c r="AI6" s="67"/>
      <c r="AJ6" s="64"/>
      <c r="AK6" s="67"/>
      <c r="AL6" s="64"/>
      <c r="AM6" s="67"/>
      <c r="AN6" s="68"/>
      <c r="AO6" s="67"/>
      <c r="AP6" s="64"/>
      <c r="AQ6" s="67"/>
      <c r="AR6" s="68"/>
      <c r="AS6" s="69"/>
      <c r="AT6" s="64"/>
      <c r="AU6" s="69"/>
      <c r="AV6" s="64"/>
      <c r="AW6" s="67"/>
      <c r="AX6" s="61"/>
      <c r="AY6" s="59"/>
    </row>
    <row r="7" spans="1:63" x14ac:dyDescent="0.25">
      <c r="A7" s="241" t="s">
        <v>6</v>
      </c>
      <c r="B7" s="241"/>
      <c r="C7" s="9" t="s">
        <v>7</v>
      </c>
      <c r="D7" s="10"/>
      <c r="E7" s="9"/>
      <c r="F7" s="64"/>
      <c r="G7" s="64"/>
      <c r="H7" s="64"/>
      <c r="I7" s="64"/>
      <c r="J7" s="64"/>
      <c r="K7" s="64"/>
      <c r="L7" s="64"/>
      <c r="M7" s="65"/>
      <c r="N7" s="66"/>
      <c r="O7" s="67"/>
      <c r="P7" s="64"/>
      <c r="Q7" s="65"/>
      <c r="R7" s="64"/>
      <c r="S7" s="67"/>
      <c r="T7" s="68"/>
      <c r="U7" s="65"/>
      <c r="V7" s="64"/>
      <c r="W7" s="67"/>
      <c r="X7" s="64"/>
      <c r="Y7" s="67"/>
      <c r="Z7" s="64"/>
      <c r="AA7" s="67"/>
      <c r="AB7" s="64"/>
      <c r="AC7" s="67"/>
      <c r="AD7" s="64"/>
      <c r="AE7" s="67"/>
      <c r="AF7" s="64"/>
      <c r="AG7" s="67"/>
      <c r="AH7" s="64"/>
      <c r="AI7" s="67"/>
      <c r="AJ7" s="64"/>
      <c r="AK7" s="67"/>
      <c r="AL7" s="64"/>
      <c r="AM7" s="67"/>
      <c r="AN7" s="68"/>
      <c r="AO7" s="67"/>
      <c r="AP7" s="64"/>
      <c r="AQ7" s="67"/>
      <c r="AR7" s="68"/>
      <c r="AS7" s="69"/>
      <c r="AT7" s="64"/>
      <c r="AU7" s="69"/>
      <c r="AV7" s="64"/>
      <c r="AW7" s="67"/>
      <c r="AX7" s="61"/>
      <c r="AY7" s="59"/>
    </row>
    <row r="8" spans="1:63" x14ac:dyDescent="0.25">
      <c r="A8" s="54"/>
      <c r="B8" s="64"/>
      <c r="C8" s="64"/>
      <c r="D8" s="64"/>
      <c r="E8" s="70"/>
      <c r="F8" s="64"/>
      <c r="G8" s="64"/>
      <c r="H8" s="64"/>
      <c r="I8" s="64"/>
      <c r="J8" s="64"/>
      <c r="K8" s="64"/>
      <c r="L8" s="64"/>
      <c r="M8" s="65"/>
      <c r="N8" s="66"/>
      <c r="O8" s="67"/>
      <c r="P8" s="64"/>
      <c r="Q8" s="65"/>
      <c r="R8" s="64"/>
      <c r="S8" s="67"/>
      <c r="T8" s="68"/>
      <c r="U8" s="65"/>
      <c r="V8" s="64"/>
      <c r="W8" s="67"/>
      <c r="X8" s="64"/>
      <c r="Y8" s="67"/>
      <c r="Z8" s="64"/>
      <c r="AA8" s="67"/>
      <c r="AB8" s="64"/>
      <c r="AC8" s="67"/>
      <c r="AD8" s="64"/>
      <c r="AE8" s="67"/>
      <c r="AF8" s="64"/>
      <c r="AG8" s="67"/>
      <c r="AH8" s="64"/>
      <c r="AI8" s="67"/>
      <c r="AJ8" s="64"/>
      <c r="AK8" s="67"/>
      <c r="AL8" s="64"/>
      <c r="AM8" s="67"/>
      <c r="AN8" s="68"/>
      <c r="AO8" s="67"/>
      <c r="AP8" s="64"/>
      <c r="AQ8" s="67"/>
      <c r="AR8" s="68"/>
      <c r="AS8" s="69"/>
      <c r="AT8" s="64"/>
      <c r="AU8" s="69"/>
      <c r="AV8" s="64"/>
      <c r="AW8" s="67"/>
      <c r="AX8" s="61"/>
      <c r="AY8" s="59"/>
    </row>
    <row r="9" spans="1:63" ht="38.25" x14ac:dyDescent="0.25">
      <c r="A9" s="71" t="s">
        <v>8</v>
      </c>
      <c r="B9" s="71" t="s">
        <v>9</v>
      </c>
      <c r="C9" s="72" t="s">
        <v>10</v>
      </c>
      <c r="D9" s="71" t="s">
        <v>11</v>
      </c>
      <c r="E9" s="73" t="s">
        <v>12</v>
      </c>
      <c r="F9" s="72" t="s">
        <v>13</v>
      </c>
      <c r="G9" s="72" t="s">
        <v>14</v>
      </c>
      <c r="H9" s="72" t="s">
        <v>15</v>
      </c>
      <c r="I9" s="72" t="s">
        <v>16</v>
      </c>
      <c r="J9" s="72" t="s">
        <v>17</v>
      </c>
      <c r="K9" s="72" t="s">
        <v>18</v>
      </c>
      <c r="L9" s="72" t="s">
        <v>19</v>
      </c>
      <c r="M9" s="74" t="s">
        <v>20</v>
      </c>
      <c r="N9" s="75" t="s">
        <v>21</v>
      </c>
      <c r="O9" s="76" t="s">
        <v>22</v>
      </c>
      <c r="P9" s="72" t="s">
        <v>23</v>
      </c>
      <c r="Q9" s="74" t="s">
        <v>24</v>
      </c>
      <c r="R9" s="72" t="s">
        <v>25</v>
      </c>
      <c r="S9" s="76" t="s">
        <v>26</v>
      </c>
      <c r="T9" s="77" t="s">
        <v>27</v>
      </c>
      <c r="U9" s="74" t="s">
        <v>28</v>
      </c>
      <c r="V9" s="72" t="s">
        <v>29</v>
      </c>
      <c r="W9" s="76" t="s">
        <v>30</v>
      </c>
      <c r="X9" s="72" t="s">
        <v>31</v>
      </c>
      <c r="Y9" s="76" t="s">
        <v>32</v>
      </c>
      <c r="Z9" s="72" t="s">
        <v>33</v>
      </c>
      <c r="AA9" s="76" t="s">
        <v>34</v>
      </c>
      <c r="AB9" s="72" t="s">
        <v>35</v>
      </c>
      <c r="AC9" s="76" t="s">
        <v>36</v>
      </c>
      <c r="AD9" s="72" t="s">
        <v>37</v>
      </c>
      <c r="AE9" s="76" t="s">
        <v>38</v>
      </c>
      <c r="AF9" s="72" t="s">
        <v>39</v>
      </c>
      <c r="AG9" s="76" t="s">
        <v>40</v>
      </c>
      <c r="AH9" s="72" t="s">
        <v>41</v>
      </c>
      <c r="AI9" s="76" t="s">
        <v>42</v>
      </c>
      <c r="AJ9" s="72" t="s">
        <v>43</v>
      </c>
      <c r="AK9" s="76" t="s">
        <v>44</v>
      </c>
      <c r="AL9" s="72" t="s">
        <v>45</v>
      </c>
      <c r="AM9" s="76" t="s">
        <v>46</v>
      </c>
      <c r="AN9" s="77" t="s">
        <v>47</v>
      </c>
      <c r="AO9" s="76" t="s">
        <v>48</v>
      </c>
      <c r="AP9" s="72" t="s">
        <v>49</v>
      </c>
      <c r="AQ9" s="76" t="s">
        <v>50</v>
      </c>
      <c r="AR9" s="77" t="s">
        <v>51</v>
      </c>
      <c r="AS9" s="78" t="s">
        <v>52</v>
      </c>
      <c r="AT9" s="72" t="s">
        <v>53</v>
      </c>
      <c r="AU9" s="78" t="s">
        <v>54</v>
      </c>
      <c r="AV9" s="72" t="s">
        <v>55</v>
      </c>
      <c r="AW9" s="76" t="s">
        <v>56</v>
      </c>
      <c r="AX9" s="79" t="s">
        <v>57</v>
      </c>
      <c r="AY9" s="80" t="s">
        <v>58</v>
      </c>
      <c r="AZ9" s="1" t="s">
        <v>59</v>
      </c>
      <c r="BA9" s="22"/>
      <c r="BB9" s="158" t="s">
        <v>163</v>
      </c>
      <c r="BC9" s="72" t="s">
        <v>12</v>
      </c>
      <c r="BD9" s="159"/>
      <c r="BE9" s="72" t="s">
        <v>162</v>
      </c>
      <c r="BF9" s="159"/>
      <c r="BG9" s="72" t="s">
        <v>13</v>
      </c>
      <c r="BH9" s="159"/>
      <c r="BI9" s="79" t="s">
        <v>57</v>
      </c>
      <c r="BJ9" s="159"/>
      <c r="BK9" s="159"/>
    </row>
    <row r="10" spans="1:63" s="2" customFormat="1" ht="25.5" customHeight="1" x14ac:dyDescent="0.25">
      <c r="A10" s="81">
        <v>1</v>
      </c>
      <c r="B10" s="81" t="s">
        <v>134</v>
      </c>
      <c r="C10" s="82" t="s">
        <v>135</v>
      </c>
      <c r="D10" s="81">
        <v>252</v>
      </c>
      <c r="E10" s="83" t="s">
        <v>136</v>
      </c>
      <c r="F10" s="81" t="s">
        <v>63</v>
      </c>
      <c r="G10" s="81"/>
      <c r="H10" s="81"/>
      <c r="I10" s="81"/>
      <c r="J10" s="81"/>
      <c r="K10" s="81"/>
      <c r="L10" s="84">
        <f t="shared" ref="L10:L21" si="0">+K10*AX10</f>
        <v>0</v>
      </c>
      <c r="M10" s="81"/>
      <c r="N10" s="84">
        <f t="shared" ref="N10:N21" si="1">+M10*AX10</f>
        <v>0</v>
      </c>
      <c r="O10" s="81"/>
      <c r="P10" s="81"/>
      <c r="Q10" s="81"/>
      <c r="R10" s="81"/>
      <c r="S10" s="85">
        <v>1000</v>
      </c>
      <c r="T10" s="84">
        <f t="shared" ref="T10:T21" si="2">+S10*AX10</f>
        <v>128590</v>
      </c>
      <c r="U10" s="81"/>
      <c r="V10" s="84">
        <f t="shared" ref="V10:V21" si="3">+U10*AX10</f>
        <v>0</v>
      </c>
      <c r="W10" s="81">
        <v>30</v>
      </c>
      <c r="X10" s="84">
        <f t="shared" ref="X10:X21" si="4">+W10*AX10</f>
        <v>3857.7000000000003</v>
      </c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4"/>
      <c r="AO10" s="81"/>
      <c r="AP10" s="81"/>
      <c r="AQ10" s="81"/>
      <c r="AR10" s="84"/>
      <c r="AS10" s="86"/>
      <c r="AT10" s="81"/>
      <c r="AU10" s="86"/>
      <c r="AV10" s="81"/>
      <c r="AW10" s="87">
        <f t="shared" ref="AW10" si="5">+AQ10+AO10+AM10+AK10+AI10+AG10+AE10+AC10+AA10+Y10+W10+U10+S10+Q10+O10+M10+K10+I10+AS10+G10+AU10</f>
        <v>1030</v>
      </c>
      <c r="AX10" s="84">
        <v>128.59</v>
      </c>
      <c r="AY10" s="88">
        <f t="shared" ref="AY10" si="6">+AW10*AX10</f>
        <v>132447.70000000001</v>
      </c>
      <c r="AZ10" s="47"/>
      <c r="BA10" s="18"/>
      <c r="BB10" s="160"/>
      <c r="BC10" s="161" t="s">
        <v>136</v>
      </c>
      <c r="BD10" s="82" t="b">
        <f>E10=BC10</f>
        <v>1</v>
      </c>
      <c r="BE10" s="82">
        <f>+VLOOKUP(E10,'[1]Necesidades Trimestrales'!$H$10:$I$43,2,0)</f>
        <v>252</v>
      </c>
      <c r="BF10" s="82" t="b">
        <f>BE10=D10</f>
        <v>1</v>
      </c>
      <c r="BG10" s="82" t="str">
        <f>+VLOOKUP(E10,'[1]Necesidades Trimestrales'!$H$10:$K$43,4,0)</f>
        <v>BOTELLA</v>
      </c>
      <c r="BH10" s="82" t="b">
        <f>BG10=F10</f>
        <v>1</v>
      </c>
      <c r="BI10" s="90">
        <f>+VLOOKUP(E10,'[1]Necesidades Trimestrales'!$H$10:$M$43,6,0)</f>
        <v>128.59</v>
      </c>
      <c r="BJ10" s="82" t="b">
        <f>BI10=AX10</f>
        <v>1</v>
      </c>
      <c r="BK10" s="90">
        <f>+AW10*AX10-AY10</f>
        <v>0</v>
      </c>
    </row>
    <row r="11" spans="1:63" s="2" customFormat="1" x14ac:dyDescent="0.25">
      <c r="A11" s="81">
        <v>2</v>
      </c>
      <c r="B11" s="82" t="s">
        <v>144</v>
      </c>
      <c r="C11" s="82" t="s">
        <v>135</v>
      </c>
      <c r="D11" s="82">
        <v>252</v>
      </c>
      <c r="E11" s="51" t="s">
        <v>145</v>
      </c>
      <c r="F11" s="82" t="s">
        <v>60</v>
      </c>
      <c r="G11" s="82"/>
      <c r="H11" s="82"/>
      <c r="I11" s="82"/>
      <c r="J11" s="82"/>
      <c r="K11" s="82"/>
      <c r="L11" s="84">
        <f t="shared" si="0"/>
        <v>0</v>
      </c>
      <c r="M11" s="82">
        <v>120</v>
      </c>
      <c r="N11" s="84">
        <f t="shared" si="1"/>
        <v>18960</v>
      </c>
      <c r="O11" s="82"/>
      <c r="P11" s="82"/>
      <c r="Q11" s="82"/>
      <c r="R11" s="82"/>
      <c r="S11" s="89"/>
      <c r="T11" s="84">
        <f t="shared" si="2"/>
        <v>0</v>
      </c>
      <c r="U11" s="82"/>
      <c r="V11" s="84">
        <f t="shared" si="3"/>
        <v>0</v>
      </c>
      <c r="W11" s="82"/>
      <c r="X11" s="84">
        <f t="shared" si="4"/>
        <v>0</v>
      </c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90"/>
      <c r="AO11" s="82"/>
      <c r="AP11" s="82"/>
      <c r="AQ11" s="82"/>
      <c r="AR11" s="90"/>
      <c r="AS11" s="91"/>
      <c r="AT11" s="82"/>
      <c r="AU11" s="91"/>
      <c r="AV11" s="82"/>
      <c r="AW11" s="92">
        <f t="shared" ref="AW11:AW21" si="7">+AQ11+AO11+AM11+AK11+AI11+AG11+AE11+AC11+AA11+Y11+W11+U11+S11+Q11+O11+M11+K11+I11+AS11+G11+AU11</f>
        <v>120</v>
      </c>
      <c r="AX11" s="90">
        <v>158</v>
      </c>
      <c r="AY11" s="88">
        <f t="shared" ref="AY11:AY21" si="8">+AW11*AX11</f>
        <v>18960</v>
      </c>
      <c r="AZ11" s="47"/>
      <c r="BA11" s="18"/>
      <c r="BB11" s="160"/>
      <c r="BC11" s="161" t="s">
        <v>145</v>
      </c>
      <c r="BD11" s="82" t="b">
        <f t="shared" ref="BD11:BD21" si="9">E11=BC11</f>
        <v>1</v>
      </c>
      <c r="BE11" s="82">
        <f>+VLOOKUP(E11,'[1]Necesidades Trimestrales'!$H$10:$I$43,2,0)</f>
        <v>252</v>
      </c>
      <c r="BF11" s="82" t="b">
        <f t="shared" ref="BF11:BF21" si="10">BE11=D11</f>
        <v>1</v>
      </c>
      <c r="BG11" s="82" t="str">
        <f>+VLOOKUP(E11,'[1]Necesidades Trimestrales'!$H$10:$K$43,4,0)</f>
        <v>UNIDAD</v>
      </c>
      <c r="BH11" s="82" t="b">
        <f t="shared" ref="BH11:BH21" si="11">BG11=F11</f>
        <v>1</v>
      </c>
      <c r="BI11" s="90">
        <f>+VLOOKUP(E11,'[1]Necesidades Trimestrales'!$H$10:$M$43,6,0)</f>
        <v>158</v>
      </c>
      <c r="BJ11" s="82" t="b">
        <f t="shared" ref="BJ11:BJ21" si="12">BI11=AX11</f>
        <v>1</v>
      </c>
      <c r="BK11" s="90">
        <f t="shared" ref="BK11:BK21" si="13">+AW11*AX11-AY11</f>
        <v>0</v>
      </c>
    </row>
    <row r="12" spans="1:63" s="2" customFormat="1" x14ac:dyDescent="0.25">
      <c r="A12" s="81">
        <v>3</v>
      </c>
      <c r="B12" s="82" t="s">
        <v>139</v>
      </c>
      <c r="C12" s="82" t="s">
        <v>135</v>
      </c>
      <c r="D12" s="82">
        <v>252</v>
      </c>
      <c r="E12" s="51" t="s">
        <v>140</v>
      </c>
      <c r="F12" s="82" t="s">
        <v>63</v>
      </c>
      <c r="G12" s="82"/>
      <c r="H12" s="82"/>
      <c r="I12" s="82"/>
      <c r="J12" s="82"/>
      <c r="K12" s="82">
        <v>400</v>
      </c>
      <c r="L12" s="84">
        <f t="shared" si="0"/>
        <v>80400</v>
      </c>
      <c r="M12" s="82"/>
      <c r="N12" s="84">
        <f t="shared" si="1"/>
        <v>0</v>
      </c>
      <c r="O12" s="82"/>
      <c r="P12" s="82"/>
      <c r="Q12" s="82"/>
      <c r="R12" s="82"/>
      <c r="S12" s="89"/>
      <c r="T12" s="84">
        <f t="shared" si="2"/>
        <v>0</v>
      </c>
      <c r="U12" s="82"/>
      <c r="V12" s="84">
        <f t="shared" si="3"/>
        <v>0</v>
      </c>
      <c r="W12" s="82"/>
      <c r="X12" s="84">
        <f t="shared" si="4"/>
        <v>0</v>
      </c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90"/>
      <c r="AO12" s="82"/>
      <c r="AP12" s="82"/>
      <c r="AQ12" s="82"/>
      <c r="AR12" s="90"/>
      <c r="AS12" s="91"/>
      <c r="AT12" s="82"/>
      <c r="AU12" s="91"/>
      <c r="AV12" s="82"/>
      <c r="AW12" s="92">
        <f t="shared" si="7"/>
        <v>400</v>
      </c>
      <c r="AX12" s="90">
        <v>201</v>
      </c>
      <c r="AY12" s="88">
        <f t="shared" si="8"/>
        <v>80400</v>
      </c>
      <c r="AZ12" s="47"/>
      <c r="BA12" s="18"/>
      <c r="BB12" s="160"/>
      <c r="BC12" s="161" t="s">
        <v>140</v>
      </c>
      <c r="BD12" s="82" t="b">
        <f t="shared" si="9"/>
        <v>1</v>
      </c>
      <c r="BE12" s="82">
        <f>+VLOOKUP(E12,'[1]Necesidades Trimestrales'!$H$10:$I$43,2,0)</f>
        <v>252</v>
      </c>
      <c r="BF12" s="82" t="b">
        <f t="shared" si="10"/>
        <v>1</v>
      </c>
      <c r="BG12" s="82" t="str">
        <f>+VLOOKUP(E12,'[1]Necesidades Trimestrales'!$H$10:$K$43,4,0)</f>
        <v>BOTELLA</v>
      </c>
      <c r="BH12" s="82" t="b">
        <f t="shared" si="11"/>
        <v>1</v>
      </c>
      <c r="BI12" s="90">
        <f>+VLOOKUP(E12,'[1]Necesidades Trimestrales'!$H$10:$M$43,6,0)</f>
        <v>201</v>
      </c>
      <c r="BJ12" s="82" t="b">
        <f t="shared" si="12"/>
        <v>1</v>
      </c>
      <c r="BK12" s="90">
        <f t="shared" si="13"/>
        <v>0</v>
      </c>
    </row>
    <row r="13" spans="1:63" s="2" customFormat="1" ht="25.5" x14ac:dyDescent="0.25">
      <c r="A13" s="81">
        <v>4</v>
      </c>
      <c r="B13" s="82" t="s">
        <v>137</v>
      </c>
      <c r="C13" s="82" t="s">
        <v>135</v>
      </c>
      <c r="D13" s="82">
        <v>252</v>
      </c>
      <c r="E13" s="51" t="s">
        <v>138</v>
      </c>
      <c r="F13" s="82" t="s">
        <v>63</v>
      </c>
      <c r="G13" s="82"/>
      <c r="H13" s="82"/>
      <c r="I13" s="82"/>
      <c r="J13" s="82"/>
      <c r="K13" s="82"/>
      <c r="L13" s="84">
        <f t="shared" si="0"/>
        <v>0</v>
      </c>
      <c r="M13" s="82">
        <v>300</v>
      </c>
      <c r="N13" s="84">
        <f t="shared" si="1"/>
        <v>32400</v>
      </c>
      <c r="O13" s="82"/>
      <c r="P13" s="82"/>
      <c r="Q13" s="82"/>
      <c r="R13" s="82"/>
      <c r="S13" s="89"/>
      <c r="T13" s="84">
        <f t="shared" si="2"/>
        <v>0</v>
      </c>
      <c r="U13" s="82"/>
      <c r="V13" s="84">
        <f t="shared" si="3"/>
        <v>0</v>
      </c>
      <c r="W13" s="82"/>
      <c r="X13" s="84">
        <f t="shared" si="4"/>
        <v>0</v>
      </c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90"/>
      <c r="AO13" s="82"/>
      <c r="AP13" s="82"/>
      <c r="AQ13" s="82"/>
      <c r="AR13" s="90"/>
      <c r="AS13" s="91"/>
      <c r="AT13" s="82"/>
      <c r="AU13" s="91"/>
      <c r="AV13" s="82"/>
      <c r="AW13" s="92">
        <f t="shared" si="7"/>
        <v>300</v>
      </c>
      <c r="AX13" s="90">
        <v>108</v>
      </c>
      <c r="AY13" s="88">
        <f t="shared" si="8"/>
        <v>32400</v>
      </c>
      <c r="AZ13" s="47"/>
      <c r="BA13" s="18"/>
      <c r="BB13" s="160"/>
      <c r="BC13" s="161" t="s">
        <v>138</v>
      </c>
      <c r="BD13" s="82" t="b">
        <f t="shared" si="9"/>
        <v>1</v>
      </c>
      <c r="BE13" s="82">
        <f>+VLOOKUP(E13,'[1]Necesidades Trimestrales'!$H$10:$I$43,2,0)</f>
        <v>252</v>
      </c>
      <c r="BF13" s="82" t="b">
        <f t="shared" si="10"/>
        <v>1</v>
      </c>
      <c r="BG13" s="82" t="str">
        <f>+VLOOKUP(E13,'[1]Necesidades Trimestrales'!$H$10:$K$43,4,0)</f>
        <v>BOTELLA</v>
      </c>
      <c r="BH13" s="82" t="b">
        <f t="shared" si="11"/>
        <v>1</v>
      </c>
      <c r="BI13" s="90">
        <f>+VLOOKUP(E13,'[1]Necesidades Trimestrales'!$H$10:$M$43,6,0)</f>
        <v>108</v>
      </c>
      <c r="BJ13" s="82" t="b">
        <f t="shared" si="12"/>
        <v>1</v>
      </c>
      <c r="BK13" s="90">
        <f t="shared" si="13"/>
        <v>0</v>
      </c>
    </row>
    <row r="14" spans="1:63" s="2" customFormat="1" ht="25.5" x14ac:dyDescent="0.25">
      <c r="A14" s="81">
        <v>5</v>
      </c>
      <c r="B14" s="82" t="s">
        <v>154</v>
      </c>
      <c r="C14" s="82" t="s">
        <v>135</v>
      </c>
      <c r="D14" s="82">
        <v>252</v>
      </c>
      <c r="E14" s="51" t="s">
        <v>155</v>
      </c>
      <c r="F14" s="82" t="s">
        <v>63</v>
      </c>
      <c r="G14" s="82"/>
      <c r="H14" s="82"/>
      <c r="I14" s="82"/>
      <c r="J14" s="82"/>
      <c r="K14" s="82"/>
      <c r="L14" s="84">
        <f t="shared" si="0"/>
        <v>0</v>
      </c>
      <c r="M14" s="82"/>
      <c r="N14" s="84">
        <f t="shared" si="1"/>
        <v>0</v>
      </c>
      <c r="O14" s="82"/>
      <c r="P14" s="82"/>
      <c r="Q14" s="82"/>
      <c r="R14" s="82"/>
      <c r="S14" s="89">
        <v>350</v>
      </c>
      <c r="T14" s="84">
        <f t="shared" si="2"/>
        <v>200550</v>
      </c>
      <c r="U14" s="82"/>
      <c r="V14" s="84">
        <f t="shared" si="3"/>
        <v>0</v>
      </c>
      <c r="W14" s="82">
        <v>15</v>
      </c>
      <c r="X14" s="84">
        <f t="shared" si="4"/>
        <v>8595</v>
      </c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90"/>
      <c r="AO14" s="82"/>
      <c r="AP14" s="82"/>
      <c r="AQ14" s="82"/>
      <c r="AR14" s="90"/>
      <c r="AS14" s="91"/>
      <c r="AT14" s="82"/>
      <c r="AU14" s="91"/>
      <c r="AV14" s="82"/>
      <c r="AW14" s="92">
        <f t="shared" si="7"/>
        <v>365</v>
      </c>
      <c r="AX14" s="90">
        <v>573</v>
      </c>
      <c r="AY14" s="88">
        <f t="shared" si="8"/>
        <v>209145</v>
      </c>
      <c r="AZ14" s="47" t="s">
        <v>165</v>
      </c>
      <c r="BA14" s="18"/>
      <c r="BB14" s="160" t="str">
        <f>+VLOOKUP(E14,'[1]Necesidades Trimestrales'!$H$10:$J$43,3,0)</f>
        <v>con valvula atomizadora</v>
      </c>
      <c r="BC14" s="161" t="s">
        <v>155</v>
      </c>
      <c r="BD14" s="82" t="b">
        <f t="shared" si="9"/>
        <v>1</v>
      </c>
      <c r="BE14" s="82">
        <f>+VLOOKUP(E14,'[1]Necesidades Trimestrales'!$H$10:$I$43,2,0)</f>
        <v>252</v>
      </c>
      <c r="BF14" s="82" t="b">
        <f t="shared" si="10"/>
        <v>1</v>
      </c>
      <c r="BG14" s="82" t="str">
        <f>+VLOOKUP(E14,'[1]Necesidades Trimestrales'!$H$10:$K$43,4,0)</f>
        <v>BOTELLA</v>
      </c>
      <c r="BH14" s="82" t="b">
        <f t="shared" si="11"/>
        <v>1</v>
      </c>
      <c r="BI14" s="90">
        <f>+VLOOKUP(E14,'[1]Necesidades Trimestrales'!$H$10:$M$43,6,0)</f>
        <v>573</v>
      </c>
      <c r="BJ14" s="82" t="b">
        <f t="shared" si="12"/>
        <v>1</v>
      </c>
      <c r="BK14" s="90">
        <f t="shared" si="13"/>
        <v>0</v>
      </c>
    </row>
    <row r="15" spans="1:63" s="2" customFormat="1" ht="25.5" x14ac:dyDescent="0.25">
      <c r="A15" s="81">
        <v>6</v>
      </c>
      <c r="B15" s="93" t="s">
        <v>148</v>
      </c>
      <c r="C15" s="93" t="s">
        <v>135</v>
      </c>
      <c r="D15" s="93">
        <v>295</v>
      </c>
      <c r="E15" s="94" t="s">
        <v>149</v>
      </c>
      <c r="F15" s="93" t="s">
        <v>61</v>
      </c>
      <c r="G15" s="93"/>
      <c r="H15" s="93"/>
      <c r="I15" s="93"/>
      <c r="J15" s="93"/>
      <c r="K15" s="93"/>
      <c r="L15" s="95">
        <f t="shared" si="0"/>
        <v>0</v>
      </c>
      <c r="M15" s="93"/>
      <c r="N15" s="95">
        <f t="shared" si="1"/>
        <v>0</v>
      </c>
      <c r="O15" s="93"/>
      <c r="P15" s="93"/>
      <c r="Q15" s="93"/>
      <c r="R15" s="93"/>
      <c r="S15" s="96"/>
      <c r="T15" s="95">
        <f t="shared" si="2"/>
        <v>0</v>
      </c>
      <c r="U15" s="93">
        <v>50</v>
      </c>
      <c r="V15" s="95">
        <f t="shared" si="3"/>
        <v>47500</v>
      </c>
      <c r="W15" s="93"/>
      <c r="X15" s="95">
        <f t="shared" si="4"/>
        <v>0</v>
      </c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7"/>
      <c r="AO15" s="93"/>
      <c r="AP15" s="93"/>
      <c r="AQ15" s="93"/>
      <c r="AR15" s="97"/>
      <c r="AS15" s="98"/>
      <c r="AT15" s="93"/>
      <c r="AU15" s="98"/>
      <c r="AV15" s="93"/>
      <c r="AW15" s="92">
        <f t="shared" si="7"/>
        <v>50</v>
      </c>
      <c r="AX15" s="97">
        <v>950</v>
      </c>
      <c r="AY15" s="99">
        <f t="shared" si="8"/>
        <v>47500</v>
      </c>
      <c r="AZ15" s="48"/>
      <c r="BA15" s="19"/>
      <c r="BB15" s="160"/>
      <c r="BC15" s="161" t="s">
        <v>149</v>
      </c>
      <c r="BD15" s="82" t="b">
        <f t="shared" si="9"/>
        <v>1</v>
      </c>
      <c r="BE15" s="82">
        <f>+VLOOKUP(E15,'[1]Necesidades Trimestrales'!$H$10:$I$43,2,0)</f>
        <v>295</v>
      </c>
      <c r="BF15" s="82" t="b">
        <f t="shared" si="10"/>
        <v>1</v>
      </c>
      <c r="BG15" s="82" t="str">
        <f>+VLOOKUP(E15,'[1]Necesidades Trimestrales'!$H$10:$K$43,4,0)</f>
        <v>CAJA</v>
      </c>
      <c r="BH15" s="82" t="b">
        <f t="shared" si="11"/>
        <v>1</v>
      </c>
      <c r="BI15" s="90">
        <f>+VLOOKUP(E15,'[1]Necesidades Trimestrales'!$H$10:$M$43,6,0)</f>
        <v>950</v>
      </c>
      <c r="BJ15" s="82" t="b">
        <f t="shared" si="12"/>
        <v>1</v>
      </c>
      <c r="BK15" s="90">
        <f t="shared" si="13"/>
        <v>0</v>
      </c>
    </row>
    <row r="16" spans="1:63" s="13" customFormat="1" ht="25.5" x14ac:dyDescent="0.25">
      <c r="A16" s="100">
        <v>7</v>
      </c>
      <c r="B16" s="82" t="s">
        <v>152</v>
      </c>
      <c r="C16" s="82" t="s">
        <v>135</v>
      </c>
      <c r="D16" s="82">
        <v>252</v>
      </c>
      <c r="E16" s="51" t="s">
        <v>153</v>
      </c>
      <c r="F16" s="82" t="s">
        <v>62</v>
      </c>
      <c r="G16" s="82"/>
      <c r="H16" s="82"/>
      <c r="I16" s="82"/>
      <c r="J16" s="82"/>
      <c r="K16" s="82"/>
      <c r="L16" s="84">
        <f t="shared" si="0"/>
        <v>0</v>
      </c>
      <c r="M16" s="82"/>
      <c r="N16" s="84">
        <f t="shared" si="1"/>
        <v>0</v>
      </c>
      <c r="O16" s="82"/>
      <c r="P16" s="82"/>
      <c r="Q16" s="82"/>
      <c r="R16" s="82"/>
      <c r="S16" s="89">
        <v>50</v>
      </c>
      <c r="T16" s="84">
        <f t="shared" si="2"/>
        <v>112500</v>
      </c>
      <c r="U16" s="82"/>
      <c r="V16" s="84">
        <f t="shared" si="3"/>
        <v>0</v>
      </c>
      <c r="W16" s="82"/>
      <c r="X16" s="84">
        <f t="shared" si="4"/>
        <v>0</v>
      </c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90"/>
      <c r="AO16" s="82"/>
      <c r="AP16" s="82"/>
      <c r="AQ16" s="82"/>
      <c r="AR16" s="90"/>
      <c r="AS16" s="91"/>
      <c r="AT16" s="82"/>
      <c r="AU16" s="91"/>
      <c r="AV16" s="82"/>
      <c r="AW16" s="92">
        <f t="shared" si="7"/>
        <v>50</v>
      </c>
      <c r="AX16" s="90">
        <v>2250</v>
      </c>
      <c r="AY16" s="88">
        <f t="shared" si="8"/>
        <v>112500</v>
      </c>
      <c r="AZ16" s="47"/>
      <c r="BA16" s="18"/>
      <c r="BB16" s="160"/>
      <c r="BC16" s="161" t="s">
        <v>153</v>
      </c>
      <c r="BD16" s="82" t="b">
        <f t="shared" si="9"/>
        <v>1</v>
      </c>
      <c r="BE16" s="82">
        <f>+VLOOKUP(E16,'[1]Necesidades Trimestrales'!$H$10:$I$43,2,0)</f>
        <v>252</v>
      </c>
      <c r="BF16" s="82" t="b">
        <f t="shared" si="10"/>
        <v>1</v>
      </c>
      <c r="BG16" s="82" t="str">
        <f>+VLOOKUP(E16,'[1]Necesidades Trimestrales'!$H$10:$K$43,4,0)</f>
        <v>BIDON</v>
      </c>
      <c r="BH16" s="82" t="b">
        <f t="shared" si="11"/>
        <v>1</v>
      </c>
      <c r="BI16" s="90">
        <f>+VLOOKUP(E16,'[1]Necesidades Trimestrales'!$H$10:$M$43,6,0)</f>
        <v>2250</v>
      </c>
      <c r="BJ16" s="82" t="b">
        <f t="shared" si="12"/>
        <v>1</v>
      </c>
      <c r="BK16" s="90">
        <f t="shared" si="13"/>
        <v>0</v>
      </c>
    </row>
    <row r="17" spans="1:63" s="2" customFormat="1" ht="25.5" x14ac:dyDescent="0.25">
      <c r="A17" s="81">
        <v>8</v>
      </c>
      <c r="B17" s="82" t="s">
        <v>159</v>
      </c>
      <c r="C17" s="82" t="s">
        <v>135</v>
      </c>
      <c r="D17" s="82">
        <v>252</v>
      </c>
      <c r="E17" s="51" t="s">
        <v>160</v>
      </c>
      <c r="F17" s="82" t="s">
        <v>63</v>
      </c>
      <c r="G17" s="82"/>
      <c r="H17" s="82"/>
      <c r="I17" s="82"/>
      <c r="J17" s="82"/>
      <c r="K17" s="82"/>
      <c r="L17" s="84">
        <f t="shared" si="0"/>
        <v>0</v>
      </c>
      <c r="M17" s="82"/>
      <c r="N17" s="84">
        <f t="shared" si="1"/>
        <v>0</v>
      </c>
      <c r="O17" s="82"/>
      <c r="P17" s="82"/>
      <c r="Q17" s="82"/>
      <c r="R17" s="82"/>
      <c r="S17" s="89">
        <v>40</v>
      </c>
      <c r="T17" s="84">
        <f t="shared" si="2"/>
        <v>34360</v>
      </c>
      <c r="U17" s="82"/>
      <c r="V17" s="84">
        <f t="shared" si="3"/>
        <v>0</v>
      </c>
      <c r="W17" s="82"/>
      <c r="X17" s="84">
        <f t="shared" si="4"/>
        <v>0</v>
      </c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90"/>
      <c r="AO17" s="82"/>
      <c r="AP17" s="82"/>
      <c r="AQ17" s="82"/>
      <c r="AR17" s="90"/>
      <c r="AS17" s="91"/>
      <c r="AT17" s="82"/>
      <c r="AU17" s="91"/>
      <c r="AV17" s="82"/>
      <c r="AW17" s="92">
        <f t="shared" si="7"/>
        <v>40</v>
      </c>
      <c r="AX17" s="90">
        <v>859</v>
      </c>
      <c r="AY17" s="88">
        <f t="shared" si="8"/>
        <v>34360</v>
      </c>
      <c r="AZ17" s="47"/>
      <c r="BA17" s="18"/>
      <c r="BB17" s="160"/>
      <c r="BC17" s="161" t="s">
        <v>160</v>
      </c>
      <c r="BD17" s="82" t="b">
        <f t="shared" si="9"/>
        <v>1</v>
      </c>
      <c r="BE17" s="82">
        <f>+VLOOKUP(E17,'[1]Necesidades Trimestrales'!$H$10:$I$43,2,0)</f>
        <v>252</v>
      </c>
      <c r="BF17" s="82" t="b">
        <f t="shared" si="10"/>
        <v>1</v>
      </c>
      <c r="BG17" s="82" t="str">
        <f>+VLOOKUP(E17,'[1]Necesidades Trimestrales'!$H$10:$K$43,4,0)</f>
        <v>BOTELLA</v>
      </c>
      <c r="BH17" s="82" t="b">
        <f t="shared" si="11"/>
        <v>1</v>
      </c>
      <c r="BI17" s="90">
        <f>+VLOOKUP(E17,'[1]Necesidades Trimestrales'!$H$10:$M$43,6,0)</f>
        <v>859</v>
      </c>
      <c r="BJ17" s="82" t="b">
        <f t="shared" si="12"/>
        <v>1</v>
      </c>
      <c r="BK17" s="90">
        <f t="shared" si="13"/>
        <v>0</v>
      </c>
    </row>
    <row r="18" spans="1:63" s="2" customFormat="1" ht="38.25" x14ac:dyDescent="0.2">
      <c r="A18" s="81">
        <v>9</v>
      </c>
      <c r="B18" s="82" t="s">
        <v>156</v>
      </c>
      <c r="C18" s="82" t="s">
        <v>157</v>
      </c>
      <c r="D18" s="82">
        <v>252</v>
      </c>
      <c r="E18" s="51" t="s">
        <v>158</v>
      </c>
      <c r="F18" s="82" t="s">
        <v>64</v>
      </c>
      <c r="G18" s="82"/>
      <c r="H18" s="82"/>
      <c r="I18" s="82"/>
      <c r="J18" s="82"/>
      <c r="K18" s="82"/>
      <c r="L18" s="84">
        <f t="shared" si="0"/>
        <v>0</v>
      </c>
      <c r="M18" s="82"/>
      <c r="N18" s="84">
        <f t="shared" si="1"/>
        <v>0</v>
      </c>
      <c r="O18" s="82"/>
      <c r="P18" s="82"/>
      <c r="Q18" s="82"/>
      <c r="R18" s="82"/>
      <c r="S18" s="89">
        <v>100</v>
      </c>
      <c r="T18" s="84">
        <f t="shared" si="2"/>
        <v>115000</v>
      </c>
      <c r="U18" s="82"/>
      <c r="V18" s="84">
        <f t="shared" si="3"/>
        <v>0</v>
      </c>
      <c r="W18" s="82"/>
      <c r="X18" s="84">
        <f t="shared" si="4"/>
        <v>0</v>
      </c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90"/>
      <c r="AO18" s="82"/>
      <c r="AP18" s="82"/>
      <c r="AQ18" s="82"/>
      <c r="AR18" s="90"/>
      <c r="AS18" s="91"/>
      <c r="AT18" s="82"/>
      <c r="AU18" s="91"/>
      <c r="AV18" s="82"/>
      <c r="AW18" s="92">
        <f t="shared" si="7"/>
        <v>100</v>
      </c>
      <c r="AX18" s="90">
        <v>1150</v>
      </c>
      <c r="AY18" s="88">
        <f t="shared" si="8"/>
        <v>115000</v>
      </c>
      <c r="AZ18" s="49" t="s">
        <v>166</v>
      </c>
      <c r="BA18" s="18"/>
      <c r="BB18" s="51" t="str">
        <f>+VLOOKUP(E18,'[1]Necesidades Trimestrales'!$H$10:$J$43,3,0)</f>
        <v xml:space="preserve">Jabón Líquido hipoalergenico. Ph Dérmico. No contiene cloruro de sodio, ni parabenos. Envase BAG IN BOX por 800 ml.Tipo JL4  ADOX. </v>
      </c>
      <c r="BC18" s="162" t="s">
        <v>158</v>
      </c>
      <c r="BD18" s="82" t="b">
        <f t="shared" si="9"/>
        <v>1</v>
      </c>
      <c r="BE18" s="82">
        <f>+VLOOKUP(E18,'[1]Necesidades Trimestrales'!$H$10:$I$43,2,0)</f>
        <v>252</v>
      </c>
      <c r="BF18" s="82" t="b">
        <f t="shared" si="10"/>
        <v>1</v>
      </c>
      <c r="BG18" s="82" t="str">
        <f>+VLOOKUP(E18,'[1]Necesidades Trimestrales'!$H$10:$K$43,4,0)</f>
        <v>BAG IN BOX</v>
      </c>
      <c r="BH18" s="82" t="b">
        <f t="shared" si="11"/>
        <v>1</v>
      </c>
      <c r="BI18" s="90">
        <f>+VLOOKUP(E18,'[1]Necesidades Trimestrales'!$H$10:$M$43,6,0)</f>
        <v>1150</v>
      </c>
      <c r="BJ18" s="82" t="b">
        <f t="shared" si="12"/>
        <v>1</v>
      </c>
      <c r="BK18" s="90">
        <f t="shared" si="13"/>
        <v>0</v>
      </c>
    </row>
    <row r="19" spans="1:63" s="2" customFormat="1" ht="38.25" x14ac:dyDescent="0.25">
      <c r="A19" s="81">
        <v>10</v>
      </c>
      <c r="B19" s="82" t="s">
        <v>141</v>
      </c>
      <c r="C19" s="82" t="s">
        <v>142</v>
      </c>
      <c r="D19" s="82">
        <v>251</v>
      </c>
      <c r="E19" s="51" t="s">
        <v>143</v>
      </c>
      <c r="F19" s="82" t="s">
        <v>62</v>
      </c>
      <c r="G19" s="82"/>
      <c r="H19" s="82"/>
      <c r="I19" s="82"/>
      <c r="J19" s="82"/>
      <c r="K19" s="82"/>
      <c r="L19" s="84">
        <f t="shared" si="0"/>
        <v>0</v>
      </c>
      <c r="M19" s="82"/>
      <c r="N19" s="84">
        <f t="shared" si="1"/>
        <v>0</v>
      </c>
      <c r="O19" s="82"/>
      <c r="P19" s="82"/>
      <c r="Q19" s="82"/>
      <c r="R19" s="82"/>
      <c r="S19" s="89"/>
      <c r="T19" s="84">
        <f t="shared" si="2"/>
        <v>0</v>
      </c>
      <c r="U19" s="82">
        <v>50</v>
      </c>
      <c r="V19" s="84">
        <f t="shared" si="3"/>
        <v>461460.00000000006</v>
      </c>
      <c r="W19" s="82"/>
      <c r="X19" s="84">
        <f t="shared" si="4"/>
        <v>0</v>
      </c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90"/>
      <c r="AO19" s="82"/>
      <c r="AP19" s="82"/>
      <c r="AQ19" s="82"/>
      <c r="AR19" s="90"/>
      <c r="AS19" s="91"/>
      <c r="AT19" s="82"/>
      <c r="AU19" s="91"/>
      <c r="AV19" s="82"/>
      <c r="AW19" s="92">
        <f t="shared" si="7"/>
        <v>50</v>
      </c>
      <c r="AX19" s="90">
        <v>9229.2000000000007</v>
      </c>
      <c r="AY19" s="88">
        <f t="shared" si="8"/>
        <v>461460.00000000006</v>
      </c>
      <c r="AZ19" s="51" t="s">
        <v>167</v>
      </c>
      <c r="BA19" s="18"/>
      <c r="BB19" s="51" t="str">
        <f>+VLOOKUP(E19,'[1]Necesidades Trimestrales'!$H$10:$J$43,3,0)</f>
        <v>USO HOSPITALARIO. Limpiador para areas criticas en base a amonios cuaternarios de 4TA Generacion.Dilucion 2,5 ml/ litro .Aprobacion ANMAT</v>
      </c>
      <c r="BC19" s="161" t="s">
        <v>143</v>
      </c>
      <c r="BD19" s="82" t="b">
        <f t="shared" si="9"/>
        <v>1</v>
      </c>
      <c r="BE19" s="82">
        <f>+VLOOKUP(E19,'[1]Necesidades Trimestrales'!$H$10:$I$43,2,0)</f>
        <v>251</v>
      </c>
      <c r="BF19" s="82" t="b">
        <f t="shared" si="10"/>
        <v>1</v>
      </c>
      <c r="BG19" s="82" t="str">
        <f>+VLOOKUP(E19,'[1]Necesidades Trimestrales'!$H$10:$K$43,4,0)</f>
        <v>BIDON</v>
      </c>
      <c r="BH19" s="82" t="b">
        <f t="shared" si="11"/>
        <v>1</v>
      </c>
      <c r="BI19" s="90">
        <f>+VLOOKUP(E19,'[1]Necesidades Trimestrales'!$H$10:$M$43,6,0)</f>
        <v>9229.2000000000007</v>
      </c>
      <c r="BJ19" s="82" t="b">
        <f t="shared" si="12"/>
        <v>1</v>
      </c>
      <c r="BK19" s="90">
        <f t="shared" si="13"/>
        <v>0</v>
      </c>
    </row>
    <row r="20" spans="1:63" s="2" customFormat="1" ht="25.5" x14ac:dyDescent="0.2">
      <c r="A20" s="81">
        <v>11</v>
      </c>
      <c r="B20" s="82" t="s">
        <v>150</v>
      </c>
      <c r="C20" s="82" t="s">
        <v>142</v>
      </c>
      <c r="D20" s="82">
        <v>251</v>
      </c>
      <c r="E20" s="51" t="s">
        <v>151</v>
      </c>
      <c r="F20" s="82" t="s">
        <v>62</v>
      </c>
      <c r="G20" s="82"/>
      <c r="H20" s="82"/>
      <c r="I20" s="82"/>
      <c r="J20" s="82"/>
      <c r="K20" s="82"/>
      <c r="L20" s="84">
        <f t="shared" si="0"/>
        <v>0</v>
      </c>
      <c r="M20" s="82"/>
      <c r="N20" s="84">
        <f t="shared" si="1"/>
        <v>0</v>
      </c>
      <c r="O20" s="82"/>
      <c r="P20" s="82"/>
      <c r="Q20" s="82"/>
      <c r="R20" s="82"/>
      <c r="S20" s="89">
        <v>50</v>
      </c>
      <c r="T20" s="84">
        <f t="shared" si="2"/>
        <v>84000</v>
      </c>
      <c r="U20" s="82"/>
      <c r="V20" s="84">
        <f t="shared" si="3"/>
        <v>0</v>
      </c>
      <c r="W20" s="82"/>
      <c r="X20" s="84">
        <f t="shared" si="4"/>
        <v>0</v>
      </c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90"/>
      <c r="AO20" s="82"/>
      <c r="AP20" s="82"/>
      <c r="AQ20" s="82"/>
      <c r="AR20" s="90"/>
      <c r="AS20" s="91"/>
      <c r="AT20" s="82"/>
      <c r="AU20" s="91"/>
      <c r="AV20" s="82"/>
      <c r="AW20" s="92">
        <f t="shared" si="7"/>
        <v>50</v>
      </c>
      <c r="AX20" s="90">
        <v>1680</v>
      </c>
      <c r="AY20" s="88">
        <f t="shared" si="8"/>
        <v>84000</v>
      </c>
      <c r="AZ20" s="47"/>
      <c r="BA20" s="18"/>
      <c r="BB20" s="160"/>
      <c r="BC20" s="162" t="s">
        <v>151</v>
      </c>
      <c r="BD20" s="82" t="b">
        <f t="shared" si="9"/>
        <v>1</v>
      </c>
      <c r="BE20" s="82">
        <f>+VLOOKUP(E20,'[1]Necesidades Trimestrales'!$H$10:$I$43,2,0)</f>
        <v>251</v>
      </c>
      <c r="BF20" s="82" t="b">
        <f t="shared" si="10"/>
        <v>1</v>
      </c>
      <c r="BG20" s="82" t="str">
        <f>+VLOOKUP(E20,'[1]Necesidades Trimestrales'!$H$10:$K$43,4,0)</f>
        <v>BIDON</v>
      </c>
      <c r="BH20" s="82" t="b">
        <f t="shared" si="11"/>
        <v>1</v>
      </c>
      <c r="BI20" s="90">
        <f>+VLOOKUP(E20,'[1]Necesidades Trimestrales'!$H$10:$M$43,6,0)</f>
        <v>1680</v>
      </c>
      <c r="BJ20" s="82" t="b">
        <f t="shared" si="12"/>
        <v>1</v>
      </c>
      <c r="BK20" s="90">
        <f t="shared" si="13"/>
        <v>0</v>
      </c>
    </row>
    <row r="21" spans="1:63" s="2" customFormat="1" ht="13.5" thickBot="1" x14ac:dyDescent="0.25">
      <c r="A21" s="81">
        <v>12</v>
      </c>
      <c r="B21" s="101" t="s">
        <v>146</v>
      </c>
      <c r="C21" s="101" t="s">
        <v>135</v>
      </c>
      <c r="D21" s="101">
        <v>251</v>
      </c>
      <c r="E21" s="102" t="s">
        <v>147</v>
      </c>
      <c r="F21" s="101" t="s">
        <v>63</v>
      </c>
      <c r="G21" s="101"/>
      <c r="H21" s="101"/>
      <c r="I21" s="101"/>
      <c r="J21" s="101"/>
      <c r="K21" s="101"/>
      <c r="L21" s="103">
        <f t="shared" si="0"/>
        <v>0</v>
      </c>
      <c r="M21" s="101"/>
      <c r="N21" s="103">
        <f t="shared" si="1"/>
        <v>0</v>
      </c>
      <c r="O21" s="101"/>
      <c r="P21" s="101"/>
      <c r="Q21" s="101"/>
      <c r="R21" s="101"/>
      <c r="S21" s="104">
        <v>10</v>
      </c>
      <c r="T21" s="103">
        <f t="shared" si="2"/>
        <v>6610</v>
      </c>
      <c r="U21" s="101"/>
      <c r="V21" s="103">
        <f t="shared" si="3"/>
        <v>0</v>
      </c>
      <c r="W21" s="101"/>
      <c r="X21" s="103">
        <f t="shared" si="4"/>
        <v>0</v>
      </c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5"/>
      <c r="AO21" s="101"/>
      <c r="AP21" s="101"/>
      <c r="AQ21" s="101"/>
      <c r="AR21" s="105"/>
      <c r="AS21" s="106"/>
      <c r="AT21" s="101"/>
      <c r="AU21" s="106"/>
      <c r="AV21" s="101"/>
      <c r="AW21" s="107">
        <f t="shared" si="7"/>
        <v>10</v>
      </c>
      <c r="AX21" s="105">
        <v>661</v>
      </c>
      <c r="AY21" s="108">
        <f t="shared" si="8"/>
        <v>6610</v>
      </c>
      <c r="AZ21" s="47"/>
      <c r="BA21" s="18"/>
      <c r="BB21" s="160"/>
      <c r="BC21" s="162" t="s">
        <v>147</v>
      </c>
      <c r="BD21" s="82" t="b">
        <f t="shared" si="9"/>
        <v>1</v>
      </c>
      <c r="BE21" s="82">
        <f>+VLOOKUP(E21,'[1]Necesidades Trimestrales'!$H$10:$I$43,2,0)</f>
        <v>251</v>
      </c>
      <c r="BF21" s="82" t="b">
        <f t="shared" si="10"/>
        <v>1</v>
      </c>
      <c r="BG21" s="82" t="str">
        <f>+VLOOKUP(E21,'[1]Necesidades Trimestrales'!$H$10:$K$43,4,0)</f>
        <v>BOTELLA</v>
      </c>
      <c r="BH21" s="82" t="b">
        <f t="shared" si="11"/>
        <v>1</v>
      </c>
      <c r="BI21" s="90">
        <f>+VLOOKUP(E21,'[1]Necesidades Trimestrales'!$H$10:$M$43,6,0)</f>
        <v>661</v>
      </c>
      <c r="BJ21" s="82" t="b">
        <f t="shared" si="12"/>
        <v>1</v>
      </c>
      <c r="BK21" s="90">
        <f t="shared" si="13"/>
        <v>0</v>
      </c>
    </row>
    <row r="22" spans="1:63" s="3" customFormat="1" ht="13.5" thickBot="1" x14ac:dyDescent="0.25">
      <c r="A22" s="109"/>
      <c r="B22" s="110"/>
      <c r="C22" s="110"/>
      <c r="D22" s="110"/>
      <c r="E22" s="111" t="s">
        <v>65</v>
      </c>
      <c r="F22" s="112"/>
      <c r="G22" s="112"/>
      <c r="H22" s="112"/>
      <c r="I22" s="112"/>
      <c r="J22" s="112"/>
      <c r="K22" s="112"/>
      <c r="L22" s="113">
        <f>SUM(L10:L21)</f>
        <v>80400</v>
      </c>
      <c r="M22" s="112"/>
      <c r="N22" s="113">
        <f>SUM(N10:N21)</f>
        <v>51360</v>
      </c>
      <c r="O22" s="112"/>
      <c r="P22" s="112"/>
      <c r="Q22" s="112"/>
      <c r="R22" s="112"/>
      <c r="S22" s="114"/>
      <c r="T22" s="113">
        <f>SUM(T10:T21)</f>
        <v>681610</v>
      </c>
      <c r="U22" s="112"/>
      <c r="V22" s="113">
        <f>SUM(V10:V21)</f>
        <v>508960.00000000006</v>
      </c>
      <c r="W22" s="112"/>
      <c r="X22" s="113">
        <f>SUM(X10:X21)</f>
        <v>12452.7</v>
      </c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3"/>
      <c r="AO22" s="112"/>
      <c r="AP22" s="112"/>
      <c r="AQ22" s="112"/>
      <c r="AR22" s="113"/>
      <c r="AS22" s="115"/>
      <c r="AT22" s="112"/>
      <c r="AU22" s="115"/>
      <c r="AV22" s="112"/>
      <c r="AW22" s="116"/>
      <c r="AX22" s="113"/>
      <c r="AY22" s="117">
        <f>SUM(AY10:AY21)</f>
        <v>1334782.7</v>
      </c>
      <c r="AZ22" s="50"/>
      <c r="BA22" s="20"/>
      <c r="BB22" s="163"/>
      <c r="BC22" s="164"/>
      <c r="BD22" s="165"/>
      <c r="BE22" s="165"/>
      <c r="BF22" s="165"/>
      <c r="BG22" s="165"/>
      <c r="BH22" s="165"/>
      <c r="BI22" s="165"/>
      <c r="BJ22" s="165"/>
      <c r="BK22" s="165"/>
    </row>
    <row r="23" spans="1:63" ht="15.75" thickBot="1" x14ac:dyDescent="0.3"/>
    <row r="24" spans="1:63" ht="150.75" customHeight="1" x14ac:dyDescent="0.25">
      <c r="C24" s="5" t="s">
        <v>168</v>
      </c>
      <c r="D24" s="243" t="s">
        <v>103</v>
      </c>
      <c r="E24" s="244"/>
    </row>
    <row r="25" spans="1:63" x14ac:dyDescent="0.25">
      <c r="C25" s="6"/>
      <c r="D25" s="17"/>
      <c r="E25" s="123"/>
    </row>
    <row r="26" spans="1:63" x14ac:dyDescent="0.25">
      <c r="C26" s="7" t="s">
        <v>104</v>
      </c>
      <c r="D26" s="239" t="s">
        <v>133</v>
      </c>
      <c r="E26" s="240"/>
    </row>
    <row r="27" spans="1:63" x14ac:dyDescent="0.25">
      <c r="C27" s="7"/>
      <c r="D27" s="17"/>
      <c r="E27" s="123"/>
    </row>
    <row r="28" spans="1:63" ht="27" customHeight="1" x14ac:dyDescent="0.25">
      <c r="C28" s="7" t="s">
        <v>105</v>
      </c>
      <c r="D28" s="239" t="s">
        <v>106</v>
      </c>
      <c r="E28" s="240"/>
    </row>
    <row r="29" spans="1:63" x14ac:dyDescent="0.25">
      <c r="C29" s="7"/>
      <c r="D29" s="17"/>
      <c r="E29" s="123"/>
    </row>
    <row r="30" spans="1:63" x14ac:dyDescent="0.25">
      <c r="C30" s="7" t="s">
        <v>107</v>
      </c>
      <c r="D30" s="17"/>
      <c r="E30" s="123"/>
    </row>
    <row r="31" spans="1:63" x14ac:dyDescent="0.25">
      <c r="C31" s="7"/>
      <c r="D31" s="17"/>
      <c r="E31" s="123"/>
    </row>
    <row r="32" spans="1:63" ht="15.75" thickBot="1" x14ac:dyDescent="0.3">
      <c r="C32" s="7" t="s">
        <v>108</v>
      </c>
      <c r="D32" s="239" t="s">
        <v>109</v>
      </c>
      <c r="E32" s="240"/>
    </row>
    <row r="33" spans="3:49" x14ac:dyDescent="0.25">
      <c r="C33" s="214" t="s">
        <v>171</v>
      </c>
      <c r="D33" s="215"/>
      <c r="E33" s="216"/>
      <c r="F33" s="223"/>
    </row>
    <row r="34" spans="3:49" x14ac:dyDescent="0.25">
      <c r="C34" s="217" t="s">
        <v>169</v>
      </c>
      <c r="D34" s="223"/>
      <c r="E34" s="218"/>
      <c r="F34" s="223"/>
    </row>
    <row r="35" spans="3:49" ht="15.75" thickBot="1" x14ac:dyDescent="0.3">
      <c r="C35" s="219"/>
      <c r="D35" s="220"/>
      <c r="E35" s="221"/>
      <c r="F35" s="225"/>
    </row>
    <row r="36" spans="3:49" x14ac:dyDescent="0.25">
      <c r="C36" s="214" t="s">
        <v>173</v>
      </c>
      <c r="D36" s="215"/>
      <c r="E36" s="216"/>
      <c r="F36" s="223"/>
    </row>
    <row r="37" spans="3:49" ht="15" customHeight="1" x14ac:dyDescent="0.25">
      <c r="C37" s="228" t="s">
        <v>170</v>
      </c>
      <c r="D37" s="227"/>
      <c r="E37" s="229"/>
      <c r="F37" s="226"/>
    </row>
    <row r="38" spans="3:49" ht="15.75" thickBot="1" x14ac:dyDescent="0.3">
      <c r="C38" s="217"/>
      <c r="D38" s="225"/>
      <c r="E38" s="222"/>
      <c r="F38" s="225"/>
    </row>
    <row r="39" spans="3:49" x14ac:dyDescent="0.25">
      <c r="C39" s="214" t="s">
        <v>172</v>
      </c>
      <c r="D39" s="215"/>
      <c r="E39" s="216"/>
      <c r="F39" s="223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35"/>
      <c r="T39" s="236"/>
      <c r="U39" s="234"/>
      <c r="V39" s="234"/>
      <c r="W39" s="234"/>
      <c r="X39" s="234"/>
      <c r="Y39" s="234"/>
      <c r="Z39" s="234"/>
      <c r="AA39" s="234"/>
      <c r="AB39" s="234"/>
      <c r="AC39" s="234"/>
      <c r="AD39" s="234"/>
      <c r="AE39" s="234"/>
      <c r="AF39" s="234"/>
      <c r="AG39" s="234"/>
      <c r="AH39" s="234"/>
      <c r="AI39" s="234"/>
      <c r="AJ39" s="234"/>
      <c r="AK39" s="234"/>
      <c r="AL39" s="234"/>
      <c r="AM39" s="234"/>
      <c r="AN39" s="236"/>
      <c r="AO39" s="234"/>
      <c r="AP39" s="234"/>
      <c r="AQ39" s="234"/>
      <c r="AR39" s="236"/>
      <c r="AS39" s="237"/>
      <c r="AT39" s="234"/>
      <c r="AU39" s="237"/>
      <c r="AV39" s="234"/>
      <c r="AW39" s="235"/>
    </row>
    <row r="40" spans="3:49" ht="15" customHeight="1" x14ac:dyDescent="0.25">
      <c r="C40" s="228" t="s">
        <v>174</v>
      </c>
      <c r="D40" s="238"/>
      <c r="E40" s="230"/>
      <c r="F40" s="238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  <c r="R40" s="234"/>
      <c r="S40" s="235"/>
      <c r="T40" s="236"/>
      <c r="U40" s="234"/>
      <c r="V40" s="234"/>
      <c r="W40" s="234"/>
      <c r="X40" s="234"/>
      <c r="Y40" s="234"/>
      <c r="Z40" s="234"/>
      <c r="AA40" s="234"/>
      <c r="AB40" s="234"/>
      <c r="AC40" s="234"/>
      <c r="AD40" s="234"/>
      <c r="AE40" s="234"/>
      <c r="AF40" s="234"/>
      <c r="AG40" s="234"/>
      <c r="AH40" s="234"/>
      <c r="AI40" s="234"/>
      <c r="AJ40" s="234"/>
      <c r="AK40" s="234"/>
      <c r="AL40" s="234"/>
      <c r="AM40" s="234"/>
      <c r="AN40" s="236"/>
      <c r="AO40" s="234"/>
      <c r="AP40" s="234"/>
      <c r="AQ40" s="234"/>
      <c r="AR40" s="236"/>
      <c r="AS40" s="237"/>
      <c r="AT40" s="234"/>
      <c r="AU40" s="237"/>
      <c r="AV40" s="234"/>
      <c r="AW40" s="235"/>
    </row>
    <row r="41" spans="3:49" ht="15.75" thickBot="1" x14ac:dyDescent="0.3">
      <c r="C41" s="231"/>
      <c r="D41" s="232"/>
      <c r="E41" s="233"/>
      <c r="F41" s="238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5"/>
      <c r="T41" s="236"/>
      <c r="U41" s="234"/>
      <c r="V41" s="234"/>
      <c r="W41" s="234"/>
      <c r="X41" s="234"/>
      <c r="Y41" s="234"/>
      <c r="Z41" s="234"/>
      <c r="AA41" s="234"/>
      <c r="AB41" s="234"/>
      <c r="AC41" s="234"/>
      <c r="AD41" s="234"/>
      <c r="AE41" s="234"/>
      <c r="AF41" s="234"/>
      <c r="AG41" s="234"/>
      <c r="AH41" s="234"/>
      <c r="AI41" s="234"/>
      <c r="AJ41" s="234"/>
      <c r="AK41" s="234"/>
      <c r="AL41" s="234"/>
      <c r="AM41" s="234"/>
      <c r="AN41" s="236"/>
      <c r="AO41" s="234"/>
      <c r="AP41" s="234"/>
      <c r="AQ41" s="234"/>
      <c r="AR41" s="236"/>
      <c r="AS41" s="237"/>
      <c r="AT41" s="234"/>
      <c r="AU41" s="237"/>
      <c r="AV41" s="234"/>
      <c r="AW41" s="235"/>
    </row>
    <row r="42" spans="3:49" x14ac:dyDescent="0.25">
      <c r="C42" s="224"/>
      <c r="D42" s="225"/>
      <c r="E42" s="225"/>
      <c r="F42" s="225"/>
    </row>
  </sheetData>
  <autoFilter ref="A9:AZ22"/>
  <sortState ref="B11:AZ21">
    <sortCondition ref="E11:E21"/>
  </sortState>
  <mergeCells count="9">
    <mergeCell ref="D28:E28"/>
    <mergeCell ref="D32:E32"/>
    <mergeCell ref="A7:B7"/>
    <mergeCell ref="A6:B6"/>
    <mergeCell ref="B2:AX2"/>
    <mergeCell ref="A4:B4"/>
    <mergeCell ref="A5:B5"/>
    <mergeCell ref="D24:E24"/>
    <mergeCell ref="D26:E26"/>
  </mergeCells>
  <conditionalFormatting sqref="B1:B9 E1:E9">
    <cfRule type="duplicateValues" dxfId="19" priority="104"/>
  </conditionalFormatting>
  <conditionalFormatting sqref="E1:E9 B1:B9">
    <cfRule type="duplicateValues" dxfId="18" priority="105"/>
  </conditionalFormatting>
  <conditionalFormatting sqref="B1:B9">
    <cfRule type="duplicateValues" dxfId="17" priority="148"/>
  </conditionalFormatting>
  <conditionalFormatting sqref="E1:E9">
    <cfRule type="duplicateValues" dxfId="16" priority="149"/>
  </conditionalFormatting>
  <conditionalFormatting sqref="E1:E9">
    <cfRule type="duplicateValues" dxfId="15" priority="150"/>
    <cfRule type="duplicateValues" dxfId="14" priority="151"/>
  </conditionalFormatting>
  <conditionalFormatting sqref="C26:C32">
    <cfRule type="duplicateValues" dxfId="13" priority="11"/>
  </conditionalFormatting>
  <conditionalFormatting sqref="C26:C32">
    <cfRule type="duplicateValues" dxfId="12" priority="12"/>
  </conditionalFormatting>
  <conditionalFormatting sqref="C26:C32">
    <cfRule type="duplicateValues" dxfId="11" priority="13"/>
  </conditionalFormatting>
  <conditionalFormatting sqref="C26:C32">
    <cfRule type="duplicateValues" dxfId="10" priority="14"/>
  </conditionalFormatting>
  <conditionalFormatting sqref="BC9">
    <cfRule type="duplicateValues" dxfId="9" priority="6"/>
  </conditionalFormatting>
  <conditionalFormatting sqref="BC9">
    <cfRule type="duplicateValues" dxfId="8" priority="7"/>
  </conditionalFormatting>
  <conditionalFormatting sqref="BC9">
    <cfRule type="duplicateValues" dxfId="7" priority="8"/>
  </conditionalFormatting>
  <conditionalFormatting sqref="BC9">
    <cfRule type="duplicateValues" dxfId="6" priority="9"/>
    <cfRule type="duplicateValues" dxfId="5" priority="10"/>
  </conditionalFormatting>
  <conditionalFormatting sqref="BE9">
    <cfRule type="duplicateValues" dxfId="4" priority="1"/>
  </conditionalFormatting>
  <conditionalFormatting sqref="BE9">
    <cfRule type="duplicateValues" dxfId="3" priority="2"/>
  </conditionalFormatting>
  <conditionalFormatting sqref="BE9">
    <cfRule type="duplicateValues" dxfId="2" priority="3"/>
  </conditionalFormatting>
  <conditionalFormatting sqref="BE9">
    <cfRule type="duplicateValues" dxfId="1" priority="4"/>
    <cfRule type="duplicateValues" dxfId="0" priority="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P25"/>
  <sheetViews>
    <sheetView workbookViewId="0">
      <selection activeCell="D7" sqref="D7:K7"/>
    </sheetView>
  </sheetViews>
  <sheetFormatPr baseColWidth="10" defaultRowHeight="15" x14ac:dyDescent="0.25"/>
  <cols>
    <col min="1" max="1" width="5.5703125" style="25" customWidth="1"/>
    <col min="2" max="2" width="15.140625" style="179" customWidth="1"/>
    <col min="3" max="3" width="14.140625" style="25" customWidth="1"/>
    <col min="4" max="4" width="26" style="25" customWidth="1"/>
    <col min="5" max="5" width="8" style="25" customWidth="1"/>
    <col min="6" max="6" width="7.85546875" style="25" customWidth="1"/>
    <col min="7" max="7" width="91.42578125" style="25" customWidth="1"/>
    <col min="8" max="8" width="9.28515625" style="25" customWidth="1"/>
    <col min="9" max="9" width="15.5703125" style="25" customWidth="1"/>
    <col min="10" max="10" width="14.7109375" style="26" customWidth="1"/>
    <col min="11" max="11" width="15.5703125" style="25" customWidth="1"/>
    <col min="12" max="12" width="15.5703125" style="135" customWidth="1"/>
    <col min="13" max="13" width="13" style="125" bestFit="1" customWidth="1"/>
    <col min="14" max="14" width="13" style="12" bestFit="1" customWidth="1"/>
    <col min="15" max="15" width="11.85546875" style="125" bestFit="1" customWidth="1"/>
    <col min="16" max="16" width="11.42578125" style="125"/>
  </cols>
  <sheetData>
    <row r="1" spans="1:16" ht="30.75" thickBot="1" x14ac:dyDescent="0.3">
      <c r="A1" s="262" t="s">
        <v>66</v>
      </c>
      <c r="B1" s="262"/>
      <c r="C1" s="262"/>
      <c r="D1" s="262"/>
      <c r="E1" s="262"/>
      <c r="F1" s="262"/>
      <c r="G1" s="262"/>
      <c r="H1" s="262"/>
      <c r="I1" s="262"/>
      <c r="J1" s="136" t="s">
        <v>67</v>
      </c>
      <c r="K1" s="137" t="s">
        <v>114</v>
      </c>
      <c r="L1" s="124"/>
    </row>
    <row r="2" spans="1:16" ht="16.5" thickBot="1" x14ac:dyDescent="0.3">
      <c r="A2" s="138"/>
      <c r="B2" s="166"/>
      <c r="C2" s="139"/>
      <c r="D2" s="23"/>
      <c r="E2" s="23"/>
      <c r="F2" s="23"/>
      <c r="G2" s="23"/>
      <c r="H2" s="23"/>
      <c r="I2" s="23"/>
      <c r="J2" s="140"/>
      <c r="K2" s="141"/>
      <c r="L2" s="126"/>
    </row>
    <row r="3" spans="1:16" ht="16.5" thickBot="1" x14ac:dyDescent="0.3">
      <c r="A3" s="257" t="s">
        <v>68</v>
      </c>
      <c r="B3" s="257"/>
      <c r="C3" s="257"/>
      <c r="D3" s="258" t="str">
        <f>'SAF 011'!C4</f>
        <v>040 - MINISTERIO DE SALUD</v>
      </c>
      <c r="E3" s="258"/>
      <c r="F3" s="258"/>
      <c r="G3" s="258"/>
      <c r="H3" s="258"/>
      <c r="I3" s="258"/>
      <c r="J3" s="258"/>
      <c r="K3" s="258"/>
      <c r="L3" s="127"/>
    </row>
    <row r="4" spans="1:16" ht="16.5" thickBot="1" x14ac:dyDescent="0.3">
      <c r="A4" s="259" t="s">
        <v>69</v>
      </c>
      <c r="B4" s="259"/>
      <c r="C4" s="259"/>
      <c r="D4" s="258" t="str">
        <f>'SAF 011'!C5</f>
        <v>011 - DIRECCION PROVINCIAL DE ADMINISTRACION - MINISTERIO DE SALUD</v>
      </c>
      <c r="E4" s="258"/>
      <c r="F4" s="258"/>
      <c r="G4" s="258"/>
      <c r="H4" s="258"/>
      <c r="I4" s="258"/>
      <c r="J4" s="258"/>
      <c r="K4" s="258"/>
      <c r="L4" s="127"/>
    </row>
    <row r="5" spans="1:16" ht="16.5" thickBot="1" x14ac:dyDescent="0.3">
      <c r="A5" s="259" t="s">
        <v>70</v>
      </c>
      <c r="B5" s="259"/>
      <c r="C5" s="259"/>
      <c r="D5" s="258" t="s">
        <v>110</v>
      </c>
      <c r="E5" s="258"/>
      <c r="F5" s="258"/>
      <c r="G5" s="258"/>
      <c r="H5" s="258"/>
      <c r="I5" s="258"/>
      <c r="J5" s="258"/>
      <c r="K5" s="258"/>
      <c r="L5" s="127"/>
    </row>
    <row r="6" spans="1:16" ht="16.5" thickBot="1" x14ac:dyDescent="0.3">
      <c r="A6" s="257" t="s">
        <v>71</v>
      </c>
      <c r="B6" s="257"/>
      <c r="C6" s="257"/>
      <c r="D6" s="258" t="s">
        <v>110</v>
      </c>
      <c r="E6" s="258"/>
      <c r="F6" s="258"/>
      <c r="G6" s="258"/>
      <c r="H6" s="258"/>
      <c r="I6" s="258"/>
      <c r="J6" s="258"/>
      <c r="K6" s="258"/>
      <c r="L6" s="127"/>
    </row>
    <row r="7" spans="1:16" ht="16.5" thickBot="1" x14ac:dyDescent="0.3">
      <c r="A7" s="259" t="s">
        <v>72</v>
      </c>
      <c r="B7" s="259"/>
      <c r="C7" s="259"/>
      <c r="D7" s="258" t="s">
        <v>175</v>
      </c>
      <c r="E7" s="258"/>
      <c r="F7" s="258"/>
      <c r="G7" s="258"/>
      <c r="H7" s="258"/>
      <c r="I7" s="258"/>
      <c r="J7" s="258"/>
      <c r="K7" s="258"/>
      <c r="L7" s="127"/>
    </row>
    <row r="8" spans="1:16" ht="16.5" thickBot="1" x14ac:dyDescent="0.3">
      <c r="A8" s="260" t="s">
        <v>73</v>
      </c>
      <c r="B8" s="260"/>
      <c r="C8" s="260"/>
      <c r="D8" s="261" t="s">
        <v>113</v>
      </c>
      <c r="E8" s="261"/>
      <c r="F8" s="261"/>
      <c r="G8" s="261"/>
      <c r="H8" s="261"/>
      <c r="I8" s="261"/>
      <c r="J8" s="261"/>
      <c r="K8" s="261"/>
      <c r="L8" s="127"/>
    </row>
    <row r="9" spans="1:16" ht="16.5" thickBot="1" x14ac:dyDescent="0.3">
      <c r="A9" s="142"/>
      <c r="B9" s="167"/>
      <c r="C9" s="143"/>
      <c r="D9" s="24"/>
      <c r="E9" s="24"/>
      <c r="F9" s="24"/>
      <c r="G9" s="24"/>
      <c r="H9" s="24"/>
      <c r="I9" s="24"/>
      <c r="J9" s="144"/>
      <c r="K9" s="145"/>
      <c r="L9" s="127"/>
    </row>
    <row r="10" spans="1:16" ht="15.75" thickBot="1" x14ac:dyDescent="0.3">
      <c r="A10" s="256" t="s">
        <v>74</v>
      </c>
      <c r="B10" s="254" t="s">
        <v>75</v>
      </c>
      <c r="C10" s="254" t="s">
        <v>76</v>
      </c>
      <c r="D10" s="254"/>
      <c r="E10" s="254"/>
      <c r="F10" s="254"/>
      <c r="G10" s="254"/>
      <c r="H10" s="254" t="s">
        <v>77</v>
      </c>
      <c r="I10" s="254" t="s">
        <v>78</v>
      </c>
      <c r="J10" s="255" t="s">
        <v>79</v>
      </c>
      <c r="K10" s="252" t="s">
        <v>80</v>
      </c>
      <c r="L10" s="128"/>
    </row>
    <row r="11" spans="1:16" ht="23.25" customHeight="1" thickBot="1" x14ac:dyDescent="0.3">
      <c r="A11" s="256"/>
      <c r="B11" s="254"/>
      <c r="C11" s="254"/>
      <c r="D11" s="254"/>
      <c r="E11" s="254"/>
      <c r="F11" s="254"/>
      <c r="G11" s="254"/>
      <c r="H11" s="254"/>
      <c r="I11" s="254"/>
      <c r="J11" s="255"/>
      <c r="K11" s="252"/>
      <c r="L11" s="128"/>
    </row>
    <row r="12" spans="1:16" s="11" customFormat="1" ht="33.75" customHeight="1" x14ac:dyDescent="0.25">
      <c r="A12" s="168">
        <v>1</v>
      </c>
      <c r="B12" s="169" t="str">
        <f>'SAF 011'!B10</f>
        <v>2.5.2-710.4</v>
      </c>
      <c r="C12" s="253" t="str">
        <f>'SAF 011'!E10</f>
        <v>AGUA OXIGENADA; CAPACIDAD: 1000 CM3, VOLUMEN: 10, PRESENTACION: ENVASE X 1000 CM3</v>
      </c>
      <c r="D12" s="253"/>
      <c r="E12" s="253"/>
      <c r="F12" s="253"/>
      <c r="G12" s="253"/>
      <c r="H12" s="169" t="s">
        <v>115</v>
      </c>
      <c r="I12" s="170" t="str">
        <f>'SAF 011'!F10</f>
        <v>BOTELLA</v>
      </c>
      <c r="J12" s="171">
        <f>'SAF 011'!AX10</f>
        <v>128.59</v>
      </c>
      <c r="K12" s="172">
        <f>'SAF 011'!S10</f>
        <v>1000</v>
      </c>
      <c r="L12" s="129">
        <v>252</v>
      </c>
      <c r="M12" s="125" t="b">
        <f>B12='SAF 011'!B10</f>
        <v>1</v>
      </c>
      <c r="N12" s="12">
        <f>+J12*K12</f>
        <v>128590</v>
      </c>
      <c r="O12" s="125" t="b">
        <f>C12='SAF 011'!E10</f>
        <v>1</v>
      </c>
      <c r="P12" s="125"/>
    </row>
    <row r="13" spans="1:16" s="11" customFormat="1" ht="33.75" customHeight="1" x14ac:dyDescent="0.25">
      <c r="A13" s="173">
        <v>2</v>
      </c>
      <c r="B13" s="174" t="str">
        <f>'SAF 011'!B14</f>
        <v>2.5.2-1723.50</v>
      </c>
      <c r="C13" s="248" t="str">
        <f>'SAF 011'!E14</f>
        <v>ANTISEPTICOS LOCALES P/PERSONA; DROGA GENERICA: IODOPOVIDONA 10%, FORMA FARMACEUTICA: SOLUCION, PRESENTACION: ENVASE X 1 L, TIPO: MONODROGA</v>
      </c>
      <c r="D13" s="249"/>
      <c r="E13" s="249"/>
      <c r="F13" s="249"/>
      <c r="G13" s="250"/>
      <c r="H13" s="174" t="s">
        <v>115</v>
      </c>
      <c r="I13" s="175" t="str">
        <f>'SAF 011'!F14</f>
        <v>BOTELLA</v>
      </c>
      <c r="J13" s="176">
        <f>'SAF 011'!AX14</f>
        <v>573</v>
      </c>
      <c r="K13" s="177">
        <f>'SAF 011'!S14</f>
        <v>350</v>
      </c>
      <c r="L13" s="129">
        <v>252</v>
      </c>
      <c r="M13" s="125" t="b">
        <f>B13='SAF 011'!B14</f>
        <v>1</v>
      </c>
      <c r="N13" s="12">
        <f t="shared" ref="N13:N18" si="0">+J13*K13</f>
        <v>200550</v>
      </c>
      <c r="O13" s="125" t="b">
        <f>C13='SAF 011'!E14</f>
        <v>1</v>
      </c>
      <c r="P13" s="125"/>
    </row>
    <row r="14" spans="1:16" s="11" customFormat="1" ht="33.75" customHeight="1" x14ac:dyDescent="0.25">
      <c r="A14" s="173">
        <v>3</v>
      </c>
      <c r="B14" s="174" t="str">
        <f>'SAF 011'!B16</f>
        <v>2.5.2-1723.30</v>
      </c>
      <c r="C14" s="248" t="str">
        <f>'SAF 011'!E16</f>
        <v>ANTISEPTICOS LOCALES P/PERSONA; TIPO: MONODROGA, DROGA GENERICA: IODOPOVIDONA, FORMA FARMACEUTICA: SOLUCION, PRESENTACION: BIDON X 5 L</v>
      </c>
      <c r="D14" s="249"/>
      <c r="E14" s="249"/>
      <c r="F14" s="249"/>
      <c r="G14" s="250"/>
      <c r="H14" s="174" t="s">
        <v>115</v>
      </c>
      <c r="I14" s="175" t="str">
        <f>'SAF 011'!F16</f>
        <v>BIDON</v>
      </c>
      <c r="J14" s="176">
        <f>'SAF 011'!AX16</f>
        <v>2250</v>
      </c>
      <c r="K14" s="177">
        <f>'SAF 011'!S16</f>
        <v>50</v>
      </c>
      <c r="L14" s="129">
        <v>252</v>
      </c>
      <c r="M14" s="125" t="b">
        <f>B14='SAF 011'!B16</f>
        <v>1</v>
      </c>
      <c r="N14" s="12">
        <f t="shared" si="0"/>
        <v>112500</v>
      </c>
      <c r="O14" s="125" t="b">
        <f>C14='SAF 011'!E16</f>
        <v>1</v>
      </c>
      <c r="P14" s="125"/>
    </row>
    <row r="15" spans="1:16" s="11" customFormat="1" ht="33.75" customHeight="1" x14ac:dyDescent="0.25">
      <c r="A15" s="173">
        <v>4</v>
      </c>
      <c r="B15" s="174" t="str">
        <f>'SAF 011'!B17</f>
        <v>2.5.2-1723.35</v>
      </c>
      <c r="C15" s="248" t="str">
        <f>'SAF 011'!E17</f>
        <v>ANTISEPTICOS LOCALES P/PERSONA; TIPO: MONODROGA, DROGA GENERICA: NITROFURAZONA, FORMA FARMACEUTICA: SOLUCION, PRESENTACION: FRASCO X 1 L</v>
      </c>
      <c r="D15" s="249"/>
      <c r="E15" s="249"/>
      <c r="F15" s="249"/>
      <c r="G15" s="250"/>
      <c r="H15" s="174" t="s">
        <v>115</v>
      </c>
      <c r="I15" s="175" t="str">
        <f>'SAF 011'!F17</f>
        <v>BOTELLA</v>
      </c>
      <c r="J15" s="176">
        <f>'SAF 011'!AX17</f>
        <v>859</v>
      </c>
      <c r="K15" s="177">
        <f>'SAF 011'!S17</f>
        <v>40</v>
      </c>
      <c r="L15" s="129">
        <v>252</v>
      </c>
      <c r="M15" s="125" t="b">
        <f>B15='SAF 011'!B17</f>
        <v>1</v>
      </c>
      <c r="N15" s="12">
        <f t="shared" si="0"/>
        <v>34360</v>
      </c>
      <c r="O15" s="125" t="b">
        <f>C15='SAF 011'!E17</f>
        <v>1</v>
      </c>
      <c r="P15" s="125"/>
    </row>
    <row r="16" spans="1:16" s="11" customFormat="1" ht="33.75" customHeight="1" x14ac:dyDescent="0.25">
      <c r="A16" s="173">
        <v>5</v>
      </c>
      <c r="B16" s="174" t="str">
        <f>'SAF 011'!B18</f>
        <v>2.9.1-6956.122</v>
      </c>
      <c r="C16" s="248" t="str">
        <f>'SAF 011'!E18</f>
        <v>ARTICULOS DE TOCADOR; TIPO: JABON LIQUIDO HIPOALERGENICO, PRESENTACION: ENVASE X 800 ML BAG IN BOX</v>
      </c>
      <c r="D16" s="249"/>
      <c r="E16" s="249"/>
      <c r="F16" s="249"/>
      <c r="G16" s="250"/>
      <c r="H16" s="174" t="s">
        <v>115</v>
      </c>
      <c r="I16" s="175" t="str">
        <f>'SAF 011'!F18</f>
        <v>BAG IN BOX</v>
      </c>
      <c r="J16" s="176">
        <f>'SAF 011'!AX18</f>
        <v>1150</v>
      </c>
      <c r="K16" s="177">
        <f>'SAF 011'!S18</f>
        <v>100</v>
      </c>
      <c r="L16" s="129">
        <v>252</v>
      </c>
      <c r="M16" s="125" t="b">
        <f>B16='SAF 011'!B18</f>
        <v>1</v>
      </c>
      <c r="N16" s="12">
        <f t="shared" si="0"/>
        <v>115000</v>
      </c>
      <c r="O16" s="125" t="b">
        <f>C16='SAF 011'!E18</f>
        <v>1</v>
      </c>
      <c r="P16" s="125"/>
    </row>
    <row r="17" spans="1:16" s="11" customFormat="1" ht="33.75" customHeight="1" x14ac:dyDescent="0.25">
      <c r="A17" s="173">
        <v>6</v>
      </c>
      <c r="B17" s="174" t="str">
        <f>'SAF 011'!B20</f>
        <v>2.5.1-9065.53</v>
      </c>
      <c r="C17" s="248" t="str">
        <f>'SAF 011'!E20</f>
        <v>DESINFECTANTES Y DETERGENTES; PRINCIPIO ACTIVO: GLUTARALDEHIDO CON SULFACTANTE, CALIDAD: BIOLOGIA MOLECULAR, CONCENTRACION/PUREZA: 2 %, PRESENTACION: ENVASE X 4 L</v>
      </c>
      <c r="D17" s="249"/>
      <c r="E17" s="249"/>
      <c r="F17" s="249"/>
      <c r="G17" s="250"/>
      <c r="H17" s="174" t="s">
        <v>115</v>
      </c>
      <c r="I17" s="175" t="str">
        <f>'SAF 011'!F20</f>
        <v>BIDON</v>
      </c>
      <c r="J17" s="176">
        <f>'SAF 011'!AX20</f>
        <v>1680</v>
      </c>
      <c r="K17" s="177">
        <f>'SAF 011'!S20</f>
        <v>50</v>
      </c>
      <c r="L17" s="129">
        <v>251</v>
      </c>
      <c r="M17" s="125" t="b">
        <f>B17='SAF 011'!B20</f>
        <v>1</v>
      </c>
      <c r="N17" s="12">
        <f t="shared" si="0"/>
        <v>84000</v>
      </c>
      <c r="O17" s="125" t="b">
        <f>C17='SAF 011'!E20</f>
        <v>1</v>
      </c>
      <c r="P17" s="125"/>
    </row>
    <row r="18" spans="1:16" s="11" customFormat="1" ht="33.75" customHeight="1" x14ac:dyDescent="0.25">
      <c r="A18" s="173">
        <v>7</v>
      </c>
      <c r="B18" s="174" t="str">
        <f>'SAF 011'!B21</f>
        <v>2.5.2-1726.492</v>
      </c>
      <c r="C18" s="248" t="str">
        <f>'SAF 011'!E21</f>
        <v>SOLUCIONES P/MEDICINA; TIPO: FORMOL AL 40 %, PRESENTACION: ENVASE X 1 L</v>
      </c>
      <c r="D18" s="249"/>
      <c r="E18" s="249"/>
      <c r="F18" s="249"/>
      <c r="G18" s="250"/>
      <c r="H18" s="174" t="s">
        <v>115</v>
      </c>
      <c r="I18" s="175" t="str">
        <f>'SAF 011'!F21</f>
        <v>BOTELLA</v>
      </c>
      <c r="J18" s="176">
        <f>'SAF 011'!AX21</f>
        <v>661</v>
      </c>
      <c r="K18" s="177">
        <f>'SAF 011'!S21</f>
        <v>10</v>
      </c>
      <c r="L18" s="129">
        <v>251</v>
      </c>
      <c r="M18" s="125" t="b">
        <f>B18='SAF 011'!B21</f>
        <v>1</v>
      </c>
      <c r="N18" s="12">
        <f t="shared" si="0"/>
        <v>6610</v>
      </c>
      <c r="O18" s="125" t="b">
        <f>C18='SAF 011'!E21</f>
        <v>1</v>
      </c>
      <c r="P18" s="125"/>
    </row>
    <row r="19" spans="1:16" ht="16.5" thickBot="1" x14ac:dyDescent="0.3">
      <c r="A19" s="151"/>
      <c r="B19" s="178"/>
      <c r="C19" s="251"/>
      <c r="D19" s="251"/>
      <c r="E19" s="251"/>
      <c r="F19" s="251"/>
      <c r="G19" s="251"/>
      <c r="H19" s="153"/>
      <c r="I19" s="154"/>
      <c r="J19" s="155"/>
      <c r="K19" s="156"/>
      <c r="L19" s="130"/>
    </row>
    <row r="20" spans="1:16" s="14" customFormat="1" ht="19.5" thickBot="1" x14ac:dyDescent="0.3">
      <c r="A20" s="246" t="s">
        <v>131</v>
      </c>
      <c r="B20" s="246"/>
      <c r="C20" s="246"/>
      <c r="D20" s="246"/>
      <c r="E20" s="246"/>
      <c r="F20" s="246"/>
      <c r="G20" s="246"/>
      <c r="H20" s="246"/>
      <c r="I20" s="246"/>
      <c r="J20" s="247">
        <f>+N20</f>
        <v>681610</v>
      </c>
      <c r="K20" s="247"/>
      <c r="L20" s="131"/>
      <c r="M20" s="132"/>
      <c r="N20" s="15">
        <f>SUM(N12:N19)</f>
        <v>681610</v>
      </c>
      <c r="O20" s="132"/>
      <c r="P20" s="132"/>
    </row>
    <row r="21" spans="1:16" x14ac:dyDescent="0.25">
      <c r="J21" s="245"/>
      <c r="K21" s="245"/>
      <c r="L21" s="133"/>
    </row>
    <row r="22" spans="1:16" x14ac:dyDescent="0.25">
      <c r="K22" s="135">
        <v>252</v>
      </c>
      <c r="L22" s="134">
        <f>+J12*K12+J13*K13+J14*K14+J15*K15+J16*K16</f>
        <v>591000</v>
      </c>
      <c r="M22" s="12">
        <f>+L22+80400+51360</f>
        <v>722760</v>
      </c>
      <c r="N22" s="12">
        <f>+N20-N16-N17</f>
        <v>482610</v>
      </c>
    </row>
    <row r="23" spans="1:16" x14ac:dyDescent="0.25">
      <c r="K23" s="135">
        <v>251</v>
      </c>
      <c r="L23" s="134">
        <f>+J17*K17+J18*K18</f>
        <v>90610</v>
      </c>
      <c r="M23" s="12">
        <f>+L23</f>
        <v>90610</v>
      </c>
    </row>
    <row r="24" spans="1:16" x14ac:dyDescent="0.25">
      <c r="K24" s="135"/>
      <c r="M24" s="12">
        <f>+M22+M23</f>
        <v>813370</v>
      </c>
    </row>
    <row r="25" spans="1:16" x14ac:dyDescent="0.25">
      <c r="M25" s="12">
        <f>+M24-681610-80400-51360</f>
        <v>0</v>
      </c>
    </row>
  </sheetData>
  <mergeCells count="31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K10:K11"/>
    <mergeCell ref="C12:G12"/>
    <mergeCell ref="I10:I11"/>
    <mergeCell ref="J10:J11"/>
    <mergeCell ref="A10:A11"/>
    <mergeCell ref="B10:B11"/>
    <mergeCell ref="C10:G11"/>
    <mergeCell ref="H10:H11"/>
    <mergeCell ref="C13:G13"/>
    <mergeCell ref="C14:G14"/>
    <mergeCell ref="C15:G15"/>
    <mergeCell ref="C16:G16"/>
    <mergeCell ref="C17:G17"/>
    <mergeCell ref="J21:K21"/>
    <mergeCell ref="A20:I20"/>
    <mergeCell ref="J20:K20"/>
    <mergeCell ref="C18:G18"/>
    <mergeCell ref="C19:G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O16"/>
  <sheetViews>
    <sheetView workbookViewId="0">
      <selection activeCell="D7" sqref="D7:K7"/>
    </sheetView>
  </sheetViews>
  <sheetFormatPr baseColWidth="10" defaultRowHeight="15" x14ac:dyDescent="0.25"/>
  <cols>
    <col min="1" max="1" width="5.5703125" style="25" customWidth="1"/>
    <col min="2" max="2" width="15.140625" style="25" customWidth="1"/>
    <col min="3" max="3" width="14.140625" style="25" customWidth="1"/>
    <col min="4" max="4" width="26" style="25" customWidth="1"/>
    <col min="5" max="5" width="8" style="25" customWidth="1"/>
    <col min="6" max="6" width="7.85546875" style="25" customWidth="1"/>
    <col min="7" max="7" width="28.5703125" style="25" customWidth="1"/>
    <col min="8" max="8" width="9.28515625" style="25" customWidth="1"/>
    <col min="9" max="9" width="15.5703125" style="25" customWidth="1"/>
    <col min="10" max="10" width="14.7109375" style="26" customWidth="1"/>
    <col min="11" max="11" width="15.5703125" style="25" customWidth="1"/>
    <col min="12" max="12" width="15.5703125" style="135" customWidth="1"/>
    <col min="13" max="13" width="11.85546875" style="125" bestFit="1" customWidth="1"/>
    <col min="14" max="14" width="13" style="12" bestFit="1" customWidth="1"/>
    <col min="15" max="15" width="11.85546875" style="125" bestFit="1" customWidth="1"/>
  </cols>
  <sheetData>
    <row r="1" spans="1:15" ht="30.75" thickBot="1" x14ac:dyDescent="0.3">
      <c r="A1" s="262" t="s">
        <v>66</v>
      </c>
      <c r="B1" s="262"/>
      <c r="C1" s="262"/>
      <c r="D1" s="262"/>
      <c r="E1" s="262"/>
      <c r="F1" s="262"/>
      <c r="G1" s="262"/>
      <c r="H1" s="262"/>
      <c r="I1" s="262"/>
      <c r="J1" s="136" t="s">
        <v>67</v>
      </c>
      <c r="K1" s="137" t="s">
        <v>118</v>
      </c>
      <c r="L1" s="124"/>
    </row>
    <row r="2" spans="1:15" ht="16.5" thickBot="1" x14ac:dyDescent="0.3">
      <c r="A2" s="138"/>
      <c r="B2" s="139"/>
      <c r="C2" s="139"/>
      <c r="D2" s="23"/>
      <c r="E2" s="23"/>
      <c r="F2" s="23"/>
      <c r="G2" s="23"/>
      <c r="H2" s="23"/>
      <c r="I2" s="23"/>
      <c r="J2" s="140"/>
      <c r="K2" s="141"/>
      <c r="L2" s="126"/>
    </row>
    <row r="3" spans="1:15" ht="16.5" thickBot="1" x14ac:dyDescent="0.3">
      <c r="A3" s="257" t="s">
        <v>68</v>
      </c>
      <c r="B3" s="257"/>
      <c r="C3" s="257"/>
      <c r="D3" s="258" t="str">
        <f>'SAF 011'!C4</f>
        <v>040 - MINISTERIO DE SALUD</v>
      </c>
      <c r="E3" s="258"/>
      <c r="F3" s="258"/>
      <c r="G3" s="258"/>
      <c r="H3" s="258"/>
      <c r="I3" s="258"/>
      <c r="J3" s="258"/>
      <c r="K3" s="258"/>
      <c r="L3" s="127"/>
    </row>
    <row r="4" spans="1:15" ht="16.5" thickBot="1" x14ac:dyDescent="0.3">
      <c r="A4" s="259" t="s">
        <v>69</v>
      </c>
      <c r="B4" s="259"/>
      <c r="C4" s="259"/>
      <c r="D4" s="258" t="str">
        <f>'SAF 011'!C5</f>
        <v>011 - DIRECCION PROVINCIAL DE ADMINISTRACION - MINISTERIO DE SALUD</v>
      </c>
      <c r="E4" s="258"/>
      <c r="F4" s="258"/>
      <c r="G4" s="258"/>
      <c r="H4" s="258"/>
      <c r="I4" s="258"/>
      <c r="J4" s="258"/>
      <c r="K4" s="258"/>
      <c r="L4" s="127"/>
    </row>
    <row r="5" spans="1:15" ht="16.5" thickBot="1" x14ac:dyDescent="0.3">
      <c r="A5" s="259" t="s">
        <v>70</v>
      </c>
      <c r="B5" s="259"/>
      <c r="C5" s="259"/>
      <c r="D5" s="258" t="s">
        <v>120</v>
      </c>
      <c r="E5" s="258"/>
      <c r="F5" s="258"/>
      <c r="G5" s="258"/>
      <c r="H5" s="258"/>
      <c r="I5" s="258"/>
      <c r="J5" s="258"/>
      <c r="K5" s="258"/>
      <c r="L5" s="127"/>
    </row>
    <row r="6" spans="1:15" ht="16.5" thickBot="1" x14ac:dyDescent="0.3">
      <c r="A6" s="257" t="s">
        <v>71</v>
      </c>
      <c r="B6" s="257"/>
      <c r="C6" s="257"/>
      <c r="D6" s="258" t="s">
        <v>120</v>
      </c>
      <c r="E6" s="258"/>
      <c r="F6" s="258"/>
      <c r="G6" s="258"/>
      <c r="H6" s="258"/>
      <c r="I6" s="258"/>
      <c r="J6" s="258"/>
      <c r="K6" s="258"/>
      <c r="L6" s="127"/>
    </row>
    <row r="7" spans="1:15" ht="16.5" thickBot="1" x14ac:dyDescent="0.3">
      <c r="A7" s="259" t="s">
        <v>72</v>
      </c>
      <c r="B7" s="259"/>
      <c r="C7" s="259"/>
      <c r="D7" s="258" t="s">
        <v>175</v>
      </c>
      <c r="E7" s="258"/>
      <c r="F7" s="258"/>
      <c r="G7" s="258"/>
      <c r="H7" s="258"/>
      <c r="I7" s="258"/>
      <c r="J7" s="258"/>
      <c r="K7" s="258"/>
      <c r="L7" s="127"/>
    </row>
    <row r="8" spans="1:15" ht="16.5" thickBot="1" x14ac:dyDescent="0.3">
      <c r="A8" s="260" t="s">
        <v>73</v>
      </c>
      <c r="B8" s="260"/>
      <c r="C8" s="260"/>
      <c r="D8" s="261" t="s">
        <v>113</v>
      </c>
      <c r="E8" s="261"/>
      <c r="F8" s="261"/>
      <c r="G8" s="261"/>
      <c r="H8" s="261"/>
      <c r="I8" s="261"/>
      <c r="J8" s="261"/>
      <c r="K8" s="261"/>
      <c r="L8" s="127"/>
    </row>
    <row r="9" spans="1:15" ht="16.5" thickBot="1" x14ac:dyDescent="0.3">
      <c r="A9" s="142"/>
      <c r="B9" s="143"/>
      <c r="C9" s="143"/>
      <c r="D9" s="24"/>
      <c r="E9" s="24"/>
      <c r="F9" s="24"/>
      <c r="G9" s="24"/>
      <c r="H9" s="24"/>
      <c r="I9" s="24"/>
      <c r="J9" s="144"/>
      <c r="K9" s="145"/>
      <c r="L9" s="127"/>
    </row>
    <row r="10" spans="1:15" ht="15.75" thickBot="1" x14ac:dyDescent="0.3">
      <c r="A10" s="256" t="s">
        <v>74</v>
      </c>
      <c r="B10" s="254" t="s">
        <v>75</v>
      </c>
      <c r="C10" s="254" t="s">
        <v>76</v>
      </c>
      <c r="D10" s="254"/>
      <c r="E10" s="254"/>
      <c r="F10" s="254"/>
      <c r="G10" s="254"/>
      <c r="H10" s="254" t="s">
        <v>77</v>
      </c>
      <c r="I10" s="254" t="s">
        <v>78</v>
      </c>
      <c r="J10" s="255" t="s">
        <v>79</v>
      </c>
      <c r="K10" s="252" t="s">
        <v>80</v>
      </c>
      <c r="L10" s="128"/>
    </row>
    <row r="11" spans="1:15" ht="23.25" customHeight="1" thickBot="1" x14ac:dyDescent="0.3">
      <c r="A11" s="267"/>
      <c r="B11" s="268"/>
      <c r="C11" s="268"/>
      <c r="D11" s="268"/>
      <c r="E11" s="268"/>
      <c r="F11" s="268"/>
      <c r="G11" s="268"/>
      <c r="H11" s="268"/>
      <c r="I11" s="268"/>
      <c r="J11" s="269"/>
      <c r="K11" s="263"/>
      <c r="L11" s="128"/>
    </row>
    <row r="12" spans="1:15" s="11" customFormat="1" ht="16.5" customHeight="1" x14ac:dyDescent="0.25">
      <c r="A12" s="146">
        <v>1</v>
      </c>
      <c r="B12" s="147" t="str">
        <f>'SAF 011'!B12</f>
        <v>2.5.2-711.32</v>
      </c>
      <c r="C12" s="264" t="str">
        <f>'SAF 011'!E12</f>
        <v>ALCOHOL USO MEDICINAL; PUREZA: 96 %, PRESENTACION: ENVASE X 1000 CM3</v>
      </c>
      <c r="D12" s="265"/>
      <c r="E12" s="265"/>
      <c r="F12" s="265"/>
      <c r="G12" s="266"/>
      <c r="H12" s="147" t="s">
        <v>115</v>
      </c>
      <c r="I12" s="148" t="str">
        <f>'SAF 011'!F12</f>
        <v>BOTELLA</v>
      </c>
      <c r="J12" s="149">
        <f>'SAF 011'!AX12</f>
        <v>201</v>
      </c>
      <c r="K12" s="150">
        <f>'SAF 011'!K12</f>
        <v>400</v>
      </c>
      <c r="L12" s="129">
        <v>252</v>
      </c>
      <c r="M12" s="125" t="b">
        <f>B12='SAF 011'!B12</f>
        <v>1</v>
      </c>
      <c r="N12" s="12">
        <f t="shared" ref="N12" si="0">+J12*K12</f>
        <v>80400</v>
      </c>
      <c r="O12" s="125" t="b">
        <f>C12='SAF 011'!E12</f>
        <v>1</v>
      </c>
    </row>
    <row r="13" spans="1:15" ht="16.5" thickBot="1" x14ac:dyDescent="0.3">
      <c r="A13" s="151"/>
      <c r="B13" s="152"/>
      <c r="C13" s="251"/>
      <c r="D13" s="251"/>
      <c r="E13" s="251"/>
      <c r="F13" s="251"/>
      <c r="G13" s="251"/>
      <c r="H13" s="153"/>
      <c r="I13" s="154"/>
      <c r="J13" s="155"/>
      <c r="K13" s="156"/>
      <c r="L13" s="130"/>
    </row>
    <row r="14" spans="1:15" s="14" customFormat="1" ht="19.5" thickBot="1" x14ac:dyDescent="0.3">
      <c r="A14" s="246" t="s">
        <v>117</v>
      </c>
      <c r="B14" s="246"/>
      <c r="C14" s="246"/>
      <c r="D14" s="246"/>
      <c r="E14" s="246"/>
      <c r="F14" s="246"/>
      <c r="G14" s="246"/>
      <c r="H14" s="246"/>
      <c r="I14" s="246"/>
      <c r="J14" s="247">
        <f>+N14</f>
        <v>80400</v>
      </c>
      <c r="K14" s="247"/>
      <c r="L14" s="131"/>
      <c r="M14" s="132"/>
      <c r="N14" s="15">
        <f>SUM(N12:N13)</f>
        <v>80400</v>
      </c>
      <c r="O14" s="132"/>
    </row>
    <row r="16" spans="1:15" x14ac:dyDescent="0.25">
      <c r="K16" s="135">
        <f>+J12*K12</f>
        <v>80400</v>
      </c>
    </row>
  </sheetData>
  <mergeCells count="24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3:G13"/>
    <mergeCell ref="A14:I14"/>
    <mergeCell ref="J14:K14"/>
    <mergeCell ref="K10:K11"/>
    <mergeCell ref="C12:G12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O17"/>
  <sheetViews>
    <sheetView workbookViewId="0">
      <selection activeCell="G22" sqref="G22"/>
    </sheetView>
  </sheetViews>
  <sheetFormatPr baseColWidth="10" defaultRowHeight="15" x14ac:dyDescent="0.25"/>
  <cols>
    <col min="1" max="1" width="5.5703125" style="25" customWidth="1"/>
    <col min="2" max="2" width="15.140625" style="25" customWidth="1"/>
    <col min="3" max="3" width="14.140625" style="25" customWidth="1"/>
    <col min="4" max="4" width="26" style="25" customWidth="1"/>
    <col min="5" max="5" width="8" style="25" customWidth="1"/>
    <col min="6" max="6" width="7.85546875" style="25" customWidth="1"/>
    <col min="7" max="7" width="48.85546875" style="25" customWidth="1"/>
    <col min="8" max="8" width="9.28515625" style="25" customWidth="1"/>
    <col min="9" max="9" width="15.5703125" style="25" customWidth="1"/>
    <col min="10" max="10" width="14.7109375" style="26" customWidth="1"/>
    <col min="11" max="11" width="15.5703125" style="25" customWidth="1"/>
    <col min="12" max="12" width="15.5703125" style="135" customWidth="1"/>
    <col min="13" max="13" width="11.85546875" style="125" bestFit="1" customWidth="1"/>
    <col min="14" max="14" width="13" style="12" bestFit="1" customWidth="1"/>
    <col min="15" max="15" width="11.85546875" style="125" bestFit="1" customWidth="1"/>
  </cols>
  <sheetData>
    <row r="1" spans="1:15" ht="30.75" thickBot="1" x14ac:dyDescent="0.3">
      <c r="A1" s="262" t="s">
        <v>66</v>
      </c>
      <c r="B1" s="262"/>
      <c r="C1" s="262"/>
      <c r="D1" s="262"/>
      <c r="E1" s="262"/>
      <c r="F1" s="262"/>
      <c r="G1" s="262"/>
      <c r="H1" s="262"/>
      <c r="I1" s="262"/>
      <c r="J1" s="136" t="s">
        <v>67</v>
      </c>
      <c r="K1" s="137" t="s">
        <v>121</v>
      </c>
      <c r="L1" s="124"/>
    </row>
    <row r="2" spans="1:15" ht="16.5" thickBot="1" x14ac:dyDescent="0.3">
      <c r="A2" s="138"/>
      <c r="B2" s="139"/>
      <c r="C2" s="139"/>
      <c r="D2" s="23"/>
      <c r="E2" s="23"/>
      <c r="F2" s="23"/>
      <c r="G2" s="23"/>
      <c r="H2" s="23"/>
      <c r="I2" s="23"/>
      <c r="J2" s="140"/>
      <c r="K2" s="141"/>
      <c r="L2" s="126"/>
    </row>
    <row r="3" spans="1:15" ht="16.5" thickBot="1" x14ac:dyDescent="0.3">
      <c r="A3" s="257" t="s">
        <v>68</v>
      </c>
      <c r="B3" s="257"/>
      <c r="C3" s="257"/>
      <c r="D3" s="258" t="str">
        <f>'SAF 011'!C4</f>
        <v>040 - MINISTERIO DE SALUD</v>
      </c>
      <c r="E3" s="258"/>
      <c r="F3" s="258"/>
      <c r="G3" s="258"/>
      <c r="H3" s="258"/>
      <c r="I3" s="258"/>
      <c r="J3" s="258"/>
      <c r="K3" s="258"/>
      <c r="L3" s="127"/>
    </row>
    <row r="4" spans="1:15" ht="16.5" thickBot="1" x14ac:dyDescent="0.3">
      <c r="A4" s="259" t="s">
        <v>69</v>
      </c>
      <c r="B4" s="259"/>
      <c r="C4" s="259"/>
      <c r="D4" s="258" t="str">
        <f>'SAF 011'!C5</f>
        <v>011 - DIRECCION PROVINCIAL DE ADMINISTRACION - MINISTERIO DE SALUD</v>
      </c>
      <c r="E4" s="258"/>
      <c r="F4" s="258"/>
      <c r="G4" s="258"/>
      <c r="H4" s="258"/>
      <c r="I4" s="258"/>
      <c r="J4" s="258"/>
      <c r="K4" s="258"/>
      <c r="L4" s="127"/>
    </row>
    <row r="5" spans="1:15" ht="16.5" thickBot="1" x14ac:dyDescent="0.3">
      <c r="A5" s="259" t="s">
        <v>70</v>
      </c>
      <c r="B5" s="259"/>
      <c r="C5" s="259"/>
      <c r="D5" s="258" t="s">
        <v>122</v>
      </c>
      <c r="E5" s="258"/>
      <c r="F5" s="258"/>
      <c r="G5" s="258"/>
      <c r="H5" s="258"/>
      <c r="I5" s="258"/>
      <c r="J5" s="258"/>
      <c r="K5" s="258"/>
      <c r="L5" s="127"/>
    </row>
    <row r="6" spans="1:15" ht="16.5" thickBot="1" x14ac:dyDescent="0.3">
      <c r="A6" s="257" t="s">
        <v>71</v>
      </c>
      <c r="B6" s="257"/>
      <c r="C6" s="257"/>
      <c r="D6" s="258" t="s">
        <v>122</v>
      </c>
      <c r="E6" s="258"/>
      <c r="F6" s="258"/>
      <c r="G6" s="258"/>
      <c r="H6" s="258"/>
      <c r="I6" s="258"/>
      <c r="J6" s="258"/>
      <c r="K6" s="258"/>
      <c r="L6" s="127"/>
    </row>
    <row r="7" spans="1:15" ht="16.5" thickBot="1" x14ac:dyDescent="0.3">
      <c r="A7" s="259" t="s">
        <v>72</v>
      </c>
      <c r="B7" s="259"/>
      <c r="C7" s="259"/>
      <c r="D7" s="258" t="s">
        <v>175</v>
      </c>
      <c r="E7" s="258"/>
      <c r="F7" s="258"/>
      <c r="G7" s="258"/>
      <c r="H7" s="258"/>
      <c r="I7" s="258"/>
      <c r="J7" s="258"/>
      <c r="K7" s="258"/>
      <c r="L7" s="127"/>
    </row>
    <row r="8" spans="1:15" ht="16.5" thickBot="1" x14ac:dyDescent="0.3">
      <c r="A8" s="260" t="s">
        <v>73</v>
      </c>
      <c r="B8" s="260"/>
      <c r="C8" s="260"/>
      <c r="D8" s="261" t="s">
        <v>113</v>
      </c>
      <c r="E8" s="261"/>
      <c r="F8" s="261"/>
      <c r="G8" s="261"/>
      <c r="H8" s="261"/>
      <c r="I8" s="261"/>
      <c r="J8" s="261"/>
      <c r="K8" s="261"/>
      <c r="L8" s="127"/>
    </row>
    <row r="9" spans="1:15" ht="16.5" thickBot="1" x14ac:dyDescent="0.3">
      <c r="A9" s="142"/>
      <c r="B9" s="143"/>
      <c r="C9" s="143"/>
      <c r="D9" s="24"/>
      <c r="E9" s="24"/>
      <c r="F9" s="24"/>
      <c r="G9" s="24"/>
      <c r="H9" s="24"/>
      <c r="I9" s="24"/>
      <c r="J9" s="144"/>
      <c r="K9" s="145"/>
      <c r="L9" s="127"/>
    </row>
    <row r="10" spans="1:15" ht="15.75" thickBot="1" x14ac:dyDescent="0.3">
      <c r="A10" s="256" t="s">
        <v>74</v>
      </c>
      <c r="B10" s="254" t="s">
        <v>75</v>
      </c>
      <c r="C10" s="254" t="s">
        <v>76</v>
      </c>
      <c r="D10" s="254"/>
      <c r="E10" s="254"/>
      <c r="F10" s="254"/>
      <c r="G10" s="254"/>
      <c r="H10" s="254" t="s">
        <v>77</v>
      </c>
      <c r="I10" s="254" t="s">
        <v>78</v>
      </c>
      <c r="J10" s="255" t="s">
        <v>79</v>
      </c>
      <c r="K10" s="252" t="s">
        <v>80</v>
      </c>
      <c r="L10" s="128"/>
    </row>
    <row r="11" spans="1:15" ht="23.25" customHeight="1" thickBot="1" x14ac:dyDescent="0.3">
      <c r="A11" s="267"/>
      <c r="B11" s="268"/>
      <c r="C11" s="268"/>
      <c r="D11" s="268"/>
      <c r="E11" s="268"/>
      <c r="F11" s="268"/>
      <c r="G11" s="268"/>
      <c r="H11" s="268"/>
      <c r="I11" s="268"/>
      <c r="J11" s="269"/>
      <c r="K11" s="263"/>
      <c r="L11" s="128"/>
    </row>
    <row r="12" spans="1:15" s="11" customFormat="1" ht="21.75" customHeight="1" x14ac:dyDescent="0.25">
      <c r="A12" s="146">
        <v>1</v>
      </c>
      <c r="B12" s="147" t="str">
        <f>'SAF 011'!B11</f>
        <v>2.5.2-711.41</v>
      </c>
      <c r="C12" s="264" t="str">
        <f>'SAF 011'!E11</f>
        <v>ALCOHOL USO MEDICINAL; PUREZA: 70 %, PRESENTACION: GEL ENVASE X 250 CM3</v>
      </c>
      <c r="D12" s="265"/>
      <c r="E12" s="265"/>
      <c r="F12" s="265"/>
      <c r="G12" s="266"/>
      <c r="H12" s="147" t="s">
        <v>115</v>
      </c>
      <c r="I12" s="148" t="str">
        <f>'SAF 011'!F11</f>
        <v>UNIDAD</v>
      </c>
      <c r="J12" s="149">
        <f>'SAF 011'!AX11</f>
        <v>158</v>
      </c>
      <c r="K12" s="150">
        <f>'SAF 011'!M11</f>
        <v>120</v>
      </c>
      <c r="L12" s="129">
        <v>252</v>
      </c>
      <c r="M12" s="125" t="b">
        <f>'SAF 011'!B11=B12</f>
        <v>1</v>
      </c>
      <c r="N12" s="12">
        <f>+J12*K12</f>
        <v>18960</v>
      </c>
      <c r="O12" s="125" t="b">
        <f>C12='SAF 011'!E11</f>
        <v>1</v>
      </c>
    </row>
    <row r="13" spans="1:15" s="11" customFormat="1" ht="33" customHeight="1" x14ac:dyDescent="0.25">
      <c r="A13" s="173">
        <v>2</v>
      </c>
      <c r="B13" s="174" t="str">
        <f>'SAF 011'!B13</f>
        <v>2.5.2-711.1</v>
      </c>
      <c r="C13" s="248" t="str">
        <f>'SAF 011'!E13</f>
        <v>ALCOHOL USO MEDICINAL; PUREZA: 96 %, PRESENTACION: ENVASE X 500 CM3, CAPACIDAD: 500 CM3</v>
      </c>
      <c r="D13" s="249"/>
      <c r="E13" s="249"/>
      <c r="F13" s="249"/>
      <c r="G13" s="250"/>
      <c r="H13" s="174" t="s">
        <v>115</v>
      </c>
      <c r="I13" s="175" t="str">
        <f>'SAF 011'!F13</f>
        <v>BOTELLA</v>
      </c>
      <c r="J13" s="176">
        <f>'SAF 011'!AX13</f>
        <v>108</v>
      </c>
      <c r="K13" s="177">
        <f>'SAF 011'!M13</f>
        <v>300</v>
      </c>
      <c r="L13" s="129">
        <v>252</v>
      </c>
      <c r="M13" s="125" t="b">
        <f>B13='SAF 011'!B13</f>
        <v>1</v>
      </c>
      <c r="N13" s="12">
        <f>+J13*K13</f>
        <v>32400</v>
      </c>
      <c r="O13" s="125" t="b">
        <f>'SAF 011'!E13=C13</f>
        <v>1</v>
      </c>
    </row>
    <row r="14" spans="1:15" ht="16.5" thickBot="1" x14ac:dyDescent="0.3">
      <c r="A14" s="151"/>
      <c r="B14" s="152"/>
      <c r="C14" s="251"/>
      <c r="D14" s="251"/>
      <c r="E14" s="251"/>
      <c r="F14" s="251"/>
      <c r="G14" s="251"/>
      <c r="H14" s="153"/>
      <c r="I14" s="154"/>
      <c r="J14" s="155"/>
      <c r="K14" s="156"/>
      <c r="L14" s="130"/>
    </row>
    <row r="15" spans="1:15" ht="19.5" thickBot="1" x14ac:dyDescent="0.3">
      <c r="A15" s="246" t="s">
        <v>123</v>
      </c>
      <c r="B15" s="246"/>
      <c r="C15" s="246"/>
      <c r="D15" s="246"/>
      <c r="E15" s="246"/>
      <c r="F15" s="246"/>
      <c r="G15" s="246"/>
      <c r="H15" s="246"/>
      <c r="I15" s="246"/>
      <c r="J15" s="270">
        <f>+N15</f>
        <v>51360</v>
      </c>
      <c r="K15" s="270"/>
      <c r="L15" s="180"/>
      <c r="N15" s="12">
        <f>SUM(N12:N14)</f>
        <v>51360</v>
      </c>
    </row>
    <row r="17" spans="10:12" x14ac:dyDescent="0.25">
      <c r="J17" s="183">
        <f>+J12*K12+J13*K13</f>
        <v>51360</v>
      </c>
      <c r="K17" s="182"/>
      <c r="L17" s="181"/>
    </row>
  </sheetData>
  <mergeCells count="25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4:G14"/>
    <mergeCell ref="A15:I15"/>
    <mergeCell ref="J15:K15"/>
    <mergeCell ref="K10:K11"/>
    <mergeCell ref="C12:G12"/>
    <mergeCell ref="C13:G13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Q42"/>
  <sheetViews>
    <sheetView topLeftCell="A13" workbookViewId="0">
      <selection activeCell="V34" sqref="V34"/>
    </sheetView>
  </sheetViews>
  <sheetFormatPr baseColWidth="10" defaultRowHeight="15" x14ac:dyDescent="0.25"/>
  <cols>
    <col min="1" max="5" width="4.42578125" style="25" customWidth="1"/>
    <col min="6" max="6" width="7.85546875" style="25" customWidth="1"/>
    <col min="7" max="14" width="4.42578125" style="25" customWidth="1"/>
    <col min="15" max="16" width="14.85546875" style="25" customWidth="1"/>
    <col min="17" max="17" width="14.7109375" style="25" customWidth="1"/>
  </cols>
  <sheetData>
    <row r="1" spans="1:17" ht="15.75" thickBot="1" x14ac:dyDescent="0.3">
      <c r="A1" s="291" t="s">
        <v>5</v>
      </c>
      <c r="B1" s="291"/>
      <c r="C1" s="291"/>
      <c r="D1" s="292">
        <v>2022</v>
      </c>
      <c r="E1" s="292"/>
      <c r="F1" s="184"/>
      <c r="G1" s="184"/>
      <c r="H1" s="185"/>
      <c r="I1" s="185"/>
      <c r="J1" s="185"/>
      <c r="K1" s="185"/>
      <c r="L1" s="185"/>
      <c r="M1" s="185"/>
      <c r="N1" s="185"/>
      <c r="O1" s="186"/>
      <c r="P1" s="293" t="s">
        <v>81</v>
      </c>
      <c r="Q1" s="293"/>
    </row>
    <row r="2" spans="1:17" ht="15.75" thickBot="1" x14ac:dyDescent="0.3">
      <c r="A2" s="187"/>
      <c r="B2" s="188"/>
      <c r="C2" s="188"/>
      <c r="D2" s="188"/>
      <c r="E2" s="188"/>
      <c r="F2" s="188"/>
      <c r="G2" s="189"/>
      <c r="H2" s="190"/>
      <c r="I2" s="190"/>
      <c r="J2" s="190"/>
      <c r="K2" s="190"/>
      <c r="L2" s="190"/>
      <c r="M2" s="190"/>
      <c r="N2" s="190"/>
      <c r="O2" s="188"/>
      <c r="P2" s="293"/>
      <c r="Q2" s="293"/>
    </row>
    <row r="3" spans="1:17" thickBot="1" x14ac:dyDescent="0.35">
      <c r="A3" s="187"/>
      <c r="B3" s="188"/>
      <c r="C3" s="188"/>
      <c r="D3" s="188"/>
      <c r="E3" s="188"/>
      <c r="F3" s="188"/>
      <c r="G3" s="189"/>
      <c r="H3" s="188"/>
      <c r="I3" s="188"/>
      <c r="J3" s="188"/>
      <c r="K3" s="188"/>
      <c r="L3" s="188"/>
      <c r="M3" s="188"/>
      <c r="N3" s="188"/>
      <c r="O3" s="188"/>
      <c r="P3" s="188"/>
      <c r="Q3" s="191"/>
    </row>
    <row r="4" spans="1:17" s="25" customFormat="1" ht="15.75" thickBot="1" x14ac:dyDescent="0.3">
      <c r="A4" s="294" t="s">
        <v>82</v>
      </c>
      <c r="B4" s="294"/>
      <c r="C4" s="294"/>
      <c r="D4" s="294"/>
      <c r="E4" s="294"/>
      <c r="F4" s="294"/>
      <c r="G4" s="295" t="str">
        <f>'NP FARMACIA'!D3</f>
        <v>040 - MINISTERIO DE SALUD</v>
      </c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s="25" customFormat="1" thickBot="1" x14ac:dyDescent="0.35">
      <c r="A5" s="296" t="s">
        <v>69</v>
      </c>
      <c r="B5" s="296"/>
      <c r="C5" s="296"/>
      <c r="D5" s="296"/>
      <c r="E5" s="296"/>
      <c r="F5" s="296"/>
      <c r="G5" s="295" t="str">
        <f>'NP FARMACIA'!D4</f>
        <v>011 - DIRECCION PROVINCIAL DE ADMINISTRACION - MINISTERIO DE SALUD</v>
      </c>
      <c r="H5" s="295"/>
      <c r="I5" s="295"/>
      <c r="J5" s="295"/>
      <c r="K5" s="295"/>
      <c r="L5" s="295"/>
      <c r="M5" s="295"/>
      <c r="N5" s="295"/>
      <c r="O5" s="295"/>
      <c r="P5" s="295"/>
      <c r="Q5" s="295"/>
    </row>
    <row r="6" spans="1:17" s="25" customFormat="1" thickBot="1" x14ac:dyDescent="0.35">
      <c r="A6" s="296" t="s">
        <v>70</v>
      </c>
      <c r="B6" s="296"/>
      <c r="C6" s="296"/>
      <c r="D6" s="296"/>
      <c r="E6" s="296"/>
      <c r="F6" s="296"/>
      <c r="G6" s="295" t="str">
        <f>'NP FARMACIA'!D5</f>
        <v>DIRECCION PROVINCIAL DE FARMACIA E INSUMOS</v>
      </c>
      <c r="H6" s="295"/>
      <c r="I6" s="295"/>
      <c r="J6" s="295"/>
      <c r="K6" s="295"/>
      <c r="L6" s="295"/>
      <c r="M6" s="295"/>
      <c r="N6" s="295"/>
      <c r="O6" s="295"/>
      <c r="P6" s="295"/>
      <c r="Q6" s="295"/>
    </row>
    <row r="7" spans="1:17" s="25" customFormat="1" thickBot="1" x14ac:dyDescent="0.35">
      <c r="A7" s="296" t="s">
        <v>71</v>
      </c>
      <c r="B7" s="296"/>
      <c r="C7" s="296"/>
      <c r="D7" s="296"/>
      <c r="E7" s="296"/>
      <c r="F7" s="296"/>
      <c r="G7" s="295" t="str">
        <f>'NP FARMACIA'!D6</f>
        <v>DIRECCION PROVINCIAL DE FARMACIA E INSUMOS</v>
      </c>
      <c r="H7" s="295"/>
      <c r="I7" s="295"/>
      <c r="J7" s="295"/>
      <c r="K7" s="295"/>
      <c r="L7" s="295"/>
      <c r="M7" s="295"/>
      <c r="N7" s="295"/>
      <c r="O7" s="295"/>
      <c r="P7" s="295"/>
      <c r="Q7" s="295"/>
    </row>
    <row r="8" spans="1:17" s="25" customFormat="1" ht="15.75" thickBot="1" x14ac:dyDescent="0.3">
      <c r="A8" s="297" t="s">
        <v>83</v>
      </c>
      <c r="B8" s="297"/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  <c r="Q8" s="297"/>
    </row>
    <row r="9" spans="1:17" s="25" customFormat="1" ht="20.25" customHeight="1" x14ac:dyDescent="0.25">
      <c r="A9" s="290" t="s">
        <v>84</v>
      </c>
      <c r="B9" s="290"/>
      <c r="C9" s="290"/>
      <c r="D9" s="290"/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</row>
    <row r="10" spans="1:17" s="25" customFormat="1" ht="69" customHeight="1" x14ac:dyDescent="0.25">
      <c r="A10" s="280" t="s">
        <v>132</v>
      </c>
      <c r="B10" s="280"/>
      <c r="C10" s="280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0"/>
    </row>
    <row r="11" spans="1:17" s="25" customFormat="1" thickBot="1" x14ac:dyDescent="0.35">
      <c r="A11" s="35"/>
      <c r="B11" s="36"/>
      <c r="C11" s="36"/>
      <c r="D11" s="36"/>
      <c r="E11" s="36"/>
      <c r="F11" s="36"/>
      <c r="G11" s="37"/>
      <c r="H11" s="36"/>
      <c r="I11" s="36"/>
      <c r="J11" s="36"/>
      <c r="K11" s="36"/>
      <c r="L11" s="36"/>
      <c r="M11" s="36"/>
      <c r="N11" s="36"/>
      <c r="O11" s="36"/>
      <c r="P11" s="36"/>
      <c r="Q11" s="38"/>
    </row>
    <row r="12" spans="1:17" s="25" customFormat="1" ht="15.75" thickBot="1" x14ac:dyDescent="0.3">
      <c r="A12" s="281" t="s">
        <v>85</v>
      </c>
      <c r="B12" s="281"/>
      <c r="C12" s="281"/>
      <c r="D12" s="281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1"/>
    </row>
    <row r="13" spans="1:17" s="25" customFormat="1" ht="15.75" thickBot="1" x14ac:dyDescent="0.3">
      <c r="A13" s="282" t="s">
        <v>86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282"/>
      <c r="O13" s="283" t="s">
        <v>87</v>
      </c>
      <c r="P13" s="283"/>
      <c r="Q13" s="284" t="s">
        <v>88</v>
      </c>
    </row>
    <row r="14" spans="1:17" s="25" customFormat="1" ht="15.75" thickBot="1" x14ac:dyDescent="0.3">
      <c r="A14" s="39" t="s">
        <v>89</v>
      </c>
      <c r="B14" s="40" t="s">
        <v>90</v>
      </c>
      <c r="C14" s="40" t="s">
        <v>91</v>
      </c>
      <c r="D14" s="40" t="s">
        <v>92</v>
      </c>
      <c r="E14" s="40" t="s">
        <v>93</v>
      </c>
      <c r="F14" s="40" t="s">
        <v>94</v>
      </c>
      <c r="G14" s="41" t="s">
        <v>95</v>
      </c>
      <c r="H14" s="40" t="s">
        <v>96</v>
      </c>
      <c r="I14" s="40" t="s">
        <v>97</v>
      </c>
      <c r="J14" s="40" t="s">
        <v>98</v>
      </c>
      <c r="K14" s="40" t="s">
        <v>98</v>
      </c>
      <c r="L14" s="40" t="s">
        <v>99</v>
      </c>
      <c r="M14" s="42" t="s">
        <v>100</v>
      </c>
      <c r="N14" s="43" t="s">
        <v>101</v>
      </c>
      <c r="O14" s="283"/>
      <c r="P14" s="283"/>
      <c r="Q14" s="284"/>
    </row>
    <row r="15" spans="1:17" s="25" customFormat="1" ht="33.75" customHeight="1" x14ac:dyDescent="0.3">
      <c r="A15" s="27">
        <v>30</v>
      </c>
      <c r="B15" s="28"/>
      <c r="C15" s="28"/>
      <c r="D15" s="28">
        <v>1</v>
      </c>
      <c r="E15" s="28"/>
      <c r="F15" s="28">
        <v>4901</v>
      </c>
      <c r="G15" s="28">
        <v>3</v>
      </c>
      <c r="H15" s="28">
        <v>1</v>
      </c>
      <c r="I15" s="28">
        <v>2</v>
      </c>
      <c r="J15" s="28">
        <v>5</v>
      </c>
      <c r="K15" s="28">
        <v>1</v>
      </c>
      <c r="L15" s="28"/>
      <c r="M15" s="29">
        <v>1</v>
      </c>
      <c r="N15" s="28" t="s">
        <v>111</v>
      </c>
      <c r="O15" s="285" t="s">
        <v>116</v>
      </c>
      <c r="P15" s="285"/>
      <c r="Q15" s="44">
        <f>+'NP FARMACIA'!L23</f>
        <v>90610</v>
      </c>
    </row>
    <row r="16" spans="1:17" s="25" customFormat="1" ht="30" customHeight="1" x14ac:dyDescent="0.25">
      <c r="A16" s="30">
        <v>30</v>
      </c>
      <c r="B16" s="31"/>
      <c r="C16" s="31"/>
      <c r="D16" s="31">
        <v>1</v>
      </c>
      <c r="E16" s="31"/>
      <c r="F16" s="31">
        <v>4901</v>
      </c>
      <c r="G16" s="31">
        <v>3</v>
      </c>
      <c r="H16" s="31">
        <v>1</v>
      </c>
      <c r="I16" s="31">
        <v>2</v>
      </c>
      <c r="J16" s="31">
        <v>5</v>
      </c>
      <c r="K16" s="31">
        <v>2</v>
      </c>
      <c r="L16" s="31"/>
      <c r="M16" s="32">
        <v>1</v>
      </c>
      <c r="N16" s="33" t="s">
        <v>111</v>
      </c>
      <c r="O16" s="286" t="s">
        <v>112</v>
      </c>
      <c r="P16" s="287"/>
      <c r="Q16" s="34">
        <f>+'NP FARMACIA'!L22+'NP LABORATORIO'!K16+'NP BANCO DE SANGRE'!J17</f>
        <v>722760</v>
      </c>
    </row>
    <row r="17" spans="1:17" s="25" customFormat="1" x14ac:dyDescent="0.25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2"/>
      <c r="N17" s="33"/>
      <c r="O17" s="288"/>
      <c r="P17" s="289"/>
      <c r="Q17" s="34"/>
    </row>
    <row r="18" spans="1:17" x14ac:dyDescent="0.25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  <c r="N18" s="33"/>
      <c r="O18" s="279"/>
      <c r="P18" s="279"/>
      <c r="Q18" s="34"/>
    </row>
    <row r="19" spans="1:17" ht="14.45" x14ac:dyDescent="0.3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2"/>
      <c r="N19" s="33"/>
      <c r="O19" s="279"/>
      <c r="P19" s="279"/>
      <c r="Q19" s="34"/>
    </row>
    <row r="20" spans="1:17" ht="14.45" x14ac:dyDescent="0.3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2"/>
      <c r="N20" s="33"/>
      <c r="O20" s="279"/>
      <c r="P20" s="279"/>
      <c r="Q20" s="34"/>
    </row>
    <row r="21" spans="1:17" ht="14.45" x14ac:dyDescent="0.3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2"/>
      <c r="N21" s="33"/>
      <c r="O21" s="279"/>
      <c r="P21" s="279"/>
      <c r="Q21" s="34"/>
    </row>
    <row r="22" spans="1:17" ht="14.45" x14ac:dyDescent="0.3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2"/>
      <c r="N22" s="33"/>
      <c r="O22" s="279"/>
      <c r="P22" s="279"/>
      <c r="Q22" s="34"/>
    </row>
    <row r="23" spans="1:17" ht="14.45" x14ac:dyDescent="0.3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2"/>
      <c r="N23" s="33"/>
      <c r="O23" s="279"/>
      <c r="P23" s="279"/>
      <c r="Q23" s="34"/>
    </row>
    <row r="24" spans="1:17" ht="14.45" x14ac:dyDescent="0.3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2"/>
      <c r="N24" s="33"/>
      <c r="O24" s="279"/>
      <c r="P24" s="279"/>
      <c r="Q24" s="34"/>
    </row>
    <row r="25" spans="1:17" ht="14.45" x14ac:dyDescent="0.3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2"/>
      <c r="N25" s="33"/>
      <c r="O25" s="279"/>
      <c r="P25" s="279"/>
      <c r="Q25" s="34"/>
    </row>
    <row r="26" spans="1:17" ht="14.45" x14ac:dyDescent="0.3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2"/>
      <c r="N26" s="33"/>
      <c r="O26" s="279"/>
      <c r="P26" s="279"/>
      <c r="Q26" s="34"/>
    </row>
    <row r="27" spans="1:17" ht="14.45" x14ac:dyDescent="0.3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2"/>
      <c r="N27" s="33"/>
      <c r="O27" s="279"/>
      <c r="P27" s="279"/>
      <c r="Q27" s="34"/>
    </row>
    <row r="28" spans="1:17" ht="14.45" x14ac:dyDescent="0.3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2"/>
      <c r="N28" s="33"/>
      <c r="O28" s="279"/>
      <c r="P28" s="279"/>
      <c r="Q28" s="34"/>
    </row>
    <row r="29" spans="1:17" ht="14.45" x14ac:dyDescent="0.3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2"/>
      <c r="N29" s="33"/>
      <c r="O29" s="279"/>
      <c r="P29" s="279"/>
      <c r="Q29" s="34"/>
    </row>
    <row r="30" spans="1:17" ht="14.45" x14ac:dyDescent="0.3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2"/>
      <c r="N30" s="33"/>
      <c r="O30" s="279"/>
      <c r="P30" s="279"/>
      <c r="Q30" s="34"/>
    </row>
    <row r="31" spans="1:17" ht="14.45" x14ac:dyDescent="0.3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2"/>
      <c r="N31" s="33"/>
      <c r="O31" s="279"/>
      <c r="P31" s="279"/>
      <c r="Q31" s="34"/>
    </row>
    <row r="32" spans="1:17" ht="14.45" x14ac:dyDescent="0.3">
      <c r="A32" s="30"/>
      <c r="B32" s="31"/>
      <c r="C32" s="31"/>
      <c r="D32" s="31"/>
      <c r="E32" s="31"/>
      <c r="F32" s="33"/>
      <c r="G32" s="31"/>
      <c r="H32" s="31"/>
      <c r="I32" s="31"/>
      <c r="J32" s="31"/>
      <c r="K32" s="31"/>
      <c r="L32" s="31"/>
      <c r="M32" s="32"/>
      <c r="N32" s="33"/>
      <c r="O32" s="274"/>
      <c r="P32" s="274"/>
      <c r="Q32" s="34"/>
    </row>
    <row r="33" spans="1:17" ht="14.45" x14ac:dyDescent="0.3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2"/>
      <c r="N33" s="33"/>
      <c r="O33" s="274"/>
      <c r="P33" s="274"/>
      <c r="Q33" s="34"/>
    </row>
    <row r="34" spans="1:17" ht="14.45" x14ac:dyDescent="0.3">
      <c r="A34" s="30"/>
      <c r="B34" s="31"/>
      <c r="C34" s="31"/>
      <c r="D34" s="31"/>
      <c r="E34" s="31"/>
      <c r="F34" s="33"/>
      <c r="G34" s="31"/>
      <c r="H34" s="31"/>
      <c r="I34" s="31"/>
      <c r="J34" s="31"/>
      <c r="K34" s="31"/>
      <c r="L34" s="31"/>
      <c r="M34" s="32"/>
      <c r="N34" s="33"/>
      <c r="O34" s="274"/>
      <c r="P34" s="274"/>
      <c r="Q34" s="34"/>
    </row>
    <row r="35" spans="1:17" ht="14.45" x14ac:dyDescent="0.3">
      <c r="A35" s="30"/>
      <c r="B35" s="31"/>
      <c r="C35" s="31"/>
      <c r="D35" s="31"/>
      <c r="E35" s="31"/>
      <c r="F35" s="33"/>
      <c r="G35" s="31"/>
      <c r="H35" s="31"/>
      <c r="I35" s="31"/>
      <c r="J35" s="31"/>
      <c r="K35" s="31"/>
      <c r="L35" s="31"/>
      <c r="M35" s="32"/>
      <c r="N35" s="33"/>
      <c r="O35" s="274"/>
      <c r="P35" s="274"/>
      <c r="Q35" s="34"/>
    </row>
    <row r="36" spans="1:17" ht="14.45" x14ac:dyDescent="0.3">
      <c r="A36" s="192"/>
      <c r="B36" s="193"/>
      <c r="C36" s="193"/>
      <c r="D36" s="193"/>
      <c r="E36" s="193"/>
      <c r="F36" s="194"/>
      <c r="G36" s="193"/>
      <c r="H36" s="193"/>
      <c r="I36" s="193"/>
      <c r="J36" s="193"/>
      <c r="K36" s="193"/>
      <c r="L36" s="193"/>
      <c r="M36" s="195"/>
      <c r="N36" s="196"/>
      <c r="O36" s="275"/>
      <c r="P36" s="275"/>
      <c r="Q36" s="34"/>
    </row>
    <row r="37" spans="1:17" thickBot="1" x14ac:dyDescent="0.35">
      <c r="A37" s="197"/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9"/>
      <c r="N37" s="198"/>
      <c r="O37" s="276"/>
      <c r="P37" s="276"/>
      <c r="Q37" s="200"/>
    </row>
    <row r="38" spans="1:17" ht="15.75" thickBot="1" x14ac:dyDescent="0.3">
      <c r="A38" s="277" t="s">
        <v>161</v>
      </c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01">
        <f>SUM(Q15:Q37)</f>
        <v>813370</v>
      </c>
    </row>
    <row r="39" spans="1:17" thickBot="1" x14ac:dyDescent="0.35">
      <c r="A39" s="278"/>
      <c r="B39" s="278"/>
      <c r="C39" s="278"/>
      <c r="D39" s="278"/>
      <c r="E39" s="278"/>
      <c r="F39" s="278"/>
      <c r="G39" s="278"/>
      <c r="H39" s="278"/>
      <c r="I39" s="278"/>
      <c r="J39" s="278"/>
      <c r="K39" s="278"/>
      <c r="L39" s="278"/>
      <c r="M39" s="278"/>
      <c r="N39" s="278"/>
      <c r="O39" s="278"/>
      <c r="P39" s="278"/>
      <c r="Q39" s="278"/>
    </row>
    <row r="40" spans="1:17" ht="15.75" thickBot="1" x14ac:dyDescent="0.3">
      <c r="A40" s="271" t="s">
        <v>102</v>
      </c>
      <c r="B40" s="271"/>
      <c r="C40" s="271"/>
      <c r="D40" s="271"/>
      <c r="E40" s="271"/>
      <c r="F40" s="271"/>
      <c r="G40" s="272"/>
      <c r="H40" s="272"/>
      <c r="I40" s="272"/>
      <c r="J40" s="272"/>
      <c r="K40" s="272"/>
      <c r="L40" s="272"/>
      <c r="M40" s="272"/>
      <c r="N40" s="272"/>
      <c r="O40" s="272"/>
      <c r="P40" s="272"/>
      <c r="Q40" s="272"/>
    </row>
    <row r="41" spans="1:17" ht="15.75" thickBot="1" x14ac:dyDescent="0.3">
      <c r="A41" s="273" t="str">
        <f>'NP FARMACIA'!D8</f>
        <v>ADQUISICION DEL RUBRO ANTISEPTICOS Y DESINFECTANTES</v>
      </c>
      <c r="B41" s="273"/>
      <c r="C41" s="273"/>
      <c r="D41" s="273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273"/>
    </row>
    <row r="42" spans="1:17" ht="15.75" thickBot="1" x14ac:dyDescent="0.3">
      <c r="A42" s="273"/>
      <c r="B42" s="273"/>
      <c r="C42" s="273"/>
      <c r="D42" s="273"/>
      <c r="E42" s="273"/>
      <c r="F42" s="273"/>
      <c r="G42" s="273"/>
      <c r="H42" s="273"/>
      <c r="I42" s="273"/>
      <c r="J42" s="273"/>
      <c r="K42" s="273"/>
      <c r="L42" s="273"/>
      <c r="M42" s="273"/>
      <c r="N42" s="273"/>
      <c r="O42" s="273"/>
      <c r="P42" s="273"/>
      <c r="Q42" s="273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O19"/>
  <sheetViews>
    <sheetView workbookViewId="0">
      <selection activeCell="G25" sqref="G25"/>
    </sheetView>
  </sheetViews>
  <sheetFormatPr baseColWidth="10" defaultRowHeight="15" x14ac:dyDescent="0.25"/>
  <cols>
    <col min="1" max="1" width="5.5703125" style="25" customWidth="1"/>
    <col min="2" max="2" width="15.140625" style="179" customWidth="1"/>
    <col min="3" max="3" width="14.140625" style="25" customWidth="1"/>
    <col min="4" max="4" width="26" style="25" customWidth="1"/>
    <col min="5" max="5" width="8" style="25" customWidth="1"/>
    <col min="6" max="6" width="7.85546875" style="25" customWidth="1"/>
    <col min="7" max="7" width="69.5703125" style="25" customWidth="1"/>
    <col min="8" max="8" width="9.28515625" style="25" customWidth="1"/>
    <col min="9" max="9" width="15.5703125" style="25" customWidth="1"/>
    <col min="10" max="10" width="14.7109375" style="26" customWidth="1"/>
    <col min="11" max="11" width="15.5703125" style="25" customWidth="1"/>
    <col min="12" max="12" width="15.5703125" style="135" customWidth="1"/>
    <col min="13" max="13" width="11.85546875" style="125" bestFit="1" customWidth="1"/>
    <col min="14" max="14" width="13" style="12" bestFit="1" customWidth="1"/>
    <col min="15" max="15" width="11.85546875" style="125" bestFit="1" customWidth="1"/>
  </cols>
  <sheetData>
    <row r="1" spans="1:15" ht="30.75" thickBot="1" x14ac:dyDescent="0.3">
      <c r="A1" s="262" t="s">
        <v>66</v>
      </c>
      <c r="B1" s="262"/>
      <c r="C1" s="262"/>
      <c r="D1" s="262"/>
      <c r="E1" s="262"/>
      <c r="F1" s="262"/>
      <c r="G1" s="262"/>
      <c r="H1" s="262"/>
      <c r="I1" s="262"/>
      <c r="J1" s="136" t="s">
        <v>67</v>
      </c>
      <c r="K1" s="137" t="s">
        <v>118</v>
      </c>
      <c r="L1" s="124"/>
    </row>
    <row r="2" spans="1:15" ht="16.5" thickBot="1" x14ac:dyDescent="0.3">
      <c r="A2" s="138"/>
      <c r="B2" s="166"/>
      <c r="C2" s="139"/>
      <c r="D2" s="23"/>
      <c r="E2" s="23"/>
      <c r="F2" s="23"/>
      <c r="G2" s="23"/>
      <c r="H2" s="23"/>
      <c r="I2" s="23"/>
      <c r="J2" s="140"/>
      <c r="K2" s="141"/>
      <c r="L2" s="126"/>
    </row>
    <row r="3" spans="1:15" ht="16.5" thickBot="1" x14ac:dyDescent="0.3">
      <c r="A3" s="257" t="s">
        <v>68</v>
      </c>
      <c r="B3" s="257"/>
      <c r="C3" s="257"/>
      <c r="D3" s="258" t="str">
        <f>'SAF 011'!C4</f>
        <v>040 - MINISTERIO DE SALUD</v>
      </c>
      <c r="E3" s="258"/>
      <c r="F3" s="258"/>
      <c r="G3" s="258"/>
      <c r="H3" s="258"/>
      <c r="I3" s="258"/>
      <c r="J3" s="258"/>
      <c r="K3" s="258"/>
      <c r="L3" s="127"/>
    </row>
    <row r="4" spans="1:15" ht="16.5" thickBot="1" x14ac:dyDescent="0.3">
      <c r="A4" s="259" t="s">
        <v>69</v>
      </c>
      <c r="B4" s="259"/>
      <c r="C4" s="259"/>
      <c r="D4" s="258" t="str">
        <f>'SAF 011'!C5</f>
        <v>011 - DIRECCION PROVINCIAL DE ADMINISTRACION - MINISTERIO DE SALUD</v>
      </c>
      <c r="E4" s="258"/>
      <c r="F4" s="258"/>
      <c r="G4" s="258"/>
      <c r="H4" s="258"/>
      <c r="I4" s="258"/>
      <c r="J4" s="258"/>
      <c r="K4" s="258"/>
      <c r="L4" s="127"/>
    </row>
    <row r="5" spans="1:15" ht="16.5" thickBot="1" x14ac:dyDescent="0.3">
      <c r="A5" s="259" t="s">
        <v>70</v>
      </c>
      <c r="B5" s="259"/>
      <c r="C5" s="259"/>
      <c r="D5" s="258" t="s">
        <v>125</v>
      </c>
      <c r="E5" s="258"/>
      <c r="F5" s="258"/>
      <c r="G5" s="258"/>
      <c r="H5" s="258"/>
      <c r="I5" s="258"/>
      <c r="J5" s="258"/>
      <c r="K5" s="258"/>
      <c r="L5" s="127"/>
    </row>
    <row r="6" spans="1:15" ht="16.5" thickBot="1" x14ac:dyDescent="0.3">
      <c r="A6" s="257" t="s">
        <v>71</v>
      </c>
      <c r="B6" s="257"/>
      <c r="C6" s="257"/>
      <c r="D6" s="258" t="s">
        <v>125</v>
      </c>
      <c r="E6" s="258"/>
      <c r="F6" s="258"/>
      <c r="G6" s="258"/>
      <c r="H6" s="258"/>
      <c r="I6" s="258"/>
      <c r="J6" s="258"/>
      <c r="K6" s="258"/>
      <c r="L6" s="127"/>
    </row>
    <row r="7" spans="1:15" ht="16.5" thickBot="1" x14ac:dyDescent="0.3">
      <c r="A7" s="259" t="s">
        <v>72</v>
      </c>
      <c r="B7" s="259"/>
      <c r="C7" s="259"/>
      <c r="D7" s="258" t="s">
        <v>175</v>
      </c>
      <c r="E7" s="258"/>
      <c r="F7" s="258"/>
      <c r="G7" s="258"/>
      <c r="H7" s="258"/>
      <c r="I7" s="258"/>
      <c r="J7" s="258"/>
      <c r="K7" s="258"/>
      <c r="L7" s="127"/>
    </row>
    <row r="8" spans="1:15" ht="16.5" thickBot="1" x14ac:dyDescent="0.3">
      <c r="A8" s="260" t="s">
        <v>73</v>
      </c>
      <c r="B8" s="260"/>
      <c r="C8" s="260"/>
      <c r="D8" s="261" t="s">
        <v>113</v>
      </c>
      <c r="E8" s="261"/>
      <c r="F8" s="261"/>
      <c r="G8" s="261"/>
      <c r="H8" s="261"/>
      <c r="I8" s="261"/>
      <c r="J8" s="261"/>
      <c r="K8" s="261"/>
      <c r="L8" s="127"/>
    </row>
    <row r="9" spans="1:15" ht="16.5" thickBot="1" x14ac:dyDescent="0.3">
      <c r="A9" s="142"/>
      <c r="B9" s="167"/>
      <c r="C9" s="143"/>
      <c r="D9" s="24"/>
      <c r="E9" s="24"/>
      <c r="F9" s="24"/>
      <c r="G9" s="24"/>
      <c r="H9" s="24"/>
      <c r="I9" s="24"/>
      <c r="J9" s="144"/>
      <c r="K9" s="145"/>
      <c r="L9" s="127"/>
    </row>
    <row r="10" spans="1:15" ht="15.75" thickBot="1" x14ac:dyDescent="0.3">
      <c r="A10" s="256" t="s">
        <v>74</v>
      </c>
      <c r="B10" s="254" t="s">
        <v>75</v>
      </c>
      <c r="C10" s="254" t="s">
        <v>76</v>
      </c>
      <c r="D10" s="254"/>
      <c r="E10" s="254"/>
      <c r="F10" s="254"/>
      <c r="G10" s="254"/>
      <c r="H10" s="254" t="s">
        <v>77</v>
      </c>
      <c r="I10" s="254" t="s">
        <v>78</v>
      </c>
      <c r="J10" s="255" t="s">
        <v>79</v>
      </c>
      <c r="K10" s="252" t="s">
        <v>80</v>
      </c>
      <c r="L10" s="128"/>
    </row>
    <row r="11" spans="1:15" ht="27" customHeight="1" thickBot="1" x14ac:dyDescent="0.3">
      <c r="A11" s="267"/>
      <c r="B11" s="268"/>
      <c r="C11" s="268"/>
      <c r="D11" s="268"/>
      <c r="E11" s="268"/>
      <c r="F11" s="268"/>
      <c r="G11" s="268"/>
      <c r="H11" s="268"/>
      <c r="I11" s="268"/>
      <c r="J11" s="269"/>
      <c r="K11" s="263"/>
      <c r="L11" s="128"/>
    </row>
    <row r="12" spans="1:15" s="11" customFormat="1" ht="26.25" customHeight="1" x14ac:dyDescent="0.25">
      <c r="A12" s="173">
        <v>1</v>
      </c>
      <c r="B12" s="147" t="str">
        <f>'SAF 011'!B15</f>
        <v>2.5.2-1723.173</v>
      </c>
      <c r="C12" s="264" t="str">
        <f>'SAF 011'!E15</f>
        <v>ANTISEPTICOS LOCALES P/PERSONA; TIPO: MONODROGA, DROGA GENERICA: IODOFORMADA AL 10% , FORMA FARMACEUTICA: GASA, PRESENTACION: DE 10X10, 15 UNIDADES POR PACK</v>
      </c>
      <c r="D12" s="265"/>
      <c r="E12" s="265"/>
      <c r="F12" s="265"/>
      <c r="G12" s="266"/>
      <c r="H12" s="147" t="s">
        <v>115</v>
      </c>
      <c r="I12" s="148" t="str">
        <f>'SAF 011'!F15</f>
        <v>CAJA</v>
      </c>
      <c r="J12" s="149">
        <f>'SAF 011'!AX15</f>
        <v>950</v>
      </c>
      <c r="K12" s="150">
        <f>'SAF 011'!U15</f>
        <v>50</v>
      </c>
      <c r="L12" s="129">
        <v>295</v>
      </c>
      <c r="M12" s="125" t="b">
        <f>B12='SAF 011'!B15</f>
        <v>1</v>
      </c>
      <c r="N12" s="12">
        <f t="shared" ref="N12:N13" si="0">+J12*K12</f>
        <v>47500</v>
      </c>
      <c r="O12" s="125" t="b">
        <f>'SAF 011'!E15=C12</f>
        <v>1</v>
      </c>
    </row>
    <row r="13" spans="1:15" s="11" customFormat="1" ht="26.25" customHeight="1" x14ac:dyDescent="0.25">
      <c r="A13" s="173">
        <v>2</v>
      </c>
      <c r="B13" s="147" t="str">
        <f>'SAF 011'!B19</f>
        <v>2.5.1-9065.27</v>
      </c>
      <c r="C13" s="264" t="str">
        <f>'SAF 011'!E19</f>
        <v>DESINFECTANTES Y DETERGENTES; PRINCIPIO ACTIVO: AMONIO CUATERNARIO, CALIDAD: COMERCIAL, CONCENTRACION/PUREZA: 99 %, PRESENTACION: ENVASE X 5 L</v>
      </c>
      <c r="D13" s="265"/>
      <c r="E13" s="265"/>
      <c r="F13" s="265"/>
      <c r="G13" s="266"/>
      <c r="H13" s="147" t="s">
        <v>115</v>
      </c>
      <c r="I13" s="148" t="str">
        <f>'SAF 011'!F19</f>
        <v>BIDON</v>
      </c>
      <c r="J13" s="149">
        <f>'SAF 011'!AX19</f>
        <v>9229.2000000000007</v>
      </c>
      <c r="K13" s="150">
        <f>'SAF 011'!U19</f>
        <v>50</v>
      </c>
      <c r="L13" s="129">
        <v>251</v>
      </c>
      <c r="M13" s="125" t="b">
        <f>'SAF 011'!B19=B13</f>
        <v>1</v>
      </c>
      <c r="N13" s="12">
        <f t="shared" si="0"/>
        <v>461460.00000000006</v>
      </c>
      <c r="O13" s="125" t="b">
        <f>C13='SAF 011'!E19</f>
        <v>1</v>
      </c>
    </row>
    <row r="14" spans="1:15" ht="16.5" thickBot="1" x14ac:dyDescent="0.3">
      <c r="A14" s="151"/>
      <c r="B14" s="178"/>
      <c r="C14" s="251"/>
      <c r="D14" s="251"/>
      <c r="E14" s="251"/>
      <c r="F14" s="251"/>
      <c r="G14" s="251"/>
      <c r="H14" s="153"/>
      <c r="I14" s="154"/>
      <c r="J14" s="155"/>
      <c r="K14" s="156"/>
      <c r="L14" s="130"/>
    </row>
    <row r="15" spans="1:15" ht="19.5" thickBot="1" x14ac:dyDescent="0.3">
      <c r="A15" s="246" t="s">
        <v>126</v>
      </c>
      <c r="B15" s="246"/>
      <c r="C15" s="246"/>
      <c r="D15" s="246"/>
      <c r="E15" s="246"/>
      <c r="F15" s="246"/>
      <c r="G15" s="246"/>
      <c r="H15" s="246"/>
      <c r="I15" s="246"/>
      <c r="J15" s="270">
        <f>+N15</f>
        <v>508960.00000000006</v>
      </c>
      <c r="K15" s="270"/>
      <c r="L15" s="180"/>
      <c r="N15" s="12">
        <f>SUM(N12:N14)</f>
        <v>508960.00000000006</v>
      </c>
    </row>
    <row r="17" spans="10:12" x14ac:dyDescent="0.25">
      <c r="J17" s="298"/>
      <c r="K17" s="298"/>
      <c r="L17" s="181"/>
    </row>
    <row r="18" spans="10:12" x14ac:dyDescent="0.25">
      <c r="K18" s="134">
        <f>+K12*J12</f>
        <v>47500</v>
      </c>
    </row>
    <row r="19" spans="10:12" x14ac:dyDescent="0.25">
      <c r="K19" s="134">
        <f>+J13*K13</f>
        <v>461460.00000000006</v>
      </c>
    </row>
  </sheetData>
  <mergeCells count="26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K10:K11"/>
    <mergeCell ref="A10:A11"/>
    <mergeCell ref="B10:B11"/>
    <mergeCell ref="C10:G11"/>
    <mergeCell ref="H10:H11"/>
    <mergeCell ref="I10:I11"/>
    <mergeCell ref="J10:J11"/>
    <mergeCell ref="J17:K17"/>
    <mergeCell ref="C14:G14"/>
    <mergeCell ref="A15:I15"/>
    <mergeCell ref="J15:K15"/>
    <mergeCell ref="C12:G12"/>
    <mergeCell ref="C13:G13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Q42"/>
  <sheetViews>
    <sheetView workbookViewId="0">
      <selection activeCell="A10" sqref="A10:Q10"/>
    </sheetView>
  </sheetViews>
  <sheetFormatPr baseColWidth="10" defaultRowHeight="15" x14ac:dyDescent="0.25"/>
  <cols>
    <col min="1" max="5" width="4.42578125" style="25" customWidth="1"/>
    <col min="6" max="6" width="7.85546875" style="25" customWidth="1"/>
    <col min="7" max="14" width="4.42578125" style="25" customWidth="1"/>
    <col min="15" max="15" width="14.85546875" style="25" customWidth="1"/>
    <col min="16" max="16" width="16.7109375" style="25" customWidth="1"/>
    <col min="17" max="17" width="14.7109375" style="26" customWidth="1"/>
  </cols>
  <sheetData>
    <row r="1" spans="1:17" ht="15.75" thickBot="1" x14ac:dyDescent="0.3">
      <c r="A1" s="291" t="s">
        <v>5</v>
      </c>
      <c r="B1" s="291"/>
      <c r="C1" s="291"/>
      <c r="D1" s="292">
        <v>2022</v>
      </c>
      <c r="E1" s="292"/>
      <c r="F1" s="184"/>
      <c r="G1" s="184"/>
      <c r="H1" s="185"/>
      <c r="I1" s="185"/>
      <c r="J1" s="185"/>
      <c r="K1" s="185"/>
      <c r="L1" s="185"/>
      <c r="M1" s="185"/>
      <c r="N1" s="185"/>
      <c r="O1" s="186"/>
      <c r="P1" s="293" t="s">
        <v>81</v>
      </c>
      <c r="Q1" s="293"/>
    </row>
    <row r="2" spans="1:17" ht="15.75" thickBot="1" x14ac:dyDescent="0.3">
      <c r="A2" s="187"/>
      <c r="B2" s="188"/>
      <c r="C2" s="188"/>
      <c r="D2" s="188"/>
      <c r="E2" s="188"/>
      <c r="F2" s="188"/>
      <c r="G2" s="189"/>
      <c r="H2" s="190"/>
      <c r="I2" s="190"/>
      <c r="J2" s="190"/>
      <c r="K2" s="190"/>
      <c r="L2" s="190"/>
      <c r="M2" s="190"/>
      <c r="N2" s="190"/>
      <c r="O2" s="188"/>
      <c r="P2" s="293"/>
      <c r="Q2" s="293"/>
    </row>
    <row r="3" spans="1:17" thickBot="1" x14ac:dyDescent="0.35">
      <c r="A3" s="187"/>
      <c r="B3" s="188"/>
      <c r="C3" s="188"/>
      <c r="D3" s="188"/>
      <c r="E3" s="188"/>
      <c r="F3" s="188"/>
      <c r="G3" s="189"/>
      <c r="H3" s="188"/>
      <c r="I3" s="188"/>
      <c r="J3" s="188"/>
      <c r="K3" s="188"/>
      <c r="L3" s="188"/>
      <c r="M3" s="188"/>
      <c r="N3" s="188"/>
      <c r="O3" s="188"/>
      <c r="P3" s="188"/>
      <c r="Q3" s="202"/>
    </row>
    <row r="4" spans="1:17" ht="15.75" thickBot="1" x14ac:dyDescent="0.3">
      <c r="A4" s="294" t="s">
        <v>82</v>
      </c>
      <c r="B4" s="294"/>
      <c r="C4" s="294"/>
      <c r="D4" s="294"/>
      <c r="E4" s="294"/>
      <c r="F4" s="294"/>
      <c r="G4" s="295" t="str">
        <f>'NP ODONTOLOGIA'!D3</f>
        <v>040 - MINISTERIO DE SALUD</v>
      </c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thickBot="1" x14ac:dyDescent="0.35">
      <c r="A5" s="296" t="s">
        <v>69</v>
      </c>
      <c r="B5" s="296"/>
      <c r="C5" s="296"/>
      <c r="D5" s="296"/>
      <c r="E5" s="296"/>
      <c r="F5" s="296"/>
      <c r="G5" s="295" t="str">
        <f>'NP ODONTOLOGIA'!D4</f>
        <v>011 - DIRECCION PROVINCIAL DE ADMINISTRACION - MINISTERIO DE SALUD</v>
      </c>
      <c r="H5" s="295"/>
      <c r="I5" s="295"/>
      <c r="J5" s="295"/>
      <c r="K5" s="295"/>
      <c r="L5" s="295"/>
      <c r="M5" s="295"/>
      <c r="N5" s="295"/>
      <c r="O5" s="295"/>
      <c r="P5" s="295"/>
      <c r="Q5" s="295"/>
    </row>
    <row r="6" spans="1:17" thickBot="1" x14ac:dyDescent="0.35">
      <c r="A6" s="296" t="s">
        <v>70</v>
      </c>
      <c r="B6" s="296"/>
      <c r="C6" s="296"/>
      <c r="D6" s="296"/>
      <c r="E6" s="296"/>
      <c r="F6" s="296"/>
      <c r="G6" s="295" t="str">
        <f>'NP ODONTOLOGIA'!D5</f>
        <v>DIRECCION PROVINCIAL DE ODONTOLOGIA</v>
      </c>
      <c r="H6" s="295"/>
      <c r="I6" s="295"/>
      <c r="J6" s="295"/>
      <c r="K6" s="295"/>
      <c r="L6" s="295"/>
      <c r="M6" s="295"/>
      <c r="N6" s="295"/>
      <c r="O6" s="295"/>
      <c r="P6" s="295"/>
      <c r="Q6" s="295"/>
    </row>
    <row r="7" spans="1:17" thickBot="1" x14ac:dyDescent="0.35">
      <c r="A7" s="296" t="s">
        <v>71</v>
      </c>
      <c r="B7" s="296"/>
      <c r="C7" s="296"/>
      <c r="D7" s="296"/>
      <c r="E7" s="296"/>
      <c r="F7" s="296"/>
      <c r="G7" s="295" t="str">
        <f>'NP ODONTOLOGIA'!D6</f>
        <v>DIRECCION PROVINCIAL DE ODONTOLOGIA</v>
      </c>
      <c r="H7" s="295"/>
      <c r="I7" s="295"/>
      <c r="J7" s="295"/>
      <c r="K7" s="295"/>
      <c r="L7" s="295"/>
      <c r="M7" s="295"/>
      <c r="N7" s="295"/>
      <c r="O7" s="295"/>
      <c r="P7" s="295"/>
      <c r="Q7" s="295"/>
    </row>
    <row r="8" spans="1:17" ht="15.75" thickBot="1" x14ac:dyDescent="0.3">
      <c r="A8" s="297" t="s">
        <v>83</v>
      </c>
      <c r="B8" s="297"/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  <c r="Q8" s="297"/>
    </row>
    <row r="9" spans="1:17" ht="20.25" customHeight="1" x14ac:dyDescent="0.25">
      <c r="A9" s="290" t="s">
        <v>84</v>
      </c>
      <c r="B9" s="290"/>
      <c r="C9" s="290"/>
      <c r="D9" s="290"/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</row>
    <row r="10" spans="1:17" ht="69" customHeight="1" x14ac:dyDescent="0.25">
      <c r="A10" s="280" t="s">
        <v>119</v>
      </c>
      <c r="B10" s="280"/>
      <c r="C10" s="280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0"/>
    </row>
    <row r="11" spans="1:17" thickBot="1" x14ac:dyDescent="0.35">
      <c r="A11" s="35"/>
      <c r="B11" s="36"/>
      <c r="C11" s="36"/>
      <c r="D11" s="36"/>
      <c r="E11" s="36"/>
      <c r="F11" s="36"/>
      <c r="G11" s="37"/>
      <c r="H11" s="36"/>
      <c r="I11" s="36"/>
      <c r="J11" s="36"/>
      <c r="K11" s="36"/>
      <c r="L11" s="36"/>
      <c r="M11" s="36"/>
      <c r="N11" s="36"/>
      <c r="O11" s="36"/>
      <c r="P11" s="36"/>
      <c r="Q11" s="203"/>
    </row>
    <row r="12" spans="1:17" ht="15.75" thickBot="1" x14ac:dyDescent="0.3">
      <c r="A12" s="281" t="s">
        <v>85</v>
      </c>
      <c r="B12" s="281"/>
      <c r="C12" s="281"/>
      <c r="D12" s="281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1"/>
    </row>
    <row r="13" spans="1:17" ht="15.75" thickBot="1" x14ac:dyDescent="0.3">
      <c r="A13" s="282" t="s">
        <v>86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282"/>
      <c r="O13" s="283" t="s">
        <v>87</v>
      </c>
      <c r="P13" s="283"/>
      <c r="Q13" s="299" t="s">
        <v>88</v>
      </c>
    </row>
    <row r="14" spans="1:17" ht="15.75" thickBot="1" x14ac:dyDescent="0.3">
      <c r="A14" s="39" t="s">
        <v>89</v>
      </c>
      <c r="B14" s="40" t="s">
        <v>90</v>
      </c>
      <c r="C14" s="40" t="s">
        <v>91</v>
      </c>
      <c r="D14" s="40" t="s">
        <v>92</v>
      </c>
      <c r="E14" s="40" t="s">
        <v>93</v>
      </c>
      <c r="F14" s="40" t="s">
        <v>94</v>
      </c>
      <c r="G14" s="41" t="s">
        <v>95</v>
      </c>
      <c r="H14" s="40" t="s">
        <v>96</v>
      </c>
      <c r="I14" s="40" t="s">
        <v>97</v>
      </c>
      <c r="J14" s="40" t="s">
        <v>98</v>
      </c>
      <c r="K14" s="40" t="s">
        <v>98</v>
      </c>
      <c r="L14" s="40" t="s">
        <v>99</v>
      </c>
      <c r="M14" s="42" t="s">
        <v>100</v>
      </c>
      <c r="N14" s="43" t="s">
        <v>101</v>
      </c>
      <c r="O14" s="283"/>
      <c r="P14" s="283"/>
      <c r="Q14" s="299"/>
    </row>
    <row r="15" spans="1:17" ht="33.75" customHeight="1" x14ac:dyDescent="0.3">
      <c r="A15" s="27">
        <v>29</v>
      </c>
      <c r="B15" s="28"/>
      <c r="C15" s="28"/>
      <c r="D15" s="28">
        <v>1</v>
      </c>
      <c r="E15" s="28"/>
      <c r="F15" s="28">
        <v>4901</v>
      </c>
      <c r="G15" s="28">
        <v>3</v>
      </c>
      <c r="H15" s="28">
        <v>1</v>
      </c>
      <c r="I15" s="28">
        <v>2</v>
      </c>
      <c r="J15" s="28">
        <v>5</v>
      </c>
      <c r="K15" s="28">
        <v>1</v>
      </c>
      <c r="L15" s="28"/>
      <c r="M15" s="29">
        <v>1</v>
      </c>
      <c r="N15" s="28" t="s">
        <v>111</v>
      </c>
      <c r="O15" s="285" t="s">
        <v>116</v>
      </c>
      <c r="P15" s="285"/>
      <c r="Q15" s="204">
        <f>'NP ODONTOLOGIA'!N13</f>
        <v>461460.00000000006</v>
      </c>
    </row>
    <row r="16" spans="1:17" ht="30" customHeight="1" x14ac:dyDescent="0.25">
      <c r="A16" s="30">
        <v>29</v>
      </c>
      <c r="B16" s="31"/>
      <c r="C16" s="31"/>
      <c r="D16" s="31">
        <v>1</v>
      </c>
      <c r="E16" s="31"/>
      <c r="F16" s="31">
        <v>4901</v>
      </c>
      <c r="G16" s="31">
        <v>3</v>
      </c>
      <c r="H16" s="31">
        <v>1</v>
      </c>
      <c r="I16" s="31">
        <v>2</v>
      </c>
      <c r="J16" s="31">
        <v>9</v>
      </c>
      <c r="K16" s="31">
        <v>5</v>
      </c>
      <c r="L16" s="31"/>
      <c r="M16" s="32">
        <v>1</v>
      </c>
      <c r="N16" s="33" t="s">
        <v>111</v>
      </c>
      <c r="O16" s="286" t="s">
        <v>164</v>
      </c>
      <c r="P16" s="287"/>
      <c r="Q16" s="205">
        <f>'NP ODONTOLOGIA'!N12</f>
        <v>47500</v>
      </c>
    </row>
    <row r="17" spans="1:17" ht="14.45" x14ac:dyDescent="0.3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2"/>
      <c r="N17" s="33"/>
      <c r="O17" s="300"/>
      <c r="P17" s="300"/>
      <c r="Q17" s="205"/>
    </row>
    <row r="18" spans="1:17" ht="14.45" x14ac:dyDescent="0.3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  <c r="N18" s="33"/>
      <c r="O18" s="279"/>
      <c r="P18" s="279"/>
      <c r="Q18" s="205"/>
    </row>
    <row r="19" spans="1:17" ht="14.45" x14ac:dyDescent="0.3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2"/>
      <c r="N19" s="33"/>
      <c r="O19" s="279"/>
      <c r="P19" s="279"/>
      <c r="Q19" s="205"/>
    </row>
    <row r="20" spans="1:17" ht="14.45" x14ac:dyDescent="0.3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2"/>
      <c r="N20" s="33"/>
      <c r="O20" s="279"/>
      <c r="P20" s="279"/>
      <c r="Q20" s="205"/>
    </row>
    <row r="21" spans="1:17" ht="14.45" x14ac:dyDescent="0.3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2"/>
      <c r="N21" s="33"/>
      <c r="O21" s="279"/>
      <c r="P21" s="279"/>
      <c r="Q21" s="205"/>
    </row>
    <row r="22" spans="1:17" ht="14.45" x14ac:dyDescent="0.3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2"/>
      <c r="N22" s="33"/>
      <c r="O22" s="279"/>
      <c r="P22" s="279"/>
      <c r="Q22" s="205"/>
    </row>
    <row r="23" spans="1:17" ht="14.45" x14ac:dyDescent="0.3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2"/>
      <c r="N23" s="33"/>
      <c r="O23" s="279"/>
      <c r="P23" s="279"/>
      <c r="Q23" s="205"/>
    </row>
    <row r="24" spans="1:17" ht="14.45" x14ac:dyDescent="0.3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2"/>
      <c r="N24" s="33"/>
      <c r="O24" s="279"/>
      <c r="P24" s="279"/>
      <c r="Q24" s="205"/>
    </row>
    <row r="25" spans="1:17" ht="14.45" x14ac:dyDescent="0.3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2"/>
      <c r="N25" s="33"/>
      <c r="O25" s="279"/>
      <c r="P25" s="279"/>
      <c r="Q25" s="205"/>
    </row>
    <row r="26" spans="1:17" ht="14.45" x14ac:dyDescent="0.3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2"/>
      <c r="N26" s="33"/>
      <c r="O26" s="279"/>
      <c r="P26" s="279"/>
      <c r="Q26" s="205"/>
    </row>
    <row r="27" spans="1:17" ht="14.45" x14ac:dyDescent="0.3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2"/>
      <c r="N27" s="33"/>
      <c r="O27" s="279"/>
      <c r="P27" s="279"/>
      <c r="Q27" s="205"/>
    </row>
    <row r="28" spans="1:17" ht="14.45" x14ac:dyDescent="0.3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2"/>
      <c r="N28" s="33"/>
      <c r="O28" s="279"/>
      <c r="P28" s="279"/>
      <c r="Q28" s="205"/>
    </row>
    <row r="29" spans="1:17" ht="14.45" x14ac:dyDescent="0.3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2"/>
      <c r="N29" s="33"/>
      <c r="O29" s="279"/>
      <c r="P29" s="279"/>
      <c r="Q29" s="205"/>
    </row>
    <row r="30" spans="1:17" ht="14.45" x14ac:dyDescent="0.3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2"/>
      <c r="N30" s="33"/>
      <c r="O30" s="279"/>
      <c r="P30" s="279"/>
      <c r="Q30" s="205"/>
    </row>
    <row r="31" spans="1:17" ht="14.45" x14ac:dyDescent="0.3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2"/>
      <c r="N31" s="33"/>
      <c r="O31" s="279"/>
      <c r="P31" s="279"/>
      <c r="Q31" s="205"/>
    </row>
    <row r="32" spans="1:17" ht="14.45" x14ac:dyDescent="0.3">
      <c r="A32" s="30"/>
      <c r="B32" s="31"/>
      <c r="C32" s="31"/>
      <c r="D32" s="31"/>
      <c r="E32" s="31"/>
      <c r="F32" s="33"/>
      <c r="G32" s="31"/>
      <c r="H32" s="31"/>
      <c r="I32" s="31"/>
      <c r="J32" s="31"/>
      <c r="K32" s="31"/>
      <c r="L32" s="31"/>
      <c r="M32" s="32"/>
      <c r="N32" s="33"/>
      <c r="O32" s="274"/>
      <c r="P32" s="274"/>
      <c r="Q32" s="205"/>
    </row>
    <row r="33" spans="1:17" ht="14.45" x14ac:dyDescent="0.3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2"/>
      <c r="N33" s="33"/>
      <c r="O33" s="274"/>
      <c r="P33" s="274"/>
      <c r="Q33" s="205"/>
    </row>
    <row r="34" spans="1:17" ht="14.45" x14ac:dyDescent="0.3">
      <c r="A34" s="30"/>
      <c r="B34" s="31"/>
      <c r="C34" s="31"/>
      <c r="D34" s="31"/>
      <c r="E34" s="31"/>
      <c r="F34" s="33"/>
      <c r="G34" s="31"/>
      <c r="H34" s="31"/>
      <c r="I34" s="31"/>
      <c r="J34" s="31"/>
      <c r="K34" s="31"/>
      <c r="L34" s="31"/>
      <c r="M34" s="32"/>
      <c r="N34" s="33"/>
      <c r="O34" s="274"/>
      <c r="P34" s="274"/>
      <c r="Q34" s="205"/>
    </row>
    <row r="35" spans="1:17" x14ac:dyDescent="0.25">
      <c r="A35" s="30"/>
      <c r="B35" s="31"/>
      <c r="C35" s="31"/>
      <c r="D35" s="31"/>
      <c r="E35" s="31"/>
      <c r="F35" s="33"/>
      <c r="G35" s="31"/>
      <c r="H35" s="31"/>
      <c r="I35" s="31"/>
      <c r="J35" s="31"/>
      <c r="K35" s="31"/>
      <c r="L35" s="31"/>
      <c r="M35" s="32"/>
      <c r="N35" s="33"/>
      <c r="O35" s="274"/>
      <c r="P35" s="274"/>
      <c r="Q35" s="205"/>
    </row>
    <row r="36" spans="1:17" x14ac:dyDescent="0.25">
      <c r="A36" s="192"/>
      <c r="B36" s="193"/>
      <c r="C36" s="193"/>
      <c r="D36" s="193"/>
      <c r="E36" s="193"/>
      <c r="F36" s="194"/>
      <c r="G36" s="193"/>
      <c r="H36" s="193"/>
      <c r="I36" s="193"/>
      <c r="J36" s="193"/>
      <c r="K36" s="193"/>
      <c r="L36" s="193"/>
      <c r="M36" s="195"/>
      <c r="N36" s="196"/>
      <c r="O36" s="275"/>
      <c r="P36" s="275"/>
      <c r="Q36" s="205"/>
    </row>
    <row r="37" spans="1:17" ht="15.75" thickBot="1" x14ac:dyDescent="0.3">
      <c r="A37" s="197"/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9"/>
      <c r="N37" s="198"/>
      <c r="O37" s="276"/>
      <c r="P37" s="276"/>
      <c r="Q37" s="206"/>
    </row>
    <row r="38" spans="1:17" ht="15.75" thickBot="1" x14ac:dyDescent="0.3">
      <c r="A38" s="277" t="s">
        <v>127</v>
      </c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07">
        <f>SUM(Q15:Q37)</f>
        <v>508960.00000000006</v>
      </c>
    </row>
    <row r="39" spans="1:17" ht="15.75" thickBot="1" x14ac:dyDescent="0.3">
      <c r="A39" s="278"/>
      <c r="B39" s="278"/>
      <c r="C39" s="278"/>
      <c r="D39" s="278"/>
      <c r="E39" s="278"/>
      <c r="F39" s="278"/>
      <c r="G39" s="278"/>
      <c r="H39" s="278"/>
      <c r="I39" s="278"/>
      <c r="J39" s="278"/>
      <c r="K39" s="278"/>
      <c r="L39" s="278"/>
      <c r="M39" s="278"/>
      <c r="N39" s="278"/>
      <c r="O39" s="278"/>
      <c r="P39" s="278"/>
      <c r="Q39" s="278"/>
    </row>
    <row r="40" spans="1:17" ht="15.75" thickBot="1" x14ac:dyDescent="0.3">
      <c r="A40" s="271" t="s">
        <v>102</v>
      </c>
      <c r="B40" s="271"/>
      <c r="C40" s="271"/>
      <c r="D40" s="271"/>
      <c r="E40" s="271"/>
      <c r="F40" s="271"/>
      <c r="G40" s="272"/>
      <c r="H40" s="272"/>
      <c r="I40" s="272"/>
      <c r="J40" s="272"/>
      <c r="K40" s="272"/>
      <c r="L40" s="272"/>
      <c r="M40" s="272"/>
      <c r="N40" s="272"/>
      <c r="O40" s="272"/>
      <c r="P40" s="272"/>
      <c r="Q40" s="272"/>
    </row>
    <row r="41" spans="1:17" ht="15.75" thickBot="1" x14ac:dyDescent="0.3">
      <c r="A41" s="273" t="str">
        <f>'NP ODONTOLOGIA'!D8</f>
        <v>ADQUISICION DEL RUBRO ANTISEPTICOS Y DESINFECTANTES</v>
      </c>
      <c r="B41" s="273"/>
      <c r="C41" s="273"/>
      <c r="D41" s="273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273"/>
    </row>
    <row r="42" spans="1:17" ht="15.75" thickBot="1" x14ac:dyDescent="0.3">
      <c r="A42" s="273"/>
      <c r="B42" s="273"/>
      <c r="C42" s="273"/>
      <c r="D42" s="273"/>
      <c r="E42" s="273"/>
      <c r="F42" s="273"/>
      <c r="G42" s="273"/>
      <c r="H42" s="273"/>
      <c r="I42" s="273"/>
      <c r="J42" s="273"/>
      <c r="K42" s="273"/>
      <c r="L42" s="273"/>
      <c r="M42" s="273"/>
      <c r="N42" s="273"/>
      <c r="O42" s="273"/>
      <c r="P42" s="273"/>
      <c r="Q42" s="273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M15"/>
  <sheetViews>
    <sheetView workbookViewId="0">
      <selection activeCell="G26" sqref="G26"/>
    </sheetView>
  </sheetViews>
  <sheetFormatPr baseColWidth="10" defaultRowHeight="15" x14ac:dyDescent="0.25"/>
  <cols>
    <col min="1" max="1" width="5.5703125" style="25" customWidth="1"/>
    <col min="2" max="2" width="15.140625" style="179" customWidth="1"/>
    <col min="3" max="3" width="14.140625" style="25" customWidth="1"/>
    <col min="4" max="4" width="26" style="25" customWidth="1"/>
    <col min="5" max="5" width="8" style="25" customWidth="1"/>
    <col min="6" max="6" width="7.85546875" style="25" customWidth="1"/>
    <col min="7" max="7" width="59.85546875" style="25" customWidth="1"/>
    <col min="8" max="8" width="9.28515625" style="25" customWidth="1"/>
    <col min="9" max="9" width="15.5703125" style="25" customWidth="1"/>
    <col min="10" max="10" width="14.7109375" style="26" customWidth="1"/>
    <col min="11" max="11" width="15.5703125" style="25" customWidth="1"/>
    <col min="12" max="12" width="11.42578125" style="135"/>
    <col min="13" max="13" width="13" style="12" bestFit="1" customWidth="1"/>
  </cols>
  <sheetData>
    <row r="1" spans="1:13" ht="30.75" thickBot="1" x14ac:dyDescent="0.3">
      <c r="A1" s="262" t="s">
        <v>66</v>
      </c>
      <c r="B1" s="262"/>
      <c r="C1" s="262"/>
      <c r="D1" s="262"/>
      <c r="E1" s="262"/>
      <c r="F1" s="262"/>
      <c r="G1" s="262"/>
      <c r="H1" s="262"/>
      <c r="I1" s="262"/>
      <c r="J1" s="136" t="s">
        <v>67</v>
      </c>
      <c r="K1" s="137" t="s">
        <v>121</v>
      </c>
    </row>
    <row r="2" spans="1:13" ht="16.5" thickBot="1" x14ac:dyDescent="0.3">
      <c r="A2" s="138"/>
      <c r="B2" s="166"/>
      <c r="C2" s="139"/>
      <c r="D2" s="23"/>
      <c r="E2" s="23"/>
      <c r="F2" s="23"/>
      <c r="G2" s="23"/>
      <c r="H2" s="23"/>
      <c r="I2" s="23"/>
      <c r="J2" s="140"/>
      <c r="K2" s="141"/>
    </row>
    <row r="3" spans="1:13" ht="16.5" thickBot="1" x14ac:dyDescent="0.3">
      <c r="A3" s="257" t="s">
        <v>68</v>
      </c>
      <c r="B3" s="257"/>
      <c r="C3" s="257"/>
      <c r="D3" s="258" t="str">
        <f>'SAF 011'!C4</f>
        <v>040 - MINISTERIO DE SALUD</v>
      </c>
      <c r="E3" s="258"/>
      <c r="F3" s="258"/>
      <c r="G3" s="258"/>
      <c r="H3" s="258"/>
      <c r="I3" s="258"/>
      <c r="J3" s="258"/>
      <c r="K3" s="258"/>
    </row>
    <row r="4" spans="1:13" ht="16.5" thickBot="1" x14ac:dyDescent="0.3">
      <c r="A4" s="259" t="s">
        <v>69</v>
      </c>
      <c r="B4" s="259"/>
      <c r="C4" s="259"/>
      <c r="D4" s="258" t="str">
        <f>'SAF 011'!C5</f>
        <v>011 - DIRECCION PROVINCIAL DE ADMINISTRACION - MINISTERIO DE SALUD</v>
      </c>
      <c r="E4" s="258"/>
      <c r="F4" s="258"/>
      <c r="G4" s="258"/>
      <c r="H4" s="258"/>
      <c r="I4" s="258"/>
      <c r="J4" s="258"/>
      <c r="K4" s="258"/>
    </row>
    <row r="5" spans="1:13" ht="16.5" thickBot="1" x14ac:dyDescent="0.3">
      <c r="A5" s="259" t="s">
        <v>70</v>
      </c>
      <c r="B5" s="259"/>
      <c r="C5" s="259"/>
      <c r="D5" s="258" t="s">
        <v>128</v>
      </c>
      <c r="E5" s="258"/>
      <c r="F5" s="258"/>
      <c r="G5" s="258"/>
      <c r="H5" s="258"/>
      <c r="I5" s="258"/>
      <c r="J5" s="258"/>
      <c r="K5" s="258"/>
    </row>
    <row r="6" spans="1:13" ht="16.5" thickBot="1" x14ac:dyDescent="0.3">
      <c r="A6" s="257" t="s">
        <v>71</v>
      </c>
      <c r="B6" s="257"/>
      <c r="C6" s="257"/>
      <c r="D6" s="258" t="s">
        <v>128</v>
      </c>
      <c r="E6" s="258"/>
      <c r="F6" s="258"/>
      <c r="G6" s="258"/>
      <c r="H6" s="258"/>
      <c r="I6" s="258"/>
      <c r="J6" s="258"/>
      <c r="K6" s="258"/>
    </row>
    <row r="7" spans="1:13" ht="16.5" thickBot="1" x14ac:dyDescent="0.3">
      <c r="A7" s="259" t="s">
        <v>72</v>
      </c>
      <c r="B7" s="259"/>
      <c r="C7" s="259"/>
      <c r="D7" s="258" t="s">
        <v>175</v>
      </c>
      <c r="E7" s="258"/>
      <c r="F7" s="258"/>
      <c r="G7" s="258"/>
      <c r="H7" s="258"/>
      <c r="I7" s="258"/>
      <c r="J7" s="258"/>
      <c r="K7" s="258"/>
    </row>
    <row r="8" spans="1:13" ht="16.5" thickBot="1" x14ac:dyDescent="0.3">
      <c r="A8" s="260" t="s">
        <v>73</v>
      </c>
      <c r="B8" s="260"/>
      <c r="C8" s="260"/>
      <c r="D8" s="261" t="s">
        <v>113</v>
      </c>
      <c r="E8" s="261"/>
      <c r="F8" s="261"/>
      <c r="G8" s="261"/>
      <c r="H8" s="261"/>
      <c r="I8" s="261"/>
      <c r="J8" s="261"/>
      <c r="K8" s="261"/>
    </row>
    <row r="9" spans="1:13" ht="16.5" thickBot="1" x14ac:dyDescent="0.3">
      <c r="A9" s="142"/>
      <c r="B9" s="167"/>
      <c r="C9" s="143"/>
      <c r="D9" s="24"/>
      <c r="E9" s="24"/>
      <c r="F9" s="24"/>
      <c r="G9" s="24"/>
      <c r="H9" s="24"/>
      <c r="I9" s="24"/>
      <c r="J9" s="144"/>
      <c r="K9" s="145"/>
    </row>
    <row r="10" spans="1:13" ht="15.75" thickBot="1" x14ac:dyDescent="0.3">
      <c r="A10" s="256" t="s">
        <v>74</v>
      </c>
      <c r="B10" s="254" t="s">
        <v>75</v>
      </c>
      <c r="C10" s="254" t="s">
        <v>76</v>
      </c>
      <c r="D10" s="254"/>
      <c r="E10" s="254"/>
      <c r="F10" s="254"/>
      <c r="G10" s="254"/>
      <c r="H10" s="254" t="s">
        <v>77</v>
      </c>
      <c r="I10" s="254" t="s">
        <v>78</v>
      </c>
      <c r="J10" s="255" t="s">
        <v>79</v>
      </c>
      <c r="K10" s="252" t="s">
        <v>80</v>
      </c>
    </row>
    <row r="11" spans="1:13" ht="23.25" customHeight="1" thickBot="1" x14ac:dyDescent="0.3">
      <c r="A11" s="267"/>
      <c r="B11" s="268"/>
      <c r="C11" s="268"/>
      <c r="D11" s="268"/>
      <c r="E11" s="268"/>
      <c r="F11" s="268"/>
      <c r="G11" s="268"/>
      <c r="H11" s="268"/>
      <c r="I11" s="268"/>
      <c r="J11" s="269"/>
      <c r="K11" s="263"/>
    </row>
    <row r="12" spans="1:13" s="11" customFormat="1" ht="24.75" customHeight="1" x14ac:dyDescent="0.25">
      <c r="A12" s="146">
        <v>1</v>
      </c>
      <c r="B12" s="147" t="str">
        <f>'SAF 011'!B10</f>
        <v>2.5.2-710.4</v>
      </c>
      <c r="C12" s="264" t="str">
        <f>'SAF 011'!E10</f>
        <v>AGUA OXIGENADA; CAPACIDAD: 1000 CM3, VOLUMEN: 10, PRESENTACION: ENVASE X 1000 CM3</v>
      </c>
      <c r="D12" s="265"/>
      <c r="E12" s="265"/>
      <c r="F12" s="265"/>
      <c r="G12" s="266"/>
      <c r="H12" s="147" t="s">
        <v>115</v>
      </c>
      <c r="I12" s="148" t="str">
        <f>'SAF 011'!F10</f>
        <v>BOTELLA</v>
      </c>
      <c r="J12" s="149">
        <f>'SAF 011'!AX10</f>
        <v>128.59</v>
      </c>
      <c r="K12" s="150">
        <f>'SAF 011'!W10</f>
        <v>30</v>
      </c>
      <c r="L12" s="135">
        <v>252</v>
      </c>
      <c r="M12" s="12">
        <f t="shared" ref="M12:M13" si="0">+J12*K12</f>
        <v>3857.7000000000003</v>
      </c>
    </row>
    <row r="13" spans="1:13" s="11" customFormat="1" ht="24.75" customHeight="1" x14ac:dyDescent="0.25">
      <c r="A13" s="173">
        <v>2</v>
      </c>
      <c r="B13" s="174" t="str">
        <f>'SAF 011'!B14</f>
        <v>2.5.2-1723.50</v>
      </c>
      <c r="C13" s="248" t="str">
        <f>'SAF 011'!E14</f>
        <v>ANTISEPTICOS LOCALES P/PERSONA; DROGA GENERICA: IODOPOVIDONA 10%, FORMA FARMACEUTICA: SOLUCION, PRESENTACION: ENVASE X 1 L, TIPO: MONODROGA</v>
      </c>
      <c r="D13" s="249"/>
      <c r="E13" s="249"/>
      <c r="F13" s="249"/>
      <c r="G13" s="250"/>
      <c r="H13" s="174" t="s">
        <v>115</v>
      </c>
      <c r="I13" s="175" t="str">
        <f>'SAF 011'!F14</f>
        <v>BOTELLA</v>
      </c>
      <c r="J13" s="176">
        <f>'SAF 011'!AX14</f>
        <v>573</v>
      </c>
      <c r="K13" s="177">
        <f>'SAF 011'!W14</f>
        <v>15</v>
      </c>
      <c r="L13" s="135">
        <v>252</v>
      </c>
      <c r="M13" s="12">
        <f t="shared" si="0"/>
        <v>8595</v>
      </c>
    </row>
    <row r="14" spans="1:13" ht="16.5" thickBot="1" x14ac:dyDescent="0.3">
      <c r="A14" s="151"/>
      <c r="B14" s="178"/>
      <c r="C14" s="251"/>
      <c r="D14" s="251"/>
      <c r="E14" s="251"/>
      <c r="F14" s="251"/>
      <c r="G14" s="251"/>
      <c r="H14" s="153"/>
      <c r="I14" s="154"/>
      <c r="J14" s="155"/>
      <c r="K14" s="156"/>
    </row>
    <row r="15" spans="1:13" ht="19.5" thickBot="1" x14ac:dyDescent="0.3">
      <c r="A15" s="246" t="s">
        <v>129</v>
      </c>
      <c r="B15" s="246"/>
      <c r="C15" s="246"/>
      <c r="D15" s="246"/>
      <c r="E15" s="246"/>
      <c r="F15" s="246"/>
      <c r="G15" s="246"/>
      <c r="H15" s="246"/>
      <c r="I15" s="246"/>
      <c r="J15" s="270">
        <f>+M15</f>
        <v>12452.7</v>
      </c>
      <c r="K15" s="270"/>
      <c r="M15" s="12">
        <f>SUM(M12:M14)</f>
        <v>12452.7</v>
      </c>
    </row>
  </sheetData>
  <mergeCells count="25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4:G14"/>
    <mergeCell ref="A15:I15"/>
    <mergeCell ref="J15:K15"/>
    <mergeCell ref="C13:G13"/>
    <mergeCell ref="K10:K11"/>
    <mergeCell ref="C12:G12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Q41"/>
  <sheetViews>
    <sheetView workbookViewId="0">
      <selection activeCell="R34" sqref="R34"/>
    </sheetView>
  </sheetViews>
  <sheetFormatPr baseColWidth="10" defaultRowHeight="15" x14ac:dyDescent="0.25"/>
  <cols>
    <col min="1" max="5" width="4.42578125" style="25" customWidth="1"/>
    <col min="6" max="6" width="7.85546875" style="25" customWidth="1"/>
    <col min="7" max="14" width="4.42578125" style="25" customWidth="1"/>
    <col min="15" max="16" width="14.85546875" style="25" customWidth="1"/>
    <col min="17" max="17" width="14.7109375" style="25" customWidth="1"/>
  </cols>
  <sheetData>
    <row r="1" spans="1:17" ht="15.75" thickBot="1" x14ac:dyDescent="0.3">
      <c r="A1" s="291" t="s">
        <v>5</v>
      </c>
      <c r="B1" s="291"/>
      <c r="C1" s="291"/>
      <c r="D1" s="292">
        <v>2022</v>
      </c>
      <c r="E1" s="292"/>
      <c r="F1" s="184"/>
      <c r="G1" s="184"/>
      <c r="H1" s="185"/>
      <c r="I1" s="185"/>
      <c r="J1" s="185"/>
      <c r="K1" s="185"/>
      <c r="L1" s="185"/>
      <c r="M1" s="185"/>
      <c r="N1" s="185"/>
      <c r="O1" s="186"/>
      <c r="P1" s="293" t="s">
        <v>81</v>
      </c>
      <c r="Q1" s="293"/>
    </row>
    <row r="2" spans="1:17" ht="15.75" thickBot="1" x14ac:dyDescent="0.3">
      <c r="A2" s="187"/>
      <c r="B2" s="188"/>
      <c r="C2" s="188"/>
      <c r="D2" s="188"/>
      <c r="E2" s="188"/>
      <c r="F2" s="188"/>
      <c r="G2" s="189"/>
      <c r="H2" s="190"/>
      <c r="I2" s="190"/>
      <c r="J2" s="190"/>
      <c r="K2" s="190"/>
      <c r="L2" s="190"/>
      <c r="M2" s="190"/>
      <c r="N2" s="190"/>
      <c r="O2" s="188"/>
      <c r="P2" s="293"/>
      <c r="Q2" s="293"/>
    </row>
    <row r="3" spans="1:17" thickBot="1" x14ac:dyDescent="0.35">
      <c r="A3" s="187"/>
      <c r="B3" s="188"/>
      <c r="C3" s="188"/>
      <c r="D3" s="188"/>
      <c r="E3" s="188"/>
      <c r="F3" s="188"/>
      <c r="G3" s="189"/>
      <c r="H3" s="188"/>
      <c r="I3" s="188"/>
      <c r="J3" s="188"/>
      <c r="K3" s="188"/>
      <c r="L3" s="188"/>
      <c r="M3" s="188"/>
      <c r="N3" s="188"/>
      <c r="O3" s="188"/>
      <c r="P3" s="188"/>
      <c r="Q3" s="191"/>
    </row>
    <row r="4" spans="1:17" ht="15.75" thickBot="1" x14ac:dyDescent="0.3">
      <c r="A4" s="294" t="s">
        <v>82</v>
      </c>
      <c r="B4" s="294"/>
      <c r="C4" s="294"/>
      <c r="D4" s="294"/>
      <c r="E4" s="294"/>
      <c r="F4" s="294"/>
      <c r="G4" s="295" t="str">
        <f>'NP SAME'!D3</f>
        <v>040 - MINISTERIO DE SALUD</v>
      </c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thickBot="1" x14ac:dyDescent="0.35">
      <c r="A5" s="296" t="s">
        <v>69</v>
      </c>
      <c r="B5" s="296"/>
      <c r="C5" s="296"/>
      <c r="D5" s="296"/>
      <c r="E5" s="296"/>
      <c r="F5" s="296"/>
      <c r="G5" s="295" t="str">
        <f>'NP SAME'!D4</f>
        <v>011 - DIRECCION PROVINCIAL DE ADMINISTRACION - MINISTERIO DE SALUD</v>
      </c>
      <c r="H5" s="295"/>
      <c r="I5" s="295"/>
      <c r="J5" s="295"/>
      <c r="K5" s="295"/>
      <c r="L5" s="295"/>
      <c r="M5" s="295"/>
      <c r="N5" s="295"/>
      <c r="O5" s="295"/>
      <c r="P5" s="295"/>
      <c r="Q5" s="295"/>
    </row>
    <row r="6" spans="1:17" thickBot="1" x14ac:dyDescent="0.35">
      <c r="A6" s="296" t="s">
        <v>70</v>
      </c>
      <c r="B6" s="296"/>
      <c r="C6" s="296"/>
      <c r="D6" s="296"/>
      <c r="E6" s="296"/>
      <c r="F6" s="296"/>
      <c r="G6" s="295" t="str">
        <f>'NP SAME'!D5</f>
        <v>DIRECCION PROVINCIAL SISTEMA DE ATENCION MEDICA DE EMERGENCIA</v>
      </c>
      <c r="H6" s="295"/>
      <c r="I6" s="295"/>
      <c r="J6" s="295"/>
      <c r="K6" s="295"/>
      <c r="L6" s="295"/>
      <c r="M6" s="295"/>
      <c r="N6" s="295"/>
      <c r="O6" s="295"/>
      <c r="P6" s="295"/>
      <c r="Q6" s="295"/>
    </row>
    <row r="7" spans="1:17" thickBot="1" x14ac:dyDescent="0.35">
      <c r="A7" s="296" t="s">
        <v>71</v>
      </c>
      <c r="B7" s="296"/>
      <c r="C7" s="296"/>
      <c r="D7" s="296"/>
      <c r="E7" s="296"/>
      <c r="F7" s="296"/>
      <c r="G7" s="295" t="str">
        <f>'NP SAME'!D6</f>
        <v>DIRECCION PROVINCIAL SISTEMA DE ATENCION MEDICA DE EMERGENCIA</v>
      </c>
      <c r="H7" s="295"/>
      <c r="I7" s="295"/>
      <c r="J7" s="295"/>
      <c r="K7" s="295"/>
      <c r="L7" s="295"/>
      <c r="M7" s="295"/>
      <c r="N7" s="295"/>
      <c r="O7" s="295"/>
      <c r="P7" s="295"/>
      <c r="Q7" s="295"/>
    </row>
    <row r="8" spans="1:17" ht="15.75" thickBot="1" x14ac:dyDescent="0.3">
      <c r="A8" s="297" t="s">
        <v>83</v>
      </c>
      <c r="B8" s="297"/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  <c r="Q8" s="297"/>
    </row>
    <row r="9" spans="1:17" ht="20.25" customHeight="1" x14ac:dyDescent="0.25">
      <c r="A9" s="290" t="s">
        <v>84</v>
      </c>
      <c r="B9" s="290"/>
      <c r="C9" s="290"/>
      <c r="D9" s="290"/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</row>
    <row r="10" spans="1:17" ht="69" customHeight="1" x14ac:dyDescent="0.25">
      <c r="A10" s="280" t="s">
        <v>124</v>
      </c>
      <c r="B10" s="280"/>
      <c r="C10" s="280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0"/>
    </row>
    <row r="11" spans="1:17" thickBot="1" x14ac:dyDescent="0.35">
      <c r="A11" s="187"/>
      <c r="B11" s="188"/>
      <c r="C11" s="188"/>
      <c r="D11" s="188"/>
      <c r="E11" s="188"/>
      <c r="F11" s="188"/>
      <c r="G11" s="189"/>
      <c r="H11" s="188"/>
      <c r="I11" s="188"/>
      <c r="J11" s="188"/>
      <c r="K11" s="188"/>
      <c r="L11" s="188"/>
      <c r="M11" s="188"/>
      <c r="N11" s="188"/>
      <c r="O11" s="188"/>
      <c r="P11" s="188"/>
      <c r="Q11" s="191"/>
    </row>
    <row r="12" spans="1:17" ht="15.75" thickBot="1" x14ac:dyDescent="0.3">
      <c r="A12" s="301" t="s">
        <v>85</v>
      </c>
      <c r="B12" s="301"/>
      <c r="C12" s="301"/>
      <c r="D12" s="301"/>
      <c r="E12" s="301"/>
      <c r="F12" s="301"/>
      <c r="G12" s="301"/>
      <c r="H12" s="301"/>
      <c r="I12" s="301"/>
      <c r="J12" s="301"/>
      <c r="K12" s="301"/>
      <c r="L12" s="301"/>
      <c r="M12" s="301"/>
      <c r="N12" s="301"/>
      <c r="O12" s="301"/>
      <c r="P12" s="301"/>
      <c r="Q12" s="301"/>
    </row>
    <row r="13" spans="1:17" ht="15.75" thickBot="1" x14ac:dyDescent="0.3">
      <c r="A13" s="282" t="s">
        <v>86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282"/>
      <c r="O13" s="283" t="s">
        <v>87</v>
      </c>
      <c r="P13" s="283"/>
      <c r="Q13" s="284" t="s">
        <v>88</v>
      </c>
    </row>
    <row r="14" spans="1:17" ht="15.75" thickBot="1" x14ac:dyDescent="0.3">
      <c r="A14" s="208" t="s">
        <v>89</v>
      </c>
      <c r="B14" s="209" t="s">
        <v>90</v>
      </c>
      <c r="C14" s="209" t="s">
        <v>91</v>
      </c>
      <c r="D14" s="209" t="s">
        <v>92</v>
      </c>
      <c r="E14" s="209" t="s">
        <v>93</v>
      </c>
      <c r="F14" s="209" t="s">
        <v>94</v>
      </c>
      <c r="G14" s="210" t="s">
        <v>95</v>
      </c>
      <c r="H14" s="209" t="s">
        <v>96</v>
      </c>
      <c r="I14" s="209" t="s">
        <v>97</v>
      </c>
      <c r="J14" s="209" t="s">
        <v>98</v>
      </c>
      <c r="K14" s="209" t="s">
        <v>98</v>
      </c>
      <c r="L14" s="209" t="s">
        <v>99</v>
      </c>
      <c r="M14" s="211" t="s">
        <v>100</v>
      </c>
      <c r="N14" s="212" t="s">
        <v>101</v>
      </c>
      <c r="O14" s="302"/>
      <c r="P14" s="302"/>
      <c r="Q14" s="303"/>
    </row>
    <row r="15" spans="1:17" ht="30" customHeight="1" x14ac:dyDescent="0.3">
      <c r="A15" s="30">
        <v>31</v>
      </c>
      <c r="B15" s="31"/>
      <c r="C15" s="31"/>
      <c r="D15" s="31">
        <v>1</v>
      </c>
      <c r="E15" s="31"/>
      <c r="F15" s="31">
        <v>4901</v>
      </c>
      <c r="G15" s="31">
        <v>3</v>
      </c>
      <c r="H15" s="31">
        <v>1</v>
      </c>
      <c r="I15" s="31">
        <v>2</v>
      </c>
      <c r="J15" s="31">
        <v>5</v>
      </c>
      <c r="K15" s="31">
        <v>2</v>
      </c>
      <c r="L15" s="31"/>
      <c r="M15" s="32">
        <v>1</v>
      </c>
      <c r="N15" s="31" t="s">
        <v>111</v>
      </c>
      <c r="O15" s="304" t="s">
        <v>112</v>
      </c>
      <c r="P15" s="305"/>
      <c r="Q15" s="213">
        <f>'NP SAME'!M15</f>
        <v>12452.7</v>
      </c>
    </row>
    <row r="16" spans="1:17" ht="14.45" x14ac:dyDescent="0.3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2"/>
      <c r="N16" s="33"/>
      <c r="O16" s="300"/>
      <c r="P16" s="300"/>
      <c r="Q16" s="34"/>
    </row>
    <row r="17" spans="1:17" ht="14.45" x14ac:dyDescent="0.3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2"/>
      <c r="N17" s="33"/>
      <c r="O17" s="279"/>
      <c r="P17" s="279"/>
      <c r="Q17" s="34"/>
    </row>
    <row r="18" spans="1:17" ht="14.45" x14ac:dyDescent="0.3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  <c r="N18" s="33"/>
      <c r="O18" s="279"/>
      <c r="P18" s="279"/>
      <c r="Q18" s="34"/>
    </row>
    <row r="19" spans="1:17" ht="14.45" x14ac:dyDescent="0.3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2"/>
      <c r="N19" s="33"/>
      <c r="O19" s="279"/>
      <c r="P19" s="279"/>
      <c r="Q19" s="34"/>
    </row>
    <row r="20" spans="1:17" ht="14.45" x14ac:dyDescent="0.3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2"/>
      <c r="N20" s="33"/>
      <c r="O20" s="279"/>
      <c r="P20" s="279"/>
      <c r="Q20" s="34"/>
    </row>
    <row r="21" spans="1:17" ht="14.45" x14ac:dyDescent="0.3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2"/>
      <c r="N21" s="33"/>
      <c r="O21" s="279"/>
      <c r="P21" s="279"/>
      <c r="Q21" s="34"/>
    </row>
    <row r="22" spans="1:17" ht="14.45" x14ac:dyDescent="0.3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2"/>
      <c r="N22" s="33"/>
      <c r="O22" s="279"/>
      <c r="P22" s="279"/>
      <c r="Q22" s="34"/>
    </row>
    <row r="23" spans="1:17" ht="14.45" x14ac:dyDescent="0.3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2"/>
      <c r="N23" s="33"/>
      <c r="O23" s="279"/>
      <c r="P23" s="279"/>
      <c r="Q23" s="34"/>
    </row>
    <row r="24" spans="1:17" ht="14.45" x14ac:dyDescent="0.3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2"/>
      <c r="N24" s="33"/>
      <c r="O24" s="279"/>
      <c r="P24" s="279"/>
      <c r="Q24" s="34"/>
    </row>
    <row r="25" spans="1:17" ht="14.45" x14ac:dyDescent="0.3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2"/>
      <c r="N25" s="33"/>
      <c r="O25" s="279"/>
      <c r="P25" s="279"/>
      <c r="Q25" s="34"/>
    </row>
    <row r="26" spans="1:17" ht="14.45" x14ac:dyDescent="0.3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2"/>
      <c r="N26" s="33"/>
      <c r="O26" s="279"/>
      <c r="P26" s="279"/>
      <c r="Q26" s="34"/>
    </row>
    <row r="27" spans="1:17" ht="14.45" x14ac:dyDescent="0.3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2"/>
      <c r="N27" s="33"/>
      <c r="O27" s="279"/>
      <c r="P27" s="279"/>
      <c r="Q27" s="34"/>
    </row>
    <row r="28" spans="1:17" ht="14.45" x14ac:dyDescent="0.3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2"/>
      <c r="N28" s="33"/>
      <c r="O28" s="279"/>
      <c r="P28" s="279"/>
      <c r="Q28" s="34"/>
    </row>
    <row r="29" spans="1:17" ht="14.45" x14ac:dyDescent="0.3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2"/>
      <c r="N29" s="33"/>
      <c r="O29" s="279"/>
      <c r="P29" s="279"/>
      <c r="Q29" s="34"/>
    </row>
    <row r="30" spans="1:17" ht="14.45" x14ac:dyDescent="0.3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2"/>
      <c r="N30" s="33"/>
      <c r="O30" s="279"/>
      <c r="P30" s="279"/>
      <c r="Q30" s="34"/>
    </row>
    <row r="31" spans="1:17" ht="14.45" x14ac:dyDescent="0.3">
      <c r="A31" s="30"/>
      <c r="B31" s="31"/>
      <c r="C31" s="31"/>
      <c r="D31" s="31"/>
      <c r="E31" s="31"/>
      <c r="F31" s="33"/>
      <c r="G31" s="31"/>
      <c r="H31" s="31"/>
      <c r="I31" s="31"/>
      <c r="J31" s="31"/>
      <c r="K31" s="31"/>
      <c r="L31" s="31"/>
      <c r="M31" s="32"/>
      <c r="N31" s="33"/>
      <c r="O31" s="274"/>
      <c r="P31" s="274"/>
      <c r="Q31" s="34"/>
    </row>
    <row r="32" spans="1:17" ht="14.45" x14ac:dyDescent="0.3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2"/>
      <c r="N32" s="33"/>
      <c r="O32" s="274"/>
      <c r="P32" s="274"/>
      <c r="Q32" s="34"/>
    </row>
    <row r="33" spans="1:17" ht="14.45" x14ac:dyDescent="0.3">
      <c r="A33" s="30"/>
      <c r="B33" s="31"/>
      <c r="C33" s="31"/>
      <c r="D33" s="31"/>
      <c r="E33" s="31"/>
      <c r="F33" s="33"/>
      <c r="G33" s="31"/>
      <c r="H33" s="31"/>
      <c r="I33" s="31"/>
      <c r="J33" s="31"/>
      <c r="K33" s="31"/>
      <c r="L33" s="31"/>
      <c r="M33" s="32"/>
      <c r="N33" s="33"/>
      <c r="O33" s="274"/>
      <c r="P33" s="274"/>
      <c r="Q33" s="34"/>
    </row>
    <row r="34" spans="1:17" ht="14.45" x14ac:dyDescent="0.3">
      <c r="A34" s="30"/>
      <c r="B34" s="31"/>
      <c r="C34" s="31"/>
      <c r="D34" s="31"/>
      <c r="E34" s="31"/>
      <c r="F34" s="33"/>
      <c r="G34" s="31"/>
      <c r="H34" s="31"/>
      <c r="I34" s="31"/>
      <c r="J34" s="31"/>
      <c r="K34" s="31"/>
      <c r="L34" s="31"/>
      <c r="M34" s="32"/>
      <c r="N34" s="33"/>
      <c r="O34" s="274"/>
      <c r="P34" s="274"/>
      <c r="Q34" s="34"/>
    </row>
    <row r="35" spans="1:17" ht="14.45" x14ac:dyDescent="0.3">
      <c r="A35" s="192"/>
      <c r="B35" s="193"/>
      <c r="C35" s="193"/>
      <c r="D35" s="193"/>
      <c r="E35" s="193"/>
      <c r="F35" s="194"/>
      <c r="G35" s="193"/>
      <c r="H35" s="193"/>
      <c r="I35" s="193"/>
      <c r="J35" s="193"/>
      <c r="K35" s="193"/>
      <c r="L35" s="193"/>
      <c r="M35" s="195"/>
      <c r="N35" s="196"/>
      <c r="O35" s="275"/>
      <c r="P35" s="275"/>
      <c r="Q35" s="34"/>
    </row>
    <row r="36" spans="1:17" ht="15.75" thickBot="1" x14ac:dyDescent="0.3">
      <c r="A36" s="197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9"/>
      <c r="N36" s="198"/>
      <c r="O36" s="276"/>
      <c r="P36" s="276"/>
      <c r="Q36" s="200"/>
    </row>
    <row r="37" spans="1:17" ht="15.75" thickBot="1" x14ac:dyDescent="0.3">
      <c r="A37" s="277" t="s">
        <v>130</v>
      </c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01">
        <f>SUM(Q15:Q36)</f>
        <v>12452.7</v>
      </c>
    </row>
    <row r="38" spans="1:17" ht="15.75" thickBot="1" x14ac:dyDescent="0.3">
      <c r="A38" s="278"/>
      <c r="B38" s="278"/>
      <c r="C38" s="278"/>
      <c r="D38" s="278"/>
      <c r="E38" s="278"/>
      <c r="F38" s="278"/>
      <c r="G38" s="278"/>
      <c r="H38" s="278"/>
      <c r="I38" s="278"/>
      <c r="J38" s="278"/>
      <c r="K38" s="278"/>
      <c r="L38" s="278"/>
      <c r="M38" s="278"/>
      <c r="N38" s="278"/>
      <c r="O38" s="278"/>
      <c r="P38" s="278"/>
      <c r="Q38" s="278"/>
    </row>
    <row r="39" spans="1:17" ht="15.75" thickBot="1" x14ac:dyDescent="0.3">
      <c r="A39" s="271" t="s">
        <v>102</v>
      </c>
      <c r="B39" s="271"/>
      <c r="C39" s="271"/>
      <c r="D39" s="271"/>
      <c r="E39" s="271"/>
      <c r="F39" s="271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2"/>
    </row>
    <row r="40" spans="1:17" ht="15.75" thickBot="1" x14ac:dyDescent="0.3">
      <c r="A40" s="273" t="str">
        <f>'NP SAME'!D8</f>
        <v>ADQUISICION DEL RUBRO ANTISEPTICOS Y DESINFECTANTES</v>
      </c>
      <c r="B40" s="273"/>
      <c r="C40" s="273"/>
      <c r="D40" s="273"/>
      <c r="E40" s="273"/>
      <c r="F40" s="273"/>
      <c r="G40" s="273"/>
      <c r="H40" s="273"/>
      <c r="I40" s="273"/>
      <c r="J40" s="273"/>
      <c r="K40" s="273"/>
      <c r="L40" s="273"/>
      <c r="M40" s="273"/>
      <c r="N40" s="273"/>
      <c r="O40" s="273"/>
      <c r="P40" s="273"/>
      <c r="Q40" s="273"/>
    </row>
    <row r="41" spans="1:17" ht="15.75" thickBot="1" x14ac:dyDescent="0.3">
      <c r="A41" s="273"/>
      <c r="B41" s="273"/>
      <c r="C41" s="273"/>
      <c r="D41" s="273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273"/>
    </row>
  </sheetData>
  <mergeCells count="45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0:P20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32:P32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A39:F39"/>
    <mergeCell ref="G39:Q39"/>
    <mergeCell ref="A40:Q41"/>
    <mergeCell ref="O33:P33"/>
    <mergeCell ref="O34:P34"/>
    <mergeCell ref="O35:P35"/>
    <mergeCell ref="O36:P36"/>
    <mergeCell ref="A37:P37"/>
    <mergeCell ref="A38:Q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SAF 011</vt:lpstr>
      <vt:lpstr>NP FARMACIA</vt:lpstr>
      <vt:lpstr>NP LABORATORIO</vt:lpstr>
      <vt:lpstr>NP BANCO DE SANGRE</vt:lpstr>
      <vt:lpstr>APG FARMACIA</vt:lpstr>
      <vt:lpstr>NP ODONTOLOGIA</vt:lpstr>
      <vt:lpstr>APG ODONTOLOGIA</vt:lpstr>
      <vt:lpstr>NP SAME</vt:lpstr>
      <vt:lpstr>APG SAME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2021-12-21T17:55:07Z</dcterms:created>
  <dcterms:modified xsi:type="dcterms:W3CDTF">2022-02-25T19:31:30Z</dcterms:modified>
</cp:coreProperties>
</file>