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3DDAC8A0-C8B9-455B-8D90-EC1138BD15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comparativo'!$S$8:$V$8,'Cuadro comparativo'!$W$8:$Z$8,'Cuadro comparativo'!$AA$8:$AD$8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52" i="2" l="1"/>
  <c r="M52" i="2"/>
  <c r="Q52" i="2"/>
  <c r="U52" i="2"/>
  <c r="Y52" i="2"/>
  <c r="AC52" i="2"/>
</calcChain>
</file>

<file path=xl/sharedStrings.xml><?xml version="1.0" encoding="utf-8"?>
<sst xmlns="http://schemas.openxmlformats.org/spreadsheetml/2006/main" count="418" uniqueCount="292">
  <si>
    <t>Número expediente:</t>
  </si>
  <si>
    <t>EX-2022-01362339-   -CAT-DPCBS#MEC</t>
  </si>
  <si>
    <t>Número proceso de compra:</t>
  </si>
  <si>
    <t>100-0150-CDI22</t>
  </si>
  <si>
    <t>Nombre descriptivo proceso de compra:</t>
  </si>
  <si>
    <t>Adquisición de Alimentos Perecederos destinado al Servicio de Nutrición de la MP - Nuevo Llamado</t>
  </si>
  <si>
    <t>Unidad Operativa de Compras:</t>
  </si>
  <si>
    <t>Secretaria de Compras y Abastecimiento</t>
  </si>
  <si>
    <t>Fecha de Apertura:</t>
  </si>
  <si>
    <t>02/09/2022</t>
  </si>
  <si>
    <t>Renglón</t>
  </si>
  <si>
    <t>sergio maximiliano diaz</t>
  </si>
  <si>
    <t>E-CO S. R. L.</t>
  </si>
  <si>
    <t>LOS SAUCES SRL</t>
  </si>
  <si>
    <t>LUJAIKO SRL</t>
  </si>
  <si>
    <t>maria angela mascareño</t>
  </si>
  <si>
    <t>EL PUESTO SRL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</si>
  <si>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</si>
  <si>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</si>
  <si>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</si>
  <si>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</si>
  <si>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</si>
  <si>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</si>
  <si>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</si>
  <si>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</si>
  <si>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</si>
  <si>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</si>
  <si>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2.1.1-6546.34 </t>
  </si>
  <si>
    <t xml:space="preserve">VERDURAS Y HORTALIZAS; VARIEDAD: ACELGA, ESTADO: EN HOJA, PRESENTACION: ATADO, 
PESO: SIN VALOR </t>
  </si>
  <si>
    <t xml:space="preserve">UNIDAD </t>
  </si>
  <si>
    <t xml:space="preserve">  VERDURAS Y HORTALIZAS; VARIEDAD: ACELGA, ESTADO: EN HOJA, 
PRESENTACION: ATADO, PESO: SIN VALOR </t>
  </si>
  <si>
    <t xml:space="preserve">VERDURAS Y HORTALIZAS; VARIEDAD: ACELGA, ESTADO: EN HOJA, PRESENTACION: ATADO 
Atado de acelga peso aproximado 250 a 300Gr.  </t>
  </si>
  <si>
    <t xml:space="preserve">VERDURA ACELGA EN ATADO.  </t>
  </si>
  <si>
    <t xml:space="preserve">VERDURAS Y HORTALIZAS; VARIEDAD: ACELGA, ESTADO: EN HOJA, PRESENTACION: ATADO, 
Atado de acelga peso aproximado 250 a 300Gr.  </t>
  </si>
  <si>
    <t xml:space="preserve">ACELGA EN HOJAS FRESCA X ATADOS  </t>
  </si>
  <si>
    <t xml:space="preserve">2 </t>
  </si>
  <si>
    <t xml:space="preserve">2.1.1-6546.154 </t>
  </si>
  <si>
    <t xml:space="preserve">VERDURAS Y HORTALIZAS; ESTADO: NATURAL, PESO: SIN VALOR, VARIEDAD: AJO, 
PRESENTACION: UNIDAD </t>
  </si>
  <si>
    <t xml:space="preserve">VERDURAS Y HORTALIZAS; ESTADO: NATURAL, PESO: SIN VALOR, VARIEDAD: AJO, 
PRESENTACION: UNIDAD (RISTRA). EL PRECIO OFERTADO ES POR RISTRA.  
</t>
  </si>
  <si>
    <t xml:space="preserve">VERDURA CABEZA DE AJO  </t>
  </si>
  <si>
    <t xml:space="preserve">AJO, PRESENTACION: UNIDAD, POR CABEZA </t>
  </si>
  <si>
    <t xml:space="preserve">ajo colorado x cabeza </t>
  </si>
  <si>
    <t xml:space="preserve">3 </t>
  </si>
  <si>
    <t xml:space="preserve">2.1.1-6546.330 </t>
  </si>
  <si>
    <t xml:space="preserve">VERDURAS Y HORTALIZAS; VARIEDAD: ZAPALLO ANCO, ESTADO: NATURAL, PRESENTACION: UNIDAD, 
PESO: 1 Kg </t>
  </si>
  <si>
    <t xml:space="preserve">VERDURA ZAPALLO ANQUIN X KG.  </t>
  </si>
  <si>
    <t xml:space="preserve">ZAPALLO ANCO, ESTADO: NATURAL, PRESENTACION: UNIDAD, PESO: 1 Kg </t>
  </si>
  <si>
    <t xml:space="preserve">zapallo anco x 1 kg  </t>
  </si>
  <si>
    <t xml:space="preserve">4 </t>
  </si>
  <si>
    <t xml:space="preserve">2.1.1-6546.230 </t>
  </si>
  <si>
    <t xml:space="preserve">VERDURAS Y HORTALIZAS; VARIEDAD: APIO, ESTADO: NATURAL, PRESENTACION: ATADO, PESO: 
800 GR </t>
  </si>
  <si>
    <t xml:space="preserve">VERDURAS Y HORTALIZAS; VARIEDAD: APIO, ESTADO: NATURAL, PRESENTACION: ATADO, PESO: 
800 GR UNIDAD DE MEDIDA: UNIDAD </t>
  </si>
  <si>
    <t xml:space="preserve">VERDURA APIO EN ATADO.  </t>
  </si>
  <si>
    <t xml:space="preserve">APIO, ESTADO: NATURAL, PRESENTACION: ATADO, PESO: 800 GR </t>
  </si>
  <si>
    <t xml:space="preserve">apio x atado </t>
  </si>
  <si>
    <t xml:space="preserve">5 </t>
  </si>
  <si>
    <t xml:space="preserve">2.1.1-6539.30 </t>
  </si>
  <si>
    <t xml:space="preserve">FRUTAS; VARIEDAD: BANANA, PRESENTACION: CAJON, ESTADO: NATURAL, PESO: SIN VALOR 
</t>
  </si>
  <si>
    <t xml:space="preserve">  FRUTAS; VARIEDAD: BANANA, PRESENTACION: CAJON, ESTADO: NATURAL, PESO: 
SIN VALOR </t>
  </si>
  <si>
    <t xml:space="preserve">FRUTAS; VARIEDAD: BANANA, PRESENTACION: CAJON, ESTADO: NATURAL, PESO: SIN VALOR 
Peso aproximado del Cajon 20 kilos. </t>
  </si>
  <si>
    <t xml:space="preserve">FRUTA BANANA EN CAJON 20 KG. APROXIMADOS  </t>
  </si>
  <si>
    <t xml:space="preserve">BANANA, PRESENTACION: CAJON, ESTADO: NATURAL, X 20 KG APROX </t>
  </si>
  <si>
    <t xml:space="preserve">banana x cajon </t>
  </si>
  <si>
    <t xml:space="preserve">6 </t>
  </si>
  <si>
    <t xml:space="preserve">2.1.1-6546.207 </t>
  </si>
  <si>
    <t xml:space="preserve">VERDURAS Y HORTALIZAS; VARIEDAD: BATATA, ESTADO: NATURAL, PRESENTACION: BOLSA, PESO: 
10 Kg </t>
  </si>
  <si>
    <t xml:space="preserve">VERDURA BATATA EN BOLSA X 10 KG. APROXIMADOS. </t>
  </si>
  <si>
    <t xml:space="preserve">BATATA, ESTADO: NATURAL, PRESENTACION: BOLSA, X 15 Kg </t>
  </si>
  <si>
    <t xml:space="preserve">batata bolsa x 10 kg </t>
  </si>
  <si>
    <t xml:space="preserve">7 </t>
  </si>
  <si>
    <t xml:space="preserve">2.1.1-6546.177 </t>
  </si>
  <si>
    <t xml:space="preserve">VERDURAS Y HORTALIZAS; VARIEDAD: BERENJENA, ESTADO: NATURAL, PRESENTACION: GRANEL, PESO: 
SIN VALOR </t>
  </si>
  <si>
    <t xml:space="preserve">VERDURA BERENJENA EN CAJON X 10 KG. APROXIMADOS.  </t>
  </si>
  <si>
    <t xml:space="preserve">BERENJENA, ESTADO: NATURAL, PRESENTACION: CAJON </t>
  </si>
  <si>
    <t xml:space="preserve">berengena cajon x 10 kg </t>
  </si>
  <si>
    <t xml:space="preserve">8 </t>
  </si>
  <si>
    <t xml:space="preserve">2.1.1-541.33 </t>
  </si>
  <si>
    <t xml:space="preserve">CARNES; ESPECIE: VACUNA, CORTE: BOLA DE LOMO, TIPO: VACUNA </t>
  </si>
  <si>
    <t xml:space="preserve">  CARNES; ESPECIE: VACUNA, CORTE: BOLA DE LOMO, TIPO: 
VACUNA </t>
  </si>
  <si>
    <t xml:space="preserve">CARNES; ESPECIE: VACUNA, CORTE: BOLA DE LOMO, TIPO: VACUNA CONFORME 
AL PLIEGO PRIMERA CALIDAD </t>
  </si>
  <si>
    <t xml:space="preserve">CARNE VACUNA BOLA DE LOMO ESPECIAL X KG.  </t>
  </si>
  <si>
    <t xml:space="preserve">PRECIO POR KILO- PRIMERA CALIDAD </t>
  </si>
  <si>
    <t xml:space="preserve">9 </t>
  </si>
  <si>
    <t xml:space="preserve">2.1.1-541.137 </t>
  </si>
  <si>
    <t xml:space="preserve">CARNES; ESPECIE: PORCINA, CORTE: CARRE CONGELADO, TIPO: PORCINA </t>
  </si>
  <si>
    <t xml:space="preserve">CARNES; ESPECIE: PORCINA, CORTE: CARRE CONGELADO, TIPO: PORCINA CONFORME AL 
PLIEGO PRIMERA CALIDAD </t>
  </si>
  <si>
    <t xml:space="preserve">CARNE CERDO CARRE CONGELADO X KG.  </t>
  </si>
  <si>
    <t xml:space="preserve">  CARNES; ESPECIE: PORCINA, CORTE: CARRE CONGELADO, TIPO: PORCINA 
</t>
  </si>
  <si>
    <t xml:space="preserve">10 </t>
  </si>
  <si>
    <t xml:space="preserve">2.1.1-6546.236 </t>
  </si>
  <si>
    <t xml:space="preserve">VERDURAS Y HORTALIZAS; VARIEDAD: CEBOLLA, ESTADO: NATURAL, PRESENTACION: BOLSA, PESO: 
20 Kg </t>
  </si>
  <si>
    <t xml:space="preserve">  VERDURAS Y HORTALIZAS; VARIEDAD: CEBOLLA, ESTADO: NATURAL, PRESENTACION: 
BOLSA, PESO: 20 Kg </t>
  </si>
  <si>
    <t xml:space="preserve">VERDURA CEBOLLA EN BOLSA X 20 KG. APROXIMADOS  </t>
  </si>
  <si>
    <t xml:space="preserve">CEBOLLA, ESTADO: NATURAL, PRESENTACION: BOLSA, PESO: 20 Kg </t>
  </si>
  <si>
    <t xml:space="preserve">cebolla x 20 kg bolsa </t>
  </si>
  <si>
    <t xml:space="preserve">11 </t>
  </si>
  <si>
    <t xml:space="preserve">2.1.1-6546.377 </t>
  </si>
  <si>
    <t xml:space="preserve">VERDURAS Y HORTALIZAS; VARIEDAD: CEBOLLA DE VERDEO, ESTADO: NATURAL, PRESENTACION: 
CAJON, PESO: 10 Kg, ELEM. TRANSPORTE: CAJON, MATERIAL ELEM. TRANSPORTE: 
CARTON, LIBRE DE GLUTEN: NO </t>
  </si>
  <si>
    <t xml:space="preserve">VERDUARA CEBOLLA DE VERDEO EN CAJON X 10 KG. APROXIMADOS 
 </t>
  </si>
  <si>
    <t xml:space="preserve">CEBOLLA DE VERDEO, ESTADO: NATURAL, PRESENTACION: CAJON, PESO: 10 Kg, 
</t>
  </si>
  <si>
    <t xml:space="preserve">cebolla de verdeo cajon x 10 kg </t>
  </si>
  <si>
    <t xml:space="preserve">12 </t>
  </si>
  <si>
    <t xml:space="preserve">2.1.1-541.164 </t>
  </si>
  <si>
    <t xml:space="preserve">CARNES; TIPO: PORCINA, CORTE: COSTELETA </t>
  </si>
  <si>
    <t xml:space="preserve">CARNES; TIPO: PORCINA, CORTE: COSTELETA Costeleta Cortada de 250g a 
300 g congelada UNIDAD  DE MEDIDA: KILO  </t>
  </si>
  <si>
    <t xml:space="preserve">CARNE PORCINA COSTELETA X KG.  </t>
  </si>
  <si>
    <t xml:space="preserve">13 </t>
  </si>
  <si>
    <t xml:space="preserve">2.1.1-483.33 </t>
  </si>
  <si>
    <t xml:space="preserve">HUEVO DE GALLINA; TAMAÑO: MEDIANOS, COLOR: BLANCOS, PRESENTACION: 30 </t>
  </si>
  <si>
    <t xml:space="preserve">HUEVO DE GALLINA COLOR EN MAPLE X 30 UND.  
</t>
  </si>
  <si>
    <t xml:space="preserve">huevo maple x 30 unidades color </t>
  </si>
  <si>
    <t xml:space="preserve">14 </t>
  </si>
  <si>
    <t xml:space="preserve">2.1.1-969.96 </t>
  </si>
  <si>
    <t xml:space="preserve">FIAMBRES; TIPO: JAMON COCIDO, PRESENTACION: AL VACIO </t>
  </si>
  <si>
    <t xml:space="preserve">  FIAMBRES; TIPO: JAMON COCIDO, PRESENTACION: AL VACIO </t>
  </si>
  <si>
    <t xml:space="preserve">JAMON COCIDO LA PIAMONTESA EN HORMA X 6 KG. APROXIMADO 
APTO PARA CELIACO SIN TACC.  </t>
  </si>
  <si>
    <t xml:space="preserve">FIAMBRES; TIPO: JAMON COCIDO, PRESENTACION: AL VACIO X KG MARCA 
CAMPO AUSTRAL </t>
  </si>
  <si>
    <t xml:space="preserve">15 </t>
  </si>
  <si>
    <t xml:space="preserve">2.1.1-6546.374 </t>
  </si>
  <si>
    <t xml:space="preserve">VERDURAS Y HORTALIZAS; VARIEDAD: LECHUGA ARREPOLLADA, ESTADO: NATURAL, PRESENTACION: A 
GRANEL, PESO: 300 GR CADA PLANTA, ELEM. TRANSPORTE: SIN, MATERIAL 
ELEM. TRANSPORTE: SIN, LIBRE DE GLUTEN: SI </t>
  </si>
  <si>
    <t xml:space="preserve">  VERDURAS Y HORTALIZAS; VARIEDAD: LECHUGA ARREPOLLADA, ESTADO: NATURAL, 
PRESENTACION: A GRANEL, PESO: 300 GR CADA PLANTA, ELEM. TRANSPORTE: 
SIN, MATERIAL ELEM. TRANSPORTE: SIN, LIBRE DE GLUTEN: SI </t>
  </si>
  <si>
    <t xml:space="preserve">VERDURAS Y HORTALIZAS; VARIEDAD: LECHUGA ARREPOLLADA, ESTADO: NATURAL, PRESENTACION: A 
GRANEL, PESO: 300 GR CADA PLANTA, ELEM. TRANSPORTE: SIN, MATERIAL 
ELEM. TRANSPORTE: SIN, LIBRE DE GLUTEN: SI Estado natural presentacion 
en cajon x 10 Kg. </t>
  </si>
  <si>
    <t xml:space="preserve">VERDURA LECHUGA ARREPOLLADA EN CAJON X 10 KG. APROXIMADOS  
</t>
  </si>
  <si>
    <t xml:space="preserve">LECHUGA ARREPOLLADA, ESTADO: NATURAL, PRESENTACION CAJON X 10 KG </t>
  </si>
  <si>
    <t xml:space="preserve">lechuga repollada jaula x 10 kg </t>
  </si>
  <si>
    <t xml:space="preserve">16 </t>
  </si>
  <si>
    <t xml:space="preserve">2.1.1-6539.84 </t>
  </si>
  <si>
    <t xml:space="preserve">FRUTAS; VARIEDAD: LIMON, ESTADO: NATURAL, PRESENTACION: CAJON X 1 Kg, 
PESO: 1 Kg </t>
  </si>
  <si>
    <t xml:space="preserve">FRUTA LIMON X KG.  </t>
  </si>
  <si>
    <t xml:space="preserve">LIMON, ESTADO: NATURAL, PRESENTACION: CAJON X 1 Kg </t>
  </si>
  <si>
    <t xml:space="preserve">limon fresco x 1 kg </t>
  </si>
  <si>
    <t xml:space="preserve">17 </t>
  </si>
  <si>
    <t xml:space="preserve">2.1.1-6539.20 </t>
  </si>
  <si>
    <t xml:space="preserve">FRUTAS; ESTADO: NATURAL, VARIEDAD: MANZANA RED DELICIOSA, PRESENTACION: CAJON, PESO: 
SIN VALOR </t>
  </si>
  <si>
    <t xml:space="preserve">FRUTA MANZANA RED DELICIOSA EN CAJON X 20 KG.  
</t>
  </si>
  <si>
    <t xml:space="preserve">MANZANA RED DELICIOSA, PRESENTACION: CAJON </t>
  </si>
  <si>
    <t xml:space="preserve">manzana red deliciosa x cajon </t>
  </si>
  <si>
    <t xml:space="preserve">18 </t>
  </si>
  <si>
    <t xml:space="preserve">2.1.1-541.49 </t>
  </si>
  <si>
    <t xml:space="preserve">CARNES; ESPECIE: VACUNA, CORTE: NALGA, TIPO: VACUNA </t>
  </si>
  <si>
    <t xml:space="preserve">CARNES; ESPECIE: VACUNA, CORTE: NALGA, TIPO: VACUNA; PIEZA ENTERA. UNIDAD 
DE MEDIDA: KILO  </t>
  </si>
  <si>
    <t xml:space="preserve">CARNE VACUNA NALGA ESPECIAL X KG.  </t>
  </si>
  <si>
    <t xml:space="preserve">CARNES; ESPECIE: VACUNA, CORTE: NALGA, TIPO: VACUNA X KG </t>
  </si>
  <si>
    <t xml:space="preserve">19 </t>
  </si>
  <si>
    <t xml:space="preserve">2.1.1-541.20 </t>
  </si>
  <si>
    <t xml:space="preserve">CARNES; CORTE: TAPA DE NALGA, ESPECIE: VACUNA, TIPO: VACUNA </t>
  </si>
  <si>
    <t xml:space="preserve">CARNES; CORTE: TAPA DE NALGA, ESPECIE: VACUNA, TIPO: VACUNA UNIDAD 
DE MEDIDA: KILO PRIMERA CALIDAD </t>
  </si>
  <si>
    <t xml:space="preserve">CARNE VACUNA TAPA DE NALGA ESPECIAL X KG.  </t>
  </si>
  <si>
    <t xml:space="preserve">CARNES; CORTE: TAPA DE NALGA, ESPECIE: VACUNA, TIPO: VACUNA X 
KG </t>
  </si>
  <si>
    <t xml:space="preserve">PRECIO POR KILO PRIMERA CALIDAD </t>
  </si>
  <si>
    <t xml:space="preserve">20 </t>
  </si>
  <si>
    <t xml:space="preserve">2.1.1-6539.8 </t>
  </si>
  <si>
    <t xml:space="preserve">FRUTAS; VARIEDAD: NARANJA ESPECIAL, ESTADO: NATURAL, PRESENTACION: CAJON, PESO: SIN 
VALOR </t>
  </si>
  <si>
    <t xml:space="preserve">  FRUTAS; VARIEDAD: NARANJA ESPECIAL, ESTADO: NATURAL, PRESENTACION: CAJON, 
PESO: SIN VALOR </t>
  </si>
  <si>
    <t xml:space="preserve">FRUTAS; VARIEDAD: NARANJA ESPECIAL, ESTADO: NATURAL, PRESENTACION: CAJON, Estado natural 
presentacion en cajon x 15 Kg.  </t>
  </si>
  <si>
    <t xml:space="preserve">FRUTA NARANJA CRIOLLA EN CAJO / BOLSA X 15 KG. 
 </t>
  </si>
  <si>
    <t xml:space="preserve">NARANJA ESPECIAL, ESTADO: NATURAL, PRESENTACION: CAJON </t>
  </si>
  <si>
    <t xml:space="preserve">naranja cajon x 15 kg </t>
  </si>
  <si>
    <t xml:space="preserve">21 </t>
  </si>
  <si>
    <t xml:space="preserve">2.1.1-669.64 </t>
  </si>
  <si>
    <t xml:space="preserve">PANES; TIPO: FRANCES, PRESENTACION: ENVASE X 1 Kg </t>
  </si>
  <si>
    <t xml:space="preserve">  PANES; TIPO: FRANCES, PRESENTACION: ENVASE X 1 Kg 
</t>
  </si>
  <si>
    <t xml:space="preserve">PAN FRANCES X KG.  </t>
  </si>
  <si>
    <t xml:space="preserve">pan frances x 1 kg panificadora san valentin </t>
  </si>
  <si>
    <t xml:space="preserve">22 </t>
  </si>
  <si>
    <t xml:space="preserve">2.1.1-669.25 </t>
  </si>
  <si>
    <t xml:space="preserve">PANES; TIPO: RALLADO, PRESENTACION: BOLSA DE 1000 GR </t>
  </si>
  <si>
    <t xml:space="preserve">  PANES; TIPO: RALLADO, PRESENTACION: BOLSA DE 1000 GR 
</t>
  </si>
  <si>
    <t xml:space="preserve">PAN RALLADO X KG.  </t>
  </si>
  <si>
    <t xml:space="preserve">pan rallado x 1 kg panificadora san valentin </t>
  </si>
  <si>
    <t xml:space="preserve">23 </t>
  </si>
  <si>
    <t xml:space="preserve">2.1.1-6546.335 </t>
  </si>
  <si>
    <t xml:space="preserve">VERDURAS Y HORTALIZAS; VARIEDAD: PAPA BLANCA, ESTADO: NATURAL, PRESENTACION: BOLSA, 
PESO: 25 Kg </t>
  </si>
  <si>
    <t xml:space="preserve">VERDURA PAPA BLANCA EN BOLSA X 25 KG. APROXIMADOS  
</t>
  </si>
  <si>
    <t xml:space="preserve">PAPA BLANCA, ESTADO: NATURAL, PRESENTACION: BOLSA </t>
  </si>
  <si>
    <t xml:space="preserve">papa blanca de 1º calidad </t>
  </si>
  <si>
    <t xml:space="preserve">24 </t>
  </si>
  <si>
    <t xml:space="preserve">2.1.1-541.29 </t>
  </si>
  <si>
    <t xml:space="preserve">CARNES; CORTE: PECETO, ESPECIE: VACUNA, TIPO: VACUNA </t>
  </si>
  <si>
    <t xml:space="preserve">  CARNES; CORTE: PECETO, ESPECIE: VACUNA, TIPO: VACUNA </t>
  </si>
  <si>
    <t xml:space="preserve">CARNES; CORTE: PECETO, ESPECIE: VACUNA, TIPO: VACUNA, PIEZA ENTERA UNIDAD 
DE MEDIDA: KILO PRIMERA CALIDAD </t>
  </si>
  <si>
    <t xml:space="preserve">CARNE VACUNA PECETO ESPECIAL X KG.  </t>
  </si>
  <si>
    <t xml:space="preserve">CARNES; CORTE: PECETO, ESPECIE: VACUNA, TIPO: VACUNA X KG </t>
  </si>
  <si>
    <t xml:space="preserve">25 </t>
  </si>
  <si>
    <t xml:space="preserve">2.1.1-6539.32 </t>
  </si>
  <si>
    <t xml:space="preserve">FRUTAS; VARIEDAD: PERA AMARILLA, ESTADO: NATURAL, PRESENTACION: CAJON, PESO: SIN 
VALOR </t>
  </si>
  <si>
    <t xml:space="preserve">  FRUTAS; VARIEDAD: PERA AMARILLA, ESTADO: NATURAL, PRESENTACION: CAJON, 
PESO: SIN VALOR </t>
  </si>
  <si>
    <t xml:space="preserve">FRUTAS; VARIEDAD: PERA AMARILLA, ESTADO: NATURAL, PRESENTACION: CAJON  UNIDAD 
DE MEDIDA: CAJON </t>
  </si>
  <si>
    <t xml:space="preserve">FRUTA PERA AMARILLA EN CAJON.  </t>
  </si>
  <si>
    <t xml:space="preserve">PERA AMARILLA, ESTADO: NATURAL, PRESENTACION: CAJON </t>
  </si>
  <si>
    <t xml:space="preserve">pera amarilla x cajon </t>
  </si>
  <si>
    <t xml:space="preserve">26 </t>
  </si>
  <si>
    <t xml:space="preserve">2.1.1-6546.133 </t>
  </si>
  <si>
    <t xml:space="preserve">VERDURAS Y HORTALIZAS; VARIEDAD: PEREJIL, ESTADO: NATURAL, PRESENTACION: ATADO, PESO: 
1 Kg </t>
  </si>
  <si>
    <t xml:space="preserve">VERDURA PEREJIL EN ATADOS  </t>
  </si>
  <si>
    <t xml:space="preserve">PEREJIL, ESTADO: NATURAL, PRESENTACION: ATADO, PESO: 1 Kg </t>
  </si>
  <si>
    <t xml:space="preserve">perejil x atado de 1 kg  </t>
  </si>
  <si>
    <t xml:space="preserve">27 </t>
  </si>
  <si>
    <t xml:space="preserve">2.1.1-6546.365 </t>
  </si>
  <si>
    <t xml:space="preserve">VERDURAS Y HORTALIZAS; VARIEDAD: MORRON ROJO, ESTADO: NATURAL, PRESENTACION: ENVASE 
X 10 Kg, PESO: 10 Kg, ELEM. TRANSPORTE: CAJON, MATERIAL 
ELEM. TRANSPORTE: MADERA, LIBRE DE GLUTEN: SI </t>
  </si>
  <si>
    <t xml:space="preserve">  VERDURAS Y HORTALIZAS; VARIEDAD: MORRON ROJO, ESTADO: NATURAL, 
PRESENTACION: ENVASE X 10 Kg, PESO: 10 Kg, ELEM. TRANSPORTE: 
CAJON, MATERIAL ELEM. TRANSPORTE: MADERA, LIBRE DE GLUTEN: SI </t>
  </si>
  <si>
    <t xml:space="preserve">VERDURAS Y HORTALIZAS; VARIEDAD: MORRON ROJO, ESTADO: NATURAL, PRESENTACION: ENVASE 
X 10 Kg, PESO: 10 Kg, ELEM. TRANSPORTE: CAJON, Estado 
natural presentacion en cajon x 10 Kg.  </t>
  </si>
  <si>
    <t xml:space="preserve">VERDURA MORRON ROJO EN CAJON X 10 KG. APROXIMADOS  
</t>
  </si>
  <si>
    <t xml:space="preserve">MORRON ROJO, ESTADO: NATURAL, PRESENTACION: ENVASE X 10 Kg CAJON 
</t>
  </si>
  <si>
    <t xml:space="preserve">morron rojo  cajon x 10 kg </t>
  </si>
  <si>
    <t xml:space="preserve">28 </t>
  </si>
  <si>
    <t xml:space="preserve">2.1.1-6546.95 </t>
  </si>
  <si>
    <t xml:space="preserve">VERDURAS Y HORTALIZAS; VARIEDAD: MORRON VERDE, ESTADO: NATURAL, PRESENTACION: GRANEL, 
PESO: SIN VALOR </t>
  </si>
  <si>
    <t xml:space="preserve">  VERDURAS Y HORTALIZAS; VARIEDAD: MORRON VERDE, ESTADO: NATURAL, 
PRESENTACION: GRANEL, PESO: SIN VALOR </t>
  </si>
  <si>
    <t xml:space="preserve">VERDURAS Y HORTALIZAS; VARIEDAD: MORRON VERDE, ESTADO: NATURAL, PRESENTACION: GRANEL, 
PESO APROX 12 KG. CAJON  </t>
  </si>
  <si>
    <t xml:space="preserve">VERDURA MORRON VERDE EN CAJON X 12 KG. APROXIMADOS  
</t>
  </si>
  <si>
    <t xml:space="preserve">MORRON VERDE, ESTADO: NATURAL, PRESENTACION: CAJON </t>
  </si>
  <si>
    <t xml:space="preserve">morron verde </t>
  </si>
  <si>
    <t xml:space="preserve">29 </t>
  </si>
  <si>
    <t xml:space="preserve">2.1.1-542.236 </t>
  </si>
  <si>
    <t xml:space="preserve">QUESOS; TIPO: CREMOSO, PRESENTACION: AL PESO, ELEM. TRANSPORTE: SIN, MATERIAL 
ELEM. TRANSPORTE: SIN, MATERIAL ENVASE: SIN, CERTIFICADO FORESTAL (GFS): SIN, 
LIBRE DE GLUTEN: A DEFINIR </t>
  </si>
  <si>
    <t xml:space="preserve">  QUESOS; TIPO: CREMOSO, PRESENTACION: AL PESO, ELEM. TRANSPORTE: 
SIN, MATERIAL ELEM. TRANSPORTE: SIN, MATERIAL ENVASE: SIN, CERTIFICADO FORESTAL 
(GFS): SIN, LIBRE DE GLUTEN: A DEFINIR </t>
  </si>
  <si>
    <t xml:space="preserve">QUESO CREMOSO TREMBLAY X KG. APTO PARA CELIACO SIN TACC. 
 </t>
  </si>
  <si>
    <t xml:space="preserve">QUESOS; TIPO: CREMOSO, PRESENTACION: AL PESO, X KG MARCA TREGAR 
</t>
  </si>
  <si>
    <t xml:space="preserve">30 </t>
  </si>
  <si>
    <t xml:space="preserve">2.1.1-542.240 </t>
  </si>
  <si>
    <t xml:space="preserve">QUESOS; TIPO: SARDO, PRESENTACION: HORMA, ELEM. TRANSPORTE: SIN, MATERIAL ELEM. 
TRANSPORTE: SIN, MATERIAL ENVASE: SIN, CERTIFICADO FORESTAL (GFS): SIN, LIBRE 
DE GLUTEN: A DEFINIR </t>
  </si>
  <si>
    <t xml:space="preserve">  QUESOS; TIPO: SARDO, PRESENTACION: HORMA, ELEM. TRANSPORTE: SIN, 
MATERIAL ELEM. TRANSPORTE: SIN, MATERIAL ENVASE: SIN, CERTIFICADO FORESTAL (GFS): 
SIN, LIBRE DE GLUTEN: A DEFINIR </t>
  </si>
  <si>
    <t xml:space="preserve">QUESO SARDO TREMBLAY EN HORMAS X 2.8 KG. APROXIMADOS APTO 
PARA CELIACO SIN TACC  </t>
  </si>
  <si>
    <t xml:space="preserve">  QUESOS; TIPO: SARDO, PRESENTACION: HORMA  APROX. 2,5 
A 3 KG MARCA TREGAR </t>
  </si>
  <si>
    <t xml:space="preserve">31 </t>
  </si>
  <si>
    <t xml:space="preserve">2.1.1-542.225 </t>
  </si>
  <si>
    <t xml:space="preserve">QUESOS; TIPO: TYBO, PRESENTACION: ENVASE X 1 Kg, ELEM. TRANSPORTE: 
SIN, MATERIAL ELEM. TRANSPORTE: SIN, MATERIAL ENVASE: POLIESTIRENO, CERTIFICADO FORESTAL 
(GFS): SIN, LIBRE DE GLUTEN: SI </t>
  </si>
  <si>
    <t xml:space="preserve">QUESO TYBO TREMBLAY X KG. APTO PARA CELIACO SIN TACC. 
</t>
  </si>
  <si>
    <t xml:space="preserve">QUESOS; TIPO: TYBO, PRESENTACION: ENVASE X 1 Kg MARCA TREGAR 
</t>
  </si>
  <si>
    <t xml:space="preserve">32 </t>
  </si>
  <si>
    <t xml:space="preserve">2.1.1-707.38 </t>
  </si>
  <si>
    <t xml:space="preserve">PASTAS FRESCAS; VARIEDAD: RAVIOL, RELLENO: VERDURA Y POLLO, PRESENTACION: ENVASE 
X 500 GR </t>
  </si>
  <si>
    <t xml:space="preserve">PASTAS RAVIOLES DE VERDURA - POLLO DIS PASCUALLE X 500 
GRS.  </t>
  </si>
  <si>
    <t xml:space="preserve">RAVIOL, RELLENO: VERDURA Y POLLO, PRESENTACION: ENVASE X 500 GR 
 MARCA DI PASCUALI </t>
  </si>
  <si>
    <t xml:space="preserve">33 </t>
  </si>
  <si>
    <t xml:space="preserve">2.1.1-2610.1 </t>
  </si>
  <si>
    <t xml:space="preserve">TAPAS P/EMPANADAS; TIPO: P/HORNO, PRESENTACION: BOLSA X 12 </t>
  </si>
  <si>
    <t xml:space="preserve">TAPAS DE EMPANADAS DIS PASCUALLES X 12 UND. CON SEPARADORES 
 </t>
  </si>
  <si>
    <t xml:space="preserve">TAPAS P/EMPANADAS; TIPO: P/HORNO, PRESENTACION: BOLSA X 12 MARCA DI 
PASCUALI </t>
  </si>
  <si>
    <t xml:space="preserve">34 </t>
  </si>
  <si>
    <t xml:space="preserve">2.1.1-2429.4 </t>
  </si>
  <si>
    <t xml:space="preserve">TAPAS P/TARTAS; TIPO: REDONDA, MASA: HOJALDRE, PRESENTACION: ENVASE X 400 
GR </t>
  </si>
  <si>
    <t xml:space="preserve">TAPA PARA TARTA HOGALDRADA DIS PASCUALLE  </t>
  </si>
  <si>
    <t xml:space="preserve">TAPAS P/TARTAS; TIPO: REDONDA, MASA: HOJALDRE, PRESENTACION: ENVASE X 400 
GR MARCA DI PASCUALI </t>
  </si>
  <si>
    <t xml:space="preserve">35 </t>
  </si>
  <si>
    <t xml:space="preserve">2.1.1-6546.18 </t>
  </si>
  <si>
    <t xml:space="preserve">VERDURAS Y HORTALIZAS; VARIEDAD: TOMATE REDONDO, ESTADO: NATURAL, PRESENTACION: CAJON, 
PESO: 10 Kg </t>
  </si>
  <si>
    <t xml:space="preserve">  VERDURAS Y HORTALIZAS; VARIEDAD: TOMATE REDONDO, ESTADO: NATURAL, 
PRESENTACION: CAJON, PESO: 10 Kg </t>
  </si>
  <si>
    <t xml:space="preserve">VERDURA TOMATE REDONDO EN CAJON X 10 KG APROXIMADOS  
</t>
  </si>
  <si>
    <t xml:space="preserve">TOMATE REDONDO, ESTADO: NATURAL, PRESENTACION: CAJON, PESO: 10 Kg </t>
  </si>
  <si>
    <t xml:space="preserve">tomate cajon x 10 kg </t>
  </si>
  <si>
    <t xml:space="preserve">36 </t>
  </si>
  <si>
    <t xml:space="preserve">2.1.1-456.91 </t>
  </si>
  <si>
    <t xml:space="preserve">YOGHURT; TIPO: DESCREMADO, AGREGADO: SIN, CONSISTENCIA: FIRME, SABOR: VAINILLA-FRUTILLA, PRESENTACION: 
POTE PLASTICO X 190 mL </t>
  </si>
  <si>
    <t xml:space="preserve">YOGURT DESCREMADO SABOR VAINILLA - FRUTILLA MANFREY ( YOFRE ) 
X 150 ML.  </t>
  </si>
  <si>
    <t xml:space="preserve">YOGHURT; TIPO: DESCREMADO, AGREGADO: SIN, CONSISTENCIA: FIRME, SABOR: VAINILLA-FRUTILLA, PRESENTACION: 
POTE PLASTICO X 190 mL MARCA MANFREY </t>
  </si>
  <si>
    <t xml:space="preserve">37 </t>
  </si>
  <si>
    <t xml:space="preserve">2.1.1-456.90 </t>
  </si>
  <si>
    <t xml:space="preserve">YOGHURT; TIPO: ENTERO, AGREGADO: SIN, CONSISTENCIA: FIRME, SABOR: VAINILLA-FRUTILLA, PRESENTACION: 
POTE PLASTICO X 190 mL </t>
  </si>
  <si>
    <t xml:space="preserve">YOGURT ENTERO SABOR VAINILLA - FRUTILLA MANFREY ( YOFRE ) 
X 150 ML.  </t>
  </si>
  <si>
    <t xml:space="preserve">YOGHURT; TIPO: ENTERO, AGREGADO: SIN, CONSISTENCIA: FIRME, SABOR: VAINILLA-FRUTILLA, PRESENTACION: 
POTE PLASTICO X 190 mL MARCA MANFREY </t>
  </si>
  <si>
    <t xml:space="preserve">38 </t>
  </si>
  <si>
    <t xml:space="preserve">2.1.1-6546.403 </t>
  </si>
  <si>
    <t xml:space="preserve">VERDURAS Y HORTALIZAS; VARIEDAD: ZANAHORIA, ESTADO: NATURAL, PRESENTACION: BOLSA, PESO: 
NO CORRESPONDE, ELEM. TRANSPORTE: SIN, MATERIAL ELEM. TRANSPORTE: SIN, LIBRE 
DE GLUTEN: SI, ORGANICO: NO </t>
  </si>
  <si>
    <t xml:space="preserve">  VERDURAS Y HORTALIZAS; VARIEDAD: ZANAHORIA, ESTADO: NATURAL, PRESENTACION: 
BOLSA, PESO: NO CORRESPONDE, ELEM. TRANSPORTE: SIN, MATERIAL ELEM. TRANSPORTE: 
SIN, LIBRE DE GLUTEN: SI, ORGANICO: NO </t>
  </si>
  <si>
    <t xml:space="preserve">VERDURA ZANAHORIA EN BOLSA X 10 KG. APROXIMADOS  </t>
  </si>
  <si>
    <t xml:space="preserve">ZANAHORIA, ESTADO: NATURAL, PRESENTACION: BOLSA X10 KG </t>
  </si>
  <si>
    <t xml:space="preserve">zanahoria bolsa x 10 kg </t>
  </si>
  <si>
    <t xml:space="preserve">39 </t>
  </si>
  <si>
    <t xml:space="preserve">2.1.1-6546.151 </t>
  </si>
  <si>
    <t xml:space="preserve">VERDURAS Y HORTALIZAS; VARIEDAD: ZAPALLITO REDONDO, ESTADO: NATURAL, PRESENTACION: CAJON, 
PESO: SIN VALOR </t>
  </si>
  <si>
    <t xml:space="preserve">VERDURAS Y HORTALIZAS; VARIEDAD: ZAPALLITO REDONDO, ESTADO: NATURAL, PRESENTACION: CAJON, 
PESO : 15 KILOS APROX </t>
  </si>
  <si>
    <t xml:space="preserve">ZAPALLITO REDONDO, ESTADO: NATURAL, PRESENTACION: CAJON,  15KG </t>
  </si>
  <si>
    <t xml:space="preserve">zapalloto cajon x 15 kg </t>
  </si>
  <si>
    <t xml:space="preserve">40 </t>
  </si>
  <si>
    <t xml:space="preserve">2.1.1-6546.298 </t>
  </si>
  <si>
    <t xml:space="preserve">VERDURAS Y HORTALIZAS; VARIEDAD: ZUCHINI, ESTADO: NATURAL, PRESENTACION: CAJON, PESO: 
18 Kg </t>
  </si>
  <si>
    <t xml:space="preserve">ZUCHINI, ESTADO: NATURAL, PRESENTACION: CAJON </t>
  </si>
  <si>
    <t xml:space="preserve">zuchini cajon x 18 kg </t>
  </si>
  <si>
    <t xml:space="preserve">41 </t>
  </si>
  <si>
    <t xml:space="preserve">2.1.1-6546.162 </t>
  </si>
  <si>
    <t xml:space="preserve">VERDURAS Y HORTALIZAS; VARIEDAD: ZAPALLO CRIOLLO, ESTADO: NATURAL, PRESENTACION: UNIDAD, 
PESO: SIN VALOR </t>
  </si>
  <si>
    <t xml:space="preserve">VERDURAS Y HORTALIZAS; VARIEDAD: ZAPALLO CRIOLLO, ESTADO: NATURAL, PRESENTACION: UNIDAD, 
Estado natural presentacion UNIDAD DE 10 KGS aproximado </t>
  </si>
  <si>
    <t xml:space="preserve">VERDURA ZAPALLO CRIOLLO X UND DE 10 KG. APROXIMADOS  
</t>
  </si>
  <si>
    <t xml:space="preserve">ZAPALLO CRIOLLO, ESTADO: NATURAL, PRESENTACION: UNIDAD  DE 10 KGS 
aproximado </t>
  </si>
  <si>
    <t xml:space="preserve">zapallo criollo x 10 kg  </t>
  </si>
  <si>
    <t xml:space="preserve">42 </t>
  </si>
  <si>
    <t xml:space="preserve">2.1.1-4975.2 </t>
  </si>
  <si>
    <t xml:space="preserve">RICOTA; ENVASE: PAQUETE, PESO: 1 Kg, SABOR: SIN </t>
  </si>
  <si>
    <t xml:space="preserve">paquete x 1 kg marca aurora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</si>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</sst>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52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52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52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52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52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W9:Z52" totalsRowCount="1">
  <tableColumns count="4">
    <tableColumn id="1" xr3:uid="{00000000-0010-0000-0500-000001000000}" name="Precio unitario"/>
    <tableColumn id="2" xr3:uid="{00000000-0010-0000-0500-000002000000}" name="Cantidad ofertada"/>
    <tableColumn id="3" xr3:uid="{00000000-0010-0000-0500-000003000000}" name="Total por renglón" totalsRowFunction="sum"/>
    <tableColumn id="4" xr3:uid="{00000000-0010-0000-0500-000004000000}" name="Especificacion técnica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A9:AD52" totalsRowCount="1">
  <tableColumns count="4">
    <tableColumn id="1" xr3:uid="{00000000-0010-0000-0600-000001000000}" name="Precio unitario"/>
    <tableColumn id="2" xr3:uid="{00000000-0010-0000-0600-000002000000}" name="Cantidad ofertada"/>
    <tableColumn id="3" xr3:uid="{00000000-0010-0000-0600-000003000000}" name="Total por renglón" totalsRowFunction="sum"/>
    <tableColumn id="4" xr3:uid="{00000000-0010-0000-06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102.5703125" customWidth="1"/>
    <col min="5" max="5" width="88.28515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87.7109375" customWidth="1"/>
    <col min="11" max="11" width="14.28515625" customWidth="1"/>
    <col min="12" max="12" width="17.28515625" customWidth="1"/>
    <col min="13" max="13" width="16.5703125" customWidth="1"/>
    <col min="14" max="14" width="91.7109375" customWidth="1"/>
    <col min="15" max="15" width="14.28515625" customWidth="1"/>
    <col min="16" max="16" width="17.28515625" customWidth="1"/>
    <col min="17" max="17" width="16.5703125" customWidth="1"/>
    <col min="18" max="18" width="63.140625" customWidth="1"/>
    <col min="19" max="19" width="14.28515625" customWidth="1"/>
    <col min="20" max="20" width="17.28515625" customWidth="1"/>
    <col min="21" max="21" width="16.5703125" customWidth="1"/>
    <col min="22" max="22" width="102.5703125" customWidth="1"/>
    <col min="23" max="23" width="14.28515625" customWidth="1"/>
    <col min="24" max="24" width="17.28515625" customWidth="1"/>
    <col min="25" max="25" width="16.5703125" customWidth="1"/>
    <col min="26" max="26" width="38.85546875" customWidth="1"/>
    <col min="27" max="27" width="14.28515625" customWidth="1"/>
    <col min="28" max="28" width="17.28515625" customWidth="1"/>
    <col min="29" max="29" width="16.5703125" customWidth="1"/>
    <col min="30" max="30" width="33.5703125" customWidth="1"/>
  </cols>
  <sheetData>
    <row r="1" spans="1:30" x14ac:dyDescent="0.25">
      <c r="D1" s="2" t="s">
        <v>0</v>
      </c>
      <c r="E1" s="2" t="s">
        <v>1</v>
      </c>
    </row>
    <row r="2" spans="1:30" x14ac:dyDescent="0.25">
      <c r="D2" s="2" t="s">
        <v>2</v>
      </c>
      <c r="E2" s="2" t="s">
        <v>3</v>
      </c>
    </row>
    <row r="3" spans="1:30" x14ac:dyDescent="0.25">
      <c r="D3" s="2" t="s">
        <v>4</v>
      </c>
      <c r="E3" s="2" t="s">
        <v>5</v>
      </c>
    </row>
    <row r="4" spans="1:30" x14ac:dyDescent="0.25">
      <c r="D4" s="2" t="s">
        <v>6</v>
      </c>
      <c r="E4" s="2" t="s">
        <v>7</v>
      </c>
    </row>
    <row r="5" spans="1:30" x14ac:dyDescent="0.25">
      <c r="D5" s="2" t="s">
        <v>8</v>
      </c>
      <c r="E5" s="2" t="s">
        <v>9</v>
      </c>
    </row>
    <row r="8" spans="1:3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  <c r="W8" s="1" t="s">
        <v>15</v>
      </c>
      <c r="X8" s="1"/>
      <c r="Y8" s="1"/>
      <c r="Z8" s="1"/>
      <c r="AA8" s="1" t="s">
        <v>16</v>
      </c>
      <c r="AB8" s="1"/>
      <c r="AC8" s="1"/>
      <c r="AD8" s="1"/>
    </row>
    <row r="9" spans="1:30" x14ac:dyDescent="0.25">
      <c r="A9" t="s">
        <v>10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s="3" t="s">
        <v>22</v>
      </c>
      <c r="H9" s="3" t="s">
        <v>23</v>
      </c>
      <c r="I9" t="s">
        <v>24</v>
      </c>
      <c r="J9" t="s">
        <v>25</v>
      </c>
      <c r="K9" s="3" t="s">
        <v>22</v>
      </c>
      <c r="L9" s="3" t="s">
        <v>23</v>
      </c>
      <c r="M9" t="s">
        <v>24</v>
      </c>
      <c r="N9" t="s">
        <v>25</v>
      </c>
      <c r="O9" s="3" t="s">
        <v>22</v>
      </c>
      <c r="P9" s="3" t="s">
        <v>23</v>
      </c>
      <c r="Q9" t="s">
        <v>24</v>
      </c>
      <c r="R9" t="s">
        <v>25</v>
      </c>
      <c r="S9" s="3" t="s">
        <v>22</v>
      </c>
      <c r="T9" s="3" t="s">
        <v>23</v>
      </c>
      <c r="U9" t="s">
        <v>24</v>
      </c>
      <c r="V9" t="s">
        <v>25</v>
      </c>
      <c r="W9" s="3" t="s">
        <v>22</v>
      </c>
      <c r="X9" s="3" t="s">
        <v>23</v>
      </c>
      <c r="Y9" t="s">
        <v>24</v>
      </c>
      <c r="Z9" t="s">
        <v>25</v>
      </c>
      <c r="AA9" s="3" t="s">
        <v>22</v>
      </c>
      <c r="AB9" s="3" t="s">
        <v>23</v>
      </c>
      <c r="AC9" t="s">
        <v>24</v>
      </c>
      <c r="AD9" t="s">
        <v>25</v>
      </c>
    </row>
    <row r="10" spans="1:30" ht="30" x14ac:dyDescent="0.25">
      <c r="A10" t="s">
        <v>26</v>
      </c>
      <c r="B10" t="s">
        <v>26</v>
      </c>
      <c r="C10" t="s">
        <v>27</v>
      </c>
      <c r="D10" s="4" t="s">
        <v>28</v>
      </c>
      <c r="E10">
        <v>700</v>
      </c>
      <c r="F10" t="s">
        <v>29</v>
      </c>
      <c r="G10" s="3">
        <v>60</v>
      </c>
      <c r="H10" s="3">
        <v>700</v>
      </c>
      <c r="I10" s="5">
        <v>42000</v>
      </c>
      <c r="J10" s="4" t="s">
        <v>30</v>
      </c>
      <c r="K10" s="3">
        <v>75</v>
      </c>
      <c r="L10" s="3">
        <v>700</v>
      </c>
      <c r="M10" s="5">
        <v>52500</v>
      </c>
      <c r="N10" s="4" t="s">
        <v>31</v>
      </c>
      <c r="O10" s="3">
        <v>100</v>
      </c>
      <c r="P10" s="3">
        <v>700</v>
      </c>
      <c r="Q10" s="5">
        <v>70000</v>
      </c>
      <c r="R10" t="s">
        <v>32</v>
      </c>
      <c r="S10" s="3">
        <v>80</v>
      </c>
      <c r="T10" s="3">
        <v>700</v>
      </c>
      <c r="U10" s="5">
        <v>56000</v>
      </c>
      <c r="V10" s="4" t="s">
        <v>33</v>
      </c>
      <c r="W10" s="3">
        <v>99</v>
      </c>
      <c r="X10" s="3">
        <v>700</v>
      </c>
      <c r="Y10" s="5">
        <v>69300</v>
      </c>
      <c r="Z10" t="s">
        <v>34</v>
      </c>
      <c r="AA10" s="3"/>
      <c r="AB10" s="3"/>
      <c r="AC10" s="5"/>
    </row>
    <row r="11" spans="1:30" ht="45" x14ac:dyDescent="0.25">
      <c r="A11" t="s">
        <v>35</v>
      </c>
      <c r="B11" t="s">
        <v>26</v>
      </c>
      <c r="C11" t="s">
        <v>36</v>
      </c>
      <c r="D11" s="4" t="s">
        <v>37</v>
      </c>
      <c r="E11">
        <v>80</v>
      </c>
      <c r="F11" t="s">
        <v>29</v>
      </c>
      <c r="G11" s="3"/>
      <c r="H11" s="3"/>
      <c r="I11" s="5"/>
      <c r="K11" s="3">
        <v>2720</v>
      </c>
      <c r="L11" s="3">
        <v>80</v>
      </c>
      <c r="M11" s="5">
        <v>217600</v>
      </c>
      <c r="N11" s="4" t="s">
        <v>38</v>
      </c>
      <c r="O11" s="3">
        <v>68</v>
      </c>
      <c r="P11" s="3">
        <v>80</v>
      </c>
      <c r="Q11" s="5">
        <v>5440</v>
      </c>
      <c r="R11" t="s">
        <v>39</v>
      </c>
      <c r="S11" s="3">
        <v>88</v>
      </c>
      <c r="T11" s="3">
        <v>80</v>
      </c>
      <c r="U11" s="5">
        <v>7040</v>
      </c>
      <c r="V11" t="s">
        <v>40</v>
      </c>
      <c r="W11" s="3">
        <v>120</v>
      </c>
      <c r="X11" s="3">
        <v>80</v>
      </c>
      <c r="Y11" s="5">
        <v>9600</v>
      </c>
      <c r="Z11" t="s">
        <v>41</v>
      </c>
      <c r="AA11" s="3"/>
      <c r="AB11" s="3"/>
      <c r="AC11" s="5"/>
    </row>
    <row r="12" spans="1:30" ht="30" x14ac:dyDescent="0.25">
      <c r="A12" t="s">
        <v>42</v>
      </c>
      <c r="B12" t="s">
        <v>26</v>
      </c>
      <c r="C12" t="s">
        <v>43</v>
      </c>
      <c r="D12" s="4" t="s">
        <v>44</v>
      </c>
      <c r="E12">
        <v>800</v>
      </c>
      <c r="F12" t="s">
        <v>29</v>
      </c>
      <c r="G12" s="3"/>
      <c r="H12" s="3"/>
      <c r="I12" s="5"/>
      <c r="K12" s="3">
        <v>95</v>
      </c>
      <c r="L12" s="3">
        <v>800</v>
      </c>
      <c r="M12" s="5">
        <v>76000</v>
      </c>
      <c r="N12" s="4" t="s">
        <v>44</v>
      </c>
      <c r="O12" s="3">
        <v>120</v>
      </c>
      <c r="P12" s="3">
        <v>800</v>
      </c>
      <c r="Q12" s="5">
        <v>96000</v>
      </c>
      <c r="R12" t="s">
        <v>45</v>
      </c>
      <c r="S12" s="3">
        <v>100</v>
      </c>
      <c r="T12" s="3">
        <v>800</v>
      </c>
      <c r="U12" s="5">
        <v>80000</v>
      </c>
      <c r="V12" t="s">
        <v>46</v>
      </c>
      <c r="W12" s="3">
        <v>128</v>
      </c>
      <c r="X12" s="3">
        <v>800</v>
      </c>
      <c r="Y12" s="5">
        <v>102400</v>
      </c>
      <c r="Z12" t="s">
        <v>47</v>
      </c>
      <c r="AA12" s="3"/>
      <c r="AB12" s="3"/>
      <c r="AC12" s="5"/>
    </row>
    <row r="13" spans="1:30" ht="30" x14ac:dyDescent="0.25">
      <c r="A13" t="s">
        <v>48</v>
      </c>
      <c r="B13" t="s">
        <v>26</v>
      </c>
      <c r="C13" t="s">
        <v>49</v>
      </c>
      <c r="D13" s="4" t="s">
        <v>50</v>
      </c>
      <c r="E13">
        <v>10</v>
      </c>
      <c r="F13" t="s">
        <v>29</v>
      </c>
      <c r="G13" s="3"/>
      <c r="H13" s="3"/>
      <c r="I13" s="5"/>
      <c r="K13" s="3">
        <v>135</v>
      </c>
      <c r="L13" s="3">
        <v>10</v>
      </c>
      <c r="M13" s="5">
        <v>1350</v>
      </c>
      <c r="N13" s="4" t="s">
        <v>51</v>
      </c>
      <c r="O13" s="3">
        <v>350</v>
      </c>
      <c r="P13" s="3">
        <v>10</v>
      </c>
      <c r="Q13" s="5">
        <v>3500</v>
      </c>
      <c r="R13" t="s">
        <v>52</v>
      </c>
      <c r="S13" s="3">
        <v>400</v>
      </c>
      <c r="T13" s="3">
        <v>10</v>
      </c>
      <c r="U13" s="5">
        <v>4000</v>
      </c>
      <c r="V13" t="s">
        <v>53</v>
      </c>
      <c r="W13" s="3">
        <v>398</v>
      </c>
      <c r="X13" s="3">
        <v>10</v>
      </c>
      <c r="Y13" s="5">
        <v>3980</v>
      </c>
      <c r="Z13" t="s">
        <v>54</v>
      </c>
      <c r="AA13" s="3"/>
      <c r="AB13" s="3"/>
      <c r="AC13" s="5"/>
    </row>
    <row r="14" spans="1:30" ht="30" x14ac:dyDescent="0.25">
      <c r="A14" t="s">
        <v>55</v>
      </c>
      <c r="B14" t="s">
        <v>26</v>
      </c>
      <c r="C14" t="s">
        <v>56</v>
      </c>
      <c r="D14" s="4" t="s">
        <v>57</v>
      </c>
      <c r="E14">
        <v>14</v>
      </c>
      <c r="F14" t="s">
        <v>29</v>
      </c>
      <c r="G14" s="3">
        <v>5250</v>
      </c>
      <c r="H14" s="3">
        <v>14</v>
      </c>
      <c r="I14" s="5">
        <v>73500</v>
      </c>
      <c r="J14" s="4" t="s">
        <v>58</v>
      </c>
      <c r="K14" s="3">
        <v>3200</v>
      </c>
      <c r="L14" s="3">
        <v>14</v>
      </c>
      <c r="M14" s="5">
        <v>44800</v>
      </c>
      <c r="N14" s="4" t="s">
        <v>59</v>
      </c>
      <c r="O14" s="3">
        <v>4800</v>
      </c>
      <c r="P14" s="3">
        <v>14</v>
      </c>
      <c r="Q14" s="5">
        <v>67200</v>
      </c>
      <c r="R14" t="s">
        <v>60</v>
      </c>
      <c r="S14" s="3">
        <v>7400</v>
      </c>
      <c r="T14" s="3">
        <v>14</v>
      </c>
      <c r="U14" s="5">
        <v>103600</v>
      </c>
      <c r="V14" t="s">
        <v>61</v>
      </c>
      <c r="W14" s="3">
        <v>6900</v>
      </c>
      <c r="X14" s="3">
        <v>14</v>
      </c>
      <c r="Y14" s="5">
        <v>96600</v>
      </c>
      <c r="Z14" t="s">
        <v>62</v>
      </c>
      <c r="AA14" s="3"/>
      <c r="AB14" s="3"/>
      <c r="AC14" s="5"/>
    </row>
    <row r="15" spans="1:30" ht="30" x14ac:dyDescent="0.25">
      <c r="A15" t="s">
        <v>63</v>
      </c>
      <c r="B15" t="s">
        <v>26</v>
      </c>
      <c r="C15" t="s">
        <v>64</v>
      </c>
      <c r="D15" s="4" t="s">
        <v>65</v>
      </c>
      <c r="E15">
        <v>10</v>
      </c>
      <c r="F15" t="s">
        <v>29</v>
      </c>
      <c r="G15" s="3"/>
      <c r="H15" s="3"/>
      <c r="I15" s="5"/>
      <c r="K15" s="3">
        <v>375</v>
      </c>
      <c r="L15" s="3">
        <v>10</v>
      </c>
      <c r="M15" s="5">
        <v>3750</v>
      </c>
      <c r="N15" s="4" t="s">
        <v>65</v>
      </c>
      <c r="O15" s="3">
        <v>2500</v>
      </c>
      <c r="P15" s="3">
        <v>10</v>
      </c>
      <c r="Q15" s="5">
        <v>25000</v>
      </c>
      <c r="R15" t="s">
        <v>66</v>
      </c>
      <c r="S15" s="3">
        <v>2800</v>
      </c>
      <c r="T15" s="3">
        <v>10</v>
      </c>
      <c r="U15" s="5">
        <v>28000</v>
      </c>
      <c r="V15" t="s">
        <v>67</v>
      </c>
      <c r="W15" s="3">
        <v>1590</v>
      </c>
      <c r="X15" s="3">
        <v>10</v>
      </c>
      <c r="Y15" s="5">
        <v>15900</v>
      </c>
      <c r="Z15" t="s">
        <v>68</v>
      </c>
      <c r="AA15" s="3"/>
      <c r="AB15" s="3"/>
      <c r="AC15" s="5"/>
    </row>
    <row r="16" spans="1:30" ht="30" x14ac:dyDescent="0.25">
      <c r="A16" t="s">
        <v>69</v>
      </c>
      <c r="B16" t="s">
        <v>26</v>
      </c>
      <c r="C16" t="s">
        <v>70</v>
      </c>
      <c r="D16" s="4" t="s">
        <v>71</v>
      </c>
      <c r="E16">
        <v>2</v>
      </c>
      <c r="F16" t="s">
        <v>29</v>
      </c>
      <c r="G16" s="3"/>
      <c r="H16" s="3"/>
      <c r="I16" s="5"/>
      <c r="K16" s="3"/>
      <c r="L16" s="3"/>
      <c r="M16" s="5"/>
      <c r="O16" s="3">
        <v>1750</v>
      </c>
      <c r="P16" s="3">
        <v>2</v>
      </c>
      <c r="Q16" s="5">
        <v>3500</v>
      </c>
      <c r="R16" t="s">
        <v>72</v>
      </c>
      <c r="S16" s="3">
        <v>1800</v>
      </c>
      <c r="T16" s="3">
        <v>2</v>
      </c>
      <c r="U16" s="5">
        <v>3600</v>
      </c>
      <c r="V16" t="s">
        <v>73</v>
      </c>
      <c r="W16" s="3">
        <v>1790</v>
      </c>
      <c r="X16" s="3">
        <v>2</v>
      </c>
      <c r="Y16" s="5">
        <v>3580</v>
      </c>
      <c r="Z16" t="s">
        <v>74</v>
      </c>
      <c r="AA16" s="3"/>
      <c r="AB16" s="3"/>
      <c r="AC16" s="5"/>
    </row>
    <row r="17" spans="1:30" ht="30" x14ac:dyDescent="0.25">
      <c r="A17" t="s">
        <v>75</v>
      </c>
      <c r="B17" t="s">
        <v>26</v>
      </c>
      <c r="C17" t="s">
        <v>76</v>
      </c>
      <c r="D17" t="s">
        <v>77</v>
      </c>
      <c r="E17">
        <v>300</v>
      </c>
      <c r="F17" t="s">
        <v>29</v>
      </c>
      <c r="G17" s="3">
        <v>1750</v>
      </c>
      <c r="H17" s="3">
        <v>300</v>
      </c>
      <c r="I17" s="5">
        <v>525000</v>
      </c>
      <c r="J17" s="4" t="s">
        <v>78</v>
      </c>
      <c r="K17" s="3">
        <v>2384</v>
      </c>
      <c r="L17" s="3">
        <v>300</v>
      </c>
      <c r="M17" s="5">
        <v>715200</v>
      </c>
      <c r="N17" s="4" t="s">
        <v>79</v>
      </c>
      <c r="O17" s="3">
        <v>1510</v>
      </c>
      <c r="P17" s="3">
        <v>300</v>
      </c>
      <c r="Q17" s="5">
        <v>453000</v>
      </c>
      <c r="R17" t="s">
        <v>80</v>
      </c>
      <c r="S17" s="3">
        <v>1870</v>
      </c>
      <c r="T17" s="3">
        <v>300</v>
      </c>
      <c r="U17" s="5">
        <v>561000</v>
      </c>
      <c r="V17" t="s">
        <v>77</v>
      </c>
      <c r="W17" s="3"/>
      <c r="X17" s="3"/>
      <c r="Y17" s="5"/>
      <c r="AA17" s="3">
        <v>1599</v>
      </c>
      <c r="AB17" s="3">
        <v>300</v>
      </c>
      <c r="AC17" s="5">
        <v>479700</v>
      </c>
      <c r="AD17" t="s">
        <v>81</v>
      </c>
    </row>
    <row r="18" spans="1:30" ht="30" x14ac:dyDescent="0.25">
      <c r="A18" t="s">
        <v>82</v>
      </c>
      <c r="B18" t="s">
        <v>26</v>
      </c>
      <c r="C18" t="s">
        <v>83</v>
      </c>
      <c r="D18" t="s">
        <v>84</v>
      </c>
      <c r="E18">
        <v>150</v>
      </c>
      <c r="F18" t="s">
        <v>29</v>
      </c>
      <c r="G18" s="3">
        <v>1100</v>
      </c>
      <c r="H18" s="3">
        <v>150</v>
      </c>
      <c r="I18" s="5">
        <v>165000</v>
      </c>
      <c r="J18" t="s">
        <v>84</v>
      </c>
      <c r="K18" s="3">
        <v>1950</v>
      </c>
      <c r="L18" s="3">
        <v>150</v>
      </c>
      <c r="M18" s="5">
        <v>292500</v>
      </c>
      <c r="N18" s="4" t="s">
        <v>85</v>
      </c>
      <c r="O18" s="3">
        <v>1030</v>
      </c>
      <c r="P18" s="3">
        <v>150</v>
      </c>
      <c r="Q18" s="5">
        <v>154500</v>
      </c>
      <c r="R18" t="s">
        <v>86</v>
      </c>
      <c r="S18" s="3">
        <v>1070</v>
      </c>
      <c r="T18" s="3">
        <v>150</v>
      </c>
      <c r="U18" s="5">
        <v>160500</v>
      </c>
      <c r="V18" s="4" t="s">
        <v>87</v>
      </c>
      <c r="W18" s="3"/>
      <c r="X18" s="3"/>
      <c r="Y18" s="5"/>
      <c r="AA18" s="3"/>
      <c r="AB18" s="3"/>
      <c r="AC18" s="5"/>
    </row>
    <row r="19" spans="1:30" ht="30" x14ac:dyDescent="0.25">
      <c r="A19" t="s">
        <v>88</v>
      </c>
      <c r="B19" t="s">
        <v>26</v>
      </c>
      <c r="C19" t="s">
        <v>89</v>
      </c>
      <c r="D19" s="4" t="s">
        <v>90</v>
      </c>
      <c r="E19">
        <v>36</v>
      </c>
      <c r="F19" t="s">
        <v>29</v>
      </c>
      <c r="G19" s="3">
        <v>4800</v>
      </c>
      <c r="H19" s="3">
        <v>36</v>
      </c>
      <c r="I19" s="5">
        <v>172800</v>
      </c>
      <c r="J19" s="4" t="s">
        <v>91</v>
      </c>
      <c r="K19" s="3">
        <v>4480</v>
      </c>
      <c r="L19" s="3">
        <v>36</v>
      </c>
      <c r="M19" s="5">
        <v>161280</v>
      </c>
      <c r="N19" s="4" t="s">
        <v>90</v>
      </c>
      <c r="O19" s="3">
        <v>5500</v>
      </c>
      <c r="P19" s="3">
        <v>36</v>
      </c>
      <c r="Q19" s="5">
        <v>198000</v>
      </c>
      <c r="R19" t="s">
        <v>92</v>
      </c>
      <c r="S19" s="3">
        <v>5600</v>
      </c>
      <c r="T19" s="3">
        <v>36</v>
      </c>
      <c r="U19" s="5">
        <v>201600</v>
      </c>
      <c r="V19" t="s">
        <v>93</v>
      </c>
      <c r="W19" s="3">
        <v>6600</v>
      </c>
      <c r="X19" s="3">
        <v>36</v>
      </c>
      <c r="Y19" s="5">
        <v>237600</v>
      </c>
      <c r="Z19" t="s">
        <v>94</v>
      </c>
      <c r="AA19" s="3"/>
      <c r="AB19" s="3"/>
      <c r="AC19" s="5"/>
    </row>
    <row r="20" spans="1:30" ht="45" x14ac:dyDescent="0.25">
      <c r="A20" t="s">
        <v>95</v>
      </c>
      <c r="B20" t="s">
        <v>26</v>
      </c>
      <c r="C20" t="s">
        <v>96</v>
      </c>
      <c r="D20" s="4" t="s">
        <v>97</v>
      </c>
      <c r="E20">
        <v>2</v>
      </c>
      <c r="F20" t="s">
        <v>29</v>
      </c>
      <c r="G20" s="3"/>
      <c r="H20" s="3"/>
      <c r="I20" s="5"/>
      <c r="K20" s="3">
        <v>2200</v>
      </c>
      <c r="L20" s="3">
        <v>2</v>
      </c>
      <c r="M20" s="5">
        <v>4400</v>
      </c>
      <c r="N20" s="4" t="s">
        <v>97</v>
      </c>
      <c r="O20" s="3">
        <v>5450</v>
      </c>
      <c r="P20" s="3">
        <v>2</v>
      </c>
      <c r="Q20" s="5">
        <v>10900</v>
      </c>
      <c r="R20" s="4" t="s">
        <v>98</v>
      </c>
      <c r="S20" s="3">
        <v>5000</v>
      </c>
      <c r="T20" s="3">
        <v>2</v>
      </c>
      <c r="U20" s="5">
        <v>10000</v>
      </c>
      <c r="V20" s="4" t="s">
        <v>99</v>
      </c>
      <c r="W20" s="3">
        <v>5500</v>
      </c>
      <c r="X20" s="3">
        <v>2</v>
      </c>
      <c r="Y20" s="5">
        <v>11000</v>
      </c>
      <c r="Z20" t="s">
        <v>100</v>
      </c>
      <c r="AA20" s="3"/>
      <c r="AB20" s="3"/>
      <c r="AC20" s="5"/>
    </row>
    <row r="21" spans="1:30" ht="30" x14ac:dyDescent="0.25">
      <c r="A21" t="s">
        <v>101</v>
      </c>
      <c r="B21" t="s">
        <v>26</v>
      </c>
      <c r="C21" t="s">
        <v>102</v>
      </c>
      <c r="D21" t="s">
        <v>103</v>
      </c>
      <c r="E21">
        <v>200</v>
      </c>
      <c r="F21" t="s">
        <v>29</v>
      </c>
      <c r="G21" s="3">
        <v>1560</v>
      </c>
      <c r="H21" s="3">
        <v>200</v>
      </c>
      <c r="I21" s="5">
        <v>312000</v>
      </c>
      <c r="J21" t="s">
        <v>103</v>
      </c>
      <c r="K21" s="3">
        <v>1990</v>
      </c>
      <c r="L21" s="3">
        <v>200</v>
      </c>
      <c r="M21" s="5">
        <v>398000</v>
      </c>
      <c r="N21" s="4" t="s">
        <v>104</v>
      </c>
      <c r="O21" s="3">
        <v>1030</v>
      </c>
      <c r="P21" s="3">
        <v>200</v>
      </c>
      <c r="Q21" s="5">
        <v>206000</v>
      </c>
      <c r="R21" t="s">
        <v>105</v>
      </c>
      <c r="S21" s="3">
        <v>1070</v>
      </c>
      <c r="T21" s="3">
        <v>200</v>
      </c>
      <c r="U21" s="5">
        <v>214000</v>
      </c>
      <c r="V21" t="s">
        <v>103</v>
      </c>
      <c r="W21" s="3"/>
      <c r="X21" s="3"/>
      <c r="Y21" s="5"/>
      <c r="AA21" s="3"/>
      <c r="AB21" s="3"/>
      <c r="AC21" s="5"/>
    </row>
    <row r="22" spans="1:30" ht="30" x14ac:dyDescent="0.25">
      <c r="A22" t="s">
        <v>106</v>
      </c>
      <c r="B22" t="s">
        <v>26</v>
      </c>
      <c r="C22" t="s">
        <v>107</v>
      </c>
      <c r="D22" t="s">
        <v>108</v>
      </c>
      <c r="E22">
        <v>150</v>
      </c>
      <c r="F22" t="s">
        <v>29</v>
      </c>
      <c r="G22" s="3">
        <v>900</v>
      </c>
      <c r="H22" s="3">
        <v>150</v>
      </c>
      <c r="I22" s="5">
        <v>135000</v>
      </c>
      <c r="J22" t="s">
        <v>108</v>
      </c>
      <c r="K22" s="3"/>
      <c r="L22" s="3"/>
      <c r="M22" s="5"/>
      <c r="O22" s="3">
        <v>1050</v>
      </c>
      <c r="P22" s="3">
        <v>150</v>
      </c>
      <c r="Q22" s="5">
        <v>157500</v>
      </c>
      <c r="R22" s="4" t="s">
        <v>109</v>
      </c>
      <c r="S22" s="3">
        <v>920</v>
      </c>
      <c r="T22" s="3">
        <v>150</v>
      </c>
      <c r="U22" s="5">
        <v>138000</v>
      </c>
      <c r="V22" t="s">
        <v>108</v>
      </c>
      <c r="W22" s="3">
        <v>1400</v>
      </c>
      <c r="X22" s="3">
        <v>150</v>
      </c>
      <c r="Y22" s="5">
        <v>210000</v>
      </c>
      <c r="Z22" t="s">
        <v>110</v>
      </c>
      <c r="AA22" s="3"/>
      <c r="AB22" s="3"/>
      <c r="AC22" s="5"/>
    </row>
    <row r="23" spans="1:30" ht="30" x14ac:dyDescent="0.25">
      <c r="A23" t="s">
        <v>111</v>
      </c>
      <c r="B23" t="s">
        <v>26</v>
      </c>
      <c r="C23" t="s">
        <v>112</v>
      </c>
      <c r="D23" t="s">
        <v>113</v>
      </c>
      <c r="E23">
        <v>40</v>
      </c>
      <c r="F23" t="s">
        <v>29</v>
      </c>
      <c r="G23" s="3">
        <v>1499</v>
      </c>
      <c r="H23" s="3">
        <v>40</v>
      </c>
      <c r="I23" s="5">
        <v>59960</v>
      </c>
      <c r="J23" t="s">
        <v>114</v>
      </c>
      <c r="K23" s="3"/>
      <c r="L23" s="3"/>
      <c r="M23" s="5"/>
      <c r="O23" s="3">
        <v>11760</v>
      </c>
      <c r="P23" s="3">
        <v>40</v>
      </c>
      <c r="Q23" s="5">
        <v>470400</v>
      </c>
      <c r="R23" s="4" t="s">
        <v>115</v>
      </c>
      <c r="S23" s="3">
        <v>1870</v>
      </c>
      <c r="T23" s="3">
        <v>40</v>
      </c>
      <c r="U23" s="5">
        <v>74800</v>
      </c>
      <c r="V23" s="4" t="s">
        <v>116</v>
      </c>
      <c r="W23" s="3"/>
      <c r="X23" s="3"/>
      <c r="Y23" s="5"/>
      <c r="AA23" s="3"/>
      <c r="AB23" s="3"/>
      <c r="AC23" s="5"/>
    </row>
    <row r="24" spans="1:30" ht="75" x14ac:dyDescent="0.25">
      <c r="A24" t="s">
        <v>117</v>
      </c>
      <c r="B24" t="s">
        <v>26</v>
      </c>
      <c r="C24" t="s">
        <v>118</v>
      </c>
      <c r="D24" s="4" t="s">
        <v>119</v>
      </c>
      <c r="E24">
        <v>10</v>
      </c>
      <c r="F24" t="s">
        <v>29</v>
      </c>
      <c r="G24" s="3">
        <v>1600</v>
      </c>
      <c r="H24" s="3">
        <v>10</v>
      </c>
      <c r="I24" s="5">
        <v>16000</v>
      </c>
      <c r="J24" s="4" t="s">
        <v>120</v>
      </c>
      <c r="K24" s="3">
        <v>1920</v>
      </c>
      <c r="L24" s="3">
        <v>10</v>
      </c>
      <c r="M24" s="5">
        <v>19200</v>
      </c>
      <c r="N24" s="4" t="s">
        <v>121</v>
      </c>
      <c r="O24" s="3">
        <v>2150</v>
      </c>
      <c r="P24" s="3">
        <v>10</v>
      </c>
      <c r="Q24" s="5">
        <v>21500</v>
      </c>
      <c r="R24" s="4" t="s">
        <v>122</v>
      </c>
      <c r="S24" s="3">
        <v>2400</v>
      </c>
      <c r="T24" s="3">
        <v>10</v>
      </c>
      <c r="U24" s="5">
        <v>24000</v>
      </c>
      <c r="V24" t="s">
        <v>123</v>
      </c>
      <c r="W24" s="3">
        <v>2150</v>
      </c>
      <c r="X24" s="3">
        <v>10</v>
      </c>
      <c r="Y24" s="5">
        <v>21500</v>
      </c>
      <c r="Z24" t="s">
        <v>124</v>
      </c>
      <c r="AA24" s="3"/>
      <c r="AB24" s="3"/>
      <c r="AC24" s="5"/>
    </row>
    <row r="25" spans="1:30" ht="30" x14ac:dyDescent="0.25">
      <c r="A25" t="s">
        <v>125</v>
      </c>
      <c r="B25" t="s">
        <v>26</v>
      </c>
      <c r="C25" t="s">
        <v>126</v>
      </c>
      <c r="D25" s="4" t="s">
        <v>127</v>
      </c>
      <c r="E25">
        <v>50</v>
      </c>
      <c r="F25" t="s">
        <v>29</v>
      </c>
      <c r="G25" s="3"/>
      <c r="H25" s="3"/>
      <c r="I25" s="5"/>
      <c r="K25" s="3">
        <v>72</v>
      </c>
      <c r="L25" s="3">
        <v>50</v>
      </c>
      <c r="M25" s="5">
        <v>3600</v>
      </c>
      <c r="N25" s="4" t="s">
        <v>127</v>
      </c>
      <c r="O25" s="3">
        <v>60</v>
      </c>
      <c r="P25" s="3">
        <v>50</v>
      </c>
      <c r="Q25" s="5">
        <v>3000</v>
      </c>
      <c r="R25" t="s">
        <v>128</v>
      </c>
      <c r="S25" s="3">
        <v>80</v>
      </c>
      <c r="T25" s="3">
        <v>50</v>
      </c>
      <c r="U25" s="5">
        <v>4000</v>
      </c>
      <c r="V25" t="s">
        <v>129</v>
      </c>
      <c r="W25" s="3">
        <v>120</v>
      </c>
      <c r="X25" s="3">
        <v>50</v>
      </c>
      <c r="Y25" s="5">
        <v>6000</v>
      </c>
      <c r="Z25" t="s">
        <v>130</v>
      </c>
      <c r="AA25" s="3"/>
      <c r="AB25" s="3"/>
      <c r="AC25" s="5"/>
    </row>
    <row r="26" spans="1:30" ht="45" x14ac:dyDescent="0.25">
      <c r="A26" t="s">
        <v>131</v>
      </c>
      <c r="B26" t="s">
        <v>26</v>
      </c>
      <c r="C26" t="s">
        <v>132</v>
      </c>
      <c r="D26" s="4" t="s">
        <v>133</v>
      </c>
      <c r="E26">
        <v>20</v>
      </c>
      <c r="F26" t="s">
        <v>29</v>
      </c>
      <c r="G26" s="3">
        <v>5250</v>
      </c>
      <c r="H26" s="3">
        <v>20</v>
      </c>
      <c r="I26" s="5">
        <v>105000</v>
      </c>
      <c r="J26" s="4" t="s">
        <v>133</v>
      </c>
      <c r="K26" s="3"/>
      <c r="L26" s="3"/>
      <c r="M26" s="5"/>
      <c r="O26" s="3">
        <v>6100</v>
      </c>
      <c r="P26" s="3">
        <v>20</v>
      </c>
      <c r="Q26" s="5">
        <v>122000</v>
      </c>
      <c r="R26" s="4" t="s">
        <v>134</v>
      </c>
      <c r="S26" s="3">
        <v>7000</v>
      </c>
      <c r="T26" s="3">
        <v>20</v>
      </c>
      <c r="U26" s="5">
        <v>140000</v>
      </c>
      <c r="V26" t="s">
        <v>135</v>
      </c>
      <c r="W26" s="3">
        <v>5990</v>
      </c>
      <c r="X26" s="3">
        <v>20</v>
      </c>
      <c r="Y26" s="5">
        <v>119800</v>
      </c>
      <c r="Z26" t="s">
        <v>136</v>
      </c>
      <c r="AA26" s="3"/>
      <c r="AB26" s="3"/>
      <c r="AC26" s="5"/>
    </row>
    <row r="27" spans="1:30" ht="30" x14ac:dyDescent="0.25">
      <c r="A27" t="s">
        <v>137</v>
      </c>
      <c r="B27" t="s">
        <v>26</v>
      </c>
      <c r="C27" t="s">
        <v>138</v>
      </c>
      <c r="D27" t="s">
        <v>139</v>
      </c>
      <c r="E27">
        <v>600</v>
      </c>
      <c r="F27" t="s">
        <v>29</v>
      </c>
      <c r="G27" s="3">
        <v>1800</v>
      </c>
      <c r="H27" s="3">
        <v>600</v>
      </c>
      <c r="I27" s="5">
        <v>1080000</v>
      </c>
      <c r="J27" t="s">
        <v>139</v>
      </c>
      <c r="K27" s="3">
        <v>2680</v>
      </c>
      <c r="L27" s="3">
        <v>600</v>
      </c>
      <c r="M27" s="5">
        <v>1608000</v>
      </c>
      <c r="N27" s="4" t="s">
        <v>140</v>
      </c>
      <c r="O27" s="3">
        <v>1600</v>
      </c>
      <c r="P27" s="3">
        <v>600</v>
      </c>
      <c r="Q27" s="5">
        <v>960000</v>
      </c>
      <c r="R27" t="s">
        <v>141</v>
      </c>
      <c r="S27" s="3">
        <v>1870</v>
      </c>
      <c r="T27" s="3">
        <v>600</v>
      </c>
      <c r="U27" s="5">
        <v>1122000</v>
      </c>
      <c r="V27" t="s">
        <v>142</v>
      </c>
      <c r="W27" s="3"/>
      <c r="X27" s="3"/>
      <c r="Y27" s="5"/>
      <c r="AA27" s="3"/>
      <c r="AB27" s="3"/>
      <c r="AC27" s="5"/>
    </row>
    <row r="28" spans="1:30" ht="30" x14ac:dyDescent="0.25">
      <c r="A28" t="s">
        <v>143</v>
      </c>
      <c r="B28" t="s">
        <v>26</v>
      </c>
      <c r="C28" t="s">
        <v>144</v>
      </c>
      <c r="D28" t="s">
        <v>145</v>
      </c>
      <c r="E28">
        <v>100</v>
      </c>
      <c r="F28" t="s">
        <v>29</v>
      </c>
      <c r="G28" s="3">
        <v>1800</v>
      </c>
      <c r="H28" s="3">
        <v>100</v>
      </c>
      <c r="I28" s="5">
        <v>180000</v>
      </c>
      <c r="J28" t="s">
        <v>145</v>
      </c>
      <c r="K28" s="3">
        <v>2960</v>
      </c>
      <c r="L28" s="3">
        <v>100</v>
      </c>
      <c r="M28" s="5">
        <v>296000</v>
      </c>
      <c r="N28" s="4" t="s">
        <v>146</v>
      </c>
      <c r="O28" s="3">
        <v>1545</v>
      </c>
      <c r="P28" s="3">
        <v>100</v>
      </c>
      <c r="Q28" s="5">
        <v>154500</v>
      </c>
      <c r="R28" t="s">
        <v>147</v>
      </c>
      <c r="S28" s="3">
        <v>1802</v>
      </c>
      <c r="T28" s="3">
        <v>100</v>
      </c>
      <c r="U28" s="5">
        <v>180200</v>
      </c>
      <c r="V28" s="4" t="s">
        <v>148</v>
      </c>
      <c r="W28" s="3"/>
      <c r="X28" s="3"/>
      <c r="Y28" s="5"/>
      <c r="AA28" s="3">
        <v>1520</v>
      </c>
      <c r="AB28" s="3">
        <v>100</v>
      </c>
      <c r="AC28" s="5">
        <v>152000</v>
      </c>
      <c r="AD28" t="s">
        <v>149</v>
      </c>
    </row>
    <row r="29" spans="1:30" ht="30" x14ac:dyDescent="0.25">
      <c r="A29" t="s">
        <v>150</v>
      </c>
      <c r="B29" t="s">
        <v>26</v>
      </c>
      <c r="C29" t="s">
        <v>151</v>
      </c>
      <c r="D29" s="4" t="s">
        <v>152</v>
      </c>
      <c r="E29">
        <v>15</v>
      </c>
      <c r="F29" t="s">
        <v>29</v>
      </c>
      <c r="G29" s="3">
        <v>1500</v>
      </c>
      <c r="H29" s="3">
        <v>15</v>
      </c>
      <c r="I29" s="5">
        <v>22500</v>
      </c>
      <c r="J29" s="4" t="s">
        <v>153</v>
      </c>
      <c r="K29" s="3">
        <v>1280</v>
      </c>
      <c r="L29" s="3">
        <v>15</v>
      </c>
      <c r="M29" s="5">
        <v>19200</v>
      </c>
      <c r="N29" s="4" t="s">
        <v>154</v>
      </c>
      <c r="O29" s="3">
        <v>1600</v>
      </c>
      <c r="P29" s="3">
        <v>15</v>
      </c>
      <c r="Q29" s="5">
        <v>24000</v>
      </c>
      <c r="R29" s="4" t="s">
        <v>155</v>
      </c>
      <c r="S29" s="3">
        <v>1600</v>
      </c>
      <c r="T29" s="3">
        <v>15</v>
      </c>
      <c r="U29" s="5">
        <v>24000</v>
      </c>
      <c r="V29" t="s">
        <v>156</v>
      </c>
      <c r="W29" s="3">
        <v>1700</v>
      </c>
      <c r="X29" s="3">
        <v>15</v>
      </c>
      <c r="Y29" s="5">
        <v>25500</v>
      </c>
      <c r="Z29" t="s">
        <v>157</v>
      </c>
      <c r="AA29" s="3"/>
      <c r="AB29" s="3"/>
      <c r="AC29" s="5"/>
    </row>
    <row r="30" spans="1:30" ht="30" x14ac:dyDescent="0.25">
      <c r="A30" t="s">
        <v>158</v>
      </c>
      <c r="B30" t="s">
        <v>26</v>
      </c>
      <c r="C30" t="s">
        <v>159</v>
      </c>
      <c r="D30" t="s">
        <v>160</v>
      </c>
      <c r="E30">
        <v>600</v>
      </c>
      <c r="F30" t="s">
        <v>29</v>
      </c>
      <c r="G30" s="3">
        <v>400</v>
      </c>
      <c r="H30" s="3">
        <v>600</v>
      </c>
      <c r="I30" s="5">
        <v>240000</v>
      </c>
      <c r="J30" s="4" t="s">
        <v>161</v>
      </c>
      <c r="K30" s="3">
        <v>300</v>
      </c>
      <c r="L30" s="3">
        <v>600</v>
      </c>
      <c r="M30" s="5">
        <v>180000</v>
      </c>
      <c r="N30" t="s">
        <v>160</v>
      </c>
      <c r="O30" s="3">
        <v>450</v>
      </c>
      <c r="P30" s="3">
        <v>600</v>
      </c>
      <c r="Q30" s="5">
        <v>270000</v>
      </c>
      <c r="R30" t="s">
        <v>162</v>
      </c>
      <c r="S30" s="3"/>
      <c r="T30" s="3"/>
      <c r="U30" s="5"/>
      <c r="W30" s="3">
        <v>420</v>
      </c>
      <c r="X30" s="3">
        <v>600</v>
      </c>
      <c r="Y30" s="5">
        <v>252000</v>
      </c>
      <c r="Z30" t="s">
        <v>163</v>
      </c>
      <c r="AA30" s="3"/>
      <c r="AB30" s="3"/>
      <c r="AC30" s="5"/>
    </row>
    <row r="31" spans="1:30" ht="30" x14ac:dyDescent="0.25">
      <c r="A31" t="s">
        <v>164</v>
      </c>
      <c r="B31" t="s">
        <v>26</v>
      </c>
      <c r="C31" t="s">
        <v>165</v>
      </c>
      <c r="D31" t="s">
        <v>166</v>
      </c>
      <c r="E31">
        <v>100</v>
      </c>
      <c r="F31" t="s">
        <v>29</v>
      </c>
      <c r="G31" s="3">
        <v>400</v>
      </c>
      <c r="H31" s="3">
        <v>100</v>
      </c>
      <c r="I31" s="5">
        <v>40000</v>
      </c>
      <c r="J31" s="4" t="s">
        <v>167</v>
      </c>
      <c r="K31" s="3">
        <v>300</v>
      </c>
      <c r="L31" s="3">
        <v>100</v>
      </c>
      <c r="M31" s="5">
        <v>30000</v>
      </c>
      <c r="N31" t="s">
        <v>166</v>
      </c>
      <c r="O31" s="3">
        <v>450</v>
      </c>
      <c r="P31" s="3">
        <v>100</v>
      </c>
      <c r="Q31" s="5">
        <v>45000</v>
      </c>
      <c r="R31" t="s">
        <v>168</v>
      </c>
      <c r="S31" s="3"/>
      <c r="T31" s="3"/>
      <c r="U31" s="5"/>
      <c r="W31" s="3">
        <v>420</v>
      </c>
      <c r="X31" s="3">
        <v>100</v>
      </c>
      <c r="Y31" s="5">
        <v>42000</v>
      </c>
      <c r="Z31" t="s">
        <v>169</v>
      </c>
      <c r="AA31" s="3"/>
      <c r="AB31" s="3"/>
      <c r="AC31" s="5"/>
    </row>
    <row r="32" spans="1:30" ht="45" x14ac:dyDescent="0.25">
      <c r="A32" t="s">
        <v>170</v>
      </c>
      <c r="B32" t="s">
        <v>26</v>
      </c>
      <c r="C32" t="s">
        <v>171</v>
      </c>
      <c r="D32" s="4" t="s">
        <v>172</v>
      </c>
      <c r="E32">
        <v>50</v>
      </c>
      <c r="F32" t="s">
        <v>29</v>
      </c>
      <c r="G32" s="3">
        <v>1650</v>
      </c>
      <c r="H32" s="3">
        <v>50</v>
      </c>
      <c r="I32" s="5">
        <v>82500</v>
      </c>
      <c r="J32" s="4" t="s">
        <v>172</v>
      </c>
      <c r="K32" s="3">
        <v>2080</v>
      </c>
      <c r="L32" s="3">
        <v>50</v>
      </c>
      <c r="M32" s="5">
        <v>104000</v>
      </c>
      <c r="N32" s="4" t="s">
        <v>172</v>
      </c>
      <c r="O32" s="3">
        <v>2000</v>
      </c>
      <c r="P32" s="3">
        <v>50</v>
      </c>
      <c r="Q32" s="5">
        <v>100000</v>
      </c>
      <c r="R32" s="4" t="s">
        <v>173</v>
      </c>
      <c r="S32" s="3">
        <v>2500</v>
      </c>
      <c r="T32" s="3">
        <v>50</v>
      </c>
      <c r="U32" s="5">
        <v>125000</v>
      </c>
      <c r="V32" t="s">
        <v>174</v>
      </c>
      <c r="W32" s="3">
        <v>2800</v>
      </c>
      <c r="X32" s="3">
        <v>50</v>
      </c>
      <c r="Y32" s="5">
        <v>140000</v>
      </c>
      <c r="Z32" t="s">
        <v>175</v>
      </c>
      <c r="AA32" s="3"/>
      <c r="AB32" s="3"/>
      <c r="AC32" s="5"/>
    </row>
    <row r="33" spans="1:29" ht="30" x14ac:dyDescent="0.25">
      <c r="A33" t="s">
        <v>176</v>
      </c>
      <c r="B33" t="s">
        <v>26</v>
      </c>
      <c r="C33" t="s">
        <v>177</v>
      </c>
      <c r="D33" t="s">
        <v>178</v>
      </c>
      <c r="E33">
        <v>300</v>
      </c>
      <c r="F33" t="s">
        <v>29</v>
      </c>
      <c r="G33" s="3">
        <v>1950</v>
      </c>
      <c r="H33" s="3">
        <v>300</v>
      </c>
      <c r="I33" s="5">
        <v>585000</v>
      </c>
      <c r="J33" t="s">
        <v>179</v>
      </c>
      <c r="K33" s="3">
        <v>3160</v>
      </c>
      <c r="L33" s="3">
        <v>300</v>
      </c>
      <c r="M33" s="5">
        <v>948000</v>
      </c>
      <c r="N33" s="4" t="s">
        <v>180</v>
      </c>
      <c r="O33" s="3">
        <v>1600</v>
      </c>
      <c r="P33" s="3">
        <v>300</v>
      </c>
      <c r="Q33" s="5">
        <v>480000</v>
      </c>
      <c r="R33" t="s">
        <v>181</v>
      </c>
      <c r="S33" s="3">
        <v>2150</v>
      </c>
      <c r="T33" s="3">
        <v>300</v>
      </c>
      <c r="U33" s="5">
        <v>645000</v>
      </c>
      <c r="V33" t="s">
        <v>182</v>
      </c>
      <c r="W33" s="3"/>
      <c r="X33" s="3"/>
      <c r="Y33" s="5"/>
      <c r="AA33" s="3"/>
      <c r="AB33" s="3"/>
      <c r="AC33" s="5"/>
    </row>
    <row r="34" spans="1:29" ht="30" x14ac:dyDescent="0.25">
      <c r="A34" t="s">
        <v>183</v>
      </c>
      <c r="B34" t="s">
        <v>26</v>
      </c>
      <c r="C34" t="s">
        <v>184</v>
      </c>
      <c r="D34" s="4" t="s">
        <v>185</v>
      </c>
      <c r="E34">
        <v>20</v>
      </c>
      <c r="F34" t="s">
        <v>29</v>
      </c>
      <c r="G34" s="3">
        <v>5250</v>
      </c>
      <c r="H34" s="3">
        <v>20</v>
      </c>
      <c r="I34" s="5">
        <v>105000</v>
      </c>
      <c r="J34" s="4" t="s">
        <v>186</v>
      </c>
      <c r="K34" s="3">
        <v>3520</v>
      </c>
      <c r="L34" s="3">
        <v>20</v>
      </c>
      <c r="M34" s="5">
        <v>70400</v>
      </c>
      <c r="N34" s="4" t="s">
        <v>187</v>
      </c>
      <c r="O34" s="3">
        <v>4050</v>
      </c>
      <c r="P34" s="3">
        <v>20</v>
      </c>
      <c r="Q34" s="5">
        <v>81000</v>
      </c>
      <c r="R34" t="s">
        <v>188</v>
      </c>
      <c r="S34" s="3">
        <v>4400</v>
      </c>
      <c r="T34" s="3">
        <v>20</v>
      </c>
      <c r="U34" s="5">
        <v>88000</v>
      </c>
      <c r="V34" t="s">
        <v>189</v>
      </c>
      <c r="W34" s="3">
        <v>4100</v>
      </c>
      <c r="X34" s="3">
        <v>20</v>
      </c>
      <c r="Y34" s="5">
        <v>82000</v>
      </c>
      <c r="Z34" t="s">
        <v>190</v>
      </c>
      <c r="AA34" s="3"/>
      <c r="AB34" s="3"/>
      <c r="AC34" s="5"/>
    </row>
    <row r="35" spans="1:29" ht="45" x14ac:dyDescent="0.25">
      <c r="A35" t="s">
        <v>191</v>
      </c>
      <c r="B35" t="s">
        <v>26</v>
      </c>
      <c r="C35" t="s">
        <v>192</v>
      </c>
      <c r="D35" s="4" t="s">
        <v>193</v>
      </c>
      <c r="E35">
        <v>50</v>
      </c>
      <c r="F35" t="s">
        <v>29</v>
      </c>
      <c r="G35" s="3">
        <v>650</v>
      </c>
      <c r="H35" s="3">
        <v>50</v>
      </c>
      <c r="I35" s="5">
        <v>32500</v>
      </c>
      <c r="J35" s="4" t="s">
        <v>193</v>
      </c>
      <c r="K35" s="3">
        <v>250</v>
      </c>
      <c r="L35" s="3">
        <v>50</v>
      </c>
      <c r="M35" s="5">
        <v>12500</v>
      </c>
      <c r="N35" s="4" t="s">
        <v>193</v>
      </c>
      <c r="O35" s="3">
        <v>100</v>
      </c>
      <c r="P35" s="3">
        <v>50</v>
      </c>
      <c r="Q35" s="5">
        <v>5000</v>
      </c>
      <c r="R35" t="s">
        <v>194</v>
      </c>
      <c r="S35" s="3">
        <v>400</v>
      </c>
      <c r="T35" s="3">
        <v>50</v>
      </c>
      <c r="U35" s="5">
        <v>20000</v>
      </c>
      <c r="V35" t="s">
        <v>195</v>
      </c>
      <c r="W35" s="3">
        <v>390</v>
      </c>
      <c r="X35" s="3">
        <v>50</v>
      </c>
      <c r="Y35" s="5">
        <v>19500</v>
      </c>
      <c r="Z35" t="s">
        <v>196</v>
      </c>
      <c r="AA35" s="3"/>
      <c r="AB35" s="3"/>
      <c r="AC35" s="5"/>
    </row>
    <row r="36" spans="1:29" ht="45" x14ac:dyDescent="0.25">
      <c r="A36" t="s">
        <v>197</v>
      </c>
      <c r="B36" t="s">
        <v>26</v>
      </c>
      <c r="C36" t="s">
        <v>198</v>
      </c>
      <c r="D36" s="4" t="s">
        <v>199</v>
      </c>
      <c r="E36">
        <v>20</v>
      </c>
      <c r="F36" t="s">
        <v>29</v>
      </c>
      <c r="G36" s="3">
        <v>3700</v>
      </c>
      <c r="H36" s="3">
        <v>20</v>
      </c>
      <c r="I36" s="5">
        <v>74000</v>
      </c>
      <c r="J36" s="4" t="s">
        <v>200</v>
      </c>
      <c r="K36" s="3">
        <v>3040</v>
      </c>
      <c r="L36" s="3">
        <v>20</v>
      </c>
      <c r="M36" s="5">
        <v>60800</v>
      </c>
      <c r="N36" s="4" t="s">
        <v>201</v>
      </c>
      <c r="O36" s="3">
        <v>4200</v>
      </c>
      <c r="P36" s="3">
        <v>20</v>
      </c>
      <c r="Q36" s="5">
        <v>84000</v>
      </c>
      <c r="R36" s="4" t="s">
        <v>202</v>
      </c>
      <c r="S36" s="3">
        <v>3800</v>
      </c>
      <c r="T36" s="3">
        <v>20</v>
      </c>
      <c r="U36" s="5">
        <v>76000</v>
      </c>
      <c r="V36" s="4" t="s">
        <v>203</v>
      </c>
      <c r="W36" s="3">
        <v>4500</v>
      </c>
      <c r="X36" s="3">
        <v>20</v>
      </c>
      <c r="Y36" s="5">
        <v>90000</v>
      </c>
      <c r="Z36" t="s">
        <v>204</v>
      </c>
      <c r="AA36" s="3"/>
      <c r="AB36" s="3"/>
      <c r="AC36" s="5"/>
    </row>
    <row r="37" spans="1:29" ht="30" x14ac:dyDescent="0.25">
      <c r="A37" t="s">
        <v>205</v>
      </c>
      <c r="B37" t="s">
        <v>26</v>
      </c>
      <c r="C37" t="s">
        <v>206</v>
      </c>
      <c r="D37" s="4" t="s">
        <v>207</v>
      </c>
      <c r="E37">
        <v>20</v>
      </c>
      <c r="F37" t="s">
        <v>29</v>
      </c>
      <c r="G37" s="3">
        <v>2100</v>
      </c>
      <c r="H37" s="3">
        <v>20</v>
      </c>
      <c r="I37" s="5">
        <v>42000</v>
      </c>
      <c r="J37" s="4" t="s">
        <v>208</v>
      </c>
      <c r="K37" s="3">
        <v>2720</v>
      </c>
      <c r="L37" s="3">
        <v>20</v>
      </c>
      <c r="M37" s="5">
        <v>54400</v>
      </c>
      <c r="N37" s="4" t="s">
        <v>209</v>
      </c>
      <c r="O37" s="3">
        <v>2500</v>
      </c>
      <c r="P37" s="3">
        <v>20</v>
      </c>
      <c r="Q37" s="5">
        <v>50000</v>
      </c>
      <c r="R37" s="4" t="s">
        <v>210</v>
      </c>
      <c r="S37" s="3">
        <v>3200</v>
      </c>
      <c r="T37" s="3">
        <v>20</v>
      </c>
      <c r="U37" s="5">
        <v>64000</v>
      </c>
      <c r="V37" t="s">
        <v>211</v>
      </c>
      <c r="W37" s="3">
        <v>2200</v>
      </c>
      <c r="X37" s="3">
        <v>20</v>
      </c>
      <c r="Y37" s="5">
        <v>44000</v>
      </c>
      <c r="Z37" t="s">
        <v>212</v>
      </c>
      <c r="AA37" s="3"/>
      <c r="AB37" s="3"/>
      <c r="AC37" s="5"/>
    </row>
    <row r="38" spans="1:29" ht="45" x14ac:dyDescent="0.25">
      <c r="A38" t="s">
        <v>213</v>
      </c>
      <c r="B38" t="s">
        <v>26</v>
      </c>
      <c r="C38" t="s">
        <v>214</v>
      </c>
      <c r="D38" s="4" t="s">
        <v>215</v>
      </c>
      <c r="E38">
        <v>200</v>
      </c>
      <c r="F38" t="s">
        <v>29</v>
      </c>
      <c r="G38" s="3">
        <v>1000</v>
      </c>
      <c r="H38" s="3">
        <v>200</v>
      </c>
      <c r="I38" s="5">
        <v>200000</v>
      </c>
      <c r="J38" s="4" t="s">
        <v>216</v>
      </c>
      <c r="K38" s="3"/>
      <c r="L38" s="3"/>
      <c r="M38" s="5"/>
      <c r="O38" s="3">
        <v>1280</v>
      </c>
      <c r="P38" s="3">
        <v>200</v>
      </c>
      <c r="Q38" s="5">
        <v>256000</v>
      </c>
      <c r="R38" s="4" t="s">
        <v>217</v>
      </c>
      <c r="S38" s="3">
        <v>1170</v>
      </c>
      <c r="T38" s="3">
        <v>200</v>
      </c>
      <c r="U38" s="5">
        <v>234000</v>
      </c>
      <c r="V38" s="4" t="s">
        <v>218</v>
      </c>
      <c r="W38" s="3"/>
      <c r="X38" s="3"/>
      <c r="Y38" s="5"/>
      <c r="AA38" s="3"/>
      <c r="AB38" s="3"/>
      <c r="AC38" s="5"/>
    </row>
    <row r="39" spans="1:29" ht="45" x14ac:dyDescent="0.25">
      <c r="A39" t="s">
        <v>219</v>
      </c>
      <c r="B39" t="s">
        <v>26</v>
      </c>
      <c r="C39" t="s">
        <v>220</v>
      </c>
      <c r="D39" s="4" t="s">
        <v>221</v>
      </c>
      <c r="E39">
        <v>12</v>
      </c>
      <c r="F39" t="s">
        <v>29</v>
      </c>
      <c r="G39" s="3">
        <v>1900</v>
      </c>
      <c r="H39" s="3">
        <v>12</v>
      </c>
      <c r="I39" s="5">
        <v>22800</v>
      </c>
      <c r="J39" s="4" t="s">
        <v>222</v>
      </c>
      <c r="K39" s="3"/>
      <c r="L39" s="3"/>
      <c r="M39" s="5"/>
      <c r="O39" s="3">
        <v>5650</v>
      </c>
      <c r="P39" s="3">
        <v>12</v>
      </c>
      <c r="Q39" s="5">
        <v>67800</v>
      </c>
      <c r="R39" s="4" t="s">
        <v>223</v>
      </c>
      <c r="S39" s="3">
        <v>6120</v>
      </c>
      <c r="T39" s="3">
        <v>12</v>
      </c>
      <c r="U39" s="5">
        <v>73440</v>
      </c>
      <c r="V39" s="4" t="s">
        <v>224</v>
      </c>
      <c r="W39" s="3"/>
      <c r="X39" s="3"/>
      <c r="Y39" s="5"/>
      <c r="AA39" s="3"/>
      <c r="AB39" s="3"/>
      <c r="AC39" s="5"/>
    </row>
    <row r="40" spans="1:29" ht="60" x14ac:dyDescent="0.25">
      <c r="A40" t="s">
        <v>225</v>
      </c>
      <c r="B40" t="s">
        <v>26</v>
      </c>
      <c r="C40" t="s">
        <v>226</v>
      </c>
      <c r="D40" s="4" t="s">
        <v>227</v>
      </c>
      <c r="E40">
        <v>40</v>
      </c>
      <c r="F40" t="s">
        <v>29</v>
      </c>
      <c r="G40" s="3">
        <v>1300</v>
      </c>
      <c r="H40" s="3">
        <v>40</v>
      </c>
      <c r="I40" s="5">
        <v>52000</v>
      </c>
      <c r="J40" s="4" t="s">
        <v>227</v>
      </c>
      <c r="K40" s="3"/>
      <c r="L40" s="3"/>
      <c r="M40" s="5"/>
      <c r="O40" s="3">
        <v>1850</v>
      </c>
      <c r="P40" s="3">
        <v>40</v>
      </c>
      <c r="Q40" s="5">
        <v>74000</v>
      </c>
      <c r="R40" s="4" t="s">
        <v>228</v>
      </c>
      <c r="S40" s="3">
        <v>1810</v>
      </c>
      <c r="T40" s="3">
        <v>40</v>
      </c>
      <c r="U40" s="5">
        <v>72400</v>
      </c>
      <c r="V40" s="4" t="s">
        <v>229</v>
      </c>
      <c r="W40" s="3"/>
      <c r="X40" s="3"/>
      <c r="Y40" s="5"/>
      <c r="AA40" s="3"/>
      <c r="AB40" s="3"/>
      <c r="AC40" s="5"/>
    </row>
    <row r="41" spans="1:29" ht="30" x14ac:dyDescent="0.25">
      <c r="A41" t="s">
        <v>230</v>
      </c>
      <c r="B41" t="s">
        <v>26</v>
      </c>
      <c r="C41" t="s">
        <v>231</v>
      </c>
      <c r="D41" s="4" t="s">
        <v>232</v>
      </c>
      <c r="E41">
        <v>80</v>
      </c>
      <c r="F41" t="s">
        <v>29</v>
      </c>
      <c r="G41" s="3"/>
      <c r="H41" s="3"/>
      <c r="I41" s="5"/>
      <c r="K41" s="3"/>
      <c r="L41" s="3"/>
      <c r="M41" s="5"/>
      <c r="O41" s="3">
        <v>265</v>
      </c>
      <c r="P41" s="3">
        <v>80</v>
      </c>
      <c r="Q41" s="5">
        <v>21200</v>
      </c>
      <c r="R41" s="4" t="s">
        <v>233</v>
      </c>
      <c r="S41" s="3">
        <v>396</v>
      </c>
      <c r="T41" s="3">
        <v>80</v>
      </c>
      <c r="U41" s="5">
        <v>31680</v>
      </c>
      <c r="V41" s="4" t="s">
        <v>234</v>
      </c>
      <c r="W41" s="3"/>
      <c r="X41" s="3"/>
      <c r="Y41" s="5"/>
      <c r="AA41" s="3"/>
      <c r="AB41" s="3"/>
      <c r="AC41" s="5"/>
    </row>
    <row r="42" spans="1:29" ht="45" x14ac:dyDescent="0.25">
      <c r="A42" t="s">
        <v>235</v>
      </c>
      <c r="B42" t="s">
        <v>26</v>
      </c>
      <c r="C42" t="s">
        <v>236</v>
      </c>
      <c r="D42" t="s">
        <v>237</v>
      </c>
      <c r="E42">
        <v>200</v>
      </c>
      <c r="F42" t="s">
        <v>29</v>
      </c>
      <c r="G42" s="3"/>
      <c r="H42" s="3"/>
      <c r="I42" s="5"/>
      <c r="K42" s="3"/>
      <c r="L42" s="3"/>
      <c r="M42" s="5"/>
      <c r="O42" s="3">
        <v>175</v>
      </c>
      <c r="P42" s="3">
        <v>200</v>
      </c>
      <c r="Q42" s="5">
        <v>35000</v>
      </c>
      <c r="R42" s="4" t="s">
        <v>238</v>
      </c>
      <c r="S42" s="3">
        <v>213</v>
      </c>
      <c r="T42" s="3">
        <v>200</v>
      </c>
      <c r="U42" s="5">
        <v>42600</v>
      </c>
      <c r="V42" s="4" t="s">
        <v>239</v>
      </c>
      <c r="W42" s="3"/>
      <c r="X42" s="3"/>
      <c r="Y42" s="5"/>
      <c r="AA42" s="3"/>
      <c r="AB42" s="3"/>
      <c r="AC42" s="5"/>
    </row>
    <row r="43" spans="1:29" ht="30" x14ac:dyDescent="0.25">
      <c r="A43" t="s">
        <v>240</v>
      </c>
      <c r="B43" t="s">
        <v>26</v>
      </c>
      <c r="C43" t="s">
        <v>241</v>
      </c>
      <c r="D43" s="4" t="s">
        <v>242</v>
      </c>
      <c r="E43">
        <v>120</v>
      </c>
      <c r="F43" t="s">
        <v>29</v>
      </c>
      <c r="G43" s="3"/>
      <c r="H43" s="3"/>
      <c r="I43" s="5"/>
      <c r="K43" s="3"/>
      <c r="L43" s="3"/>
      <c r="M43" s="5"/>
      <c r="O43" s="3">
        <v>220</v>
      </c>
      <c r="P43" s="3">
        <v>120</v>
      </c>
      <c r="Q43" s="5">
        <v>26400</v>
      </c>
      <c r="R43" t="s">
        <v>243</v>
      </c>
      <c r="S43" s="3">
        <v>410</v>
      </c>
      <c r="T43" s="3">
        <v>120</v>
      </c>
      <c r="U43" s="5">
        <v>49200</v>
      </c>
      <c r="V43" s="4" t="s">
        <v>244</v>
      </c>
      <c r="W43" s="3"/>
      <c r="X43" s="3"/>
      <c r="Y43" s="5"/>
      <c r="AA43" s="3"/>
      <c r="AB43" s="3"/>
      <c r="AC43" s="5"/>
    </row>
    <row r="44" spans="1:29" ht="30" x14ac:dyDescent="0.25">
      <c r="A44" t="s">
        <v>245</v>
      </c>
      <c r="B44" t="s">
        <v>26</v>
      </c>
      <c r="C44" t="s">
        <v>246</v>
      </c>
      <c r="D44" s="4" t="s">
        <v>247</v>
      </c>
      <c r="E44">
        <v>25</v>
      </c>
      <c r="F44" t="s">
        <v>29</v>
      </c>
      <c r="G44" s="3">
        <v>1100</v>
      </c>
      <c r="H44" s="3">
        <v>25</v>
      </c>
      <c r="I44" s="5">
        <v>27500</v>
      </c>
      <c r="J44" s="4" t="s">
        <v>248</v>
      </c>
      <c r="K44" s="3"/>
      <c r="L44" s="3"/>
      <c r="M44" s="5"/>
      <c r="O44" s="3">
        <v>2000</v>
      </c>
      <c r="P44" s="3">
        <v>25</v>
      </c>
      <c r="Q44" s="5">
        <v>50000</v>
      </c>
      <c r="R44" s="4" t="s">
        <v>249</v>
      </c>
      <c r="S44" s="3">
        <v>2500</v>
      </c>
      <c r="T44" s="3">
        <v>25</v>
      </c>
      <c r="U44" s="5">
        <v>62500</v>
      </c>
      <c r="V44" t="s">
        <v>250</v>
      </c>
      <c r="W44" s="3">
        <v>2000</v>
      </c>
      <c r="X44" s="3">
        <v>25</v>
      </c>
      <c r="Y44" s="5">
        <v>50000</v>
      </c>
      <c r="Z44" t="s">
        <v>251</v>
      </c>
      <c r="AA44" s="3"/>
      <c r="AB44" s="3"/>
      <c r="AC44" s="5"/>
    </row>
    <row r="45" spans="1:29" ht="45" x14ac:dyDescent="0.25">
      <c r="A45" t="s">
        <v>252</v>
      </c>
      <c r="B45" t="s">
        <v>26</v>
      </c>
      <c r="C45" t="s">
        <v>253</v>
      </c>
      <c r="D45" s="4" t="s">
        <v>254</v>
      </c>
      <c r="E45">
        <v>160</v>
      </c>
      <c r="F45" t="s">
        <v>29</v>
      </c>
      <c r="G45" s="3"/>
      <c r="H45" s="3"/>
      <c r="I45" s="5"/>
      <c r="K45" s="3"/>
      <c r="L45" s="3"/>
      <c r="M45" s="5"/>
      <c r="O45" s="3">
        <v>73.5</v>
      </c>
      <c r="P45" s="3">
        <v>160</v>
      </c>
      <c r="Q45" s="5">
        <v>11760</v>
      </c>
      <c r="R45" s="4" t="s">
        <v>255</v>
      </c>
      <c r="S45" s="3">
        <v>120</v>
      </c>
      <c r="T45" s="3">
        <v>160</v>
      </c>
      <c r="U45" s="5">
        <v>19200</v>
      </c>
      <c r="V45" s="4" t="s">
        <v>256</v>
      </c>
      <c r="W45" s="3"/>
      <c r="X45" s="3"/>
      <c r="Y45" s="5"/>
      <c r="AA45" s="3"/>
      <c r="AB45" s="3"/>
      <c r="AC45" s="5"/>
    </row>
    <row r="46" spans="1:29" ht="30" x14ac:dyDescent="0.25">
      <c r="A46" t="s">
        <v>257</v>
      </c>
      <c r="B46" t="s">
        <v>26</v>
      </c>
      <c r="C46" t="s">
        <v>258</v>
      </c>
      <c r="D46" s="4" t="s">
        <v>259</v>
      </c>
      <c r="E46">
        <v>160</v>
      </c>
      <c r="F46" t="s">
        <v>29</v>
      </c>
      <c r="G46" s="3"/>
      <c r="H46" s="3"/>
      <c r="I46" s="5"/>
      <c r="K46" s="3"/>
      <c r="L46" s="3"/>
      <c r="M46" s="5"/>
      <c r="O46" s="3">
        <v>73.5</v>
      </c>
      <c r="P46" s="3">
        <v>160</v>
      </c>
      <c r="Q46" s="5">
        <v>11760</v>
      </c>
      <c r="R46" s="4" t="s">
        <v>260</v>
      </c>
      <c r="S46" s="3">
        <v>120</v>
      </c>
      <c r="T46" s="3">
        <v>160</v>
      </c>
      <c r="U46" s="5">
        <v>19200</v>
      </c>
      <c r="V46" s="4" t="s">
        <v>261</v>
      </c>
      <c r="W46" s="3"/>
      <c r="X46" s="3"/>
      <c r="Y46" s="5"/>
      <c r="AA46" s="3"/>
      <c r="AB46" s="3"/>
      <c r="AC46" s="5"/>
    </row>
    <row r="47" spans="1:29" ht="45" x14ac:dyDescent="0.25">
      <c r="A47" t="s">
        <v>262</v>
      </c>
      <c r="B47" t="s">
        <v>26</v>
      </c>
      <c r="C47" t="s">
        <v>263</v>
      </c>
      <c r="D47" s="4" t="s">
        <v>264</v>
      </c>
      <c r="E47">
        <v>30</v>
      </c>
      <c r="F47" t="s">
        <v>29</v>
      </c>
      <c r="G47" s="3">
        <v>850</v>
      </c>
      <c r="H47" s="3">
        <v>30</v>
      </c>
      <c r="I47" s="5">
        <v>25500</v>
      </c>
      <c r="J47" s="4" t="s">
        <v>265</v>
      </c>
      <c r="K47" s="3"/>
      <c r="L47" s="3"/>
      <c r="M47" s="5"/>
      <c r="O47" s="3">
        <v>1350</v>
      </c>
      <c r="P47" s="3">
        <v>30</v>
      </c>
      <c r="Q47" s="5">
        <v>40500</v>
      </c>
      <c r="R47" t="s">
        <v>266</v>
      </c>
      <c r="S47" s="3">
        <v>800</v>
      </c>
      <c r="T47" s="3">
        <v>30</v>
      </c>
      <c r="U47" s="5">
        <v>24000</v>
      </c>
      <c r="V47" t="s">
        <v>267</v>
      </c>
      <c r="W47" s="3">
        <v>900</v>
      </c>
      <c r="X47" s="3">
        <v>30</v>
      </c>
      <c r="Y47" s="5">
        <v>27000</v>
      </c>
      <c r="Z47" t="s">
        <v>268</v>
      </c>
      <c r="AA47" s="3"/>
      <c r="AB47" s="3"/>
      <c r="AC47" s="5"/>
    </row>
    <row r="48" spans="1:29" ht="45" x14ac:dyDescent="0.25">
      <c r="A48" t="s">
        <v>269</v>
      </c>
      <c r="B48" t="s">
        <v>26</v>
      </c>
      <c r="C48" t="s">
        <v>270</v>
      </c>
      <c r="D48" s="4" t="s">
        <v>271</v>
      </c>
      <c r="E48">
        <v>12</v>
      </c>
      <c r="F48" t="s">
        <v>29</v>
      </c>
      <c r="G48" s="3"/>
      <c r="H48" s="3"/>
      <c r="I48" s="5"/>
      <c r="K48" s="3">
        <v>4480</v>
      </c>
      <c r="L48" s="3">
        <v>12</v>
      </c>
      <c r="M48" s="5">
        <v>53760</v>
      </c>
      <c r="N48" s="4" t="s">
        <v>272</v>
      </c>
      <c r="O48" s="3"/>
      <c r="P48" s="3"/>
      <c r="Q48" s="5"/>
      <c r="S48" s="3">
        <v>5000</v>
      </c>
      <c r="T48" s="3">
        <v>12</v>
      </c>
      <c r="U48" s="5">
        <v>60000</v>
      </c>
      <c r="V48" t="s">
        <v>273</v>
      </c>
      <c r="W48" s="3">
        <v>4000</v>
      </c>
      <c r="X48" s="3">
        <v>12</v>
      </c>
      <c r="Y48" s="5">
        <v>48000</v>
      </c>
      <c r="Z48" t="s">
        <v>274</v>
      </c>
      <c r="AA48" s="3"/>
      <c r="AB48" s="3"/>
      <c r="AC48" s="5"/>
    </row>
    <row r="49" spans="1:29" ht="30" x14ac:dyDescent="0.25">
      <c r="A49" t="s">
        <v>275</v>
      </c>
      <c r="B49" t="s">
        <v>26</v>
      </c>
      <c r="C49" t="s">
        <v>276</v>
      </c>
      <c r="D49" s="4" t="s">
        <v>277</v>
      </c>
      <c r="E49">
        <v>10</v>
      </c>
      <c r="F49" t="s">
        <v>29</v>
      </c>
      <c r="G49" s="3"/>
      <c r="H49" s="3"/>
      <c r="I49" s="5"/>
      <c r="K49" s="3">
        <v>4480</v>
      </c>
      <c r="L49" s="3">
        <v>10</v>
      </c>
      <c r="M49" s="5">
        <v>44800</v>
      </c>
      <c r="N49" s="4" t="s">
        <v>277</v>
      </c>
      <c r="O49" s="3"/>
      <c r="P49" s="3"/>
      <c r="Q49" s="5"/>
      <c r="S49" s="3">
        <v>5600</v>
      </c>
      <c r="T49" s="3">
        <v>10</v>
      </c>
      <c r="U49" s="5">
        <v>56000</v>
      </c>
      <c r="V49" t="s">
        <v>278</v>
      </c>
      <c r="W49" s="3">
        <v>3500</v>
      </c>
      <c r="X49" s="3">
        <v>10</v>
      </c>
      <c r="Y49" s="5">
        <v>35000</v>
      </c>
      <c r="Z49" t="s">
        <v>279</v>
      </c>
      <c r="AA49" s="3"/>
      <c r="AB49" s="3"/>
      <c r="AC49" s="5"/>
    </row>
    <row r="50" spans="1:29" ht="45" x14ac:dyDescent="0.25">
      <c r="A50" t="s">
        <v>280</v>
      </c>
      <c r="B50" t="s">
        <v>26</v>
      </c>
      <c r="C50" t="s">
        <v>281</v>
      </c>
      <c r="D50" s="4" t="s">
        <v>282</v>
      </c>
      <c r="E50">
        <v>5</v>
      </c>
      <c r="F50" t="s">
        <v>29</v>
      </c>
      <c r="G50" s="3"/>
      <c r="H50" s="3"/>
      <c r="I50" s="5"/>
      <c r="K50" s="3">
        <v>240</v>
      </c>
      <c r="L50" s="3">
        <v>5</v>
      </c>
      <c r="M50" s="5">
        <v>1200</v>
      </c>
      <c r="N50" s="4" t="s">
        <v>283</v>
      </c>
      <c r="O50" s="3">
        <v>1850</v>
      </c>
      <c r="P50" s="3">
        <v>5</v>
      </c>
      <c r="Q50" s="5">
        <v>9250</v>
      </c>
      <c r="R50" s="4" t="s">
        <v>284</v>
      </c>
      <c r="S50" s="3">
        <v>3000</v>
      </c>
      <c r="T50" s="3">
        <v>5</v>
      </c>
      <c r="U50" s="5">
        <v>15000</v>
      </c>
      <c r="V50" s="4" t="s">
        <v>285</v>
      </c>
      <c r="W50" s="3">
        <v>2000</v>
      </c>
      <c r="X50" s="3">
        <v>5</v>
      </c>
      <c r="Y50" s="5">
        <v>10000</v>
      </c>
      <c r="Z50" t="s">
        <v>286</v>
      </c>
      <c r="AA50" s="3"/>
      <c r="AB50" s="3"/>
      <c r="AC50" s="5"/>
    </row>
    <row r="51" spans="1:29" x14ac:dyDescent="0.25">
      <c r="A51" t="s">
        <v>287</v>
      </c>
      <c r="B51" t="s">
        <v>26</v>
      </c>
      <c r="C51" t="s">
        <v>288</v>
      </c>
      <c r="D51" t="s">
        <v>289</v>
      </c>
      <c r="E51">
        <v>50</v>
      </c>
      <c r="F51" t="s">
        <v>29</v>
      </c>
      <c r="G51" s="3"/>
      <c r="H51" s="3"/>
      <c r="I51" s="5"/>
      <c r="K51" s="3"/>
      <c r="L51" s="3"/>
      <c r="M51" s="5"/>
      <c r="O51" s="3"/>
      <c r="P51" s="3"/>
      <c r="Q51" s="5"/>
      <c r="S51" s="3"/>
      <c r="T51" s="3"/>
      <c r="U51" s="5"/>
      <c r="W51" s="3">
        <v>1500</v>
      </c>
      <c r="X51" s="3">
        <v>50</v>
      </c>
      <c r="Y51" s="5">
        <v>75000</v>
      </c>
      <c r="Z51" t="s">
        <v>290</v>
      </c>
      <c r="AA51" s="3"/>
      <c r="AB51" s="3"/>
      <c r="AC51" s="5"/>
    </row>
    <row r="52" spans="1:29" x14ac:dyDescent="0.25">
      <c r="C52" t="s">
        <v>291</v>
      </c>
      <c r="G52" s="3"/>
      <c r="H52" s="3"/>
      <c r="I52" s="5">
        <f>SUBTOTAL(109,Table2[Total por renglón])</f>
        <v>4417560</v>
      </c>
      <c r="K52" s="3"/>
      <c r="L52" s="3"/>
      <c r="M52" s="5">
        <f>SUBTOTAL(109,Table3[Total por renglón])</f>
        <v>5473240</v>
      </c>
      <c r="O52" s="3"/>
      <c r="P52" s="3"/>
      <c r="Q52" s="5">
        <f>SUBTOTAL(109,Table4[Total por renglón])</f>
        <v>4924610</v>
      </c>
      <c r="S52" s="3"/>
      <c r="T52" s="3"/>
      <c r="U52" s="5">
        <f>SUBTOTAL(109,Table5[Total por renglón])</f>
        <v>4913560</v>
      </c>
      <c r="W52" s="3"/>
      <c r="X52" s="3"/>
      <c r="Y52" s="5">
        <f>SUBTOTAL(109,Table6[Total por renglón])</f>
        <v>1847260</v>
      </c>
      <c r="AA52" s="3"/>
      <c r="AB52" s="3"/>
      <c r="AC52" s="5">
        <f>SUBTOTAL(109,Table7[Total por renglón])</f>
        <v>631700</v>
      </c>
    </row>
  </sheetData>
  <mergeCells count="7">
    <mergeCell ref="AA8:AD8"/>
    <mergeCell ref="A8:F8"/>
    <mergeCell ref="G8:J8"/>
    <mergeCell ref="K8:N8"/>
    <mergeCell ref="O8:R8"/>
    <mergeCell ref="S8:V8"/>
    <mergeCell ref="W8:Z8"/>
  </mergeCells>
  <pageMargins left="0.75" right="0.75" top="0.75" bottom="0.5" header="0.5" footer="0.75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JOHANA AYBAR</dc:creator>
  <cp:lastModifiedBy>COMPRAS</cp:lastModifiedBy>
  <dcterms:created xsi:type="dcterms:W3CDTF">2022-09-28T13:24:02Z</dcterms:created>
  <dcterms:modified xsi:type="dcterms:W3CDTF">2022-09-28T13:24:20Z</dcterms:modified>
</cp:coreProperties>
</file>