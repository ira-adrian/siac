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0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D12" i="1" l="1"/>
  <c r="A26" i="3" l="1"/>
  <c r="D47" i="1" l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8" i="1"/>
  <c r="D49" i="1"/>
  <c r="D50" i="1"/>
  <c r="D51" i="1"/>
  <c r="D52" i="1"/>
  <c r="D53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A10" i="3"/>
  <c r="I16" i="2"/>
  <c r="I15" i="2"/>
  <c r="I14" i="2"/>
  <c r="B14" i="2"/>
  <c r="I13" i="2"/>
  <c r="B13" i="2"/>
  <c r="K12" i="2"/>
  <c r="J12" i="2"/>
  <c r="I12" i="2"/>
  <c r="C12" i="2"/>
  <c r="B12" i="2"/>
  <c r="J5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<sst xmlns="http://schemas.openxmlformats.org/spreadsheetml/2006/main" count="773" uniqueCount="265">
  <si>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</si>
  <si>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</si>
  <si>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</si>
  <si>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</si>
  <si>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</si>
  <si>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</si>
  <si>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</si>
  <si>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</si>
  <si>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</si>
  <si>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</si>
  <si>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</si>
  <si>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</si>
  <si>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</si>
  <si>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</si>
  <si>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</si>
  <si>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</si>
  <si>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</si>
  <si>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</si>
  <si>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</si>
  <si>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</si>
  <si>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</si>
  <si>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</si>
  <si>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</si>
  <si>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</si>
  <si>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</si>
  <si>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</si>
  <si>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</si>
  <si>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</si>
  <si>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</si>
  <si>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</si>
  <si>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</si>
  <si>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</si>
  <si>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</si>
  <si>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</si>
  <si>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</si>
  <si>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</si>
  <si>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</si>
  <si>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</si>
  <si>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</si>
  <si>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</si>
  <si>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</si>
  <si>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</si>
  <si>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</si>
  <si>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</si>
  <si>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</si>
  <si>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</si>
  <si>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</si>
  <si>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</si>
  <si>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</si>
  <si>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</si>
  <si>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</si>
  <si>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</si>
  <si>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</si>
  <si>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</si>
  <si>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3.1</t>
  </si>
  <si>
    <t>1.1</t>
  </si>
  <si>
    <t>2.1.1-438.37</t>
  </si>
  <si>
    <t>ALIMENTOS</t>
  </si>
  <si>
    <t>ADEREZOS; TIPO: MAYONESA, ENVASE: BOLSA, CONTENIDO: 2,9 Kg, PRESENTACION: ENVASE X 2,9 Kg</t>
  </si>
  <si>
    <t>UNIDAD</t>
  </si>
  <si>
    <t>2.1.1-621.20</t>
  </si>
  <si>
    <t>AVES; TIPO: POLLO, PRESENTACION: CAJA X 22 Kg, EVISCERADO: SI, ELEM. TRANSPORTE: SIN, MATERIAL ELEM. TRANSPORTE: SIN, LIBRE DE GLUTEN: SIN VALOR</t>
  </si>
  <si>
    <t>CAJON</t>
  </si>
  <si>
    <t>2.1.1-621.11</t>
  </si>
  <si>
    <t>AVES; ESPECIE: PECHUGA DE POLLO, PRESENTACION: BOLSA X 2 Kg, EVISCERADO: SIN VALOR, TIPO: PECHUGA DE POLLO</t>
  </si>
  <si>
    <t>2.1.1-590.27</t>
  </si>
  <si>
    <t>PESCADOS Y FRUTOS CONGELADOS; TIPO: FILET DE MERLUZA, ENVASE: POLIESTIRENO, PRESENTACION: ENVASE X 1 Kg, ELEM. TRANSPORTE: SIN, MATERIAL ELEM. TRANSPORTE: SIN</t>
  </si>
  <si>
    <t>2.1.1-669.27</t>
  </si>
  <si>
    <t>PANES; TIPO: MIÑON, PRESENTACION: GRANEL</t>
  </si>
  <si>
    <t>KG</t>
  </si>
  <si>
    <t>2.1.1-669.51</t>
  </si>
  <si>
    <t>PANES; TIPO: FRANCES, PRESENTACION: UNIDAD</t>
  </si>
  <si>
    <t>2.1.1-669.1</t>
  </si>
  <si>
    <t>2.1.1-669.37</t>
  </si>
  <si>
    <t>PANES; TIPO: RALLADO, PRESENTACION: BOLSA X 5 Kg</t>
  </si>
  <si>
    <t>2.1.1-2430.1</t>
  </si>
  <si>
    <t>PREPIZZA; GUSTO: TOMATE, TAMAÑO: MEDIANO</t>
  </si>
  <si>
    <t>2.1.1-518.32</t>
  </si>
  <si>
    <t>TORTAS; TIPO: PIONONO, PESO: 180 GR</t>
  </si>
  <si>
    <t>2.1.1-6546.34</t>
  </si>
  <si>
    <t>VERDURAS Y HORTALIZAS; VARIEDAD: ACELGA, ESTADO: EN HOJA, PRESENTACION: ATADO, PESO: SIN VALOR</t>
  </si>
  <si>
    <t>2.1.1-6546.151</t>
  </si>
  <si>
    <t>VERDURAS Y HORTALIZAS; VARIEDAD: ZAPALLITO REDONDO, ESTADO: NATURAL, PRESENTACION: CAJON, PESO: SIN VALOR</t>
  </si>
  <si>
    <t>2.1.1-6546.49</t>
  </si>
  <si>
    <t>VERDURAS Y HORTALIZAS; VARIEDAD: CHAUCHA, PRESENTACION: GRANEL, ESTADO: NATURAL, PESO: SIN VALOR</t>
  </si>
  <si>
    <t>2.1.1-6546.39</t>
  </si>
  <si>
    <t>VERDURAS Y HORTALIZAS; VARIEDAD: CEBOLLA, ESTADO: NATURAL, PRESENTACION: BOLSA, PESO: 25 Kg</t>
  </si>
  <si>
    <t>2.1.1-6546.124</t>
  </si>
  <si>
    <t>VERDURAS Y HORTALIZAS; PESO: SIN VALOR, VARIEDAD: REMOLACHA, ESTADO: NATURAL, PRESENTACION: GRANEL</t>
  </si>
  <si>
    <t>2.1.1-6546.231</t>
  </si>
  <si>
    <t>VERDURAS Y HORTALIZAS; VARIEDAD: ZAPALLO ANCO, ESTADO: NATURAL, PRESENTACION: BOLSA, PESO: 20 Kg</t>
  </si>
  <si>
    <t>2.1.1-6546.162</t>
  </si>
  <si>
    <t>VERDURAS Y HORTALIZAS; VARIEDAD: ZAPALLO CRIOLLO, ESTADO: NATURAL, PRESENTACION: UNIDAD, PESO: SIN VALOR</t>
  </si>
  <si>
    <t>2.1.1-6546.95</t>
  </si>
  <si>
    <t>VERDURAS Y HORTALIZAS; VARIEDAD: MORRON VERDE, ESTADO: NATURAL, PRESENTACION: GRANEL, PESO: SIN VALOR</t>
  </si>
  <si>
    <t>2.1.1-6546.82</t>
  </si>
  <si>
    <t>VERDURAS Y HORTALIZAS: VARIEDAD, LECHUGA CRIOLLA, ESTADO: NATURAL, PRESENTACION: CAJON, PESO: SIN VALOR</t>
  </si>
  <si>
    <t>2.1.1-6539.20</t>
  </si>
  <si>
    <t>FRUTAS; ESTADO: NATURAL, VARIEDAD: MANZANA RED DELICIOSA, PRESENTACION: CAJON, PESO: SIN VALOR</t>
  </si>
  <si>
    <t>2.1.1-6539.30</t>
  </si>
  <si>
    <t>FRUTAS; VARIEDAD: BANANA, PRESENTACION: CAJON, ESTADO: NATURAL, PESO: SIN VALOR</t>
  </si>
  <si>
    <t>2.1.1-6539.8</t>
  </si>
  <si>
    <t>FRUTAS; VARIEDAD: NARANJA ESPECIAL, ESTADO: NATURAL, PRESENTACION: CAJON, PESO: SIN VALOR</t>
  </si>
  <si>
    <t>2.1.1-6539.32</t>
  </si>
  <si>
    <t>FRUTAS; VARIEDAD: PERA AMARILLA, ESTADO: NATURAL, PRESENTACION: CAJON, PESO: SIN VALOR</t>
  </si>
  <si>
    <t>2.1.1-6539.187</t>
  </si>
  <si>
    <t>FRUTAS; VARIEDAD: LIMON, ESTADO: NATURAL, PRESENTACION: CAJON, ELEM. TRANSPORTE: SIN, MATERIAL ELEM. TRANSPORTE: SIN, ORGANICO: NO</t>
  </si>
  <si>
    <t>2.1.1-541.27</t>
  </si>
  <si>
    <t>CARNES; ESPECIE: VACUNA, CORTE: CUADRIL, TIPO: VACUNA</t>
  </si>
  <si>
    <t>2.1.1-541.49</t>
  </si>
  <si>
    <t>CARNES; ESPECIE: VACUNA, CORTE: NALGA, TIPO: VACUNA</t>
  </si>
  <si>
    <t>2.1.1-541.7</t>
  </si>
  <si>
    <t>CARNES; ESPECIE: VACUNA, CORTE: PICADA ESPECIAL, TIPO: VACUNA</t>
  </si>
  <si>
    <t>2.1.1-541.70</t>
  </si>
  <si>
    <t>CARNES; CORTE: CARRE CON LOMO, TIPO: PORCINA, ESPECIE: PORCINA</t>
  </si>
  <si>
    <t>2.1.1-541.164</t>
  </si>
  <si>
    <t>CARNES; TIPO: PORCINA, CORTE: COSTELETA</t>
  </si>
  <si>
    <t>2.1.1-542.212</t>
  </si>
  <si>
    <t>QUESOS; TIPO: CUARTIROLO, PRESENTACION: HORMA, ELEM. TRANSPORTE: SIN, MATERIAL ELEM. TRANSPORTE: SIN, MATERIAL ENVASE: SIN,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</si>
  <si>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</si>
  <si>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</si>
  <si>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2.1.1-969.35</t>
  </si>
  <si>
    <t>FIAMBRES; TIPO: JAMON COCIDO ITALIANO, PRESENTACION: AL PESO</t>
  </si>
  <si>
    <t>2.1.1-4975.2</t>
  </si>
  <si>
    <t>RICOTA; ENVASE: PAQUETE, PESO: 1 Kg, SABOR: SIN</t>
  </si>
  <si>
    <t>2.1.1-707.35</t>
  </si>
  <si>
    <t>PASTAS FRESCAS; VARIEDAD: RAVIOL, RELLENO: RICOTA Y POLLO, PRESENTACION: ENVASE X 2 PLANCHAS</t>
  </si>
  <si>
    <t>2.1.1-2429.1</t>
  </si>
  <si>
    <t>TAPAS P/TARTAS; TIPO: REDONDA, MASA: CASERA, PRESENTACION: BOLSA</t>
  </si>
  <si>
    <t>2.1.1-2610.1</t>
  </si>
  <si>
    <t>TAPAS P/EMPANADAS; TIPO: P/HORNO, PRESENTACION: BOLSA X 12</t>
  </si>
  <si>
    <t>2.1.1-456.79</t>
  </si>
  <si>
    <t>YOGHURT; TIPO: DESCREMADO, AGREGADO: SIN, CONSISTENCIA: FIRME, SABOR: VAINILLA, PRESENTACION: POTE PLASTICO X 200 GR</t>
  </si>
  <si>
    <t>MANTENIMIENTO DE OFERTA: 45 DIAS HABILES</t>
  </si>
  <si>
    <t>Servicio de Nutricion</t>
  </si>
  <si>
    <t>Adquisición de Alimentos Perecederos</t>
  </si>
  <si>
    <t>Alimentos para Personas</t>
  </si>
  <si>
    <t>VERDURAS Y HORTALIZAS; VARIEDAD: PAPA BLANCA, ESTADO: NATURAL, PRESENTACION: BOLSA, PESO: 25 Kg</t>
  </si>
  <si>
    <t>2.1.1-6546.335</t>
  </si>
  <si>
    <t>CAJA</t>
  </si>
  <si>
    <t>VERDURAS Y HORTALIZAS; VARIEDAD: ZANAHORIA, ESTADO: NATURAL, PRESENTACION: BOLSA, PESO: NO CORRESPONDE, ELEM. TRANSPORTE: SIN, MATERIAL ELEM. TRANSPORTE: SIN, LIBRE DE GLUTEN: SI, ORGANICO: NO</t>
  </si>
  <si>
    <t>VERDURAS Y HORTALIZAS; VARIEDAD: TOMATE REDONDO, ESTADO: NATURAL, PRESENTACION: CAJON, PESO: 17 A 22 Kg, ELEM. TRANSPORTE: SIN, MATERIAL ELEM. TRANSPORTE: SIN, LIBRE DE GLUTEN: SI, ORGANICO: NO</t>
  </si>
  <si>
    <t>2.1.1-6546.390</t>
  </si>
  <si>
    <t>2.1.1-6546.403</t>
  </si>
  <si>
    <t>VERDURAS Y HORTALIZAS; VARIEDAD: CEBOLLA DE VERDEO, ESTADO: NATURAL, PRESENTACION: CAJON, PESO: 10 Kg, ELEM. TRANSPORTE: CAJON, MATERIAL ELEM. TRANSPORTE: CARTON, LIBRE DE GLUTEN: NO</t>
  </si>
  <si>
    <t>2.1.1-6546.377</t>
  </si>
  <si>
    <t>VERDURAS Y HORTALIZAS; VARIEDAD: PEREJIL, ESTADO: NATURAL, PRESENTACION: ATADO, PESO: 1 Kg</t>
  </si>
  <si>
    <t>2.1.1-6546.133</t>
  </si>
  <si>
    <t>QUESOS; TIPO: TYBO, PRESENTACION: ENVASE X 1 Kg, ELEM. TRANSPORTE: SIN, MATERIAL ELEM. TRANSPORTE: SIN, MATERIAL ENVASE: POLIESTIRENO, CERTIFICADO FORESTAL (GFS): SIN, LIBRE DE GLUTEN: SI</t>
  </si>
  <si>
    <t>2.1.1-542.225</t>
  </si>
  <si>
    <t>Descripción técnica</t>
  </si>
  <si>
    <t>Calidad Minima esperada</t>
  </si>
  <si>
    <t>Mantenimiento</t>
  </si>
  <si>
    <t>Garantia</t>
  </si>
  <si>
    <t>Especificidades Item N° 12:</t>
  </si>
  <si>
    <t>Especificidades Item N° 13:</t>
  </si>
  <si>
    <t>Especificidades Item N° 14:</t>
  </si>
  <si>
    <t>Especificidades Item N° 17: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</si>
  <si>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</si>
  <si>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</si>
  <si>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</si>
  <si>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</si>
  <si>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</si>
  <si>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</si>
  <si>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PLAZO DE ENTREGA: SEGÚN NECESIDAD DEL SERVICIO - LUGAR DE ENTREGA: SERVICIO DE NUTRICION - HOSPITAL INTERZONAL SAN JUAN BAUTISTA - AV. ILLIA ESQ. MARIANO MORENO</t>
  </si>
  <si>
    <t>2.1.1-483.37</t>
  </si>
  <si>
    <t>HUEVO DE GALLINA; TAMAÑO: GRANDE, COLOR: COLOR, PRESENTACION: 30 UN</t>
  </si>
  <si>
    <t>Especificidades Item N° 01:</t>
  </si>
  <si>
    <t xml:space="preserve">MAYONESA EN ENVASE DE 2,9 Kg APROXIMADAMENTE </t>
  </si>
  <si>
    <t>Plazos, lugares y formas de entrega</t>
  </si>
  <si>
    <t>Las entregas se realizaran en el Servicio de Nutricion -Avda. Illia y Mariano Moreno- los días lunes, miercoles y viernes de 07:00 a 08:30 horas.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</si>
  <si>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</si>
  <si>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 xml:space="preserve">Vencimiento minimo del producto 120 dias contados a partir de la fecha de entrega </t>
  </si>
  <si>
    <t xml:space="preserve">45 días habiles </t>
  </si>
  <si>
    <t>Especificidades Item N° 02:</t>
  </si>
  <si>
    <t xml:space="preserve">POLLO CAJA X 22 Kg, EVISCERADO - UNIDAD = CAJA DE 22 KG - TRANSPORTADA EN VEHICULO AUTORIZADO POR SENASA PARA TAL FIN, EL PROVEEDOR DEBERA EXHIBIR TAL DOCUMENTACION </t>
  </si>
  <si>
    <t>Ver nota adjunta respecto de la calidad de los productos y otras caracteristicas.</t>
  </si>
  <si>
    <t>Especificidades Item N° 03:</t>
  </si>
  <si>
    <t xml:space="preserve">HUEVO DE GALLINA; TAMAÑO: GRANDE, PRESENTACION EN CARTON POR 30 UNIDADES - ENTIENDASE POR UNIDAD = 30 UNIDADES </t>
  </si>
  <si>
    <t>Especificidades Item N° 04:</t>
  </si>
  <si>
    <t xml:space="preserve">PECHUGAS DE POLLO, PRESENTACION: BOLSA X 2 Kg APROXIMADAMENTE CADA UNA - TRANSPORTADA EN VEHICULO AUTORIZADO POR SENASA PARA TAL FIN, EL PROVEEDOR DEBERA EXHIBIR TAL DOCUMENTACION </t>
  </si>
  <si>
    <t>Especificidades Item N° 05:</t>
  </si>
  <si>
    <t xml:space="preserve">FILET DE MERLUZA, ENVASE X 1 Kg APROXIMADAMENTE - TRANSPORTADA EN VEHICULO AUTORIZADO POR SENASA PARA TAL FIN, EL PROVEEDOR DEBERA EXHIBIR TAL DOCUMENTACION </t>
  </si>
  <si>
    <t>Especificidades Item N° 06:</t>
  </si>
  <si>
    <t xml:space="preserve">PAN TIPO MIÑON - PRIMERA CALIDAD - TRANSPORTADO EN VEHICULO AUTORIZADO Y EQUIPADO PARA TALES FINES </t>
  </si>
  <si>
    <t>Las entregas se realizaran en el Servicio de Nutricion -Avda. Illia y Mariano Moreno- todos los días incluidos sabados, domingos y feriados a las  07:00 - se solicita puntualidad-</t>
  </si>
  <si>
    <t>Especificidades Item N° 07:</t>
  </si>
  <si>
    <t xml:space="preserve">ROSETAS SIN SAL DE 60 GRS APROXIMADAMENTE CADA UNA - TRANSPORTADO EN VEHICULO AUTORIZADO Y EQUIPADO PARA TALES FINES </t>
  </si>
  <si>
    <t>Especificidades Item N° 08:</t>
  </si>
  <si>
    <t xml:space="preserve">PAN TIPO: SALVADO DE 60 GRAMOS  - PRIMERA CALIDAD - TRANSPORTADO EN VEHICULO AUTORIZADO Y EQUIPADO PARA TALES FINES </t>
  </si>
  <si>
    <t>Especificidades Item N° 09:</t>
  </si>
  <si>
    <t>Especificidades Item N° 10:</t>
  </si>
  <si>
    <t xml:space="preserve">PREPIZZAS DE PRIMERA CALIDAD - TRANSPORTADO EN VEHICULO AUTORIZADO Y EQUIPADO PARA TALES FINES </t>
  </si>
  <si>
    <t>Ver nota adjunta respecto de la calidad de los productos y otras caracteristicas - Vencimiento minimo del producto 10 días -.</t>
  </si>
  <si>
    <t>Especificidades Item N° 11:</t>
  </si>
  <si>
    <t xml:space="preserve">PIONONO DE 180 GRAMOS DE PESO APROXIMADAMENTE CADA UNO SABOR A VAINILLA </t>
  </si>
  <si>
    <t xml:space="preserve">Ver nota adjunta respecto de la calidad de los productos y otras caracteristicas - Vencimiento minimo del producto 90 días-. </t>
  </si>
  <si>
    <t xml:space="preserve">Ver nota adjunta respecto de la calidad de los productos y otras caracteristicas. </t>
  </si>
  <si>
    <t xml:space="preserve">Ver nota adjunta respecto de la calidad de los productos y otras caracteristicas . </t>
  </si>
  <si>
    <t>Especificidades Item N° 15:</t>
  </si>
  <si>
    <t>Especificidades Item N° 16:</t>
  </si>
  <si>
    <t>Especificidades Item N° 18:</t>
  </si>
  <si>
    <t xml:space="preserve"> CEBOLLA DE VERDEO FRESCA EN CAJON DE APROXIMADAMENTE 10 Kg CADA UNO </t>
  </si>
  <si>
    <t>Especificidades Item N° 19:</t>
  </si>
  <si>
    <t>Especificidades Item N° 20:</t>
  </si>
  <si>
    <t>Especificidades Item N° 21:</t>
  </si>
  <si>
    <t xml:space="preserve">ZAPALLO ANCO EN BOLSA DE PESO APROXIMADAMENTE DE 20 Kg CADA BOLSA </t>
  </si>
  <si>
    <t>Especificidades Item N° 22:</t>
  </si>
  <si>
    <t>Especificidades Item N° 23:</t>
  </si>
  <si>
    <t xml:space="preserve"> PEREJIL FRESCO ATADOS DE APROXIMADAMENTE DE 1 Kg</t>
  </si>
  <si>
    <t>Especificidades Item N° 24:</t>
  </si>
  <si>
    <t>LECHUGA CRIOLLA HOJAS FRESCAS  (CAJON X 18 KG APROXIMADAMENTE)</t>
  </si>
  <si>
    <t>MANZANA DELICIOSA AL NATURAL TAMAÑO MEDIANO (CAJON X 20 KG APROXIMADAMENTE)</t>
  </si>
  <si>
    <t>BANANA TIPO ECUATORIANA AL NATURAL (CAJON X 25 KG APROXIMADAMENTE)</t>
  </si>
  <si>
    <t>NARANJA CRIOLLA AL NATURAL (CAJON X 20 KG APROXIMADAMENTE)</t>
  </si>
  <si>
    <t>PERAS DE AGUA TIERNA AL NATURAL (CAJON X 17 KG APROXIMADAMENTE)</t>
  </si>
  <si>
    <t>LIMÓN AL NATURAL FRESCO PARA JUGO (CAJON X 12 KG APROXIMADAMENTE)</t>
  </si>
  <si>
    <t>Especificidades Item N° 31:</t>
  </si>
  <si>
    <t xml:space="preserve">CARNES VACUNA, CUADRIL  FETEADO DE 180 A 250  GRAMOS CADA BIFE - TRANSPORTADA EN VEHICULO AUTORIZADO POR SENASA PARA TAL FIN, EL PROVEEDOR DEBERA EXHIBIR TAL DOCUMENTACION </t>
  </si>
  <si>
    <t>Especificidades Item N° 32:</t>
  </si>
  <si>
    <t>Especificidades Item N° 33:</t>
  </si>
  <si>
    <t xml:space="preserve">CARNE VACUNA PICADA ESPECIAL SIN GRASA - TRANSPORTADA EN VEHICULO AUTORIZADO POR SENASA PARA TAL FIN, EL PROVEEDOR DEBERA EXHIBIR TAL DOCUMENTACION </t>
  </si>
  <si>
    <t>Especificidades Item N° 34:</t>
  </si>
  <si>
    <t xml:space="preserve">CARRE CON LOMO DE CERDO EN UN SOLO PEDAZO - TRANSPORTADA EN VEHICULO AUTORIZADO POR SENASA PARA TAL FIN, EL PROVEEDOR DEBERA EXHIBIR TAL DOCUMENTACION </t>
  </si>
  <si>
    <t>Especificidades Item N° 35:</t>
  </si>
  <si>
    <t xml:space="preserve">COSTELETAS DE CERDO DE 200 a 300 GRAMOS APROXIMADAMENTE CADA UNA, TRANSPORTADA EN VEHICULO AUTORIZADO POR SENASA PARA TAL FIN, EL PROVEEDOR DEBERA EXHIBIR TAL DOCUMENTACION  </t>
  </si>
  <si>
    <t>Especificidades Item N° 36:</t>
  </si>
  <si>
    <t>QUESOS CUARTIROLO HORMA X 3,800 KG APROXIMADAMENTE -PRIMERA CALIDAD-.</t>
  </si>
  <si>
    <t>Especificidades Item N° 37:</t>
  </si>
  <si>
    <t>QUESOS TIPO: TYBO ENVASE X 1 Kg - PRIMERA CALIDAD</t>
  </si>
  <si>
    <t>Especificidades Item N° 38:</t>
  </si>
  <si>
    <t xml:space="preserve">QUESOS TIPO SARDO HORMA X 3 Kg APROXIMADAMENTE - PRIMERA CALIDAD -. </t>
  </si>
  <si>
    <t>Especificidades Item N° 39:</t>
  </si>
  <si>
    <t>Especificidades Item N° 40:</t>
  </si>
  <si>
    <t>Especificidades Item N° 41:</t>
  </si>
  <si>
    <t xml:space="preserve">RAVIOLES, RELLENO: RICOTA Y POLLO, PRESENTACION UNIDAD: ENVASE  X 2 PLANCHAS DE 48 RAVIOLES CADA PLANCHA, TOTAL POR UNIDAD 96 RAVIOLES </t>
  </si>
  <si>
    <t>Especificidades Item N° 42:</t>
  </si>
  <si>
    <t xml:space="preserve">TAPAS PARA TARTA CON SEPARADORES HOJALDRADAS O CRIOLLAS PARA HORNO - PRIMERA CALIDAD </t>
  </si>
  <si>
    <t>Las entregas se realizaran en el Servicio de Nutricion -Avda. Illia y Mariano Moreno- los días lunes, miercoles o viernes de 07:00 a 08:30 horas -dos veces a convenir con quien resulte adjudicado en estos items-.</t>
  </si>
  <si>
    <t>Especificidades Item N° 43:</t>
  </si>
  <si>
    <t>TAPAS PARA EMPANADAS CON SEPARADORES HOJALDRADAS O CRIOLLAS PARA HORNO  - PRIMERA CALIDAD</t>
  </si>
  <si>
    <t>Especificidades Item N° 44:</t>
  </si>
  <si>
    <t xml:space="preserve">YOGURT DESCREMADO SABOR VAINILLA EN POTE DE PLASTICO INDIVIDUAL DE APROXIMADAMENTE 200 GRS CADA UNO </t>
  </si>
  <si>
    <t xml:space="preserve"> CEBOLLA EN CABEZA - PRESENTACION BOLSA DE APROXIMADAMENTE 25 KG CADA UNA </t>
  </si>
  <si>
    <t>ZAPALLITO REDONDO VERDE FRESCO (CAJON X 15 KG APROXIMADAMENTE)</t>
  </si>
  <si>
    <t>TOMATE AL NATURAL REDONDO FRESCO (CAJON X 17 KG APROXIMADAMENTE)</t>
  </si>
  <si>
    <t xml:space="preserve">MORRON VERDE FRESCO ENTEROS EN BUEN ESTADO PRESENTACION POR KG </t>
  </si>
  <si>
    <t xml:space="preserve">JAMON COCIDO DE PRIMERA CALIDAD FETEADO - UNIDAD DE MEDIDA KG </t>
  </si>
  <si>
    <t>RICOTA SIN SABOR  PAQUETE X 1 Kg - UNIDAD - PRIMERA CALIDAD.-</t>
  </si>
  <si>
    <t>Costo total estimado: PESOS DIEZ MILLONES ONCE MIL NOVECIENTOS CON 00/100.---</t>
  </si>
  <si>
    <t>TOTAL DE PESOS: DIEZ MILLONES ONCE MIL NOVECIENTOS CON 00/100.--------</t>
  </si>
  <si>
    <t>031 -2022</t>
  </si>
  <si>
    <t xml:space="preserve">BOLSA </t>
  </si>
  <si>
    <t>PANES; PRESENTACION: GRANEL, TIPO: SALVADO</t>
  </si>
  <si>
    <t>ATADO</t>
  </si>
  <si>
    <t>ACELGA FRESCA EN HOJA - PRESENTACION: ATADO X 8 KG APROXIMADAMENTE CADA UNO</t>
  </si>
  <si>
    <t xml:space="preserve">ZANAHORIA FRESCA NATURAL BOLSA X 25 KG APROXIMADAMENTE CADA UNA </t>
  </si>
  <si>
    <t xml:space="preserve"> PAPA BLANCA EN BOLSA DE 25 Kg APROXIMADAMENTE CADA UNA</t>
  </si>
  <si>
    <t xml:space="preserve"> REMOLACHA FRESCA EN BUEN ESTADO PRESENTACION POR KG </t>
  </si>
  <si>
    <t xml:space="preserve">CHAUCHA FRESCA EN BUEN ESTADO PRESENTACION POR KG </t>
  </si>
  <si>
    <t xml:space="preserve">ZAPALLO CRIOLLO PRESENTACION POR KG, ENTRE 15 A 20 KG APROXIMADAMENTE CADA ZAPALLO </t>
  </si>
  <si>
    <t xml:space="preserve">CARNE VACUNA, NALGA FETEADA DE 180 A 250 GRAMOS CADA BIFE  - TRANSPORTADA EN VEHICULO AUTORIZADO POR SENASA PARA TAL FIN, EL PROVEEDOR DEBERA EXHIBIR TAL DOCUMENTACION </t>
  </si>
  <si>
    <t xml:space="preserve">POTE </t>
  </si>
  <si>
    <t xml:space="preserve">PAN RALLADO,  BOLSA X 5 Kg APROXIMADAMANTE - TRANSPORTADO EN VEHICULO AUTORIZADO Y EQUIPADO PARA TALES FINES  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</si>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</sst>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15" fillId="0" borderId="0" xfId="5" applyFont="1"/>
    <xf numFmtId="0" fontId="26" fillId="0" borderId="43" xfId="5" applyFont="1" applyBorder="1"/>
    <xf numFmtId="0" fontId="15" fillId="0" borderId="44" xfId="5" applyFont="1" applyBorder="1"/>
    <xf numFmtId="0" fontId="15" fillId="0" borderId="45" xfId="5" applyFont="1" applyBorder="1"/>
    <xf numFmtId="0" fontId="15" fillId="0" borderId="46" xfId="5" applyFont="1" applyBorder="1"/>
    <xf numFmtId="0" fontId="15" fillId="0" borderId="0" xfId="5" applyFont="1" applyBorder="1"/>
    <xf numFmtId="0" fontId="15" fillId="0" borderId="47" xfId="5" applyFont="1" applyBorder="1"/>
    <xf numFmtId="0" fontId="26" fillId="0" borderId="46" xfId="5" applyFont="1" applyBorder="1" applyAlignment="1">
      <alignment horizontal="left" indent="3"/>
    </xf>
    <xf numFmtId="0" fontId="15" fillId="0" borderId="46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47" xfId="5" applyFont="1" applyBorder="1" applyAlignment="1">
      <alignment horizontal="center" wrapText="1"/>
    </xf>
    <xf numFmtId="0" fontId="26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46" xfId="0" applyFont="1" applyBorder="1"/>
    <xf numFmtId="0" fontId="15" fillId="0" borderId="0" xfId="0" applyFont="1" applyBorder="1"/>
    <xf numFmtId="0" fontId="15" fillId="0" borderId="47" xfId="0" applyFont="1" applyBorder="1"/>
    <xf numFmtId="0" fontId="26" fillId="0" borderId="46" xfId="0" applyFont="1" applyBorder="1" applyAlignment="1">
      <alignment horizontal="left" indent="3"/>
    </xf>
    <xf numFmtId="0" fontId="15" fillId="0" borderId="46" xfId="0" applyFont="1" applyBorder="1" applyAlignment="1">
      <alignment horizontal="left" indent="3"/>
    </xf>
    <xf numFmtId="0" fontId="15" fillId="0" borderId="48" xfId="0" applyFont="1" applyBorder="1" applyAlignment="1">
      <alignment horizontal="left" indent="3"/>
    </xf>
    <xf numFmtId="0" fontId="15" fillId="0" borderId="49" xfId="0" applyFont="1" applyBorder="1"/>
    <xf numFmtId="0" fontId="15" fillId="0" borderId="50" xfId="0" applyFont="1" applyBorder="1"/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0" fontId="15" fillId="4" borderId="0" xfId="0" applyFont="1" applyFill="1" applyBorder="1"/>
    <xf numFmtId="0" fontId="15" fillId="4" borderId="47" xfId="0" applyFont="1" applyFill="1" applyBorder="1"/>
    <xf numFmtId="0" fontId="15" fillId="4" borderId="0" xfId="0" applyFont="1" applyFill="1" applyBorder="1" applyAlignment="1">
      <alignment horizontal="center" wrapText="1"/>
    </xf>
    <xf numFmtId="0" fontId="15" fillId="4" borderId="47" xfId="0" applyFont="1" applyFill="1" applyBorder="1" applyAlignment="1">
      <alignment horizontal="center" wrapText="1"/>
    </xf>
    <xf numFmtId="0" fontId="26" fillId="0" borderId="48" xfId="5" applyFont="1" applyBorder="1" applyAlignment="1">
      <alignment horizontal="left" indent="3"/>
    </xf>
    <xf numFmtId="0" fontId="6" fillId="3" borderId="3" xfId="0" applyFont="1" applyFill="1" applyBorder="1" applyAlignment="1">
      <alignment horizontal="center" vertical="center"/>
    </xf>
    <xf numFmtId="0" fontId="15" fillId="5" borderId="47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47" xfId="0" applyFont="1" applyFill="1" applyBorder="1" applyAlignment="1">
      <alignment horizontal="left" vertical="center" wrapText="1"/>
    </xf>
    <xf numFmtId="0" fontId="15" fillId="5" borderId="50" xfId="5" applyFont="1" applyFill="1" applyBorder="1" applyAlignment="1">
      <alignment horizontal="center"/>
    </xf>
    <xf numFmtId="0" fontId="15" fillId="5" borderId="0" xfId="5" applyFont="1" applyFill="1" applyBorder="1" applyAlignment="1">
      <alignment horizontal="center" vertical="center" wrapText="1"/>
    </xf>
    <xf numFmtId="0" fontId="15" fillId="5" borderId="47" xfId="5" applyFont="1" applyFill="1" applyBorder="1" applyAlignment="1">
      <alignment horizontal="center" vertical="center" wrapText="1"/>
    </xf>
    <xf numFmtId="0" fontId="15" fillId="5" borderId="47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6" fillId="0" borderId="46" xfId="5" applyFont="1" applyBorder="1" applyAlignment="1">
      <alignment horizontal="left" vertical="center" indent="3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21"/>
  <sheetViews>
    <sheetView topLeftCell="A706" zoomScale="85" zoomScaleNormal="85" workbookViewId="0">
      <selection activeCell="F31" sqref="F3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9" ht="18" customHeight="1" x14ac:dyDescent="0.25">
      <c r="A4" s="108" t="s">
        <v>1</v>
      </c>
      <c r="B4" s="108"/>
      <c r="C4" s="110" t="s">
        <v>51</v>
      </c>
      <c r="D4" s="110"/>
      <c r="E4" s="110"/>
      <c r="F4" s="40"/>
      <c r="G4" s="41"/>
      <c r="H4" s="40"/>
    </row>
    <row r="5" spans="1:9" ht="18" customHeight="1" x14ac:dyDescent="0.25">
      <c r="A5" s="108" t="s">
        <v>2</v>
      </c>
      <c r="B5" s="108"/>
      <c r="C5" s="110" t="s">
        <v>52</v>
      </c>
      <c r="D5" s="110"/>
      <c r="E5" s="110"/>
      <c r="F5" s="40"/>
      <c r="G5" s="41"/>
      <c r="H5" s="40"/>
    </row>
    <row r="6" spans="1:9" ht="16.5" customHeight="1" x14ac:dyDescent="0.25">
      <c r="A6" s="108" t="s">
        <v>3</v>
      </c>
      <c r="B6" s="108"/>
      <c r="C6" s="50">
        <v>2022</v>
      </c>
      <c r="D6" s="51"/>
      <c r="E6" s="51"/>
      <c r="F6" s="40"/>
      <c r="G6" s="41"/>
      <c r="H6" s="40"/>
    </row>
    <row r="7" spans="1:9" ht="16.5" customHeight="1" x14ac:dyDescent="0.25">
      <c r="A7" s="108" t="s">
        <v>4</v>
      </c>
      <c r="B7" s="108"/>
      <c r="C7" s="50">
        <v>1</v>
      </c>
      <c r="D7" s="51"/>
      <c r="E7" s="5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45" customHeight="1" thickBot="1" x14ac:dyDescent="0.25">
      <c r="A10" s="43">
        <v>1</v>
      </c>
      <c r="B10" s="47" t="s">
        <v>56</v>
      </c>
      <c r="C10" s="44" t="s">
        <v>57</v>
      </c>
      <c r="D10" s="45" t="str">
        <f>LEFT(B10,5)</f>
        <v>2.1.1</v>
      </c>
      <c r="E10" s="46" t="s">
        <v>58</v>
      </c>
      <c r="F10" s="47" t="s">
        <v>59</v>
      </c>
      <c r="G10" s="47">
        <v>15</v>
      </c>
      <c r="H10" s="48">
        <v>780</v>
      </c>
      <c r="I10" s="49">
        <f>+G10*H10</f>
        <v>11700</v>
      </c>
    </row>
    <row r="11" spans="1:9" ht="56.25" customHeight="1" thickBot="1" x14ac:dyDescent="0.25">
      <c r="A11" s="43">
        <v>2</v>
      </c>
      <c r="B11" s="47" t="s">
        <v>60</v>
      </c>
      <c r="C11" s="44" t="s">
        <v>57</v>
      </c>
      <c r="D11" s="45" t="str">
        <f t="shared" ref="D11:D53" si="0">LEFT(B11,5)</f>
        <v>2.1.1</v>
      </c>
      <c r="E11" s="46" t="s">
        <v>61</v>
      </c>
      <c r="F11" s="47" t="s">
        <v>139</v>
      </c>
      <c r="G11" s="47">
        <v>120</v>
      </c>
      <c r="H11" s="48">
        <v>6100</v>
      </c>
      <c r="I11" s="49">
        <f t="shared" ref="I11:I53" si="1">+G11*H11</f>
        <v>732000</v>
      </c>
    </row>
    <row r="12" spans="1:9" ht="31.9" customHeight="1" thickBot="1" x14ac:dyDescent="0.25">
      <c r="A12" s="43">
        <v>3</v>
      </c>
      <c r="B12" s="47" t="s">
        <v>165</v>
      </c>
      <c r="C12" s="87" t="s">
        <v>57</v>
      </c>
      <c r="D12" s="88" t="str">
        <f t="shared" si="0"/>
        <v>2.1.1</v>
      </c>
      <c r="E12" s="89" t="s">
        <v>166</v>
      </c>
      <c r="F12" s="47" t="s">
        <v>59</v>
      </c>
      <c r="G12" s="47">
        <v>1000</v>
      </c>
      <c r="H12" s="48">
        <v>400</v>
      </c>
      <c r="I12" s="49">
        <f t="shared" si="1"/>
        <v>400000</v>
      </c>
    </row>
    <row r="13" spans="1:9" ht="43.5" customHeight="1" thickBot="1" x14ac:dyDescent="0.25">
      <c r="A13" s="43">
        <v>4</v>
      </c>
      <c r="B13" s="47" t="s">
        <v>63</v>
      </c>
      <c r="C13" s="44" t="s">
        <v>57</v>
      </c>
      <c r="D13" s="45" t="str">
        <f t="shared" si="0"/>
        <v>2.1.1</v>
      </c>
      <c r="E13" s="46" t="s">
        <v>64</v>
      </c>
      <c r="F13" s="47" t="s">
        <v>252</v>
      </c>
      <c r="G13" s="47">
        <v>300</v>
      </c>
      <c r="H13" s="48">
        <v>640</v>
      </c>
      <c r="I13" s="49">
        <f t="shared" si="1"/>
        <v>192000</v>
      </c>
    </row>
    <row r="14" spans="1:9" ht="63.75" customHeight="1" thickBot="1" x14ac:dyDescent="0.25">
      <c r="A14" s="43">
        <v>5</v>
      </c>
      <c r="B14" s="47" t="s">
        <v>65</v>
      </c>
      <c r="C14" s="44" t="s">
        <v>57</v>
      </c>
      <c r="D14" s="45" t="str">
        <f t="shared" si="0"/>
        <v>2.1.1</v>
      </c>
      <c r="E14" s="46" t="s">
        <v>66</v>
      </c>
      <c r="F14" s="47" t="s">
        <v>59</v>
      </c>
      <c r="G14" s="47">
        <v>300</v>
      </c>
      <c r="H14" s="48">
        <v>828</v>
      </c>
      <c r="I14" s="49">
        <f t="shared" si="1"/>
        <v>248400</v>
      </c>
    </row>
    <row r="15" spans="1:9" ht="37.5" customHeight="1" thickBot="1" x14ac:dyDescent="0.25">
      <c r="A15" s="43">
        <v>6</v>
      </c>
      <c r="B15" s="47" t="s">
        <v>67</v>
      </c>
      <c r="C15" s="44" t="s">
        <v>57</v>
      </c>
      <c r="D15" s="45" t="str">
        <f t="shared" si="0"/>
        <v>2.1.1</v>
      </c>
      <c r="E15" s="46" t="s">
        <v>68</v>
      </c>
      <c r="F15" s="47" t="s">
        <v>69</v>
      </c>
      <c r="G15" s="47">
        <v>2000</v>
      </c>
      <c r="H15" s="48">
        <v>200</v>
      </c>
      <c r="I15" s="49">
        <f t="shared" si="1"/>
        <v>400000</v>
      </c>
    </row>
    <row r="16" spans="1:9" ht="31.9" customHeight="1" thickBot="1" x14ac:dyDescent="0.25">
      <c r="A16" s="43">
        <v>7</v>
      </c>
      <c r="B16" s="47" t="s">
        <v>70</v>
      </c>
      <c r="C16" s="44" t="s">
        <v>57</v>
      </c>
      <c r="D16" s="45" t="str">
        <f t="shared" si="0"/>
        <v>2.1.1</v>
      </c>
      <c r="E16" s="46" t="s">
        <v>71</v>
      </c>
      <c r="F16" s="47" t="s">
        <v>59</v>
      </c>
      <c r="G16" s="47">
        <v>4500</v>
      </c>
      <c r="H16" s="48">
        <v>50</v>
      </c>
      <c r="I16" s="49">
        <f t="shared" si="1"/>
        <v>225000</v>
      </c>
    </row>
    <row r="17" spans="1:9" ht="31.9" customHeight="1" thickBot="1" x14ac:dyDescent="0.25">
      <c r="A17" s="43">
        <v>8</v>
      </c>
      <c r="B17" s="47" t="s">
        <v>72</v>
      </c>
      <c r="C17" s="44" t="s">
        <v>57</v>
      </c>
      <c r="D17" s="45" t="str">
        <f t="shared" si="0"/>
        <v>2.1.1</v>
      </c>
      <c r="E17" s="46" t="s">
        <v>253</v>
      </c>
      <c r="F17" s="47" t="s">
        <v>59</v>
      </c>
      <c r="G17" s="47">
        <v>5400</v>
      </c>
      <c r="H17" s="48">
        <v>60</v>
      </c>
      <c r="I17" s="49">
        <f t="shared" si="1"/>
        <v>324000</v>
      </c>
    </row>
    <row r="18" spans="1:9" ht="31.9" customHeight="1" thickBot="1" x14ac:dyDescent="0.25">
      <c r="A18" s="43">
        <v>9</v>
      </c>
      <c r="B18" s="47" t="s">
        <v>73</v>
      </c>
      <c r="C18" s="44" t="s">
        <v>57</v>
      </c>
      <c r="D18" s="45" t="str">
        <f t="shared" si="0"/>
        <v>2.1.1</v>
      </c>
      <c r="E18" s="46" t="s">
        <v>74</v>
      </c>
      <c r="F18" s="47" t="s">
        <v>252</v>
      </c>
      <c r="G18" s="47">
        <v>40</v>
      </c>
      <c r="H18" s="48">
        <v>780</v>
      </c>
      <c r="I18" s="49">
        <f t="shared" si="1"/>
        <v>31200</v>
      </c>
    </row>
    <row r="19" spans="1:9" ht="31.9" customHeight="1" thickBot="1" x14ac:dyDescent="0.25">
      <c r="A19" s="43">
        <v>10</v>
      </c>
      <c r="B19" s="47" t="s">
        <v>75</v>
      </c>
      <c r="C19" s="44" t="s">
        <v>57</v>
      </c>
      <c r="D19" s="45" t="str">
        <f t="shared" si="0"/>
        <v>2.1.1</v>
      </c>
      <c r="E19" s="46" t="s">
        <v>76</v>
      </c>
      <c r="F19" s="47" t="s">
        <v>59</v>
      </c>
      <c r="G19" s="47">
        <v>300</v>
      </c>
      <c r="H19" s="48">
        <v>110</v>
      </c>
      <c r="I19" s="49">
        <f t="shared" si="1"/>
        <v>33000</v>
      </c>
    </row>
    <row r="20" spans="1:9" ht="31.9" customHeight="1" thickBot="1" x14ac:dyDescent="0.25">
      <c r="A20" s="43">
        <v>11</v>
      </c>
      <c r="B20" s="47" t="s">
        <v>77</v>
      </c>
      <c r="C20" s="44" t="s">
        <v>57</v>
      </c>
      <c r="D20" s="45" t="str">
        <f t="shared" si="0"/>
        <v>2.1.1</v>
      </c>
      <c r="E20" s="46" t="s">
        <v>78</v>
      </c>
      <c r="F20" s="47" t="s">
        <v>59</v>
      </c>
      <c r="G20" s="47">
        <v>30</v>
      </c>
      <c r="H20" s="48">
        <v>180</v>
      </c>
      <c r="I20" s="49">
        <f t="shared" si="1"/>
        <v>5400</v>
      </c>
    </row>
    <row r="21" spans="1:9" ht="52.5" customHeight="1" thickBot="1" x14ac:dyDescent="0.25">
      <c r="A21" s="43">
        <v>12</v>
      </c>
      <c r="B21" s="47" t="s">
        <v>79</v>
      </c>
      <c r="C21" s="44" t="s">
        <v>57</v>
      </c>
      <c r="D21" s="45" t="str">
        <f t="shared" si="0"/>
        <v>2.1.1</v>
      </c>
      <c r="E21" s="46" t="s">
        <v>80</v>
      </c>
      <c r="F21" s="47" t="s">
        <v>254</v>
      </c>
      <c r="G21" s="47">
        <v>500</v>
      </c>
      <c r="H21" s="48">
        <v>240</v>
      </c>
      <c r="I21" s="49">
        <f t="shared" si="1"/>
        <v>120000</v>
      </c>
    </row>
    <row r="22" spans="1:9" ht="71.25" customHeight="1" thickBot="1" x14ac:dyDescent="0.25">
      <c r="A22" s="43">
        <v>13</v>
      </c>
      <c r="B22" s="47" t="s">
        <v>143</v>
      </c>
      <c r="C22" s="44" t="s">
        <v>57</v>
      </c>
      <c r="D22" s="45" t="str">
        <f t="shared" si="0"/>
        <v>2.1.1</v>
      </c>
      <c r="E22" s="46" t="s">
        <v>140</v>
      </c>
      <c r="F22" s="47" t="s">
        <v>252</v>
      </c>
      <c r="G22" s="47">
        <v>150</v>
      </c>
      <c r="H22" s="48">
        <v>650</v>
      </c>
      <c r="I22" s="49">
        <f t="shared" si="1"/>
        <v>97500</v>
      </c>
    </row>
    <row r="23" spans="1:9" ht="48" customHeight="1" thickBot="1" x14ac:dyDescent="0.25">
      <c r="A23" s="43">
        <v>14</v>
      </c>
      <c r="B23" s="47" t="s">
        <v>81</v>
      </c>
      <c r="C23" s="44" t="s">
        <v>57</v>
      </c>
      <c r="D23" s="45" t="str">
        <f t="shared" si="0"/>
        <v>2.1.1</v>
      </c>
      <c r="E23" s="46" t="s">
        <v>82</v>
      </c>
      <c r="F23" s="47" t="s">
        <v>62</v>
      </c>
      <c r="G23" s="47">
        <v>150</v>
      </c>
      <c r="H23" s="48">
        <v>1600</v>
      </c>
      <c r="I23" s="49">
        <f t="shared" si="1"/>
        <v>240000</v>
      </c>
    </row>
    <row r="24" spans="1:9" ht="52.5" customHeight="1" thickBot="1" x14ac:dyDescent="0.25">
      <c r="A24" s="43">
        <v>15</v>
      </c>
      <c r="B24" s="47" t="s">
        <v>138</v>
      </c>
      <c r="C24" s="44" t="s">
        <v>57</v>
      </c>
      <c r="D24" s="45" t="str">
        <f t="shared" si="0"/>
        <v>2.1.1</v>
      </c>
      <c r="E24" s="46" t="s">
        <v>137</v>
      </c>
      <c r="F24" s="47" t="s">
        <v>252</v>
      </c>
      <c r="G24" s="47">
        <v>150</v>
      </c>
      <c r="H24" s="48">
        <v>800</v>
      </c>
      <c r="I24" s="49">
        <f t="shared" si="1"/>
        <v>120000</v>
      </c>
    </row>
    <row r="25" spans="1:9" ht="43.5" customHeight="1" thickBot="1" x14ac:dyDescent="0.25">
      <c r="A25" s="43">
        <v>16</v>
      </c>
      <c r="B25" s="47" t="s">
        <v>83</v>
      </c>
      <c r="C25" s="44" t="s">
        <v>57</v>
      </c>
      <c r="D25" s="45" t="str">
        <f t="shared" si="0"/>
        <v>2.1.1</v>
      </c>
      <c r="E25" s="46" t="s">
        <v>84</v>
      </c>
      <c r="F25" s="47" t="s">
        <v>69</v>
      </c>
      <c r="G25" s="47">
        <v>300</v>
      </c>
      <c r="H25" s="48">
        <v>600</v>
      </c>
      <c r="I25" s="49">
        <f t="shared" si="1"/>
        <v>180000</v>
      </c>
    </row>
    <row r="26" spans="1:9" ht="72" customHeight="1" thickBot="1" x14ac:dyDescent="0.25">
      <c r="A26" s="43">
        <v>17</v>
      </c>
      <c r="B26" s="47" t="s">
        <v>142</v>
      </c>
      <c r="C26" s="44" t="s">
        <v>57</v>
      </c>
      <c r="D26" s="45" t="str">
        <f t="shared" si="0"/>
        <v>2.1.1</v>
      </c>
      <c r="E26" s="46" t="s">
        <v>141</v>
      </c>
      <c r="F26" s="47" t="s">
        <v>62</v>
      </c>
      <c r="G26" s="47">
        <v>150</v>
      </c>
      <c r="H26" s="48">
        <v>1600</v>
      </c>
      <c r="I26" s="49">
        <f t="shared" si="1"/>
        <v>240000</v>
      </c>
    </row>
    <row r="27" spans="1:9" ht="49.5" customHeight="1" thickBot="1" x14ac:dyDescent="0.25">
      <c r="A27" s="43">
        <v>18</v>
      </c>
      <c r="B27" s="47" t="s">
        <v>85</v>
      </c>
      <c r="C27" s="44" t="s">
        <v>57</v>
      </c>
      <c r="D27" s="45" t="str">
        <f t="shared" si="0"/>
        <v>2.1.1</v>
      </c>
      <c r="E27" s="46" t="s">
        <v>86</v>
      </c>
      <c r="F27" s="47" t="s">
        <v>252</v>
      </c>
      <c r="G27" s="47">
        <v>90</v>
      </c>
      <c r="H27" s="48">
        <v>800</v>
      </c>
      <c r="I27" s="49">
        <f t="shared" si="1"/>
        <v>72000</v>
      </c>
    </row>
    <row r="28" spans="1:9" ht="72.75" customHeight="1" thickBot="1" x14ac:dyDescent="0.25">
      <c r="A28" s="43">
        <v>19</v>
      </c>
      <c r="B28" s="47" t="s">
        <v>145</v>
      </c>
      <c r="C28" s="44" t="s">
        <v>57</v>
      </c>
      <c r="D28" s="45" t="str">
        <f t="shared" si="0"/>
        <v>2.1.1</v>
      </c>
      <c r="E28" s="46" t="s">
        <v>144</v>
      </c>
      <c r="F28" s="47" t="s">
        <v>62</v>
      </c>
      <c r="G28" s="47">
        <v>30</v>
      </c>
      <c r="H28" s="48">
        <v>300</v>
      </c>
      <c r="I28" s="49">
        <f t="shared" si="1"/>
        <v>9000</v>
      </c>
    </row>
    <row r="29" spans="1:9" ht="51.75" customHeight="1" thickBot="1" x14ac:dyDescent="0.25">
      <c r="A29" s="43">
        <v>20</v>
      </c>
      <c r="B29" s="47" t="s">
        <v>87</v>
      </c>
      <c r="C29" s="44" t="s">
        <v>57</v>
      </c>
      <c r="D29" s="45" t="str">
        <f t="shared" si="0"/>
        <v>2.1.1</v>
      </c>
      <c r="E29" s="46" t="s">
        <v>88</v>
      </c>
      <c r="F29" s="47" t="s">
        <v>69</v>
      </c>
      <c r="G29" s="47">
        <v>700</v>
      </c>
      <c r="H29" s="48">
        <v>300</v>
      </c>
      <c r="I29" s="49">
        <f t="shared" si="1"/>
        <v>210000</v>
      </c>
    </row>
    <row r="30" spans="1:9" ht="45" customHeight="1" thickBot="1" x14ac:dyDescent="0.25">
      <c r="A30" s="43">
        <v>21</v>
      </c>
      <c r="B30" s="47" t="s">
        <v>89</v>
      </c>
      <c r="C30" s="44" t="s">
        <v>57</v>
      </c>
      <c r="D30" s="45" t="str">
        <f t="shared" si="0"/>
        <v>2.1.1</v>
      </c>
      <c r="E30" s="46" t="s">
        <v>90</v>
      </c>
      <c r="F30" s="47" t="s">
        <v>252</v>
      </c>
      <c r="G30" s="47">
        <v>180</v>
      </c>
      <c r="H30" s="48">
        <v>600</v>
      </c>
      <c r="I30" s="49">
        <f t="shared" si="1"/>
        <v>108000</v>
      </c>
    </row>
    <row r="31" spans="1:9" ht="45.75" customHeight="1" thickBot="1" x14ac:dyDescent="0.25">
      <c r="A31" s="43">
        <v>22</v>
      </c>
      <c r="B31" s="47" t="s">
        <v>91</v>
      </c>
      <c r="C31" s="44" t="s">
        <v>57</v>
      </c>
      <c r="D31" s="45" t="str">
        <f t="shared" si="0"/>
        <v>2.1.1</v>
      </c>
      <c r="E31" s="46" t="s">
        <v>92</v>
      </c>
      <c r="F31" s="47" t="s">
        <v>59</v>
      </c>
      <c r="G31" s="47">
        <v>600</v>
      </c>
      <c r="H31" s="48">
        <v>60</v>
      </c>
      <c r="I31" s="49">
        <f t="shared" si="1"/>
        <v>36000</v>
      </c>
    </row>
    <row r="32" spans="1:9" ht="50.25" customHeight="1" thickBot="1" x14ac:dyDescent="0.25">
      <c r="A32" s="43">
        <v>23</v>
      </c>
      <c r="B32" s="47" t="s">
        <v>147</v>
      </c>
      <c r="C32" s="44" t="s">
        <v>57</v>
      </c>
      <c r="D32" s="45" t="str">
        <f t="shared" si="0"/>
        <v>2.1.1</v>
      </c>
      <c r="E32" s="46" t="s">
        <v>146</v>
      </c>
      <c r="F32" s="47" t="s">
        <v>69</v>
      </c>
      <c r="G32" s="47">
        <v>60</v>
      </c>
      <c r="H32" s="48">
        <v>300</v>
      </c>
      <c r="I32" s="49">
        <f t="shared" si="1"/>
        <v>18000</v>
      </c>
    </row>
    <row r="33" spans="1:9" ht="45.75" customHeight="1" thickBot="1" x14ac:dyDescent="0.25">
      <c r="A33" s="43">
        <v>24</v>
      </c>
      <c r="B33" s="47" t="s">
        <v>93</v>
      </c>
      <c r="C33" s="44" t="s">
        <v>57</v>
      </c>
      <c r="D33" s="45" t="str">
        <f t="shared" si="0"/>
        <v>2.1.1</v>
      </c>
      <c r="E33" s="46" t="s">
        <v>94</v>
      </c>
      <c r="F33" s="47" t="s">
        <v>69</v>
      </c>
      <c r="G33" s="47">
        <v>200</v>
      </c>
      <c r="H33" s="48">
        <v>110</v>
      </c>
      <c r="I33" s="49">
        <f t="shared" si="1"/>
        <v>22000</v>
      </c>
    </row>
    <row r="34" spans="1:9" ht="46.5" customHeight="1" thickBot="1" x14ac:dyDescent="0.25">
      <c r="A34" s="43">
        <v>25</v>
      </c>
      <c r="B34" s="47" t="s">
        <v>95</v>
      </c>
      <c r="C34" s="44" t="s">
        <v>57</v>
      </c>
      <c r="D34" s="45" t="str">
        <f t="shared" si="0"/>
        <v>2.1.1</v>
      </c>
      <c r="E34" s="46" t="s">
        <v>96</v>
      </c>
      <c r="F34" s="47" t="s">
        <v>62</v>
      </c>
      <c r="G34" s="47">
        <v>5</v>
      </c>
      <c r="H34" s="48">
        <v>1200</v>
      </c>
      <c r="I34" s="49">
        <f t="shared" si="1"/>
        <v>6000</v>
      </c>
    </row>
    <row r="35" spans="1:9" ht="57" customHeight="1" thickBot="1" x14ac:dyDescent="0.25">
      <c r="A35" s="43">
        <v>26</v>
      </c>
      <c r="B35" s="47" t="s">
        <v>97</v>
      </c>
      <c r="C35" s="44" t="s">
        <v>57</v>
      </c>
      <c r="D35" s="45" t="str">
        <f t="shared" si="0"/>
        <v>2.1.1</v>
      </c>
      <c r="E35" s="46" t="s">
        <v>98</v>
      </c>
      <c r="F35" s="47" t="s">
        <v>62</v>
      </c>
      <c r="G35" s="47">
        <v>120</v>
      </c>
      <c r="H35" s="48">
        <v>3650</v>
      </c>
      <c r="I35" s="49">
        <f t="shared" si="1"/>
        <v>438000</v>
      </c>
    </row>
    <row r="36" spans="1:9" ht="48" customHeight="1" thickBot="1" x14ac:dyDescent="0.25">
      <c r="A36" s="43">
        <v>27</v>
      </c>
      <c r="B36" s="47" t="s">
        <v>99</v>
      </c>
      <c r="C36" s="44" t="s">
        <v>57</v>
      </c>
      <c r="D36" s="45" t="str">
        <f t="shared" si="0"/>
        <v>2.1.1</v>
      </c>
      <c r="E36" s="46" t="s">
        <v>100</v>
      </c>
      <c r="F36" s="47" t="s">
        <v>62</v>
      </c>
      <c r="G36" s="47">
        <v>120</v>
      </c>
      <c r="H36" s="48">
        <v>3200</v>
      </c>
      <c r="I36" s="49">
        <f t="shared" si="1"/>
        <v>384000</v>
      </c>
    </row>
    <row r="37" spans="1:9" ht="51" customHeight="1" thickBot="1" x14ac:dyDescent="0.25">
      <c r="A37" s="43">
        <v>28</v>
      </c>
      <c r="B37" s="47" t="s">
        <v>101</v>
      </c>
      <c r="C37" s="44" t="s">
        <v>57</v>
      </c>
      <c r="D37" s="45" t="str">
        <f t="shared" si="0"/>
        <v>2.1.1</v>
      </c>
      <c r="E37" s="46" t="s">
        <v>102</v>
      </c>
      <c r="F37" s="47" t="s">
        <v>62</v>
      </c>
      <c r="G37" s="47">
        <v>90</v>
      </c>
      <c r="H37" s="48">
        <v>1400</v>
      </c>
      <c r="I37" s="49">
        <f t="shared" si="1"/>
        <v>126000</v>
      </c>
    </row>
    <row r="38" spans="1:9" ht="47.25" customHeight="1" thickBot="1" x14ac:dyDescent="0.25">
      <c r="A38" s="43">
        <v>29</v>
      </c>
      <c r="B38" s="47" t="s">
        <v>103</v>
      </c>
      <c r="C38" s="44" t="s">
        <v>57</v>
      </c>
      <c r="D38" s="45" t="str">
        <f t="shared" si="0"/>
        <v>2.1.1</v>
      </c>
      <c r="E38" s="46" t="s">
        <v>104</v>
      </c>
      <c r="F38" s="47" t="s">
        <v>62</v>
      </c>
      <c r="G38" s="47">
        <v>90</v>
      </c>
      <c r="H38" s="48">
        <v>2600</v>
      </c>
      <c r="I38" s="49">
        <f t="shared" si="1"/>
        <v>234000</v>
      </c>
    </row>
    <row r="39" spans="1:9" ht="53.25" customHeight="1" thickBot="1" x14ac:dyDescent="0.25">
      <c r="A39" s="43">
        <v>30</v>
      </c>
      <c r="B39" s="47" t="s">
        <v>105</v>
      </c>
      <c r="C39" s="44" t="s">
        <v>57</v>
      </c>
      <c r="D39" s="45" t="str">
        <f t="shared" si="0"/>
        <v>2.1.1</v>
      </c>
      <c r="E39" s="46" t="s">
        <v>106</v>
      </c>
      <c r="F39" s="47" t="s">
        <v>62</v>
      </c>
      <c r="G39" s="47">
        <v>60</v>
      </c>
      <c r="H39" s="48">
        <v>800</v>
      </c>
      <c r="I39" s="49">
        <f t="shared" si="1"/>
        <v>48000</v>
      </c>
    </row>
    <row r="40" spans="1:9" ht="31.9" customHeight="1" thickBot="1" x14ac:dyDescent="0.25">
      <c r="A40" s="43">
        <v>31</v>
      </c>
      <c r="B40" s="47" t="s">
        <v>107</v>
      </c>
      <c r="C40" s="44" t="s">
        <v>57</v>
      </c>
      <c r="D40" s="45" t="str">
        <f t="shared" si="0"/>
        <v>2.1.1</v>
      </c>
      <c r="E40" s="46" t="s">
        <v>108</v>
      </c>
      <c r="F40" s="47" t="s">
        <v>69</v>
      </c>
      <c r="G40" s="47">
        <v>700</v>
      </c>
      <c r="H40" s="48">
        <v>1810</v>
      </c>
      <c r="I40" s="49">
        <f t="shared" si="1"/>
        <v>1267000</v>
      </c>
    </row>
    <row r="41" spans="1:9" ht="31.9" customHeight="1" thickBot="1" x14ac:dyDescent="0.25">
      <c r="A41" s="43">
        <v>32</v>
      </c>
      <c r="B41" s="47" t="s">
        <v>109</v>
      </c>
      <c r="C41" s="44" t="s">
        <v>57</v>
      </c>
      <c r="D41" s="45" t="str">
        <f t="shared" si="0"/>
        <v>2.1.1</v>
      </c>
      <c r="E41" s="46" t="s">
        <v>110</v>
      </c>
      <c r="F41" s="47" t="s">
        <v>69</v>
      </c>
      <c r="G41" s="47">
        <v>300</v>
      </c>
      <c r="H41" s="48">
        <v>1810</v>
      </c>
      <c r="I41" s="49">
        <f t="shared" si="1"/>
        <v>543000</v>
      </c>
    </row>
    <row r="42" spans="1:9" ht="31.9" customHeight="1" thickBot="1" x14ac:dyDescent="0.25">
      <c r="A42" s="43">
        <v>33</v>
      </c>
      <c r="B42" s="47" t="s">
        <v>111</v>
      </c>
      <c r="C42" s="44" t="s">
        <v>57</v>
      </c>
      <c r="D42" s="45" t="str">
        <f t="shared" si="0"/>
        <v>2.1.1</v>
      </c>
      <c r="E42" s="46" t="s">
        <v>112</v>
      </c>
      <c r="F42" s="47" t="s">
        <v>69</v>
      </c>
      <c r="G42" s="47">
        <v>800</v>
      </c>
      <c r="H42" s="48">
        <v>1400</v>
      </c>
      <c r="I42" s="49">
        <f t="shared" si="1"/>
        <v>1120000</v>
      </c>
    </row>
    <row r="43" spans="1:9" ht="31.9" customHeight="1" thickBot="1" x14ac:dyDescent="0.25">
      <c r="A43" s="43">
        <v>34</v>
      </c>
      <c r="B43" s="47" t="s">
        <v>113</v>
      </c>
      <c r="C43" s="44" t="s">
        <v>57</v>
      </c>
      <c r="D43" s="45" t="str">
        <f t="shared" si="0"/>
        <v>2.1.1</v>
      </c>
      <c r="E43" s="46" t="s">
        <v>114</v>
      </c>
      <c r="F43" s="47" t="s">
        <v>69</v>
      </c>
      <c r="G43" s="47">
        <v>100</v>
      </c>
      <c r="H43" s="48">
        <v>625</v>
      </c>
      <c r="I43" s="49">
        <f t="shared" si="1"/>
        <v>62500</v>
      </c>
    </row>
    <row r="44" spans="1:9" ht="31.9" customHeight="1" thickBot="1" x14ac:dyDescent="0.25">
      <c r="A44" s="43">
        <v>35</v>
      </c>
      <c r="B44" s="47" t="s">
        <v>115</v>
      </c>
      <c r="C44" s="44" t="s">
        <v>57</v>
      </c>
      <c r="D44" s="45" t="str">
        <f t="shared" si="0"/>
        <v>2.1.1</v>
      </c>
      <c r="E44" s="46" t="s">
        <v>116</v>
      </c>
      <c r="F44" s="47" t="s">
        <v>69</v>
      </c>
      <c r="G44" s="47">
        <v>100</v>
      </c>
      <c r="H44" s="48">
        <v>625</v>
      </c>
      <c r="I44" s="49">
        <f t="shared" si="1"/>
        <v>62500</v>
      </c>
    </row>
    <row r="45" spans="1:9" ht="60" customHeight="1" thickBot="1" x14ac:dyDescent="0.25">
      <c r="A45" s="43">
        <v>36</v>
      </c>
      <c r="B45" s="47" t="s">
        <v>117</v>
      </c>
      <c r="C45" s="44" t="s">
        <v>57</v>
      </c>
      <c r="D45" s="45" t="str">
        <f t="shared" si="0"/>
        <v>2.1.1</v>
      </c>
      <c r="E45" s="46" t="s">
        <v>118</v>
      </c>
      <c r="F45" s="47" t="s">
        <v>59</v>
      </c>
      <c r="G45" s="47">
        <v>200</v>
      </c>
      <c r="H45" s="48">
        <v>2750</v>
      </c>
      <c r="I45" s="49">
        <f t="shared" si="1"/>
        <v>550000</v>
      </c>
    </row>
    <row r="46" spans="1:9" ht="69.75" customHeight="1" thickBot="1" x14ac:dyDescent="0.25">
      <c r="A46" s="43">
        <v>37</v>
      </c>
      <c r="B46" s="47" t="s">
        <v>149</v>
      </c>
      <c r="C46" s="44" t="s">
        <v>57</v>
      </c>
      <c r="D46" s="45" t="str">
        <f t="shared" si="0"/>
        <v>2.1.1</v>
      </c>
      <c r="E46" s="46" t="s">
        <v>148</v>
      </c>
      <c r="F46" s="47" t="s">
        <v>59</v>
      </c>
      <c r="G46" s="47">
        <v>120</v>
      </c>
      <c r="H46" s="48">
        <v>940</v>
      </c>
      <c r="I46" s="49">
        <f t="shared" si="1"/>
        <v>112800</v>
      </c>
    </row>
    <row r="47" spans="1:9" ht="63.75" customHeight="1" thickBot="1" x14ac:dyDescent="0.25">
      <c r="A47" s="43">
        <v>38</v>
      </c>
      <c r="B47" s="47" t="s">
        <v>119</v>
      </c>
      <c r="C47" s="44" t="s">
        <v>57</v>
      </c>
      <c r="D47" s="45" t="str">
        <f t="shared" si="0"/>
        <v>2.1.1</v>
      </c>
      <c r="E47" s="46" t="s">
        <v>120</v>
      </c>
      <c r="F47" s="47" t="s">
        <v>59</v>
      </c>
      <c r="G47" s="47">
        <v>100</v>
      </c>
      <c r="H47" s="48">
        <v>4600</v>
      </c>
      <c r="I47" s="49">
        <f t="shared" si="1"/>
        <v>460000</v>
      </c>
    </row>
    <row r="48" spans="1:9" ht="31.9" customHeight="1" thickBot="1" x14ac:dyDescent="0.25">
      <c r="A48" s="43">
        <v>39</v>
      </c>
      <c r="B48" s="47" t="s">
        <v>121</v>
      </c>
      <c r="C48" s="44" t="s">
        <v>57</v>
      </c>
      <c r="D48" s="45" t="str">
        <f t="shared" si="0"/>
        <v>2.1.1</v>
      </c>
      <c r="E48" s="46" t="s">
        <v>122</v>
      </c>
      <c r="F48" s="47" t="s">
        <v>69</v>
      </c>
      <c r="G48" s="47">
        <v>100</v>
      </c>
      <c r="H48" s="48">
        <v>1200</v>
      </c>
      <c r="I48" s="49">
        <f t="shared" si="1"/>
        <v>120000</v>
      </c>
    </row>
    <row r="49" spans="1:9" ht="31.9" customHeight="1" thickBot="1" x14ac:dyDescent="0.25">
      <c r="A49" s="43">
        <v>40</v>
      </c>
      <c r="B49" s="47" t="s">
        <v>123</v>
      </c>
      <c r="C49" s="44" t="s">
        <v>57</v>
      </c>
      <c r="D49" s="45" t="str">
        <f t="shared" si="0"/>
        <v>2.1.1</v>
      </c>
      <c r="E49" s="46" t="s">
        <v>124</v>
      </c>
      <c r="F49" s="47" t="s">
        <v>59</v>
      </c>
      <c r="G49" s="47">
        <v>30</v>
      </c>
      <c r="H49" s="48">
        <v>300</v>
      </c>
      <c r="I49" s="49">
        <f t="shared" si="1"/>
        <v>9000</v>
      </c>
    </row>
    <row r="50" spans="1:9" ht="43.5" customHeight="1" thickBot="1" x14ac:dyDescent="0.25">
      <c r="A50" s="43">
        <v>41</v>
      </c>
      <c r="B50" s="47" t="s">
        <v>125</v>
      </c>
      <c r="C50" s="44" t="s">
        <v>57</v>
      </c>
      <c r="D50" s="45" t="str">
        <f t="shared" si="0"/>
        <v>2.1.1</v>
      </c>
      <c r="E50" s="46" t="s">
        <v>126</v>
      </c>
      <c r="F50" s="47" t="s">
        <v>59</v>
      </c>
      <c r="G50" s="47">
        <v>500</v>
      </c>
      <c r="H50" s="48">
        <v>300</v>
      </c>
      <c r="I50" s="49">
        <f t="shared" si="1"/>
        <v>150000</v>
      </c>
    </row>
    <row r="51" spans="1:9" ht="35.25" customHeight="1" thickBot="1" x14ac:dyDescent="0.25">
      <c r="A51" s="43">
        <v>42</v>
      </c>
      <c r="B51" s="47" t="s">
        <v>127</v>
      </c>
      <c r="C51" s="44" t="s">
        <v>57</v>
      </c>
      <c r="D51" s="45" t="str">
        <f t="shared" si="0"/>
        <v>2.1.1</v>
      </c>
      <c r="E51" s="46" t="s">
        <v>128</v>
      </c>
      <c r="F51" s="47" t="s">
        <v>252</v>
      </c>
      <c r="G51" s="47">
        <v>400</v>
      </c>
      <c r="H51" s="48">
        <v>192</v>
      </c>
      <c r="I51" s="49">
        <f t="shared" si="1"/>
        <v>76800</v>
      </c>
    </row>
    <row r="52" spans="1:9" ht="39.75" customHeight="1" thickBot="1" x14ac:dyDescent="0.25">
      <c r="A52" s="43">
        <v>43</v>
      </c>
      <c r="B52" s="47" t="s">
        <v>129</v>
      </c>
      <c r="C52" s="44" t="s">
        <v>57</v>
      </c>
      <c r="D52" s="45" t="str">
        <f t="shared" si="0"/>
        <v>2.1.1</v>
      </c>
      <c r="E52" s="46" t="s">
        <v>130</v>
      </c>
      <c r="F52" s="47" t="s">
        <v>252</v>
      </c>
      <c r="G52" s="47">
        <v>300</v>
      </c>
      <c r="H52" s="48">
        <v>157</v>
      </c>
      <c r="I52" s="49">
        <f t="shared" si="1"/>
        <v>47100</v>
      </c>
    </row>
    <row r="53" spans="1:9" ht="52.5" customHeight="1" thickBot="1" x14ac:dyDescent="0.25">
      <c r="A53" s="43">
        <v>44</v>
      </c>
      <c r="B53" s="47" t="s">
        <v>131</v>
      </c>
      <c r="C53" s="44" t="s">
        <v>57</v>
      </c>
      <c r="D53" s="45" t="str">
        <f t="shared" si="0"/>
        <v>2.1.1</v>
      </c>
      <c r="E53" s="46" t="s">
        <v>132</v>
      </c>
      <c r="F53" s="47" t="s">
        <v>262</v>
      </c>
      <c r="G53" s="47">
        <v>1000</v>
      </c>
      <c r="H53" s="48">
        <v>120</v>
      </c>
      <c r="I53" s="49">
        <f t="shared" si="1"/>
        <v>120000</v>
      </c>
    </row>
    <row r="54" spans="1:9" ht="13.5" thickBot="1" x14ac:dyDescent="0.25"/>
    <row r="55" spans="1:9" ht="33.6" customHeight="1" thickTop="1" thickBot="1" x14ac:dyDescent="0.25">
      <c r="B55" s="105" t="s">
        <v>164</v>
      </c>
      <c r="C55" s="106"/>
      <c r="D55" s="106"/>
      <c r="E55" s="107"/>
    </row>
    <row r="56" spans="1:9" ht="33.6" customHeight="1" thickTop="1" thickBot="1" x14ac:dyDescent="0.25">
      <c r="B56" s="105" t="s">
        <v>133</v>
      </c>
      <c r="C56" s="106"/>
      <c r="D56" s="106"/>
      <c r="E56" s="107"/>
    </row>
    <row r="57" spans="1:9" ht="13.5" thickTop="1" x14ac:dyDescent="0.2"/>
    <row r="58" spans="1:9" ht="13.5" thickBot="1" x14ac:dyDescent="0.25"/>
    <row r="59" spans="1:9" s="65" customFormat="1" x14ac:dyDescent="0.2">
      <c r="B59" s="76" t="s">
        <v>167</v>
      </c>
      <c r="C59" s="77"/>
      <c r="D59" s="77"/>
      <c r="E59" s="78"/>
    </row>
    <row r="60" spans="1:9" s="65" customFormat="1" ht="5.25" customHeight="1" x14ac:dyDescent="0.2">
      <c r="B60" s="79"/>
      <c r="C60" s="80"/>
      <c r="D60" s="80"/>
      <c r="E60" s="81"/>
    </row>
    <row r="61" spans="1:9" s="65" customFormat="1" x14ac:dyDescent="0.2">
      <c r="B61" s="82" t="s">
        <v>150</v>
      </c>
      <c r="C61" s="80"/>
      <c r="D61" s="80"/>
      <c r="E61" s="81"/>
    </row>
    <row r="62" spans="1:9" s="65" customFormat="1" ht="30.75" customHeight="1" x14ac:dyDescent="0.2">
      <c r="B62" s="82"/>
      <c r="C62" s="96" t="s">
        <v>168</v>
      </c>
      <c r="D62" s="96"/>
      <c r="E62" s="96"/>
    </row>
    <row r="63" spans="1:9" s="65" customFormat="1" x14ac:dyDescent="0.2">
      <c r="B63" s="82" t="s">
        <v>169</v>
      </c>
      <c r="C63" s="90"/>
      <c r="D63" s="90"/>
      <c r="E63" s="91"/>
    </row>
    <row r="64" spans="1:9" s="65" customFormat="1" ht="27" customHeight="1" x14ac:dyDescent="0.2">
      <c r="B64" s="83"/>
      <c r="C64" s="102" t="s">
        <v>170</v>
      </c>
      <c r="D64" s="102"/>
      <c r="E64" s="102"/>
    </row>
    <row r="65" spans="2:5" s="65" customFormat="1" ht="95.25" customHeight="1" x14ac:dyDescent="0.2">
      <c r="B65" s="83"/>
      <c r="C65" s="97" t="s">
        <v>171</v>
      </c>
      <c r="D65" s="97"/>
      <c r="E65" s="98"/>
    </row>
    <row r="66" spans="2:5" s="65" customFormat="1" x14ac:dyDescent="0.2">
      <c r="B66" s="82" t="s">
        <v>151</v>
      </c>
      <c r="C66" s="90"/>
      <c r="D66" s="90"/>
      <c r="E66" s="91"/>
    </row>
    <row r="67" spans="2:5" s="65" customFormat="1" ht="26.25" customHeight="1" x14ac:dyDescent="0.2">
      <c r="B67" s="83"/>
      <c r="C67" s="96" t="s">
        <v>172</v>
      </c>
      <c r="D67" s="96"/>
      <c r="E67" s="96"/>
    </row>
    <row r="68" spans="2:5" s="65" customFormat="1" x14ac:dyDescent="0.2">
      <c r="B68" s="82" t="s">
        <v>152</v>
      </c>
      <c r="C68" s="92"/>
      <c r="D68" s="92"/>
      <c r="E68" s="93"/>
    </row>
    <row r="69" spans="2:5" s="65" customFormat="1" ht="22.5" customHeight="1" x14ac:dyDescent="0.2">
      <c r="B69" s="83"/>
      <c r="C69" s="96" t="s">
        <v>173</v>
      </c>
      <c r="D69" s="96"/>
      <c r="E69" s="96"/>
    </row>
    <row r="70" spans="2:5" s="65" customFormat="1" x14ac:dyDescent="0.2">
      <c r="B70" s="82" t="s">
        <v>153</v>
      </c>
      <c r="C70" s="90"/>
      <c r="D70" s="90"/>
      <c r="E70" s="91"/>
    </row>
    <row r="71" spans="2:5" s="65" customFormat="1" ht="23.25" customHeight="1" x14ac:dyDescent="0.2">
      <c r="B71" s="82"/>
      <c r="C71" s="103"/>
      <c r="D71" s="103"/>
      <c r="E71" s="103"/>
    </row>
    <row r="72" spans="2:5" s="65" customFormat="1" ht="13.5" thickBot="1" x14ac:dyDescent="0.25">
      <c r="B72" s="84"/>
      <c r="C72" s="85"/>
      <c r="D72" s="85"/>
      <c r="E72" s="86"/>
    </row>
    <row r="73" spans="2:5" s="65" customFormat="1" x14ac:dyDescent="0.2">
      <c r="B73" s="39"/>
      <c r="C73" s="39"/>
      <c r="D73" s="39"/>
      <c r="E73" s="39"/>
    </row>
    <row r="74" spans="2:5" ht="13.5" thickBot="1" x14ac:dyDescent="0.25"/>
    <row r="75" spans="2:5" x14ac:dyDescent="0.2">
      <c r="B75" s="76" t="s">
        <v>174</v>
      </c>
      <c r="C75" s="77"/>
      <c r="D75" s="77"/>
      <c r="E75" s="78"/>
    </row>
    <row r="76" spans="2:5" x14ac:dyDescent="0.2">
      <c r="B76" s="79"/>
      <c r="C76" s="80"/>
      <c r="D76" s="80"/>
      <c r="E76" s="81"/>
    </row>
    <row r="77" spans="2:5" ht="14.25" customHeight="1" x14ac:dyDescent="0.2">
      <c r="B77" s="82" t="s">
        <v>150</v>
      </c>
      <c r="C77" s="80"/>
      <c r="D77" s="80"/>
      <c r="E77" s="81"/>
    </row>
    <row r="78" spans="2:5" ht="44.25" customHeight="1" x14ac:dyDescent="0.2">
      <c r="B78" s="82"/>
      <c r="C78" s="104" t="s">
        <v>175</v>
      </c>
      <c r="D78" s="104"/>
      <c r="E78" s="96"/>
    </row>
    <row r="79" spans="2:5" x14ac:dyDescent="0.2">
      <c r="B79" s="82" t="s">
        <v>169</v>
      </c>
      <c r="C79" s="90"/>
      <c r="D79" s="90"/>
      <c r="E79" s="91"/>
    </row>
    <row r="80" spans="2:5" ht="24.75" customHeight="1" x14ac:dyDescent="0.2">
      <c r="B80" s="83"/>
      <c r="C80" s="102" t="s">
        <v>170</v>
      </c>
      <c r="D80" s="102"/>
      <c r="E80" s="102"/>
    </row>
    <row r="81" spans="2:5" ht="96" customHeight="1" x14ac:dyDescent="0.2">
      <c r="B81" s="83"/>
      <c r="C81" s="97" t="s">
        <v>171</v>
      </c>
      <c r="D81" s="97"/>
      <c r="E81" s="98"/>
    </row>
    <row r="82" spans="2:5" x14ac:dyDescent="0.2">
      <c r="B82" s="82" t="s">
        <v>151</v>
      </c>
      <c r="C82" s="90"/>
      <c r="D82" s="90"/>
      <c r="E82" s="91"/>
    </row>
    <row r="83" spans="2:5" ht="21.75" customHeight="1" x14ac:dyDescent="0.2">
      <c r="B83" s="83"/>
      <c r="C83" s="96" t="s">
        <v>176</v>
      </c>
      <c r="D83" s="96"/>
      <c r="E83" s="96"/>
    </row>
    <row r="84" spans="2:5" ht="13.5" customHeight="1" x14ac:dyDescent="0.2">
      <c r="B84" s="82" t="s">
        <v>152</v>
      </c>
      <c r="C84" s="92"/>
      <c r="D84" s="92"/>
      <c r="E84" s="93"/>
    </row>
    <row r="85" spans="2:5" x14ac:dyDescent="0.2">
      <c r="B85" s="83"/>
      <c r="C85" s="96" t="s">
        <v>173</v>
      </c>
      <c r="D85" s="96"/>
      <c r="E85" s="96"/>
    </row>
    <row r="86" spans="2:5" x14ac:dyDescent="0.2">
      <c r="B86" s="82" t="s">
        <v>153</v>
      </c>
      <c r="C86" s="90"/>
      <c r="D86" s="90"/>
      <c r="E86" s="91"/>
    </row>
    <row r="87" spans="2:5" x14ac:dyDescent="0.2">
      <c r="B87" s="82"/>
      <c r="C87" s="103"/>
      <c r="D87" s="103"/>
      <c r="E87" s="103"/>
    </row>
    <row r="88" spans="2:5" ht="13.5" thickBot="1" x14ac:dyDescent="0.25">
      <c r="B88" s="84"/>
      <c r="C88" s="85"/>
      <c r="D88" s="85"/>
      <c r="E88" s="86"/>
    </row>
    <row r="90" spans="2:5" ht="13.5" thickBot="1" x14ac:dyDescent="0.25"/>
    <row r="91" spans="2:5" x14ac:dyDescent="0.2">
      <c r="B91" s="66" t="s">
        <v>177</v>
      </c>
      <c r="C91" s="67"/>
      <c r="D91" s="67"/>
      <c r="E91" s="68"/>
    </row>
    <row r="92" spans="2:5" ht="32.25" customHeight="1" x14ac:dyDescent="0.2">
      <c r="B92" s="69"/>
      <c r="C92" s="70"/>
      <c r="D92" s="70"/>
      <c r="E92" s="71"/>
    </row>
    <row r="93" spans="2:5" x14ac:dyDescent="0.2">
      <c r="B93" s="72" t="s">
        <v>150</v>
      </c>
      <c r="C93" s="70"/>
      <c r="D93" s="70"/>
      <c r="E93" s="71"/>
    </row>
    <row r="94" spans="2:5" ht="33.75" customHeight="1" x14ac:dyDescent="0.2">
      <c r="B94" s="72"/>
      <c r="C94" s="100" t="s">
        <v>178</v>
      </c>
      <c r="D94" s="100"/>
      <c r="E94" s="101"/>
    </row>
    <row r="95" spans="2:5" x14ac:dyDescent="0.2">
      <c r="B95" s="72" t="s">
        <v>169</v>
      </c>
      <c r="C95" s="70"/>
      <c r="D95" s="70"/>
      <c r="E95" s="71"/>
    </row>
    <row r="96" spans="2:5" ht="21" customHeight="1" x14ac:dyDescent="0.2">
      <c r="B96" s="73"/>
      <c r="C96" s="102" t="s">
        <v>170</v>
      </c>
      <c r="D96" s="102"/>
      <c r="E96" s="102"/>
    </row>
    <row r="97" spans="2:5" ht="82.5" customHeight="1" x14ac:dyDescent="0.2">
      <c r="B97" s="73"/>
      <c r="C97" s="97" t="s">
        <v>171</v>
      </c>
      <c r="D97" s="97"/>
      <c r="E97" s="98"/>
    </row>
    <row r="98" spans="2:5" x14ac:dyDescent="0.2">
      <c r="B98" s="72" t="s">
        <v>151</v>
      </c>
      <c r="C98" s="70"/>
      <c r="D98" s="70"/>
      <c r="E98" s="71"/>
    </row>
    <row r="99" spans="2:5" x14ac:dyDescent="0.2">
      <c r="B99" s="73"/>
      <c r="C99" s="96" t="s">
        <v>176</v>
      </c>
      <c r="D99" s="96"/>
      <c r="E99" s="96"/>
    </row>
    <row r="100" spans="2:5" x14ac:dyDescent="0.2">
      <c r="B100" s="72" t="s">
        <v>152</v>
      </c>
      <c r="C100" s="74"/>
      <c r="D100" s="74"/>
      <c r="E100" s="75"/>
    </row>
    <row r="101" spans="2:5" x14ac:dyDescent="0.2">
      <c r="B101" s="73"/>
      <c r="C101" s="96" t="s">
        <v>173</v>
      </c>
      <c r="D101" s="96"/>
      <c r="E101" s="96"/>
    </row>
    <row r="102" spans="2:5" x14ac:dyDescent="0.2">
      <c r="B102" s="72" t="s">
        <v>153</v>
      </c>
      <c r="C102" s="70"/>
      <c r="D102" s="70"/>
      <c r="E102" s="71"/>
    </row>
    <row r="103" spans="2:5" ht="13.5" thickBot="1" x14ac:dyDescent="0.25">
      <c r="B103" s="94"/>
      <c r="C103" s="99"/>
      <c r="D103" s="99"/>
      <c r="E103" s="99"/>
    </row>
    <row r="105" spans="2:5" ht="13.5" thickBot="1" x14ac:dyDescent="0.25"/>
    <row r="106" spans="2:5" x14ac:dyDescent="0.2">
      <c r="B106" s="66" t="s">
        <v>179</v>
      </c>
      <c r="C106" s="67"/>
      <c r="D106" s="67"/>
      <c r="E106" s="68"/>
    </row>
    <row r="107" spans="2:5" ht="33" customHeight="1" x14ac:dyDescent="0.2">
      <c r="B107" s="69"/>
      <c r="C107" s="70"/>
      <c r="D107" s="70"/>
      <c r="E107" s="71"/>
    </row>
    <row r="108" spans="2:5" x14ac:dyDescent="0.2">
      <c r="B108" s="72" t="s">
        <v>150</v>
      </c>
      <c r="C108" s="70"/>
      <c r="D108" s="70"/>
      <c r="E108" s="71"/>
    </row>
    <row r="109" spans="2:5" ht="42" customHeight="1" x14ac:dyDescent="0.2">
      <c r="B109" s="72"/>
      <c r="C109" s="100" t="s">
        <v>180</v>
      </c>
      <c r="D109" s="100"/>
      <c r="E109" s="101"/>
    </row>
    <row r="110" spans="2:5" x14ac:dyDescent="0.2">
      <c r="B110" s="72" t="s">
        <v>169</v>
      </c>
      <c r="C110" s="70"/>
      <c r="D110" s="70"/>
      <c r="E110" s="71"/>
    </row>
    <row r="111" spans="2:5" ht="21.75" customHeight="1" x14ac:dyDescent="0.2">
      <c r="B111" s="73"/>
      <c r="C111" s="102" t="s">
        <v>170</v>
      </c>
      <c r="D111" s="102"/>
      <c r="E111" s="102"/>
    </row>
    <row r="112" spans="2:5" ht="100.5" customHeight="1" x14ac:dyDescent="0.2">
      <c r="B112" s="73"/>
      <c r="C112" s="97" t="s">
        <v>171</v>
      </c>
      <c r="D112" s="97"/>
      <c r="E112" s="98"/>
    </row>
    <row r="113" spans="2:5" x14ac:dyDescent="0.2">
      <c r="B113" s="72" t="s">
        <v>151</v>
      </c>
      <c r="C113" s="70"/>
      <c r="D113" s="70"/>
      <c r="E113" s="71"/>
    </row>
    <row r="114" spans="2:5" x14ac:dyDescent="0.2">
      <c r="B114" s="73"/>
      <c r="C114" s="96" t="s">
        <v>176</v>
      </c>
      <c r="D114" s="96"/>
      <c r="E114" s="96"/>
    </row>
    <row r="115" spans="2:5" x14ac:dyDescent="0.2">
      <c r="B115" s="72" t="s">
        <v>152</v>
      </c>
      <c r="C115" s="74"/>
      <c r="D115" s="74"/>
      <c r="E115" s="75"/>
    </row>
    <row r="116" spans="2:5" x14ac:dyDescent="0.2">
      <c r="B116" s="73"/>
      <c r="C116" s="96" t="s">
        <v>173</v>
      </c>
      <c r="D116" s="96"/>
      <c r="E116" s="96"/>
    </row>
    <row r="117" spans="2:5" x14ac:dyDescent="0.2">
      <c r="B117" s="72" t="s">
        <v>153</v>
      </c>
      <c r="C117" s="70"/>
      <c r="D117" s="70"/>
      <c r="E117" s="71"/>
    </row>
    <row r="118" spans="2:5" ht="13.5" thickBot="1" x14ac:dyDescent="0.25">
      <c r="B118" s="94"/>
      <c r="C118" s="99"/>
      <c r="D118" s="99"/>
      <c r="E118" s="99"/>
    </row>
    <row r="120" spans="2:5" ht="13.5" thickBot="1" x14ac:dyDescent="0.25"/>
    <row r="121" spans="2:5" x14ac:dyDescent="0.2">
      <c r="B121" s="66" t="s">
        <v>181</v>
      </c>
      <c r="C121" s="67"/>
      <c r="D121" s="67"/>
      <c r="E121" s="68"/>
    </row>
    <row r="122" spans="2:5" ht="35.25" customHeight="1" x14ac:dyDescent="0.2">
      <c r="B122" s="69"/>
      <c r="C122" s="70"/>
      <c r="D122" s="70"/>
      <c r="E122" s="71"/>
    </row>
    <row r="123" spans="2:5" x14ac:dyDescent="0.2">
      <c r="B123" s="72" t="s">
        <v>150</v>
      </c>
      <c r="C123" s="70"/>
      <c r="D123" s="70"/>
      <c r="E123" s="71"/>
    </row>
    <row r="124" spans="2:5" ht="44.25" customHeight="1" x14ac:dyDescent="0.2">
      <c r="B124" s="72"/>
      <c r="C124" s="100" t="s">
        <v>182</v>
      </c>
      <c r="D124" s="100"/>
      <c r="E124" s="101"/>
    </row>
    <row r="125" spans="2:5" x14ac:dyDescent="0.2">
      <c r="B125" s="72" t="s">
        <v>169</v>
      </c>
      <c r="C125" s="70"/>
      <c r="D125" s="70"/>
      <c r="E125" s="71"/>
    </row>
    <row r="126" spans="2:5" ht="33" customHeight="1" x14ac:dyDescent="0.2">
      <c r="B126" s="73"/>
      <c r="C126" s="102" t="s">
        <v>170</v>
      </c>
      <c r="D126" s="102"/>
      <c r="E126" s="102"/>
    </row>
    <row r="127" spans="2:5" ht="81" customHeight="1" x14ac:dyDescent="0.2">
      <c r="B127" s="73"/>
      <c r="C127" s="97" t="s">
        <v>171</v>
      </c>
      <c r="D127" s="97"/>
      <c r="E127" s="98"/>
    </row>
    <row r="128" spans="2:5" x14ac:dyDescent="0.2">
      <c r="B128" s="72" t="s">
        <v>151</v>
      </c>
      <c r="C128" s="70"/>
      <c r="D128" s="70"/>
      <c r="E128" s="71"/>
    </row>
    <row r="129" spans="2:5" x14ac:dyDescent="0.2">
      <c r="B129" s="73"/>
      <c r="C129" s="96" t="s">
        <v>176</v>
      </c>
      <c r="D129" s="96"/>
      <c r="E129" s="96"/>
    </row>
    <row r="130" spans="2:5" x14ac:dyDescent="0.2">
      <c r="B130" s="72" t="s">
        <v>152</v>
      </c>
      <c r="C130" s="74"/>
      <c r="D130" s="74"/>
      <c r="E130" s="75"/>
    </row>
    <row r="131" spans="2:5" x14ac:dyDescent="0.2">
      <c r="B131" s="73"/>
      <c r="C131" s="96" t="s">
        <v>173</v>
      </c>
      <c r="D131" s="96"/>
      <c r="E131" s="96"/>
    </row>
    <row r="132" spans="2:5" x14ac:dyDescent="0.2">
      <c r="B132" s="72" t="s">
        <v>153</v>
      </c>
      <c r="C132" s="70"/>
      <c r="D132" s="70"/>
      <c r="E132" s="71"/>
    </row>
    <row r="133" spans="2:5" ht="13.5" thickBot="1" x14ac:dyDescent="0.25">
      <c r="B133" s="94"/>
      <c r="C133" s="99"/>
      <c r="D133" s="99"/>
      <c r="E133" s="99"/>
    </row>
    <row r="135" spans="2:5" ht="13.5" thickBot="1" x14ac:dyDescent="0.25"/>
    <row r="136" spans="2:5" x14ac:dyDescent="0.2">
      <c r="B136" s="66" t="s">
        <v>183</v>
      </c>
      <c r="C136" s="67"/>
      <c r="D136" s="67"/>
      <c r="E136" s="68"/>
    </row>
    <row r="137" spans="2:5" ht="14.25" customHeight="1" x14ac:dyDescent="0.2">
      <c r="B137" s="69"/>
      <c r="C137" s="70"/>
      <c r="D137" s="70"/>
      <c r="E137" s="71"/>
    </row>
    <row r="138" spans="2:5" x14ac:dyDescent="0.2">
      <c r="B138" s="72" t="s">
        <v>150</v>
      </c>
      <c r="C138" s="70"/>
      <c r="D138" s="70"/>
      <c r="E138" s="71"/>
    </row>
    <row r="139" spans="2:5" ht="19.5" customHeight="1" x14ac:dyDescent="0.2">
      <c r="B139" s="72"/>
      <c r="C139" s="100" t="s">
        <v>184</v>
      </c>
      <c r="D139" s="100"/>
      <c r="E139" s="101"/>
    </row>
    <row r="140" spans="2:5" x14ac:dyDescent="0.2">
      <c r="B140" s="72" t="s">
        <v>169</v>
      </c>
      <c r="C140" s="70"/>
      <c r="D140" s="70"/>
      <c r="E140" s="71"/>
    </row>
    <row r="141" spans="2:5" ht="44.25" customHeight="1" x14ac:dyDescent="0.2">
      <c r="B141" s="73"/>
      <c r="C141" s="96" t="s">
        <v>185</v>
      </c>
      <c r="D141" s="96"/>
      <c r="E141" s="96"/>
    </row>
    <row r="142" spans="2:5" ht="91.5" customHeight="1" x14ac:dyDescent="0.2">
      <c r="B142" s="73"/>
      <c r="C142" s="97" t="s">
        <v>171</v>
      </c>
      <c r="D142" s="97"/>
      <c r="E142" s="98"/>
    </row>
    <row r="143" spans="2:5" x14ac:dyDescent="0.2">
      <c r="B143" s="72" t="s">
        <v>151</v>
      </c>
      <c r="C143" s="70"/>
      <c r="D143" s="70"/>
      <c r="E143" s="71"/>
    </row>
    <row r="144" spans="2:5" x14ac:dyDescent="0.2">
      <c r="B144" s="73"/>
      <c r="C144" s="96" t="s">
        <v>176</v>
      </c>
      <c r="D144" s="96"/>
      <c r="E144" s="96"/>
    </row>
    <row r="145" spans="2:5" x14ac:dyDescent="0.2">
      <c r="B145" s="72" t="s">
        <v>152</v>
      </c>
      <c r="C145" s="74"/>
      <c r="D145" s="74"/>
      <c r="E145" s="75"/>
    </row>
    <row r="146" spans="2:5" x14ac:dyDescent="0.2">
      <c r="B146" s="73"/>
      <c r="C146" s="96" t="s">
        <v>173</v>
      </c>
      <c r="D146" s="96"/>
      <c r="E146" s="96"/>
    </row>
    <row r="147" spans="2:5" x14ac:dyDescent="0.2">
      <c r="B147" s="72" t="s">
        <v>153</v>
      </c>
      <c r="C147" s="70"/>
      <c r="D147" s="70"/>
      <c r="E147" s="71"/>
    </row>
    <row r="148" spans="2:5" ht="13.5" thickBot="1" x14ac:dyDescent="0.25">
      <c r="B148" s="94"/>
      <c r="C148" s="99"/>
      <c r="D148" s="99"/>
      <c r="E148" s="99"/>
    </row>
    <row r="151" spans="2:5" ht="13.5" thickBot="1" x14ac:dyDescent="0.25"/>
    <row r="152" spans="2:5" ht="33" customHeight="1" x14ac:dyDescent="0.2">
      <c r="B152" s="66" t="s">
        <v>186</v>
      </c>
      <c r="C152" s="67"/>
      <c r="D152" s="67"/>
      <c r="E152" s="68"/>
    </row>
    <row r="153" spans="2:5" x14ac:dyDescent="0.2">
      <c r="B153" s="69"/>
      <c r="C153" s="70"/>
      <c r="D153" s="70"/>
      <c r="E153" s="71"/>
    </row>
    <row r="154" spans="2:5" x14ac:dyDescent="0.2">
      <c r="B154" s="72" t="s">
        <v>150</v>
      </c>
      <c r="C154" s="70"/>
      <c r="D154" s="70"/>
      <c r="E154" s="71"/>
    </row>
    <row r="155" spans="2:5" ht="33.75" customHeight="1" x14ac:dyDescent="0.2">
      <c r="B155" s="72"/>
      <c r="C155" s="100" t="s">
        <v>187</v>
      </c>
      <c r="D155" s="100"/>
      <c r="E155" s="101"/>
    </row>
    <row r="156" spans="2:5" x14ac:dyDescent="0.2">
      <c r="B156" s="72" t="s">
        <v>169</v>
      </c>
      <c r="C156" s="70"/>
      <c r="D156" s="70"/>
      <c r="E156" s="71"/>
    </row>
    <row r="157" spans="2:5" ht="24.75" customHeight="1" x14ac:dyDescent="0.2">
      <c r="B157" s="73"/>
      <c r="C157" s="96" t="s">
        <v>185</v>
      </c>
      <c r="D157" s="96"/>
      <c r="E157" s="96"/>
    </row>
    <row r="158" spans="2:5" ht="84" customHeight="1" x14ac:dyDescent="0.2">
      <c r="B158" s="73"/>
      <c r="C158" s="97" t="s">
        <v>171</v>
      </c>
      <c r="D158" s="97"/>
      <c r="E158" s="98"/>
    </row>
    <row r="159" spans="2:5" x14ac:dyDescent="0.2">
      <c r="B159" s="72" t="s">
        <v>151</v>
      </c>
      <c r="C159" s="70"/>
      <c r="D159" s="70"/>
      <c r="E159" s="71"/>
    </row>
    <row r="160" spans="2:5" x14ac:dyDescent="0.2">
      <c r="B160" s="73"/>
      <c r="C160" s="96" t="s">
        <v>176</v>
      </c>
      <c r="D160" s="96"/>
      <c r="E160" s="96"/>
    </row>
    <row r="161" spans="2:5" x14ac:dyDescent="0.2">
      <c r="B161" s="72" t="s">
        <v>152</v>
      </c>
      <c r="C161" s="74"/>
      <c r="D161" s="74"/>
      <c r="E161" s="75"/>
    </row>
    <row r="162" spans="2:5" x14ac:dyDescent="0.2">
      <c r="B162" s="73"/>
      <c r="C162" s="96" t="s">
        <v>173</v>
      </c>
      <c r="D162" s="96"/>
      <c r="E162" s="96"/>
    </row>
    <row r="163" spans="2:5" x14ac:dyDescent="0.2">
      <c r="B163" s="72" t="s">
        <v>153</v>
      </c>
      <c r="C163" s="70"/>
      <c r="D163" s="70"/>
      <c r="E163" s="71"/>
    </row>
    <row r="164" spans="2:5" ht="13.5" thickBot="1" x14ac:dyDescent="0.25">
      <c r="B164" s="94"/>
      <c r="C164" s="99"/>
      <c r="D164" s="99"/>
      <c r="E164" s="99"/>
    </row>
    <row r="166" spans="2:5" ht="13.5" thickBot="1" x14ac:dyDescent="0.25"/>
    <row r="167" spans="2:5" ht="33" customHeight="1" x14ac:dyDescent="0.2">
      <c r="B167" s="66" t="s">
        <v>188</v>
      </c>
      <c r="C167" s="67"/>
      <c r="D167" s="67"/>
      <c r="E167" s="68"/>
    </row>
    <row r="168" spans="2:5" x14ac:dyDescent="0.2">
      <c r="B168" s="69"/>
      <c r="C168" s="70"/>
      <c r="D168" s="70"/>
      <c r="E168" s="71"/>
    </row>
    <row r="169" spans="2:5" x14ac:dyDescent="0.2">
      <c r="B169" s="72" t="s">
        <v>150</v>
      </c>
      <c r="C169" s="70"/>
      <c r="D169" s="70"/>
      <c r="E169" s="71"/>
    </row>
    <row r="170" spans="2:5" ht="39" customHeight="1" x14ac:dyDescent="0.2">
      <c r="B170" s="72"/>
      <c r="C170" s="100" t="s">
        <v>189</v>
      </c>
      <c r="D170" s="100"/>
      <c r="E170" s="101"/>
    </row>
    <row r="171" spans="2:5" x14ac:dyDescent="0.2">
      <c r="B171" s="72" t="s">
        <v>169</v>
      </c>
      <c r="C171" s="70"/>
      <c r="D171" s="70"/>
      <c r="E171" s="71"/>
    </row>
    <row r="172" spans="2:5" ht="36" customHeight="1" x14ac:dyDescent="0.2">
      <c r="B172" s="73"/>
      <c r="C172" s="96" t="s">
        <v>185</v>
      </c>
      <c r="D172" s="96"/>
      <c r="E172" s="96"/>
    </row>
    <row r="173" spans="2:5" ht="92.25" customHeight="1" x14ac:dyDescent="0.2">
      <c r="B173" s="73"/>
      <c r="C173" s="97" t="s">
        <v>171</v>
      </c>
      <c r="D173" s="97"/>
      <c r="E173" s="98"/>
    </row>
    <row r="174" spans="2:5" x14ac:dyDescent="0.2">
      <c r="B174" s="72" t="s">
        <v>151</v>
      </c>
      <c r="C174" s="70"/>
      <c r="D174" s="70"/>
      <c r="E174" s="71"/>
    </row>
    <row r="175" spans="2:5" x14ac:dyDescent="0.2">
      <c r="B175" s="73"/>
      <c r="C175" s="96" t="s">
        <v>176</v>
      </c>
      <c r="D175" s="96"/>
      <c r="E175" s="96"/>
    </row>
    <row r="176" spans="2:5" x14ac:dyDescent="0.2">
      <c r="B176" s="72" t="s">
        <v>152</v>
      </c>
      <c r="C176" s="74"/>
      <c r="D176" s="74"/>
      <c r="E176" s="75"/>
    </row>
    <row r="177" spans="2:5" x14ac:dyDescent="0.2">
      <c r="B177" s="73"/>
      <c r="C177" s="96" t="s">
        <v>173</v>
      </c>
      <c r="D177" s="96"/>
      <c r="E177" s="96"/>
    </row>
    <row r="178" spans="2:5" x14ac:dyDescent="0.2">
      <c r="B178" s="72" t="s">
        <v>153</v>
      </c>
      <c r="C178" s="70"/>
      <c r="D178" s="70"/>
      <c r="E178" s="71"/>
    </row>
    <row r="179" spans="2:5" ht="13.5" thickBot="1" x14ac:dyDescent="0.25">
      <c r="B179" s="94"/>
      <c r="C179" s="99"/>
      <c r="D179" s="99"/>
      <c r="E179" s="99"/>
    </row>
    <row r="181" spans="2:5" ht="13.5" thickBot="1" x14ac:dyDescent="0.25"/>
    <row r="182" spans="2:5" ht="32.25" customHeight="1" x14ac:dyDescent="0.2">
      <c r="B182" s="66" t="s">
        <v>190</v>
      </c>
      <c r="C182" s="67"/>
      <c r="D182" s="67"/>
      <c r="E182" s="68"/>
    </row>
    <row r="183" spans="2:5" x14ac:dyDescent="0.2">
      <c r="B183" s="69"/>
      <c r="C183" s="70"/>
      <c r="D183" s="70"/>
      <c r="E183" s="71"/>
    </row>
    <row r="184" spans="2:5" x14ac:dyDescent="0.2">
      <c r="B184" s="72" t="s">
        <v>150</v>
      </c>
      <c r="C184" s="70"/>
      <c r="D184" s="70"/>
      <c r="E184" s="71"/>
    </row>
    <row r="185" spans="2:5" ht="42" customHeight="1" x14ac:dyDescent="0.2">
      <c r="B185" s="72"/>
      <c r="C185" s="100" t="s">
        <v>263</v>
      </c>
      <c r="D185" s="100"/>
      <c r="E185" s="101"/>
    </row>
    <row r="186" spans="2:5" x14ac:dyDescent="0.2">
      <c r="B186" s="72" t="s">
        <v>169</v>
      </c>
      <c r="C186" s="70"/>
      <c r="D186" s="70"/>
      <c r="E186" s="71"/>
    </row>
    <row r="187" spans="2:5" ht="29.25" customHeight="1" x14ac:dyDescent="0.2">
      <c r="B187" s="73"/>
      <c r="C187" s="96" t="s">
        <v>185</v>
      </c>
      <c r="D187" s="96"/>
      <c r="E187" s="96"/>
    </row>
    <row r="188" spans="2:5" ht="103.5" customHeight="1" x14ac:dyDescent="0.2">
      <c r="B188" s="73"/>
      <c r="C188" s="97" t="s">
        <v>171</v>
      </c>
      <c r="D188" s="97"/>
      <c r="E188" s="98"/>
    </row>
    <row r="189" spans="2:5" x14ac:dyDescent="0.2">
      <c r="B189" s="72" t="s">
        <v>151</v>
      </c>
      <c r="C189" s="70"/>
      <c r="D189" s="70"/>
      <c r="E189" s="71"/>
    </row>
    <row r="190" spans="2:5" ht="21.75" customHeight="1" x14ac:dyDescent="0.2">
      <c r="B190" s="73"/>
      <c r="C190" s="96" t="s">
        <v>176</v>
      </c>
      <c r="D190" s="96"/>
      <c r="E190" s="96"/>
    </row>
    <row r="191" spans="2:5" x14ac:dyDescent="0.2">
      <c r="B191" s="72" t="s">
        <v>152</v>
      </c>
      <c r="C191" s="74"/>
      <c r="D191" s="74"/>
      <c r="E191" s="75"/>
    </row>
    <row r="192" spans="2:5" x14ac:dyDescent="0.2">
      <c r="B192" s="73"/>
      <c r="C192" s="96" t="s">
        <v>173</v>
      </c>
      <c r="D192" s="96"/>
      <c r="E192" s="96"/>
    </row>
    <row r="193" spans="2:5" x14ac:dyDescent="0.2">
      <c r="B193" s="72" t="s">
        <v>153</v>
      </c>
      <c r="C193" s="70"/>
      <c r="D193" s="70"/>
      <c r="E193" s="71"/>
    </row>
    <row r="194" spans="2:5" ht="13.5" thickBot="1" x14ac:dyDescent="0.25">
      <c r="B194" s="94"/>
      <c r="C194" s="99"/>
      <c r="D194" s="99"/>
      <c r="E194" s="99"/>
    </row>
    <row r="196" spans="2:5" ht="13.5" thickBot="1" x14ac:dyDescent="0.25"/>
    <row r="197" spans="2:5" ht="37.5" customHeight="1" x14ac:dyDescent="0.2">
      <c r="B197" s="66" t="s">
        <v>191</v>
      </c>
      <c r="C197" s="67"/>
      <c r="D197" s="67"/>
      <c r="E197" s="68"/>
    </row>
    <row r="198" spans="2:5" x14ac:dyDescent="0.2">
      <c r="B198" s="69"/>
      <c r="C198" s="70"/>
      <c r="D198" s="70"/>
      <c r="E198" s="71"/>
    </row>
    <row r="199" spans="2:5" x14ac:dyDescent="0.2">
      <c r="B199" s="72" t="s">
        <v>150</v>
      </c>
      <c r="C199" s="70"/>
      <c r="D199" s="70"/>
      <c r="E199" s="71"/>
    </row>
    <row r="200" spans="2:5" ht="24.75" customHeight="1" x14ac:dyDescent="0.2">
      <c r="B200" s="72"/>
      <c r="C200" s="100" t="s">
        <v>192</v>
      </c>
      <c r="D200" s="100"/>
      <c r="E200" s="101"/>
    </row>
    <row r="201" spans="2:5" x14ac:dyDescent="0.2">
      <c r="B201" s="72" t="s">
        <v>169</v>
      </c>
      <c r="C201" s="70"/>
      <c r="D201" s="70"/>
      <c r="E201" s="71"/>
    </row>
    <row r="202" spans="2:5" ht="26.25" customHeight="1" x14ac:dyDescent="0.2">
      <c r="B202" s="73"/>
      <c r="C202" s="102" t="s">
        <v>170</v>
      </c>
      <c r="D202" s="102"/>
      <c r="E202" s="102"/>
    </row>
    <row r="203" spans="2:5" ht="91.5" customHeight="1" x14ac:dyDescent="0.2">
      <c r="B203" s="73"/>
      <c r="C203" s="97" t="s">
        <v>171</v>
      </c>
      <c r="D203" s="97"/>
      <c r="E203" s="98"/>
    </row>
    <row r="204" spans="2:5" x14ac:dyDescent="0.2">
      <c r="B204" s="72" t="s">
        <v>151</v>
      </c>
      <c r="C204" s="70"/>
      <c r="D204" s="70"/>
      <c r="E204" s="71"/>
    </row>
    <row r="205" spans="2:5" ht="23.25" customHeight="1" x14ac:dyDescent="0.2">
      <c r="B205" s="73"/>
      <c r="C205" s="96" t="s">
        <v>193</v>
      </c>
      <c r="D205" s="96"/>
      <c r="E205" s="96"/>
    </row>
    <row r="206" spans="2:5" x14ac:dyDescent="0.2">
      <c r="B206" s="72" t="s">
        <v>152</v>
      </c>
      <c r="C206" s="74"/>
      <c r="D206" s="74"/>
      <c r="E206" s="75"/>
    </row>
    <row r="207" spans="2:5" x14ac:dyDescent="0.2">
      <c r="B207" s="73"/>
      <c r="C207" s="96" t="s">
        <v>173</v>
      </c>
      <c r="D207" s="96"/>
      <c r="E207" s="96"/>
    </row>
    <row r="208" spans="2:5" x14ac:dyDescent="0.2">
      <c r="B208" s="72" t="s">
        <v>153</v>
      </c>
      <c r="C208" s="70"/>
      <c r="D208" s="70"/>
      <c r="E208" s="71"/>
    </row>
    <row r="209" spans="2:5" ht="13.5" thickBot="1" x14ac:dyDescent="0.25">
      <c r="B209" s="94"/>
      <c r="C209" s="99"/>
      <c r="D209" s="99"/>
      <c r="E209" s="99"/>
    </row>
    <row r="211" spans="2:5" ht="13.5" thickBot="1" x14ac:dyDescent="0.25"/>
    <row r="212" spans="2:5" ht="33" customHeight="1" x14ac:dyDescent="0.2">
      <c r="B212" s="66" t="s">
        <v>194</v>
      </c>
      <c r="C212" s="67"/>
      <c r="D212" s="67"/>
      <c r="E212" s="68"/>
    </row>
    <row r="213" spans="2:5" x14ac:dyDescent="0.2">
      <c r="B213" s="69"/>
      <c r="C213" s="70"/>
      <c r="D213" s="70"/>
      <c r="E213" s="71"/>
    </row>
    <row r="214" spans="2:5" x14ac:dyDescent="0.2">
      <c r="B214" s="72" t="s">
        <v>150</v>
      </c>
      <c r="C214" s="70"/>
      <c r="D214" s="70"/>
      <c r="E214" s="71"/>
    </row>
    <row r="215" spans="2:5" ht="21" customHeight="1" x14ac:dyDescent="0.2">
      <c r="B215" s="72"/>
      <c r="C215" s="100" t="s">
        <v>195</v>
      </c>
      <c r="D215" s="100"/>
      <c r="E215" s="101"/>
    </row>
    <row r="216" spans="2:5" x14ac:dyDescent="0.2">
      <c r="B216" s="72" t="s">
        <v>169</v>
      </c>
      <c r="C216" s="70"/>
      <c r="D216" s="70"/>
      <c r="E216" s="71"/>
    </row>
    <row r="217" spans="2:5" ht="21.75" customHeight="1" x14ac:dyDescent="0.2">
      <c r="B217" s="73"/>
      <c r="C217" s="102" t="s">
        <v>170</v>
      </c>
      <c r="D217" s="102"/>
      <c r="E217" s="102"/>
    </row>
    <row r="218" spans="2:5" ht="99.75" customHeight="1" x14ac:dyDescent="0.2">
      <c r="B218" s="73"/>
      <c r="C218" s="97" t="s">
        <v>171</v>
      </c>
      <c r="D218" s="97"/>
      <c r="E218" s="98"/>
    </row>
    <row r="219" spans="2:5" x14ac:dyDescent="0.2">
      <c r="B219" s="72" t="s">
        <v>151</v>
      </c>
      <c r="C219" s="70"/>
      <c r="D219" s="70"/>
      <c r="E219" s="71"/>
    </row>
    <row r="220" spans="2:5" ht="22.5" customHeight="1" x14ac:dyDescent="0.2">
      <c r="B220" s="73"/>
      <c r="C220" s="96" t="s">
        <v>196</v>
      </c>
      <c r="D220" s="96"/>
      <c r="E220" s="96"/>
    </row>
    <row r="221" spans="2:5" x14ac:dyDescent="0.2">
      <c r="B221" s="72" t="s">
        <v>152</v>
      </c>
      <c r="C221" s="74"/>
      <c r="D221" s="74"/>
      <c r="E221" s="75"/>
    </row>
    <row r="222" spans="2:5" x14ac:dyDescent="0.2">
      <c r="B222" s="73"/>
      <c r="C222" s="96" t="s">
        <v>173</v>
      </c>
      <c r="D222" s="96"/>
      <c r="E222" s="96"/>
    </row>
    <row r="223" spans="2:5" x14ac:dyDescent="0.2">
      <c r="B223" s="72" t="s">
        <v>153</v>
      </c>
      <c r="C223" s="70"/>
      <c r="D223" s="70"/>
      <c r="E223" s="71"/>
    </row>
    <row r="224" spans="2:5" ht="13.5" thickBot="1" x14ac:dyDescent="0.25">
      <c r="B224" s="94"/>
      <c r="C224" s="99"/>
      <c r="D224" s="99"/>
      <c r="E224" s="99"/>
    </row>
    <row r="226" spans="2:5" ht="13.5" thickBot="1" x14ac:dyDescent="0.25"/>
    <row r="227" spans="2:5" x14ac:dyDescent="0.2">
      <c r="B227" s="66" t="s">
        <v>154</v>
      </c>
      <c r="C227" s="67"/>
      <c r="D227" s="67"/>
      <c r="E227" s="68"/>
    </row>
    <row r="228" spans="2:5" x14ac:dyDescent="0.2">
      <c r="B228" s="69"/>
      <c r="C228" s="70"/>
      <c r="D228" s="70"/>
      <c r="E228" s="71"/>
    </row>
    <row r="229" spans="2:5" x14ac:dyDescent="0.2">
      <c r="B229" s="72" t="s">
        <v>150</v>
      </c>
      <c r="C229" s="70"/>
      <c r="D229" s="70"/>
      <c r="E229" s="71"/>
    </row>
    <row r="230" spans="2:5" ht="23.25" customHeight="1" x14ac:dyDescent="0.2">
      <c r="B230" s="72"/>
      <c r="C230" s="100" t="s">
        <v>255</v>
      </c>
      <c r="D230" s="100"/>
      <c r="E230" s="101"/>
    </row>
    <row r="231" spans="2:5" x14ac:dyDescent="0.2">
      <c r="B231" s="72" t="s">
        <v>169</v>
      </c>
      <c r="C231" s="70"/>
      <c r="D231" s="70"/>
      <c r="E231" s="71"/>
    </row>
    <row r="232" spans="2:5" ht="27.75" customHeight="1" x14ac:dyDescent="0.2">
      <c r="B232" s="73"/>
      <c r="C232" s="102" t="s">
        <v>170</v>
      </c>
      <c r="D232" s="102"/>
      <c r="E232" s="102"/>
    </row>
    <row r="233" spans="2:5" ht="92.25" customHeight="1" x14ac:dyDescent="0.2">
      <c r="B233" s="73"/>
      <c r="C233" s="97" t="s">
        <v>171</v>
      </c>
      <c r="D233" s="97"/>
      <c r="E233" s="98"/>
    </row>
    <row r="234" spans="2:5" x14ac:dyDescent="0.2">
      <c r="B234" s="72" t="s">
        <v>151</v>
      </c>
      <c r="C234" s="70"/>
      <c r="D234" s="70"/>
      <c r="E234" s="71"/>
    </row>
    <row r="235" spans="2:5" ht="18.75" customHeight="1" x14ac:dyDescent="0.2">
      <c r="B235" s="73"/>
      <c r="C235" s="96" t="s">
        <v>197</v>
      </c>
      <c r="D235" s="96"/>
      <c r="E235" s="96"/>
    </row>
    <row r="236" spans="2:5" x14ac:dyDescent="0.2">
      <c r="B236" s="72" t="s">
        <v>152</v>
      </c>
      <c r="C236" s="74"/>
      <c r="D236" s="74"/>
      <c r="E236" s="75"/>
    </row>
    <row r="237" spans="2:5" x14ac:dyDescent="0.2">
      <c r="B237" s="73"/>
      <c r="C237" s="96" t="s">
        <v>173</v>
      </c>
      <c r="D237" s="96"/>
      <c r="E237" s="96"/>
    </row>
    <row r="238" spans="2:5" x14ac:dyDescent="0.2">
      <c r="B238" s="72" t="s">
        <v>153</v>
      </c>
      <c r="C238" s="70"/>
      <c r="D238" s="70"/>
      <c r="E238" s="71"/>
    </row>
    <row r="239" spans="2:5" ht="13.5" thickBot="1" x14ac:dyDescent="0.25">
      <c r="B239" s="94"/>
      <c r="C239" s="99"/>
      <c r="D239" s="99"/>
      <c r="E239" s="99"/>
    </row>
    <row r="242" spans="2:5" ht="13.5" thickBot="1" x14ac:dyDescent="0.25"/>
    <row r="243" spans="2:5" x14ac:dyDescent="0.2">
      <c r="B243" s="66" t="s">
        <v>155</v>
      </c>
      <c r="C243" s="67"/>
      <c r="D243" s="67"/>
      <c r="E243" s="68"/>
    </row>
    <row r="244" spans="2:5" x14ac:dyDescent="0.2">
      <c r="B244" s="69"/>
      <c r="C244" s="70"/>
      <c r="D244" s="70"/>
      <c r="E244" s="71"/>
    </row>
    <row r="245" spans="2:5" x14ac:dyDescent="0.2">
      <c r="B245" s="72" t="s">
        <v>150</v>
      </c>
      <c r="C245" s="70"/>
      <c r="D245" s="70"/>
      <c r="E245" s="71"/>
    </row>
    <row r="246" spans="2:5" ht="33.75" customHeight="1" x14ac:dyDescent="0.2">
      <c r="B246" s="72"/>
      <c r="C246" s="100" t="s">
        <v>256</v>
      </c>
      <c r="D246" s="100"/>
      <c r="E246" s="101"/>
    </row>
    <row r="247" spans="2:5" x14ac:dyDescent="0.2">
      <c r="B247" s="72" t="s">
        <v>169</v>
      </c>
      <c r="C247" s="70"/>
      <c r="D247" s="70"/>
      <c r="E247" s="71"/>
    </row>
    <row r="248" spans="2:5" ht="30.75" customHeight="1" x14ac:dyDescent="0.2">
      <c r="B248" s="73"/>
      <c r="C248" s="102" t="s">
        <v>170</v>
      </c>
      <c r="D248" s="102"/>
      <c r="E248" s="102"/>
    </row>
    <row r="249" spans="2:5" ht="92.25" customHeight="1" x14ac:dyDescent="0.2">
      <c r="B249" s="73"/>
      <c r="C249" s="97" t="s">
        <v>171</v>
      </c>
      <c r="D249" s="97"/>
      <c r="E249" s="98"/>
    </row>
    <row r="250" spans="2:5" x14ac:dyDescent="0.2">
      <c r="B250" s="72" t="s">
        <v>151</v>
      </c>
      <c r="C250" s="70"/>
      <c r="D250" s="70"/>
      <c r="E250" s="71"/>
    </row>
    <row r="251" spans="2:5" x14ac:dyDescent="0.2">
      <c r="B251" s="73"/>
      <c r="C251" s="96" t="s">
        <v>197</v>
      </c>
      <c r="D251" s="96"/>
      <c r="E251" s="96"/>
    </row>
    <row r="252" spans="2:5" x14ac:dyDescent="0.2">
      <c r="B252" s="72" t="s">
        <v>152</v>
      </c>
      <c r="C252" s="74"/>
      <c r="D252" s="74"/>
      <c r="E252" s="75"/>
    </row>
    <row r="253" spans="2:5" x14ac:dyDescent="0.2">
      <c r="B253" s="73"/>
      <c r="C253" s="96" t="s">
        <v>173</v>
      </c>
      <c r="D253" s="96"/>
      <c r="E253" s="96"/>
    </row>
    <row r="254" spans="2:5" x14ac:dyDescent="0.2">
      <c r="B254" s="72" t="s">
        <v>153</v>
      </c>
      <c r="C254" s="70"/>
      <c r="D254" s="70"/>
      <c r="E254" s="71"/>
    </row>
    <row r="255" spans="2:5" ht="13.5" thickBot="1" x14ac:dyDescent="0.25">
      <c r="B255" s="94"/>
      <c r="C255" s="99"/>
      <c r="D255" s="99"/>
      <c r="E255" s="99"/>
    </row>
    <row r="257" spans="2:5" ht="13.5" thickBot="1" x14ac:dyDescent="0.25"/>
    <row r="258" spans="2:5" x14ac:dyDescent="0.2">
      <c r="B258" s="66" t="s">
        <v>156</v>
      </c>
      <c r="C258" s="67"/>
      <c r="D258" s="67"/>
      <c r="E258" s="68"/>
    </row>
    <row r="259" spans="2:5" x14ac:dyDescent="0.2">
      <c r="B259" s="69"/>
      <c r="C259" s="70"/>
      <c r="D259" s="70"/>
      <c r="E259" s="71"/>
    </row>
    <row r="260" spans="2:5" x14ac:dyDescent="0.2">
      <c r="B260" s="72" t="s">
        <v>150</v>
      </c>
      <c r="C260" s="70"/>
      <c r="D260" s="70"/>
      <c r="E260" s="71"/>
    </row>
    <row r="261" spans="2:5" ht="22.5" customHeight="1" x14ac:dyDescent="0.2">
      <c r="B261" s="72"/>
      <c r="C261" s="100" t="s">
        <v>244</v>
      </c>
      <c r="D261" s="100"/>
      <c r="E261" s="101"/>
    </row>
    <row r="262" spans="2:5" x14ac:dyDescent="0.2">
      <c r="B262" s="72" t="s">
        <v>169</v>
      </c>
      <c r="C262" s="70"/>
      <c r="D262" s="70"/>
      <c r="E262" s="71"/>
    </row>
    <row r="263" spans="2:5" ht="28.5" customHeight="1" x14ac:dyDescent="0.2">
      <c r="B263" s="73"/>
      <c r="C263" s="102" t="s">
        <v>170</v>
      </c>
      <c r="D263" s="102"/>
      <c r="E263" s="102"/>
    </row>
    <row r="264" spans="2:5" ht="91.5" customHeight="1" x14ac:dyDescent="0.2">
      <c r="B264" s="73"/>
      <c r="C264" s="97" t="s">
        <v>171</v>
      </c>
      <c r="D264" s="97"/>
      <c r="E264" s="98"/>
    </row>
    <row r="265" spans="2:5" x14ac:dyDescent="0.2">
      <c r="B265" s="72" t="s">
        <v>151</v>
      </c>
      <c r="C265" s="70"/>
      <c r="D265" s="70"/>
      <c r="E265" s="71"/>
    </row>
    <row r="266" spans="2:5" ht="21" customHeight="1" x14ac:dyDescent="0.2">
      <c r="B266" s="73"/>
      <c r="C266" s="96" t="s">
        <v>198</v>
      </c>
      <c r="D266" s="96"/>
      <c r="E266" s="96"/>
    </row>
    <row r="267" spans="2:5" x14ac:dyDescent="0.2">
      <c r="B267" s="72" t="s">
        <v>152</v>
      </c>
      <c r="C267" s="74"/>
      <c r="D267" s="74"/>
      <c r="E267" s="75"/>
    </row>
    <row r="268" spans="2:5" x14ac:dyDescent="0.2">
      <c r="B268" s="73"/>
      <c r="C268" s="96" t="s">
        <v>173</v>
      </c>
      <c r="D268" s="96"/>
      <c r="E268" s="96"/>
    </row>
    <row r="269" spans="2:5" x14ac:dyDescent="0.2">
      <c r="B269" s="72" t="s">
        <v>153</v>
      </c>
      <c r="C269" s="70"/>
      <c r="D269" s="70"/>
      <c r="E269" s="71"/>
    </row>
    <row r="270" spans="2:5" ht="13.5" thickBot="1" x14ac:dyDescent="0.25">
      <c r="B270" s="94"/>
      <c r="C270" s="99"/>
      <c r="D270" s="99"/>
      <c r="E270" s="99"/>
    </row>
    <row r="272" spans="2:5" ht="13.5" thickBot="1" x14ac:dyDescent="0.25"/>
    <row r="273" spans="2:5" x14ac:dyDescent="0.2">
      <c r="B273" s="66" t="s">
        <v>199</v>
      </c>
      <c r="C273" s="67"/>
      <c r="D273" s="67"/>
      <c r="E273" s="68"/>
    </row>
    <row r="274" spans="2:5" x14ac:dyDescent="0.2">
      <c r="B274" s="69"/>
      <c r="C274" s="70"/>
      <c r="D274" s="70"/>
      <c r="E274" s="71"/>
    </row>
    <row r="275" spans="2:5" x14ac:dyDescent="0.2">
      <c r="B275" s="72" t="s">
        <v>150</v>
      </c>
      <c r="C275" s="70"/>
      <c r="D275" s="70"/>
      <c r="E275" s="71"/>
    </row>
    <row r="276" spans="2:5" ht="28.5" customHeight="1" x14ac:dyDescent="0.2">
      <c r="B276" s="72"/>
      <c r="C276" s="100" t="s">
        <v>257</v>
      </c>
      <c r="D276" s="100"/>
      <c r="E276" s="101"/>
    </row>
    <row r="277" spans="2:5" x14ac:dyDescent="0.2">
      <c r="B277" s="72" t="s">
        <v>169</v>
      </c>
      <c r="C277" s="70"/>
      <c r="D277" s="70"/>
      <c r="E277" s="71"/>
    </row>
    <row r="278" spans="2:5" ht="24.75" customHeight="1" x14ac:dyDescent="0.2">
      <c r="B278" s="73"/>
      <c r="C278" s="102" t="s">
        <v>170</v>
      </c>
      <c r="D278" s="102"/>
      <c r="E278" s="102"/>
    </row>
    <row r="279" spans="2:5" ht="82.5" customHeight="1" x14ac:dyDescent="0.2">
      <c r="B279" s="73"/>
      <c r="C279" s="97" t="s">
        <v>171</v>
      </c>
      <c r="D279" s="97"/>
      <c r="E279" s="98"/>
    </row>
    <row r="280" spans="2:5" x14ac:dyDescent="0.2">
      <c r="B280" s="72" t="s">
        <v>151</v>
      </c>
      <c r="C280" s="70"/>
      <c r="D280" s="70"/>
      <c r="E280" s="71"/>
    </row>
    <row r="281" spans="2:5" x14ac:dyDescent="0.2">
      <c r="B281" s="73"/>
      <c r="C281" s="96" t="s">
        <v>198</v>
      </c>
      <c r="D281" s="96"/>
      <c r="E281" s="96"/>
    </row>
    <row r="282" spans="2:5" x14ac:dyDescent="0.2">
      <c r="B282" s="72" t="s">
        <v>152</v>
      </c>
      <c r="C282" s="74"/>
      <c r="D282" s="74"/>
      <c r="E282" s="75"/>
    </row>
    <row r="283" spans="2:5" x14ac:dyDescent="0.2">
      <c r="B283" s="73"/>
      <c r="C283" s="96" t="s">
        <v>173</v>
      </c>
      <c r="D283" s="96"/>
      <c r="E283" s="96"/>
    </row>
    <row r="284" spans="2:5" x14ac:dyDescent="0.2">
      <c r="B284" s="72" t="s">
        <v>153</v>
      </c>
      <c r="C284" s="70"/>
      <c r="D284" s="70"/>
      <c r="E284" s="71"/>
    </row>
    <row r="285" spans="2:5" ht="13.5" thickBot="1" x14ac:dyDescent="0.25">
      <c r="B285" s="94"/>
      <c r="C285" s="99"/>
      <c r="D285" s="99"/>
      <c r="E285" s="99"/>
    </row>
    <row r="287" spans="2:5" ht="13.5" thickBot="1" x14ac:dyDescent="0.25"/>
    <row r="288" spans="2:5" x14ac:dyDescent="0.2">
      <c r="B288" s="66" t="s">
        <v>200</v>
      </c>
      <c r="C288" s="67"/>
      <c r="D288" s="67"/>
      <c r="E288" s="68"/>
    </row>
    <row r="289" spans="2:5" x14ac:dyDescent="0.2">
      <c r="B289" s="69"/>
      <c r="C289" s="70"/>
      <c r="D289" s="70"/>
      <c r="E289" s="71"/>
    </row>
    <row r="290" spans="2:5" x14ac:dyDescent="0.2">
      <c r="B290" s="72" t="s">
        <v>150</v>
      </c>
      <c r="C290" s="70"/>
      <c r="D290" s="70"/>
      <c r="E290" s="71"/>
    </row>
    <row r="291" spans="2:5" ht="30.75" customHeight="1" x14ac:dyDescent="0.2">
      <c r="B291" s="72"/>
      <c r="C291" s="100" t="s">
        <v>259</v>
      </c>
      <c r="D291" s="100"/>
      <c r="E291" s="101"/>
    </row>
    <row r="292" spans="2:5" x14ac:dyDescent="0.2">
      <c r="B292" s="72" t="s">
        <v>169</v>
      </c>
      <c r="C292" s="70"/>
      <c r="D292" s="70"/>
      <c r="E292" s="71"/>
    </row>
    <row r="293" spans="2:5" ht="27" customHeight="1" x14ac:dyDescent="0.2">
      <c r="B293" s="73"/>
      <c r="C293" s="102" t="s">
        <v>170</v>
      </c>
      <c r="D293" s="102"/>
      <c r="E293" s="102"/>
    </row>
    <row r="294" spans="2:5" ht="81" customHeight="1" x14ac:dyDescent="0.2">
      <c r="B294" s="73"/>
      <c r="C294" s="97" t="s">
        <v>171</v>
      </c>
      <c r="D294" s="97"/>
      <c r="E294" s="98"/>
    </row>
    <row r="295" spans="2:5" x14ac:dyDescent="0.2">
      <c r="B295" s="72" t="s">
        <v>151</v>
      </c>
      <c r="C295" s="70"/>
      <c r="D295" s="70"/>
      <c r="E295" s="71"/>
    </row>
    <row r="296" spans="2:5" ht="23.25" customHeight="1" x14ac:dyDescent="0.2">
      <c r="B296" s="73"/>
      <c r="C296" s="96" t="s">
        <v>198</v>
      </c>
      <c r="D296" s="96"/>
      <c r="E296" s="96"/>
    </row>
    <row r="297" spans="2:5" x14ac:dyDescent="0.2">
      <c r="B297" s="72" t="s">
        <v>152</v>
      </c>
      <c r="C297" s="74"/>
      <c r="D297" s="74"/>
      <c r="E297" s="75"/>
    </row>
    <row r="298" spans="2:5" x14ac:dyDescent="0.2">
      <c r="B298" s="73"/>
      <c r="C298" s="96" t="s">
        <v>173</v>
      </c>
      <c r="D298" s="96"/>
      <c r="E298" s="96"/>
    </row>
    <row r="299" spans="2:5" x14ac:dyDescent="0.2">
      <c r="B299" s="72" t="s">
        <v>153</v>
      </c>
      <c r="C299" s="70"/>
      <c r="D299" s="70"/>
      <c r="E299" s="71"/>
    </row>
    <row r="300" spans="2:5" ht="13.5" thickBot="1" x14ac:dyDescent="0.25">
      <c r="B300" s="94"/>
      <c r="C300" s="99"/>
      <c r="D300" s="99"/>
      <c r="E300" s="99"/>
    </row>
    <row r="302" spans="2:5" ht="13.5" thickBot="1" x14ac:dyDescent="0.25"/>
    <row r="303" spans="2:5" x14ac:dyDescent="0.2">
      <c r="B303" s="66" t="s">
        <v>157</v>
      </c>
      <c r="C303" s="67"/>
      <c r="D303" s="67"/>
      <c r="E303" s="68"/>
    </row>
    <row r="304" spans="2:5" x14ac:dyDescent="0.2">
      <c r="B304" s="69"/>
      <c r="C304" s="70"/>
      <c r="D304" s="70"/>
      <c r="E304" s="71"/>
    </row>
    <row r="305" spans="2:5" x14ac:dyDescent="0.2">
      <c r="B305" s="72" t="s">
        <v>150</v>
      </c>
      <c r="C305" s="70"/>
      <c r="D305" s="70"/>
      <c r="E305" s="71"/>
    </row>
    <row r="306" spans="2:5" ht="23.25" customHeight="1" x14ac:dyDescent="0.2">
      <c r="B306" s="72"/>
      <c r="C306" s="100" t="s">
        <v>245</v>
      </c>
      <c r="D306" s="100"/>
      <c r="E306" s="101"/>
    </row>
    <row r="307" spans="2:5" x14ac:dyDescent="0.2">
      <c r="B307" s="72" t="s">
        <v>169</v>
      </c>
      <c r="C307" s="70"/>
      <c r="D307" s="70"/>
      <c r="E307" s="71"/>
    </row>
    <row r="308" spans="2:5" ht="18" customHeight="1" x14ac:dyDescent="0.2">
      <c r="B308" s="73"/>
      <c r="C308" s="102" t="s">
        <v>170</v>
      </c>
      <c r="D308" s="102"/>
      <c r="E308" s="102"/>
    </row>
    <row r="309" spans="2:5" ht="90.75" customHeight="1" x14ac:dyDescent="0.2">
      <c r="B309" s="73"/>
      <c r="C309" s="97" t="s">
        <v>171</v>
      </c>
      <c r="D309" s="97"/>
      <c r="E309" s="98"/>
    </row>
    <row r="310" spans="2:5" x14ac:dyDescent="0.2">
      <c r="B310" s="72" t="s">
        <v>151</v>
      </c>
      <c r="C310" s="70"/>
      <c r="D310" s="70"/>
      <c r="E310" s="71"/>
    </row>
    <row r="311" spans="2:5" ht="24" customHeight="1" x14ac:dyDescent="0.2">
      <c r="B311" s="73"/>
      <c r="C311" s="96" t="s">
        <v>198</v>
      </c>
      <c r="D311" s="96"/>
      <c r="E311" s="96"/>
    </row>
    <row r="312" spans="2:5" x14ac:dyDescent="0.2">
      <c r="B312" s="72" t="s">
        <v>152</v>
      </c>
      <c r="C312" s="74"/>
      <c r="D312" s="74"/>
      <c r="E312" s="75"/>
    </row>
    <row r="313" spans="2:5" x14ac:dyDescent="0.2">
      <c r="B313" s="73"/>
      <c r="C313" s="96" t="s">
        <v>173</v>
      </c>
      <c r="D313" s="96"/>
      <c r="E313" s="96"/>
    </row>
    <row r="314" spans="2:5" x14ac:dyDescent="0.2">
      <c r="B314" s="72" t="s">
        <v>153</v>
      </c>
      <c r="C314" s="70"/>
      <c r="D314" s="70"/>
      <c r="E314" s="71"/>
    </row>
    <row r="315" spans="2:5" ht="13.5" thickBot="1" x14ac:dyDescent="0.25">
      <c r="B315" s="94"/>
      <c r="C315" s="99"/>
      <c r="D315" s="99"/>
      <c r="E315" s="99"/>
    </row>
    <row r="317" spans="2:5" ht="13.5" thickBot="1" x14ac:dyDescent="0.25"/>
    <row r="318" spans="2:5" x14ac:dyDescent="0.2">
      <c r="B318" s="66" t="s">
        <v>201</v>
      </c>
      <c r="C318" s="67"/>
      <c r="D318" s="67"/>
      <c r="E318" s="68"/>
    </row>
    <row r="319" spans="2:5" x14ac:dyDescent="0.2">
      <c r="B319" s="69"/>
      <c r="C319" s="70"/>
      <c r="D319" s="70"/>
      <c r="E319" s="71"/>
    </row>
    <row r="320" spans="2:5" x14ac:dyDescent="0.2">
      <c r="B320" s="72" t="s">
        <v>150</v>
      </c>
      <c r="C320" s="70"/>
      <c r="D320" s="70"/>
      <c r="E320" s="71"/>
    </row>
    <row r="321" spans="2:5" ht="26.25" customHeight="1" x14ac:dyDescent="0.2">
      <c r="B321" s="72"/>
      <c r="C321" s="100" t="s">
        <v>243</v>
      </c>
      <c r="D321" s="100"/>
      <c r="E321" s="101"/>
    </row>
    <row r="322" spans="2:5" x14ac:dyDescent="0.2">
      <c r="B322" s="72" t="s">
        <v>169</v>
      </c>
      <c r="C322" s="70"/>
      <c r="D322" s="70"/>
      <c r="E322" s="71"/>
    </row>
    <row r="323" spans="2:5" ht="24" customHeight="1" x14ac:dyDescent="0.2">
      <c r="B323" s="73"/>
      <c r="C323" s="102" t="s">
        <v>170</v>
      </c>
      <c r="D323" s="102"/>
      <c r="E323" s="102"/>
    </row>
    <row r="324" spans="2:5" ht="84" customHeight="1" x14ac:dyDescent="0.2">
      <c r="B324" s="73"/>
      <c r="C324" s="97" t="s">
        <v>171</v>
      </c>
      <c r="D324" s="97"/>
      <c r="E324" s="98"/>
    </row>
    <row r="325" spans="2:5" x14ac:dyDescent="0.2">
      <c r="B325" s="72" t="s">
        <v>151</v>
      </c>
      <c r="C325" s="70"/>
      <c r="D325" s="70"/>
      <c r="E325" s="71"/>
    </row>
    <row r="326" spans="2:5" x14ac:dyDescent="0.2">
      <c r="B326" s="73"/>
      <c r="C326" s="96" t="s">
        <v>198</v>
      </c>
      <c r="D326" s="96"/>
      <c r="E326" s="96"/>
    </row>
    <row r="327" spans="2:5" x14ac:dyDescent="0.2">
      <c r="B327" s="72" t="s">
        <v>152</v>
      </c>
      <c r="C327" s="74"/>
      <c r="D327" s="74"/>
      <c r="E327" s="75"/>
    </row>
    <row r="328" spans="2:5" x14ac:dyDescent="0.2">
      <c r="B328" s="73"/>
      <c r="C328" s="96" t="s">
        <v>173</v>
      </c>
      <c r="D328" s="96"/>
      <c r="E328" s="96"/>
    </row>
    <row r="329" spans="2:5" x14ac:dyDescent="0.2">
      <c r="B329" s="72" t="s">
        <v>153</v>
      </c>
      <c r="C329" s="70"/>
      <c r="D329" s="70"/>
      <c r="E329" s="71"/>
    </row>
    <row r="330" spans="2:5" ht="13.5" thickBot="1" x14ac:dyDescent="0.25">
      <c r="B330" s="94"/>
      <c r="C330" s="99"/>
      <c r="D330" s="99"/>
      <c r="E330" s="99"/>
    </row>
    <row r="332" spans="2:5" ht="13.5" thickBot="1" x14ac:dyDescent="0.25"/>
    <row r="333" spans="2:5" x14ac:dyDescent="0.2">
      <c r="B333" s="66" t="s">
        <v>203</v>
      </c>
      <c r="C333" s="67"/>
      <c r="D333" s="67"/>
      <c r="E333" s="68"/>
    </row>
    <row r="334" spans="2:5" x14ac:dyDescent="0.2">
      <c r="B334" s="69"/>
      <c r="C334" s="70"/>
      <c r="D334" s="70"/>
      <c r="E334" s="71"/>
    </row>
    <row r="335" spans="2:5" x14ac:dyDescent="0.2">
      <c r="B335" s="72" t="s">
        <v>150</v>
      </c>
      <c r="C335" s="70"/>
      <c r="D335" s="70"/>
      <c r="E335" s="71"/>
    </row>
    <row r="336" spans="2:5" ht="30.75" customHeight="1" x14ac:dyDescent="0.2">
      <c r="B336" s="72"/>
      <c r="C336" s="100" t="s">
        <v>202</v>
      </c>
      <c r="D336" s="100"/>
      <c r="E336" s="101"/>
    </row>
    <row r="337" spans="2:5" x14ac:dyDescent="0.2">
      <c r="B337" s="72" t="s">
        <v>169</v>
      </c>
      <c r="C337" s="70"/>
      <c r="D337" s="70"/>
      <c r="E337" s="71"/>
    </row>
    <row r="338" spans="2:5" ht="29.25" customHeight="1" x14ac:dyDescent="0.2">
      <c r="B338" s="73"/>
      <c r="C338" s="102" t="s">
        <v>170</v>
      </c>
      <c r="D338" s="102"/>
      <c r="E338" s="102"/>
    </row>
    <row r="339" spans="2:5" ht="81.75" customHeight="1" x14ac:dyDescent="0.2">
      <c r="B339" s="73"/>
      <c r="C339" s="97" t="s">
        <v>171</v>
      </c>
      <c r="D339" s="97"/>
      <c r="E339" s="98"/>
    </row>
    <row r="340" spans="2:5" x14ac:dyDescent="0.2">
      <c r="B340" s="72" t="s">
        <v>151</v>
      </c>
      <c r="C340" s="70"/>
      <c r="D340" s="70"/>
      <c r="E340" s="71"/>
    </row>
    <row r="341" spans="2:5" ht="23.25" customHeight="1" x14ac:dyDescent="0.2">
      <c r="B341" s="73"/>
      <c r="C341" s="96" t="s">
        <v>198</v>
      </c>
      <c r="D341" s="96"/>
      <c r="E341" s="96"/>
    </row>
    <row r="342" spans="2:5" x14ac:dyDescent="0.2">
      <c r="B342" s="72" t="s">
        <v>152</v>
      </c>
      <c r="C342" s="74"/>
      <c r="D342" s="74"/>
      <c r="E342" s="75"/>
    </row>
    <row r="343" spans="2:5" x14ac:dyDescent="0.2">
      <c r="B343" s="73"/>
      <c r="C343" s="96" t="s">
        <v>173</v>
      </c>
      <c r="D343" s="96"/>
      <c r="E343" s="96"/>
    </row>
    <row r="344" spans="2:5" x14ac:dyDescent="0.2">
      <c r="B344" s="72" t="s">
        <v>153</v>
      </c>
      <c r="C344" s="70"/>
      <c r="D344" s="70"/>
      <c r="E344" s="71"/>
    </row>
    <row r="345" spans="2:5" ht="13.5" thickBot="1" x14ac:dyDescent="0.25">
      <c r="B345" s="94"/>
      <c r="C345" s="99"/>
      <c r="D345" s="99"/>
      <c r="E345" s="99"/>
    </row>
    <row r="347" spans="2:5" ht="13.5" thickBot="1" x14ac:dyDescent="0.25"/>
    <row r="348" spans="2:5" x14ac:dyDescent="0.2">
      <c r="B348" s="66" t="s">
        <v>204</v>
      </c>
      <c r="C348" s="67"/>
      <c r="D348" s="67"/>
      <c r="E348" s="68"/>
    </row>
    <row r="349" spans="2:5" x14ac:dyDescent="0.2">
      <c r="B349" s="69"/>
      <c r="C349" s="70"/>
      <c r="D349" s="70"/>
      <c r="E349" s="71"/>
    </row>
    <row r="350" spans="2:5" x14ac:dyDescent="0.2">
      <c r="B350" s="72" t="s">
        <v>150</v>
      </c>
      <c r="C350" s="70"/>
      <c r="D350" s="70"/>
      <c r="E350" s="71"/>
    </row>
    <row r="351" spans="2:5" ht="27.75" customHeight="1" x14ac:dyDescent="0.2">
      <c r="B351" s="72"/>
      <c r="C351" s="100" t="s">
        <v>258</v>
      </c>
      <c r="D351" s="100"/>
      <c r="E351" s="101"/>
    </row>
    <row r="352" spans="2:5" x14ac:dyDescent="0.2">
      <c r="B352" s="72" t="s">
        <v>169</v>
      </c>
      <c r="C352" s="70"/>
      <c r="D352" s="70"/>
      <c r="E352" s="71"/>
    </row>
    <row r="353" spans="2:5" ht="27.75" customHeight="1" x14ac:dyDescent="0.2">
      <c r="B353" s="73"/>
      <c r="C353" s="102" t="s">
        <v>170</v>
      </c>
      <c r="D353" s="102"/>
      <c r="E353" s="102"/>
    </row>
    <row r="354" spans="2:5" ht="84.75" customHeight="1" x14ac:dyDescent="0.2">
      <c r="B354" s="73"/>
      <c r="C354" s="97" t="s">
        <v>171</v>
      </c>
      <c r="D354" s="97"/>
      <c r="E354" s="98"/>
    </row>
    <row r="355" spans="2:5" x14ac:dyDescent="0.2">
      <c r="B355" s="72" t="s">
        <v>151</v>
      </c>
      <c r="C355" s="70"/>
      <c r="D355" s="70"/>
      <c r="E355" s="71"/>
    </row>
    <row r="356" spans="2:5" ht="23.25" customHeight="1" x14ac:dyDescent="0.2">
      <c r="B356" s="73"/>
      <c r="C356" s="96" t="s">
        <v>198</v>
      </c>
      <c r="D356" s="96"/>
      <c r="E356" s="96"/>
    </row>
    <row r="357" spans="2:5" x14ac:dyDescent="0.2">
      <c r="B357" s="72" t="s">
        <v>152</v>
      </c>
      <c r="C357" s="74"/>
      <c r="D357" s="74"/>
      <c r="E357" s="75"/>
    </row>
    <row r="358" spans="2:5" x14ac:dyDescent="0.2">
      <c r="B358" s="73"/>
      <c r="C358" s="96" t="s">
        <v>173</v>
      </c>
      <c r="D358" s="96"/>
      <c r="E358" s="96"/>
    </row>
    <row r="359" spans="2:5" x14ac:dyDescent="0.2">
      <c r="B359" s="72" t="s">
        <v>153</v>
      </c>
      <c r="C359" s="70"/>
      <c r="D359" s="70"/>
      <c r="E359" s="71"/>
    </row>
    <row r="360" spans="2:5" ht="13.5" thickBot="1" x14ac:dyDescent="0.25">
      <c r="B360" s="94"/>
      <c r="C360" s="99"/>
      <c r="D360" s="99"/>
      <c r="E360" s="99"/>
    </row>
    <row r="362" spans="2:5" ht="13.5" thickBot="1" x14ac:dyDescent="0.25"/>
    <row r="363" spans="2:5" x14ac:dyDescent="0.2">
      <c r="B363" s="66" t="s">
        <v>205</v>
      </c>
      <c r="C363" s="67"/>
      <c r="D363" s="67"/>
      <c r="E363" s="68"/>
    </row>
    <row r="364" spans="2:5" x14ac:dyDescent="0.2">
      <c r="B364" s="69"/>
      <c r="C364" s="70"/>
      <c r="D364" s="70"/>
      <c r="E364" s="71"/>
    </row>
    <row r="365" spans="2:5" x14ac:dyDescent="0.2">
      <c r="B365" s="72" t="s">
        <v>150</v>
      </c>
      <c r="C365" s="70"/>
      <c r="D365" s="70"/>
      <c r="E365" s="71"/>
    </row>
    <row r="366" spans="2:5" ht="24.75" customHeight="1" x14ac:dyDescent="0.2">
      <c r="B366" s="72"/>
      <c r="C366" s="100" t="s">
        <v>206</v>
      </c>
      <c r="D366" s="100"/>
      <c r="E366" s="101"/>
    </row>
    <row r="367" spans="2:5" x14ac:dyDescent="0.2">
      <c r="B367" s="72" t="s">
        <v>169</v>
      </c>
      <c r="C367" s="70"/>
      <c r="D367" s="70"/>
      <c r="E367" s="71"/>
    </row>
    <row r="368" spans="2:5" ht="32.25" customHeight="1" x14ac:dyDescent="0.2">
      <c r="B368" s="73"/>
      <c r="C368" s="102" t="s">
        <v>170</v>
      </c>
      <c r="D368" s="102"/>
      <c r="E368" s="102"/>
    </row>
    <row r="369" spans="2:5" ht="107.25" customHeight="1" x14ac:dyDescent="0.2">
      <c r="B369" s="73"/>
      <c r="C369" s="97" t="s">
        <v>171</v>
      </c>
      <c r="D369" s="97"/>
      <c r="E369" s="98"/>
    </row>
    <row r="370" spans="2:5" x14ac:dyDescent="0.2">
      <c r="B370" s="72" t="s">
        <v>151</v>
      </c>
      <c r="C370" s="70"/>
      <c r="D370" s="70"/>
      <c r="E370" s="71"/>
    </row>
    <row r="371" spans="2:5" ht="17.25" customHeight="1" x14ac:dyDescent="0.2">
      <c r="B371" s="73"/>
      <c r="C371" s="96" t="s">
        <v>198</v>
      </c>
      <c r="D371" s="96"/>
      <c r="E371" s="96"/>
    </row>
    <row r="372" spans="2:5" x14ac:dyDescent="0.2">
      <c r="B372" s="72" t="s">
        <v>152</v>
      </c>
      <c r="C372" s="74"/>
      <c r="D372" s="74"/>
      <c r="E372" s="75"/>
    </row>
    <row r="373" spans="2:5" x14ac:dyDescent="0.2">
      <c r="B373" s="73"/>
      <c r="C373" s="96" t="s">
        <v>173</v>
      </c>
      <c r="D373" s="96"/>
      <c r="E373" s="96"/>
    </row>
    <row r="374" spans="2:5" x14ac:dyDescent="0.2">
      <c r="B374" s="72" t="s">
        <v>153</v>
      </c>
      <c r="C374" s="70"/>
      <c r="D374" s="70"/>
      <c r="E374" s="71"/>
    </row>
    <row r="375" spans="2:5" ht="13.5" thickBot="1" x14ac:dyDescent="0.25">
      <c r="B375" s="94"/>
      <c r="C375" s="99"/>
      <c r="D375" s="99"/>
      <c r="E375" s="99"/>
    </row>
    <row r="377" spans="2:5" ht="13.5" thickBot="1" x14ac:dyDescent="0.25"/>
    <row r="378" spans="2:5" x14ac:dyDescent="0.2">
      <c r="B378" s="66" t="s">
        <v>207</v>
      </c>
      <c r="C378" s="67"/>
      <c r="D378" s="67"/>
      <c r="E378" s="68"/>
    </row>
    <row r="379" spans="2:5" x14ac:dyDescent="0.2">
      <c r="B379" s="69"/>
      <c r="C379" s="70"/>
      <c r="D379" s="70"/>
      <c r="E379" s="71"/>
    </row>
    <row r="380" spans="2:5" x14ac:dyDescent="0.2">
      <c r="B380" s="72" t="s">
        <v>150</v>
      </c>
      <c r="C380" s="70"/>
      <c r="D380" s="70"/>
      <c r="E380" s="71"/>
    </row>
    <row r="381" spans="2:5" ht="24" customHeight="1" x14ac:dyDescent="0.2">
      <c r="B381" s="72"/>
      <c r="C381" s="100" t="s">
        <v>260</v>
      </c>
      <c r="D381" s="100"/>
      <c r="E381" s="101"/>
    </row>
    <row r="382" spans="2:5" ht="21" customHeight="1" x14ac:dyDescent="0.2">
      <c r="B382" s="151" t="s">
        <v>169</v>
      </c>
      <c r="C382" s="70"/>
      <c r="D382" s="70"/>
      <c r="E382" s="71"/>
    </row>
    <row r="383" spans="2:5" x14ac:dyDescent="0.2">
      <c r="B383" s="73"/>
      <c r="C383" s="102" t="s">
        <v>170</v>
      </c>
      <c r="D383" s="102"/>
      <c r="E383" s="102"/>
    </row>
    <row r="384" spans="2:5" ht="82.5" customHeight="1" x14ac:dyDescent="0.2">
      <c r="B384" s="73"/>
      <c r="C384" s="97" t="s">
        <v>171</v>
      </c>
      <c r="D384" s="97"/>
      <c r="E384" s="98"/>
    </row>
    <row r="385" spans="2:5" x14ac:dyDescent="0.2">
      <c r="B385" s="72" t="s">
        <v>151</v>
      </c>
      <c r="C385" s="70"/>
      <c r="D385" s="70"/>
      <c r="E385" s="71"/>
    </row>
    <row r="386" spans="2:5" x14ac:dyDescent="0.2">
      <c r="B386" s="73"/>
      <c r="C386" s="96" t="s">
        <v>198</v>
      </c>
      <c r="D386" s="96"/>
      <c r="E386" s="96"/>
    </row>
    <row r="387" spans="2:5" x14ac:dyDescent="0.2">
      <c r="B387" s="72" t="s">
        <v>152</v>
      </c>
      <c r="C387" s="74"/>
      <c r="D387" s="74"/>
      <c r="E387" s="75"/>
    </row>
    <row r="388" spans="2:5" x14ac:dyDescent="0.2">
      <c r="B388" s="73"/>
      <c r="C388" s="96" t="s">
        <v>173</v>
      </c>
      <c r="D388" s="96"/>
      <c r="E388" s="96"/>
    </row>
    <row r="389" spans="2:5" x14ac:dyDescent="0.2">
      <c r="B389" s="72" t="s">
        <v>153</v>
      </c>
      <c r="C389" s="70"/>
      <c r="D389" s="70"/>
      <c r="E389" s="71"/>
    </row>
    <row r="390" spans="2:5" ht="13.5" thickBot="1" x14ac:dyDescent="0.25">
      <c r="B390" s="94"/>
      <c r="C390" s="99"/>
      <c r="D390" s="99"/>
      <c r="E390" s="99"/>
    </row>
    <row r="392" spans="2:5" ht="13.5" thickBot="1" x14ac:dyDescent="0.25"/>
    <row r="393" spans="2:5" x14ac:dyDescent="0.2">
      <c r="B393" s="66" t="s">
        <v>208</v>
      </c>
      <c r="C393" s="67"/>
      <c r="D393" s="67"/>
      <c r="E393" s="68"/>
    </row>
    <row r="394" spans="2:5" x14ac:dyDescent="0.2">
      <c r="B394" s="69"/>
      <c r="C394" s="70"/>
      <c r="D394" s="70"/>
      <c r="E394" s="71"/>
    </row>
    <row r="395" spans="2:5" x14ac:dyDescent="0.2">
      <c r="B395" s="72" t="s">
        <v>150</v>
      </c>
      <c r="C395" s="70"/>
      <c r="D395" s="70"/>
      <c r="E395" s="71"/>
    </row>
    <row r="396" spans="2:5" ht="21" customHeight="1" x14ac:dyDescent="0.2">
      <c r="B396" s="72"/>
      <c r="C396" s="100" t="s">
        <v>209</v>
      </c>
      <c r="D396" s="100"/>
      <c r="E396" s="101"/>
    </row>
    <row r="397" spans="2:5" x14ac:dyDescent="0.2">
      <c r="B397" s="72" t="s">
        <v>169</v>
      </c>
      <c r="C397" s="70"/>
      <c r="D397" s="70"/>
      <c r="E397" s="71"/>
    </row>
    <row r="398" spans="2:5" ht="22.5" customHeight="1" x14ac:dyDescent="0.2">
      <c r="B398" s="73"/>
      <c r="C398" s="102" t="s">
        <v>170</v>
      </c>
      <c r="D398" s="102"/>
      <c r="E398" s="102"/>
    </row>
    <row r="399" spans="2:5" ht="85.5" customHeight="1" x14ac:dyDescent="0.2">
      <c r="B399" s="73"/>
      <c r="C399" s="97" t="s">
        <v>171</v>
      </c>
      <c r="D399" s="97"/>
      <c r="E399" s="98"/>
    </row>
    <row r="400" spans="2:5" x14ac:dyDescent="0.2">
      <c r="B400" s="72" t="s">
        <v>151</v>
      </c>
      <c r="C400" s="70"/>
      <c r="D400" s="70"/>
      <c r="E400" s="71"/>
    </row>
    <row r="401" spans="2:5" x14ac:dyDescent="0.2">
      <c r="B401" s="73"/>
      <c r="C401" s="96" t="s">
        <v>198</v>
      </c>
      <c r="D401" s="96"/>
      <c r="E401" s="96"/>
    </row>
    <row r="402" spans="2:5" x14ac:dyDescent="0.2">
      <c r="B402" s="72" t="s">
        <v>152</v>
      </c>
      <c r="C402" s="74"/>
      <c r="D402" s="74"/>
      <c r="E402" s="75"/>
    </row>
    <row r="403" spans="2:5" ht="18" customHeight="1" x14ac:dyDescent="0.2">
      <c r="B403" s="73"/>
      <c r="C403" s="96" t="s">
        <v>173</v>
      </c>
      <c r="D403" s="96"/>
      <c r="E403" s="96"/>
    </row>
    <row r="404" spans="2:5" x14ac:dyDescent="0.2">
      <c r="B404" s="72" t="s">
        <v>153</v>
      </c>
      <c r="C404" s="70"/>
      <c r="D404" s="70"/>
      <c r="E404" s="71"/>
    </row>
    <row r="405" spans="2:5" ht="13.5" thickBot="1" x14ac:dyDescent="0.25">
      <c r="B405" s="94"/>
      <c r="C405" s="99"/>
      <c r="D405" s="99"/>
      <c r="E405" s="99"/>
    </row>
    <row r="407" spans="2:5" ht="13.5" thickBot="1" x14ac:dyDescent="0.25"/>
    <row r="408" spans="2:5" x14ac:dyDescent="0.2">
      <c r="B408" s="66" t="s">
        <v>210</v>
      </c>
      <c r="C408" s="67"/>
      <c r="D408" s="67"/>
      <c r="E408" s="68"/>
    </row>
    <row r="409" spans="2:5" x14ac:dyDescent="0.2">
      <c r="B409" s="69"/>
      <c r="C409" s="70"/>
      <c r="D409" s="70"/>
      <c r="E409" s="71"/>
    </row>
    <row r="410" spans="2:5" x14ac:dyDescent="0.2">
      <c r="B410" s="72" t="s">
        <v>150</v>
      </c>
      <c r="C410" s="70"/>
      <c r="D410" s="70"/>
      <c r="E410" s="71"/>
    </row>
    <row r="411" spans="2:5" ht="21" customHeight="1" x14ac:dyDescent="0.2">
      <c r="B411" s="72"/>
      <c r="C411" s="100" t="s">
        <v>246</v>
      </c>
      <c r="D411" s="100"/>
      <c r="E411" s="101"/>
    </row>
    <row r="412" spans="2:5" x14ac:dyDescent="0.2">
      <c r="B412" s="72" t="s">
        <v>169</v>
      </c>
      <c r="C412" s="70"/>
      <c r="D412" s="70"/>
      <c r="E412" s="71"/>
    </row>
    <row r="413" spans="2:5" ht="22.5" customHeight="1" x14ac:dyDescent="0.2">
      <c r="B413" s="73"/>
      <c r="C413" s="102" t="s">
        <v>170</v>
      </c>
      <c r="D413" s="102"/>
      <c r="E413" s="102"/>
    </row>
    <row r="414" spans="2:5" ht="87.75" customHeight="1" x14ac:dyDescent="0.2">
      <c r="B414" s="73"/>
      <c r="C414" s="97" t="s">
        <v>171</v>
      </c>
      <c r="D414" s="97"/>
      <c r="E414" s="98"/>
    </row>
    <row r="415" spans="2:5" x14ac:dyDescent="0.2">
      <c r="B415" s="72" t="s">
        <v>151</v>
      </c>
      <c r="C415" s="70"/>
      <c r="D415" s="70"/>
      <c r="E415" s="71"/>
    </row>
    <row r="416" spans="2:5" ht="19.5" customHeight="1" x14ac:dyDescent="0.2">
      <c r="B416" s="73"/>
      <c r="C416" s="96" t="s">
        <v>198</v>
      </c>
      <c r="D416" s="96"/>
      <c r="E416" s="96"/>
    </row>
    <row r="417" spans="2:5" x14ac:dyDescent="0.2">
      <c r="B417" s="72" t="s">
        <v>152</v>
      </c>
      <c r="C417" s="74"/>
      <c r="D417" s="74"/>
      <c r="E417" s="75"/>
    </row>
    <row r="418" spans="2:5" x14ac:dyDescent="0.2">
      <c r="B418" s="73"/>
      <c r="C418" s="96" t="s">
        <v>173</v>
      </c>
      <c r="D418" s="96"/>
      <c r="E418" s="96"/>
    </row>
    <row r="419" spans="2:5" x14ac:dyDescent="0.2">
      <c r="B419" s="72" t="s">
        <v>153</v>
      </c>
      <c r="C419" s="70"/>
      <c r="D419" s="70"/>
      <c r="E419" s="71"/>
    </row>
    <row r="420" spans="2:5" ht="13.5" thickBot="1" x14ac:dyDescent="0.25">
      <c r="B420" s="94"/>
      <c r="C420" s="99"/>
      <c r="D420" s="99"/>
      <c r="E420" s="99"/>
    </row>
    <row r="422" spans="2:5" ht="13.5" thickBot="1" x14ac:dyDescent="0.25"/>
    <row r="423" spans="2:5" x14ac:dyDescent="0.2">
      <c r="B423" s="66" t="s">
        <v>158</v>
      </c>
      <c r="C423" s="67"/>
      <c r="D423" s="67"/>
      <c r="E423" s="68"/>
    </row>
    <row r="424" spans="2:5" x14ac:dyDescent="0.2">
      <c r="B424" s="69"/>
      <c r="C424" s="70"/>
      <c r="D424" s="70"/>
      <c r="E424" s="71"/>
    </row>
    <row r="425" spans="2:5" x14ac:dyDescent="0.2">
      <c r="B425" s="72" t="s">
        <v>150</v>
      </c>
      <c r="C425" s="70"/>
      <c r="D425" s="70"/>
      <c r="E425" s="71"/>
    </row>
    <row r="426" spans="2:5" ht="18" customHeight="1" x14ac:dyDescent="0.2">
      <c r="B426" s="72"/>
      <c r="C426" s="100" t="s">
        <v>211</v>
      </c>
      <c r="D426" s="100"/>
      <c r="E426" s="101"/>
    </row>
    <row r="427" spans="2:5" x14ac:dyDescent="0.2">
      <c r="B427" s="72" t="s">
        <v>169</v>
      </c>
      <c r="C427" s="70"/>
      <c r="D427" s="70"/>
      <c r="E427" s="71"/>
    </row>
    <row r="428" spans="2:5" ht="21" customHeight="1" x14ac:dyDescent="0.2">
      <c r="B428" s="73"/>
      <c r="C428" s="102" t="s">
        <v>170</v>
      </c>
      <c r="D428" s="102"/>
      <c r="E428" s="102"/>
    </row>
    <row r="429" spans="2:5" ht="82.5" customHeight="1" x14ac:dyDescent="0.2">
      <c r="B429" s="73"/>
      <c r="C429" s="97" t="s">
        <v>171</v>
      </c>
      <c r="D429" s="97"/>
      <c r="E429" s="98"/>
    </row>
    <row r="430" spans="2:5" x14ac:dyDescent="0.2">
      <c r="B430" s="72" t="s">
        <v>151</v>
      </c>
      <c r="C430" s="70"/>
      <c r="D430" s="70"/>
      <c r="E430" s="71"/>
    </row>
    <row r="431" spans="2:5" x14ac:dyDescent="0.2">
      <c r="B431" s="73"/>
      <c r="C431" s="96" t="s">
        <v>198</v>
      </c>
      <c r="D431" s="96"/>
      <c r="E431" s="96"/>
    </row>
    <row r="432" spans="2:5" x14ac:dyDescent="0.2">
      <c r="B432" s="72" t="s">
        <v>152</v>
      </c>
      <c r="C432" s="74"/>
      <c r="D432" s="74"/>
      <c r="E432" s="75"/>
    </row>
    <row r="433" spans="2:5" x14ac:dyDescent="0.2">
      <c r="B433" s="73"/>
      <c r="C433" s="96" t="s">
        <v>173</v>
      </c>
      <c r="D433" s="96"/>
      <c r="E433" s="96"/>
    </row>
    <row r="434" spans="2:5" x14ac:dyDescent="0.2">
      <c r="B434" s="72" t="s">
        <v>153</v>
      </c>
      <c r="C434" s="70"/>
      <c r="D434" s="70"/>
      <c r="E434" s="71"/>
    </row>
    <row r="435" spans="2:5" ht="13.5" thickBot="1" x14ac:dyDescent="0.25">
      <c r="B435" s="94"/>
      <c r="C435" s="99"/>
      <c r="D435" s="99"/>
      <c r="E435" s="99"/>
    </row>
    <row r="437" spans="2:5" ht="13.5" thickBot="1" x14ac:dyDescent="0.25"/>
    <row r="438" spans="2:5" x14ac:dyDescent="0.2">
      <c r="B438" s="66" t="s">
        <v>159</v>
      </c>
      <c r="C438" s="67"/>
      <c r="D438" s="67"/>
      <c r="E438" s="68"/>
    </row>
    <row r="439" spans="2:5" x14ac:dyDescent="0.2">
      <c r="B439" s="69"/>
      <c r="C439" s="70"/>
      <c r="D439" s="70"/>
      <c r="E439" s="71"/>
    </row>
    <row r="440" spans="2:5" x14ac:dyDescent="0.2">
      <c r="B440" s="72" t="s">
        <v>150</v>
      </c>
      <c r="C440" s="70"/>
      <c r="D440" s="70"/>
      <c r="E440" s="71"/>
    </row>
    <row r="441" spans="2:5" ht="23.25" customHeight="1" x14ac:dyDescent="0.2">
      <c r="B441" s="72"/>
      <c r="C441" s="100" t="s">
        <v>212</v>
      </c>
      <c r="D441" s="100"/>
      <c r="E441" s="101"/>
    </row>
    <row r="442" spans="2:5" x14ac:dyDescent="0.2">
      <c r="B442" s="72" t="s">
        <v>169</v>
      </c>
      <c r="C442" s="70"/>
      <c r="D442" s="70"/>
      <c r="E442" s="71"/>
    </row>
    <row r="443" spans="2:5" ht="22.5" customHeight="1" x14ac:dyDescent="0.2">
      <c r="B443" s="73"/>
      <c r="C443" s="102" t="s">
        <v>170</v>
      </c>
      <c r="D443" s="102"/>
      <c r="E443" s="102"/>
    </row>
    <row r="444" spans="2:5" ht="81.75" customHeight="1" x14ac:dyDescent="0.2">
      <c r="B444" s="73"/>
      <c r="C444" s="97" t="s">
        <v>171</v>
      </c>
      <c r="D444" s="97"/>
      <c r="E444" s="98"/>
    </row>
    <row r="445" spans="2:5" x14ac:dyDescent="0.2">
      <c r="B445" s="72" t="s">
        <v>151</v>
      </c>
      <c r="C445" s="70"/>
      <c r="D445" s="70"/>
      <c r="E445" s="71"/>
    </row>
    <row r="446" spans="2:5" x14ac:dyDescent="0.2">
      <c r="B446" s="73"/>
      <c r="C446" s="96" t="s">
        <v>198</v>
      </c>
      <c r="D446" s="96"/>
      <c r="E446" s="96"/>
    </row>
    <row r="447" spans="2:5" x14ac:dyDescent="0.2">
      <c r="B447" s="72" t="s">
        <v>152</v>
      </c>
      <c r="C447" s="74"/>
      <c r="D447" s="74"/>
      <c r="E447" s="75"/>
    </row>
    <row r="448" spans="2:5" x14ac:dyDescent="0.2">
      <c r="B448" s="73"/>
      <c r="C448" s="96" t="s">
        <v>173</v>
      </c>
      <c r="D448" s="96"/>
      <c r="E448" s="96"/>
    </row>
    <row r="449" spans="2:5" x14ac:dyDescent="0.2">
      <c r="B449" s="72" t="s">
        <v>153</v>
      </c>
      <c r="C449" s="70"/>
      <c r="D449" s="70"/>
      <c r="E449" s="71"/>
    </row>
    <row r="450" spans="2:5" ht="13.5" thickBot="1" x14ac:dyDescent="0.25">
      <c r="B450" s="94"/>
      <c r="C450" s="99"/>
      <c r="D450" s="99"/>
      <c r="E450" s="99"/>
    </row>
    <row r="452" spans="2:5" ht="13.5" thickBot="1" x14ac:dyDescent="0.25"/>
    <row r="453" spans="2:5" x14ac:dyDescent="0.2">
      <c r="B453" s="66" t="s">
        <v>160</v>
      </c>
      <c r="C453" s="67"/>
      <c r="D453" s="67"/>
      <c r="E453" s="68"/>
    </row>
    <row r="454" spans="2:5" x14ac:dyDescent="0.2">
      <c r="B454" s="69"/>
      <c r="C454" s="70"/>
      <c r="D454" s="70"/>
      <c r="E454" s="71"/>
    </row>
    <row r="455" spans="2:5" x14ac:dyDescent="0.2">
      <c r="B455" s="72" t="s">
        <v>150</v>
      </c>
      <c r="C455" s="70"/>
      <c r="D455" s="70"/>
      <c r="E455" s="71"/>
    </row>
    <row r="456" spans="2:5" ht="21.75" customHeight="1" x14ac:dyDescent="0.2">
      <c r="B456" s="72"/>
      <c r="C456" s="100" t="s">
        <v>213</v>
      </c>
      <c r="D456" s="100"/>
      <c r="E456" s="101"/>
    </row>
    <row r="457" spans="2:5" x14ac:dyDescent="0.2">
      <c r="B457" s="72" t="s">
        <v>169</v>
      </c>
      <c r="C457" s="70"/>
      <c r="D457" s="70"/>
      <c r="E457" s="71"/>
    </row>
    <row r="458" spans="2:5" ht="18.75" customHeight="1" x14ac:dyDescent="0.2">
      <c r="B458" s="73"/>
      <c r="C458" s="102" t="s">
        <v>170</v>
      </c>
      <c r="D458" s="102"/>
      <c r="E458" s="102"/>
    </row>
    <row r="459" spans="2:5" ht="90.75" customHeight="1" x14ac:dyDescent="0.2">
      <c r="B459" s="73"/>
      <c r="C459" s="97" t="s">
        <v>171</v>
      </c>
      <c r="D459" s="97"/>
      <c r="E459" s="98"/>
    </row>
    <row r="460" spans="2:5" x14ac:dyDescent="0.2">
      <c r="B460" s="72" t="s">
        <v>151</v>
      </c>
      <c r="C460" s="70"/>
      <c r="D460" s="70"/>
      <c r="E460" s="71"/>
    </row>
    <row r="461" spans="2:5" ht="18" customHeight="1" x14ac:dyDescent="0.2">
      <c r="B461" s="73"/>
      <c r="C461" s="96" t="s">
        <v>198</v>
      </c>
      <c r="D461" s="96"/>
      <c r="E461" s="96"/>
    </row>
    <row r="462" spans="2:5" x14ac:dyDescent="0.2">
      <c r="B462" s="72" t="s">
        <v>152</v>
      </c>
      <c r="C462" s="74"/>
      <c r="D462" s="74"/>
      <c r="E462" s="75"/>
    </row>
    <row r="463" spans="2:5" x14ac:dyDescent="0.2">
      <c r="B463" s="73"/>
      <c r="C463" s="96" t="s">
        <v>173</v>
      </c>
      <c r="D463" s="96"/>
      <c r="E463" s="96"/>
    </row>
    <row r="464" spans="2:5" x14ac:dyDescent="0.2">
      <c r="B464" s="72" t="s">
        <v>153</v>
      </c>
      <c r="C464" s="70"/>
      <c r="D464" s="70"/>
      <c r="E464" s="71"/>
    </row>
    <row r="465" spans="2:5" ht="13.5" thickBot="1" x14ac:dyDescent="0.25">
      <c r="B465" s="94"/>
      <c r="C465" s="99"/>
      <c r="D465" s="99"/>
      <c r="E465" s="99"/>
    </row>
    <row r="468" spans="2:5" ht="13.5" thickBot="1" x14ac:dyDescent="0.25"/>
    <row r="469" spans="2:5" x14ac:dyDescent="0.2">
      <c r="B469" s="66" t="s">
        <v>161</v>
      </c>
      <c r="C469" s="67"/>
      <c r="D469" s="67"/>
      <c r="E469" s="68"/>
    </row>
    <row r="470" spans="2:5" x14ac:dyDescent="0.2">
      <c r="B470" s="69"/>
      <c r="C470" s="70"/>
      <c r="D470" s="70"/>
      <c r="E470" s="71"/>
    </row>
    <row r="471" spans="2:5" x14ac:dyDescent="0.2">
      <c r="B471" s="72" t="s">
        <v>150</v>
      </c>
      <c r="C471" s="70"/>
      <c r="D471" s="70"/>
      <c r="E471" s="71"/>
    </row>
    <row r="472" spans="2:5" ht="27.75" customHeight="1" x14ac:dyDescent="0.2">
      <c r="B472" s="72"/>
      <c r="C472" s="100" t="s">
        <v>214</v>
      </c>
      <c r="D472" s="100"/>
      <c r="E472" s="101"/>
    </row>
    <row r="473" spans="2:5" x14ac:dyDescent="0.2">
      <c r="B473" s="72" t="s">
        <v>169</v>
      </c>
      <c r="C473" s="70"/>
      <c r="D473" s="70"/>
      <c r="E473" s="71"/>
    </row>
    <row r="474" spans="2:5" ht="21" customHeight="1" x14ac:dyDescent="0.2">
      <c r="B474" s="73"/>
      <c r="C474" s="102" t="s">
        <v>170</v>
      </c>
      <c r="D474" s="102"/>
      <c r="E474" s="102"/>
    </row>
    <row r="475" spans="2:5" ht="87" customHeight="1" x14ac:dyDescent="0.2">
      <c r="B475" s="73"/>
      <c r="C475" s="97" t="s">
        <v>171</v>
      </c>
      <c r="D475" s="97"/>
      <c r="E475" s="98"/>
    </row>
    <row r="476" spans="2:5" x14ac:dyDescent="0.2">
      <c r="B476" s="72" t="s">
        <v>151</v>
      </c>
      <c r="C476" s="70"/>
      <c r="D476" s="70"/>
      <c r="E476" s="71"/>
    </row>
    <row r="477" spans="2:5" x14ac:dyDescent="0.2">
      <c r="B477" s="73"/>
      <c r="C477" s="96" t="s">
        <v>198</v>
      </c>
      <c r="D477" s="96"/>
      <c r="E477" s="96"/>
    </row>
    <row r="478" spans="2:5" x14ac:dyDescent="0.2">
      <c r="B478" s="72" t="s">
        <v>152</v>
      </c>
      <c r="C478" s="74"/>
      <c r="D478" s="74"/>
      <c r="E478" s="75"/>
    </row>
    <row r="479" spans="2:5" x14ac:dyDescent="0.2">
      <c r="B479" s="73"/>
      <c r="C479" s="96" t="s">
        <v>173</v>
      </c>
      <c r="D479" s="96"/>
      <c r="E479" s="96"/>
    </row>
    <row r="480" spans="2:5" x14ac:dyDescent="0.2">
      <c r="B480" s="72" t="s">
        <v>153</v>
      </c>
      <c r="C480" s="70"/>
      <c r="D480" s="70"/>
      <c r="E480" s="71"/>
    </row>
    <row r="481" spans="2:5" ht="13.5" thickBot="1" x14ac:dyDescent="0.25">
      <c r="B481" s="94"/>
      <c r="C481" s="99"/>
      <c r="D481" s="99"/>
      <c r="E481" s="99"/>
    </row>
    <row r="483" spans="2:5" ht="13.5" thickBot="1" x14ac:dyDescent="0.25"/>
    <row r="484" spans="2:5" x14ac:dyDescent="0.2">
      <c r="B484" s="66" t="s">
        <v>162</v>
      </c>
      <c r="C484" s="67"/>
      <c r="D484" s="67"/>
      <c r="E484" s="68"/>
    </row>
    <row r="485" spans="2:5" x14ac:dyDescent="0.2">
      <c r="B485" s="69"/>
      <c r="C485" s="70"/>
      <c r="D485" s="70"/>
      <c r="E485" s="71"/>
    </row>
    <row r="486" spans="2:5" x14ac:dyDescent="0.2">
      <c r="B486" s="72" t="s">
        <v>150</v>
      </c>
      <c r="C486" s="70"/>
      <c r="D486" s="70"/>
      <c r="E486" s="71"/>
    </row>
    <row r="487" spans="2:5" ht="22.5" customHeight="1" x14ac:dyDescent="0.2">
      <c r="B487" s="72"/>
      <c r="C487" s="100" t="s">
        <v>215</v>
      </c>
      <c r="D487" s="100"/>
      <c r="E487" s="101"/>
    </row>
    <row r="488" spans="2:5" x14ac:dyDescent="0.2">
      <c r="B488" s="72" t="s">
        <v>169</v>
      </c>
      <c r="C488" s="70"/>
      <c r="D488" s="70"/>
      <c r="E488" s="71"/>
    </row>
    <row r="489" spans="2:5" ht="21" customHeight="1" x14ac:dyDescent="0.2">
      <c r="B489" s="73"/>
      <c r="C489" s="102" t="s">
        <v>170</v>
      </c>
      <c r="D489" s="102"/>
      <c r="E489" s="102"/>
    </row>
    <row r="490" spans="2:5" ht="84" customHeight="1" x14ac:dyDescent="0.2">
      <c r="B490" s="73"/>
      <c r="C490" s="97" t="s">
        <v>171</v>
      </c>
      <c r="D490" s="97"/>
      <c r="E490" s="98"/>
    </row>
    <row r="491" spans="2:5" x14ac:dyDescent="0.2">
      <c r="B491" s="72" t="s">
        <v>151</v>
      </c>
      <c r="C491" s="70"/>
      <c r="D491" s="70"/>
      <c r="E491" s="71"/>
    </row>
    <row r="492" spans="2:5" ht="21" customHeight="1" x14ac:dyDescent="0.2">
      <c r="B492" s="73"/>
      <c r="C492" s="96" t="s">
        <v>198</v>
      </c>
      <c r="D492" s="96"/>
      <c r="E492" s="96"/>
    </row>
    <row r="493" spans="2:5" x14ac:dyDescent="0.2">
      <c r="B493" s="72" t="s">
        <v>152</v>
      </c>
      <c r="C493" s="74"/>
      <c r="D493" s="74"/>
      <c r="E493" s="75"/>
    </row>
    <row r="494" spans="2:5" x14ac:dyDescent="0.2">
      <c r="B494" s="73"/>
      <c r="C494" s="96" t="s">
        <v>173</v>
      </c>
      <c r="D494" s="96"/>
      <c r="E494" s="96"/>
    </row>
    <row r="495" spans="2:5" x14ac:dyDescent="0.2">
      <c r="B495" s="72" t="s">
        <v>153</v>
      </c>
      <c r="C495" s="70"/>
      <c r="D495" s="70"/>
      <c r="E495" s="71"/>
    </row>
    <row r="496" spans="2:5" ht="13.5" thickBot="1" x14ac:dyDescent="0.25">
      <c r="B496" s="94"/>
      <c r="C496" s="99"/>
      <c r="D496" s="99"/>
      <c r="E496" s="99"/>
    </row>
    <row r="498" spans="2:5" ht="13.5" thickBot="1" x14ac:dyDescent="0.25"/>
    <row r="499" spans="2:5" x14ac:dyDescent="0.2">
      <c r="B499" s="66" t="s">
        <v>163</v>
      </c>
      <c r="C499" s="67"/>
      <c r="D499" s="67"/>
      <c r="E499" s="68"/>
    </row>
    <row r="500" spans="2:5" x14ac:dyDescent="0.2">
      <c r="B500" s="69"/>
      <c r="C500" s="70"/>
      <c r="D500" s="70"/>
      <c r="E500" s="71"/>
    </row>
    <row r="501" spans="2:5" x14ac:dyDescent="0.2">
      <c r="B501" s="72" t="s">
        <v>150</v>
      </c>
      <c r="C501" s="70"/>
      <c r="D501" s="70"/>
      <c r="E501" s="71"/>
    </row>
    <row r="502" spans="2:5" ht="23.25" customHeight="1" x14ac:dyDescent="0.2">
      <c r="B502" s="72"/>
      <c r="C502" s="100" t="s">
        <v>216</v>
      </c>
      <c r="D502" s="100"/>
      <c r="E502" s="101"/>
    </row>
    <row r="503" spans="2:5" x14ac:dyDescent="0.2">
      <c r="B503" s="72" t="s">
        <v>169</v>
      </c>
      <c r="C503" s="70"/>
      <c r="D503" s="70"/>
      <c r="E503" s="71"/>
    </row>
    <row r="504" spans="2:5" ht="24.75" customHeight="1" x14ac:dyDescent="0.2">
      <c r="B504" s="73"/>
      <c r="C504" s="102" t="s">
        <v>170</v>
      </c>
      <c r="D504" s="102"/>
      <c r="E504" s="102"/>
    </row>
    <row r="505" spans="2:5" ht="90" customHeight="1" x14ac:dyDescent="0.2">
      <c r="B505" s="73"/>
      <c r="C505" s="97" t="s">
        <v>171</v>
      </c>
      <c r="D505" s="97"/>
      <c r="E505" s="98"/>
    </row>
    <row r="506" spans="2:5" x14ac:dyDescent="0.2">
      <c r="B506" s="72" t="s">
        <v>151</v>
      </c>
      <c r="C506" s="70"/>
      <c r="D506" s="70"/>
      <c r="E506" s="71"/>
    </row>
    <row r="507" spans="2:5" x14ac:dyDescent="0.2">
      <c r="B507" s="73"/>
      <c r="C507" s="96" t="s">
        <v>198</v>
      </c>
      <c r="D507" s="96"/>
      <c r="E507" s="96"/>
    </row>
    <row r="508" spans="2:5" x14ac:dyDescent="0.2">
      <c r="B508" s="72" t="s">
        <v>152</v>
      </c>
      <c r="C508" s="74"/>
      <c r="D508" s="74"/>
      <c r="E508" s="75"/>
    </row>
    <row r="509" spans="2:5" x14ac:dyDescent="0.2">
      <c r="B509" s="73"/>
      <c r="C509" s="96" t="s">
        <v>173</v>
      </c>
      <c r="D509" s="96"/>
      <c r="E509" s="96"/>
    </row>
    <row r="510" spans="2:5" x14ac:dyDescent="0.2">
      <c r="B510" s="72" t="s">
        <v>153</v>
      </c>
      <c r="C510" s="70"/>
      <c r="D510" s="70"/>
      <c r="E510" s="71"/>
    </row>
    <row r="511" spans="2:5" ht="13.5" thickBot="1" x14ac:dyDescent="0.25">
      <c r="B511" s="94"/>
      <c r="C511" s="99"/>
      <c r="D511" s="99"/>
      <c r="E511" s="99"/>
    </row>
    <row r="513" spans="2:5" ht="13.5" thickBot="1" x14ac:dyDescent="0.25"/>
    <row r="514" spans="2:5" x14ac:dyDescent="0.2">
      <c r="B514" s="66" t="s">
        <v>217</v>
      </c>
      <c r="C514" s="67"/>
      <c r="D514" s="67"/>
      <c r="E514" s="68"/>
    </row>
    <row r="515" spans="2:5" x14ac:dyDescent="0.2">
      <c r="B515" s="69"/>
      <c r="C515" s="70"/>
      <c r="D515" s="70"/>
      <c r="E515" s="71"/>
    </row>
    <row r="516" spans="2:5" x14ac:dyDescent="0.2">
      <c r="B516" s="72" t="s">
        <v>150</v>
      </c>
      <c r="C516" s="70"/>
      <c r="D516" s="70"/>
      <c r="E516" s="71"/>
    </row>
    <row r="517" spans="2:5" ht="45.75" customHeight="1" x14ac:dyDescent="0.2">
      <c r="B517" s="72"/>
      <c r="C517" s="100" t="s">
        <v>218</v>
      </c>
      <c r="D517" s="100"/>
      <c r="E517" s="101"/>
    </row>
    <row r="518" spans="2:5" x14ac:dyDescent="0.2">
      <c r="B518" s="72" t="s">
        <v>169</v>
      </c>
      <c r="C518" s="70"/>
      <c r="D518" s="70"/>
      <c r="E518" s="71"/>
    </row>
    <row r="519" spans="2:5" ht="19.5" customHeight="1" x14ac:dyDescent="0.2">
      <c r="B519" s="73"/>
      <c r="C519" s="102" t="s">
        <v>170</v>
      </c>
      <c r="D519" s="102"/>
      <c r="E519" s="102"/>
    </row>
    <row r="520" spans="2:5" ht="87" customHeight="1" x14ac:dyDescent="0.2">
      <c r="B520" s="73"/>
      <c r="C520" s="97" t="s">
        <v>171</v>
      </c>
      <c r="D520" s="97"/>
      <c r="E520" s="98"/>
    </row>
    <row r="521" spans="2:5" x14ac:dyDescent="0.2">
      <c r="B521" s="72" t="s">
        <v>151</v>
      </c>
      <c r="C521" s="70"/>
      <c r="D521" s="70"/>
      <c r="E521" s="71"/>
    </row>
    <row r="522" spans="2:5" ht="14.25" customHeight="1" x14ac:dyDescent="0.2">
      <c r="B522" s="73"/>
      <c r="C522" s="96" t="s">
        <v>198</v>
      </c>
      <c r="D522" s="96"/>
      <c r="E522" s="96"/>
    </row>
    <row r="523" spans="2:5" x14ac:dyDescent="0.2">
      <c r="B523" s="72" t="s">
        <v>152</v>
      </c>
      <c r="C523" s="74"/>
      <c r="D523" s="74"/>
      <c r="E523" s="75"/>
    </row>
    <row r="524" spans="2:5" x14ac:dyDescent="0.2">
      <c r="B524" s="73"/>
      <c r="C524" s="96" t="s">
        <v>173</v>
      </c>
      <c r="D524" s="96"/>
      <c r="E524" s="96"/>
    </row>
    <row r="525" spans="2:5" x14ac:dyDescent="0.2">
      <c r="B525" s="72" t="s">
        <v>153</v>
      </c>
      <c r="C525" s="70"/>
      <c r="D525" s="70"/>
      <c r="E525" s="71"/>
    </row>
    <row r="526" spans="2:5" ht="13.5" thickBot="1" x14ac:dyDescent="0.25">
      <c r="B526" s="94"/>
      <c r="C526" s="99"/>
      <c r="D526" s="99"/>
      <c r="E526" s="99"/>
    </row>
    <row r="528" spans="2:5" ht="13.5" thickBot="1" x14ac:dyDescent="0.25"/>
    <row r="529" spans="2:5" x14ac:dyDescent="0.2">
      <c r="B529" s="66" t="s">
        <v>219</v>
      </c>
      <c r="C529" s="67"/>
      <c r="D529" s="67"/>
      <c r="E529" s="68"/>
    </row>
    <row r="530" spans="2:5" x14ac:dyDescent="0.2">
      <c r="B530" s="69"/>
      <c r="C530" s="70"/>
      <c r="D530" s="70"/>
      <c r="E530" s="71"/>
    </row>
    <row r="531" spans="2:5" x14ac:dyDescent="0.2">
      <c r="B531" s="72" t="s">
        <v>150</v>
      </c>
      <c r="C531" s="70"/>
      <c r="D531" s="70"/>
      <c r="E531" s="71"/>
    </row>
    <row r="532" spans="2:5" ht="42.75" customHeight="1" x14ac:dyDescent="0.2">
      <c r="B532" s="72"/>
      <c r="C532" s="100" t="s">
        <v>261</v>
      </c>
      <c r="D532" s="100"/>
      <c r="E532" s="101"/>
    </row>
    <row r="533" spans="2:5" x14ac:dyDescent="0.2">
      <c r="B533" s="72" t="s">
        <v>169</v>
      </c>
      <c r="C533" s="70"/>
      <c r="D533" s="70"/>
      <c r="E533" s="71"/>
    </row>
    <row r="534" spans="2:5" ht="22.5" customHeight="1" x14ac:dyDescent="0.2">
      <c r="B534" s="73"/>
      <c r="C534" s="102" t="s">
        <v>170</v>
      </c>
      <c r="D534" s="102"/>
      <c r="E534" s="102"/>
    </row>
    <row r="535" spans="2:5" ht="86.25" customHeight="1" x14ac:dyDescent="0.2">
      <c r="B535" s="73"/>
      <c r="C535" s="97" t="s">
        <v>171</v>
      </c>
      <c r="D535" s="97"/>
      <c r="E535" s="98"/>
    </row>
    <row r="536" spans="2:5" x14ac:dyDescent="0.2">
      <c r="B536" s="72" t="s">
        <v>151</v>
      </c>
      <c r="C536" s="70"/>
      <c r="D536" s="70"/>
      <c r="E536" s="71"/>
    </row>
    <row r="537" spans="2:5" ht="16.5" customHeight="1" x14ac:dyDescent="0.2">
      <c r="B537" s="73"/>
      <c r="C537" s="96" t="s">
        <v>198</v>
      </c>
      <c r="D537" s="96"/>
      <c r="E537" s="96"/>
    </row>
    <row r="538" spans="2:5" x14ac:dyDescent="0.2">
      <c r="B538" s="72" t="s">
        <v>152</v>
      </c>
      <c r="C538" s="74"/>
      <c r="D538" s="74"/>
      <c r="E538" s="75"/>
    </row>
    <row r="539" spans="2:5" x14ac:dyDescent="0.2">
      <c r="B539" s="73"/>
      <c r="C539" s="96" t="s">
        <v>173</v>
      </c>
      <c r="D539" s="96"/>
      <c r="E539" s="96"/>
    </row>
    <row r="540" spans="2:5" x14ac:dyDescent="0.2">
      <c r="B540" s="72" t="s">
        <v>153</v>
      </c>
      <c r="C540" s="70"/>
      <c r="D540" s="70"/>
      <c r="E540" s="71"/>
    </row>
    <row r="541" spans="2:5" ht="13.5" thickBot="1" x14ac:dyDescent="0.25">
      <c r="B541" s="94"/>
      <c r="C541" s="99"/>
      <c r="D541" s="99"/>
      <c r="E541" s="99"/>
    </row>
    <row r="543" spans="2:5" ht="13.5" thickBot="1" x14ac:dyDescent="0.25"/>
    <row r="544" spans="2:5" x14ac:dyDescent="0.2">
      <c r="B544" s="66" t="s">
        <v>220</v>
      </c>
      <c r="C544" s="67"/>
      <c r="D544" s="67"/>
      <c r="E544" s="68"/>
    </row>
    <row r="545" spans="2:5" x14ac:dyDescent="0.2">
      <c r="B545" s="69"/>
      <c r="C545" s="70"/>
      <c r="D545" s="70"/>
      <c r="E545" s="71"/>
    </row>
    <row r="546" spans="2:5" x14ac:dyDescent="0.2">
      <c r="B546" s="72" t="s">
        <v>150</v>
      </c>
      <c r="C546" s="70"/>
      <c r="D546" s="70"/>
      <c r="E546" s="71"/>
    </row>
    <row r="547" spans="2:5" ht="35.25" customHeight="1" x14ac:dyDescent="0.2">
      <c r="B547" s="72"/>
      <c r="C547" s="100" t="s">
        <v>221</v>
      </c>
      <c r="D547" s="100"/>
      <c r="E547" s="101"/>
    </row>
    <row r="548" spans="2:5" x14ac:dyDescent="0.2">
      <c r="B548" s="72" t="s">
        <v>169</v>
      </c>
      <c r="C548" s="70"/>
      <c r="D548" s="70"/>
      <c r="E548" s="71"/>
    </row>
    <row r="549" spans="2:5" x14ac:dyDescent="0.2">
      <c r="B549" s="73"/>
      <c r="C549" s="102" t="s">
        <v>170</v>
      </c>
      <c r="D549" s="102"/>
      <c r="E549" s="102"/>
    </row>
    <row r="550" spans="2:5" x14ac:dyDescent="0.2">
      <c r="B550" s="73"/>
      <c r="C550" s="97" t="s">
        <v>171</v>
      </c>
      <c r="D550" s="97"/>
      <c r="E550" s="98"/>
    </row>
    <row r="551" spans="2:5" x14ac:dyDescent="0.2">
      <c r="B551" s="72" t="s">
        <v>151</v>
      </c>
      <c r="C551" s="70"/>
      <c r="D551" s="70"/>
      <c r="E551" s="71"/>
    </row>
    <row r="552" spans="2:5" x14ac:dyDescent="0.2">
      <c r="B552" s="73"/>
      <c r="C552" s="96" t="s">
        <v>198</v>
      </c>
      <c r="D552" s="96"/>
      <c r="E552" s="96"/>
    </row>
    <row r="553" spans="2:5" x14ac:dyDescent="0.2">
      <c r="B553" s="72" t="s">
        <v>152</v>
      </c>
      <c r="C553" s="74"/>
      <c r="D553" s="74"/>
      <c r="E553" s="75"/>
    </row>
    <row r="554" spans="2:5" x14ac:dyDescent="0.2">
      <c r="B554" s="73"/>
      <c r="C554" s="96" t="s">
        <v>173</v>
      </c>
      <c r="D554" s="96"/>
      <c r="E554" s="96"/>
    </row>
    <row r="555" spans="2:5" x14ac:dyDescent="0.2">
      <c r="B555" s="72" t="s">
        <v>153</v>
      </c>
      <c r="C555" s="70"/>
      <c r="D555" s="70"/>
      <c r="E555" s="71"/>
    </row>
    <row r="556" spans="2:5" ht="13.5" thickBot="1" x14ac:dyDescent="0.25">
      <c r="B556" s="94"/>
      <c r="C556" s="99"/>
      <c r="D556" s="99"/>
      <c r="E556" s="99"/>
    </row>
    <row r="558" spans="2:5" ht="13.5" thickBot="1" x14ac:dyDescent="0.25"/>
    <row r="559" spans="2:5" x14ac:dyDescent="0.2">
      <c r="B559" s="66" t="s">
        <v>222</v>
      </c>
      <c r="C559" s="67"/>
      <c r="D559" s="67"/>
      <c r="E559" s="68"/>
    </row>
    <row r="560" spans="2:5" x14ac:dyDescent="0.2">
      <c r="B560" s="69"/>
      <c r="C560" s="70"/>
      <c r="D560" s="70"/>
      <c r="E560" s="71"/>
    </row>
    <row r="561" spans="2:5" x14ac:dyDescent="0.2">
      <c r="B561" s="72" t="s">
        <v>150</v>
      </c>
      <c r="C561" s="70"/>
      <c r="D561" s="70"/>
      <c r="E561" s="71"/>
    </row>
    <row r="562" spans="2:5" ht="39" customHeight="1" x14ac:dyDescent="0.2">
      <c r="B562" s="72"/>
      <c r="C562" s="100" t="s">
        <v>223</v>
      </c>
      <c r="D562" s="100"/>
      <c r="E562" s="101"/>
    </row>
    <row r="563" spans="2:5" x14ac:dyDescent="0.2">
      <c r="B563" s="72" t="s">
        <v>169</v>
      </c>
      <c r="C563" s="70"/>
      <c r="D563" s="70"/>
      <c r="E563" s="71"/>
    </row>
    <row r="564" spans="2:5" ht="21.75" customHeight="1" x14ac:dyDescent="0.2">
      <c r="B564" s="73"/>
      <c r="C564" s="102" t="s">
        <v>170</v>
      </c>
      <c r="D564" s="102"/>
      <c r="E564" s="102"/>
    </row>
    <row r="565" spans="2:5" ht="87.75" customHeight="1" x14ac:dyDescent="0.2">
      <c r="B565" s="73"/>
      <c r="C565" s="97" t="s">
        <v>171</v>
      </c>
      <c r="D565" s="97"/>
      <c r="E565" s="98"/>
    </row>
    <row r="566" spans="2:5" x14ac:dyDescent="0.2">
      <c r="B566" s="72" t="s">
        <v>151</v>
      </c>
      <c r="C566" s="70"/>
      <c r="D566" s="70"/>
      <c r="E566" s="71"/>
    </row>
    <row r="567" spans="2:5" x14ac:dyDescent="0.2">
      <c r="B567" s="73"/>
      <c r="C567" s="96" t="s">
        <v>198</v>
      </c>
      <c r="D567" s="96"/>
      <c r="E567" s="96"/>
    </row>
    <row r="568" spans="2:5" x14ac:dyDescent="0.2">
      <c r="B568" s="72" t="s">
        <v>152</v>
      </c>
      <c r="C568" s="74"/>
      <c r="D568" s="74"/>
      <c r="E568" s="75"/>
    </row>
    <row r="569" spans="2:5" x14ac:dyDescent="0.2">
      <c r="B569" s="73"/>
      <c r="C569" s="96" t="s">
        <v>173</v>
      </c>
      <c r="D569" s="96"/>
      <c r="E569" s="96"/>
    </row>
    <row r="570" spans="2:5" x14ac:dyDescent="0.2">
      <c r="B570" s="72" t="s">
        <v>153</v>
      </c>
      <c r="C570" s="70"/>
      <c r="D570" s="70"/>
      <c r="E570" s="71"/>
    </row>
    <row r="571" spans="2:5" ht="13.5" thickBot="1" x14ac:dyDescent="0.25">
      <c r="B571" s="94"/>
      <c r="C571" s="99"/>
      <c r="D571" s="99"/>
      <c r="E571" s="99"/>
    </row>
    <row r="573" spans="2:5" ht="13.5" thickBot="1" x14ac:dyDescent="0.25"/>
    <row r="574" spans="2:5" x14ac:dyDescent="0.2">
      <c r="B574" s="66" t="s">
        <v>224</v>
      </c>
      <c r="C574" s="67"/>
      <c r="D574" s="67"/>
      <c r="E574" s="68"/>
    </row>
    <row r="575" spans="2:5" x14ac:dyDescent="0.2">
      <c r="B575" s="69"/>
      <c r="C575" s="70"/>
      <c r="D575" s="70"/>
      <c r="E575" s="71"/>
    </row>
    <row r="576" spans="2:5" x14ac:dyDescent="0.2">
      <c r="B576" s="72" t="s">
        <v>150</v>
      </c>
      <c r="C576" s="70"/>
      <c r="D576" s="70"/>
      <c r="E576" s="71"/>
    </row>
    <row r="577" spans="2:5" ht="44.25" customHeight="1" x14ac:dyDescent="0.2">
      <c r="B577" s="72"/>
      <c r="C577" s="100" t="s">
        <v>225</v>
      </c>
      <c r="D577" s="100"/>
      <c r="E577" s="101"/>
    </row>
    <row r="578" spans="2:5" x14ac:dyDescent="0.2">
      <c r="B578" s="72" t="s">
        <v>169</v>
      </c>
      <c r="C578" s="70"/>
      <c r="D578" s="70"/>
      <c r="E578" s="71"/>
    </row>
    <row r="579" spans="2:5" ht="21" customHeight="1" x14ac:dyDescent="0.2">
      <c r="B579" s="73"/>
      <c r="C579" s="102" t="s">
        <v>170</v>
      </c>
      <c r="D579" s="102"/>
      <c r="E579" s="102"/>
    </row>
    <row r="580" spans="2:5" ht="90" customHeight="1" x14ac:dyDescent="0.2">
      <c r="B580" s="73"/>
      <c r="C580" s="97" t="s">
        <v>171</v>
      </c>
      <c r="D580" s="97"/>
      <c r="E580" s="98"/>
    </row>
    <row r="581" spans="2:5" x14ac:dyDescent="0.2">
      <c r="B581" s="72" t="s">
        <v>151</v>
      </c>
      <c r="C581" s="70"/>
      <c r="D581" s="70"/>
      <c r="E581" s="71"/>
    </row>
    <row r="582" spans="2:5" x14ac:dyDescent="0.2">
      <c r="B582" s="73"/>
      <c r="C582" s="96" t="s">
        <v>198</v>
      </c>
      <c r="D582" s="96"/>
      <c r="E582" s="96"/>
    </row>
    <row r="583" spans="2:5" x14ac:dyDescent="0.2">
      <c r="B583" s="72" t="s">
        <v>152</v>
      </c>
      <c r="C583" s="74"/>
      <c r="D583" s="74"/>
      <c r="E583" s="75"/>
    </row>
    <row r="584" spans="2:5" x14ac:dyDescent="0.2">
      <c r="B584" s="73"/>
      <c r="C584" s="96" t="s">
        <v>173</v>
      </c>
      <c r="D584" s="96"/>
      <c r="E584" s="96"/>
    </row>
    <row r="585" spans="2:5" x14ac:dyDescent="0.2">
      <c r="B585" s="72" t="s">
        <v>153</v>
      </c>
      <c r="C585" s="70"/>
      <c r="D585" s="70"/>
      <c r="E585" s="71"/>
    </row>
    <row r="586" spans="2:5" ht="13.5" thickBot="1" x14ac:dyDescent="0.25">
      <c r="B586" s="94"/>
      <c r="C586" s="99"/>
      <c r="D586" s="99"/>
      <c r="E586" s="99"/>
    </row>
    <row r="588" spans="2:5" ht="13.5" thickBot="1" x14ac:dyDescent="0.25"/>
    <row r="589" spans="2:5" x14ac:dyDescent="0.2">
      <c r="B589" s="66" t="s">
        <v>226</v>
      </c>
      <c r="C589" s="67"/>
      <c r="D589" s="67"/>
      <c r="E589" s="68"/>
    </row>
    <row r="590" spans="2:5" x14ac:dyDescent="0.2">
      <c r="B590" s="69"/>
      <c r="C590" s="70"/>
      <c r="D590" s="70"/>
      <c r="E590" s="71"/>
    </row>
    <row r="591" spans="2:5" x14ac:dyDescent="0.2">
      <c r="B591" s="72" t="s">
        <v>150</v>
      </c>
      <c r="C591" s="70"/>
      <c r="D591" s="70"/>
      <c r="E591" s="71"/>
    </row>
    <row r="592" spans="2:5" ht="32.25" customHeight="1" x14ac:dyDescent="0.2">
      <c r="B592" s="72"/>
      <c r="C592" s="100" t="s">
        <v>227</v>
      </c>
      <c r="D592" s="100"/>
      <c r="E592" s="101"/>
    </row>
    <row r="593" spans="2:5" x14ac:dyDescent="0.2">
      <c r="B593" s="72" t="s">
        <v>169</v>
      </c>
      <c r="C593" s="70"/>
      <c r="D593" s="70"/>
      <c r="E593" s="71"/>
    </row>
    <row r="594" spans="2:5" ht="27.75" customHeight="1" x14ac:dyDescent="0.2">
      <c r="B594" s="73"/>
      <c r="C594" s="102" t="s">
        <v>170</v>
      </c>
      <c r="D594" s="102"/>
      <c r="E594" s="102"/>
    </row>
    <row r="595" spans="2:5" ht="89.25" customHeight="1" x14ac:dyDescent="0.2">
      <c r="B595" s="73"/>
      <c r="C595" s="97" t="s">
        <v>171</v>
      </c>
      <c r="D595" s="97"/>
      <c r="E595" s="98"/>
    </row>
    <row r="596" spans="2:5" x14ac:dyDescent="0.2">
      <c r="B596" s="72" t="s">
        <v>151</v>
      </c>
      <c r="C596" s="70"/>
      <c r="D596" s="70"/>
      <c r="E596" s="71"/>
    </row>
    <row r="597" spans="2:5" ht="24.75" customHeight="1" x14ac:dyDescent="0.2">
      <c r="B597" s="73"/>
      <c r="C597" s="96" t="s">
        <v>198</v>
      </c>
      <c r="D597" s="96"/>
      <c r="E597" s="96"/>
    </row>
    <row r="598" spans="2:5" x14ac:dyDescent="0.2">
      <c r="B598" s="72" t="s">
        <v>152</v>
      </c>
      <c r="C598" s="74"/>
      <c r="D598" s="74"/>
      <c r="E598" s="75"/>
    </row>
    <row r="599" spans="2:5" ht="21.75" customHeight="1" x14ac:dyDescent="0.2">
      <c r="B599" s="73"/>
      <c r="C599" s="96" t="s">
        <v>173</v>
      </c>
      <c r="D599" s="96"/>
      <c r="E599" s="96"/>
    </row>
    <row r="600" spans="2:5" x14ac:dyDescent="0.2">
      <c r="B600" s="72" t="s">
        <v>153</v>
      </c>
      <c r="C600" s="70"/>
      <c r="D600" s="70"/>
      <c r="E600" s="71"/>
    </row>
    <row r="601" spans="2:5" ht="13.5" thickBot="1" x14ac:dyDescent="0.25">
      <c r="B601" s="94"/>
      <c r="C601" s="99"/>
      <c r="D601" s="99"/>
      <c r="E601" s="99"/>
    </row>
    <row r="603" spans="2:5" ht="13.5" thickBot="1" x14ac:dyDescent="0.25"/>
    <row r="604" spans="2:5" x14ac:dyDescent="0.2">
      <c r="B604" s="66" t="s">
        <v>228</v>
      </c>
      <c r="C604" s="67"/>
      <c r="D604" s="67"/>
      <c r="E604" s="68"/>
    </row>
    <row r="605" spans="2:5" x14ac:dyDescent="0.2">
      <c r="B605" s="69"/>
      <c r="C605" s="70"/>
      <c r="D605" s="70"/>
      <c r="E605" s="71"/>
    </row>
    <row r="606" spans="2:5" x14ac:dyDescent="0.2">
      <c r="B606" s="72" t="s">
        <v>150</v>
      </c>
      <c r="C606" s="70"/>
      <c r="D606" s="70"/>
      <c r="E606" s="71"/>
    </row>
    <row r="607" spans="2:5" ht="22.5" customHeight="1" x14ac:dyDescent="0.2">
      <c r="B607" s="72"/>
      <c r="C607" s="100" t="s">
        <v>229</v>
      </c>
      <c r="D607" s="100"/>
      <c r="E607" s="101"/>
    </row>
    <row r="608" spans="2:5" x14ac:dyDescent="0.2">
      <c r="B608" s="72" t="s">
        <v>169</v>
      </c>
      <c r="C608" s="70"/>
      <c r="D608" s="70"/>
      <c r="E608" s="71"/>
    </row>
    <row r="609" spans="2:5" ht="21" customHeight="1" x14ac:dyDescent="0.2">
      <c r="B609" s="73"/>
      <c r="C609" s="102" t="s">
        <v>170</v>
      </c>
      <c r="D609" s="102"/>
      <c r="E609" s="102"/>
    </row>
    <row r="610" spans="2:5" ht="82.5" customHeight="1" x14ac:dyDescent="0.2">
      <c r="B610" s="73"/>
      <c r="C610" s="97" t="s">
        <v>171</v>
      </c>
      <c r="D610" s="97"/>
      <c r="E610" s="98"/>
    </row>
    <row r="611" spans="2:5" x14ac:dyDescent="0.2">
      <c r="B611" s="72" t="s">
        <v>151</v>
      </c>
      <c r="C611" s="70"/>
      <c r="D611" s="70"/>
      <c r="E611" s="71"/>
    </row>
    <row r="612" spans="2:5" x14ac:dyDescent="0.2">
      <c r="B612" s="73"/>
      <c r="C612" s="96" t="s">
        <v>198</v>
      </c>
      <c r="D612" s="96"/>
      <c r="E612" s="96"/>
    </row>
    <row r="613" spans="2:5" x14ac:dyDescent="0.2">
      <c r="B613" s="72" t="s">
        <v>152</v>
      </c>
      <c r="C613" s="74"/>
      <c r="D613" s="74"/>
      <c r="E613" s="75"/>
    </row>
    <row r="614" spans="2:5" x14ac:dyDescent="0.2">
      <c r="B614" s="73"/>
      <c r="C614" s="96" t="s">
        <v>173</v>
      </c>
      <c r="D614" s="96"/>
      <c r="E614" s="96"/>
    </row>
    <row r="615" spans="2:5" x14ac:dyDescent="0.2">
      <c r="B615" s="72" t="s">
        <v>153</v>
      </c>
      <c r="C615" s="70"/>
      <c r="D615" s="70"/>
      <c r="E615" s="71"/>
    </row>
    <row r="616" spans="2:5" ht="13.5" thickBot="1" x14ac:dyDescent="0.25">
      <c r="B616" s="94"/>
      <c r="C616" s="99"/>
      <c r="D616" s="99"/>
      <c r="E616" s="99"/>
    </row>
    <row r="618" spans="2:5" ht="13.5" thickBot="1" x14ac:dyDescent="0.25"/>
    <row r="619" spans="2:5" x14ac:dyDescent="0.2">
      <c r="B619" s="66" t="s">
        <v>230</v>
      </c>
      <c r="C619" s="67"/>
      <c r="D619" s="67"/>
      <c r="E619" s="68"/>
    </row>
    <row r="620" spans="2:5" x14ac:dyDescent="0.2">
      <c r="B620" s="69"/>
      <c r="C620" s="70"/>
      <c r="D620" s="70"/>
      <c r="E620" s="71"/>
    </row>
    <row r="621" spans="2:5" x14ac:dyDescent="0.2">
      <c r="B621" s="72" t="s">
        <v>150</v>
      </c>
      <c r="C621" s="70"/>
      <c r="D621" s="70"/>
      <c r="E621" s="71"/>
    </row>
    <row r="622" spans="2:5" ht="22.5" customHeight="1" x14ac:dyDescent="0.2">
      <c r="B622" s="72"/>
      <c r="C622" s="100" t="s">
        <v>231</v>
      </c>
      <c r="D622" s="100"/>
      <c r="E622" s="101"/>
    </row>
    <row r="623" spans="2:5" x14ac:dyDescent="0.2">
      <c r="B623" s="72" t="s">
        <v>169</v>
      </c>
      <c r="C623" s="70"/>
      <c r="D623" s="70"/>
      <c r="E623" s="71"/>
    </row>
    <row r="624" spans="2:5" ht="15.75" customHeight="1" x14ac:dyDescent="0.2">
      <c r="B624" s="73"/>
      <c r="C624" s="102" t="s">
        <v>170</v>
      </c>
      <c r="D624" s="102"/>
      <c r="E624" s="102"/>
    </row>
    <row r="625" spans="2:5" ht="82.5" customHeight="1" x14ac:dyDescent="0.2">
      <c r="B625" s="73"/>
      <c r="C625" s="97" t="s">
        <v>171</v>
      </c>
      <c r="D625" s="97"/>
      <c r="E625" s="98"/>
    </row>
    <row r="626" spans="2:5" x14ac:dyDescent="0.2">
      <c r="B626" s="72" t="s">
        <v>151</v>
      </c>
      <c r="C626" s="70"/>
      <c r="D626" s="70"/>
      <c r="E626" s="71"/>
    </row>
    <row r="627" spans="2:5" ht="18" customHeight="1" x14ac:dyDescent="0.2">
      <c r="B627" s="73"/>
      <c r="C627" s="96" t="s">
        <v>198</v>
      </c>
      <c r="D627" s="96"/>
      <c r="E627" s="96"/>
    </row>
    <row r="628" spans="2:5" x14ac:dyDescent="0.2">
      <c r="B628" s="72" t="s">
        <v>152</v>
      </c>
      <c r="C628" s="74"/>
      <c r="D628" s="74"/>
      <c r="E628" s="75"/>
    </row>
    <row r="629" spans="2:5" x14ac:dyDescent="0.2">
      <c r="B629" s="73"/>
      <c r="C629" s="96" t="s">
        <v>173</v>
      </c>
      <c r="D629" s="96"/>
      <c r="E629" s="96"/>
    </row>
    <row r="630" spans="2:5" x14ac:dyDescent="0.2">
      <c r="B630" s="72" t="s">
        <v>153</v>
      </c>
      <c r="C630" s="70"/>
      <c r="D630" s="70"/>
      <c r="E630" s="71"/>
    </row>
    <row r="631" spans="2:5" ht="13.5" thickBot="1" x14ac:dyDescent="0.25">
      <c r="B631" s="94"/>
      <c r="C631" s="99"/>
      <c r="D631" s="99"/>
      <c r="E631" s="99"/>
    </row>
    <row r="633" spans="2:5" ht="13.5" thickBot="1" x14ac:dyDescent="0.25"/>
    <row r="634" spans="2:5" x14ac:dyDescent="0.2">
      <c r="B634" s="66" t="s">
        <v>232</v>
      </c>
      <c r="C634" s="67"/>
      <c r="D634" s="67"/>
      <c r="E634" s="68"/>
    </row>
    <row r="635" spans="2:5" x14ac:dyDescent="0.2">
      <c r="B635" s="69"/>
      <c r="C635" s="70"/>
      <c r="D635" s="70"/>
      <c r="E635" s="71"/>
    </row>
    <row r="636" spans="2:5" x14ac:dyDescent="0.2">
      <c r="B636" s="72" t="s">
        <v>150</v>
      </c>
      <c r="C636" s="70"/>
      <c r="D636" s="70"/>
      <c r="E636" s="71"/>
    </row>
    <row r="637" spans="2:5" ht="22.5" customHeight="1" x14ac:dyDescent="0.2">
      <c r="B637" s="72"/>
      <c r="C637" s="100" t="s">
        <v>247</v>
      </c>
      <c r="D637" s="100"/>
      <c r="E637" s="101"/>
    </row>
    <row r="638" spans="2:5" x14ac:dyDescent="0.2">
      <c r="B638" s="72" t="s">
        <v>169</v>
      </c>
      <c r="C638" s="70"/>
      <c r="D638" s="70"/>
      <c r="E638" s="71"/>
    </row>
    <row r="639" spans="2:5" ht="21.75" customHeight="1" x14ac:dyDescent="0.2">
      <c r="B639" s="73"/>
      <c r="C639" s="102" t="s">
        <v>170</v>
      </c>
      <c r="D639" s="102"/>
      <c r="E639" s="102"/>
    </row>
    <row r="640" spans="2:5" ht="93" customHeight="1" x14ac:dyDescent="0.2">
      <c r="B640" s="73"/>
      <c r="C640" s="97" t="s">
        <v>171</v>
      </c>
      <c r="D640" s="97"/>
      <c r="E640" s="98"/>
    </row>
    <row r="641" spans="2:5" x14ac:dyDescent="0.2">
      <c r="B641" s="72" t="s">
        <v>151</v>
      </c>
      <c r="C641" s="70"/>
      <c r="D641" s="70"/>
      <c r="E641" s="71"/>
    </row>
    <row r="642" spans="2:5" ht="21" customHeight="1" x14ac:dyDescent="0.2">
      <c r="B642" s="73"/>
      <c r="C642" s="96" t="s">
        <v>198</v>
      </c>
      <c r="D642" s="96"/>
      <c r="E642" s="96"/>
    </row>
    <row r="643" spans="2:5" x14ac:dyDescent="0.2">
      <c r="B643" s="72" t="s">
        <v>152</v>
      </c>
      <c r="C643" s="74"/>
      <c r="D643" s="74"/>
      <c r="E643" s="75"/>
    </row>
    <row r="644" spans="2:5" x14ac:dyDescent="0.2">
      <c r="B644" s="73"/>
      <c r="C644" s="96" t="s">
        <v>173</v>
      </c>
      <c r="D644" s="96"/>
      <c r="E644" s="96"/>
    </row>
    <row r="645" spans="2:5" x14ac:dyDescent="0.2">
      <c r="B645" s="72" t="s">
        <v>153</v>
      </c>
      <c r="C645" s="70"/>
      <c r="D645" s="70"/>
      <c r="E645" s="71"/>
    </row>
    <row r="646" spans="2:5" ht="13.5" thickBot="1" x14ac:dyDescent="0.25">
      <c r="B646" s="94"/>
      <c r="C646" s="99"/>
      <c r="D646" s="99"/>
      <c r="E646" s="99"/>
    </row>
    <row r="648" spans="2:5" ht="13.5" thickBot="1" x14ac:dyDescent="0.25"/>
    <row r="649" spans="2:5" x14ac:dyDescent="0.2">
      <c r="B649" s="66" t="s">
        <v>233</v>
      </c>
      <c r="C649" s="67"/>
      <c r="D649" s="67"/>
      <c r="E649" s="68"/>
    </row>
    <row r="650" spans="2:5" x14ac:dyDescent="0.2">
      <c r="B650" s="69"/>
      <c r="C650" s="70"/>
      <c r="D650" s="70"/>
      <c r="E650" s="71"/>
    </row>
    <row r="651" spans="2:5" x14ac:dyDescent="0.2">
      <c r="B651" s="72" t="s">
        <v>150</v>
      </c>
      <c r="C651" s="70"/>
      <c r="D651" s="70"/>
      <c r="E651" s="71"/>
    </row>
    <row r="652" spans="2:5" ht="24" customHeight="1" x14ac:dyDescent="0.2">
      <c r="B652" s="72"/>
      <c r="C652" s="100" t="s">
        <v>248</v>
      </c>
      <c r="D652" s="100"/>
      <c r="E652" s="101"/>
    </row>
    <row r="653" spans="2:5" x14ac:dyDescent="0.2">
      <c r="B653" s="72" t="s">
        <v>169</v>
      </c>
      <c r="C653" s="70"/>
      <c r="D653" s="70"/>
      <c r="E653" s="71"/>
    </row>
    <row r="654" spans="2:5" ht="18" customHeight="1" x14ac:dyDescent="0.2">
      <c r="B654" s="73"/>
      <c r="C654" s="102" t="s">
        <v>170</v>
      </c>
      <c r="D654" s="102"/>
      <c r="E654" s="102"/>
    </row>
    <row r="655" spans="2:5" ht="84" customHeight="1" x14ac:dyDescent="0.2">
      <c r="B655" s="73"/>
      <c r="C655" s="97" t="s">
        <v>171</v>
      </c>
      <c r="D655" s="97"/>
      <c r="E655" s="98"/>
    </row>
    <row r="656" spans="2:5" x14ac:dyDescent="0.2">
      <c r="B656" s="72" t="s">
        <v>151</v>
      </c>
      <c r="C656" s="70"/>
      <c r="D656" s="70"/>
      <c r="E656" s="71"/>
    </row>
    <row r="657" spans="2:5" x14ac:dyDescent="0.2">
      <c r="B657" s="73"/>
      <c r="C657" s="96" t="s">
        <v>198</v>
      </c>
      <c r="D657" s="96"/>
      <c r="E657" s="96"/>
    </row>
    <row r="658" spans="2:5" x14ac:dyDescent="0.2">
      <c r="B658" s="72" t="s">
        <v>152</v>
      </c>
      <c r="C658" s="74"/>
      <c r="D658" s="74"/>
      <c r="E658" s="75"/>
    </row>
    <row r="659" spans="2:5" x14ac:dyDescent="0.2">
      <c r="B659" s="73"/>
      <c r="C659" s="96" t="s">
        <v>173</v>
      </c>
      <c r="D659" s="96"/>
      <c r="E659" s="96"/>
    </row>
    <row r="660" spans="2:5" x14ac:dyDescent="0.2">
      <c r="B660" s="72" t="s">
        <v>153</v>
      </c>
      <c r="C660" s="70"/>
      <c r="D660" s="70"/>
      <c r="E660" s="71"/>
    </row>
    <row r="661" spans="2:5" ht="13.5" thickBot="1" x14ac:dyDescent="0.25">
      <c r="B661" s="94"/>
      <c r="C661" s="99"/>
      <c r="D661" s="99"/>
      <c r="E661" s="99"/>
    </row>
    <row r="663" spans="2:5" ht="13.5" thickBot="1" x14ac:dyDescent="0.25"/>
    <row r="664" spans="2:5" x14ac:dyDescent="0.2">
      <c r="B664" s="66" t="s">
        <v>234</v>
      </c>
      <c r="C664" s="67"/>
      <c r="D664" s="67"/>
      <c r="E664" s="68"/>
    </row>
    <row r="665" spans="2:5" x14ac:dyDescent="0.2">
      <c r="B665" s="69"/>
      <c r="C665" s="70"/>
      <c r="D665" s="70"/>
      <c r="E665" s="71"/>
    </row>
    <row r="666" spans="2:5" x14ac:dyDescent="0.2">
      <c r="B666" s="72" t="s">
        <v>150</v>
      </c>
      <c r="C666" s="70"/>
      <c r="D666" s="70"/>
      <c r="E666" s="71"/>
    </row>
    <row r="667" spans="2:5" ht="44.25" customHeight="1" x14ac:dyDescent="0.2">
      <c r="B667" s="72"/>
      <c r="C667" s="100" t="s">
        <v>235</v>
      </c>
      <c r="D667" s="100"/>
      <c r="E667" s="101"/>
    </row>
    <row r="668" spans="2:5" x14ac:dyDescent="0.2">
      <c r="B668" s="72" t="s">
        <v>169</v>
      </c>
      <c r="C668" s="70"/>
      <c r="D668" s="70"/>
      <c r="E668" s="71"/>
    </row>
    <row r="669" spans="2:5" ht="22.5" customHeight="1" x14ac:dyDescent="0.2">
      <c r="B669" s="73"/>
      <c r="C669" s="102" t="s">
        <v>170</v>
      </c>
      <c r="D669" s="102"/>
      <c r="E669" s="102"/>
    </row>
    <row r="670" spans="2:5" ht="84.75" customHeight="1" x14ac:dyDescent="0.2">
      <c r="B670" s="73"/>
      <c r="C670" s="97" t="s">
        <v>171</v>
      </c>
      <c r="D670" s="97"/>
      <c r="E670" s="98"/>
    </row>
    <row r="671" spans="2:5" x14ac:dyDescent="0.2">
      <c r="B671" s="72" t="s">
        <v>151</v>
      </c>
      <c r="C671" s="70"/>
      <c r="D671" s="70"/>
      <c r="E671" s="71"/>
    </row>
    <row r="672" spans="2:5" ht="21.75" customHeight="1" x14ac:dyDescent="0.2">
      <c r="B672" s="73"/>
      <c r="C672" s="96" t="s">
        <v>198</v>
      </c>
      <c r="D672" s="96"/>
      <c r="E672" s="96"/>
    </row>
    <row r="673" spans="2:5" x14ac:dyDescent="0.2">
      <c r="B673" s="72" t="s">
        <v>152</v>
      </c>
      <c r="C673" s="74"/>
      <c r="D673" s="74"/>
      <c r="E673" s="75"/>
    </row>
    <row r="674" spans="2:5" x14ac:dyDescent="0.2">
      <c r="B674" s="73"/>
      <c r="C674" s="96" t="s">
        <v>173</v>
      </c>
      <c r="D674" s="96"/>
      <c r="E674" s="96"/>
    </row>
    <row r="675" spans="2:5" x14ac:dyDescent="0.2">
      <c r="B675" s="72" t="s">
        <v>153</v>
      </c>
      <c r="C675" s="70"/>
      <c r="D675" s="70"/>
      <c r="E675" s="71"/>
    </row>
    <row r="676" spans="2:5" ht="13.5" thickBot="1" x14ac:dyDescent="0.25">
      <c r="B676" s="94"/>
      <c r="C676" s="99"/>
      <c r="D676" s="99"/>
      <c r="E676" s="99"/>
    </row>
    <row r="678" spans="2:5" ht="13.5" thickBot="1" x14ac:dyDescent="0.25"/>
    <row r="679" spans="2:5" x14ac:dyDescent="0.2">
      <c r="B679" s="66" t="s">
        <v>236</v>
      </c>
      <c r="C679" s="67"/>
      <c r="D679" s="67"/>
      <c r="E679" s="68"/>
    </row>
    <row r="680" spans="2:5" x14ac:dyDescent="0.2">
      <c r="B680" s="69"/>
      <c r="C680" s="70"/>
      <c r="D680" s="70"/>
      <c r="E680" s="71"/>
    </row>
    <row r="681" spans="2:5" x14ac:dyDescent="0.2">
      <c r="B681" s="72" t="s">
        <v>150</v>
      </c>
      <c r="C681" s="70"/>
      <c r="D681" s="70"/>
      <c r="E681" s="71"/>
    </row>
    <row r="682" spans="2:5" ht="30.75" customHeight="1" x14ac:dyDescent="0.2">
      <c r="B682" s="72"/>
      <c r="C682" s="100" t="s">
        <v>237</v>
      </c>
      <c r="D682" s="100"/>
      <c r="E682" s="101"/>
    </row>
    <row r="683" spans="2:5" x14ac:dyDescent="0.2">
      <c r="B683" s="72" t="s">
        <v>169</v>
      </c>
      <c r="C683" s="70"/>
      <c r="D683" s="70"/>
      <c r="E683" s="71"/>
    </row>
    <row r="684" spans="2:5" ht="37.5" customHeight="1" x14ac:dyDescent="0.2">
      <c r="B684" s="73"/>
      <c r="C684" s="96" t="s">
        <v>238</v>
      </c>
      <c r="D684" s="96"/>
      <c r="E684" s="96"/>
    </row>
    <row r="685" spans="2:5" ht="84" customHeight="1" x14ac:dyDescent="0.2">
      <c r="B685" s="73"/>
      <c r="C685" s="97" t="s">
        <v>171</v>
      </c>
      <c r="D685" s="97"/>
      <c r="E685" s="98"/>
    </row>
    <row r="686" spans="2:5" x14ac:dyDescent="0.2">
      <c r="B686" s="72" t="s">
        <v>151</v>
      </c>
      <c r="C686" s="70"/>
      <c r="D686" s="70"/>
      <c r="E686" s="71"/>
    </row>
    <row r="687" spans="2:5" ht="24" customHeight="1" x14ac:dyDescent="0.2">
      <c r="B687" s="73"/>
      <c r="C687" s="96" t="s">
        <v>198</v>
      </c>
      <c r="D687" s="96"/>
      <c r="E687" s="96"/>
    </row>
    <row r="688" spans="2:5" x14ac:dyDescent="0.2">
      <c r="B688" s="72" t="s">
        <v>152</v>
      </c>
      <c r="C688" s="74"/>
      <c r="D688" s="74"/>
      <c r="E688" s="75"/>
    </row>
    <row r="689" spans="2:5" ht="17.25" customHeight="1" x14ac:dyDescent="0.2">
      <c r="B689" s="73"/>
      <c r="C689" s="96" t="s">
        <v>173</v>
      </c>
      <c r="D689" s="96"/>
      <c r="E689" s="96"/>
    </row>
    <row r="690" spans="2:5" x14ac:dyDescent="0.2">
      <c r="B690" s="72" t="s">
        <v>153</v>
      </c>
      <c r="C690" s="70"/>
      <c r="D690" s="70"/>
      <c r="E690" s="71"/>
    </row>
    <row r="691" spans="2:5" ht="13.5" thickBot="1" x14ac:dyDescent="0.25">
      <c r="B691" s="94"/>
      <c r="C691" s="99"/>
      <c r="D691" s="99"/>
      <c r="E691" s="99"/>
    </row>
    <row r="693" spans="2:5" ht="13.5" thickBot="1" x14ac:dyDescent="0.25"/>
    <row r="694" spans="2:5" x14ac:dyDescent="0.2">
      <c r="B694" s="66" t="s">
        <v>239</v>
      </c>
      <c r="C694" s="67"/>
      <c r="D694" s="67"/>
      <c r="E694" s="68"/>
    </row>
    <row r="695" spans="2:5" x14ac:dyDescent="0.2">
      <c r="B695" s="69"/>
      <c r="C695" s="70"/>
      <c r="D695" s="70"/>
      <c r="E695" s="71"/>
    </row>
    <row r="696" spans="2:5" x14ac:dyDescent="0.2">
      <c r="B696" s="72" t="s">
        <v>150</v>
      </c>
      <c r="C696" s="70"/>
      <c r="D696" s="70"/>
      <c r="E696" s="71"/>
    </row>
    <row r="697" spans="2:5" ht="29.25" customHeight="1" x14ac:dyDescent="0.2">
      <c r="B697" s="72"/>
      <c r="C697" s="100" t="s">
        <v>240</v>
      </c>
      <c r="D697" s="100"/>
      <c r="E697" s="101"/>
    </row>
    <row r="698" spans="2:5" x14ac:dyDescent="0.2">
      <c r="B698" s="72" t="s">
        <v>169</v>
      </c>
      <c r="C698" s="70"/>
      <c r="D698" s="70"/>
      <c r="E698" s="71"/>
    </row>
    <row r="699" spans="2:5" ht="33" customHeight="1" x14ac:dyDescent="0.2">
      <c r="B699" s="73"/>
      <c r="C699" s="96" t="s">
        <v>238</v>
      </c>
      <c r="D699" s="96"/>
      <c r="E699" s="96"/>
    </row>
    <row r="700" spans="2:5" ht="89.25" customHeight="1" x14ac:dyDescent="0.2">
      <c r="B700" s="73"/>
      <c r="C700" s="97" t="s">
        <v>171</v>
      </c>
      <c r="D700" s="97"/>
      <c r="E700" s="98"/>
    </row>
    <row r="701" spans="2:5" x14ac:dyDescent="0.2">
      <c r="B701" s="72" t="s">
        <v>151</v>
      </c>
      <c r="C701" s="70"/>
      <c r="D701" s="70"/>
      <c r="E701" s="71"/>
    </row>
    <row r="702" spans="2:5" ht="19.5" customHeight="1" x14ac:dyDescent="0.2">
      <c r="B702" s="73"/>
      <c r="C702" s="96" t="s">
        <v>198</v>
      </c>
      <c r="D702" s="96"/>
      <c r="E702" s="96"/>
    </row>
    <row r="703" spans="2:5" x14ac:dyDescent="0.2">
      <c r="B703" s="72" t="s">
        <v>152</v>
      </c>
      <c r="C703" s="74"/>
      <c r="D703" s="74"/>
      <c r="E703" s="75"/>
    </row>
    <row r="704" spans="2:5" ht="23.25" customHeight="1" x14ac:dyDescent="0.2">
      <c r="B704" s="73"/>
      <c r="C704" s="96" t="s">
        <v>173</v>
      </c>
      <c r="D704" s="96"/>
      <c r="E704" s="96"/>
    </row>
    <row r="705" spans="2:5" x14ac:dyDescent="0.2">
      <c r="B705" s="72" t="s">
        <v>153</v>
      </c>
      <c r="C705" s="70"/>
      <c r="D705" s="70"/>
      <c r="E705" s="71"/>
    </row>
    <row r="706" spans="2:5" ht="13.5" thickBot="1" x14ac:dyDescent="0.25">
      <c r="B706" s="94"/>
      <c r="C706" s="99"/>
      <c r="D706" s="99"/>
      <c r="E706" s="99"/>
    </row>
    <row r="708" spans="2:5" ht="13.5" thickBot="1" x14ac:dyDescent="0.25"/>
    <row r="709" spans="2:5" x14ac:dyDescent="0.2">
      <c r="B709" s="66" t="s">
        <v>241</v>
      </c>
      <c r="C709" s="67"/>
      <c r="D709" s="67"/>
      <c r="E709" s="68"/>
    </row>
    <row r="710" spans="2:5" x14ac:dyDescent="0.2">
      <c r="B710" s="69"/>
      <c r="C710" s="70"/>
      <c r="D710" s="70"/>
      <c r="E710" s="71"/>
    </row>
    <row r="711" spans="2:5" x14ac:dyDescent="0.2">
      <c r="B711" s="72" t="s">
        <v>150</v>
      </c>
      <c r="C711" s="70"/>
      <c r="D711" s="70"/>
      <c r="E711" s="71"/>
    </row>
    <row r="712" spans="2:5" ht="33.75" customHeight="1" x14ac:dyDescent="0.2">
      <c r="B712" s="72"/>
      <c r="C712" s="100" t="s">
        <v>242</v>
      </c>
      <c r="D712" s="100"/>
      <c r="E712" s="101"/>
    </row>
    <row r="713" spans="2:5" x14ac:dyDescent="0.2">
      <c r="B713" s="72" t="s">
        <v>169</v>
      </c>
      <c r="C713" s="70"/>
      <c r="D713" s="70"/>
      <c r="E713" s="71"/>
    </row>
    <row r="714" spans="2:5" ht="38.25" customHeight="1" x14ac:dyDescent="0.2">
      <c r="B714" s="73"/>
      <c r="C714" s="96" t="s">
        <v>238</v>
      </c>
      <c r="D714" s="96"/>
      <c r="E714" s="96"/>
    </row>
    <row r="715" spans="2:5" ht="88.5" customHeight="1" x14ac:dyDescent="0.2">
      <c r="B715" s="73"/>
      <c r="C715" s="97" t="s">
        <v>171</v>
      </c>
      <c r="D715" s="97"/>
      <c r="E715" s="98"/>
    </row>
    <row r="716" spans="2:5" x14ac:dyDescent="0.2">
      <c r="B716" s="72" t="s">
        <v>151</v>
      </c>
      <c r="C716" s="70"/>
      <c r="D716" s="70"/>
      <c r="E716" s="71"/>
    </row>
    <row r="717" spans="2:5" ht="26.25" customHeight="1" x14ac:dyDescent="0.2">
      <c r="B717" s="73"/>
      <c r="C717" s="96" t="s">
        <v>198</v>
      </c>
      <c r="D717" s="96"/>
      <c r="E717" s="96"/>
    </row>
    <row r="718" spans="2:5" x14ac:dyDescent="0.2">
      <c r="B718" s="72" t="s">
        <v>152</v>
      </c>
      <c r="C718" s="74"/>
      <c r="D718" s="74"/>
      <c r="E718" s="75"/>
    </row>
    <row r="719" spans="2:5" ht="18" customHeight="1" x14ac:dyDescent="0.2">
      <c r="B719" s="73"/>
      <c r="C719" s="96" t="s">
        <v>173</v>
      </c>
      <c r="D719" s="96"/>
      <c r="E719" s="96"/>
    </row>
    <row r="720" spans="2:5" x14ac:dyDescent="0.2">
      <c r="B720" s="72" t="s">
        <v>153</v>
      </c>
      <c r="C720" s="70"/>
      <c r="D720" s="70"/>
      <c r="E720" s="71"/>
    </row>
    <row r="721" spans="2:5" ht="13.5" thickBot="1" x14ac:dyDescent="0.25">
      <c r="B721" s="94"/>
      <c r="C721" s="99"/>
      <c r="D721" s="99"/>
      <c r="E721" s="99"/>
    </row>
  </sheetData>
  <mergeCells count="273">
    <mergeCell ref="B55:E55"/>
    <mergeCell ref="B56:E56"/>
    <mergeCell ref="A6:B6"/>
    <mergeCell ref="A7:B7"/>
    <mergeCell ref="B2:H2"/>
    <mergeCell ref="A4:B4"/>
    <mergeCell ref="C4:E4"/>
    <mergeCell ref="A5:B5"/>
    <mergeCell ref="C5:E5"/>
    <mergeCell ref="C94:E94"/>
    <mergeCell ref="C80:E80"/>
    <mergeCell ref="C81:E81"/>
    <mergeCell ref="C83:E83"/>
    <mergeCell ref="C85:E85"/>
    <mergeCell ref="C87:E87"/>
    <mergeCell ref="C71:E71"/>
    <mergeCell ref="C62:E62"/>
    <mergeCell ref="C64:E64"/>
    <mergeCell ref="C65:E65"/>
    <mergeCell ref="C67:E67"/>
    <mergeCell ref="C69:E69"/>
    <mergeCell ref="C78:E78"/>
    <mergeCell ref="C109:E109"/>
    <mergeCell ref="C112:E112"/>
    <mergeCell ref="C114:E114"/>
    <mergeCell ref="C116:E116"/>
    <mergeCell ref="C111:E111"/>
    <mergeCell ref="C97:E97"/>
    <mergeCell ref="C99:E99"/>
    <mergeCell ref="C101:E101"/>
    <mergeCell ref="C96:E96"/>
    <mergeCell ref="C103:E103"/>
    <mergeCell ref="C185:E185"/>
    <mergeCell ref="C187:E187"/>
    <mergeCell ref="C170:E170"/>
    <mergeCell ref="C172:E172"/>
    <mergeCell ref="C179:E179"/>
    <mergeCell ref="C155:E155"/>
    <mergeCell ref="C157:E157"/>
    <mergeCell ref="C158:E158"/>
    <mergeCell ref="C160:E160"/>
    <mergeCell ref="C162:E162"/>
    <mergeCell ref="C164:E164"/>
    <mergeCell ref="C173:E173"/>
    <mergeCell ref="C175:E175"/>
    <mergeCell ref="C177:E177"/>
    <mergeCell ref="C118:E118"/>
    <mergeCell ref="C126:E126"/>
    <mergeCell ref="C133:E133"/>
    <mergeCell ref="C141:E141"/>
    <mergeCell ref="C148:E148"/>
    <mergeCell ref="C142:E142"/>
    <mergeCell ref="C144:E144"/>
    <mergeCell ref="C146:E146"/>
    <mergeCell ref="C139:E139"/>
    <mergeCell ref="C129:E129"/>
    <mergeCell ref="C131:E131"/>
    <mergeCell ref="C124:E124"/>
    <mergeCell ref="C127:E127"/>
    <mergeCell ref="C205:E205"/>
    <mergeCell ref="C207:E207"/>
    <mergeCell ref="C209:E209"/>
    <mergeCell ref="C218:E218"/>
    <mergeCell ref="C220:E220"/>
    <mergeCell ref="C188:E188"/>
    <mergeCell ref="C190:E190"/>
    <mergeCell ref="C192:E192"/>
    <mergeCell ref="C194:E194"/>
    <mergeCell ref="C203:E203"/>
    <mergeCell ref="C215:E215"/>
    <mergeCell ref="C217:E217"/>
    <mergeCell ref="C202:E202"/>
    <mergeCell ref="C200:E200"/>
    <mergeCell ref="C235:E235"/>
    <mergeCell ref="C237:E237"/>
    <mergeCell ref="C239:E239"/>
    <mergeCell ref="C246:E246"/>
    <mergeCell ref="C248:E248"/>
    <mergeCell ref="C222:E222"/>
    <mergeCell ref="C224:E224"/>
    <mergeCell ref="C230:E230"/>
    <mergeCell ref="C232:E232"/>
    <mergeCell ref="C233:E233"/>
    <mergeCell ref="C263:E263"/>
    <mergeCell ref="C264:E264"/>
    <mergeCell ref="C266:E266"/>
    <mergeCell ref="C268:E268"/>
    <mergeCell ref="C270:E270"/>
    <mergeCell ref="C249:E249"/>
    <mergeCell ref="C251:E251"/>
    <mergeCell ref="C253:E253"/>
    <mergeCell ref="C255:E255"/>
    <mergeCell ref="C261:E261"/>
    <mergeCell ref="C285:E285"/>
    <mergeCell ref="C291:E291"/>
    <mergeCell ref="C293:E293"/>
    <mergeCell ref="C294:E294"/>
    <mergeCell ref="C296:E296"/>
    <mergeCell ref="C276:E276"/>
    <mergeCell ref="C278:E278"/>
    <mergeCell ref="C279:E279"/>
    <mergeCell ref="C281:E281"/>
    <mergeCell ref="C283:E283"/>
    <mergeCell ref="C311:E311"/>
    <mergeCell ref="C313:E313"/>
    <mergeCell ref="C315:E315"/>
    <mergeCell ref="C321:E321"/>
    <mergeCell ref="C323:E323"/>
    <mergeCell ref="C298:E298"/>
    <mergeCell ref="C300:E300"/>
    <mergeCell ref="C306:E306"/>
    <mergeCell ref="C308:E308"/>
    <mergeCell ref="C309:E309"/>
    <mergeCell ref="C338:E338"/>
    <mergeCell ref="C339:E339"/>
    <mergeCell ref="C341:E341"/>
    <mergeCell ref="C343:E343"/>
    <mergeCell ref="C345:E345"/>
    <mergeCell ref="C324:E324"/>
    <mergeCell ref="C326:E326"/>
    <mergeCell ref="C328:E328"/>
    <mergeCell ref="C330:E330"/>
    <mergeCell ref="C336:E336"/>
    <mergeCell ref="C360:E360"/>
    <mergeCell ref="C366:E366"/>
    <mergeCell ref="C368:E368"/>
    <mergeCell ref="C369:E369"/>
    <mergeCell ref="C371:E371"/>
    <mergeCell ref="C351:E351"/>
    <mergeCell ref="C353:E353"/>
    <mergeCell ref="C354:E354"/>
    <mergeCell ref="C356:E356"/>
    <mergeCell ref="C358:E358"/>
    <mergeCell ref="C386:E386"/>
    <mergeCell ref="C388:E388"/>
    <mergeCell ref="C390:E390"/>
    <mergeCell ref="C396:E396"/>
    <mergeCell ref="C398:E398"/>
    <mergeCell ref="C373:E373"/>
    <mergeCell ref="C375:E375"/>
    <mergeCell ref="C381:E381"/>
    <mergeCell ref="C383:E383"/>
    <mergeCell ref="C384:E384"/>
    <mergeCell ref="C413:E413"/>
    <mergeCell ref="C414:E414"/>
    <mergeCell ref="C416:E416"/>
    <mergeCell ref="C418:E418"/>
    <mergeCell ref="C420:E420"/>
    <mergeCell ref="C399:E399"/>
    <mergeCell ref="C401:E401"/>
    <mergeCell ref="C403:E403"/>
    <mergeCell ref="C405:E405"/>
    <mergeCell ref="C411:E411"/>
    <mergeCell ref="C435:E435"/>
    <mergeCell ref="C441:E441"/>
    <mergeCell ref="C443:E443"/>
    <mergeCell ref="C444:E444"/>
    <mergeCell ref="C446:E446"/>
    <mergeCell ref="C426:E426"/>
    <mergeCell ref="C428:E428"/>
    <mergeCell ref="C429:E429"/>
    <mergeCell ref="C431:E431"/>
    <mergeCell ref="C433:E433"/>
    <mergeCell ref="C461:E461"/>
    <mergeCell ref="C463:E463"/>
    <mergeCell ref="C465:E465"/>
    <mergeCell ref="C472:E472"/>
    <mergeCell ref="C474:E474"/>
    <mergeCell ref="C448:E448"/>
    <mergeCell ref="C450:E450"/>
    <mergeCell ref="C456:E456"/>
    <mergeCell ref="C458:E458"/>
    <mergeCell ref="C459:E459"/>
    <mergeCell ref="C489:E489"/>
    <mergeCell ref="C490:E490"/>
    <mergeCell ref="C492:E492"/>
    <mergeCell ref="C494:E494"/>
    <mergeCell ref="C496:E496"/>
    <mergeCell ref="C475:E475"/>
    <mergeCell ref="C477:E477"/>
    <mergeCell ref="C479:E479"/>
    <mergeCell ref="C481:E481"/>
    <mergeCell ref="C487:E487"/>
    <mergeCell ref="C511:E511"/>
    <mergeCell ref="C517:E517"/>
    <mergeCell ref="C519:E519"/>
    <mergeCell ref="C520:E520"/>
    <mergeCell ref="C522:E522"/>
    <mergeCell ref="C502:E502"/>
    <mergeCell ref="C504:E504"/>
    <mergeCell ref="C505:E505"/>
    <mergeCell ref="C507:E507"/>
    <mergeCell ref="C509:E509"/>
    <mergeCell ref="C537:E537"/>
    <mergeCell ref="C539:E539"/>
    <mergeCell ref="C541:E541"/>
    <mergeCell ref="C547:E547"/>
    <mergeCell ref="C549:E549"/>
    <mergeCell ref="C524:E524"/>
    <mergeCell ref="C526:E526"/>
    <mergeCell ref="C532:E532"/>
    <mergeCell ref="C534:E534"/>
    <mergeCell ref="C535:E535"/>
    <mergeCell ref="C564:E564"/>
    <mergeCell ref="C565:E565"/>
    <mergeCell ref="C567:E567"/>
    <mergeCell ref="C569:E569"/>
    <mergeCell ref="C571:E571"/>
    <mergeCell ref="C550:E550"/>
    <mergeCell ref="C552:E552"/>
    <mergeCell ref="C554:E554"/>
    <mergeCell ref="C556:E556"/>
    <mergeCell ref="C562:E562"/>
    <mergeCell ref="C586:E586"/>
    <mergeCell ref="C592:E592"/>
    <mergeCell ref="C594:E594"/>
    <mergeCell ref="C595:E595"/>
    <mergeCell ref="C597:E597"/>
    <mergeCell ref="C577:E577"/>
    <mergeCell ref="C579:E579"/>
    <mergeCell ref="C580:E580"/>
    <mergeCell ref="C582:E582"/>
    <mergeCell ref="C584:E584"/>
    <mergeCell ref="C612:E612"/>
    <mergeCell ref="C614:E614"/>
    <mergeCell ref="C616:E616"/>
    <mergeCell ref="C622:E622"/>
    <mergeCell ref="C624:E624"/>
    <mergeCell ref="C599:E599"/>
    <mergeCell ref="C601:E601"/>
    <mergeCell ref="C607:E607"/>
    <mergeCell ref="C609:E609"/>
    <mergeCell ref="C610:E610"/>
    <mergeCell ref="C639:E639"/>
    <mergeCell ref="C640:E640"/>
    <mergeCell ref="C642:E642"/>
    <mergeCell ref="C644:E644"/>
    <mergeCell ref="C646:E646"/>
    <mergeCell ref="C625:E625"/>
    <mergeCell ref="C627:E627"/>
    <mergeCell ref="C629:E629"/>
    <mergeCell ref="C631:E631"/>
    <mergeCell ref="C637:E637"/>
    <mergeCell ref="C661:E661"/>
    <mergeCell ref="C667:E667"/>
    <mergeCell ref="C669:E669"/>
    <mergeCell ref="C670:E670"/>
    <mergeCell ref="C672:E672"/>
    <mergeCell ref="C652:E652"/>
    <mergeCell ref="C654:E654"/>
    <mergeCell ref="C655:E655"/>
    <mergeCell ref="C657:E657"/>
    <mergeCell ref="C659:E659"/>
    <mergeCell ref="C687:E687"/>
    <mergeCell ref="C689:E689"/>
    <mergeCell ref="C691:E691"/>
    <mergeCell ref="C697:E697"/>
    <mergeCell ref="C699:E699"/>
    <mergeCell ref="C674:E674"/>
    <mergeCell ref="C676:E676"/>
    <mergeCell ref="C682:E682"/>
    <mergeCell ref="C684:E684"/>
    <mergeCell ref="C685:E685"/>
    <mergeCell ref="C714:E714"/>
    <mergeCell ref="C715:E715"/>
    <mergeCell ref="C717:E717"/>
    <mergeCell ref="C719:E719"/>
    <mergeCell ref="C721:E721"/>
    <mergeCell ref="C700:E700"/>
    <mergeCell ref="C702:E702"/>
    <mergeCell ref="C704:E704"/>
    <mergeCell ref="C706:E706"/>
    <mergeCell ref="C712:E712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6"/>
  <sheetViews>
    <sheetView topLeftCell="A49" zoomScale="70" zoomScaleNormal="70" workbookViewId="0">
      <selection activeCell="I68" sqref="I6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8" t="s">
        <v>14</v>
      </c>
      <c r="B1" s="118"/>
      <c r="C1" s="118"/>
      <c r="D1" s="118"/>
      <c r="E1" s="118"/>
      <c r="F1" s="118"/>
      <c r="G1" s="118"/>
      <c r="H1" s="118"/>
      <c r="I1" s="118"/>
      <c r="J1" s="3" t="s">
        <v>15</v>
      </c>
      <c r="K1" s="95" t="s">
        <v>251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9" t="s">
        <v>48</v>
      </c>
      <c r="B3" s="119"/>
      <c r="C3" s="119"/>
      <c r="D3" s="120" t="str">
        <f>'Necesidades Trimestrales'!C4</f>
        <v>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49</v>
      </c>
      <c r="B4" s="121"/>
      <c r="C4" s="121"/>
      <c r="D4" s="120" t="str">
        <f>'Necesidades Trimestrales'!C5</f>
        <v>23 - Hospital Interzonal San Juan Bautista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27</v>
      </c>
      <c r="B5" s="121"/>
      <c r="C5" s="121"/>
      <c r="D5" s="120" t="s">
        <v>53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50</v>
      </c>
      <c r="B6" s="119"/>
      <c r="C6" s="119"/>
      <c r="D6" s="120" t="s">
        <v>134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16</v>
      </c>
      <c r="B7" s="121"/>
      <c r="C7" s="121"/>
      <c r="D7" s="120" t="str">
        <f>'Necesidades Trimestrales'!C7 &amp; "° Trimestre - Año " &amp; 'Necesidades Trimestrales'!C6</f>
        <v>1° Trimestre - Año 2022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12" t="s">
        <v>17</v>
      </c>
      <c r="B8" s="112"/>
      <c r="C8" s="112"/>
      <c r="D8" s="113" t="s">
        <v>135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4" t="s">
        <v>18</v>
      </c>
      <c r="B10" s="115" t="s">
        <v>19</v>
      </c>
      <c r="C10" s="115" t="s">
        <v>20</v>
      </c>
      <c r="D10" s="115"/>
      <c r="E10" s="115"/>
      <c r="F10" s="115"/>
      <c r="G10" s="115"/>
      <c r="H10" s="115" t="s">
        <v>21</v>
      </c>
      <c r="I10" s="115" t="s">
        <v>22</v>
      </c>
      <c r="J10" s="115" t="s">
        <v>23</v>
      </c>
      <c r="K10" s="116" t="s">
        <v>24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36" customHeight="1" thickBot="1" x14ac:dyDescent="0.25">
      <c r="A12" s="8">
        <v>1</v>
      </c>
      <c r="B12" s="52" t="str">
        <f>'Necesidades Trimestrales'!B10</f>
        <v>2.1.1-438.37</v>
      </c>
      <c r="C12" s="111" t="str">
        <f>'Necesidades Trimestrales'!E10</f>
        <v>ADEREZOS; TIPO: MAYONESA, ENVASE: BOLSA, CONTENIDO: 2,9 Kg, PRESENTACION: ENVASE X 2,9 Kg</v>
      </c>
      <c r="D12" s="111"/>
      <c r="E12" s="111"/>
      <c r="F12" s="111"/>
      <c r="G12" s="111"/>
      <c r="H12" s="53" t="s">
        <v>264</v>
      </c>
      <c r="I12" s="54" t="str">
        <f>'Necesidades Trimestrales'!F10</f>
        <v>UNIDAD</v>
      </c>
      <c r="J12" s="64">
        <f>'Necesidades Trimestrales'!H10</f>
        <v>780</v>
      </c>
      <c r="K12" s="55">
        <f>'Necesidades Trimestrales'!G10</f>
        <v>15</v>
      </c>
    </row>
    <row r="13" spans="1:11" ht="36" customHeight="1" thickBot="1" x14ac:dyDescent="0.25">
      <c r="A13" s="8">
        <v>2</v>
      </c>
      <c r="B13" s="52" t="str">
        <f>'Necesidades Trimestrales'!B11</f>
        <v>2.1.1-621.20</v>
      </c>
      <c r="C13" s="111" t="str">
        <f>'Necesidades Trimestrales'!E11</f>
        <v>AVES; TIPO: POLLO, PRESENTACION: CAJA X 22 Kg, EVISCERADO: SI, ELEM. TRANSPORTE: SIN, MATERIAL ELEM. TRANSPORTE: SIN, LIBRE DE GLUTEN: SIN VALOR</v>
      </c>
      <c r="D13" s="111"/>
      <c r="E13" s="111"/>
      <c r="F13" s="111"/>
      <c r="G13" s="111"/>
      <c r="H13" s="53" t="s">
        <v>264</v>
      </c>
      <c r="I13" s="54" t="str">
        <f>'Necesidades Trimestrales'!F11</f>
        <v>CAJA</v>
      </c>
      <c r="J13" s="64">
        <f>'Necesidades Trimestrales'!H11</f>
        <v>6100</v>
      </c>
      <c r="K13" s="55">
        <f>'Necesidades Trimestrales'!G11</f>
        <v>120</v>
      </c>
    </row>
    <row r="14" spans="1:11" ht="36" customHeight="1" thickBot="1" x14ac:dyDescent="0.25">
      <c r="A14" s="8">
        <v>3</v>
      </c>
      <c r="B14" s="52" t="str">
        <f>'Necesidades Trimestrales'!B12</f>
        <v>2.1.1-483.37</v>
      </c>
      <c r="C14" s="111" t="str">
        <f>'Necesidades Trimestrales'!E12</f>
        <v>HUEVO DE GALLINA; TAMAÑO: GRANDE, COLOR: COLOR, PRESENTACION: 30 UN</v>
      </c>
      <c r="D14" s="111"/>
      <c r="E14" s="111"/>
      <c r="F14" s="111"/>
      <c r="G14" s="111"/>
      <c r="H14" s="53" t="s">
        <v>264</v>
      </c>
      <c r="I14" s="54" t="str">
        <f>'Necesidades Trimestrales'!F12</f>
        <v>UNIDAD</v>
      </c>
      <c r="J14" s="64">
        <f>'Necesidades Trimestrales'!H12</f>
        <v>400</v>
      </c>
      <c r="K14" s="55">
        <f>'Necesidades Trimestrales'!G12</f>
        <v>1000</v>
      </c>
    </row>
    <row r="15" spans="1:11" ht="36" customHeight="1" thickBot="1" x14ac:dyDescent="0.25">
      <c r="A15" s="8">
        <v>4</v>
      </c>
      <c r="B15" s="52" t="str">
        <f>'Necesidades Trimestrales'!B13</f>
        <v>2.1.1-621.11</v>
      </c>
      <c r="C15" s="111" t="str">
        <f>'Necesidades Trimestrales'!E13</f>
        <v>AVES; ESPECIE: PECHUGA DE POLLO, PRESENTACION: BOLSA X 2 Kg, EVISCERADO: SIN VALOR, TIPO: PECHUGA DE POLLO</v>
      </c>
      <c r="D15" s="111"/>
      <c r="E15" s="111"/>
      <c r="F15" s="111"/>
      <c r="G15" s="111"/>
      <c r="H15" s="53" t="s">
        <v>264</v>
      </c>
      <c r="I15" s="54" t="str">
        <f>'Necesidades Trimestrales'!F13</f>
        <v xml:space="preserve">BOLSA </v>
      </c>
      <c r="J15" s="64">
        <f>'Necesidades Trimestrales'!H13</f>
        <v>640</v>
      </c>
      <c r="K15" s="55">
        <f>'Necesidades Trimestrales'!G13</f>
        <v>300</v>
      </c>
    </row>
    <row r="16" spans="1:11" ht="36" customHeight="1" thickBot="1" x14ac:dyDescent="0.25">
      <c r="A16" s="8">
        <v>5</v>
      </c>
      <c r="B16" s="52" t="str">
        <f>'Necesidades Trimestrales'!B14</f>
        <v>2.1.1-590.27</v>
      </c>
      <c r="C16" s="111" t="str">
        <f>'Necesidades Trimestrales'!E14</f>
        <v>PESCADOS Y FRUTOS CONGELADOS; TIPO: FILET DE MERLUZA, ENVASE: POLIESTIRENO, PRESENTACION: ENVASE X 1 Kg, ELEM. TRANSPORTE: SIN, MATERIAL ELEM. TRANSPORTE: SIN</v>
      </c>
      <c r="D16" s="111"/>
      <c r="E16" s="111"/>
      <c r="F16" s="111"/>
      <c r="G16" s="111"/>
      <c r="H16" s="53" t="s">
        <v>264</v>
      </c>
      <c r="I16" s="54" t="str">
        <f>'Necesidades Trimestrales'!F14</f>
        <v>UNIDAD</v>
      </c>
      <c r="J16" s="64">
        <f>'Necesidades Trimestrales'!H14</f>
        <v>828</v>
      </c>
      <c r="K16" s="55">
        <f>'Necesidades Trimestrales'!G14</f>
        <v>300</v>
      </c>
    </row>
    <row r="17" spans="1:11" ht="36" customHeight="1" thickBot="1" x14ac:dyDescent="0.25">
      <c r="A17" s="8">
        <v>6</v>
      </c>
      <c r="B17" s="52" t="str">
        <f>'Necesidades Trimestrales'!B15</f>
        <v>2.1.1-669.27</v>
      </c>
      <c r="C17" s="111" t="str">
        <f>'Necesidades Trimestrales'!E15</f>
        <v>PANES; TIPO: MIÑON, PRESENTACION: GRANEL</v>
      </c>
      <c r="D17" s="111"/>
      <c r="E17" s="111"/>
      <c r="F17" s="111"/>
      <c r="G17" s="111"/>
      <c r="H17" s="53" t="s">
        <v>264</v>
      </c>
      <c r="I17" s="54" t="str">
        <f>'Necesidades Trimestrales'!F15</f>
        <v>KG</v>
      </c>
      <c r="J17" s="64">
        <f>'Necesidades Trimestrales'!H15</f>
        <v>200</v>
      </c>
      <c r="K17" s="55">
        <f>'Necesidades Trimestrales'!G15</f>
        <v>2000</v>
      </c>
    </row>
    <row r="18" spans="1:11" ht="36" customHeight="1" thickBot="1" x14ac:dyDescent="0.25">
      <c r="A18" s="8">
        <v>7</v>
      </c>
      <c r="B18" s="52" t="str">
        <f>'Necesidades Trimestrales'!B16</f>
        <v>2.1.1-669.51</v>
      </c>
      <c r="C18" s="111" t="str">
        <f>'Necesidades Trimestrales'!E16</f>
        <v>PANES; TIPO: FRANCES, PRESENTACION: UNIDAD</v>
      </c>
      <c r="D18" s="111"/>
      <c r="E18" s="111"/>
      <c r="F18" s="111"/>
      <c r="G18" s="111"/>
      <c r="H18" s="53" t="s">
        <v>264</v>
      </c>
      <c r="I18" s="54" t="str">
        <f>'Necesidades Trimestrales'!F16</f>
        <v>UNIDAD</v>
      </c>
      <c r="J18" s="64">
        <f>'Necesidades Trimestrales'!H16</f>
        <v>50</v>
      </c>
      <c r="K18" s="55">
        <f>'Necesidades Trimestrales'!G16</f>
        <v>4500</v>
      </c>
    </row>
    <row r="19" spans="1:11" ht="36" customHeight="1" thickBot="1" x14ac:dyDescent="0.25">
      <c r="A19" s="8">
        <v>8</v>
      </c>
      <c r="B19" s="52" t="str">
        <f>'Necesidades Trimestrales'!B17</f>
        <v>2.1.1-669.1</v>
      </c>
      <c r="C19" s="111" t="str">
        <f>'Necesidades Trimestrales'!E17</f>
        <v>PANES; PRESENTACION: GRANEL, TIPO: SALVADO</v>
      </c>
      <c r="D19" s="111"/>
      <c r="E19" s="111"/>
      <c r="F19" s="111"/>
      <c r="G19" s="111"/>
      <c r="H19" s="53" t="s">
        <v>264</v>
      </c>
      <c r="I19" s="54" t="str">
        <f>'Necesidades Trimestrales'!F17</f>
        <v>UNIDAD</v>
      </c>
      <c r="J19" s="64">
        <f>'Necesidades Trimestrales'!H17</f>
        <v>60</v>
      </c>
      <c r="K19" s="55">
        <f>'Necesidades Trimestrales'!G17</f>
        <v>5400</v>
      </c>
    </row>
    <row r="20" spans="1:11" ht="36" customHeight="1" thickBot="1" x14ac:dyDescent="0.25">
      <c r="A20" s="8">
        <v>9</v>
      </c>
      <c r="B20" s="52" t="str">
        <f>'Necesidades Trimestrales'!B18</f>
        <v>2.1.1-669.37</v>
      </c>
      <c r="C20" s="111" t="str">
        <f>'Necesidades Trimestrales'!E18</f>
        <v>PANES; TIPO: RALLADO, PRESENTACION: BOLSA X 5 Kg</v>
      </c>
      <c r="D20" s="111"/>
      <c r="E20" s="111"/>
      <c r="F20" s="111"/>
      <c r="G20" s="111"/>
      <c r="H20" s="53" t="s">
        <v>264</v>
      </c>
      <c r="I20" s="54" t="str">
        <f>'Necesidades Trimestrales'!F18</f>
        <v xml:space="preserve">BOLSA </v>
      </c>
      <c r="J20" s="64">
        <f>'Necesidades Trimestrales'!H18</f>
        <v>780</v>
      </c>
      <c r="K20" s="55">
        <f>'Necesidades Trimestrales'!G18</f>
        <v>40</v>
      </c>
    </row>
    <row r="21" spans="1:11" ht="36" customHeight="1" thickBot="1" x14ac:dyDescent="0.25">
      <c r="A21" s="8">
        <v>10</v>
      </c>
      <c r="B21" s="52" t="str">
        <f>'Necesidades Trimestrales'!B19</f>
        <v>2.1.1-2430.1</v>
      </c>
      <c r="C21" s="111" t="str">
        <f>'Necesidades Trimestrales'!E19</f>
        <v>PREPIZZA; GUSTO: TOMATE, TAMAÑO: MEDIANO</v>
      </c>
      <c r="D21" s="111"/>
      <c r="E21" s="111"/>
      <c r="F21" s="111"/>
      <c r="G21" s="111"/>
      <c r="H21" s="53" t="s">
        <v>264</v>
      </c>
      <c r="I21" s="54" t="str">
        <f>'Necesidades Trimestrales'!F19</f>
        <v>UNIDAD</v>
      </c>
      <c r="J21" s="64">
        <f>'Necesidades Trimestrales'!H19</f>
        <v>110</v>
      </c>
      <c r="K21" s="55">
        <f>'Necesidades Trimestrales'!G19</f>
        <v>300</v>
      </c>
    </row>
    <row r="22" spans="1:11" ht="36" customHeight="1" thickBot="1" x14ac:dyDescent="0.25">
      <c r="A22" s="8">
        <v>11</v>
      </c>
      <c r="B22" s="52" t="str">
        <f>'Necesidades Trimestrales'!B20</f>
        <v>2.1.1-518.32</v>
      </c>
      <c r="C22" s="111" t="str">
        <f>'Necesidades Trimestrales'!E20</f>
        <v>TORTAS; TIPO: PIONONO, PESO: 180 GR</v>
      </c>
      <c r="D22" s="111"/>
      <c r="E22" s="111"/>
      <c r="F22" s="111"/>
      <c r="G22" s="111"/>
      <c r="H22" s="53" t="s">
        <v>264</v>
      </c>
      <c r="I22" s="54" t="str">
        <f>'Necesidades Trimestrales'!F20</f>
        <v>UNIDAD</v>
      </c>
      <c r="J22" s="64">
        <f>'Necesidades Trimestrales'!H20</f>
        <v>180</v>
      </c>
      <c r="K22" s="55">
        <f>'Necesidades Trimestrales'!G20</f>
        <v>30</v>
      </c>
    </row>
    <row r="23" spans="1:11" ht="36" customHeight="1" thickBot="1" x14ac:dyDescent="0.25">
      <c r="A23" s="8">
        <v>12</v>
      </c>
      <c r="B23" s="52" t="str">
        <f>'Necesidades Trimestrales'!B21</f>
        <v>2.1.1-6546.34</v>
      </c>
      <c r="C23" s="111" t="str">
        <f>'Necesidades Trimestrales'!E21</f>
        <v>VERDURAS Y HORTALIZAS; VARIEDAD: ACELGA, ESTADO: EN HOJA, PRESENTACION: ATADO, PESO: SIN VALOR</v>
      </c>
      <c r="D23" s="111"/>
      <c r="E23" s="111"/>
      <c r="F23" s="111"/>
      <c r="G23" s="111"/>
      <c r="H23" s="53" t="s">
        <v>264</v>
      </c>
      <c r="I23" s="54" t="str">
        <f>'Necesidades Trimestrales'!F21</f>
        <v>ATADO</v>
      </c>
      <c r="J23" s="64">
        <f>'Necesidades Trimestrales'!H21</f>
        <v>240</v>
      </c>
      <c r="K23" s="55">
        <f>'Necesidades Trimestrales'!G21</f>
        <v>500</v>
      </c>
    </row>
    <row r="24" spans="1:11" ht="48.75" customHeight="1" thickBot="1" x14ac:dyDescent="0.25">
      <c r="A24" s="8">
        <v>13</v>
      </c>
      <c r="B24" s="52" t="str">
        <f>'Necesidades Trimestrales'!B22</f>
        <v>2.1.1-6546.403</v>
      </c>
      <c r="C24" s="111" t="str">
        <f>'Necesidades Trimestrales'!E22</f>
        <v>VERDURAS Y HORTALIZAS; VARIEDAD: ZANAHORIA, ESTADO: NATURAL, PRESENTACION: BOLSA, PESO: NO CORRESPONDE, ELEM. TRANSPORTE: SIN, MATERIAL ELEM. TRANSPORTE: SIN, LIBRE DE GLUTEN: SI, ORGANICO: NO</v>
      </c>
      <c r="D24" s="111"/>
      <c r="E24" s="111"/>
      <c r="F24" s="111"/>
      <c r="G24" s="111"/>
      <c r="H24" s="53" t="s">
        <v>264</v>
      </c>
      <c r="I24" s="54" t="str">
        <f>'Necesidades Trimestrales'!F22</f>
        <v xml:space="preserve">BOLSA </v>
      </c>
      <c r="J24" s="64">
        <f>'Necesidades Trimestrales'!H22</f>
        <v>650</v>
      </c>
      <c r="K24" s="55">
        <f>'Necesidades Trimestrales'!G22</f>
        <v>150</v>
      </c>
    </row>
    <row r="25" spans="1:11" ht="48" customHeight="1" thickBot="1" x14ac:dyDescent="0.25">
      <c r="A25" s="8">
        <v>14</v>
      </c>
      <c r="B25" s="52" t="str">
        <f>'Necesidades Trimestrales'!B23</f>
        <v>2.1.1-6546.151</v>
      </c>
      <c r="C25" s="111" t="str">
        <f>'Necesidades Trimestrales'!E23</f>
        <v>VERDURAS Y HORTALIZAS; VARIEDAD: ZAPALLITO REDONDO, ESTADO: NATURAL, PRESENTACION: CAJON, PESO: SIN VALOR</v>
      </c>
      <c r="D25" s="111"/>
      <c r="E25" s="111"/>
      <c r="F25" s="111"/>
      <c r="G25" s="111"/>
      <c r="H25" s="53" t="s">
        <v>264</v>
      </c>
      <c r="I25" s="54" t="str">
        <f>'Necesidades Trimestrales'!F23</f>
        <v>CAJON</v>
      </c>
      <c r="J25" s="64">
        <f>'Necesidades Trimestrales'!H23</f>
        <v>1600</v>
      </c>
      <c r="K25" s="55">
        <f>'Necesidades Trimestrales'!G23</f>
        <v>150</v>
      </c>
    </row>
    <row r="26" spans="1:11" ht="45.75" customHeight="1" thickBot="1" x14ac:dyDescent="0.25">
      <c r="A26" s="8">
        <v>15</v>
      </c>
      <c r="B26" s="52" t="str">
        <f>'Necesidades Trimestrales'!B24</f>
        <v>2.1.1-6546.335</v>
      </c>
      <c r="C26" s="111" t="str">
        <f>'Necesidades Trimestrales'!E24</f>
        <v>VERDURAS Y HORTALIZAS; VARIEDAD: PAPA BLANCA, ESTADO: NATURAL, PRESENTACION: BOLSA, PESO: 25 Kg</v>
      </c>
      <c r="D26" s="111"/>
      <c r="E26" s="111"/>
      <c r="F26" s="111"/>
      <c r="G26" s="111"/>
      <c r="H26" s="53" t="s">
        <v>264</v>
      </c>
      <c r="I26" s="54" t="str">
        <f>'Necesidades Trimestrales'!F24</f>
        <v xml:space="preserve">BOLSA </v>
      </c>
      <c r="J26" s="64">
        <f>'Necesidades Trimestrales'!H24</f>
        <v>800</v>
      </c>
      <c r="K26" s="55">
        <f>'Necesidades Trimestrales'!G24</f>
        <v>150</v>
      </c>
    </row>
    <row r="27" spans="1:11" ht="36" customHeight="1" thickBot="1" x14ac:dyDescent="0.25">
      <c r="A27" s="8">
        <v>16</v>
      </c>
      <c r="B27" s="52" t="str">
        <f>'Necesidades Trimestrales'!B25</f>
        <v>2.1.1-6546.49</v>
      </c>
      <c r="C27" s="111" t="str">
        <f>'Necesidades Trimestrales'!E25</f>
        <v>VERDURAS Y HORTALIZAS; VARIEDAD: CHAUCHA, PRESENTACION: GRANEL, ESTADO: NATURAL, PESO: SIN VALOR</v>
      </c>
      <c r="D27" s="111"/>
      <c r="E27" s="111"/>
      <c r="F27" s="111"/>
      <c r="G27" s="111"/>
      <c r="H27" s="53" t="s">
        <v>264</v>
      </c>
      <c r="I27" s="54" t="str">
        <f>'Necesidades Trimestrales'!F25</f>
        <v>KG</v>
      </c>
      <c r="J27" s="64">
        <f>'Necesidades Trimestrales'!H25</f>
        <v>600</v>
      </c>
      <c r="K27" s="55">
        <f>'Necesidades Trimestrales'!G25</f>
        <v>300</v>
      </c>
    </row>
    <row r="28" spans="1:11" ht="46.15" customHeight="1" thickBot="1" x14ac:dyDescent="0.25">
      <c r="A28" s="8">
        <v>17</v>
      </c>
      <c r="B28" s="52" t="str">
        <f>'Necesidades Trimestrales'!B26</f>
        <v>2.1.1-6546.390</v>
      </c>
      <c r="C28" s="111" t="str">
        <f>'Necesidades Trimestrales'!E26</f>
        <v>VERDURAS Y HORTALIZAS; VARIEDAD: TOMATE REDONDO, ESTADO: NATURAL, PRESENTACION: CAJON, PESO: 17 A 22 Kg, ELEM. TRANSPORTE: SIN, MATERIAL ELEM. TRANSPORTE: SIN, LIBRE DE GLUTEN: SI, ORGANICO: NO</v>
      </c>
      <c r="D28" s="111"/>
      <c r="E28" s="111"/>
      <c r="F28" s="111"/>
      <c r="G28" s="111"/>
      <c r="H28" s="53" t="s">
        <v>264</v>
      </c>
      <c r="I28" s="54" t="str">
        <f>'Necesidades Trimestrales'!F26</f>
        <v>CAJON</v>
      </c>
      <c r="J28" s="64">
        <f>'Necesidades Trimestrales'!H26</f>
        <v>1600</v>
      </c>
      <c r="K28" s="55">
        <f>'Necesidades Trimestrales'!G26</f>
        <v>150</v>
      </c>
    </row>
    <row r="29" spans="1:11" ht="36" customHeight="1" thickBot="1" x14ac:dyDescent="0.25">
      <c r="A29" s="8">
        <v>18</v>
      </c>
      <c r="B29" s="52" t="str">
        <f>'Necesidades Trimestrales'!B27</f>
        <v>2.1.1-6546.39</v>
      </c>
      <c r="C29" s="111" t="str">
        <f>'Necesidades Trimestrales'!E27</f>
        <v>VERDURAS Y HORTALIZAS; VARIEDAD: CEBOLLA, ESTADO: NATURAL, PRESENTACION: BOLSA, PESO: 25 Kg</v>
      </c>
      <c r="D29" s="111"/>
      <c r="E29" s="111"/>
      <c r="F29" s="111"/>
      <c r="G29" s="111"/>
      <c r="H29" s="53" t="s">
        <v>264</v>
      </c>
      <c r="I29" s="54" t="str">
        <f>'Necesidades Trimestrales'!F27</f>
        <v xml:space="preserve">BOLSA </v>
      </c>
      <c r="J29" s="64">
        <f>'Necesidades Trimestrales'!H27</f>
        <v>800</v>
      </c>
      <c r="K29" s="55">
        <f>'Necesidades Trimestrales'!G27</f>
        <v>90</v>
      </c>
    </row>
    <row r="30" spans="1:11" ht="42" customHeight="1" thickBot="1" x14ac:dyDescent="0.25">
      <c r="A30" s="8">
        <v>19</v>
      </c>
      <c r="B30" s="52" t="str">
        <f>'Necesidades Trimestrales'!B28</f>
        <v>2.1.1-6546.377</v>
      </c>
      <c r="C30" s="111" t="str">
        <f>'Necesidades Trimestrales'!E28</f>
        <v>VERDURAS Y HORTALIZAS; VARIEDAD: CEBOLLA DE VERDEO, ESTADO: NATURAL, PRESENTACION: CAJON, PESO: 10 Kg, ELEM. TRANSPORTE: CAJON, MATERIAL ELEM. TRANSPORTE: CARTON, LIBRE DE GLUTEN: NO</v>
      </c>
      <c r="D30" s="111"/>
      <c r="E30" s="111"/>
      <c r="F30" s="111"/>
      <c r="G30" s="111"/>
      <c r="H30" s="53" t="s">
        <v>264</v>
      </c>
      <c r="I30" s="54" t="str">
        <f>'Necesidades Trimestrales'!F28</f>
        <v>CAJON</v>
      </c>
      <c r="J30" s="64">
        <f>'Necesidades Trimestrales'!H28</f>
        <v>300</v>
      </c>
      <c r="K30" s="55">
        <f>'Necesidades Trimestrales'!G28</f>
        <v>30</v>
      </c>
    </row>
    <row r="31" spans="1:11" ht="36" customHeight="1" thickBot="1" x14ac:dyDescent="0.25">
      <c r="A31" s="8">
        <v>20</v>
      </c>
      <c r="B31" s="52" t="str">
        <f>'Necesidades Trimestrales'!B29</f>
        <v>2.1.1-6546.124</v>
      </c>
      <c r="C31" s="111" t="str">
        <f>'Necesidades Trimestrales'!E29</f>
        <v>VERDURAS Y HORTALIZAS; PESO: SIN VALOR, VARIEDAD: REMOLACHA, ESTADO: NATURAL, PRESENTACION: GRANEL</v>
      </c>
      <c r="D31" s="111"/>
      <c r="E31" s="111"/>
      <c r="F31" s="111"/>
      <c r="G31" s="111"/>
      <c r="H31" s="53" t="s">
        <v>264</v>
      </c>
      <c r="I31" s="54" t="str">
        <f>'Necesidades Trimestrales'!F29</f>
        <v>KG</v>
      </c>
      <c r="J31" s="64">
        <f>'Necesidades Trimestrales'!H29</f>
        <v>300</v>
      </c>
      <c r="K31" s="55">
        <f>'Necesidades Trimestrales'!G29</f>
        <v>700</v>
      </c>
    </row>
    <row r="32" spans="1:11" ht="36" customHeight="1" thickBot="1" x14ac:dyDescent="0.25">
      <c r="A32" s="8">
        <v>21</v>
      </c>
      <c r="B32" s="52" t="str">
        <f>'Necesidades Trimestrales'!B30</f>
        <v>2.1.1-6546.231</v>
      </c>
      <c r="C32" s="111" t="str">
        <f>'Necesidades Trimestrales'!E30</f>
        <v>VERDURAS Y HORTALIZAS; VARIEDAD: ZAPALLO ANCO, ESTADO: NATURAL, PRESENTACION: BOLSA, PESO: 20 Kg</v>
      </c>
      <c r="D32" s="111"/>
      <c r="E32" s="111"/>
      <c r="F32" s="111"/>
      <c r="G32" s="111"/>
      <c r="H32" s="53" t="s">
        <v>264</v>
      </c>
      <c r="I32" s="54" t="str">
        <f>'Necesidades Trimestrales'!F30</f>
        <v xml:space="preserve">BOLSA </v>
      </c>
      <c r="J32" s="64">
        <f>'Necesidades Trimestrales'!H30</f>
        <v>600</v>
      </c>
      <c r="K32" s="55">
        <f>'Necesidades Trimestrales'!G30</f>
        <v>180</v>
      </c>
    </row>
    <row r="33" spans="1:11" ht="36" customHeight="1" thickBot="1" x14ac:dyDescent="0.25">
      <c r="A33" s="8">
        <v>22</v>
      </c>
      <c r="B33" s="52" t="str">
        <f>'Necesidades Trimestrales'!B31</f>
        <v>2.1.1-6546.162</v>
      </c>
      <c r="C33" s="111" t="str">
        <f>'Necesidades Trimestrales'!E31</f>
        <v>VERDURAS Y HORTALIZAS; VARIEDAD: ZAPALLO CRIOLLO, ESTADO: NATURAL, PRESENTACION: UNIDAD, PESO: SIN VALOR</v>
      </c>
      <c r="D33" s="111"/>
      <c r="E33" s="111"/>
      <c r="F33" s="111"/>
      <c r="G33" s="111"/>
      <c r="H33" s="53" t="s">
        <v>264</v>
      </c>
      <c r="I33" s="54" t="str">
        <f>'Necesidades Trimestrales'!F31</f>
        <v>UNIDAD</v>
      </c>
      <c r="J33" s="64">
        <f>'Necesidades Trimestrales'!H31</f>
        <v>60</v>
      </c>
      <c r="K33" s="55">
        <f>'Necesidades Trimestrales'!G31</f>
        <v>600</v>
      </c>
    </row>
    <row r="34" spans="1:11" ht="36" customHeight="1" thickBot="1" x14ac:dyDescent="0.25">
      <c r="A34" s="8">
        <v>23</v>
      </c>
      <c r="B34" s="52" t="str">
        <f>'Necesidades Trimestrales'!B32</f>
        <v>2.1.1-6546.133</v>
      </c>
      <c r="C34" s="111" t="str">
        <f>'Necesidades Trimestrales'!E32</f>
        <v>VERDURAS Y HORTALIZAS; VARIEDAD: PEREJIL, ESTADO: NATURAL, PRESENTACION: ATADO, PESO: 1 Kg</v>
      </c>
      <c r="D34" s="111"/>
      <c r="E34" s="111"/>
      <c r="F34" s="111"/>
      <c r="G34" s="111"/>
      <c r="H34" s="53" t="s">
        <v>264</v>
      </c>
      <c r="I34" s="54" t="str">
        <f>'Necesidades Trimestrales'!F32</f>
        <v>KG</v>
      </c>
      <c r="J34" s="64">
        <f>'Necesidades Trimestrales'!H32</f>
        <v>300</v>
      </c>
      <c r="K34" s="55">
        <f>'Necesidades Trimestrales'!G32</f>
        <v>60</v>
      </c>
    </row>
    <row r="35" spans="1:11" ht="36" customHeight="1" thickBot="1" x14ac:dyDescent="0.25">
      <c r="A35" s="8">
        <v>24</v>
      </c>
      <c r="B35" s="52" t="str">
        <f>'Necesidades Trimestrales'!B33</f>
        <v>2.1.1-6546.95</v>
      </c>
      <c r="C35" s="111" t="str">
        <f>'Necesidades Trimestrales'!E33</f>
        <v>VERDURAS Y HORTALIZAS; VARIEDAD: MORRON VERDE, ESTADO: NATURAL, PRESENTACION: GRANEL, PESO: SIN VALOR</v>
      </c>
      <c r="D35" s="111"/>
      <c r="E35" s="111"/>
      <c r="F35" s="111"/>
      <c r="G35" s="111"/>
      <c r="H35" s="53" t="s">
        <v>264</v>
      </c>
      <c r="I35" s="54" t="str">
        <f>'Necesidades Trimestrales'!F33</f>
        <v>KG</v>
      </c>
      <c r="J35" s="64">
        <f>'Necesidades Trimestrales'!H33</f>
        <v>110</v>
      </c>
      <c r="K35" s="55">
        <f>'Necesidades Trimestrales'!G33</f>
        <v>200</v>
      </c>
    </row>
    <row r="36" spans="1:11" ht="36" customHeight="1" thickBot="1" x14ac:dyDescent="0.25">
      <c r="A36" s="8">
        <v>25</v>
      </c>
      <c r="B36" s="52" t="str">
        <f>'Necesidades Trimestrales'!B34</f>
        <v>2.1.1-6546.82</v>
      </c>
      <c r="C36" s="111" t="str">
        <f>'Necesidades Trimestrales'!E34</f>
        <v>VERDURAS Y HORTALIZAS: VARIEDAD, LECHUGA CRIOLLA, ESTADO: NATURAL, PRESENTACION: CAJON, PESO: SIN VALOR</v>
      </c>
      <c r="D36" s="111"/>
      <c r="E36" s="111"/>
      <c r="F36" s="111"/>
      <c r="G36" s="111"/>
      <c r="H36" s="53" t="s">
        <v>264</v>
      </c>
      <c r="I36" s="54" t="str">
        <f>'Necesidades Trimestrales'!F34</f>
        <v>CAJON</v>
      </c>
      <c r="J36" s="64">
        <f>'Necesidades Trimestrales'!H34</f>
        <v>1200</v>
      </c>
      <c r="K36" s="55">
        <f>'Necesidades Trimestrales'!G34</f>
        <v>5</v>
      </c>
    </row>
    <row r="37" spans="1:11" ht="36" customHeight="1" thickBot="1" x14ac:dyDescent="0.25">
      <c r="A37" s="8">
        <v>26</v>
      </c>
      <c r="B37" s="52" t="str">
        <f>'Necesidades Trimestrales'!B35</f>
        <v>2.1.1-6539.20</v>
      </c>
      <c r="C37" s="111" t="str">
        <f>'Necesidades Trimestrales'!E35</f>
        <v>FRUTAS; ESTADO: NATURAL, VARIEDAD: MANZANA RED DELICIOSA, PRESENTACION: CAJON, PESO: SIN VALOR</v>
      </c>
      <c r="D37" s="111"/>
      <c r="E37" s="111"/>
      <c r="F37" s="111"/>
      <c r="G37" s="111"/>
      <c r="H37" s="53" t="s">
        <v>264</v>
      </c>
      <c r="I37" s="54" t="str">
        <f>'Necesidades Trimestrales'!F35</f>
        <v>CAJON</v>
      </c>
      <c r="J37" s="64">
        <f>'Necesidades Trimestrales'!H35</f>
        <v>3650</v>
      </c>
      <c r="K37" s="55">
        <f>'Necesidades Trimestrales'!G35</f>
        <v>120</v>
      </c>
    </row>
    <row r="38" spans="1:11" ht="36" customHeight="1" thickBot="1" x14ac:dyDescent="0.25">
      <c r="A38" s="8">
        <v>27</v>
      </c>
      <c r="B38" s="52" t="str">
        <f>'Necesidades Trimestrales'!B36</f>
        <v>2.1.1-6539.30</v>
      </c>
      <c r="C38" s="111" t="str">
        <f>'Necesidades Trimestrales'!E36</f>
        <v>FRUTAS; VARIEDAD: BANANA, PRESENTACION: CAJON, ESTADO: NATURAL, PESO: SIN VALOR</v>
      </c>
      <c r="D38" s="111"/>
      <c r="E38" s="111"/>
      <c r="F38" s="111"/>
      <c r="G38" s="111"/>
      <c r="H38" s="53" t="s">
        <v>264</v>
      </c>
      <c r="I38" s="54" t="str">
        <f>'Necesidades Trimestrales'!F36</f>
        <v>CAJON</v>
      </c>
      <c r="J38" s="64">
        <f>'Necesidades Trimestrales'!H36</f>
        <v>3200</v>
      </c>
      <c r="K38" s="55">
        <f>'Necesidades Trimestrales'!G36</f>
        <v>120</v>
      </c>
    </row>
    <row r="39" spans="1:11" ht="36" customHeight="1" thickBot="1" x14ac:dyDescent="0.25">
      <c r="A39" s="8">
        <v>28</v>
      </c>
      <c r="B39" s="52" t="str">
        <f>'Necesidades Trimestrales'!B37</f>
        <v>2.1.1-6539.8</v>
      </c>
      <c r="C39" s="111" t="str">
        <f>'Necesidades Trimestrales'!E37</f>
        <v>FRUTAS; VARIEDAD: NARANJA ESPECIAL, ESTADO: NATURAL, PRESENTACION: CAJON, PESO: SIN VALOR</v>
      </c>
      <c r="D39" s="111"/>
      <c r="E39" s="111"/>
      <c r="F39" s="111"/>
      <c r="G39" s="111"/>
      <c r="H39" s="53" t="s">
        <v>264</v>
      </c>
      <c r="I39" s="54" t="str">
        <f>'Necesidades Trimestrales'!F37</f>
        <v>CAJON</v>
      </c>
      <c r="J39" s="64">
        <f>'Necesidades Trimestrales'!H37</f>
        <v>1400</v>
      </c>
      <c r="K39" s="55">
        <f>'Necesidades Trimestrales'!G37</f>
        <v>90</v>
      </c>
    </row>
    <row r="40" spans="1:11" ht="36" customHeight="1" thickBot="1" x14ac:dyDescent="0.25">
      <c r="A40" s="8">
        <v>29</v>
      </c>
      <c r="B40" s="52" t="str">
        <f>'Necesidades Trimestrales'!B38</f>
        <v>2.1.1-6539.32</v>
      </c>
      <c r="C40" s="111" t="str">
        <f>'Necesidades Trimestrales'!E38</f>
        <v>FRUTAS; VARIEDAD: PERA AMARILLA, ESTADO: NATURAL, PRESENTACION: CAJON, PESO: SIN VALOR</v>
      </c>
      <c r="D40" s="111"/>
      <c r="E40" s="111"/>
      <c r="F40" s="111"/>
      <c r="G40" s="111"/>
      <c r="H40" s="53" t="s">
        <v>264</v>
      </c>
      <c r="I40" s="54" t="str">
        <f>'Necesidades Trimestrales'!F38</f>
        <v>CAJON</v>
      </c>
      <c r="J40" s="64">
        <f>'Necesidades Trimestrales'!H38</f>
        <v>2600</v>
      </c>
      <c r="K40" s="55">
        <f>'Necesidades Trimestrales'!G38</f>
        <v>90</v>
      </c>
    </row>
    <row r="41" spans="1:11" ht="36" customHeight="1" thickBot="1" x14ac:dyDescent="0.25">
      <c r="A41" s="8">
        <v>30</v>
      </c>
      <c r="B41" s="52" t="str">
        <f>'Necesidades Trimestrales'!B39</f>
        <v>2.1.1-6539.187</v>
      </c>
      <c r="C41" s="111" t="str">
        <f>'Necesidades Trimestrales'!E39</f>
        <v>FRUTAS; VARIEDAD: LIMON, ESTADO: NATURAL, PRESENTACION: CAJON, ELEM. TRANSPORTE: SIN, MATERIAL ELEM. TRANSPORTE: SIN, ORGANICO: NO</v>
      </c>
      <c r="D41" s="111"/>
      <c r="E41" s="111"/>
      <c r="F41" s="111"/>
      <c r="G41" s="111"/>
      <c r="H41" s="53" t="s">
        <v>264</v>
      </c>
      <c r="I41" s="54" t="str">
        <f>'Necesidades Trimestrales'!F39</f>
        <v>CAJON</v>
      </c>
      <c r="J41" s="64">
        <f>'Necesidades Trimestrales'!H39</f>
        <v>800</v>
      </c>
      <c r="K41" s="55">
        <f>'Necesidades Trimestrales'!G39</f>
        <v>60</v>
      </c>
    </row>
    <row r="42" spans="1:11" ht="36" customHeight="1" thickBot="1" x14ac:dyDescent="0.25">
      <c r="A42" s="8">
        <v>31</v>
      </c>
      <c r="B42" s="52" t="str">
        <f>'Necesidades Trimestrales'!B40</f>
        <v>2.1.1-541.27</v>
      </c>
      <c r="C42" s="111" t="str">
        <f>'Necesidades Trimestrales'!E40</f>
        <v>CARNES; ESPECIE: VACUNA, CORTE: CUADRIL, TIPO: VACUNA</v>
      </c>
      <c r="D42" s="111"/>
      <c r="E42" s="111"/>
      <c r="F42" s="111"/>
      <c r="G42" s="111"/>
      <c r="H42" s="53" t="s">
        <v>264</v>
      </c>
      <c r="I42" s="54" t="str">
        <f>'Necesidades Trimestrales'!F40</f>
        <v>KG</v>
      </c>
      <c r="J42" s="64">
        <f>'Necesidades Trimestrales'!H40</f>
        <v>1810</v>
      </c>
      <c r="K42" s="55">
        <f>'Necesidades Trimestrales'!G40</f>
        <v>700</v>
      </c>
    </row>
    <row r="43" spans="1:11" ht="36" customHeight="1" thickBot="1" x14ac:dyDescent="0.25">
      <c r="A43" s="8">
        <v>32</v>
      </c>
      <c r="B43" s="52" t="str">
        <f>'Necesidades Trimestrales'!B41</f>
        <v>2.1.1-541.49</v>
      </c>
      <c r="C43" s="111" t="str">
        <f>'Necesidades Trimestrales'!E41</f>
        <v>CARNES; ESPECIE: VACUNA, CORTE: NALGA, TIPO: VACUNA</v>
      </c>
      <c r="D43" s="111"/>
      <c r="E43" s="111"/>
      <c r="F43" s="111"/>
      <c r="G43" s="111"/>
      <c r="H43" s="53" t="s">
        <v>264</v>
      </c>
      <c r="I43" s="54" t="str">
        <f>'Necesidades Trimestrales'!F41</f>
        <v>KG</v>
      </c>
      <c r="J43" s="64">
        <f>'Necesidades Trimestrales'!H41</f>
        <v>1810</v>
      </c>
      <c r="K43" s="55">
        <f>'Necesidades Trimestrales'!G41</f>
        <v>300</v>
      </c>
    </row>
    <row r="44" spans="1:11" ht="36" customHeight="1" thickBot="1" x14ac:dyDescent="0.25">
      <c r="A44" s="8">
        <v>33</v>
      </c>
      <c r="B44" s="52" t="str">
        <f>'Necesidades Trimestrales'!B42</f>
        <v>2.1.1-541.7</v>
      </c>
      <c r="C44" s="111" t="str">
        <f>'Necesidades Trimestrales'!E42</f>
        <v>CARNES; ESPECIE: VACUNA, CORTE: PICADA ESPECIAL, TIPO: VACUNA</v>
      </c>
      <c r="D44" s="111"/>
      <c r="E44" s="111"/>
      <c r="F44" s="111"/>
      <c r="G44" s="111"/>
      <c r="H44" s="53" t="s">
        <v>264</v>
      </c>
      <c r="I44" s="54" t="str">
        <f>'Necesidades Trimestrales'!F42</f>
        <v>KG</v>
      </c>
      <c r="J44" s="64">
        <f>'Necesidades Trimestrales'!H42</f>
        <v>1400</v>
      </c>
      <c r="K44" s="55">
        <f>'Necesidades Trimestrales'!G42</f>
        <v>800</v>
      </c>
    </row>
    <row r="45" spans="1:11" ht="36" customHeight="1" thickBot="1" x14ac:dyDescent="0.25">
      <c r="A45" s="8">
        <v>34</v>
      </c>
      <c r="B45" s="52" t="str">
        <f>'Necesidades Trimestrales'!B43</f>
        <v>2.1.1-541.70</v>
      </c>
      <c r="C45" s="111" t="str">
        <f>'Necesidades Trimestrales'!E43</f>
        <v>CARNES; CORTE: CARRE CON LOMO, TIPO: PORCINA, ESPECIE: PORCINA</v>
      </c>
      <c r="D45" s="111"/>
      <c r="E45" s="111"/>
      <c r="F45" s="111"/>
      <c r="G45" s="111"/>
      <c r="H45" s="53" t="s">
        <v>264</v>
      </c>
      <c r="I45" s="54" t="str">
        <f>'Necesidades Trimestrales'!F43</f>
        <v>KG</v>
      </c>
      <c r="J45" s="64">
        <f>'Necesidades Trimestrales'!H43</f>
        <v>625</v>
      </c>
      <c r="K45" s="55">
        <f>'Necesidades Trimestrales'!G43</f>
        <v>100</v>
      </c>
    </row>
    <row r="46" spans="1:11" ht="36" customHeight="1" thickBot="1" x14ac:dyDescent="0.25">
      <c r="A46" s="8">
        <v>35</v>
      </c>
      <c r="B46" s="52" t="str">
        <f>'Necesidades Trimestrales'!B44</f>
        <v>2.1.1-541.164</v>
      </c>
      <c r="C46" s="111" t="str">
        <f>'Necesidades Trimestrales'!E44</f>
        <v>CARNES; TIPO: PORCINA, CORTE: COSTELETA</v>
      </c>
      <c r="D46" s="111"/>
      <c r="E46" s="111"/>
      <c r="F46" s="111"/>
      <c r="G46" s="111"/>
      <c r="H46" s="53" t="s">
        <v>264</v>
      </c>
      <c r="I46" s="54" t="str">
        <f>'Necesidades Trimestrales'!F44</f>
        <v>KG</v>
      </c>
      <c r="J46" s="64">
        <f>'Necesidades Trimestrales'!H44</f>
        <v>625</v>
      </c>
      <c r="K46" s="55">
        <f>'Necesidades Trimestrales'!G44</f>
        <v>100</v>
      </c>
    </row>
    <row r="47" spans="1:11" ht="51" customHeight="1" thickBot="1" x14ac:dyDescent="0.25">
      <c r="A47" s="8">
        <v>36</v>
      </c>
      <c r="B47" s="52" t="str">
        <f>'Necesidades Trimestrales'!B45</f>
        <v>2.1.1-542.212</v>
      </c>
      <c r="C47" s="111" t="str">
        <f>'Necesidades Trimestrales'!E45</f>
        <v>QUESOS; TIPO: CUARTIROLO, PRESENTACION: HORMA, ELEM. TRANSPORTE: SIN, MATERIAL ELEM. TRANSPORTE: SIN, MATERIAL ENVASE: SIN, CERTIFICADO FORESTAL (GFS): SIN, LIBRE DE GLUTEN: SI</v>
      </c>
      <c r="D47" s="111"/>
      <c r="E47" s="111"/>
      <c r="F47" s="111"/>
      <c r="G47" s="111"/>
      <c r="H47" s="53" t="s">
        <v>264</v>
      </c>
      <c r="I47" s="54" t="str">
        <f>'Necesidades Trimestrales'!F45</f>
        <v>UNIDAD</v>
      </c>
      <c r="J47" s="64">
        <f>'Necesidades Trimestrales'!H45</f>
        <v>2750</v>
      </c>
      <c r="K47" s="55">
        <f>'Necesidades Trimestrales'!G45</f>
        <v>200</v>
      </c>
    </row>
    <row r="48" spans="1:11" ht="56.25" customHeight="1" thickBot="1" x14ac:dyDescent="0.25">
      <c r="A48" s="8">
        <v>37</v>
      </c>
      <c r="B48" s="52" t="str">
        <f>'Necesidades Trimestrales'!B46</f>
        <v>2.1.1-542.225</v>
      </c>
      <c r="C48" s="111" t="str">
        <f>'Necesidades Trimestrales'!E46</f>
        <v>QUESOS; TIPO: TYBO, PRESENTACION: ENVASE X 1 Kg, ELEM. TRANSPORTE: SIN, MATERIAL ELEM. TRANSPORTE: SIN, MATERIAL ENVASE: POLIESTIRENO, CERTIFICADO FORESTAL (GFS): SIN, LIBRE DE GLUTEN: SI</v>
      </c>
      <c r="D48" s="111"/>
      <c r="E48" s="111"/>
      <c r="F48" s="111"/>
      <c r="G48" s="111"/>
      <c r="H48" s="53" t="s">
        <v>264</v>
      </c>
      <c r="I48" s="54" t="str">
        <f>'Necesidades Trimestrales'!F46</f>
        <v>UNIDAD</v>
      </c>
      <c r="J48" s="64">
        <f>'Necesidades Trimestrales'!H46</f>
        <v>940</v>
      </c>
      <c r="K48" s="55">
        <f>'Necesidades Trimestrales'!G46</f>
        <v>120</v>
      </c>
    </row>
    <row r="49" spans="1:1024" ht="36" customHeight="1" thickBot="1" x14ac:dyDescent="0.25">
      <c r="A49" s="8">
        <v>38</v>
      </c>
      <c r="B49" s="52" t="str">
        <f>'Necesidades Trimestrales'!B47</f>
        <v>2.1.1-542.207</v>
      </c>
      <c r="C49" s="111" t="str">
        <f>'Necesidades Trimestrales'!E47</f>
        <v>QUESOS; TIPO: SARDO, PRESENTACION: HORMA X 3 Kg, ELEM. TRANSPORTE: SIN, MATERIAL ELEM. TRANSPORTE: SIN, MATERIAL ENVASE: SIN, CERTIFICADO FORESTAL (GFS): SIN, LIBRE DE GLUTEN: NO</v>
      </c>
      <c r="D49" s="111"/>
      <c r="E49" s="111"/>
      <c r="F49" s="111"/>
      <c r="G49" s="111"/>
      <c r="H49" s="53" t="s">
        <v>264</v>
      </c>
      <c r="I49" s="54" t="str">
        <f>'Necesidades Trimestrales'!F47</f>
        <v>UNIDAD</v>
      </c>
      <c r="J49" s="64">
        <f>'Necesidades Trimestrales'!H47</f>
        <v>4600</v>
      </c>
      <c r="K49" s="55">
        <f>'Necesidades Trimestrales'!G47</f>
        <v>100</v>
      </c>
    </row>
    <row r="50" spans="1:1024" ht="36" customHeight="1" thickBot="1" x14ac:dyDescent="0.25">
      <c r="A50" s="8">
        <v>39</v>
      </c>
      <c r="B50" s="52" t="str">
        <f>'Necesidades Trimestrales'!B48</f>
        <v>2.1.1-969.35</v>
      </c>
      <c r="C50" s="111" t="str">
        <f>'Necesidades Trimestrales'!E48</f>
        <v>FIAMBRES; TIPO: JAMON COCIDO ITALIANO, PRESENTACION: AL PESO</v>
      </c>
      <c r="D50" s="111"/>
      <c r="E50" s="111"/>
      <c r="F50" s="111"/>
      <c r="G50" s="111"/>
      <c r="H50" s="53" t="s">
        <v>264</v>
      </c>
      <c r="I50" s="54" t="str">
        <f>'Necesidades Trimestrales'!F48</f>
        <v>KG</v>
      </c>
      <c r="J50" s="64">
        <f>'Necesidades Trimestrales'!H48</f>
        <v>1200</v>
      </c>
      <c r="K50" s="55">
        <f>'Necesidades Trimestrales'!G48</f>
        <v>100</v>
      </c>
    </row>
    <row r="51" spans="1:1024" ht="36" customHeight="1" thickBot="1" x14ac:dyDescent="0.25">
      <c r="A51" s="8">
        <v>40</v>
      </c>
      <c r="B51" s="52" t="str">
        <f>'Necesidades Trimestrales'!B49</f>
        <v>2.1.1-4975.2</v>
      </c>
      <c r="C51" s="111" t="str">
        <f>'Necesidades Trimestrales'!E49</f>
        <v>RICOTA; ENVASE: PAQUETE, PESO: 1 Kg, SABOR: SIN</v>
      </c>
      <c r="D51" s="111"/>
      <c r="E51" s="111"/>
      <c r="F51" s="111"/>
      <c r="G51" s="111"/>
      <c r="H51" s="53" t="s">
        <v>264</v>
      </c>
      <c r="I51" s="54" t="str">
        <f>'Necesidades Trimestrales'!F49</f>
        <v>UNIDAD</v>
      </c>
      <c r="J51" s="64">
        <f>'Necesidades Trimestrales'!H49</f>
        <v>300</v>
      </c>
      <c r="K51" s="55">
        <f>'Necesidades Trimestrales'!G49</f>
        <v>30</v>
      </c>
    </row>
    <row r="52" spans="1:1024" ht="36" customHeight="1" thickBot="1" x14ac:dyDescent="0.25">
      <c r="A52" s="8">
        <v>41</v>
      </c>
      <c r="B52" s="52" t="str">
        <f>'Necesidades Trimestrales'!B50</f>
        <v>2.1.1-707.35</v>
      </c>
      <c r="C52" s="111" t="str">
        <f>'Necesidades Trimestrales'!E50</f>
        <v>PASTAS FRESCAS; VARIEDAD: RAVIOL, RELLENO: RICOTA Y POLLO, PRESENTACION: ENVASE X 2 PLANCHAS</v>
      </c>
      <c r="D52" s="111"/>
      <c r="E52" s="111"/>
      <c r="F52" s="111"/>
      <c r="G52" s="111"/>
      <c r="H52" s="53" t="s">
        <v>264</v>
      </c>
      <c r="I52" s="54" t="str">
        <f>'Necesidades Trimestrales'!F50</f>
        <v>UNIDAD</v>
      </c>
      <c r="J52" s="64">
        <f>'Necesidades Trimestrales'!H50</f>
        <v>300</v>
      </c>
      <c r="K52" s="55">
        <f>'Necesidades Trimestrales'!G50</f>
        <v>500</v>
      </c>
    </row>
    <row r="53" spans="1:1024" ht="36" customHeight="1" thickBot="1" x14ac:dyDescent="0.25">
      <c r="A53" s="8">
        <v>42</v>
      </c>
      <c r="B53" s="52" t="str">
        <f>'Necesidades Trimestrales'!B51</f>
        <v>2.1.1-2429.1</v>
      </c>
      <c r="C53" s="111" t="str">
        <f>'Necesidades Trimestrales'!E51</f>
        <v>TAPAS P/TARTAS; TIPO: REDONDA, MASA: CASERA, PRESENTACION: BOLSA</v>
      </c>
      <c r="D53" s="111"/>
      <c r="E53" s="111"/>
      <c r="F53" s="111"/>
      <c r="G53" s="111"/>
      <c r="H53" s="53" t="s">
        <v>264</v>
      </c>
      <c r="I53" s="54" t="str">
        <f>'Necesidades Trimestrales'!F51</f>
        <v xml:space="preserve">BOLSA </v>
      </c>
      <c r="J53" s="64">
        <f>'Necesidades Trimestrales'!H51</f>
        <v>192</v>
      </c>
      <c r="K53" s="55">
        <f>'Necesidades Trimestrales'!G51</f>
        <v>400</v>
      </c>
    </row>
    <row r="54" spans="1:1024" ht="36" customHeight="1" thickBot="1" x14ac:dyDescent="0.25">
      <c r="A54" s="8">
        <v>43</v>
      </c>
      <c r="B54" s="52" t="str">
        <f>'Necesidades Trimestrales'!B52</f>
        <v>2.1.1-2610.1</v>
      </c>
      <c r="C54" s="111" t="str">
        <f>'Necesidades Trimestrales'!E52</f>
        <v>TAPAS P/EMPANADAS; TIPO: P/HORNO, PRESENTACION: BOLSA X 12</v>
      </c>
      <c r="D54" s="111"/>
      <c r="E54" s="111"/>
      <c r="F54" s="111"/>
      <c r="G54" s="111"/>
      <c r="H54" s="53" t="s">
        <v>264</v>
      </c>
      <c r="I54" s="54" t="str">
        <f>'Necesidades Trimestrales'!F52</f>
        <v xml:space="preserve">BOLSA </v>
      </c>
      <c r="J54" s="64">
        <f>'Necesidades Trimestrales'!H52</f>
        <v>157</v>
      </c>
      <c r="K54" s="55">
        <f>'Necesidades Trimestrales'!G52</f>
        <v>300</v>
      </c>
    </row>
    <row r="55" spans="1:1024" ht="36" customHeight="1" thickBot="1" x14ac:dyDescent="0.25">
      <c r="A55" s="8">
        <v>44</v>
      </c>
      <c r="B55" s="52" t="str">
        <f>'Necesidades Trimestrales'!B53</f>
        <v>2.1.1-456.79</v>
      </c>
      <c r="C55" s="111" t="str">
        <f>'Necesidades Trimestrales'!E53</f>
        <v>YOGHURT; TIPO: DESCREMADO, AGREGADO: SIN, CONSISTENCIA: FIRME, SABOR: VAINILLA, PRESENTACION: POTE PLASTICO X 200 GR</v>
      </c>
      <c r="D55" s="111"/>
      <c r="E55" s="111"/>
      <c r="F55" s="111"/>
      <c r="G55" s="111"/>
      <c r="H55" s="53" t="s">
        <v>264</v>
      </c>
      <c r="I55" s="54" t="str">
        <f>'Necesidades Trimestrales'!F53</f>
        <v xml:space="preserve">POTE </v>
      </c>
      <c r="J55" s="64">
        <f>'Necesidades Trimestrales'!H53</f>
        <v>120</v>
      </c>
      <c r="K55" s="55">
        <f>'Necesidades Trimestrales'!G53</f>
        <v>1000</v>
      </c>
    </row>
    <row r="56" spans="1:1024" ht="20.25" customHeight="1" thickBot="1" x14ac:dyDescent="0.25">
      <c r="A56" s="117" t="s">
        <v>249</v>
      </c>
      <c r="B56" s="117"/>
      <c r="C56" s="117"/>
      <c r="D56" s="117"/>
      <c r="E56" s="117"/>
      <c r="F56" s="117"/>
      <c r="G56" s="117"/>
      <c r="H56" s="117"/>
      <c r="I56" s="117"/>
      <c r="J56" s="122">
        <f>SUMPRODUCT(J12:J55,K12:K55)</f>
        <v>10011900</v>
      </c>
      <c r="K56" s="122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</sheetData>
  <mergeCells count="66">
    <mergeCell ref="A56:I56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4:G34"/>
    <mergeCell ref="J56:K5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C33:G33"/>
    <mergeCell ref="C29:G29"/>
    <mergeCell ref="C30:G30"/>
    <mergeCell ref="C31:G31"/>
    <mergeCell ref="C32:G32"/>
    <mergeCell ref="C13:G13"/>
    <mergeCell ref="C14:G14"/>
    <mergeCell ref="C15:G15"/>
    <mergeCell ref="C16:G16"/>
    <mergeCell ref="C51:G51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52:G52"/>
    <mergeCell ref="C53:G53"/>
    <mergeCell ref="C54:G54"/>
    <mergeCell ref="C55:G55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</mergeCells>
  <printOptions horizontalCentered="1"/>
  <pageMargins left="0.19685039370078741" right="0.19685039370078741" top="0.6" bottom="0.61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130" zoomScaleNormal="130" workbookViewId="0">
      <selection activeCell="R9" sqref="R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2022</v>
      </c>
      <c r="E1" s="148"/>
      <c r="F1" s="10"/>
      <c r="G1" s="10"/>
      <c r="H1" s="11"/>
      <c r="I1" s="11"/>
      <c r="J1" s="11"/>
      <c r="K1" s="11"/>
      <c r="L1" s="11"/>
      <c r="M1" s="11"/>
      <c r="N1" s="11"/>
      <c r="P1" s="149" t="s">
        <v>25</v>
      </c>
      <c r="Q1" s="14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9"/>
      <c r="Q2" s="149"/>
    </row>
    <row r="4" spans="1:17" s="12" customFormat="1" ht="18" customHeight="1" thickBot="1" x14ac:dyDescent="0.25">
      <c r="A4" s="150" t="s">
        <v>26</v>
      </c>
      <c r="B4" s="150"/>
      <c r="C4" s="150"/>
      <c r="D4" s="150"/>
      <c r="E4" s="150"/>
      <c r="F4" s="150"/>
      <c r="G4" s="145" t="str">
        <f>NotaPedido!D3</f>
        <v>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12" customFormat="1" ht="18" customHeight="1" thickBot="1" x14ac:dyDescent="0.25">
      <c r="A5" s="142" t="s">
        <v>49</v>
      </c>
      <c r="B5" s="143"/>
      <c r="C5" s="143"/>
      <c r="D5" s="143"/>
      <c r="E5" s="143"/>
      <c r="F5" s="144"/>
      <c r="G5" s="145" t="str">
        <f>NotaPedido!D4</f>
        <v>23 - Hospital Interzonal San Juan Bautista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12" customFormat="1" ht="18" customHeight="1" thickBot="1" x14ac:dyDescent="0.25">
      <c r="A6" s="142" t="s">
        <v>27</v>
      </c>
      <c r="B6" s="143"/>
      <c r="C6" s="143"/>
      <c r="D6" s="143"/>
      <c r="E6" s="143"/>
      <c r="F6" s="144"/>
      <c r="G6" s="145" t="str">
        <f>NotaPedido!D5</f>
        <v>168 - Direccion Asistencial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12" customFormat="1" ht="18" customHeight="1" thickBot="1" x14ac:dyDescent="0.25">
      <c r="A7" s="142" t="s">
        <v>50</v>
      </c>
      <c r="B7" s="143"/>
      <c r="C7" s="143"/>
      <c r="D7" s="143"/>
      <c r="E7" s="143"/>
      <c r="F7" s="144"/>
      <c r="G7" s="145" t="str">
        <f>NotaPedido!D6</f>
        <v>Servicio de Nutricion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6" t="s">
        <v>28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6" t="s">
        <v>29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13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031 -2022,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8" t="s">
        <v>30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31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32</v>
      </c>
      <c r="P13" s="140"/>
      <c r="Q13" s="141" t="s">
        <v>33</v>
      </c>
    </row>
    <row r="14" spans="1:17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40"/>
      <c r="P14" s="140"/>
      <c r="Q14" s="141"/>
    </row>
    <row r="15" spans="1:17" ht="17.25" customHeight="1" x14ac:dyDescent="0.2">
      <c r="A15" s="58">
        <v>33</v>
      </c>
      <c r="B15" s="59"/>
      <c r="C15" s="59"/>
      <c r="D15" s="59">
        <v>2</v>
      </c>
      <c r="E15" s="59"/>
      <c r="F15" s="59">
        <v>4901</v>
      </c>
      <c r="G15" s="59">
        <v>3</v>
      </c>
      <c r="H15" s="60" t="s">
        <v>54</v>
      </c>
      <c r="I15" s="61">
        <v>2</v>
      </c>
      <c r="J15" s="61">
        <v>1</v>
      </c>
      <c r="K15" s="61">
        <v>1</v>
      </c>
      <c r="L15" s="59"/>
      <c r="M15" s="62">
        <v>1</v>
      </c>
      <c r="N15" s="60" t="s">
        <v>55</v>
      </c>
      <c r="O15" s="133" t="s">
        <v>136</v>
      </c>
      <c r="P15" s="133"/>
      <c r="Q15" s="23">
        <v>10011900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6"/>
      <c r="I16" s="25"/>
      <c r="J16" s="25"/>
      <c r="K16" s="25"/>
      <c r="L16" s="25"/>
      <c r="M16" s="26"/>
      <c r="N16" s="57"/>
      <c r="O16" s="134"/>
      <c r="P16" s="134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6"/>
      <c r="I17" s="25"/>
      <c r="J17" s="25"/>
      <c r="K17" s="25"/>
      <c r="L17" s="25"/>
      <c r="M17" s="26"/>
      <c r="N17" s="57"/>
      <c r="O17" s="134"/>
      <c r="P17" s="134"/>
      <c r="Q17" s="28"/>
      <c r="S17" s="63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6"/>
      <c r="I18" s="25"/>
      <c r="J18" s="25"/>
      <c r="K18" s="25"/>
      <c r="L18" s="25"/>
      <c r="M18" s="26"/>
      <c r="N18" s="57"/>
      <c r="O18" s="135"/>
      <c r="P18" s="128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8"/>
      <c r="P19" s="128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8"/>
      <c r="P20" s="128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9"/>
      <c r="P21" s="129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0"/>
      <c r="P22" s="130"/>
      <c r="Q22" s="37"/>
    </row>
    <row r="23" spans="1:19" ht="31.9" customHeight="1" x14ac:dyDescent="0.2">
      <c r="A23" s="131" t="s">
        <v>250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38">
        <f>SUM(Q15:Q22)</f>
        <v>10011900</v>
      </c>
    </row>
    <row r="24" spans="1:19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9" ht="17.25" customHeight="1" thickBot="1" x14ac:dyDescent="0.25">
      <c r="A25" s="123" t="s">
        <v>47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9" ht="18" customHeight="1" thickBot="1" x14ac:dyDescent="0.25">
      <c r="A26" s="127" t="str">
        <f>"Para la "&amp; NotaPedido!D8 &amp;" para ser destinados al " &amp; NotaPedido!D6 &amp;" del HISJB del Ministerio de Salud."</f>
        <v>Para la Adquisición de Alimentos Perecederos para ser destinados al Servicio de Nutricion del HISJB del Ministerio de Salud.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9" ht="15" customHeight="1" x14ac:dyDescent="0.2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2021-05-28T12:30:39Z</cp:lastPrinted>
  <dcterms:created xsi:type="dcterms:W3CDTF">2020-07-17T23:44:49Z</dcterms:created>
  <dcterms:modified xsi:type="dcterms:W3CDTF">2022-02-17T14:25:36Z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