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13_ncr:1_{DA0CAE4F-864F-4B7F-881F-6F439984522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Trimestrales'!$A$9:$I$26</definedName>
  </definedNames>
  <calcPr calcId="181029"/>
</workbook>
</file>

<file path=xl/calcChain.xml><?xml version="1.0" encoding="utf-8"?>
<calcChain xmlns="http://schemas.openxmlformats.org/spreadsheetml/2006/main">
  <c r="I26" i="1" l="1"/>
  <c r="D20" i="1"/>
  <c r="D18" i="1" l="1"/>
  <c r="D24" i="1"/>
  <c r="D14" i="1"/>
  <c r="D15" i="1"/>
  <c r="D25" i="1"/>
  <c r="D16" i="1"/>
  <c r="D10" i="1"/>
  <c r="D11" i="1"/>
  <c r="D22" i="1"/>
  <c r="D21" i="1"/>
  <c r="D12" i="1"/>
  <c r="D17" i="1"/>
  <c r="D19" i="1"/>
  <c r="D13" i="1"/>
  <c r="D23" i="1"/>
  <c r="I23" i="1"/>
  <c r="I13" i="1"/>
  <c r="I19" i="1"/>
  <c r="I17" i="1"/>
  <c r="I12" i="1"/>
  <c r="I21" i="1"/>
  <c r="I22" i="1"/>
  <c r="I11" i="1"/>
  <c r="I10" i="1"/>
  <c r="I16" i="1"/>
  <c r="I25" i="1"/>
  <c r="I15" i="1"/>
  <c r="I14" i="1"/>
  <c r="I24" i="1"/>
  <c r="I18" i="1"/>
  <c r="I20" i="1"/>
</calcChain>
</file>

<file path=xl/sharedStrings.xml><?xml version="1.0" encoding="utf-8"?>
<sst xmlns="http://schemas.openxmlformats.org/spreadsheetml/2006/main" count="134" uniqueCount="71">
  <si>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</si>
  <si>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</si>
  <si>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</si>
  <si>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</si>
  <si>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</si>
  <si>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</si>
  <si>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</si>
  <si>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</si>
  <si>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</si>
  <si>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</si>
  <si>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</si>
  <si>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</si>
  <si>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</si>
  <si>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</si>
  <si>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</si>
  <si>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</si>
  <si>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</si>
  <si>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</si>
  <si>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</si>
  <si>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40 - Ministerio de Salud</t>
  </si>
  <si>
    <t>23 - Hospital Interzonal San Juan Bautista</t>
  </si>
  <si>
    <t xml:space="preserve">45 dias habiles </t>
  </si>
  <si>
    <t>UNIDAD</t>
  </si>
  <si>
    <t>2.3.4-938.46</t>
  </si>
  <si>
    <t>SERVILLETAS DE PAPEL; TIPO LISAS, MOTIVO: SIN DIMENSION:33X33 Cm, PRESENTACION: PAQUETEX 1000 UN. COLOR: BLANCA</t>
  </si>
  <si>
    <t>CUCHILLOS; TIPO: DE MESA, MATERIAL: PLÁSTICO</t>
  </si>
  <si>
    <t>BOLSAS DE POLIETILENO; TAMAÑO; 15X25 Cm, ESPESOR: 17mN, PRESENTACION: ROLLO X 200 UN.</t>
  </si>
  <si>
    <t>COMPOTERAS; MATERIAL: POLICARBONATO, CAPACIDAD:250ml</t>
  </si>
  <si>
    <t>CUCHARAS; TIPO: DE MESA, MATERIAL: PLÁSTICO.</t>
  </si>
  <si>
    <t>BANDEJA DE PLASTICO; MATERIAL:PLASTICO, LARGO X ANCHO: 233X170mm, FORMA: OVAL, PRESENTACION: CAJA X 600 UN.</t>
  </si>
  <si>
    <t>TENEDORES;TIPO:DE MESA,MATERIAL:PLASTICO</t>
  </si>
  <si>
    <t>SERVILLETAS DE PAPEL; TIPO:ROLLO, MOTIVO:SIN DIMENSION 25X10Cm, PRESENTACION: ENVASE X 3 UN.</t>
  </si>
  <si>
    <t>BANDEJA P/TRANSP. DE ALIMENTO;DIMENSION:18X14X4 CmTIPO:C/TAPA,MATERIAL:ALUMINIO APTO MICROONDAS,CAPACIDAD: 750CM3</t>
  </si>
  <si>
    <t>CUCHARAS;TIPO TE, MATERIAL:PLÁSTICO.</t>
  </si>
  <si>
    <t>FILMS DE POLIETILENO; ESPESOR:10MnANCHO: 45Cm, PRESENTACION:ROLLOX900M, USO: ALIMENTARIO</t>
  </si>
  <si>
    <t>BANDEJAS DE MESA ; MATERIAL: PLÁSTICO, DIMENSION: 16,5X12X5,5Cm, FORMA:RECTANGULAR</t>
  </si>
  <si>
    <t>VASOS PLÁSTICOS DESCARTABLES;MATERIAL:POLIESTINO, MOTIVO:LISO, CAPACIDAD: 240CM3, PRESENTACION:ENVASE X 1000 UN. TIPO:APTO MICROONDAS</t>
  </si>
  <si>
    <t>BANDEJA P/TRANSP, DE ALIMENTO; CAPACIDAD: 700GR, C/TAPA MATERIAL: ALUMINIO, TIPO:SIN VALOR, MEDIDAS14X10X4,5Cm, INTERIOR: SIN VALOR, EXTERIOR: SIN VALOR,DIMENSION:14X10X4,5Cm,ACABADO:SIN VALOR.</t>
  </si>
  <si>
    <t>2.9.4-689.15</t>
  </si>
  <si>
    <t>2.9.4-1184.42</t>
  </si>
  <si>
    <t>2.5.8-3977.40</t>
  </si>
  <si>
    <t>2.9.4-6970.3</t>
  </si>
  <si>
    <t>2.9.4-1184.49</t>
  </si>
  <si>
    <t>2.9.4-690.15</t>
  </si>
  <si>
    <t>2.5.8-1055.37</t>
  </si>
  <si>
    <t>2.9.4-4743.4</t>
  </si>
  <si>
    <t>2.3.4-938.59</t>
  </si>
  <si>
    <t>2.9.4-4743.24</t>
  </si>
  <si>
    <t>2.9.4-690.16</t>
  </si>
  <si>
    <t>2.9.4-1015.40</t>
  </si>
  <si>
    <t>2.9.4-588.70</t>
  </si>
  <si>
    <t>2.9.4-692.10</t>
  </si>
  <si>
    <t>BAZAR Y MENAJE</t>
  </si>
  <si>
    <t>FERRETERIA</t>
  </si>
  <si>
    <t>2.5.8-5590.59</t>
  </si>
  <si>
    <t>LIBRERIA,PAP. Y UTILES OFICINA</t>
  </si>
  <si>
    <t xml:space="preserve">10 dias habiles  - Servicio de Nutrición del HISJB - Avda. Illia y Mariano Moreno </t>
  </si>
  <si>
    <t>Especificidades Item N° 7:</t>
  </si>
  <si>
    <t>Cucharas de Plastico Blancas Tipo Sopera Descartable</t>
  </si>
  <si>
    <t>Especificidades Item N° 8:</t>
  </si>
  <si>
    <t>Especificidades Item N° 9:</t>
  </si>
  <si>
    <t>Especificidades Item N° 13:</t>
  </si>
  <si>
    <t xml:space="preserve">Cuchillos Plásticos Super Reforzados Serruchos  color Blanco descartables </t>
  </si>
  <si>
    <t xml:space="preserve">Tenedores Plásticos Super Reforzados Firmes color Blanco descartables </t>
  </si>
  <si>
    <t>Cucharitas para postre, blancas plasticas descartables</t>
  </si>
  <si>
    <t>Especificidades Item N° 15:</t>
  </si>
  <si>
    <t>Especificidades Item N° 16:</t>
  </si>
  <si>
    <t>VASOS; MATERIAL: POLIESTIRENO EXPANDIDO, TIPO: DESCARTABLE, CAPACIDAD: 180 CM3</t>
  </si>
  <si>
    <t>VASOS; MATERIAL: POLIESTIRENO, TIPO: TERMICO, CAPACIDAD: 240 mL</t>
  </si>
  <si>
    <t xml:space="preserve">VASOS DE POLIESTILENO EXPANDIDO CAPACIDAD: 240 CM3 CON TAPA TERMICO </t>
  </si>
  <si>
    <t>VASOS DE POLIESTILENO EXPANDIDO CAPACIDAD: 180 CM3 CON 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</si>
</sst>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38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2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12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9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4" fillId="0" borderId="10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horizontal="center" vertical="center" wrapText="1"/>
    </xf>
    <xf numFmtId="166" fontId="10" fillId="4" borderId="10" xfId="1" applyNumberFormat="1" applyFont="1" applyFill="1" applyBorder="1" applyAlignment="1" applyProtection="1">
      <alignment horizontal="center" vertical="center" wrapText="1"/>
    </xf>
    <xf numFmtId="166" fontId="10" fillId="4" borderId="10" xfId="1" applyNumberFormat="1" applyFont="1" applyFill="1" applyBorder="1" applyAlignment="1" applyProtection="1">
      <alignment horizontal="right" vertical="center" wrapText="1"/>
    </xf>
    <xf numFmtId="0" fontId="13" fillId="4" borderId="0" xfId="0" applyFont="1" applyFill="1" applyAlignment="1">
      <alignment horizontal="left" wrapText="1" indent="1"/>
    </xf>
    <xf numFmtId="0" fontId="9" fillId="5" borderId="0" xfId="0" applyFont="1" applyFill="1" applyAlignment="1">
      <alignment horizontal="left" wrapText="1"/>
    </xf>
    <xf numFmtId="0" fontId="9" fillId="0" borderId="11" xfId="0" applyFont="1" applyBorder="1" applyAlignment="1">
      <alignment horizontal="center" vertical="center" wrapText="1"/>
    </xf>
    <xf numFmtId="166" fontId="5" fillId="0" borderId="0" xfId="0" applyNumberFormat="1" applyFont="1"/>
    <xf numFmtId="0" fontId="15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5" fillId="4" borderId="6" xfId="0" applyFont="1" applyFill="1" applyBorder="1" applyAlignment="1">
      <alignment horizontal="left" wrapText="1"/>
    </xf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1"/>
  <sheetViews>
    <sheetView tabSelected="1" topLeftCell="A16" zoomScale="85" zoomScaleNormal="85" workbookViewId="0">
      <selection activeCell="I27" sqref="I27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6" t="s">
        <v>0</v>
      </c>
      <c r="C2" s="36"/>
      <c r="D2" s="36"/>
      <c r="E2" s="36"/>
      <c r="F2" s="36"/>
      <c r="G2" s="36"/>
      <c r="H2" s="36"/>
    </row>
    <row r="4" spans="1:9" ht="18" customHeight="1" x14ac:dyDescent="0.25">
      <c r="A4" s="35" t="s">
        <v>1</v>
      </c>
      <c r="B4" s="35"/>
      <c r="C4" s="37" t="s">
        <v>19</v>
      </c>
      <c r="D4" s="37"/>
      <c r="E4" s="37"/>
      <c r="F4" s="2"/>
      <c r="G4" s="3"/>
      <c r="H4" s="2"/>
    </row>
    <row r="5" spans="1:9" ht="18" customHeight="1" x14ac:dyDescent="0.25">
      <c r="A5" s="35" t="s">
        <v>2</v>
      </c>
      <c r="B5" s="35"/>
      <c r="C5" s="37" t="s">
        <v>20</v>
      </c>
      <c r="D5" s="37"/>
      <c r="E5" s="37"/>
      <c r="F5" s="2"/>
      <c r="G5" s="3"/>
      <c r="H5" s="2"/>
    </row>
    <row r="6" spans="1:9" ht="16.5" customHeight="1" x14ac:dyDescent="0.25">
      <c r="A6" s="35" t="s">
        <v>3</v>
      </c>
      <c r="B6" s="35"/>
      <c r="C6" s="23">
        <v>2021</v>
      </c>
      <c r="D6" s="24"/>
      <c r="E6" s="24"/>
      <c r="F6" s="2"/>
      <c r="G6" s="3"/>
      <c r="H6" s="2"/>
    </row>
    <row r="7" spans="1:9" ht="16.5" customHeight="1" x14ac:dyDescent="0.25">
      <c r="A7" s="35" t="s">
        <v>4</v>
      </c>
      <c r="B7" s="35"/>
      <c r="C7" s="23">
        <v>3</v>
      </c>
      <c r="D7" s="24"/>
      <c r="E7" s="24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17" t="s">
        <v>5</v>
      </c>
      <c r="B9" s="25" t="s">
        <v>6</v>
      </c>
      <c r="C9" s="25" t="s">
        <v>7</v>
      </c>
      <c r="D9" s="25" t="s">
        <v>8</v>
      </c>
      <c r="E9" s="25" t="s">
        <v>9</v>
      </c>
      <c r="F9" s="25" t="s">
        <v>10</v>
      </c>
      <c r="G9" s="25" t="s">
        <v>11</v>
      </c>
      <c r="H9" s="25" t="s">
        <v>12</v>
      </c>
      <c r="I9" s="25" t="s">
        <v>13</v>
      </c>
    </row>
    <row r="10" spans="1:9" ht="50.25" customHeight="1" thickBot="1" x14ac:dyDescent="0.25">
      <c r="A10" s="18">
        <v>1</v>
      </c>
      <c r="B10" s="20" t="s">
        <v>44</v>
      </c>
      <c r="C10" s="27" t="s">
        <v>52</v>
      </c>
      <c r="D10" s="28" t="str">
        <f t="shared" ref="D10:D25" si="0">LEFT(B10,5)</f>
        <v>2.5.8</v>
      </c>
      <c r="E10" s="19" t="s">
        <v>29</v>
      </c>
      <c r="F10" s="20" t="s">
        <v>22</v>
      </c>
      <c r="G10" s="20">
        <v>2</v>
      </c>
      <c r="H10" s="21">
        <v>27000</v>
      </c>
      <c r="I10" s="22">
        <f t="shared" ref="I10:I25" si="1">G10*H10</f>
        <v>54000</v>
      </c>
    </row>
    <row r="11" spans="1:9" ht="66.75" customHeight="1" thickBot="1" x14ac:dyDescent="0.25">
      <c r="A11" s="18">
        <v>2</v>
      </c>
      <c r="B11" s="20" t="s">
        <v>45</v>
      </c>
      <c r="C11" s="27" t="s">
        <v>52</v>
      </c>
      <c r="D11" s="28" t="str">
        <f t="shared" si="0"/>
        <v>2.9.4</v>
      </c>
      <c r="E11" s="19" t="s">
        <v>37</v>
      </c>
      <c r="F11" s="20" t="s">
        <v>22</v>
      </c>
      <c r="G11" s="20">
        <v>500</v>
      </c>
      <c r="H11" s="21">
        <v>18</v>
      </c>
      <c r="I11" s="22">
        <f t="shared" si="1"/>
        <v>9000</v>
      </c>
    </row>
    <row r="12" spans="1:9" ht="55.5" customHeight="1" thickBot="1" x14ac:dyDescent="0.25">
      <c r="A12" s="18">
        <v>3</v>
      </c>
      <c r="B12" s="20" t="s">
        <v>47</v>
      </c>
      <c r="C12" s="27" t="s">
        <v>52</v>
      </c>
      <c r="D12" s="28" t="str">
        <f t="shared" si="0"/>
        <v>2.9.4</v>
      </c>
      <c r="E12" s="19" t="s">
        <v>32</v>
      </c>
      <c r="F12" s="20" t="s">
        <v>22</v>
      </c>
      <c r="G12" s="20">
        <v>18000</v>
      </c>
      <c r="H12" s="21">
        <v>21</v>
      </c>
      <c r="I12" s="22">
        <f t="shared" si="1"/>
        <v>378000</v>
      </c>
    </row>
    <row r="13" spans="1:9" ht="38.25" customHeight="1" thickBot="1" x14ac:dyDescent="0.25">
      <c r="A13" s="18">
        <v>4</v>
      </c>
      <c r="B13" s="20" t="s">
        <v>49</v>
      </c>
      <c r="C13" s="27" t="s">
        <v>52</v>
      </c>
      <c r="D13" s="28" t="str">
        <f t="shared" si="0"/>
        <v>2.9.4</v>
      </c>
      <c r="E13" s="19" t="s">
        <v>35</v>
      </c>
      <c r="F13" s="20" t="s">
        <v>22</v>
      </c>
      <c r="G13" s="20">
        <v>1500</v>
      </c>
      <c r="H13" s="21">
        <v>9</v>
      </c>
      <c r="I13" s="22">
        <f t="shared" si="1"/>
        <v>13500</v>
      </c>
    </row>
    <row r="14" spans="1:9" ht="45.75" customHeight="1" thickBot="1" x14ac:dyDescent="0.25">
      <c r="A14" s="18">
        <v>5</v>
      </c>
      <c r="B14" s="20" t="s">
        <v>40</v>
      </c>
      <c r="C14" s="27" t="s">
        <v>53</v>
      </c>
      <c r="D14" s="28" t="str">
        <f t="shared" si="0"/>
        <v>2.5.8</v>
      </c>
      <c r="E14" s="19" t="s">
        <v>26</v>
      </c>
      <c r="F14" s="20" t="s">
        <v>22</v>
      </c>
      <c r="G14" s="20">
        <v>50</v>
      </c>
      <c r="H14" s="21">
        <v>250</v>
      </c>
      <c r="I14" s="22">
        <f t="shared" si="1"/>
        <v>12500</v>
      </c>
    </row>
    <row r="15" spans="1:9" ht="39.75" customHeight="1" thickBot="1" x14ac:dyDescent="0.25">
      <c r="A15" s="18">
        <v>6</v>
      </c>
      <c r="B15" s="20" t="s">
        <v>41</v>
      </c>
      <c r="C15" s="27" t="s">
        <v>52</v>
      </c>
      <c r="D15" s="28" t="str">
        <f t="shared" si="0"/>
        <v>2.9.4</v>
      </c>
      <c r="E15" s="19" t="s">
        <v>27</v>
      </c>
      <c r="F15" s="20" t="s">
        <v>22</v>
      </c>
      <c r="G15" s="20">
        <v>18000</v>
      </c>
      <c r="H15" s="21">
        <v>8.5</v>
      </c>
      <c r="I15" s="22">
        <f t="shared" si="1"/>
        <v>153000</v>
      </c>
    </row>
    <row r="16" spans="1:9" ht="31.9" customHeight="1" thickBot="1" x14ac:dyDescent="0.25">
      <c r="A16" s="18">
        <v>7</v>
      </c>
      <c r="B16" s="20" t="s">
        <v>43</v>
      </c>
      <c r="C16" s="27" t="s">
        <v>52</v>
      </c>
      <c r="D16" s="28" t="str">
        <f t="shared" si="0"/>
        <v>2.9.4</v>
      </c>
      <c r="E16" s="19" t="s">
        <v>28</v>
      </c>
      <c r="F16" s="20" t="s">
        <v>22</v>
      </c>
      <c r="G16" s="20">
        <v>12000</v>
      </c>
      <c r="H16" s="21">
        <v>3.5</v>
      </c>
      <c r="I16" s="22">
        <f t="shared" si="1"/>
        <v>42000</v>
      </c>
    </row>
    <row r="17" spans="1:9" ht="47.25" customHeight="1" thickBot="1" x14ac:dyDescent="0.25">
      <c r="A17" s="18">
        <v>8</v>
      </c>
      <c r="B17" s="20" t="s">
        <v>48</v>
      </c>
      <c r="C17" s="27" t="s">
        <v>52</v>
      </c>
      <c r="D17" s="28" t="str">
        <f t="shared" si="0"/>
        <v>2.9.4</v>
      </c>
      <c r="E17" s="19" t="s">
        <v>33</v>
      </c>
      <c r="F17" s="20" t="s">
        <v>22</v>
      </c>
      <c r="G17" s="20">
        <v>12000</v>
      </c>
      <c r="H17" s="21">
        <v>1.5</v>
      </c>
      <c r="I17" s="22">
        <f t="shared" si="1"/>
        <v>18000</v>
      </c>
    </row>
    <row r="18" spans="1:9" ht="63.75" customHeight="1" thickBot="1" x14ac:dyDescent="0.25">
      <c r="A18" s="18">
        <v>9</v>
      </c>
      <c r="B18" s="20" t="s">
        <v>38</v>
      </c>
      <c r="C18" s="27" t="s">
        <v>52</v>
      </c>
      <c r="D18" s="28" t="str">
        <f t="shared" si="0"/>
        <v>2.9.4</v>
      </c>
      <c r="E18" s="19" t="s">
        <v>25</v>
      </c>
      <c r="F18" s="20" t="s">
        <v>22</v>
      </c>
      <c r="G18" s="20">
        <v>12000</v>
      </c>
      <c r="H18" s="21">
        <v>2.5</v>
      </c>
      <c r="I18" s="22">
        <f t="shared" si="1"/>
        <v>30000</v>
      </c>
    </row>
    <row r="19" spans="1:9" ht="45" customHeight="1" thickBot="1" x14ac:dyDescent="0.25">
      <c r="A19" s="18">
        <v>10</v>
      </c>
      <c r="B19" s="20" t="s">
        <v>54</v>
      </c>
      <c r="C19" s="27" t="s">
        <v>55</v>
      </c>
      <c r="D19" s="28" t="str">
        <f t="shared" si="0"/>
        <v>2.5.8</v>
      </c>
      <c r="E19" s="19" t="s">
        <v>34</v>
      </c>
      <c r="F19" s="20" t="s">
        <v>22</v>
      </c>
      <c r="G19" s="20">
        <v>3</v>
      </c>
      <c r="H19" s="21">
        <v>4900</v>
      </c>
      <c r="I19" s="22">
        <f t="shared" si="1"/>
        <v>14700</v>
      </c>
    </row>
    <row r="20" spans="1:9" ht="46.5" customHeight="1" thickBot="1" x14ac:dyDescent="0.25">
      <c r="A20" s="18">
        <v>11</v>
      </c>
      <c r="B20" s="20" t="s">
        <v>23</v>
      </c>
      <c r="C20" s="27" t="s">
        <v>52</v>
      </c>
      <c r="D20" s="28" t="str">
        <f t="shared" si="0"/>
        <v>2.3.4</v>
      </c>
      <c r="E20" s="19" t="s">
        <v>24</v>
      </c>
      <c r="F20" s="20" t="s">
        <v>22</v>
      </c>
      <c r="G20" s="20">
        <v>5</v>
      </c>
      <c r="H20" s="21">
        <v>1300</v>
      </c>
      <c r="I20" s="22">
        <f t="shared" si="1"/>
        <v>6500</v>
      </c>
    </row>
    <row r="21" spans="1:9" ht="45" customHeight="1" thickBot="1" x14ac:dyDescent="0.25">
      <c r="A21" s="18">
        <v>12</v>
      </c>
      <c r="B21" s="20" t="s">
        <v>46</v>
      </c>
      <c r="C21" s="27" t="s">
        <v>52</v>
      </c>
      <c r="D21" s="28" t="str">
        <f t="shared" si="0"/>
        <v>2.3.4</v>
      </c>
      <c r="E21" s="19" t="s">
        <v>31</v>
      </c>
      <c r="F21" s="20" t="s">
        <v>22</v>
      </c>
      <c r="G21" s="20">
        <v>20</v>
      </c>
      <c r="H21" s="21">
        <v>110</v>
      </c>
      <c r="I21" s="22">
        <f t="shared" si="1"/>
        <v>2200</v>
      </c>
    </row>
    <row r="22" spans="1:9" ht="31.9" customHeight="1" thickBot="1" x14ac:dyDescent="0.25">
      <c r="A22" s="18">
        <v>13</v>
      </c>
      <c r="B22" s="20" t="s">
        <v>51</v>
      </c>
      <c r="C22" s="27" t="s">
        <v>52</v>
      </c>
      <c r="D22" s="28" t="str">
        <f t="shared" si="0"/>
        <v>2.9.4</v>
      </c>
      <c r="E22" s="19" t="s">
        <v>30</v>
      </c>
      <c r="F22" s="20" t="s">
        <v>22</v>
      </c>
      <c r="G22" s="20">
        <v>12000</v>
      </c>
      <c r="H22" s="21">
        <v>2.5</v>
      </c>
      <c r="I22" s="22">
        <f t="shared" si="1"/>
        <v>30000</v>
      </c>
    </row>
    <row r="23" spans="1:9" ht="57.75" customHeight="1" thickBot="1" x14ac:dyDescent="0.25">
      <c r="A23" s="18">
        <v>14</v>
      </c>
      <c r="B23" s="20" t="s">
        <v>50</v>
      </c>
      <c r="C23" s="27" t="s">
        <v>52</v>
      </c>
      <c r="D23" s="28" t="str">
        <f t="shared" si="0"/>
        <v>2.9.4</v>
      </c>
      <c r="E23" s="19" t="s">
        <v>36</v>
      </c>
      <c r="F23" s="20" t="s">
        <v>22</v>
      </c>
      <c r="G23" s="20">
        <v>18</v>
      </c>
      <c r="H23" s="21">
        <v>9900</v>
      </c>
      <c r="I23" s="22">
        <f t="shared" si="1"/>
        <v>178200</v>
      </c>
    </row>
    <row r="24" spans="1:9" ht="41.25" customHeight="1" thickBot="1" x14ac:dyDescent="0.25">
      <c r="A24" s="18">
        <v>15</v>
      </c>
      <c r="B24" s="20" t="s">
        <v>39</v>
      </c>
      <c r="C24" s="27" t="s">
        <v>52</v>
      </c>
      <c r="D24" s="28" t="str">
        <f t="shared" si="0"/>
        <v>2.9.4</v>
      </c>
      <c r="E24" s="19" t="s">
        <v>67</v>
      </c>
      <c r="F24" s="20" t="s">
        <v>22</v>
      </c>
      <c r="G24" s="20">
        <v>5000</v>
      </c>
      <c r="H24" s="21">
        <v>9</v>
      </c>
      <c r="I24" s="22">
        <f t="shared" si="1"/>
        <v>45000</v>
      </c>
    </row>
    <row r="25" spans="1:9" ht="59.25" customHeight="1" thickBot="1" x14ac:dyDescent="0.25">
      <c r="A25" s="18">
        <v>16</v>
      </c>
      <c r="B25" s="20" t="s">
        <v>42</v>
      </c>
      <c r="C25" s="27" t="s">
        <v>52</v>
      </c>
      <c r="D25" s="28" t="str">
        <f t="shared" si="0"/>
        <v>2.9.4</v>
      </c>
      <c r="E25" s="19" t="s">
        <v>68</v>
      </c>
      <c r="F25" s="20" t="s">
        <v>22</v>
      </c>
      <c r="G25" s="20">
        <v>18000</v>
      </c>
      <c r="H25" s="21">
        <v>8</v>
      </c>
      <c r="I25" s="22">
        <f t="shared" si="1"/>
        <v>144000</v>
      </c>
    </row>
    <row r="26" spans="1:9" x14ac:dyDescent="0.2">
      <c r="I26" s="26">
        <f>SUM(I10:I25)</f>
        <v>1130600</v>
      </c>
    </row>
    <row r="27" spans="1:9" ht="13.5" thickBot="1" x14ac:dyDescent="0.25"/>
    <row r="28" spans="1:9" x14ac:dyDescent="0.2">
      <c r="B28" s="4" t="s">
        <v>57</v>
      </c>
      <c r="C28" s="5"/>
      <c r="D28" s="5"/>
      <c r="E28" s="6"/>
    </row>
    <row r="29" spans="1:9" ht="5.25" customHeight="1" x14ac:dyDescent="0.2">
      <c r="B29" s="7"/>
      <c r="C29" s="8"/>
      <c r="D29" s="8"/>
      <c r="E29" s="9"/>
    </row>
    <row r="30" spans="1:9" x14ac:dyDescent="0.2">
      <c r="B30" s="10" t="s">
        <v>14</v>
      </c>
      <c r="C30" s="8"/>
      <c r="D30" s="8"/>
      <c r="E30" s="9"/>
    </row>
    <row r="31" spans="1:9" ht="41.25" customHeight="1" x14ac:dyDescent="0.2">
      <c r="B31" s="10"/>
      <c r="C31" s="34" t="s">
        <v>58</v>
      </c>
      <c r="D31" s="34"/>
      <c r="E31" s="34"/>
    </row>
    <row r="32" spans="1:9" x14ac:dyDescent="0.2">
      <c r="B32" s="10" t="s">
        <v>15</v>
      </c>
      <c r="C32" s="8"/>
      <c r="D32" s="8"/>
      <c r="E32" s="9"/>
    </row>
    <row r="33" spans="2:5" x14ac:dyDescent="0.2">
      <c r="B33" s="11"/>
      <c r="C33" s="29" t="s">
        <v>56</v>
      </c>
      <c r="D33" s="29"/>
      <c r="E33" s="29"/>
    </row>
    <row r="34" spans="2:5" x14ac:dyDescent="0.2">
      <c r="B34" s="11"/>
      <c r="C34" s="30"/>
      <c r="D34" s="30"/>
      <c r="E34" s="30"/>
    </row>
    <row r="35" spans="2:5" x14ac:dyDescent="0.2">
      <c r="B35" s="10" t="s">
        <v>16</v>
      </c>
      <c r="C35" s="8"/>
      <c r="D35" s="8"/>
      <c r="E35" s="9"/>
    </row>
    <row r="36" spans="2:5" ht="26.25" customHeight="1" x14ac:dyDescent="0.2">
      <c r="B36" s="11"/>
      <c r="C36" s="31"/>
      <c r="D36" s="31"/>
      <c r="E36" s="31"/>
    </row>
    <row r="37" spans="2:5" x14ac:dyDescent="0.2">
      <c r="B37" s="10" t="s">
        <v>17</v>
      </c>
      <c r="C37" s="12"/>
      <c r="D37" s="12"/>
      <c r="E37" s="13"/>
    </row>
    <row r="38" spans="2:5" ht="26.25" customHeight="1" x14ac:dyDescent="0.2">
      <c r="B38" s="11"/>
      <c r="C38" s="32" t="s">
        <v>21</v>
      </c>
      <c r="D38" s="32"/>
      <c r="E38" s="32"/>
    </row>
    <row r="39" spans="2:5" x14ac:dyDescent="0.2">
      <c r="B39" s="10" t="s">
        <v>18</v>
      </c>
      <c r="C39" s="8"/>
      <c r="D39" s="8"/>
      <c r="E39" s="9"/>
    </row>
    <row r="40" spans="2:5" ht="23.25" customHeight="1" x14ac:dyDescent="0.2">
      <c r="B40" s="10"/>
      <c r="C40" s="33"/>
      <c r="D40" s="33"/>
      <c r="E40" s="33"/>
    </row>
    <row r="41" spans="2:5" x14ac:dyDescent="0.2">
      <c r="B41" s="14"/>
      <c r="C41" s="15"/>
      <c r="D41" s="15"/>
      <c r="E41" s="16"/>
    </row>
    <row r="43" spans="2:5" ht="13.5" thickBot="1" x14ac:dyDescent="0.25"/>
    <row r="44" spans="2:5" x14ac:dyDescent="0.2">
      <c r="B44" s="4" t="s">
        <v>59</v>
      </c>
      <c r="C44" s="5"/>
      <c r="D44" s="5"/>
      <c r="E44" s="6"/>
    </row>
    <row r="45" spans="2:5" x14ac:dyDescent="0.2">
      <c r="B45" s="7"/>
      <c r="C45" s="8"/>
      <c r="D45" s="8"/>
      <c r="E45" s="9"/>
    </row>
    <row r="46" spans="2:5" x14ac:dyDescent="0.2">
      <c r="B46" s="10" t="s">
        <v>14</v>
      </c>
      <c r="C46" s="8"/>
      <c r="D46" s="8"/>
      <c r="E46" s="9"/>
    </row>
    <row r="47" spans="2:5" ht="32.25" customHeight="1" x14ac:dyDescent="0.2">
      <c r="B47" s="10"/>
      <c r="C47" s="34" t="s">
        <v>64</v>
      </c>
      <c r="D47" s="34"/>
      <c r="E47" s="34"/>
    </row>
    <row r="48" spans="2:5" x14ac:dyDescent="0.2">
      <c r="B48" s="10" t="s">
        <v>15</v>
      </c>
      <c r="C48" s="8"/>
      <c r="D48" s="8"/>
      <c r="E48" s="9"/>
    </row>
    <row r="49" spans="2:5" x14ac:dyDescent="0.2">
      <c r="B49" s="11"/>
      <c r="C49" s="29" t="s">
        <v>56</v>
      </c>
      <c r="D49" s="29"/>
      <c r="E49" s="29"/>
    </row>
    <row r="50" spans="2:5" x14ac:dyDescent="0.2">
      <c r="B50" s="11"/>
      <c r="C50" s="30"/>
      <c r="D50" s="30"/>
      <c r="E50" s="30"/>
    </row>
    <row r="51" spans="2:5" x14ac:dyDescent="0.2">
      <c r="B51" s="10" t="s">
        <v>16</v>
      </c>
      <c r="C51" s="8"/>
      <c r="D51" s="8"/>
      <c r="E51" s="9"/>
    </row>
    <row r="52" spans="2:5" x14ac:dyDescent="0.2">
      <c r="B52" s="11"/>
      <c r="C52" s="31"/>
      <c r="D52" s="31"/>
      <c r="E52" s="31"/>
    </row>
    <row r="53" spans="2:5" x14ac:dyDescent="0.2">
      <c r="B53" s="10" t="s">
        <v>17</v>
      </c>
      <c r="C53" s="12"/>
      <c r="D53" s="12"/>
      <c r="E53" s="13"/>
    </row>
    <row r="54" spans="2:5" x14ac:dyDescent="0.2">
      <c r="B54" s="11"/>
      <c r="C54" s="32" t="s">
        <v>21</v>
      </c>
      <c r="D54" s="32"/>
      <c r="E54" s="32"/>
    </row>
    <row r="55" spans="2:5" x14ac:dyDescent="0.2">
      <c r="B55" s="10" t="s">
        <v>18</v>
      </c>
      <c r="C55" s="8"/>
      <c r="D55" s="8"/>
      <c r="E55" s="9"/>
    </row>
    <row r="56" spans="2:5" x14ac:dyDescent="0.2">
      <c r="B56" s="10"/>
      <c r="C56" s="33"/>
      <c r="D56" s="33"/>
      <c r="E56" s="33"/>
    </row>
    <row r="57" spans="2:5" ht="31.5" customHeight="1" thickBot="1" x14ac:dyDescent="0.25">
      <c r="B57" s="14"/>
      <c r="C57" s="15"/>
      <c r="D57" s="15"/>
      <c r="E57" s="16"/>
    </row>
    <row r="60" spans="2:5" ht="13.5" thickBot="1" x14ac:dyDescent="0.25"/>
    <row r="61" spans="2:5" x14ac:dyDescent="0.2">
      <c r="B61" s="4" t="s">
        <v>60</v>
      </c>
      <c r="C61" s="5"/>
      <c r="D61" s="5"/>
      <c r="E61" s="6"/>
    </row>
    <row r="62" spans="2:5" x14ac:dyDescent="0.2">
      <c r="B62" s="7"/>
      <c r="C62" s="8"/>
      <c r="D62" s="8"/>
      <c r="E62" s="9"/>
    </row>
    <row r="63" spans="2:5" x14ac:dyDescent="0.2">
      <c r="B63" s="10" t="s">
        <v>14</v>
      </c>
      <c r="C63" s="8"/>
      <c r="D63" s="8"/>
      <c r="E63" s="9"/>
    </row>
    <row r="64" spans="2:5" ht="33.75" customHeight="1" x14ac:dyDescent="0.2">
      <c r="B64" s="10"/>
      <c r="C64" s="34" t="s">
        <v>62</v>
      </c>
      <c r="D64" s="34"/>
      <c r="E64" s="34"/>
    </row>
    <row r="65" spans="2:5" x14ac:dyDescent="0.2">
      <c r="B65" s="10" t="s">
        <v>15</v>
      </c>
      <c r="C65" s="8"/>
      <c r="D65" s="8"/>
      <c r="E65" s="9"/>
    </row>
    <row r="66" spans="2:5" x14ac:dyDescent="0.2">
      <c r="B66" s="11"/>
      <c r="C66" s="29" t="s">
        <v>56</v>
      </c>
      <c r="D66" s="29"/>
      <c r="E66" s="29"/>
    </row>
    <row r="67" spans="2:5" x14ac:dyDescent="0.2">
      <c r="B67" s="11"/>
      <c r="C67" s="30"/>
      <c r="D67" s="30"/>
      <c r="E67" s="30"/>
    </row>
    <row r="68" spans="2:5" x14ac:dyDescent="0.2">
      <c r="B68" s="10" t="s">
        <v>16</v>
      </c>
      <c r="C68" s="8"/>
      <c r="D68" s="8"/>
      <c r="E68" s="9"/>
    </row>
    <row r="69" spans="2:5" x14ac:dyDescent="0.2">
      <c r="B69" s="11"/>
      <c r="C69" s="31"/>
      <c r="D69" s="31"/>
      <c r="E69" s="31"/>
    </row>
    <row r="70" spans="2:5" x14ac:dyDescent="0.2">
      <c r="B70" s="10" t="s">
        <v>17</v>
      </c>
      <c r="C70" s="12"/>
      <c r="D70" s="12"/>
      <c r="E70" s="13"/>
    </row>
    <row r="71" spans="2:5" x14ac:dyDescent="0.2">
      <c r="B71" s="11"/>
      <c r="C71" s="32" t="s">
        <v>21</v>
      </c>
      <c r="D71" s="32"/>
      <c r="E71" s="32"/>
    </row>
    <row r="72" spans="2:5" x14ac:dyDescent="0.2">
      <c r="B72" s="10" t="s">
        <v>18</v>
      </c>
      <c r="C72" s="8"/>
      <c r="D72" s="8"/>
      <c r="E72" s="9"/>
    </row>
    <row r="73" spans="2:5" ht="16.5" customHeight="1" x14ac:dyDescent="0.2">
      <c r="B73" s="10"/>
      <c r="C73" s="33"/>
      <c r="D73" s="33"/>
      <c r="E73" s="33"/>
    </row>
    <row r="74" spans="2:5" ht="13.5" thickBot="1" x14ac:dyDescent="0.25">
      <c r="B74" s="14"/>
      <c r="C74" s="15"/>
      <c r="D74" s="15"/>
      <c r="E74" s="16"/>
    </row>
    <row r="75" spans="2:5" ht="13.5" thickBot="1" x14ac:dyDescent="0.25"/>
    <row r="76" spans="2:5" x14ac:dyDescent="0.2">
      <c r="B76" s="4" t="s">
        <v>61</v>
      </c>
      <c r="C76" s="5"/>
      <c r="D76" s="5"/>
      <c r="E76" s="6"/>
    </row>
    <row r="77" spans="2:5" x14ac:dyDescent="0.2">
      <c r="B77" s="7"/>
      <c r="C77" s="8"/>
      <c r="D77" s="8"/>
      <c r="E77" s="9"/>
    </row>
    <row r="78" spans="2:5" x14ac:dyDescent="0.2">
      <c r="B78" s="10" t="s">
        <v>14</v>
      </c>
      <c r="C78" s="8"/>
      <c r="D78" s="8"/>
      <c r="E78" s="9"/>
    </row>
    <row r="79" spans="2:5" ht="33" customHeight="1" x14ac:dyDescent="0.2">
      <c r="B79" s="10"/>
      <c r="C79" s="34" t="s">
        <v>63</v>
      </c>
      <c r="D79" s="34"/>
      <c r="E79" s="34"/>
    </row>
    <row r="80" spans="2:5" x14ac:dyDescent="0.2">
      <c r="B80" s="10" t="s">
        <v>15</v>
      </c>
      <c r="C80" s="8"/>
      <c r="D80" s="8"/>
      <c r="E80" s="9"/>
    </row>
    <row r="81" spans="2:5" x14ac:dyDescent="0.2">
      <c r="B81" s="11"/>
      <c r="C81" s="29" t="s">
        <v>56</v>
      </c>
      <c r="D81" s="29"/>
      <c r="E81" s="29"/>
    </row>
    <row r="82" spans="2:5" x14ac:dyDescent="0.2">
      <c r="B82" s="11"/>
      <c r="C82" s="30"/>
      <c r="D82" s="30"/>
      <c r="E82" s="30"/>
    </row>
    <row r="83" spans="2:5" x14ac:dyDescent="0.2">
      <c r="B83" s="10" t="s">
        <v>16</v>
      </c>
      <c r="C83" s="8"/>
      <c r="D83" s="8"/>
      <c r="E83" s="9"/>
    </row>
    <row r="84" spans="2:5" x14ac:dyDescent="0.2">
      <c r="B84" s="11"/>
      <c r="C84" s="31"/>
      <c r="D84" s="31"/>
      <c r="E84" s="31"/>
    </row>
    <row r="85" spans="2:5" x14ac:dyDescent="0.2">
      <c r="B85" s="10" t="s">
        <v>17</v>
      </c>
      <c r="C85" s="12"/>
      <c r="D85" s="12"/>
      <c r="E85" s="13"/>
    </row>
    <row r="86" spans="2:5" x14ac:dyDescent="0.2">
      <c r="B86" s="11"/>
      <c r="C86" s="32" t="s">
        <v>21</v>
      </c>
      <c r="D86" s="32"/>
      <c r="E86" s="32"/>
    </row>
    <row r="87" spans="2:5" x14ac:dyDescent="0.2">
      <c r="B87" s="10" t="s">
        <v>18</v>
      </c>
      <c r="C87" s="8"/>
      <c r="D87" s="8"/>
      <c r="E87" s="9"/>
    </row>
    <row r="88" spans="2:5" x14ac:dyDescent="0.2">
      <c r="B88" s="10"/>
      <c r="C88" s="33"/>
      <c r="D88" s="33"/>
      <c r="E88" s="33"/>
    </row>
    <row r="89" spans="2:5" ht="13.5" thickBot="1" x14ac:dyDescent="0.25">
      <c r="B89" s="14"/>
      <c r="C89" s="15"/>
      <c r="D89" s="15"/>
      <c r="E89" s="16"/>
    </row>
    <row r="91" spans="2:5" ht="13.5" thickBot="1" x14ac:dyDescent="0.25"/>
    <row r="92" spans="2:5" x14ac:dyDescent="0.2">
      <c r="B92" s="4" t="s">
        <v>65</v>
      </c>
      <c r="C92" s="5"/>
      <c r="D92" s="5"/>
      <c r="E92" s="6"/>
    </row>
    <row r="93" spans="2:5" x14ac:dyDescent="0.2">
      <c r="B93" s="7"/>
      <c r="C93" s="8"/>
      <c r="D93" s="8"/>
      <c r="E93" s="9"/>
    </row>
    <row r="94" spans="2:5" x14ac:dyDescent="0.2">
      <c r="B94" s="10" t="s">
        <v>14</v>
      </c>
      <c r="C94" s="8"/>
      <c r="D94" s="8"/>
      <c r="E94" s="9"/>
    </row>
    <row r="95" spans="2:5" ht="24.75" customHeight="1" x14ac:dyDescent="0.2">
      <c r="B95" s="10"/>
      <c r="C95" s="34" t="s">
        <v>70</v>
      </c>
      <c r="D95" s="34"/>
      <c r="E95" s="34"/>
    </row>
    <row r="96" spans="2:5" x14ac:dyDescent="0.2">
      <c r="B96" s="10" t="s">
        <v>15</v>
      </c>
      <c r="C96" s="8"/>
      <c r="D96" s="8"/>
      <c r="E96" s="9"/>
    </row>
    <row r="97" spans="2:5" x14ac:dyDescent="0.2">
      <c r="B97" s="11"/>
      <c r="C97" s="29" t="s">
        <v>56</v>
      </c>
      <c r="D97" s="29"/>
      <c r="E97" s="29"/>
    </row>
    <row r="98" spans="2:5" x14ac:dyDescent="0.2">
      <c r="B98" s="11"/>
      <c r="C98" s="30"/>
      <c r="D98" s="30"/>
      <c r="E98" s="30"/>
    </row>
    <row r="99" spans="2:5" x14ac:dyDescent="0.2">
      <c r="B99" s="10" t="s">
        <v>16</v>
      </c>
      <c r="C99" s="8"/>
      <c r="D99" s="8"/>
      <c r="E99" s="9"/>
    </row>
    <row r="100" spans="2:5" x14ac:dyDescent="0.2">
      <c r="B100" s="11"/>
      <c r="C100" s="31"/>
      <c r="D100" s="31"/>
      <c r="E100" s="31"/>
    </row>
    <row r="101" spans="2:5" x14ac:dyDescent="0.2">
      <c r="B101" s="10" t="s">
        <v>17</v>
      </c>
      <c r="C101" s="12"/>
      <c r="D101" s="12"/>
      <c r="E101" s="13"/>
    </row>
    <row r="102" spans="2:5" x14ac:dyDescent="0.2">
      <c r="B102" s="11"/>
      <c r="C102" s="32" t="s">
        <v>21</v>
      </c>
      <c r="D102" s="32"/>
      <c r="E102" s="32"/>
    </row>
    <row r="103" spans="2:5" x14ac:dyDescent="0.2">
      <c r="B103" s="10" t="s">
        <v>18</v>
      </c>
      <c r="C103" s="8"/>
      <c r="D103" s="8"/>
      <c r="E103" s="9"/>
    </row>
    <row r="104" spans="2:5" x14ac:dyDescent="0.2">
      <c r="B104" s="10"/>
      <c r="C104" s="33"/>
      <c r="D104" s="33"/>
      <c r="E104" s="33"/>
    </row>
    <row r="105" spans="2:5" ht="13.5" thickBot="1" x14ac:dyDescent="0.25">
      <c r="B105" s="14"/>
      <c r="C105" s="15"/>
      <c r="D105" s="15"/>
      <c r="E105" s="16"/>
    </row>
    <row r="107" spans="2:5" ht="13.5" thickBot="1" x14ac:dyDescent="0.25"/>
    <row r="108" spans="2:5" x14ac:dyDescent="0.2">
      <c r="B108" s="4" t="s">
        <v>66</v>
      </c>
      <c r="C108" s="5"/>
      <c r="D108" s="5"/>
      <c r="E108" s="6"/>
    </row>
    <row r="109" spans="2:5" x14ac:dyDescent="0.2">
      <c r="B109" s="7"/>
      <c r="C109" s="8"/>
      <c r="D109" s="8"/>
      <c r="E109" s="9"/>
    </row>
    <row r="110" spans="2:5" x14ac:dyDescent="0.2">
      <c r="B110" s="10" t="s">
        <v>14</v>
      </c>
      <c r="C110" s="8"/>
      <c r="D110" s="8"/>
      <c r="E110" s="9"/>
    </row>
    <row r="111" spans="2:5" ht="24" customHeight="1" x14ac:dyDescent="0.2">
      <c r="B111" s="10"/>
      <c r="C111" s="34" t="s">
        <v>69</v>
      </c>
      <c r="D111" s="34"/>
      <c r="E111" s="34"/>
    </row>
    <row r="112" spans="2:5" x14ac:dyDescent="0.2">
      <c r="B112" s="10" t="s">
        <v>15</v>
      </c>
      <c r="C112" s="8"/>
      <c r="D112" s="8"/>
      <c r="E112" s="9"/>
    </row>
    <row r="113" spans="2:5" x14ac:dyDescent="0.2">
      <c r="B113" s="11"/>
      <c r="C113" s="29" t="s">
        <v>56</v>
      </c>
      <c r="D113" s="29"/>
      <c r="E113" s="29"/>
    </row>
    <row r="114" spans="2:5" x14ac:dyDescent="0.2">
      <c r="B114" s="11"/>
      <c r="C114" s="30"/>
      <c r="D114" s="30"/>
      <c r="E114" s="30"/>
    </row>
    <row r="115" spans="2:5" x14ac:dyDescent="0.2">
      <c r="B115" s="10" t="s">
        <v>16</v>
      </c>
      <c r="C115" s="8"/>
      <c r="D115" s="8"/>
      <c r="E115" s="9"/>
    </row>
    <row r="116" spans="2:5" x14ac:dyDescent="0.2">
      <c r="B116" s="11"/>
      <c r="C116" s="31"/>
      <c r="D116" s="31"/>
      <c r="E116" s="31"/>
    </row>
    <row r="117" spans="2:5" x14ac:dyDescent="0.2">
      <c r="B117" s="10" t="s">
        <v>17</v>
      </c>
      <c r="C117" s="12"/>
      <c r="D117" s="12"/>
      <c r="E117" s="13"/>
    </row>
    <row r="118" spans="2:5" x14ac:dyDescent="0.2">
      <c r="B118" s="11"/>
      <c r="C118" s="32" t="s">
        <v>21</v>
      </c>
      <c r="D118" s="32"/>
      <c r="E118" s="32"/>
    </row>
    <row r="119" spans="2:5" x14ac:dyDescent="0.2">
      <c r="B119" s="10" t="s">
        <v>18</v>
      </c>
      <c r="C119" s="8"/>
      <c r="D119" s="8"/>
      <c r="E119" s="9"/>
    </row>
    <row r="120" spans="2:5" x14ac:dyDescent="0.2">
      <c r="B120" s="10"/>
      <c r="C120" s="33"/>
      <c r="D120" s="33"/>
      <c r="E120" s="33"/>
    </row>
    <row r="121" spans="2:5" ht="13.5" thickBot="1" x14ac:dyDescent="0.25">
      <c r="B121" s="14"/>
      <c r="C121" s="15"/>
      <c r="D121" s="15"/>
      <c r="E121" s="16"/>
    </row>
  </sheetData>
  <sortState xmlns:xlrd2="http://schemas.microsoft.com/office/spreadsheetml/2017/richdata2" ref="B10:I25">
    <sortCondition ref="E10:E25"/>
  </sortState>
  <mergeCells count="43">
    <mergeCell ref="B2:H2"/>
    <mergeCell ref="A4:B4"/>
    <mergeCell ref="C4:E4"/>
    <mergeCell ref="A5:B5"/>
    <mergeCell ref="C5:E5"/>
    <mergeCell ref="C36:E36"/>
    <mergeCell ref="C38:E38"/>
    <mergeCell ref="C40:E40"/>
    <mergeCell ref="A6:B6"/>
    <mergeCell ref="A7:B7"/>
    <mergeCell ref="C31:E31"/>
    <mergeCell ref="C33:E33"/>
    <mergeCell ref="C34:E34"/>
    <mergeCell ref="C47:E47"/>
    <mergeCell ref="C49:E49"/>
    <mergeCell ref="C50:E50"/>
    <mergeCell ref="C52:E52"/>
    <mergeCell ref="C54:E54"/>
    <mergeCell ref="C56:E56"/>
    <mergeCell ref="C64:E64"/>
    <mergeCell ref="C66:E66"/>
    <mergeCell ref="C67:E67"/>
    <mergeCell ref="C69:E69"/>
    <mergeCell ref="C71:E71"/>
    <mergeCell ref="C73:E73"/>
    <mergeCell ref="C79:E79"/>
    <mergeCell ref="C81:E81"/>
    <mergeCell ref="C82:E82"/>
    <mergeCell ref="C84:E84"/>
    <mergeCell ref="C86:E86"/>
    <mergeCell ref="C88:E88"/>
    <mergeCell ref="C95:E95"/>
    <mergeCell ref="C97:E97"/>
    <mergeCell ref="C98:E98"/>
    <mergeCell ref="C100:E100"/>
    <mergeCell ref="C102:E102"/>
    <mergeCell ref="C104:E104"/>
    <mergeCell ref="C111:E111"/>
    <mergeCell ref="C113:E113"/>
    <mergeCell ref="C114:E114"/>
    <mergeCell ref="C116:E116"/>
    <mergeCell ref="C118:E118"/>
    <mergeCell ref="C120:E12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2021-08-10T12:04:48Z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