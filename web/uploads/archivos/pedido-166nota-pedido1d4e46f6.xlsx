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293948BC-423E-4268-A410-6A9CBF2C880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NotaPedido!$A$1:$K$103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H32" i="1" l="1"/>
  <c r="H100" i="1" l="1"/>
  <c r="H99" i="1"/>
  <c r="H98" i="1"/>
  <c r="H97" i="1"/>
  <c r="H96" i="1"/>
  <c r="H95" i="1"/>
  <c r="H94" i="1"/>
  <c r="H93" i="1"/>
  <c r="H92" i="1"/>
  <c r="H91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J16" i="2" l="1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5" i="2"/>
  <c r="B16" i="2"/>
  <c r="B13" i="2"/>
  <c r="B14" i="2"/>
  <c r="J13" i="2" l="1"/>
  <c r="J14" i="2"/>
  <c r="J15" i="2"/>
  <c r="I13" i="2"/>
  <c r="I14" i="2"/>
  <c r="I15" i="2"/>
  <c r="A26" i="3" l="1"/>
  <c r="A10" i="3"/>
  <c r="C15" i="2"/>
  <c r="C14" i="2"/>
  <c r="C13" i="2"/>
  <c r="K12" i="2"/>
  <c r="J12" i="2"/>
  <c r="I12" i="2"/>
  <c r="C12" i="2"/>
  <c r="B12" i="2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103" i="2" l="1"/>
  <c r="Q15" i="3" s="1"/>
  <c r="I97" i="1"/>
  <c r="I98" i="1"/>
  <c r="I99" i="1"/>
  <c r="I100" i="1"/>
  <c r="I96" i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<sst xmlns="http://schemas.openxmlformats.org/spreadsheetml/2006/main" count="1432" uniqueCount="453">
  <si>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</si>
  <si>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</si>
  <si>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</si>
  <si>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</si>
  <si>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</si>
  <si>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</si>
  <si>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</si>
  <si>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</si>
  <si>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</si>
  <si>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</si>
  <si>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</si>
  <si>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</si>
  <si>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</si>
  <si>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</si>
  <si>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</si>
  <si>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</si>
  <si>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</si>
  <si>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</si>
  <si>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</si>
  <si>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</si>
  <si>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</si>
  <si>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</si>
  <si>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</si>
  <si>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</si>
  <si>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</si>
  <si>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</si>
  <si>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</si>
  <si>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</si>
  <si>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</si>
  <si>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</si>
  <si>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</si>
  <si>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</si>
  <si>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</si>
  <si>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</si>
  <si>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</si>
  <si>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</si>
  <si>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</si>
  <si>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</si>
  <si>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</si>
  <si>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</si>
  <si>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</si>
  <si>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</si>
  <si>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</si>
  <si>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</si>
  <si>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</si>
  <si>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</si>
  <si>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</si>
  <si>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</si>
  <si>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</si>
  <si>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</si>
  <si>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</si>
  <si>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</si>
  <si>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</si>
  <si>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</si>
  <si>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</si>
  <si>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</si>
  <si>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</si>
  <si>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</si>
  <si>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</si>
  <si>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</si>
  <si>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</si>
  <si>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</si>
  <si>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3.1</t>
  </si>
  <si>
    <t>1.1</t>
  </si>
  <si>
    <t>BOTELLA</t>
  </si>
  <si>
    <t>PAQUETES</t>
  </si>
  <si>
    <t>LITROS</t>
  </si>
  <si>
    <t>CAJAS</t>
  </si>
  <si>
    <t>BOLSAS</t>
  </si>
  <si>
    <t>KG</t>
  </si>
  <si>
    <t>LATAS</t>
  </si>
  <si>
    <t>SACHET</t>
  </si>
  <si>
    <t>CAJON</t>
  </si>
  <si>
    <t>UNIDAD</t>
  </si>
  <si>
    <t>ATADOS</t>
  </si>
  <si>
    <t>QUESO FRESCO CUARTIROLO BUENA CALIDAD</t>
  </si>
  <si>
    <t>QUESO BARRA BUENA CALIDAD</t>
  </si>
  <si>
    <t>JAMON COCIDO</t>
  </si>
  <si>
    <t>RICOTTA DESCREMADA</t>
  </si>
  <si>
    <t>PLANCHAS</t>
  </si>
  <si>
    <t>TAPAS PARA TARTA TIPO PASCUALINA C/SEPARADORES</t>
  </si>
  <si>
    <t>TAPAS PARA EMPANADAS CRIOLLAS P/HORNO BOLSA X 12 UNIDADES</t>
  </si>
  <si>
    <t>Servicio de Nutrición</t>
  </si>
  <si>
    <t>Alimentos para Personas</t>
  </si>
  <si>
    <t xml:space="preserve">Según necesidad de servicio - Servicio de Nutricion </t>
  </si>
  <si>
    <t xml:space="preserve">90 dias habiles </t>
  </si>
  <si>
    <t>ACEITES COMESTIBLES; TIPO: MEZCLA, PRESENTACION: ENVASE X 900 CM3, MATERIAL ENVASE: PLASTICO 1 (PET), ELEM. TRANSPORTE: SIN, MATERIAL ELEM. TRANSPORTE : SIN, LIBRE DE GLUTEN: SI</t>
  </si>
  <si>
    <t>2.1.1-439.60</t>
  </si>
  <si>
    <t>ALIMENTOS</t>
  </si>
  <si>
    <t>AZUCARES; TIPO: "A" COMUN, ESTADO: MOLIDA, PESO: 1 Kg, MATERIAL ENVASE: PLASTICO, CERTIFICADO FORESTAL (GFS): SIN, ELEM. TRANSPORTE: SIN, MATERIAL ELEM. TRANSPORTE: SIN</t>
  </si>
  <si>
    <t>2.1.1-481.38</t>
  </si>
  <si>
    <t>2.1.1-705.116</t>
  </si>
  <si>
    <t>TE; SAQUITOS 2G P/CAJA: 50, PESO: SIN VALOR, TIPO: SIN VALOR, PRESENTACION: EN SAQUITOS</t>
  </si>
  <si>
    <t>2.1.1-511.8</t>
  </si>
  <si>
    <t>YERBAS; PALO: CON, PESO: 1 Kg, MATERIAL ENVASE : PAPEL, CERTIFICADO FORESTAL (GFS): CON, ELEM. TRANSPORTE: SIN, MATERIAL ELEM. TRANSPORTE: SIN, LIBRE DE GLUTEN: SI</t>
  </si>
  <si>
    <t>2.1.1-454.25</t>
  </si>
  <si>
    <t>SEMOLAS; TIPO: VITINA, PRESENTACION: BOLSA, PESO: 500 GR, MATERIAL ENVASE: PLASTICO 1 (PET), CERTICADO FORESTAL (GFS): SIN, LIBRE DE GLUTEN: NO</t>
  </si>
  <si>
    <t>2.1.1-2126.13</t>
  </si>
  <si>
    <t>FECULA DE MAIZ; ENVASE: BOLSA, PESO: 500 GR, LIBRE DE GLUTEN: SI</t>
  </si>
  <si>
    <t>2.1.1-613.9</t>
  </si>
  <si>
    <t>LEGUMBRES; VARIEDAD: LENTEJAS SECAS, ESTADO: SECO, PRESENTACION: BOLSA, PESO: 500 GR</t>
  </si>
  <si>
    <t>2.1.1-6547.57</t>
  </si>
  <si>
    <t>SAL DE MESA; CONSISTENCIA: FINA, PESO: 500 GR, TIPO: SIN VALOR, ENVASE: PAQUETE</t>
  </si>
  <si>
    <t>2.1.1-514.2</t>
  </si>
  <si>
    <t>SAL DE MESA; CONSISTENCIA: GRUESA, PESO: 50 Kg, TIPO: SIN VALOR, ENVASE: BOLSA</t>
  </si>
  <si>
    <t>2.1.1-514.11</t>
  </si>
  <si>
    <t>HARINAS; TIPO: LEUDANTE, PRESENTACION: ENVASE X 1 Kg, MATERIAL ENVASE: PAPEL, CERTICADO FORESTAL (GFS): SIN, ELEM. TRANSPORTE: PALLET RETORNABLE, MATERIAL ELEM. TRANSPORTE: MADERA</t>
  </si>
  <si>
    <t>2.1.1-482.61</t>
  </si>
  <si>
    <t>2.1.1-2868.53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</si>
  <si>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</si>
  <si>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2.1.1-2868.55</t>
  </si>
  <si>
    <t>HARINAS; TIPO: MAIZ, PRESENTACION: ENVASE X 1 Kg, MATERIAL ENVASE: PAPEL, CERTICADO FORESTAL (GFS): SIN, ELEM. TRANSPORTE: SIN, MATERIAL ELEM. TRANSPORTE: SIN, LIBRE DE GLUTEN: NO</t>
  </si>
  <si>
    <t>2.1.1-482.69</t>
  </si>
  <si>
    <t>MATE COCIDO; ENVASE: CAJA CARTON, PESO X SAQ.: 3, PRESENTACION: ENSOBRADO, SAQUITOS P/CAJA: 50</t>
  </si>
  <si>
    <t>2.1.1-706.4</t>
  </si>
  <si>
    <t>EDULCORANTES; PRESENTACION: LIQUIDO, ENVASE: BOTELLA PLASTICA, CONTENIDO: 500 CM3</t>
  </si>
  <si>
    <t>2.1.1-595.2</t>
  </si>
  <si>
    <t>2.1.1-2868.86</t>
  </si>
  <si>
    <t>HARINAS; TIPO: DE TRIGO 000, PRESENTACION: ENVASE X 1 Kg, MATERIAL ENVASE: PAPEL, CERTICADO FORESTAL (GFS): SIN, ELEM. TRANSPORTE: SIN, MATERIAL ELEM. TRANSPORTE: SIN, LIBRE DE GLUTEN: NO</t>
  </si>
  <si>
    <t>2.1.1-482.80</t>
  </si>
  <si>
    <t>ARROZ; TIPO GRANO: DOBLE, TIPO: BLANCO, PROCESO: PARBOLIZADO, PRESENTACION: ENVASE X 1 Kg, MATERIAL ENVASE: CARTON, CERTIFICADO FORESTAL (GFS): SIN, ELEM. TRANSPORTE: SIN, MATERIAL ELEM. TRANSPORTE: SIN</t>
  </si>
  <si>
    <t>2.1.1-435.38</t>
  </si>
  <si>
    <t>GELATINAS; ENVASE: CAJA DE CARTON, PESO: 30 GR, TIPO: BAJAS CALORIAS, SABOR: FRUTILLA</t>
  </si>
  <si>
    <t>2.1.1-510.5</t>
  </si>
  <si>
    <t>2.1.1-435.50</t>
  </si>
  <si>
    <t>CEREALES; TIPO: TRIGO BURGOL, PRESENTACION: ENVASE X 1 Kg</t>
  </si>
  <si>
    <t>2.1.1-5917.8</t>
  </si>
  <si>
    <t>FRUTAS; VARIEDAD: CIRUELA ( SIN CAROZO ), ESTADO: DESECADA, PRESENTACION: ENVASE X 10 Kg, PESO: 10 Kg</t>
  </si>
  <si>
    <t>ENVASE</t>
  </si>
  <si>
    <t>2.1.1-6539.114</t>
  </si>
  <si>
    <t>FRUTAS; VARIEDAD: DURAZNO ( SIN CAROZO ), ESTADO: DESECADA, PRESENTACION: ENVASE X 5 Kg, ELEM. TRANSPORTE: SIN, MATERIAL ELEM. TRANSPORTE: SIN</t>
  </si>
  <si>
    <t>2.1.1-6539.178</t>
  </si>
  <si>
    <t>FLANES; PESO: 60 GR, ENVASE: CAJA CARTON, ESTADO PREPARACION: CON COCCION, SABOR: VAINILLA, TIPO: SIN VALOR, PRESENTACION: 60 GR</t>
  </si>
  <si>
    <t>2.1.1-513.9</t>
  </si>
  <si>
    <t>VINAGRES; TIPO: VINO, PRESENTACION: ENVASE X 1 L, MATERIAL ENVASE: PLASTICO 1 (PET), LIBRE DE GLUTEN: NO</t>
  </si>
  <si>
    <t>2.1.1-519.27</t>
  </si>
  <si>
    <t>AVENAS; TIPO: ARROLLADA, ESTADO: NATURAL, PRESENTACION: BOLSA, PESO: 1 Kg</t>
  </si>
  <si>
    <t>2.1.1-2124.3</t>
  </si>
  <si>
    <t>LEGUMBRES; VARIEDAD: ARVEJAS, ESTADO: CONSERVA, PRESENTACION: LATA, PESO: 350 GR, MATERIAL ENVASE: METAL, ELEM. TRANSPORTE: SIN, MATERIAL ELEM. TRANSPORTE: SIN, LIBRE DE GLUTEN: NO</t>
  </si>
  <si>
    <t>2.1.1-6547.84</t>
  </si>
  <si>
    <t>CONSERVAS PESCADO Y FRUTOS MAR; TIPO: ATUN, ESTADO: AL NATURAL, PESO: 170 GR, ENVASE: LATA, ELEM. TRANSPORTE: SIN, MATERIAL ELEM. TRANSPORTE: SIN</t>
  </si>
  <si>
    <t>2.1.1-708.43</t>
  </si>
  <si>
    <t>VERDURAS Y HORTALIZAS; VARIEDAD: TOMATE PERITA, ESTADO: NATURAL, PRESENTACION: LATA, PESO: 380 GR</t>
  </si>
  <si>
    <t>2.1.1-6546.183</t>
  </si>
  <si>
    <t>FRUTAS; VARIEDAD: DURAZNO, ESTADO: CONSERVA, PRESENTACION: ENVASE X 800 GR, PESO: 800 GR</t>
  </si>
  <si>
    <t>2.1.1-6539.46</t>
  </si>
  <si>
    <t>CONSERVAS DE FRUTAS; VARIEDAD: COCTEL, ENVASE: LATA, PESO: 800 GR, ELEM. TRANSPORTE: SIN, MATERIAL ELEM. TRANSPORTE: SIN, LIBRE DE GLUTEN: NO</t>
  </si>
  <si>
    <t>2.1.1-597.41</t>
  </si>
  <si>
    <t>JARDINERA; PRESENTACION: ENVASE X 350 GR, PESO: SIN VALOR, MATERIAL ENVASE: METAL, ELEM. TRANSPORTE: SIN, MATERIAL ELEM. TRANSPORTE: SIN</t>
  </si>
  <si>
    <t>2.1.1-6558.8</t>
  </si>
  <si>
    <t>ADEREZOS; TIPO: MAYONESA, ENVASE: BOLSA, CONTENIDO: 2,9 Kg, PRESENTACION: ENVASE X 2,9 Kg</t>
  </si>
  <si>
    <t>2.1.1-438.37</t>
  </si>
  <si>
    <t>VERDURAS Y HORTALIZAS; VARIEDAD: CHOCLO, ESTADO: GRANO, PRESENTACION: LATA, PESO: 350 GR</t>
  </si>
  <si>
    <t>2.1.1-6546.269</t>
  </si>
  <si>
    <t>VERDURAS Y HORTALIZAS; VARIEDAD: TOMATE, ESTADO: PURE NATURAL, PRESENTACION: CAJA, PESO: 500 GR</t>
  </si>
  <si>
    <t>2.1.1-6546.81</t>
  </si>
  <si>
    <t>DULCES; TIPO: DE MEMBRILLO, PRESENTACION: LATA, PESO: 5 Kg</t>
  </si>
  <si>
    <t>DULCES; TIPO: DE BATATA, PRESENTACION: LATA, PESO: 5</t>
  </si>
  <si>
    <t>2.1.1-2113.1</t>
  </si>
  <si>
    <t>2.1.1-2113.2</t>
  </si>
  <si>
    <t>VERDURAS Y HORTALIZAS; VARIEDAD: CHOCLO, ESTADO: CREMOSO, PRESENTACION: LATA, PESO: 350 GR, ELEM. TRANSPORTE: SIN, MATERIAL ELEM. TRANSPORTE: SIN, LIBRE DE GLUTEN: NO</t>
  </si>
  <si>
    <t>2.1.1-6546.336</t>
  </si>
  <si>
    <t>ESPECIAS; TIPO: OREGANO, PRESENTACION: BOLSA DE 1 Kg</t>
  </si>
  <si>
    <t>2.1.1-489.66</t>
  </si>
  <si>
    <t>ESPECIAS; TIPO: PIMENTON, PRESENTACION: BOLSA DE 1 Kg</t>
  </si>
  <si>
    <t>2.1.1-489.67</t>
  </si>
  <si>
    <t>ESPECIAS; TIPO: NUEZ MOSCADA, PRESENTACION: POLVO</t>
  </si>
  <si>
    <t>2.1.1-489.53</t>
  </si>
  <si>
    <t>ESPECIAS; TIPO: PIMIENTA BLANCA, PRESENTACION: ENVASE X 1 Kg</t>
  </si>
  <si>
    <t>2.1.1-489.132</t>
  </si>
  <si>
    <t>AVES; ESPECIE: POLLO, EVISCERADO: SIN MENUDOS, PRESENTACION: ENTERO, TIPO: POLLO</t>
  </si>
  <si>
    <t>2.1.1-621.7</t>
  </si>
  <si>
    <t>AVES; ESPECIE: PECHUGA DE POLLO, PRESENTACION: BOLSA X 2 Kg, EVISCERADO: SIN VALOR, TIPO: PECHUGA DE POLLO</t>
  </si>
  <si>
    <t>2.1.1-621.11</t>
  </si>
  <si>
    <t>PESCADOS Y FRUTOS CONGELADOS; TIPO: FILET DE MERLUZA, ENVASE: POLIESTIRENO, PRESENTACION: ENVASE X 1 Kg, ELEM. TRANSPORTE: SIN, MATERIAL ELEM. TRANSPORTE: SIN</t>
  </si>
  <si>
    <t>2.1.1-590.27</t>
  </si>
  <si>
    <t>PANES; TIPO: MIÑON, PRESENTACION: GRANEL</t>
  </si>
  <si>
    <t>2.1.1-669.27</t>
  </si>
  <si>
    <t>PANES; PRESENTACION: GRANEL, TIPO: SALVADO</t>
  </si>
  <si>
    <t>2.1.1-669.1</t>
  </si>
  <si>
    <t>PANES; TIPO: RALLADO, PRESENTACION: BOLSA X 5 Kg</t>
  </si>
  <si>
    <t>PREPIZZA; GUSTO: TOMATE, TAMAÑO: MEDIANO</t>
  </si>
  <si>
    <t>2.1.1-2430.1</t>
  </si>
  <si>
    <t>2.1.1-669.37</t>
  </si>
  <si>
    <t>GALLETITAS; VARIEDAD: VAINILLA, RELLENO: SIN, PRESENTACION: ENVASE X 792 GR, ELEM. TRANSPORTE: SIN, MATERIAL ELEM. TRANSPORTE: SIN, LIBRE DE GLUTEN: NO</t>
  </si>
  <si>
    <t>2.1.1-788.229</t>
  </si>
  <si>
    <t>TORTAS; TIPO: PIONONO, PESO: 180 GR</t>
  </si>
  <si>
    <t>2.1.1-518.32</t>
  </si>
  <si>
    <t>VERDURAS Y HORTALIZAS; PRESENTACION: GRANEL, VARIEDAD: ZANAHORIA, ESTADO: NATURAL, PESO: SIN VALOR</t>
  </si>
  <si>
    <t>2.1.1-6546.166</t>
  </si>
  <si>
    <t>VERDURAS Y HORTALIZAS; VARIEDAD: ZAPALLITO REDONDO, ESTADO: NATURAL, PRESENTACION: CAJON, PESO: SIN VALOR</t>
  </si>
  <si>
    <t>2.1.1-6546.151</t>
  </si>
  <si>
    <t>VERDURAS Y HORTALIZAS; ESTADO: NATURAL, PRESENTACION: GRANEL, VARIEDAD: PAPA BLANCA, PESO: SIN VALOR</t>
  </si>
  <si>
    <t>2.1.1-6546.100</t>
  </si>
  <si>
    <t>VERDURAS Y HORTALIZAS; VARIEDAD: CHAUCHA, PRESENTACION: GRANEL, ESTADO: NATURAL, PESO: SIN VALOR</t>
  </si>
  <si>
    <t>2.1.1-6546.49</t>
  </si>
  <si>
    <t>VERDURAS Y HORTALIZAS; VARIEDAD: TOMATE REDONDO, ESTADO: NATURAL, PRESENTACION: GRANEL, PESO: SIN VALOR</t>
  </si>
  <si>
    <t>2.1.1-6546.2</t>
  </si>
  <si>
    <t>VERDURAS Y HORTALIZAS; VARIEDAD: ACELGA, ESTADO: EN HOJA, PRESENTACION: ATADO, PESO: SIN VALOR</t>
  </si>
  <si>
    <t>2.1.1-6546.34</t>
  </si>
  <si>
    <t>VERDURAS Y HORTALIZAS; VARIEDAD: CEBOLLA, ESTADO: NATURAL, PRESENTACION: BOLSA, PESO: 25 Kg</t>
  </si>
  <si>
    <t>2.1.1-6546.39</t>
  </si>
  <si>
    <t>VERDURAS Y HORTALIZAS; VARIEDAD: CEBOLLA DE VERDEO, ESTADO: NATURAL, PRESENTACION: GRANEL, PESO: SIN VALOR</t>
  </si>
  <si>
    <t>2.1.1-6546.47</t>
  </si>
  <si>
    <t>VERDURAS Y HORTALIZAS; PESO: SIN VALOR, VARIEDAD: REMOLACHA, ESTADO: NATURAL, PRESENTACION: GRANEL</t>
  </si>
  <si>
    <t>2.1.1-6546.124</t>
  </si>
  <si>
    <t>VERDURAS Y HORTALIZAS; VARIEDAD: ZAPALLO CRIOLLO, ESTADO: NATURAL, PRESENTACION: UNIDAD, PESO: SIN VALOR</t>
  </si>
  <si>
    <t>2.1.1-6546.162</t>
  </si>
  <si>
    <t>VERDURAS Y HORTALIZAS; VARIEDAD: PEREJIL, ESTADO: NATURAL, PRESENTACION: GRANEL, PESO: SIN VALOR</t>
  </si>
  <si>
    <t>2.1.1-6546.132</t>
  </si>
  <si>
    <t>VERDURAS Y HORTALIZAS; VARIEDAD: MORRON VERDE, ESTADO: NATURAL, PRESENTACION: GRANEL, PESO: SIN VALOR</t>
  </si>
  <si>
    <t>2.1.1-6546.95</t>
  </si>
  <si>
    <t>VERDURAS Y HORTALIZAS; VARIEDAD: LECHUGA CRIOLLA, ESTADO: NATURAL, PRESENTACION: UNIDAD, PESO: SIN VALOR</t>
  </si>
  <si>
    <t>2.1.1-6546.83</t>
  </si>
  <si>
    <t>FRUTAS; ESTADO: NATURAL, VARIEDAD: MANZANA RED DELICIOSA, PRESENTACION: CAJON, PESO: SIN VALOR</t>
  </si>
  <si>
    <t>2.1.1-6539.20</t>
  </si>
  <si>
    <t>FRUTAS; VARIEDAD: BANANA, PRESENTACION: CAJON, ESTADO: NATURAL, PESO: SIN VALOR</t>
  </si>
  <si>
    <t>2.1.1-6539.30</t>
  </si>
  <si>
    <t>FRUTAS; VARIEDAD: NARANJA ESPECIAL, ESTADO: NATURAL, PRESENTACION: CAJON, PESO: SIN VALOR</t>
  </si>
  <si>
    <t>2.1.1-6539.8</t>
  </si>
  <si>
    <t>FRUTAS; VARIEDAD: PERA AMARILLA, ESTADO: NATURAL, PRESENTACION: CAJON, PESO: SIN VALOR</t>
  </si>
  <si>
    <t>2.1.1-6539.32</t>
  </si>
  <si>
    <t>FRUTAS; VARIEDAD: LIMON, ESTADO: NATURAL, PRESENTACION: CAJON, ELEM. TRANSPORTE: SIN, MATERIAL ELEM. TRANSPORTE: SIN, ORGANICO: NO</t>
  </si>
  <si>
    <t>2.1.1-6539.187</t>
  </si>
  <si>
    <t>HUEVO DE GALLINA; COLOR: COLOR, PRESENTACION: 60, TAMAÑO: MEDIANOS</t>
  </si>
  <si>
    <t>2.1.1-483.20</t>
  </si>
  <si>
    <t>CARNES; ESPECIE: VACUNA, CORTE: CUADRIL, TIPO: VACUNA</t>
  </si>
  <si>
    <t>2.1.1-541.27</t>
  </si>
  <si>
    <t>CARNES; ESPECIE: VACUNA, CORTE: NALGA, TIPO: VACUNA</t>
  </si>
  <si>
    <t>2.1.1-541.49</t>
  </si>
  <si>
    <t>CARNES; ESPECIE: VACUNA, CORTE: PICADA ESPECIAL, TIPO: VACUNA</t>
  </si>
  <si>
    <t>2.1.1-541.7</t>
  </si>
  <si>
    <t>CARNES; CORTE: CARRE CON LOMO, TIPO: PORCINA, ESPECIE: PORCINA</t>
  </si>
  <si>
    <t>2.1.1-541.70</t>
  </si>
  <si>
    <t>CARNES; TIPO: PORCINA, CORTE: COSTELETA</t>
  </si>
  <si>
    <t>2.1.1-541.164</t>
  </si>
  <si>
    <t>POSTRES; ESTADO PREPARACION: CON COCCION, TIPO: POLVO, ENVASE: CAJA DE CARTON, PESO: 80 GR, SABOR: VAINILLA, LIBRE DE GLUTEN: SI</t>
  </si>
  <si>
    <t>2.1.1-517.86</t>
  </si>
  <si>
    <t>PANES; TIPO: FRANCES, PRESENTACION: UNIDAD</t>
  </si>
  <si>
    <t>2.1.1-669.51</t>
  </si>
  <si>
    <t>VERDURAS Y HORTALIZAS; VARIEDAD: ZAPALLO ANCO, ESTADO: NATURAL, PRESENTACION: BOLSA, PESO: 20 Kg</t>
  </si>
  <si>
    <t>2.1.1-6546.231</t>
  </si>
  <si>
    <t>GALLETITAS; VARIEDAD: SALADA, RELLENO: SIN, PRESENTACION: ENVASE X 275 GR, ELEM. TRANSPORTE: SIN, MATERIAL ELEM. TRANSPORTE: SIN, LIBRE DE GLUTEN: SI</t>
  </si>
  <si>
    <t>2.1.1-788.224</t>
  </si>
  <si>
    <t>ACEITE MEZCLA BOTELLA X 900 CC</t>
  </si>
  <si>
    <t>AZUCAR X 1 KG BUENA CALIDAD</t>
  </si>
  <si>
    <t>Según necesidad de Servicio - Servicio de Nutrición</t>
  </si>
  <si>
    <t>90 días habiles</t>
  </si>
  <si>
    <t>Especificidades Item N° 3:</t>
  </si>
  <si>
    <t>Especificidades Item N° 4:</t>
  </si>
  <si>
    <t>Especificidades Item N° 5:</t>
  </si>
  <si>
    <t>TÉ EN SAQUITO CAJA X 50 UNIDADES</t>
  </si>
  <si>
    <t>Especificidades Item N° 6:</t>
  </si>
  <si>
    <r>
      <t>YERBA MATE B/CALIDAD X 1 KG.</t>
    </r>
    <r>
      <rPr>
        <b/>
        <sz val="10"/>
        <rFont val="Times New Roman"/>
        <family val="1"/>
      </rPr>
      <t xml:space="preserve"> NO MARCA LA HOJA</t>
    </r>
  </si>
  <si>
    <t>Especificidades Item N° 7:</t>
  </si>
  <si>
    <r>
      <t xml:space="preserve">SEMOLA </t>
    </r>
    <r>
      <rPr>
        <b/>
        <sz val="10"/>
        <rFont val="Times New Roman"/>
        <family val="1"/>
      </rPr>
      <t>NO EXTRAFINA</t>
    </r>
    <r>
      <rPr>
        <sz val="10"/>
        <rFont val="Times New Roman"/>
        <family val="1"/>
      </rPr>
      <t xml:space="preserve"> PAQUETE X 500 GRS.</t>
    </r>
  </si>
  <si>
    <t>Especificidades Item N° 8:</t>
  </si>
  <si>
    <t>FIDEO TIRABUZÓN PAQUETE X 500 GRS. BUENA CALIDAD</t>
  </si>
  <si>
    <t>Especificidades Item N° 9:</t>
  </si>
  <si>
    <t>FECULA DE MAIZ X 500 GRS.</t>
  </si>
  <si>
    <t>Especificidades Item N° 10:</t>
  </si>
  <si>
    <t>LENTEJAS RÁPIDA COCCIÓN X 500 GRS. BUENA CALIDAD</t>
  </si>
  <si>
    <t>Especificidades Item N° 11:</t>
  </si>
  <si>
    <t>SAL FINA PAQUETE X 500 GRS.</t>
  </si>
  <si>
    <t>Especificidades Item N° 12:</t>
  </si>
  <si>
    <t>SAL GRUESA PURIFICADA BOLSA X 50 KG TIPO SUSYSAL</t>
  </si>
  <si>
    <t>Especificidades Item N° 13:</t>
  </si>
  <si>
    <t>HARINA LEUDANTE X 1 KG. BUENA CALIDAD</t>
  </si>
  <si>
    <t>Especificidades Item N° 14:</t>
  </si>
  <si>
    <t>Especificidades Item N° 15:</t>
  </si>
  <si>
    <t>MATE COCIDO EN SAQUITO CAJA X 50 UNIDADES</t>
  </si>
  <si>
    <t>Especificidades Item N° 16:</t>
  </si>
  <si>
    <t>Especificidades Item N° 17:</t>
  </si>
  <si>
    <t>FIDEO CINTA AMARILLO TIPO COLONO PAQUETE X 500 GRS.</t>
  </si>
  <si>
    <t>Especificidades Item N° 18:</t>
  </si>
  <si>
    <t>HARINA COMUN X 1 KG. BUENA CALIDAD</t>
  </si>
  <si>
    <t>Especificidades Item N° 19:</t>
  </si>
  <si>
    <t>ARROR PARBOLIZADO X 1 KG. TIPO GALLO, LUCHETTI</t>
  </si>
  <si>
    <t>Especificidades Item N° 20:</t>
  </si>
  <si>
    <t>Especificidades Item N° 21:</t>
  </si>
  <si>
    <t>ARROZ COMÚN X 1 KG. BUENA CALIDAD</t>
  </si>
  <si>
    <t>Especificidades Item N° 22:</t>
  </si>
  <si>
    <t>Especificidades Item N° 23:</t>
  </si>
  <si>
    <t>Especificidades Item N° 24:</t>
  </si>
  <si>
    <t>TRIGO BURGOL X 500 GRS.</t>
  </si>
  <si>
    <t>Especificidades Item N° 25:</t>
  </si>
  <si>
    <t>CIRUELAS SECAS DESCAROZADAS</t>
  </si>
  <si>
    <t>Especificidades Item N° 26:</t>
  </si>
  <si>
    <t>OREJONES DE DURAZNO DESCAROZADO</t>
  </si>
  <si>
    <t>Especificidades Item N° 27:</t>
  </si>
  <si>
    <t>FLAN DE VAINILLA CAJA 8 PORCIONES</t>
  </si>
  <si>
    <t>Especificidades Item N° 28:</t>
  </si>
  <si>
    <t>VINAGRE DE VINO X 1 LITRO</t>
  </si>
  <si>
    <t>Especificidades Item N° 29:</t>
  </si>
  <si>
    <t>AVENA ARROLLADA PAQUETE X 500 GRS.</t>
  </si>
  <si>
    <t>Especificidades Item N° 30:</t>
  </si>
  <si>
    <t>ARVEJAS LATA X 350 GRS.</t>
  </si>
  <si>
    <t>Especificidades Item N° 31:</t>
  </si>
  <si>
    <t>Especificidades Item N° 32:</t>
  </si>
  <si>
    <t>Especificidades Item N° 33:</t>
  </si>
  <si>
    <t>Especificidades Item N° 34:</t>
  </si>
  <si>
    <t>DURAZNO EN ALMIBAR COMÚN LATA X 800 GRS.</t>
  </si>
  <si>
    <t>Especificidades Item N° 35:</t>
  </si>
  <si>
    <t>JARDINERAS EN LATA X 350 GRS.</t>
  </si>
  <si>
    <t>Especificidades Item N° 38:</t>
  </si>
  <si>
    <t>Especificidades Item N° 39:</t>
  </si>
  <si>
    <t>CHOCLO EN GRANO LATA X 350 GRS.</t>
  </si>
  <si>
    <t>Especificidades Item N° 40:</t>
  </si>
  <si>
    <t>PURÉ DE TOMATE CAJA X 500 GRS. BUENA CALIDAD</t>
  </si>
  <si>
    <t>Especificidades Item N° 41:</t>
  </si>
  <si>
    <t>Especificidades Item N° 42:</t>
  </si>
  <si>
    <t>Especificidades Item N° 43:</t>
  </si>
  <si>
    <t>CHOCLO CREMOSO LATA X 350 GRS.</t>
  </si>
  <si>
    <t>Especificidades Item N° 44:</t>
  </si>
  <si>
    <t>OREGANO</t>
  </si>
  <si>
    <t>Especificidades Item N° 45:</t>
  </si>
  <si>
    <t>Especificidades Item N° 46:</t>
  </si>
  <si>
    <t>Especificidades Item N° 47:</t>
  </si>
  <si>
    <t>Especificidades Item N° 48:</t>
  </si>
  <si>
    <t>POLLO SIN MENUDO DE 2 KG. CADA UNO FRESCO</t>
  </si>
  <si>
    <t>Especificidades Item N° 49:</t>
  </si>
  <si>
    <t>Especificidades Item N° 50:</t>
  </si>
  <si>
    <t>Especificidades Item N° 51:</t>
  </si>
  <si>
    <t>FILET DE MERLUZA</t>
  </si>
  <si>
    <t>Especificidades Item N° 52:</t>
  </si>
  <si>
    <t>PAN MIGNON FRESCO TIERNO</t>
  </si>
  <si>
    <t>Especificidades Item N° 53:</t>
  </si>
  <si>
    <t>Especificidades Item N° 54:</t>
  </si>
  <si>
    <t>Especificidades Item N° 55:</t>
  </si>
  <si>
    <t>PAN RALLADO</t>
  </si>
  <si>
    <t>Especificidades Item N° 56:</t>
  </si>
  <si>
    <t>Especificidades Item N° 57:</t>
  </si>
  <si>
    <t>PIONONO DULCE BUENA CALIDAD TIPO CASERO</t>
  </si>
  <si>
    <t>Especificidades Item N° 58:</t>
  </si>
  <si>
    <t>Especificidades Item N° 59:</t>
  </si>
  <si>
    <t>Especificidades Item N° 60:</t>
  </si>
  <si>
    <t>Especificidades Item N° 61:</t>
  </si>
  <si>
    <t>Especificidades Item N° 62:</t>
  </si>
  <si>
    <t>Especificidades Item N° 63:</t>
  </si>
  <si>
    <t>Especificidades Item N° 64:</t>
  </si>
  <si>
    <t>CHAUCHA FRESCA</t>
  </si>
  <si>
    <t>Especificidades Item N° 65:</t>
  </si>
  <si>
    <t>Especificidades Item N° 66:</t>
  </si>
  <si>
    <t>CEBOLLA BLANCA NATURAL BOLSA X 25 KG.</t>
  </si>
  <si>
    <t>Especificidades Item N° 68:</t>
  </si>
  <si>
    <t>REMOLACHA FRESCA TIERNA ATADO X 12 CABEZAS</t>
  </si>
  <si>
    <t>Especificidades Item N° 69:</t>
  </si>
  <si>
    <t>Especificidades Item N° 70:</t>
  </si>
  <si>
    <t>ZAPALLO CRIOLLO FRESCO</t>
  </si>
  <si>
    <t>Especificidades Item N° 71:</t>
  </si>
  <si>
    <t>PEREJIL FRESCO</t>
  </si>
  <si>
    <t>Especificidades Item N° 72:</t>
  </si>
  <si>
    <t>Especificidades Item N° 73:</t>
  </si>
  <si>
    <t>LECHUGA CRIOLLA NATURAL</t>
  </si>
  <si>
    <t>Especificidades Item N° 74:</t>
  </si>
  <si>
    <t>Especificidades Item N° 75:</t>
  </si>
  <si>
    <t>Especificidades Item N° 76:</t>
  </si>
  <si>
    <t>Especificidades Item N° 77:</t>
  </si>
  <si>
    <t>Especificidades Item N° 78:</t>
  </si>
  <si>
    <t>Especificidades Item N° 79:</t>
  </si>
  <si>
    <t>Especificidades Item N° 80:</t>
  </si>
  <si>
    <t>NALGA FETEADA P/MILANESA</t>
  </si>
  <si>
    <t>Especificidades Item N° 81:</t>
  </si>
  <si>
    <t>MOLIDA ESPECIAL SIN GRASA</t>
  </si>
  <si>
    <t>Especificidades Item N° 82:</t>
  </si>
  <si>
    <t>CARRE DE CERDO FRESCO</t>
  </si>
  <si>
    <t>Especificidades Item N° 83:</t>
  </si>
  <si>
    <t>COSTELETA DE CERDO FRESCO</t>
  </si>
  <si>
    <t>2.1.1-542.212</t>
  </si>
  <si>
    <t>QUESOS; TIPO: TYBO, PRESENTACION: HORMA, ELEM. TRANSPORTE: SIN, MATERIAL ELEM. TRANSPORTE: SIN, MATERIAL ENVASE: PLASTICO, CERTIFICADO FORESTAL (GFS): SIN, LIBRE DE GLUTEN: NO</t>
  </si>
  <si>
    <t>2.1.1-542.197</t>
  </si>
  <si>
    <t>QUESOS; TIPO: SARDO, PRESENTACION: HORMA X 3 Kg, ELEM. TRANSPORTE: SIN, MATERIAL ELEM. TRANSPORTE: SIN, MATERIAL ENVASE: SIN, CERTIFICADO FORESTAL (GFS): SIN, LIBRE DE GLUTEN: NO</t>
  </si>
  <si>
    <t>2.1.1-542.207</t>
  </si>
  <si>
    <t>FIAMBRES; TIPO: JAMON COCIDO ITALIANO, PRESENTACION: AL PESO</t>
  </si>
  <si>
    <t>2.1.1-969.35</t>
  </si>
  <si>
    <t>TAPAS P/EMPANADAS; TIPO: P/HORNO, PRESENTACION: BOLSA X 12</t>
  </si>
  <si>
    <t>TAPAS P/TARTAS; TIPO: REDONDA, MASA: CASERA, PRESENTACION: BOLSA</t>
  </si>
  <si>
    <t>2.1.1-2429.1</t>
  </si>
  <si>
    <t>2.1.1-2610.1</t>
  </si>
  <si>
    <t>YOGHURT; TIPO: DESCREMADO, AGREGADO: SIN, CONSISTENCIA: FIRME, SABOR: VAINILLA, PRESENTACION: POTE PLASTICO X 200 GR</t>
  </si>
  <si>
    <t>2.1.1-456.79</t>
  </si>
  <si>
    <t>RICOTA; ENVASE: PAQUETE, PESO: 1 Kg, SABOR: SIN</t>
  </si>
  <si>
    <t>2.1.1-4975.2</t>
  </si>
  <si>
    <t>DULCE DE LECHE; ENVASE: DE CARTON, CAPACIDAD: 5000 GR, TIPO: DE REPOSTERIA, PRESENTACION: ENVASE DE CARTON X 5 Kg</t>
  </si>
  <si>
    <t>2.1.1-455.16</t>
  </si>
  <si>
    <t>Especificidades Item N° 84:</t>
  </si>
  <si>
    <t>Especificidades Item N° 86:</t>
  </si>
  <si>
    <t>Especificidades Item N° 88:</t>
  </si>
  <si>
    <t>Especificidades Item N° 89:</t>
  </si>
  <si>
    <t>Especificidades Item N° 90:</t>
  </si>
  <si>
    <t>Especificidades Item N° 91:</t>
  </si>
  <si>
    <t>YOGURTH DESCREMADO X 125 O 200 CC.</t>
  </si>
  <si>
    <t>2.1.1</t>
  </si>
  <si>
    <t>FIDEOS SECOS; VARIEDAD: SPAGHETTI AL HUEVO, RELLENO: SIN, PRESENTACION: PAQUETE X 500 GR, MATERIAL ENVASE: PLASTICO 1 (PET), ELEM. TRANSPORTE: SIN, MATERIAL ELEM. TRANSPORTE: SIN, CERTIFICADO FORESTAL (GFS): SIN, LIBRE DE GLUTEN: NO</t>
  </si>
  <si>
    <t>ARROZ; TIPO GRANO: ENTERO, TIPO: BLANCO, PROCESO: FORTIFICADO, PRESENTACION: ENVASE X 1 Kg, MATERIAL ENVASE: PLASTICO 1 (PET), CERTIFICADO FORESTAL (GFS): SIN, ELEM. TRANSPORTE: SIN, MATERIAL ELEM. TRANSPORTE: SIN, LIBRE DE GLUTEN: NO</t>
  </si>
  <si>
    <t>HORMA</t>
  </si>
  <si>
    <t>366 - 2020</t>
  </si>
  <si>
    <t>Adquisición de Alimentos Perecederos  y no Perecederos</t>
  </si>
  <si>
    <t>LECHE; ESTADO: LIQUIDO, TIPO: DESCREMADA, PROCESO: LARGA VIDA, AGREGADO: VITAMINAS A Y D, PRESENTACION: ENVASE X 1 L, MATERIAL ENVASE: PLASTICO, ELEM. TRANSPORTE: SIN, MATERIAL ELEM. TRANSPORTE: SIN, CERTIFICADO FORESTAL (GFS): SIN, LIBRE DE GLUTEN: SIN VALOR</t>
  </si>
  <si>
    <t>FIDEOS SECOS; VARIEDAD: TIRABUZON, RELLENO: SIN, PRESENTACION: ENVASE X 500 GR, MATERIAL ENVASE: PLASTICO 1 (PET), ELEM. TRANSPORTE: SIN, MATERIAL ELEM. TRANSPORTE: SIN, CERTIFICADO FORESTAL (GFS): SIN, LIBRE DE GLUTEN: NO</t>
  </si>
  <si>
    <t>QUESOS; TIPO: CUARTIROLO, PRESENTACION: HORMA, ELEM. TRANSPORTE: SIN, MATERIAL ELEM. TRANSPORTE: SIN, MATERIAL ENVASE: SIN, CERTIFICADO FORESTAL (GFS): SIN, LIBRE DE GLUTEN: SI</t>
  </si>
  <si>
    <t>Especificidades Item N° 36:</t>
  </si>
  <si>
    <t>Especificidades Item N° 37:</t>
  </si>
  <si>
    <t>Especificidades Item N° 67</t>
  </si>
  <si>
    <t>Especificidades Item N° 85 :</t>
  </si>
  <si>
    <t>Especificidades Item N° 87:</t>
  </si>
  <si>
    <t>BOTELLAS</t>
  </si>
  <si>
    <t>HARINA DE MAIZ (POLENTA) X 1 KG. BUENA CALIDAD</t>
  </si>
  <si>
    <t xml:space="preserve">HUEVOS DE COLOR </t>
  </si>
  <si>
    <t xml:space="preserve">GALLETAS VAINILLAS </t>
  </si>
  <si>
    <t>FIDEO TIPO TALLARIN VERDE PAQUETE X 500 GRS. BUENA CALIDAD</t>
  </si>
  <si>
    <t xml:space="preserve">ZAPALLITO REDONDO VERDE FRESCO - CAJON DE APROXIMADAMENTE 16 KG </t>
  </si>
  <si>
    <t xml:space="preserve">TOMATE REDONDO FRESCO - CAJON DE APROXIMADAMENTE 17 KG </t>
  </si>
  <si>
    <t>COCTEL DE FRUTAS LATA X 800 GRS.</t>
  </si>
  <si>
    <t>CEBOLLA DE VERDEO NATURAL ATADOS X 1 KG APROXIMADAMENTE</t>
  </si>
  <si>
    <t>ANQUÍN FRESCO - BOLSA X 20 KG APROXIMADAMENTE</t>
  </si>
  <si>
    <t>PIMIENTO MORRON VERDE FRESCO - CAJON X 10 KG APROXIMADAMENTE</t>
  </si>
  <si>
    <t>MANZANA DELICIOSA TAMAÑO MEDIANO - CAJON X 19 KG APROXIMADAMENTE</t>
  </si>
  <si>
    <t xml:space="preserve">BANANA TIPO ECUATORIANA - CAJON X 20 KG APROXIMADAMENTE </t>
  </si>
  <si>
    <t xml:space="preserve">NARANJA CRIOLLA - CAJON X 18 KG APROXIMADAMENTE </t>
  </si>
  <si>
    <t xml:space="preserve">PERAS DE AGUA TIERNA - CAJON X 19 KG APROXIMADAMENTE </t>
  </si>
  <si>
    <t>LIMÓN FRESCO PARA JUGO - CAJON X 10 KG APROXIMADAMENTE</t>
  </si>
  <si>
    <t xml:space="preserve">QUESO SARDO BUEN ESTACIONAMIENTO - HORMA X 3 KG APROXIMADAMENTE </t>
  </si>
  <si>
    <t>PASTAS FRESCAS; VARIEDAD: RAVIOL, RELLENO: RICOTA Y POLLO, PRESENTACION: ENVASE X 2 PLANCHAS</t>
  </si>
  <si>
    <t>2.1.1-707.35</t>
  </si>
  <si>
    <t xml:space="preserve">RAVIOLES - PLANCHAS X 48 UNIDADES CADA UNA </t>
  </si>
  <si>
    <t xml:space="preserve">DULCE DE LECHE REPOSTERO ENVASE X 5 KG CADA UNO </t>
  </si>
  <si>
    <t>EDULCORANTE BOTELLA X 500 CM3 TIPO SI DIET, CHUKER</t>
  </si>
  <si>
    <t>GELATINA BAJAS CALORIAS FRUTILLA CAJA X 8 PORCIONES</t>
  </si>
  <si>
    <t>POSTRES; SABOR: CHOCOLATE, ENVASE: CAJA DE CARTON, TIPO: DIETETICO, PESO: 30 GR, ESTADO PREPARACION: CON COCCION</t>
  </si>
  <si>
    <t>2.1.1-517.28</t>
  </si>
  <si>
    <t>POSTRE DIET CON COCCION</t>
  </si>
  <si>
    <t>POSTRE COMÚN CAJA X 8 PORCIONES</t>
  </si>
  <si>
    <t>ATÚN LATA X 170 GRS.</t>
  </si>
  <si>
    <t>TOMATE LATA X 380 GRS.</t>
  </si>
  <si>
    <t>MAYONESA X 2,900 KG.</t>
  </si>
  <si>
    <t xml:space="preserve">DULCE DE BATATA LATA X 5 KG APROXIMADAMENTE </t>
  </si>
  <si>
    <t>DULCE DE MEMBRILLO LATA X 5 KG APROXIMADAMENTE</t>
  </si>
  <si>
    <t>PIMENTON</t>
  </si>
  <si>
    <t>NUEZ MOSCADA</t>
  </si>
  <si>
    <t>PIMIENTA BLANCA</t>
  </si>
  <si>
    <t>PECHUGAS DE POLLO</t>
  </si>
  <si>
    <t xml:space="preserve">PAN FRANCES POR UNIDAD </t>
  </si>
  <si>
    <t xml:space="preserve">PAN SALVADO POR UNIDAD </t>
  </si>
  <si>
    <t xml:space="preserve">PREPIZZA </t>
  </si>
  <si>
    <t xml:space="preserve">ACELGA FRESCA EN ATADOS DE APROXIMADAMENTE DE 300 GRS </t>
  </si>
  <si>
    <t>GALLETITAS SALADAS SIN GLUTEN</t>
  </si>
  <si>
    <t xml:space="preserve">ZANAHORIA FRESCA NATURAL BOLSA X 25 KG APROXIMADAMENTE </t>
  </si>
  <si>
    <t xml:space="preserve">PAPA BLANCA BOLSA X 25 KG APROXIMADAMENTE </t>
  </si>
  <si>
    <t>LECHE DESCREMADA X 1 LITRO B/CALIDAD</t>
  </si>
  <si>
    <t>CUADRIL</t>
  </si>
  <si>
    <t>TOTAL DE PESOS: DOS MILLONES DOSCIENTOS OCHENTA Y SIETE MIL CIENTO NOVENTA Y NUEVE CON 76/100.--</t>
  </si>
  <si>
    <t>Costo total estimado: dos millones doscientos ochenta y siete mil ciento noventa y nueve con 76/100.-------------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</si>
</sst>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9"/>
      <name val="Arial"/>
      <family val="2"/>
      <charset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15" fillId="5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4" fillId="0" borderId="48" xfId="0" applyFont="1" applyFill="1" applyBorder="1" applyAlignment="1">
      <alignment vertical="center" wrapText="1"/>
    </xf>
    <xf numFmtId="0" fontId="0" fillId="0" borderId="0" xfId="0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470"/>
  <sheetViews>
    <sheetView tabSelected="1" topLeftCell="A11" zoomScale="80" zoomScaleNormal="80" workbookViewId="0">
      <selection activeCell="K12" sqref="K12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0" t="s">
        <v>0</v>
      </c>
      <c r="C2" s="90"/>
      <c r="D2" s="90"/>
      <c r="E2" s="90"/>
      <c r="F2" s="90"/>
      <c r="G2" s="90"/>
      <c r="H2" s="90"/>
    </row>
    <row r="4" spans="1:9" ht="18" customHeight="1" x14ac:dyDescent="0.25">
      <c r="A4" s="91" t="s">
        <v>1</v>
      </c>
      <c r="B4" s="91"/>
      <c r="C4" s="92" t="s">
        <v>59</v>
      </c>
      <c r="D4" s="92"/>
      <c r="E4" s="92"/>
      <c r="F4" s="40"/>
      <c r="G4" s="41"/>
      <c r="H4" s="40"/>
    </row>
    <row r="5" spans="1:9" ht="18" customHeight="1" x14ac:dyDescent="0.25">
      <c r="A5" s="91" t="s">
        <v>2</v>
      </c>
      <c r="B5" s="91"/>
      <c r="C5" s="92" t="s">
        <v>60</v>
      </c>
      <c r="D5" s="92"/>
      <c r="E5" s="92"/>
      <c r="F5" s="40"/>
      <c r="G5" s="41"/>
      <c r="H5" s="40"/>
    </row>
    <row r="6" spans="1:9" ht="16.5" customHeight="1" x14ac:dyDescent="0.25">
      <c r="A6" s="91" t="s">
        <v>3</v>
      </c>
      <c r="B6" s="91"/>
      <c r="C6" s="63">
        <v>2021</v>
      </c>
      <c r="D6" s="64"/>
      <c r="E6" s="64"/>
      <c r="F6" s="40"/>
      <c r="G6" s="41"/>
      <c r="H6" s="40"/>
    </row>
    <row r="7" spans="1:9" ht="16.5" customHeight="1" x14ac:dyDescent="0.25">
      <c r="A7" s="91" t="s">
        <v>4</v>
      </c>
      <c r="B7" s="91"/>
      <c r="C7" s="63">
        <v>1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64.5" customHeight="1" thickBot="1" x14ac:dyDescent="0.25">
      <c r="A10" s="56">
        <v>1</v>
      </c>
      <c r="B10" s="60" t="s">
        <v>87</v>
      </c>
      <c r="C10" s="57" t="s">
        <v>88</v>
      </c>
      <c r="D10" s="58" t="s">
        <v>392</v>
      </c>
      <c r="E10" s="59" t="s">
        <v>86</v>
      </c>
      <c r="F10" s="60" t="s">
        <v>64</v>
      </c>
      <c r="G10" s="60">
        <v>250</v>
      </c>
      <c r="H10" s="61">
        <f>98.72*1.2</f>
        <v>118.464</v>
      </c>
      <c r="I10" s="62">
        <f t="shared" ref="I10:I71" si="0">G10*H10</f>
        <v>29616</v>
      </c>
    </row>
    <row r="11" spans="1:9" ht="58.5" customHeight="1" thickBot="1" x14ac:dyDescent="0.25">
      <c r="A11" s="56">
        <v>2</v>
      </c>
      <c r="B11" s="60" t="s">
        <v>90</v>
      </c>
      <c r="C11" s="57" t="s">
        <v>88</v>
      </c>
      <c r="D11" s="58" t="s">
        <v>392</v>
      </c>
      <c r="E11" s="59" t="s">
        <v>89</v>
      </c>
      <c r="F11" s="60" t="s">
        <v>65</v>
      </c>
      <c r="G11" s="60">
        <v>400</v>
      </c>
      <c r="H11" s="61">
        <f>60*1.2</f>
        <v>72</v>
      </c>
      <c r="I11" s="62">
        <f t="shared" si="0"/>
        <v>28800</v>
      </c>
    </row>
    <row r="12" spans="1:9" ht="71.25" customHeight="1" thickBot="1" x14ac:dyDescent="0.25">
      <c r="A12" s="56">
        <v>3</v>
      </c>
      <c r="B12" s="60" t="s">
        <v>91</v>
      </c>
      <c r="C12" s="57" t="s">
        <v>88</v>
      </c>
      <c r="D12" s="58" t="s">
        <v>392</v>
      </c>
      <c r="E12" s="83" t="s">
        <v>398</v>
      </c>
      <c r="F12" s="60" t="s">
        <v>66</v>
      </c>
      <c r="G12" s="60">
        <v>600</v>
      </c>
      <c r="H12" s="61">
        <f>59.98*1.2</f>
        <v>71.975999999999999</v>
      </c>
      <c r="I12" s="62">
        <f t="shared" si="0"/>
        <v>43185.599999999999</v>
      </c>
    </row>
    <row r="13" spans="1:9" ht="77.25" customHeight="1" thickBot="1" x14ac:dyDescent="0.25">
      <c r="A13" s="56">
        <v>4</v>
      </c>
      <c r="B13" s="60" t="s">
        <v>110</v>
      </c>
      <c r="C13" s="57" t="s">
        <v>88</v>
      </c>
      <c r="D13" s="58" t="s">
        <v>392</v>
      </c>
      <c r="E13" s="59" t="s">
        <v>109</v>
      </c>
      <c r="F13" s="60" t="s">
        <v>65</v>
      </c>
      <c r="G13" s="60">
        <v>50</v>
      </c>
      <c r="H13" s="61">
        <f>38.88*1.2</f>
        <v>46.655999999999999</v>
      </c>
      <c r="I13" s="62">
        <f t="shared" si="0"/>
        <v>2332.7999999999997</v>
      </c>
    </row>
    <row r="14" spans="1:9" ht="45.75" customHeight="1" thickBot="1" x14ac:dyDescent="0.25">
      <c r="A14" s="56">
        <v>5</v>
      </c>
      <c r="B14" s="60" t="s">
        <v>93</v>
      </c>
      <c r="C14" s="57" t="s">
        <v>88</v>
      </c>
      <c r="D14" s="58" t="s">
        <v>392</v>
      </c>
      <c r="E14" s="59" t="s">
        <v>92</v>
      </c>
      <c r="F14" s="60" t="s">
        <v>67</v>
      </c>
      <c r="G14" s="60">
        <v>650</v>
      </c>
      <c r="H14" s="61">
        <f>(135.01/2)*1.2</f>
        <v>81.005999999999986</v>
      </c>
      <c r="I14" s="62">
        <f t="shared" si="0"/>
        <v>52653.899999999994</v>
      </c>
    </row>
    <row r="15" spans="1:9" ht="73.5" customHeight="1" thickBot="1" x14ac:dyDescent="0.25">
      <c r="A15" s="56">
        <v>6</v>
      </c>
      <c r="B15" s="60" t="s">
        <v>95</v>
      </c>
      <c r="C15" s="57" t="s">
        <v>88</v>
      </c>
      <c r="D15" s="58" t="s">
        <v>392</v>
      </c>
      <c r="E15" s="59" t="s">
        <v>94</v>
      </c>
      <c r="F15" s="60" t="s">
        <v>65</v>
      </c>
      <c r="G15" s="60">
        <v>25</v>
      </c>
      <c r="H15" s="61">
        <f>189*1.2</f>
        <v>226.79999999999998</v>
      </c>
      <c r="I15" s="62">
        <f t="shared" si="0"/>
        <v>5670</v>
      </c>
    </row>
    <row r="16" spans="1:9" ht="58.5" customHeight="1" thickBot="1" x14ac:dyDescent="0.25">
      <c r="A16" s="56">
        <v>7</v>
      </c>
      <c r="B16" s="60" t="s">
        <v>97</v>
      </c>
      <c r="C16" s="57" t="s">
        <v>88</v>
      </c>
      <c r="D16" s="58" t="s">
        <v>392</v>
      </c>
      <c r="E16" s="59" t="s">
        <v>96</v>
      </c>
      <c r="F16" s="60" t="s">
        <v>65</v>
      </c>
      <c r="G16" s="60">
        <v>7</v>
      </c>
      <c r="H16" s="61">
        <f>85*1.2</f>
        <v>102</v>
      </c>
      <c r="I16" s="62">
        <f t="shared" si="0"/>
        <v>714</v>
      </c>
    </row>
    <row r="17" spans="1:9" ht="73.5" customHeight="1" thickBot="1" x14ac:dyDescent="0.25">
      <c r="A17" s="56">
        <v>8</v>
      </c>
      <c r="B17" s="84" t="s">
        <v>108</v>
      </c>
      <c r="C17" s="57" t="s">
        <v>88</v>
      </c>
      <c r="D17" s="58" t="s">
        <v>392</v>
      </c>
      <c r="E17" s="83" t="s">
        <v>399</v>
      </c>
      <c r="F17" s="60" t="s">
        <v>65</v>
      </c>
      <c r="G17" s="60">
        <v>42</v>
      </c>
      <c r="H17" s="61">
        <f>38.88*1.2</f>
        <v>46.655999999999999</v>
      </c>
      <c r="I17" s="62">
        <f t="shared" si="0"/>
        <v>1959.5519999999999</v>
      </c>
    </row>
    <row r="18" spans="1:9" ht="42.75" customHeight="1" thickBot="1" x14ac:dyDescent="0.25">
      <c r="A18" s="56">
        <v>9</v>
      </c>
      <c r="B18" s="60" t="s">
        <v>99</v>
      </c>
      <c r="C18" s="57" t="s">
        <v>88</v>
      </c>
      <c r="D18" s="58" t="s">
        <v>392</v>
      </c>
      <c r="E18" s="59" t="s">
        <v>98</v>
      </c>
      <c r="F18" s="60" t="s">
        <v>65</v>
      </c>
      <c r="G18" s="60">
        <v>17</v>
      </c>
      <c r="H18" s="61">
        <f>78.99*1.2</f>
        <v>94.787999999999997</v>
      </c>
      <c r="I18" s="62">
        <f t="shared" si="0"/>
        <v>1611.396</v>
      </c>
    </row>
    <row r="19" spans="1:9" ht="41.25" customHeight="1" thickBot="1" x14ac:dyDescent="0.25">
      <c r="A19" s="56">
        <v>10</v>
      </c>
      <c r="B19" s="60" t="s">
        <v>101</v>
      </c>
      <c r="C19" s="57" t="s">
        <v>88</v>
      </c>
      <c r="D19" s="58" t="s">
        <v>392</v>
      </c>
      <c r="E19" s="59" t="s">
        <v>100</v>
      </c>
      <c r="F19" s="60" t="s">
        <v>65</v>
      </c>
      <c r="G19" s="60">
        <v>13</v>
      </c>
      <c r="H19" s="61">
        <f>98.37*1.2</f>
        <v>118.044</v>
      </c>
      <c r="I19" s="62">
        <f t="shared" si="0"/>
        <v>1534.5719999999999</v>
      </c>
    </row>
    <row r="20" spans="1:9" ht="45.75" customHeight="1" thickBot="1" x14ac:dyDescent="0.25">
      <c r="A20" s="56">
        <v>11</v>
      </c>
      <c r="B20" s="60" t="s">
        <v>103</v>
      </c>
      <c r="C20" s="57" t="s">
        <v>88</v>
      </c>
      <c r="D20" s="58" t="s">
        <v>392</v>
      </c>
      <c r="E20" s="59" t="s">
        <v>102</v>
      </c>
      <c r="F20" s="60" t="s">
        <v>65</v>
      </c>
      <c r="G20" s="60">
        <v>33</v>
      </c>
      <c r="H20" s="61">
        <f>37.9*1.2</f>
        <v>45.48</v>
      </c>
      <c r="I20" s="62">
        <f t="shared" si="0"/>
        <v>1500.84</v>
      </c>
    </row>
    <row r="21" spans="1:9" s="82" customFormat="1" ht="42" customHeight="1" thickBot="1" x14ac:dyDescent="0.25">
      <c r="A21" s="56">
        <v>12</v>
      </c>
      <c r="B21" s="60" t="s">
        <v>105</v>
      </c>
      <c r="C21" s="79" t="s">
        <v>88</v>
      </c>
      <c r="D21" s="80" t="s">
        <v>392</v>
      </c>
      <c r="E21" s="81" t="s">
        <v>104</v>
      </c>
      <c r="F21" s="60" t="s">
        <v>68</v>
      </c>
      <c r="G21" s="60">
        <v>5</v>
      </c>
      <c r="H21" s="61">
        <f>(43.35*50)*1.2</f>
        <v>2601</v>
      </c>
      <c r="I21" s="62">
        <f t="shared" si="0"/>
        <v>13005</v>
      </c>
    </row>
    <row r="22" spans="1:9" ht="72" customHeight="1" thickBot="1" x14ac:dyDescent="0.25">
      <c r="A22" s="56">
        <v>13</v>
      </c>
      <c r="B22" s="60" t="s">
        <v>107</v>
      </c>
      <c r="C22" s="57" t="s">
        <v>88</v>
      </c>
      <c r="D22" s="58" t="s">
        <v>392</v>
      </c>
      <c r="E22" s="59" t="s">
        <v>106</v>
      </c>
      <c r="F22" s="60" t="s">
        <v>65</v>
      </c>
      <c r="G22" s="60">
        <v>17</v>
      </c>
      <c r="H22" s="61">
        <f>52.15*1.2</f>
        <v>62.58</v>
      </c>
      <c r="I22" s="62">
        <f t="shared" si="0"/>
        <v>1063.8599999999999</v>
      </c>
    </row>
    <row r="23" spans="1:9" ht="65.25" customHeight="1" thickBot="1" x14ac:dyDescent="0.25">
      <c r="A23" s="56">
        <v>14</v>
      </c>
      <c r="B23" s="60" t="s">
        <v>112</v>
      </c>
      <c r="C23" s="57" t="s">
        <v>88</v>
      </c>
      <c r="D23" s="58" t="s">
        <v>392</v>
      </c>
      <c r="E23" s="59" t="s">
        <v>111</v>
      </c>
      <c r="F23" s="60" t="s">
        <v>65</v>
      </c>
      <c r="G23" s="60">
        <v>10</v>
      </c>
      <c r="H23" s="61">
        <f>50.02*1.2</f>
        <v>60.024000000000001</v>
      </c>
      <c r="I23" s="62">
        <f t="shared" si="0"/>
        <v>600.24</v>
      </c>
    </row>
    <row r="24" spans="1:9" ht="51" customHeight="1" thickBot="1" x14ac:dyDescent="0.25">
      <c r="A24" s="56">
        <v>15</v>
      </c>
      <c r="B24" s="60" t="s">
        <v>114</v>
      </c>
      <c r="C24" s="57" t="s">
        <v>88</v>
      </c>
      <c r="D24" s="58" t="s">
        <v>392</v>
      </c>
      <c r="E24" s="59" t="s">
        <v>113</v>
      </c>
      <c r="F24" s="60" t="s">
        <v>67</v>
      </c>
      <c r="G24" s="60">
        <v>25</v>
      </c>
      <c r="H24" s="61">
        <f>171.36*1.2</f>
        <v>205.63200000000001</v>
      </c>
      <c r="I24" s="62">
        <f t="shared" si="0"/>
        <v>5140.8</v>
      </c>
    </row>
    <row r="25" spans="1:9" ht="51" customHeight="1" thickBot="1" x14ac:dyDescent="0.25">
      <c r="A25" s="56">
        <v>16</v>
      </c>
      <c r="B25" s="60" t="s">
        <v>116</v>
      </c>
      <c r="C25" s="57" t="s">
        <v>88</v>
      </c>
      <c r="D25" s="58" t="s">
        <v>392</v>
      </c>
      <c r="E25" s="59" t="s">
        <v>115</v>
      </c>
      <c r="F25" s="60" t="s">
        <v>406</v>
      </c>
      <c r="G25" s="60">
        <v>17</v>
      </c>
      <c r="H25" s="61">
        <f>145*1.2</f>
        <v>174</v>
      </c>
      <c r="I25" s="62">
        <f t="shared" si="0"/>
        <v>2958</v>
      </c>
    </row>
    <row r="26" spans="1:9" ht="81" customHeight="1" thickBot="1" x14ac:dyDescent="0.25">
      <c r="A26" s="56">
        <v>17</v>
      </c>
      <c r="B26" s="60" t="s">
        <v>117</v>
      </c>
      <c r="C26" s="57" t="s">
        <v>88</v>
      </c>
      <c r="D26" s="58" t="s">
        <v>392</v>
      </c>
      <c r="E26" s="59" t="s">
        <v>393</v>
      </c>
      <c r="F26" s="60" t="s">
        <v>65</v>
      </c>
      <c r="G26" s="60">
        <v>50</v>
      </c>
      <c r="H26" s="61">
        <f>55.8*1.2</f>
        <v>66.959999999999994</v>
      </c>
      <c r="I26" s="62">
        <f t="shared" si="0"/>
        <v>3347.9999999999995</v>
      </c>
    </row>
    <row r="27" spans="1:9" ht="66" customHeight="1" thickBot="1" x14ac:dyDescent="0.25">
      <c r="A27" s="56">
        <v>18</v>
      </c>
      <c r="B27" s="60" t="s">
        <v>119</v>
      </c>
      <c r="C27" s="57" t="s">
        <v>88</v>
      </c>
      <c r="D27" s="58" t="s">
        <v>392</v>
      </c>
      <c r="E27" s="59" t="s">
        <v>118</v>
      </c>
      <c r="F27" s="60" t="s">
        <v>65</v>
      </c>
      <c r="G27" s="60">
        <v>10</v>
      </c>
      <c r="H27" s="61">
        <f>40.44*1.2</f>
        <v>48.527999999999999</v>
      </c>
      <c r="I27" s="62">
        <f t="shared" si="0"/>
        <v>485.28</v>
      </c>
    </row>
    <row r="28" spans="1:9" ht="69" customHeight="1" thickBot="1" x14ac:dyDescent="0.25">
      <c r="A28" s="56">
        <v>19</v>
      </c>
      <c r="B28" s="60" t="s">
        <v>121</v>
      </c>
      <c r="C28" s="57" t="s">
        <v>88</v>
      </c>
      <c r="D28" s="58" t="s">
        <v>392</v>
      </c>
      <c r="E28" s="59" t="s">
        <v>120</v>
      </c>
      <c r="F28" s="60" t="s">
        <v>65</v>
      </c>
      <c r="G28" s="60">
        <v>117</v>
      </c>
      <c r="H28" s="61">
        <f>125*1.2</f>
        <v>150</v>
      </c>
      <c r="I28" s="62">
        <f t="shared" si="0"/>
        <v>17550</v>
      </c>
    </row>
    <row r="29" spans="1:9" ht="57" customHeight="1" thickBot="1" x14ac:dyDescent="0.25">
      <c r="A29" s="56">
        <v>20</v>
      </c>
      <c r="B29" s="60" t="s">
        <v>123</v>
      </c>
      <c r="C29" s="57" t="s">
        <v>88</v>
      </c>
      <c r="D29" s="58" t="s">
        <v>392</v>
      </c>
      <c r="E29" s="59" t="s">
        <v>122</v>
      </c>
      <c r="F29" s="60" t="s">
        <v>67</v>
      </c>
      <c r="G29" s="60">
        <v>133</v>
      </c>
      <c r="H29" s="61">
        <f>49.89*1.2</f>
        <v>59.867999999999995</v>
      </c>
      <c r="I29" s="62">
        <f t="shared" si="0"/>
        <v>7962.4439999999995</v>
      </c>
    </row>
    <row r="30" spans="1:9" ht="79.5" customHeight="1" thickBot="1" x14ac:dyDescent="0.25">
      <c r="A30" s="56">
        <v>21</v>
      </c>
      <c r="B30" s="60" t="s">
        <v>124</v>
      </c>
      <c r="C30" s="57" t="s">
        <v>88</v>
      </c>
      <c r="D30" s="58" t="s">
        <v>392</v>
      </c>
      <c r="E30" s="59" t="s">
        <v>394</v>
      </c>
      <c r="F30" s="60" t="s">
        <v>65</v>
      </c>
      <c r="G30" s="60">
        <v>17</v>
      </c>
      <c r="H30" s="61">
        <f>67.68*1.2</f>
        <v>81.216000000000008</v>
      </c>
      <c r="I30" s="62">
        <f t="shared" si="0"/>
        <v>1380.672</v>
      </c>
    </row>
    <row r="31" spans="1:9" ht="50.25" customHeight="1" thickBot="1" x14ac:dyDescent="0.25">
      <c r="A31" s="56">
        <v>22</v>
      </c>
      <c r="B31" s="83" t="s">
        <v>430</v>
      </c>
      <c r="C31" s="57" t="s">
        <v>88</v>
      </c>
      <c r="D31" s="58" t="s">
        <v>392</v>
      </c>
      <c r="E31" s="83" t="s">
        <v>429</v>
      </c>
      <c r="F31" s="60" t="s">
        <v>67</v>
      </c>
      <c r="G31" s="60">
        <v>20</v>
      </c>
      <c r="H31" s="61">
        <f>65*1.2</f>
        <v>78</v>
      </c>
      <c r="I31" s="62">
        <f t="shared" si="0"/>
        <v>1560</v>
      </c>
    </row>
    <row r="32" spans="1:9" ht="46.5" customHeight="1" thickBot="1" x14ac:dyDescent="0.25">
      <c r="A32" s="56">
        <v>23</v>
      </c>
      <c r="B32" s="60" t="s">
        <v>237</v>
      </c>
      <c r="C32" s="57" t="s">
        <v>88</v>
      </c>
      <c r="D32" s="58" t="s">
        <v>392</v>
      </c>
      <c r="E32" s="59" t="s">
        <v>236</v>
      </c>
      <c r="F32" s="60" t="s">
        <v>67</v>
      </c>
      <c r="G32" s="60">
        <v>13</v>
      </c>
      <c r="H32" s="61">
        <f>32.94*1.2</f>
        <v>39.527999999999999</v>
      </c>
      <c r="I32" s="62">
        <f t="shared" si="0"/>
        <v>513.86400000000003</v>
      </c>
    </row>
    <row r="33" spans="1:9" ht="31.9" customHeight="1" thickBot="1" x14ac:dyDescent="0.25">
      <c r="A33" s="56">
        <v>24</v>
      </c>
      <c r="B33" s="60" t="s">
        <v>126</v>
      </c>
      <c r="C33" s="57" t="s">
        <v>88</v>
      </c>
      <c r="D33" s="58" t="s">
        <v>392</v>
      </c>
      <c r="E33" s="59" t="s">
        <v>125</v>
      </c>
      <c r="F33" s="60" t="s">
        <v>65</v>
      </c>
      <c r="G33" s="60">
        <v>4</v>
      </c>
      <c r="H33" s="61">
        <v>95</v>
      </c>
      <c r="I33" s="62">
        <f t="shared" si="0"/>
        <v>380</v>
      </c>
    </row>
    <row r="34" spans="1:9" ht="47.25" customHeight="1" thickBot="1" x14ac:dyDescent="0.25">
      <c r="A34" s="56">
        <v>25</v>
      </c>
      <c r="B34" s="60" t="s">
        <v>129</v>
      </c>
      <c r="C34" s="57" t="s">
        <v>88</v>
      </c>
      <c r="D34" s="58" t="s">
        <v>392</v>
      </c>
      <c r="E34" s="59" t="s">
        <v>127</v>
      </c>
      <c r="F34" s="60" t="s">
        <v>128</v>
      </c>
      <c r="G34" s="60">
        <v>1</v>
      </c>
      <c r="H34" s="61">
        <v>5600</v>
      </c>
      <c r="I34" s="62">
        <f t="shared" si="0"/>
        <v>5600</v>
      </c>
    </row>
    <row r="35" spans="1:9" ht="60" customHeight="1" thickBot="1" x14ac:dyDescent="0.25">
      <c r="A35" s="56">
        <v>26</v>
      </c>
      <c r="B35" s="60" t="s">
        <v>131</v>
      </c>
      <c r="C35" s="57" t="s">
        <v>88</v>
      </c>
      <c r="D35" s="58" t="s">
        <v>392</v>
      </c>
      <c r="E35" s="59" t="s">
        <v>130</v>
      </c>
      <c r="F35" s="60" t="s">
        <v>128</v>
      </c>
      <c r="G35" s="60">
        <v>1</v>
      </c>
      <c r="H35" s="61">
        <v>3400</v>
      </c>
      <c r="I35" s="62">
        <f t="shared" si="0"/>
        <v>3400</v>
      </c>
    </row>
    <row r="36" spans="1:9" ht="47.25" customHeight="1" thickBot="1" x14ac:dyDescent="0.25">
      <c r="A36" s="56">
        <v>27</v>
      </c>
      <c r="B36" s="60" t="s">
        <v>133</v>
      </c>
      <c r="C36" s="57" t="s">
        <v>88</v>
      </c>
      <c r="D36" s="58" t="s">
        <v>392</v>
      </c>
      <c r="E36" s="59" t="s">
        <v>132</v>
      </c>
      <c r="F36" s="60" t="s">
        <v>67</v>
      </c>
      <c r="G36" s="60">
        <v>67</v>
      </c>
      <c r="H36" s="61">
        <f>35.53*1.2</f>
        <v>42.636000000000003</v>
      </c>
      <c r="I36" s="62">
        <f t="shared" si="0"/>
        <v>2856.6120000000001</v>
      </c>
    </row>
    <row r="37" spans="1:9" ht="42" customHeight="1" thickBot="1" x14ac:dyDescent="0.25">
      <c r="A37" s="56">
        <v>28</v>
      </c>
      <c r="B37" s="60" t="s">
        <v>135</v>
      </c>
      <c r="C37" s="57" t="s">
        <v>88</v>
      </c>
      <c r="D37" s="58" t="s">
        <v>392</v>
      </c>
      <c r="E37" s="59" t="s">
        <v>134</v>
      </c>
      <c r="F37" s="60" t="s">
        <v>64</v>
      </c>
      <c r="G37" s="60">
        <v>7</v>
      </c>
      <c r="H37" s="61">
        <f>82*1.2</f>
        <v>98.399999999999991</v>
      </c>
      <c r="I37" s="62">
        <f t="shared" si="0"/>
        <v>688.8</v>
      </c>
    </row>
    <row r="38" spans="1:9" ht="45.75" customHeight="1" thickBot="1" x14ac:dyDescent="0.25">
      <c r="A38" s="56">
        <v>29</v>
      </c>
      <c r="B38" s="60" t="s">
        <v>137</v>
      </c>
      <c r="C38" s="57" t="s">
        <v>88</v>
      </c>
      <c r="D38" s="58" t="s">
        <v>392</v>
      </c>
      <c r="E38" s="59" t="s">
        <v>136</v>
      </c>
      <c r="F38" s="60" t="s">
        <v>65</v>
      </c>
      <c r="G38" s="60">
        <v>4</v>
      </c>
      <c r="H38" s="61">
        <f>170*1.2</f>
        <v>204</v>
      </c>
      <c r="I38" s="62">
        <f t="shared" si="0"/>
        <v>816</v>
      </c>
    </row>
    <row r="39" spans="1:9" ht="59.25" customHeight="1" thickBot="1" x14ac:dyDescent="0.25">
      <c r="A39" s="56">
        <v>30</v>
      </c>
      <c r="B39" s="60" t="s">
        <v>139</v>
      </c>
      <c r="C39" s="57" t="s">
        <v>88</v>
      </c>
      <c r="D39" s="58" t="s">
        <v>392</v>
      </c>
      <c r="E39" s="59" t="s">
        <v>138</v>
      </c>
      <c r="F39" s="60" t="s">
        <v>70</v>
      </c>
      <c r="G39" s="60">
        <v>100</v>
      </c>
      <c r="H39" s="61">
        <f>30.1*1.2</f>
        <v>36.119999999999997</v>
      </c>
      <c r="I39" s="62">
        <f t="shared" si="0"/>
        <v>3611.9999999999995</v>
      </c>
    </row>
    <row r="40" spans="1:9" ht="49.5" customHeight="1" thickBot="1" x14ac:dyDescent="0.25">
      <c r="A40" s="56">
        <v>31</v>
      </c>
      <c r="B40" s="60" t="s">
        <v>141</v>
      </c>
      <c r="C40" s="57" t="s">
        <v>88</v>
      </c>
      <c r="D40" s="58" t="s">
        <v>392</v>
      </c>
      <c r="E40" s="59" t="s">
        <v>140</v>
      </c>
      <c r="F40" s="60" t="s">
        <v>70</v>
      </c>
      <c r="G40" s="60">
        <v>33</v>
      </c>
      <c r="H40" s="61">
        <f>135*1.2</f>
        <v>162</v>
      </c>
      <c r="I40" s="62">
        <f t="shared" si="0"/>
        <v>5346</v>
      </c>
    </row>
    <row r="41" spans="1:9" ht="42.75" customHeight="1" thickBot="1" x14ac:dyDescent="0.25">
      <c r="A41" s="56">
        <v>32</v>
      </c>
      <c r="B41" s="60" t="s">
        <v>143</v>
      </c>
      <c r="C41" s="57" t="s">
        <v>88</v>
      </c>
      <c r="D41" s="58" t="s">
        <v>392</v>
      </c>
      <c r="E41" s="59" t="s">
        <v>142</v>
      </c>
      <c r="F41" s="60" t="s">
        <v>70</v>
      </c>
      <c r="G41" s="60">
        <v>100</v>
      </c>
      <c r="H41" s="61">
        <f>57.32*1.2</f>
        <v>68.783999999999992</v>
      </c>
      <c r="I41" s="62">
        <f t="shared" si="0"/>
        <v>6878.4</v>
      </c>
    </row>
    <row r="42" spans="1:9" ht="46.5" customHeight="1" thickBot="1" x14ac:dyDescent="0.25">
      <c r="A42" s="56">
        <v>33</v>
      </c>
      <c r="B42" s="60" t="s">
        <v>145</v>
      </c>
      <c r="C42" s="57" t="s">
        <v>88</v>
      </c>
      <c r="D42" s="58" t="s">
        <v>392</v>
      </c>
      <c r="E42" s="59" t="s">
        <v>144</v>
      </c>
      <c r="F42" s="60" t="s">
        <v>70</v>
      </c>
      <c r="G42" s="60">
        <v>200</v>
      </c>
      <c r="H42" s="61">
        <f>165*1.2</f>
        <v>198</v>
      </c>
      <c r="I42" s="62">
        <f t="shared" si="0"/>
        <v>39600</v>
      </c>
    </row>
    <row r="43" spans="1:9" ht="58.5" customHeight="1" thickBot="1" x14ac:dyDescent="0.25">
      <c r="A43" s="56">
        <v>34</v>
      </c>
      <c r="B43" s="60" t="s">
        <v>147</v>
      </c>
      <c r="C43" s="57" t="s">
        <v>88</v>
      </c>
      <c r="D43" s="58" t="s">
        <v>392</v>
      </c>
      <c r="E43" s="59" t="s">
        <v>146</v>
      </c>
      <c r="F43" s="60" t="s">
        <v>70</v>
      </c>
      <c r="G43" s="60">
        <v>200</v>
      </c>
      <c r="H43" s="61">
        <f>210*1.2</f>
        <v>252</v>
      </c>
      <c r="I43" s="62">
        <f t="shared" si="0"/>
        <v>50400</v>
      </c>
    </row>
    <row r="44" spans="1:9" ht="42.75" customHeight="1" thickBot="1" x14ac:dyDescent="0.25">
      <c r="A44" s="56">
        <v>35</v>
      </c>
      <c r="B44" s="60" t="s">
        <v>149</v>
      </c>
      <c r="C44" s="57" t="s">
        <v>88</v>
      </c>
      <c r="D44" s="58" t="s">
        <v>392</v>
      </c>
      <c r="E44" s="59" t="s">
        <v>148</v>
      </c>
      <c r="F44" s="60" t="s">
        <v>70</v>
      </c>
      <c r="G44" s="60">
        <v>67</v>
      </c>
      <c r="H44" s="61">
        <f>58.25*1.2</f>
        <v>69.899999999999991</v>
      </c>
      <c r="I44" s="62">
        <f t="shared" si="0"/>
        <v>4683.2999999999993</v>
      </c>
    </row>
    <row r="45" spans="1:9" s="82" customFormat="1" ht="31.9" customHeight="1" thickBot="1" x14ac:dyDescent="0.25">
      <c r="A45" s="56">
        <v>36</v>
      </c>
      <c r="B45" s="60" t="s">
        <v>151</v>
      </c>
      <c r="C45" s="79" t="s">
        <v>88</v>
      </c>
      <c r="D45" s="80" t="s">
        <v>392</v>
      </c>
      <c r="E45" s="81" t="s">
        <v>150</v>
      </c>
      <c r="F45" s="60" t="s">
        <v>71</v>
      </c>
      <c r="G45" s="60">
        <v>5</v>
      </c>
      <c r="H45" s="61">
        <f>(82.05*6)*1.2</f>
        <v>590.75999999999988</v>
      </c>
      <c r="I45" s="62">
        <f t="shared" si="0"/>
        <v>2953.7999999999993</v>
      </c>
    </row>
    <row r="46" spans="1:9" ht="31.9" customHeight="1" thickBot="1" x14ac:dyDescent="0.25">
      <c r="A46" s="56">
        <v>37</v>
      </c>
      <c r="B46" s="60" t="s">
        <v>153</v>
      </c>
      <c r="C46" s="57" t="s">
        <v>88</v>
      </c>
      <c r="D46" s="58" t="s">
        <v>392</v>
      </c>
      <c r="E46" s="59" t="s">
        <v>152</v>
      </c>
      <c r="F46" s="60" t="s">
        <v>70</v>
      </c>
      <c r="G46" s="60">
        <v>67</v>
      </c>
      <c r="H46" s="61">
        <f>66.84*1.2</f>
        <v>80.207999999999998</v>
      </c>
      <c r="I46" s="62">
        <f t="shared" si="0"/>
        <v>5373.9359999999997</v>
      </c>
    </row>
    <row r="47" spans="1:9" ht="43.5" customHeight="1" thickBot="1" x14ac:dyDescent="0.25">
      <c r="A47" s="56">
        <v>38</v>
      </c>
      <c r="B47" s="60" t="s">
        <v>155</v>
      </c>
      <c r="C47" s="57" t="s">
        <v>88</v>
      </c>
      <c r="D47" s="58" t="s">
        <v>392</v>
      </c>
      <c r="E47" s="59" t="s">
        <v>154</v>
      </c>
      <c r="F47" s="60" t="s">
        <v>67</v>
      </c>
      <c r="G47" s="60">
        <v>100</v>
      </c>
      <c r="H47" s="61">
        <f>42.36*1.2</f>
        <v>50.832000000000001</v>
      </c>
      <c r="I47" s="62">
        <f t="shared" si="0"/>
        <v>5083.2</v>
      </c>
    </row>
    <row r="48" spans="1:9" ht="31.9" customHeight="1" thickBot="1" x14ac:dyDescent="0.25">
      <c r="A48" s="56">
        <v>39</v>
      </c>
      <c r="B48" s="60" t="s">
        <v>158</v>
      </c>
      <c r="C48" s="57" t="s">
        <v>88</v>
      </c>
      <c r="D48" s="58" t="s">
        <v>392</v>
      </c>
      <c r="E48" s="59" t="s">
        <v>157</v>
      </c>
      <c r="F48" s="60" t="s">
        <v>73</v>
      </c>
      <c r="G48" s="60">
        <v>13</v>
      </c>
      <c r="H48" s="61">
        <f>785*1.2</f>
        <v>942</v>
      </c>
      <c r="I48" s="62">
        <f t="shared" si="0"/>
        <v>12246</v>
      </c>
    </row>
    <row r="49" spans="1:9" ht="31.9" customHeight="1" thickBot="1" x14ac:dyDescent="0.25">
      <c r="A49" s="56">
        <v>40</v>
      </c>
      <c r="B49" s="60" t="s">
        <v>159</v>
      </c>
      <c r="C49" s="57" t="s">
        <v>88</v>
      </c>
      <c r="D49" s="58" t="s">
        <v>392</v>
      </c>
      <c r="E49" s="59" t="s">
        <v>156</v>
      </c>
      <c r="F49" s="60" t="s">
        <v>73</v>
      </c>
      <c r="G49" s="60">
        <v>13</v>
      </c>
      <c r="H49" s="61">
        <f>762.56*1.2</f>
        <v>915.07199999999989</v>
      </c>
      <c r="I49" s="62">
        <f t="shared" si="0"/>
        <v>11895.935999999998</v>
      </c>
    </row>
    <row r="50" spans="1:9" ht="62.25" customHeight="1" thickBot="1" x14ac:dyDescent="0.25">
      <c r="A50" s="56">
        <v>41</v>
      </c>
      <c r="B50" s="60" t="s">
        <v>161</v>
      </c>
      <c r="C50" s="57" t="s">
        <v>88</v>
      </c>
      <c r="D50" s="58" t="s">
        <v>392</v>
      </c>
      <c r="E50" s="59" t="s">
        <v>160</v>
      </c>
      <c r="F50" s="60" t="s">
        <v>70</v>
      </c>
      <c r="G50" s="60">
        <v>17</v>
      </c>
      <c r="H50" s="61">
        <f>45.05*1.2</f>
        <v>54.059999999999995</v>
      </c>
      <c r="I50" s="62">
        <f t="shared" si="0"/>
        <v>919.01999999999987</v>
      </c>
    </row>
    <row r="51" spans="1:9" ht="31.9" customHeight="1" thickBot="1" x14ac:dyDescent="0.25">
      <c r="A51" s="56">
        <v>42</v>
      </c>
      <c r="B51" s="60" t="s">
        <v>163</v>
      </c>
      <c r="C51" s="57" t="s">
        <v>88</v>
      </c>
      <c r="D51" s="58" t="s">
        <v>392</v>
      </c>
      <c r="E51" s="59" t="s">
        <v>162</v>
      </c>
      <c r="F51" s="60" t="s">
        <v>69</v>
      </c>
      <c r="G51" s="60">
        <v>3</v>
      </c>
      <c r="H51" s="61">
        <f>1586*1.2</f>
        <v>1903.1999999999998</v>
      </c>
      <c r="I51" s="62">
        <f t="shared" si="0"/>
        <v>5709.5999999999995</v>
      </c>
    </row>
    <row r="52" spans="1:9" ht="31.9" customHeight="1" thickBot="1" x14ac:dyDescent="0.25">
      <c r="A52" s="56">
        <v>43</v>
      </c>
      <c r="B52" s="60" t="s">
        <v>165</v>
      </c>
      <c r="C52" s="57" t="s">
        <v>88</v>
      </c>
      <c r="D52" s="58" t="s">
        <v>392</v>
      </c>
      <c r="E52" s="59" t="s">
        <v>164</v>
      </c>
      <c r="F52" s="60" t="s">
        <v>69</v>
      </c>
      <c r="G52" s="60">
        <v>3</v>
      </c>
      <c r="H52" s="61">
        <f>1112.6*1.2</f>
        <v>1335.12</v>
      </c>
      <c r="I52" s="62">
        <f t="shared" si="0"/>
        <v>4005.3599999999997</v>
      </c>
    </row>
    <row r="53" spans="1:9" ht="39.75" customHeight="1" thickBot="1" x14ac:dyDescent="0.25">
      <c r="A53" s="56">
        <v>44</v>
      </c>
      <c r="B53" s="60" t="s">
        <v>167</v>
      </c>
      <c r="C53" s="57" t="s">
        <v>88</v>
      </c>
      <c r="D53" s="58" t="s">
        <v>392</v>
      </c>
      <c r="E53" s="59" t="s">
        <v>166</v>
      </c>
      <c r="F53" s="60" t="s">
        <v>69</v>
      </c>
      <c r="G53" s="60">
        <v>1</v>
      </c>
      <c r="H53" s="61">
        <f>3765.6*1.2</f>
        <v>4518.7199999999993</v>
      </c>
      <c r="I53" s="62">
        <f t="shared" si="0"/>
        <v>4518.7199999999993</v>
      </c>
    </row>
    <row r="54" spans="1:9" ht="39" customHeight="1" thickBot="1" x14ac:dyDescent="0.25">
      <c r="A54" s="56">
        <v>45</v>
      </c>
      <c r="B54" s="60" t="s">
        <v>169</v>
      </c>
      <c r="C54" s="57" t="s">
        <v>88</v>
      </c>
      <c r="D54" s="58" t="s">
        <v>392</v>
      </c>
      <c r="E54" s="59" t="s">
        <v>168</v>
      </c>
      <c r="F54" s="60" t="s">
        <v>69</v>
      </c>
      <c r="G54" s="60">
        <v>1</v>
      </c>
      <c r="H54" s="61">
        <f>1210.8*1.2</f>
        <v>1452.9599999999998</v>
      </c>
      <c r="I54" s="62">
        <f t="shared" si="0"/>
        <v>1452.9599999999998</v>
      </c>
    </row>
    <row r="55" spans="1:9" ht="45.75" customHeight="1" thickBot="1" x14ac:dyDescent="0.25">
      <c r="A55" s="56">
        <v>46</v>
      </c>
      <c r="B55" s="60" t="s">
        <v>171</v>
      </c>
      <c r="C55" s="57" t="s">
        <v>88</v>
      </c>
      <c r="D55" s="58" t="s">
        <v>392</v>
      </c>
      <c r="E55" s="59" t="s">
        <v>170</v>
      </c>
      <c r="F55" s="60" t="s">
        <v>69</v>
      </c>
      <c r="G55" s="60">
        <v>1000</v>
      </c>
      <c r="H55" s="61">
        <f>105.9*1.2</f>
        <v>127.08</v>
      </c>
      <c r="I55" s="62">
        <f t="shared" si="0"/>
        <v>127080</v>
      </c>
    </row>
    <row r="56" spans="1:9" ht="41.25" customHeight="1" thickBot="1" x14ac:dyDescent="0.25">
      <c r="A56" s="56">
        <v>47</v>
      </c>
      <c r="B56" s="60" t="s">
        <v>225</v>
      </c>
      <c r="C56" s="57" t="s">
        <v>88</v>
      </c>
      <c r="D56" s="58" t="s">
        <v>392</v>
      </c>
      <c r="E56" s="59" t="s">
        <v>224</v>
      </c>
      <c r="F56" s="60" t="s">
        <v>73</v>
      </c>
      <c r="G56" s="60">
        <v>160</v>
      </c>
      <c r="H56" s="61">
        <f>495*1.2</f>
        <v>594</v>
      </c>
      <c r="I56" s="62">
        <f t="shared" si="0"/>
        <v>95040</v>
      </c>
    </row>
    <row r="57" spans="1:9" ht="48.75" customHeight="1" thickBot="1" x14ac:dyDescent="0.25">
      <c r="A57" s="56">
        <v>48</v>
      </c>
      <c r="B57" s="60" t="s">
        <v>173</v>
      </c>
      <c r="C57" s="57" t="s">
        <v>88</v>
      </c>
      <c r="D57" s="58" t="s">
        <v>392</v>
      </c>
      <c r="E57" s="59" t="s">
        <v>172</v>
      </c>
      <c r="F57" s="60" t="s">
        <v>68</v>
      </c>
      <c r="G57" s="60">
        <v>70</v>
      </c>
      <c r="H57" s="61">
        <f>780*1.2</f>
        <v>936</v>
      </c>
      <c r="I57" s="62">
        <f t="shared" si="0"/>
        <v>65520</v>
      </c>
    </row>
    <row r="58" spans="1:9" ht="61.5" customHeight="1" thickBot="1" x14ac:dyDescent="0.25">
      <c r="A58" s="56">
        <v>49</v>
      </c>
      <c r="B58" s="60" t="s">
        <v>175</v>
      </c>
      <c r="C58" s="57" t="s">
        <v>88</v>
      </c>
      <c r="D58" s="58" t="s">
        <v>392</v>
      </c>
      <c r="E58" s="59" t="s">
        <v>174</v>
      </c>
      <c r="F58" s="60" t="s">
        <v>69</v>
      </c>
      <c r="G58" s="60">
        <v>100</v>
      </c>
      <c r="H58" s="61">
        <f>390*1.2</f>
        <v>468</v>
      </c>
      <c r="I58" s="62">
        <f t="shared" si="0"/>
        <v>46800</v>
      </c>
    </row>
    <row r="59" spans="1:9" ht="31.9" customHeight="1" thickBot="1" x14ac:dyDescent="0.25">
      <c r="A59" s="56">
        <v>50</v>
      </c>
      <c r="B59" s="60" t="s">
        <v>177</v>
      </c>
      <c r="C59" s="57" t="s">
        <v>88</v>
      </c>
      <c r="D59" s="58" t="s">
        <v>392</v>
      </c>
      <c r="E59" s="59" t="s">
        <v>176</v>
      </c>
      <c r="F59" s="60" t="s">
        <v>69</v>
      </c>
      <c r="G59" s="60">
        <v>1500</v>
      </c>
      <c r="H59" s="61">
        <f>154*1.2</f>
        <v>184.79999999999998</v>
      </c>
      <c r="I59" s="62">
        <f t="shared" si="0"/>
        <v>277200</v>
      </c>
    </row>
    <row r="60" spans="1:9" ht="31.9" customHeight="1" thickBot="1" x14ac:dyDescent="0.25">
      <c r="A60" s="56">
        <v>51</v>
      </c>
      <c r="B60" s="60" t="s">
        <v>239</v>
      </c>
      <c r="C60" s="57" t="s">
        <v>88</v>
      </c>
      <c r="D60" s="58" t="s">
        <v>392</v>
      </c>
      <c r="E60" s="59" t="s">
        <v>238</v>
      </c>
      <c r="F60" s="60" t="s">
        <v>73</v>
      </c>
      <c r="G60" s="60">
        <v>1500</v>
      </c>
      <c r="H60" s="61">
        <f>21*1.2</f>
        <v>25.2</v>
      </c>
      <c r="I60" s="62">
        <f t="shared" si="0"/>
        <v>37800</v>
      </c>
    </row>
    <row r="61" spans="1:9" ht="31.9" customHeight="1" thickBot="1" x14ac:dyDescent="0.25">
      <c r="A61" s="56">
        <v>52</v>
      </c>
      <c r="B61" s="60" t="s">
        <v>179</v>
      </c>
      <c r="C61" s="57" t="s">
        <v>88</v>
      </c>
      <c r="D61" s="58" t="s">
        <v>392</v>
      </c>
      <c r="E61" s="59" t="s">
        <v>178</v>
      </c>
      <c r="F61" s="60" t="s">
        <v>73</v>
      </c>
      <c r="G61" s="60">
        <v>1500</v>
      </c>
      <c r="H61" s="61">
        <f>21*1.2</f>
        <v>25.2</v>
      </c>
      <c r="I61" s="62">
        <f t="shared" si="0"/>
        <v>37800</v>
      </c>
    </row>
    <row r="62" spans="1:9" ht="31.9" customHeight="1" thickBot="1" x14ac:dyDescent="0.25">
      <c r="A62" s="56">
        <v>53</v>
      </c>
      <c r="B62" s="60" t="s">
        <v>183</v>
      </c>
      <c r="C62" s="57" t="s">
        <v>88</v>
      </c>
      <c r="D62" s="58" t="s">
        <v>392</v>
      </c>
      <c r="E62" s="59" t="s">
        <v>180</v>
      </c>
      <c r="F62" s="60" t="s">
        <v>68</v>
      </c>
      <c r="G62" s="60">
        <v>13</v>
      </c>
      <c r="H62" s="61">
        <f>155*1.2</f>
        <v>186</v>
      </c>
      <c r="I62" s="62">
        <f t="shared" si="0"/>
        <v>2418</v>
      </c>
    </row>
    <row r="63" spans="1:9" ht="31.9" customHeight="1" thickBot="1" x14ac:dyDescent="0.25">
      <c r="A63" s="56">
        <v>54</v>
      </c>
      <c r="B63" s="60" t="s">
        <v>182</v>
      </c>
      <c r="C63" s="57" t="s">
        <v>88</v>
      </c>
      <c r="D63" s="58" t="s">
        <v>392</v>
      </c>
      <c r="E63" s="59" t="s">
        <v>181</v>
      </c>
      <c r="F63" s="60" t="s">
        <v>73</v>
      </c>
      <c r="G63" s="60">
        <v>60</v>
      </c>
      <c r="H63" s="61">
        <f>67*1.2</f>
        <v>80.399999999999991</v>
      </c>
      <c r="I63" s="62">
        <f t="shared" si="0"/>
        <v>4823.9999999999991</v>
      </c>
    </row>
    <row r="64" spans="1:9" ht="31.9" customHeight="1" thickBot="1" x14ac:dyDescent="0.25">
      <c r="A64" s="56">
        <v>55</v>
      </c>
      <c r="B64" s="60" t="s">
        <v>187</v>
      </c>
      <c r="C64" s="57" t="s">
        <v>88</v>
      </c>
      <c r="D64" s="58" t="s">
        <v>392</v>
      </c>
      <c r="E64" s="59" t="s">
        <v>186</v>
      </c>
      <c r="F64" s="60" t="s">
        <v>73</v>
      </c>
      <c r="G64" s="60">
        <v>10</v>
      </c>
      <c r="H64" s="61">
        <f>370*1.2</f>
        <v>444</v>
      </c>
      <c r="I64" s="62">
        <f t="shared" si="0"/>
        <v>4440</v>
      </c>
    </row>
    <row r="65" spans="1:9" ht="60" customHeight="1" thickBot="1" x14ac:dyDescent="0.25">
      <c r="A65" s="56">
        <v>56</v>
      </c>
      <c r="B65" s="60" t="s">
        <v>185</v>
      </c>
      <c r="C65" s="57" t="s">
        <v>88</v>
      </c>
      <c r="D65" s="58" t="s">
        <v>392</v>
      </c>
      <c r="E65" s="59" t="s">
        <v>184</v>
      </c>
      <c r="F65" s="60" t="s">
        <v>65</v>
      </c>
      <c r="G65" s="60">
        <v>17</v>
      </c>
      <c r="H65" s="61">
        <f>270*1.2</f>
        <v>324</v>
      </c>
      <c r="I65" s="62">
        <f t="shared" si="0"/>
        <v>5508</v>
      </c>
    </row>
    <row r="66" spans="1:9" ht="51" customHeight="1" thickBot="1" x14ac:dyDescent="0.25">
      <c r="A66" s="56">
        <v>57</v>
      </c>
      <c r="B66" s="60" t="s">
        <v>243</v>
      </c>
      <c r="C66" s="57" t="s">
        <v>88</v>
      </c>
      <c r="D66" s="58" t="s">
        <v>392</v>
      </c>
      <c r="E66" s="59" t="s">
        <v>242</v>
      </c>
      <c r="F66" s="60" t="s">
        <v>65</v>
      </c>
      <c r="G66" s="60">
        <v>10</v>
      </c>
      <c r="H66" s="61">
        <f>80*1.2</f>
        <v>96</v>
      </c>
      <c r="I66" s="62">
        <f t="shared" si="0"/>
        <v>960</v>
      </c>
    </row>
    <row r="67" spans="1:9" ht="47.25" customHeight="1" thickBot="1" x14ac:dyDescent="0.25">
      <c r="A67" s="56">
        <v>58</v>
      </c>
      <c r="B67" s="60" t="s">
        <v>199</v>
      </c>
      <c r="C67" s="57" t="s">
        <v>88</v>
      </c>
      <c r="D67" s="58" t="s">
        <v>392</v>
      </c>
      <c r="E67" s="59" t="s">
        <v>198</v>
      </c>
      <c r="F67" s="60" t="s">
        <v>74</v>
      </c>
      <c r="G67" s="60">
        <v>1334</v>
      </c>
      <c r="H67" s="61">
        <f>21.3333333333333*1.2</f>
        <v>25.599999999999959</v>
      </c>
      <c r="I67" s="62">
        <f t="shared" si="0"/>
        <v>34150.399999999943</v>
      </c>
    </row>
    <row r="68" spans="1:9" ht="49.5" customHeight="1" thickBot="1" x14ac:dyDescent="0.25">
      <c r="A68" s="56">
        <v>59</v>
      </c>
      <c r="B68" s="60" t="s">
        <v>189</v>
      </c>
      <c r="C68" s="57" t="s">
        <v>88</v>
      </c>
      <c r="D68" s="58" t="s">
        <v>392</v>
      </c>
      <c r="E68" s="59" t="s">
        <v>188</v>
      </c>
      <c r="F68" s="60" t="s">
        <v>68</v>
      </c>
      <c r="G68" s="60">
        <v>30</v>
      </c>
      <c r="H68" s="61">
        <f>1350*1.2</f>
        <v>1620</v>
      </c>
      <c r="I68" s="62">
        <f t="shared" si="0"/>
        <v>48600</v>
      </c>
    </row>
    <row r="69" spans="1:9" ht="51" customHeight="1" thickBot="1" x14ac:dyDescent="0.25">
      <c r="A69" s="56">
        <v>60</v>
      </c>
      <c r="B69" s="60" t="s">
        <v>191</v>
      </c>
      <c r="C69" s="57" t="s">
        <v>88</v>
      </c>
      <c r="D69" s="58" t="s">
        <v>392</v>
      </c>
      <c r="E69" s="59" t="s">
        <v>190</v>
      </c>
      <c r="F69" s="60" t="s">
        <v>72</v>
      </c>
      <c r="G69" s="60">
        <v>30</v>
      </c>
      <c r="H69" s="61">
        <f>1250*1.2</f>
        <v>1500</v>
      </c>
      <c r="I69" s="62">
        <f t="shared" si="0"/>
        <v>45000</v>
      </c>
    </row>
    <row r="70" spans="1:9" ht="46.5" customHeight="1" thickBot="1" x14ac:dyDescent="0.25">
      <c r="A70" s="56">
        <v>61</v>
      </c>
      <c r="B70" s="60" t="s">
        <v>193</v>
      </c>
      <c r="C70" s="57" t="s">
        <v>88</v>
      </c>
      <c r="D70" s="58" t="s">
        <v>392</v>
      </c>
      <c r="E70" s="59" t="s">
        <v>192</v>
      </c>
      <c r="F70" s="60" t="s">
        <v>68</v>
      </c>
      <c r="G70" s="60">
        <v>30</v>
      </c>
      <c r="H70" s="61">
        <f>900*1.2</f>
        <v>1080</v>
      </c>
      <c r="I70" s="62">
        <f t="shared" si="0"/>
        <v>32400</v>
      </c>
    </row>
    <row r="71" spans="1:9" ht="49.5" customHeight="1" thickBot="1" x14ac:dyDescent="0.25">
      <c r="A71" s="56">
        <v>62</v>
      </c>
      <c r="B71" s="60" t="s">
        <v>195</v>
      </c>
      <c r="C71" s="57" t="s">
        <v>88</v>
      </c>
      <c r="D71" s="58" t="s">
        <v>392</v>
      </c>
      <c r="E71" s="59" t="s">
        <v>194</v>
      </c>
      <c r="F71" s="60" t="s">
        <v>69</v>
      </c>
      <c r="G71" s="60">
        <v>100</v>
      </c>
      <c r="H71" s="61">
        <f>240*1.2</f>
        <v>288</v>
      </c>
      <c r="I71" s="62">
        <f t="shared" si="0"/>
        <v>28800</v>
      </c>
    </row>
    <row r="72" spans="1:9" ht="47.25" customHeight="1" thickBot="1" x14ac:dyDescent="0.25">
      <c r="A72" s="56">
        <v>63</v>
      </c>
      <c r="B72" s="60" t="s">
        <v>197</v>
      </c>
      <c r="C72" s="57" t="s">
        <v>88</v>
      </c>
      <c r="D72" s="58" t="s">
        <v>392</v>
      </c>
      <c r="E72" s="59" t="s">
        <v>196</v>
      </c>
      <c r="F72" s="60" t="s">
        <v>72</v>
      </c>
      <c r="G72" s="60">
        <v>30</v>
      </c>
      <c r="H72" s="61">
        <f>1275*1.2</f>
        <v>1530</v>
      </c>
      <c r="I72" s="62">
        <f t="shared" ref="I72:I95" si="1">G72*H72</f>
        <v>45900</v>
      </c>
    </row>
    <row r="73" spans="1:9" ht="50.25" customHeight="1" thickBot="1" x14ac:dyDescent="0.25">
      <c r="A73" s="56">
        <v>64</v>
      </c>
      <c r="B73" s="60" t="s">
        <v>201</v>
      </c>
      <c r="C73" s="57" t="s">
        <v>88</v>
      </c>
      <c r="D73" s="58" t="s">
        <v>392</v>
      </c>
      <c r="E73" s="59" t="s">
        <v>200</v>
      </c>
      <c r="F73" s="60" t="s">
        <v>68</v>
      </c>
      <c r="G73" s="60">
        <v>20</v>
      </c>
      <c r="H73" s="61">
        <f>850*1.2</f>
        <v>1020</v>
      </c>
      <c r="I73" s="62">
        <f t="shared" si="1"/>
        <v>20400</v>
      </c>
    </row>
    <row r="74" spans="1:9" ht="47.25" customHeight="1" thickBot="1" x14ac:dyDescent="0.25">
      <c r="A74" s="56">
        <v>65</v>
      </c>
      <c r="B74" s="60" t="s">
        <v>203</v>
      </c>
      <c r="C74" s="57" t="s">
        <v>88</v>
      </c>
      <c r="D74" s="58" t="s">
        <v>392</v>
      </c>
      <c r="E74" s="59" t="s">
        <v>202</v>
      </c>
      <c r="F74" s="60" t="s">
        <v>74</v>
      </c>
      <c r="G74" s="60">
        <v>5</v>
      </c>
      <c r="H74" s="61">
        <f>80*1.2</f>
        <v>96</v>
      </c>
      <c r="I74" s="62">
        <f t="shared" si="1"/>
        <v>480</v>
      </c>
    </row>
    <row r="75" spans="1:9" ht="45.75" customHeight="1" thickBot="1" x14ac:dyDescent="0.25">
      <c r="A75" s="56">
        <v>66</v>
      </c>
      <c r="B75" s="60" t="s">
        <v>205</v>
      </c>
      <c r="C75" s="57" t="s">
        <v>88</v>
      </c>
      <c r="D75" s="58" t="s">
        <v>392</v>
      </c>
      <c r="E75" s="59" t="s">
        <v>204</v>
      </c>
      <c r="F75" s="60" t="s">
        <v>74</v>
      </c>
      <c r="G75" s="60">
        <v>150</v>
      </c>
      <c r="H75" s="61">
        <f>255*1.2</f>
        <v>306</v>
      </c>
      <c r="I75" s="62">
        <f t="shared" si="1"/>
        <v>45900</v>
      </c>
    </row>
    <row r="76" spans="1:9" ht="45.75" customHeight="1" thickBot="1" x14ac:dyDescent="0.25">
      <c r="A76" s="56">
        <v>67</v>
      </c>
      <c r="B76" s="60" t="s">
        <v>241</v>
      </c>
      <c r="C76" s="57" t="s">
        <v>88</v>
      </c>
      <c r="D76" s="58" t="s">
        <v>392</v>
      </c>
      <c r="E76" s="59" t="s">
        <v>240</v>
      </c>
      <c r="F76" s="60" t="s">
        <v>68</v>
      </c>
      <c r="G76" s="60">
        <v>60</v>
      </c>
      <c r="H76" s="61">
        <f>750*1.2</f>
        <v>900</v>
      </c>
      <c r="I76" s="62">
        <f t="shared" si="1"/>
        <v>54000</v>
      </c>
    </row>
    <row r="77" spans="1:9" ht="45.75" customHeight="1" thickBot="1" x14ac:dyDescent="0.25">
      <c r="A77" s="56">
        <v>68</v>
      </c>
      <c r="B77" s="60" t="s">
        <v>207</v>
      </c>
      <c r="C77" s="57" t="s">
        <v>88</v>
      </c>
      <c r="D77" s="58" t="s">
        <v>392</v>
      </c>
      <c r="E77" s="59" t="s">
        <v>206</v>
      </c>
      <c r="F77" s="60" t="s">
        <v>69</v>
      </c>
      <c r="G77" s="60">
        <v>200</v>
      </c>
      <c r="H77" s="61">
        <f>55*1.2</f>
        <v>66</v>
      </c>
      <c r="I77" s="62">
        <f t="shared" si="1"/>
        <v>13200</v>
      </c>
    </row>
    <row r="78" spans="1:9" ht="43.5" customHeight="1" thickBot="1" x14ac:dyDescent="0.25">
      <c r="A78" s="56">
        <v>69</v>
      </c>
      <c r="B78" s="60" t="s">
        <v>209</v>
      </c>
      <c r="C78" s="57" t="s">
        <v>88</v>
      </c>
      <c r="D78" s="58" t="s">
        <v>392</v>
      </c>
      <c r="E78" s="59" t="s">
        <v>208</v>
      </c>
      <c r="F78" s="60" t="s">
        <v>69</v>
      </c>
      <c r="G78" s="60">
        <v>20</v>
      </c>
      <c r="H78" s="61">
        <f>90*1.2</f>
        <v>108</v>
      </c>
      <c r="I78" s="62">
        <f t="shared" si="1"/>
        <v>2160</v>
      </c>
    </row>
    <row r="79" spans="1:9" ht="43.5" customHeight="1" thickBot="1" x14ac:dyDescent="0.25">
      <c r="A79" s="56">
        <v>70</v>
      </c>
      <c r="B79" s="60" t="s">
        <v>211</v>
      </c>
      <c r="C79" s="57" t="s">
        <v>88</v>
      </c>
      <c r="D79" s="58" t="s">
        <v>392</v>
      </c>
      <c r="E79" s="59" t="s">
        <v>210</v>
      </c>
      <c r="F79" s="60" t="s">
        <v>72</v>
      </c>
      <c r="G79" s="60">
        <v>20</v>
      </c>
      <c r="H79" s="61">
        <f>950*1.2</f>
        <v>1140</v>
      </c>
      <c r="I79" s="62">
        <f t="shared" si="1"/>
        <v>22800</v>
      </c>
    </row>
    <row r="80" spans="1:9" ht="42.75" customHeight="1" thickBot="1" x14ac:dyDescent="0.25">
      <c r="A80" s="56">
        <v>71</v>
      </c>
      <c r="B80" s="60" t="s">
        <v>213</v>
      </c>
      <c r="C80" s="57" t="s">
        <v>88</v>
      </c>
      <c r="D80" s="58" t="s">
        <v>392</v>
      </c>
      <c r="E80" s="59" t="s">
        <v>212</v>
      </c>
      <c r="F80" s="60" t="s">
        <v>69</v>
      </c>
      <c r="G80" s="60">
        <v>20</v>
      </c>
      <c r="H80" s="61">
        <f>65*1.2</f>
        <v>78</v>
      </c>
      <c r="I80" s="62">
        <f t="shared" si="1"/>
        <v>1560</v>
      </c>
    </row>
    <row r="81" spans="1:9" ht="47.25" customHeight="1" thickBot="1" x14ac:dyDescent="0.25">
      <c r="A81" s="56">
        <v>72</v>
      </c>
      <c r="B81" s="60" t="s">
        <v>215</v>
      </c>
      <c r="C81" s="57" t="s">
        <v>88</v>
      </c>
      <c r="D81" s="58" t="s">
        <v>392</v>
      </c>
      <c r="E81" s="59" t="s">
        <v>214</v>
      </c>
      <c r="F81" s="60" t="s">
        <v>72</v>
      </c>
      <c r="G81" s="60">
        <v>40</v>
      </c>
      <c r="H81" s="61">
        <f>2150*1.2</f>
        <v>2580</v>
      </c>
      <c r="I81" s="62">
        <f t="shared" si="1"/>
        <v>103200</v>
      </c>
    </row>
    <row r="82" spans="1:9" ht="38.25" customHeight="1" thickBot="1" x14ac:dyDescent="0.25">
      <c r="A82" s="56">
        <v>73</v>
      </c>
      <c r="B82" s="60" t="s">
        <v>217</v>
      </c>
      <c r="C82" s="57" t="s">
        <v>88</v>
      </c>
      <c r="D82" s="58" t="s">
        <v>392</v>
      </c>
      <c r="E82" s="59" t="s">
        <v>216</v>
      </c>
      <c r="F82" s="60" t="s">
        <v>72</v>
      </c>
      <c r="G82" s="60">
        <v>40</v>
      </c>
      <c r="H82" s="61">
        <f>2200*1.2</f>
        <v>2640</v>
      </c>
      <c r="I82" s="62">
        <f t="shared" si="1"/>
        <v>105600</v>
      </c>
    </row>
    <row r="83" spans="1:9" ht="49.5" customHeight="1" thickBot="1" x14ac:dyDescent="0.25">
      <c r="A83" s="56">
        <v>74</v>
      </c>
      <c r="B83" s="60" t="s">
        <v>219</v>
      </c>
      <c r="C83" s="57" t="s">
        <v>88</v>
      </c>
      <c r="D83" s="58" t="s">
        <v>392</v>
      </c>
      <c r="E83" s="59" t="s">
        <v>218</v>
      </c>
      <c r="F83" s="60" t="s">
        <v>72</v>
      </c>
      <c r="G83" s="60">
        <v>30</v>
      </c>
      <c r="H83" s="61">
        <f>750*1.2</f>
        <v>900</v>
      </c>
      <c r="I83" s="62">
        <f t="shared" si="1"/>
        <v>27000</v>
      </c>
    </row>
    <row r="84" spans="1:9" ht="45" customHeight="1" thickBot="1" x14ac:dyDescent="0.25">
      <c r="A84" s="56">
        <v>75</v>
      </c>
      <c r="B84" s="60" t="s">
        <v>221</v>
      </c>
      <c r="C84" s="57" t="s">
        <v>88</v>
      </c>
      <c r="D84" s="58" t="s">
        <v>392</v>
      </c>
      <c r="E84" s="59" t="s">
        <v>220</v>
      </c>
      <c r="F84" s="60" t="s">
        <v>72</v>
      </c>
      <c r="G84" s="60">
        <v>30</v>
      </c>
      <c r="H84" s="61">
        <f>2100*1.2</f>
        <v>2520</v>
      </c>
      <c r="I84" s="62">
        <f t="shared" si="1"/>
        <v>75600</v>
      </c>
    </row>
    <row r="85" spans="1:9" ht="49.5" customHeight="1" thickBot="1" x14ac:dyDescent="0.25">
      <c r="A85" s="56">
        <v>76</v>
      </c>
      <c r="B85" s="60" t="s">
        <v>223</v>
      </c>
      <c r="C85" s="57" t="s">
        <v>88</v>
      </c>
      <c r="D85" s="58" t="s">
        <v>392</v>
      </c>
      <c r="E85" s="59" t="s">
        <v>222</v>
      </c>
      <c r="F85" s="60" t="s">
        <v>72</v>
      </c>
      <c r="G85" s="60">
        <v>20</v>
      </c>
      <c r="H85" s="61">
        <f>750*1.2</f>
        <v>900</v>
      </c>
      <c r="I85" s="62">
        <f t="shared" si="1"/>
        <v>18000</v>
      </c>
    </row>
    <row r="86" spans="1:9" ht="31.9" customHeight="1" thickBot="1" x14ac:dyDescent="0.25">
      <c r="A86" s="56">
        <v>77</v>
      </c>
      <c r="B86" s="60" t="s">
        <v>227</v>
      </c>
      <c r="C86" s="57" t="s">
        <v>88</v>
      </c>
      <c r="D86" s="58" t="s">
        <v>392</v>
      </c>
      <c r="E86" s="59" t="s">
        <v>226</v>
      </c>
      <c r="F86" s="60" t="s">
        <v>69</v>
      </c>
      <c r="G86" s="60">
        <v>200</v>
      </c>
      <c r="H86" s="61">
        <v>750</v>
      </c>
      <c r="I86" s="62">
        <f t="shared" si="1"/>
        <v>150000</v>
      </c>
    </row>
    <row r="87" spans="1:9" ht="31.9" customHeight="1" thickBot="1" x14ac:dyDescent="0.25">
      <c r="A87" s="56">
        <v>78</v>
      </c>
      <c r="B87" s="60" t="s">
        <v>229</v>
      </c>
      <c r="C87" s="57" t="s">
        <v>88</v>
      </c>
      <c r="D87" s="58" t="s">
        <v>392</v>
      </c>
      <c r="E87" s="59" t="s">
        <v>228</v>
      </c>
      <c r="F87" s="60" t="s">
        <v>69</v>
      </c>
      <c r="G87" s="60">
        <v>100</v>
      </c>
      <c r="H87" s="61">
        <v>750</v>
      </c>
      <c r="I87" s="62">
        <f t="shared" si="1"/>
        <v>75000</v>
      </c>
    </row>
    <row r="88" spans="1:9" ht="31.9" customHeight="1" thickBot="1" x14ac:dyDescent="0.25">
      <c r="A88" s="56">
        <v>79</v>
      </c>
      <c r="B88" s="60" t="s">
        <v>231</v>
      </c>
      <c r="C88" s="57" t="s">
        <v>88</v>
      </c>
      <c r="D88" s="58" t="s">
        <v>392</v>
      </c>
      <c r="E88" s="59" t="s">
        <v>230</v>
      </c>
      <c r="F88" s="60" t="s">
        <v>69</v>
      </c>
      <c r="G88" s="60">
        <v>150</v>
      </c>
      <c r="H88" s="61">
        <v>600</v>
      </c>
      <c r="I88" s="62">
        <f t="shared" si="1"/>
        <v>90000</v>
      </c>
    </row>
    <row r="89" spans="1:9" ht="31.9" customHeight="1" thickBot="1" x14ac:dyDescent="0.25">
      <c r="A89" s="56">
        <v>80</v>
      </c>
      <c r="B89" s="60" t="s">
        <v>233</v>
      </c>
      <c r="C89" s="57" t="s">
        <v>88</v>
      </c>
      <c r="D89" s="58" t="s">
        <v>392</v>
      </c>
      <c r="E89" s="59" t="s">
        <v>232</v>
      </c>
      <c r="F89" s="60" t="s">
        <v>69</v>
      </c>
      <c r="G89" s="60">
        <v>30</v>
      </c>
      <c r="H89" s="61">
        <v>450</v>
      </c>
      <c r="I89" s="62">
        <f t="shared" si="1"/>
        <v>13500</v>
      </c>
    </row>
    <row r="90" spans="1:9" ht="31.9" customHeight="1" thickBot="1" x14ac:dyDescent="0.25">
      <c r="A90" s="56">
        <v>81</v>
      </c>
      <c r="B90" s="60" t="s">
        <v>235</v>
      </c>
      <c r="C90" s="57" t="s">
        <v>88</v>
      </c>
      <c r="D90" s="58" t="s">
        <v>392</v>
      </c>
      <c r="E90" s="59" t="s">
        <v>234</v>
      </c>
      <c r="F90" s="60" t="s">
        <v>69</v>
      </c>
      <c r="G90" s="60">
        <v>20</v>
      </c>
      <c r="H90" s="61">
        <v>450</v>
      </c>
      <c r="I90" s="62">
        <f t="shared" si="1"/>
        <v>9000</v>
      </c>
    </row>
    <row r="91" spans="1:9" ht="70.5" customHeight="1" thickBot="1" x14ac:dyDescent="0.25">
      <c r="A91" s="56">
        <v>82</v>
      </c>
      <c r="B91" s="60" t="s">
        <v>368</v>
      </c>
      <c r="C91" s="57" t="s">
        <v>88</v>
      </c>
      <c r="D91" s="58" t="s">
        <v>392</v>
      </c>
      <c r="E91" s="83" t="s">
        <v>400</v>
      </c>
      <c r="F91" s="60" t="s">
        <v>69</v>
      </c>
      <c r="G91" s="60">
        <v>70</v>
      </c>
      <c r="H91" s="61">
        <f>290*1.2</f>
        <v>348</v>
      </c>
      <c r="I91" s="62">
        <f t="shared" si="1"/>
        <v>24360</v>
      </c>
    </row>
    <row r="92" spans="1:9" ht="61.5" customHeight="1" thickBot="1" x14ac:dyDescent="0.25">
      <c r="A92" s="56">
        <v>83</v>
      </c>
      <c r="B92" s="60" t="s">
        <v>370</v>
      </c>
      <c r="C92" s="57" t="s">
        <v>88</v>
      </c>
      <c r="D92" s="58" t="s">
        <v>392</v>
      </c>
      <c r="E92" s="59" t="s">
        <v>369</v>
      </c>
      <c r="F92" s="60" t="s">
        <v>69</v>
      </c>
      <c r="G92" s="60">
        <v>30</v>
      </c>
      <c r="H92" s="61">
        <f>320*1.2</f>
        <v>384</v>
      </c>
      <c r="I92" s="62">
        <f t="shared" si="1"/>
        <v>11520</v>
      </c>
    </row>
    <row r="93" spans="1:9" ht="59.25" customHeight="1" thickBot="1" x14ac:dyDescent="0.25">
      <c r="A93" s="56">
        <v>84</v>
      </c>
      <c r="B93" s="60" t="s">
        <v>372</v>
      </c>
      <c r="C93" s="57" t="s">
        <v>88</v>
      </c>
      <c r="D93" s="58" t="s">
        <v>392</v>
      </c>
      <c r="E93" s="59" t="s">
        <v>371</v>
      </c>
      <c r="F93" s="60" t="s">
        <v>395</v>
      </c>
      <c r="G93" s="60">
        <v>25</v>
      </c>
      <c r="H93" s="61">
        <f>420*1.2</f>
        <v>504</v>
      </c>
      <c r="I93" s="62">
        <f t="shared" si="1"/>
        <v>12600</v>
      </c>
    </row>
    <row r="94" spans="1:9" ht="31.9" customHeight="1" thickBot="1" x14ac:dyDescent="0.25">
      <c r="A94" s="56">
        <v>85</v>
      </c>
      <c r="B94" s="60" t="s">
        <v>374</v>
      </c>
      <c r="C94" s="57" t="s">
        <v>88</v>
      </c>
      <c r="D94" s="58" t="s">
        <v>392</v>
      </c>
      <c r="E94" s="85" t="s">
        <v>373</v>
      </c>
      <c r="F94" s="60" t="s">
        <v>69</v>
      </c>
      <c r="G94" s="60">
        <v>35</v>
      </c>
      <c r="H94" s="61">
        <f>416.56*1.2</f>
        <v>499.87199999999996</v>
      </c>
      <c r="I94" s="62">
        <f t="shared" si="1"/>
        <v>17495.519999999997</v>
      </c>
    </row>
    <row r="95" spans="1:9" ht="31.9" customHeight="1" thickBot="1" x14ac:dyDescent="0.25">
      <c r="A95" s="56">
        <v>86</v>
      </c>
      <c r="B95" s="60" t="s">
        <v>382</v>
      </c>
      <c r="C95" s="57" t="s">
        <v>88</v>
      </c>
      <c r="D95" s="58" t="s">
        <v>392</v>
      </c>
      <c r="E95" s="59" t="s">
        <v>381</v>
      </c>
      <c r="F95" s="60" t="s">
        <v>69</v>
      </c>
      <c r="G95" s="60">
        <v>10</v>
      </c>
      <c r="H95" s="61">
        <f>326*1.2</f>
        <v>391.2</v>
      </c>
      <c r="I95" s="62">
        <f t="shared" si="1"/>
        <v>3912</v>
      </c>
    </row>
    <row r="96" spans="1:9" ht="31.9" customHeight="1" thickBot="1" x14ac:dyDescent="0.25">
      <c r="A96" s="56">
        <v>87</v>
      </c>
      <c r="B96" s="84" t="s">
        <v>424</v>
      </c>
      <c r="C96" s="57" t="s">
        <v>88</v>
      </c>
      <c r="D96" s="58" t="s">
        <v>392</v>
      </c>
      <c r="E96" s="86" t="s">
        <v>423</v>
      </c>
      <c r="F96" s="60" t="s">
        <v>79</v>
      </c>
      <c r="G96" s="60">
        <v>130</v>
      </c>
      <c r="H96" s="61">
        <f>80.15*1.2</f>
        <v>96.18</v>
      </c>
      <c r="I96" s="62">
        <f t="shared" ref="I96:I100" si="2">G96*H96</f>
        <v>12503.400000000001</v>
      </c>
    </row>
    <row r="97" spans="1:9" ht="31.9" customHeight="1" thickBot="1" x14ac:dyDescent="0.25">
      <c r="A97" s="56">
        <v>88</v>
      </c>
      <c r="B97" s="60" t="s">
        <v>377</v>
      </c>
      <c r="C97" s="57" t="s">
        <v>88</v>
      </c>
      <c r="D97" s="58" t="s">
        <v>392</v>
      </c>
      <c r="E97" s="59" t="s">
        <v>376</v>
      </c>
      <c r="F97" s="60" t="s">
        <v>73</v>
      </c>
      <c r="G97" s="60">
        <v>120</v>
      </c>
      <c r="H97" s="61">
        <f>61.36*1.2</f>
        <v>73.631999999999991</v>
      </c>
      <c r="I97" s="62">
        <f t="shared" si="2"/>
        <v>8835.8399999999983</v>
      </c>
    </row>
    <row r="98" spans="1:9" ht="31.9" customHeight="1" thickBot="1" x14ac:dyDescent="0.25">
      <c r="A98" s="56">
        <v>89</v>
      </c>
      <c r="B98" s="60" t="s">
        <v>378</v>
      </c>
      <c r="C98" s="57" t="s">
        <v>88</v>
      </c>
      <c r="D98" s="58" t="s">
        <v>392</v>
      </c>
      <c r="E98" s="59" t="s">
        <v>375</v>
      </c>
      <c r="F98" s="60" t="s">
        <v>73</v>
      </c>
      <c r="G98" s="60">
        <v>80</v>
      </c>
      <c r="H98" s="61">
        <f>32*1.2</f>
        <v>38.4</v>
      </c>
      <c r="I98" s="62">
        <f t="shared" si="2"/>
        <v>3072</v>
      </c>
    </row>
    <row r="99" spans="1:9" ht="41.25" customHeight="1" thickBot="1" x14ac:dyDescent="0.25">
      <c r="A99" s="56">
        <v>90</v>
      </c>
      <c r="B99" s="60" t="s">
        <v>380</v>
      </c>
      <c r="C99" s="57" t="s">
        <v>88</v>
      </c>
      <c r="D99" s="58" t="s">
        <v>392</v>
      </c>
      <c r="E99" s="59" t="s">
        <v>379</v>
      </c>
      <c r="F99" s="60" t="s">
        <v>73</v>
      </c>
      <c r="G99" s="60">
        <v>400</v>
      </c>
      <c r="H99" s="61">
        <f>42.97*1.2</f>
        <v>51.564</v>
      </c>
      <c r="I99" s="62">
        <f t="shared" si="2"/>
        <v>20625.599999999999</v>
      </c>
    </row>
    <row r="100" spans="1:9" ht="46.5" customHeight="1" thickBot="1" x14ac:dyDescent="0.25">
      <c r="A100" s="56">
        <v>91</v>
      </c>
      <c r="B100" s="60" t="s">
        <v>384</v>
      </c>
      <c r="C100" s="57" t="s">
        <v>88</v>
      </c>
      <c r="D100" s="58" t="s">
        <v>392</v>
      </c>
      <c r="E100" s="59" t="s">
        <v>383</v>
      </c>
      <c r="F100" s="60" t="s">
        <v>73</v>
      </c>
      <c r="G100" s="60">
        <v>1</v>
      </c>
      <c r="H100" s="61">
        <f>(178.09*5)*1.2</f>
        <v>1068.54</v>
      </c>
      <c r="I100" s="62">
        <f t="shared" si="2"/>
        <v>1068.54</v>
      </c>
    </row>
    <row r="103" spans="1:9" x14ac:dyDescent="0.2">
      <c r="B103" s="42" t="s">
        <v>14</v>
      </c>
      <c r="C103" s="43"/>
      <c r="D103" s="43"/>
      <c r="E103" s="44"/>
    </row>
    <row r="104" spans="1:9" ht="5.25" customHeight="1" x14ac:dyDescent="0.2">
      <c r="B104" s="45"/>
      <c r="C104" s="46"/>
      <c r="D104" s="46"/>
      <c r="E104" s="47"/>
    </row>
    <row r="105" spans="1:9" x14ac:dyDescent="0.2">
      <c r="B105" s="48" t="s">
        <v>15</v>
      </c>
      <c r="C105" s="46"/>
      <c r="D105" s="46"/>
      <c r="E105" s="47"/>
    </row>
    <row r="106" spans="1:9" ht="41.25" customHeight="1" x14ac:dyDescent="0.2">
      <c r="B106" s="48"/>
      <c r="C106" s="93" t="s">
        <v>244</v>
      </c>
      <c r="D106" s="93"/>
      <c r="E106" s="93"/>
    </row>
    <row r="107" spans="1:9" x14ac:dyDescent="0.2">
      <c r="B107" s="48" t="s">
        <v>16</v>
      </c>
      <c r="C107" s="46"/>
      <c r="D107" s="46"/>
      <c r="E107" s="47"/>
    </row>
    <row r="108" spans="1:9" x14ac:dyDescent="0.2">
      <c r="B108" s="49"/>
      <c r="C108" s="87" t="s">
        <v>84</v>
      </c>
      <c r="D108" s="87"/>
      <c r="E108" s="87"/>
    </row>
    <row r="109" spans="1:9" x14ac:dyDescent="0.2">
      <c r="B109" s="49"/>
      <c r="C109" s="87"/>
      <c r="D109" s="87"/>
      <c r="E109" s="87"/>
    </row>
    <row r="110" spans="1:9" x14ac:dyDescent="0.2">
      <c r="B110" s="48" t="s">
        <v>17</v>
      </c>
      <c r="C110" s="46"/>
      <c r="D110" s="46"/>
      <c r="E110" s="47"/>
    </row>
    <row r="111" spans="1:9" ht="26.25" customHeight="1" x14ac:dyDescent="0.2">
      <c r="B111" s="49"/>
      <c r="C111" s="88"/>
      <c r="D111" s="88"/>
      <c r="E111" s="88"/>
    </row>
    <row r="112" spans="1:9" x14ac:dyDescent="0.2">
      <c r="B112" s="48" t="s">
        <v>18</v>
      </c>
      <c r="C112" s="50"/>
      <c r="D112" s="50"/>
      <c r="E112" s="51"/>
    </row>
    <row r="113" spans="2:5" ht="26.25" customHeight="1" x14ac:dyDescent="0.2">
      <c r="B113" s="49"/>
      <c r="C113" s="89" t="s">
        <v>85</v>
      </c>
      <c r="D113" s="89"/>
      <c r="E113" s="89"/>
    </row>
    <row r="114" spans="2:5" x14ac:dyDescent="0.2">
      <c r="B114" s="48" t="s">
        <v>19</v>
      </c>
      <c r="C114" s="46"/>
      <c r="D114" s="46"/>
      <c r="E114" s="47"/>
    </row>
    <row r="115" spans="2:5" ht="23.25" customHeight="1" x14ac:dyDescent="0.2">
      <c r="B115" s="48"/>
      <c r="C115" s="87"/>
      <c r="D115" s="87"/>
      <c r="E115" s="87"/>
    </row>
    <row r="116" spans="2:5" x14ac:dyDescent="0.2">
      <c r="B116" s="52"/>
      <c r="C116" s="53"/>
      <c r="D116" s="53"/>
      <c r="E116" s="54"/>
    </row>
    <row r="118" spans="2:5" x14ac:dyDescent="0.2">
      <c r="B118" s="42" t="s">
        <v>20</v>
      </c>
      <c r="C118" s="43"/>
      <c r="D118" s="43"/>
      <c r="E118" s="44"/>
    </row>
    <row r="119" spans="2:5" ht="7.5" customHeight="1" x14ac:dyDescent="0.2">
      <c r="B119" s="45"/>
      <c r="C119" s="46"/>
      <c r="D119" s="46"/>
      <c r="E119" s="47"/>
    </row>
    <row r="120" spans="2:5" x14ac:dyDescent="0.2">
      <c r="B120" s="48" t="s">
        <v>15</v>
      </c>
      <c r="C120" s="46"/>
      <c r="D120" s="46"/>
      <c r="E120" s="47"/>
    </row>
    <row r="121" spans="2:5" ht="39" customHeight="1" x14ac:dyDescent="0.2">
      <c r="B121" s="48"/>
      <c r="C121" s="88" t="s">
        <v>245</v>
      </c>
      <c r="D121" s="88"/>
      <c r="E121" s="88"/>
    </row>
    <row r="122" spans="2:5" x14ac:dyDescent="0.2">
      <c r="B122" s="48" t="s">
        <v>16</v>
      </c>
      <c r="C122" s="46"/>
      <c r="D122" s="46"/>
      <c r="E122" s="47"/>
    </row>
    <row r="123" spans="2:5" x14ac:dyDescent="0.2">
      <c r="B123" s="49"/>
      <c r="C123" s="87" t="s">
        <v>246</v>
      </c>
      <c r="D123" s="87"/>
      <c r="E123" s="87"/>
    </row>
    <row r="124" spans="2:5" x14ac:dyDescent="0.2">
      <c r="B124" s="49"/>
      <c r="C124" s="87"/>
      <c r="D124" s="87"/>
      <c r="E124" s="87"/>
    </row>
    <row r="125" spans="2:5" x14ac:dyDescent="0.2">
      <c r="B125" s="48" t="s">
        <v>17</v>
      </c>
      <c r="C125" s="46"/>
      <c r="D125" s="46"/>
      <c r="E125" s="47"/>
    </row>
    <row r="126" spans="2:5" x14ac:dyDescent="0.2">
      <c r="B126" s="49"/>
      <c r="C126" s="88"/>
      <c r="D126" s="88"/>
      <c r="E126" s="88"/>
    </row>
    <row r="127" spans="2:5" x14ac:dyDescent="0.2">
      <c r="B127" s="48" t="s">
        <v>18</v>
      </c>
      <c r="C127" s="50"/>
      <c r="D127" s="50"/>
      <c r="E127" s="51"/>
    </row>
    <row r="128" spans="2:5" ht="27.75" customHeight="1" x14ac:dyDescent="0.2">
      <c r="B128" s="49"/>
      <c r="C128" s="88" t="s">
        <v>247</v>
      </c>
      <c r="D128" s="88"/>
      <c r="E128" s="88"/>
    </row>
    <row r="129" spans="2:5" x14ac:dyDescent="0.2">
      <c r="B129" s="48" t="s">
        <v>19</v>
      </c>
      <c r="C129" s="46"/>
      <c r="D129" s="46"/>
      <c r="E129" s="47"/>
    </row>
    <row r="130" spans="2:5" x14ac:dyDescent="0.2">
      <c r="B130" s="48"/>
      <c r="C130" s="87"/>
      <c r="D130" s="87"/>
      <c r="E130" s="87"/>
    </row>
    <row r="131" spans="2:5" x14ac:dyDescent="0.2">
      <c r="B131" s="52"/>
      <c r="C131" s="53"/>
      <c r="D131" s="53"/>
      <c r="E131" s="54"/>
    </row>
    <row r="133" spans="2:5" ht="13.5" thickBot="1" x14ac:dyDescent="0.25"/>
    <row r="134" spans="2:5" x14ac:dyDescent="0.2">
      <c r="B134" s="42" t="s">
        <v>248</v>
      </c>
      <c r="C134" s="43"/>
      <c r="D134" s="43"/>
      <c r="E134" s="44"/>
    </row>
    <row r="135" spans="2:5" x14ac:dyDescent="0.2">
      <c r="B135" s="45"/>
      <c r="C135" s="46"/>
      <c r="D135" s="46"/>
      <c r="E135" s="47"/>
    </row>
    <row r="136" spans="2:5" x14ac:dyDescent="0.2">
      <c r="B136" s="48" t="s">
        <v>15</v>
      </c>
      <c r="C136" s="46"/>
      <c r="D136" s="46"/>
      <c r="E136" s="47"/>
    </row>
    <row r="137" spans="2:5" ht="30.75" customHeight="1" x14ac:dyDescent="0.2">
      <c r="B137" s="48"/>
      <c r="C137" s="88" t="s">
        <v>449</v>
      </c>
      <c r="D137" s="88"/>
      <c r="E137" s="88"/>
    </row>
    <row r="138" spans="2:5" x14ac:dyDescent="0.2">
      <c r="B138" s="48" t="s">
        <v>16</v>
      </c>
      <c r="C138" s="46"/>
      <c r="D138" s="46"/>
      <c r="E138" s="47"/>
    </row>
    <row r="139" spans="2:5" x14ac:dyDescent="0.2">
      <c r="B139" s="49"/>
      <c r="C139" s="87" t="s">
        <v>246</v>
      </c>
      <c r="D139" s="87"/>
      <c r="E139" s="87"/>
    </row>
    <row r="140" spans="2:5" x14ac:dyDescent="0.2">
      <c r="B140" s="49"/>
      <c r="C140" s="87"/>
      <c r="D140" s="87"/>
      <c r="E140" s="87"/>
    </row>
    <row r="141" spans="2:5" x14ac:dyDescent="0.2">
      <c r="B141" s="48" t="s">
        <v>17</v>
      </c>
      <c r="C141" s="46"/>
      <c r="D141" s="46"/>
      <c r="E141" s="47"/>
    </row>
    <row r="142" spans="2:5" x14ac:dyDescent="0.2">
      <c r="B142" s="49"/>
      <c r="C142" s="88"/>
      <c r="D142" s="88"/>
      <c r="E142" s="88"/>
    </row>
    <row r="143" spans="2:5" x14ac:dyDescent="0.2">
      <c r="B143" s="48" t="s">
        <v>18</v>
      </c>
      <c r="C143" s="50"/>
      <c r="D143" s="50"/>
      <c r="E143" s="51"/>
    </row>
    <row r="144" spans="2:5" x14ac:dyDescent="0.2">
      <c r="B144" s="49"/>
      <c r="C144" s="88" t="s">
        <v>247</v>
      </c>
      <c r="D144" s="88"/>
      <c r="E144" s="88"/>
    </row>
    <row r="145" spans="2:5" x14ac:dyDescent="0.2">
      <c r="B145" s="48" t="s">
        <v>19</v>
      </c>
      <c r="C145" s="46"/>
      <c r="D145" s="46"/>
      <c r="E145" s="47"/>
    </row>
    <row r="146" spans="2:5" x14ac:dyDescent="0.2">
      <c r="B146" s="48"/>
      <c r="C146" s="87"/>
      <c r="D146" s="87"/>
      <c r="E146" s="87"/>
    </row>
    <row r="147" spans="2:5" ht="13.5" thickBot="1" x14ac:dyDescent="0.25">
      <c r="B147" s="52"/>
      <c r="C147" s="53"/>
      <c r="D147" s="53"/>
      <c r="E147" s="54"/>
    </row>
    <row r="148" spans="2:5" ht="13.5" thickBot="1" x14ac:dyDescent="0.25"/>
    <row r="149" spans="2:5" x14ac:dyDescent="0.2">
      <c r="B149" s="42" t="s">
        <v>249</v>
      </c>
      <c r="C149" s="43"/>
      <c r="D149" s="43"/>
      <c r="E149" s="44"/>
    </row>
    <row r="150" spans="2:5" x14ac:dyDescent="0.2">
      <c r="B150" s="45"/>
      <c r="C150" s="46"/>
      <c r="D150" s="46"/>
      <c r="E150" s="47"/>
    </row>
    <row r="151" spans="2:5" x14ac:dyDescent="0.2">
      <c r="B151" s="48" t="s">
        <v>15</v>
      </c>
      <c r="C151" s="46"/>
      <c r="D151" s="46"/>
      <c r="E151" s="47"/>
    </row>
    <row r="152" spans="2:5" ht="29.25" customHeight="1" x14ac:dyDescent="0.2">
      <c r="B152" s="48"/>
      <c r="C152" s="88" t="s">
        <v>410</v>
      </c>
      <c r="D152" s="88"/>
      <c r="E152" s="88"/>
    </row>
    <row r="153" spans="2:5" x14ac:dyDescent="0.2">
      <c r="B153" s="48" t="s">
        <v>16</v>
      </c>
      <c r="C153" s="46"/>
      <c r="D153" s="46"/>
      <c r="E153" s="47"/>
    </row>
    <row r="154" spans="2:5" x14ac:dyDescent="0.2">
      <c r="B154" s="49"/>
      <c r="C154" s="87" t="s">
        <v>246</v>
      </c>
      <c r="D154" s="87"/>
      <c r="E154" s="87"/>
    </row>
    <row r="155" spans="2:5" x14ac:dyDescent="0.2">
      <c r="B155" s="49"/>
      <c r="C155" s="87"/>
      <c r="D155" s="87"/>
      <c r="E155" s="87"/>
    </row>
    <row r="156" spans="2:5" x14ac:dyDescent="0.2">
      <c r="B156" s="48" t="s">
        <v>17</v>
      </c>
      <c r="C156" s="46"/>
      <c r="D156" s="46"/>
      <c r="E156" s="47"/>
    </row>
    <row r="157" spans="2:5" x14ac:dyDescent="0.2">
      <c r="B157" s="49"/>
      <c r="C157" s="88"/>
      <c r="D157" s="88"/>
      <c r="E157" s="88"/>
    </row>
    <row r="158" spans="2:5" x14ac:dyDescent="0.2">
      <c r="B158" s="48" t="s">
        <v>18</v>
      </c>
      <c r="C158" s="50"/>
      <c r="D158" s="50"/>
      <c r="E158" s="51"/>
    </row>
    <row r="159" spans="2:5" x14ac:dyDescent="0.2">
      <c r="B159" s="49"/>
      <c r="C159" s="88" t="s">
        <v>247</v>
      </c>
      <c r="D159" s="88"/>
      <c r="E159" s="88"/>
    </row>
    <row r="160" spans="2:5" x14ac:dyDescent="0.2">
      <c r="B160" s="48" t="s">
        <v>19</v>
      </c>
      <c r="C160" s="46"/>
      <c r="D160" s="46"/>
      <c r="E160" s="47"/>
    </row>
    <row r="161" spans="2:5" x14ac:dyDescent="0.2">
      <c r="B161" s="48"/>
      <c r="C161" s="87"/>
      <c r="D161" s="87"/>
      <c r="E161" s="87"/>
    </row>
    <row r="162" spans="2:5" ht="13.5" thickBot="1" x14ac:dyDescent="0.25">
      <c r="B162" s="52"/>
      <c r="C162" s="53"/>
      <c r="D162" s="53"/>
      <c r="E162" s="54"/>
    </row>
    <row r="163" spans="2:5" ht="13.5" thickBot="1" x14ac:dyDescent="0.25"/>
    <row r="164" spans="2:5" x14ac:dyDescent="0.2">
      <c r="B164" s="42" t="s">
        <v>250</v>
      </c>
      <c r="C164" s="43"/>
      <c r="D164" s="43"/>
      <c r="E164" s="44"/>
    </row>
    <row r="165" spans="2:5" x14ac:dyDescent="0.2">
      <c r="B165" s="45"/>
      <c r="C165" s="46"/>
      <c r="D165" s="46"/>
      <c r="E165" s="47"/>
    </row>
    <row r="166" spans="2:5" x14ac:dyDescent="0.2">
      <c r="B166" s="48" t="s">
        <v>15</v>
      </c>
      <c r="C166" s="46"/>
      <c r="D166" s="46"/>
      <c r="E166" s="47"/>
    </row>
    <row r="167" spans="2:5" ht="30.75" customHeight="1" x14ac:dyDescent="0.2">
      <c r="B167" s="48"/>
      <c r="C167" s="88" t="s">
        <v>251</v>
      </c>
      <c r="D167" s="88"/>
      <c r="E167" s="88"/>
    </row>
    <row r="168" spans="2:5" x14ac:dyDescent="0.2">
      <c r="B168" s="48" t="s">
        <v>16</v>
      </c>
      <c r="C168" s="46"/>
      <c r="D168" s="46"/>
      <c r="E168" s="47"/>
    </row>
    <row r="169" spans="2:5" x14ac:dyDescent="0.2">
      <c r="B169" s="49"/>
      <c r="C169" s="87" t="s">
        <v>246</v>
      </c>
      <c r="D169" s="87"/>
      <c r="E169" s="87"/>
    </row>
    <row r="170" spans="2:5" x14ac:dyDescent="0.2">
      <c r="B170" s="49"/>
      <c r="C170" s="87"/>
      <c r="D170" s="87"/>
      <c r="E170" s="87"/>
    </row>
    <row r="171" spans="2:5" x14ac:dyDescent="0.2">
      <c r="B171" s="48" t="s">
        <v>17</v>
      </c>
      <c r="C171" s="46"/>
      <c r="D171" s="46"/>
      <c r="E171" s="47"/>
    </row>
    <row r="172" spans="2:5" x14ac:dyDescent="0.2">
      <c r="B172" s="49"/>
      <c r="C172" s="88"/>
      <c r="D172" s="88"/>
      <c r="E172" s="88"/>
    </row>
    <row r="173" spans="2:5" x14ac:dyDescent="0.2">
      <c r="B173" s="48" t="s">
        <v>18</v>
      </c>
      <c r="C173" s="50"/>
      <c r="D173" s="50"/>
      <c r="E173" s="51"/>
    </row>
    <row r="174" spans="2:5" x14ac:dyDescent="0.2">
      <c r="B174" s="49"/>
      <c r="C174" s="88" t="s">
        <v>247</v>
      </c>
      <c r="D174" s="88"/>
      <c r="E174" s="88"/>
    </row>
    <row r="175" spans="2:5" x14ac:dyDescent="0.2">
      <c r="B175" s="48" t="s">
        <v>19</v>
      </c>
      <c r="C175" s="46"/>
      <c r="D175" s="46"/>
      <c r="E175" s="47"/>
    </row>
    <row r="176" spans="2:5" x14ac:dyDescent="0.2">
      <c r="B176" s="48"/>
      <c r="C176" s="87"/>
      <c r="D176" s="87"/>
      <c r="E176" s="87"/>
    </row>
    <row r="177" spans="2:5" ht="13.5" thickBot="1" x14ac:dyDescent="0.25">
      <c r="B177" s="52"/>
      <c r="C177" s="53"/>
      <c r="D177" s="53"/>
      <c r="E177" s="54"/>
    </row>
    <row r="178" spans="2:5" ht="13.5" thickBot="1" x14ac:dyDescent="0.25"/>
    <row r="179" spans="2:5" x14ac:dyDescent="0.2">
      <c r="B179" s="42" t="s">
        <v>252</v>
      </c>
      <c r="C179" s="43"/>
      <c r="D179" s="43"/>
      <c r="E179" s="44"/>
    </row>
    <row r="180" spans="2:5" x14ac:dyDescent="0.2">
      <c r="B180" s="45"/>
      <c r="C180" s="46"/>
      <c r="D180" s="46"/>
      <c r="E180" s="47"/>
    </row>
    <row r="181" spans="2:5" x14ac:dyDescent="0.2">
      <c r="B181" s="48" t="s">
        <v>15</v>
      </c>
      <c r="C181" s="46"/>
      <c r="D181" s="46"/>
      <c r="E181" s="47"/>
    </row>
    <row r="182" spans="2:5" ht="32.25" customHeight="1" x14ac:dyDescent="0.2">
      <c r="B182" s="48"/>
      <c r="C182" s="88" t="s">
        <v>253</v>
      </c>
      <c r="D182" s="88"/>
      <c r="E182" s="88"/>
    </row>
    <row r="183" spans="2:5" x14ac:dyDescent="0.2">
      <c r="B183" s="48" t="s">
        <v>16</v>
      </c>
      <c r="C183" s="46"/>
      <c r="D183" s="46"/>
      <c r="E183" s="47"/>
    </row>
    <row r="184" spans="2:5" x14ac:dyDescent="0.2">
      <c r="B184" s="49"/>
      <c r="C184" s="87" t="s">
        <v>246</v>
      </c>
      <c r="D184" s="87"/>
      <c r="E184" s="87"/>
    </row>
    <row r="185" spans="2:5" x14ac:dyDescent="0.2">
      <c r="B185" s="49"/>
      <c r="C185" s="87"/>
      <c r="D185" s="87"/>
      <c r="E185" s="87"/>
    </row>
    <row r="186" spans="2:5" x14ac:dyDescent="0.2">
      <c r="B186" s="48" t="s">
        <v>17</v>
      </c>
      <c r="C186" s="46"/>
      <c r="D186" s="46"/>
      <c r="E186" s="47"/>
    </row>
    <row r="187" spans="2:5" x14ac:dyDescent="0.2">
      <c r="B187" s="49"/>
      <c r="C187" s="88"/>
      <c r="D187" s="88"/>
      <c r="E187" s="88"/>
    </row>
    <row r="188" spans="2:5" x14ac:dyDescent="0.2">
      <c r="B188" s="48" t="s">
        <v>18</v>
      </c>
      <c r="C188" s="50"/>
      <c r="D188" s="50"/>
      <c r="E188" s="51"/>
    </row>
    <row r="189" spans="2:5" x14ac:dyDescent="0.2">
      <c r="B189" s="49"/>
      <c r="C189" s="88" t="s">
        <v>247</v>
      </c>
      <c r="D189" s="88"/>
      <c r="E189" s="88"/>
    </row>
    <row r="190" spans="2:5" x14ac:dyDescent="0.2">
      <c r="B190" s="48" t="s">
        <v>19</v>
      </c>
      <c r="C190" s="46"/>
      <c r="D190" s="46"/>
      <c r="E190" s="47"/>
    </row>
    <row r="191" spans="2:5" x14ac:dyDescent="0.2">
      <c r="B191" s="48"/>
      <c r="C191" s="87"/>
      <c r="D191" s="87"/>
      <c r="E191" s="87"/>
    </row>
    <row r="192" spans="2:5" ht="13.5" thickBot="1" x14ac:dyDescent="0.25">
      <c r="B192" s="52"/>
      <c r="C192" s="53"/>
      <c r="D192" s="53"/>
      <c r="E192" s="54"/>
    </row>
    <row r="193" spans="2:5" ht="13.5" thickBot="1" x14ac:dyDescent="0.25"/>
    <row r="194" spans="2:5" x14ac:dyDescent="0.2">
      <c r="B194" s="42" t="s">
        <v>254</v>
      </c>
      <c r="C194" s="43"/>
      <c r="D194" s="43"/>
      <c r="E194" s="44"/>
    </row>
    <row r="195" spans="2:5" x14ac:dyDescent="0.2">
      <c r="B195" s="45"/>
      <c r="C195" s="46"/>
      <c r="D195" s="46"/>
      <c r="E195" s="47"/>
    </row>
    <row r="196" spans="2:5" x14ac:dyDescent="0.2">
      <c r="B196" s="48" t="s">
        <v>15</v>
      </c>
      <c r="C196" s="46"/>
      <c r="D196" s="46"/>
      <c r="E196" s="47"/>
    </row>
    <row r="197" spans="2:5" ht="32.25" customHeight="1" x14ac:dyDescent="0.2">
      <c r="B197" s="48"/>
      <c r="C197" s="88" t="s">
        <v>255</v>
      </c>
      <c r="D197" s="88"/>
      <c r="E197" s="88"/>
    </row>
    <row r="198" spans="2:5" x14ac:dyDescent="0.2">
      <c r="B198" s="48" t="s">
        <v>16</v>
      </c>
      <c r="C198" s="46"/>
      <c r="D198" s="46"/>
      <c r="E198" s="47"/>
    </row>
    <row r="199" spans="2:5" x14ac:dyDescent="0.2">
      <c r="B199" s="49"/>
      <c r="C199" s="87" t="s">
        <v>246</v>
      </c>
      <c r="D199" s="87"/>
      <c r="E199" s="87"/>
    </row>
    <row r="200" spans="2:5" x14ac:dyDescent="0.2">
      <c r="B200" s="49"/>
      <c r="C200" s="87"/>
      <c r="D200" s="87"/>
      <c r="E200" s="87"/>
    </row>
    <row r="201" spans="2:5" x14ac:dyDescent="0.2">
      <c r="B201" s="48" t="s">
        <v>17</v>
      </c>
      <c r="C201" s="46"/>
      <c r="D201" s="46"/>
      <c r="E201" s="47"/>
    </row>
    <row r="202" spans="2:5" x14ac:dyDescent="0.2">
      <c r="B202" s="49"/>
      <c r="C202" s="88"/>
      <c r="D202" s="88"/>
      <c r="E202" s="88"/>
    </row>
    <row r="203" spans="2:5" x14ac:dyDescent="0.2">
      <c r="B203" s="48" t="s">
        <v>18</v>
      </c>
      <c r="C203" s="50"/>
      <c r="D203" s="50"/>
      <c r="E203" s="51"/>
    </row>
    <row r="204" spans="2:5" x14ac:dyDescent="0.2">
      <c r="B204" s="49"/>
      <c r="C204" s="88" t="s">
        <v>247</v>
      </c>
      <c r="D204" s="88"/>
      <c r="E204" s="88"/>
    </row>
    <row r="205" spans="2:5" x14ac:dyDescent="0.2">
      <c r="B205" s="48" t="s">
        <v>19</v>
      </c>
      <c r="C205" s="46"/>
      <c r="D205" s="46"/>
      <c r="E205" s="47"/>
    </row>
    <row r="206" spans="2:5" x14ac:dyDescent="0.2">
      <c r="B206" s="48"/>
      <c r="C206" s="87"/>
      <c r="D206" s="87"/>
      <c r="E206" s="87"/>
    </row>
    <row r="207" spans="2:5" ht="13.5" thickBot="1" x14ac:dyDescent="0.25">
      <c r="B207" s="52"/>
      <c r="C207" s="53"/>
      <c r="D207" s="53"/>
      <c r="E207" s="54"/>
    </row>
    <row r="208" spans="2:5" ht="13.5" thickBot="1" x14ac:dyDescent="0.25"/>
    <row r="209" spans="2:5" x14ac:dyDescent="0.2">
      <c r="B209" s="42" t="s">
        <v>256</v>
      </c>
      <c r="C209" s="43"/>
      <c r="D209" s="43"/>
      <c r="E209" s="44"/>
    </row>
    <row r="210" spans="2:5" x14ac:dyDescent="0.2">
      <c r="B210" s="45"/>
      <c r="C210" s="46"/>
      <c r="D210" s="46"/>
      <c r="E210" s="47"/>
    </row>
    <row r="211" spans="2:5" x14ac:dyDescent="0.2">
      <c r="B211" s="48" t="s">
        <v>15</v>
      </c>
      <c r="C211" s="46"/>
      <c r="D211" s="46"/>
      <c r="E211" s="47"/>
    </row>
    <row r="212" spans="2:5" ht="32.25" customHeight="1" x14ac:dyDescent="0.2">
      <c r="B212" s="48"/>
      <c r="C212" s="88" t="s">
        <v>257</v>
      </c>
      <c r="D212" s="88"/>
      <c r="E212" s="88"/>
    </row>
    <row r="213" spans="2:5" x14ac:dyDescent="0.2">
      <c r="B213" s="48" t="s">
        <v>16</v>
      </c>
      <c r="C213" s="46"/>
      <c r="D213" s="46"/>
      <c r="E213" s="47"/>
    </row>
    <row r="214" spans="2:5" x14ac:dyDescent="0.2">
      <c r="B214" s="49"/>
      <c r="C214" s="87" t="s">
        <v>246</v>
      </c>
      <c r="D214" s="87"/>
      <c r="E214" s="87"/>
    </row>
    <row r="215" spans="2:5" x14ac:dyDescent="0.2">
      <c r="B215" s="49"/>
      <c r="C215" s="87"/>
      <c r="D215" s="87"/>
      <c r="E215" s="87"/>
    </row>
    <row r="216" spans="2:5" x14ac:dyDescent="0.2">
      <c r="B216" s="48" t="s">
        <v>17</v>
      </c>
      <c r="C216" s="46"/>
      <c r="D216" s="46"/>
      <c r="E216" s="47"/>
    </row>
    <row r="217" spans="2:5" x14ac:dyDescent="0.2">
      <c r="B217" s="49"/>
      <c r="C217" s="88"/>
      <c r="D217" s="88"/>
      <c r="E217" s="88"/>
    </row>
    <row r="218" spans="2:5" x14ac:dyDescent="0.2">
      <c r="B218" s="48" t="s">
        <v>18</v>
      </c>
      <c r="C218" s="50"/>
      <c r="D218" s="50"/>
      <c r="E218" s="51"/>
    </row>
    <row r="219" spans="2:5" x14ac:dyDescent="0.2">
      <c r="B219" s="49"/>
      <c r="C219" s="88" t="s">
        <v>247</v>
      </c>
      <c r="D219" s="88"/>
      <c r="E219" s="88"/>
    </row>
    <row r="220" spans="2:5" x14ac:dyDescent="0.2">
      <c r="B220" s="48" t="s">
        <v>19</v>
      </c>
      <c r="C220" s="46"/>
      <c r="D220" s="46"/>
      <c r="E220" s="47"/>
    </row>
    <row r="221" spans="2:5" x14ac:dyDescent="0.2">
      <c r="B221" s="48"/>
      <c r="C221" s="87"/>
      <c r="D221" s="87"/>
      <c r="E221" s="87"/>
    </row>
    <row r="222" spans="2:5" ht="13.5" thickBot="1" x14ac:dyDescent="0.25">
      <c r="B222" s="52"/>
      <c r="C222" s="53"/>
      <c r="D222" s="53"/>
      <c r="E222" s="54"/>
    </row>
    <row r="223" spans="2:5" ht="13.5" thickBot="1" x14ac:dyDescent="0.25"/>
    <row r="224" spans="2:5" x14ac:dyDescent="0.2">
      <c r="B224" s="42" t="s">
        <v>258</v>
      </c>
      <c r="C224" s="43"/>
      <c r="D224" s="43"/>
      <c r="E224" s="44"/>
    </row>
    <row r="225" spans="2:5" x14ac:dyDescent="0.2">
      <c r="B225" s="45"/>
      <c r="C225" s="46"/>
      <c r="D225" s="46"/>
      <c r="E225" s="47"/>
    </row>
    <row r="226" spans="2:5" x14ac:dyDescent="0.2">
      <c r="B226" s="48" t="s">
        <v>15</v>
      </c>
      <c r="C226" s="46"/>
      <c r="D226" s="46"/>
      <c r="E226" s="47"/>
    </row>
    <row r="227" spans="2:5" ht="35.25" customHeight="1" x14ac:dyDescent="0.2">
      <c r="B227" s="48"/>
      <c r="C227" s="88" t="s">
        <v>259</v>
      </c>
      <c r="D227" s="88"/>
      <c r="E227" s="88"/>
    </row>
    <row r="228" spans="2:5" x14ac:dyDescent="0.2">
      <c r="B228" s="48" t="s">
        <v>16</v>
      </c>
      <c r="C228" s="46"/>
      <c r="D228" s="46"/>
      <c r="E228" s="47"/>
    </row>
    <row r="229" spans="2:5" x14ac:dyDescent="0.2">
      <c r="B229" s="49"/>
      <c r="C229" s="87" t="s">
        <v>246</v>
      </c>
      <c r="D229" s="87"/>
      <c r="E229" s="87"/>
    </row>
    <row r="230" spans="2:5" x14ac:dyDescent="0.2">
      <c r="B230" s="49"/>
      <c r="C230" s="87"/>
      <c r="D230" s="87"/>
      <c r="E230" s="87"/>
    </row>
    <row r="231" spans="2:5" x14ac:dyDescent="0.2">
      <c r="B231" s="48" t="s">
        <v>17</v>
      </c>
      <c r="C231" s="46"/>
      <c r="D231" s="46"/>
      <c r="E231" s="47"/>
    </row>
    <row r="232" spans="2:5" x14ac:dyDescent="0.2">
      <c r="B232" s="49"/>
      <c r="C232" s="88"/>
      <c r="D232" s="88"/>
      <c r="E232" s="88"/>
    </row>
    <row r="233" spans="2:5" x14ac:dyDescent="0.2">
      <c r="B233" s="48" t="s">
        <v>18</v>
      </c>
      <c r="C233" s="50"/>
      <c r="D233" s="50"/>
      <c r="E233" s="51"/>
    </row>
    <row r="234" spans="2:5" x14ac:dyDescent="0.2">
      <c r="B234" s="49"/>
      <c r="C234" s="88" t="s">
        <v>247</v>
      </c>
      <c r="D234" s="88"/>
      <c r="E234" s="88"/>
    </row>
    <row r="235" spans="2:5" x14ac:dyDescent="0.2">
      <c r="B235" s="48" t="s">
        <v>19</v>
      </c>
      <c r="C235" s="46"/>
      <c r="D235" s="46"/>
      <c r="E235" s="47"/>
    </row>
    <row r="236" spans="2:5" x14ac:dyDescent="0.2">
      <c r="B236" s="48"/>
      <c r="C236" s="87"/>
      <c r="D236" s="87"/>
      <c r="E236" s="87"/>
    </row>
    <row r="237" spans="2:5" ht="13.5" thickBot="1" x14ac:dyDescent="0.25">
      <c r="B237" s="52"/>
      <c r="C237" s="53"/>
      <c r="D237" s="53"/>
      <c r="E237" s="54"/>
    </row>
    <row r="238" spans="2:5" ht="13.5" thickBot="1" x14ac:dyDescent="0.25"/>
    <row r="239" spans="2:5" x14ac:dyDescent="0.2">
      <c r="B239" s="42" t="s">
        <v>260</v>
      </c>
      <c r="C239" s="43"/>
      <c r="D239" s="43"/>
      <c r="E239" s="44"/>
    </row>
    <row r="240" spans="2:5" x14ac:dyDescent="0.2">
      <c r="B240" s="45"/>
      <c r="C240" s="46"/>
      <c r="D240" s="46"/>
      <c r="E240" s="47"/>
    </row>
    <row r="241" spans="2:5" x14ac:dyDescent="0.2">
      <c r="B241" s="48" t="s">
        <v>15</v>
      </c>
      <c r="C241" s="46"/>
      <c r="D241" s="46"/>
      <c r="E241" s="47"/>
    </row>
    <row r="242" spans="2:5" ht="35.25" customHeight="1" x14ac:dyDescent="0.2">
      <c r="B242" s="48"/>
      <c r="C242" s="88" t="s">
        <v>261</v>
      </c>
      <c r="D242" s="88"/>
      <c r="E242" s="88"/>
    </row>
    <row r="243" spans="2:5" x14ac:dyDescent="0.2">
      <c r="B243" s="48" t="s">
        <v>16</v>
      </c>
      <c r="C243" s="46"/>
      <c r="D243" s="46"/>
      <c r="E243" s="47"/>
    </row>
    <row r="244" spans="2:5" x14ac:dyDescent="0.2">
      <c r="B244" s="49"/>
      <c r="C244" s="87" t="s">
        <v>246</v>
      </c>
      <c r="D244" s="87"/>
      <c r="E244" s="87"/>
    </row>
    <row r="245" spans="2:5" x14ac:dyDescent="0.2">
      <c r="B245" s="49"/>
      <c r="C245" s="87"/>
      <c r="D245" s="87"/>
      <c r="E245" s="87"/>
    </row>
    <row r="246" spans="2:5" x14ac:dyDescent="0.2">
      <c r="B246" s="48" t="s">
        <v>17</v>
      </c>
      <c r="C246" s="46"/>
      <c r="D246" s="46"/>
      <c r="E246" s="47"/>
    </row>
    <row r="247" spans="2:5" x14ac:dyDescent="0.2">
      <c r="B247" s="49"/>
      <c r="C247" s="88"/>
      <c r="D247" s="88"/>
      <c r="E247" s="88"/>
    </row>
    <row r="248" spans="2:5" x14ac:dyDescent="0.2">
      <c r="B248" s="48" t="s">
        <v>18</v>
      </c>
      <c r="C248" s="50"/>
      <c r="D248" s="50"/>
      <c r="E248" s="51"/>
    </row>
    <row r="249" spans="2:5" x14ac:dyDescent="0.2">
      <c r="B249" s="49"/>
      <c r="C249" s="88" t="s">
        <v>247</v>
      </c>
      <c r="D249" s="88"/>
      <c r="E249" s="88"/>
    </row>
    <row r="250" spans="2:5" x14ac:dyDescent="0.2">
      <c r="B250" s="48" t="s">
        <v>19</v>
      </c>
      <c r="C250" s="46"/>
      <c r="D250" s="46"/>
      <c r="E250" s="47"/>
    </row>
    <row r="251" spans="2:5" x14ac:dyDescent="0.2">
      <c r="B251" s="48"/>
      <c r="C251" s="87"/>
      <c r="D251" s="87"/>
      <c r="E251" s="87"/>
    </row>
    <row r="252" spans="2:5" ht="13.5" thickBot="1" x14ac:dyDescent="0.25">
      <c r="B252" s="52"/>
      <c r="C252" s="53"/>
      <c r="D252" s="53"/>
      <c r="E252" s="54"/>
    </row>
    <row r="253" spans="2:5" ht="13.5" thickBot="1" x14ac:dyDescent="0.25"/>
    <row r="254" spans="2:5" x14ac:dyDescent="0.2">
      <c r="B254" s="42" t="s">
        <v>262</v>
      </c>
      <c r="C254" s="43"/>
      <c r="D254" s="43"/>
      <c r="E254" s="44"/>
    </row>
    <row r="255" spans="2:5" x14ac:dyDescent="0.2">
      <c r="B255" s="45"/>
      <c r="C255" s="46"/>
      <c r="D255" s="46"/>
      <c r="E255" s="47"/>
    </row>
    <row r="256" spans="2:5" x14ac:dyDescent="0.2">
      <c r="B256" s="48" t="s">
        <v>15</v>
      </c>
      <c r="C256" s="46"/>
      <c r="D256" s="46"/>
      <c r="E256" s="47"/>
    </row>
    <row r="257" spans="2:5" ht="31.5" customHeight="1" x14ac:dyDescent="0.2">
      <c r="B257" s="48"/>
      <c r="C257" s="88" t="s">
        <v>263</v>
      </c>
      <c r="D257" s="88"/>
      <c r="E257" s="88"/>
    </row>
    <row r="258" spans="2:5" x14ac:dyDescent="0.2">
      <c r="B258" s="48" t="s">
        <v>16</v>
      </c>
      <c r="C258" s="46"/>
      <c r="D258" s="46"/>
      <c r="E258" s="47"/>
    </row>
    <row r="259" spans="2:5" x14ac:dyDescent="0.2">
      <c r="B259" s="49"/>
      <c r="C259" s="87" t="s">
        <v>246</v>
      </c>
      <c r="D259" s="87"/>
      <c r="E259" s="87"/>
    </row>
    <row r="260" spans="2:5" x14ac:dyDescent="0.2">
      <c r="B260" s="49"/>
      <c r="C260" s="87"/>
      <c r="D260" s="87"/>
      <c r="E260" s="87"/>
    </row>
    <row r="261" spans="2:5" x14ac:dyDescent="0.2">
      <c r="B261" s="48" t="s">
        <v>17</v>
      </c>
      <c r="C261" s="46"/>
      <c r="D261" s="46"/>
      <c r="E261" s="47"/>
    </row>
    <row r="262" spans="2:5" x14ac:dyDescent="0.2">
      <c r="B262" s="49"/>
      <c r="C262" s="88"/>
      <c r="D262" s="88"/>
      <c r="E262" s="88"/>
    </row>
    <row r="263" spans="2:5" x14ac:dyDescent="0.2">
      <c r="B263" s="48" t="s">
        <v>18</v>
      </c>
      <c r="C263" s="50"/>
      <c r="D263" s="50"/>
      <c r="E263" s="51"/>
    </row>
    <row r="264" spans="2:5" x14ac:dyDescent="0.2">
      <c r="B264" s="49"/>
      <c r="C264" s="88" t="s">
        <v>247</v>
      </c>
      <c r="D264" s="88"/>
      <c r="E264" s="88"/>
    </row>
    <row r="265" spans="2:5" x14ac:dyDescent="0.2">
      <c r="B265" s="48" t="s">
        <v>19</v>
      </c>
      <c r="C265" s="46"/>
      <c r="D265" s="46"/>
      <c r="E265" s="47"/>
    </row>
    <row r="266" spans="2:5" x14ac:dyDescent="0.2">
      <c r="B266" s="48"/>
      <c r="C266" s="87"/>
      <c r="D266" s="87"/>
      <c r="E266" s="87"/>
    </row>
    <row r="267" spans="2:5" ht="13.5" thickBot="1" x14ac:dyDescent="0.25">
      <c r="B267" s="52"/>
      <c r="C267" s="53"/>
      <c r="D267" s="53"/>
      <c r="E267" s="54"/>
    </row>
    <row r="268" spans="2:5" ht="13.5" thickBot="1" x14ac:dyDescent="0.25"/>
    <row r="269" spans="2:5" x14ac:dyDescent="0.2">
      <c r="B269" s="42" t="s">
        <v>264</v>
      </c>
      <c r="C269" s="43"/>
      <c r="D269" s="43"/>
      <c r="E269" s="44"/>
    </row>
    <row r="270" spans="2:5" x14ac:dyDescent="0.2">
      <c r="B270" s="45"/>
      <c r="C270" s="46"/>
      <c r="D270" s="46"/>
      <c r="E270" s="47"/>
    </row>
    <row r="271" spans="2:5" x14ac:dyDescent="0.2">
      <c r="B271" s="48" t="s">
        <v>15</v>
      </c>
      <c r="C271" s="46"/>
      <c r="D271" s="46"/>
      <c r="E271" s="47"/>
    </row>
    <row r="272" spans="2:5" ht="38.25" customHeight="1" x14ac:dyDescent="0.2">
      <c r="B272" s="48"/>
      <c r="C272" s="88" t="s">
        <v>265</v>
      </c>
      <c r="D272" s="88"/>
      <c r="E272" s="88"/>
    </row>
    <row r="273" spans="2:5" x14ac:dyDescent="0.2">
      <c r="B273" s="48" t="s">
        <v>16</v>
      </c>
      <c r="C273" s="46"/>
      <c r="D273" s="46"/>
      <c r="E273" s="47"/>
    </row>
    <row r="274" spans="2:5" x14ac:dyDescent="0.2">
      <c r="B274" s="49"/>
      <c r="C274" s="87" t="s">
        <v>246</v>
      </c>
      <c r="D274" s="87"/>
      <c r="E274" s="87"/>
    </row>
    <row r="275" spans="2:5" x14ac:dyDescent="0.2">
      <c r="B275" s="49"/>
      <c r="C275" s="87"/>
      <c r="D275" s="87"/>
      <c r="E275" s="87"/>
    </row>
    <row r="276" spans="2:5" x14ac:dyDescent="0.2">
      <c r="B276" s="48" t="s">
        <v>17</v>
      </c>
      <c r="C276" s="46"/>
      <c r="D276" s="46"/>
      <c r="E276" s="47"/>
    </row>
    <row r="277" spans="2:5" x14ac:dyDescent="0.2">
      <c r="B277" s="49"/>
      <c r="C277" s="88"/>
      <c r="D277" s="88"/>
      <c r="E277" s="88"/>
    </row>
    <row r="278" spans="2:5" x14ac:dyDescent="0.2">
      <c r="B278" s="48" t="s">
        <v>18</v>
      </c>
      <c r="C278" s="50"/>
      <c r="D278" s="50"/>
      <c r="E278" s="51"/>
    </row>
    <row r="279" spans="2:5" x14ac:dyDescent="0.2">
      <c r="B279" s="49"/>
      <c r="C279" s="88" t="s">
        <v>247</v>
      </c>
      <c r="D279" s="88"/>
      <c r="E279" s="88"/>
    </row>
    <row r="280" spans="2:5" x14ac:dyDescent="0.2">
      <c r="B280" s="48" t="s">
        <v>19</v>
      </c>
      <c r="C280" s="46"/>
      <c r="D280" s="46"/>
      <c r="E280" s="47"/>
    </row>
    <row r="281" spans="2:5" x14ac:dyDescent="0.2">
      <c r="B281" s="48"/>
      <c r="C281" s="87"/>
      <c r="D281" s="87"/>
      <c r="E281" s="87"/>
    </row>
    <row r="282" spans="2:5" ht="13.5" thickBot="1" x14ac:dyDescent="0.25">
      <c r="B282" s="52"/>
      <c r="C282" s="53"/>
      <c r="D282" s="53"/>
      <c r="E282" s="54"/>
    </row>
    <row r="283" spans="2:5" ht="13.5" thickBot="1" x14ac:dyDescent="0.25"/>
    <row r="284" spans="2:5" x14ac:dyDescent="0.2">
      <c r="B284" s="42" t="s">
        <v>266</v>
      </c>
      <c r="C284" s="43"/>
      <c r="D284" s="43"/>
      <c r="E284" s="44"/>
    </row>
    <row r="285" spans="2:5" x14ac:dyDescent="0.2">
      <c r="B285" s="45"/>
      <c r="C285" s="46"/>
      <c r="D285" s="46"/>
      <c r="E285" s="47"/>
    </row>
    <row r="286" spans="2:5" x14ac:dyDescent="0.2">
      <c r="B286" s="48" t="s">
        <v>15</v>
      </c>
      <c r="C286" s="46"/>
      <c r="D286" s="46"/>
      <c r="E286" s="47"/>
    </row>
    <row r="287" spans="2:5" ht="36" customHeight="1" x14ac:dyDescent="0.2">
      <c r="B287" s="48"/>
      <c r="C287" s="88" t="s">
        <v>267</v>
      </c>
      <c r="D287" s="88"/>
      <c r="E287" s="88"/>
    </row>
    <row r="288" spans="2:5" x14ac:dyDescent="0.2">
      <c r="B288" s="48" t="s">
        <v>16</v>
      </c>
      <c r="C288" s="46"/>
      <c r="D288" s="46"/>
      <c r="E288" s="47"/>
    </row>
    <row r="289" spans="2:5" x14ac:dyDescent="0.2">
      <c r="B289" s="49"/>
      <c r="C289" s="87" t="s">
        <v>246</v>
      </c>
      <c r="D289" s="87"/>
      <c r="E289" s="87"/>
    </row>
    <row r="290" spans="2:5" x14ac:dyDescent="0.2">
      <c r="B290" s="49"/>
      <c r="C290" s="87"/>
      <c r="D290" s="87"/>
      <c r="E290" s="87"/>
    </row>
    <row r="291" spans="2:5" x14ac:dyDescent="0.2">
      <c r="B291" s="48" t="s">
        <v>17</v>
      </c>
      <c r="C291" s="46"/>
      <c r="D291" s="46"/>
      <c r="E291" s="47"/>
    </row>
    <row r="292" spans="2:5" x14ac:dyDescent="0.2">
      <c r="B292" s="49"/>
      <c r="C292" s="88"/>
      <c r="D292" s="88"/>
      <c r="E292" s="88"/>
    </row>
    <row r="293" spans="2:5" x14ac:dyDescent="0.2">
      <c r="B293" s="48" t="s">
        <v>18</v>
      </c>
      <c r="C293" s="50"/>
      <c r="D293" s="50"/>
      <c r="E293" s="51"/>
    </row>
    <row r="294" spans="2:5" x14ac:dyDescent="0.2">
      <c r="B294" s="49"/>
      <c r="C294" s="88" t="s">
        <v>247</v>
      </c>
      <c r="D294" s="88"/>
      <c r="E294" s="88"/>
    </row>
    <row r="295" spans="2:5" x14ac:dyDescent="0.2">
      <c r="B295" s="48" t="s">
        <v>19</v>
      </c>
      <c r="C295" s="46"/>
      <c r="D295" s="46"/>
      <c r="E295" s="47"/>
    </row>
    <row r="296" spans="2:5" x14ac:dyDescent="0.2">
      <c r="B296" s="48"/>
      <c r="C296" s="87"/>
      <c r="D296" s="87"/>
      <c r="E296" s="87"/>
    </row>
    <row r="297" spans="2:5" ht="13.5" thickBot="1" x14ac:dyDescent="0.25">
      <c r="B297" s="52"/>
      <c r="C297" s="53"/>
      <c r="D297" s="53"/>
      <c r="E297" s="54"/>
    </row>
    <row r="298" spans="2:5" ht="13.5" thickBot="1" x14ac:dyDescent="0.25"/>
    <row r="299" spans="2:5" x14ac:dyDescent="0.2">
      <c r="B299" s="42" t="s">
        <v>268</v>
      </c>
      <c r="C299" s="43"/>
      <c r="D299" s="43"/>
      <c r="E299" s="44"/>
    </row>
    <row r="300" spans="2:5" x14ac:dyDescent="0.2">
      <c r="B300" s="45"/>
      <c r="C300" s="46"/>
      <c r="D300" s="46"/>
      <c r="E300" s="47"/>
    </row>
    <row r="301" spans="2:5" x14ac:dyDescent="0.2">
      <c r="B301" s="48" t="s">
        <v>15</v>
      </c>
      <c r="C301" s="46"/>
      <c r="D301" s="46"/>
      <c r="E301" s="47"/>
    </row>
    <row r="302" spans="2:5" ht="34.5" customHeight="1" x14ac:dyDescent="0.2">
      <c r="B302" s="48"/>
      <c r="C302" s="88" t="s">
        <v>407</v>
      </c>
      <c r="D302" s="88"/>
      <c r="E302" s="88"/>
    </row>
    <row r="303" spans="2:5" x14ac:dyDescent="0.2">
      <c r="B303" s="48" t="s">
        <v>16</v>
      </c>
      <c r="C303" s="46"/>
      <c r="D303" s="46"/>
      <c r="E303" s="47"/>
    </row>
    <row r="304" spans="2:5" x14ac:dyDescent="0.2">
      <c r="B304" s="49"/>
      <c r="C304" s="87" t="s">
        <v>246</v>
      </c>
      <c r="D304" s="87"/>
      <c r="E304" s="87"/>
    </row>
    <row r="305" spans="2:5" x14ac:dyDescent="0.2">
      <c r="B305" s="49"/>
      <c r="C305" s="87"/>
      <c r="D305" s="87"/>
      <c r="E305" s="87"/>
    </row>
    <row r="306" spans="2:5" x14ac:dyDescent="0.2">
      <c r="B306" s="48" t="s">
        <v>17</v>
      </c>
      <c r="C306" s="46"/>
      <c r="D306" s="46"/>
      <c r="E306" s="47"/>
    </row>
    <row r="307" spans="2:5" x14ac:dyDescent="0.2">
      <c r="B307" s="49"/>
      <c r="C307" s="88"/>
      <c r="D307" s="88"/>
      <c r="E307" s="88"/>
    </row>
    <row r="308" spans="2:5" x14ac:dyDescent="0.2">
      <c r="B308" s="48" t="s">
        <v>18</v>
      </c>
      <c r="C308" s="50"/>
      <c r="D308" s="50"/>
      <c r="E308" s="51"/>
    </row>
    <row r="309" spans="2:5" x14ac:dyDescent="0.2">
      <c r="B309" s="49"/>
      <c r="C309" s="88" t="s">
        <v>247</v>
      </c>
      <c r="D309" s="88"/>
      <c r="E309" s="88"/>
    </row>
    <row r="310" spans="2:5" x14ac:dyDescent="0.2">
      <c r="B310" s="48" t="s">
        <v>19</v>
      </c>
      <c r="C310" s="46"/>
      <c r="D310" s="46"/>
      <c r="E310" s="47"/>
    </row>
    <row r="311" spans="2:5" x14ac:dyDescent="0.2">
      <c r="B311" s="48"/>
      <c r="C311" s="87"/>
      <c r="D311" s="87"/>
      <c r="E311" s="87"/>
    </row>
    <row r="312" spans="2:5" ht="13.5" thickBot="1" x14ac:dyDescent="0.25">
      <c r="B312" s="52"/>
      <c r="C312" s="53"/>
      <c r="D312" s="53"/>
      <c r="E312" s="54"/>
    </row>
    <row r="313" spans="2:5" ht="13.5" thickBot="1" x14ac:dyDescent="0.25"/>
    <row r="314" spans="2:5" x14ac:dyDescent="0.2">
      <c r="B314" s="42" t="s">
        <v>269</v>
      </c>
      <c r="C314" s="43"/>
      <c r="D314" s="43"/>
      <c r="E314" s="44"/>
    </row>
    <row r="315" spans="2:5" x14ac:dyDescent="0.2">
      <c r="B315" s="45"/>
      <c r="C315" s="46"/>
      <c r="D315" s="46"/>
      <c r="E315" s="47"/>
    </row>
    <row r="316" spans="2:5" x14ac:dyDescent="0.2">
      <c r="B316" s="48" t="s">
        <v>15</v>
      </c>
      <c r="C316" s="46"/>
      <c r="D316" s="46"/>
      <c r="E316" s="47"/>
    </row>
    <row r="317" spans="2:5" ht="33.75" customHeight="1" x14ac:dyDescent="0.2">
      <c r="B317" s="48"/>
      <c r="C317" s="88" t="s">
        <v>270</v>
      </c>
      <c r="D317" s="88"/>
      <c r="E317" s="88"/>
    </row>
    <row r="318" spans="2:5" x14ac:dyDescent="0.2">
      <c r="B318" s="48" t="s">
        <v>16</v>
      </c>
      <c r="C318" s="46"/>
      <c r="D318" s="46"/>
      <c r="E318" s="47"/>
    </row>
    <row r="319" spans="2:5" x14ac:dyDescent="0.2">
      <c r="B319" s="49"/>
      <c r="C319" s="87" t="s">
        <v>246</v>
      </c>
      <c r="D319" s="87"/>
      <c r="E319" s="87"/>
    </row>
    <row r="320" spans="2:5" x14ac:dyDescent="0.2">
      <c r="B320" s="49"/>
      <c r="C320" s="87"/>
      <c r="D320" s="87"/>
      <c r="E320" s="87"/>
    </row>
    <row r="321" spans="2:5" x14ac:dyDescent="0.2">
      <c r="B321" s="48" t="s">
        <v>17</v>
      </c>
      <c r="C321" s="46"/>
      <c r="D321" s="46"/>
      <c r="E321" s="47"/>
    </row>
    <row r="322" spans="2:5" x14ac:dyDescent="0.2">
      <c r="B322" s="49"/>
      <c r="C322" s="88"/>
      <c r="D322" s="88"/>
      <c r="E322" s="88"/>
    </row>
    <row r="323" spans="2:5" x14ac:dyDescent="0.2">
      <c r="B323" s="48" t="s">
        <v>18</v>
      </c>
      <c r="C323" s="50"/>
      <c r="D323" s="50"/>
      <c r="E323" s="51"/>
    </row>
    <row r="324" spans="2:5" x14ac:dyDescent="0.2">
      <c r="B324" s="49"/>
      <c r="C324" s="88" t="s">
        <v>247</v>
      </c>
      <c r="D324" s="88"/>
      <c r="E324" s="88"/>
    </row>
    <row r="325" spans="2:5" x14ac:dyDescent="0.2">
      <c r="B325" s="48" t="s">
        <v>19</v>
      </c>
      <c r="C325" s="46"/>
      <c r="D325" s="46"/>
      <c r="E325" s="47"/>
    </row>
    <row r="326" spans="2:5" x14ac:dyDescent="0.2">
      <c r="B326" s="48"/>
      <c r="C326" s="87"/>
      <c r="D326" s="87"/>
      <c r="E326" s="87"/>
    </row>
    <row r="327" spans="2:5" ht="13.5" thickBot="1" x14ac:dyDescent="0.25">
      <c r="B327" s="52"/>
      <c r="C327" s="53"/>
      <c r="D327" s="53"/>
      <c r="E327" s="54"/>
    </row>
    <row r="328" spans="2:5" ht="13.5" thickBot="1" x14ac:dyDescent="0.25"/>
    <row r="329" spans="2:5" x14ac:dyDescent="0.2">
      <c r="B329" s="42" t="s">
        <v>271</v>
      </c>
      <c r="C329" s="43"/>
      <c r="D329" s="43"/>
      <c r="E329" s="44"/>
    </row>
    <row r="330" spans="2:5" x14ac:dyDescent="0.2">
      <c r="B330" s="45"/>
      <c r="C330" s="46"/>
      <c r="D330" s="46"/>
      <c r="E330" s="47"/>
    </row>
    <row r="331" spans="2:5" x14ac:dyDescent="0.2">
      <c r="B331" s="48" t="s">
        <v>15</v>
      </c>
      <c r="C331" s="46"/>
      <c r="D331" s="46"/>
      <c r="E331" s="47"/>
    </row>
    <row r="332" spans="2:5" ht="31.5" customHeight="1" x14ac:dyDescent="0.2">
      <c r="B332" s="48"/>
      <c r="C332" s="88" t="s">
        <v>427</v>
      </c>
      <c r="D332" s="88"/>
      <c r="E332" s="88"/>
    </row>
    <row r="333" spans="2:5" x14ac:dyDescent="0.2">
      <c r="B333" s="48" t="s">
        <v>16</v>
      </c>
      <c r="C333" s="46"/>
      <c r="D333" s="46"/>
      <c r="E333" s="47"/>
    </row>
    <row r="334" spans="2:5" x14ac:dyDescent="0.2">
      <c r="B334" s="49"/>
      <c r="C334" s="87" t="s">
        <v>246</v>
      </c>
      <c r="D334" s="87"/>
      <c r="E334" s="87"/>
    </row>
    <row r="335" spans="2:5" x14ac:dyDescent="0.2">
      <c r="B335" s="49"/>
      <c r="C335" s="87"/>
      <c r="D335" s="87"/>
      <c r="E335" s="87"/>
    </row>
    <row r="336" spans="2:5" x14ac:dyDescent="0.2">
      <c r="B336" s="48" t="s">
        <v>17</v>
      </c>
      <c r="C336" s="46"/>
      <c r="D336" s="46"/>
      <c r="E336" s="47"/>
    </row>
    <row r="337" spans="2:5" x14ac:dyDescent="0.2">
      <c r="B337" s="49"/>
      <c r="C337" s="88"/>
      <c r="D337" s="88"/>
      <c r="E337" s="88"/>
    </row>
    <row r="338" spans="2:5" x14ac:dyDescent="0.2">
      <c r="B338" s="48" t="s">
        <v>18</v>
      </c>
      <c r="C338" s="50"/>
      <c r="D338" s="50"/>
      <c r="E338" s="51"/>
    </row>
    <row r="339" spans="2:5" x14ac:dyDescent="0.2">
      <c r="B339" s="49"/>
      <c r="C339" s="88" t="s">
        <v>247</v>
      </c>
      <c r="D339" s="88"/>
      <c r="E339" s="88"/>
    </row>
    <row r="340" spans="2:5" x14ac:dyDescent="0.2">
      <c r="B340" s="48" t="s">
        <v>19</v>
      </c>
      <c r="C340" s="46"/>
      <c r="D340" s="46"/>
      <c r="E340" s="47"/>
    </row>
    <row r="341" spans="2:5" x14ac:dyDescent="0.2">
      <c r="B341" s="48"/>
      <c r="C341" s="87"/>
      <c r="D341" s="87"/>
      <c r="E341" s="87"/>
    </row>
    <row r="342" spans="2:5" ht="13.5" thickBot="1" x14ac:dyDescent="0.25">
      <c r="B342" s="52"/>
      <c r="C342" s="53"/>
      <c r="D342" s="53"/>
      <c r="E342" s="54"/>
    </row>
    <row r="343" spans="2:5" ht="13.5" thickBot="1" x14ac:dyDescent="0.25"/>
    <row r="344" spans="2:5" x14ac:dyDescent="0.2">
      <c r="B344" s="42" t="s">
        <v>272</v>
      </c>
      <c r="C344" s="43"/>
      <c r="D344" s="43"/>
      <c r="E344" s="44"/>
    </row>
    <row r="345" spans="2:5" x14ac:dyDescent="0.2">
      <c r="B345" s="45"/>
      <c r="C345" s="46"/>
      <c r="D345" s="46"/>
      <c r="E345" s="47"/>
    </row>
    <row r="346" spans="2:5" x14ac:dyDescent="0.2">
      <c r="B346" s="48" t="s">
        <v>15</v>
      </c>
      <c r="C346" s="46"/>
      <c r="D346" s="46"/>
      <c r="E346" s="47"/>
    </row>
    <row r="347" spans="2:5" ht="30" customHeight="1" x14ac:dyDescent="0.2">
      <c r="B347" s="48"/>
      <c r="C347" s="88" t="s">
        <v>273</v>
      </c>
      <c r="D347" s="88"/>
      <c r="E347" s="88"/>
    </row>
    <row r="348" spans="2:5" x14ac:dyDescent="0.2">
      <c r="B348" s="48" t="s">
        <v>16</v>
      </c>
      <c r="C348" s="46"/>
      <c r="D348" s="46"/>
      <c r="E348" s="47"/>
    </row>
    <row r="349" spans="2:5" x14ac:dyDescent="0.2">
      <c r="B349" s="49"/>
      <c r="C349" s="87" t="s">
        <v>246</v>
      </c>
      <c r="D349" s="87"/>
      <c r="E349" s="87"/>
    </row>
    <row r="350" spans="2:5" x14ac:dyDescent="0.2">
      <c r="B350" s="49"/>
      <c r="C350" s="87"/>
      <c r="D350" s="87"/>
      <c r="E350" s="87"/>
    </row>
    <row r="351" spans="2:5" x14ac:dyDescent="0.2">
      <c r="B351" s="48" t="s">
        <v>17</v>
      </c>
      <c r="C351" s="46"/>
      <c r="D351" s="46"/>
      <c r="E351" s="47"/>
    </row>
    <row r="352" spans="2:5" x14ac:dyDescent="0.2">
      <c r="B352" s="49"/>
      <c r="C352" s="88"/>
      <c r="D352" s="88"/>
      <c r="E352" s="88"/>
    </row>
    <row r="353" spans="2:5" x14ac:dyDescent="0.2">
      <c r="B353" s="48" t="s">
        <v>18</v>
      </c>
      <c r="C353" s="50"/>
      <c r="D353" s="50"/>
      <c r="E353" s="51"/>
    </row>
    <row r="354" spans="2:5" x14ac:dyDescent="0.2">
      <c r="B354" s="49"/>
      <c r="C354" s="88" t="s">
        <v>247</v>
      </c>
      <c r="D354" s="88"/>
      <c r="E354" s="88"/>
    </row>
    <row r="355" spans="2:5" x14ac:dyDescent="0.2">
      <c r="B355" s="48" t="s">
        <v>19</v>
      </c>
      <c r="C355" s="46"/>
      <c r="D355" s="46"/>
      <c r="E355" s="47"/>
    </row>
    <row r="356" spans="2:5" x14ac:dyDescent="0.2">
      <c r="B356" s="48"/>
      <c r="C356" s="87"/>
      <c r="D356" s="87"/>
      <c r="E356" s="87"/>
    </row>
    <row r="357" spans="2:5" ht="13.5" thickBot="1" x14ac:dyDescent="0.25">
      <c r="B357" s="52"/>
      <c r="C357" s="53"/>
      <c r="D357" s="53"/>
      <c r="E357" s="54"/>
    </row>
    <row r="358" spans="2:5" ht="13.5" thickBot="1" x14ac:dyDescent="0.25"/>
    <row r="359" spans="2:5" x14ac:dyDescent="0.2">
      <c r="B359" s="42" t="s">
        <v>274</v>
      </c>
      <c r="C359" s="43"/>
      <c r="D359" s="43"/>
      <c r="E359" s="44"/>
    </row>
    <row r="360" spans="2:5" x14ac:dyDescent="0.2">
      <c r="B360" s="45"/>
      <c r="C360" s="46"/>
      <c r="D360" s="46"/>
      <c r="E360" s="47"/>
    </row>
    <row r="361" spans="2:5" x14ac:dyDescent="0.2">
      <c r="B361" s="48" t="s">
        <v>15</v>
      </c>
      <c r="C361" s="46"/>
      <c r="D361" s="46"/>
      <c r="E361" s="47"/>
    </row>
    <row r="362" spans="2:5" ht="31.5" customHeight="1" x14ac:dyDescent="0.2">
      <c r="B362" s="48"/>
      <c r="C362" s="88" t="s">
        <v>275</v>
      </c>
      <c r="D362" s="88"/>
      <c r="E362" s="88"/>
    </row>
    <row r="363" spans="2:5" x14ac:dyDescent="0.2">
      <c r="B363" s="48" t="s">
        <v>16</v>
      </c>
      <c r="C363" s="46"/>
      <c r="D363" s="46"/>
      <c r="E363" s="47"/>
    </row>
    <row r="364" spans="2:5" x14ac:dyDescent="0.2">
      <c r="B364" s="49"/>
      <c r="C364" s="87" t="s">
        <v>246</v>
      </c>
      <c r="D364" s="87"/>
      <c r="E364" s="87"/>
    </row>
    <row r="365" spans="2:5" x14ac:dyDescent="0.2">
      <c r="B365" s="49"/>
      <c r="C365" s="87"/>
      <c r="D365" s="87"/>
      <c r="E365" s="87"/>
    </row>
    <row r="366" spans="2:5" x14ac:dyDescent="0.2">
      <c r="B366" s="48" t="s">
        <v>17</v>
      </c>
      <c r="C366" s="46"/>
      <c r="D366" s="46"/>
      <c r="E366" s="47"/>
    </row>
    <row r="367" spans="2:5" x14ac:dyDescent="0.2">
      <c r="B367" s="49"/>
      <c r="C367" s="88"/>
      <c r="D367" s="88"/>
      <c r="E367" s="88"/>
    </row>
    <row r="368" spans="2:5" x14ac:dyDescent="0.2">
      <c r="B368" s="48" t="s">
        <v>18</v>
      </c>
      <c r="C368" s="50"/>
      <c r="D368" s="50"/>
      <c r="E368" s="51"/>
    </row>
    <row r="369" spans="2:5" x14ac:dyDescent="0.2">
      <c r="B369" s="49"/>
      <c r="C369" s="88" t="s">
        <v>247</v>
      </c>
      <c r="D369" s="88"/>
      <c r="E369" s="88"/>
    </row>
    <row r="370" spans="2:5" x14ac:dyDescent="0.2">
      <c r="B370" s="48" t="s">
        <v>19</v>
      </c>
      <c r="C370" s="46"/>
      <c r="D370" s="46"/>
      <c r="E370" s="47"/>
    </row>
    <row r="371" spans="2:5" x14ac:dyDescent="0.2">
      <c r="B371" s="48"/>
      <c r="C371" s="87"/>
      <c r="D371" s="87"/>
      <c r="E371" s="87"/>
    </row>
    <row r="372" spans="2:5" ht="13.5" thickBot="1" x14ac:dyDescent="0.25">
      <c r="B372" s="52"/>
      <c r="C372" s="53"/>
      <c r="D372" s="53"/>
      <c r="E372" s="54"/>
    </row>
    <row r="373" spans="2:5" ht="13.5" thickBot="1" x14ac:dyDescent="0.25"/>
    <row r="374" spans="2:5" x14ac:dyDescent="0.2">
      <c r="B374" s="42" t="s">
        <v>276</v>
      </c>
      <c r="C374" s="43"/>
      <c r="D374" s="43"/>
      <c r="E374" s="44"/>
    </row>
    <row r="375" spans="2:5" x14ac:dyDescent="0.2">
      <c r="B375" s="45"/>
      <c r="C375" s="46"/>
      <c r="D375" s="46"/>
      <c r="E375" s="47"/>
    </row>
    <row r="376" spans="2:5" x14ac:dyDescent="0.2">
      <c r="B376" s="48" t="s">
        <v>15</v>
      </c>
      <c r="C376" s="46"/>
      <c r="D376" s="46"/>
      <c r="E376" s="47"/>
    </row>
    <row r="377" spans="2:5" ht="32.25" customHeight="1" x14ac:dyDescent="0.2">
      <c r="B377" s="48"/>
      <c r="C377" s="88" t="s">
        <v>277</v>
      </c>
      <c r="D377" s="88"/>
      <c r="E377" s="88"/>
    </row>
    <row r="378" spans="2:5" x14ac:dyDescent="0.2">
      <c r="B378" s="48" t="s">
        <v>16</v>
      </c>
      <c r="C378" s="46"/>
      <c r="D378" s="46"/>
      <c r="E378" s="47"/>
    </row>
    <row r="379" spans="2:5" x14ac:dyDescent="0.2">
      <c r="B379" s="49"/>
      <c r="C379" s="87" t="s">
        <v>246</v>
      </c>
      <c r="D379" s="87"/>
      <c r="E379" s="87"/>
    </row>
    <row r="380" spans="2:5" x14ac:dyDescent="0.2">
      <c r="B380" s="49"/>
      <c r="C380" s="87"/>
      <c r="D380" s="87"/>
      <c r="E380" s="87"/>
    </row>
    <row r="381" spans="2:5" x14ac:dyDescent="0.2">
      <c r="B381" s="48" t="s">
        <v>17</v>
      </c>
      <c r="C381" s="46"/>
      <c r="D381" s="46"/>
      <c r="E381" s="47"/>
    </row>
    <row r="382" spans="2:5" x14ac:dyDescent="0.2">
      <c r="B382" s="49"/>
      <c r="C382" s="88"/>
      <c r="D382" s="88"/>
      <c r="E382" s="88"/>
    </row>
    <row r="383" spans="2:5" x14ac:dyDescent="0.2">
      <c r="B383" s="48" t="s">
        <v>18</v>
      </c>
      <c r="C383" s="50"/>
      <c r="D383" s="50"/>
      <c r="E383" s="51"/>
    </row>
    <row r="384" spans="2:5" x14ac:dyDescent="0.2">
      <c r="B384" s="49"/>
      <c r="C384" s="88" t="s">
        <v>247</v>
      </c>
      <c r="D384" s="88"/>
      <c r="E384" s="88"/>
    </row>
    <row r="385" spans="2:5" x14ac:dyDescent="0.2">
      <c r="B385" s="48" t="s">
        <v>19</v>
      </c>
      <c r="C385" s="46"/>
      <c r="D385" s="46"/>
      <c r="E385" s="47"/>
    </row>
    <row r="386" spans="2:5" x14ac:dyDescent="0.2">
      <c r="B386" s="48"/>
      <c r="C386" s="87"/>
      <c r="D386" s="87"/>
      <c r="E386" s="87"/>
    </row>
    <row r="387" spans="2:5" ht="13.5" thickBot="1" x14ac:dyDescent="0.25">
      <c r="B387" s="52"/>
      <c r="C387" s="53"/>
      <c r="D387" s="53"/>
      <c r="E387" s="54"/>
    </row>
    <row r="388" spans="2:5" ht="13.5" thickBot="1" x14ac:dyDescent="0.25"/>
    <row r="389" spans="2:5" x14ac:dyDescent="0.2">
      <c r="B389" s="42" t="s">
        <v>278</v>
      </c>
      <c r="C389" s="43"/>
      <c r="D389" s="43"/>
      <c r="E389" s="44"/>
    </row>
    <row r="390" spans="2:5" x14ac:dyDescent="0.2">
      <c r="B390" s="45"/>
      <c r="C390" s="46"/>
      <c r="D390" s="46"/>
      <c r="E390" s="47"/>
    </row>
    <row r="391" spans="2:5" x14ac:dyDescent="0.2">
      <c r="B391" s="48" t="s">
        <v>15</v>
      </c>
      <c r="C391" s="46"/>
      <c r="D391" s="46"/>
      <c r="E391" s="47"/>
    </row>
    <row r="392" spans="2:5" ht="33" customHeight="1" x14ac:dyDescent="0.2">
      <c r="B392" s="48"/>
      <c r="C392" s="88" t="s">
        <v>428</v>
      </c>
      <c r="D392" s="88"/>
      <c r="E392" s="88"/>
    </row>
    <row r="393" spans="2:5" x14ac:dyDescent="0.2">
      <c r="B393" s="48" t="s">
        <v>16</v>
      </c>
      <c r="C393" s="46"/>
      <c r="D393" s="46"/>
      <c r="E393" s="47"/>
    </row>
    <row r="394" spans="2:5" x14ac:dyDescent="0.2">
      <c r="B394" s="49"/>
      <c r="C394" s="87" t="s">
        <v>246</v>
      </c>
      <c r="D394" s="87"/>
      <c r="E394" s="87"/>
    </row>
    <row r="395" spans="2:5" x14ac:dyDescent="0.2">
      <c r="B395" s="49"/>
      <c r="C395" s="87"/>
      <c r="D395" s="87"/>
      <c r="E395" s="87"/>
    </row>
    <row r="396" spans="2:5" x14ac:dyDescent="0.2">
      <c r="B396" s="48" t="s">
        <v>17</v>
      </c>
      <c r="C396" s="46"/>
      <c r="D396" s="46"/>
      <c r="E396" s="47"/>
    </row>
    <row r="397" spans="2:5" x14ac:dyDescent="0.2">
      <c r="B397" s="49"/>
      <c r="C397" s="88"/>
      <c r="D397" s="88"/>
      <c r="E397" s="88"/>
    </row>
    <row r="398" spans="2:5" x14ac:dyDescent="0.2">
      <c r="B398" s="48" t="s">
        <v>18</v>
      </c>
      <c r="C398" s="50"/>
      <c r="D398" s="50"/>
      <c r="E398" s="51"/>
    </row>
    <row r="399" spans="2:5" x14ac:dyDescent="0.2">
      <c r="B399" s="49"/>
      <c r="C399" s="88" t="s">
        <v>247</v>
      </c>
      <c r="D399" s="88"/>
      <c r="E399" s="88"/>
    </row>
    <row r="400" spans="2:5" x14ac:dyDescent="0.2">
      <c r="B400" s="48" t="s">
        <v>19</v>
      </c>
      <c r="C400" s="46"/>
      <c r="D400" s="46"/>
      <c r="E400" s="47"/>
    </row>
    <row r="401" spans="2:5" x14ac:dyDescent="0.2">
      <c r="B401" s="48"/>
      <c r="C401" s="87"/>
      <c r="D401" s="87"/>
      <c r="E401" s="87"/>
    </row>
    <row r="402" spans="2:5" ht="13.5" thickBot="1" x14ac:dyDescent="0.25">
      <c r="B402" s="52"/>
      <c r="C402" s="53"/>
      <c r="D402" s="53"/>
      <c r="E402" s="54"/>
    </row>
    <row r="403" spans="2:5" ht="13.5" thickBot="1" x14ac:dyDescent="0.25"/>
    <row r="404" spans="2:5" x14ac:dyDescent="0.2">
      <c r="B404" s="42" t="s">
        <v>279</v>
      </c>
      <c r="C404" s="43"/>
      <c r="D404" s="43"/>
      <c r="E404" s="44"/>
    </row>
    <row r="405" spans="2:5" x14ac:dyDescent="0.2">
      <c r="B405" s="45"/>
      <c r="C405" s="46"/>
      <c r="D405" s="46"/>
      <c r="E405" s="47"/>
    </row>
    <row r="406" spans="2:5" x14ac:dyDescent="0.2">
      <c r="B406" s="48" t="s">
        <v>15</v>
      </c>
      <c r="C406" s="46"/>
      <c r="D406" s="46"/>
      <c r="E406" s="47"/>
    </row>
    <row r="407" spans="2:5" ht="30.75" customHeight="1" x14ac:dyDescent="0.2">
      <c r="B407" s="48"/>
      <c r="C407" s="88" t="s">
        <v>280</v>
      </c>
      <c r="D407" s="88"/>
      <c r="E407" s="88"/>
    </row>
    <row r="408" spans="2:5" x14ac:dyDescent="0.2">
      <c r="B408" s="48" t="s">
        <v>16</v>
      </c>
      <c r="C408" s="46"/>
      <c r="D408" s="46"/>
      <c r="E408" s="47"/>
    </row>
    <row r="409" spans="2:5" x14ac:dyDescent="0.2">
      <c r="B409" s="49"/>
      <c r="C409" s="87" t="s">
        <v>246</v>
      </c>
      <c r="D409" s="87"/>
      <c r="E409" s="87"/>
    </row>
    <row r="410" spans="2:5" x14ac:dyDescent="0.2">
      <c r="B410" s="49"/>
      <c r="C410" s="87"/>
      <c r="D410" s="87"/>
      <c r="E410" s="87"/>
    </row>
    <row r="411" spans="2:5" x14ac:dyDescent="0.2">
      <c r="B411" s="48" t="s">
        <v>17</v>
      </c>
      <c r="C411" s="46"/>
      <c r="D411" s="46"/>
      <c r="E411" s="47"/>
    </row>
    <row r="412" spans="2:5" x14ac:dyDescent="0.2">
      <c r="B412" s="49"/>
      <c r="C412" s="88"/>
      <c r="D412" s="88"/>
      <c r="E412" s="88"/>
    </row>
    <row r="413" spans="2:5" x14ac:dyDescent="0.2">
      <c r="B413" s="48" t="s">
        <v>18</v>
      </c>
      <c r="C413" s="50"/>
      <c r="D413" s="50"/>
      <c r="E413" s="51"/>
    </row>
    <row r="414" spans="2:5" x14ac:dyDescent="0.2">
      <c r="B414" s="49"/>
      <c r="C414" s="88" t="s">
        <v>247</v>
      </c>
      <c r="D414" s="88"/>
      <c r="E414" s="88"/>
    </row>
    <row r="415" spans="2:5" x14ac:dyDescent="0.2">
      <c r="B415" s="48" t="s">
        <v>19</v>
      </c>
      <c r="C415" s="46"/>
      <c r="D415" s="46"/>
      <c r="E415" s="47"/>
    </row>
    <row r="416" spans="2:5" x14ac:dyDescent="0.2">
      <c r="B416" s="48"/>
      <c r="C416" s="87"/>
      <c r="D416" s="87"/>
      <c r="E416" s="87"/>
    </row>
    <row r="417" spans="2:5" ht="13.5" thickBot="1" x14ac:dyDescent="0.25">
      <c r="B417" s="52"/>
      <c r="C417" s="53"/>
      <c r="D417" s="53"/>
      <c r="E417" s="54"/>
    </row>
    <row r="418" spans="2:5" ht="13.5" thickBot="1" x14ac:dyDescent="0.25"/>
    <row r="419" spans="2:5" x14ac:dyDescent="0.2">
      <c r="B419" s="42" t="s">
        <v>281</v>
      </c>
      <c r="C419" s="43"/>
      <c r="D419" s="43"/>
      <c r="E419" s="44"/>
    </row>
    <row r="420" spans="2:5" x14ac:dyDescent="0.2">
      <c r="B420" s="45"/>
      <c r="C420" s="46"/>
      <c r="D420" s="46"/>
      <c r="E420" s="47"/>
    </row>
    <row r="421" spans="2:5" x14ac:dyDescent="0.2">
      <c r="B421" s="48" t="s">
        <v>15</v>
      </c>
      <c r="C421" s="46"/>
      <c r="D421" s="46"/>
      <c r="E421" s="47"/>
    </row>
    <row r="422" spans="2:5" ht="32.25" customHeight="1" x14ac:dyDescent="0.2">
      <c r="B422" s="48"/>
      <c r="C422" s="88" t="s">
        <v>431</v>
      </c>
      <c r="D422" s="88"/>
      <c r="E422" s="88"/>
    </row>
    <row r="423" spans="2:5" x14ac:dyDescent="0.2">
      <c r="B423" s="48" t="s">
        <v>16</v>
      </c>
      <c r="C423" s="46"/>
      <c r="D423" s="46"/>
      <c r="E423" s="47"/>
    </row>
    <row r="424" spans="2:5" x14ac:dyDescent="0.2">
      <c r="B424" s="49"/>
      <c r="C424" s="87" t="s">
        <v>246</v>
      </c>
      <c r="D424" s="87"/>
      <c r="E424" s="87"/>
    </row>
    <row r="425" spans="2:5" x14ac:dyDescent="0.2">
      <c r="B425" s="49"/>
      <c r="C425" s="87"/>
      <c r="D425" s="87"/>
      <c r="E425" s="87"/>
    </row>
    <row r="426" spans="2:5" x14ac:dyDescent="0.2">
      <c r="B426" s="48" t="s">
        <v>17</v>
      </c>
      <c r="C426" s="46"/>
      <c r="D426" s="46"/>
      <c r="E426" s="47"/>
    </row>
    <row r="427" spans="2:5" x14ac:dyDescent="0.2">
      <c r="B427" s="49"/>
      <c r="C427" s="88"/>
      <c r="D427" s="88"/>
      <c r="E427" s="88"/>
    </row>
    <row r="428" spans="2:5" x14ac:dyDescent="0.2">
      <c r="B428" s="48" t="s">
        <v>18</v>
      </c>
      <c r="C428" s="50"/>
      <c r="D428" s="50"/>
      <c r="E428" s="51"/>
    </row>
    <row r="429" spans="2:5" x14ac:dyDescent="0.2">
      <c r="B429" s="49"/>
      <c r="C429" s="88" t="s">
        <v>247</v>
      </c>
      <c r="D429" s="88"/>
      <c r="E429" s="88"/>
    </row>
    <row r="430" spans="2:5" x14ac:dyDescent="0.2">
      <c r="B430" s="48" t="s">
        <v>19</v>
      </c>
      <c r="C430" s="46"/>
      <c r="D430" s="46"/>
      <c r="E430" s="47"/>
    </row>
    <row r="431" spans="2:5" x14ac:dyDescent="0.2">
      <c r="B431" s="48"/>
      <c r="C431" s="87"/>
      <c r="D431" s="87"/>
      <c r="E431" s="87"/>
    </row>
    <row r="432" spans="2:5" ht="13.5" thickBot="1" x14ac:dyDescent="0.25">
      <c r="B432" s="52"/>
      <c r="C432" s="53"/>
      <c r="D432" s="53"/>
      <c r="E432" s="54"/>
    </row>
    <row r="433" spans="2:5" ht="13.5" thickBot="1" x14ac:dyDescent="0.25"/>
    <row r="434" spans="2:5" x14ac:dyDescent="0.2">
      <c r="B434" s="42" t="s">
        <v>282</v>
      </c>
      <c r="C434" s="43"/>
      <c r="D434" s="43"/>
      <c r="E434" s="44"/>
    </row>
    <row r="435" spans="2:5" x14ac:dyDescent="0.2">
      <c r="B435" s="45"/>
      <c r="C435" s="46"/>
      <c r="D435" s="46"/>
      <c r="E435" s="47"/>
    </row>
    <row r="436" spans="2:5" x14ac:dyDescent="0.2">
      <c r="B436" s="48" t="s">
        <v>15</v>
      </c>
      <c r="C436" s="46"/>
      <c r="D436" s="46"/>
      <c r="E436" s="47"/>
    </row>
    <row r="437" spans="2:5" ht="36" customHeight="1" x14ac:dyDescent="0.2">
      <c r="B437" s="48"/>
      <c r="C437" s="88" t="s">
        <v>432</v>
      </c>
      <c r="D437" s="88"/>
      <c r="E437" s="88"/>
    </row>
    <row r="438" spans="2:5" x14ac:dyDescent="0.2">
      <c r="B438" s="48" t="s">
        <v>16</v>
      </c>
      <c r="C438" s="46"/>
      <c r="D438" s="46"/>
      <c r="E438" s="47"/>
    </row>
    <row r="439" spans="2:5" x14ac:dyDescent="0.2">
      <c r="B439" s="49"/>
      <c r="C439" s="87" t="s">
        <v>246</v>
      </c>
      <c r="D439" s="87"/>
      <c r="E439" s="87"/>
    </row>
    <row r="440" spans="2:5" x14ac:dyDescent="0.2">
      <c r="B440" s="49"/>
      <c r="C440" s="87"/>
      <c r="D440" s="87"/>
      <c r="E440" s="87"/>
    </row>
    <row r="441" spans="2:5" x14ac:dyDescent="0.2">
      <c r="B441" s="48" t="s">
        <v>17</v>
      </c>
      <c r="C441" s="46"/>
      <c r="D441" s="46"/>
      <c r="E441" s="47"/>
    </row>
    <row r="442" spans="2:5" x14ac:dyDescent="0.2">
      <c r="B442" s="49"/>
      <c r="C442" s="88"/>
      <c r="D442" s="88"/>
      <c r="E442" s="88"/>
    </row>
    <row r="443" spans="2:5" x14ac:dyDescent="0.2">
      <c r="B443" s="48" t="s">
        <v>18</v>
      </c>
      <c r="C443" s="50"/>
      <c r="D443" s="50"/>
      <c r="E443" s="51"/>
    </row>
    <row r="444" spans="2:5" x14ac:dyDescent="0.2">
      <c r="B444" s="49"/>
      <c r="C444" s="88" t="s">
        <v>247</v>
      </c>
      <c r="D444" s="88"/>
      <c r="E444" s="88"/>
    </row>
    <row r="445" spans="2:5" x14ac:dyDescent="0.2">
      <c r="B445" s="48" t="s">
        <v>19</v>
      </c>
      <c r="C445" s="46"/>
      <c r="D445" s="46"/>
      <c r="E445" s="47"/>
    </row>
    <row r="446" spans="2:5" x14ac:dyDescent="0.2">
      <c r="B446" s="48"/>
      <c r="C446" s="87"/>
      <c r="D446" s="87"/>
      <c r="E446" s="87"/>
    </row>
    <row r="447" spans="2:5" ht="13.5" thickBot="1" x14ac:dyDescent="0.25">
      <c r="B447" s="52"/>
      <c r="C447" s="53"/>
      <c r="D447" s="53"/>
      <c r="E447" s="54"/>
    </row>
    <row r="448" spans="2:5" ht="13.5" thickBot="1" x14ac:dyDescent="0.25"/>
    <row r="449" spans="2:5" x14ac:dyDescent="0.2">
      <c r="B449" s="42" t="s">
        <v>283</v>
      </c>
      <c r="C449" s="43"/>
      <c r="D449" s="43"/>
      <c r="E449" s="44"/>
    </row>
    <row r="450" spans="2:5" x14ac:dyDescent="0.2">
      <c r="B450" s="45"/>
      <c r="C450" s="46"/>
      <c r="D450" s="46"/>
      <c r="E450" s="47"/>
    </row>
    <row r="451" spans="2:5" x14ac:dyDescent="0.2">
      <c r="B451" s="48" t="s">
        <v>15</v>
      </c>
      <c r="C451" s="46"/>
      <c r="D451" s="46"/>
      <c r="E451" s="47"/>
    </row>
    <row r="452" spans="2:5" ht="36.75" customHeight="1" x14ac:dyDescent="0.2">
      <c r="B452" s="48"/>
      <c r="C452" s="88" t="s">
        <v>284</v>
      </c>
      <c r="D452" s="88"/>
      <c r="E452" s="88"/>
    </row>
    <row r="453" spans="2:5" x14ac:dyDescent="0.2">
      <c r="B453" s="48" t="s">
        <v>16</v>
      </c>
      <c r="C453" s="46"/>
      <c r="D453" s="46"/>
      <c r="E453" s="47"/>
    </row>
    <row r="454" spans="2:5" x14ac:dyDescent="0.2">
      <c r="B454" s="49"/>
      <c r="C454" s="87" t="s">
        <v>246</v>
      </c>
      <c r="D454" s="87"/>
      <c r="E454" s="87"/>
    </row>
    <row r="455" spans="2:5" x14ac:dyDescent="0.2">
      <c r="B455" s="49"/>
      <c r="C455" s="87"/>
      <c r="D455" s="87"/>
      <c r="E455" s="87"/>
    </row>
    <row r="456" spans="2:5" x14ac:dyDescent="0.2">
      <c r="B456" s="48" t="s">
        <v>17</v>
      </c>
      <c r="C456" s="46"/>
      <c r="D456" s="46"/>
      <c r="E456" s="47"/>
    </row>
    <row r="457" spans="2:5" x14ac:dyDescent="0.2">
      <c r="B457" s="49"/>
      <c r="C457" s="88"/>
      <c r="D457" s="88"/>
      <c r="E457" s="88"/>
    </row>
    <row r="458" spans="2:5" x14ac:dyDescent="0.2">
      <c r="B458" s="48" t="s">
        <v>18</v>
      </c>
      <c r="C458" s="50"/>
      <c r="D458" s="50"/>
      <c r="E458" s="51"/>
    </row>
    <row r="459" spans="2:5" x14ac:dyDescent="0.2">
      <c r="B459" s="49"/>
      <c r="C459" s="88" t="s">
        <v>247</v>
      </c>
      <c r="D459" s="88"/>
      <c r="E459" s="88"/>
    </row>
    <row r="460" spans="2:5" x14ac:dyDescent="0.2">
      <c r="B460" s="48" t="s">
        <v>19</v>
      </c>
      <c r="C460" s="46"/>
      <c r="D460" s="46"/>
      <c r="E460" s="47"/>
    </row>
    <row r="461" spans="2:5" x14ac:dyDescent="0.2">
      <c r="B461" s="48"/>
      <c r="C461" s="87"/>
      <c r="D461" s="87"/>
      <c r="E461" s="87"/>
    </row>
    <row r="462" spans="2:5" ht="13.5" thickBot="1" x14ac:dyDescent="0.25">
      <c r="B462" s="52"/>
      <c r="C462" s="53"/>
      <c r="D462" s="53"/>
      <c r="E462" s="54"/>
    </row>
    <row r="463" spans="2:5" ht="13.5" thickBot="1" x14ac:dyDescent="0.25"/>
    <row r="464" spans="2:5" x14ac:dyDescent="0.2">
      <c r="B464" s="42" t="s">
        <v>285</v>
      </c>
      <c r="C464" s="43"/>
      <c r="D464" s="43"/>
      <c r="E464" s="44"/>
    </row>
    <row r="465" spans="2:5" x14ac:dyDescent="0.2">
      <c r="B465" s="45"/>
      <c r="C465" s="46"/>
      <c r="D465" s="46"/>
      <c r="E465" s="47"/>
    </row>
    <row r="466" spans="2:5" x14ac:dyDescent="0.2">
      <c r="B466" s="48" t="s">
        <v>15</v>
      </c>
      <c r="C466" s="46"/>
      <c r="D466" s="46"/>
      <c r="E466" s="47"/>
    </row>
    <row r="467" spans="2:5" ht="31.5" customHeight="1" x14ac:dyDescent="0.2">
      <c r="B467" s="48"/>
      <c r="C467" s="88" t="s">
        <v>286</v>
      </c>
      <c r="D467" s="88"/>
      <c r="E467" s="88"/>
    </row>
    <row r="468" spans="2:5" x14ac:dyDescent="0.2">
      <c r="B468" s="48" t="s">
        <v>16</v>
      </c>
      <c r="C468" s="46"/>
      <c r="D468" s="46"/>
      <c r="E468" s="47"/>
    </row>
    <row r="469" spans="2:5" x14ac:dyDescent="0.2">
      <c r="B469" s="49"/>
      <c r="C469" s="87" t="s">
        <v>246</v>
      </c>
      <c r="D469" s="87"/>
      <c r="E469" s="87"/>
    </row>
    <row r="470" spans="2:5" x14ac:dyDescent="0.2">
      <c r="B470" s="49"/>
      <c r="C470" s="87"/>
      <c r="D470" s="87"/>
      <c r="E470" s="87"/>
    </row>
    <row r="471" spans="2:5" x14ac:dyDescent="0.2">
      <c r="B471" s="48" t="s">
        <v>17</v>
      </c>
      <c r="C471" s="46"/>
      <c r="D471" s="46"/>
      <c r="E471" s="47"/>
    </row>
    <row r="472" spans="2:5" x14ac:dyDescent="0.2">
      <c r="B472" s="49"/>
      <c r="C472" s="88"/>
      <c r="D472" s="88"/>
      <c r="E472" s="88"/>
    </row>
    <row r="473" spans="2:5" x14ac:dyDescent="0.2">
      <c r="B473" s="48" t="s">
        <v>18</v>
      </c>
      <c r="C473" s="50"/>
      <c r="D473" s="50"/>
      <c r="E473" s="51"/>
    </row>
    <row r="474" spans="2:5" x14ac:dyDescent="0.2">
      <c r="B474" s="49"/>
      <c r="C474" s="88" t="s">
        <v>247</v>
      </c>
      <c r="D474" s="88"/>
      <c r="E474" s="88"/>
    </row>
    <row r="475" spans="2:5" x14ac:dyDescent="0.2">
      <c r="B475" s="48" t="s">
        <v>19</v>
      </c>
      <c r="C475" s="46"/>
      <c r="D475" s="46"/>
      <c r="E475" s="47"/>
    </row>
    <row r="476" spans="2:5" x14ac:dyDescent="0.2">
      <c r="B476" s="48"/>
      <c r="C476" s="87"/>
      <c r="D476" s="87"/>
      <c r="E476" s="87"/>
    </row>
    <row r="477" spans="2:5" ht="13.5" thickBot="1" x14ac:dyDescent="0.25">
      <c r="B477" s="52"/>
      <c r="C477" s="53"/>
      <c r="D477" s="53"/>
      <c r="E477" s="54"/>
    </row>
    <row r="478" spans="2:5" ht="13.5" thickBot="1" x14ac:dyDescent="0.25"/>
    <row r="479" spans="2:5" x14ac:dyDescent="0.2">
      <c r="B479" s="42" t="s">
        <v>287</v>
      </c>
      <c r="C479" s="43"/>
      <c r="D479" s="43"/>
      <c r="E479" s="44"/>
    </row>
    <row r="480" spans="2:5" x14ac:dyDescent="0.2">
      <c r="B480" s="45"/>
      <c r="C480" s="46"/>
      <c r="D480" s="46"/>
      <c r="E480" s="47"/>
    </row>
    <row r="481" spans="2:5" x14ac:dyDescent="0.2">
      <c r="B481" s="48" t="s">
        <v>15</v>
      </c>
      <c r="C481" s="46"/>
      <c r="D481" s="46"/>
      <c r="E481" s="47"/>
    </row>
    <row r="482" spans="2:5" ht="36" customHeight="1" x14ac:dyDescent="0.2">
      <c r="B482" s="48"/>
      <c r="C482" s="88" t="s">
        <v>288</v>
      </c>
      <c r="D482" s="88"/>
      <c r="E482" s="88"/>
    </row>
    <row r="483" spans="2:5" x14ac:dyDescent="0.2">
      <c r="B483" s="48" t="s">
        <v>16</v>
      </c>
      <c r="C483" s="46"/>
      <c r="D483" s="46"/>
      <c r="E483" s="47"/>
    </row>
    <row r="484" spans="2:5" x14ac:dyDescent="0.2">
      <c r="B484" s="49"/>
      <c r="C484" s="87" t="s">
        <v>246</v>
      </c>
      <c r="D484" s="87"/>
      <c r="E484" s="87"/>
    </row>
    <row r="485" spans="2:5" x14ac:dyDescent="0.2">
      <c r="B485" s="49"/>
      <c r="C485" s="87"/>
      <c r="D485" s="87"/>
      <c r="E485" s="87"/>
    </row>
    <row r="486" spans="2:5" x14ac:dyDescent="0.2">
      <c r="B486" s="48" t="s">
        <v>17</v>
      </c>
      <c r="C486" s="46"/>
      <c r="D486" s="46"/>
      <c r="E486" s="47"/>
    </row>
    <row r="487" spans="2:5" x14ac:dyDescent="0.2">
      <c r="B487" s="49"/>
      <c r="C487" s="88"/>
      <c r="D487" s="88"/>
      <c r="E487" s="88"/>
    </row>
    <row r="488" spans="2:5" x14ac:dyDescent="0.2">
      <c r="B488" s="48" t="s">
        <v>18</v>
      </c>
      <c r="C488" s="50"/>
      <c r="D488" s="50"/>
      <c r="E488" s="51"/>
    </row>
    <row r="489" spans="2:5" x14ac:dyDescent="0.2">
      <c r="B489" s="49"/>
      <c r="C489" s="88" t="s">
        <v>247</v>
      </c>
      <c r="D489" s="88"/>
      <c r="E489" s="88"/>
    </row>
    <row r="490" spans="2:5" x14ac:dyDescent="0.2">
      <c r="B490" s="48" t="s">
        <v>19</v>
      </c>
      <c r="C490" s="46"/>
      <c r="D490" s="46"/>
      <c r="E490" s="47"/>
    </row>
    <row r="491" spans="2:5" x14ac:dyDescent="0.2">
      <c r="B491" s="48"/>
      <c r="C491" s="87"/>
      <c r="D491" s="87"/>
      <c r="E491" s="87"/>
    </row>
    <row r="492" spans="2:5" ht="13.5" thickBot="1" x14ac:dyDescent="0.25">
      <c r="B492" s="52"/>
      <c r="C492" s="53"/>
      <c r="D492" s="53"/>
      <c r="E492" s="54"/>
    </row>
    <row r="493" spans="2:5" ht="13.5" thickBot="1" x14ac:dyDescent="0.25"/>
    <row r="494" spans="2:5" x14ac:dyDescent="0.2">
      <c r="B494" s="42" t="s">
        <v>289</v>
      </c>
      <c r="C494" s="43"/>
      <c r="D494" s="43"/>
      <c r="E494" s="44"/>
    </row>
    <row r="495" spans="2:5" x14ac:dyDescent="0.2">
      <c r="B495" s="45"/>
      <c r="C495" s="46"/>
      <c r="D495" s="46"/>
      <c r="E495" s="47"/>
    </row>
    <row r="496" spans="2:5" x14ac:dyDescent="0.2">
      <c r="B496" s="48" t="s">
        <v>15</v>
      </c>
      <c r="C496" s="46"/>
      <c r="D496" s="46"/>
      <c r="E496" s="47"/>
    </row>
    <row r="497" spans="2:5" ht="33.75" customHeight="1" x14ac:dyDescent="0.2">
      <c r="B497" s="48"/>
      <c r="C497" s="88" t="s">
        <v>290</v>
      </c>
      <c r="D497" s="88"/>
      <c r="E497" s="88"/>
    </row>
    <row r="498" spans="2:5" x14ac:dyDescent="0.2">
      <c r="B498" s="48" t="s">
        <v>16</v>
      </c>
      <c r="C498" s="46"/>
      <c r="D498" s="46"/>
      <c r="E498" s="47"/>
    </row>
    <row r="499" spans="2:5" x14ac:dyDescent="0.2">
      <c r="B499" s="49"/>
      <c r="C499" s="87" t="s">
        <v>246</v>
      </c>
      <c r="D499" s="87"/>
      <c r="E499" s="87"/>
    </row>
    <row r="500" spans="2:5" x14ac:dyDescent="0.2">
      <c r="B500" s="49"/>
      <c r="C500" s="87"/>
      <c r="D500" s="87"/>
      <c r="E500" s="87"/>
    </row>
    <row r="501" spans="2:5" x14ac:dyDescent="0.2">
      <c r="B501" s="48" t="s">
        <v>17</v>
      </c>
      <c r="C501" s="46"/>
      <c r="D501" s="46"/>
      <c r="E501" s="47"/>
    </row>
    <row r="502" spans="2:5" x14ac:dyDescent="0.2">
      <c r="B502" s="49"/>
      <c r="C502" s="88"/>
      <c r="D502" s="88"/>
      <c r="E502" s="88"/>
    </row>
    <row r="503" spans="2:5" x14ac:dyDescent="0.2">
      <c r="B503" s="48" t="s">
        <v>18</v>
      </c>
      <c r="C503" s="50"/>
      <c r="D503" s="50"/>
      <c r="E503" s="51"/>
    </row>
    <row r="504" spans="2:5" x14ac:dyDescent="0.2">
      <c r="B504" s="49"/>
      <c r="C504" s="88" t="s">
        <v>247</v>
      </c>
      <c r="D504" s="88"/>
      <c r="E504" s="88"/>
    </row>
    <row r="505" spans="2:5" x14ac:dyDescent="0.2">
      <c r="B505" s="48" t="s">
        <v>19</v>
      </c>
      <c r="C505" s="46"/>
      <c r="D505" s="46"/>
      <c r="E505" s="47"/>
    </row>
    <row r="506" spans="2:5" x14ac:dyDescent="0.2">
      <c r="B506" s="48"/>
      <c r="C506" s="87"/>
      <c r="D506" s="87"/>
      <c r="E506" s="87"/>
    </row>
    <row r="507" spans="2:5" ht="13.5" thickBot="1" x14ac:dyDescent="0.25">
      <c r="B507" s="52"/>
      <c r="C507" s="53"/>
      <c r="D507" s="53"/>
      <c r="E507" s="54"/>
    </row>
    <row r="508" spans="2:5" ht="13.5" thickBot="1" x14ac:dyDescent="0.25"/>
    <row r="509" spans="2:5" x14ac:dyDescent="0.2">
      <c r="B509" s="42" t="s">
        <v>291</v>
      </c>
      <c r="C509" s="43"/>
      <c r="D509" s="43"/>
      <c r="E509" s="44"/>
    </row>
    <row r="510" spans="2:5" x14ac:dyDescent="0.2">
      <c r="B510" s="45"/>
      <c r="C510" s="46"/>
      <c r="D510" s="46"/>
      <c r="E510" s="47"/>
    </row>
    <row r="511" spans="2:5" x14ac:dyDescent="0.2">
      <c r="B511" s="48" t="s">
        <v>15</v>
      </c>
      <c r="C511" s="46"/>
      <c r="D511" s="46"/>
      <c r="E511" s="47"/>
    </row>
    <row r="512" spans="2:5" ht="30.75" customHeight="1" x14ac:dyDescent="0.2">
      <c r="B512" s="48"/>
      <c r="C512" s="88" t="s">
        <v>292</v>
      </c>
      <c r="D512" s="88"/>
      <c r="E512" s="88"/>
    </row>
    <row r="513" spans="2:5" x14ac:dyDescent="0.2">
      <c r="B513" s="48" t="s">
        <v>16</v>
      </c>
      <c r="C513" s="46"/>
      <c r="D513" s="46"/>
      <c r="E513" s="47"/>
    </row>
    <row r="514" spans="2:5" x14ac:dyDescent="0.2">
      <c r="B514" s="49"/>
      <c r="C514" s="87" t="s">
        <v>246</v>
      </c>
      <c r="D514" s="87"/>
      <c r="E514" s="87"/>
    </row>
    <row r="515" spans="2:5" x14ac:dyDescent="0.2">
      <c r="B515" s="49"/>
      <c r="C515" s="87"/>
      <c r="D515" s="87"/>
      <c r="E515" s="87"/>
    </row>
    <row r="516" spans="2:5" x14ac:dyDescent="0.2">
      <c r="B516" s="48" t="s">
        <v>17</v>
      </c>
      <c r="C516" s="46"/>
      <c r="D516" s="46"/>
      <c r="E516" s="47"/>
    </row>
    <row r="517" spans="2:5" x14ac:dyDescent="0.2">
      <c r="B517" s="49"/>
      <c r="C517" s="88"/>
      <c r="D517" s="88"/>
      <c r="E517" s="88"/>
    </row>
    <row r="518" spans="2:5" x14ac:dyDescent="0.2">
      <c r="B518" s="48" t="s">
        <v>18</v>
      </c>
      <c r="C518" s="50"/>
      <c r="D518" s="50"/>
      <c r="E518" s="51"/>
    </row>
    <row r="519" spans="2:5" x14ac:dyDescent="0.2">
      <c r="B519" s="49"/>
      <c r="C519" s="88" t="s">
        <v>247</v>
      </c>
      <c r="D519" s="88"/>
      <c r="E519" s="88"/>
    </row>
    <row r="520" spans="2:5" x14ac:dyDescent="0.2">
      <c r="B520" s="48" t="s">
        <v>19</v>
      </c>
      <c r="C520" s="46"/>
      <c r="D520" s="46"/>
      <c r="E520" s="47"/>
    </row>
    <row r="521" spans="2:5" x14ac:dyDescent="0.2">
      <c r="B521" s="48"/>
      <c r="C521" s="87"/>
      <c r="D521" s="87"/>
      <c r="E521" s="87"/>
    </row>
    <row r="522" spans="2:5" ht="13.5" thickBot="1" x14ac:dyDescent="0.25">
      <c r="B522" s="52"/>
      <c r="C522" s="53"/>
      <c r="D522" s="53"/>
      <c r="E522" s="54"/>
    </row>
    <row r="523" spans="2:5" ht="13.5" thickBot="1" x14ac:dyDescent="0.25"/>
    <row r="524" spans="2:5" x14ac:dyDescent="0.2">
      <c r="B524" s="42" t="s">
        <v>293</v>
      </c>
      <c r="C524" s="43"/>
      <c r="D524" s="43"/>
      <c r="E524" s="44"/>
    </row>
    <row r="525" spans="2:5" x14ac:dyDescent="0.2">
      <c r="B525" s="45"/>
      <c r="C525" s="46"/>
      <c r="D525" s="46"/>
      <c r="E525" s="47"/>
    </row>
    <row r="526" spans="2:5" x14ac:dyDescent="0.2">
      <c r="B526" s="48" t="s">
        <v>15</v>
      </c>
      <c r="C526" s="46"/>
      <c r="D526" s="46"/>
      <c r="E526" s="47"/>
    </row>
    <row r="527" spans="2:5" ht="33" customHeight="1" x14ac:dyDescent="0.2">
      <c r="B527" s="48"/>
      <c r="C527" s="88" t="s">
        <v>294</v>
      </c>
      <c r="D527" s="88"/>
      <c r="E527" s="88"/>
    </row>
    <row r="528" spans="2:5" x14ac:dyDescent="0.2">
      <c r="B528" s="48" t="s">
        <v>16</v>
      </c>
      <c r="C528" s="46"/>
      <c r="D528" s="46"/>
      <c r="E528" s="47"/>
    </row>
    <row r="529" spans="2:5" x14ac:dyDescent="0.2">
      <c r="B529" s="49"/>
      <c r="C529" s="87" t="s">
        <v>246</v>
      </c>
      <c r="D529" s="87"/>
      <c r="E529" s="87"/>
    </row>
    <row r="530" spans="2:5" x14ac:dyDescent="0.2">
      <c r="B530" s="49"/>
      <c r="C530" s="87"/>
      <c r="D530" s="87"/>
      <c r="E530" s="87"/>
    </row>
    <row r="531" spans="2:5" x14ac:dyDescent="0.2">
      <c r="B531" s="48" t="s">
        <v>17</v>
      </c>
      <c r="C531" s="46"/>
      <c r="D531" s="46"/>
      <c r="E531" s="47"/>
    </row>
    <row r="532" spans="2:5" x14ac:dyDescent="0.2">
      <c r="B532" s="49"/>
      <c r="C532" s="88"/>
      <c r="D532" s="88"/>
      <c r="E532" s="88"/>
    </row>
    <row r="533" spans="2:5" x14ac:dyDescent="0.2">
      <c r="B533" s="48" t="s">
        <v>18</v>
      </c>
      <c r="C533" s="50"/>
      <c r="D533" s="50"/>
      <c r="E533" s="51"/>
    </row>
    <row r="534" spans="2:5" x14ac:dyDescent="0.2">
      <c r="B534" s="49"/>
      <c r="C534" s="88" t="s">
        <v>247</v>
      </c>
      <c r="D534" s="88"/>
      <c r="E534" s="88"/>
    </row>
    <row r="535" spans="2:5" x14ac:dyDescent="0.2">
      <c r="B535" s="48" t="s">
        <v>19</v>
      </c>
      <c r="C535" s="46"/>
      <c r="D535" s="46"/>
      <c r="E535" s="47"/>
    </row>
    <row r="536" spans="2:5" x14ac:dyDescent="0.2">
      <c r="B536" s="48"/>
      <c r="C536" s="87"/>
      <c r="D536" s="87"/>
      <c r="E536" s="87"/>
    </row>
    <row r="537" spans="2:5" ht="13.5" thickBot="1" x14ac:dyDescent="0.25">
      <c r="B537" s="52"/>
      <c r="C537" s="53"/>
      <c r="D537" s="53"/>
      <c r="E537" s="54"/>
    </row>
    <row r="538" spans="2:5" ht="13.5" thickBot="1" x14ac:dyDescent="0.25"/>
    <row r="539" spans="2:5" x14ac:dyDescent="0.2">
      <c r="B539" s="42" t="s">
        <v>295</v>
      </c>
      <c r="C539" s="43"/>
      <c r="D539" s="43"/>
      <c r="E539" s="44"/>
    </row>
    <row r="540" spans="2:5" x14ac:dyDescent="0.2">
      <c r="B540" s="45"/>
      <c r="C540" s="46"/>
      <c r="D540" s="46"/>
      <c r="E540" s="47"/>
    </row>
    <row r="541" spans="2:5" x14ac:dyDescent="0.2">
      <c r="B541" s="48" t="s">
        <v>15</v>
      </c>
      <c r="C541" s="46"/>
      <c r="D541" s="46"/>
      <c r="E541" s="47"/>
    </row>
    <row r="542" spans="2:5" ht="32.25" customHeight="1" x14ac:dyDescent="0.2">
      <c r="B542" s="48"/>
      <c r="C542" s="88" t="s">
        <v>296</v>
      </c>
      <c r="D542" s="88"/>
      <c r="E542" s="88"/>
    </row>
    <row r="543" spans="2:5" x14ac:dyDescent="0.2">
      <c r="B543" s="48" t="s">
        <v>16</v>
      </c>
      <c r="C543" s="46"/>
      <c r="D543" s="46"/>
      <c r="E543" s="47"/>
    </row>
    <row r="544" spans="2:5" x14ac:dyDescent="0.2">
      <c r="B544" s="49"/>
      <c r="C544" s="87" t="s">
        <v>246</v>
      </c>
      <c r="D544" s="87"/>
      <c r="E544" s="87"/>
    </row>
    <row r="545" spans="2:5" x14ac:dyDescent="0.2">
      <c r="B545" s="49"/>
      <c r="C545" s="87"/>
      <c r="D545" s="87"/>
      <c r="E545" s="87"/>
    </row>
    <row r="546" spans="2:5" x14ac:dyDescent="0.2">
      <c r="B546" s="48" t="s">
        <v>17</v>
      </c>
      <c r="C546" s="46"/>
      <c r="D546" s="46"/>
      <c r="E546" s="47"/>
    </row>
    <row r="547" spans="2:5" x14ac:dyDescent="0.2">
      <c r="B547" s="49"/>
      <c r="C547" s="88"/>
      <c r="D547" s="88"/>
      <c r="E547" s="88"/>
    </row>
    <row r="548" spans="2:5" x14ac:dyDescent="0.2">
      <c r="B548" s="48" t="s">
        <v>18</v>
      </c>
      <c r="C548" s="50"/>
      <c r="D548" s="50"/>
      <c r="E548" s="51"/>
    </row>
    <row r="549" spans="2:5" x14ac:dyDescent="0.2">
      <c r="B549" s="49"/>
      <c r="C549" s="88" t="s">
        <v>247</v>
      </c>
      <c r="D549" s="88"/>
      <c r="E549" s="88"/>
    </row>
    <row r="550" spans="2:5" x14ac:dyDescent="0.2">
      <c r="B550" s="48" t="s">
        <v>19</v>
      </c>
      <c r="C550" s="46"/>
      <c r="D550" s="46"/>
      <c r="E550" s="47"/>
    </row>
    <row r="551" spans="2:5" x14ac:dyDescent="0.2">
      <c r="B551" s="48"/>
      <c r="C551" s="87"/>
      <c r="D551" s="87"/>
      <c r="E551" s="87"/>
    </row>
    <row r="552" spans="2:5" ht="13.5" thickBot="1" x14ac:dyDescent="0.25">
      <c r="B552" s="52"/>
      <c r="C552" s="53"/>
      <c r="D552" s="53"/>
      <c r="E552" s="54"/>
    </row>
    <row r="553" spans="2:5" ht="13.5" thickBot="1" x14ac:dyDescent="0.25"/>
    <row r="554" spans="2:5" x14ac:dyDescent="0.2">
      <c r="B554" s="42" t="s">
        <v>297</v>
      </c>
      <c r="C554" s="43"/>
      <c r="D554" s="43"/>
      <c r="E554" s="44"/>
    </row>
    <row r="555" spans="2:5" x14ac:dyDescent="0.2">
      <c r="B555" s="45"/>
      <c r="C555" s="46"/>
      <c r="D555" s="46"/>
      <c r="E555" s="47"/>
    </row>
    <row r="556" spans="2:5" x14ac:dyDescent="0.2">
      <c r="B556" s="48" t="s">
        <v>15</v>
      </c>
      <c r="C556" s="46"/>
      <c r="D556" s="46"/>
      <c r="E556" s="47"/>
    </row>
    <row r="557" spans="2:5" ht="32.25" customHeight="1" x14ac:dyDescent="0.2">
      <c r="B557" s="48"/>
      <c r="C557" s="88" t="s">
        <v>433</v>
      </c>
      <c r="D557" s="88"/>
      <c r="E557" s="88"/>
    </row>
    <row r="558" spans="2:5" x14ac:dyDescent="0.2">
      <c r="B558" s="48" t="s">
        <v>16</v>
      </c>
      <c r="C558" s="46"/>
      <c r="D558" s="46"/>
      <c r="E558" s="47"/>
    </row>
    <row r="559" spans="2:5" x14ac:dyDescent="0.2">
      <c r="B559" s="49"/>
      <c r="C559" s="87" t="s">
        <v>246</v>
      </c>
      <c r="D559" s="87"/>
      <c r="E559" s="87"/>
    </row>
    <row r="560" spans="2:5" x14ac:dyDescent="0.2">
      <c r="B560" s="49"/>
      <c r="C560" s="87"/>
      <c r="D560" s="87"/>
      <c r="E560" s="87"/>
    </row>
    <row r="561" spans="2:5" x14ac:dyDescent="0.2">
      <c r="B561" s="48" t="s">
        <v>17</v>
      </c>
      <c r="C561" s="46"/>
      <c r="D561" s="46"/>
      <c r="E561" s="47"/>
    </row>
    <row r="562" spans="2:5" x14ac:dyDescent="0.2">
      <c r="B562" s="49"/>
      <c r="C562" s="88"/>
      <c r="D562" s="88"/>
      <c r="E562" s="88"/>
    </row>
    <row r="563" spans="2:5" x14ac:dyDescent="0.2">
      <c r="B563" s="48" t="s">
        <v>18</v>
      </c>
      <c r="C563" s="50"/>
      <c r="D563" s="50"/>
      <c r="E563" s="51"/>
    </row>
    <row r="564" spans="2:5" x14ac:dyDescent="0.2">
      <c r="B564" s="49"/>
      <c r="C564" s="88" t="s">
        <v>247</v>
      </c>
      <c r="D564" s="88"/>
      <c r="E564" s="88"/>
    </row>
    <row r="565" spans="2:5" x14ac:dyDescent="0.2">
      <c r="B565" s="48" t="s">
        <v>19</v>
      </c>
      <c r="C565" s="46"/>
      <c r="D565" s="46"/>
      <c r="E565" s="47"/>
    </row>
    <row r="566" spans="2:5" x14ac:dyDescent="0.2">
      <c r="B566" s="48"/>
      <c r="C566" s="87"/>
      <c r="D566" s="87"/>
      <c r="E566" s="87"/>
    </row>
    <row r="567" spans="2:5" ht="13.5" thickBot="1" x14ac:dyDescent="0.25">
      <c r="B567" s="52"/>
      <c r="C567" s="53"/>
      <c r="D567" s="53"/>
      <c r="E567" s="54"/>
    </row>
    <row r="568" spans="2:5" ht="13.5" thickBot="1" x14ac:dyDescent="0.25"/>
    <row r="569" spans="2:5" x14ac:dyDescent="0.2">
      <c r="B569" s="42" t="s">
        <v>298</v>
      </c>
      <c r="C569" s="43"/>
      <c r="D569" s="43"/>
      <c r="E569" s="44"/>
    </row>
    <row r="570" spans="2:5" x14ac:dyDescent="0.2">
      <c r="B570" s="45"/>
      <c r="C570" s="46"/>
      <c r="D570" s="46"/>
      <c r="E570" s="47"/>
    </row>
    <row r="571" spans="2:5" x14ac:dyDescent="0.2">
      <c r="B571" s="48" t="s">
        <v>15</v>
      </c>
      <c r="C571" s="46"/>
      <c r="D571" s="46"/>
      <c r="E571" s="47"/>
    </row>
    <row r="572" spans="2:5" ht="33" customHeight="1" x14ac:dyDescent="0.2">
      <c r="B572" s="48"/>
      <c r="C572" s="88" t="s">
        <v>434</v>
      </c>
      <c r="D572" s="88"/>
      <c r="E572" s="88"/>
    </row>
    <row r="573" spans="2:5" x14ac:dyDescent="0.2">
      <c r="B573" s="48" t="s">
        <v>16</v>
      </c>
      <c r="C573" s="46"/>
      <c r="D573" s="46"/>
      <c r="E573" s="47"/>
    </row>
    <row r="574" spans="2:5" x14ac:dyDescent="0.2">
      <c r="B574" s="49"/>
      <c r="C574" s="87" t="s">
        <v>246</v>
      </c>
      <c r="D574" s="87"/>
      <c r="E574" s="87"/>
    </row>
    <row r="575" spans="2:5" x14ac:dyDescent="0.2">
      <c r="B575" s="49"/>
      <c r="C575" s="87"/>
      <c r="D575" s="87"/>
      <c r="E575" s="87"/>
    </row>
    <row r="576" spans="2:5" x14ac:dyDescent="0.2">
      <c r="B576" s="48" t="s">
        <v>17</v>
      </c>
      <c r="C576" s="46"/>
      <c r="D576" s="46"/>
      <c r="E576" s="47"/>
    </row>
    <row r="577" spans="2:5" x14ac:dyDescent="0.2">
      <c r="B577" s="49"/>
      <c r="C577" s="88"/>
      <c r="D577" s="88"/>
      <c r="E577" s="88"/>
    </row>
    <row r="578" spans="2:5" x14ac:dyDescent="0.2">
      <c r="B578" s="48" t="s">
        <v>18</v>
      </c>
      <c r="C578" s="50"/>
      <c r="D578" s="50"/>
      <c r="E578" s="51"/>
    </row>
    <row r="579" spans="2:5" x14ac:dyDescent="0.2">
      <c r="B579" s="49"/>
      <c r="C579" s="88" t="s">
        <v>247</v>
      </c>
      <c r="D579" s="88"/>
      <c r="E579" s="88"/>
    </row>
    <row r="580" spans="2:5" x14ac:dyDescent="0.2">
      <c r="B580" s="48" t="s">
        <v>19</v>
      </c>
      <c r="C580" s="46"/>
      <c r="D580" s="46"/>
      <c r="E580" s="47"/>
    </row>
    <row r="581" spans="2:5" x14ac:dyDescent="0.2">
      <c r="B581" s="48"/>
      <c r="C581" s="87"/>
      <c r="D581" s="87"/>
      <c r="E581" s="87"/>
    </row>
    <row r="582" spans="2:5" ht="13.5" thickBot="1" x14ac:dyDescent="0.25">
      <c r="B582" s="52"/>
      <c r="C582" s="53"/>
      <c r="D582" s="53"/>
      <c r="E582" s="54"/>
    </row>
    <row r="584" spans="2:5" ht="13.5" thickBot="1" x14ac:dyDescent="0.25"/>
    <row r="585" spans="2:5" x14ac:dyDescent="0.2">
      <c r="B585" s="42" t="s">
        <v>299</v>
      </c>
      <c r="C585" s="43"/>
      <c r="D585" s="43"/>
      <c r="E585" s="44"/>
    </row>
    <row r="586" spans="2:5" x14ac:dyDescent="0.2">
      <c r="B586" s="45"/>
      <c r="C586" s="46"/>
      <c r="D586" s="46"/>
      <c r="E586" s="47"/>
    </row>
    <row r="587" spans="2:5" x14ac:dyDescent="0.2">
      <c r="B587" s="48" t="s">
        <v>15</v>
      </c>
      <c r="C587" s="46"/>
      <c r="D587" s="46"/>
      <c r="E587" s="47"/>
    </row>
    <row r="588" spans="2:5" ht="37.5" customHeight="1" x14ac:dyDescent="0.2">
      <c r="B588" s="48"/>
      <c r="C588" s="88" t="s">
        <v>301</v>
      </c>
      <c r="D588" s="88"/>
      <c r="E588" s="88"/>
    </row>
    <row r="589" spans="2:5" x14ac:dyDescent="0.2">
      <c r="B589" s="48" t="s">
        <v>16</v>
      </c>
      <c r="C589" s="46"/>
      <c r="D589" s="46"/>
      <c r="E589" s="47"/>
    </row>
    <row r="590" spans="2:5" x14ac:dyDescent="0.2">
      <c r="B590" s="49"/>
      <c r="C590" s="87" t="s">
        <v>246</v>
      </c>
      <c r="D590" s="87"/>
      <c r="E590" s="87"/>
    </row>
    <row r="591" spans="2:5" x14ac:dyDescent="0.2">
      <c r="B591" s="49"/>
      <c r="C591" s="87"/>
      <c r="D591" s="87"/>
      <c r="E591" s="87"/>
    </row>
    <row r="592" spans="2:5" x14ac:dyDescent="0.2">
      <c r="B592" s="48" t="s">
        <v>17</v>
      </c>
      <c r="C592" s="46"/>
      <c r="D592" s="46"/>
      <c r="E592" s="47"/>
    </row>
    <row r="593" spans="2:5" x14ac:dyDescent="0.2">
      <c r="B593" s="49"/>
      <c r="C593" s="88"/>
      <c r="D593" s="88"/>
      <c r="E593" s="88"/>
    </row>
    <row r="594" spans="2:5" x14ac:dyDescent="0.2">
      <c r="B594" s="48" t="s">
        <v>18</v>
      </c>
      <c r="C594" s="50"/>
      <c r="D594" s="50"/>
      <c r="E594" s="51"/>
    </row>
    <row r="595" spans="2:5" x14ac:dyDescent="0.2">
      <c r="B595" s="49"/>
      <c r="C595" s="88" t="s">
        <v>247</v>
      </c>
      <c r="D595" s="88"/>
      <c r="E595" s="88"/>
    </row>
    <row r="596" spans="2:5" x14ac:dyDescent="0.2">
      <c r="B596" s="48" t="s">
        <v>19</v>
      </c>
      <c r="C596" s="46"/>
      <c r="D596" s="46"/>
      <c r="E596" s="47"/>
    </row>
    <row r="597" spans="2:5" x14ac:dyDescent="0.2">
      <c r="B597" s="48"/>
      <c r="C597" s="87"/>
      <c r="D597" s="87"/>
      <c r="E597" s="87"/>
    </row>
    <row r="598" spans="2:5" ht="13.5" thickBot="1" x14ac:dyDescent="0.25">
      <c r="B598" s="52"/>
      <c r="C598" s="53"/>
      <c r="D598" s="53"/>
      <c r="E598" s="54"/>
    </row>
    <row r="599" spans="2:5" ht="13.5" thickBot="1" x14ac:dyDescent="0.25"/>
    <row r="600" spans="2:5" x14ac:dyDescent="0.2">
      <c r="B600" s="42" t="s">
        <v>300</v>
      </c>
      <c r="C600" s="43"/>
      <c r="D600" s="43"/>
      <c r="E600" s="44"/>
    </row>
    <row r="601" spans="2:5" x14ac:dyDescent="0.2">
      <c r="B601" s="45"/>
      <c r="C601" s="46"/>
      <c r="D601" s="46"/>
      <c r="E601" s="47"/>
    </row>
    <row r="602" spans="2:5" x14ac:dyDescent="0.2">
      <c r="B602" s="48" t="s">
        <v>15</v>
      </c>
      <c r="C602" s="46"/>
      <c r="D602" s="46"/>
      <c r="E602" s="47"/>
    </row>
    <row r="603" spans="2:5" ht="31.5" customHeight="1" x14ac:dyDescent="0.2">
      <c r="B603" s="48"/>
      <c r="C603" s="88" t="s">
        <v>413</v>
      </c>
      <c r="D603" s="88"/>
      <c r="E603" s="88"/>
    </row>
    <row r="604" spans="2:5" x14ac:dyDescent="0.2">
      <c r="B604" s="48" t="s">
        <v>16</v>
      </c>
      <c r="C604" s="46"/>
      <c r="D604" s="46"/>
      <c r="E604" s="47"/>
    </row>
    <row r="605" spans="2:5" x14ac:dyDescent="0.2">
      <c r="B605" s="49"/>
      <c r="C605" s="87" t="s">
        <v>246</v>
      </c>
      <c r="D605" s="87"/>
      <c r="E605" s="87"/>
    </row>
    <row r="606" spans="2:5" x14ac:dyDescent="0.2">
      <c r="B606" s="49"/>
      <c r="C606" s="87"/>
      <c r="D606" s="87"/>
      <c r="E606" s="87"/>
    </row>
    <row r="607" spans="2:5" x14ac:dyDescent="0.2">
      <c r="B607" s="48" t="s">
        <v>17</v>
      </c>
      <c r="C607" s="46"/>
      <c r="D607" s="46"/>
      <c r="E607" s="47"/>
    </row>
    <row r="608" spans="2:5" x14ac:dyDescent="0.2">
      <c r="B608" s="49"/>
      <c r="C608" s="88"/>
      <c r="D608" s="88"/>
      <c r="E608" s="88"/>
    </row>
    <row r="609" spans="2:5" x14ac:dyDescent="0.2">
      <c r="B609" s="48" t="s">
        <v>18</v>
      </c>
      <c r="C609" s="50"/>
      <c r="D609" s="50"/>
      <c r="E609" s="51"/>
    </row>
    <row r="610" spans="2:5" x14ac:dyDescent="0.2">
      <c r="B610" s="49"/>
      <c r="C610" s="88" t="s">
        <v>247</v>
      </c>
      <c r="D610" s="88"/>
      <c r="E610" s="88"/>
    </row>
    <row r="611" spans="2:5" x14ac:dyDescent="0.2">
      <c r="B611" s="48" t="s">
        <v>19</v>
      </c>
      <c r="C611" s="46"/>
      <c r="D611" s="46"/>
      <c r="E611" s="47"/>
    </row>
    <row r="612" spans="2:5" x14ac:dyDescent="0.2">
      <c r="B612" s="48"/>
      <c r="C612" s="87"/>
      <c r="D612" s="87"/>
      <c r="E612" s="87"/>
    </row>
    <row r="613" spans="2:5" ht="13.5" thickBot="1" x14ac:dyDescent="0.25">
      <c r="B613" s="52"/>
      <c r="C613" s="53"/>
      <c r="D613" s="53"/>
      <c r="E613" s="54"/>
    </row>
    <row r="615" spans="2:5" ht="13.5" thickBot="1" x14ac:dyDescent="0.25"/>
    <row r="616" spans="2:5" x14ac:dyDescent="0.2">
      <c r="B616" s="42" t="s">
        <v>302</v>
      </c>
      <c r="C616" s="43"/>
      <c r="D616" s="43"/>
      <c r="E616" s="44"/>
    </row>
    <row r="617" spans="2:5" x14ac:dyDescent="0.2">
      <c r="B617" s="45"/>
      <c r="C617" s="46"/>
      <c r="D617" s="46"/>
      <c r="E617" s="47"/>
    </row>
    <row r="618" spans="2:5" x14ac:dyDescent="0.2">
      <c r="B618" s="48" t="s">
        <v>15</v>
      </c>
      <c r="C618" s="46"/>
      <c r="D618" s="46"/>
      <c r="E618" s="47"/>
    </row>
    <row r="619" spans="2:5" ht="34.5" customHeight="1" x14ac:dyDescent="0.2">
      <c r="B619" s="48"/>
      <c r="C619" s="88" t="s">
        <v>303</v>
      </c>
      <c r="D619" s="88"/>
      <c r="E619" s="88"/>
    </row>
    <row r="620" spans="2:5" x14ac:dyDescent="0.2">
      <c r="B620" s="48" t="s">
        <v>16</v>
      </c>
      <c r="C620" s="46"/>
      <c r="D620" s="46"/>
      <c r="E620" s="47"/>
    </row>
    <row r="621" spans="2:5" x14ac:dyDescent="0.2">
      <c r="B621" s="49"/>
      <c r="C621" s="87" t="s">
        <v>246</v>
      </c>
      <c r="D621" s="87"/>
      <c r="E621" s="87"/>
    </row>
    <row r="622" spans="2:5" x14ac:dyDescent="0.2">
      <c r="B622" s="49"/>
      <c r="C622" s="87"/>
      <c r="D622" s="87"/>
      <c r="E622" s="87"/>
    </row>
    <row r="623" spans="2:5" x14ac:dyDescent="0.2">
      <c r="B623" s="48" t="s">
        <v>17</v>
      </c>
      <c r="C623" s="46"/>
      <c r="D623" s="46"/>
      <c r="E623" s="47"/>
    </row>
    <row r="624" spans="2:5" x14ac:dyDescent="0.2">
      <c r="B624" s="49"/>
      <c r="C624" s="88"/>
      <c r="D624" s="88"/>
      <c r="E624" s="88"/>
    </row>
    <row r="625" spans="2:5" x14ac:dyDescent="0.2">
      <c r="B625" s="48" t="s">
        <v>18</v>
      </c>
      <c r="C625" s="50"/>
      <c r="D625" s="50"/>
      <c r="E625" s="51"/>
    </row>
    <row r="626" spans="2:5" x14ac:dyDescent="0.2">
      <c r="B626" s="49"/>
      <c r="C626" s="88" t="s">
        <v>247</v>
      </c>
      <c r="D626" s="88"/>
      <c r="E626" s="88"/>
    </row>
    <row r="627" spans="2:5" x14ac:dyDescent="0.2">
      <c r="B627" s="48" t="s">
        <v>19</v>
      </c>
      <c r="C627" s="46"/>
      <c r="D627" s="46"/>
      <c r="E627" s="47"/>
    </row>
    <row r="628" spans="2:5" x14ac:dyDescent="0.2">
      <c r="B628" s="48"/>
      <c r="C628" s="87"/>
      <c r="D628" s="87"/>
      <c r="E628" s="87"/>
    </row>
    <row r="629" spans="2:5" ht="13.5" thickBot="1" x14ac:dyDescent="0.25">
      <c r="B629" s="52"/>
      <c r="C629" s="53"/>
      <c r="D629" s="53"/>
      <c r="E629" s="54"/>
    </row>
    <row r="630" spans="2:5" ht="13.5" thickBot="1" x14ac:dyDescent="0.25"/>
    <row r="631" spans="2:5" x14ac:dyDescent="0.2">
      <c r="B631" s="42" t="s">
        <v>401</v>
      </c>
      <c r="C631" s="43"/>
      <c r="D631" s="43"/>
      <c r="E631" s="44"/>
    </row>
    <row r="632" spans="2:5" x14ac:dyDescent="0.2">
      <c r="B632" s="45"/>
      <c r="C632" s="46"/>
      <c r="D632" s="46"/>
      <c r="E632" s="47"/>
    </row>
    <row r="633" spans="2:5" x14ac:dyDescent="0.2">
      <c r="B633" s="48" t="s">
        <v>15</v>
      </c>
      <c r="C633" s="46"/>
      <c r="D633" s="46"/>
      <c r="E633" s="47"/>
    </row>
    <row r="634" spans="2:5" ht="31.5" customHeight="1" x14ac:dyDescent="0.2">
      <c r="B634" s="48"/>
      <c r="C634" s="88" t="s">
        <v>435</v>
      </c>
      <c r="D634" s="88"/>
      <c r="E634" s="88"/>
    </row>
    <row r="635" spans="2:5" x14ac:dyDescent="0.2">
      <c r="B635" s="48" t="s">
        <v>16</v>
      </c>
      <c r="C635" s="46"/>
      <c r="D635" s="46"/>
      <c r="E635" s="47"/>
    </row>
    <row r="636" spans="2:5" x14ac:dyDescent="0.2">
      <c r="B636" s="49"/>
      <c r="C636" s="87" t="s">
        <v>246</v>
      </c>
      <c r="D636" s="87"/>
      <c r="E636" s="87"/>
    </row>
    <row r="637" spans="2:5" x14ac:dyDescent="0.2">
      <c r="B637" s="49"/>
      <c r="C637" s="87"/>
      <c r="D637" s="87"/>
      <c r="E637" s="87"/>
    </row>
    <row r="638" spans="2:5" x14ac:dyDescent="0.2">
      <c r="B638" s="48" t="s">
        <v>17</v>
      </c>
      <c r="C638" s="46"/>
      <c r="D638" s="46"/>
      <c r="E638" s="47"/>
    </row>
    <row r="639" spans="2:5" x14ac:dyDescent="0.2">
      <c r="B639" s="49"/>
      <c r="C639" s="88"/>
      <c r="D639" s="88"/>
      <c r="E639" s="88"/>
    </row>
    <row r="640" spans="2:5" x14ac:dyDescent="0.2">
      <c r="B640" s="48" t="s">
        <v>18</v>
      </c>
      <c r="C640" s="50"/>
      <c r="D640" s="50"/>
      <c r="E640" s="51"/>
    </row>
    <row r="641" spans="2:5" x14ac:dyDescent="0.2">
      <c r="B641" s="49"/>
      <c r="C641" s="88" t="s">
        <v>247</v>
      </c>
      <c r="D641" s="88"/>
      <c r="E641" s="88"/>
    </row>
    <row r="642" spans="2:5" x14ac:dyDescent="0.2">
      <c r="B642" s="48" t="s">
        <v>19</v>
      </c>
      <c r="C642" s="46"/>
      <c r="D642" s="46"/>
      <c r="E642" s="47"/>
    </row>
    <row r="643" spans="2:5" x14ac:dyDescent="0.2">
      <c r="B643" s="48"/>
      <c r="C643" s="87"/>
      <c r="D643" s="87"/>
      <c r="E643" s="87"/>
    </row>
    <row r="644" spans="2:5" ht="13.5" thickBot="1" x14ac:dyDescent="0.25">
      <c r="B644" s="52"/>
      <c r="C644" s="53"/>
      <c r="D644" s="53"/>
      <c r="E644" s="54"/>
    </row>
    <row r="645" spans="2:5" ht="13.5" thickBot="1" x14ac:dyDescent="0.25"/>
    <row r="646" spans="2:5" x14ac:dyDescent="0.2">
      <c r="B646" s="42" t="s">
        <v>402</v>
      </c>
      <c r="C646" s="43"/>
      <c r="D646" s="43"/>
      <c r="E646" s="44"/>
    </row>
    <row r="647" spans="2:5" x14ac:dyDescent="0.2">
      <c r="B647" s="45"/>
      <c r="C647" s="46"/>
      <c r="D647" s="46"/>
      <c r="E647" s="47"/>
    </row>
    <row r="648" spans="2:5" x14ac:dyDescent="0.2">
      <c r="B648" s="48" t="s">
        <v>15</v>
      </c>
      <c r="C648" s="46"/>
      <c r="D648" s="46"/>
      <c r="E648" s="47"/>
    </row>
    <row r="649" spans="2:5" ht="32.25" customHeight="1" x14ac:dyDescent="0.2">
      <c r="B649" s="48"/>
      <c r="C649" s="88" t="s">
        <v>306</v>
      </c>
      <c r="D649" s="88"/>
      <c r="E649" s="88"/>
    </row>
    <row r="650" spans="2:5" x14ac:dyDescent="0.2">
      <c r="B650" s="48" t="s">
        <v>16</v>
      </c>
      <c r="C650" s="46"/>
      <c r="D650" s="46"/>
      <c r="E650" s="47"/>
    </row>
    <row r="651" spans="2:5" x14ac:dyDescent="0.2">
      <c r="B651" s="49"/>
      <c r="C651" s="87" t="s">
        <v>246</v>
      </c>
      <c r="D651" s="87"/>
      <c r="E651" s="87"/>
    </row>
    <row r="652" spans="2:5" x14ac:dyDescent="0.2">
      <c r="B652" s="49"/>
      <c r="C652" s="87"/>
      <c r="D652" s="87"/>
      <c r="E652" s="87"/>
    </row>
    <row r="653" spans="2:5" x14ac:dyDescent="0.2">
      <c r="B653" s="48" t="s">
        <v>17</v>
      </c>
      <c r="C653" s="46"/>
      <c r="D653" s="46"/>
      <c r="E653" s="47"/>
    </row>
    <row r="654" spans="2:5" x14ac:dyDescent="0.2">
      <c r="B654" s="49"/>
      <c r="C654" s="88"/>
      <c r="D654" s="88"/>
      <c r="E654" s="88"/>
    </row>
    <row r="655" spans="2:5" x14ac:dyDescent="0.2">
      <c r="B655" s="48" t="s">
        <v>18</v>
      </c>
      <c r="C655" s="50"/>
      <c r="D655" s="50"/>
      <c r="E655" s="51"/>
    </row>
    <row r="656" spans="2:5" x14ac:dyDescent="0.2">
      <c r="B656" s="49"/>
      <c r="C656" s="88" t="s">
        <v>247</v>
      </c>
      <c r="D656" s="88"/>
      <c r="E656" s="88"/>
    </row>
    <row r="657" spans="2:5" x14ac:dyDescent="0.2">
      <c r="B657" s="48" t="s">
        <v>19</v>
      </c>
      <c r="C657" s="46"/>
      <c r="D657" s="46"/>
      <c r="E657" s="47"/>
    </row>
    <row r="658" spans="2:5" x14ac:dyDescent="0.2">
      <c r="B658" s="48"/>
      <c r="C658" s="87"/>
      <c r="D658" s="87"/>
      <c r="E658" s="87"/>
    </row>
    <row r="659" spans="2:5" ht="13.5" thickBot="1" x14ac:dyDescent="0.25">
      <c r="B659" s="52"/>
      <c r="C659" s="53"/>
      <c r="D659" s="53"/>
      <c r="E659" s="54"/>
    </row>
    <row r="660" spans="2:5" ht="13.5" thickBot="1" x14ac:dyDescent="0.25"/>
    <row r="661" spans="2:5" x14ac:dyDescent="0.2">
      <c r="B661" s="42" t="s">
        <v>304</v>
      </c>
      <c r="C661" s="43"/>
      <c r="D661" s="43"/>
      <c r="E661" s="44"/>
    </row>
    <row r="662" spans="2:5" x14ac:dyDescent="0.2">
      <c r="B662" s="45"/>
      <c r="C662" s="46"/>
      <c r="D662" s="46"/>
      <c r="E662" s="47"/>
    </row>
    <row r="663" spans="2:5" x14ac:dyDescent="0.2">
      <c r="B663" s="48" t="s">
        <v>15</v>
      </c>
      <c r="C663" s="46"/>
      <c r="D663" s="46"/>
      <c r="E663" s="47"/>
    </row>
    <row r="664" spans="2:5" ht="37.5" customHeight="1" x14ac:dyDescent="0.2">
      <c r="B664" s="48"/>
      <c r="C664" s="88" t="s">
        <v>308</v>
      </c>
      <c r="D664" s="88"/>
      <c r="E664" s="88"/>
    </row>
    <row r="665" spans="2:5" x14ac:dyDescent="0.2">
      <c r="B665" s="48" t="s">
        <v>16</v>
      </c>
      <c r="C665" s="46"/>
      <c r="D665" s="46"/>
      <c r="E665" s="47"/>
    </row>
    <row r="666" spans="2:5" x14ac:dyDescent="0.2">
      <c r="B666" s="49"/>
      <c r="C666" s="87" t="s">
        <v>246</v>
      </c>
      <c r="D666" s="87"/>
      <c r="E666" s="87"/>
    </row>
    <row r="667" spans="2:5" x14ac:dyDescent="0.2">
      <c r="B667" s="49"/>
      <c r="C667" s="87"/>
      <c r="D667" s="87"/>
      <c r="E667" s="87"/>
    </row>
    <row r="668" spans="2:5" x14ac:dyDescent="0.2">
      <c r="B668" s="48" t="s">
        <v>17</v>
      </c>
      <c r="C668" s="46"/>
      <c r="D668" s="46"/>
      <c r="E668" s="47"/>
    </row>
    <row r="669" spans="2:5" x14ac:dyDescent="0.2">
      <c r="B669" s="49"/>
      <c r="C669" s="88"/>
      <c r="D669" s="88"/>
      <c r="E669" s="88"/>
    </row>
    <row r="670" spans="2:5" x14ac:dyDescent="0.2">
      <c r="B670" s="48" t="s">
        <v>18</v>
      </c>
      <c r="C670" s="50"/>
      <c r="D670" s="50"/>
      <c r="E670" s="51"/>
    </row>
    <row r="671" spans="2:5" x14ac:dyDescent="0.2">
      <c r="B671" s="49"/>
      <c r="C671" s="88" t="s">
        <v>247</v>
      </c>
      <c r="D671" s="88"/>
      <c r="E671" s="88"/>
    </row>
    <row r="672" spans="2:5" x14ac:dyDescent="0.2">
      <c r="B672" s="48" t="s">
        <v>19</v>
      </c>
      <c r="C672" s="46"/>
      <c r="D672" s="46"/>
      <c r="E672" s="47"/>
    </row>
    <row r="673" spans="2:5" x14ac:dyDescent="0.2">
      <c r="B673" s="48"/>
      <c r="C673" s="87"/>
      <c r="D673" s="87"/>
      <c r="E673" s="87"/>
    </row>
    <row r="674" spans="2:5" ht="13.5" thickBot="1" x14ac:dyDescent="0.25">
      <c r="B674" s="52"/>
      <c r="C674" s="53"/>
      <c r="D674" s="53"/>
      <c r="E674" s="54"/>
    </row>
    <row r="675" spans="2:5" ht="13.5" thickBot="1" x14ac:dyDescent="0.25"/>
    <row r="676" spans="2:5" x14ac:dyDescent="0.2">
      <c r="B676" s="42" t="s">
        <v>305</v>
      </c>
      <c r="C676" s="43"/>
      <c r="D676" s="43"/>
      <c r="E676" s="44"/>
    </row>
    <row r="677" spans="2:5" x14ac:dyDescent="0.2">
      <c r="B677" s="45"/>
      <c r="C677" s="46"/>
      <c r="D677" s="46"/>
      <c r="E677" s="47"/>
    </row>
    <row r="678" spans="2:5" x14ac:dyDescent="0.2">
      <c r="B678" s="48" t="s">
        <v>15</v>
      </c>
      <c r="C678" s="46"/>
      <c r="D678" s="46"/>
      <c r="E678" s="47"/>
    </row>
    <row r="679" spans="2:5" ht="34.5" customHeight="1" x14ac:dyDescent="0.2">
      <c r="B679" s="48"/>
      <c r="C679" s="88" t="s">
        <v>436</v>
      </c>
      <c r="D679" s="88"/>
      <c r="E679" s="88"/>
    </row>
    <row r="680" spans="2:5" x14ac:dyDescent="0.2">
      <c r="B680" s="48" t="s">
        <v>16</v>
      </c>
      <c r="C680" s="46"/>
      <c r="D680" s="46"/>
      <c r="E680" s="47"/>
    </row>
    <row r="681" spans="2:5" x14ac:dyDescent="0.2">
      <c r="B681" s="49"/>
      <c r="C681" s="87" t="s">
        <v>246</v>
      </c>
      <c r="D681" s="87"/>
      <c r="E681" s="87"/>
    </row>
    <row r="682" spans="2:5" x14ac:dyDescent="0.2">
      <c r="B682" s="49"/>
      <c r="C682" s="87"/>
      <c r="D682" s="87"/>
      <c r="E682" s="87"/>
    </row>
    <row r="683" spans="2:5" x14ac:dyDescent="0.2">
      <c r="B683" s="48" t="s">
        <v>17</v>
      </c>
      <c r="C683" s="46"/>
      <c r="D683" s="46"/>
      <c r="E683" s="47"/>
    </row>
    <row r="684" spans="2:5" x14ac:dyDescent="0.2">
      <c r="B684" s="49"/>
      <c r="C684" s="88"/>
      <c r="D684" s="88"/>
      <c r="E684" s="88"/>
    </row>
    <row r="685" spans="2:5" x14ac:dyDescent="0.2">
      <c r="B685" s="48" t="s">
        <v>18</v>
      </c>
      <c r="C685" s="50"/>
      <c r="D685" s="50"/>
      <c r="E685" s="51"/>
    </row>
    <row r="686" spans="2:5" x14ac:dyDescent="0.2">
      <c r="B686" s="49"/>
      <c r="C686" s="88" t="s">
        <v>247</v>
      </c>
      <c r="D686" s="88"/>
      <c r="E686" s="88"/>
    </row>
    <row r="687" spans="2:5" x14ac:dyDescent="0.2">
      <c r="B687" s="48" t="s">
        <v>19</v>
      </c>
      <c r="C687" s="46"/>
      <c r="D687" s="46"/>
      <c r="E687" s="47"/>
    </row>
    <row r="688" spans="2:5" x14ac:dyDescent="0.2">
      <c r="B688" s="48"/>
      <c r="C688" s="87"/>
      <c r="D688" s="87"/>
      <c r="E688" s="87"/>
    </row>
    <row r="689" spans="2:5" ht="13.5" thickBot="1" x14ac:dyDescent="0.25">
      <c r="B689" s="52"/>
      <c r="C689" s="53"/>
      <c r="D689" s="53"/>
      <c r="E689" s="54"/>
    </row>
    <row r="690" spans="2:5" ht="13.5" thickBot="1" x14ac:dyDescent="0.25"/>
    <row r="691" spans="2:5" x14ac:dyDescent="0.2">
      <c r="B691" s="42" t="s">
        <v>307</v>
      </c>
      <c r="C691" s="43"/>
      <c r="D691" s="43"/>
      <c r="E691" s="44"/>
    </row>
    <row r="692" spans="2:5" x14ac:dyDescent="0.2">
      <c r="B692" s="45"/>
      <c r="C692" s="46"/>
      <c r="D692" s="46"/>
      <c r="E692" s="47"/>
    </row>
    <row r="693" spans="2:5" x14ac:dyDescent="0.2">
      <c r="B693" s="48" t="s">
        <v>15</v>
      </c>
      <c r="C693" s="46"/>
      <c r="D693" s="46"/>
      <c r="E693" s="47"/>
    </row>
    <row r="694" spans="2:5" ht="41.25" customHeight="1" x14ac:dyDescent="0.2">
      <c r="B694" s="48"/>
      <c r="C694" s="88" t="s">
        <v>437</v>
      </c>
      <c r="D694" s="88"/>
      <c r="E694" s="88"/>
    </row>
    <row r="695" spans="2:5" x14ac:dyDescent="0.2">
      <c r="B695" s="48" t="s">
        <v>16</v>
      </c>
      <c r="C695" s="46"/>
      <c r="D695" s="46"/>
      <c r="E695" s="47"/>
    </row>
    <row r="696" spans="2:5" x14ac:dyDescent="0.2">
      <c r="B696" s="49"/>
      <c r="C696" s="87" t="s">
        <v>246</v>
      </c>
      <c r="D696" s="87"/>
      <c r="E696" s="87"/>
    </row>
    <row r="697" spans="2:5" x14ac:dyDescent="0.2">
      <c r="B697" s="49"/>
      <c r="C697" s="87"/>
      <c r="D697" s="87"/>
      <c r="E697" s="87"/>
    </row>
    <row r="698" spans="2:5" x14ac:dyDescent="0.2">
      <c r="B698" s="48" t="s">
        <v>17</v>
      </c>
      <c r="C698" s="46"/>
      <c r="D698" s="46"/>
      <c r="E698" s="47"/>
    </row>
    <row r="699" spans="2:5" x14ac:dyDescent="0.2">
      <c r="B699" s="49"/>
      <c r="C699" s="88"/>
      <c r="D699" s="88"/>
      <c r="E699" s="88"/>
    </row>
    <row r="700" spans="2:5" x14ac:dyDescent="0.2">
      <c r="B700" s="48" t="s">
        <v>18</v>
      </c>
      <c r="C700" s="50"/>
      <c r="D700" s="50"/>
      <c r="E700" s="51"/>
    </row>
    <row r="701" spans="2:5" x14ac:dyDescent="0.2">
      <c r="B701" s="49"/>
      <c r="C701" s="88" t="s">
        <v>247</v>
      </c>
      <c r="D701" s="88"/>
      <c r="E701" s="88"/>
    </row>
    <row r="702" spans="2:5" x14ac:dyDescent="0.2">
      <c r="B702" s="48" t="s">
        <v>19</v>
      </c>
      <c r="C702" s="46"/>
      <c r="D702" s="46"/>
      <c r="E702" s="47"/>
    </row>
    <row r="703" spans="2:5" x14ac:dyDescent="0.2">
      <c r="B703" s="48"/>
      <c r="C703" s="87"/>
      <c r="D703" s="87"/>
      <c r="E703" s="87"/>
    </row>
    <row r="704" spans="2:5" ht="13.5" thickBot="1" x14ac:dyDescent="0.25">
      <c r="B704" s="52"/>
      <c r="C704" s="53"/>
      <c r="D704" s="53"/>
      <c r="E704" s="54"/>
    </row>
    <row r="705" spans="2:5" ht="13.5" thickBot="1" x14ac:dyDescent="0.25"/>
    <row r="706" spans="2:5" x14ac:dyDescent="0.2">
      <c r="B706" s="42" t="s">
        <v>309</v>
      </c>
      <c r="C706" s="43"/>
      <c r="D706" s="43"/>
      <c r="E706" s="44"/>
    </row>
    <row r="707" spans="2:5" x14ac:dyDescent="0.2">
      <c r="B707" s="45"/>
      <c r="C707" s="46"/>
      <c r="D707" s="46"/>
      <c r="E707" s="47"/>
    </row>
    <row r="708" spans="2:5" x14ac:dyDescent="0.2">
      <c r="B708" s="48" t="s">
        <v>15</v>
      </c>
      <c r="C708" s="46"/>
      <c r="D708" s="46"/>
      <c r="E708" s="47"/>
    </row>
    <row r="709" spans="2:5" ht="31.5" customHeight="1" x14ac:dyDescent="0.2">
      <c r="B709" s="48"/>
      <c r="C709" s="88" t="s">
        <v>312</v>
      </c>
      <c r="D709" s="88"/>
      <c r="E709" s="88"/>
    </row>
    <row r="710" spans="2:5" x14ac:dyDescent="0.2">
      <c r="B710" s="48" t="s">
        <v>16</v>
      </c>
      <c r="C710" s="46"/>
      <c r="D710" s="46"/>
      <c r="E710" s="47"/>
    </row>
    <row r="711" spans="2:5" x14ac:dyDescent="0.2">
      <c r="B711" s="49"/>
      <c r="C711" s="87" t="s">
        <v>246</v>
      </c>
      <c r="D711" s="87"/>
      <c r="E711" s="87"/>
    </row>
    <row r="712" spans="2:5" x14ac:dyDescent="0.2">
      <c r="B712" s="49"/>
      <c r="C712" s="87"/>
      <c r="D712" s="87"/>
      <c r="E712" s="87"/>
    </row>
    <row r="713" spans="2:5" x14ac:dyDescent="0.2">
      <c r="B713" s="48" t="s">
        <v>17</v>
      </c>
      <c r="C713" s="46"/>
      <c r="D713" s="46"/>
      <c r="E713" s="47"/>
    </row>
    <row r="714" spans="2:5" x14ac:dyDescent="0.2">
      <c r="B714" s="49"/>
      <c r="C714" s="88"/>
      <c r="D714" s="88"/>
      <c r="E714" s="88"/>
    </row>
    <row r="715" spans="2:5" x14ac:dyDescent="0.2">
      <c r="B715" s="48" t="s">
        <v>18</v>
      </c>
      <c r="C715" s="50"/>
      <c r="D715" s="50"/>
      <c r="E715" s="51"/>
    </row>
    <row r="716" spans="2:5" x14ac:dyDescent="0.2">
      <c r="B716" s="49"/>
      <c r="C716" s="88" t="s">
        <v>247</v>
      </c>
      <c r="D716" s="88"/>
      <c r="E716" s="88"/>
    </row>
    <row r="717" spans="2:5" x14ac:dyDescent="0.2">
      <c r="B717" s="48" t="s">
        <v>19</v>
      </c>
      <c r="C717" s="46"/>
      <c r="D717" s="46"/>
      <c r="E717" s="47"/>
    </row>
    <row r="718" spans="2:5" x14ac:dyDescent="0.2">
      <c r="B718" s="48"/>
      <c r="C718" s="87"/>
      <c r="D718" s="87"/>
      <c r="E718" s="87"/>
    </row>
    <row r="719" spans="2:5" ht="13.5" thickBot="1" x14ac:dyDescent="0.25">
      <c r="B719" s="52"/>
      <c r="C719" s="53"/>
      <c r="D719" s="53"/>
      <c r="E719" s="54"/>
    </row>
    <row r="720" spans="2:5" ht="13.5" thickBot="1" x14ac:dyDescent="0.25"/>
    <row r="721" spans="2:5" x14ac:dyDescent="0.2">
      <c r="B721" s="42" t="s">
        <v>310</v>
      </c>
      <c r="C721" s="43"/>
      <c r="D721" s="43"/>
      <c r="E721" s="44"/>
    </row>
    <row r="722" spans="2:5" x14ac:dyDescent="0.2">
      <c r="B722" s="45"/>
      <c r="C722" s="46"/>
      <c r="D722" s="46"/>
      <c r="E722" s="47"/>
    </row>
    <row r="723" spans="2:5" x14ac:dyDescent="0.2">
      <c r="B723" s="48" t="s">
        <v>15</v>
      </c>
      <c r="C723" s="46"/>
      <c r="D723" s="46"/>
      <c r="E723" s="47"/>
    </row>
    <row r="724" spans="2:5" ht="31.5" customHeight="1" x14ac:dyDescent="0.2">
      <c r="B724" s="48"/>
      <c r="C724" s="88" t="s">
        <v>314</v>
      </c>
      <c r="D724" s="88"/>
      <c r="E724" s="88"/>
    </row>
    <row r="725" spans="2:5" x14ac:dyDescent="0.2">
      <c r="B725" s="48" t="s">
        <v>16</v>
      </c>
      <c r="C725" s="46"/>
      <c r="D725" s="46"/>
      <c r="E725" s="47"/>
    </row>
    <row r="726" spans="2:5" x14ac:dyDescent="0.2">
      <c r="B726" s="49"/>
      <c r="C726" s="87" t="s">
        <v>246</v>
      </c>
      <c r="D726" s="87"/>
      <c r="E726" s="87"/>
    </row>
    <row r="727" spans="2:5" x14ac:dyDescent="0.2">
      <c r="B727" s="49"/>
      <c r="C727" s="87"/>
      <c r="D727" s="87"/>
      <c r="E727" s="87"/>
    </row>
    <row r="728" spans="2:5" x14ac:dyDescent="0.2">
      <c r="B728" s="48" t="s">
        <v>17</v>
      </c>
      <c r="C728" s="46"/>
      <c r="D728" s="46"/>
      <c r="E728" s="47"/>
    </row>
    <row r="729" spans="2:5" x14ac:dyDescent="0.2">
      <c r="B729" s="49"/>
      <c r="C729" s="88"/>
      <c r="D729" s="88"/>
      <c r="E729" s="88"/>
    </row>
    <row r="730" spans="2:5" x14ac:dyDescent="0.2">
      <c r="B730" s="48" t="s">
        <v>18</v>
      </c>
      <c r="C730" s="50"/>
      <c r="D730" s="50"/>
      <c r="E730" s="51"/>
    </row>
    <row r="731" spans="2:5" x14ac:dyDescent="0.2">
      <c r="B731" s="49"/>
      <c r="C731" s="88" t="s">
        <v>247</v>
      </c>
      <c r="D731" s="88"/>
      <c r="E731" s="88"/>
    </row>
    <row r="732" spans="2:5" x14ac:dyDescent="0.2">
      <c r="B732" s="48" t="s">
        <v>19</v>
      </c>
      <c r="C732" s="46"/>
      <c r="D732" s="46"/>
      <c r="E732" s="47"/>
    </row>
    <row r="733" spans="2:5" x14ac:dyDescent="0.2">
      <c r="B733" s="48"/>
      <c r="C733" s="87"/>
      <c r="D733" s="87"/>
      <c r="E733" s="87"/>
    </row>
    <row r="734" spans="2:5" ht="13.5" thickBot="1" x14ac:dyDescent="0.25">
      <c r="B734" s="52"/>
      <c r="C734" s="53"/>
      <c r="D734" s="53"/>
      <c r="E734" s="54"/>
    </row>
    <row r="735" spans="2:5" ht="13.5" thickBot="1" x14ac:dyDescent="0.25"/>
    <row r="736" spans="2:5" x14ac:dyDescent="0.2">
      <c r="B736" s="42" t="s">
        <v>311</v>
      </c>
      <c r="C736" s="43"/>
      <c r="D736" s="43"/>
      <c r="E736" s="44"/>
    </row>
    <row r="737" spans="2:5" x14ac:dyDescent="0.2">
      <c r="B737" s="45"/>
      <c r="C737" s="46"/>
      <c r="D737" s="46"/>
      <c r="E737" s="47"/>
    </row>
    <row r="738" spans="2:5" x14ac:dyDescent="0.2">
      <c r="B738" s="48" t="s">
        <v>15</v>
      </c>
      <c r="C738" s="46"/>
      <c r="D738" s="46"/>
      <c r="E738" s="47"/>
    </row>
    <row r="739" spans="2:5" ht="32.25" customHeight="1" x14ac:dyDescent="0.2">
      <c r="B739" s="48"/>
      <c r="C739" s="88" t="s">
        <v>438</v>
      </c>
      <c r="D739" s="88"/>
      <c r="E739" s="88"/>
    </row>
    <row r="740" spans="2:5" x14ac:dyDescent="0.2">
      <c r="B740" s="48" t="s">
        <v>16</v>
      </c>
      <c r="C740" s="46"/>
      <c r="D740" s="46"/>
      <c r="E740" s="47"/>
    </row>
    <row r="741" spans="2:5" x14ac:dyDescent="0.2">
      <c r="B741" s="49"/>
      <c r="C741" s="87" t="s">
        <v>246</v>
      </c>
      <c r="D741" s="87"/>
      <c r="E741" s="87"/>
    </row>
    <row r="742" spans="2:5" x14ac:dyDescent="0.2">
      <c r="B742" s="49"/>
      <c r="C742" s="87"/>
      <c r="D742" s="87"/>
      <c r="E742" s="87"/>
    </row>
    <row r="743" spans="2:5" x14ac:dyDescent="0.2">
      <c r="B743" s="48" t="s">
        <v>17</v>
      </c>
      <c r="C743" s="46"/>
      <c r="D743" s="46"/>
      <c r="E743" s="47"/>
    </row>
    <row r="744" spans="2:5" x14ac:dyDescent="0.2">
      <c r="B744" s="49"/>
      <c r="C744" s="88"/>
      <c r="D744" s="88"/>
      <c r="E744" s="88"/>
    </row>
    <row r="745" spans="2:5" x14ac:dyDescent="0.2">
      <c r="B745" s="48" t="s">
        <v>18</v>
      </c>
      <c r="C745" s="50"/>
      <c r="D745" s="50"/>
      <c r="E745" s="51"/>
    </row>
    <row r="746" spans="2:5" x14ac:dyDescent="0.2">
      <c r="B746" s="49"/>
      <c r="C746" s="88" t="s">
        <v>247</v>
      </c>
      <c r="D746" s="88"/>
      <c r="E746" s="88"/>
    </row>
    <row r="747" spans="2:5" x14ac:dyDescent="0.2">
      <c r="B747" s="48" t="s">
        <v>19</v>
      </c>
      <c r="C747" s="46"/>
      <c r="D747" s="46"/>
      <c r="E747" s="47"/>
    </row>
    <row r="748" spans="2:5" x14ac:dyDescent="0.2">
      <c r="B748" s="48"/>
      <c r="C748" s="87"/>
      <c r="D748" s="87"/>
      <c r="E748" s="87"/>
    </row>
    <row r="749" spans="2:5" ht="13.5" thickBot="1" x14ac:dyDescent="0.25">
      <c r="B749" s="52"/>
      <c r="C749" s="53"/>
      <c r="D749" s="53"/>
      <c r="E749" s="54"/>
    </row>
    <row r="750" spans="2:5" ht="13.5" thickBot="1" x14ac:dyDescent="0.25"/>
    <row r="751" spans="2:5" x14ac:dyDescent="0.2">
      <c r="B751" s="42" t="s">
        <v>313</v>
      </c>
      <c r="C751" s="43"/>
      <c r="D751" s="43"/>
      <c r="E751" s="44"/>
    </row>
    <row r="752" spans="2:5" x14ac:dyDescent="0.2">
      <c r="B752" s="45"/>
      <c r="C752" s="46"/>
      <c r="D752" s="46"/>
      <c r="E752" s="47"/>
    </row>
    <row r="753" spans="2:5" x14ac:dyDescent="0.2">
      <c r="B753" s="48" t="s">
        <v>15</v>
      </c>
      <c r="C753" s="46"/>
      <c r="D753" s="46"/>
      <c r="E753" s="47"/>
    </row>
    <row r="754" spans="2:5" ht="34.5" customHeight="1" x14ac:dyDescent="0.2">
      <c r="B754" s="48"/>
      <c r="C754" s="88" t="s">
        <v>439</v>
      </c>
      <c r="D754" s="88"/>
      <c r="E754" s="88"/>
    </row>
    <row r="755" spans="2:5" x14ac:dyDescent="0.2">
      <c r="B755" s="48" t="s">
        <v>16</v>
      </c>
      <c r="C755" s="46"/>
      <c r="D755" s="46"/>
      <c r="E755" s="47"/>
    </row>
    <row r="756" spans="2:5" x14ac:dyDescent="0.2">
      <c r="B756" s="49"/>
      <c r="C756" s="87" t="s">
        <v>246</v>
      </c>
      <c r="D756" s="87"/>
      <c r="E756" s="87"/>
    </row>
    <row r="757" spans="2:5" x14ac:dyDescent="0.2">
      <c r="B757" s="49"/>
      <c r="C757" s="87"/>
      <c r="D757" s="87"/>
      <c r="E757" s="87"/>
    </row>
    <row r="758" spans="2:5" x14ac:dyDescent="0.2">
      <c r="B758" s="48" t="s">
        <v>17</v>
      </c>
      <c r="C758" s="46"/>
      <c r="D758" s="46"/>
      <c r="E758" s="47"/>
    </row>
    <row r="759" spans="2:5" x14ac:dyDescent="0.2">
      <c r="B759" s="49"/>
      <c r="C759" s="88"/>
      <c r="D759" s="88"/>
      <c r="E759" s="88"/>
    </row>
    <row r="760" spans="2:5" x14ac:dyDescent="0.2">
      <c r="B760" s="48" t="s">
        <v>18</v>
      </c>
      <c r="C760" s="50"/>
      <c r="D760" s="50"/>
      <c r="E760" s="51"/>
    </row>
    <row r="761" spans="2:5" x14ac:dyDescent="0.2">
      <c r="B761" s="49"/>
      <c r="C761" s="88" t="s">
        <v>247</v>
      </c>
      <c r="D761" s="88"/>
      <c r="E761" s="88"/>
    </row>
    <row r="762" spans="2:5" x14ac:dyDescent="0.2">
      <c r="B762" s="48" t="s">
        <v>19</v>
      </c>
      <c r="C762" s="46"/>
      <c r="D762" s="46"/>
      <c r="E762" s="47"/>
    </row>
    <row r="763" spans="2:5" x14ac:dyDescent="0.2">
      <c r="B763" s="48"/>
      <c r="C763" s="87"/>
      <c r="D763" s="87"/>
      <c r="E763" s="87"/>
    </row>
    <row r="764" spans="2:5" ht="13.5" thickBot="1" x14ac:dyDescent="0.25">
      <c r="B764" s="52"/>
      <c r="C764" s="53"/>
      <c r="D764" s="53"/>
      <c r="E764" s="54"/>
    </row>
    <row r="765" spans="2:5" ht="13.5" thickBot="1" x14ac:dyDescent="0.25"/>
    <row r="766" spans="2:5" x14ac:dyDescent="0.2">
      <c r="B766" s="42" t="s">
        <v>315</v>
      </c>
      <c r="C766" s="43"/>
      <c r="D766" s="43"/>
      <c r="E766" s="44"/>
    </row>
    <row r="767" spans="2:5" x14ac:dyDescent="0.2">
      <c r="B767" s="45"/>
      <c r="C767" s="46"/>
      <c r="D767" s="46"/>
      <c r="E767" s="47"/>
    </row>
    <row r="768" spans="2:5" x14ac:dyDescent="0.2">
      <c r="B768" s="48" t="s">
        <v>15</v>
      </c>
      <c r="C768" s="46"/>
      <c r="D768" s="46"/>
      <c r="E768" s="47"/>
    </row>
    <row r="769" spans="2:5" ht="33.75" customHeight="1" x14ac:dyDescent="0.2">
      <c r="B769" s="48"/>
      <c r="C769" s="88" t="s">
        <v>440</v>
      </c>
      <c r="D769" s="88"/>
      <c r="E769" s="88"/>
    </row>
    <row r="770" spans="2:5" x14ac:dyDescent="0.2">
      <c r="B770" s="48" t="s">
        <v>16</v>
      </c>
      <c r="C770" s="46"/>
      <c r="D770" s="46"/>
      <c r="E770" s="47"/>
    </row>
    <row r="771" spans="2:5" x14ac:dyDescent="0.2">
      <c r="B771" s="49"/>
      <c r="C771" s="87" t="s">
        <v>246</v>
      </c>
      <c r="D771" s="87"/>
      <c r="E771" s="87"/>
    </row>
    <row r="772" spans="2:5" x14ac:dyDescent="0.2">
      <c r="B772" s="49"/>
      <c r="C772" s="87"/>
      <c r="D772" s="87"/>
      <c r="E772" s="87"/>
    </row>
    <row r="773" spans="2:5" x14ac:dyDescent="0.2">
      <c r="B773" s="48" t="s">
        <v>17</v>
      </c>
      <c r="C773" s="46"/>
      <c r="D773" s="46"/>
      <c r="E773" s="47"/>
    </row>
    <row r="774" spans="2:5" x14ac:dyDescent="0.2">
      <c r="B774" s="49"/>
      <c r="C774" s="88"/>
      <c r="D774" s="88"/>
      <c r="E774" s="88"/>
    </row>
    <row r="775" spans="2:5" x14ac:dyDescent="0.2">
      <c r="B775" s="48" t="s">
        <v>18</v>
      </c>
      <c r="C775" s="50"/>
      <c r="D775" s="50"/>
      <c r="E775" s="51"/>
    </row>
    <row r="776" spans="2:5" x14ac:dyDescent="0.2">
      <c r="B776" s="49"/>
      <c r="C776" s="88" t="s">
        <v>247</v>
      </c>
      <c r="D776" s="88"/>
      <c r="E776" s="88"/>
    </row>
    <row r="777" spans="2:5" x14ac:dyDescent="0.2">
      <c r="B777" s="48" t="s">
        <v>19</v>
      </c>
      <c r="C777" s="46"/>
      <c r="D777" s="46"/>
      <c r="E777" s="47"/>
    </row>
    <row r="778" spans="2:5" x14ac:dyDescent="0.2">
      <c r="B778" s="48"/>
      <c r="C778" s="87"/>
      <c r="D778" s="87"/>
      <c r="E778" s="87"/>
    </row>
    <row r="779" spans="2:5" ht="13.5" thickBot="1" x14ac:dyDescent="0.25">
      <c r="B779" s="52"/>
      <c r="C779" s="53"/>
      <c r="D779" s="53"/>
      <c r="E779" s="54"/>
    </row>
    <row r="780" spans="2:5" ht="13.5" thickBot="1" x14ac:dyDescent="0.25"/>
    <row r="781" spans="2:5" x14ac:dyDescent="0.2">
      <c r="B781" s="42" t="s">
        <v>316</v>
      </c>
      <c r="C781" s="43"/>
      <c r="D781" s="43"/>
      <c r="E781" s="44"/>
    </row>
    <row r="782" spans="2:5" x14ac:dyDescent="0.2">
      <c r="B782" s="45"/>
      <c r="C782" s="46"/>
      <c r="D782" s="46"/>
      <c r="E782" s="47"/>
    </row>
    <row r="783" spans="2:5" x14ac:dyDescent="0.2">
      <c r="B783" s="48" t="s">
        <v>15</v>
      </c>
      <c r="C783" s="46"/>
      <c r="D783" s="46"/>
      <c r="E783" s="47"/>
    </row>
    <row r="784" spans="2:5" ht="33" customHeight="1" x14ac:dyDescent="0.2">
      <c r="B784" s="48"/>
      <c r="C784" s="88" t="s">
        <v>319</v>
      </c>
      <c r="D784" s="88"/>
      <c r="E784" s="88"/>
    </row>
    <row r="785" spans="2:5" x14ac:dyDescent="0.2">
      <c r="B785" s="48" t="s">
        <v>16</v>
      </c>
      <c r="C785" s="46"/>
      <c r="D785" s="46"/>
      <c r="E785" s="47"/>
    </row>
    <row r="786" spans="2:5" x14ac:dyDescent="0.2">
      <c r="B786" s="49"/>
      <c r="C786" s="87" t="s">
        <v>246</v>
      </c>
      <c r="D786" s="87"/>
      <c r="E786" s="87"/>
    </row>
    <row r="787" spans="2:5" x14ac:dyDescent="0.2">
      <c r="B787" s="49"/>
      <c r="C787" s="87"/>
      <c r="D787" s="87"/>
      <c r="E787" s="87"/>
    </row>
    <row r="788" spans="2:5" x14ac:dyDescent="0.2">
      <c r="B788" s="48" t="s">
        <v>17</v>
      </c>
      <c r="C788" s="46"/>
      <c r="D788" s="46"/>
      <c r="E788" s="47"/>
    </row>
    <row r="789" spans="2:5" x14ac:dyDescent="0.2">
      <c r="B789" s="49"/>
      <c r="C789" s="88"/>
      <c r="D789" s="88"/>
      <c r="E789" s="88"/>
    </row>
    <row r="790" spans="2:5" x14ac:dyDescent="0.2">
      <c r="B790" s="48" t="s">
        <v>18</v>
      </c>
      <c r="C790" s="50"/>
      <c r="D790" s="50"/>
      <c r="E790" s="51"/>
    </row>
    <row r="791" spans="2:5" x14ac:dyDescent="0.2">
      <c r="B791" s="49"/>
      <c r="C791" s="88" t="s">
        <v>247</v>
      </c>
      <c r="D791" s="88"/>
      <c r="E791" s="88"/>
    </row>
    <row r="792" spans="2:5" x14ac:dyDescent="0.2">
      <c r="B792" s="48" t="s">
        <v>19</v>
      </c>
      <c r="C792" s="46"/>
      <c r="D792" s="46"/>
      <c r="E792" s="47"/>
    </row>
    <row r="793" spans="2:5" x14ac:dyDescent="0.2">
      <c r="B793" s="48"/>
      <c r="C793" s="87"/>
      <c r="D793" s="87"/>
      <c r="E793" s="87"/>
    </row>
    <row r="794" spans="2:5" ht="13.5" thickBot="1" x14ac:dyDescent="0.25">
      <c r="B794" s="52"/>
      <c r="C794" s="53"/>
      <c r="D794" s="53"/>
      <c r="E794" s="54"/>
    </row>
    <row r="795" spans="2:5" ht="13.5" thickBot="1" x14ac:dyDescent="0.25"/>
    <row r="796" spans="2:5" x14ac:dyDescent="0.2">
      <c r="B796" s="42" t="s">
        <v>317</v>
      </c>
      <c r="C796" s="43"/>
      <c r="D796" s="43"/>
      <c r="E796" s="44"/>
    </row>
    <row r="797" spans="2:5" x14ac:dyDescent="0.2">
      <c r="B797" s="45"/>
      <c r="C797" s="46"/>
      <c r="D797" s="46"/>
      <c r="E797" s="47"/>
    </row>
    <row r="798" spans="2:5" x14ac:dyDescent="0.2">
      <c r="B798" s="48" t="s">
        <v>15</v>
      </c>
      <c r="C798" s="46"/>
      <c r="D798" s="46"/>
      <c r="E798" s="47"/>
    </row>
    <row r="799" spans="2:5" ht="31.5" customHeight="1" x14ac:dyDescent="0.2">
      <c r="B799" s="48"/>
      <c r="C799" s="88" t="s">
        <v>408</v>
      </c>
      <c r="D799" s="88"/>
      <c r="E799" s="88"/>
    </row>
    <row r="800" spans="2:5" x14ac:dyDescent="0.2">
      <c r="B800" s="48" t="s">
        <v>16</v>
      </c>
      <c r="C800" s="46"/>
      <c r="D800" s="46"/>
      <c r="E800" s="47"/>
    </row>
    <row r="801" spans="2:5" x14ac:dyDescent="0.2">
      <c r="B801" s="49"/>
      <c r="C801" s="87" t="s">
        <v>246</v>
      </c>
      <c r="D801" s="87"/>
      <c r="E801" s="87"/>
    </row>
    <row r="802" spans="2:5" x14ac:dyDescent="0.2">
      <c r="B802" s="49"/>
      <c r="C802" s="87"/>
      <c r="D802" s="87"/>
      <c r="E802" s="87"/>
    </row>
    <row r="803" spans="2:5" x14ac:dyDescent="0.2">
      <c r="B803" s="48" t="s">
        <v>17</v>
      </c>
      <c r="C803" s="46"/>
      <c r="D803" s="46"/>
      <c r="E803" s="47"/>
    </row>
    <row r="804" spans="2:5" x14ac:dyDescent="0.2">
      <c r="B804" s="49"/>
      <c r="C804" s="88"/>
      <c r="D804" s="88"/>
      <c r="E804" s="88"/>
    </row>
    <row r="805" spans="2:5" x14ac:dyDescent="0.2">
      <c r="B805" s="48" t="s">
        <v>18</v>
      </c>
      <c r="C805" s="50"/>
      <c r="D805" s="50"/>
      <c r="E805" s="51"/>
    </row>
    <row r="806" spans="2:5" x14ac:dyDescent="0.2">
      <c r="B806" s="49"/>
      <c r="C806" s="88" t="s">
        <v>247</v>
      </c>
      <c r="D806" s="88"/>
      <c r="E806" s="88"/>
    </row>
    <row r="807" spans="2:5" x14ac:dyDescent="0.2">
      <c r="B807" s="48" t="s">
        <v>19</v>
      </c>
      <c r="C807" s="46"/>
      <c r="D807" s="46"/>
      <c r="E807" s="47"/>
    </row>
    <row r="808" spans="2:5" x14ac:dyDescent="0.2">
      <c r="B808" s="48"/>
      <c r="C808" s="87"/>
      <c r="D808" s="87"/>
      <c r="E808" s="87"/>
    </row>
    <row r="809" spans="2:5" ht="13.5" thickBot="1" x14ac:dyDescent="0.25">
      <c r="B809" s="52"/>
      <c r="C809" s="53"/>
      <c r="D809" s="53"/>
      <c r="E809" s="54"/>
    </row>
    <row r="810" spans="2:5" ht="13.5" thickBot="1" x14ac:dyDescent="0.25"/>
    <row r="811" spans="2:5" x14ac:dyDescent="0.2">
      <c r="B811" s="42" t="s">
        <v>318</v>
      </c>
      <c r="C811" s="43"/>
      <c r="D811" s="43"/>
      <c r="E811" s="44"/>
    </row>
    <row r="812" spans="2:5" x14ac:dyDescent="0.2">
      <c r="B812" s="45"/>
      <c r="C812" s="46"/>
      <c r="D812" s="46"/>
      <c r="E812" s="47"/>
    </row>
    <row r="813" spans="2:5" x14ac:dyDescent="0.2">
      <c r="B813" s="48" t="s">
        <v>15</v>
      </c>
      <c r="C813" s="46"/>
      <c r="D813" s="46"/>
      <c r="E813" s="47"/>
    </row>
    <row r="814" spans="2:5" ht="32.25" customHeight="1" x14ac:dyDescent="0.2">
      <c r="B814" s="48"/>
      <c r="C814" s="88" t="s">
        <v>441</v>
      </c>
      <c r="D814" s="88"/>
      <c r="E814" s="88"/>
    </row>
    <row r="815" spans="2:5" x14ac:dyDescent="0.2">
      <c r="B815" s="48" t="s">
        <v>16</v>
      </c>
      <c r="C815" s="46"/>
      <c r="D815" s="46"/>
      <c r="E815" s="47"/>
    </row>
    <row r="816" spans="2:5" x14ac:dyDescent="0.2">
      <c r="B816" s="49"/>
      <c r="C816" s="87" t="s">
        <v>246</v>
      </c>
      <c r="D816" s="87"/>
      <c r="E816" s="87"/>
    </row>
    <row r="817" spans="2:5" x14ac:dyDescent="0.2">
      <c r="B817" s="49"/>
      <c r="C817" s="87"/>
      <c r="D817" s="87"/>
      <c r="E817" s="87"/>
    </row>
    <row r="818" spans="2:5" x14ac:dyDescent="0.2">
      <c r="B818" s="48" t="s">
        <v>17</v>
      </c>
      <c r="C818" s="46"/>
      <c r="D818" s="46"/>
      <c r="E818" s="47"/>
    </row>
    <row r="819" spans="2:5" x14ac:dyDescent="0.2">
      <c r="B819" s="49"/>
      <c r="C819" s="88"/>
      <c r="D819" s="88"/>
      <c r="E819" s="88"/>
    </row>
    <row r="820" spans="2:5" x14ac:dyDescent="0.2">
      <c r="B820" s="48" t="s">
        <v>18</v>
      </c>
      <c r="C820" s="50"/>
      <c r="D820" s="50"/>
      <c r="E820" s="51"/>
    </row>
    <row r="821" spans="2:5" x14ac:dyDescent="0.2">
      <c r="B821" s="49"/>
      <c r="C821" s="88" t="s">
        <v>247</v>
      </c>
      <c r="D821" s="88"/>
      <c r="E821" s="88"/>
    </row>
    <row r="822" spans="2:5" x14ac:dyDescent="0.2">
      <c r="B822" s="48" t="s">
        <v>19</v>
      </c>
      <c r="C822" s="46"/>
      <c r="D822" s="46"/>
      <c r="E822" s="47"/>
    </row>
    <row r="823" spans="2:5" x14ac:dyDescent="0.2">
      <c r="B823" s="48"/>
      <c r="C823" s="87"/>
      <c r="D823" s="87"/>
      <c r="E823" s="87"/>
    </row>
    <row r="824" spans="2:5" ht="13.5" thickBot="1" x14ac:dyDescent="0.25">
      <c r="B824" s="52"/>
      <c r="C824" s="53"/>
      <c r="D824" s="53"/>
      <c r="E824" s="54"/>
    </row>
    <row r="825" spans="2:5" ht="13.5" thickBot="1" x14ac:dyDescent="0.25"/>
    <row r="826" spans="2:5" x14ac:dyDescent="0.2">
      <c r="B826" s="42" t="s">
        <v>320</v>
      </c>
      <c r="C826" s="43"/>
      <c r="D826" s="43"/>
      <c r="E826" s="44"/>
    </row>
    <row r="827" spans="2:5" x14ac:dyDescent="0.2">
      <c r="B827" s="45"/>
      <c r="C827" s="46"/>
      <c r="D827" s="46"/>
      <c r="E827" s="47"/>
    </row>
    <row r="828" spans="2:5" x14ac:dyDescent="0.2">
      <c r="B828" s="48" t="s">
        <v>15</v>
      </c>
      <c r="C828" s="46"/>
      <c r="D828" s="46"/>
      <c r="E828" s="47"/>
    </row>
    <row r="829" spans="2:5" ht="31.5" customHeight="1" x14ac:dyDescent="0.2">
      <c r="B829" s="48"/>
      <c r="C829" s="88" t="s">
        <v>323</v>
      </c>
      <c r="D829" s="88"/>
      <c r="E829" s="88"/>
    </row>
    <row r="830" spans="2:5" x14ac:dyDescent="0.2">
      <c r="B830" s="48" t="s">
        <v>16</v>
      </c>
      <c r="C830" s="46"/>
      <c r="D830" s="46"/>
      <c r="E830" s="47"/>
    </row>
    <row r="831" spans="2:5" x14ac:dyDescent="0.2">
      <c r="B831" s="49"/>
      <c r="C831" s="87" t="s">
        <v>246</v>
      </c>
      <c r="D831" s="87"/>
      <c r="E831" s="87"/>
    </row>
    <row r="832" spans="2:5" x14ac:dyDescent="0.2">
      <c r="B832" s="49"/>
      <c r="C832" s="87"/>
      <c r="D832" s="87"/>
      <c r="E832" s="87"/>
    </row>
    <row r="833" spans="2:5" x14ac:dyDescent="0.2">
      <c r="B833" s="48" t="s">
        <v>17</v>
      </c>
      <c r="C833" s="46"/>
      <c r="D833" s="46"/>
      <c r="E833" s="47"/>
    </row>
    <row r="834" spans="2:5" x14ac:dyDescent="0.2">
      <c r="B834" s="49"/>
      <c r="C834" s="88"/>
      <c r="D834" s="88"/>
      <c r="E834" s="88"/>
    </row>
    <row r="835" spans="2:5" x14ac:dyDescent="0.2">
      <c r="B835" s="48" t="s">
        <v>18</v>
      </c>
      <c r="C835" s="50"/>
      <c r="D835" s="50"/>
      <c r="E835" s="51"/>
    </row>
    <row r="836" spans="2:5" x14ac:dyDescent="0.2">
      <c r="B836" s="49"/>
      <c r="C836" s="88" t="s">
        <v>247</v>
      </c>
      <c r="D836" s="88"/>
      <c r="E836" s="88"/>
    </row>
    <row r="837" spans="2:5" x14ac:dyDescent="0.2">
      <c r="B837" s="48" t="s">
        <v>19</v>
      </c>
      <c r="C837" s="46"/>
      <c r="D837" s="46"/>
      <c r="E837" s="47"/>
    </row>
    <row r="838" spans="2:5" x14ac:dyDescent="0.2">
      <c r="B838" s="48"/>
      <c r="C838" s="87"/>
      <c r="D838" s="87"/>
      <c r="E838" s="87"/>
    </row>
    <row r="839" spans="2:5" ht="13.5" thickBot="1" x14ac:dyDescent="0.25">
      <c r="B839" s="52"/>
      <c r="C839" s="53"/>
      <c r="D839" s="53"/>
      <c r="E839" s="54"/>
    </row>
    <row r="840" spans="2:5" ht="13.5" thickBot="1" x14ac:dyDescent="0.25"/>
    <row r="841" spans="2:5" x14ac:dyDescent="0.2">
      <c r="B841" s="42" t="s">
        <v>321</v>
      </c>
      <c r="C841" s="43"/>
      <c r="D841" s="43"/>
      <c r="E841" s="44"/>
    </row>
    <row r="842" spans="2:5" x14ac:dyDescent="0.2">
      <c r="B842" s="45"/>
      <c r="C842" s="46"/>
      <c r="D842" s="46"/>
      <c r="E842" s="47"/>
    </row>
    <row r="843" spans="2:5" x14ac:dyDescent="0.2">
      <c r="B843" s="48" t="s">
        <v>15</v>
      </c>
      <c r="C843" s="46"/>
      <c r="D843" s="46"/>
      <c r="E843" s="47"/>
    </row>
    <row r="844" spans="2:5" ht="30.75" customHeight="1" x14ac:dyDescent="0.2">
      <c r="B844" s="48"/>
      <c r="C844" s="88" t="s">
        <v>325</v>
      </c>
      <c r="D844" s="88"/>
      <c r="E844" s="88"/>
    </row>
    <row r="845" spans="2:5" x14ac:dyDescent="0.2">
      <c r="B845" s="48" t="s">
        <v>16</v>
      </c>
      <c r="C845" s="46"/>
      <c r="D845" s="46"/>
      <c r="E845" s="47"/>
    </row>
    <row r="846" spans="2:5" x14ac:dyDescent="0.2">
      <c r="B846" s="49"/>
      <c r="C846" s="87" t="s">
        <v>246</v>
      </c>
      <c r="D846" s="87"/>
      <c r="E846" s="87"/>
    </row>
    <row r="847" spans="2:5" x14ac:dyDescent="0.2">
      <c r="B847" s="49"/>
      <c r="C847" s="87"/>
      <c r="D847" s="87"/>
      <c r="E847" s="87"/>
    </row>
    <row r="848" spans="2:5" x14ac:dyDescent="0.2">
      <c r="B848" s="48" t="s">
        <v>17</v>
      </c>
      <c r="C848" s="46"/>
      <c r="D848" s="46"/>
      <c r="E848" s="47"/>
    </row>
    <row r="849" spans="2:5" x14ac:dyDescent="0.2">
      <c r="B849" s="49"/>
      <c r="C849" s="88"/>
      <c r="D849" s="88"/>
      <c r="E849" s="88"/>
    </row>
    <row r="850" spans="2:5" x14ac:dyDescent="0.2">
      <c r="B850" s="48" t="s">
        <v>18</v>
      </c>
      <c r="C850" s="50"/>
      <c r="D850" s="50"/>
      <c r="E850" s="51"/>
    </row>
    <row r="851" spans="2:5" x14ac:dyDescent="0.2">
      <c r="B851" s="49"/>
      <c r="C851" s="88" t="s">
        <v>247</v>
      </c>
      <c r="D851" s="88"/>
      <c r="E851" s="88"/>
    </row>
    <row r="852" spans="2:5" x14ac:dyDescent="0.2">
      <c r="B852" s="48" t="s">
        <v>19</v>
      </c>
      <c r="C852" s="46"/>
      <c r="D852" s="46"/>
      <c r="E852" s="47"/>
    </row>
    <row r="853" spans="2:5" x14ac:dyDescent="0.2">
      <c r="B853" s="48"/>
      <c r="C853" s="87"/>
      <c r="D853" s="87"/>
      <c r="E853" s="87"/>
    </row>
    <row r="854" spans="2:5" ht="13.5" thickBot="1" x14ac:dyDescent="0.25">
      <c r="B854" s="52"/>
      <c r="C854" s="53"/>
      <c r="D854" s="53"/>
      <c r="E854" s="54"/>
    </row>
    <row r="855" spans="2:5" ht="13.5" thickBot="1" x14ac:dyDescent="0.25"/>
    <row r="856" spans="2:5" x14ac:dyDescent="0.2">
      <c r="B856" s="42" t="s">
        <v>322</v>
      </c>
      <c r="C856" s="43"/>
      <c r="D856" s="43"/>
      <c r="E856" s="44"/>
    </row>
    <row r="857" spans="2:5" x14ac:dyDescent="0.2">
      <c r="B857" s="45"/>
      <c r="C857" s="46"/>
      <c r="D857" s="46"/>
      <c r="E857" s="47"/>
    </row>
    <row r="858" spans="2:5" x14ac:dyDescent="0.2">
      <c r="B858" s="48" t="s">
        <v>15</v>
      </c>
      <c r="C858" s="46"/>
      <c r="D858" s="46"/>
      <c r="E858" s="47"/>
    </row>
    <row r="859" spans="2:5" ht="34.5" customHeight="1" x14ac:dyDescent="0.2">
      <c r="B859" s="48"/>
      <c r="C859" s="88" t="s">
        <v>442</v>
      </c>
      <c r="D859" s="88"/>
      <c r="E859" s="88"/>
    </row>
    <row r="860" spans="2:5" x14ac:dyDescent="0.2">
      <c r="B860" s="48" t="s">
        <v>16</v>
      </c>
      <c r="C860" s="46"/>
      <c r="D860" s="46"/>
      <c r="E860" s="47"/>
    </row>
    <row r="861" spans="2:5" x14ac:dyDescent="0.2">
      <c r="B861" s="49"/>
      <c r="C861" s="87" t="s">
        <v>246</v>
      </c>
      <c r="D861" s="87"/>
      <c r="E861" s="87"/>
    </row>
    <row r="862" spans="2:5" x14ac:dyDescent="0.2">
      <c r="B862" s="49"/>
      <c r="C862" s="87"/>
      <c r="D862" s="87"/>
      <c r="E862" s="87"/>
    </row>
    <row r="863" spans="2:5" x14ac:dyDescent="0.2">
      <c r="B863" s="48" t="s">
        <v>17</v>
      </c>
      <c r="C863" s="46"/>
      <c r="D863" s="46"/>
      <c r="E863" s="47"/>
    </row>
    <row r="864" spans="2:5" x14ac:dyDescent="0.2">
      <c r="B864" s="49"/>
      <c r="C864" s="88"/>
      <c r="D864" s="88"/>
      <c r="E864" s="88"/>
    </row>
    <row r="865" spans="2:5" x14ac:dyDescent="0.2">
      <c r="B865" s="48" t="s">
        <v>18</v>
      </c>
      <c r="C865" s="50"/>
      <c r="D865" s="50"/>
      <c r="E865" s="51"/>
    </row>
    <row r="866" spans="2:5" x14ac:dyDescent="0.2">
      <c r="B866" s="49"/>
      <c r="C866" s="88" t="s">
        <v>247</v>
      </c>
      <c r="D866" s="88"/>
      <c r="E866" s="88"/>
    </row>
    <row r="867" spans="2:5" x14ac:dyDescent="0.2">
      <c r="B867" s="48" t="s">
        <v>19</v>
      </c>
      <c r="C867" s="46"/>
      <c r="D867" s="46"/>
      <c r="E867" s="47"/>
    </row>
    <row r="868" spans="2:5" x14ac:dyDescent="0.2">
      <c r="B868" s="48"/>
      <c r="C868" s="87"/>
      <c r="D868" s="87"/>
      <c r="E868" s="87"/>
    </row>
    <row r="869" spans="2:5" ht="13.5" thickBot="1" x14ac:dyDescent="0.25">
      <c r="B869" s="52"/>
      <c r="C869" s="53"/>
      <c r="D869" s="53"/>
      <c r="E869" s="54"/>
    </row>
    <row r="870" spans="2:5" ht="13.5" thickBot="1" x14ac:dyDescent="0.25"/>
    <row r="871" spans="2:5" x14ac:dyDescent="0.2">
      <c r="B871" s="42" t="s">
        <v>324</v>
      </c>
      <c r="C871" s="43"/>
      <c r="D871" s="43"/>
      <c r="E871" s="44"/>
    </row>
    <row r="872" spans="2:5" x14ac:dyDescent="0.2">
      <c r="B872" s="45"/>
      <c r="C872" s="46"/>
      <c r="D872" s="46"/>
      <c r="E872" s="47"/>
    </row>
    <row r="873" spans="2:5" x14ac:dyDescent="0.2">
      <c r="B873" s="48" t="s">
        <v>15</v>
      </c>
      <c r="C873" s="46"/>
      <c r="D873" s="46"/>
      <c r="E873" s="47"/>
    </row>
    <row r="874" spans="2:5" ht="31.5" customHeight="1" x14ac:dyDescent="0.2">
      <c r="B874" s="48"/>
      <c r="C874" s="88" t="s">
        <v>443</v>
      </c>
      <c r="D874" s="88"/>
      <c r="E874" s="88"/>
    </row>
    <row r="875" spans="2:5" x14ac:dyDescent="0.2">
      <c r="B875" s="48" t="s">
        <v>16</v>
      </c>
      <c r="C875" s="46"/>
      <c r="D875" s="46"/>
      <c r="E875" s="47"/>
    </row>
    <row r="876" spans="2:5" x14ac:dyDescent="0.2">
      <c r="B876" s="49"/>
      <c r="C876" s="87" t="s">
        <v>246</v>
      </c>
      <c r="D876" s="87"/>
      <c r="E876" s="87"/>
    </row>
    <row r="877" spans="2:5" x14ac:dyDescent="0.2">
      <c r="B877" s="49"/>
      <c r="C877" s="87"/>
      <c r="D877" s="87"/>
      <c r="E877" s="87"/>
    </row>
    <row r="878" spans="2:5" x14ac:dyDescent="0.2">
      <c r="B878" s="48" t="s">
        <v>17</v>
      </c>
      <c r="C878" s="46"/>
      <c r="D878" s="46"/>
      <c r="E878" s="47"/>
    </row>
    <row r="879" spans="2:5" x14ac:dyDescent="0.2">
      <c r="B879" s="49"/>
      <c r="C879" s="88"/>
      <c r="D879" s="88"/>
      <c r="E879" s="88"/>
    </row>
    <row r="880" spans="2:5" x14ac:dyDescent="0.2">
      <c r="B880" s="48" t="s">
        <v>18</v>
      </c>
      <c r="C880" s="50"/>
      <c r="D880" s="50"/>
      <c r="E880" s="51"/>
    </row>
    <row r="881" spans="2:5" x14ac:dyDescent="0.2">
      <c r="B881" s="49"/>
      <c r="C881" s="88" t="s">
        <v>247</v>
      </c>
      <c r="D881" s="88"/>
      <c r="E881" s="88"/>
    </row>
    <row r="882" spans="2:5" x14ac:dyDescent="0.2">
      <c r="B882" s="48" t="s">
        <v>19</v>
      </c>
      <c r="C882" s="46"/>
      <c r="D882" s="46"/>
      <c r="E882" s="47"/>
    </row>
    <row r="883" spans="2:5" x14ac:dyDescent="0.2">
      <c r="B883" s="48"/>
      <c r="C883" s="87"/>
      <c r="D883" s="87"/>
      <c r="E883" s="87"/>
    </row>
    <row r="884" spans="2:5" ht="13.5" thickBot="1" x14ac:dyDescent="0.25">
      <c r="B884" s="52"/>
      <c r="C884" s="53"/>
      <c r="D884" s="53"/>
      <c r="E884" s="54"/>
    </row>
    <row r="885" spans="2:5" ht="13.5" thickBot="1" x14ac:dyDescent="0.25"/>
    <row r="886" spans="2:5" x14ac:dyDescent="0.2">
      <c r="B886" s="42" t="s">
        <v>326</v>
      </c>
      <c r="C886" s="43"/>
      <c r="D886" s="43"/>
      <c r="E886" s="44"/>
    </row>
    <row r="887" spans="2:5" x14ac:dyDescent="0.2">
      <c r="B887" s="45"/>
      <c r="C887" s="46"/>
      <c r="D887" s="46"/>
      <c r="E887" s="47"/>
    </row>
    <row r="888" spans="2:5" x14ac:dyDescent="0.2">
      <c r="B888" s="48" t="s">
        <v>15</v>
      </c>
      <c r="C888" s="46"/>
      <c r="D888" s="46"/>
      <c r="E888" s="47"/>
    </row>
    <row r="889" spans="2:5" ht="31.5" customHeight="1" x14ac:dyDescent="0.2">
      <c r="B889" s="48"/>
      <c r="C889" s="88" t="s">
        <v>329</v>
      </c>
      <c r="D889" s="88"/>
      <c r="E889" s="88"/>
    </row>
    <row r="890" spans="2:5" x14ac:dyDescent="0.2">
      <c r="B890" s="48" t="s">
        <v>16</v>
      </c>
      <c r="C890" s="46"/>
      <c r="D890" s="46"/>
      <c r="E890" s="47"/>
    </row>
    <row r="891" spans="2:5" x14ac:dyDescent="0.2">
      <c r="B891" s="49"/>
      <c r="C891" s="87" t="s">
        <v>246</v>
      </c>
      <c r="D891" s="87"/>
      <c r="E891" s="87"/>
    </row>
    <row r="892" spans="2:5" x14ac:dyDescent="0.2">
      <c r="B892" s="49"/>
      <c r="C892" s="87"/>
      <c r="D892" s="87"/>
      <c r="E892" s="87"/>
    </row>
    <row r="893" spans="2:5" x14ac:dyDescent="0.2">
      <c r="B893" s="48" t="s">
        <v>17</v>
      </c>
      <c r="C893" s="46"/>
      <c r="D893" s="46"/>
      <c r="E893" s="47"/>
    </row>
    <row r="894" spans="2:5" x14ac:dyDescent="0.2">
      <c r="B894" s="49"/>
      <c r="C894" s="88"/>
      <c r="D894" s="88"/>
      <c r="E894" s="88"/>
    </row>
    <row r="895" spans="2:5" x14ac:dyDescent="0.2">
      <c r="B895" s="48" t="s">
        <v>18</v>
      </c>
      <c r="C895" s="50"/>
      <c r="D895" s="50"/>
      <c r="E895" s="51"/>
    </row>
    <row r="896" spans="2:5" x14ac:dyDescent="0.2">
      <c r="B896" s="49"/>
      <c r="C896" s="88" t="s">
        <v>247</v>
      </c>
      <c r="D896" s="88"/>
      <c r="E896" s="88"/>
    </row>
    <row r="897" spans="2:5" x14ac:dyDescent="0.2">
      <c r="B897" s="48" t="s">
        <v>19</v>
      </c>
      <c r="C897" s="46"/>
      <c r="D897" s="46"/>
      <c r="E897" s="47"/>
    </row>
    <row r="898" spans="2:5" x14ac:dyDescent="0.2">
      <c r="B898" s="48"/>
      <c r="C898" s="87"/>
      <c r="D898" s="87"/>
      <c r="E898" s="87"/>
    </row>
    <row r="899" spans="2:5" ht="13.5" thickBot="1" x14ac:dyDescent="0.25">
      <c r="B899" s="52"/>
      <c r="C899" s="53"/>
      <c r="D899" s="53"/>
      <c r="E899" s="54"/>
    </row>
    <row r="900" spans="2:5" ht="13.5" thickBot="1" x14ac:dyDescent="0.25"/>
    <row r="901" spans="2:5" x14ac:dyDescent="0.2">
      <c r="B901" s="42" t="s">
        <v>327</v>
      </c>
      <c r="C901" s="43"/>
      <c r="D901" s="43"/>
      <c r="E901" s="44"/>
    </row>
    <row r="902" spans="2:5" x14ac:dyDescent="0.2">
      <c r="B902" s="45"/>
      <c r="C902" s="46"/>
      <c r="D902" s="46"/>
      <c r="E902" s="47"/>
    </row>
    <row r="903" spans="2:5" x14ac:dyDescent="0.2">
      <c r="B903" s="48" t="s">
        <v>15</v>
      </c>
      <c r="C903" s="46"/>
      <c r="D903" s="46"/>
      <c r="E903" s="47"/>
    </row>
    <row r="904" spans="2:5" ht="32.25" customHeight="1" x14ac:dyDescent="0.2">
      <c r="B904" s="48"/>
      <c r="C904" s="88" t="s">
        <v>444</v>
      </c>
      <c r="D904" s="88"/>
      <c r="E904" s="88"/>
    </row>
    <row r="905" spans="2:5" x14ac:dyDescent="0.2">
      <c r="B905" s="48" t="s">
        <v>16</v>
      </c>
      <c r="C905" s="46"/>
      <c r="D905" s="46"/>
      <c r="E905" s="47"/>
    </row>
    <row r="906" spans="2:5" x14ac:dyDescent="0.2">
      <c r="B906" s="49"/>
      <c r="C906" s="87" t="s">
        <v>246</v>
      </c>
      <c r="D906" s="87"/>
      <c r="E906" s="87"/>
    </row>
    <row r="907" spans="2:5" x14ac:dyDescent="0.2">
      <c r="B907" s="49"/>
      <c r="C907" s="87"/>
      <c r="D907" s="87"/>
      <c r="E907" s="87"/>
    </row>
    <row r="908" spans="2:5" x14ac:dyDescent="0.2">
      <c r="B908" s="48" t="s">
        <v>17</v>
      </c>
      <c r="C908" s="46"/>
      <c r="D908" s="46"/>
      <c r="E908" s="47"/>
    </row>
    <row r="909" spans="2:5" x14ac:dyDescent="0.2">
      <c r="B909" s="49"/>
      <c r="C909" s="88"/>
      <c r="D909" s="88"/>
      <c r="E909" s="88"/>
    </row>
    <row r="910" spans="2:5" x14ac:dyDescent="0.2">
      <c r="B910" s="48" t="s">
        <v>18</v>
      </c>
      <c r="C910" s="50"/>
      <c r="D910" s="50"/>
      <c r="E910" s="51"/>
    </row>
    <row r="911" spans="2:5" x14ac:dyDescent="0.2">
      <c r="B911" s="49"/>
      <c r="C911" s="88" t="s">
        <v>247</v>
      </c>
      <c r="D911" s="88"/>
      <c r="E911" s="88"/>
    </row>
    <row r="912" spans="2:5" x14ac:dyDescent="0.2">
      <c r="B912" s="48" t="s">
        <v>19</v>
      </c>
      <c r="C912" s="46"/>
      <c r="D912" s="46"/>
      <c r="E912" s="47"/>
    </row>
    <row r="913" spans="2:5" x14ac:dyDescent="0.2">
      <c r="B913" s="48"/>
      <c r="C913" s="87"/>
      <c r="D913" s="87"/>
      <c r="E913" s="87"/>
    </row>
    <row r="914" spans="2:5" ht="13.5" thickBot="1" x14ac:dyDescent="0.25">
      <c r="B914" s="52"/>
      <c r="C914" s="53"/>
      <c r="D914" s="53"/>
      <c r="E914" s="54"/>
    </row>
    <row r="915" spans="2:5" ht="13.5" thickBot="1" x14ac:dyDescent="0.25"/>
    <row r="916" spans="2:5" x14ac:dyDescent="0.2">
      <c r="B916" s="42" t="s">
        <v>328</v>
      </c>
      <c r="C916" s="43"/>
      <c r="D916" s="43"/>
      <c r="E916" s="44"/>
    </row>
    <row r="917" spans="2:5" x14ac:dyDescent="0.2">
      <c r="B917" s="45"/>
      <c r="C917" s="46"/>
      <c r="D917" s="46"/>
      <c r="E917" s="47"/>
    </row>
    <row r="918" spans="2:5" x14ac:dyDescent="0.2">
      <c r="B918" s="48" t="s">
        <v>15</v>
      </c>
      <c r="C918" s="46"/>
      <c r="D918" s="46"/>
      <c r="E918" s="47"/>
    </row>
    <row r="919" spans="2:5" ht="33.75" customHeight="1" x14ac:dyDescent="0.2">
      <c r="B919" s="48"/>
      <c r="C919" s="88" t="s">
        <v>332</v>
      </c>
      <c r="D919" s="88"/>
      <c r="E919" s="88"/>
    </row>
    <row r="920" spans="2:5" x14ac:dyDescent="0.2">
      <c r="B920" s="48" t="s">
        <v>16</v>
      </c>
      <c r="C920" s="46"/>
      <c r="D920" s="46"/>
      <c r="E920" s="47"/>
    </row>
    <row r="921" spans="2:5" x14ac:dyDescent="0.2">
      <c r="B921" s="49"/>
      <c r="C921" s="87" t="s">
        <v>246</v>
      </c>
      <c r="D921" s="87"/>
      <c r="E921" s="87"/>
    </row>
    <row r="922" spans="2:5" x14ac:dyDescent="0.2">
      <c r="B922" s="49"/>
      <c r="C922" s="87"/>
      <c r="D922" s="87"/>
      <c r="E922" s="87"/>
    </row>
    <row r="923" spans="2:5" x14ac:dyDescent="0.2">
      <c r="B923" s="48" t="s">
        <v>17</v>
      </c>
      <c r="C923" s="46"/>
      <c r="D923" s="46"/>
      <c r="E923" s="47"/>
    </row>
    <row r="924" spans="2:5" x14ac:dyDescent="0.2">
      <c r="B924" s="49"/>
      <c r="C924" s="88"/>
      <c r="D924" s="88"/>
      <c r="E924" s="88"/>
    </row>
    <row r="925" spans="2:5" x14ac:dyDescent="0.2">
      <c r="B925" s="48" t="s">
        <v>18</v>
      </c>
      <c r="C925" s="50"/>
      <c r="D925" s="50"/>
      <c r="E925" s="51"/>
    </row>
    <row r="926" spans="2:5" x14ac:dyDescent="0.2">
      <c r="B926" s="49"/>
      <c r="C926" s="88" t="s">
        <v>247</v>
      </c>
      <c r="D926" s="88"/>
      <c r="E926" s="88"/>
    </row>
    <row r="927" spans="2:5" x14ac:dyDescent="0.2">
      <c r="B927" s="48" t="s">
        <v>19</v>
      </c>
      <c r="C927" s="46"/>
      <c r="D927" s="46"/>
      <c r="E927" s="47"/>
    </row>
    <row r="928" spans="2:5" x14ac:dyDescent="0.2">
      <c r="B928" s="48"/>
      <c r="C928" s="87"/>
      <c r="D928" s="87"/>
      <c r="E928" s="87"/>
    </row>
    <row r="929" spans="2:5" ht="13.5" thickBot="1" x14ac:dyDescent="0.25">
      <c r="B929" s="52"/>
      <c r="C929" s="53"/>
      <c r="D929" s="53"/>
      <c r="E929" s="54"/>
    </row>
    <row r="930" spans="2:5" ht="13.5" thickBot="1" x14ac:dyDescent="0.25"/>
    <row r="931" spans="2:5" x14ac:dyDescent="0.2">
      <c r="B931" s="42" t="s">
        <v>330</v>
      </c>
      <c r="C931" s="43"/>
      <c r="D931" s="43"/>
      <c r="E931" s="44"/>
    </row>
    <row r="932" spans="2:5" x14ac:dyDescent="0.2">
      <c r="B932" s="45"/>
      <c r="C932" s="46"/>
      <c r="D932" s="46"/>
      <c r="E932" s="47"/>
    </row>
    <row r="933" spans="2:5" x14ac:dyDescent="0.2">
      <c r="B933" s="48" t="s">
        <v>15</v>
      </c>
      <c r="C933" s="46"/>
      <c r="D933" s="46"/>
      <c r="E933" s="47"/>
    </row>
    <row r="934" spans="2:5" ht="31.5" customHeight="1" x14ac:dyDescent="0.2">
      <c r="B934" s="48"/>
      <c r="C934" s="88" t="s">
        <v>409</v>
      </c>
      <c r="D934" s="88"/>
      <c r="E934" s="88"/>
    </row>
    <row r="935" spans="2:5" x14ac:dyDescent="0.2">
      <c r="B935" s="48" t="s">
        <v>16</v>
      </c>
      <c r="C935" s="46"/>
      <c r="D935" s="46"/>
      <c r="E935" s="47"/>
    </row>
    <row r="936" spans="2:5" x14ac:dyDescent="0.2">
      <c r="B936" s="49"/>
      <c r="C936" s="87" t="s">
        <v>246</v>
      </c>
      <c r="D936" s="87"/>
      <c r="E936" s="87"/>
    </row>
    <row r="937" spans="2:5" x14ac:dyDescent="0.2">
      <c r="B937" s="49"/>
      <c r="C937" s="87"/>
      <c r="D937" s="87"/>
      <c r="E937" s="87"/>
    </row>
    <row r="938" spans="2:5" x14ac:dyDescent="0.2">
      <c r="B938" s="48" t="s">
        <v>17</v>
      </c>
      <c r="C938" s="46"/>
      <c r="D938" s="46"/>
      <c r="E938" s="47"/>
    </row>
    <row r="939" spans="2:5" x14ac:dyDescent="0.2">
      <c r="B939" s="49"/>
      <c r="C939" s="88"/>
      <c r="D939" s="88"/>
      <c r="E939" s="88"/>
    </row>
    <row r="940" spans="2:5" x14ac:dyDescent="0.2">
      <c r="B940" s="48" t="s">
        <v>18</v>
      </c>
      <c r="C940" s="50"/>
      <c r="D940" s="50"/>
      <c r="E940" s="51"/>
    </row>
    <row r="941" spans="2:5" x14ac:dyDescent="0.2">
      <c r="B941" s="49"/>
      <c r="C941" s="88" t="s">
        <v>247</v>
      </c>
      <c r="D941" s="88"/>
      <c r="E941" s="88"/>
    </row>
    <row r="942" spans="2:5" x14ac:dyDescent="0.2">
      <c r="B942" s="48" t="s">
        <v>19</v>
      </c>
      <c r="C942" s="46"/>
      <c r="D942" s="46"/>
      <c r="E942" s="47"/>
    </row>
    <row r="943" spans="2:5" x14ac:dyDescent="0.2">
      <c r="B943" s="48"/>
      <c r="C943" s="87"/>
      <c r="D943" s="87"/>
      <c r="E943" s="87"/>
    </row>
    <row r="944" spans="2:5" ht="13.5" thickBot="1" x14ac:dyDescent="0.25">
      <c r="B944" s="52"/>
      <c r="C944" s="53"/>
      <c r="D944" s="53"/>
      <c r="E944" s="54"/>
    </row>
    <row r="945" spans="2:5" ht="13.5" thickBot="1" x14ac:dyDescent="0.25"/>
    <row r="946" spans="2:5" x14ac:dyDescent="0.2">
      <c r="B946" s="42" t="s">
        <v>331</v>
      </c>
      <c r="C946" s="43"/>
      <c r="D946" s="43"/>
      <c r="E946" s="44"/>
    </row>
    <row r="947" spans="2:5" x14ac:dyDescent="0.2">
      <c r="B947" s="45"/>
      <c r="C947" s="46"/>
      <c r="D947" s="46"/>
      <c r="E947" s="47"/>
    </row>
    <row r="948" spans="2:5" x14ac:dyDescent="0.2">
      <c r="B948" s="48" t="s">
        <v>15</v>
      </c>
      <c r="C948" s="46"/>
      <c r="D948" s="46"/>
      <c r="E948" s="47"/>
    </row>
    <row r="949" spans="2:5" ht="33" customHeight="1" x14ac:dyDescent="0.2">
      <c r="B949" s="48"/>
      <c r="C949" s="88" t="s">
        <v>446</v>
      </c>
      <c r="D949" s="88"/>
      <c r="E949" s="88"/>
    </row>
    <row r="950" spans="2:5" x14ac:dyDescent="0.2">
      <c r="B950" s="48" t="s">
        <v>16</v>
      </c>
      <c r="C950" s="46"/>
      <c r="D950" s="46"/>
      <c r="E950" s="47"/>
    </row>
    <row r="951" spans="2:5" x14ac:dyDescent="0.2">
      <c r="B951" s="49"/>
      <c r="C951" s="87" t="s">
        <v>246</v>
      </c>
      <c r="D951" s="87"/>
      <c r="E951" s="87"/>
    </row>
    <row r="952" spans="2:5" x14ac:dyDescent="0.2">
      <c r="B952" s="49"/>
      <c r="C952" s="87"/>
      <c r="D952" s="87"/>
      <c r="E952" s="87"/>
    </row>
    <row r="953" spans="2:5" x14ac:dyDescent="0.2">
      <c r="B953" s="48" t="s">
        <v>17</v>
      </c>
      <c r="C953" s="46"/>
      <c r="D953" s="46"/>
      <c r="E953" s="47"/>
    </row>
    <row r="954" spans="2:5" x14ac:dyDescent="0.2">
      <c r="B954" s="49"/>
      <c r="C954" s="88"/>
      <c r="D954" s="88"/>
      <c r="E954" s="88"/>
    </row>
    <row r="955" spans="2:5" x14ac:dyDescent="0.2">
      <c r="B955" s="48" t="s">
        <v>18</v>
      </c>
      <c r="C955" s="50"/>
      <c r="D955" s="50"/>
      <c r="E955" s="51"/>
    </row>
    <row r="956" spans="2:5" x14ac:dyDescent="0.2">
      <c r="B956" s="49"/>
      <c r="C956" s="88" t="s">
        <v>247</v>
      </c>
      <c r="D956" s="88"/>
      <c r="E956" s="88"/>
    </row>
    <row r="957" spans="2:5" x14ac:dyDescent="0.2">
      <c r="B957" s="48" t="s">
        <v>19</v>
      </c>
      <c r="C957" s="46"/>
      <c r="D957" s="46"/>
      <c r="E957" s="47"/>
    </row>
    <row r="958" spans="2:5" x14ac:dyDescent="0.2">
      <c r="B958" s="48"/>
      <c r="C958" s="87"/>
      <c r="D958" s="87"/>
      <c r="E958" s="87"/>
    </row>
    <row r="959" spans="2:5" ht="13.5" thickBot="1" x14ac:dyDescent="0.25">
      <c r="B959" s="52"/>
      <c r="C959" s="53"/>
      <c r="D959" s="53"/>
      <c r="E959" s="54"/>
    </row>
    <row r="960" spans="2:5" ht="13.5" thickBot="1" x14ac:dyDescent="0.25"/>
    <row r="961" spans="2:5" x14ac:dyDescent="0.2">
      <c r="B961" s="42" t="s">
        <v>333</v>
      </c>
      <c r="C961" s="43"/>
      <c r="D961" s="43"/>
      <c r="E961" s="44"/>
    </row>
    <row r="962" spans="2:5" x14ac:dyDescent="0.2">
      <c r="B962" s="45"/>
      <c r="C962" s="46"/>
      <c r="D962" s="46"/>
      <c r="E962" s="47"/>
    </row>
    <row r="963" spans="2:5" x14ac:dyDescent="0.2">
      <c r="B963" s="48" t="s">
        <v>15</v>
      </c>
      <c r="C963" s="46"/>
      <c r="D963" s="46"/>
      <c r="E963" s="47"/>
    </row>
    <row r="964" spans="2:5" ht="31.5" customHeight="1" x14ac:dyDescent="0.2">
      <c r="B964" s="48"/>
      <c r="C964" s="88" t="s">
        <v>445</v>
      </c>
      <c r="D964" s="88"/>
      <c r="E964" s="88"/>
    </row>
    <row r="965" spans="2:5" x14ac:dyDescent="0.2">
      <c r="B965" s="48" t="s">
        <v>16</v>
      </c>
      <c r="C965" s="46"/>
      <c r="D965" s="46"/>
      <c r="E965" s="47"/>
    </row>
    <row r="966" spans="2:5" x14ac:dyDescent="0.2">
      <c r="B966" s="49"/>
      <c r="C966" s="87" t="s">
        <v>246</v>
      </c>
      <c r="D966" s="87"/>
      <c r="E966" s="87"/>
    </row>
    <row r="967" spans="2:5" x14ac:dyDescent="0.2">
      <c r="B967" s="49"/>
      <c r="C967" s="87"/>
      <c r="D967" s="87"/>
      <c r="E967" s="87"/>
    </row>
    <row r="968" spans="2:5" x14ac:dyDescent="0.2">
      <c r="B968" s="48" t="s">
        <v>17</v>
      </c>
      <c r="C968" s="46"/>
      <c r="D968" s="46"/>
      <c r="E968" s="47"/>
    </row>
    <row r="969" spans="2:5" x14ac:dyDescent="0.2">
      <c r="B969" s="49"/>
      <c r="C969" s="88"/>
      <c r="D969" s="88"/>
      <c r="E969" s="88"/>
    </row>
    <row r="970" spans="2:5" x14ac:dyDescent="0.2">
      <c r="B970" s="48" t="s">
        <v>18</v>
      </c>
      <c r="C970" s="50"/>
      <c r="D970" s="50"/>
      <c r="E970" s="51"/>
    </row>
    <row r="971" spans="2:5" x14ac:dyDescent="0.2">
      <c r="B971" s="49"/>
      <c r="C971" s="88" t="s">
        <v>247</v>
      </c>
      <c r="D971" s="88"/>
      <c r="E971" s="88"/>
    </row>
    <row r="972" spans="2:5" x14ac:dyDescent="0.2">
      <c r="B972" s="48" t="s">
        <v>19</v>
      </c>
      <c r="C972" s="46"/>
      <c r="D972" s="46"/>
      <c r="E972" s="47"/>
    </row>
    <row r="973" spans="2:5" x14ac:dyDescent="0.2">
      <c r="B973" s="48"/>
      <c r="C973" s="87"/>
      <c r="D973" s="87"/>
      <c r="E973" s="87"/>
    </row>
    <row r="974" spans="2:5" ht="13.5" thickBot="1" x14ac:dyDescent="0.25">
      <c r="B974" s="52"/>
      <c r="C974" s="53"/>
      <c r="D974" s="53"/>
      <c r="E974" s="54"/>
    </row>
    <row r="975" spans="2:5" ht="13.5" thickBot="1" x14ac:dyDescent="0.25"/>
    <row r="976" spans="2:5" x14ac:dyDescent="0.2">
      <c r="B976" s="42" t="s">
        <v>334</v>
      </c>
      <c r="C976" s="43"/>
      <c r="D976" s="43"/>
      <c r="E976" s="44"/>
    </row>
    <row r="977" spans="2:5" x14ac:dyDescent="0.2">
      <c r="B977" s="45"/>
      <c r="C977" s="46"/>
      <c r="D977" s="46"/>
      <c r="E977" s="47"/>
    </row>
    <row r="978" spans="2:5" x14ac:dyDescent="0.2">
      <c r="B978" s="48" t="s">
        <v>15</v>
      </c>
      <c r="C978" s="46"/>
      <c r="D978" s="46"/>
      <c r="E978" s="47"/>
    </row>
    <row r="979" spans="2:5" ht="32.25" customHeight="1" x14ac:dyDescent="0.2">
      <c r="B979" s="48"/>
      <c r="C979" s="88" t="s">
        <v>447</v>
      </c>
      <c r="D979" s="88"/>
      <c r="E979" s="88"/>
    </row>
    <row r="980" spans="2:5" x14ac:dyDescent="0.2">
      <c r="B980" s="48" t="s">
        <v>16</v>
      </c>
      <c r="C980" s="46"/>
      <c r="D980" s="46"/>
      <c r="E980" s="47"/>
    </row>
    <row r="981" spans="2:5" x14ac:dyDescent="0.2">
      <c r="B981" s="49"/>
      <c r="C981" s="87" t="s">
        <v>246</v>
      </c>
      <c r="D981" s="87"/>
      <c r="E981" s="87"/>
    </row>
    <row r="982" spans="2:5" x14ac:dyDescent="0.2">
      <c r="B982" s="49"/>
      <c r="C982" s="87"/>
      <c r="D982" s="87"/>
      <c r="E982" s="87"/>
    </row>
    <row r="983" spans="2:5" x14ac:dyDescent="0.2">
      <c r="B983" s="48" t="s">
        <v>17</v>
      </c>
      <c r="C983" s="46"/>
      <c r="D983" s="46"/>
      <c r="E983" s="47"/>
    </row>
    <row r="984" spans="2:5" x14ac:dyDescent="0.2">
      <c r="B984" s="49"/>
      <c r="C984" s="88"/>
      <c r="D984" s="88"/>
      <c r="E984" s="88"/>
    </row>
    <row r="985" spans="2:5" x14ac:dyDescent="0.2">
      <c r="B985" s="48" t="s">
        <v>18</v>
      </c>
      <c r="C985" s="50"/>
      <c r="D985" s="50"/>
      <c r="E985" s="51"/>
    </row>
    <row r="986" spans="2:5" x14ac:dyDescent="0.2">
      <c r="B986" s="49"/>
      <c r="C986" s="88" t="s">
        <v>247</v>
      </c>
      <c r="D986" s="88"/>
      <c r="E986" s="88"/>
    </row>
    <row r="987" spans="2:5" x14ac:dyDescent="0.2">
      <c r="B987" s="48" t="s">
        <v>19</v>
      </c>
      <c r="C987" s="46"/>
      <c r="D987" s="46"/>
      <c r="E987" s="47"/>
    </row>
    <row r="988" spans="2:5" x14ac:dyDescent="0.2">
      <c r="B988" s="48"/>
      <c r="C988" s="87"/>
      <c r="D988" s="87"/>
      <c r="E988" s="87"/>
    </row>
    <row r="989" spans="2:5" ht="13.5" thickBot="1" x14ac:dyDescent="0.25">
      <c r="B989" s="52"/>
      <c r="C989" s="53"/>
      <c r="D989" s="53"/>
      <c r="E989" s="54"/>
    </row>
    <row r="990" spans="2:5" ht="13.5" thickBot="1" x14ac:dyDescent="0.25"/>
    <row r="991" spans="2:5" x14ac:dyDescent="0.2">
      <c r="B991" s="42" t="s">
        <v>335</v>
      </c>
      <c r="C991" s="43"/>
      <c r="D991" s="43"/>
      <c r="E991" s="44"/>
    </row>
    <row r="992" spans="2:5" x14ac:dyDescent="0.2">
      <c r="B992" s="45"/>
      <c r="C992" s="46"/>
      <c r="D992" s="46"/>
      <c r="E992" s="47"/>
    </row>
    <row r="993" spans="2:5" x14ac:dyDescent="0.2">
      <c r="B993" s="48" t="s">
        <v>15</v>
      </c>
      <c r="C993" s="46"/>
      <c r="D993" s="46"/>
      <c r="E993" s="47"/>
    </row>
    <row r="994" spans="2:5" ht="33" customHeight="1" x14ac:dyDescent="0.2">
      <c r="B994" s="48"/>
      <c r="C994" s="88" t="s">
        <v>411</v>
      </c>
      <c r="D994" s="88"/>
      <c r="E994" s="88"/>
    </row>
    <row r="995" spans="2:5" x14ac:dyDescent="0.2">
      <c r="B995" s="48" t="s">
        <v>16</v>
      </c>
      <c r="C995" s="46"/>
      <c r="D995" s="46"/>
      <c r="E995" s="47"/>
    </row>
    <row r="996" spans="2:5" x14ac:dyDescent="0.2">
      <c r="B996" s="49"/>
      <c r="C996" s="87" t="s">
        <v>246</v>
      </c>
      <c r="D996" s="87"/>
      <c r="E996" s="87"/>
    </row>
    <row r="997" spans="2:5" x14ac:dyDescent="0.2">
      <c r="B997" s="49"/>
      <c r="C997" s="87"/>
      <c r="D997" s="87"/>
      <c r="E997" s="87"/>
    </row>
    <row r="998" spans="2:5" x14ac:dyDescent="0.2">
      <c r="B998" s="48" t="s">
        <v>17</v>
      </c>
      <c r="C998" s="46"/>
      <c r="D998" s="46"/>
      <c r="E998" s="47"/>
    </row>
    <row r="999" spans="2:5" x14ac:dyDescent="0.2">
      <c r="B999" s="49"/>
      <c r="C999" s="88"/>
      <c r="D999" s="88"/>
      <c r="E999" s="88"/>
    </row>
    <row r="1000" spans="2:5" x14ac:dyDescent="0.2">
      <c r="B1000" s="48" t="s">
        <v>18</v>
      </c>
      <c r="C1000" s="50"/>
      <c r="D1000" s="50"/>
      <c r="E1000" s="51"/>
    </row>
    <row r="1001" spans="2:5" x14ac:dyDescent="0.2">
      <c r="B1001" s="49"/>
      <c r="C1001" s="88" t="s">
        <v>247</v>
      </c>
      <c r="D1001" s="88"/>
      <c r="E1001" s="88"/>
    </row>
    <row r="1002" spans="2:5" x14ac:dyDescent="0.2">
      <c r="B1002" s="48" t="s">
        <v>19</v>
      </c>
      <c r="C1002" s="46"/>
      <c r="D1002" s="46"/>
      <c r="E1002" s="47"/>
    </row>
    <row r="1003" spans="2:5" x14ac:dyDescent="0.2">
      <c r="B1003" s="48"/>
      <c r="C1003" s="87"/>
      <c r="D1003" s="87"/>
      <c r="E1003" s="87"/>
    </row>
    <row r="1004" spans="2:5" ht="13.5" thickBot="1" x14ac:dyDescent="0.25">
      <c r="B1004" s="52"/>
      <c r="C1004" s="53"/>
      <c r="D1004" s="53"/>
      <c r="E1004" s="54"/>
    </row>
    <row r="1005" spans="2:5" ht="13.5" thickBot="1" x14ac:dyDescent="0.25"/>
    <row r="1006" spans="2:5" x14ac:dyDescent="0.2">
      <c r="B1006" s="42" t="s">
        <v>336</v>
      </c>
      <c r="C1006" s="43"/>
      <c r="D1006" s="43"/>
      <c r="E1006" s="44"/>
    </row>
    <row r="1007" spans="2:5" x14ac:dyDescent="0.2">
      <c r="B1007" s="45"/>
      <c r="C1007" s="46"/>
      <c r="D1007" s="46"/>
      <c r="E1007" s="47"/>
    </row>
    <row r="1008" spans="2:5" x14ac:dyDescent="0.2">
      <c r="B1008" s="48" t="s">
        <v>15</v>
      </c>
      <c r="C1008" s="46"/>
      <c r="D1008" s="46"/>
      <c r="E1008" s="47"/>
    </row>
    <row r="1009" spans="2:5" ht="33" customHeight="1" x14ac:dyDescent="0.2">
      <c r="B1009" s="48"/>
      <c r="C1009" s="88" t="s">
        <v>448</v>
      </c>
      <c r="D1009" s="88"/>
      <c r="E1009" s="88"/>
    </row>
    <row r="1010" spans="2:5" x14ac:dyDescent="0.2">
      <c r="B1010" s="48" t="s">
        <v>16</v>
      </c>
      <c r="C1010" s="46"/>
      <c r="D1010" s="46"/>
      <c r="E1010" s="47"/>
    </row>
    <row r="1011" spans="2:5" x14ac:dyDescent="0.2">
      <c r="B1011" s="49"/>
      <c r="C1011" s="87" t="s">
        <v>246</v>
      </c>
      <c r="D1011" s="87"/>
      <c r="E1011" s="87"/>
    </row>
    <row r="1012" spans="2:5" x14ac:dyDescent="0.2">
      <c r="B1012" s="49"/>
      <c r="C1012" s="87"/>
      <c r="D1012" s="87"/>
      <c r="E1012" s="87"/>
    </row>
    <row r="1013" spans="2:5" x14ac:dyDescent="0.2">
      <c r="B1013" s="48" t="s">
        <v>17</v>
      </c>
      <c r="C1013" s="46"/>
      <c r="D1013" s="46"/>
      <c r="E1013" s="47"/>
    </row>
    <row r="1014" spans="2:5" x14ac:dyDescent="0.2">
      <c r="B1014" s="49"/>
      <c r="C1014" s="88"/>
      <c r="D1014" s="88"/>
      <c r="E1014" s="88"/>
    </row>
    <row r="1015" spans="2:5" x14ac:dyDescent="0.2">
      <c r="B1015" s="48" t="s">
        <v>18</v>
      </c>
      <c r="C1015" s="50"/>
      <c r="D1015" s="50"/>
      <c r="E1015" s="51"/>
    </row>
    <row r="1016" spans="2:5" x14ac:dyDescent="0.2">
      <c r="B1016" s="49"/>
      <c r="C1016" s="88" t="s">
        <v>247</v>
      </c>
      <c r="D1016" s="88"/>
      <c r="E1016" s="88"/>
    </row>
    <row r="1017" spans="2:5" x14ac:dyDescent="0.2">
      <c r="B1017" s="48" t="s">
        <v>19</v>
      </c>
      <c r="C1017" s="46"/>
      <c r="D1017" s="46"/>
      <c r="E1017" s="47"/>
    </row>
    <row r="1018" spans="2:5" x14ac:dyDescent="0.2">
      <c r="B1018" s="48"/>
      <c r="C1018" s="87"/>
      <c r="D1018" s="87"/>
      <c r="E1018" s="87"/>
    </row>
    <row r="1019" spans="2:5" ht="13.5" thickBot="1" x14ac:dyDescent="0.25">
      <c r="B1019" s="52"/>
      <c r="C1019" s="53"/>
      <c r="D1019" s="53"/>
      <c r="E1019" s="54"/>
    </row>
    <row r="1020" spans="2:5" ht="13.5" thickBot="1" x14ac:dyDescent="0.25"/>
    <row r="1021" spans="2:5" x14ac:dyDescent="0.2">
      <c r="B1021" s="42" t="s">
        <v>337</v>
      </c>
      <c r="C1021" s="43"/>
      <c r="D1021" s="43"/>
      <c r="E1021" s="44"/>
    </row>
    <row r="1022" spans="2:5" x14ac:dyDescent="0.2">
      <c r="B1022" s="45"/>
      <c r="C1022" s="46"/>
      <c r="D1022" s="46"/>
      <c r="E1022" s="47"/>
    </row>
    <row r="1023" spans="2:5" x14ac:dyDescent="0.2">
      <c r="B1023" s="48" t="s">
        <v>15</v>
      </c>
      <c r="C1023" s="46"/>
      <c r="D1023" s="46"/>
      <c r="E1023" s="47"/>
    </row>
    <row r="1024" spans="2:5" ht="33" customHeight="1" x14ac:dyDescent="0.2">
      <c r="B1024" s="48"/>
      <c r="C1024" s="88" t="s">
        <v>340</v>
      </c>
      <c r="D1024" s="88"/>
      <c r="E1024" s="88"/>
    </row>
    <row r="1025" spans="2:5" x14ac:dyDescent="0.2">
      <c r="B1025" s="48" t="s">
        <v>16</v>
      </c>
      <c r="C1025" s="46"/>
      <c r="D1025" s="46"/>
      <c r="E1025" s="47"/>
    </row>
    <row r="1026" spans="2:5" x14ac:dyDescent="0.2">
      <c r="B1026" s="49"/>
      <c r="C1026" s="87" t="s">
        <v>246</v>
      </c>
      <c r="D1026" s="87"/>
      <c r="E1026" s="87"/>
    </row>
    <row r="1027" spans="2:5" x14ac:dyDescent="0.2">
      <c r="B1027" s="49"/>
      <c r="C1027" s="87"/>
      <c r="D1027" s="87"/>
      <c r="E1027" s="87"/>
    </row>
    <row r="1028" spans="2:5" x14ac:dyDescent="0.2">
      <c r="B1028" s="48" t="s">
        <v>17</v>
      </c>
      <c r="C1028" s="46"/>
      <c r="D1028" s="46"/>
      <c r="E1028" s="47"/>
    </row>
    <row r="1029" spans="2:5" x14ac:dyDescent="0.2">
      <c r="B1029" s="49"/>
      <c r="C1029" s="88"/>
      <c r="D1029" s="88"/>
      <c r="E1029" s="88"/>
    </row>
    <row r="1030" spans="2:5" x14ac:dyDescent="0.2">
      <c r="B1030" s="48" t="s">
        <v>18</v>
      </c>
      <c r="C1030" s="50"/>
      <c r="D1030" s="50"/>
      <c r="E1030" s="51"/>
    </row>
    <row r="1031" spans="2:5" x14ac:dyDescent="0.2">
      <c r="B1031" s="49"/>
      <c r="C1031" s="88" t="s">
        <v>247</v>
      </c>
      <c r="D1031" s="88"/>
      <c r="E1031" s="88"/>
    </row>
    <row r="1032" spans="2:5" x14ac:dyDescent="0.2">
      <c r="B1032" s="48" t="s">
        <v>19</v>
      </c>
      <c r="C1032" s="46"/>
      <c r="D1032" s="46"/>
      <c r="E1032" s="47"/>
    </row>
    <row r="1033" spans="2:5" x14ac:dyDescent="0.2">
      <c r="B1033" s="48"/>
      <c r="C1033" s="87"/>
      <c r="D1033" s="87"/>
      <c r="E1033" s="87"/>
    </row>
    <row r="1034" spans="2:5" ht="13.5" thickBot="1" x14ac:dyDescent="0.25">
      <c r="B1034" s="52"/>
      <c r="C1034" s="53"/>
      <c r="D1034" s="53"/>
      <c r="E1034" s="54"/>
    </row>
    <row r="1035" spans="2:5" ht="13.5" thickBot="1" x14ac:dyDescent="0.25"/>
    <row r="1036" spans="2:5" x14ac:dyDescent="0.2">
      <c r="B1036" s="42" t="s">
        <v>338</v>
      </c>
      <c r="C1036" s="43"/>
      <c r="D1036" s="43"/>
      <c r="E1036" s="44"/>
    </row>
    <row r="1037" spans="2:5" x14ac:dyDescent="0.2">
      <c r="B1037" s="45"/>
      <c r="C1037" s="46"/>
      <c r="D1037" s="46"/>
      <c r="E1037" s="47"/>
    </row>
    <row r="1038" spans="2:5" x14ac:dyDescent="0.2">
      <c r="B1038" s="48" t="s">
        <v>15</v>
      </c>
      <c r="C1038" s="46"/>
      <c r="D1038" s="46"/>
      <c r="E1038" s="47"/>
    </row>
    <row r="1039" spans="2:5" ht="35.25" customHeight="1" x14ac:dyDescent="0.2">
      <c r="B1039" s="48"/>
      <c r="C1039" s="88" t="s">
        <v>412</v>
      </c>
      <c r="D1039" s="88"/>
      <c r="E1039" s="88"/>
    </row>
    <row r="1040" spans="2:5" x14ac:dyDescent="0.2">
      <c r="B1040" s="48" t="s">
        <v>16</v>
      </c>
      <c r="C1040" s="46"/>
      <c r="D1040" s="46"/>
      <c r="E1040" s="47"/>
    </row>
    <row r="1041" spans="2:5" x14ac:dyDescent="0.2">
      <c r="B1041" s="49"/>
      <c r="C1041" s="87" t="s">
        <v>246</v>
      </c>
      <c r="D1041" s="87"/>
      <c r="E1041" s="87"/>
    </row>
    <row r="1042" spans="2:5" x14ac:dyDescent="0.2">
      <c r="B1042" s="49"/>
      <c r="C1042" s="87"/>
      <c r="D1042" s="87"/>
      <c r="E1042" s="87"/>
    </row>
    <row r="1043" spans="2:5" x14ac:dyDescent="0.2">
      <c r="B1043" s="48" t="s">
        <v>17</v>
      </c>
      <c r="C1043" s="46"/>
      <c r="D1043" s="46"/>
      <c r="E1043" s="47"/>
    </row>
    <row r="1044" spans="2:5" x14ac:dyDescent="0.2">
      <c r="B1044" s="49"/>
      <c r="C1044" s="88"/>
      <c r="D1044" s="88"/>
      <c r="E1044" s="88"/>
    </row>
    <row r="1045" spans="2:5" x14ac:dyDescent="0.2">
      <c r="B1045" s="48" t="s">
        <v>18</v>
      </c>
      <c r="C1045" s="50"/>
      <c r="D1045" s="50"/>
      <c r="E1045" s="51"/>
    </row>
    <row r="1046" spans="2:5" x14ac:dyDescent="0.2">
      <c r="B1046" s="49"/>
      <c r="C1046" s="88" t="s">
        <v>247</v>
      </c>
      <c r="D1046" s="88"/>
      <c r="E1046" s="88"/>
    </row>
    <row r="1047" spans="2:5" x14ac:dyDescent="0.2">
      <c r="B1047" s="48" t="s">
        <v>19</v>
      </c>
      <c r="C1047" s="46"/>
      <c r="D1047" s="46"/>
      <c r="E1047" s="47"/>
    </row>
    <row r="1048" spans="2:5" x14ac:dyDescent="0.2">
      <c r="B1048" s="48"/>
      <c r="C1048" s="87"/>
      <c r="D1048" s="87"/>
      <c r="E1048" s="87"/>
    </row>
    <row r="1049" spans="2:5" ht="13.5" thickBot="1" x14ac:dyDescent="0.25">
      <c r="B1049" s="52"/>
      <c r="C1049" s="53"/>
      <c r="D1049" s="53"/>
      <c r="E1049" s="54"/>
    </row>
    <row r="1050" spans="2:5" ht="13.5" thickBot="1" x14ac:dyDescent="0.25"/>
    <row r="1051" spans="2:5" x14ac:dyDescent="0.2">
      <c r="B1051" s="42" t="s">
        <v>339</v>
      </c>
      <c r="C1051" s="43"/>
      <c r="D1051" s="43"/>
      <c r="E1051" s="44"/>
    </row>
    <row r="1052" spans="2:5" x14ac:dyDescent="0.2">
      <c r="B1052" s="45"/>
      <c r="C1052" s="46"/>
      <c r="D1052" s="46"/>
      <c r="E1052" s="47"/>
    </row>
    <row r="1053" spans="2:5" x14ac:dyDescent="0.2">
      <c r="B1053" s="48" t="s">
        <v>15</v>
      </c>
      <c r="C1053" s="46"/>
      <c r="D1053" s="46"/>
      <c r="E1053" s="47"/>
    </row>
    <row r="1054" spans="2:5" ht="35.25" customHeight="1" x14ac:dyDescent="0.2">
      <c r="B1054" s="48"/>
      <c r="C1054" s="88" t="s">
        <v>343</v>
      </c>
      <c r="D1054" s="88"/>
      <c r="E1054" s="88"/>
    </row>
    <row r="1055" spans="2:5" x14ac:dyDescent="0.2">
      <c r="B1055" s="48" t="s">
        <v>16</v>
      </c>
      <c r="C1055" s="46"/>
      <c r="D1055" s="46"/>
      <c r="E1055" s="47"/>
    </row>
    <row r="1056" spans="2:5" x14ac:dyDescent="0.2">
      <c r="B1056" s="49"/>
      <c r="C1056" s="87" t="s">
        <v>246</v>
      </c>
      <c r="D1056" s="87"/>
      <c r="E1056" s="87"/>
    </row>
    <row r="1057" spans="2:5" x14ac:dyDescent="0.2">
      <c r="B1057" s="49"/>
      <c r="C1057" s="87"/>
      <c r="D1057" s="87"/>
      <c r="E1057" s="87"/>
    </row>
    <row r="1058" spans="2:5" x14ac:dyDescent="0.2">
      <c r="B1058" s="48" t="s">
        <v>17</v>
      </c>
      <c r="C1058" s="46"/>
      <c r="D1058" s="46"/>
      <c r="E1058" s="47"/>
    </row>
    <row r="1059" spans="2:5" x14ac:dyDescent="0.2">
      <c r="B1059" s="49"/>
      <c r="C1059" s="88"/>
      <c r="D1059" s="88"/>
      <c r="E1059" s="88"/>
    </row>
    <row r="1060" spans="2:5" x14ac:dyDescent="0.2">
      <c r="B1060" s="48" t="s">
        <v>18</v>
      </c>
      <c r="C1060" s="50"/>
      <c r="D1060" s="50"/>
      <c r="E1060" s="51"/>
    </row>
    <row r="1061" spans="2:5" x14ac:dyDescent="0.2">
      <c r="B1061" s="49"/>
      <c r="C1061" s="88" t="s">
        <v>247</v>
      </c>
      <c r="D1061" s="88"/>
      <c r="E1061" s="88"/>
    </row>
    <row r="1062" spans="2:5" x14ac:dyDescent="0.2">
      <c r="B1062" s="48" t="s">
        <v>19</v>
      </c>
      <c r="C1062" s="46"/>
      <c r="D1062" s="46"/>
      <c r="E1062" s="47"/>
    </row>
    <row r="1063" spans="2:5" x14ac:dyDescent="0.2">
      <c r="B1063" s="48"/>
      <c r="C1063" s="87"/>
      <c r="D1063" s="87"/>
      <c r="E1063" s="87"/>
    </row>
    <row r="1064" spans="2:5" ht="13.5" thickBot="1" x14ac:dyDescent="0.25">
      <c r="B1064" s="52"/>
      <c r="C1064" s="53"/>
      <c r="D1064" s="53"/>
      <c r="E1064" s="54"/>
    </row>
    <row r="1065" spans="2:5" ht="13.5" thickBot="1" x14ac:dyDescent="0.25"/>
    <row r="1066" spans="2:5" x14ac:dyDescent="0.2">
      <c r="B1066" s="42" t="s">
        <v>341</v>
      </c>
      <c r="C1066" s="43"/>
      <c r="D1066" s="43"/>
      <c r="E1066" s="44"/>
    </row>
    <row r="1067" spans="2:5" x14ac:dyDescent="0.2">
      <c r="B1067" s="45"/>
      <c r="C1067" s="46"/>
      <c r="D1067" s="46"/>
      <c r="E1067" s="47"/>
    </row>
    <row r="1068" spans="2:5" x14ac:dyDescent="0.2">
      <c r="B1068" s="48" t="s">
        <v>15</v>
      </c>
      <c r="C1068" s="46"/>
      <c r="D1068" s="46"/>
      <c r="E1068" s="47"/>
    </row>
    <row r="1069" spans="2:5" ht="32.25" customHeight="1" x14ac:dyDescent="0.2">
      <c r="B1069" s="48"/>
      <c r="C1069" s="88" t="s">
        <v>414</v>
      </c>
      <c r="D1069" s="88"/>
      <c r="E1069" s="88"/>
    </row>
    <row r="1070" spans="2:5" x14ac:dyDescent="0.2">
      <c r="B1070" s="48" t="s">
        <v>16</v>
      </c>
      <c r="C1070" s="46"/>
      <c r="D1070" s="46"/>
      <c r="E1070" s="47"/>
    </row>
    <row r="1071" spans="2:5" x14ac:dyDescent="0.2">
      <c r="B1071" s="49"/>
      <c r="C1071" s="87" t="s">
        <v>246</v>
      </c>
      <c r="D1071" s="87"/>
      <c r="E1071" s="87"/>
    </row>
    <row r="1072" spans="2:5" x14ac:dyDescent="0.2">
      <c r="B1072" s="49"/>
      <c r="C1072" s="87"/>
      <c r="D1072" s="87"/>
      <c r="E1072" s="87"/>
    </row>
    <row r="1073" spans="2:5" x14ac:dyDescent="0.2">
      <c r="B1073" s="48" t="s">
        <v>17</v>
      </c>
      <c r="C1073" s="46"/>
      <c r="D1073" s="46"/>
      <c r="E1073" s="47"/>
    </row>
    <row r="1074" spans="2:5" x14ac:dyDescent="0.2">
      <c r="B1074" s="49"/>
      <c r="C1074" s="88"/>
      <c r="D1074" s="88"/>
      <c r="E1074" s="88"/>
    </row>
    <row r="1075" spans="2:5" x14ac:dyDescent="0.2">
      <c r="B1075" s="48" t="s">
        <v>18</v>
      </c>
      <c r="C1075" s="50"/>
      <c r="D1075" s="50"/>
      <c r="E1075" s="51"/>
    </row>
    <row r="1076" spans="2:5" x14ac:dyDescent="0.2">
      <c r="B1076" s="49"/>
      <c r="C1076" s="88" t="s">
        <v>247</v>
      </c>
      <c r="D1076" s="88"/>
      <c r="E1076" s="88"/>
    </row>
    <row r="1077" spans="2:5" x14ac:dyDescent="0.2">
      <c r="B1077" s="48" t="s">
        <v>19</v>
      </c>
      <c r="C1077" s="46"/>
      <c r="D1077" s="46"/>
      <c r="E1077" s="47"/>
    </row>
    <row r="1078" spans="2:5" x14ac:dyDescent="0.2">
      <c r="B1078" s="48"/>
      <c r="C1078" s="87"/>
      <c r="D1078" s="87"/>
      <c r="E1078" s="87"/>
    </row>
    <row r="1079" spans="2:5" ht="13.5" thickBot="1" x14ac:dyDescent="0.25">
      <c r="B1079" s="52"/>
      <c r="C1079" s="53"/>
      <c r="D1079" s="53"/>
      <c r="E1079" s="54"/>
    </row>
    <row r="1080" spans="2:5" ht="13.5" thickBot="1" x14ac:dyDescent="0.25"/>
    <row r="1081" spans="2:5" x14ac:dyDescent="0.2">
      <c r="B1081" s="42" t="s">
        <v>342</v>
      </c>
      <c r="C1081" s="43"/>
      <c r="D1081" s="43"/>
      <c r="E1081" s="44"/>
    </row>
    <row r="1082" spans="2:5" x14ac:dyDescent="0.2">
      <c r="B1082" s="45"/>
      <c r="C1082" s="46"/>
      <c r="D1082" s="46"/>
      <c r="E1082" s="47"/>
    </row>
    <row r="1083" spans="2:5" x14ac:dyDescent="0.2">
      <c r="B1083" s="48" t="s">
        <v>15</v>
      </c>
      <c r="C1083" s="46"/>
      <c r="D1083" s="46"/>
      <c r="E1083" s="47"/>
    </row>
    <row r="1084" spans="2:5" ht="32.25" customHeight="1" x14ac:dyDescent="0.2">
      <c r="B1084" s="48"/>
      <c r="C1084" s="88" t="s">
        <v>345</v>
      </c>
      <c r="D1084" s="88"/>
      <c r="E1084" s="88"/>
    </row>
    <row r="1085" spans="2:5" x14ac:dyDescent="0.2">
      <c r="B1085" s="48" t="s">
        <v>16</v>
      </c>
      <c r="C1085" s="46"/>
      <c r="D1085" s="46"/>
      <c r="E1085" s="47"/>
    </row>
    <row r="1086" spans="2:5" x14ac:dyDescent="0.2">
      <c r="B1086" s="49"/>
      <c r="C1086" s="87" t="s">
        <v>246</v>
      </c>
      <c r="D1086" s="87"/>
      <c r="E1086" s="87"/>
    </row>
    <row r="1087" spans="2:5" x14ac:dyDescent="0.2">
      <c r="B1087" s="49"/>
      <c r="C1087" s="87"/>
      <c r="D1087" s="87"/>
      <c r="E1087" s="87"/>
    </row>
    <row r="1088" spans="2:5" x14ac:dyDescent="0.2">
      <c r="B1088" s="48" t="s">
        <v>17</v>
      </c>
      <c r="C1088" s="46"/>
      <c r="D1088" s="46"/>
      <c r="E1088" s="47"/>
    </row>
    <row r="1089" spans="2:5" x14ac:dyDescent="0.2">
      <c r="B1089" s="49"/>
      <c r="C1089" s="88"/>
      <c r="D1089" s="88"/>
      <c r="E1089" s="88"/>
    </row>
    <row r="1090" spans="2:5" x14ac:dyDescent="0.2">
      <c r="B1090" s="48" t="s">
        <v>18</v>
      </c>
      <c r="C1090" s="50"/>
      <c r="D1090" s="50"/>
      <c r="E1090" s="51"/>
    </row>
    <row r="1091" spans="2:5" x14ac:dyDescent="0.2">
      <c r="B1091" s="49"/>
      <c r="C1091" s="88" t="s">
        <v>247</v>
      </c>
      <c r="D1091" s="88"/>
      <c r="E1091" s="88"/>
    </row>
    <row r="1092" spans="2:5" x14ac:dyDescent="0.2">
      <c r="B1092" s="48" t="s">
        <v>19</v>
      </c>
      <c r="C1092" s="46"/>
      <c r="D1092" s="46"/>
      <c r="E1092" s="47"/>
    </row>
    <row r="1093" spans="2:5" x14ac:dyDescent="0.2">
      <c r="B1093" s="48"/>
      <c r="C1093" s="87"/>
      <c r="D1093" s="87"/>
      <c r="E1093" s="87"/>
    </row>
    <row r="1094" spans="2:5" ht="13.5" thickBot="1" x14ac:dyDescent="0.25">
      <c r="B1094" s="52"/>
      <c r="C1094" s="53"/>
      <c r="D1094" s="53"/>
      <c r="E1094" s="54"/>
    </row>
    <row r="1095" spans="2:5" ht="13.5" thickBot="1" x14ac:dyDescent="0.25"/>
    <row r="1096" spans="2:5" x14ac:dyDescent="0.2">
      <c r="B1096" s="42" t="s">
        <v>403</v>
      </c>
      <c r="C1096" s="43"/>
      <c r="D1096" s="43"/>
      <c r="E1096" s="44"/>
    </row>
    <row r="1097" spans="2:5" x14ac:dyDescent="0.2">
      <c r="B1097" s="45"/>
      <c r="C1097" s="46"/>
      <c r="D1097" s="46"/>
      <c r="E1097" s="47"/>
    </row>
    <row r="1098" spans="2:5" x14ac:dyDescent="0.2">
      <c r="B1098" s="48" t="s">
        <v>15</v>
      </c>
      <c r="C1098" s="46"/>
      <c r="D1098" s="46"/>
      <c r="E1098" s="47"/>
    </row>
    <row r="1099" spans="2:5" ht="31.5" customHeight="1" x14ac:dyDescent="0.2">
      <c r="B1099" s="48"/>
      <c r="C1099" s="88" t="s">
        <v>415</v>
      </c>
      <c r="D1099" s="88"/>
      <c r="E1099" s="88"/>
    </row>
    <row r="1100" spans="2:5" x14ac:dyDescent="0.2">
      <c r="B1100" s="48" t="s">
        <v>16</v>
      </c>
      <c r="C1100" s="46"/>
      <c r="D1100" s="46"/>
      <c r="E1100" s="47"/>
    </row>
    <row r="1101" spans="2:5" x14ac:dyDescent="0.2">
      <c r="B1101" s="49"/>
      <c r="C1101" s="87" t="s">
        <v>246</v>
      </c>
      <c r="D1101" s="87"/>
      <c r="E1101" s="87"/>
    </row>
    <row r="1102" spans="2:5" x14ac:dyDescent="0.2">
      <c r="B1102" s="49"/>
      <c r="C1102" s="87"/>
      <c r="D1102" s="87"/>
      <c r="E1102" s="87"/>
    </row>
    <row r="1103" spans="2:5" x14ac:dyDescent="0.2">
      <c r="B1103" s="48" t="s">
        <v>17</v>
      </c>
      <c r="C1103" s="46"/>
      <c r="D1103" s="46"/>
      <c r="E1103" s="47"/>
    </row>
    <row r="1104" spans="2:5" x14ac:dyDescent="0.2">
      <c r="B1104" s="49"/>
      <c r="C1104" s="88"/>
      <c r="D1104" s="88"/>
      <c r="E1104" s="88"/>
    </row>
    <row r="1105" spans="2:5" x14ac:dyDescent="0.2">
      <c r="B1105" s="48" t="s">
        <v>18</v>
      </c>
      <c r="C1105" s="50"/>
      <c r="D1105" s="50"/>
      <c r="E1105" s="51"/>
    </row>
    <row r="1106" spans="2:5" x14ac:dyDescent="0.2">
      <c r="B1106" s="49"/>
      <c r="C1106" s="88" t="s">
        <v>247</v>
      </c>
      <c r="D1106" s="88"/>
      <c r="E1106" s="88"/>
    </row>
    <row r="1107" spans="2:5" x14ac:dyDescent="0.2">
      <c r="B1107" s="48" t="s">
        <v>19</v>
      </c>
      <c r="C1107" s="46"/>
      <c r="D1107" s="46"/>
      <c r="E1107" s="47"/>
    </row>
    <row r="1108" spans="2:5" x14ac:dyDescent="0.2">
      <c r="B1108" s="48"/>
      <c r="C1108" s="87"/>
      <c r="D1108" s="87"/>
      <c r="E1108" s="87"/>
    </row>
    <row r="1109" spans="2:5" ht="13.5" thickBot="1" x14ac:dyDescent="0.25">
      <c r="B1109" s="52"/>
      <c r="C1109" s="53"/>
      <c r="D1109" s="53"/>
      <c r="E1109" s="54"/>
    </row>
    <row r="1110" spans="2:5" ht="13.5" thickBot="1" x14ac:dyDescent="0.25"/>
    <row r="1111" spans="2:5" x14ac:dyDescent="0.2">
      <c r="B1111" s="42" t="s">
        <v>344</v>
      </c>
      <c r="C1111" s="43"/>
      <c r="D1111" s="43"/>
      <c r="E1111" s="44"/>
    </row>
    <row r="1112" spans="2:5" x14ac:dyDescent="0.2">
      <c r="B1112" s="45"/>
      <c r="C1112" s="46"/>
      <c r="D1112" s="46"/>
      <c r="E1112" s="47"/>
    </row>
    <row r="1113" spans="2:5" x14ac:dyDescent="0.2">
      <c r="B1113" s="48" t="s">
        <v>15</v>
      </c>
      <c r="C1113" s="46"/>
      <c r="D1113" s="46"/>
      <c r="E1113" s="47"/>
    </row>
    <row r="1114" spans="2:5" ht="32.25" customHeight="1" x14ac:dyDescent="0.2">
      <c r="B1114" s="48"/>
      <c r="C1114" s="88" t="s">
        <v>348</v>
      </c>
      <c r="D1114" s="88"/>
      <c r="E1114" s="88"/>
    </row>
    <row r="1115" spans="2:5" x14ac:dyDescent="0.2">
      <c r="B1115" s="48" t="s">
        <v>16</v>
      </c>
      <c r="C1115" s="46"/>
      <c r="D1115" s="46"/>
      <c r="E1115" s="47"/>
    </row>
    <row r="1116" spans="2:5" x14ac:dyDescent="0.2">
      <c r="B1116" s="49"/>
      <c r="C1116" s="87" t="s">
        <v>246</v>
      </c>
      <c r="D1116" s="87"/>
      <c r="E1116" s="87"/>
    </row>
    <row r="1117" spans="2:5" x14ac:dyDescent="0.2">
      <c r="B1117" s="49"/>
      <c r="C1117" s="87"/>
      <c r="D1117" s="87"/>
      <c r="E1117" s="87"/>
    </row>
    <row r="1118" spans="2:5" x14ac:dyDescent="0.2">
      <c r="B1118" s="48" t="s">
        <v>17</v>
      </c>
      <c r="C1118" s="46"/>
      <c r="D1118" s="46"/>
      <c r="E1118" s="47"/>
    </row>
    <row r="1119" spans="2:5" x14ac:dyDescent="0.2">
      <c r="B1119" s="49"/>
      <c r="C1119" s="88"/>
      <c r="D1119" s="88"/>
      <c r="E1119" s="88"/>
    </row>
    <row r="1120" spans="2:5" x14ac:dyDescent="0.2">
      <c r="B1120" s="48" t="s">
        <v>18</v>
      </c>
      <c r="C1120" s="50"/>
      <c r="D1120" s="50"/>
      <c r="E1120" s="51"/>
    </row>
    <row r="1121" spans="2:5" x14ac:dyDescent="0.2">
      <c r="B1121" s="49"/>
      <c r="C1121" s="88" t="s">
        <v>247</v>
      </c>
      <c r="D1121" s="88"/>
      <c r="E1121" s="88"/>
    </row>
    <row r="1122" spans="2:5" x14ac:dyDescent="0.2">
      <c r="B1122" s="48" t="s">
        <v>19</v>
      </c>
      <c r="C1122" s="46"/>
      <c r="D1122" s="46"/>
      <c r="E1122" s="47"/>
    </row>
    <row r="1123" spans="2:5" x14ac:dyDescent="0.2">
      <c r="B1123" s="48"/>
      <c r="C1123" s="87"/>
      <c r="D1123" s="87"/>
      <c r="E1123" s="87"/>
    </row>
    <row r="1124" spans="2:5" ht="13.5" thickBot="1" x14ac:dyDescent="0.25">
      <c r="B1124" s="52"/>
      <c r="C1124" s="53"/>
      <c r="D1124" s="53"/>
      <c r="E1124" s="54"/>
    </row>
    <row r="1125" spans="2:5" ht="13.5" thickBot="1" x14ac:dyDescent="0.25"/>
    <row r="1126" spans="2:5" x14ac:dyDescent="0.2">
      <c r="B1126" s="42" t="s">
        <v>346</v>
      </c>
      <c r="C1126" s="43"/>
      <c r="D1126" s="43"/>
      <c r="E1126" s="44"/>
    </row>
    <row r="1127" spans="2:5" x14ac:dyDescent="0.2">
      <c r="B1127" s="45"/>
      <c r="C1127" s="46"/>
      <c r="D1127" s="46"/>
      <c r="E1127" s="47"/>
    </row>
    <row r="1128" spans="2:5" x14ac:dyDescent="0.2">
      <c r="B1128" s="48" t="s">
        <v>15</v>
      </c>
      <c r="C1128" s="46"/>
      <c r="D1128" s="46"/>
      <c r="E1128" s="47"/>
    </row>
    <row r="1129" spans="2:5" ht="34.5" customHeight="1" x14ac:dyDescent="0.2">
      <c r="B1129" s="48"/>
      <c r="C1129" s="88" t="s">
        <v>350</v>
      </c>
      <c r="D1129" s="88"/>
      <c r="E1129" s="88"/>
    </row>
    <row r="1130" spans="2:5" x14ac:dyDescent="0.2">
      <c r="B1130" s="48" t="s">
        <v>16</v>
      </c>
      <c r="C1130" s="46"/>
      <c r="D1130" s="46"/>
      <c r="E1130" s="47"/>
    </row>
    <row r="1131" spans="2:5" x14ac:dyDescent="0.2">
      <c r="B1131" s="49"/>
      <c r="C1131" s="87" t="s">
        <v>246</v>
      </c>
      <c r="D1131" s="87"/>
      <c r="E1131" s="87"/>
    </row>
    <row r="1132" spans="2:5" x14ac:dyDescent="0.2">
      <c r="B1132" s="49"/>
      <c r="C1132" s="87"/>
      <c r="D1132" s="87"/>
      <c r="E1132" s="87"/>
    </row>
    <row r="1133" spans="2:5" x14ac:dyDescent="0.2">
      <c r="B1133" s="48" t="s">
        <v>17</v>
      </c>
      <c r="C1133" s="46"/>
      <c r="D1133" s="46"/>
      <c r="E1133" s="47"/>
    </row>
    <row r="1134" spans="2:5" x14ac:dyDescent="0.2">
      <c r="B1134" s="49"/>
      <c r="C1134" s="88"/>
      <c r="D1134" s="88"/>
      <c r="E1134" s="88"/>
    </row>
    <row r="1135" spans="2:5" x14ac:dyDescent="0.2">
      <c r="B1135" s="48" t="s">
        <v>18</v>
      </c>
      <c r="C1135" s="50"/>
      <c r="D1135" s="50"/>
      <c r="E1135" s="51"/>
    </row>
    <row r="1136" spans="2:5" x14ac:dyDescent="0.2">
      <c r="B1136" s="49"/>
      <c r="C1136" s="88" t="s">
        <v>247</v>
      </c>
      <c r="D1136" s="88"/>
      <c r="E1136" s="88"/>
    </row>
    <row r="1137" spans="2:5" x14ac:dyDescent="0.2">
      <c r="B1137" s="48" t="s">
        <v>19</v>
      </c>
      <c r="C1137" s="46"/>
      <c r="D1137" s="46"/>
      <c r="E1137" s="47"/>
    </row>
    <row r="1138" spans="2:5" x14ac:dyDescent="0.2">
      <c r="B1138" s="48"/>
      <c r="C1138" s="87"/>
      <c r="D1138" s="87"/>
      <c r="E1138" s="87"/>
    </row>
    <row r="1139" spans="2:5" ht="13.5" thickBot="1" x14ac:dyDescent="0.25">
      <c r="B1139" s="52"/>
      <c r="C1139" s="53"/>
      <c r="D1139" s="53"/>
      <c r="E1139" s="54"/>
    </row>
    <row r="1140" spans="2:5" ht="13.5" thickBot="1" x14ac:dyDescent="0.25"/>
    <row r="1141" spans="2:5" x14ac:dyDescent="0.2">
      <c r="B1141" s="42" t="s">
        <v>347</v>
      </c>
      <c r="C1141" s="43"/>
      <c r="D1141" s="43"/>
      <c r="E1141" s="44"/>
    </row>
    <row r="1142" spans="2:5" x14ac:dyDescent="0.2">
      <c r="B1142" s="45"/>
      <c r="C1142" s="46"/>
      <c r="D1142" s="46"/>
      <c r="E1142" s="47"/>
    </row>
    <row r="1143" spans="2:5" x14ac:dyDescent="0.2">
      <c r="B1143" s="48" t="s">
        <v>15</v>
      </c>
      <c r="C1143" s="46"/>
      <c r="D1143" s="46"/>
      <c r="E1143" s="47"/>
    </row>
    <row r="1144" spans="2:5" ht="34.5" customHeight="1" x14ac:dyDescent="0.2">
      <c r="B1144" s="48"/>
      <c r="C1144" s="88" t="s">
        <v>416</v>
      </c>
      <c r="D1144" s="88"/>
      <c r="E1144" s="88"/>
    </row>
    <row r="1145" spans="2:5" x14ac:dyDescent="0.2">
      <c r="B1145" s="48" t="s">
        <v>16</v>
      </c>
      <c r="C1145" s="46"/>
      <c r="D1145" s="46"/>
      <c r="E1145" s="47"/>
    </row>
    <row r="1146" spans="2:5" x14ac:dyDescent="0.2">
      <c r="B1146" s="49"/>
      <c r="C1146" s="87" t="s">
        <v>246</v>
      </c>
      <c r="D1146" s="87"/>
      <c r="E1146" s="87"/>
    </row>
    <row r="1147" spans="2:5" x14ac:dyDescent="0.2">
      <c r="B1147" s="49"/>
      <c r="C1147" s="87"/>
      <c r="D1147" s="87"/>
      <c r="E1147" s="87"/>
    </row>
    <row r="1148" spans="2:5" x14ac:dyDescent="0.2">
      <c r="B1148" s="48" t="s">
        <v>17</v>
      </c>
      <c r="C1148" s="46"/>
      <c r="D1148" s="46"/>
      <c r="E1148" s="47"/>
    </row>
    <row r="1149" spans="2:5" x14ac:dyDescent="0.2">
      <c r="B1149" s="49"/>
      <c r="C1149" s="88"/>
      <c r="D1149" s="88"/>
      <c r="E1149" s="88"/>
    </row>
    <row r="1150" spans="2:5" x14ac:dyDescent="0.2">
      <c r="B1150" s="48" t="s">
        <v>18</v>
      </c>
      <c r="C1150" s="50"/>
      <c r="D1150" s="50"/>
      <c r="E1150" s="51"/>
    </row>
    <row r="1151" spans="2:5" x14ac:dyDescent="0.2">
      <c r="B1151" s="49"/>
      <c r="C1151" s="88" t="s">
        <v>247</v>
      </c>
      <c r="D1151" s="88"/>
      <c r="E1151" s="88"/>
    </row>
    <row r="1152" spans="2:5" x14ac:dyDescent="0.2">
      <c r="B1152" s="48" t="s">
        <v>19</v>
      </c>
      <c r="C1152" s="46"/>
      <c r="D1152" s="46"/>
      <c r="E1152" s="47"/>
    </row>
    <row r="1153" spans="2:5" x14ac:dyDescent="0.2">
      <c r="B1153" s="48"/>
      <c r="C1153" s="87"/>
      <c r="D1153" s="87"/>
      <c r="E1153" s="87"/>
    </row>
    <row r="1154" spans="2:5" ht="13.5" thickBot="1" x14ac:dyDescent="0.25">
      <c r="B1154" s="52"/>
      <c r="C1154" s="53"/>
      <c r="D1154" s="53"/>
      <c r="E1154" s="54"/>
    </row>
    <row r="1155" spans="2:5" ht="13.5" thickBot="1" x14ac:dyDescent="0.25"/>
    <row r="1156" spans="2:5" x14ac:dyDescent="0.2">
      <c r="B1156" s="42" t="s">
        <v>349</v>
      </c>
      <c r="C1156" s="43"/>
      <c r="D1156" s="43"/>
      <c r="E1156" s="44"/>
    </row>
    <row r="1157" spans="2:5" x14ac:dyDescent="0.2">
      <c r="B1157" s="45"/>
      <c r="C1157" s="46"/>
      <c r="D1157" s="46"/>
      <c r="E1157" s="47"/>
    </row>
    <row r="1158" spans="2:5" x14ac:dyDescent="0.2">
      <c r="B1158" s="48" t="s">
        <v>15</v>
      </c>
      <c r="C1158" s="46"/>
      <c r="D1158" s="46"/>
      <c r="E1158" s="47"/>
    </row>
    <row r="1159" spans="2:5" ht="33" customHeight="1" x14ac:dyDescent="0.2">
      <c r="B1159" s="48"/>
      <c r="C1159" s="88" t="s">
        <v>353</v>
      </c>
      <c r="D1159" s="88"/>
      <c r="E1159" s="88"/>
    </row>
    <row r="1160" spans="2:5" x14ac:dyDescent="0.2">
      <c r="B1160" s="48" t="s">
        <v>16</v>
      </c>
      <c r="C1160" s="46"/>
      <c r="D1160" s="46"/>
      <c r="E1160" s="47"/>
    </row>
    <row r="1161" spans="2:5" x14ac:dyDescent="0.2">
      <c r="B1161" s="49"/>
      <c r="C1161" s="87" t="s">
        <v>246</v>
      </c>
      <c r="D1161" s="87"/>
      <c r="E1161" s="87"/>
    </row>
    <row r="1162" spans="2:5" x14ac:dyDescent="0.2">
      <c r="B1162" s="49"/>
      <c r="C1162" s="87"/>
      <c r="D1162" s="87"/>
      <c r="E1162" s="87"/>
    </row>
    <row r="1163" spans="2:5" x14ac:dyDescent="0.2">
      <c r="B1163" s="48" t="s">
        <v>17</v>
      </c>
      <c r="C1163" s="46"/>
      <c r="D1163" s="46"/>
      <c r="E1163" s="47"/>
    </row>
    <row r="1164" spans="2:5" x14ac:dyDescent="0.2">
      <c r="B1164" s="49"/>
      <c r="C1164" s="88"/>
      <c r="D1164" s="88"/>
      <c r="E1164" s="88"/>
    </row>
    <row r="1165" spans="2:5" x14ac:dyDescent="0.2">
      <c r="B1165" s="48" t="s">
        <v>18</v>
      </c>
      <c r="C1165" s="50"/>
      <c r="D1165" s="50"/>
      <c r="E1165" s="51"/>
    </row>
    <row r="1166" spans="2:5" x14ac:dyDescent="0.2">
      <c r="B1166" s="49"/>
      <c r="C1166" s="88" t="s">
        <v>247</v>
      </c>
      <c r="D1166" s="88"/>
      <c r="E1166" s="88"/>
    </row>
    <row r="1167" spans="2:5" x14ac:dyDescent="0.2">
      <c r="B1167" s="48" t="s">
        <v>19</v>
      </c>
      <c r="C1167" s="46"/>
      <c r="D1167" s="46"/>
      <c r="E1167" s="47"/>
    </row>
    <row r="1168" spans="2:5" x14ac:dyDescent="0.2">
      <c r="B1168" s="48"/>
      <c r="C1168" s="87"/>
      <c r="D1168" s="87"/>
      <c r="E1168" s="87"/>
    </row>
    <row r="1169" spans="2:5" ht="13.5" thickBot="1" x14ac:dyDescent="0.25">
      <c r="B1169" s="52"/>
      <c r="C1169" s="53"/>
      <c r="D1169" s="53"/>
      <c r="E1169" s="54"/>
    </row>
    <row r="1170" spans="2:5" ht="13.5" thickBot="1" x14ac:dyDescent="0.25"/>
    <row r="1171" spans="2:5" x14ac:dyDescent="0.2">
      <c r="B1171" s="42" t="s">
        <v>351</v>
      </c>
      <c r="C1171" s="43"/>
      <c r="D1171" s="43"/>
      <c r="E1171" s="44"/>
    </row>
    <row r="1172" spans="2:5" x14ac:dyDescent="0.2">
      <c r="B1172" s="45"/>
      <c r="C1172" s="46"/>
      <c r="D1172" s="46"/>
      <c r="E1172" s="47"/>
    </row>
    <row r="1173" spans="2:5" x14ac:dyDescent="0.2">
      <c r="B1173" s="48" t="s">
        <v>15</v>
      </c>
      <c r="C1173" s="46"/>
      <c r="D1173" s="46"/>
      <c r="E1173" s="47"/>
    </row>
    <row r="1174" spans="2:5" ht="33" customHeight="1" x14ac:dyDescent="0.2">
      <c r="B1174" s="48"/>
      <c r="C1174" s="88" t="s">
        <v>417</v>
      </c>
      <c r="D1174" s="88"/>
      <c r="E1174" s="88"/>
    </row>
    <row r="1175" spans="2:5" x14ac:dyDescent="0.2">
      <c r="B1175" s="48" t="s">
        <v>16</v>
      </c>
      <c r="C1175" s="46"/>
      <c r="D1175" s="46"/>
      <c r="E1175" s="47"/>
    </row>
    <row r="1176" spans="2:5" x14ac:dyDescent="0.2">
      <c r="B1176" s="49"/>
      <c r="C1176" s="87" t="s">
        <v>246</v>
      </c>
      <c r="D1176" s="87"/>
      <c r="E1176" s="87"/>
    </row>
    <row r="1177" spans="2:5" x14ac:dyDescent="0.2">
      <c r="B1177" s="49"/>
      <c r="C1177" s="87"/>
      <c r="D1177" s="87"/>
      <c r="E1177" s="87"/>
    </row>
    <row r="1178" spans="2:5" x14ac:dyDescent="0.2">
      <c r="B1178" s="48" t="s">
        <v>17</v>
      </c>
      <c r="C1178" s="46"/>
      <c r="D1178" s="46"/>
      <c r="E1178" s="47"/>
    </row>
    <row r="1179" spans="2:5" x14ac:dyDescent="0.2">
      <c r="B1179" s="49"/>
      <c r="C1179" s="88"/>
      <c r="D1179" s="88"/>
      <c r="E1179" s="88"/>
    </row>
    <row r="1180" spans="2:5" x14ac:dyDescent="0.2">
      <c r="B1180" s="48" t="s">
        <v>18</v>
      </c>
      <c r="C1180" s="50"/>
      <c r="D1180" s="50"/>
      <c r="E1180" s="51"/>
    </row>
    <row r="1181" spans="2:5" x14ac:dyDescent="0.2">
      <c r="B1181" s="49"/>
      <c r="C1181" s="88" t="s">
        <v>247</v>
      </c>
      <c r="D1181" s="88"/>
      <c r="E1181" s="88"/>
    </row>
    <row r="1182" spans="2:5" x14ac:dyDescent="0.2">
      <c r="B1182" s="48" t="s">
        <v>19</v>
      </c>
      <c r="C1182" s="46"/>
      <c r="D1182" s="46"/>
      <c r="E1182" s="47"/>
    </row>
    <row r="1183" spans="2:5" x14ac:dyDescent="0.2">
      <c r="B1183" s="48"/>
      <c r="C1183" s="87"/>
      <c r="D1183" s="87"/>
      <c r="E1183" s="87"/>
    </row>
    <row r="1184" spans="2:5" ht="13.5" thickBot="1" x14ac:dyDescent="0.25">
      <c r="B1184" s="52"/>
      <c r="C1184" s="53"/>
      <c r="D1184" s="53"/>
      <c r="E1184" s="54"/>
    </row>
    <row r="1185" spans="2:5" ht="13.5" thickBot="1" x14ac:dyDescent="0.25"/>
    <row r="1186" spans="2:5" x14ac:dyDescent="0.2">
      <c r="B1186" s="42" t="s">
        <v>352</v>
      </c>
      <c r="C1186" s="43"/>
      <c r="D1186" s="43"/>
      <c r="E1186" s="44"/>
    </row>
    <row r="1187" spans="2:5" x14ac:dyDescent="0.2">
      <c r="B1187" s="45"/>
      <c r="C1187" s="46"/>
      <c r="D1187" s="46"/>
      <c r="E1187" s="47"/>
    </row>
    <row r="1188" spans="2:5" x14ac:dyDescent="0.2">
      <c r="B1188" s="48" t="s">
        <v>15</v>
      </c>
      <c r="C1188" s="46"/>
      <c r="D1188" s="46"/>
      <c r="E1188" s="47"/>
    </row>
    <row r="1189" spans="2:5" ht="33" customHeight="1" x14ac:dyDescent="0.2">
      <c r="B1189" s="48"/>
      <c r="C1189" s="88" t="s">
        <v>418</v>
      </c>
      <c r="D1189" s="88"/>
      <c r="E1189" s="88"/>
    </row>
    <row r="1190" spans="2:5" x14ac:dyDescent="0.2">
      <c r="B1190" s="48" t="s">
        <v>16</v>
      </c>
      <c r="C1190" s="46"/>
      <c r="D1190" s="46"/>
      <c r="E1190" s="47"/>
    </row>
    <row r="1191" spans="2:5" x14ac:dyDescent="0.2">
      <c r="B1191" s="49"/>
      <c r="C1191" s="87" t="s">
        <v>246</v>
      </c>
      <c r="D1191" s="87"/>
      <c r="E1191" s="87"/>
    </row>
    <row r="1192" spans="2:5" x14ac:dyDescent="0.2">
      <c r="B1192" s="49"/>
      <c r="C1192" s="87"/>
      <c r="D1192" s="87"/>
      <c r="E1192" s="87"/>
    </row>
    <row r="1193" spans="2:5" x14ac:dyDescent="0.2">
      <c r="B1193" s="48" t="s">
        <v>17</v>
      </c>
      <c r="C1193" s="46"/>
      <c r="D1193" s="46"/>
      <c r="E1193" s="47"/>
    </row>
    <row r="1194" spans="2:5" x14ac:dyDescent="0.2">
      <c r="B1194" s="49"/>
      <c r="C1194" s="88"/>
      <c r="D1194" s="88"/>
      <c r="E1194" s="88"/>
    </row>
    <row r="1195" spans="2:5" x14ac:dyDescent="0.2">
      <c r="B1195" s="48" t="s">
        <v>18</v>
      </c>
      <c r="C1195" s="50"/>
      <c r="D1195" s="50"/>
      <c r="E1195" s="51"/>
    </row>
    <row r="1196" spans="2:5" x14ac:dyDescent="0.2">
      <c r="B1196" s="49"/>
      <c r="C1196" s="88" t="s">
        <v>247</v>
      </c>
      <c r="D1196" s="88"/>
      <c r="E1196" s="88"/>
    </row>
    <row r="1197" spans="2:5" x14ac:dyDescent="0.2">
      <c r="B1197" s="48" t="s">
        <v>19</v>
      </c>
      <c r="C1197" s="46"/>
      <c r="D1197" s="46"/>
      <c r="E1197" s="47"/>
    </row>
    <row r="1198" spans="2:5" x14ac:dyDescent="0.2">
      <c r="B1198" s="48"/>
      <c r="C1198" s="87"/>
      <c r="D1198" s="87"/>
      <c r="E1198" s="87"/>
    </row>
    <row r="1199" spans="2:5" ht="13.5" thickBot="1" x14ac:dyDescent="0.25">
      <c r="B1199" s="52"/>
      <c r="C1199" s="53"/>
      <c r="D1199" s="53"/>
      <c r="E1199" s="54"/>
    </row>
    <row r="1200" spans="2:5" ht="13.5" thickBot="1" x14ac:dyDescent="0.25"/>
    <row r="1201" spans="2:5" x14ac:dyDescent="0.2">
      <c r="B1201" s="42" t="s">
        <v>354</v>
      </c>
      <c r="C1201" s="43"/>
      <c r="D1201" s="43"/>
      <c r="E1201" s="44"/>
    </row>
    <row r="1202" spans="2:5" x14ac:dyDescent="0.2">
      <c r="B1202" s="45"/>
      <c r="C1202" s="46"/>
      <c r="D1202" s="46"/>
      <c r="E1202" s="47"/>
    </row>
    <row r="1203" spans="2:5" x14ac:dyDescent="0.2">
      <c r="B1203" s="48" t="s">
        <v>15</v>
      </c>
      <c r="C1203" s="46"/>
      <c r="D1203" s="46"/>
      <c r="E1203" s="47"/>
    </row>
    <row r="1204" spans="2:5" ht="32.25" customHeight="1" x14ac:dyDescent="0.2">
      <c r="B1204" s="48"/>
      <c r="C1204" s="88" t="s">
        <v>419</v>
      </c>
      <c r="D1204" s="88"/>
      <c r="E1204" s="88"/>
    </row>
    <row r="1205" spans="2:5" x14ac:dyDescent="0.2">
      <c r="B1205" s="48" t="s">
        <v>16</v>
      </c>
      <c r="C1205" s="46"/>
      <c r="D1205" s="46"/>
      <c r="E1205" s="47"/>
    </row>
    <row r="1206" spans="2:5" x14ac:dyDescent="0.2">
      <c r="B1206" s="49"/>
      <c r="C1206" s="87" t="s">
        <v>246</v>
      </c>
      <c r="D1206" s="87"/>
      <c r="E1206" s="87"/>
    </row>
    <row r="1207" spans="2:5" x14ac:dyDescent="0.2">
      <c r="B1207" s="49"/>
      <c r="C1207" s="87"/>
      <c r="D1207" s="87"/>
      <c r="E1207" s="87"/>
    </row>
    <row r="1208" spans="2:5" x14ac:dyDescent="0.2">
      <c r="B1208" s="48" t="s">
        <v>17</v>
      </c>
      <c r="C1208" s="46"/>
      <c r="D1208" s="46"/>
      <c r="E1208" s="47"/>
    </row>
    <row r="1209" spans="2:5" x14ac:dyDescent="0.2">
      <c r="B1209" s="49"/>
      <c r="C1209" s="88"/>
      <c r="D1209" s="88"/>
      <c r="E1209" s="88"/>
    </row>
    <row r="1210" spans="2:5" x14ac:dyDescent="0.2">
      <c r="B1210" s="48" t="s">
        <v>18</v>
      </c>
      <c r="C1210" s="50"/>
      <c r="D1210" s="50"/>
      <c r="E1210" s="51"/>
    </row>
    <row r="1211" spans="2:5" x14ac:dyDescent="0.2">
      <c r="B1211" s="49"/>
      <c r="C1211" s="88" t="s">
        <v>247</v>
      </c>
      <c r="D1211" s="88"/>
      <c r="E1211" s="88"/>
    </row>
    <row r="1212" spans="2:5" x14ac:dyDescent="0.2">
      <c r="B1212" s="48" t="s">
        <v>19</v>
      </c>
      <c r="C1212" s="46"/>
      <c r="D1212" s="46"/>
      <c r="E1212" s="47"/>
    </row>
    <row r="1213" spans="2:5" x14ac:dyDescent="0.2">
      <c r="B1213" s="48"/>
      <c r="C1213" s="87"/>
      <c r="D1213" s="87"/>
      <c r="E1213" s="87"/>
    </row>
    <row r="1214" spans="2:5" ht="13.5" thickBot="1" x14ac:dyDescent="0.25">
      <c r="B1214" s="52"/>
      <c r="C1214" s="53"/>
      <c r="D1214" s="53"/>
      <c r="E1214" s="54"/>
    </row>
    <row r="1215" spans="2:5" ht="13.5" thickBot="1" x14ac:dyDescent="0.25"/>
    <row r="1216" spans="2:5" x14ac:dyDescent="0.2">
      <c r="B1216" s="42" t="s">
        <v>355</v>
      </c>
      <c r="C1216" s="43"/>
      <c r="D1216" s="43"/>
      <c r="E1216" s="44"/>
    </row>
    <row r="1217" spans="2:5" x14ac:dyDescent="0.2">
      <c r="B1217" s="45"/>
      <c r="C1217" s="46"/>
      <c r="D1217" s="46"/>
      <c r="E1217" s="47"/>
    </row>
    <row r="1218" spans="2:5" x14ac:dyDescent="0.2">
      <c r="B1218" s="48" t="s">
        <v>15</v>
      </c>
      <c r="C1218" s="46"/>
      <c r="D1218" s="46"/>
      <c r="E1218" s="47"/>
    </row>
    <row r="1219" spans="2:5" ht="37.5" customHeight="1" x14ac:dyDescent="0.2">
      <c r="B1219" s="48"/>
      <c r="C1219" s="88" t="s">
        <v>420</v>
      </c>
      <c r="D1219" s="88"/>
      <c r="E1219" s="88"/>
    </row>
    <row r="1220" spans="2:5" x14ac:dyDescent="0.2">
      <c r="B1220" s="48" t="s">
        <v>16</v>
      </c>
      <c r="C1220" s="46"/>
      <c r="D1220" s="46"/>
      <c r="E1220" s="47"/>
    </row>
    <row r="1221" spans="2:5" x14ac:dyDescent="0.2">
      <c r="B1221" s="49"/>
      <c r="C1221" s="87" t="s">
        <v>246</v>
      </c>
      <c r="D1221" s="87"/>
      <c r="E1221" s="87"/>
    </row>
    <row r="1222" spans="2:5" x14ac:dyDescent="0.2">
      <c r="B1222" s="49"/>
      <c r="C1222" s="87"/>
      <c r="D1222" s="87"/>
      <c r="E1222" s="87"/>
    </row>
    <row r="1223" spans="2:5" x14ac:dyDescent="0.2">
      <c r="B1223" s="48" t="s">
        <v>17</v>
      </c>
      <c r="C1223" s="46"/>
      <c r="D1223" s="46"/>
      <c r="E1223" s="47"/>
    </row>
    <row r="1224" spans="2:5" x14ac:dyDescent="0.2">
      <c r="B1224" s="49"/>
      <c r="C1224" s="88"/>
      <c r="D1224" s="88"/>
      <c r="E1224" s="88"/>
    </row>
    <row r="1225" spans="2:5" x14ac:dyDescent="0.2">
      <c r="B1225" s="48" t="s">
        <v>18</v>
      </c>
      <c r="C1225" s="50"/>
      <c r="D1225" s="50"/>
      <c r="E1225" s="51"/>
    </row>
    <row r="1226" spans="2:5" x14ac:dyDescent="0.2">
      <c r="B1226" s="49"/>
      <c r="C1226" s="88" t="s">
        <v>247</v>
      </c>
      <c r="D1226" s="88"/>
      <c r="E1226" s="88"/>
    </row>
    <row r="1227" spans="2:5" x14ac:dyDescent="0.2">
      <c r="B1227" s="48" t="s">
        <v>19</v>
      </c>
      <c r="C1227" s="46"/>
      <c r="D1227" s="46"/>
      <c r="E1227" s="47"/>
    </row>
    <row r="1228" spans="2:5" x14ac:dyDescent="0.2">
      <c r="B1228" s="48"/>
      <c r="C1228" s="87"/>
      <c r="D1228" s="87"/>
      <c r="E1228" s="87"/>
    </row>
    <row r="1229" spans="2:5" ht="13.5" thickBot="1" x14ac:dyDescent="0.25">
      <c r="B1229" s="52"/>
      <c r="C1229" s="53"/>
      <c r="D1229" s="53"/>
      <c r="E1229" s="54"/>
    </row>
    <row r="1230" spans="2:5" ht="13.5" thickBot="1" x14ac:dyDescent="0.25"/>
    <row r="1231" spans="2:5" x14ac:dyDescent="0.2">
      <c r="B1231" s="42" t="s">
        <v>356</v>
      </c>
      <c r="C1231" s="43"/>
      <c r="D1231" s="43"/>
      <c r="E1231" s="44"/>
    </row>
    <row r="1232" spans="2:5" x14ac:dyDescent="0.2">
      <c r="B1232" s="45"/>
      <c r="C1232" s="46"/>
      <c r="D1232" s="46"/>
      <c r="E1232" s="47"/>
    </row>
    <row r="1233" spans="2:5" x14ac:dyDescent="0.2">
      <c r="B1233" s="48" t="s">
        <v>15</v>
      </c>
      <c r="C1233" s="46"/>
      <c r="D1233" s="46"/>
      <c r="E1233" s="47"/>
    </row>
    <row r="1234" spans="2:5" ht="33" customHeight="1" x14ac:dyDescent="0.2">
      <c r="B1234" s="48"/>
      <c r="C1234" s="88" t="s">
        <v>421</v>
      </c>
      <c r="D1234" s="88"/>
      <c r="E1234" s="88"/>
    </row>
    <row r="1235" spans="2:5" x14ac:dyDescent="0.2">
      <c r="B1235" s="48" t="s">
        <v>16</v>
      </c>
      <c r="C1235" s="46"/>
      <c r="D1235" s="46"/>
      <c r="E1235" s="47"/>
    </row>
    <row r="1236" spans="2:5" x14ac:dyDescent="0.2">
      <c r="B1236" s="49"/>
      <c r="C1236" s="87" t="s">
        <v>246</v>
      </c>
      <c r="D1236" s="87"/>
      <c r="E1236" s="87"/>
    </row>
    <row r="1237" spans="2:5" x14ac:dyDescent="0.2">
      <c r="B1237" s="49"/>
      <c r="C1237" s="87"/>
      <c r="D1237" s="87"/>
      <c r="E1237" s="87"/>
    </row>
    <row r="1238" spans="2:5" x14ac:dyDescent="0.2">
      <c r="B1238" s="48" t="s">
        <v>17</v>
      </c>
      <c r="C1238" s="46"/>
      <c r="D1238" s="46"/>
      <c r="E1238" s="47"/>
    </row>
    <row r="1239" spans="2:5" x14ac:dyDescent="0.2">
      <c r="B1239" s="49"/>
      <c r="C1239" s="88"/>
      <c r="D1239" s="88"/>
      <c r="E1239" s="88"/>
    </row>
    <row r="1240" spans="2:5" x14ac:dyDescent="0.2">
      <c r="B1240" s="48" t="s">
        <v>18</v>
      </c>
      <c r="C1240" s="50"/>
      <c r="D1240" s="50"/>
      <c r="E1240" s="51"/>
    </row>
    <row r="1241" spans="2:5" x14ac:dyDescent="0.2">
      <c r="B1241" s="49"/>
      <c r="C1241" s="88" t="s">
        <v>247</v>
      </c>
      <c r="D1241" s="88"/>
      <c r="E1241" s="88"/>
    </row>
    <row r="1242" spans="2:5" x14ac:dyDescent="0.2">
      <c r="B1242" s="48" t="s">
        <v>19</v>
      </c>
      <c r="C1242" s="46"/>
      <c r="D1242" s="46"/>
      <c r="E1242" s="47"/>
    </row>
    <row r="1243" spans="2:5" x14ac:dyDescent="0.2">
      <c r="B1243" s="48"/>
      <c r="C1243" s="87"/>
      <c r="D1243" s="87"/>
      <c r="E1243" s="87"/>
    </row>
    <row r="1244" spans="2:5" ht="13.5" thickBot="1" x14ac:dyDescent="0.25">
      <c r="B1244" s="52"/>
      <c r="C1244" s="53"/>
      <c r="D1244" s="53"/>
      <c r="E1244" s="54"/>
    </row>
    <row r="1245" spans="2:5" ht="13.5" thickBot="1" x14ac:dyDescent="0.25"/>
    <row r="1246" spans="2:5" x14ac:dyDescent="0.2">
      <c r="B1246" s="42" t="s">
        <v>357</v>
      </c>
      <c r="C1246" s="43"/>
      <c r="D1246" s="43"/>
      <c r="E1246" s="44"/>
    </row>
    <row r="1247" spans="2:5" x14ac:dyDescent="0.2">
      <c r="B1247" s="45"/>
      <c r="C1247" s="46"/>
      <c r="D1247" s="46"/>
      <c r="E1247" s="47"/>
    </row>
    <row r="1248" spans="2:5" x14ac:dyDescent="0.2">
      <c r="B1248" s="48" t="s">
        <v>15</v>
      </c>
      <c r="C1248" s="46"/>
      <c r="D1248" s="46"/>
      <c r="E1248" s="47"/>
    </row>
    <row r="1249" spans="2:5" ht="32.25" customHeight="1" x14ac:dyDescent="0.2">
      <c r="B1249" s="48"/>
      <c r="C1249" s="88" t="s">
        <v>450</v>
      </c>
      <c r="D1249" s="88"/>
      <c r="E1249" s="88"/>
    </row>
    <row r="1250" spans="2:5" x14ac:dyDescent="0.2">
      <c r="B1250" s="48" t="s">
        <v>16</v>
      </c>
      <c r="C1250" s="46"/>
      <c r="D1250" s="46"/>
      <c r="E1250" s="47"/>
    </row>
    <row r="1251" spans="2:5" x14ac:dyDescent="0.2">
      <c r="B1251" s="49"/>
      <c r="C1251" s="87" t="s">
        <v>246</v>
      </c>
      <c r="D1251" s="87"/>
      <c r="E1251" s="87"/>
    </row>
    <row r="1252" spans="2:5" x14ac:dyDescent="0.2">
      <c r="B1252" s="49"/>
      <c r="C1252" s="87"/>
      <c r="D1252" s="87"/>
      <c r="E1252" s="87"/>
    </row>
    <row r="1253" spans="2:5" x14ac:dyDescent="0.2">
      <c r="B1253" s="48" t="s">
        <v>17</v>
      </c>
      <c r="C1253" s="46"/>
      <c r="D1253" s="46"/>
      <c r="E1253" s="47"/>
    </row>
    <row r="1254" spans="2:5" x14ac:dyDescent="0.2">
      <c r="B1254" s="49"/>
      <c r="C1254" s="88"/>
      <c r="D1254" s="88"/>
      <c r="E1254" s="88"/>
    </row>
    <row r="1255" spans="2:5" x14ac:dyDescent="0.2">
      <c r="B1255" s="48" t="s">
        <v>18</v>
      </c>
      <c r="C1255" s="50"/>
      <c r="D1255" s="50"/>
      <c r="E1255" s="51"/>
    </row>
    <row r="1256" spans="2:5" x14ac:dyDescent="0.2">
      <c r="B1256" s="49"/>
      <c r="C1256" s="88" t="s">
        <v>247</v>
      </c>
      <c r="D1256" s="88"/>
      <c r="E1256" s="88"/>
    </row>
    <row r="1257" spans="2:5" x14ac:dyDescent="0.2">
      <c r="B1257" s="48" t="s">
        <v>19</v>
      </c>
      <c r="C1257" s="46"/>
      <c r="D1257" s="46"/>
      <c r="E1257" s="47"/>
    </row>
    <row r="1258" spans="2:5" x14ac:dyDescent="0.2">
      <c r="B1258" s="48"/>
      <c r="C1258" s="87"/>
      <c r="D1258" s="87"/>
      <c r="E1258" s="87"/>
    </row>
    <row r="1259" spans="2:5" ht="13.5" thickBot="1" x14ac:dyDescent="0.25">
      <c r="B1259" s="52"/>
      <c r="C1259" s="53"/>
      <c r="D1259" s="53"/>
      <c r="E1259" s="54"/>
    </row>
    <row r="1260" spans="2:5" ht="13.5" thickBot="1" x14ac:dyDescent="0.25"/>
    <row r="1261" spans="2:5" x14ac:dyDescent="0.2">
      <c r="B1261" s="42" t="s">
        <v>358</v>
      </c>
      <c r="C1261" s="43"/>
      <c r="D1261" s="43"/>
      <c r="E1261" s="44"/>
    </row>
    <row r="1262" spans="2:5" x14ac:dyDescent="0.2">
      <c r="B1262" s="45"/>
      <c r="C1262" s="46"/>
      <c r="D1262" s="46"/>
      <c r="E1262" s="47"/>
    </row>
    <row r="1263" spans="2:5" x14ac:dyDescent="0.2">
      <c r="B1263" s="48" t="s">
        <v>15</v>
      </c>
      <c r="C1263" s="46"/>
      <c r="D1263" s="46"/>
      <c r="E1263" s="47"/>
    </row>
    <row r="1264" spans="2:5" ht="32.25" customHeight="1" x14ac:dyDescent="0.2">
      <c r="B1264" s="48"/>
      <c r="C1264" s="88" t="s">
        <v>361</v>
      </c>
      <c r="D1264" s="88"/>
      <c r="E1264" s="88"/>
    </row>
    <row r="1265" spans="2:5" x14ac:dyDescent="0.2">
      <c r="B1265" s="48" t="s">
        <v>16</v>
      </c>
      <c r="C1265" s="46"/>
      <c r="D1265" s="46"/>
      <c r="E1265" s="47"/>
    </row>
    <row r="1266" spans="2:5" x14ac:dyDescent="0.2">
      <c r="B1266" s="49"/>
      <c r="C1266" s="87" t="s">
        <v>246</v>
      </c>
      <c r="D1266" s="87"/>
      <c r="E1266" s="87"/>
    </row>
    <row r="1267" spans="2:5" x14ac:dyDescent="0.2">
      <c r="B1267" s="49"/>
      <c r="C1267" s="87"/>
      <c r="D1267" s="87"/>
      <c r="E1267" s="87"/>
    </row>
    <row r="1268" spans="2:5" x14ac:dyDescent="0.2">
      <c r="B1268" s="48" t="s">
        <v>17</v>
      </c>
      <c r="C1268" s="46"/>
      <c r="D1268" s="46"/>
      <c r="E1268" s="47"/>
    </row>
    <row r="1269" spans="2:5" x14ac:dyDescent="0.2">
      <c r="B1269" s="49"/>
      <c r="C1269" s="88"/>
      <c r="D1269" s="88"/>
      <c r="E1269" s="88"/>
    </row>
    <row r="1270" spans="2:5" x14ac:dyDescent="0.2">
      <c r="B1270" s="48" t="s">
        <v>18</v>
      </c>
      <c r="C1270" s="50"/>
      <c r="D1270" s="50"/>
      <c r="E1270" s="51"/>
    </row>
    <row r="1271" spans="2:5" x14ac:dyDescent="0.2">
      <c r="B1271" s="49"/>
      <c r="C1271" s="88" t="s">
        <v>247</v>
      </c>
      <c r="D1271" s="88"/>
      <c r="E1271" s="88"/>
    </row>
    <row r="1272" spans="2:5" x14ac:dyDescent="0.2">
      <c r="B1272" s="48" t="s">
        <v>19</v>
      </c>
      <c r="C1272" s="46"/>
      <c r="D1272" s="46"/>
      <c r="E1272" s="47"/>
    </row>
    <row r="1273" spans="2:5" x14ac:dyDescent="0.2">
      <c r="B1273" s="48"/>
      <c r="C1273" s="87"/>
      <c r="D1273" s="87"/>
      <c r="E1273" s="87"/>
    </row>
    <row r="1274" spans="2:5" ht="13.5" thickBot="1" x14ac:dyDescent="0.25">
      <c r="B1274" s="52"/>
      <c r="C1274" s="53"/>
      <c r="D1274" s="53"/>
      <c r="E1274" s="54"/>
    </row>
    <row r="1275" spans="2:5" ht="13.5" thickBot="1" x14ac:dyDescent="0.25"/>
    <row r="1276" spans="2:5" x14ac:dyDescent="0.2">
      <c r="B1276" s="42" t="s">
        <v>359</v>
      </c>
      <c r="C1276" s="43"/>
      <c r="D1276" s="43"/>
      <c r="E1276" s="44"/>
    </row>
    <row r="1277" spans="2:5" x14ac:dyDescent="0.2">
      <c r="B1277" s="45"/>
      <c r="C1277" s="46"/>
      <c r="D1277" s="46"/>
      <c r="E1277" s="47"/>
    </row>
    <row r="1278" spans="2:5" x14ac:dyDescent="0.2">
      <c r="B1278" s="48" t="s">
        <v>15</v>
      </c>
      <c r="C1278" s="46"/>
      <c r="D1278" s="46"/>
      <c r="E1278" s="47"/>
    </row>
    <row r="1279" spans="2:5" ht="31.5" customHeight="1" x14ac:dyDescent="0.2">
      <c r="B1279" s="48"/>
      <c r="C1279" s="88" t="s">
        <v>363</v>
      </c>
      <c r="D1279" s="88"/>
      <c r="E1279" s="88"/>
    </row>
    <row r="1280" spans="2:5" x14ac:dyDescent="0.2">
      <c r="B1280" s="48" t="s">
        <v>16</v>
      </c>
      <c r="C1280" s="46"/>
      <c r="D1280" s="46"/>
      <c r="E1280" s="47"/>
    </row>
    <row r="1281" spans="2:5" x14ac:dyDescent="0.2">
      <c r="B1281" s="49"/>
      <c r="C1281" s="87" t="s">
        <v>246</v>
      </c>
      <c r="D1281" s="87"/>
      <c r="E1281" s="87"/>
    </row>
    <row r="1282" spans="2:5" x14ac:dyDescent="0.2">
      <c r="B1282" s="49"/>
      <c r="C1282" s="87"/>
      <c r="D1282" s="87"/>
      <c r="E1282" s="87"/>
    </row>
    <row r="1283" spans="2:5" x14ac:dyDescent="0.2">
      <c r="B1283" s="48" t="s">
        <v>17</v>
      </c>
      <c r="C1283" s="46"/>
      <c r="D1283" s="46"/>
      <c r="E1283" s="47"/>
    </row>
    <row r="1284" spans="2:5" x14ac:dyDescent="0.2">
      <c r="B1284" s="49"/>
      <c r="C1284" s="88"/>
      <c r="D1284" s="88"/>
      <c r="E1284" s="88"/>
    </row>
    <row r="1285" spans="2:5" x14ac:dyDescent="0.2">
      <c r="B1285" s="48" t="s">
        <v>18</v>
      </c>
      <c r="C1285" s="50"/>
      <c r="D1285" s="50"/>
      <c r="E1285" s="51"/>
    </row>
    <row r="1286" spans="2:5" x14ac:dyDescent="0.2">
      <c r="B1286" s="49"/>
      <c r="C1286" s="88" t="s">
        <v>247</v>
      </c>
      <c r="D1286" s="88"/>
      <c r="E1286" s="88"/>
    </row>
    <row r="1287" spans="2:5" x14ac:dyDescent="0.2">
      <c r="B1287" s="48" t="s">
        <v>19</v>
      </c>
      <c r="C1287" s="46"/>
      <c r="D1287" s="46"/>
      <c r="E1287" s="47"/>
    </row>
    <row r="1288" spans="2:5" x14ac:dyDescent="0.2">
      <c r="B1288" s="48"/>
      <c r="C1288" s="87"/>
      <c r="D1288" s="87"/>
      <c r="E1288" s="87"/>
    </row>
    <row r="1289" spans="2:5" ht="13.5" thickBot="1" x14ac:dyDescent="0.25">
      <c r="B1289" s="52"/>
      <c r="C1289" s="53"/>
      <c r="D1289" s="53"/>
      <c r="E1289" s="54"/>
    </row>
    <row r="1290" spans="2:5" ht="13.5" thickBot="1" x14ac:dyDescent="0.25"/>
    <row r="1291" spans="2:5" x14ac:dyDescent="0.2">
      <c r="B1291" s="42" t="s">
        <v>360</v>
      </c>
      <c r="C1291" s="43"/>
      <c r="D1291" s="43"/>
      <c r="E1291" s="44"/>
    </row>
    <row r="1292" spans="2:5" x14ac:dyDescent="0.2">
      <c r="B1292" s="45"/>
      <c r="C1292" s="46"/>
      <c r="D1292" s="46"/>
      <c r="E1292" s="47"/>
    </row>
    <row r="1293" spans="2:5" x14ac:dyDescent="0.2">
      <c r="B1293" s="48" t="s">
        <v>15</v>
      </c>
      <c r="C1293" s="46"/>
      <c r="D1293" s="46"/>
      <c r="E1293" s="47"/>
    </row>
    <row r="1294" spans="2:5" ht="31.5" customHeight="1" x14ac:dyDescent="0.2">
      <c r="B1294" s="48"/>
      <c r="C1294" s="88" t="s">
        <v>365</v>
      </c>
      <c r="D1294" s="88"/>
      <c r="E1294" s="88"/>
    </row>
    <row r="1295" spans="2:5" x14ac:dyDescent="0.2">
      <c r="B1295" s="48" t="s">
        <v>16</v>
      </c>
      <c r="C1295" s="46"/>
      <c r="D1295" s="46"/>
      <c r="E1295" s="47"/>
    </row>
    <row r="1296" spans="2:5" x14ac:dyDescent="0.2">
      <c r="B1296" s="49"/>
      <c r="C1296" s="87" t="s">
        <v>246</v>
      </c>
      <c r="D1296" s="87"/>
      <c r="E1296" s="87"/>
    </row>
    <row r="1297" spans="2:5" x14ac:dyDescent="0.2">
      <c r="B1297" s="49"/>
      <c r="C1297" s="87"/>
      <c r="D1297" s="87"/>
      <c r="E1297" s="87"/>
    </row>
    <row r="1298" spans="2:5" x14ac:dyDescent="0.2">
      <c r="B1298" s="48" t="s">
        <v>17</v>
      </c>
      <c r="C1298" s="46"/>
      <c r="D1298" s="46"/>
      <c r="E1298" s="47"/>
    </row>
    <row r="1299" spans="2:5" x14ac:dyDescent="0.2">
      <c r="B1299" s="49"/>
      <c r="C1299" s="88"/>
      <c r="D1299" s="88"/>
      <c r="E1299" s="88"/>
    </row>
    <row r="1300" spans="2:5" x14ac:dyDescent="0.2">
      <c r="B1300" s="48" t="s">
        <v>18</v>
      </c>
      <c r="C1300" s="50"/>
      <c r="D1300" s="50"/>
      <c r="E1300" s="51"/>
    </row>
    <row r="1301" spans="2:5" x14ac:dyDescent="0.2">
      <c r="B1301" s="49"/>
      <c r="C1301" s="88" t="s">
        <v>247</v>
      </c>
      <c r="D1301" s="88"/>
      <c r="E1301" s="88"/>
    </row>
    <row r="1302" spans="2:5" x14ac:dyDescent="0.2">
      <c r="B1302" s="48" t="s">
        <v>19</v>
      </c>
      <c r="C1302" s="46"/>
      <c r="D1302" s="46"/>
      <c r="E1302" s="47"/>
    </row>
    <row r="1303" spans="2:5" x14ac:dyDescent="0.2">
      <c r="B1303" s="48"/>
      <c r="C1303" s="87"/>
      <c r="D1303" s="87"/>
      <c r="E1303" s="87"/>
    </row>
    <row r="1304" spans="2:5" ht="13.5" thickBot="1" x14ac:dyDescent="0.25">
      <c r="B1304" s="52"/>
      <c r="C1304" s="53"/>
      <c r="D1304" s="53"/>
      <c r="E1304" s="54"/>
    </row>
    <row r="1305" spans="2:5" ht="13.5" thickBot="1" x14ac:dyDescent="0.25"/>
    <row r="1306" spans="2:5" x14ac:dyDescent="0.2">
      <c r="B1306" s="42" t="s">
        <v>362</v>
      </c>
      <c r="C1306" s="43"/>
      <c r="D1306" s="43"/>
      <c r="E1306" s="44"/>
    </row>
    <row r="1307" spans="2:5" x14ac:dyDescent="0.2">
      <c r="B1307" s="45"/>
      <c r="C1307" s="46"/>
      <c r="D1307" s="46"/>
      <c r="E1307" s="47"/>
    </row>
    <row r="1308" spans="2:5" x14ac:dyDescent="0.2">
      <c r="B1308" s="48" t="s">
        <v>15</v>
      </c>
      <c r="C1308" s="46"/>
      <c r="D1308" s="46"/>
      <c r="E1308" s="47"/>
    </row>
    <row r="1309" spans="2:5" ht="32.25" customHeight="1" x14ac:dyDescent="0.2">
      <c r="B1309" s="48"/>
      <c r="C1309" s="88" t="s">
        <v>367</v>
      </c>
      <c r="D1309" s="88"/>
      <c r="E1309" s="88"/>
    </row>
    <row r="1310" spans="2:5" x14ac:dyDescent="0.2">
      <c r="B1310" s="48" t="s">
        <v>16</v>
      </c>
      <c r="C1310" s="46"/>
      <c r="D1310" s="46"/>
      <c r="E1310" s="47"/>
    </row>
    <row r="1311" spans="2:5" x14ac:dyDescent="0.2">
      <c r="B1311" s="49"/>
      <c r="C1311" s="87" t="s">
        <v>246</v>
      </c>
      <c r="D1311" s="87"/>
      <c r="E1311" s="87"/>
    </row>
    <row r="1312" spans="2:5" x14ac:dyDescent="0.2">
      <c r="B1312" s="49"/>
      <c r="C1312" s="87"/>
      <c r="D1312" s="87"/>
      <c r="E1312" s="87"/>
    </row>
    <row r="1313" spans="2:5" x14ac:dyDescent="0.2">
      <c r="B1313" s="48" t="s">
        <v>17</v>
      </c>
      <c r="C1313" s="46"/>
      <c r="D1313" s="46"/>
      <c r="E1313" s="47"/>
    </row>
    <row r="1314" spans="2:5" x14ac:dyDescent="0.2">
      <c r="B1314" s="49"/>
      <c r="C1314" s="88"/>
      <c r="D1314" s="88"/>
      <c r="E1314" s="88"/>
    </row>
    <row r="1315" spans="2:5" x14ac:dyDescent="0.2">
      <c r="B1315" s="48" t="s">
        <v>18</v>
      </c>
      <c r="C1315" s="50"/>
      <c r="D1315" s="50"/>
      <c r="E1315" s="51"/>
    </row>
    <row r="1316" spans="2:5" x14ac:dyDescent="0.2">
      <c r="B1316" s="49"/>
      <c r="C1316" s="88" t="s">
        <v>247</v>
      </c>
      <c r="D1316" s="88"/>
      <c r="E1316" s="88"/>
    </row>
    <row r="1317" spans="2:5" x14ac:dyDescent="0.2">
      <c r="B1317" s="48" t="s">
        <v>19</v>
      </c>
      <c r="C1317" s="46"/>
      <c r="D1317" s="46"/>
      <c r="E1317" s="47"/>
    </row>
    <row r="1318" spans="2:5" x14ac:dyDescent="0.2">
      <c r="B1318" s="48"/>
      <c r="C1318" s="87"/>
      <c r="D1318" s="87"/>
      <c r="E1318" s="87"/>
    </row>
    <row r="1319" spans="2:5" ht="13.5" thickBot="1" x14ac:dyDescent="0.25">
      <c r="B1319" s="52"/>
      <c r="C1319" s="53"/>
      <c r="D1319" s="53"/>
      <c r="E1319" s="54"/>
    </row>
    <row r="1320" spans="2:5" ht="13.5" thickBot="1" x14ac:dyDescent="0.25"/>
    <row r="1321" spans="2:5" x14ac:dyDescent="0.2">
      <c r="B1321" s="42" t="s">
        <v>364</v>
      </c>
      <c r="C1321" s="43"/>
      <c r="D1321" s="43"/>
      <c r="E1321" s="44"/>
    </row>
    <row r="1322" spans="2:5" x14ac:dyDescent="0.2">
      <c r="B1322" s="45"/>
      <c r="C1322" s="46"/>
      <c r="D1322" s="46"/>
      <c r="E1322" s="47"/>
    </row>
    <row r="1323" spans="2:5" x14ac:dyDescent="0.2">
      <c r="B1323" s="48" t="s">
        <v>15</v>
      </c>
      <c r="C1323" s="46"/>
      <c r="D1323" s="46"/>
      <c r="E1323" s="47"/>
    </row>
    <row r="1324" spans="2:5" ht="32.25" customHeight="1" x14ac:dyDescent="0.2">
      <c r="B1324" s="48"/>
      <c r="C1324" s="88" t="s">
        <v>75</v>
      </c>
      <c r="D1324" s="88"/>
      <c r="E1324" s="88"/>
    </row>
    <row r="1325" spans="2:5" x14ac:dyDescent="0.2">
      <c r="B1325" s="48" t="s">
        <v>16</v>
      </c>
      <c r="C1325" s="46"/>
      <c r="D1325" s="46"/>
      <c r="E1325" s="47"/>
    </row>
    <row r="1326" spans="2:5" x14ac:dyDescent="0.2">
      <c r="B1326" s="49"/>
      <c r="C1326" s="87" t="s">
        <v>246</v>
      </c>
      <c r="D1326" s="87"/>
      <c r="E1326" s="87"/>
    </row>
    <row r="1327" spans="2:5" x14ac:dyDescent="0.2">
      <c r="B1327" s="49"/>
      <c r="C1327" s="87"/>
      <c r="D1327" s="87"/>
      <c r="E1327" s="87"/>
    </row>
    <row r="1328" spans="2:5" x14ac:dyDescent="0.2">
      <c r="B1328" s="48" t="s">
        <v>17</v>
      </c>
      <c r="C1328" s="46"/>
      <c r="D1328" s="46"/>
      <c r="E1328" s="47"/>
    </row>
    <row r="1329" spans="2:5" x14ac:dyDescent="0.2">
      <c r="B1329" s="49"/>
      <c r="C1329" s="88"/>
      <c r="D1329" s="88"/>
      <c r="E1329" s="88"/>
    </row>
    <row r="1330" spans="2:5" x14ac:dyDescent="0.2">
      <c r="B1330" s="48" t="s">
        <v>18</v>
      </c>
      <c r="C1330" s="50"/>
      <c r="D1330" s="50"/>
      <c r="E1330" s="51"/>
    </row>
    <row r="1331" spans="2:5" x14ac:dyDescent="0.2">
      <c r="B1331" s="49"/>
      <c r="C1331" s="88" t="s">
        <v>247</v>
      </c>
      <c r="D1331" s="88"/>
      <c r="E1331" s="88"/>
    </row>
    <row r="1332" spans="2:5" x14ac:dyDescent="0.2">
      <c r="B1332" s="48" t="s">
        <v>19</v>
      </c>
      <c r="C1332" s="46"/>
      <c r="D1332" s="46"/>
      <c r="E1332" s="47"/>
    </row>
    <row r="1333" spans="2:5" x14ac:dyDescent="0.2">
      <c r="B1333" s="48"/>
      <c r="C1333" s="87"/>
      <c r="D1333" s="87"/>
      <c r="E1333" s="87"/>
    </row>
    <row r="1334" spans="2:5" ht="13.5" thickBot="1" x14ac:dyDescent="0.25">
      <c r="B1334" s="52"/>
      <c r="C1334" s="53"/>
      <c r="D1334" s="53"/>
      <c r="E1334" s="54"/>
    </row>
    <row r="1335" spans="2:5" ht="13.5" thickBot="1" x14ac:dyDescent="0.25"/>
    <row r="1336" spans="2:5" x14ac:dyDescent="0.2">
      <c r="B1336" s="42" t="s">
        <v>366</v>
      </c>
      <c r="C1336" s="43"/>
      <c r="D1336" s="43"/>
      <c r="E1336" s="44"/>
    </row>
    <row r="1337" spans="2:5" x14ac:dyDescent="0.2">
      <c r="B1337" s="45"/>
      <c r="C1337" s="46"/>
      <c r="D1337" s="46"/>
      <c r="E1337" s="47"/>
    </row>
    <row r="1338" spans="2:5" x14ac:dyDescent="0.2">
      <c r="B1338" s="48" t="s">
        <v>15</v>
      </c>
      <c r="C1338" s="46"/>
      <c r="D1338" s="46"/>
      <c r="E1338" s="47"/>
    </row>
    <row r="1339" spans="2:5" ht="36.75" customHeight="1" x14ac:dyDescent="0.2">
      <c r="B1339" s="48"/>
      <c r="C1339" s="88" t="s">
        <v>76</v>
      </c>
      <c r="D1339" s="88"/>
      <c r="E1339" s="88"/>
    </row>
    <row r="1340" spans="2:5" x14ac:dyDescent="0.2">
      <c r="B1340" s="48" t="s">
        <v>16</v>
      </c>
      <c r="C1340" s="46"/>
      <c r="D1340" s="46"/>
      <c r="E1340" s="47"/>
    </row>
    <row r="1341" spans="2:5" x14ac:dyDescent="0.2">
      <c r="B1341" s="49"/>
      <c r="C1341" s="87" t="s">
        <v>246</v>
      </c>
      <c r="D1341" s="87"/>
      <c r="E1341" s="87"/>
    </row>
    <row r="1342" spans="2:5" x14ac:dyDescent="0.2">
      <c r="B1342" s="49"/>
      <c r="C1342" s="87"/>
      <c r="D1342" s="87"/>
      <c r="E1342" s="87"/>
    </row>
    <row r="1343" spans="2:5" x14ac:dyDescent="0.2">
      <c r="B1343" s="48" t="s">
        <v>17</v>
      </c>
      <c r="C1343" s="46"/>
      <c r="D1343" s="46"/>
      <c r="E1343" s="47"/>
    </row>
    <row r="1344" spans="2:5" x14ac:dyDescent="0.2">
      <c r="B1344" s="49"/>
      <c r="C1344" s="88"/>
      <c r="D1344" s="88"/>
      <c r="E1344" s="88"/>
    </row>
    <row r="1345" spans="2:5" x14ac:dyDescent="0.2">
      <c r="B1345" s="48" t="s">
        <v>18</v>
      </c>
      <c r="C1345" s="50"/>
      <c r="D1345" s="50"/>
      <c r="E1345" s="51"/>
    </row>
    <row r="1346" spans="2:5" x14ac:dyDescent="0.2">
      <c r="B1346" s="49"/>
      <c r="C1346" s="88" t="s">
        <v>247</v>
      </c>
      <c r="D1346" s="88"/>
      <c r="E1346" s="88"/>
    </row>
    <row r="1347" spans="2:5" x14ac:dyDescent="0.2">
      <c r="B1347" s="48" t="s">
        <v>19</v>
      </c>
      <c r="C1347" s="46"/>
      <c r="D1347" s="46"/>
      <c r="E1347" s="47"/>
    </row>
    <row r="1348" spans="2:5" x14ac:dyDescent="0.2">
      <c r="B1348" s="48"/>
      <c r="C1348" s="87"/>
      <c r="D1348" s="87"/>
      <c r="E1348" s="87"/>
    </row>
    <row r="1349" spans="2:5" ht="13.5" thickBot="1" x14ac:dyDescent="0.25">
      <c r="B1349" s="52"/>
      <c r="C1349" s="53"/>
      <c r="D1349" s="53"/>
      <c r="E1349" s="54"/>
    </row>
    <row r="1350" spans="2:5" ht="13.5" thickBot="1" x14ac:dyDescent="0.25"/>
    <row r="1351" spans="2:5" x14ac:dyDescent="0.2">
      <c r="B1351" s="42" t="s">
        <v>385</v>
      </c>
      <c r="C1351" s="43"/>
      <c r="D1351" s="43"/>
      <c r="E1351" s="44"/>
    </row>
    <row r="1352" spans="2:5" x14ac:dyDescent="0.2">
      <c r="B1352" s="45"/>
      <c r="C1352" s="46"/>
      <c r="D1352" s="46"/>
      <c r="E1352" s="47"/>
    </row>
    <row r="1353" spans="2:5" x14ac:dyDescent="0.2">
      <c r="B1353" s="48" t="s">
        <v>15</v>
      </c>
      <c r="C1353" s="46"/>
      <c r="D1353" s="46"/>
      <c r="E1353" s="47"/>
    </row>
    <row r="1354" spans="2:5" ht="35.25" customHeight="1" x14ac:dyDescent="0.2">
      <c r="B1354" s="48"/>
      <c r="C1354" s="88" t="s">
        <v>422</v>
      </c>
      <c r="D1354" s="88"/>
      <c r="E1354" s="88"/>
    </row>
    <row r="1355" spans="2:5" x14ac:dyDescent="0.2">
      <c r="B1355" s="48" t="s">
        <v>16</v>
      </c>
      <c r="C1355" s="46"/>
      <c r="D1355" s="46"/>
      <c r="E1355" s="47"/>
    </row>
    <row r="1356" spans="2:5" x14ac:dyDescent="0.2">
      <c r="B1356" s="49"/>
      <c r="C1356" s="87" t="s">
        <v>246</v>
      </c>
      <c r="D1356" s="87"/>
      <c r="E1356" s="87"/>
    </row>
    <row r="1357" spans="2:5" x14ac:dyDescent="0.2">
      <c r="B1357" s="49"/>
      <c r="C1357" s="87"/>
      <c r="D1357" s="87"/>
      <c r="E1357" s="87"/>
    </row>
    <row r="1358" spans="2:5" x14ac:dyDescent="0.2">
      <c r="B1358" s="48" t="s">
        <v>17</v>
      </c>
      <c r="C1358" s="46"/>
      <c r="D1358" s="46"/>
      <c r="E1358" s="47"/>
    </row>
    <row r="1359" spans="2:5" x14ac:dyDescent="0.2">
      <c r="B1359" s="49"/>
      <c r="C1359" s="88"/>
      <c r="D1359" s="88"/>
      <c r="E1359" s="88"/>
    </row>
    <row r="1360" spans="2:5" x14ac:dyDescent="0.2">
      <c r="B1360" s="48" t="s">
        <v>18</v>
      </c>
      <c r="C1360" s="50"/>
      <c r="D1360" s="50"/>
      <c r="E1360" s="51"/>
    </row>
    <row r="1361" spans="2:5" x14ac:dyDescent="0.2">
      <c r="B1361" s="49"/>
      <c r="C1361" s="88" t="s">
        <v>247</v>
      </c>
      <c r="D1361" s="88"/>
      <c r="E1361" s="88"/>
    </row>
    <row r="1362" spans="2:5" x14ac:dyDescent="0.2">
      <c r="B1362" s="48" t="s">
        <v>19</v>
      </c>
      <c r="C1362" s="46"/>
      <c r="D1362" s="46"/>
      <c r="E1362" s="47"/>
    </row>
    <row r="1363" spans="2:5" x14ac:dyDescent="0.2">
      <c r="B1363" s="48"/>
      <c r="C1363" s="87"/>
      <c r="D1363" s="87"/>
      <c r="E1363" s="87"/>
    </row>
    <row r="1364" spans="2:5" ht="13.5" thickBot="1" x14ac:dyDescent="0.25">
      <c r="B1364" s="52"/>
      <c r="C1364" s="53"/>
      <c r="D1364" s="53"/>
      <c r="E1364" s="54"/>
    </row>
    <row r="1365" spans="2:5" ht="13.5" thickBot="1" x14ac:dyDescent="0.25"/>
    <row r="1366" spans="2:5" x14ac:dyDescent="0.2">
      <c r="B1366" s="42" t="s">
        <v>404</v>
      </c>
      <c r="C1366" s="43"/>
      <c r="D1366" s="43"/>
      <c r="E1366" s="44"/>
    </row>
    <row r="1367" spans="2:5" x14ac:dyDescent="0.2">
      <c r="B1367" s="45"/>
      <c r="C1367" s="46"/>
      <c r="D1367" s="46"/>
      <c r="E1367" s="47"/>
    </row>
    <row r="1368" spans="2:5" x14ac:dyDescent="0.2">
      <c r="B1368" s="48" t="s">
        <v>15</v>
      </c>
      <c r="C1368" s="46"/>
      <c r="D1368" s="46"/>
      <c r="E1368" s="47"/>
    </row>
    <row r="1369" spans="2:5" ht="31.5" customHeight="1" x14ac:dyDescent="0.2">
      <c r="B1369" s="48"/>
      <c r="C1369" s="88" t="s">
        <v>77</v>
      </c>
      <c r="D1369" s="88"/>
      <c r="E1369" s="88"/>
    </row>
    <row r="1370" spans="2:5" x14ac:dyDescent="0.2">
      <c r="B1370" s="48" t="s">
        <v>16</v>
      </c>
      <c r="C1370" s="46"/>
      <c r="D1370" s="46"/>
      <c r="E1370" s="47"/>
    </row>
    <row r="1371" spans="2:5" x14ac:dyDescent="0.2">
      <c r="B1371" s="49"/>
      <c r="C1371" s="87" t="s">
        <v>246</v>
      </c>
      <c r="D1371" s="87"/>
      <c r="E1371" s="87"/>
    </row>
    <row r="1372" spans="2:5" x14ac:dyDescent="0.2">
      <c r="B1372" s="49"/>
      <c r="C1372" s="87"/>
      <c r="D1372" s="87"/>
      <c r="E1372" s="87"/>
    </row>
    <row r="1373" spans="2:5" x14ac:dyDescent="0.2">
      <c r="B1373" s="48" t="s">
        <v>17</v>
      </c>
      <c r="C1373" s="46"/>
      <c r="D1373" s="46"/>
      <c r="E1373" s="47"/>
    </row>
    <row r="1374" spans="2:5" x14ac:dyDescent="0.2">
      <c r="B1374" s="49"/>
      <c r="C1374" s="88"/>
      <c r="D1374" s="88"/>
      <c r="E1374" s="88"/>
    </row>
    <row r="1375" spans="2:5" x14ac:dyDescent="0.2">
      <c r="B1375" s="48" t="s">
        <v>18</v>
      </c>
      <c r="C1375" s="50"/>
      <c r="D1375" s="50"/>
      <c r="E1375" s="51"/>
    </row>
    <row r="1376" spans="2:5" x14ac:dyDescent="0.2">
      <c r="B1376" s="49"/>
      <c r="C1376" s="88" t="s">
        <v>247</v>
      </c>
      <c r="D1376" s="88"/>
      <c r="E1376" s="88"/>
    </row>
    <row r="1377" spans="2:5" x14ac:dyDescent="0.2">
      <c r="B1377" s="48" t="s">
        <v>19</v>
      </c>
      <c r="C1377" s="46"/>
      <c r="D1377" s="46"/>
      <c r="E1377" s="47"/>
    </row>
    <row r="1378" spans="2:5" x14ac:dyDescent="0.2">
      <c r="B1378" s="48"/>
      <c r="C1378" s="87"/>
      <c r="D1378" s="87"/>
      <c r="E1378" s="87"/>
    </row>
    <row r="1379" spans="2:5" ht="13.5" thickBot="1" x14ac:dyDescent="0.25">
      <c r="B1379" s="52"/>
      <c r="C1379" s="53"/>
      <c r="D1379" s="53"/>
      <c r="E1379" s="54"/>
    </row>
    <row r="1380" spans="2:5" ht="13.5" thickBot="1" x14ac:dyDescent="0.25"/>
    <row r="1381" spans="2:5" x14ac:dyDescent="0.2">
      <c r="B1381" s="42" t="s">
        <v>386</v>
      </c>
      <c r="C1381" s="43"/>
      <c r="D1381" s="43"/>
      <c r="E1381" s="44"/>
    </row>
    <row r="1382" spans="2:5" x14ac:dyDescent="0.2">
      <c r="B1382" s="45"/>
      <c r="C1382" s="46"/>
      <c r="D1382" s="46"/>
      <c r="E1382" s="47"/>
    </row>
    <row r="1383" spans="2:5" x14ac:dyDescent="0.2">
      <c r="B1383" s="48" t="s">
        <v>15</v>
      </c>
      <c r="C1383" s="46"/>
      <c r="D1383" s="46"/>
      <c r="E1383" s="47"/>
    </row>
    <row r="1384" spans="2:5" ht="31.5" customHeight="1" x14ac:dyDescent="0.2">
      <c r="B1384" s="48"/>
      <c r="C1384" s="88" t="s">
        <v>78</v>
      </c>
      <c r="D1384" s="88"/>
      <c r="E1384" s="88"/>
    </row>
    <row r="1385" spans="2:5" x14ac:dyDescent="0.2">
      <c r="B1385" s="48" t="s">
        <v>16</v>
      </c>
      <c r="C1385" s="46"/>
      <c r="D1385" s="46"/>
      <c r="E1385" s="47"/>
    </row>
    <row r="1386" spans="2:5" x14ac:dyDescent="0.2">
      <c r="B1386" s="49"/>
      <c r="C1386" s="87" t="s">
        <v>246</v>
      </c>
      <c r="D1386" s="87"/>
      <c r="E1386" s="87"/>
    </row>
    <row r="1387" spans="2:5" x14ac:dyDescent="0.2">
      <c r="B1387" s="49"/>
      <c r="C1387" s="87"/>
      <c r="D1387" s="87"/>
      <c r="E1387" s="87"/>
    </row>
    <row r="1388" spans="2:5" x14ac:dyDescent="0.2">
      <c r="B1388" s="48" t="s">
        <v>17</v>
      </c>
      <c r="C1388" s="46"/>
      <c r="D1388" s="46"/>
      <c r="E1388" s="47"/>
    </row>
    <row r="1389" spans="2:5" x14ac:dyDescent="0.2">
      <c r="B1389" s="49"/>
      <c r="C1389" s="88"/>
      <c r="D1389" s="88"/>
      <c r="E1389" s="88"/>
    </row>
    <row r="1390" spans="2:5" x14ac:dyDescent="0.2">
      <c r="B1390" s="48" t="s">
        <v>18</v>
      </c>
      <c r="C1390" s="50"/>
      <c r="D1390" s="50"/>
      <c r="E1390" s="51"/>
    </row>
    <row r="1391" spans="2:5" x14ac:dyDescent="0.2">
      <c r="B1391" s="49"/>
      <c r="C1391" s="88" t="s">
        <v>247</v>
      </c>
      <c r="D1391" s="88"/>
      <c r="E1391" s="88"/>
    </row>
    <row r="1392" spans="2:5" x14ac:dyDescent="0.2">
      <c r="B1392" s="48" t="s">
        <v>19</v>
      </c>
      <c r="C1392" s="46"/>
      <c r="D1392" s="46"/>
      <c r="E1392" s="47"/>
    </row>
    <row r="1393" spans="2:5" x14ac:dyDescent="0.2">
      <c r="B1393" s="48"/>
      <c r="C1393" s="87"/>
      <c r="D1393" s="87"/>
      <c r="E1393" s="87"/>
    </row>
    <row r="1394" spans="2:5" ht="13.5" thickBot="1" x14ac:dyDescent="0.25">
      <c r="B1394" s="52"/>
      <c r="C1394" s="53"/>
      <c r="D1394" s="53"/>
      <c r="E1394" s="54"/>
    </row>
    <row r="1395" spans="2:5" ht="13.5" thickBot="1" x14ac:dyDescent="0.25"/>
    <row r="1396" spans="2:5" x14ac:dyDescent="0.2">
      <c r="B1396" s="42" t="s">
        <v>405</v>
      </c>
      <c r="C1396" s="43"/>
      <c r="D1396" s="43"/>
      <c r="E1396" s="44"/>
    </row>
    <row r="1397" spans="2:5" x14ac:dyDescent="0.2">
      <c r="B1397" s="45"/>
      <c r="C1397" s="46"/>
      <c r="D1397" s="46"/>
      <c r="E1397" s="47"/>
    </row>
    <row r="1398" spans="2:5" x14ac:dyDescent="0.2">
      <c r="B1398" s="48" t="s">
        <v>15</v>
      </c>
      <c r="C1398" s="46"/>
      <c r="D1398" s="46"/>
      <c r="E1398" s="47"/>
    </row>
    <row r="1399" spans="2:5" ht="37.5" customHeight="1" x14ac:dyDescent="0.2">
      <c r="B1399" s="48"/>
      <c r="C1399" s="88" t="s">
        <v>425</v>
      </c>
      <c r="D1399" s="88"/>
      <c r="E1399" s="88"/>
    </row>
    <row r="1400" spans="2:5" x14ac:dyDescent="0.2">
      <c r="B1400" s="48" t="s">
        <v>16</v>
      </c>
      <c r="C1400" s="46"/>
      <c r="D1400" s="46"/>
      <c r="E1400" s="47"/>
    </row>
    <row r="1401" spans="2:5" x14ac:dyDescent="0.2">
      <c r="B1401" s="49"/>
      <c r="C1401" s="87" t="s">
        <v>246</v>
      </c>
      <c r="D1401" s="87"/>
      <c r="E1401" s="87"/>
    </row>
    <row r="1402" spans="2:5" x14ac:dyDescent="0.2">
      <c r="B1402" s="49"/>
      <c r="C1402" s="87"/>
      <c r="D1402" s="87"/>
      <c r="E1402" s="87"/>
    </row>
    <row r="1403" spans="2:5" x14ac:dyDescent="0.2">
      <c r="B1403" s="48" t="s">
        <v>17</v>
      </c>
      <c r="C1403" s="46"/>
      <c r="D1403" s="46"/>
      <c r="E1403" s="47"/>
    </row>
    <row r="1404" spans="2:5" x14ac:dyDescent="0.2">
      <c r="B1404" s="49"/>
      <c r="C1404" s="88"/>
      <c r="D1404" s="88"/>
      <c r="E1404" s="88"/>
    </row>
    <row r="1405" spans="2:5" x14ac:dyDescent="0.2">
      <c r="B1405" s="48" t="s">
        <v>18</v>
      </c>
      <c r="C1405" s="50"/>
      <c r="D1405" s="50"/>
      <c r="E1405" s="51"/>
    </row>
    <row r="1406" spans="2:5" x14ac:dyDescent="0.2">
      <c r="B1406" s="49"/>
      <c r="C1406" s="88" t="s">
        <v>247</v>
      </c>
      <c r="D1406" s="88"/>
      <c r="E1406" s="88"/>
    </row>
    <row r="1407" spans="2:5" x14ac:dyDescent="0.2">
      <c r="B1407" s="48" t="s">
        <v>19</v>
      </c>
      <c r="C1407" s="46"/>
      <c r="D1407" s="46"/>
      <c r="E1407" s="47"/>
    </row>
    <row r="1408" spans="2:5" x14ac:dyDescent="0.2">
      <c r="B1408" s="48"/>
      <c r="C1408" s="87"/>
      <c r="D1408" s="87"/>
      <c r="E1408" s="87"/>
    </row>
    <row r="1409" spans="2:5" ht="13.5" thickBot="1" x14ac:dyDescent="0.25">
      <c r="B1409" s="52"/>
      <c r="C1409" s="53"/>
      <c r="D1409" s="53"/>
      <c r="E1409" s="54"/>
    </row>
    <row r="1410" spans="2:5" ht="13.5" thickBot="1" x14ac:dyDescent="0.25"/>
    <row r="1411" spans="2:5" x14ac:dyDescent="0.2">
      <c r="B1411" s="42" t="s">
        <v>387</v>
      </c>
      <c r="C1411" s="43"/>
      <c r="D1411" s="43"/>
      <c r="E1411" s="44"/>
    </row>
    <row r="1412" spans="2:5" x14ac:dyDescent="0.2">
      <c r="B1412" s="45"/>
      <c r="C1412" s="46"/>
      <c r="D1412" s="46"/>
      <c r="E1412" s="47"/>
    </row>
    <row r="1413" spans="2:5" x14ac:dyDescent="0.2">
      <c r="B1413" s="48" t="s">
        <v>15</v>
      </c>
      <c r="C1413" s="46"/>
      <c r="D1413" s="46"/>
      <c r="E1413" s="47"/>
    </row>
    <row r="1414" spans="2:5" ht="35.25" customHeight="1" x14ac:dyDescent="0.2">
      <c r="B1414" s="48"/>
      <c r="C1414" s="88" t="s">
        <v>80</v>
      </c>
      <c r="D1414" s="88"/>
      <c r="E1414" s="88"/>
    </row>
    <row r="1415" spans="2:5" x14ac:dyDescent="0.2">
      <c r="B1415" s="48" t="s">
        <v>16</v>
      </c>
      <c r="C1415" s="46"/>
      <c r="D1415" s="46"/>
      <c r="E1415" s="47"/>
    </row>
    <row r="1416" spans="2:5" x14ac:dyDescent="0.2">
      <c r="B1416" s="49"/>
      <c r="C1416" s="87" t="s">
        <v>246</v>
      </c>
      <c r="D1416" s="87"/>
      <c r="E1416" s="87"/>
    </row>
    <row r="1417" spans="2:5" x14ac:dyDescent="0.2">
      <c r="B1417" s="49"/>
      <c r="C1417" s="87"/>
      <c r="D1417" s="87"/>
      <c r="E1417" s="87"/>
    </row>
    <row r="1418" spans="2:5" x14ac:dyDescent="0.2">
      <c r="B1418" s="48" t="s">
        <v>17</v>
      </c>
      <c r="C1418" s="46"/>
      <c r="D1418" s="46"/>
      <c r="E1418" s="47"/>
    </row>
    <row r="1419" spans="2:5" x14ac:dyDescent="0.2">
      <c r="B1419" s="49"/>
      <c r="C1419" s="88"/>
      <c r="D1419" s="88"/>
      <c r="E1419" s="88"/>
    </row>
    <row r="1420" spans="2:5" x14ac:dyDescent="0.2">
      <c r="B1420" s="48" t="s">
        <v>18</v>
      </c>
      <c r="C1420" s="50"/>
      <c r="D1420" s="50"/>
      <c r="E1420" s="51"/>
    </row>
    <row r="1421" spans="2:5" x14ac:dyDescent="0.2">
      <c r="B1421" s="49"/>
      <c r="C1421" s="88" t="s">
        <v>247</v>
      </c>
      <c r="D1421" s="88"/>
      <c r="E1421" s="88"/>
    </row>
    <row r="1422" spans="2:5" x14ac:dyDescent="0.2">
      <c r="B1422" s="48" t="s">
        <v>19</v>
      </c>
      <c r="C1422" s="46"/>
      <c r="D1422" s="46"/>
      <c r="E1422" s="47"/>
    </row>
    <row r="1423" spans="2:5" x14ac:dyDescent="0.2">
      <c r="B1423" s="48"/>
      <c r="C1423" s="87"/>
      <c r="D1423" s="87"/>
      <c r="E1423" s="87"/>
    </row>
    <row r="1424" spans="2:5" ht="13.5" thickBot="1" x14ac:dyDescent="0.25">
      <c r="B1424" s="52"/>
      <c r="C1424" s="53"/>
      <c r="D1424" s="53"/>
      <c r="E1424" s="54"/>
    </row>
    <row r="1425" spans="2:5" ht="13.5" thickBot="1" x14ac:dyDescent="0.25"/>
    <row r="1426" spans="2:5" x14ac:dyDescent="0.2">
      <c r="B1426" s="42" t="s">
        <v>388</v>
      </c>
      <c r="C1426" s="43"/>
      <c r="D1426" s="43"/>
      <c r="E1426" s="44"/>
    </row>
    <row r="1427" spans="2:5" x14ac:dyDescent="0.2">
      <c r="B1427" s="45"/>
      <c r="C1427" s="46"/>
      <c r="D1427" s="46"/>
      <c r="E1427" s="47"/>
    </row>
    <row r="1428" spans="2:5" x14ac:dyDescent="0.2">
      <c r="B1428" s="48" t="s">
        <v>15</v>
      </c>
      <c r="C1428" s="46"/>
      <c r="D1428" s="46"/>
      <c r="E1428" s="47"/>
    </row>
    <row r="1429" spans="2:5" ht="33.75" customHeight="1" x14ac:dyDescent="0.2">
      <c r="B1429" s="48"/>
      <c r="C1429" s="88" t="s">
        <v>81</v>
      </c>
      <c r="D1429" s="88"/>
      <c r="E1429" s="88"/>
    </row>
    <row r="1430" spans="2:5" x14ac:dyDescent="0.2">
      <c r="B1430" s="48" t="s">
        <v>16</v>
      </c>
      <c r="C1430" s="46"/>
      <c r="D1430" s="46"/>
      <c r="E1430" s="47"/>
    </row>
    <row r="1431" spans="2:5" x14ac:dyDescent="0.2">
      <c r="B1431" s="49"/>
      <c r="C1431" s="87" t="s">
        <v>246</v>
      </c>
      <c r="D1431" s="87"/>
      <c r="E1431" s="87"/>
    </row>
    <row r="1432" spans="2:5" x14ac:dyDescent="0.2">
      <c r="B1432" s="49"/>
      <c r="C1432" s="87"/>
      <c r="D1432" s="87"/>
      <c r="E1432" s="87"/>
    </row>
    <row r="1433" spans="2:5" x14ac:dyDescent="0.2">
      <c r="B1433" s="48" t="s">
        <v>17</v>
      </c>
      <c r="C1433" s="46"/>
      <c r="D1433" s="46"/>
      <c r="E1433" s="47"/>
    </row>
    <row r="1434" spans="2:5" x14ac:dyDescent="0.2">
      <c r="B1434" s="49"/>
      <c r="C1434" s="88"/>
      <c r="D1434" s="88"/>
      <c r="E1434" s="88"/>
    </row>
    <row r="1435" spans="2:5" x14ac:dyDescent="0.2">
      <c r="B1435" s="48" t="s">
        <v>18</v>
      </c>
      <c r="C1435" s="50"/>
      <c r="D1435" s="50"/>
      <c r="E1435" s="51"/>
    </row>
    <row r="1436" spans="2:5" x14ac:dyDescent="0.2">
      <c r="B1436" s="49"/>
      <c r="C1436" s="88" t="s">
        <v>247</v>
      </c>
      <c r="D1436" s="88"/>
      <c r="E1436" s="88"/>
    </row>
    <row r="1437" spans="2:5" x14ac:dyDescent="0.2">
      <c r="B1437" s="48" t="s">
        <v>19</v>
      </c>
      <c r="C1437" s="46"/>
      <c r="D1437" s="46"/>
      <c r="E1437" s="47"/>
    </row>
    <row r="1438" spans="2:5" x14ac:dyDescent="0.2">
      <c r="B1438" s="48"/>
      <c r="C1438" s="87"/>
      <c r="D1438" s="87"/>
      <c r="E1438" s="87"/>
    </row>
    <row r="1439" spans="2:5" ht="13.5" thickBot="1" x14ac:dyDescent="0.25">
      <c r="B1439" s="52"/>
      <c r="C1439" s="53"/>
      <c r="D1439" s="53"/>
      <c r="E1439" s="54"/>
    </row>
    <row r="1441" spans="2:5" ht="13.5" thickBot="1" x14ac:dyDescent="0.25"/>
    <row r="1442" spans="2:5" x14ac:dyDescent="0.2">
      <c r="B1442" s="42" t="s">
        <v>389</v>
      </c>
      <c r="C1442" s="43"/>
      <c r="D1442" s="43"/>
      <c r="E1442" s="44"/>
    </row>
    <row r="1443" spans="2:5" x14ac:dyDescent="0.2">
      <c r="B1443" s="45"/>
      <c r="C1443" s="46"/>
      <c r="D1443" s="46"/>
      <c r="E1443" s="47"/>
    </row>
    <row r="1444" spans="2:5" x14ac:dyDescent="0.2">
      <c r="B1444" s="48" t="s">
        <v>15</v>
      </c>
      <c r="C1444" s="46"/>
      <c r="D1444" s="46"/>
      <c r="E1444" s="47"/>
    </row>
    <row r="1445" spans="2:5" ht="33" customHeight="1" x14ac:dyDescent="0.2">
      <c r="B1445" s="48"/>
      <c r="C1445" s="88" t="s">
        <v>391</v>
      </c>
      <c r="D1445" s="88"/>
      <c r="E1445" s="88"/>
    </row>
    <row r="1446" spans="2:5" x14ac:dyDescent="0.2">
      <c r="B1446" s="48" t="s">
        <v>16</v>
      </c>
      <c r="C1446" s="46"/>
      <c r="D1446" s="46"/>
      <c r="E1446" s="47"/>
    </row>
    <row r="1447" spans="2:5" x14ac:dyDescent="0.2">
      <c r="B1447" s="49"/>
      <c r="C1447" s="87" t="s">
        <v>246</v>
      </c>
      <c r="D1447" s="87"/>
      <c r="E1447" s="87"/>
    </row>
    <row r="1448" spans="2:5" x14ac:dyDescent="0.2">
      <c r="B1448" s="49"/>
      <c r="C1448" s="87"/>
      <c r="D1448" s="87"/>
      <c r="E1448" s="87"/>
    </row>
    <row r="1449" spans="2:5" x14ac:dyDescent="0.2">
      <c r="B1449" s="48" t="s">
        <v>17</v>
      </c>
      <c r="C1449" s="46"/>
      <c r="D1449" s="46"/>
      <c r="E1449" s="47"/>
    </row>
    <row r="1450" spans="2:5" x14ac:dyDescent="0.2">
      <c r="B1450" s="49"/>
      <c r="C1450" s="88"/>
      <c r="D1450" s="88"/>
      <c r="E1450" s="88"/>
    </row>
    <row r="1451" spans="2:5" x14ac:dyDescent="0.2">
      <c r="B1451" s="48" t="s">
        <v>18</v>
      </c>
      <c r="C1451" s="50"/>
      <c r="D1451" s="50"/>
      <c r="E1451" s="51"/>
    </row>
    <row r="1452" spans="2:5" x14ac:dyDescent="0.2">
      <c r="B1452" s="49"/>
      <c r="C1452" s="88" t="s">
        <v>247</v>
      </c>
      <c r="D1452" s="88"/>
      <c r="E1452" s="88"/>
    </row>
    <row r="1453" spans="2:5" x14ac:dyDescent="0.2">
      <c r="B1453" s="48" t="s">
        <v>19</v>
      </c>
      <c r="C1453" s="46"/>
      <c r="D1453" s="46"/>
      <c r="E1453" s="47"/>
    </row>
    <row r="1454" spans="2:5" x14ac:dyDescent="0.2">
      <c r="B1454" s="48"/>
      <c r="C1454" s="87"/>
      <c r="D1454" s="87"/>
      <c r="E1454" s="87"/>
    </row>
    <row r="1455" spans="2:5" ht="13.5" thickBot="1" x14ac:dyDescent="0.25">
      <c r="B1455" s="52"/>
      <c r="C1455" s="53"/>
      <c r="D1455" s="53"/>
      <c r="E1455" s="54"/>
    </row>
    <row r="1456" spans="2:5" ht="13.5" thickBot="1" x14ac:dyDescent="0.25"/>
    <row r="1457" spans="2:5" x14ac:dyDescent="0.2">
      <c r="B1457" s="42" t="s">
        <v>390</v>
      </c>
      <c r="C1457" s="43"/>
      <c r="D1457" s="43"/>
      <c r="E1457" s="44"/>
    </row>
    <row r="1458" spans="2:5" x14ac:dyDescent="0.2">
      <c r="B1458" s="45"/>
      <c r="C1458" s="46"/>
      <c r="D1458" s="46"/>
      <c r="E1458" s="47"/>
    </row>
    <row r="1459" spans="2:5" x14ac:dyDescent="0.2">
      <c r="B1459" s="48" t="s">
        <v>15</v>
      </c>
      <c r="C1459" s="46"/>
      <c r="D1459" s="46"/>
      <c r="E1459" s="47"/>
    </row>
    <row r="1460" spans="2:5" ht="31.5" customHeight="1" x14ac:dyDescent="0.2">
      <c r="B1460" s="48"/>
      <c r="C1460" s="88" t="s">
        <v>426</v>
      </c>
      <c r="D1460" s="88"/>
      <c r="E1460" s="88"/>
    </row>
    <row r="1461" spans="2:5" x14ac:dyDescent="0.2">
      <c r="B1461" s="48" t="s">
        <v>16</v>
      </c>
      <c r="C1461" s="46"/>
      <c r="D1461" s="46"/>
      <c r="E1461" s="47"/>
    </row>
    <row r="1462" spans="2:5" x14ac:dyDescent="0.2">
      <c r="B1462" s="49"/>
      <c r="C1462" s="87" t="s">
        <v>246</v>
      </c>
      <c r="D1462" s="87"/>
      <c r="E1462" s="87"/>
    </row>
    <row r="1463" spans="2:5" x14ac:dyDescent="0.2">
      <c r="B1463" s="49"/>
      <c r="C1463" s="87"/>
      <c r="D1463" s="87"/>
      <c r="E1463" s="87"/>
    </row>
    <row r="1464" spans="2:5" x14ac:dyDescent="0.2">
      <c r="B1464" s="48" t="s">
        <v>17</v>
      </c>
      <c r="C1464" s="46"/>
      <c r="D1464" s="46"/>
      <c r="E1464" s="47"/>
    </row>
    <row r="1465" spans="2:5" x14ac:dyDescent="0.2">
      <c r="B1465" s="49"/>
      <c r="C1465" s="88"/>
      <c r="D1465" s="88"/>
      <c r="E1465" s="88"/>
    </row>
    <row r="1466" spans="2:5" x14ac:dyDescent="0.2">
      <c r="B1466" s="48" t="s">
        <v>18</v>
      </c>
      <c r="C1466" s="50"/>
      <c r="D1466" s="50"/>
      <c r="E1466" s="51"/>
    </row>
    <row r="1467" spans="2:5" x14ac:dyDescent="0.2">
      <c r="B1467" s="49"/>
      <c r="C1467" s="88" t="s">
        <v>247</v>
      </c>
      <c r="D1467" s="88"/>
      <c r="E1467" s="88"/>
    </row>
    <row r="1468" spans="2:5" x14ac:dyDescent="0.2">
      <c r="B1468" s="48" t="s">
        <v>19</v>
      </c>
      <c r="C1468" s="46"/>
      <c r="D1468" s="46"/>
      <c r="E1468" s="47"/>
    </row>
    <row r="1469" spans="2:5" x14ac:dyDescent="0.2">
      <c r="B1469" s="48"/>
      <c r="C1469" s="87"/>
      <c r="D1469" s="87"/>
      <c r="E1469" s="87"/>
    </row>
    <row r="1470" spans="2:5" ht="13.5" thickBot="1" x14ac:dyDescent="0.25">
      <c r="B1470" s="52"/>
      <c r="C1470" s="53"/>
      <c r="D1470" s="53"/>
      <c r="E1470" s="54"/>
    </row>
  </sheetData>
  <mergeCells count="553">
    <mergeCell ref="C1465:E1465"/>
    <mergeCell ref="C1467:E1467"/>
    <mergeCell ref="C1469:E1469"/>
    <mergeCell ref="C1452:E1452"/>
    <mergeCell ref="C1454:E1454"/>
    <mergeCell ref="C1460:E1460"/>
    <mergeCell ref="C1462:E1462"/>
    <mergeCell ref="C1463:E1463"/>
    <mergeCell ref="C1445:E1445"/>
    <mergeCell ref="C1447:E1447"/>
    <mergeCell ref="C1448:E1448"/>
    <mergeCell ref="C1450:E1450"/>
    <mergeCell ref="C1431:E1431"/>
    <mergeCell ref="C1432:E1432"/>
    <mergeCell ref="C1434:E1434"/>
    <mergeCell ref="C1436:E1436"/>
    <mergeCell ref="C1438:E1438"/>
    <mergeCell ref="C1417:E1417"/>
    <mergeCell ref="C1419:E1419"/>
    <mergeCell ref="C1421:E1421"/>
    <mergeCell ref="C1423:E1423"/>
    <mergeCell ref="C1429:E1429"/>
    <mergeCell ref="C1404:E1404"/>
    <mergeCell ref="C1406:E1406"/>
    <mergeCell ref="C1408:E1408"/>
    <mergeCell ref="C1414:E1414"/>
    <mergeCell ref="C1416:E1416"/>
    <mergeCell ref="C1391:E1391"/>
    <mergeCell ref="C1393:E1393"/>
    <mergeCell ref="C1399:E1399"/>
    <mergeCell ref="C1401:E1401"/>
    <mergeCell ref="C1402:E1402"/>
    <mergeCell ref="C1378:E1378"/>
    <mergeCell ref="C1384:E1384"/>
    <mergeCell ref="C1386:E1386"/>
    <mergeCell ref="C1387:E1387"/>
    <mergeCell ref="C1389:E1389"/>
    <mergeCell ref="C1369:E1369"/>
    <mergeCell ref="C1371:E1371"/>
    <mergeCell ref="C1372:E1372"/>
    <mergeCell ref="C1374:E1374"/>
    <mergeCell ref="C1376:E1376"/>
    <mergeCell ref="C1356:E1356"/>
    <mergeCell ref="C1357:E1357"/>
    <mergeCell ref="C1359:E1359"/>
    <mergeCell ref="C1361:E1361"/>
    <mergeCell ref="C1363:E1363"/>
    <mergeCell ref="C1342:E1342"/>
    <mergeCell ref="C1344:E1344"/>
    <mergeCell ref="C1346:E1346"/>
    <mergeCell ref="C1348:E1348"/>
    <mergeCell ref="C1354:E1354"/>
    <mergeCell ref="C1329:E1329"/>
    <mergeCell ref="C1331:E1331"/>
    <mergeCell ref="C1333:E1333"/>
    <mergeCell ref="C1339:E1339"/>
    <mergeCell ref="C1341:E1341"/>
    <mergeCell ref="C1316:E1316"/>
    <mergeCell ref="C1318:E1318"/>
    <mergeCell ref="C1324:E1324"/>
    <mergeCell ref="C1326:E1326"/>
    <mergeCell ref="C1327:E1327"/>
    <mergeCell ref="C1303:E1303"/>
    <mergeCell ref="C1309:E1309"/>
    <mergeCell ref="C1311:E1311"/>
    <mergeCell ref="C1312:E1312"/>
    <mergeCell ref="C1314:E1314"/>
    <mergeCell ref="C1294:E1294"/>
    <mergeCell ref="C1296:E1296"/>
    <mergeCell ref="C1297:E1297"/>
    <mergeCell ref="C1299:E1299"/>
    <mergeCell ref="C1301:E1301"/>
    <mergeCell ref="C1281:E1281"/>
    <mergeCell ref="C1282:E1282"/>
    <mergeCell ref="C1284:E1284"/>
    <mergeCell ref="C1286:E1286"/>
    <mergeCell ref="C1288:E1288"/>
    <mergeCell ref="C1267:E1267"/>
    <mergeCell ref="C1269:E1269"/>
    <mergeCell ref="C1271:E1271"/>
    <mergeCell ref="C1273:E1273"/>
    <mergeCell ref="C1279:E1279"/>
    <mergeCell ref="C1254:E1254"/>
    <mergeCell ref="C1256:E1256"/>
    <mergeCell ref="C1258:E1258"/>
    <mergeCell ref="C1264:E1264"/>
    <mergeCell ref="C1266:E1266"/>
    <mergeCell ref="C1241:E1241"/>
    <mergeCell ref="C1243:E1243"/>
    <mergeCell ref="C1249:E1249"/>
    <mergeCell ref="C1251:E1251"/>
    <mergeCell ref="C1252:E1252"/>
    <mergeCell ref="C1228:E1228"/>
    <mergeCell ref="C1234:E1234"/>
    <mergeCell ref="C1236:E1236"/>
    <mergeCell ref="C1237:E1237"/>
    <mergeCell ref="C1239:E1239"/>
    <mergeCell ref="C1219:E1219"/>
    <mergeCell ref="C1221:E1221"/>
    <mergeCell ref="C1222:E1222"/>
    <mergeCell ref="C1224:E1224"/>
    <mergeCell ref="C1226:E1226"/>
    <mergeCell ref="C1206:E1206"/>
    <mergeCell ref="C1207:E1207"/>
    <mergeCell ref="C1209:E1209"/>
    <mergeCell ref="C1211:E1211"/>
    <mergeCell ref="C1213:E1213"/>
    <mergeCell ref="C1192:E1192"/>
    <mergeCell ref="C1194:E1194"/>
    <mergeCell ref="C1196:E1196"/>
    <mergeCell ref="C1198:E1198"/>
    <mergeCell ref="C1204:E1204"/>
    <mergeCell ref="C1179:E1179"/>
    <mergeCell ref="C1181:E1181"/>
    <mergeCell ref="C1183:E1183"/>
    <mergeCell ref="C1189:E1189"/>
    <mergeCell ref="C1191:E1191"/>
    <mergeCell ref="C1166:E1166"/>
    <mergeCell ref="C1168:E1168"/>
    <mergeCell ref="C1174:E1174"/>
    <mergeCell ref="C1176:E1176"/>
    <mergeCell ref="C1177:E1177"/>
    <mergeCell ref="C1153:E1153"/>
    <mergeCell ref="C1159:E1159"/>
    <mergeCell ref="C1161:E1161"/>
    <mergeCell ref="C1162:E1162"/>
    <mergeCell ref="C1164:E1164"/>
    <mergeCell ref="C1144:E1144"/>
    <mergeCell ref="C1146:E1146"/>
    <mergeCell ref="C1147:E1147"/>
    <mergeCell ref="C1149:E1149"/>
    <mergeCell ref="C1151:E1151"/>
    <mergeCell ref="C1131:E1131"/>
    <mergeCell ref="C1132:E1132"/>
    <mergeCell ref="C1134:E1134"/>
    <mergeCell ref="C1136:E1136"/>
    <mergeCell ref="C1138:E1138"/>
    <mergeCell ref="C1117:E1117"/>
    <mergeCell ref="C1119:E1119"/>
    <mergeCell ref="C1121:E1121"/>
    <mergeCell ref="C1123:E1123"/>
    <mergeCell ref="C1129:E1129"/>
    <mergeCell ref="C1104:E1104"/>
    <mergeCell ref="C1106:E1106"/>
    <mergeCell ref="C1108:E1108"/>
    <mergeCell ref="C1114:E1114"/>
    <mergeCell ref="C1116:E1116"/>
    <mergeCell ref="C1091:E1091"/>
    <mergeCell ref="C1093:E1093"/>
    <mergeCell ref="C1099:E1099"/>
    <mergeCell ref="C1101:E1101"/>
    <mergeCell ref="C1102:E1102"/>
    <mergeCell ref="C1078:E1078"/>
    <mergeCell ref="C1084:E1084"/>
    <mergeCell ref="C1086:E1086"/>
    <mergeCell ref="C1087:E1087"/>
    <mergeCell ref="C1089:E1089"/>
    <mergeCell ref="C1069:E1069"/>
    <mergeCell ref="C1071:E1071"/>
    <mergeCell ref="C1072:E1072"/>
    <mergeCell ref="C1074:E1074"/>
    <mergeCell ref="C1076:E1076"/>
    <mergeCell ref="C1056:E1056"/>
    <mergeCell ref="C1057:E1057"/>
    <mergeCell ref="C1059:E1059"/>
    <mergeCell ref="C1061:E1061"/>
    <mergeCell ref="C1063:E1063"/>
    <mergeCell ref="C1042:E1042"/>
    <mergeCell ref="C1044:E1044"/>
    <mergeCell ref="C1046:E1046"/>
    <mergeCell ref="C1048:E1048"/>
    <mergeCell ref="C1054:E1054"/>
    <mergeCell ref="C1029:E1029"/>
    <mergeCell ref="C1031:E1031"/>
    <mergeCell ref="C1033:E1033"/>
    <mergeCell ref="C1039:E1039"/>
    <mergeCell ref="C1041:E1041"/>
    <mergeCell ref="C1016:E1016"/>
    <mergeCell ref="C1018:E1018"/>
    <mergeCell ref="C1024:E1024"/>
    <mergeCell ref="C1026:E1026"/>
    <mergeCell ref="C1027:E1027"/>
    <mergeCell ref="C1003:E1003"/>
    <mergeCell ref="C1009:E1009"/>
    <mergeCell ref="C1011:E1011"/>
    <mergeCell ref="C1012:E1012"/>
    <mergeCell ref="C1014:E1014"/>
    <mergeCell ref="C994:E994"/>
    <mergeCell ref="C996:E996"/>
    <mergeCell ref="C997:E997"/>
    <mergeCell ref="C999:E999"/>
    <mergeCell ref="C1001:E1001"/>
    <mergeCell ref="C981:E981"/>
    <mergeCell ref="C982:E982"/>
    <mergeCell ref="C984:E984"/>
    <mergeCell ref="C986:E986"/>
    <mergeCell ref="C988:E988"/>
    <mergeCell ref="C967:E967"/>
    <mergeCell ref="C969:E969"/>
    <mergeCell ref="C971:E971"/>
    <mergeCell ref="C973:E973"/>
    <mergeCell ref="C979:E979"/>
    <mergeCell ref="C954:E954"/>
    <mergeCell ref="C956:E956"/>
    <mergeCell ref="C958:E958"/>
    <mergeCell ref="C964:E964"/>
    <mergeCell ref="C966:E966"/>
    <mergeCell ref="C941:E941"/>
    <mergeCell ref="C943:E943"/>
    <mergeCell ref="C949:E949"/>
    <mergeCell ref="C951:E951"/>
    <mergeCell ref="C952:E952"/>
    <mergeCell ref="C928:E928"/>
    <mergeCell ref="C934:E934"/>
    <mergeCell ref="C936:E936"/>
    <mergeCell ref="C937:E937"/>
    <mergeCell ref="C939:E939"/>
    <mergeCell ref="C919:E919"/>
    <mergeCell ref="C921:E921"/>
    <mergeCell ref="C922:E922"/>
    <mergeCell ref="C924:E924"/>
    <mergeCell ref="C926:E926"/>
    <mergeCell ref="C906:E906"/>
    <mergeCell ref="C907:E907"/>
    <mergeCell ref="C909:E909"/>
    <mergeCell ref="C911:E911"/>
    <mergeCell ref="C913:E913"/>
    <mergeCell ref="C892:E892"/>
    <mergeCell ref="C894:E894"/>
    <mergeCell ref="C896:E896"/>
    <mergeCell ref="C898:E898"/>
    <mergeCell ref="C904:E904"/>
    <mergeCell ref="C879:E879"/>
    <mergeCell ref="C881:E881"/>
    <mergeCell ref="C883:E883"/>
    <mergeCell ref="C889:E889"/>
    <mergeCell ref="C891:E891"/>
    <mergeCell ref="C866:E866"/>
    <mergeCell ref="C868:E868"/>
    <mergeCell ref="C874:E874"/>
    <mergeCell ref="C876:E876"/>
    <mergeCell ref="C877:E877"/>
    <mergeCell ref="C853:E853"/>
    <mergeCell ref="C859:E859"/>
    <mergeCell ref="C861:E861"/>
    <mergeCell ref="C862:E862"/>
    <mergeCell ref="C864:E864"/>
    <mergeCell ref="C844:E844"/>
    <mergeCell ref="C846:E846"/>
    <mergeCell ref="C847:E847"/>
    <mergeCell ref="C849:E849"/>
    <mergeCell ref="C851:E851"/>
    <mergeCell ref="C831:E831"/>
    <mergeCell ref="C832:E832"/>
    <mergeCell ref="C834:E834"/>
    <mergeCell ref="C836:E836"/>
    <mergeCell ref="C838:E838"/>
    <mergeCell ref="C817:E817"/>
    <mergeCell ref="C819:E819"/>
    <mergeCell ref="C821:E821"/>
    <mergeCell ref="C823:E823"/>
    <mergeCell ref="C829:E829"/>
    <mergeCell ref="C804:E804"/>
    <mergeCell ref="C806:E806"/>
    <mergeCell ref="C808:E808"/>
    <mergeCell ref="C814:E814"/>
    <mergeCell ref="C816:E816"/>
    <mergeCell ref="C791:E791"/>
    <mergeCell ref="C793:E793"/>
    <mergeCell ref="C799:E799"/>
    <mergeCell ref="C801:E801"/>
    <mergeCell ref="C802:E802"/>
    <mergeCell ref="C778:E778"/>
    <mergeCell ref="C784:E784"/>
    <mergeCell ref="C786:E786"/>
    <mergeCell ref="C787:E787"/>
    <mergeCell ref="C789:E789"/>
    <mergeCell ref="C769:E769"/>
    <mergeCell ref="C771:E771"/>
    <mergeCell ref="C772:E772"/>
    <mergeCell ref="C774:E774"/>
    <mergeCell ref="C776:E776"/>
    <mergeCell ref="C756:E756"/>
    <mergeCell ref="C757:E757"/>
    <mergeCell ref="C759:E759"/>
    <mergeCell ref="C761:E761"/>
    <mergeCell ref="C763:E763"/>
    <mergeCell ref="C742:E742"/>
    <mergeCell ref="C744:E744"/>
    <mergeCell ref="C746:E746"/>
    <mergeCell ref="C748:E748"/>
    <mergeCell ref="C754:E754"/>
    <mergeCell ref="C729:E729"/>
    <mergeCell ref="C731:E731"/>
    <mergeCell ref="C733:E733"/>
    <mergeCell ref="C739:E739"/>
    <mergeCell ref="C741:E741"/>
    <mergeCell ref="C716:E716"/>
    <mergeCell ref="C718:E718"/>
    <mergeCell ref="C724:E724"/>
    <mergeCell ref="C726:E726"/>
    <mergeCell ref="C727:E727"/>
    <mergeCell ref="C703:E703"/>
    <mergeCell ref="C709:E709"/>
    <mergeCell ref="C711:E711"/>
    <mergeCell ref="C712:E712"/>
    <mergeCell ref="C714:E714"/>
    <mergeCell ref="C694:E694"/>
    <mergeCell ref="C696:E696"/>
    <mergeCell ref="C697:E697"/>
    <mergeCell ref="C699:E699"/>
    <mergeCell ref="C701:E701"/>
    <mergeCell ref="C681:E681"/>
    <mergeCell ref="C682:E682"/>
    <mergeCell ref="C684:E684"/>
    <mergeCell ref="C686:E686"/>
    <mergeCell ref="C688:E688"/>
    <mergeCell ref="C667:E667"/>
    <mergeCell ref="C669:E669"/>
    <mergeCell ref="C671:E671"/>
    <mergeCell ref="C673:E673"/>
    <mergeCell ref="C679:E679"/>
    <mergeCell ref="C654:E654"/>
    <mergeCell ref="C656:E656"/>
    <mergeCell ref="C658:E658"/>
    <mergeCell ref="C664:E664"/>
    <mergeCell ref="C666:E666"/>
    <mergeCell ref="C641:E641"/>
    <mergeCell ref="C643:E643"/>
    <mergeCell ref="C649:E649"/>
    <mergeCell ref="C651:E651"/>
    <mergeCell ref="C652:E652"/>
    <mergeCell ref="C628:E628"/>
    <mergeCell ref="C634:E634"/>
    <mergeCell ref="C636:E636"/>
    <mergeCell ref="C637:E637"/>
    <mergeCell ref="C639:E639"/>
    <mergeCell ref="C619:E619"/>
    <mergeCell ref="C621:E621"/>
    <mergeCell ref="C622:E622"/>
    <mergeCell ref="C624:E624"/>
    <mergeCell ref="C626:E626"/>
    <mergeCell ref="C606:E606"/>
    <mergeCell ref="C608:E608"/>
    <mergeCell ref="C610:E610"/>
    <mergeCell ref="C612:E612"/>
    <mergeCell ref="C593:E593"/>
    <mergeCell ref="C595:E595"/>
    <mergeCell ref="C597:E597"/>
    <mergeCell ref="C603:E603"/>
    <mergeCell ref="C605:E605"/>
    <mergeCell ref="C588:E588"/>
    <mergeCell ref="C590:E590"/>
    <mergeCell ref="C591:E591"/>
    <mergeCell ref="C581:E581"/>
    <mergeCell ref="C572:E572"/>
    <mergeCell ref="C574:E574"/>
    <mergeCell ref="C575:E575"/>
    <mergeCell ref="C577:E577"/>
    <mergeCell ref="C579:E579"/>
    <mergeCell ref="C559:E559"/>
    <mergeCell ref="C560:E560"/>
    <mergeCell ref="C562:E562"/>
    <mergeCell ref="C564:E564"/>
    <mergeCell ref="C566:E566"/>
    <mergeCell ref="C545:E545"/>
    <mergeCell ref="C547:E547"/>
    <mergeCell ref="C549:E549"/>
    <mergeCell ref="C551:E551"/>
    <mergeCell ref="C557:E557"/>
    <mergeCell ref="C532:E532"/>
    <mergeCell ref="C534:E534"/>
    <mergeCell ref="C536:E536"/>
    <mergeCell ref="C542:E542"/>
    <mergeCell ref="C544:E544"/>
    <mergeCell ref="C519:E519"/>
    <mergeCell ref="C521:E521"/>
    <mergeCell ref="C527:E527"/>
    <mergeCell ref="C529:E529"/>
    <mergeCell ref="C530:E530"/>
    <mergeCell ref="C506:E506"/>
    <mergeCell ref="C512:E512"/>
    <mergeCell ref="C514:E514"/>
    <mergeCell ref="C515:E515"/>
    <mergeCell ref="C517:E517"/>
    <mergeCell ref="C497:E497"/>
    <mergeCell ref="C499:E499"/>
    <mergeCell ref="C500:E500"/>
    <mergeCell ref="C502:E502"/>
    <mergeCell ref="C504:E504"/>
    <mergeCell ref="C484:E484"/>
    <mergeCell ref="C485:E485"/>
    <mergeCell ref="C487:E487"/>
    <mergeCell ref="C489:E489"/>
    <mergeCell ref="C491:E491"/>
    <mergeCell ref="C470:E470"/>
    <mergeCell ref="C472:E472"/>
    <mergeCell ref="C474:E474"/>
    <mergeCell ref="C476:E476"/>
    <mergeCell ref="C482:E482"/>
    <mergeCell ref="C457:E457"/>
    <mergeCell ref="C459:E459"/>
    <mergeCell ref="C461:E461"/>
    <mergeCell ref="C467:E467"/>
    <mergeCell ref="C469:E469"/>
    <mergeCell ref="C444:E444"/>
    <mergeCell ref="C446:E446"/>
    <mergeCell ref="C452:E452"/>
    <mergeCell ref="C454:E454"/>
    <mergeCell ref="C455:E455"/>
    <mergeCell ref="C431:E431"/>
    <mergeCell ref="C437:E437"/>
    <mergeCell ref="C439:E439"/>
    <mergeCell ref="C440:E440"/>
    <mergeCell ref="C442:E442"/>
    <mergeCell ref="C422:E422"/>
    <mergeCell ref="C424:E424"/>
    <mergeCell ref="C425:E425"/>
    <mergeCell ref="C427:E427"/>
    <mergeCell ref="C429:E429"/>
    <mergeCell ref="C409:E409"/>
    <mergeCell ref="C410:E410"/>
    <mergeCell ref="C412:E412"/>
    <mergeCell ref="C414:E414"/>
    <mergeCell ref="C416:E416"/>
    <mergeCell ref="C395:E395"/>
    <mergeCell ref="C397:E397"/>
    <mergeCell ref="C399:E399"/>
    <mergeCell ref="C401:E401"/>
    <mergeCell ref="C407:E407"/>
    <mergeCell ref="C382:E382"/>
    <mergeCell ref="C384:E384"/>
    <mergeCell ref="C386:E386"/>
    <mergeCell ref="C392:E392"/>
    <mergeCell ref="C394:E394"/>
    <mergeCell ref="C369:E369"/>
    <mergeCell ref="C371:E371"/>
    <mergeCell ref="C377:E377"/>
    <mergeCell ref="C379:E379"/>
    <mergeCell ref="C380:E380"/>
    <mergeCell ref="C356:E356"/>
    <mergeCell ref="C362:E362"/>
    <mergeCell ref="C364:E364"/>
    <mergeCell ref="C365:E365"/>
    <mergeCell ref="C367:E367"/>
    <mergeCell ref="C347:E347"/>
    <mergeCell ref="C349:E349"/>
    <mergeCell ref="C350:E350"/>
    <mergeCell ref="C352:E352"/>
    <mergeCell ref="C354:E354"/>
    <mergeCell ref="C334:E334"/>
    <mergeCell ref="C335:E335"/>
    <mergeCell ref="C337:E337"/>
    <mergeCell ref="C339:E339"/>
    <mergeCell ref="C341:E341"/>
    <mergeCell ref="C320:E320"/>
    <mergeCell ref="C322:E322"/>
    <mergeCell ref="C324:E324"/>
    <mergeCell ref="C326:E326"/>
    <mergeCell ref="C332:E332"/>
    <mergeCell ref="C307:E307"/>
    <mergeCell ref="C309:E309"/>
    <mergeCell ref="C311:E311"/>
    <mergeCell ref="C317:E317"/>
    <mergeCell ref="C319:E319"/>
    <mergeCell ref="C294:E294"/>
    <mergeCell ref="C296:E296"/>
    <mergeCell ref="C302:E302"/>
    <mergeCell ref="C304:E304"/>
    <mergeCell ref="C305:E305"/>
    <mergeCell ref="C281:E281"/>
    <mergeCell ref="C287:E287"/>
    <mergeCell ref="C289:E289"/>
    <mergeCell ref="C290:E290"/>
    <mergeCell ref="C292:E292"/>
    <mergeCell ref="C272:E272"/>
    <mergeCell ref="C274:E274"/>
    <mergeCell ref="C275:E275"/>
    <mergeCell ref="C277:E277"/>
    <mergeCell ref="C279:E279"/>
    <mergeCell ref="C259:E259"/>
    <mergeCell ref="C260:E260"/>
    <mergeCell ref="C262:E262"/>
    <mergeCell ref="C264:E264"/>
    <mergeCell ref="C266:E266"/>
    <mergeCell ref="C245:E245"/>
    <mergeCell ref="C247:E247"/>
    <mergeCell ref="C249:E249"/>
    <mergeCell ref="C251:E251"/>
    <mergeCell ref="C257:E257"/>
    <mergeCell ref="C232:E232"/>
    <mergeCell ref="C234:E234"/>
    <mergeCell ref="C236:E236"/>
    <mergeCell ref="C242:E242"/>
    <mergeCell ref="C244:E244"/>
    <mergeCell ref="C219:E219"/>
    <mergeCell ref="C221:E221"/>
    <mergeCell ref="C227:E227"/>
    <mergeCell ref="C229:E229"/>
    <mergeCell ref="C230:E230"/>
    <mergeCell ref="C206:E206"/>
    <mergeCell ref="C212:E212"/>
    <mergeCell ref="C214:E214"/>
    <mergeCell ref="C215:E215"/>
    <mergeCell ref="C217:E217"/>
    <mergeCell ref="C197:E197"/>
    <mergeCell ref="C199:E199"/>
    <mergeCell ref="C200:E200"/>
    <mergeCell ref="C202:E202"/>
    <mergeCell ref="C204:E204"/>
    <mergeCell ref="C184:E184"/>
    <mergeCell ref="C185:E185"/>
    <mergeCell ref="C187:E187"/>
    <mergeCell ref="C189:E189"/>
    <mergeCell ref="C191:E191"/>
    <mergeCell ref="C170:E170"/>
    <mergeCell ref="C172:E172"/>
    <mergeCell ref="C174:E174"/>
    <mergeCell ref="C176:E176"/>
    <mergeCell ref="C182:E182"/>
    <mergeCell ref="C137:E137"/>
    <mergeCell ref="C139:E139"/>
    <mergeCell ref="C140:E140"/>
    <mergeCell ref="C142:E142"/>
    <mergeCell ref="C157:E157"/>
    <mergeCell ref="C159:E159"/>
    <mergeCell ref="C161:E161"/>
    <mergeCell ref="C167:E167"/>
    <mergeCell ref="C169:E169"/>
    <mergeCell ref="C144:E144"/>
    <mergeCell ref="C146:E146"/>
    <mergeCell ref="C152:E152"/>
    <mergeCell ref="C154:E154"/>
    <mergeCell ref="C155:E155"/>
    <mergeCell ref="B2:H2"/>
    <mergeCell ref="A4:B4"/>
    <mergeCell ref="C4:E4"/>
    <mergeCell ref="A5:B5"/>
    <mergeCell ref="C5:E5"/>
    <mergeCell ref="A6:B6"/>
    <mergeCell ref="A7:B7"/>
    <mergeCell ref="C106:E106"/>
    <mergeCell ref="C108:E108"/>
    <mergeCell ref="C109:E109"/>
    <mergeCell ref="C124:E124"/>
    <mergeCell ref="C126:E126"/>
    <mergeCell ref="C128:E128"/>
    <mergeCell ref="C130:E130"/>
    <mergeCell ref="C111:E111"/>
    <mergeCell ref="C113:E113"/>
    <mergeCell ref="C115:E115"/>
    <mergeCell ref="C121:E121"/>
    <mergeCell ref="C123:E123"/>
  </mergeCells>
  <pageMargins left="0.70866141732283472" right="0.70866141732283472" top="0.74803149606299213" bottom="0.74803149606299213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3"/>
  <sheetViews>
    <sheetView zoomScale="70" zoomScaleNormal="70" workbookViewId="0">
      <selection activeCell="G114" sqref="G1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2" t="s">
        <v>21</v>
      </c>
      <c r="B1" s="102"/>
      <c r="C1" s="102"/>
      <c r="D1" s="102"/>
      <c r="E1" s="102"/>
      <c r="F1" s="102"/>
      <c r="G1" s="102"/>
      <c r="H1" s="102"/>
      <c r="I1" s="102"/>
      <c r="J1" s="3" t="s">
        <v>22</v>
      </c>
      <c r="K1" s="65" t="s">
        <v>396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3" t="s">
        <v>55</v>
      </c>
      <c r="B3" s="103"/>
      <c r="C3" s="103"/>
      <c r="D3" s="104" t="str">
        <f>'Necesidades Trimestrales'!C4</f>
        <v>40 - Ministerio de Salud</v>
      </c>
      <c r="E3" s="104"/>
      <c r="F3" s="104"/>
      <c r="G3" s="104"/>
      <c r="H3" s="104"/>
      <c r="I3" s="104"/>
      <c r="J3" s="104"/>
      <c r="K3" s="104"/>
    </row>
    <row r="4" spans="1:11" ht="18.75" customHeight="1" thickBot="1" x14ac:dyDescent="0.25">
      <c r="A4" s="105" t="s">
        <v>56</v>
      </c>
      <c r="B4" s="105"/>
      <c r="C4" s="105"/>
      <c r="D4" s="104" t="str">
        <f>'Necesidades Trimestrales'!C5</f>
        <v>23 - Hospital Interzonal San Juan Bautista</v>
      </c>
      <c r="E4" s="104"/>
      <c r="F4" s="104"/>
      <c r="G4" s="104"/>
      <c r="H4" s="104"/>
      <c r="I4" s="104"/>
      <c r="J4" s="104"/>
      <c r="K4" s="104"/>
    </row>
    <row r="5" spans="1:11" ht="18.75" customHeight="1" thickBot="1" x14ac:dyDescent="0.25">
      <c r="A5" s="105" t="s">
        <v>34</v>
      </c>
      <c r="B5" s="105"/>
      <c r="C5" s="105"/>
      <c r="D5" s="104" t="s">
        <v>61</v>
      </c>
      <c r="E5" s="104"/>
      <c r="F5" s="104"/>
      <c r="G5" s="104"/>
      <c r="H5" s="104"/>
      <c r="I5" s="104"/>
      <c r="J5" s="104"/>
      <c r="K5" s="104"/>
    </row>
    <row r="6" spans="1:11" ht="16.5" customHeight="1" thickBot="1" x14ac:dyDescent="0.25">
      <c r="A6" s="103" t="s">
        <v>57</v>
      </c>
      <c r="B6" s="103"/>
      <c r="C6" s="103"/>
      <c r="D6" s="104" t="s">
        <v>82</v>
      </c>
      <c r="E6" s="104"/>
      <c r="F6" s="104"/>
      <c r="G6" s="104"/>
      <c r="H6" s="104"/>
      <c r="I6" s="104"/>
      <c r="J6" s="104"/>
      <c r="K6" s="104"/>
    </row>
    <row r="7" spans="1:11" ht="16.5" customHeight="1" x14ac:dyDescent="0.2">
      <c r="A7" s="105" t="s">
        <v>23</v>
      </c>
      <c r="B7" s="105"/>
      <c r="C7" s="105"/>
      <c r="D7" s="104" t="str">
        <f>'Necesidades Trimestrales'!C7 &amp; "° Trimestre - Año " &amp; 'Necesidades Trimestrales'!C6</f>
        <v>1° Trimestre - Año 2021</v>
      </c>
      <c r="E7" s="104"/>
      <c r="F7" s="104"/>
      <c r="G7" s="104"/>
      <c r="H7" s="104"/>
      <c r="I7" s="104"/>
      <c r="J7" s="104"/>
      <c r="K7" s="104"/>
    </row>
    <row r="8" spans="1:11" ht="16.5" customHeight="1" x14ac:dyDescent="0.2">
      <c r="A8" s="97" t="s">
        <v>24</v>
      </c>
      <c r="B8" s="97"/>
      <c r="C8" s="97"/>
      <c r="D8" s="98" t="s">
        <v>397</v>
      </c>
      <c r="E8" s="98"/>
      <c r="F8" s="98"/>
      <c r="G8" s="98"/>
      <c r="H8" s="98"/>
      <c r="I8" s="98"/>
      <c r="J8" s="98"/>
      <c r="K8" s="98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9" t="s">
        <v>25</v>
      </c>
      <c r="B10" s="100" t="s">
        <v>26</v>
      </c>
      <c r="C10" s="100" t="s">
        <v>27</v>
      </c>
      <c r="D10" s="100"/>
      <c r="E10" s="100"/>
      <c r="F10" s="100"/>
      <c r="G10" s="100"/>
      <c r="H10" s="100" t="s">
        <v>28</v>
      </c>
      <c r="I10" s="100" t="s">
        <v>29</v>
      </c>
      <c r="J10" s="100" t="s">
        <v>30</v>
      </c>
      <c r="K10" s="101" t="s">
        <v>31</v>
      </c>
    </row>
    <row r="11" spans="1:11" ht="24" customHeight="1" thickBot="1" x14ac:dyDescent="0.25">
      <c r="A11" s="99"/>
      <c r="B11" s="100"/>
      <c r="C11" s="100"/>
      <c r="D11" s="100"/>
      <c r="E11" s="100"/>
      <c r="F11" s="100"/>
      <c r="G11" s="100"/>
      <c r="H11" s="100"/>
      <c r="I11" s="100"/>
      <c r="J11" s="100"/>
      <c r="K11" s="101"/>
    </row>
    <row r="12" spans="1:11" ht="29.25" customHeight="1" thickBot="1" x14ac:dyDescent="0.25">
      <c r="A12" s="8">
        <v>1</v>
      </c>
      <c r="B12" s="66" t="str">
        <f>'Necesidades Trimestrales'!B10</f>
        <v>2.1.1-439.60</v>
      </c>
      <c r="C12" s="94" t="str">
        <f>'Necesidades Trimestrales'!E10</f>
        <v>ACEITES COMESTIBLES; TIPO: MEZCLA, PRESENTACION: ENVASE X 900 CM3, MATERIAL ENVASE: PLASTICO 1 (PET), ELEM. TRANSPORTE: SIN, MATERIAL ELEM. TRANSPORTE : SIN, LIBRE DE GLUTEN: SI</v>
      </c>
      <c r="D12" s="94"/>
      <c r="E12" s="94"/>
      <c r="F12" s="94"/>
      <c r="G12" s="94"/>
      <c r="H12" s="67" t="s">
        <v>58</v>
      </c>
      <c r="I12" s="68" t="str">
        <f>'Necesidades Trimestrales'!F10</f>
        <v>BOTELLA</v>
      </c>
      <c r="J12" s="69">
        <f>'Necesidades Trimestrales'!H10</f>
        <v>118.464</v>
      </c>
      <c r="K12" s="70">
        <f>'Necesidades Trimestrales'!G10</f>
        <v>250</v>
      </c>
    </row>
    <row r="13" spans="1:11" ht="43.5" customHeight="1" thickBot="1" x14ac:dyDescent="0.25">
      <c r="A13" s="8">
        <v>2</v>
      </c>
      <c r="B13" s="66" t="str">
        <f>'Necesidades Trimestrales'!B11</f>
        <v>2.1.1-481.38</v>
      </c>
      <c r="C13" s="94" t="str">
        <f>'Necesidades Trimestrales'!E11</f>
        <v>AZUCARES; TIPO: "A" COMUN, ESTADO: MOLIDA, PESO: 1 Kg, MATERIAL ENVASE: PLASTICO, CERTIFICADO FORESTAL (GFS): SIN, ELEM. TRANSPORTE: SIN, MATERIAL ELEM. TRANSPORTE: SIN</v>
      </c>
      <c r="D13" s="94"/>
      <c r="E13" s="94"/>
      <c r="F13" s="94"/>
      <c r="G13" s="94"/>
      <c r="H13" s="67" t="s">
        <v>58</v>
      </c>
      <c r="I13" s="68" t="str">
        <f>'Necesidades Trimestrales'!F11</f>
        <v>PAQUETES</v>
      </c>
      <c r="J13" s="69">
        <f>'Necesidades Trimestrales'!H11</f>
        <v>72</v>
      </c>
      <c r="K13" s="70">
        <f>'Necesidades Trimestrales'!G11</f>
        <v>400</v>
      </c>
    </row>
    <row r="14" spans="1:11" ht="53.25" customHeight="1" thickBot="1" x14ac:dyDescent="0.25">
      <c r="A14" s="8">
        <v>3</v>
      </c>
      <c r="B14" s="66" t="str">
        <f>'Necesidades Trimestrales'!B12</f>
        <v>2.1.1-705.116</v>
      </c>
      <c r="C14" s="94" t="str">
        <f>'Necesidades Trimestrales'!E12</f>
        <v>LECHE; ESTADO: LIQUIDO, TIPO: DESCREMADA, PROCESO: LARGA VIDA, AGREGADO: VITAMINAS A Y D, PRESENTACION: ENVASE X 1 L, MATERIAL ENVASE: PLASTICO, ELEM. TRANSPORTE: SIN, MATERIAL ELEM. TRANSPORTE: SIN, CERTIFICADO FORESTAL (GFS): SIN, LIBRE DE GLUTEN: SIN VALOR</v>
      </c>
      <c r="D14" s="94"/>
      <c r="E14" s="94"/>
      <c r="F14" s="94"/>
      <c r="G14" s="94"/>
      <c r="H14" s="67" t="s">
        <v>58</v>
      </c>
      <c r="I14" s="68" t="str">
        <f>'Necesidades Trimestrales'!F12</f>
        <v>LITROS</v>
      </c>
      <c r="J14" s="69">
        <f>'Necesidades Trimestrales'!H12</f>
        <v>71.975999999999999</v>
      </c>
      <c r="K14" s="70">
        <f>'Necesidades Trimestrales'!G12</f>
        <v>600</v>
      </c>
    </row>
    <row r="15" spans="1:11" ht="54.75" customHeight="1" thickBot="1" x14ac:dyDescent="0.25">
      <c r="A15" s="8">
        <v>4</v>
      </c>
      <c r="B15" s="66" t="str">
        <f>'Necesidades Trimestrales'!B13</f>
        <v>2.1.1-2868.55</v>
      </c>
      <c r="C15" s="94" t="str">
        <f>'Necesidades Trimestrales'!E13</f>
        <v>FIDEOS SECOS; VARIEDAD: TALLARIN, RELLENO: SIN, PRESENTACION: ENVASE X 500 GR, MATERIAL ENVASE: PLASTICO 1 (PET), ELEM. TRANSPORTE: SIN, MATERIAL ELEM. TRANSPORTE: SIN, CERTIFICADO FORESTAL (GFS): SIN, LIBRE DE GLUTEN: NO</v>
      </c>
      <c r="D15" s="94"/>
      <c r="E15" s="94"/>
      <c r="F15" s="94"/>
      <c r="G15" s="94"/>
      <c r="H15" s="67" t="s">
        <v>58</v>
      </c>
      <c r="I15" s="68" t="str">
        <f>'Necesidades Trimestrales'!F13</f>
        <v>PAQUETES</v>
      </c>
      <c r="J15" s="69">
        <f>'Necesidades Trimestrales'!H13</f>
        <v>46.655999999999999</v>
      </c>
      <c r="K15" s="70">
        <f>'Necesidades Trimestrales'!G13</f>
        <v>50</v>
      </c>
    </row>
    <row r="16" spans="1:11" ht="35.25" customHeight="1" thickBot="1" x14ac:dyDescent="0.25">
      <c r="A16" s="8">
        <v>5</v>
      </c>
      <c r="B16" s="66" t="str">
        <f>'Necesidades Trimestrales'!B14</f>
        <v>2.1.1-511.8</v>
      </c>
      <c r="C16" s="94" t="str">
        <f>'Necesidades Trimestrales'!E14</f>
        <v>TE; SAQUITOS 2G P/CAJA: 50, PESO: SIN VALOR, TIPO: SIN VALOR, PRESENTACION: EN SAQUITOS</v>
      </c>
      <c r="D16" s="94"/>
      <c r="E16" s="94"/>
      <c r="F16" s="94"/>
      <c r="G16" s="94"/>
      <c r="H16" s="67" t="s">
        <v>58</v>
      </c>
      <c r="I16" s="68" t="str">
        <f>'Necesidades Trimestrales'!F14</f>
        <v>CAJAS</v>
      </c>
      <c r="J16" s="69">
        <f>'Necesidades Trimestrales'!H14</f>
        <v>81.005999999999986</v>
      </c>
      <c r="K16" s="70">
        <f>'Necesidades Trimestrales'!G14</f>
        <v>650</v>
      </c>
    </row>
    <row r="17" spans="1:11" ht="50.25" customHeight="1" thickBot="1" x14ac:dyDescent="0.25">
      <c r="A17" s="8">
        <v>6</v>
      </c>
      <c r="B17" s="66" t="str">
        <f>'Necesidades Trimestrales'!B15</f>
        <v>2.1.1-454.25</v>
      </c>
      <c r="C17" s="94" t="str">
        <f>'Necesidades Trimestrales'!E15</f>
        <v>YERBAS; PALO: CON, PESO: 1 Kg, MATERIAL ENVASE : PAPEL, CERTIFICADO FORESTAL (GFS): CON, ELEM. TRANSPORTE: SIN, MATERIAL ELEM. TRANSPORTE: SIN, LIBRE DE GLUTEN: SI</v>
      </c>
      <c r="D17" s="94"/>
      <c r="E17" s="94"/>
      <c r="F17" s="94"/>
      <c r="G17" s="94"/>
      <c r="H17" s="67" t="s">
        <v>58</v>
      </c>
      <c r="I17" s="68" t="str">
        <f>'Necesidades Trimestrales'!F15</f>
        <v>PAQUETES</v>
      </c>
      <c r="J17" s="69">
        <f>'Necesidades Trimestrales'!H15</f>
        <v>226.79999999999998</v>
      </c>
      <c r="K17" s="70">
        <f>'Necesidades Trimestrales'!G15</f>
        <v>25</v>
      </c>
    </row>
    <row r="18" spans="1:11" ht="45" customHeight="1" thickBot="1" x14ac:dyDescent="0.25">
      <c r="A18" s="8">
        <v>7</v>
      </c>
      <c r="B18" s="66" t="str">
        <f>'Necesidades Trimestrales'!B16</f>
        <v>2.1.1-2126.13</v>
      </c>
      <c r="C18" s="94" t="str">
        <f>'Necesidades Trimestrales'!E16</f>
        <v>SEMOLAS; TIPO: VITINA, PRESENTACION: BOLSA, PESO: 500 GR, MATERIAL ENVASE: PLASTICO 1 (PET), CERTICADO FORESTAL (GFS): SIN, LIBRE DE GLUTEN: NO</v>
      </c>
      <c r="D18" s="94"/>
      <c r="E18" s="94"/>
      <c r="F18" s="94"/>
      <c r="G18" s="94"/>
      <c r="H18" s="67" t="s">
        <v>58</v>
      </c>
      <c r="I18" s="68" t="str">
        <f>'Necesidades Trimestrales'!F16</f>
        <v>PAQUETES</v>
      </c>
      <c r="J18" s="69">
        <f>'Necesidades Trimestrales'!H16</f>
        <v>102</v>
      </c>
      <c r="K18" s="70">
        <f>'Necesidades Trimestrales'!G16</f>
        <v>7</v>
      </c>
    </row>
    <row r="19" spans="1:11" ht="58.5" customHeight="1" thickBot="1" x14ac:dyDescent="0.25">
      <c r="A19" s="8">
        <v>8</v>
      </c>
      <c r="B19" s="66" t="str">
        <f>'Necesidades Trimestrales'!B17</f>
        <v>2.1.1-2868.53</v>
      </c>
      <c r="C19" s="94" t="str">
        <f>'Necesidades Trimestrales'!E17</f>
        <v>FIDEOS SECOS; VARIEDAD: TIRABUZON, RELLENO: SIN, PRESENTACION: ENVASE X 500 GR, MATERIAL ENVASE: PLASTICO 1 (PET), ELEM. TRANSPORTE: SIN, MATERIAL ELEM. TRANSPORTE: SIN, CERTIFICADO FORESTAL (GFS): SIN, LIBRE DE GLUTEN: NO</v>
      </c>
      <c r="D19" s="94"/>
      <c r="E19" s="94"/>
      <c r="F19" s="94"/>
      <c r="G19" s="94"/>
      <c r="H19" s="67" t="s">
        <v>58</v>
      </c>
      <c r="I19" s="68" t="str">
        <f>'Necesidades Trimestrales'!F17</f>
        <v>PAQUETES</v>
      </c>
      <c r="J19" s="69">
        <f>'Necesidades Trimestrales'!H17</f>
        <v>46.655999999999999</v>
      </c>
      <c r="K19" s="70">
        <f>'Necesidades Trimestrales'!G17</f>
        <v>42</v>
      </c>
    </row>
    <row r="20" spans="1:11" ht="27.75" customHeight="1" thickBot="1" x14ac:dyDescent="0.25">
      <c r="A20" s="8">
        <v>9</v>
      </c>
      <c r="B20" s="66" t="str">
        <f>'Necesidades Trimestrales'!B18</f>
        <v>2.1.1-613.9</v>
      </c>
      <c r="C20" s="94" t="str">
        <f>'Necesidades Trimestrales'!E18</f>
        <v>FECULA DE MAIZ; ENVASE: BOLSA, PESO: 500 GR, LIBRE DE GLUTEN: SI</v>
      </c>
      <c r="D20" s="94"/>
      <c r="E20" s="94"/>
      <c r="F20" s="94"/>
      <c r="G20" s="94"/>
      <c r="H20" s="67" t="s">
        <v>58</v>
      </c>
      <c r="I20" s="68" t="str">
        <f>'Necesidades Trimestrales'!F18</f>
        <v>PAQUETES</v>
      </c>
      <c r="J20" s="69">
        <f>'Necesidades Trimestrales'!H18</f>
        <v>94.787999999999997</v>
      </c>
      <c r="K20" s="70">
        <f>'Necesidades Trimestrales'!G18</f>
        <v>17</v>
      </c>
    </row>
    <row r="21" spans="1:11" ht="20.25" customHeight="1" thickBot="1" x14ac:dyDescent="0.25">
      <c r="A21" s="8">
        <v>10</v>
      </c>
      <c r="B21" s="66" t="str">
        <f>'Necesidades Trimestrales'!B19</f>
        <v>2.1.1-6547.57</v>
      </c>
      <c r="C21" s="94" t="str">
        <f>'Necesidades Trimestrales'!E19</f>
        <v>LEGUMBRES; VARIEDAD: LENTEJAS SECAS, ESTADO: SECO, PRESENTACION: BOLSA, PESO: 500 GR</v>
      </c>
      <c r="D21" s="94"/>
      <c r="E21" s="94"/>
      <c r="F21" s="94"/>
      <c r="G21" s="94"/>
      <c r="H21" s="67" t="s">
        <v>58</v>
      </c>
      <c r="I21" s="68" t="str">
        <f>'Necesidades Trimestrales'!F19</f>
        <v>PAQUETES</v>
      </c>
      <c r="J21" s="69">
        <f>'Necesidades Trimestrales'!H19</f>
        <v>118.044</v>
      </c>
      <c r="K21" s="70">
        <f>'Necesidades Trimestrales'!G19</f>
        <v>13</v>
      </c>
    </row>
    <row r="22" spans="1:11" ht="24.75" customHeight="1" thickBot="1" x14ac:dyDescent="0.25">
      <c r="A22" s="8">
        <v>11</v>
      </c>
      <c r="B22" s="66" t="str">
        <f>'Necesidades Trimestrales'!B20</f>
        <v>2.1.1-514.2</v>
      </c>
      <c r="C22" s="94" t="str">
        <f>'Necesidades Trimestrales'!E20</f>
        <v>SAL DE MESA; CONSISTENCIA: FINA, PESO: 500 GR, TIPO: SIN VALOR, ENVASE: PAQUETE</v>
      </c>
      <c r="D22" s="94"/>
      <c r="E22" s="94"/>
      <c r="F22" s="94"/>
      <c r="G22" s="94"/>
      <c r="H22" s="67" t="s">
        <v>58</v>
      </c>
      <c r="I22" s="68" t="str">
        <f>'Necesidades Trimestrales'!F20</f>
        <v>PAQUETES</v>
      </c>
      <c r="J22" s="69">
        <f>'Necesidades Trimestrales'!H20</f>
        <v>45.48</v>
      </c>
      <c r="K22" s="70">
        <f>'Necesidades Trimestrales'!G20</f>
        <v>33</v>
      </c>
    </row>
    <row r="23" spans="1:11" ht="20.25" customHeight="1" thickBot="1" x14ac:dyDescent="0.25">
      <c r="A23" s="8">
        <v>12</v>
      </c>
      <c r="B23" s="66" t="str">
        <f>'Necesidades Trimestrales'!B21</f>
        <v>2.1.1-514.11</v>
      </c>
      <c r="C23" s="94" t="str">
        <f>'Necesidades Trimestrales'!E21</f>
        <v>SAL DE MESA; CONSISTENCIA: GRUESA, PESO: 50 Kg, TIPO: SIN VALOR, ENVASE: BOLSA</v>
      </c>
      <c r="D23" s="94"/>
      <c r="E23" s="94"/>
      <c r="F23" s="94"/>
      <c r="G23" s="94"/>
      <c r="H23" s="67" t="s">
        <v>58</v>
      </c>
      <c r="I23" s="68" t="str">
        <f>'Necesidades Trimestrales'!F21</f>
        <v>BOLSAS</v>
      </c>
      <c r="J23" s="69">
        <f>'Necesidades Trimestrales'!H21</f>
        <v>2601</v>
      </c>
      <c r="K23" s="70">
        <f>'Necesidades Trimestrales'!G21</f>
        <v>5</v>
      </c>
    </row>
    <row r="24" spans="1:11" ht="40.5" customHeight="1" thickBot="1" x14ac:dyDescent="0.25">
      <c r="A24" s="8">
        <v>13</v>
      </c>
      <c r="B24" s="66" t="str">
        <f>'Necesidades Trimestrales'!B22</f>
        <v>2.1.1-482.61</v>
      </c>
      <c r="C24" s="94" t="str">
        <f>'Necesidades Trimestrales'!E22</f>
        <v>HARINAS; TIPO: LEUDANTE, PRESENTACION: ENVASE X 1 Kg, MATERIAL ENVASE: PAPEL, CERTICADO FORESTAL (GFS): SIN, ELEM. TRANSPORTE: PALLET RETORNABLE, MATERIAL ELEM. TRANSPORTE: MADERA</v>
      </c>
      <c r="D24" s="94"/>
      <c r="E24" s="94"/>
      <c r="F24" s="94"/>
      <c r="G24" s="94"/>
      <c r="H24" s="67" t="s">
        <v>58</v>
      </c>
      <c r="I24" s="68" t="str">
        <f>'Necesidades Trimestrales'!F22</f>
        <v>PAQUETES</v>
      </c>
      <c r="J24" s="69">
        <f>'Necesidades Trimestrales'!H22</f>
        <v>62.58</v>
      </c>
      <c r="K24" s="70">
        <f>'Necesidades Trimestrales'!G22</f>
        <v>17</v>
      </c>
    </row>
    <row r="25" spans="1:11" ht="42.75" customHeight="1" thickBot="1" x14ac:dyDescent="0.25">
      <c r="A25" s="8">
        <v>14</v>
      </c>
      <c r="B25" s="66" t="str">
        <f>'Necesidades Trimestrales'!B23</f>
        <v>2.1.1-482.69</v>
      </c>
      <c r="C25" s="94" t="str">
        <f>'Necesidades Trimestrales'!E23</f>
        <v>HARINAS; TIPO: MAIZ, PRESENTACION: ENVASE X 1 Kg, MATERIAL ENVASE: PAPEL, CERTICADO FORESTAL (GFS): SIN, ELEM. TRANSPORTE: SIN, MATERIAL ELEM. TRANSPORTE: SIN, LIBRE DE GLUTEN: NO</v>
      </c>
      <c r="D25" s="94"/>
      <c r="E25" s="94"/>
      <c r="F25" s="94"/>
      <c r="G25" s="94"/>
      <c r="H25" s="67" t="s">
        <v>58</v>
      </c>
      <c r="I25" s="68" t="str">
        <f>'Necesidades Trimestrales'!F23</f>
        <v>PAQUETES</v>
      </c>
      <c r="J25" s="69">
        <f>'Necesidades Trimestrales'!H23</f>
        <v>60.024000000000001</v>
      </c>
      <c r="K25" s="70">
        <f>'Necesidades Trimestrales'!G23</f>
        <v>10</v>
      </c>
    </row>
    <row r="26" spans="1:11" ht="38.25" customHeight="1" thickBot="1" x14ac:dyDescent="0.25">
      <c r="A26" s="8">
        <v>15</v>
      </c>
      <c r="B26" s="66" t="str">
        <f>'Necesidades Trimestrales'!B24</f>
        <v>2.1.1-706.4</v>
      </c>
      <c r="C26" s="94" t="str">
        <f>'Necesidades Trimestrales'!E24</f>
        <v>MATE COCIDO; ENVASE: CAJA CARTON, PESO X SAQ.: 3, PRESENTACION: ENSOBRADO, SAQUITOS P/CAJA: 50</v>
      </c>
      <c r="D26" s="94"/>
      <c r="E26" s="94"/>
      <c r="F26" s="94"/>
      <c r="G26" s="94"/>
      <c r="H26" s="67" t="s">
        <v>58</v>
      </c>
      <c r="I26" s="68" t="str">
        <f>'Necesidades Trimestrales'!F24</f>
        <v>CAJAS</v>
      </c>
      <c r="J26" s="69">
        <f>'Necesidades Trimestrales'!H24</f>
        <v>205.63200000000001</v>
      </c>
      <c r="K26" s="70">
        <f>'Necesidades Trimestrales'!G24</f>
        <v>25</v>
      </c>
    </row>
    <row r="27" spans="1:11" ht="28.5" customHeight="1" thickBot="1" x14ac:dyDescent="0.25">
      <c r="A27" s="8">
        <v>16</v>
      </c>
      <c r="B27" s="66" t="str">
        <f>'Necesidades Trimestrales'!B25</f>
        <v>2.1.1-595.2</v>
      </c>
      <c r="C27" s="94" t="str">
        <f>'Necesidades Trimestrales'!E25</f>
        <v>EDULCORANTES; PRESENTACION: LIQUIDO, ENVASE: BOTELLA PLASTICA, CONTENIDO: 500 CM3</v>
      </c>
      <c r="D27" s="94"/>
      <c r="E27" s="94"/>
      <c r="F27" s="94"/>
      <c r="G27" s="94"/>
      <c r="H27" s="67" t="s">
        <v>58</v>
      </c>
      <c r="I27" s="68" t="str">
        <f>'Necesidades Trimestrales'!F25</f>
        <v>BOTELLAS</v>
      </c>
      <c r="J27" s="69">
        <f>'Necesidades Trimestrales'!H25</f>
        <v>174</v>
      </c>
      <c r="K27" s="70">
        <f>'Necesidades Trimestrales'!G25</f>
        <v>17</v>
      </c>
    </row>
    <row r="28" spans="1:11" ht="53.25" customHeight="1" thickBot="1" x14ac:dyDescent="0.25">
      <c r="A28" s="8">
        <v>17</v>
      </c>
      <c r="B28" s="66" t="str">
        <f>'Necesidades Trimestrales'!B26</f>
        <v>2.1.1-2868.86</v>
      </c>
      <c r="C28" s="94" t="str">
        <f>'Necesidades Trimestrales'!E26</f>
        <v>FIDEOS SECOS; VARIEDAD: SPAGHETTI AL HUEVO, RELLENO: SIN, PRESENTACION: PAQUETE X 500 GR, MATERIAL ENVASE: PLASTICO 1 (PET), ELEM. TRANSPORTE: SIN, MATERIAL ELEM. TRANSPORTE: SIN, CERTIFICADO FORESTAL (GFS): SIN, LIBRE DE GLUTEN: NO</v>
      </c>
      <c r="D28" s="94"/>
      <c r="E28" s="94"/>
      <c r="F28" s="94"/>
      <c r="G28" s="94"/>
      <c r="H28" s="67" t="s">
        <v>58</v>
      </c>
      <c r="I28" s="68" t="str">
        <f>'Necesidades Trimestrales'!F26</f>
        <v>PAQUETES</v>
      </c>
      <c r="J28" s="69">
        <f>'Necesidades Trimestrales'!H26</f>
        <v>66.959999999999994</v>
      </c>
      <c r="K28" s="70">
        <f>'Necesidades Trimestrales'!G26</f>
        <v>50</v>
      </c>
    </row>
    <row r="29" spans="1:11" ht="49.5" customHeight="1" thickBot="1" x14ac:dyDescent="0.25">
      <c r="A29" s="8">
        <v>18</v>
      </c>
      <c r="B29" s="66" t="str">
        <f>'Necesidades Trimestrales'!B27</f>
        <v>2.1.1-482.80</v>
      </c>
      <c r="C29" s="94" t="str">
        <f>'Necesidades Trimestrales'!E27</f>
        <v>HARINAS; TIPO: DE TRIGO 000, PRESENTACION: ENVASE X 1 Kg, MATERIAL ENVASE: PAPEL, CERTICADO FORESTAL (GFS): SIN, ELEM. TRANSPORTE: SIN, MATERIAL ELEM. TRANSPORTE: SIN, LIBRE DE GLUTEN: NO</v>
      </c>
      <c r="D29" s="94"/>
      <c r="E29" s="94"/>
      <c r="F29" s="94"/>
      <c r="G29" s="94"/>
      <c r="H29" s="67" t="s">
        <v>58</v>
      </c>
      <c r="I29" s="68" t="str">
        <f>'Necesidades Trimestrales'!F27</f>
        <v>PAQUETES</v>
      </c>
      <c r="J29" s="69">
        <f>'Necesidades Trimestrales'!H27</f>
        <v>48.527999999999999</v>
      </c>
      <c r="K29" s="70">
        <f>'Necesidades Trimestrales'!G27</f>
        <v>10</v>
      </c>
    </row>
    <row r="30" spans="1:11" ht="54.75" customHeight="1" thickBot="1" x14ac:dyDescent="0.25">
      <c r="A30" s="8">
        <v>19</v>
      </c>
      <c r="B30" s="66" t="str">
        <f>'Necesidades Trimestrales'!B28</f>
        <v>2.1.1-435.38</v>
      </c>
      <c r="C30" s="94" t="str">
        <f>'Necesidades Trimestrales'!E28</f>
        <v>ARROZ; TIPO GRANO: DOBLE, TIPO: BLANCO, PROCESO: PARBOLIZADO, PRESENTACION: ENVASE X 1 Kg, MATERIAL ENVASE: CARTON, CERTIFICADO FORESTAL (GFS): SIN, ELEM. TRANSPORTE: SIN, MATERIAL ELEM. TRANSPORTE: SIN</v>
      </c>
      <c r="D30" s="94"/>
      <c r="E30" s="94"/>
      <c r="F30" s="94"/>
      <c r="G30" s="94"/>
      <c r="H30" s="67" t="s">
        <v>58</v>
      </c>
      <c r="I30" s="68" t="str">
        <f>'Necesidades Trimestrales'!F28</f>
        <v>PAQUETES</v>
      </c>
      <c r="J30" s="69">
        <f>'Necesidades Trimestrales'!H28</f>
        <v>150</v>
      </c>
      <c r="K30" s="70">
        <f>'Necesidades Trimestrales'!G28</f>
        <v>117</v>
      </c>
    </row>
    <row r="31" spans="1:11" ht="28.5" customHeight="1" thickBot="1" x14ac:dyDescent="0.25">
      <c r="A31" s="8">
        <v>20</v>
      </c>
      <c r="B31" s="66" t="str">
        <f>'Necesidades Trimestrales'!B29</f>
        <v>2.1.1-510.5</v>
      </c>
      <c r="C31" s="94" t="str">
        <f>'Necesidades Trimestrales'!E29</f>
        <v>GELATINAS; ENVASE: CAJA DE CARTON, PESO: 30 GR, TIPO: BAJAS CALORIAS, SABOR: FRUTILLA</v>
      </c>
      <c r="D31" s="94"/>
      <c r="E31" s="94"/>
      <c r="F31" s="94"/>
      <c r="G31" s="94"/>
      <c r="H31" s="67" t="s">
        <v>58</v>
      </c>
      <c r="I31" s="68" t="str">
        <f>'Necesidades Trimestrales'!F29</f>
        <v>CAJAS</v>
      </c>
      <c r="J31" s="69">
        <f>'Necesidades Trimestrales'!H29</f>
        <v>59.867999999999995</v>
      </c>
      <c r="K31" s="70">
        <f>'Necesidades Trimestrales'!G29</f>
        <v>133</v>
      </c>
    </row>
    <row r="32" spans="1:11" ht="53.25" customHeight="1" thickBot="1" x14ac:dyDescent="0.25">
      <c r="A32" s="8">
        <v>21</v>
      </c>
      <c r="B32" s="66" t="str">
        <f>'Necesidades Trimestrales'!B30</f>
        <v>2.1.1-435.50</v>
      </c>
      <c r="C32" s="94" t="str">
        <f>'Necesidades Trimestrales'!E30</f>
        <v>ARROZ; TIPO GRANO: ENTERO, TIPO: BLANCO, PROCESO: FORTIFICADO, PRESENTACION: ENVASE X 1 Kg, MATERIAL ENVASE: PLASTICO 1 (PET), CERTIFICADO FORESTAL (GFS): SIN, ELEM. TRANSPORTE: SIN, MATERIAL ELEM. TRANSPORTE: SIN, LIBRE DE GLUTEN: NO</v>
      </c>
      <c r="D32" s="94"/>
      <c r="E32" s="94"/>
      <c r="F32" s="94"/>
      <c r="G32" s="94"/>
      <c r="H32" s="67" t="s">
        <v>58</v>
      </c>
      <c r="I32" s="68" t="str">
        <f>'Necesidades Trimestrales'!F30</f>
        <v>PAQUETES</v>
      </c>
      <c r="J32" s="69">
        <f>'Necesidades Trimestrales'!H30</f>
        <v>81.216000000000008</v>
      </c>
      <c r="K32" s="70">
        <f>'Necesidades Trimestrales'!G30</f>
        <v>17</v>
      </c>
    </row>
    <row r="33" spans="1:11" ht="40.5" customHeight="1" thickBot="1" x14ac:dyDescent="0.25">
      <c r="A33" s="8">
        <v>22</v>
      </c>
      <c r="B33" s="66" t="str">
        <f>'Necesidades Trimestrales'!B31</f>
        <v>2.1.1-517.28</v>
      </c>
      <c r="C33" s="94" t="str">
        <f>'Necesidades Trimestrales'!E31</f>
        <v>POSTRES; SABOR: CHOCOLATE, ENVASE: CAJA DE CARTON, TIPO: DIETETICO, PESO: 30 GR, ESTADO PREPARACION: CON COCCION</v>
      </c>
      <c r="D33" s="94"/>
      <c r="E33" s="94"/>
      <c r="F33" s="94"/>
      <c r="G33" s="94"/>
      <c r="H33" s="67" t="s">
        <v>58</v>
      </c>
      <c r="I33" s="68" t="str">
        <f>'Necesidades Trimestrales'!F31</f>
        <v>CAJAS</v>
      </c>
      <c r="J33" s="69">
        <f>'Necesidades Trimestrales'!H31</f>
        <v>78</v>
      </c>
      <c r="K33" s="70">
        <f>'Necesidades Trimestrales'!G31</f>
        <v>20</v>
      </c>
    </row>
    <row r="34" spans="1:11" ht="45" customHeight="1" thickBot="1" x14ac:dyDescent="0.25">
      <c r="A34" s="8">
        <v>23</v>
      </c>
      <c r="B34" s="66" t="str">
        <f>'Necesidades Trimestrales'!B32</f>
        <v>2.1.1-517.86</v>
      </c>
      <c r="C34" s="94" t="str">
        <f>'Necesidades Trimestrales'!E32</f>
        <v>POSTRES; ESTADO PREPARACION: CON COCCION, TIPO: POLVO, ENVASE: CAJA DE CARTON, PESO: 80 GR, SABOR: VAINILLA, LIBRE DE GLUTEN: SI</v>
      </c>
      <c r="D34" s="94"/>
      <c r="E34" s="94"/>
      <c r="F34" s="94"/>
      <c r="G34" s="94"/>
      <c r="H34" s="67" t="s">
        <v>58</v>
      </c>
      <c r="I34" s="68" t="str">
        <f>'Necesidades Trimestrales'!F32</f>
        <v>CAJAS</v>
      </c>
      <c r="J34" s="69">
        <f>'Necesidades Trimestrales'!H32</f>
        <v>39.527999999999999</v>
      </c>
      <c r="K34" s="70">
        <f>'Necesidades Trimestrales'!G32</f>
        <v>13</v>
      </c>
    </row>
    <row r="35" spans="1:11" ht="30" customHeight="1" thickBot="1" x14ac:dyDescent="0.25">
      <c r="A35" s="8">
        <v>24</v>
      </c>
      <c r="B35" s="66" t="str">
        <f>'Necesidades Trimestrales'!B33</f>
        <v>2.1.1-5917.8</v>
      </c>
      <c r="C35" s="94" t="str">
        <f>'Necesidades Trimestrales'!E33</f>
        <v>CEREALES; TIPO: TRIGO BURGOL, PRESENTACION: ENVASE X 1 Kg</v>
      </c>
      <c r="D35" s="94"/>
      <c r="E35" s="94"/>
      <c r="F35" s="94"/>
      <c r="G35" s="94"/>
      <c r="H35" s="67" t="s">
        <v>58</v>
      </c>
      <c r="I35" s="68" t="str">
        <f>'Necesidades Trimestrales'!F33</f>
        <v>PAQUETES</v>
      </c>
      <c r="J35" s="69">
        <f>'Necesidades Trimestrales'!H33</f>
        <v>95</v>
      </c>
      <c r="K35" s="70">
        <f>'Necesidades Trimestrales'!G33</f>
        <v>4</v>
      </c>
    </row>
    <row r="36" spans="1:11" ht="36" customHeight="1" thickBot="1" x14ac:dyDescent="0.25">
      <c r="A36" s="8">
        <v>25</v>
      </c>
      <c r="B36" s="66" t="str">
        <f>'Necesidades Trimestrales'!B34</f>
        <v>2.1.1-6539.114</v>
      </c>
      <c r="C36" s="94" t="str">
        <f>'Necesidades Trimestrales'!E34</f>
        <v>FRUTAS; VARIEDAD: CIRUELA ( SIN CAROZO ), ESTADO: DESECADA, PRESENTACION: ENVASE X 10 Kg, PESO: 10 Kg</v>
      </c>
      <c r="D36" s="94"/>
      <c r="E36" s="94"/>
      <c r="F36" s="94"/>
      <c r="G36" s="94"/>
      <c r="H36" s="67" t="s">
        <v>58</v>
      </c>
      <c r="I36" s="68" t="str">
        <f>'Necesidades Trimestrales'!F34</f>
        <v>ENVASE</v>
      </c>
      <c r="J36" s="69">
        <f>'Necesidades Trimestrales'!H34</f>
        <v>5600</v>
      </c>
      <c r="K36" s="70">
        <f>'Necesidades Trimestrales'!G34</f>
        <v>1</v>
      </c>
    </row>
    <row r="37" spans="1:11" ht="45.75" customHeight="1" thickBot="1" x14ac:dyDescent="0.25">
      <c r="A37" s="8">
        <v>26</v>
      </c>
      <c r="B37" s="66" t="str">
        <f>'Necesidades Trimestrales'!B35</f>
        <v>2.1.1-6539.178</v>
      </c>
      <c r="C37" s="94" t="str">
        <f>'Necesidades Trimestrales'!E35</f>
        <v>FRUTAS; VARIEDAD: DURAZNO ( SIN CAROZO ), ESTADO: DESECADA, PRESENTACION: ENVASE X 5 Kg, ELEM. TRANSPORTE: SIN, MATERIAL ELEM. TRANSPORTE: SIN</v>
      </c>
      <c r="D37" s="94"/>
      <c r="E37" s="94"/>
      <c r="F37" s="94"/>
      <c r="G37" s="94"/>
      <c r="H37" s="67" t="s">
        <v>58</v>
      </c>
      <c r="I37" s="68" t="str">
        <f>'Necesidades Trimestrales'!F35</f>
        <v>ENVASE</v>
      </c>
      <c r="J37" s="69">
        <f>'Necesidades Trimestrales'!H35</f>
        <v>3400</v>
      </c>
      <c r="K37" s="70">
        <f>'Necesidades Trimestrales'!G35</f>
        <v>1</v>
      </c>
    </row>
    <row r="38" spans="1:11" ht="37.5" customHeight="1" thickBot="1" x14ac:dyDescent="0.25">
      <c r="A38" s="8">
        <v>27</v>
      </c>
      <c r="B38" s="66" t="str">
        <f>'Necesidades Trimestrales'!B36</f>
        <v>2.1.1-513.9</v>
      </c>
      <c r="C38" s="94" t="str">
        <f>'Necesidades Trimestrales'!E36</f>
        <v>FLANES; PESO: 60 GR, ENVASE: CAJA CARTON, ESTADO PREPARACION: CON COCCION, SABOR: VAINILLA, TIPO: SIN VALOR, PRESENTACION: 60 GR</v>
      </c>
      <c r="D38" s="94"/>
      <c r="E38" s="94"/>
      <c r="F38" s="94"/>
      <c r="G38" s="94"/>
      <c r="H38" s="67" t="s">
        <v>58</v>
      </c>
      <c r="I38" s="68" t="str">
        <f>'Necesidades Trimestrales'!F36</f>
        <v>CAJAS</v>
      </c>
      <c r="J38" s="69">
        <f>'Necesidades Trimestrales'!H36</f>
        <v>42.636000000000003</v>
      </c>
      <c r="K38" s="70">
        <f>'Necesidades Trimestrales'!G36</f>
        <v>67</v>
      </c>
    </row>
    <row r="39" spans="1:11" ht="39.75" customHeight="1" thickBot="1" x14ac:dyDescent="0.25">
      <c r="A39" s="8">
        <v>28</v>
      </c>
      <c r="B39" s="66" t="str">
        <f>'Necesidades Trimestrales'!B37</f>
        <v>2.1.1-519.27</v>
      </c>
      <c r="C39" s="94" t="str">
        <f>'Necesidades Trimestrales'!E37</f>
        <v>VINAGRES; TIPO: VINO, PRESENTACION: ENVASE X 1 L, MATERIAL ENVASE: PLASTICO 1 (PET), LIBRE DE GLUTEN: NO</v>
      </c>
      <c r="D39" s="94"/>
      <c r="E39" s="94"/>
      <c r="F39" s="94"/>
      <c r="G39" s="94"/>
      <c r="H39" s="67" t="s">
        <v>58</v>
      </c>
      <c r="I39" s="68" t="str">
        <f>'Necesidades Trimestrales'!F37</f>
        <v>BOTELLA</v>
      </c>
      <c r="J39" s="69">
        <f>'Necesidades Trimestrales'!H37</f>
        <v>98.399999999999991</v>
      </c>
      <c r="K39" s="70">
        <f>'Necesidades Trimestrales'!G37</f>
        <v>7</v>
      </c>
    </row>
    <row r="40" spans="1:11" ht="27" customHeight="1" thickBot="1" x14ac:dyDescent="0.25">
      <c r="A40" s="8">
        <v>29</v>
      </c>
      <c r="B40" s="66" t="str">
        <f>'Necesidades Trimestrales'!B38</f>
        <v>2.1.1-2124.3</v>
      </c>
      <c r="C40" s="94" t="str">
        <f>'Necesidades Trimestrales'!E38</f>
        <v>AVENAS; TIPO: ARROLLADA, ESTADO: NATURAL, PRESENTACION: BOLSA, PESO: 1 Kg</v>
      </c>
      <c r="D40" s="94"/>
      <c r="E40" s="94"/>
      <c r="F40" s="94"/>
      <c r="G40" s="94"/>
      <c r="H40" s="67" t="s">
        <v>58</v>
      </c>
      <c r="I40" s="68" t="str">
        <f>'Necesidades Trimestrales'!F38</f>
        <v>PAQUETES</v>
      </c>
      <c r="J40" s="69">
        <f>'Necesidades Trimestrales'!H38</f>
        <v>204</v>
      </c>
      <c r="K40" s="70">
        <f>'Necesidades Trimestrales'!G38</f>
        <v>4</v>
      </c>
    </row>
    <row r="41" spans="1:11" ht="42.75" customHeight="1" thickBot="1" x14ac:dyDescent="0.25">
      <c r="A41" s="8">
        <v>30</v>
      </c>
      <c r="B41" s="66" t="str">
        <f>'Necesidades Trimestrales'!B39</f>
        <v>2.1.1-6547.84</v>
      </c>
      <c r="C41" s="94" t="str">
        <f>'Necesidades Trimestrales'!E39</f>
        <v>LEGUMBRES; VARIEDAD: ARVEJAS, ESTADO: CONSERVA, PRESENTACION: LATA, PESO: 350 GR, MATERIAL ENVASE: METAL, ELEM. TRANSPORTE: SIN, MATERIAL ELEM. TRANSPORTE: SIN, LIBRE DE GLUTEN: NO</v>
      </c>
      <c r="D41" s="94"/>
      <c r="E41" s="94"/>
      <c r="F41" s="94"/>
      <c r="G41" s="94"/>
      <c r="H41" s="67" t="s">
        <v>58</v>
      </c>
      <c r="I41" s="68" t="str">
        <f>'Necesidades Trimestrales'!F39</f>
        <v>LATAS</v>
      </c>
      <c r="J41" s="69">
        <f>'Necesidades Trimestrales'!H39</f>
        <v>36.119999999999997</v>
      </c>
      <c r="K41" s="70">
        <f>'Necesidades Trimestrales'!G39</f>
        <v>100</v>
      </c>
    </row>
    <row r="42" spans="1:11" ht="50.25" customHeight="1" thickBot="1" x14ac:dyDescent="0.25">
      <c r="A42" s="8">
        <v>31</v>
      </c>
      <c r="B42" s="66" t="str">
        <f>'Necesidades Trimestrales'!B40</f>
        <v>2.1.1-708.43</v>
      </c>
      <c r="C42" s="94" t="str">
        <f>'Necesidades Trimestrales'!E40</f>
        <v>CONSERVAS PESCADO Y FRUTOS MAR; TIPO: ATUN, ESTADO: AL NATURAL, PESO: 170 GR, ENVASE: LATA, ELEM. TRANSPORTE: SIN, MATERIAL ELEM. TRANSPORTE: SIN</v>
      </c>
      <c r="D42" s="94"/>
      <c r="E42" s="94"/>
      <c r="F42" s="94"/>
      <c r="G42" s="94"/>
      <c r="H42" s="67" t="s">
        <v>58</v>
      </c>
      <c r="I42" s="68" t="str">
        <f>'Necesidades Trimestrales'!F40</f>
        <v>LATAS</v>
      </c>
      <c r="J42" s="69">
        <f>'Necesidades Trimestrales'!H40</f>
        <v>162</v>
      </c>
      <c r="K42" s="70">
        <f>'Necesidades Trimestrales'!G40</f>
        <v>33</v>
      </c>
    </row>
    <row r="43" spans="1:11" ht="38.25" customHeight="1" thickBot="1" x14ac:dyDescent="0.25">
      <c r="A43" s="8">
        <v>32</v>
      </c>
      <c r="B43" s="66" t="str">
        <f>'Necesidades Trimestrales'!B41</f>
        <v>2.1.1-6546.183</v>
      </c>
      <c r="C43" s="94" t="str">
        <f>'Necesidades Trimestrales'!E41</f>
        <v>VERDURAS Y HORTALIZAS; VARIEDAD: TOMATE PERITA, ESTADO: NATURAL, PRESENTACION: LATA, PESO: 380 GR</v>
      </c>
      <c r="D43" s="94"/>
      <c r="E43" s="94"/>
      <c r="F43" s="94"/>
      <c r="G43" s="94"/>
      <c r="H43" s="67" t="s">
        <v>58</v>
      </c>
      <c r="I43" s="68" t="str">
        <f>'Necesidades Trimestrales'!F41</f>
        <v>LATAS</v>
      </c>
      <c r="J43" s="69">
        <f>'Necesidades Trimestrales'!H41</f>
        <v>68.783999999999992</v>
      </c>
      <c r="K43" s="70">
        <f>'Necesidades Trimestrales'!G41</f>
        <v>100</v>
      </c>
    </row>
    <row r="44" spans="1:11" ht="27" customHeight="1" thickBot="1" x14ac:dyDescent="0.25">
      <c r="A44" s="8">
        <v>33</v>
      </c>
      <c r="B44" s="66" t="str">
        <f>'Necesidades Trimestrales'!B42</f>
        <v>2.1.1-6539.46</v>
      </c>
      <c r="C44" s="94" t="str">
        <f>'Necesidades Trimestrales'!E42</f>
        <v>FRUTAS; VARIEDAD: DURAZNO, ESTADO: CONSERVA, PRESENTACION: ENVASE X 800 GR, PESO: 800 GR</v>
      </c>
      <c r="D44" s="94"/>
      <c r="E44" s="94"/>
      <c r="F44" s="94"/>
      <c r="G44" s="94"/>
      <c r="H44" s="67" t="s">
        <v>58</v>
      </c>
      <c r="I44" s="68" t="str">
        <f>'Necesidades Trimestrales'!F42</f>
        <v>LATAS</v>
      </c>
      <c r="J44" s="69">
        <f>'Necesidades Trimestrales'!H42</f>
        <v>198</v>
      </c>
      <c r="K44" s="70">
        <f>'Necesidades Trimestrales'!G42</f>
        <v>200</v>
      </c>
    </row>
    <row r="45" spans="1:11" ht="50.25" customHeight="1" thickBot="1" x14ac:dyDescent="0.25">
      <c r="A45" s="8">
        <v>34</v>
      </c>
      <c r="B45" s="66" t="str">
        <f>'Necesidades Trimestrales'!B43</f>
        <v>2.1.1-597.41</v>
      </c>
      <c r="C45" s="94" t="str">
        <f>'Necesidades Trimestrales'!E43</f>
        <v>CONSERVAS DE FRUTAS; VARIEDAD: COCTEL, ENVASE: LATA, PESO: 800 GR, ELEM. TRANSPORTE: SIN, MATERIAL ELEM. TRANSPORTE: SIN, LIBRE DE GLUTEN: NO</v>
      </c>
      <c r="D45" s="94"/>
      <c r="E45" s="94"/>
      <c r="F45" s="94"/>
      <c r="G45" s="94"/>
      <c r="H45" s="67" t="s">
        <v>58</v>
      </c>
      <c r="I45" s="68" t="str">
        <f>'Necesidades Trimestrales'!F43</f>
        <v>LATAS</v>
      </c>
      <c r="J45" s="69">
        <f>'Necesidades Trimestrales'!H43</f>
        <v>252</v>
      </c>
      <c r="K45" s="70">
        <f>'Necesidades Trimestrales'!G43</f>
        <v>200</v>
      </c>
    </row>
    <row r="46" spans="1:11" ht="43.5" customHeight="1" thickBot="1" x14ac:dyDescent="0.25">
      <c r="A46" s="8">
        <v>35</v>
      </c>
      <c r="B46" s="66" t="str">
        <f>'Necesidades Trimestrales'!B44</f>
        <v>2.1.1-6558.8</v>
      </c>
      <c r="C46" s="94" t="str">
        <f>'Necesidades Trimestrales'!E44</f>
        <v>JARDINERA; PRESENTACION: ENVASE X 350 GR, PESO: SIN VALOR, MATERIAL ENVASE: METAL, ELEM. TRANSPORTE: SIN, MATERIAL ELEM. TRANSPORTE: SIN</v>
      </c>
      <c r="D46" s="94"/>
      <c r="E46" s="94"/>
      <c r="F46" s="94"/>
      <c r="G46" s="94"/>
      <c r="H46" s="67" t="s">
        <v>58</v>
      </c>
      <c r="I46" s="68" t="str">
        <f>'Necesidades Trimestrales'!F44</f>
        <v>LATAS</v>
      </c>
      <c r="J46" s="69">
        <f>'Necesidades Trimestrales'!H44</f>
        <v>69.899999999999991</v>
      </c>
      <c r="K46" s="70">
        <f>'Necesidades Trimestrales'!G44</f>
        <v>67</v>
      </c>
    </row>
    <row r="47" spans="1:11" ht="30" customHeight="1" thickBot="1" x14ac:dyDescent="0.25">
      <c r="A47" s="8">
        <v>36</v>
      </c>
      <c r="B47" s="66" t="str">
        <f>'Necesidades Trimestrales'!B45</f>
        <v>2.1.1-438.37</v>
      </c>
      <c r="C47" s="94" t="str">
        <f>'Necesidades Trimestrales'!E45</f>
        <v>ADEREZOS; TIPO: MAYONESA, ENVASE: BOLSA, CONTENIDO: 2,9 Kg, PRESENTACION: ENVASE X 2,9 Kg</v>
      </c>
      <c r="D47" s="94"/>
      <c r="E47" s="94"/>
      <c r="F47" s="94"/>
      <c r="G47" s="94"/>
      <c r="H47" s="67" t="s">
        <v>58</v>
      </c>
      <c r="I47" s="68" t="str">
        <f>'Necesidades Trimestrales'!F45</f>
        <v>SACHET</v>
      </c>
      <c r="J47" s="69">
        <f>'Necesidades Trimestrales'!H45</f>
        <v>590.75999999999988</v>
      </c>
      <c r="K47" s="70">
        <f>'Necesidades Trimestrales'!G45</f>
        <v>5</v>
      </c>
    </row>
    <row r="48" spans="1:11" ht="20.25" customHeight="1" thickBot="1" x14ac:dyDescent="0.25">
      <c r="A48" s="8">
        <v>37</v>
      </c>
      <c r="B48" s="66" t="str">
        <f>'Necesidades Trimestrales'!B46</f>
        <v>2.1.1-6546.269</v>
      </c>
      <c r="C48" s="94" t="str">
        <f>'Necesidades Trimestrales'!E46</f>
        <v>VERDURAS Y HORTALIZAS; VARIEDAD: CHOCLO, ESTADO: GRANO, PRESENTACION: LATA, PESO: 350 GR</v>
      </c>
      <c r="D48" s="94"/>
      <c r="E48" s="94"/>
      <c r="F48" s="94"/>
      <c r="G48" s="94"/>
      <c r="H48" s="67" t="s">
        <v>58</v>
      </c>
      <c r="I48" s="68" t="str">
        <f>'Necesidades Trimestrales'!F46</f>
        <v>LATAS</v>
      </c>
      <c r="J48" s="69">
        <f>'Necesidades Trimestrales'!H46</f>
        <v>80.207999999999998</v>
      </c>
      <c r="K48" s="70">
        <f>'Necesidades Trimestrales'!G46</f>
        <v>67</v>
      </c>
    </row>
    <row r="49" spans="1:11" ht="54" customHeight="1" thickBot="1" x14ac:dyDescent="0.25">
      <c r="A49" s="8">
        <v>38</v>
      </c>
      <c r="B49" s="66" t="str">
        <f>'Necesidades Trimestrales'!B47</f>
        <v>2.1.1-6546.81</v>
      </c>
      <c r="C49" s="94" t="str">
        <f>'Necesidades Trimestrales'!E47</f>
        <v>VERDURAS Y HORTALIZAS; VARIEDAD: TOMATE, ESTADO: PURE NATURAL, PRESENTACION: CAJA, PESO: 500 GR</v>
      </c>
      <c r="D49" s="94"/>
      <c r="E49" s="94"/>
      <c r="F49" s="94"/>
      <c r="G49" s="94"/>
      <c r="H49" s="67" t="s">
        <v>58</v>
      </c>
      <c r="I49" s="68" t="str">
        <f>'Necesidades Trimestrales'!F47</f>
        <v>CAJAS</v>
      </c>
      <c r="J49" s="69">
        <f>'Necesidades Trimestrales'!H47</f>
        <v>50.832000000000001</v>
      </c>
      <c r="K49" s="70">
        <f>'Necesidades Trimestrales'!G47</f>
        <v>100</v>
      </c>
    </row>
    <row r="50" spans="1:11" ht="30.75" customHeight="1" thickBot="1" x14ac:dyDescent="0.25">
      <c r="A50" s="8">
        <v>39</v>
      </c>
      <c r="B50" s="66" t="str">
        <f>'Necesidades Trimestrales'!B48</f>
        <v>2.1.1-2113.1</v>
      </c>
      <c r="C50" s="94" t="str">
        <f>'Necesidades Trimestrales'!E48</f>
        <v>DULCES; TIPO: DE BATATA, PRESENTACION: LATA, PESO: 5</v>
      </c>
      <c r="D50" s="94"/>
      <c r="E50" s="94"/>
      <c r="F50" s="94"/>
      <c r="G50" s="94"/>
      <c r="H50" s="67" t="s">
        <v>58</v>
      </c>
      <c r="I50" s="68" t="str">
        <f>'Necesidades Trimestrales'!F48</f>
        <v>UNIDAD</v>
      </c>
      <c r="J50" s="69">
        <f>'Necesidades Trimestrales'!H48</f>
        <v>942</v>
      </c>
      <c r="K50" s="70">
        <f>'Necesidades Trimestrales'!G48</f>
        <v>13</v>
      </c>
    </row>
    <row r="51" spans="1:11" ht="27" customHeight="1" thickBot="1" x14ac:dyDescent="0.25">
      <c r="A51" s="8">
        <v>40</v>
      </c>
      <c r="B51" s="66" t="str">
        <f>'Necesidades Trimestrales'!B49</f>
        <v>2.1.1-2113.2</v>
      </c>
      <c r="C51" s="94" t="str">
        <f>'Necesidades Trimestrales'!E49</f>
        <v>DULCES; TIPO: DE MEMBRILLO, PRESENTACION: LATA, PESO: 5 Kg</v>
      </c>
      <c r="D51" s="94"/>
      <c r="E51" s="94"/>
      <c r="F51" s="94"/>
      <c r="G51" s="94"/>
      <c r="H51" s="67" t="s">
        <v>58</v>
      </c>
      <c r="I51" s="68" t="str">
        <f>'Necesidades Trimestrales'!F49</f>
        <v>UNIDAD</v>
      </c>
      <c r="J51" s="69">
        <f>'Necesidades Trimestrales'!H49</f>
        <v>915.07199999999989</v>
      </c>
      <c r="K51" s="70">
        <f>'Necesidades Trimestrales'!G49</f>
        <v>13</v>
      </c>
    </row>
    <row r="52" spans="1:11" ht="42.75" customHeight="1" thickBot="1" x14ac:dyDescent="0.25">
      <c r="A52" s="8">
        <v>41</v>
      </c>
      <c r="B52" s="66" t="str">
        <f>'Necesidades Trimestrales'!B50</f>
        <v>2.1.1-6546.336</v>
      </c>
      <c r="C52" s="94" t="str">
        <f>'Necesidades Trimestrales'!E50</f>
        <v>VERDURAS Y HORTALIZAS; VARIEDAD: CHOCLO, ESTADO: CREMOSO, PRESENTACION: LATA, PESO: 350 GR, ELEM. TRANSPORTE: SIN, MATERIAL ELEM. TRANSPORTE: SIN, LIBRE DE GLUTEN: NO</v>
      </c>
      <c r="D52" s="94"/>
      <c r="E52" s="94"/>
      <c r="F52" s="94"/>
      <c r="G52" s="94"/>
      <c r="H52" s="67" t="s">
        <v>58</v>
      </c>
      <c r="I52" s="68" t="str">
        <f>'Necesidades Trimestrales'!F50</f>
        <v>LATAS</v>
      </c>
      <c r="J52" s="69">
        <f>'Necesidades Trimestrales'!H50</f>
        <v>54.059999999999995</v>
      </c>
      <c r="K52" s="70">
        <f>'Necesidades Trimestrales'!G50</f>
        <v>17</v>
      </c>
    </row>
    <row r="53" spans="1:11" ht="20.25" customHeight="1" thickBot="1" x14ac:dyDescent="0.25">
      <c r="A53" s="8">
        <v>42</v>
      </c>
      <c r="B53" s="66" t="str">
        <f>'Necesidades Trimestrales'!B51</f>
        <v>2.1.1-489.66</v>
      </c>
      <c r="C53" s="94" t="str">
        <f>'Necesidades Trimestrales'!E51</f>
        <v>ESPECIAS; TIPO: OREGANO, PRESENTACION: BOLSA DE 1 Kg</v>
      </c>
      <c r="D53" s="94"/>
      <c r="E53" s="94"/>
      <c r="F53" s="94"/>
      <c r="G53" s="94"/>
      <c r="H53" s="67" t="s">
        <v>58</v>
      </c>
      <c r="I53" s="68" t="str">
        <f>'Necesidades Trimestrales'!F51</f>
        <v>KG</v>
      </c>
      <c r="J53" s="69">
        <f>'Necesidades Trimestrales'!H51</f>
        <v>1903.1999999999998</v>
      </c>
      <c r="K53" s="70">
        <f>'Necesidades Trimestrales'!G51</f>
        <v>3</v>
      </c>
    </row>
    <row r="54" spans="1:11" ht="20.25" customHeight="1" thickBot="1" x14ac:dyDescent="0.25">
      <c r="A54" s="8">
        <v>43</v>
      </c>
      <c r="B54" s="66" t="str">
        <f>'Necesidades Trimestrales'!B52</f>
        <v>2.1.1-489.67</v>
      </c>
      <c r="C54" s="94" t="str">
        <f>'Necesidades Trimestrales'!E52</f>
        <v>ESPECIAS; TIPO: PIMENTON, PRESENTACION: BOLSA DE 1 Kg</v>
      </c>
      <c r="D54" s="94"/>
      <c r="E54" s="94"/>
      <c r="F54" s="94"/>
      <c r="G54" s="94"/>
      <c r="H54" s="67" t="s">
        <v>58</v>
      </c>
      <c r="I54" s="68" t="str">
        <f>'Necesidades Trimestrales'!F52</f>
        <v>KG</v>
      </c>
      <c r="J54" s="69">
        <f>'Necesidades Trimestrales'!H52</f>
        <v>1335.12</v>
      </c>
      <c r="K54" s="70">
        <f>'Necesidades Trimestrales'!G52</f>
        <v>3</v>
      </c>
    </row>
    <row r="55" spans="1:11" ht="20.25" customHeight="1" thickBot="1" x14ac:dyDescent="0.25">
      <c r="A55" s="8">
        <v>44</v>
      </c>
      <c r="B55" s="66" t="str">
        <f>'Necesidades Trimestrales'!B53</f>
        <v>2.1.1-489.53</v>
      </c>
      <c r="C55" s="94" t="str">
        <f>'Necesidades Trimestrales'!E53</f>
        <v>ESPECIAS; TIPO: NUEZ MOSCADA, PRESENTACION: POLVO</v>
      </c>
      <c r="D55" s="94"/>
      <c r="E55" s="94"/>
      <c r="F55" s="94"/>
      <c r="G55" s="94"/>
      <c r="H55" s="67" t="s">
        <v>58</v>
      </c>
      <c r="I55" s="68" t="str">
        <f>'Necesidades Trimestrales'!F53</f>
        <v>KG</v>
      </c>
      <c r="J55" s="69">
        <f>'Necesidades Trimestrales'!H53</f>
        <v>4518.7199999999993</v>
      </c>
      <c r="K55" s="70">
        <f>'Necesidades Trimestrales'!G53</f>
        <v>1</v>
      </c>
    </row>
    <row r="56" spans="1:11" ht="20.25" customHeight="1" thickBot="1" x14ac:dyDescent="0.25">
      <c r="A56" s="8">
        <v>45</v>
      </c>
      <c r="B56" s="66" t="str">
        <f>'Necesidades Trimestrales'!B54</f>
        <v>2.1.1-489.132</v>
      </c>
      <c r="C56" s="94" t="str">
        <f>'Necesidades Trimestrales'!E54</f>
        <v>ESPECIAS; TIPO: PIMIENTA BLANCA, PRESENTACION: ENVASE X 1 Kg</v>
      </c>
      <c r="D56" s="94"/>
      <c r="E56" s="94"/>
      <c r="F56" s="94"/>
      <c r="G56" s="94"/>
      <c r="H56" s="67" t="s">
        <v>58</v>
      </c>
      <c r="I56" s="68" t="str">
        <f>'Necesidades Trimestrales'!F54</f>
        <v>KG</v>
      </c>
      <c r="J56" s="69">
        <f>'Necesidades Trimestrales'!H54</f>
        <v>1452.9599999999998</v>
      </c>
      <c r="K56" s="70">
        <f>'Necesidades Trimestrales'!G54</f>
        <v>1</v>
      </c>
    </row>
    <row r="57" spans="1:11" ht="20.25" customHeight="1" thickBot="1" x14ac:dyDescent="0.25">
      <c r="A57" s="8">
        <v>46</v>
      </c>
      <c r="B57" s="66" t="str">
        <f>'Necesidades Trimestrales'!B55</f>
        <v>2.1.1-621.7</v>
      </c>
      <c r="C57" s="94" t="str">
        <f>'Necesidades Trimestrales'!E55</f>
        <v>AVES; ESPECIE: POLLO, EVISCERADO: SIN MENUDOS, PRESENTACION: ENTERO, TIPO: POLLO</v>
      </c>
      <c r="D57" s="94"/>
      <c r="E57" s="94"/>
      <c r="F57" s="94"/>
      <c r="G57" s="94"/>
      <c r="H57" s="67" t="s">
        <v>58</v>
      </c>
      <c r="I57" s="68" t="str">
        <f>'Necesidades Trimestrales'!F55</f>
        <v>KG</v>
      </c>
      <c r="J57" s="69">
        <f>'Necesidades Trimestrales'!H55</f>
        <v>127.08</v>
      </c>
      <c r="K57" s="70">
        <f>'Necesidades Trimestrales'!G55</f>
        <v>1000</v>
      </c>
    </row>
    <row r="58" spans="1:11" ht="20.25" customHeight="1" thickBot="1" x14ac:dyDescent="0.25">
      <c r="A58" s="8">
        <v>47</v>
      </c>
      <c r="B58" s="66" t="str">
        <f>'Necesidades Trimestrales'!B56</f>
        <v>2.1.1-483.20</v>
      </c>
      <c r="C58" s="94" t="str">
        <f>'Necesidades Trimestrales'!E56</f>
        <v>HUEVO DE GALLINA; COLOR: COLOR, PRESENTACION: 60, TAMAÑO: MEDIANOS</v>
      </c>
      <c r="D58" s="94"/>
      <c r="E58" s="94"/>
      <c r="F58" s="94"/>
      <c r="G58" s="94"/>
      <c r="H58" s="67" t="s">
        <v>58</v>
      </c>
      <c r="I58" s="68" t="str">
        <f>'Necesidades Trimestrales'!F56</f>
        <v>UNIDAD</v>
      </c>
      <c r="J58" s="69">
        <f>'Necesidades Trimestrales'!H56</f>
        <v>594</v>
      </c>
      <c r="K58" s="70">
        <f>'Necesidades Trimestrales'!G56</f>
        <v>160</v>
      </c>
    </row>
    <row r="59" spans="1:11" ht="43.5" customHeight="1" thickBot="1" x14ac:dyDescent="0.25">
      <c r="A59" s="8">
        <v>48</v>
      </c>
      <c r="B59" s="66" t="str">
        <f>'Necesidades Trimestrales'!B57</f>
        <v>2.1.1-621.11</v>
      </c>
      <c r="C59" s="94" t="str">
        <f>'Necesidades Trimestrales'!E57</f>
        <v>AVES; ESPECIE: PECHUGA DE POLLO, PRESENTACION: BOLSA X 2 Kg, EVISCERADO: SIN VALOR, TIPO: PECHUGA DE POLLO</v>
      </c>
      <c r="D59" s="94"/>
      <c r="E59" s="94"/>
      <c r="F59" s="94"/>
      <c r="G59" s="94"/>
      <c r="H59" s="67" t="s">
        <v>58</v>
      </c>
      <c r="I59" s="68" t="str">
        <f>'Necesidades Trimestrales'!F57</f>
        <v>BOLSAS</v>
      </c>
      <c r="J59" s="69">
        <f>'Necesidades Trimestrales'!H57</f>
        <v>936</v>
      </c>
      <c r="K59" s="70">
        <f>'Necesidades Trimestrales'!G57</f>
        <v>70</v>
      </c>
    </row>
    <row r="60" spans="1:11" ht="51" customHeight="1" thickBot="1" x14ac:dyDescent="0.25">
      <c r="A60" s="8">
        <v>49</v>
      </c>
      <c r="B60" s="66" t="str">
        <f>'Necesidades Trimestrales'!B58</f>
        <v>2.1.1-590.27</v>
      </c>
      <c r="C60" s="94" t="str">
        <f>'Necesidades Trimestrales'!E58</f>
        <v>PESCADOS Y FRUTOS CONGELADOS; TIPO: FILET DE MERLUZA, ENVASE: POLIESTIRENO, PRESENTACION: ENVASE X 1 Kg, ELEM. TRANSPORTE: SIN, MATERIAL ELEM. TRANSPORTE: SIN</v>
      </c>
      <c r="D60" s="94"/>
      <c r="E60" s="94"/>
      <c r="F60" s="94"/>
      <c r="G60" s="94"/>
      <c r="H60" s="67" t="s">
        <v>58</v>
      </c>
      <c r="I60" s="68" t="str">
        <f>'Necesidades Trimestrales'!F58</f>
        <v>KG</v>
      </c>
      <c r="J60" s="69">
        <f>'Necesidades Trimestrales'!H58</f>
        <v>468</v>
      </c>
      <c r="K60" s="70">
        <f>'Necesidades Trimestrales'!G58</f>
        <v>100</v>
      </c>
    </row>
    <row r="61" spans="1:11" ht="25.5" customHeight="1" thickBot="1" x14ac:dyDescent="0.25">
      <c r="A61" s="8">
        <v>50</v>
      </c>
      <c r="B61" s="66" t="str">
        <f>'Necesidades Trimestrales'!B59</f>
        <v>2.1.1-669.27</v>
      </c>
      <c r="C61" s="94" t="str">
        <f>'Necesidades Trimestrales'!E59</f>
        <v>PANES; TIPO: MIÑON, PRESENTACION: GRANEL</v>
      </c>
      <c r="D61" s="94"/>
      <c r="E61" s="94"/>
      <c r="F61" s="94"/>
      <c r="G61" s="94"/>
      <c r="H61" s="67" t="s">
        <v>58</v>
      </c>
      <c r="I61" s="68" t="str">
        <f>'Necesidades Trimestrales'!F59</f>
        <v>KG</v>
      </c>
      <c r="J61" s="69">
        <f>'Necesidades Trimestrales'!H59</f>
        <v>184.79999999999998</v>
      </c>
      <c r="K61" s="70">
        <f>'Necesidades Trimestrales'!G59</f>
        <v>1500</v>
      </c>
    </row>
    <row r="62" spans="1:11" ht="25.5" customHeight="1" thickBot="1" x14ac:dyDescent="0.25">
      <c r="A62" s="8">
        <v>51</v>
      </c>
      <c r="B62" s="66" t="str">
        <f>'Necesidades Trimestrales'!B60</f>
        <v>2.1.1-669.51</v>
      </c>
      <c r="C62" s="94" t="str">
        <f>'Necesidades Trimestrales'!E60</f>
        <v>PANES; TIPO: FRANCES, PRESENTACION: UNIDAD</v>
      </c>
      <c r="D62" s="94"/>
      <c r="E62" s="94"/>
      <c r="F62" s="94"/>
      <c r="G62" s="94"/>
      <c r="H62" s="67" t="s">
        <v>58</v>
      </c>
      <c r="I62" s="68" t="str">
        <f>'Necesidades Trimestrales'!F60</f>
        <v>UNIDAD</v>
      </c>
      <c r="J62" s="69">
        <f>'Necesidades Trimestrales'!H60</f>
        <v>25.2</v>
      </c>
      <c r="K62" s="70">
        <f>'Necesidades Trimestrales'!G60</f>
        <v>1500</v>
      </c>
    </row>
    <row r="63" spans="1:11" ht="23.25" customHeight="1" thickBot="1" x14ac:dyDescent="0.25">
      <c r="A63" s="8">
        <v>52</v>
      </c>
      <c r="B63" s="66" t="str">
        <f>'Necesidades Trimestrales'!B61</f>
        <v>2.1.1-669.1</v>
      </c>
      <c r="C63" s="94" t="str">
        <f>'Necesidades Trimestrales'!E61</f>
        <v>PANES; PRESENTACION: GRANEL, TIPO: SALVADO</v>
      </c>
      <c r="D63" s="94"/>
      <c r="E63" s="94"/>
      <c r="F63" s="94"/>
      <c r="G63" s="94"/>
      <c r="H63" s="67" t="s">
        <v>58</v>
      </c>
      <c r="I63" s="68" t="str">
        <f>'Necesidades Trimestrales'!F61</f>
        <v>UNIDAD</v>
      </c>
      <c r="J63" s="69">
        <f>'Necesidades Trimestrales'!H61</f>
        <v>25.2</v>
      </c>
      <c r="K63" s="70">
        <f>'Necesidades Trimestrales'!G61</f>
        <v>1500</v>
      </c>
    </row>
    <row r="64" spans="1:11" ht="21" customHeight="1" thickBot="1" x14ac:dyDescent="0.25">
      <c r="A64" s="8">
        <v>53</v>
      </c>
      <c r="B64" s="66" t="str">
        <f>'Necesidades Trimestrales'!B62</f>
        <v>2.1.1-669.37</v>
      </c>
      <c r="C64" s="94" t="str">
        <f>'Necesidades Trimestrales'!E62</f>
        <v>PANES; TIPO: RALLADO, PRESENTACION: BOLSA X 5 Kg</v>
      </c>
      <c r="D64" s="94"/>
      <c r="E64" s="94"/>
      <c r="F64" s="94"/>
      <c r="G64" s="94"/>
      <c r="H64" s="67" t="s">
        <v>58</v>
      </c>
      <c r="I64" s="68" t="str">
        <f>'Necesidades Trimestrales'!F62</f>
        <v>BOLSAS</v>
      </c>
      <c r="J64" s="69">
        <f>'Necesidades Trimestrales'!H62</f>
        <v>186</v>
      </c>
      <c r="K64" s="70">
        <f>'Necesidades Trimestrales'!G62</f>
        <v>13</v>
      </c>
    </row>
    <row r="65" spans="1:11" ht="20.25" customHeight="1" thickBot="1" x14ac:dyDescent="0.25">
      <c r="A65" s="8">
        <v>54</v>
      </c>
      <c r="B65" s="66" t="str">
        <f>'Necesidades Trimestrales'!B63</f>
        <v>2.1.1-2430.1</v>
      </c>
      <c r="C65" s="94" t="str">
        <f>'Necesidades Trimestrales'!E63</f>
        <v>PREPIZZA; GUSTO: TOMATE, TAMAÑO: MEDIANO</v>
      </c>
      <c r="D65" s="94"/>
      <c r="E65" s="94"/>
      <c r="F65" s="94"/>
      <c r="G65" s="94"/>
      <c r="H65" s="67" t="s">
        <v>58</v>
      </c>
      <c r="I65" s="68" t="str">
        <f>'Necesidades Trimestrales'!F63</f>
        <v>UNIDAD</v>
      </c>
      <c r="J65" s="69">
        <f>'Necesidades Trimestrales'!H63</f>
        <v>80.399999999999991</v>
      </c>
      <c r="K65" s="70">
        <f>'Necesidades Trimestrales'!G63</f>
        <v>60</v>
      </c>
    </row>
    <row r="66" spans="1:11" ht="20.25" customHeight="1" thickBot="1" x14ac:dyDescent="0.25">
      <c r="A66" s="8">
        <v>55</v>
      </c>
      <c r="B66" s="66" t="str">
        <f>'Necesidades Trimestrales'!B64</f>
        <v>2.1.1-518.32</v>
      </c>
      <c r="C66" s="94" t="str">
        <f>'Necesidades Trimestrales'!E64</f>
        <v>TORTAS; TIPO: PIONONO, PESO: 180 GR</v>
      </c>
      <c r="D66" s="94"/>
      <c r="E66" s="94"/>
      <c r="F66" s="94"/>
      <c r="G66" s="94"/>
      <c r="H66" s="67" t="s">
        <v>58</v>
      </c>
      <c r="I66" s="68" t="str">
        <f>'Necesidades Trimestrales'!F64</f>
        <v>UNIDAD</v>
      </c>
      <c r="J66" s="69">
        <f>'Necesidades Trimestrales'!H64</f>
        <v>444</v>
      </c>
      <c r="K66" s="70">
        <f>'Necesidades Trimestrales'!G64</f>
        <v>10</v>
      </c>
    </row>
    <row r="67" spans="1:11" ht="36" customHeight="1" thickBot="1" x14ac:dyDescent="0.25">
      <c r="A67" s="8">
        <v>56</v>
      </c>
      <c r="B67" s="66" t="str">
        <f>'Necesidades Trimestrales'!B65</f>
        <v>2.1.1-788.229</v>
      </c>
      <c r="C67" s="94" t="str">
        <f>'Necesidades Trimestrales'!E65</f>
        <v>GALLETITAS; VARIEDAD: VAINILLA, RELLENO: SIN, PRESENTACION: ENVASE X 792 GR, ELEM. TRANSPORTE: SIN, MATERIAL ELEM. TRANSPORTE: SIN, LIBRE DE GLUTEN: NO</v>
      </c>
      <c r="D67" s="94"/>
      <c r="E67" s="94"/>
      <c r="F67" s="94"/>
      <c r="G67" s="94"/>
      <c r="H67" s="67" t="s">
        <v>58</v>
      </c>
      <c r="I67" s="68" t="str">
        <f>'Necesidades Trimestrales'!F65</f>
        <v>PAQUETES</v>
      </c>
      <c r="J67" s="69">
        <f>'Necesidades Trimestrales'!H65</f>
        <v>324</v>
      </c>
      <c r="K67" s="70">
        <f>'Necesidades Trimestrales'!G65</f>
        <v>17</v>
      </c>
    </row>
    <row r="68" spans="1:11" ht="39.75" customHeight="1" thickBot="1" x14ac:dyDescent="0.25">
      <c r="A68" s="8">
        <v>57</v>
      </c>
      <c r="B68" s="66" t="str">
        <f>'Necesidades Trimestrales'!B66</f>
        <v>2.1.1-788.224</v>
      </c>
      <c r="C68" s="94" t="str">
        <f>'Necesidades Trimestrales'!E66</f>
        <v>GALLETITAS; VARIEDAD: SALADA, RELLENO: SIN, PRESENTACION: ENVASE X 275 GR, ELEM. TRANSPORTE: SIN, MATERIAL ELEM. TRANSPORTE: SIN, LIBRE DE GLUTEN: SI</v>
      </c>
      <c r="D68" s="94"/>
      <c r="E68" s="94"/>
      <c r="F68" s="94"/>
      <c r="G68" s="94"/>
      <c r="H68" s="67" t="s">
        <v>58</v>
      </c>
      <c r="I68" s="68" t="str">
        <f>'Necesidades Trimestrales'!F66</f>
        <v>PAQUETES</v>
      </c>
      <c r="J68" s="69">
        <f>'Necesidades Trimestrales'!H66</f>
        <v>96</v>
      </c>
      <c r="K68" s="70">
        <f>'Necesidades Trimestrales'!G66</f>
        <v>10</v>
      </c>
    </row>
    <row r="69" spans="1:11" ht="50.25" customHeight="1" thickBot="1" x14ac:dyDescent="0.25">
      <c r="A69" s="8">
        <v>58</v>
      </c>
      <c r="B69" s="66" t="str">
        <f>'Necesidades Trimestrales'!B67</f>
        <v>2.1.1-6546.34</v>
      </c>
      <c r="C69" s="94" t="str">
        <f>'Necesidades Trimestrales'!E67</f>
        <v>VERDURAS Y HORTALIZAS; VARIEDAD: ACELGA, ESTADO: EN HOJA, PRESENTACION: ATADO, PESO: SIN VALOR</v>
      </c>
      <c r="D69" s="94"/>
      <c r="E69" s="94"/>
      <c r="F69" s="94"/>
      <c r="G69" s="94"/>
      <c r="H69" s="67" t="s">
        <v>58</v>
      </c>
      <c r="I69" s="68" t="str">
        <f>'Necesidades Trimestrales'!F67</f>
        <v>ATADOS</v>
      </c>
      <c r="J69" s="69">
        <f>'Necesidades Trimestrales'!H67</f>
        <v>25.599999999999959</v>
      </c>
      <c r="K69" s="70">
        <f>'Necesidades Trimestrales'!G67</f>
        <v>1334</v>
      </c>
    </row>
    <row r="70" spans="1:11" ht="42" customHeight="1" thickBot="1" x14ac:dyDescent="0.25">
      <c r="A70" s="8">
        <v>59</v>
      </c>
      <c r="B70" s="66" t="str">
        <f>'Necesidades Trimestrales'!B68</f>
        <v>2.1.1-6546.166</v>
      </c>
      <c r="C70" s="94" t="str">
        <f>'Necesidades Trimestrales'!E68</f>
        <v>VERDURAS Y HORTALIZAS; PRESENTACION: GRANEL, VARIEDAD: ZANAHORIA, ESTADO: NATURAL, PESO: SIN VALOR</v>
      </c>
      <c r="D70" s="94"/>
      <c r="E70" s="94"/>
      <c r="F70" s="94"/>
      <c r="G70" s="94"/>
      <c r="H70" s="67" t="s">
        <v>58</v>
      </c>
      <c r="I70" s="68" t="str">
        <f>'Necesidades Trimestrales'!F68</f>
        <v>BOLSAS</v>
      </c>
      <c r="J70" s="69">
        <f>'Necesidades Trimestrales'!H68</f>
        <v>1620</v>
      </c>
      <c r="K70" s="70">
        <f>'Necesidades Trimestrales'!G68</f>
        <v>30</v>
      </c>
    </row>
    <row r="71" spans="1:11" ht="37.5" customHeight="1" thickBot="1" x14ac:dyDescent="0.25">
      <c r="A71" s="8">
        <v>60</v>
      </c>
      <c r="B71" s="66" t="str">
        <f>'Necesidades Trimestrales'!B69</f>
        <v>2.1.1-6546.151</v>
      </c>
      <c r="C71" s="94" t="str">
        <f>'Necesidades Trimestrales'!E69</f>
        <v>VERDURAS Y HORTALIZAS; VARIEDAD: ZAPALLITO REDONDO, ESTADO: NATURAL, PRESENTACION: CAJON, PESO: SIN VALOR</v>
      </c>
      <c r="D71" s="94"/>
      <c r="E71" s="94"/>
      <c r="F71" s="94"/>
      <c r="G71" s="94"/>
      <c r="H71" s="67" t="s">
        <v>58</v>
      </c>
      <c r="I71" s="68" t="str">
        <f>'Necesidades Trimestrales'!F69</f>
        <v>CAJON</v>
      </c>
      <c r="J71" s="69">
        <f>'Necesidades Trimestrales'!H69</f>
        <v>1500</v>
      </c>
      <c r="K71" s="70">
        <f>'Necesidades Trimestrales'!G69</f>
        <v>30</v>
      </c>
    </row>
    <row r="72" spans="1:11" ht="42.75" customHeight="1" thickBot="1" x14ac:dyDescent="0.25">
      <c r="A72" s="8">
        <v>61</v>
      </c>
      <c r="B72" s="66" t="str">
        <f>'Necesidades Trimestrales'!B70</f>
        <v>2.1.1-6546.100</v>
      </c>
      <c r="C72" s="94" t="str">
        <f>'Necesidades Trimestrales'!E70</f>
        <v>VERDURAS Y HORTALIZAS; ESTADO: NATURAL, PRESENTACION: GRANEL, VARIEDAD: PAPA BLANCA, PESO: SIN VALOR</v>
      </c>
      <c r="D72" s="94"/>
      <c r="E72" s="94"/>
      <c r="F72" s="94"/>
      <c r="G72" s="94"/>
      <c r="H72" s="67" t="s">
        <v>58</v>
      </c>
      <c r="I72" s="68" t="str">
        <f>'Necesidades Trimestrales'!F70</f>
        <v>BOLSAS</v>
      </c>
      <c r="J72" s="69">
        <f>'Necesidades Trimestrales'!H70</f>
        <v>1080</v>
      </c>
      <c r="K72" s="70">
        <f>'Necesidades Trimestrales'!G70</f>
        <v>30</v>
      </c>
    </row>
    <row r="73" spans="1:11" ht="37.5" customHeight="1" thickBot="1" x14ac:dyDescent="0.25">
      <c r="A73" s="8">
        <v>62</v>
      </c>
      <c r="B73" s="66" t="str">
        <f>'Necesidades Trimestrales'!B71</f>
        <v>2.1.1-6546.49</v>
      </c>
      <c r="C73" s="94" t="str">
        <f>'Necesidades Trimestrales'!E71</f>
        <v>VERDURAS Y HORTALIZAS; VARIEDAD: CHAUCHA, PRESENTACION: GRANEL, ESTADO: NATURAL, PESO: SIN VALOR</v>
      </c>
      <c r="D73" s="94"/>
      <c r="E73" s="94"/>
      <c r="F73" s="94"/>
      <c r="G73" s="94"/>
      <c r="H73" s="67" t="s">
        <v>58</v>
      </c>
      <c r="I73" s="68" t="str">
        <f>'Necesidades Trimestrales'!F71</f>
        <v>KG</v>
      </c>
      <c r="J73" s="69">
        <f>'Necesidades Trimestrales'!H71</f>
        <v>288</v>
      </c>
      <c r="K73" s="70">
        <f>'Necesidades Trimestrales'!G71</f>
        <v>100</v>
      </c>
    </row>
    <row r="74" spans="1:11" ht="42.75" customHeight="1" thickBot="1" x14ac:dyDescent="0.25">
      <c r="A74" s="8">
        <v>63</v>
      </c>
      <c r="B74" s="66" t="str">
        <f>'Necesidades Trimestrales'!B72</f>
        <v>2.1.1-6546.2</v>
      </c>
      <c r="C74" s="94" t="str">
        <f>'Necesidades Trimestrales'!E72</f>
        <v>VERDURAS Y HORTALIZAS; VARIEDAD: TOMATE REDONDO, ESTADO: NATURAL, PRESENTACION: GRANEL, PESO: SIN VALOR</v>
      </c>
      <c r="D74" s="94"/>
      <c r="E74" s="94"/>
      <c r="F74" s="94"/>
      <c r="G74" s="94"/>
      <c r="H74" s="67" t="s">
        <v>58</v>
      </c>
      <c r="I74" s="68" t="str">
        <f>'Necesidades Trimestrales'!F72</f>
        <v>CAJON</v>
      </c>
      <c r="J74" s="69">
        <f>'Necesidades Trimestrales'!H72</f>
        <v>1530</v>
      </c>
      <c r="K74" s="70">
        <f>'Necesidades Trimestrales'!G72</f>
        <v>30</v>
      </c>
    </row>
    <row r="75" spans="1:11" ht="43.5" customHeight="1" thickBot="1" x14ac:dyDescent="0.25">
      <c r="A75" s="8">
        <v>64</v>
      </c>
      <c r="B75" s="66" t="str">
        <f>'Necesidades Trimestrales'!B73</f>
        <v>2.1.1-6546.39</v>
      </c>
      <c r="C75" s="94" t="str">
        <f>'Necesidades Trimestrales'!E73</f>
        <v>VERDURAS Y HORTALIZAS; VARIEDAD: CEBOLLA, ESTADO: NATURAL, PRESENTACION: BOLSA, PESO: 25 Kg</v>
      </c>
      <c r="D75" s="94"/>
      <c r="E75" s="94"/>
      <c r="F75" s="94"/>
      <c r="G75" s="94"/>
      <c r="H75" s="67" t="s">
        <v>58</v>
      </c>
      <c r="I75" s="68" t="str">
        <f>'Necesidades Trimestrales'!F73</f>
        <v>BOLSAS</v>
      </c>
      <c r="J75" s="69">
        <f>'Necesidades Trimestrales'!H73</f>
        <v>1020</v>
      </c>
      <c r="K75" s="70">
        <f>'Necesidades Trimestrales'!G73</f>
        <v>20</v>
      </c>
    </row>
    <row r="76" spans="1:11" ht="32.25" customHeight="1" thickBot="1" x14ac:dyDescent="0.25">
      <c r="A76" s="8">
        <v>65</v>
      </c>
      <c r="B76" s="66" t="str">
        <f>'Necesidades Trimestrales'!B74</f>
        <v>2.1.1-6546.47</v>
      </c>
      <c r="C76" s="94" t="str">
        <f>'Necesidades Trimestrales'!E74</f>
        <v>VERDURAS Y HORTALIZAS; VARIEDAD: CEBOLLA DE VERDEO, ESTADO: NATURAL, PRESENTACION: GRANEL, PESO: SIN VALOR</v>
      </c>
      <c r="D76" s="94"/>
      <c r="E76" s="94"/>
      <c r="F76" s="94"/>
      <c r="G76" s="94"/>
      <c r="H76" s="67" t="s">
        <v>58</v>
      </c>
      <c r="I76" s="68" t="str">
        <f>'Necesidades Trimestrales'!F74</f>
        <v>ATADOS</v>
      </c>
      <c r="J76" s="69">
        <f>'Necesidades Trimestrales'!H74</f>
        <v>96</v>
      </c>
      <c r="K76" s="70">
        <f>'Necesidades Trimestrales'!G74</f>
        <v>5</v>
      </c>
    </row>
    <row r="77" spans="1:11" ht="42" customHeight="1" thickBot="1" x14ac:dyDescent="0.25">
      <c r="A77" s="8">
        <v>66</v>
      </c>
      <c r="B77" s="66" t="str">
        <f>'Necesidades Trimestrales'!B75</f>
        <v>2.1.1-6546.124</v>
      </c>
      <c r="C77" s="94" t="str">
        <f>'Necesidades Trimestrales'!E75</f>
        <v>VERDURAS Y HORTALIZAS; PESO: SIN VALOR, VARIEDAD: REMOLACHA, ESTADO: NATURAL, PRESENTACION: GRANEL</v>
      </c>
      <c r="D77" s="94"/>
      <c r="E77" s="94"/>
      <c r="F77" s="94"/>
      <c r="G77" s="94"/>
      <c r="H77" s="67" t="s">
        <v>58</v>
      </c>
      <c r="I77" s="68" t="str">
        <f>'Necesidades Trimestrales'!F75</f>
        <v>ATADOS</v>
      </c>
      <c r="J77" s="69">
        <f>'Necesidades Trimestrales'!H75</f>
        <v>306</v>
      </c>
      <c r="K77" s="70">
        <f>'Necesidades Trimestrales'!G75</f>
        <v>150</v>
      </c>
    </row>
    <row r="78" spans="1:11" ht="37.5" customHeight="1" thickBot="1" x14ac:dyDescent="0.25">
      <c r="A78" s="8">
        <v>67</v>
      </c>
      <c r="B78" s="66" t="str">
        <f>'Necesidades Trimestrales'!B76</f>
        <v>2.1.1-6546.231</v>
      </c>
      <c r="C78" s="94" t="str">
        <f>'Necesidades Trimestrales'!E76</f>
        <v>VERDURAS Y HORTALIZAS; VARIEDAD: ZAPALLO ANCO, ESTADO: NATURAL, PRESENTACION: BOLSA, PESO: 20 Kg</v>
      </c>
      <c r="D78" s="94"/>
      <c r="E78" s="94"/>
      <c r="F78" s="94"/>
      <c r="G78" s="94"/>
      <c r="H78" s="67" t="s">
        <v>58</v>
      </c>
      <c r="I78" s="68" t="str">
        <f>'Necesidades Trimestrales'!F76</f>
        <v>BOLSAS</v>
      </c>
      <c r="J78" s="69">
        <f>'Necesidades Trimestrales'!H76</f>
        <v>900</v>
      </c>
      <c r="K78" s="70">
        <f>'Necesidades Trimestrales'!G76</f>
        <v>60</v>
      </c>
    </row>
    <row r="79" spans="1:11" ht="32.25" customHeight="1" thickBot="1" x14ac:dyDescent="0.25">
      <c r="A79" s="8">
        <v>68</v>
      </c>
      <c r="B79" s="66" t="str">
        <f>'Necesidades Trimestrales'!B77</f>
        <v>2.1.1-6546.162</v>
      </c>
      <c r="C79" s="94" t="str">
        <f>'Necesidades Trimestrales'!E77</f>
        <v>VERDURAS Y HORTALIZAS; VARIEDAD: ZAPALLO CRIOLLO, ESTADO: NATURAL, PRESENTACION: UNIDAD, PESO: SIN VALOR</v>
      </c>
      <c r="D79" s="94"/>
      <c r="E79" s="94"/>
      <c r="F79" s="94"/>
      <c r="G79" s="94"/>
      <c r="H79" s="67" t="s">
        <v>58</v>
      </c>
      <c r="I79" s="68" t="str">
        <f>'Necesidades Trimestrales'!F77</f>
        <v>KG</v>
      </c>
      <c r="J79" s="69">
        <f>'Necesidades Trimestrales'!H77</f>
        <v>66</v>
      </c>
      <c r="K79" s="70">
        <f>'Necesidades Trimestrales'!G77</f>
        <v>200</v>
      </c>
    </row>
    <row r="80" spans="1:11" ht="37.5" customHeight="1" thickBot="1" x14ac:dyDescent="0.25">
      <c r="A80" s="8">
        <v>69</v>
      </c>
      <c r="B80" s="66" t="str">
        <f>'Necesidades Trimestrales'!B78</f>
        <v>2.1.1-6546.132</v>
      </c>
      <c r="C80" s="94" t="str">
        <f>'Necesidades Trimestrales'!E78</f>
        <v>VERDURAS Y HORTALIZAS; VARIEDAD: PEREJIL, ESTADO: NATURAL, PRESENTACION: GRANEL, PESO: SIN VALOR</v>
      </c>
      <c r="D80" s="94"/>
      <c r="E80" s="94"/>
      <c r="F80" s="94"/>
      <c r="G80" s="94"/>
      <c r="H80" s="67" t="s">
        <v>58</v>
      </c>
      <c r="I80" s="68" t="str">
        <f>'Necesidades Trimestrales'!F78</f>
        <v>KG</v>
      </c>
      <c r="J80" s="69">
        <f>'Necesidades Trimestrales'!H78</f>
        <v>108</v>
      </c>
      <c r="K80" s="70">
        <f>'Necesidades Trimestrales'!G78</f>
        <v>20</v>
      </c>
    </row>
    <row r="81" spans="1:11" ht="40.5" customHeight="1" thickBot="1" x14ac:dyDescent="0.25">
      <c r="A81" s="8">
        <v>70</v>
      </c>
      <c r="B81" s="66" t="str">
        <f>'Necesidades Trimestrales'!B79</f>
        <v>2.1.1-6546.95</v>
      </c>
      <c r="C81" s="94" t="str">
        <f>'Necesidades Trimestrales'!E79</f>
        <v>VERDURAS Y HORTALIZAS; VARIEDAD: MORRON VERDE, ESTADO: NATURAL, PRESENTACION: GRANEL, PESO: SIN VALOR</v>
      </c>
      <c r="D81" s="94"/>
      <c r="E81" s="94"/>
      <c r="F81" s="94"/>
      <c r="G81" s="94"/>
      <c r="H81" s="67" t="s">
        <v>58</v>
      </c>
      <c r="I81" s="68" t="str">
        <f>'Necesidades Trimestrales'!F79</f>
        <v>CAJON</v>
      </c>
      <c r="J81" s="69">
        <f>'Necesidades Trimestrales'!H79</f>
        <v>1140</v>
      </c>
      <c r="K81" s="70">
        <f>'Necesidades Trimestrales'!G79</f>
        <v>20</v>
      </c>
    </row>
    <row r="82" spans="1:11" ht="40.5" customHeight="1" thickBot="1" x14ac:dyDescent="0.25">
      <c r="A82" s="8">
        <v>71</v>
      </c>
      <c r="B82" s="66" t="str">
        <f>'Necesidades Trimestrales'!B80</f>
        <v>2.1.1-6546.83</v>
      </c>
      <c r="C82" s="94" t="str">
        <f>'Necesidades Trimestrales'!E80</f>
        <v>VERDURAS Y HORTALIZAS; VARIEDAD: LECHUGA CRIOLLA, ESTADO: NATURAL, PRESENTACION: UNIDAD, PESO: SIN VALOR</v>
      </c>
      <c r="D82" s="94"/>
      <c r="E82" s="94"/>
      <c r="F82" s="94"/>
      <c r="G82" s="94"/>
      <c r="H82" s="67" t="s">
        <v>58</v>
      </c>
      <c r="I82" s="68" t="str">
        <f>'Necesidades Trimestrales'!F80</f>
        <v>KG</v>
      </c>
      <c r="J82" s="69">
        <f>'Necesidades Trimestrales'!H80</f>
        <v>78</v>
      </c>
      <c r="K82" s="70">
        <f>'Necesidades Trimestrales'!G80</f>
        <v>20</v>
      </c>
    </row>
    <row r="83" spans="1:11" ht="37.5" customHeight="1" thickBot="1" x14ac:dyDescent="0.25">
      <c r="A83" s="8">
        <v>72</v>
      </c>
      <c r="B83" s="66" t="str">
        <f>'Necesidades Trimestrales'!B81</f>
        <v>2.1.1-6539.20</v>
      </c>
      <c r="C83" s="94" t="str">
        <f>'Necesidades Trimestrales'!E81</f>
        <v>FRUTAS; ESTADO: NATURAL, VARIEDAD: MANZANA RED DELICIOSA, PRESENTACION: CAJON, PESO: SIN VALOR</v>
      </c>
      <c r="D83" s="94"/>
      <c r="E83" s="94"/>
      <c r="F83" s="94"/>
      <c r="G83" s="94"/>
      <c r="H83" s="67" t="s">
        <v>58</v>
      </c>
      <c r="I83" s="68" t="str">
        <f>'Necesidades Trimestrales'!F81</f>
        <v>CAJON</v>
      </c>
      <c r="J83" s="69">
        <f>'Necesidades Trimestrales'!H81</f>
        <v>2580</v>
      </c>
      <c r="K83" s="70">
        <f>'Necesidades Trimestrales'!G81</f>
        <v>40</v>
      </c>
    </row>
    <row r="84" spans="1:11" ht="28.5" customHeight="1" thickBot="1" x14ac:dyDescent="0.25">
      <c r="A84" s="8">
        <v>73</v>
      </c>
      <c r="B84" s="66" t="str">
        <f>'Necesidades Trimestrales'!B82</f>
        <v>2.1.1-6539.30</v>
      </c>
      <c r="C84" s="94" t="str">
        <f>'Necesidades Trimestrales'!E82</f>
        <v>FRUTAS; VARIEDAD: BANANA, PRESENTACION: CAJON, ESTADO: NATURAL, PESO: SIN VALOR</v>
      </c>
      <c r="D84" s="94"/>
      <c r="E84" s="94"/>
      <c r="F84" s="94"/>
      <c r="G84" s="94"/>
      <c r="H84" s="67" t="s">
        <v>58</v>
      </c>
      <c r="I84" s="68" t="str">
        <f>'Necesidades Trimestrales'!F82</f>
        <v>CAJON</v>
      </c>
      <c r="J84" s="69">
        <f>'Necesidades Trimestrales'!H82</f>
        <v>2640</v>
      </c>
      <c r="K84" s="70">
        <f>'Necesidades Trimestrales'!G82</f>
        <v>40</v>
      </c>
    </row>
    <row r="85" spans="1:11" ht="28.5" customHeight="1" thickBot="1" x14ac:dyDescent="0.25">
      <c r="A85" s="8">
        <v>74</v>
      </c>
      <c r="B85" s="66" t="str">
        <f>'Necesidades Trimestrales'!B83</f>
        <v>2.1.1-6539.8</v>
      </c>
      <c r="C85" s="94" t="str">
        <f>'Necesidades Trimestrales'!E83</f>
        <v>FRUTAS; VARIEDAD: NARANJA ESPECIAL, ESTADO: NATURAL, PRESENTACION: CAJON, PESO: SIN VALOR</v>
      </c>
      <c r="D85" s="94"/>
      <c r="E85" s="94"/>
      <c r="F85" s="94"/>
      <c r="G85" s="94"/>
      <c r="H85" s="67" t="s">
        <v>58</v>
      </c>
      <c r="I85" s="68" t="str">
        <f>'Necesidades Trimestrales'!F83</f>
        <v>CAJON</v>
      </c>
      <c r="J85" s="69">
        <f>'Necesidades Trimestrales'!H83</f>
        <v>900</v>
      </c>
      <c r="K85" s="70">
        <f>'Necesidades Trimestrales'!G83</f>
        <v>30</v>
      </c>
    </row>
    <row r="86" spans="1:11" ht="20.25" customHeight="1" thickBot="1" x14ac:dyDescent="0.25">
      <c r="A86" s="8">
        <v>75</v>
      </c>
      <c r="B86" s="66" t="str">
        <f>'Necesidades Trimestrales'!B84</f>
        <v>2.1.1-6539.32</v>
      </c>
      <c r="C86" s="94" t="str">
        <f>'Necesidades Trimestrales'!E84</f>
        <v>FRUTAS; VARIEDAD: PERA AMARILLA, ESTADO: NATURAL, PRESENTACION: CAJON, PESO: SIN VALOR</v>
      </c>
      <c r="D86" s="94"/>
      <c r="E86" s="94"/>
      <c r="F86" s="94"/>
      <c r="G86" s="94"/>
      <c r="H86" s="67" t="s">
        <v>58</v>
      </c>
      <c r="I86" s="68" t="str">
        <f>'Necesidades Trimestrales'!F84</f>
        <v>CAJON</v>
      </c>
      <c r="J86" s="69">
        <f>'Necesidades Trimestrales'!H84</f>
        <v>2520</v>
      </c>
      <c r="K86" s="70">
        <f>'Necesidades Trimestrales'!G84</f>
        <v>30</v>
      </c>
    </row>
    <row r="87" spans="1:11" ht="36" customHeight="1" thickBot="1" x14ac:dyDescent="0.25">
      <c r="A87" s="8">
        <v>76</v>
      </c>
      <c r="B87" s="66" t="str">
        <f>'Necesidades Trimestrales'!B85</f>
        <v>2.1.1-6539.187</v>
      </c>
      <c r="C87" s="94" t="str">
        <f>'Necesidades Trimestrales'!E85</f>
        <v>FRUTAS; VARIEDAD: LIMON, ESTADO: NATURAL, PRESENTACION: CAJON, ELEM. TRANSPORTE: SIN, MATERIAL ELEM. TRANSPORTE: SIN, ORGANICO: NO</v>
      </c>
      <c r="D87" s="94"/>
      <c r="E87" s="94"/>
      <c r="F87" s="94"/>
      <c r="G87" s="94"/>
      <c r="H87" s="67" t="s">
        <v>58</v>
      </c>
      <c r="I87" s="68" t="str">
        <f>'Necesidades Trimestrales'!F85</f>
        <v>CAJON</v>
      </c>
      <c r="J87" s="69">
        <f>'Necesidades Trimestrales'!H85</f>
        <v>900</v>
      </c>
      <c r="K87" s="70">
        <f>'Necesidades Trimestrales'!G85</f>
        <v>20</v>
      </c>
    </row>
    <row r="88" spans="1:11" ht="28.5" customHeight="1" thickBot="1" x14ac:dyDescent="0.25">
      <c r="A88" s="8">
        <v>77</v>
      </c>
      <c r="B88" s="66" t="str">
        <f>'Necesidades Trimestrales'!B86</f>
        <v>2.1.1-541.27</v>
      </c>
      <c r="C88" s="94" t="str">
        <f>'Necesidades Trimestrales'!E86</f>
        <v>CARNES; ESPECIE: VACUNA, CORTE: CUADRIL, TIPO: VACUNA</v>
      </c>
      <c r="D88" s="94"/>
      <c r="E88" s="94"/>
      <c r="F88" s="94"/>
      <c r="G88" s="94"/>
      <c r="H88" s="67" t="s">
        <v>58</v>
      </c>
      <c r="I88" s="68" t="str">
        <f>'Necesidades Trimestrales'!F86</f>
        <v>KG</v>
      </c>
      <c r="J88" s="69">
        <f>'Necesidades Trimestrales'!H86</f>
        <v>750</v>
      </c>
      <c r="K88" s="70">
        <f>'Necesidades Trimestrales'!G86</f>
        <v>200</v>
      </c>
    </row>
    <row r="89" spans="1:11" ht="20.25" customHeight="1" thickBot="1" x14ac:dyDescent="0.25">
      <c r="A89" s="8">
        <v>78</v>
      </c>
      <c r="B89" s="66" t="str">
        <f>'Necesidades Trimestrales'!B87</f>
        <v>2.1.1-541.49</v>
      </c>
      <c r="C89" s="94" t="str">
        <f>'Necesidades Trimestrales'!E87</f>
        <v>CARNES; ESPECIE: VACUNA, CORTE: NALGA, TIPO: VACUNA</v>
      </c>
      <c r="D89" s="94"/>
      <c r="E89" s="94"/>
      <c r="F89" s="94"/>
      <c r="G89" s="94"/>
      <c r="H89" s="67" t="s">
        <v>58</v>
      </c>
      <c r="I89" s="68" t="str">
        <f>'Necesidades Trimestrales'!F87</f>
        <v>KG</v>
      </c>
      <c r="J89" s="69">
        <f>'Necesidades Trimestrales'!H87</f>
        <v>750</v>
      </c>
      <c r="K89" s="70">
        <f>'Necesidades Trimestrales'!G87</f>
        <v>100</v>
      </c>
    </row>
    <row r="90" spans="1:11" ht="20.25" customHeight="1" thickBot="1" x14ac:dyDescent="0.25">
      <c r="A90" s="8">
        <v>79</v>
      </c>
      <c r="B90" s="66" t="str">
        <f>'Necesidades Trimestrales'!B88</f>
        <v>2.1.1-541.7</v>
      </c>
      <c r="C90" s="94" t="str">
        <f>'Necesidades Trimestrales'!E88</f>
        <v>CARNES; ESPECIE: VACUNA, CORTE: PICADA ESPECIAL, TIPO: VACUNA</v>
      </c>
      <c r="D90" s="94"/>
      <c r="E90" s="94"/>
      <c r="F90" s="94"/>
      <c r="G90" s="94"/>
      <c r="H90" s="67" t="s">
        <v>58</v>
      </c>
      <c r="I90" s="68" t="str">
        <f>'Necesidades Trimestrales'!F88</f>
        <v>KG</v>
      </c>
      <c r="J90" s="69">
        <f>'Necesidades Trimestrales'!H88</f>
        <v>600</v>
      </c>
      <c r="K90" s="70">
        <f>'Necesidades Trimestrales'!G88</f>
        <v>150</v>
      </c>
    </row>
    <row r="91" spans="1:11" ht="20.25" customHeight="1" thickBot="1" x14ac:dyDescent="0.25">
      <c r="A91" s="8">
        <v>80</v>
      </c>
      <c r="B91" s="66" t="str">
        <f>'Necesidades Trimestrales'!B89</f>
        <v>2.1.1-541.70</v>
      </c>
      <c r="C91" s="94" t="str">
        <f>'Necesidades Trimestrales'!E89</f>
        <v>CARNES; CORTE: CARRE CON LOMO, TIPO: PORCINA, ESPECIE: PORCINA</v>
      </c>
      <c r="D91" s="94"/>
      <c r="E91" s="94"/>
      <c r="F91" s="94"/>
      <c r="G91" s="94"/>
      <c r="H91" s="67" t="s">
        <v>58</v>
      </c>
      <c r="I91" s="68" t="str">
        <f>'Necesidades Trimestrales'!F89</f>
        <v>KG</v>
      </c>
      <c r="J91" s="69">
        <f>'Necesidades Trimestrales'!H89</f>
        <v>450</v>
      </c>
      <c r="K91" s="70">
        <f>'Necesidades Trimestrales'!G89</f>
        <v>30</v>
      </c>
    </row>
    <row r="92" spans="1:11" ht="20.25" customHeight="1" thickBot="1" x14ac:dyDescent="0.25">
      <c r="A92" s="8">
        <v>81</v>
      </c>
      <c r="B92" s="66" t="str">
        <f>'Necesidades Trimestrales'!B90</f>
        <v>2.1.1-541.164</v>
      </c>
      <c r="C92" s="94" t="str">
        <f>'Necesidades Trimestrales'!E90</f>
        <v>CARNES; TIPO: PORCINA, CORTE: COSTELETA</v>
      </c>
      <c r="D92" s="94"/>
      <c r="E92" s="94"/>
      <c r="F92" s="94"/>
      <c r="G92" s="94"/>
      <c r="H92" s="67" t="s">
        <v>58</v>
      </c>
      <c r="I92" s="68" t="str">
        <f>'Necesidades Trimestrales'!F90</f>
        <v>KG</v>
      </c>
      <c r="J92" s="69">
        <f>'Necesidades Trimestrales'!H90</f>
        <v>450</v>
      </c>
      <c r="K92" s="70">
        <f>'Necesidades Trimestrales'!G90</f>
        <v>20</v>
      </c>
    </row>
    <row r="93" spans="1:11" ht="56.25" customHeight="1" thickBot="1" x14ac:dyDescent="0.25">
      <c r="A93" s="8">
        <v>82</v>
      </c>
      <c r="B93" s="66" t="str">
        <f>'Necesidades Trimestrales'!B91</f>
        <v>2.1.1-542.212</v>
      </c>
      <c r="C93" s="94" t="str">
        <f>'Necesidades Trimestrales'!E91</f>
        <v>QUESOS; TIPO: CUARTIROLO, PRESENTACION: HORMA, ELEM. TRANSPORTE: SIN, MATERIAL ELEM. TRANSPORTE: SIN, MATERIAL ENVASE: SIN, CERTIFICADO FORESTAL (GFS): SIN, LIBRE DE GLUTEN: SI</v>
      </c>
      <c r="D93" s="94"/>
      <c r="E93" s="94"/>
      <c r="F93" s="94"/>
      <c r="G93" s="94"/>
      <c r="H93" s="67" t="s">
        <v>58</v>
      </c>
      <c r="I93" s="68" t="str">
        <f>'Necesidades Trimestrales'!F91</f>
        <v>KG</v>
      </c>
      <c r="J93" s="69">
        <f>'Necesidades Trimestrales'!H91</f>
        <v>348</v>
      </c>
      <c r="K93" s="70">
        <f>'Necesidades Trimestrales'!G91</f>
        <v>70</v>
      </c>
    </row>
    <row r="94" spans="1:11" ht="39.75" customHeight="1" thickBot="1" x14ac:dyDescent="0.25">
      <c r="A94" s="8">
        <v>83</v>
      </c>
      <c r="B94" s="66" t="str">
        <f>'Necesidades Trimestrales'!B92</f>
        <v>2.1.1-542.197</v>
      </c>
      <c r="C94" s="94" t="str">
        <f>'Necesidades Trimestrales'!E92</f>
        <v>QUESOS; TIPO: TYBO, PRESENTACION: HORMA, ELEM. TRANSPORTE: SIN, MATERIAL ELEM. TRANSPORTE: SIN, MATERIAL ENVASE: PLASTICO, CERTIFICADO FORESTAL (GFS): SIN, LIBRE DE GLUTEN: NO</v>
      </c>
      <c r="D94" s="94"/>
      <c r="E94" s="94"/>
      <c r="F94" s="94"/>
      <c r="G94" s="94"/>
      <c r="H94" s="67" t="s">
        <v>58</v>
      </c>
      <c r="I94" s="68" t="str">
        <f>'Necesidades Trimestrales'!F92</f>
        <v>KG</v>
      </c>
      <c r="J94" s="69">
        <f>'Necesidades Trimestrales'!H92</f>
        <v>384</v>
      </c>
      <c r="K94" s="70">
        <f>'Necesidades Trimestrales'!G92</f>
        <v>30</v>
      </c>
    </row>
    <row r="95" spans="1:11" ht="34.5" customHeight="1" thickBot="1" x14ac:dyDescent="0.25">
      <c r="A95" s="8">
        <v>84</v>
      </c>
      <c r="B95" s="66" t="str">
        <f>'Necesidades Trimestrales'!B93</f>
        <v>2.1.1-542.207</v>
      </c>
      <c r="C95" s="94" t="str">
        <f>'Necesidades Trimestrales'!E93</f>
        <v>QUESOS; TIPO: SARDO, PRESENTACION: HORMA X 3 Kg, ELEM. TRANSPORTE: SIN, MATERIAL ELEM. TRANSPORTE: SIN, MATERIAL ENVASE: SIN, CERTIFICADO FORESTAL (GFS): SIN, LIBRE DE GLUTEN: NO</v>
      </c>
      <c r="D95" s="94"/>
      <c r="E95" s="94"/>
      <c r="F95" s="94"/>
      <c r="G95" s="94"/>
      <c r="H95" s="67" t="s">
        <v>58</v>
      </c>
      <c r="I95" s="68" t="str">
        <f>'Necesidades Trimestrales'!F93</f>
        <v>HORMA</v>
      </c>
      <c r="J95" s="69">
        <f>'Necesidades Trimestrales'!H93</f>
        <v>504</v>
      </c>
      <c r="K95" s="70">
        <f>'Necesidades Trimestrales'!G93</f>
        <v>25</v>
      </c>
    </row>
    <row r="96" spans="1:11" ht="23.25" customHeight="1" thickBot="1" x14ac:dyDescent="0.25">
      <c r="A96" s="8">
        <v>85</v>
      </c>
      <c r="B96" s="66" t="str">
        <f>'Necesidades Trimestrales'!B94</f>
        <v>2.1.1-969.35</v>
      </c>
      <c r="C96" s="94" t="str">
        <f>'Necesidades Trimestrales'!E94</f>
        <v>FIAMBRES; TIPO: JAMON COCIDO ITALIANO, PRESENTACION: AL PESO</v>
      </c>
      <c r="D96" s="94"/>
      <c r="E96" s="94"/>
      <c r="F96" s="94"/>
      <c r="G96" s="94"/>
      <c r="H96" s="67" t="s">
        <v>58</v>
      </c>
      <c r="I96" s="68" t="str">
        <f>'Necesidades Trimestrales'!F94</f>
        <v>KG</v>
      </c>
      <c r="J96" s="69">
        <f>'Necesidades Trimestrales'!H94</f>
        <v>499.87199999999996</v>
      </c>
      <c r="K96" s="70">
        <f>'Necesidades Trimestrales'!G94</f>
        <v>35</v>
      </c>
    </row>
    <row r="97" spans="1:1024" ht="20.25" customHeight="1" thickBot="1" x14ac:dyDescent="0.25">
      <c r="A97" s="8">
        <v>86</v>
      </c>
      <c r="B97" s="66" t="str">
        <f>'Necesidades Trimestrales'!B95</f>
        <v>2.1.1-4975.2</v>
      </c>
      <c r="C97" s="94" t="str">
        <f>'Necesidades Trimestrales'!E95</f>
        <v>RICOTA; ENVASE: PAQUETE, PESO: 1 Kg, SABOR: SIN</v>
      </c>
      <c r="D97" s="94"/>
      <c r="E97" s="94"/>
      <c r="F97" s="94"/>
      <c r="G97" s="94"/>
      <c r="H97" s="67" t="s">
        <v>58</v>
      </c>
      <c r="I97" s="68" t="str">
        <f>'Necesidades Trimestrales'!F95</f>
        <v>KG</v>
      </c>
      <c r="J97" s="69">
        <f>'Necesidades Trimestrales'!H95</f>
        <v>391.2</v>
      </c>
      <c r="K97" s="70">
        <f>'Necesidades Trimestrales'!G95</f>
        <v>10</v>
      </c>
    </row>
    <row r="98" spans="1:1024" ht="32.25" customHeight="1" thickBot="1" x14ac:dyDescent="0.25">
      <c r="A98" s="8">
        <v>87</v>
      </c>
      <c r="B98" s="66" t="str">
        <f>'Necesidades Trimestrales'!B96</f>
        <v>2.1.1-707.35</v>
      </c>
      <c r="C98" s="94" t="str">
        <f>'Necesidades Trimestrales'!E96</f>
        <v>PASTAS FRESCAS; VARIEDAD: RAVIOL, RELLENO: RICOTA Y POLLO, PRESENTACION: ENVASE X 2 PLANCHAS</v>
      </c>
      <c r="D98" s="94"/>
      <c r="E98" s="94"/>
      <c r="F98" s="94"/>
      <c r="G98" s="94"/>
      <c r="H98" s="67" t="s">
        <v>58</v>
      </c>
      <c r="I98" s="68" t="str">
        <f>'Necesidades Trimestrales'!F96</f>
        <v>PLANCHAS</v>
      </c>
      <c r="J98" s="69">
        <f>'Necesidades Trimestrales'!H96</f>
        <v>96.18</v>
      </c>
      <c r="K98" s="70">
        <f>'Necesidades Trimestrales'!G96</f>
        <v>130</v>
      </c>
    </row>
    <row r="99" spans="1:1024" ht="20.25" customHeight="1" thickBot="1" x14ac:dyDescent="0.25">
      <c r="A99" s="8">
        <v>88</v>
      </c>
      <c r="B99" s="66" t="str">
        <f>'Necesidades Trimestrales'!B97</f>
        <v>2.1.1-2429.1</v>
      </c>
      <c r="C99" s="94" t="str">
        <f>'Necesidades Trimestrales'!E97</f>
        <v>TAPAS P/TARTAS; TIPO: REDONDA, MASA: CASERA, PRESENTACION: BOLSA</v>
      </c>
      <c r="D99" s="94"/>
      <c r="E99" s="94"/>
      <c r="F99" s="94"/>
      <c r="G99" s="94"/>
      <c r="H99" s="67" t="s">
        <v>58</v>
      </c>
      <c r="I99" s="68" t="str">
        <f>'Necesidades Trimestrales'!F97</f>
        <v>UNIDAD</v>
      </c>
      <c r="J99" s="69">
        <f>'Necesidades Trimestrales'!H97</f>
        <v>73.631999999999991</v>
      </c>
      <c r="K99" s="70">
        <f>'Necesidades Trimestrales'!G97</f>
        <v>120</v>
      </c>
    </row>
    <row r="100" spans="1:1024" ht="20.25" customHeight="1" thickBot="1" x14ac:dyDescent="0.25">
      <c r="A100" s="8">
        <v>89</v>
      </c>
      <c r="B100" s="66" t="str">
        <f>'Necesidades Trimestrales'!B98</f>
        <v>2.1.1-2610.1</v>
      </c>
      <c r="C100" s="94" t="str">
        <f>'Necesidades Trimestrales'!E98</f>
        <v>TAPAS P/EMPANADAS; TIPO: P/HORNO, PRESENTACION: BOLSA X 12</v>
      </c>
      <c r="D100" s="94"/>
      <c r="E100" s="94"/>
      <c r="F100" s="94"/>
      <c r="G100" s="94"/>
      <c r="H100" s="67" t="s">
        <v>58</v>
      </c>
      <c r="I100" s="68" t="str">
        <f>'Necesidades Trimestrales'!F98</f>
        <v>UNIDAD</v>
      </c>
      <c r="J100" s="69">
        <f>'Necesidades Trimestrales'!H98</f>
        <v>38.4</v>
      </c>
      <c r="K100" s="70">
        <f>'Necesidades Trimestrales'!G98</f>
        <v>80</v>
      </c>
    </row>
    <row r="101" spans="1:1024" ht="35.25" customHeight="1" thickBot="1" x14ac:dyDescent="0.25">
      <c r="A101" s="8">
        <v>90</v>
      </c>
      <c r="B101" s="66" t="str">
        <f>'Necesidades Trimestrales'!B99</f>
        <v>2.1.1-456.79</v>
      </c>
      <c r="C101" s="94" t="str">
        <f>'Necesidades Trimestrales'!E99</f>
        <v>YOGHURT; TIPO: DESCREMADO, AGREGADO: SIN, CONSISTENCIA: FIRME, SABOR: VAINILLA, PRESENTACION: POTE PLASTICO X 200 GR</v>
      </c>
      <c r="D101" s="94"/>
      <c r="E101" s="94"/>
      <c r="F101" s="94"/>
      <c r="G101" s="94"/>
      <c r="H101" s="67" t="s">
        <v>58</v>
      </c>
      <c r="I101" s="68" t="str">
        <f>'Necesidades Trimestrales'!F99</f>
        <v>UNIDAD</v>
      </c>
      <c r="J101" s="69">
        <f>'Necesidades Trimestrales'!H99</f>
        <v>51.564</v>
      </c>
      <c r="K101" s="70">
        <f>'Necesidades Trimestrales'!G99</f>
        <v>400</v>
      </c>
    </row>
    <row r="102" spans="1:1024" ht="45" customHeight="1" thickBot="1" x14ac:dyDescent="0.25">
      <c r="A102" s="8">
        <v>91</v>
      </c>
      <c r="B102" s="66" t="str">
        <f>'Necesidades Trimestrales'!B100</f>
        <v>2.1.1-455.16</v>
      </c>
      <c r="C102" s="94" t="str">
        <f>'Necesidades Trimestrales'!E100</f>
        <v>DULCE DE LECHE; ENVASE: DE CARTON, CAPACIDAD: 5000 GR, TIPO: DE REPOSTERIA, PRESENTACION: ENVASE DE CARTON X 5 Kg</v>
      </c>
      <c r="D102" s="94"/>
      <c r="E102" s="94"/>
      <c r="F102" s="94"/>
      <c r="G102" s="94"/>
      <c r="H102" s="67" t="s">
        <v>58</v>
      </c>
      <c r="I102" s="68" t="str">
        <f>'Necesidades Trimestrales'!F100</f>
        <v>UNIDAD</v>
      </c>
      <c r="J102" s="69">
        <f>'Necesidades Trimestrales'!H100</f>
        <v>1068.54</v>
      </c>
      <c r="K102" s="70">
        <f>'Necesidades Trimestrales'!G100</f>
        <v>1</v>
      </c>
    </row>
    <row r="103" spans="1:1024" ht="20.25" customHeight="1" thickBot="1" x14ac:dyDescent="0.25">
      <c r="A103" s="95" t="s">
        <v>452</v>
      </c>
      <c r="B103" s="95"/>
      <c r="C103" s="95"/>
      <c r="D103" s="95"/>
      <c r="E103" s="95"/>
      <c r="F103" s="95"/>
      <c r="G103" s="95"/>
      <c r="H103" s="95"/>
      <c r="I103" s="95"/>
      <c r="J103" s="96">
        <f>SUMPRODUCT(J12:J102,K12:K102)</f>
        <v>2287199.7639999995</v>
      </c>
      <c r="K103" s="96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</sheetData>
  <mergeCells count="11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03:I103"/>
    <mergeCell ref="J103:K10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100:G100"/>
    <mergeCell ref="C101:G101"/>
    <mergeCell ref="C102:G102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view="pageBreakPreview" zoomScaleNormal="130" zoomScaleSheetLayoutView="100" workbookViewId="0">
      <selection activeCell="O18" sqref="O18:P1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0" t="s">
        <v>3</v>
      </c>
      <c r="B1" s="130"/>
      <c r="C1" s="130"/>
      <c r="D1" s="131">
        <f>'Necesidades Trimestrales'!C6</f>
        <v>2021</v>
      </c>
      <c r="E1" s="131"/>
      <c r="F1" s="10"/>
      <c r="G1" s="10"/>
      <c r="H1" s="11"/>
      <c r="I1" s="11"/>
      <c r="J1" s="11"/>
      <c r="K1" s="11"/>
      <c r="L1" s="11"/>
      <c r="M1" s="11"/>
      <c r="N1" s="11"/>
      <c r="P1" s="132" t="s">
        <v>32</v>
      </c>
      <c r="Q1" s="132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2"/>
      <c r="Q2" s="132"/>
    </row>
    <row r="4" spans="1:17" s="12" customFormat="1" ht="18" customHeight="1" thickBot="1" x14ac:dyDescent="0.25">
      <c r="A4" s="133" t="s">
        <v>33</v>
      </c>
      <c r="B4" s="133"/>
      <c r="C4" s="133"/>
      <c r="D4" s="133"/>
      <c r="E4" s="133"/>
      <c r="F4" s="133"/>
      <c r="G4" s="128" t="str">
        <f>NotaPedido!D3</f>
        <v>40 - Ministerio de Salud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7" s="12" customFormat="1" ht="18" customHeight="1" thickBot="1" x14ac:dyDescent="0.25">
      <c r="A5" s="125" t="s">
        <v>56</v>
      </c>
      <c r="B5" s="126"/>
      <c r="C5" s="126"/>
      <c r="D5" s="126"/>
      <c r="E5" s="126"/>
      <c r="F5" s="127"/>
      <c r="G5" s="128" t="str">
        <f>NotaPedido!D4</f>
        <v>23 - Hospital Interzonal San Juan Bautista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1:17" s="12" customFormat="1" ht="18" customHeight="1" thickBot="1" x14ac:dyDescent="0.25">
      <c r="A6" s="125" t="s">
        <v>34</v>
      </c>
      <c r="B6" s="126"/>
      <c r="C6" s="126"/>
      <c r="D6" s="126"/>
      <c r="E6" s="126"/>
      <c r="F6" s="127"/>
      <c r="G6" s="128" t="str">
        <f>NotaPedido!D5</f>
        <v>168 - Direccion Asistencial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17" s="12" customFormat="1" ht="18" customHeight="1" thickBot="1" x14ac:dyDescent="0.25">
      <c r="A7" s="125" t="s">
        <v>57</v>
      </c>
      <c r="B7" s="126"/>
      <c r="C7" s="126"/>
      <c r="D7" s="126"/>
      <c r="E7" s="126"/>
      <c r="F7" s="127"/>
      <c r="G7" s="128" t="str">
        <f>NotaPedido!D6</f>
        <v>Servicio de Nutrición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1:17" ht="18" customHeight="1" thickBot="1" x14ac:dyDescent="0.25">
      <c r="A8" s="129" t="s">
        <v>35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7" ht="18" customHeight="1" x14ac:dyDescent="0.2">
      <c r="A9" s="119" t="s">
        <v>36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"/>
      <c r="P9" s="1"/>
      <c r="Q9" s="13"/>
    </row>
    <row r="10" spans="1:17" ht="54.75" customHeight="1" x14ac:dyDescent="0.2">
      <c r="A10" s="120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366 - 2020,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1" t="s">
        <v>37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7" ht="15.75" customHeight="1" x14ac:dyDescent="0.2">
      <c r="A13" s="122" t="s">
        <v>38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39</v>
      </c>
      <c r="P13" s="123"/>
      <c r="Q13" s="124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23"/>
      <c r="P14" s="123"/>
      <c r="Q14" s="124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62</v>
      </c>
      <c r="I15" s="76">
        <v>2</v>
      </c>
      <c r="J15" s="76">
        <v>1</v>
      </c>
      <c r="K15" s="76">
        <v>1</v>
      </c>
      <c r="L15" s="74"/>
      <c r="M15" s="77">
        <v>1</v>
      </c>
      <c r="N15" s="75" t="s">
        <v>63</v>
      </c>
      <c r="O15" s="116" t="s">
        <v>83</v>
      </c>
      <c r="P15" s="116"/>
      <c r="Q15" s="23">
        <f>+NotaPedido!J103</f>
        <v>2287199.7639999995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7"/>
      <c r="P16" s="117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7"/>
      <c r="P17" s="117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8"/>
      <c r="P18" s="111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1"/>
      <c r="P19" s="111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1"/>
      <c r="P20" s="111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2"/>
      <c r="P21" s="112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3"/>
      <c r="P22" s="113"/>
      <c r="Q22" s="37"/>
    </row>
    <row r="23" spans="1:19" ht="20.25" customHeight="1" x14ac:dyDescent="0.2">
      <c r="A23" s="114" t="s">
        <v>451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38">
        <f>SUM(Q15:Q22)</f>
        <v>2287199.7639999995</v>
      </c>
    </row>
    <row r="24" spans="1:19" ht="18" customHeight="1" thickBot="1" x14ac:dyDescent="0.25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</row>
    <row r="25" spans="1:19" ht="17.25" customHeight="1" thickBot="1" x14ac:dyDescent="0.25">
      <c r="A25" s="106" t="s">
        <v>54</v>
      </c>
      <c r="B25" s="107"/>
      <c r="C25" s="107"/>
      <c r="D25" s="107"/>
      <c r="E25" s="107"/>
      <c r="F25" s="108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</row>
    <row r="26" spans="1:19" ht="18" customHeight="1" thickBot="1" x14ac:dyDescent="0.25">
      <c r="A26" s="110" t="str">
        <f>"Para la "&amp; NotaPedido!D8 &amp;" para ser destinados al " &amp; NotaPedido!D6 &amp;"  del HISJB del Ministerio de Salud."</f>
        <v>Para la Adquisición de Alimentos Perecederos  y no Perecederos para ser destinados al Servicio de Nutrición  del HISJB del Ministerio de Salud.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</row>
    <row r="27" spans="1:19" ht="15" customHeight="1" x14ac:dyDescent="0.2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2020-12-03T13:42:35Z</cp:lastPrinted>
  <dcterms:created xsi:type="dcterms:W3CDTF">2020-07-17T23:44:49Z</dcterms:created>
  <dcterms:modified xsi:type="dcterms:W3CDTF">2021-08-12T14:13:45Z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