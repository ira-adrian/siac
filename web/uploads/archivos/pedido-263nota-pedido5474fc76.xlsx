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Hoja1" sheetId="1" r:id="rId1"/>
  </sheets>
  <definedNames>
    <definedName name="_xlnm.Print_Area" localSheetId="0">Hoja1!$A$1:$I$60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30" i="1" l="1"/>
  <c r="I20" i="1" l="1"/>
  <c r="I26" i="1"/>
  <c r="I27" i="1"/>
  <c r="I28" i="1"/>
  <c r="I29" i="1"/>
  <c r="I25" i="1"/>
  <c r="I22" i="1"/>
  <c r="I24" i="1"/>
  <c r="I23" i="1"/>
  <c r="I21" i="1"/>
  <c r="I19" i="1"/>
  <c r="I18" i="1"/>
  <c r="I17" i="1"/>
  <c r="I16" i="1"/>
  <c r="I15" i="1"/>
  <c r="I14" i="1"/>
  <c r="I13" i="1"/>
  <c r="I12" i="1"/>
  <c r="I11" i="1"/>
  <c r="I10" i="1"/>
  <c r="I9" i="1"/>
  <c r="I31" i="1" s="1"/>
</calcChain>
</file>

<file path=xl/sharedStrings.xml><?xml version="1.0" encoding="utf-8"?>
<sst xmlns="http://schemas.openxmlformats.org/spreadsheetml/2006/main" count="152" uniqueCount="92">
  <si>
    <t>Pedido de Necesidades Trimestrales</t>
  </si>
  <si>
    <t>JURISDICCION:</t>
  </si>
  <si>
    <t>90 - Ministerio de Seguridad</t>
  </si>
  <si>
    <t xml:space="preserve">SAF N°: </t>
  </si>
  <si>
    <t>7- Dirección Provincial de Administración de la Policía de la Provincia de Catamarca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</si>
  <si>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</si>
  <si>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</si>
  <si>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</si>
  <si>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</si>
  <si>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</si>
  <si>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</si>
  <si>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</si>
  <si>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</si>
  <si>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</si>
  <si>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</si>
  <si>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</si>
  <si>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2.9.1-6951.30</t>
  </si>
  <si>
    <t>ELEMENTOS DE LIMPIEZA</t>
  </si>
  <si>
    <t>2.9.1</t>
  </si>
  <si>
    <t>LIMPIADORES; TIPO: LAVANDINA, PRESENTACION: ENVASE X 5 L</t>
  </si>
  <si>
    <t>UNIDAD</t>
  </si>
  <si>
    <t>2.9.1-6951.306</t>
  </si>
  <si>
    <t>LIMPIADORES; TIPO: DETERGENTE, PRESENTACION: ENVASE X 900 mL, BIODEGRADABLE: SI</t>
  </si>
  <si>
    <t>2.9.1-6961.42</t>
  </si>
  <si>
    <t>ELEM. P/LIMPIEZA SANITARIOS; TIPO: DESODORANTE P/ PISO, PRESENTACION: ENVASE X 5 L, COMPUESTOS BIODEGRADABLES: SI</t>
  </si>
  <si>
    <t>2.9.1-6951.23</t>
  </si>
  <si>
    <t>2.5.4</t>
  </si>
  <si>
    <t>LIMPIADORES; TIPO: ACAROINA, PRESENTACION: ENVASE X 1 L</t>
  </si>
  <si>
    <t>2.9.1-6952.31</t>
  </si>
  <si>
    <t>CEPILLOS; TIPO: ESCOBILLON, MATERIAL: CERDA</t>
  </si>
  <si>
    <t>2.9.1-713.8</t>
  </si>
  <si>
    <t>TRAPOS DE PISO; DIMENSION: 40 X 50 Cm, COLOR: SIN VALOR</t>
  </si>
  <si>
    <t>2.9.1-678.7</t>
  </si>
  <si>
    <t>TRAPOS REJILLA; DIMENSION: 40 X 50 Cm, COLOR: SIN VALOR, MATERIAL: ALGODON</t>
  </si>
  <si>
    <t>2.9.1-714.2</t>
  </si>
  <si>
    <t>FRANELAS; DIMENSION: 50 X 50 Cm</t>
  </si>
  <si>
    <t>2.9.1-646.16</t>
  </si>
  <si>
    <t>2.5.8</t>
  </si>
  <si>
    <t>BOLSAS DE RESIDUOS; COLOR: OBSCURO, ESPESOR: 30 Mn, DIMENSION: 45 X 60 Cm, PRESENTACION: SIN VALOR</t>
  </si>
  <si>
    <t>2.5.4-505.71</t>
  </si>
  <si>
    <t>DESINFECTANTES; PRINCIPIO ACTIVO: FORMALDEHIDO, CONTROL: BACTERIAS, HONGOS Y VIRUS, PRESENTACION: ENVASE X 360 CM3</t>
  </si>
  <si>
    <t>2.9.1-6950.30</t>
  </si>
  <si>
    <t>LUSTRADORES; TIPO: LUSTRAMUEBLES, PRESENTACION: AEROSOL X 360 CM3</t>
  </si>
  <si>
    <t>2.9.1-683.5</t>
  </si>
  <si>
    <t>SECADORES DE GOMA; LARGO: 40 Cm, COLOR: NEGRO</t>
  </si>
  <si>
    <t>2.9.1-564.5</t>
  </si>
  <si>
    <t>BALDES DE PLASTICO; CAPACIDAD: 10 L, COLOR: AMARILLO</t>
  </si>
  <si>
    <t>2.3.4-786.34</t>
  </si>
  <si>
    <t>2.3.4</t>
  </si>
  <si>
    <t>PAPEL HIGIENICO; PRESENTACION: PAQUETE X 4 UN, TIPO: ROLLO PRECORTADO, HOJA: DOBLE, ANCHO: 10 Cm, LARGO: 30 M, TIPO DE HOJA: DOBLE, MATERIAL HOJA: DOBLE</t>
  </si>
  <si>
    <t>2.9.1-6961.6</t>
  </si>
  <si>
    <t>ELEM. P/LIMPIEZA SANITARIOS; TIPO: PASTILLA DESODORANTE, PRESENTACION: UNIDAD</t>
  </si>
  <si>
    <t>2.9.1-6956.63</t>
  </si>
  <si>
    <t>ARTICULOS DE TOCADOR; TIPO: JABON DE TOC. LIQUIDO ANTISEPT, PRESENTACION: ENVASE X 5 L</t>
  </si>
  <si>
    <t>2.9.1-1156.12</t>
  </si>
  <si>
    <t>PLUMEROS; PLUMA: SINTETICO. CLASE: SUAVE, MATERIAL MANGO: SEGUN PLIEGO, LARGO MANGO: 40 CM, Nº VUELTAS PENACHO: SEGUN PLIEGO, TIPO: SUAVE</t>
  </si>
  <si>
    <t>2.9.1-544.73</t>
  </si>
  <si>
    <t>DESODORANTES DE AMBIENTE; FORMATO: AEROSOL, FRAGANCIA: LAVANDA, PRESENTACION: ENVASE X 360 CM3, LIBRE DE CFC: SI</t>
  </si>
  <si>
    <t>2.9.1-6952.21</t>
  </si>
  <si>
    <t>CEPILLOS; TIPO: ESCOBA DOMESTICA, MATERIAL: PAJA</t>
  </si>
  <si>
    <t>2.9.1-2425.2</t>
  </si>
  <si>
    <t>LAMPAZOS; MATERIAL: HILO, MANGO: MADERA</t>
  </si>
  <si>
    <t>2.9.1-4784.34</t>
  </si>
  <si>
    <t>LIMPIADORES MULTIUSO; TIPO: P/LAMPAZO, PRESENTACION: ENVASE X 5 L</t>
  </si>
  <si>
    <t>2.5.4-506.165</t>
  </si>
  <si>
    <t>INSECTICIDAS; PRINCIPIO ACTIVO: D-TETRAMETRINA,PERMETRINA,PRAL, CONTROL: MOSCAS Y MOSQUITOS, ACCION: INSECTICIDA, PRESENTACION: ENVASE X 360 CM3</t>
  </si>
  <si>
    <t>Especificidades de todos los Items.</t>
  </si>
  <si>
    <t>DESCRIPCION ITEM 1: LIMPIADORES; TIPO: LAVANDINA, PRESENTACION: ENVASE X 5 L, FORMATO: LIQUIDA; FRAGANCIA: NEUTRA, ENVASE: BIDON</t>
  </si>
  <si>
    <t xml:space="preserve">DESCRIPCION ITEM 2: LIMPIADORES; TIPO: DETERGENTE, PRESENTACION: ENVASE X 900 mL, BIODEGRADABLE: SI; FORMATO: CONCENTRADO; </t>
  </si>
  <si>
    <t>DESCRIPCION ITEM 3: ELEM. P/LIMPIEZA SANITARIOS; TIPO: DESODORANTE P/ PISO, PRESENTACION: ENVASE X 5 L, COMPUESTOS BIODEGRADABLES: SI, FRAGANCIA: PINO</t>
  </si>
  <si>
    <t>DESCRIPCION ITEM 4: Acaroina Fluido Desinfectante Concentrada X 1 Lts.</t>
  </si>
  <si>
    <t xml:space="preserve">DESCRIPCION ITEM 5: CEPILLOS; TIPO: ESCOBILLON, MATERIAL: CERDA, PARA INTERIOR; MEDIDA: ANCHO 30 CM MINIMO; CON MANGO DE MADERA; </t>
  </si>
  <si>
    <t>DESCRIPCION ITEM 6: TRAPOS DE PISO; DIMENSION: 40 X 50 Cm, COLOR: AZUL; MATERIAL: ALGODÓN, TIPO: PAÑO DE LIMPIEZA</t>
  </si>
  <si>
    <t xml:space="preserve">DESCRIPCION ITEM 7: TRAPOS REJILLA; DIMENSION: 40 X 50 Cm, COLOR: BLANCA, MATERIAL: ALGODÓN; TIPO: MULTIUSO; </t>
  </si>
  <si>
    <t>DESCRIPCION ITEM 8: FRANELAS; DIMENSION: 50 X 50 Cm; MATERIAL: ALGODÓN; COLOR: NARANJA;</t>
  </si>
  <si>
    <t>DESCRIPCION ITEM 9: BOLSAS DE RESIDUOS; COLOR: OBSCURO, ESPESOR: 30 Mn, DIMENSION: 45 X 60 Cm, PRESENTACION: PAQUETE POR 30 UNIDADES</t>
  </si>
  <si>
    <t xml:space="preserve">DESCRIPCION ITEM 10: DESINFECTANTES; PRESENTACION: ENVASE X 360 CM3, FORMATO: AEROSOL, FRAGANCIA: ORIGINAL, </t>
  </si>
  <si>
    <t xml:space="preserve">DESCRIPCION ITEM 11:  TIPO: LUSTRAMUEBLES, PRESENTACION: AEROSOL X 360 CM3, FRAGANCIA: ORIGINAL; </t>
  </si>
  <si>
    <t xml:space="preserve">DESCRIPCION ITEM 12: SECADORES DE GOMA; LARGO: 40 Cm, COLOR: NEGRO, INCLUYE CABO: MADERA, TIPO: REFORZADO; </t>
  </si>
  <si>
    <t xml:space="preserve">DESCRIPCION ITEM 13: BALDES DE PLASTICO; CAPACIDAD: 10 L, COLOR: AMARILLO; TIPO: REFORZADO; MANIJA: SI; </t>
  </si>
  <si>
    <t>DESCRIPCION ITEM 15: ELEM. P/LIMPIEZA SANITARIOS; TIPO: PASTILLA DESODORANTE, PRESENTACION: UNIDAD;  FORMATO: PASTILLA; FRAGANCIA: LAVANDA.</t>
  </si>
  <si>
    <t>DESCRIPCION ITEM 16: ARTICULOS DE TOCADOR; TIPO: JABON DE TOC. LIQUIDO ANTISEPTICO, PRESENTACION: ENVASE X 5 L- BIDON; FRAGANCIA: FLORALES</t>
  </si>
  <si>
    <t>DESCRIPCION ITEM 17: MANGO: MADERA, MEDIDAS APROXIMADAS: LARGO CABO 40 CM; LARGO DE PLUMAS 40 CM; Nº VUELTAS PENACHO: SIN VALOR</t>
  </si>
  <si>
    <t>DESCRIPCION ITEM 20: NÚMERO 5.</t>
  </si>
  <si>
    <t>Plazos y lugares de entrega</t>
  </si>
  <si>
    <r>
      <t xml:space="preserve">a) </t>
    </r>
    <r>
      <rPr>
        <b/>
        <sz val="10"/>
        <rFont val="Century Gothic"/>
        <family val="2"/>
      </rPr>
      <t>LUGAR DE ENTREGA: Departamento Logística, sito en Av. Felix Avellaneda RP N° 33  KM 2</t>
    </r>
    <r>
      <rPr>
        <sz val="10"/>
        <rFont val="Century Gothic"/>
        <family val="2"/>
      </rPr>
      <t>., SUMALAO - VALLE VIEJO. De 08 a 12 horas. 
b)</t>
    </r>
    <r>
      <rPr>
        <b/>
        <sz val="10"/>
        <rFont val="Century Gothic"/>
        <family val="2"/>
      </rPr>
      <t xml:space="preserve"> FORMA DE LA ENTREGA</t>
    </r>
    <r>
      <rPr>
        <sz val="10"/>
        <rFont val="Century Gothic"/>
        <family val="2"/>
      </rPr>
      <t xml:space="preserve">: Libre de flete, acarreo y embalaje, como así también, de todo riesgo de pérdida o destrucción total o parcial, por causas ajenas a la Institución.
c)  </t>
    </r>
    <r>
      <rPr>
        <b/>
        <sz val="10"/>
        <rFont val="Century Gothic"/>
        <family val="2"/>
      </rPr>
      <t>PLAZO DE ENTREGA</t>
    </r>
    <r>
      <rPr>
        <sz val="10"/>
        <rFont val="Century Gothic"/>
        <family val="2"/>
      </rPr>
      <t>: El Oferente deberá establecer plazo de entrega de los elementos cotizados, debiendo ser expresado en días hábiles; que no podrá ser superior a cinco (5) días hábiles, contados a partir de la recepción de la comunicación prevista en el Artículo 80° de del Reglamento Parcial N° 2 de la ley 4938.</t>
    </r>
  </si>
  <si>
    <t>Calidad Minima esperada</t>
  </si>
  <si>
    <t xml:space="preserve">Que Cumpla con lo Solicitado de Forma Integra. Se solicita presentar Muestras.
</t>
  </si>
  <si>
    <t>Mantenimiento</t>
  </si>
  <si>
    <t>30 dias</t>
  </si>
  <si>
    <t>Garantia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</si>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</sst>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&quot;$&quot;\ #,##0.00;[Red]&quot;$&quot;\ \-#,##0.00"/>
    <numFmt numFmtId="165" formatCode="_ &quot;$&quot;\ * #,##0.00_ ;_ &quot;$&quot;\ * \-#,##0.00_ ;_ &quot;$&quot;\ * &quot;-&quot;??_ ;_ @_ "/>
    <numFmt numFmtId="166" formatCode="_ [$$-2C0A]\ * #,##0.00_ ;_ [$$-2C0A]\ * \-#,##0.00_ ;_ [$$-2C0A]\ * &quot;-&quot;??_ ;_ @_ 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entury Gothic"/>
      <family val="2"/>
    </font>
    <font>
      <b/>
      <sz val="10"/>
      <name val="Century Gothic"/>
      <family val="2"/>
    </font>
    <font>
      <b/>
      <sz val="10"/>
      <color rgb="FF000000"/>
      <name val="Century Gothic"/>
      <family val="2"/>
    </font>
    <font>
      <sz val="10"/>
      <color rgb="FF000000"/>
      <name val="Century Gothic"/>
      <family val="2"/>
    </font>
    <font>
      <sz val="10"/>
      <color theme="1"/>
      <name val="Century Gothic"/>
      <family val="2"/>
    </font>
    <font>
      <sz val="10"/>
      <name val="Arial"/>
      <family val="2"/>
    </font>
    <font>
      <sz val="11"/>
      <color rgb="FF333333"/>
      <name val="OpenSans"/>
      <charset val="1"/>
    </font>
    <font>
      <u/>
      <sz val="10"/>
      <name val="Century Gothic"/>
      <family val="2"/>
    </font>
    <font>
      <b/>
      <sz val="11"/>
      <color rgb="FF000000"/>
      <name val="Century Gothic"/>
      <family val="2"/>
    </font>
    <font>
      <b/>
      <sz val="12"/>
      <color rgb="FF000000"/>
      <name val="Century Gothic"/>
      <family val="2"/>
    </font>
    <font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22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82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2" borderId="0" xfId="0" applyFont="1" applyFill="1"/>
    <xf numFmtId="0" fontId="2" fillId="2" borderId="0" xfId="0" applyFont="1" applyFill="1" applyAlignment="1">
      <alignment horizontal="left"/>
    </xf>
    <xf numFmtId="166" fontId="2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wrapText="1"/>
    </xf>
    <xf numFmtId="0" fontId="5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left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166" fontId="4" fillId="2" borderId="1" xfId="0" applyNumberFormat="1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top"/>
    </xf>
    <xf numFmtId="166" fontId="2" fillId="2" borderId="0" xfId="0" applyNumberFormat="1" applyFont="1" applyFill="1" applyAlignment="1">
      <alignment horizontal="center" vertical="top"/>
    </xf>
    <xf numFmtId="0" fontId="9" fillId="2" borderId="12" xfId="0" applyFont="1" applyFill="1" applyBorder="1" applyAlignment="1">
      <alignment horizontal="left" vertical="top"/>
    </xf>
    <xf numFmtId="0" fontId="2" fillId="2" borderId="0" xfId="0" applyFont="1" applyFill="1" applyBorder="1" applyAlignment="1">
      <alignment vertical="top"/>
    </xf>
    <xf numFmtId="0" fontId="2" fillId="2" borderId="13" xfId="0" applyFont="1" applyFill="1" applyBorder="1" applyAlignment="1">
      <alignment horizontal="left" vertical="top"/>
    </xf>
    <xf numFmtId="0" fontId="2" fillId="2" borderId="14" xfId="0" applyFont="1" applyFill="1" applyBorder="1"/>
    <xf numFmtId="0" fontId="2" fillId="2" borderId="15" xfId="0" applyFont="1" applyFill="1" applyBorder="1" applyAlignment="1">
      <alignment horizontal="center" vertical="center"/>
    </xf>
    <xf numFmtId="0" fontId="2" fillId="2" borderId="15" xfId="0" applyFont="1" applyFill="1" applyBorder="1"/>
    <xf numFmtId="0" fontId="9" fillId="2" borderId="17" xfId="0" applyFont="1" applyFill="1" applyBorder="1" applyAlignment="1">
      <alignment horizontal="left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18" xfId="0" applyFont="1" applyFill="1" applyBorder="1"/>
    <xf numFmtId="0" fontId="2" fillId="2" borderId="19" xfId="0" applyFont="1" applyFill="1" applyBorder="1" applyAlignment="1">
      <alignment horizontal="left"/>
    </xf>
    <xf numFmtId="0" fontId="2" fillId="2" borderId="20" xfId="0" applyFont="1" applyFill="1" applyBorder="1" applyAlignment="1">
      <alignment horizontal="center" vertical="center"/>
    </xf>
    <xf numFmtId="0" fontId="9" fillId="2" borderId="2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0" xfId="0" applyFont="1" applyFill="1" applyBorder="1"/>
    <xf numFmtId="0" fontId="2" fillId="2" borderId="21" xfId="0" applyFont="1" applyFill="1" applyBorder="1" applyAlignment="1">
      <alignment horizontal="left"/>
    </xf>
    <xf numFmtId="0" fontId="2" fillId="2" borderId="0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wrapText="1"/>
    </xf>
    <xf numFmtId="0" fontId="9" fillId="2" borderId="14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left"/>
    </xf>
    <xf numFmtId="0" fontId="3" fillId="2" borderId="0" xfId="0" applyFont="1" applyFill="1" applyBorder="1" applyAlignment="1">
      <alignment horizontal="center"/>
    </xf>
    <xf numFmtId="0" fontId="2" fillId="2" borderId="21" xfId="0" applyFont="1" applyFill="1" applyBorder="1" applyAlignment="1">
      <alignment horizontal="left" wrapText="1"/>
    </xf>
    <xf numFmtId="0" fontId="12" fillId="0" borderId="0" xfId="0" applyFont="1"/>
    <xf numFmtId="0" fontId="2" fillId="2" borderId="15" xfId="0" applyFont="1" applyFill="1" applyBorder="1" applyAlignment="1">
      <alignment horizontal="left"/>
    </xf>
    <xf numFmtId="0" fontId="2" fillId="2" borderId="16" xfId="0" applyFont="1" applyFill="1" applyBorder="1" applyAlignment="1">
      <alignment horizontal="left"/>
    </xf>
    <xf numFmtId="0" fontId="3" fillId="2" borderId="0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left" vertical="center" wrapText="1"/>
    </xf>
    <xf numFmtId="0" fontId="2" fillId="2" borderId="21" xfId="0" applyFont="1" applyFill="1" applyBorder="1" applyAlignment="1">
      <alignment horizontal="left" vertical="center" wrapText="1"/>
    </xf>
    <xf numFmtId="0" fontId="2" fillId="2" borderId="0" xfId="0" applyFont="1" applyFill="1" applyBorder="1" applyAlignment="1">
      <alignment horizontal="left" wrapText="1"/>
    </xf>
    <xf numFmtId="0" fontId="2" fillId="2" borderId="21" xfId="0" applyFont="1" applyFill="1" applyBorder="1" applyAlignment="1">
      <alignment horizontal="left" wrapText="1"/>
    </xf>
    <xf numFmtId="0" fontId="2" fillId="2" borderId="0" xfId="0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horizontal="left" vertical="top" wrapText="1"/>
    </xf>
    <xf numFmtId="0" fontId="10" fillId="2" borderId="0" xfId="0" applyFont="1" applyFill="1" applyBorder="1" applyAlignment="1">
      <alignment horizontal="left" vertical="center" wrapText="1"/>
    </xf>
    <xf numFmtId="0" fontId="11" fillId="3" borderId="0" xfId="0" applyFont="1" applyFill="1" applyBorder="1" applyAlignment="1">
      <alignment horizontal="left" wrapText="1" indent="1"/>
    </xf>
    <xf numFmtId="0" fontId="6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vertical="center" wrapText="1"/>
    </xf>
    <xf numFmtId="49" fontId="2" fillId="0" borderId="3" xfId="0" applyNumberFormat="1" applyFont="1" applyFill="1" applyBorder="1" applyAlignment="1">
      <alignment vertical="center"/>
    </xf>
    <xf numFmtId="49" fontId="2" fillId="0" borderId="3" xfId="0" applyNumberFormat="1" applyFont="1" applyFill="1" applyBorder="1" applyAlignment="1">
      <alignment vertical="center" wrapText="1"/>
    </xf>
    <xf numFmtId="0" fontId="6" fillId="0" borderId="3" xfId="0" applyFont="1" applyFill="1" applyBorder="1" applyAlignment="1">
      <alignment horizontal="center" vertical="center" wrapText="1"/>
    </xf>
    <xf numFmtId="164" fontId="6" fillId="0" borderId="4" xfId="0" applyNumberFormat="1" applyFont="1" applyFill="1" applyBorder="1" applyAlignment="1">
      <alignment horizontal="center" vertical="center"/>
    </xf>
    <xf numFmtId="165" fontId="6" fillId="0" borderId="5" xfId="1" applyNumberFormat="1" applyFont="1" applyFill="1" applyBorder="1" applyAlignment="1">
      <alignment vertical="center"/>
    </xf>
    <xf numFmtId="165" fontId="12" fillId="0" borderId="0" xfId="0" applyNumberFormat="1" applyFont="1" applyFill="1"/>
    <xf numFmtId="0" fontId="0" fillId="0" borderId="0" xfId="0" applyFill="1"/>
    <xf numFmtId="0" fontId="6" fillId="0" borderId="6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vertical="center" wrapText="1"/>
    </xf>
    <xf numFmtId="49" fontId="2" fillId="0" borderId="4" xfId="0" applyNumberFormat="1" applyFont="1" applyFill="1" applyBorder="1" applyAlignment="1">
      <alignment vertical="center"/>
    </xf>
    <xf numFmtId="49" fontId="2" fillId="0" borderId="4" xfId="0" applyNumberFormat="1" applyFont="1" applyFill="1" applyBorder="1" applyAlignment="1">
      <alignment vertical="center" wrapText="1"/>
    </xf>
    <xf numFmtId="0" fontId="6" fillId="0" borderId="4" xfId="0" applyFont="1" applyFill="1" applyBorder="1" applyAlignment="1">
      <alignment horizontal="center" vertical="center" wrapText="1"/>
    </xf>
    <xf numFmtId="165" fontId="6" fillId="0" borderId="7" xfId="1" applyNumberFormat="1" applyFont="1" applyFill="1" applyBorder="1" applyAlignment="1">
      <alignment vertical="center"/>
    </xf>
    <xf numFmtId="49" fontId="7" fillId="0" borderId="0" xfId="0" applyNumberFormat="1" applyFont="1" applyFill="1" applyAlignment="1">
      <alignment wrapText="1"/>
    </xf>
    <xf numFmtId="0" fontId="8" fillId="0" borderId="0" xfId="0" applyFont="1" applyFill="1" applyAlignment="1">
      <alignment wrapText="1"/>
    </xf>
    <xf numFmtId="49" fontId="6" fillId="0" borderId="4" xfId="0" applyNumberFormat="1" applyFont="1" applyFill="1" applyBorder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/>
    <xf numFmtId="0" fontId="2" fillId="0" borderId="0" xfId="0" applyFont="1" applyFill="1" applyAlignment="1">
      <alignment horizontal="left"/>
    </xf>
    <xf numFmtId="166" fontId="3" fillId="0" borderId="8" xfId="0" applyNumberFormat="1" applyFont="1" applyFill="1" applyBorder="1" applyAlignment="1">
      <alignment horizontal="center" vertical="center"/>
    </xf>
    <xf numFmtId="166" fontId="3" fillId="0" borderId="0" xfId="0" applyNumberFormat="1" applyFont="1" applyFill="1" applyBorder="1" applyAlignment="1">
      <alignment horizontal="center" vertical="center"/>
    </xf>
    <xf numFmtId="0" fontId="12" fillId="0" borderId="0" xfId="0" applyFont="1" applyFill="1"/>
    <xf numFmtId="0" fontId="2" fillId="0" borderId="0" xfId="0" applyFont="1" applyFill="1" applyAlignment="1">
      <alignment horizontal="center" vertical="top"/>
    </xf>
    <xf numFmtId="0" fontId="9" fillId="0" borderId="9" xfId="0" applyFont="1" applyFill="1" applyBorder="1" applyAlignment="1">
      <alignment horizontal="left" vertical="top"/>
    </xf>
    <xf numFmtId="0" fontId="2" fillId="0" borderId="10" xfId="0" applyFont="1" applyFill="1" applyBorder="1" applyAlignment="1">
      <alignment vertical="top"/>
    </xf>
    <xf numFmtId="0" fontId="2" fillId="0" borderId="11" xfId="0" applyFont="1" applyFill="1" applyBorder="1" applyAlignment="1">
      <alignment horizontal="left" vertical="top"/>
    </xf>
    <xf numFmtId="166" fontId="2" fillId="0" borderId="0" xfId="0" applyNumberFormat="1" applyFont="1" applyFill="1" applyAlignment="1">
      <alignment horizontal="center" vertical="top"/>
    </xf>
    <xf numFmtId="0" fontId="9" fillId="0" borderId="12" xfId="0" applyFont="1" applyFill="1" applyBorder="1" applyAlignment="1">
      <alignment horizontal="left" vertical="top"/>
    </xf>
    <xf numFmtId="0" fontId="2" fillId="0" borderId="0" xfId="0" applyFont="1" applyFill="1" applyBorder="1" applyAlignment="1">
      <alignment horizontal="left" vertical="center" wrapText="1"/>
    </xf>
    <xf numFmtId="0" fontId="2" fillId="0" borderId="13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top" wrapText="1"/>
    </xf>
    <xf numFmtId="0" fontId="2" fillId="0" borderId="13" xfId="0" applyFont="1" applyFill="1" applyBorder="1" applyAlignment="1">
      <alignment horizontal="left" vertical="top"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0"/>
  <sheetViews>
    <sheetView tabSelected="1" zoomScale="85" zoomScaleNormal="85" zoomScaleSheetLayoutView="87" workbookViewId="0">
      <selection activeCell="N34" sqref="N34"/>
    </sheetView>
  </sheetViews>
  <sheetFormatPr baseColWidth="10" defaultColWidth="9.140625" defaultRowHeight="15"/>
  <cols>
    <col min="1" max="1" width="9.28515625" bestFit="1" customWidth="1"/>
    <col min="2" max="2" width="14.7109375" customWidth="1"/>
    <col min="3" max="3" width="26.140625" customWidth="1"/>
    <col min="4" max="4" width="9.28515625" customWidth="1"/>
    <col min="5" max="5" width="59.5703125" customWidth="1"/>
    <col min="7" max="7" width="10.28515625" customWidth="1"/>
    <col min="8" max="8" width="11" customWidth="1"/>
    <col min="9" max="9" width="17.85546875" customWidth="1"/>
    <col min="10" max="10" width="16.7109375" style="35" bestFit="1" customWidth="1"/>
  </cols>
  <sheetData>
    <row r="1" spans="1:10">
      <c r="A1" s="1"/>
      <c r="B1" s="1"/>
      <c r="C1" s="1"/>
      <c r="D1" s="2"/>
      <c r="E1" s="3"/>
      <c r="F1" s="1"/>
      <c r="G1" s="1"/>
      <c r="H1" s="1"/>
      <c r="I1" s="4"/>
    </row>
    <row r="2" spans="1:10">
      <c r="A2" s="1"/>
      <c r="B2" s="38" t="s">
        <v>0</v>
      </c>
      <c r="C2" s="38"/>
      <c r="D2" s="38"/>
      <c r="E2" s="38"/>
      <c r="F2" s="38"/>
      <c r="G2" s="38"/>
      <c r="H2" s="38"/>
      <c r="I2" s="4"/>
    </row>
    <row r="3" spans="1:10" ht="15" customHeight="1">
      <c r="A3" s="46" t="s">
        <v>1</v>
      </c>
      <c r="B3" s="46"/>
      <c r="C3" s="47" t="s">
        <v>2</v>
      </c>
      <c r="D3" s="47"/>
      <c r="E3" s="47"/>
      <c r="F3" s="33"/>
      <c r="G3" s="33"/>
      <c r="H3" s="33"/>
      <c r="I3" s="4"/>
    </row>
    <row r="4" spans="1:10" ht="15" customHeight="1">
      <c r="A4" s="46" t="s">
        <v>3</v>
      </c>
      <c r="B4" s="46"/>
      <c r="C4" s="47" t="s">
        <v>4</v>
      </c>
      <c r="D4" s="47"/>
      <c r="E4" s="47"/>
      <c r="F4" s="33"/>
      <c r="G4" s="33"/>
      <c r="H4" s="33"/>
      <c r="I4" s="4"/>
    </row>
    <row r="5" spans="1:10">
      <c r="A5" s="39" t="s">
        <v>5</v>
      </c>
      <c r="B5" s="39"/>
      <c r="C5" s="5">
        <v>2022</v>
      </c>
      <c r="D5" s="6"/>
      <c r="E5" s="6"/>
      <c r="F5" s="7"/>
      <c r="G5" s="7"/>
      <c r="H5" s="7"/>
      <c r="I5" s="4"/>
    </row>
    <row r="6" spans="1:10">
      <c r="A6" s="39" t="s">
        <v>6</v>
      </c>
      <c r="B6" s="39"/>
      <c r="C6" s="5">
        <v>2</v>
      </c>
      <c r="D6" s="6"/>
      <c r="E6" s="6"/>
      <c r="F6" s="7"/>
      <c r="G6" s="7"/>
      <c r="H6" s="7"/>
      <c r="I6" s="4"/>
    </row>
    <row r="7" spans="1:10">
      <c r="A7" s="1"/>
      <c r="B7" s="7"/>
      <c r="C7" s="7"/>
      <c r="D7" s="8"/>
      <c r="E7" s="8"/>
      <c r="F7" s="7"/>
      <c r="G7" s="7"/>
      <c r="H7" s="7"/>
      <c r="I7" s="4"/>
    </row>
    <row r="8" spans="1:10" ht="38.25">
      <c r="A8" s="9" t="s">
        <v>7</v>
      </c>
      <c r="B8" s="9" t="s">
        <v>8</v>
      </c>
      <c r="C8" s="9" t="s">
        <v>9</v>
      </c>
      <c r="D8" s="9" t="s">
        <v>10</v>
      </c>
      <c r="E8" s="10" t="s">
        <v>11</v>
      </c>
      <c r="F8" s="9" t="s">
        <v>12</v>
      </c>
      <c r="G8" s="9" t="s">
        <v>13</v>
      </c>
      <c r="H8" s="9" t="s">
        <v>14</v>
      </c>
      <c r="I8" s="11" t="s">
        <v>15</v>
      </c>
    </row>
    <row r="9" spans="1:10" s="56" customFormat="1" ht="24" customHeight="1">
      <c r="A9" s="48">
        <v>1</v>
      </c>
      <c r="B9" s="49" t="s">
        <v>16</v>
      </c>
      <c r="C9" s="50" t="s">
        <v>17</v>
      </c>
      <c r="D9" s="50" t="s">
        <v>18</v>
      </c>
      <c r="E9" s="51" t="s">
        <v>19</v>
      </c>
      <c r="F9" s="51" t="s">
        <v>20</v>
      </c>
      <c r="G9" s="52">
        <v>3000</v>
      </c>
      <c r="H9" s="53">
        <v>505.27</v>
      </c>
      <c r="I9" s="54">
        <f t="shared" ref="I9:I24" si="0">H9*G9</f>
        <v>1515810</v>
      </c>
      <c r="J9" s="55"/>
    </row>
    <row r="10" spans="1:10" s="56" customFormat="1" ht="41.25" customHeight="1">
      <c r="A10" s="57">
        <v>2</v>
      </c>
      <c r="B10" s="58" t="s">
        <v>21</v>
      </c>
      <c r="C10" s="59" t="s">
        <v>17</v>
      </c>
      <c r="D10" s="59" t="s">
        <v>18</v>
      </c>
      <c r="E10" s="60" t="s">
        <v>22</v>
      </c>
      <c r="F10" s="60" t="s">
        <v>20</v>
      </c>
      <c r="G10" s="61">
        <v>3000</v>
      </c>
      <c r="H10" s="53">
        <v>280</v>
      </c>
      <c r="I10" s="62">
        <f t="shared" si="0"/>
        <v>840000</v>
      </c>
      <c r="J10" s="55"/>
    </row>
    <row r="11" spans="1:10" s="56" customFormat="1" ht="40.5" customHeight="1">
      <c r="A11" s="57">
        <v>3</v>
      </c>
      <c r="B11" s="58" t="s">
        <v>23</v>
      </c>
      <c r="C11" s="59" t="s">
        <v>17</v>
      </c>
      <c r="D11" s="59" t="s">
        <v>18</v>
      </c>
      <c r="E11" s="60" t="s">
        <v>24</v>
      </c>
      <c r="F11" s="60" t="s">
        <v>20</v>
      </c>
      <c r="G11" s="61">
        <v>3000</v>
      </c>
      <c r="H11" s="53">
        <v>400</v>
      </c>
      <c r="I11" s="62">
        <f t="shared" si="0"/>
        <v>1200000</v>
      </c>
      <c r="J11" s="55"/>
    </row>
    <row r="12" spans="1:10" s="56" customFormat="1" ht="27" customHeight="1">
      <c r="A12" s="57">
        <v>4</v>
      </c>
      <c r="B12" s="58" t="s">
        <v>25</v>
      </c>
      <c r="C12" s="59" t="s">
        <v>17</v>
      </c>
      <c r="D12" s="59" t="s">
        <v>26</v>
      </c>
      <c r="E12" s="60" t="s">
        <v>27</v>
      </c>
      <c r="F12" s="60" t="s">
        <v>20</v>
      </c>
      <c r="G12" s="61">
        <v>1500</v>
      </c>
      <c r="H12" s="53">
        <v>813.09</v>
      </c>
      <c r="I12" s="62">
        <f t="shared" si="0"/>
        <v>1219635</v>
      </c>
      <c r="J12" s="55"/>
    </row>
    <row r="13" spans="1:10" s="56" customFormat="1">
      <c r="A13" s="57">
        <v>5</v>
      </c>
      <c r="B13" s="58" t="s">
        <v>28</v>
      </c>
      <c r="C13" s="59" t="s">
        <v>17</v>
      </c>
      <c r="D13" s="59" t="s">
        <v>18</v>
      </c>
      <c r="E13" s="60" t="s">
        <v>29</v>
      </c>
      <c r="F13" s="60" t="s">
        <v>20</v>
      </c>
      <c r="G13" s="61">
        <v>3000</v>
      </c>
      <c r="H13" s="53">
        <v>420.64</v>
      </c>
      <c r="I13" s="62">
        <f t="shared" si="0"/>
        <v>1261920</v>
      </c>
      <c r="J13" s="55"/>
    </row>
    <row r="14" spans="1:10" s="56" customFormat="1" ht="28.5" customHeight="1">
      <c r="A14" s="57">
        <v>6</v>
      </c>
      <c r="B14" s="59" t="s">
        <v>30</v>
      </c>
      <c r="C14" s="59" t="s">
        <v>17</v>
      </c>
      <c r="D14" s="59" t="s">
        <v>18</v>
      </c>
      <c r="E14" s="60" t="s">
        <v>31</v>
      </c>
      <c r="F14" s="60" t="s">
        <v>20</v>
      </c>
      <c r="G14" s="61">
        <v>3000</v>
      </c>
      <c r="H14" s="53">
        <v>152.75</v>
      </c>
      <c r="I14" s="62">
        <f t="shared" si="0"/>
        <v>458250</v>
      </c>
      <c r="J14" s="55"/>
    </row>
    <row r="15" spans="1:10" s="56" customFormat="1" ht="34.5" customHeight="1">
      <c r="A15" s="57">
        <v>7</v>
      </c>
      <c r="B15" s="59" t="s">
        <v>32</v>
      </c>
      <c r="C15" s="59" t="s">
        <v>17</v>
      </c>
      <c r="D15" s="59" t="s">
        <v>18</v>
      </c>
      <c r="E15" s="60" t="s">
        <v>33</v>
      </c>
      <c r="F15" s="60" t="s">
        <v>20</v>
      </c>
      <c r="G15" s="61">
        <v>1500</v>
      </c>
      <c r="H15" s="53">
        <v>201.85</v>
      </c>
      <c r="I15" s="62">
        <f t="shared" si="0"/>
        <v>302775</v>
      </c>
      <c r="J15" s="55"/>
    </row>
    <row r="16" spans="1:10" s="56" customFormat="1">
      <c r="A16" s="57">
        <v>8</v>
      </c>
      <c r="B16" s="59" t="s">
        <v>34</v>
      </c>
      <c r="C16" s="59" t="s">
        <v>17</v>
      </c>
      <c r="D16" s="59" t="s">
        <v>18</v>
      </c>
      <c r="E16" s="60" t="s">
        <v>35</v>
      </c>
      <c r="F16" s="60" t="s">
        <v>20</v>
      </c>
      <c r="G16" s="61">
        <v>1500</v>
      </c>
      <c r="H16" s="53">
        <v>176.24</v>
      </c>
      <c r="I16" s="62">
        <f t="shared" si="0"/>
        <v>264360</v>
      </c>
      <c r="J16" s="55"/>
    </row>
    <row r="17" spans="1:10" s="56" customFormat="1" ht="33" customHeight="1">
      <c r="A17" s="57">
        <v>9</v>
      </c>
      <c r="B17" s="58" t="s">
        <v>36</v>
      </c>
      <c r="C17" s="59" t="s">
        <v>17</v>
      </c>
      <c r="D17" s="59" t="s">
        <v>37</v>
      </c>
      <c r="E17" s="60" t="s">
        <v>38</v>
      </c>
      <c r="F17" s="60" t="s">
        <v>20</v>
      </c>
      <c r="G17" s="61">
        <v>300</v>
      </c>
      <c r="H17" s="53">
        <v>282</v>
      </c>
      <c r="I17" s="62">
        <f t="shared" si="0"/>
        <v>84600</v>
      </c>
      <c r="J17" s="55"/>
    </row>
    <row r="18" spans="1:10" s="56" customFormat="1" ht="40.5" customHeight="1">
      <c r="A18" s="57">
        <v>10</v>
      </c>
      <c r="B18" s="58" t="s">
        <v>39</v>
      </c>
      <c r="C18" s="59" t="s">
        <v>17</v>
      </c>
      <c r="D18" s="59" t="s">
        <v>26</v>
      </c>
      <c r="E18" s="63" t="s">
        <v>40</v>
      </c>
      <c r="F18" s="60" t="s">
        <v>20</v>
      </c>
      <c r="G18" s="61">
        <v>3000</v>
      </c>
      <c r="H18" s="53">
        <v>279</v>
      </c>
      <c r="I18" s="62">
        <f t="shared" si="0"/>
        <v>837000</v>
      </c>
      <c r="J18" s="55"/>
    </row>
    <row r="19" spans="1:10" s="56" customFormat="1" ht="30" customHeight="1">
      <c r="A19" s="57">
        <v>11</v>
      </c>
      <c r="B19" s="58" t="s">
        <v>41</v>
      </c>
      <c r="C19" s="59" t="s">
        <v>17</v>
      </c>
      <c r="D19" s="59" t="s">
        <v>18</v>
      </c>
      <c r="E19" s="60" t="s">
        <v>42</v>
      </c>
      <c r="F19" s="60" t="s">
        <v>20</v>
      </c>
      <c r="G19" s="61">
        <v>1500</v>
      </c>
      <c r="H19" s="53">
        <v>283.18</v>
      </c>
      <c r="I19" s="62">
        <f t="shared" si="0"/>
        <v>424770</v>
      </c>
      <c r="J19" s="55"/>
    </row>
    <row r="20" spans="1:10" s="56" customFormat="1" ht="24" customHeight="1">
      <c r="A20" s="57">
        <v>12</v>
      </c>
      <c r="B20" s="58" t="s">
        <v>43</v>
      </c>
      <c r="C20" s="59" t="s">
        <v>17</v>
      </c>
      <c r="D20" s="59" t="s">
        <v>18</v>
      </c>
      <c r="E20" s="60" t="s">
        <v>44</v>
      </c>
      <c r="F20" s="60" t="s">
        <v>20</v>
      </c>
      <c r="G20" s="61">
        <v>1500</v>
      </c>
      <c r="H20" s="53">
        <v>373.43</v>
      </c>
      <c r="I20" s="62">
        <f t="shared" si="0"/>
        <v>560145</v>
      </c>
      <c r="J20" s="55"/>
    </row>
    <row r="21" spans="1:10" s="56" customFormat="1">
      <c r="A21" s="57">
        <v>13</v>
      </c>
      <c r="B21" s="64" t="s">
        <v>45</v>
      </c>
      <c r="C21" s="59" t="s">
        <v>17</v>
      </c>
      <c r="D21" s="59" t="s">
        <v>18</v>
      </c>
      <c r="E21" s="60" t="s">
        <v>46</v>
      </c>
      <c r="F21" s="60" t="s">
        <v>20</v>
      </c>
      <c r="G21" s="61">
        <v>750</v>
      </c>
      <c r="H21" s="53">
        <v>611</v>
      </c>
      <c r="I21" s="62">
        <f t="shared" si="0"/>
        <v>458250</v>
      </c>
      <c r="J21" s="55"/>
    </row>
    <row r="22" spans="1:10" s="56" customFormat="1" ht="38.25" customHeight="1">
      <c r="A22" s="57">
        <v>14</v>
      </c>
      <c r="B22" s="65" t="s">
        <v>47</v>
      </c>
      <c r="C22" s="59" t="s">
        <v>17</v>
      </c>
      <c r="D22" s="59" t="s">
        <v>48</v>
      </c>
      <c r="E22" s="60" t="s">
        <v>49</v>
      </c>
      <c r="F22" s="60" t="s">
        <v>20</v>
      </c>
      <c r="G22" s="61">
        <v>1000</v>
      </c>
      <c r="H22" s="53">
        <v>246.95</v>
      </c>
      <c r="I22" s="62">
        <f t="shared" si="0"/>
        <v>246950</v>
      </c>
      <c r="J22" s="55"/>
    </row>
    <row r="23" spans="1:10" s="56" customFormat="1" ht="36.75" customHeight="1">
      <c r="A23" s="57">
        <v>15</v>
      </c>
      <c r="B23" s="65" t="s">
        <v>50</v>
      </c>
      <c r="C23" s="59" t="s">
        <v>17</v>
      </c>
      <c r="D23" s="59" t="s">
        <v>18</v>
      </c>
      <c r="E23" s="60" t="s">
        <v>51</v>
      </c>
      <c r="F23" s="60" t="s">
        <v>20</v>
      </c>
      <c r="G23" s="61">
        <v>500</v>
      </c>
      <c r="H23" s="53">
        <v>170</v>
      </c>
      <c r="I23" s="62">
        <f t="shared" si="0"/>
        <v>85000</v>
      </c>
      <c r="J23" s="55"/>
    </row>
    <row r="24" spans="1:10" s="56" customFormat="1" ht="33.75" customHeight="1">
      <c r="A24" s="57">
        <v>16</v>
      </c>
      <c r="B24" s="59" t="s">
        <v>52</v>
      </c>
      <c r="C24" s="59" t="s">
        <v>17</v>
      </c>
      <c r="D24" s="59" t="s">
        <v>18</v>
      </c>
      <c r="E24" s="60" t="s">
        <v>53</v>
      </c>
      <c r="F24" s="60" t="s">
        <v>20</v>
      </c>
      <c r="G24" s="61">
        <v>1500</v>
      </c>
      <c r="H24" s="53">
        <v>1151.5</v>
      </c>
      <c r="I24" s="62">
        <f t="shared" si="0"/>
        <v>1727250</v>
      </c>
      <c r="J24" s="55"/>
    </row>
    <row r="25" spans="1:10" s="56" customFormat="1" ht="54" customHeight="1">
      <c r="A25" s="57">
        <v>17</v>
      </c>
      <c r="B25" s="59" t="s">
        <v>54</v>
      </c>
      <c r="C25" s="59" t="s">
        <v>17</v>
      </c>
      <c r="D25" s="59" t="s">
        <v>18</v>
      </c>
      <c r="E25" s="60" t="s">
        <v>55</v>
      </c>
      <c r="F25" s="60" t="s">
        <v>20</v>
      </c>
      <c r="G25" s="61">
        <v>500</v>
      </c>
      <c r="H25" s="53">
        <v>1579.2</v>
      </c>
      <c r="I25" s="62">
        <f t="shared" ref="I25" si="1">H25*G25</f>
        <v>789600</v>
      </c>
      <c r="J25" s="55"/>
    </row>
    <row r="26" spans="1:10" s="56" customFormat="1" ht="47.25" customHeight="1">
      <c r="A26" s="57">
        <v>18</v>
      </c>
      <c r="B26" s="58" t="s">
        <v>56</v>
      </c>
      <c r="C26" s="59" t="s">
        <v>17</v>
      </c>
      <c r="D26" s="59" t="s">
        <v>18</v>
      </c>
      <c r="E26" s="60" t="s">
        <v>57</v>
      </c>
      <c r="F26" s="60" t="s">
        <v>20</v>
      </c>
      <c r="G26" s="61">
        <v>500</v>
      </c>
      <c r="H26" s="53">
        <v>277.3</v>
      </c>
      <c r="I26" s="62">
        <f t="shared" ref="I26:I30" si="2">H26*G26</f>
        <v>138650</v>
      </c>
      <c r="J26" s="55"/>
    </row>
    <row r="27" spans="1:10" s="56" customFormat="1" ht="33.75" customHeight="1">
      <c r="A27" s="57">
        <v>19</v>
      </c>
      <c r="B27" s="59" t="s">
        <v>58</v>
      </c>
      <c r="C27" s="59" t="s">
        <v>17</v>
      </c>
      <c r="D27" s="59" t="s">
        <v>18</v>
      </c>
      <c r="E27" s="60" t="s">
        <v>59</v>
      </c>
      <c r="F27" s="60" t="s">
        <v>20</v>
      </c>
      <c r="G27" s="61">
        <v>500</v>
      </c>
      <c r="H27" s="53">
        <v>1207.5999999999999</v>
      </c>
      <c r="I27" s="62">
        <f t="shared" si="2"/>
        <v>603800</v>
      </c>
      <c r="J27" s="55"/>
    </row>
    <row r="28" spans="1:10" s="56" customFormat="1" ht="33.75" customHeight="1">
      <c r="A28" s="57">
        <v>20</v>
      </c>
      <c r="B28" s="59" t="s">
        <v>60</v>
      </c>
      <c r="C28" s="59" t="s">
        <v>17</v>
      </c>
      <c r="D28" s="59" t="s">
        <v>18</v>
      </c>
      <c r="E28" s="60" t="s">
        <v>61</v>
      </c>
      <c r="F28" s="60" t="s">
        <v>20</v>
      </c>
      <c r="G28" s="61">
        <v>500</v>
      </c>
      <c r="H28" s="53">
        <v>756.7</v>
      </c>
      <c r="I28" s="62">
        <f t="shared" si="2"/>
        <v>378350</v>
      </c>
      <c r="J28" s="55"/>
    </row>
    <row r="29" spans="1:10" s="56" customFormat="1" ht="33.75" customHeight="1">
      <c r="A29" s="57">
        <v>21</v>
      </c>
      <c r="B29" s="59" t="s">
        <v>62</v>
      </c>
      <c r="C29" s="59" t="s">
        <v>17</v>
      </c>
      <c r="D29" s="59" t="s">
        <v>18</v>
      </c>
      <c r="E29" s="60" t="s">
        <v>63</v>
      </c>
      <c r="F29" s="60" t="s">
        <v>20</v>
      </c>
      <c r="G29" s="61">
        <v>1000</v>
      </c>
      <c r="H29" s="53">
        <v>760</v>
      </c>
      <c r="I29" s="62">
        <f t="shared" si="2"/>
        <v>760000</v>
      </c>
      <c r="J29" s="55"/>
    </row>
    <row r="30" spans="1:10" s="56" customFormat="1" ht="54" customHeight="1">
      <c r="A30" s="57">
        <v>22</v>
      </c>
      <c r="B30" s="59" t="s">
        <v>64</v>
      </c>
      <c r="C30" s="59" t="s">
        <v>17</v>
      </c>
      <c r="D30" s="59" t="s">
        <v>26</v>
      </c>
      <c r="E30" s="60" t="s">
        <v>65</v>
      </c>
      <c r="F30" s="60" t="s">
        <v>20</v>
      </c>
      <c r="G30" s="61">
        <v>500</v>
      </c>
      <c r="H30" s="53">
        <v>223.12</v>
      </c>
      <c r="I30" s="62">
        <f t="shared" si="2"/>
        <v>111560</v>
      </c>
      <c r="J30" s="55"/>
    </row>
    <row r="31" spans="1:10" s="56" customFormat="1">
      <c r="A31" s="66"/>
      <c r="B31" s="66"/>
      <c r="C31" s="66"/>
      <c r="D31" s="67"/>
      <c r="E31" s="68"/>
      <c r="F31" s="66"/>
      <c r="G31" s="66"/>
      <c r="H31" s="66"/>
      <c r="I31" s="69">
        <f>SUM(I9:I30)</f>
        <v>14268675</v>
      </c>
      <c r="J31" s="69"/>
    </row>
    <row r="32" spans="1:10" s="56" customFormat="1">
      <c r="A32" s="66"/>
      <c r="B32" s="66"/>
      <c r="C32" s="66"/>
      <c r="D32" s="67"/>
      <c r="E32" s="68"/>
      <c r="F32" s="66"/>
      <c r="G32" s="66"/>
      <c r="H32" s="66"/>
      <c r="I32" s="70"/>
      <c r="J32" s="71"/>
    </row>
    <row r="33" spans="1:10" s="56" customFormat="1">
      <c r="A33" s="72"/>
      <c r="B33" s="73" t="s">
        <v>66</v>
      </c>
      <c r="C33" s="74"/>
      <c r="D33" s="74"/>
      <c r="E33" s="75"/>
      <c r="F33" s="72"/>
      <c r="G33" s="72"/>
      <c r="H33" s="72"/>
      <c r="I33" s="76"/>
      <c r="J33" s="71"/>
    </row>
    <row r="34" spans="1:10" s="56" customFormat="1" ht="32.25" customHeight="1">
      <c r="A34" s="72"/>
      <c r="B34" s="77"/>
      <c r="C34" s="78" t="s">
        <v>67</v>
      </c>
      <c r="D34" s="78"/>
      <c r="E34" s="79"/>
      <c r="F34" s="72"/>
      <c r="G34" s="72"/>
      <c r="H34" s="72"/>
      <c r="I34" s="76"/>
      <c r="J34" s="71"/>
    </row>
    <row r="35" spans="1:10" s="56" customFormat="1" ht="30" customHeight="1">
      <c r="A35" s="72"/>
      <c r="B35" s="77"/>
      <c r="C35" s="80" t="s">
        <v>68</v>
      </c>
      <c r="D35" s="80"/>
      <c r="E35" s="81"/>
      <c r="F35" s="72"/>
      <c r="G35" s="72"/>
      <c r="H35" s="72"/>
      <c r="I35" s="76"/>
      <c r="J35" s="71"/>
    </row>
    <row r="36" spans="1:10" ht="27.75" customHeight="1">
      <c r="A36" s="12"/>
      <c r="B36" s="14"/>
      <c r="C36" s="44" t="s">
        <v>69</v>
      </c>
      <c r="D36" s="44"/>
      <c r="E36" s="45"/>
      <c r="F36" s="12"/>
      <c r="G36" s="12"/>
      <c r="H36" s="12"/>
      <c r="I36" s="13"/>
    </row>
    <row r="37" spans="1:10" ht="21" customHeight="1">
      <c r="A37" s="12"/>
      <c r="B37" s="14"/>
      <c r="C37" s="44" t="s">
        <v>70</v>
      </c>
      <c r="D37" s="44"/>
      <c r="E37" s="45"/>
      <c r="F37" s="12"/>
      <c r="G37" s="12"/>
      <c r="H37" s="12"/>
      <c r="I37" s="13"/>
    </row>
    <row r="38" spans="1:10" ht="31.5" customHeight="1">
      <c r="A38" s="12"/>
      <c r="B38" s="14"/>
      <c r="C38" s="44" t="s">
        <v>71</v>
      </c>
      <c r="D38" s="44"/>
      <c r="E38" s="45"/>
      <c r="F38" s="12"/>
      <c r="G38" s="12"/>
      <c r="H38" s="12"/>
      <c r="I38" s="13"/>
    </row>
    <row r="39" spans="1:10" ht="29.25" customHeight="1">
      <c r="A39" s="12"/>
      <c r="B39" s="14"/>
      <c r="C39" s="44" t="s">
        <v>72</v>
      </c>
      <c r="D39" s="44"/>
      <c r="E39" s="45"/>
      <c r="F39" s="12"/>
      <c r="G39" s="12"/>
      <c r="H39" s="12"/>
      <c r="I39" s="13"/>
    </row>
    <row r="40" spans="1:10" ht="29.25" customHeight="1">
      <c r="A40" s="12"/>
      <c r="B40" s="14"/>
      <c r="C40" s="44" t="s">
        <v>73</v>
      </c>
      <c r="D40" s="44"/>
      <c r="E40" s="45"/>
      <c r="F40" s="12"/>
      <c r="G40" s="12"/>
      <c r="H40" s="12"/>
      <c r="I40" s="13"/>
    </row>
    <row r="41" spans="1:10" ht="18.75" customHeight="1">
      <c r="A41" s="12"/>
      <c r="B41" s="14"/>
      <c r="C41" s="44" t="s">
        <v>74</v>
      </c>
      <c r="D41" s="44"/>
      <c r="E41" s="45"/>
      <c r="F41" s="12"/>
      <c r="G41" s="12"/>
      <c r="H41" s="12"/>
      <c r="I41" s="13"/>
    </row>
    <row r="42" spans="1:10" ht="30" customHeight="1">
      <c r="A42" s="12"/>
      <c r="B42" s="14"/>
      <c r="C42" s="44" t="s">
        <v>75</v>
      </c>
      <c r="D42" s="44"/>
      <c r="E42" s="45"/>
      <c r="F42" s="12"/>
      <c r="G42" s="12"/>
      <c r="H42" s="12"/>
      <c r="I42" s="13"/>
    </row>
    <row r="43" spans="1:10" ht="29.25" customHeight="1">
      <c r="A43" s="12"/>
      <c r="B43" s="14"/>
      <c r="C43" s="44" t="s">
        <v>76</v>
      </c>
      <c r="D43" s="44"/>
      <c r="E43" s="45"/>
      <c r="F43" s="12"/>
      <c r="G43" s="12"/>
      <c r="H43" s="12"/>
      <c r="I43" s="13"/>
    </row>
    <row r="44" spans="1:10" ht="27.75" customHeight="1">
      <c r="A44" s="12"/>
      <c r="B44" s="14"/>
      <c r="C44" s="44" t="s">
        <v>77</v>
      </c>
      <c r="D44" s="44"/>
      <c r="E44" s="45"/>
      <c r="F44" s="12"/>
      <c r="G44" s="12"/>
      <c r="H44" s="12"/>
      <c r="I44" s="13"/>
    </row>
    <row r="45" spans="1:10" ht="28.5" customHeight="1">
      <c r="A45" s="12"/>
      <c r="B45" s="14"/>
      <c r="C45" s="44" t="s">
        <v>78</v>
      </c>
      <c r="D45" s="44"/>
      <c r="E45" s="45"/>
      <c r="F45" s="12"/>
      <c r="G45" s="12"/>
      <c r="H45" s="12"/>
      <c r="I45" s="13"/>
    </row>
    <row r="46" spans="1:10" ht="30" customHeight="1">
      <c r="A46" s="12"/>
      <c r="B46" s="14"/>
      <c r="C46" s="44" t="s">
        <v>79</v>
      </c>
      <c r="D46" s="44"/>
      <c r="E46" s="45"/>
      <c r="F46" s="12"/>
      <c r="G46" s="12"/>
      <c r="H46" s="12"/>
      <c r="I46" s="13"/>
    </row>
    <row r="47" spans="1:10" ht="26.25" customHeight="1">
      <c r="A47" s="12"/>
      <c r="B47" s="14"/>
      <c r="C47" s="44" t="s">
        <v>80</v>
      </c>
      <c r="D47" s="44"/>
      <c r="E47" s="45"/>
      <c r="F47" s="12"/>
      <c r="G47" s="12"/>
      <c r="H47" s="12"/>
      <c r="I47" s="13"/>
    </row>
    <row r="48" spans="1:10" ht="29.25" customHeight="1">
      <c r="A48" s="12"/>
      <c r="B48" s="14"/>
      <c r="C48" s="44" t="s">
        <v>81</v>
      </c>
      <c r="D48" s="44"/>
      <c r="E48" s="45"/>
      <c r="F48" s="12"/>
      <c r="G48" s="12"/>
      <c r="H48" s="12"/>
      <c r="I48" s="13"/>
    </row>
    <row r="49" spans="1:9" ht="32.25" customHeight="1">
      <c r="A49" s="12"/>
      <c r="B49" s="14"/>
      <c r="C49" s="44" t="s">
        <v>82</v>
      </c>
      <c r="D49" s="44"/>
      <c r="E49" s="45"/>
      <c r="F49" s="12"/>
      <c r="G49" s="12"/>
      <c r="H49" s="12"/>
      <c r="I49" s="13"/>
    </row>
    <row r="50" spans="1:9" ht="28.5" customHeight="1">
      <c r="A50" s="12"/>
      <c r="B50" s="14"/>
      <c r="C50" s="44" t="s">
        <v>83</v>
      </c>
      <c r="D50" s="44"/>
      <c r="E50" s="45"/>
      <c r="F50" s="12"/>
      <c r="G50" s="12"/>
      <c r="H50" s="12"/>
      <c r="I50" s="13"/>
    </row>
    <row r="51" spans="1:9">
      <c r="A51" s="12"/>
      <c r="B51" s="14"/>
      <c r="C51" s="15"/>
      <c r="D51" s="15"/>
      <c r="E51" s="16"/>
      <c r="F51" s="12"/>
      <c r="G51" s="12"/>
      <c r="H51" s="12"/>
      <c r="I51" s="13"/>
    </row>
    <row r="52" spans="1:9">
      <c r="A52" s="1"/>
      <c r="B52" s="17"/>
      <c r="C52" s="18"/>
      <c r="D52" s="19"/>
      <c r="E52" s="32"/>
      <c r="F52" s="1"/>
      <c r="G52" s="1"/>
      <c r="H52" s="1"/>
      <c r="I52" s="4"/>
    </row>
    <row r="53" spans="1:9">
      <c r="A53" s="1"/>
      <c r="B53" s="20" t="s">
        <v>84</v>
      </c>
      <c r="C53" s="21"/>
      <c r="D53" s="22"/>
      <c r="E53" s="23"/>
      <c r="F53" s="1"/>
      <c r="G53" s="1"/>
      <c r="H53" s="1"/>
      <c r="I53" s="4"/>
    </row>
    <row r="54" spans="1:9" ht="120" customHeight="1">
      <c r="A54" s="1"/>
      <c r="B54" s="24"/>
      <c r="C54" s="40" t="s">
        <v>85</v>
      </c>
      <c r="D54" s="40"/>
      <c r="E54" s="41"/>
      <c r="F54" s="1"/>
      <c r="G54" s="1"/>
      <c r="H54" s="1"/>
      <c r="I54" s="4"/>
    </row>
    <row r="55" spans="1:9">
      <c r="A55" s="1"/>
      <c r="B55" s="25" t="s">
        <v>86</v>
      </c>
      <c r="C55" s="26"/>
      <c r="D55" s="27"/>
      <c r="E55" s="28"/>
      <c r="F55" s="1"/>
      <c r="G55" s="1"/>
      <c r="H55" s="1"/>
      <c r="I55" s="4"/>
    </row>
    <row r="56" spans="1:9" ht="100.5" customHeight="1">
      <c r="A56" s="1"/>
      <c r="B56" s="24"/>
      <c r="C56" s="40" t="s">
        <v>87</v>
      </c>
      <c r="D56" s="40"/>
      <c r="E56" s="41"/>
      <c r="F56" s="2"/>
      <c r="G56" s="2"/>
      <c r="H56" s="2"/>
      <c r="I56" s="2"/>
    </row>
    <row r="57" spans="1:9">
      <c r="A57" s="1"/>
      <c r="B57" s="25" t="s">
        <v>88</v>
      </c>
      <c r="C57" s="29"/>
      <c r="D57" s="30"/>
      <c r="E57" s="34"/>
      <c r="F57" s="2"/>
      <c r="G57" s="2"/>
      <c r="H57" s="2"/>
      <c r="I57" s="2"/>
    </row>
    <row r="58" spans="1:9">
      <c r="A58" s="1"/>
      <c r="B58" s="24"/>
      <c r="C58" s="42" t="s">
        <v>89</v>
      </c>
      <c r="D58" s="42"/>
      <c r="E58" s="43"/>
      <c r="F58" s="2"/>
      <c r="G58" s="2"/>
      <c r="H58" s="2"/>
      <c r="I58" s="2"/>
    </row>
    <row r="59" spans="1:9" ht="22.5" customHeight="1">
      <c r="A59" s="1"/>
      <c r="B59" s="25" t="s">
        <v>90</v>
      </c>
      <c r="C59" s="26"/>
      <c r="D59" s="27"/>
      <c r="E59" s="28"/>
      <c r="F59" s="2"/>
      <c r="G59" s="2"/>
      <c r="H59" s="2"/>
      <c r="I59" s="2"/>
    </row>
    <row r="60" spans="1:9">
      <c r="A60" s="1"/>
      <c r="B60" s="31"/>
      <c r="C60" s="36" t="s">
        <v>91</v>
      </c>
      <c r="D60" s="36"/>
      <c r="E60" s="37"/>
      <c r="F60" s="2"/>
      <c r="G60" s="2"/>
      <c r="H60" s="2"/>
      <c r="I60" s="2"/>
    </row>
  </sheetData>
  <mergeCells count="28">
    <mergeCell ref="C50:E50"/>
    <mergeCell ref="A3:B3"/>
    <mergeCell ref="A4:B4"/>
    <mergeCell ref="C3:E3"/>
    <mergeCell ref="C4:E4"/>
    <mergeCell ref="C48:E48"/>
    <mergeCell ref="C49:E49"/>
    <mergeCell ref="C43:E43"/>
    <mergeCell ref="C44:E44"/>
    <mergeCell ref="C45:E45"/>
    <mergeCell ref="C46:E46"/>
    <mergeCell ref="C47:E47"/>
    <mergeCell ref="C60:E60"/>
    <mergeCell ref="B2:H2"/>
    <mergeCell ref="A5:B5"/>
    <mergeCell ref="A6:B6"/>
    <mergeCell ref="C54:E54"/>
    <mergeCell ref="C56:E56"/>
    <mergeCell ref="C58:E58"/>
    <mergeCell ref="C34:E34"/>
    <mergeCell ref="C35:E35"/>
    <mergeCell ref="C36:E36"/>
    <mergeCell ref="C37:E37"/>
    <mergeCell ref="C38:E38"/>
    <mergeCell ref="C39:E39"/>
    <mergeCell ref="C40:E40"/>
    <mergeCell ref="C41:E41"/>
    <mergeCell ref="C42:E42"/>
  </mergeCells>
  <pageMargins left="0" right="0" top="0" bottom="0" header="0" footer="0"/>
  <pageSetup paperSize="190" scale="85" orientation="landscape" r:id="rId1"/>
  <rowBreaks count="1" manualBreakCount="1">
    <brk id="32" max="8" man="1"/>
  </rowBreaks>
  <colBreaks count="1" manualBreakCount="1">
    <brk id="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2022-05-27T13:02:50Z</dcterms:modified>
  <cp:category/>
  <cp:contentStatus/>
</cp:coreProperties>
</file>