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3" l="1"/>
  <c r="A10" i="3"/>
  <c r="K13" i="2"/>
  <c r="I13" i="2"/>
  <c r="C13" i="2"/>
  <c r="B13" i="2"/>
  <c r="K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<sst xmlns="http://schemas.openxmlformats.org/spreadsheetml/2006/main" count="97" uniqueCount="80">
  <si>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</si>
  <si>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</si>
  <si>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</si>
  <si>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</si>
  <si>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</si>
  <si>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</si>
  <si>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</si>
  <si>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</si>
  <si>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</si>
  <si>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</si>
  <si>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</si>
  <si>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</si>
  <si>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</si>
  <si>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</si>
  <si>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</si>
  <si>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</si>
  <si>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</si>
  <si>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</si>
  <si>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</si>
  <si>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</si>
  <si>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</si>
  <si>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</si>
  <si>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</si>
  <si>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</si>
  <si>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</si>
  <si>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</si>
  <si>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</si>
  <si>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</si>
  <si>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</si>
  <si>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</si>
  <si>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</si>
  <si>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</si>
  <si>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</si>
  <si>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</si>
  <si>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</si>
  <si>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</si>
  <si>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</si>
  <si>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</si>
  <si>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</si>
  <si>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</si>
  <si>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</si>
  <si>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</si>
  <si>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</si>
  <si>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</si>
  <si>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</si>
  <si>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</si>
  <si>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</si>
  <si>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</si>
  <si>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</si>
  <si>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</si>
  <si>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</si>
  <si>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</si>
  <si>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</si>
  <si>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</si>
  <si>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</si>
  <si>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</si>
  <si>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</si>
  <si>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</si>
  <si>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</si>
  <si>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</si>
  <si>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</si>
  <si>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</si>
  <si>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</si>
  <si>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Combustibles y Lubricantes</t>
  </si>
  <si>
    <t>COMBUSTIBLES Y LUBRICANTES</t>
  </si>
  <si>
    <t>2.5.6</t>
  </si>
  <si>
    <t>Especificidades Item N° 2: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</si>
  <si>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</si>
  <si>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</si>
  <si>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</si>
  <si>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</si>
  <si>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</si>
  <si>
    <t xml:space="preserve">05 dias corridos a ser  entregados en la Administración del HISJB - Avda. Illia y Mariano Moreno </t>
  </si>
  <si>
    <t xml:space="preserve">45 dias habiles </t>
  </si>
  <si>
    <t xml:space="preserve">Adquisición de Combustibles y Lubricantes </t>
  </si>
  <si>
    <t>SI</t>
  </si>
  <si>
    <t>Costo total estimado:  UN MILLON NOVECIENTOS VEINTE MIL DOSCIENTOS CON 00/100.----</t>
  </si>
  <si>
    <t>TOTAL DE PESOS: UN MILLON NOVECIENTOS VEINTE MIL DOSCIENTOS CON 00/100.------</t>
  </si>
  <si>
    <t>NOTA DE PEDIDO N° 116 - 2022</t>
  </si>
  <si>
    <t>DOCFI-2022-01758472-CAT-DA#HSJB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</si>
</sst>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  <font>
      <b/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4" xfId="0" applyFont="1" applyBorder="1" applyAlignment="1">
      <alignment vertical="center" wrapText="1"/>
    </xf>
    <xf numFmtId="0" fontId="30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9" fillId="3" borderId="6" xfId="0" applyFont="1" applyFill="1" applyBorder="1" applyAlignment="1">
      <alignment horizontal="left" vertical="center" wrapText="1"/>
    </xf>
    <xf numFmtId="0" fontId="29" fillId="3" borderId="0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29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8" t="s">
        <v>1</v>
      </c>
      <c r="B4" s="88"/>
      <c r="C4" s="89" t="s">
        <v>56</v>
      </c>
      <c r="D4" s="89"/>
      <c r="E4" s="89"/>
      <c r="F4" s="39"/>
      <c r="G4" s="40"/>
      <c r="H4" s="39"/>
    </row>
    <row r="5" spans="1:9" ht="18" customHeight="1" x14ac:dyDescent="0.25">
      <c r="A5" s="88" t="s">
        <v>2</v>
      </c>
      <c r="B5" s="88"/>
      <c r="C5" s="89" t="s">
        <v>57</v>
      </c>
      <c r="D5" s="89"/>
      <c r="E5" s="89"/>
      <c r="F5" s="39"/>
      <c r="G5" s="40"/>
      <c r="H5" s="39"/>
    </row>
    <row r="6" spans="1:9" ht="16.5" customHeight="1" x14ac:dyDescent="0.25">
      <c r="A6" s="88" t="s">
        <v>3</v>
      </c>
      <c r="B6" s="88"/>
      <c r="C6" s="60">
        <v>2022</v>
      </c>
      <c r="D6" s="61"/>
      <c r="E6" s="61"/>
      <c r="F6" s="39"/>
      <c r="G6" s="40"/>
      <c r="H6" s="39"/>
    </row>
    <row r="7" spans="1:9" ht="16.5" customHeight="1" x14ac:dyDescent="0.25">
      <c r="A7" s="88" t="s">
        <v>4</v>
      </c>
      <c r="B7" s="88"/>
      <c r="C7" s="60">
        <v>4</v>
      </c>
      <c r="D7" s="61"/>
      <c r="E7" s="61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s="74" customFormat="1" ht="48" customHeight="1" thickBot="1" x14ac:dyDescent="0.25">
      <c r="A10" s="55">
        <v>1</v>
      </c>
      <c r="B10" s="84" t="s">
        <v>71</v>
      </c>
      <c r="C10" s="56" t="s">
        <v>64</v>
      </c>
      <c r="D10" s="57" t="s">
        <v>65</v>
      </c>
      <c r="E10" s="77" t="s">
        <v>70</v>
      </c>
      <c r="F10" s="58" t="s">
        <v>60</v>
      </c>
      <c r="G10" s="58">
        <v>6000</v>
      </c>
      <c r="H10" s="79">
        <v>204.1</v>
      </c>
      <c r="I10" s="59">
        <f t="shared" ref="I10:I11" si="0">G10*H10</f>
        <v>1224600</v>
      </c>
    </row>
    <row r="11" spans="1:9" s="74" customFormat="1" ht="48" customHeight="1" thickBot="1" x14ac:dyDescent="0.25">
      <c r="A11" s="55">
        <v>2</v>
      </c>
      <c r="B11" s="85" t="s">
        <v>69</v>
      </c>
      <c r="C11" s="76" t="s">
        <v>64</v>
      </c>
      <c r="D11" s="57" t="s">
        <v>65</v>
      </c>
      <c r="E11" s="77" t="s">
        <v>68</v>
      </c>
      <c r="F11" s="58" t="s">
        <v>60</v>
      </c>
      <c r="G11" s="58">
        <v>4000</v>
      </c>
      <c r="H11" s="79">
        <v>173.9</v>
      </c>
      <c r="I11" s="59">
        <f t="shared" si="0"/>
        <v>695600</v>
      </c>
    </row>
    <row r="14" spans="1:9" x14ac:dyDescent="0.2">
      <c r="B14" s="41" t="s">
        <v>14</v>
      </c>
      <c r="C14" s="42"/>
      <c r="D14" s="42"/>
      <c r="E14" s="43"/>
    </row>
    <row r="15" spans="1:9" ht="5.25" customHeight="1" x14ac:dyDescent="0.2">
      <c r="B15" s="44"/>
      <c r="C15" s="45"/>
      <c r="D15" s="45"/>
      <c r="E15" s="46"/>
    </row>
    <row r="16" spans="1:9" x14ac:dyDescent="0.2">
      <c r="B16" s="47" t="s">
        <v>15</v>
      </c>
      <c r="C16" s="45"/>
      <c r="D16" s="45"/>
      <c r="E16" s="46"/>
    </row>
    <row r="17" spans="2:5" ht="41.25" customHeight="1" x14ac:dyDescent="0.2">
      <c r="B17" s="47"/>
      <c r="C17" s="90" t="s">
        <v>67</v>
      </c>
      <c r="D17" s="90"/>
      <c r="E17" s="90"/>
    </row>
    <row r="18" spans="2:5" x14ac:dyDescent="0.2">
      <c r="B18" s="47" t="s">
        <v>16</v>
      </c>
      <c r="C18" s="45"/>
      <c r="D18" s="45"/>
      <c r="E18" s="46"/>
    </row>
    <row r="19" spans="2:5" ht="30.75" customHeight="1" x14ac:dyDescent="0.2">
      <c r="B19" s="48"/>
      <c r="C19" s="91" t="s">
        <v>72</v>
      </c>
      <c r="D19" s="91"/>
      <c r="E19" s="90"/>
    </row>
    <row r="20" spans="2:5" x14ac:dyDescent="0.2">
      <c r="B20" s="48"/>
      <c r="C20" s="92"/>
      <c r="D20" s="92"/>
      <c r="E20" s="92"/>
    </row>
    <row r="21" spans="2:5" x14ac:dyDescent="0.2">
      <c r="B21" s="47" t="s">
        <v>17</v>
      </c>
      <c r="C21" s="45"/>
      <c r="D21" s="45"/>
      <c r="E21" s="46"/>
    </row>
    <row r="22" spans="2:5" ht="26.25" customHeight="1" x14ac:dyDescent="0.2">
      <c r="B22" s="48"/>
      <c r="C22" s="93"/>
      <c r="D22" s="93"/>
      <c r="E22" s="93"/>
    </row>
    <row r="23" spans="2:5" x14ac:dyDescent="0.2">
      <c r="B23" s="47" t="s">
        <v>18</v>
      </c>
      <c r="C23" s="49"/>
      <c r="D23" s="49"/>
      <c r="E23" s="50"/>
    </row>
    <row r="24" spans="2:5" ht="26.25" customHeight="1" x14ac:dyDescent="0.25">
      <c r="B24" s="48"/>
      <c r="C24" s="94" t="s">
        <v>73</v>
      </c>
      <c r="D24" s="94"/>
      <c r="E24" s="94"/>
    </row>
    <row r="25" spans="2:5" x14ac:dyDescent="0.2">
      <c r="B25" s="47" t="s">
        <v>19</v>
      </c>
      <c r="C25" s="45"/>
      <c r="D25" s="45"/>
      <c r="E25" s="46"/>
    </row>
    <row r="26" spans="2:5" ht="23.25" customHeight="1" x14ac:dyDescent="0.2">
      <c r="B26" s="47"/>
      <c r="C26" s="95"/>
      <c r="D26" s="95"/>
      <c r="E26" s="95"/>
    </row>
    <row r="27" spans="2:5" x14ac:dyDescent="0.2">
      <c r="B27" s="51"/>
      <c r="C27" s="52"/>
      <c r="D27" s="52"/>
      <c r="E27" s="53"/>
    </row>
    <row r="28" spans="2:5" ht="13.5" thickBot="1" x14ac:dyDescent="0.25"/>
    <row r="29" spans="2:5" x14ac:dyDescent="0.2">
      <c r="B29" s="41" t="s">
        <v>66</v>
      </c>
      <c r="C29" s="42"/>
      <c r="D29" s="42"/>
      <c r="E29" s="43"/>
    </row>
    <row r="30" spans="2:5" ht="5.25" customHeight="1" x14ac:dyDescent="0.2">
      <c r="B30" s="44"/>
      <c r="C30" s="45"/>
      <c r="D30" s="45"/>
      <c r="E30" s="46"/>
    </row>
    <row r="31" spans="2:5" x14ac:dyDescent="0.2">
      <c r="B31" s="47" t="s">
        <v>15</v>
      </c>
      <c r="C31" s="45"/>
      <c r="D31" s="45"/>
      <c r="E31" s="46"/>
    </row>
    <row r="32" spans="2:5" ht="41.25" customHeight="1" x14ac:dyDescent="0.2">
      <c r="B32" s="47"/>
      <c r="C32" s="90" t="s">
        <v>67</v>
      </c>
      <c r="D32" s="90"/>
      <c r="E32" s="90"/>
    </row>
    <row r="33" spans="2:5" x14ac:dyDescent="0.2">
      <c r="B33" s="47" t="s">
        <v>16</v>
      </c>
      <c r="C33" s="45"/>
      <c r="D33" s="45"/>
      <c r="E33" s="46"/>
    </row>
    <row r="34" spans="2:5" ht="27" customHeight="1" x14ac:dyDescent="0.2">
      <c r="B34" s="48"/>
      <c r="C34" s="91" t="s">
        <v>72</v>
      </c>
      <c r="D34" s="91"/>
      <c r="E34" s="90"/>
    </row>
    <row r="35" spans="2:5" x14ac:dyDescent="0.2">
      <c r="B35" s="48"/>
      <c r="C35" s="92"/>
      <c r="D35" s="92"/>
      <c r="E35" s="92"/>
    </row>
    <row r="36" spans="2:5" x14ac:dyDescent="0.2">
      <c r="B36" s="47" t="s">
        <v>17</v>
      </c>
      <c r="C36" s="45"/>
      <c r="D36" s="45"/>
      <c r="E36" s="46"/>
    </row>
    <row r="37" spans="2:5" ht="26.25" customHeight="1" x14ac:dyDescent="0.2">
      <c r="B37" s="48"/>
      <c r="C37" s="93"/>
      <c r="D37" s="93"/>
      <c r="E37" s="93"/>
    </row>
    <row r="38" spans="2:5" x14ac:dyDescent="0.2">
      <c r="B38" s="47" t="s">
        <v>18</v>
      </c>
      <c r="C38" s="49"/>
      <c r="D38" s="49"/>
      <c r="E38" s="50"/>
    </row>
    <row r="39" spans="2:5" ht="26.25" customHeight="1" x14ac:dyDescent="0.25">
      <c r="B39" s="48"/>
      <c r="C39" s="94" t="s">
        <v>73</v>
      </c>
      <c r="D39" s="94"/>
      <c r="E39" s="94"/>
    </row>
    <row r="40" spans="2:5" x14ac:dyDescent="0.2">
      <c r="B40" s="47" t="s">
        <v>19</v>
      </c>
      <c r="C40" s="45"/>
      <c r="D40" s="45"/>
      <c r="E40" s="46"/>
    </row>
    <row r="41" spans="2:5" ht="23.25" customHeight="1" x14ac:dyDescent="0.2">
      <c r="B41" s="47"/>
      <c r="C41" s="95"/>
      <c r="D41" s="95"/>
      <c r="E41" s="95"/>
    </row>
    <row r="42" spans="2:5" ht="13.5" thickBot="1" x14ac:dyDescent="0.25">
      <c r="B42" s="51"/>
      <c r="C42" s="52"/>
      <c r="D42" s="52"/>
      <c r="E42" s="53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2.85546875" style="83" customWidth="1"/>
    <col min="11" max="11" width="40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6" t="s">
        <v>78</v>
      </c>
      <c r="B1" s="96"/>
      <c r="C1" s="96"/>
      <c r="D1" s="96"/>
      <c r="E1" s="96"/>
      <c r="F1" s="96"/>
      <c r="G1" s="96"/>
      <c r="H1" s="96"/>
      <c r="I1" s="96"/>
      <c r="J1" s="80" t="s">
        <v>20</v>
      </c>
      <c r="K1" s="86" t="s">
        <v>79</v>
      </c>
    </row>
    <row r="2" spans="1:11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78"/>
      <c r="K2" s="4"/>
    </row>
    <row r="3" spans="1:11" ht="18.75" customHeight="1" thickBot="1" x14ac:dyDescent="0.25">
      <c r="A3" s="97" t="s">
        <v>53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54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32</v>
      </c>
      <c r="B5" s="99"/>
      <c r="C5" s="99"/>
      <c r="D5" s="98" t="s">
        <v>61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55</v>
      </c>
      <c r="B6" s="97"/>
      <c r="C6" s="97"/>
      <c r="D6" s="98" t="s">
        <v>62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21</v>
      </c>
      <c r="B7" s="99"/>
      <c r="C7" s="99"/>
      <c r="D7" s="98" t="str">
        <f>'Necesidades Trimestrales'!C7 &amp; "° Trimestre - Año " &amp; 'Necesidades Trimestrales'!C6</f>
        <v>4° Trimestre - Año 2022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103" t="s">
        <v>22</v>
      </c>
      <c r="B8" s="103"/>
      <c r="C8" s="103"/>
      <c r="D8" s="104" t="s">
        <v>74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5"/>
      <c r="B9" s="5"/>
      <c r="C9" s="5"/>
      <c r="D9" s="6"/>
      <c r="E9" s="6"/>
      <c r="F9" s="6"/>
      <c r="G9" s="6"/>
      <c r="H9" s="6"/>
      <c r="I9" s="6"/>
      <c r="J9" s="81"/>
      <c r="K9" s="6"/>
    </row>
    <row r="10" spans="1:11" ht="18.75" customHeight="1" x14ac:dyDescent="0.2">
      <c r="A10" s="105" t="s">
        <v>23</v>
      </c>
      <c r="B10" s="106" t="s">
        <v>24</v>
      </c>
      <c r="C10" s="106" t="s">
        <v>25</v>
      </c>
      <c r="D10" s="106"/>
      <c r="E10" s="106"/>
      <c r="F10" s="106"/>
      <c r="G10" s="106"/>
      <c r="H10" s="106" t="s">
        <v>26</v>
      </c>
      <c r="I10" s="106" t="s">
        <v>27</v>
      </c>
      <c r="J10" s="106" t="s">
        <v>28</v>
      </c>
      <c r="K10" s="107" t="s">
        <v>29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2.25" customHeight="1" thickBot="1" x14ac:dyDescent="0.25">
      <c r="A12" s="7">
        <v>1</v>
      </c>
      <c r="B12" s="62" t="str">
        <f>'Necesidades Trimestrales'!B10</f>
        <v>2.5.6-793.31</v>
      </c>
      <c r="C12" s="100" t="str">
        <f>'Necesidades Trimestrales'!E10</f>
        <v>GAS OIL; PRESENTACION: POR LITRO, USO: MOTORES DIESEL, COMERCIALIZACION: GRADO 3, DESTINO: DPTO. S.F.V. DE CATAMARCA</v>
      </c>
      <c r="D12" s="100"/>
      <c r="E12" s="100"/>
      <c r="F12" s="100"/>
      <c r="G12" s="100"/>
      <c r="H12" s="63" t="s">
        <v>75</v>
      </c>
      <c r="I12" s="64" t="str">
        <f>'Necesidades Trimestrales'!F10</f>
        <v>LITROS EN VALES</v>
      </c>
      <c r="J12" s="82">
        <v>204.1</v>
      </c>
      <c r="K12" s="65">
        <f>'Necesidades Trimestrales'!G10</f>
        <v>6000</v>
      </c>
    </row>
    <row r="13" spans="1:11" ht="42.75" customHeight="1" thickBot="1" x14ac:dyDescent="0.25">
      <c r="A13" s="7">
        <v>2</v>
      </c>
      <c r="B13" s="62" t="str">
        <f>'Necesidades Trimestrales'!B11</f>
        <v>2.5.6-797.24</v>
      </c>
      <c r="C13" s="100" t="str">
        <f>'Necesidades Trimestrales'!E11</f>
        <v>NAFTA SUPER; TIPO: PREMIUN, OCTANO: 97, PRESENTACION: POR LITRO, DESTINO: DPTO. S.F.V. DE CATAMARCA, COMERCIALIZACION: SIN VALOR</v>
      </c>
      <c r="D13" s="100"/>
      <c r="E13" s="100"/>
      <c r="F13" s="100"/>
      <c r="G13" s="100"/>
      <c r="H13" s="63" t="s">
        <v>75</v>
      </c>
      <c r="I13" s="64" t="str">
        <f>'Necesidades Trimestrales'!F11</f>
        <v>LITROS EN VALES</v>
      </c>
      <c r="J13" s="82">
        <v>173.9</v>
      </c>
      <c r="K13" s="65">
        <f>'Necesidades Trimestrales'!G11</f>
        <v>4000</v>
      </c>
    </row>
    <row r="14" spans="1:11" s="75" customFormat="1" ht="27.75" customHeight="1" thickBot="1" x14ac:dyDescent="0.3">
      <c r="A14" s="101" t="s">
        <v>76</v>
      </c>
      <c r="B14" s="101"/>
      <c r="C14" s="101"/>
      <c r="D14" s="101"/>
      <c r="E14" s="101"/>
      <c r="F14" s="101"/>
      <c r="G14" s="101"/>
      <c r="H14" s="101"/>
      <c r="I14" s="101"/>
      <c r="J14" s="102">
        <f>SUMPRODUCT(J12:J13,K12:K13)</f>
        <v>1920200</v>
      </c>
      <c r="K14" s="102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20" zoomScaleNormal="120" workbookViewId="0">
      <selection activeCell="S25" sqref="S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8" t="s">
        <v>3</v>
      </c>
      <c r="B1" s="108"/>
      <c r="C1" s="108"/>
      <c r="D1" s="109">
        <f>'Necesidades Trimestrales'!C6</f>
        <v>2022</v>
      </c>
      <c r="E1" s="109"/>
      <c r="F1" s="9"/>
      <c r="G1" s="9"/>
      <c r="H1" s="10"/>
      <c r="I1" s="10"/>
      <c r="J1" s="10"/>
      <c r="K1" s="10"/>
      <c r="L1" s="10"/>
      <c r="M1" s="10"/>
      <c r="N1" s="10"/>
      <c r="P1" s="110" t="s">
        <v>30</v>
      </c>
      <c r="Q1" s="110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0"/>
      <c r="Q2" s="110"/>
    </row>
    <row r="4" spans="1:17" s="11" customFormat="1" ht="18" customHeight="1" thickBot="1" x14ac:dyDescent="0.25">
      <c r="A4" s="111" t="s">
        <v>31</v>
      </c>
      <c r="B4" s="111"/>
      <c r="C4" s="111"/>
      <c r="D4" s="111"/>
      <c r="E4" s="111"/>
      <c r="F4" s="111"/>
      <c r="G4" s="112" t="str">
        <f>NotaPedido!D3</f>
        <v>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11" customFormat="1" ht="18" customHeight="1" thickBot="1" x14ac:dyDescent="0.25">
      <c r="A5" s="113" t="s">
        <v>54</v>
      </c>
      <c r="B5" s="114"/>
      <c r="C5" s="114"/>
      <c r="D5" s="114"/>
      <c r="E5" s="114"/>
      <c r="F5" s="115"/>
      <c r="G5" s="112" t="str">
        <f>NotaPedido!D4</f>
        <v>23 - Hospital Interzonal San Juan Bautista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11" customFormat="1" ht="18" customHeight="1" thickBot="1" x14ac:dyDescent="0.25">
      <c r="A6" s="113" t="s">
        <v>32</v>
      </c>
      <c r="B6" s="114"/>
      <c r="C6" s="114"/>
      <c r="D6" s="114"/>
      <c r="E6" s="114"/>
      <c r="F6" s="115"/>
      <c r="G6" s="112" t="str">
        <f>NotaPedido!D5</f>
        <v>172 - Direccion de Administración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11" customFormat="1" ht="18" customHeight="1" thickBot="1" x14ac:dyDescent="0.25">
      <c r="A7" s="113" t="s">
        <v>55</v>
      </c>
      <c r="B7" s="114"/>
      <c r="C7" s="114"/>
      <c r="D7" s="114"/>
      <c r="E7" s="114"/>
      <c r="F7" s="115"/>
      <c r="G7" s="112" t="str">
        <f>NotaPedido!D6</f>
        <v>Dirección de Administración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thickBot="1" x14ac:dyDescent="0.25">
      <c r="A8" s="116" t="s">
        <v>33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 x14ac:dyDescent="0.2">
      <c r="A9" s="117" t="s">
        <v>34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2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DOCFI-2022-01758472-CAT-DA#HSJB,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19" t="s">
        <v>35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37</v>
      </c>
      <c r="P13" s="121"/>
      <c r="Q13" s="122" t="s">
        <v>38</v>
      </c>
    </row>
    <row r="14" spans="1:17" ht="15.75" customHeight="1" x14ac:dyDescent="0.2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21"/>
      <c r="P14" s="121"/>
      <c r="Q14" s="122"/>
    </row>
    <row r="15" spans="1:17" ht="17.25" customHeight="1" x14ac:dyDescent="0.2">
      <c r="A15" s="68">
        <v>33</v>
      </c>
      <c r="B15" s="69"/>
      <c r="C15" s="69"/>
      <c r="D15" s="69">
        <v>5</v>
      </c>
      <c r="E15" s="69"/>
      <c r="F15" s="69">
        <v>4901</v>
      </c>
      <c r="G15" s="69">
        <v>3</v>
      </c>
      <c r="H15" s="70" t="s">
        <v>58</v>
      </c>
      <c r="I15" s="71">
        <v>2</v>
      </c>
      <c r="J15" s="71">
        <v>5</v>
      </c>
      <c r="K15" s="71">
        <v>6</v>
      </c>
      <c r="L15" s="69"/>
      <c r="M15" s="72">
        <v>1</v>
      </c>
      <c r="N15" s="70" t="s">
        <v>59</v>
      </c>
      <c r="O15" s="123" t="s">
        <v>63</v>
      </c>
      <c r="P15" s="123"/>
      <c r="Q15" s="22">
        <v>1920200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66"/>
      <c r="I16" s="24"/>
      <c r="J16" s="24"/>
      <c r="K16" s="24"/>
      <c r="L16" s="24"/>
      <c r="M16" s="25"/>
      <c r="N16" s="67"/>
      <c r="O16" s="124"/>
      <c r="P16" s="124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6"/>
      <c r="I17" s="24"/>
      <c r="J17" s="24"/>
      <c r="K17" s="24"/>
      <c r="L17" s="24"/>
      <c r="M17" s="25"/>
      <c r="N17" s="67"/>
      <c r="O17" s="124"/>
      <c r="P17" s="124"/>
      <c r="Q17" s="27"/>
      <c r="S17" s="73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6"/>
      <c r="I18" s="24"/>
      <c r="J18" s="24"/>
      <c r="K18" s="24"/>
      <c r="L18" s="24"/>
      <c r="M18" s="25"/>
      <c r="N18" s="67"/>
      <c r="O18" s="125"/>
      <c r="P18" s="126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6"/>
      <c r="P19" s="126"/>
      <c r="Q19" s="27"/>
    </row>
    <row r="20" spans="1:19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32"/>
      <c r="P20" s="132"/>
      <c r="Q20" s="27"/>
      <c r="R20" s="1"/>
    </row>
    <row r="21" spans="1:19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33"/>
      <c r="P21" s="133"/>
      <c r="Q21" s="36"/>
    </row>
    <row r="22" spans="1:19" ht="20.25" customHeight="1" x14ac:dyDescent="0.2">
      <c r="A22" s="134" t="s">
        <v>77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37">
        <f>SUM(Q15:Q21)</f>
        <v>1920200</v>
      </c>
    </row>
    <row r="23" spans="1:19" ht="18" customHeight="1" thickBot="1" x14ac:dyDescent="0.25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  <row r="24" spans="1:19" ht="17.25" customHeight="1" thickBot="1" x14ac:dyDescent="0.25">
      <c r="A24" s="127" t="s">
        <v>52</v>
      </c>
      <c r="B24" s="128"/>
      <c r="C24" s="128"/>
      <c r="D24" s="128"/>
      <c r="E24" s="128"/>
      <c r="F24" s="129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8" customHeight="1" thickBot="1" x14ac:dyDescent="0.25">
      <c r="A25" s="131" t="str">
        <f>"Para la "&amp; NotaPedido!D8 &amp;" para ser destinados al " &amp; NotaPedido!D6 &amp;"  del HISJB del Ministerio de Salud."</f>
        <v>Para la Adquisición de Combustibles y Lubricantes  para ser destinados al Dirección de Administración  del HISJB del Ministerio de Salud.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9" ht="15" customHeight="1" x14ac:dyDescent="0.2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2022-01-05T12:27:38Z</cp:lastPrinted>
  <dcterms:created xsi:type="dcterms:W3CDTF">2020-07-17T23:44:49Z</dcterms:created>
  <dcterms:modified xsi:type="dcterms:W3CDTF">2022-09-19T12:45:03Z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