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IA V. NICOLA\Downloads\"/>
    </mc:Choice>
  </mc:AlternateContent>
  <bookViews>
    <workbookView xWindow="0" yWindow="0" windowWidth="28770" windowHeight="11385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62913"/>
</workbook>
</file>

<file path=xl/calcChain.xml><?xml version="1.0" encoding="utf-8"?>
<calcChain xmlns="http://schemas.openxmlformats.org/spreadsheetml/2006/main">
  <c r="I71" i="2" l="1"/>
  <c r="M71" i="2"/>
  <c r="Q71" i="2"/>
</calcChain>
</file>

<file path=xl/sharedStrings.xml><?xml version="1.0" encoding="utf-8"?>
<sst xmlns="http://schemas.openxmlformats.org/spreadsheetml/2006/main" count="433" uniqueCount="293">
  <si>
    <t>Número expediente:</t>
  </si>
  <si>
    <t>EX-2022-02174755-   -CAT-DPCBS#MEC</t>
  </si>
  <si>
    <t>Número proceso de compra:</t>
  </si>
  <si>
    <t>100-0211-CDI22</t>
  </si>
  <si>
    <t>Nombre descriptivo proceso de compra:</t>
  </si>
  <si>
    <t>ADQUISICIÓN DE INSUMOS PARA TERAPIA RESPIRATORIA CONSOLIDADO</t>
  </si>
  <si>
    <t>Unidad Operativa de Compras:</t>
  </si>
  <si>
    <t>Secretaria de Compras y Abastecimiento</t>
  </si>
  <si>
    <t>Fecha de Apertura:</t>
  </si>
  <si>
    <t>22/11/2022</t>
  </si>
  <si>
    <t>Renglón</t>
  </si>
  <si>
    <t>Juan Pablo Ingaramo</t>
  </si>
  <si>
    <t>NATIVA SRL</t>
  </si>
  <si>
    <t>PRODUMED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</si>
  <si>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</si>
  <si>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</si>
  <si>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</si>
  <si>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</si>
  <si>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</si>
  <si>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</si>
  <si>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</si>
  <si>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</si>
  <si>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</si>
  <si>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</si>
  <si>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2.9.5-7899.3 </t>
  </si>
  <si>
    <t xml:space="preserve">CÁMARA HUMIDIFICADORA DESCARTABLE </t>
  </si>
  <si>
    <t xml:space="preserve">UNIDAD </t>
  </si>
  <si>
    <t xml:space="preserve">Cámara adulto con sistema de autollenado, marca Dräger. Modelo VentStar, 
Cód: MP02605. PM 1601-106. </t>
  </si>
  <si>
    <t xml:space="preserve">4897R1V- CÁMARA HUMIDIFICADOR DESCARTABLE - PM 1116-12 - MARCA GGM 
</t>
  </si>
  <si>
    <t xml:space="preserve">2 </t>
  </si>
  <si>
    <t xml:space="preserve">2.9.5-7899.4 </t>
  </si>
  <si>
    <t xml:space="preserve">CÁMARA HUMIDIFICADORA REUTILIZABLE </t>
  </si>
  <si>
    <t xml:space="preserve">4810R1V-CÁMARA HUMIDIFICADOR ADULTO/PEDIÁTRICO REUSABLE/  4810R1V- CÁMARA HUMIDIFICADOR PED/NEO REUSABLE 
- PM 1116-9 - MARCA GGM </t>
  </si>
  <si>
    <t xml:space="preserve">3 </t>
  </si>
  <si>
    <t xml:space="preserve">2.9.5-5567.210 </t>
  </si>
  <si>
    <t xml:space="preserve">CÁNULAS; TIPO: NASAL DE ALTO FLUJO NEONATAL </t>
  </si>
  <si>
    <t xml:space="preserve"> FP.OPT314- Cánula OPTIFLOW JUNIOR neonatal - FISHER  PAYKEL 
- PM 1077-142 </t>
  </si>
  <si>
    <t xml:space="preserve">ROJA SILFLOW - SILMAG COD 240-S ANMAT 229-66 </t>
  </si>
  <si>
    <t xml:space="preserve">4 </t>
  </si>
  <si>
    <t xml:space="preserve">2.9.5-5567.209 </t>
  </si>
  <si>
    <t xml:space="preserve">CÁNULAS; TIPO: NASAL DE ALTO FLUJO P/PREMATURO </t>
  </si>
  <si>
    <t xml:space="preserve">4970R1V -CÁNULA NASAL INFANTIL - 2,5mm (3mm distancia Inter Septum) 
- GGM - PM 1116-16 </t>
  </si>
  <si>
    <t xml:space="preserve">AMARILLA SILFLOW - SILMAG COD 240-M ANMAT 229-66 </t>
  </si>
  <si>
    <t xml:space="preserve">5 </t>
  </si>
  <si>
    <t xml:space="preserve">4900R1V- CÁNULA NASAL INFANTIL - 3mm  - GGM - 
PM 1116-16 </t>
  </si>
  <si>
    <t xml:space="preserve">ROJA SILFLOW - SILMAG CODIGO 240-S ANMAT 229-66 </t>
  </si>
  <si>
    <t xml:space="preserve">6 </t>
  </si>
  <si>
    <t xml:space="preserve">2.9.5-5567.20 </t>
  </si>
  <si>
    <t xml:space="preserve">CÁNULAS; TIPO: P/ADM.OXÍGENO BIGOTERA P/ADULTO, MATERIAL: PVC, DIÁMETRO: STANDAR, LONG.DE 
CUERPO: STANDAR, MATERIAL: PVC </t>
  </si>
  <si>
    <t xml:space="preserve">Cánula nasal para oxigenoterapia tamaño adulto. Cód: MP02926. Marca: Dräger. 
PM:1601-107. Venc: May/2023. </t>
  </si>
  <si>
    <t xml:space="preserve">MPO2927- CANULA nasal (bigotera) ADULTO GRANDE (XL) mca. Drager - 
PM 1601-107 </t>
  </si>
  <si>
    <t xml:space="preserve">TIPO K 27 - KOLER ANMAT 179-17 </t>
  </si>
  <si>
    <t xml:space="preserve">7 </t>
  </si>
  <si>
    <t xml:space="preserve">2.9.5-5567.107 </t>
  </si>
  <si>
    <t xml:space="preserve">CANULAS; TIPO: P/ADM. OXIG. BIGOTERA NEO, MATERIAL: SILICONA, DIAMETRO: 2 
mm, LONG.DE CUERPO: 1,5 M </t>
  </si>
  <si>
    <t xml:space="preserve">Cánula para oxigenoterapia tamaño neonatal, cód: MP02924. Marca Dräger. PM 
1601-107 </t>
  </si>
  <si>
    <t xml:space="preserve">MPO2924- CANULA nasal (bigotera) NEONATAL (S) mca. Drager - PM 
1601-107 </t>
  </si>
  <si>
    <t xml:space="preserve">TIPO K 27 SILICONA - DRAGER ANMAT 1601-107 </t>
  </si>
  <si>
    <t xml:space="preserve">8 </t>
  </si>
  <si>
    <t xml:space="preserve">2.9.5-6509.37 </t>
  </si>
  <si>
    <t xml:space="preserve">SET DE TUBULADURA; USO: ANESTESIA, PRESENTACION: UNIDAD, TIPO: AUTOCLAVABLE ADULTO 
</t>
  </si>
  <si>
    <t xml:space="preserve">CIRCUITO anestesia adulto autoclavable (hytrell) de 1,80 mts de largo. 
Cód: 336L. Marca Galemed. PM 1501-60 </t>
  </si>
  <si>
    <t xml:space="preserve">336 M- CIRCUITO anestesia adulto autoclavable (hytrell) de 1,60 mts 
de largo mca Galemed - PM 1501-60 </t>
  </si>
  <si>
    <t xml:space="preserve">9 </t>
  </si>
  <si>
    <t xml:space="preserve">2.9.5-6509.38 </t>
  </si>
  <si>
    <t xml:space="preserve">SET DE TUBULADURA; USO: ANESTESIA, PRESENTACION: UNIDAD, TIPO: NEONATAL AUTOCLAVABLE 
</t>
  </si>
  <si>
    <t xml:space="preserve">VA- 4032-01CIRCUITO PACIENTE NO CALEFACCIONADO REUSABLE DE SILICONA - NEONATAL 
- GGM - PM 1116-20 </t>
  </si>
  <si>
    <t xml:space="preserve">10 </t>
  </si>
  <si>
    <t xml:space="preserve">2.9.5-2569.156 </t>
  </si>
  <si>
    <t xml:space="preserve">TUBOS TRAQUEALES; TIPO: SISTEMA CERRADO, TAMANO: 6 FR , USO: 
ASPIRACION TRAQUEAL CONTINUA </t>
  </si>
  <si>
    <t xml:space="preserve">T20031- SISTEMA cerrado para ASPIRACION TRAQUEAL 6 fr. NEONATAL mca. 
FREE TRACHEA , PAHSCO   2,5/3/3,5 - PM 1501-29 
</t>
  </si>
  <si>
    <t xml:space="preserve">SISTEMA CERRADO ASPIRACION 6 FR TY-CARE - COVIDIEN ANMAT 2142-35 
</t>
  </si>
  <si>
    <t xml:space="preserve">11 </t>
  </si>
  <si>
    <t xml:space="preserve">2.9.5-7830.1 </t>
  </si>
  <si>
    <t xml:space="preserve">FILTROS HUMIDIFICADORES; MATERIAL: PLÁSTICO SILICONADO; USO: BACTERIAL VIRAL PARA CIRCUITO 
RESPIRADOR  AUTOMÁTICO </t>
  </si>
  <si>
    <t xml:space="preserve">Filtro intercambiador de calor-humedad (humidificador) adulto con puerto LuerLock, antiviral-bacterial. 
Marca Dräger, Cód: MP01805. PM-1601-78. </t>
  </si>
  <si>
    <t xml:space="preserve">MP01770- FILTRO viral bacterial con port mca. Dräger - PM 
1601-78 </t>
  </si>
  <si>
    <t xml:space="preserve">12 </t>
  </si>
  <si>
    <t xml:space="preserve">2.9.5-7830.8 </t>
  </si>
  <si>
    <t xml:space="preserve">FILTROS HUMIDIFICADORES; MATERIAL: PLEGADO DE CELULOSA COLOR BLANCO, MEDIDA: ESTÁNDAR 
CON FILTRO 0.2 MICRONES, USO: P/RESPIRADOR - INTERCAMBIADOR CALOR/HUMEDAD-VIRAL-BACTERIANO </t>
  </si>
  <si>
    <t xml:space="preserve">Filtro intercambiador de calor-humedad (humidificador) adulto con puerto LuerLock, antiviral-bacterial. 
Marca Dräger, Cód: MP01805. PM-1601-78.  Poder de filtrado viral 
= 99.99 %, bacterial 99.999%. </t>
  </si>
  <si>
    <t xml:space="preserve">4808R1V- NTERCAMBIADOR DE CALOR HUMEDAD/FILTRO (FHME) - GGM - PM 
1116-11 </t>
  </si>
  <si>
    <t xml:space="preserve">13 </t>
  </si>
  <si>
    <t xml:space="preserve">2.9.5-467.103 </t>
  </si>
  <si>
    <t xml:space="preserve">MASCARAS; TIPO: HALO CEFALICO MEDIANO (200 MM X 180 MM), 
MATERIAL: ACRILICO, USO: CONCENTRACION DE OXIGENO PEDIATRICO </t>
  </si>
  <si>
    <t xml:space="preserve">14 </t>
  </si>
  <si>
    <t xml:space="preserve">2.9.5-467.104 </t>
  </si>
  <si>
    <t xml:space="preserve">MASCARAS; TIPO: HALO CEFALICO GRANDE (230 MM X 200 MM), 
MATERIAL: ACRILICO, USO: CONCENTRACION DE OXIGENO PEDIATRICO </t>
  </si>
  <si>
    <t xml:space="preserve">15 </t>
  </si>
  <si>
    <t xml:space="preserve">2.9.5-467.105 </t>
  </si>
  <si>
    <t xml:space="preserve">MASCARAS; TIPO: HALO CEFALICO PEQUEÑO (184 MM X 148 MM), 
MATERIAL: ACRILICO, USO: CONCENTRACION DE OXIGENO PEDIATRICO </t>
  </si>
  <si>
    <t xml:space="preserve">16 </t>
  </si>
  <si>
    <t xml:space="preserve">2.9.5-467.106 </t>
  </si>
  <si>
    <t xml:space="preserve">MASCARAS; TIPO: N° 1, MATERIAL: SILICONA, USO: ANESTESIA </t>
  </si>
  <si>
    <t xml:space="preserve">MASCARA p/anestesia NEONATAL Nº 0 (antes Nº1) borde siliconado c/valvula 
de inflado. Marca: GALEMED, PM 1501-27 </t>
  </si>
  <si>
    <t xml:space="preserve">MP01511- MASCARA de anestesia ComfortSTAR Nº 1 neonatal c/valv. de 
insufado mca Dräger origen Alemania - PM 1601-94 </t>
  </si>
  <si>
    <t xml:space="preserve">MASCARA ANESTESIA PVC NRO 1 INFANTE TW8351 - EUROMIX - 
ANMAT 1440-94 </t>
  </si>
  <si>
    <t xml:space="preserve">17 </t>
  </si>
  <si>
    <t xml:space="preserve">2.9.5-467.74 </t>
  </si>
  <si>
    <t xml:space="preserve">MASCARAS; TIPO: N° 2, MATERIAL: SILICONA, USO: ANESTESIA </t>
  </si>
  <si>
    <t xml:space="preserve">MASCARA p/anestesia INFANTE Nº 1 (antes Nº2) borde siliconado c/valvula 
de inflado. Marca: GALEMED, PM 1501-27 </t>
  </si>
  <si>
    <t xml:space="preserve">MP01512-MASCARA de anestesia ComfortSTAR Nº 2 infante c/valv. de insufado 
mca Dräger origen Alemania - PM 1601-94 </t>
  </si>
  <si>
    <t xml:space="preserve">MASCARA ANESTESIA PVC NRO 2 PEDIATRICA TW8352 - EUROMIX - 
ANMAT 1440-94 </t>
  </si>
  <si>
    <t xml:space="preserve">18 </t>
  </si>
  <si>
    <t xml:space="preserve">2.9.5-467.76 </t>
  </si>
  <si>
    <t xml:space="preserve">MASCARAS; TIPO: N° 4, MATERIAL: SILICONA, USO: ANESTESIA </t>
  </si>
  <si>
    <t xml:space="preserve">MASCARA p/anestesia ADOLESCENTE Nº 3 (antes Nº4) borde siliconado c/valvula 
de inflado. Marca: GALEMED, PM 1501-27 </t>
  </si>
  <si>
    <t xml:space="preserve">MP01514-MASCARA de anestesia ComfortSTAR Nº 4 adolecente c/valv. de insufado 
mca Dräger origen Alemania - PM 1601-94 </t>
  </si>
  <si>
    <t xml:space="preserve">MASCARA ANESTESIA PVC NRO 4 ADULTO TW8354 - EUROMIX - 
ANMAT 1440-94 </t>
  </si>
  <si>
    <t xml:space="preserve">19 </t>
  </si>
  <si>
    <t xml:space="preserve">2.9.5-467.95 </t>
  </si>
  <si>
    <t xml:space="preserve">MASCARAS; TIPO: ADULTO C/BOLSA RESERVORIO, MATERIAL: PLASTICO, USO: OXIGENOTERAPIA </t>
  </si>
  <si>
    <t xml:space="preserve">MASCARA DE OXIGENO ADULTO C/BOLSA de reservorio p/alta concentracion. Marca. 
DRAGER , Cód: MP01920, PM 1601-96. </t>
  </si>
  <si>
    <t xml:space="preserve">3675-MASCARA DE OXIGENO ADULTO C/BOLSA de reservorio p/alta concentracion mca. 
GALEMED  </t>
  </si>
  <si>
    <t xml:space="preserve">CON RESERVORIO Y TUB. - WELL LEAD ANMAT 1440-128 </t>
  </si>
  <si>
    <t xml:space="preserve">20 </t>
  </si>
  <si>
    <t xml:space="preserve">2.9.5-467.96 </t>
  </si>
  <si>
    <t xml:space="preserve">MASCARAS; TIPO: PEDIATRICA C/BOLSA RESERVORIO, MATERIAL: PLASTICO, USO: OXIGENOTERAPIA </t>
  </si>
  <si>
    <t xml:space="preserve">MASCARA DE OXIGENO PEDIAT. C/BOLSA de reservorio p/alta concentracion. Marca 
DRAGER, Cód: MP01930, PM 1601-96. </t>
  </si>
  <si>
    <t xml:space="preserve">3678- MASCARA DE OXIGENO PEDIAT. C/BOLSA de reservorio p/alta concentracion 
mca. GALEMED </t>
  </si>
  <si>
    <t xml:space="preserve">CON RESERVORIO Y TUB - WELL LEAD ANMAT 1440-128 </t>
  </si>
  <si>
    <t xml:space="preserve">21 </t>
  </si>
  <si>
    <t xml:space="preserve">2.9.5-4707.1 </t>
  </si>
  <si>
    <t xml:space="preserve">PIPETAS P/NEBULIZAR; USO: PARA NEBULIZAR, TIPO: C/MASCARA P/ADULTO, MATERIAL: PLASTICO 
</t>
  </si>
  <si>
    <t xml:space="preserve">3569-AMPOLLA para nebulizar ADULTO c/masc.con sujetador y tubo conector mca.GALEMED 
</t>
  </si>
  <si>
    <t xml:space="preserve">MICRONEBULIZADOR (3) HG 1003 - HG ANMAT 1633-2 </t>
  </si>
  <si>
    <t xml:space="preserve">22 </t>
  </si>
  <si>
    <t xml:space="preserve">2.9.5-467.77 </t>
  </si>
  <si>
    <t xml:space="preserve">MASCARAS; TIPO: N° 5, MATERIAL: SILICONA, USO: ANESTESIA </t>
  </si>
  <si>
    <t xml:space="preserve">MASCARA p/anestesia ADULTO Nº 4 (antes Nº5) borde siliconado c/valvula 
de inflado. Marca: GALEMED, PM 1501-27 </t>
  </si>
  <si>
    <t xml:space="preserve">MP01515- MASCARA de anestesia ComfortSTAR Nº 5 adulto c/valv. de 
insufado mca Dräger origen Alemania </t>
  </si>
  <si>
    <t xml:space="preserve">MASCARA ANESTESIA PVC NRO 5 ADULTO TW8355 - EUROMIX - 
ANMAT 1440-94 </t>
  </si>
  <si>
    <t xml:space="preserve">23 </t>
  </si>
  <si>
    <t xml:space="preserve">4.3.3-2045.4 </t>
  </si>
  <si>
    <t xml:space="preserve">RESUCITADORES MANUALES; VÁLVULA DE SEGURIDAD: CON; BOLSA RESERVORIO DE O2: 
S/PLIEGO; USO: P/ADULTOS </t>
  </si>
  <si>
    <t xml:space="preserve">RESUCITADOR ADULTO compuesto por mascara, bolsa de ventilacion ergonomica antideslizante 
de 1630 ml y bolsa reservorio de vinilo de 2000 
ml con tubuladura de conexión a oxigeno, provisto con valvula 
de sobreflujo (pop off) con apertura a 60 cm H2O. 
mca WINNER. Cód: TW8311, PM 1501-77. </t>
  </si>
  <si>
    <t xml:space="preserve">TW8311- RESUCITADOR ADULTO compuesto por mascara, bolsa de ventilacion ergonomica 
antideslizante de 1630 ml y bolsa reservorio de vinilo de 
2000 ml con tubuladura de conexión a oxigeno, provisto con 
valvula de sobreflujo (pop off) con apertura a 60 cm 
H2O. mca WINNER  </t>
  </si>
  <si>
    <t xml:space="preserve">24 </t>
  </si>
  <si>
    <t xml:space="preserve">4.3.3-2045.7 </t>
  </si>
  <si>
    <t xml:space="preserve">RESUCITADORES MANUALES; VALVULA DE SEGURIDAD:CON, BOLSA RESERVORIO DE O2: CON, 
USO: P/ADULTOS REUTILIZABLE-AUTOCLAVABLES </t>
  </si>
  <si>
    <t xml:space="preserve">RESUCITADOR ADULTO AUTOCLAVABLE de silicona compuesto por mascara, bolsa de 
ventilacion ergonomica antideslizante de 1630 ml y bolsa reservorio de 
vinilo de 2000 ml con tubuladura de conexión a oxigeno, 
provisto con valvula de sobreflujo (pop off) con apertura a 
60 cm H2O. Marca WINNER, Cód: TW8111, PM 1501-78. </t>
  </si>
  <si>
    <t xml:space="preserve">TW8111- RESUCITADOR ADULTO AUTOCLAVABLE de silicona compuesto por mascara, bolsa 
de ventilacion ergonomica antideslizante de 1630 ml y bolsa reservorio 
de vinilo de 2000 ml con tubuladura de conexión a 
oxigeno, provisto con valvula de sobreflujo (pop off) con apertura 
a 60 cm H2O. mca WINNER </t>
  </si>
  <si>
    <t xml:space="preserve">EQUIPO DE REANIMACION REUSABLE SILICONA CON VALVULA PEEP ADULTO - 
EUROMIX ANMAT 1440-95 </t>
  </si>
  <si>
    <t xml:space="preserve">25 </t>
  </si>
  <si>
    <t xml:space="preserve">4.3.3-2045.8 </t>
  </si>
  <si>
    <t xml:space="preserve">RESUCITADORES MANUALES; VALVULA DE SEGURIDAD:CON, BOLSA RESERVORIO DE O2: CON, 
USO: P/NEONATOS - DESCARTABLE </t>
  </si>
  <si>
    <t xml:space="preserve">RESUCITADOR NEONATAL compuesto por mascara, bolsa de ventilacion ergonomica antideslizante 
de 250 ml y bolsa reservorio de vinilo de 600 
ml con tubuladura de conexión a oxigeno, provisto con valvula 
de sobreflujo (pop off) con apertura a 40 cm H2O. 
mca WINNER. Cód: TW8331, PM 1501-77 </t>
  </si>
  <si>
    <t xml:space="preserve">TW8331-RESUCITADOR NEONATAL compuesto por mascara, bolsa de ventilacion ergonomica antideslizante 
de 250 ml y bolsa reservorio de vinilo de 600 
ml con tubuladura de conexión a oxigeno, provisto con valvula 
de sobreflujo (pop off) con apertura a 40 cm H2O. 
mca WINNER </t>
  </si>
  <si>
    <t xml:space="preserve">26 </t>
  </si>
  <si>
    <t xml:space="preserve">4.3.3-2045.9 </t>
  </si>
  <si>
    <t xml:space="preserve">RESUCITADORES MANUALES; VALVULA DE SEGURIDAD:CON, BOLSA RESERVORIO DE O2: CON, 
USO: P/NEONATOS REUTILIZABLE-AUTOCLAVABLES </t>
  </si>
  <si>
    <t xml:space="preserve">RESUCITADOR NEONATAL AUTOCLAVABLE de silicona compuesto por mascara, bolsa de 
ventilacion ergonomica antideslizante de 250 ml y bolsa reservorio de 
vinilo de 600 ml con tubuladura de conexión a oxigeno, 
provisto con valvula de sobreflujo (pop off) con apertura a 
40 cm H2O. mca WINNER. Cód: TW8131. PM 1501-78 </t>
  </si>
  <si>
    <t xml:space="preserve">TW8131-RESUCITADOR NEONATAL compuesto por mascara, bolsa de ventilacion ergonomica antideslizante 
de 250 ml y bolsa reservorio de vinilo de 600 
ml con tubuladura de conexión a oxigeno, provisto con valvula 
de sobreflujo (pop off) con apertura a 40 cm H2O. 
mca WINNER </t>
  </si>
  <si>
    <t xml:space="preserve">EQUIPO DE REANIMACION REUSABLE SILICONA CON VALVULA PEEP NEO - 
EUROMIX ANMAT 1440-95 EX </t>
  </si>
  <si>
    <t xml:space="preserve">27 </t>
  </si>
  <si>
    <t xml:space="preserve">2.9.5-5567.202 </t>
  </si>
  <si>
    <t xml:space="preserve">CANULAS; TIPO: NASAL P/ CPAP, MATERIAL: PLASTICO, DIAMETRO: 8 FRENCH 
</t>
  </si>
  <si>
    <t xml:space="preserve">233-00 -SISTEMA C.P.A.P - 100% SILICONA - LONGITUD: 2 x 
50 Cm </t>
  </si>
  <si>
    <t xml:space="preserve">SISTEMA CPAP 8 FR SILICONA - SILMAG CODIGO 233-00 ANMAT 
229-61 </t>
  </si>
  <si>
    <t xml:space="preserve">28 </t>
  </si>
  <si>
    <t xml:space="preserve">2.9.5-5567.86 </t>
  </si>
  <si>
    <t xml:space="preserve">CANULAS; TIPO: NASAL P/ CPAP, MATERIAL: PLASTICO, DIAMETRO: 10 FRENCH, 
LONG.DE CUERPO: 200 mm </t>
  </si>
  <si>
    <t xml:space="preserve">233-01 - SISTEMA C.P.A.P - 100% SILICONA - LONGITUD: 2 
x 50 Cm </t>
  </si>
  <si>
    <t xml:space="preserve">SISTEMA CPAP 10 FR SILICONA - SILMAG CODIGO 233-01 ANMAT 
229-61 </t>
  </si>
  <si>
    <t xml:space="preserve">29 </t>
  </si>
  <si>
    <t xml:space="preserve">2.9.5-5567.87 </t>
  </si>
  <si>
    <t xml:space="preserve">CANULAS; TIPO: NASAL P/ CPAP, MATERIAL: PLASTICO, DIAMETRO: 12 FRENCH, 
LONG.DE CUERPO: 200 mm </t>
  </si>
  <si>
    <t xml:space="preserve">233-02 - SISTEMA C.P.A.P - 100% SILICONA - LONGITUD: 2 
x 50 Cm </t>
  </si>
  <si>
    <t xml:space="preserve">SISTEMA CPAP 12 FR SILICONA - SILMAG CODIGO 233-02 ANMAT 
229-61 </t>
  </si>
  <si>
    <t xml:space="preserve">30 </t>
  </si>
  <si>
    <t xml:space="preserve">2.9.5-2226.37 </t>
  </si>
  <si>
    <t xml:space="preserve">CONECTORES P/MEDICINA; USO: TUBULADURA, CONECTOR T </t>
  </si>
  <si>
    <t xml:space="preserve">CY95-CONECTOR EN Y PARA TUBO KT-95 </t>
  </si>
  <si>
    <t xml:space="preserve">31 </t>
  </si>
  <si>
    <t xml:space="preserve">2.9.5-2226.38 </t>
  </si>
  <si>
    <t xml:space="preserve">CONECTORES P/MEDICINA; TIPO: EN Y; MEDIDA: S/PLIEGO; USO: CONECTOR DE 
TUBULADURAS; PRESENTACIÓN: UNIDAD </t>
  </si>
  <si>
    <t xml:space="preserve">73011- CONECTOR en Y PARALELA para circuitos de anestesia de 
22mm mca GALEMED </t>
  </si>
  <si>
    <t xml:space="preserve">32 </t>
  </si>
  <si>
    <t xml:space="preserve">2.9.5-2569.115 </t>
  </si>
  <si>
    <t xml:space="preserve">TUBOS TRAQUEALES; TIPO: MAYO, Nº: 0, NUMERO: 0 </t>
  </si>
  <si>
    <t xml:space="preserve">59013- TUBO MAYO GUEDELL |POLYMED| Nº0 60 MM. (NEGRO). ESTERIL 
(Libre de Latex) </t>
  </si>
  <si>
    <t xml:space="preserve">TUBO OROF (GUEDEL) (60 MM- NEGRO) - WELL LEAD ANMAT 
1440-13 </t>
  </si>
  <si>
    <t xml:space="preserve">33 </t>
  </si>
  <si>
    <t xml:space="preserve">2.9.5-2569.114 </t>
  </si>
  <si>
    <t xml:space="preserve">TUBOS TRAQUEALES; TIPO: MAYO, Nº: 00, NUMERO: 00 </t>
  </si>
  <si>
    <t xml:space="preserve">59012-TUBO MAYO GUEDELL |POLYMED| Nº 00 50 MM. (AZUL). ESTERIL 
(Libre de Latex) </t>
  </si>
  <si>
    <t xml:space="preserve">TUBO OROF (GUEDEL) (50 MM- AZUL) - WELL LEAD ANMAT 
1440-13 </t>
  </si>
  <si>
    <t xml:space="preserve">34 </t>
  </si>
  <si>
    <t xml:space="preserve">2.9.5-2569.112 </t>
  </si>
  <si>
    <t xml:space="preserve">TUBOS TRAQUEALES; TIPO: MAYO, Nº: 5, NUMERO: 5 </t>
  </si>
  <si>
    <t xml:space="preserve">TUBO OROF (GUEDEL) (110 MM- CELESTE) - WELL LEAD ANMAT 
1440-13 </t>
  </si>
  <si>
    <t xml:space="preserve">35 </t>
  </si>
  <si>
    <t xml:space="preserve">2.9.5-2569.77 </t>
  </si>
  <si>
    <t xml:space="preserve">TUBOS TRAQUEALES; TIPO: MAYO, Nº: 1, NUMERO: 1 </t>
  </si>
  <si>
    <t xml:space="preserve">TUBO OROF (GUEDEL) (70 MM- BLANCO) - WELL LEAD ANMAT 
1440-13 </t>
  </si>
  <si>
    <t xml:space="preserve">36 </t>
  </si>
  <si>
    <t xml:space="preserve">2.9.5-2569.78 </t>
  </si>
  <si>
    <t xml:space="preserve">TUBOS TRAQUEALES; TIPO: MAYO, Nº: 2, NUMERO: 2 </t>
  </si>
  <si>
    <t xml:space="preserve">TUBO OROF (GUEDEL) (80 MM- VERDE) - WELL LEAD ANMAT 
1440-13 </t>
  </si>
  <si>
    <t xml:space="preserve">37 </t>
  </si>
  <si>
    <t xml:space="preserve">2.9.5-2569.79 </t>
  </si>
  <si>
    <t xml:space="preserve">TUBOS TRAQUEALES; TIPO: MAYO, Nº: 3, NUMERO: 3 </t>
  </si>
  <si>
    <t xml:space="preserve">TUBO OROF (GUEDEL) (90 MM- AMARILLO) - WELL LEAD ANMAT 
1440-13 </t>
  </si>
  <si>
    <t xml:space="preserve">38 </t>
  </si>
  <si>
    <t xml:space="preserve">2.9.5-2569.80 </t>
  </si>
  <si>
    <t xml:space="preserve">TUBOS TRAQUEALES; TIPO: MAYO, NUMERO: 4, Nº: 4 </t>
  </si>
  <si>
    <t xml:space="preserve">TUBO OROF (GUEDEL) (100 MM- ROJO) - WELL LEAD ANMAT 
1440-13 </t>
  </si>
  <si>
    <t xml:space="preserve">39 </t>
  </si>
  <si>
    <t xml:space="preserve">2.9.5-4198.172 </t>
  </si>
  <si>
    <t xml:space="preserve">ELEMENTOS DESC. P/CIRUGIAS; TIPO: VARA INTRODUCTORA 6MM, PRESENTACION: UNIDAD </t>
  </si>
  <si>
    <t xml:space="preserve">40 </t>
  </si>
  <si>
    <t xml:space="preserve">2.9.5-4198.173 </t>
  </si>
  <si>
    <t xml:space="preserve">ELEMENTOS DESC. P/CIRUGIAS; TIPO: VARA INTRODUCTORA 9MM, PRESENTACION: UNIDAD </t>
  </si>
  <si>
    <t xml:space="preserve">41 </t>
  </si>
  <si>
    <t xml:space="preserve">2.9.5-4198.174 </t>
  </si>
  <si>
    <t xml:space="preserve">ELEMENTOS DESC. P/CIRUGIAS; TIPO: VARA INTRODUCTORA 11MM, PRESENTACION: UNIDAD </t>
  </si>
  <si>
    <t xml:space="preserve">42 </t>
  </si>
  <si>
    <t xml:space="preserve">2.9.5-5889.6 </t>
  </si>
  <si>
    <t xml:space="preserve">SACHET DE ASPIRACIÓN; USO: FLUIDOS CORPORALES, TIPO: CARTUCHO, CAPACIDAD: 2000 
ML </t>
  </si>
  <si>
    <t xml:space="preserve">43 </t>
  </si>
  <si>
    <t xml:space="preserve">2.9.5-5567.193 </t>
  </si>
  <si>
    <t xml:space="preserve">CANULAS; TIPO: P/OXIGENOTERAPIA PEDIATRICA,  MATERIAL : SILICONA, DIAMETRO: STANDAR, 
LONG.DE CUERPO: STANDAR, MATERIAL: SILICONA </t>
  </si>
  <si>
    <t xml:space="preserve">Cánula nasal para oxigenoterapia tamaño adulto. Cód: MP02925. Marca: Dräger. 
PM:1601-107. Venc: Ago/2023. </t>
  </si>
  <si>
    <t xml:space="preserve">230-09- CANULA NASAL PARA OXIGENOTERAPIA (PEDIATRICA) </t>
  </si>
  <si>
    <t xml:space="preserve">SONDA NAZAL OXIGENO BIGOTERA PEDIATRICA TIPO K 27 SILICONA - 
DRAGER ANMAT 1601-107 </t>
  </si>
  <si>
    <t xml:space="preserve">44 </t>
  </si>
  <si>
    <t xml:space="preserve">2.9.5-5567.200 </t>
  </si>
  <si>
    <t xml:space="preserve">CÁNULAS; TIPO: TRAQUEOSTOMÍA N° 6; BALÓN: CON, MATERIAL: PVC, DIÁMETRO: 
6 MM, LONG.DE CUERPO: SIN VALOR </t>
  </si>
  <si>
    <t xml:space="preserve">WELL LEAD ANMAT 1440-83 </t>
  </si>
  <si>
    <t xml:space="preserve">45 </t>
  </si>
  <si>
    <t xml:space="preserve">2.9.5-5567.198 </t>
  </si>
  <si>
    <t xml:space="preserve">CÁNULAS; TIPO: TRAQUEOSTOMÍA N° 4; BALÓN: CON, MATERIAL: PVC, DIÁMETRO: 
4 MM, LONG.DE CUERPO: SIN VALOR </t>
  </si>
  <si>
    <t xml:space="preserve">46 </t>
  </si>
  <si>
    <t xml:space="preserve">2.9.5-5567.33 </t>
  </si>
  <si>
    <t xml:space="preserve">CANULAS; TIPO: TRAQUEOSTOMIA N° 7,5 , MATERIAL : PVC, DIAMETRO: 
7,5 MM, LONG.DE CUERPO: SIN VALOR, BALON: CON </t>
  </si>
  <si>
    <t xml:space="preserve">47 </t>
  </si>
  <si>
    <t xml:space="preserve">2.9.5-5567.207 </t>
  </si>
  <si>
    <t xml:space="preserve">CANULAS; TIPO: TRAQUEOTOMIA N° 8, MATERIAL : PVC, DIAMETRO: 8 
MM, LONG.DE CUERPO: SIN VALOR, BALON: CON </t>
  </si>
  <si>
    <t xml:space="preserve">48 </t>
  </si>
  <si>
    <t xml:space="preserve">2.9.5-6509.16 </t>
  </si>
  <si>
    <t xml:space="preserve">SET DE TUBULADURA; USO: ANESTESIA, PRESENTACION: UNIDAD, TIPO: EXTENSIBLE ADULTO, 
DESCARTABLE: SI </t>
  </si>
  <si>
    <t xml:space="preserve">CIRCUITO de anestesia extensible ADULTO 2 ramas c/codo c/port y 
conectores x 1,8mts. DCD. </t>
  </si>
  <si>
    <t xml:space="preserve">49 </t>
  </si>
  <si>
    <t xml:space="preserve">2.9.5-6509.15 </t>
  </si>
  <si>
    <t xml:space="preserve">SET DE TUBULADURA; USO: ANESTESIA, PRESENTACION: UNIDAD EXTENSIBLE, TIPO: PEDIATRICO 
DESCARTABLE </t>
  </si>
  <si>
    <t xml:space="preserve">CIRCUITO de anestesia PEDIATRICO 1,70 mt 2 ramas c/codo c/port 
y conectores DCD. </t>
  </si>
  <si>
    <t xml:space="preserve">50 </t>
  </si>
  <si>
    <t xml:space="preserve">2.9.5-6509.34 </t>
  </si>
  <si>
    <t xml:space="preserve">SET DE TUBULADURA; USO: RESPIRADOR, PRESENTACION: UNIDAD DESCARTABLE CON TRAMPA 
DE AGUA, TIPO: NEONATAL </t>
  </si>
  <si>
    <t xml:space="preserve">Tubuladura neonatal para respirador con trampa de agua, descartable. Marca: 
DCD. </t>
  </si>
  <si>
    <t xml:space="preserve">4820R1V-CIRCUITO PACIENTE CALEFACCIONADO DESCARTABLE - NEONATAL C/CAMARA </t>
  </si>
  <si>
    <t xml:space="preserve">51 </t>
  </si>
  <si>
    <t xml:space="preserve">2.9.5-6509.26 </t>
  </si>
  <si>
    <t xml:space="preserve">SET DE TUBULADURA; USO: P/RESPIRADOR , PRESENTACION: UNIDAD DESCARTABLE CON 
TRAMPA DE AGUA, TIPO: PEDIATRICO </t>
  </si>
  <si>
    <t xml:space="preserve">Set de tubuladura pediátrica descartable con trampa de agua. Marca: 
DCD </t>
  </si>
  <si>
    <t xml:space="preserve">4818R1V- CIRCUITO PACIENTE CALEFACCIONADO DESCARTABLE - PEDIÁTRICO C/CAMARA </t>
  </si>
  <si>
    <t xml:space="preserve">52 </t>
  </si>
  <si>
    <t xml:space="preserve">2.9.5-6504.9 </t>
  </si>
  <si>
    <t xml:space="preserve">FRASCOS ASPIRADORES; USO: CIRUGIA GENERAL, PRESENTACION: FRASCO DE 2 L 
</t>
  </si>
  <si>
    <t xml:space="preserve">   MD 110   CANISTER para bolsas 
de 2 lts.mca Eco Vac </t>
  </si>
  <si>
    <t xml:space="preserve">53 </t>
  </si>
  <si>
    <t xml:space="preserve">2.9.5-467.75 </t>
  </si>
  <si>
    <t xml:space="preserve">MASCARAS; TIPO: N° 3, MATERIAL: SILICONA, USO: ANESTESIA </t>
  </si>
  <si>
    <t xml:space="preserve">MASCARA p/anestesia PEDIÁTRICO Nº 2 (antes Nº3) borde siliconado c/valvula 
de inflado. Marca: GALEMED, PM 1501-27 </t>
  </si>
  <si>
    <t xml:space="preserve">MASCARA ANESTESIA PVC NRO 3 ADULTO TW 8353 - EUROMIX 
ANMAT 1440-94 </t>
  </si>
  <si>
    <t xml:space="preserve">54 </t>
  </si>
  <si>
    <t xml:space="preserve">2.9.5-467.1 </t>
  </si>
  <si>
    <t xml:space="preserve">MASCARAS; TIPO: C/VARIACION % OXIGENO </t>
  </si>
  <si>
    <t xml:space="preserve">Kit de mascarillas O2 con 6 válvulas Venturi intercambiable, máscara 
M/L. Cód: MP01923. Venc: May/23 </t>
  </si>
  <si>
    <t xml:space="preserve">MASCARA DE OXIGENO ADULTO REG - 6 ESC - C/TUB 
- WELL LEAD 1440-128 </t>
  </si>
  <si>
    <t xml:space="preserve">55 </t>
  </si>
  <si>
    <t xml:space="preserve">2.9.5-4707.10 </t>
  </si>
  <si>
    <t xml:space="preserve">PIPETAS P/NEBULIZAR; USO: PARA NEBULIZAR, TIPO: C/MASCARA P/NIÑOS, MATERIAL: PLASTICO 
DESCARTABLE </t>
  </si>
  <si>
    <t xml:space="preserve">MICRONEBULIZADOR PEDIATRICO (2) CON MASCARA HG 1002 - HG ANMAT 
1633-2 </t>
  </si>
  <si>
    <t xml:space="preserve">56 </t>
  </si>
  <si>
    <t xml:space="preserve">2.9.5-467.113 </t>
  </si>
  <si>
    <t xml:space="preserve">MASCARAS; TIPO: N° 6, MATERIAL: SILICONA, USO: ANESTESIA </t>
  </si>
  <si>
    <t xml:space="preserve">MASCARA p/anestesia ADULTO GRANDE Nº 5 (antes Nº6) borde siliconado 
c/valvula de inflado. Marca: GALEMED, PM 1501-27 </t>
  </si>
  <si>
    <t xml:space="preserve">BORDE INFLABLE CONFORTSTAR - DRAGER - ANMAT 1601-94 </t>
  </si>
  <si>
    <t xml:space="preserve">57 </t>
  </si>
  <si>
    <t xml:space="preserve">2.9.5-467.114 </t>
  </si>
  <si>
    <t xml:space="preserve">MASCARAS; TIPO: N° 7, MATERIAL: SILICONA, USO: ANESTESIA </t>
  </si>
  <si>
    <t xml:space="preserve">58 </t>
  </si>
  <si>
    <t xml:space="preserve">4.3.3-2045.10 </t>
  </si>
  <si>
    <t xml:space="preserve">RESUCITADORES MANUALES; VALVULA DE SEGURIDAD:CON, BOLSA RESERVORIO DE O2: CON, 
USO: P/NIÑOS REUTILIZABLE-AUTOCLAVABLES </t>
  </si>
  <si>
    <t xml:space="preserve">RESUCITADOR PEDIATRICO AUTOCLAVABLE de silicona compuesto por mascara, bolsa de 
ventilacion ergonomica antideslizante de 680 ml y bolsa reservorio de 
vinilo de 1600 ml con tubuladura de conexión a oxigeno, 
provisto con valvula de sobreflujo (pop off) con apertura a 
40 cm H2O. mca WINNER. Cód: TW8131. PM 1501-78 </t>
  </si>
  <si>
    <t xml:space="preserve">59 </t>
  </si>
  <si>
    <t xml:space="preserve">2.9.5-7830.4 </t>
  </si>
  <si>
    <t xml:space="preserve">FILTROS HUMIDIFICADORES; MATERIAL: PLASTICO SILICONADO, MEDIDA: DIAMETRO 23 mm, USO: 
CANULA DE TRAQUEOTOMIA </t>
  </si>
  <si>
    <t xml:space="preserve">60 </t>
  </si>
  <si>
    <t xml:space="preserve">Humidificador HumiStar Trach Plus. Marca: Drager. Origen Alemania compressible volume: 
6 ml; Volumen tidal: 100 to 1500 ml Con puerto 
de O2 Cód: MP05750 PM-1601-105 </t>
  </si>
  <si>
    <t xml:space="preserve">61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</si>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</sst>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165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F71" totalsRowCount="1">
  <tableColumns count="6">
    <tableColumn id="1" name="Renglón"/>
    <tableColumn id="2" name="Alternativa"/>
    <tableColumn id="3" name="Código" totalsRowLabel="Total: "/>
    <tableColumn id="4" name="Descripción"/>
    <tableColumn id="5" name="Cantidad solicitada"/>
    <tableColumn id="6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9:J71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9:N71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9:R71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1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4.5703125" customWidth="1"/>
    <col min="5" max="5" width="65.710937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0" customWidth="1"/>
    <col min="11" max="11" width="14.28515625" customWidth="1"/>
    <col min="12" max="12" width="17.28515625" customWidth="1"/>
    <col min="13" max="13" width="16.5703125" customWidth="1"/>
    <col min="14" max="14" width="111.42578125" customWidth="1"/>
    <col min="15" max="15" width="14.28515625" customWidth="1"/>
    <col min="16" max="16" width="17.28515625" customWidth="1"/>
    <col min="17" max="17" width="16.5703125" customWidth="1"/>
    <col min="18" max="18" width="68.285156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30" x14ac:dyDescent="0.25">
      <c r="A10" t="s">
        <v>23</v>
      </c>
      <c r="B10" t="s">
        <v>23</v>
      </c>
      <c r="C10" t="s">
        <v>24</v>
      </c>
      <c r="D10" t="s">
        <v>25</v>
      </c>
      <c r="E10">
        <v>200</v>
      </c>
      <c r="F10" t="s">
        <v>26</v>
      </c>
      <c r="G10" s="3">
        <v>3212</v>
      </c>
      <c r="H10" s="3">
        <v>200</v>
      </c>
      <c r="I10" s="4">
        <v>642400</v>
      </c>
      <c r="J10" s="5" t="s">
        <v>27</v>
      </c>
      <c r="K10" s="3">
        <v>2115.84</v>
      </c>
      <c r="L10" s="3">
        <v>200</v>
      </c>
      <c r="M10" s="4">
        <v>423168</v>
      </c>
      <c r="N10" s="5" t="s">
        <v>28</v>
      </c>
      <c r="O10" s="3"/>
      <c r="P10" s="3"/>
      <c r="Q10" s="4"/>
    </row>
    <row r="11" spans="1:18" ht="45" x14ac:dyDescent="0.25">
      <c r="A11" t="s">
        <v>29</v>
      </c>
      <c r="B11" t="s">
        <v>23</v>
      </c>
      <c r="C11" t="s">
        <v>30</v>
      </c>
      <c r="D11" t="s">
        <v>31</v>
      </c>
      <c r="E11">
        <v>60</v>
      </c>
      <c r="F11" t="s">
        <v>26</v>
      </c>
      <c r="G11" s="3"/>
      <c r="H11" s="3"/>
      <c r="I11" s="4"/>
      <c r="K11" s="3">
        <v>24320</v>
      </c>
      <c r="L11" s="3">
        <v>60</v>
      </c>
      <c r="M11" s="4">
        <v>1459200</v>
      </c>
      <c r="N11" s="5" t="s">
        <v>32</v>
      </c>
      <c r="O11" s="3"/>
      <c r="P11" s="3"/>
      <c r="Q11" s="4"/>
    </row>
    <row r="12" spans="1:18" ht="30" x14ac:dyDescent="0.25">
      <c r="A12" t="s">
        <v>33</v>
      </c>
      <c r="B12" t="s">
        <v>23</v>
      </c>
      <c r="C12" t="s">
        <v>34</v>
      </c>
      <c r="D12" t="s">
        <v>35</v>
      </c>
      <c r="E12">
        <v>30</v>
      </c>
      <c r="F12" t="s">
        <v>26</v>
      </c>
      <c r="G12" s="3"/>
      <c r="H12" s="3"/>
      <c r="I12" s="4"/>
      <c r="K12" s="3">
        <v>26329.599999999999</v>
      </c>
      <c r="L12" s="3">
        <v>30</v>
      </c>
      <c r="M12" s="4">
        <v>789888</v>
      </c>
      <c r="N12" s="5" t="s">
        <v>36</v>
      </c>
      <c r="O12" s="3">
        <v>11533</v>
      </c>
      <c r="P12" s="3">
        <v>30</v>
      </c>
      <c r="Q12" s="4">
        <v>345990</v>
      </c>
      <c r="R12" t="s">
        <v>37</v>
      </c>
    </row>
    <row r="13" spans="1:18" ht="30" x14ac:dyDescent="0.25">
      <c r="A13" t="s">
        <v>38</v>
      </c>
      <c r="B13" t="s">
        <v>23</v>
      </c>
      <c r="C13" t="s">
        <v>39</v>
      </c>
      <c r="D13" t="s">
        <v>40</v>
      </c>
      <c r="E13">
        <v>30</v>
      </c>
      <c r="F13" t="s">
        <v>26</v>
      </c>
      <c r="G13" s="3"/>
      <c r="H13" s="3"/>
      <c r="I13" s="4"/>
      <c r="K13" s="3">
        <v>5497.84</v>
      </c>
      <c r="L13" s="3">
        <v>30</v>
      </c>
      <c r="M13" s="4">
        <v>164935.20000000001</v>
      </c>
      <c r="N13" s="5" t="s">
        <v>41</v>
      </c>
      <c r="O13" s="3">
        <v>11533</v>
      </c>
      <c r="P13" s="3">
        <v>30</v>
      </c>
      <c r="Q13" s="4">
        <v>345990</v>
      </c>
      <c r="R13" t="s">
        <v>42</v>
      </c>
    </row>
    <row r="14" spans="1:18" ht="30" x14ac:dyDescent="0.25">
      <c r="A14" t="s">
        <v>43</v>
      </c>
      <c r="B14" t="s">
        <v>23</v>
      </c>
      <c r="C14" t="s">
        <v>34</v>
      </c>
      <c r="D14" t="s">
        <v>35</v>
      </c>
      <c r="E14">
        <v>30</v>
      </c>
      <c r="F14" t="s">
        <v>26</v>
      </c>
      <c r="G14" s="3"/>
      <c r="H14" s="3"/>
      <c r="I14" s="4"/>
      <c r="K14" s="3">
        <v>5497.84</v>
      </c>
      <c r="L14" s="3">
        <v>30</v>
      </c>
      <c r="M14" s="4">
        <v>164935.20000000001</v>
      </c>
      <c r="N14" s="5" t="s">
        <v>44</v>
      </c>
      <c r="O14" s="3">
        <v>11533</v>
      </c>
      <c r="P14" s="3">
        <v>30</v>
      </c>
      <c r="Q14" s="4">
        <v>345990</v>
      </c>
      <c r="R14" t="s">
        <v>45</v>
      </c>
    </row>
    <row r="15" spans="1:18" ht="45" x14ac:dyDescent="0.25">
      <c r="A15" t="s">
        <v>46</v>
      </c>
      <c r="B15" t="s">
        <v>23</v>
      </c>
      <c r="C15" t="s">
        <v>47</v>
      </c>
      <c r="D15" s="5" t="s">
        <v>48</v>
      </c>
      <c r="E15">
        <v>310</v>
      </c>
      <c r="F15" t="s">
        <v>26</v>
      </c>
      <c r="G15" s="3">
        <v>73.87</v>
      </c>
      <c r="H15" s="3">
        <v>310</v>
      </c>
      <c r="I15" s="4">
        <v>22899.7</v>
      </c>
      <c r="J15" s="5" t="s">
        <v>49</v>
      </c>
      <c r="K15" s="3">
        <v>146.6</v>
      </c>
      <c r="L15" s="3">
        <v>310</v>
      </c>
      <c r="M15" s="4">
        <v>45446</v>
      </c>
      <c r="N15" s="5" t="s">
        <v>50</v>
      </c>
      <c r="O15" s="3">
        <v>271</v>
      </c>
      <c r="P15" s="3">
        <v>310</v>
      </c>
      <c r="Q15" s="4">
        <v>84010</v>
      </c>
      <c r="R15" t="s">
        <v>51</v>
      </c>
    </row>
    <row r="16" spans="1:18" ht="30" x14ac:dyDescent="0.25">
      <c r="A16" t="s">
        <v>52</v>
      </c>
      <c r="B16" t="s">
        <v>23</v>
      </c>
      <c r="C16" t="s">
        <v>53</v>
      </c>
      <c r="D16" s="5" t="s">
        <v>54</v>
      </c>
      <c r="E16">
        <v>240</v>
      </c>
      <c r="F16" t="s">
        <v>26</v>
      </c>
      <c r="G16" s="3">
        <v>92.33</v>
      </c>
      <c r="H16" s="3">
        <v>240</v>
      </c>
      <c r="I16" s="4">
        <v>22159.200000000001</v>
      </c>
      <c r="J16" s="5" t="s">
        <v>55</v>
      </c>
      <c r="K16" s="3">
        <v>146.6</v>
      </c>
      <c r="L16" s="3">
        <v>240</v>
      </c>
      <c r="M16" s="4">
        <v>35184</v>
      </c>
      <c r="N16" s="5" t="s">
        <v>56</v>
      </c>
      <c r="O16" s="3">
        <v>145</v>
      </c>
      <c r="P16" s="3">
        <v>240</v>
      </c>
      <c r="Q16" s="4">
        <v>34800</v>
      </c>
      <c r="R16" t="s">
        <v>57</v>
      </c>
    </row>
    <row r="17" spans="1:18" ht="30" x14ac:dyDescent="0.25">
      <c r="A17" t="s">
        <v>58</v>
      </c>
      <c r="B17" t="s">
        <v>23</v>
      </c>
      <c r="C17" t="s">
        <v>59</v>
      </c>
      <c r="D17" s="5" t="s">
        <v>60</v>
      </c>
      <c r="E17">
        <v>20</v>
      </c>
      <c r="F17" t="s">
        <v>26</v>
      </c>
      <c r="G17" s="3">
        <v>30884</v>
      </c>
      <c r="H17" s="3">
        <v>20</v>
      </c>
      <c r="I17" s="4">
        <v>617680</v>
      </c>
      <c r="J17" s="5" t="s">
        <v>61</v>
      </c>
      <c r="K17" s="3">
        <v>24744.6</v>
      </c>
      <c r="L17" s="3">
        <v>20</v>
      </c>
      <c r="M17" s="4">
        <v>494892</v>
      </c>
      <c r="N17" s="5" t="s">
        <v>62</v>
      </c>
      <c r="O17" s="3"/>
      <c r="P17" s="3"/>
      <c r="Q17" s="4"/>
    </row>
    <row r="18" spans="1:18" ht="30" x14ac:dyDescent="0.25">
      <c r="A18" t="s">
        <v>63</v>
      </c>
      <c r="B18" t="s">
        <v>23</v>
      </c>
      <c r="C18" t="s">
        <v>64</v>
      </c>
      <c r="D18" s="5" t="s">
        <v>65</v>
      </c>
      <c r="E18">
        <v>20</v>
      </c>
      <c r="F18" t="s">
        <v>26</v>
      </c>
      <c r="G18" s="3"/>
      <c r="H18" s="3"/>
      <c r="I18" s="4"/>
      <c r="K18" s="3">
        <v>25358.16</v>
      </c>
      <c r="L18" s="3">
        <v>20</v>
      </c>
      <c r="M18" s="4">
        <v>507163.2</v>
      </c>
      <c r="N18" s="5" t="s">
        <v>66</v>
      </c>
      <c r="O18" s="3"/>
      <c r="P18" s="3"/>
      <c r="Q18" s="4"/>
    </row>
    <row r="19" spans="1:18" ht="45" x14ac:dyDescent="0.25">
      <c r="A19" t="s">
        <v>67</v>
      </c>
      <c r="B19" t="s">
        <v>23</v>
      </c>
      <c r="C19" t="s">
        <v>68</v>
      </c>
      <c r="D19" s="5" t="s">
        <v>69</v>
      </c>
      <c r="E19">
        <v>30</v>
      </c>
      <c r="F19" t="s">
        <v>26</v>
      </c>
      <c r="G19" s="3"/>
      <c r="H19" s="3"/>
      <c r="I19" s="4"/>
      <c r="K19" s="3">
        <v>3478.2</v>
      </c>
      <c r="L19" s="3">
        <v>30</v>
      </c>
      <c r="M19" s="4">
        <v>104346</v>
      </c>
      <c r="N19" s="5" t="s">
        <v>70</v>
      </c>
      <c r="O19" s="3">
        <v>4490</v>
      </c>
      <c r="P19" s="3">
        <v>30</v>
      </c>
      <c r="Q19" s="4">
        <v>134700</v>
      </c>
      <c r="R19" s="5" t="s">
        <v>71</v>
      </c>
    </row>
    <row r="20" spans="1:18" ht="45" x14ac:dyDescent="0.25">
      <c r="A20" t="s">
        <v>72</v>
      </c>
      <c r="B20" t="s">
        <v>23</v>
      </c>
      <c r="C20" t="s">
        <v>73</v>
      </c>
      <c r="D20" s="5" t="s">
        <v>74</v>
      </c>
      <c r="E20">
        <v>75</v>
      </c>
      <c r="F20" t="s">
        <v>26</v>
      </c>
      <c r="G20" s="3">
        <v>308</v>
      </c>
      <c r="H20" s="3">
        <v>75</v>
      </c>
      <c r="I20" s="4">
        <v>23100</v>
      </c>
      <c r="J20" s="5" t="s">
        <v>75</v>
      </c>
      <c r="K20" s="3">
        <v>298</v>
      </c>
      <c r="L20" s="3">
        <v>75</v>
      </c>
      <c r="M20" s="4">
        <v>22350</v>
      </c>
      <c r="N20" s="5" t="s">
        <v>76</v>
      </c>
      <c r="O20" s="3"/>
      <c r="P20" s="3"/>
      <c r="Q20" s="4"/>
    </row>
    <row r="21" spans="1:18" ht="60" x14ac:dyDescent="0.25">
      <c r="A21" t="s">
        <v>77</v>
      </c>
      <c r="B21" t="s">
        <v>23</v>
      </c>
      <c r="C21" t="s">
        <v>78</v>
      </c>
      <c r="D21" s="5" t="s">
        <v>79</v>
      </c>
      <c r="E21">
        <v>75</v>
      </c>
      <c r="F21" t="s">
        <v>26</v>
      </c>
      <c r="G21" s="3">
        <v>308</v>
      </c>
      <c r="H21" s="3">
        <v>75</v>
      </c>
      <c r="I21" s="4">
        <v>23100</v>
      </c>
      <c r="J21" s="5" t="s">
        <v>80</v>
      </c>
      <c r="K21" s="3">
        <v>424.08</v>
      </c>
      <c r="L21" s="3">
        <v>75</v>
      </c>
      <c r="M21" s="4">
        <v>31806</v>
      </c>
      <c r="N21" s="5" t="s">
        <v>81</v>
      </c>
      <c r="O21" s="3"/>
      <c r="P21" s="3"/>
      <c r="Q21" s="4"/>
    </row>
    <row r="22" spans="1:18" ht="30" x14ac:dyDescent="0.25">
      <c r="A22" t="s">
        <v>82</v>
      </c>
      <c r="B22" t="s">
        <v>23</v>
      </c>
      <c r="C22" t="s">
        <v>83</v>
      </c>
      <c r="D22" s="5" t="s">
        <v>84</v>
      </c>
      <c r="E22">
        <v>9</v>
      </c>
      <c r="F22" t="s">
        <v>26</v>
      </c>
      <c r="G22" s="3"/>
      <c r="H22" s="3"/>
      <c r="I22" s="4"/>
      <c r="K22" s="3"/>
      <c r="L22" s="3"/>
      <c r="M22" s="4"/>
      <c r="O22" s="3"/>
      <c r="P22" s="3"/>
      <c r="Q22" s="4"/>
    </row>
    <row r="23" spans="1:18" ht="30" x14ac:dyDescent="0.25">
      <c r="A23" t="s">
        <v>85</v>
      </c>
      <c r="B23" t="s">
        <v>23</v>
      </c>
      <c r="C23" t="s">
        <v>86</v>
      </c>
      <c r="D23" s="5" t="s">
        <v>87</v>
      </c>
      <c r="E23">
        <v>10</v>
      </c>
      <c r="F23" t="s">
        <v>26</v>
      </c>
      <c r="G23" s="3"/>
      <c r="H23" s="3"/>
      <c r="I23" s="4"/>
      <c r="K23" s="3"/>
      <c r="L23" s="3"/>
      <c r="M23" s="4"/>
      <c r="O23" s="3"/>
      <c r="P23" s="3"/>
      <c r="Q23" s="4"/>
    </row>
    <row r="24" spans="1:18" ht="30" x14ac:dyDescent="0.25">
      <c r="A24" t="s">
        <v>88</v>
      </c>
      <c r="B24" t="s">
        <v>23</v>
      </c>
      <c r="C24" t="s">
        <v>89</v>
      </c>
      <c r="D24" s="5" t="s">
        <v>90</v>
      </c>
      <c r="E24">
        <v>10</v>
      </c>
      <c r="F24" t="s">
        <v>26</v>
      </c>
      <c r="G24" s="3"/>
      <c r="H24" s="3"/>
      <c r="I24" s="4"/>
      <c r="K24" s="3"/>
      <c r="L24" s="3"/>
      <c r="M24" s="4"/>
      <c r="O24" s="3"/>
      <c r="P24" s="3"/>
      <c r="Q24" s="4"/>
    </row>
    <row r="25" spans="1:18" ht="30" x14ac:dyDescent="0.25">
      <c r="A25" t="s">
        <v>91</v>
      </c>
      <c r="B25" t="s">
        <v>23</v>
      </c>
      <c r="C25" t="s">
        <v>92</v>
      </c>
      <c r="D25" t="s">
        <v>93</v>
      </c>
      <c r="E25">
        <v>53</v>
      </c>
      <c r="F25" t="s">
        <v>26</v>
      </c>
      <c r="G25" s="3">
        <v>470</v>
      </c>
      <c r="H25" s="3">
        <v>53</v>
      </c>
      <c r="I25" s="4">
        <v>24910</v>
      </c>
      <c r="J25" s="5" t="s">
        <v>94</v>
      </c>
      <c r="K25" s="3">
        <v>1038</v>
      </c>
      <c r="L25" s="3">
        <v>53</v>
      </c>
      <c r="M25" s="4">
        <v>55014</v>
      </c>
      <c r="N25" s="5" t="s">
        <v>95</v>
      </c>
      <c r="O25" s="3">
        <v>250</v>
      </c>
      <c r="P25" s="3">
        <v>53</v>
      </c>
      <c r="Q25" s="4">
        <v>13250</v>
      </c>
      <c r="R25" s="5" t="s">
        <v>96</v>
      </c>
    </row>
    <row r="26" spans="1:18" ht="30" x14ac:dyDescent="0.25">
      <c r="A26" t="s">
        <v>97</v>
      </c>
      <c r="B26" t="s">
        <v>23</v>
      </c>
      <c r="C26" t="s">
        <v>98</v>
      </c>
      <c r="D26" t="s">
        <v>99</v>
      </c>
      <c r="E26">
        <v>103</v>
      </c>
      <c r="F26" t="s">
        <v>26</v>
      </c>
      <c r="G26" s="3">
        <v>470</v>
      </c>
      <c r="H26" s="3">
        <v>103</v>
      </c>
      <c r="I26" s="4">
        <v>48410</v>
      </c>
      <c r="J26" s="5" t="s">
        <v>100</v>
      </c>
      <c r="K26" s="3">
        <v>1038</v>
      </c>
      <c r="L26" s="3">
        <v>103</v>
      </c>
      <c r="M26" s="4">
        <v>106914</v>
      </c>
      <c r="N26" s="5" t="s">
        <v>101</v>
      </c>
      <c r="O26" s="3">
        <v>250</v>
      </c>
      <c r="P26" s="3">
        <v>103</v>
      </c>
      <c r="Q26" s="4">
        <v>25750</v>
      </c>
      <c r="R26" s="5" t="s">
        <v>102</v>
      </c>
    </row>
    <row r="27" spans="1:18" ht="30" x14ac:dyDescent="0.25">
      <c r="A27" t="s">
        <v>103</v>
      </c>
      <c r="B27" t="s">
        <v>23</v>
      </c>
      <c r="C27" t="s">
        <v>104</v>
      </c>
      <c r="D27" t="s">
        <v>105</v>
      </c>
      <c r="E27">
        <v>53</v>
      </c>
      <c r="F27" t="s">
        <v>26</v>
      </c>
      <c r="G27" s="3">
        <v>470</v>
      </c>
      <c r="H27" s="3">
        <v>53</v>
      </c>
      <c r="I27" s="4">
        <v>24910</v>
      </c>
      <c r="J27" s="5" t="s">
        <v>106</v>
      </c>
      <c r="K27" s="3">
        <v>1038</v>
      </c>
      <c r="L27" s="3">
        <v>53</v>
      </c>
      <c r="M27" s="4">
        <v>55014</v>
      </c>
      <c r="N27" s="5" t="s">
        <v>107</v>
      </c>
      <c r="O27" s="3">
        <v>250</v>
      </c>
      <c r="P27" s="3">
        <v>53</v>
      </c>
      <c r="Q27" s="4">
        <v>13250</v>
      </c>
      <c r="R27" s="5" t="s">
        <v>108</v>
      </c>
    </row>
    <row r="28" spans="1:18" ht="30" x14ac:dyDescent="0.25">
      <c r="A28" t="s">
        <v>109</v>
      </c>
      <c r="B28" t="s">
        <v>23</v>
      </c>
      <c r="C28" t="s">
        <v>110</v>
      </c>
      <c r="D28" t="s">
        <v>111</v>
      </c>
      <c r="E28">
        <v>390</v>
      </c>
      <c r="F28" t="s">
        <v>26</v>
      </c>
      <c r="G28" s="3">
        <v>246.23</v>
      </c>
      <c r="H28" s="3">
        <v>390</v>
      </c>
      <c r="I28" s="4">
        <v>96029.7</v>
      </c>
      <c r="J28" s="5" t="s">
        <v>112</v>
      </c>
      <c r="K28" s="3">
        <v>399.8</v>
      </c>
      <c r="L28" s="3">
        <v>390</v>
      </c>
      <c r="M28" s="4">
        <v>155922</v>
      </c>
      <c r="N28" s="5" t="s">
        <v>113</v>
      </c>
      <c r="O28" s="3">
        <v>225</v>
      </c>
      <c r="P28" s="3">
        <v>390</v>
      </c>
      <c r="Q28" s="4">
        <v>87750</v>
      </c>
      <c r="R28" t="s">
        <v>114</v>
      </c>
    </row>
    <row r="29" spans="1:18" ht="30" x14ac:dyDescent="0.25">
      <c r="A29" t="s">
        <v>115</v>
      </c>
      <c r="B29" t="s">
        <v>23</v>
      </c>
      <c r="C29" t="s">
        <v>116</v>
      </c>
      <c r="D29" t="s">
        <v>117</v>
      </c>
      <c r="E29">
        <v>190</v>
      </c>
      <c r="F29" t="s">
        <v>26</v>
      </c>
      <c r="G29" s="3">
        <v>380</v>
      </c>
      <c r="H29" s="3">
        <v>190</v>
      </c>
      <c r="I29" s="4">
        <v>72200</v>
      </c>
      <c r="J29" s="5" t="s">
        <v>118</v>
      </c>
      <c r="K29" s="3">
        <v>399.8</v>
      </c>
      <c r="L29" s="3">
        <v>190</v>
      </c>
      <c r="M29" s="4">
        <v>75962</v>
      </c>
      <c r="N29" s="5" t="s">
        <v>119</v>
      </c>
      <c r="O29" s="3">
        <v>280</v>
      </c>
      <c r="P29" s="3">
        <v>190</v>
      </c>
      <c r="Q29" s="4">
        <v>53200</v>
      </c>
      <c r="R29" t="s">
        <v>120</v>
      </c>
    </row>
    <row r="30" spans="1:18" ht="30" x14ac:dyDescent="0.25">
      <c r="A30" t="s">
        <v>121</v>
      </c>
      <c r="B30" t="s">
        <v>23</v>
      </c>
      <c r="C30" t="s">
        <v>122</v>
      </c>
      <c r="D30" s="5" t="s">
        <v>123</v>
      </c>
      <c r="E30">
        <v>320</v>
      </c>
      <c r="F30" t="s">
        <v>26</v>
      </c>
      <c r="G30" s="3"/>
      <c r="H30" s="3"/>
      <c r="I30" s="4"/>
      <c r="K30" s="3">
        <v>372.8</v>
      </c>
      <c r="L30" s="3">
        <v>320</v>
      </c>
      <c r="M30" s="4">
        <v>119296</v>
      </c>
      <c r="N30" s="5" t="s">
        <v>124</v>
      </c>
      <c r="O30" s="3">
        <v>280</v>
      </c>
      <c r="P30" s="3">
        <v>320</v>
      </c>
      <c r="Q30" s="4">
        <v>89600</v>
      </c>
      <c r="R30" t="s">
        <v>125</v>
      </c>
    </row>
    <row r="31" spans="1:18" ht="30" x14ac:dyDescent="0.25">
      <c r="A31" t="s">
        <v>126</v>
      </c>
      <c r="B31" t="s">
        <v>23</v>
      </c>
      <c r="C31" t="s">
        <v>127</v>
      </c>
      <c r="D31" t="s">
        <v>128</v>
      </c>
      <c r="E31">
        <v>103</v>
      </c>
      <c r="F31" t="s">
        <v>26</v>
      </c>
      <c r="G31" s="3">
        <v>470</v>
      </c>
      <c r="H31" s="3">
        <v>103</v>
      </c>
      <c r="I31" s="4">
        <v>48410</v>
      </c>
      <c r="J31" s="5" t="s">
        <v>129</v>
      </c>
      <c r="K31" s="3">
        <v>1039.2</v>
      </c>
      <c r="L31" s="3">
        <v>103</v>
      </c>
      <c r="M31" s="4">
        <v>107037.6</v>
      </c>
      <c r="N31" s="5" t="s">
        <v>130</v>
      </c>
      <c r="O31" s="3">
        <v>260</v>
      </c>
      <c r="P31" s="3">
        <v>103</v>
      </c>
      <c r="Q31" s="4">
        <v>26780</v>
      </c>
      <c r="R31" s="5" t="s">
        <v>131</v>
      </c>
    </row>
    <row r="32" spans="1:18" ht="75" x14ac:dyDescent="0.25">
      <c r="A32" t="s">
        <v>132</v>
      </c>
      <c r="B32" t="s">
        <v>23</v>
      </c>
      <c r="C32" t="s">
        <v>133</v>
      </c>
      <c r="D32" s="5" t="s">
        <v>134</v>
      </c>
      <c r="E32">
        <v>18</v>
      </c>
      <c r="F32" t="s">
        <v>26</v>
      </c>
      <c r="G32" s="3">
        <v>3008</v>
      </c>
      <c r="H32" s="3">
        <v>18</v>
      </c>
      <c r="I32" s="4">
        <v>54144</v>
      </c>
      <c r="J32" s="5" t="s">
        <v>135</v>
      </c>
      <c r="K32" s="3">
        <v>3165.2</v>
      </c>
      <c r="L32" s="3">
        <v>18</v>
      </c>
      <c r="M32" s="4">
        <v>56973.599999999999</v>
      </c>
      <c r="N32" s="5" t="s">
        <v>136</v>
      </c>
      <c r="O32" s="3"/>
      <c r="P32" s="3"/>
      <c r="Q32" s="4"/>
    </row>
    <row r="33" spans="1:18" ht="75" x14ac:dyDescent="0.25">
      <c r="A33" t="s">
        <v>137</v>
      </c>
      <c r="B33" t="s">
        <v>23</v>
      </c>
      <c r="C33" t="s">
        <v>138</v>
      </c>
      <c r="D33" s="5" t="s">
        <v>139</v>
      </c>
      <c r="E33">
        <v>15</v>
      </c>
      <c r="F33" t="s">
        <v>26</v>
      </c>
      <c r="G33" s="3">
        <v>10003</v>
      </c>
      <c r="H33" s="3">
        <v>15</v>
      </c>
      <c r="I33" s="4">
        <v>150045</v>
      </c>
      <c r="J33" s="5" t="s">
        <v>140</v>
      </c>
      <c r="K33" s="3">
        <v>10521.8</v>
      </c>
      <c r="L33" s="3">
        <v>15</v>
      </c>
      <c r="M33" s="4">
        <v>157827</v>
      </c>
      <c r="N33" s="5" t="s">
        <v>141</v>
      </c>
      <c r="O33" s="3">
        <v>7590</v>
      </c>
      <c r="P33" s="3">
        <v>15</v>
      </c>
      <c r="Q33" s="4">
        <v>113850</v>
      </c>
      <c r="R33" s="5" t="s">
        <v>142</v>
      </c>
    </row>
    <row r="34" spans="1:18" ht="75" x14ac:dyDescent="0.25">
      <c r="A34" t="s">
        <v>143</v>
      </c>
      <c r="B34" t="s">
        <v>23</v>
      </c>
      <c r="C34" t="s">
        <v>144</v>
      </c>
      <c r="D34" s="5" t="s">
        <v>145</v>
      </c>
      <c r="E34">
        <v>25</v>
      </c>
      <c r="F34" t="s">
        <v>26</v>
      </c>
      <c r="G34" s="3">
        <v>3008</v>
      </c>
      <c r="H34" s="3">
        <v>25</v>
      </c>
      <c r="I34" s="4">
        <v>75200</v>
      </c>
      <c r="J34" s="5" t="s">
        <v>146</v>
      </c>
      <c r="K34" s="3">
        <v>3165.2</v>
      </c>
      <c r="L34" s="3">
        <v>25</v>
      </c>
      <c r="M34" s="4">
        <v>79130</v>
      </c>
      <c r="N34" s="5" t="s">
        <v>147</v>
      </c>
      <c r="O34" s="3"/>
      <c r="P34" s="3"/>
      <c r="Q34" s="4"/>
    </row>
    <row r="35" spans="1:18" ht="75" x14ac:dyDescent="0.25">
      <c r="A35" t="s">
        <v>148</v>
      </c>
      <c r="B35" t="s">
        <v>23</v>
      </c>
      <c r="C35" t="s">
        <v>149</v>
      </c>
      <c r="D35" s="5" t="s">
        <v>150</v>
      </c>
      <c r="E35">
        <v>5</v>
      </c>
      <c r="F35" t="s">
        <v>26</v>
      </c>
      <c r="G35" s="3">
        <v>11200</v>
      </c>
      <c r="H35" s="3">
        <v>5</v>
      </c>
      <c r="I35" s="4">
        <v>56000</v>
      </c>
      <c r="J35" s="5" t="s">
        <v>151</v>
      </c>
      <c r="K35" s="3">
        <v>11021.8</v>
      </c>
      <c r="L35" s="3">
        <v>5</v>
      </c>
      <c r="M35" s="4">
        <v>55109</v>
      </c>
      <c r="N35" s="5" t="s">
        <v>152</v>
      </c>
      <c r="O35" s="3">
        <v>7590</v>
      </c>
      <c r="P35" s="3">
        <v>5</v>
      </c>
      <c r="Q35" s="4">
        <v>37950</v>
      </c>
      <c r="R35" s="5" t="s">
        <v>153</v>
      </c>
    </row>
    <row r="36" spans="1:18" ht="30" x14ac:dyDescent="0.25">
      <c r="A36" t="s">
        <v>154</v>
      </c>
      <c r="B36" t="s">
        <v>23</v>
      </c>
      <c r="C36" t="s">
        <v>155</v>
      </c>
      <c r="D36" s="5" t="s">
        <v>156</v>
      </c>
      <c r="E36">
        <v>6</v>
      </c>
      <c r="F36" t="s">
        <v>26</v>
      </c>
      <c r="G36" s="3"/>
      <c r="H36" s="3"/>
      <c r="I36" s="4"/>
      <c r="K36" s="3">
        <v>13887.06</v>
      </c>
      <c r="L36" s="3">
        <v>6</v>
      </c>
      <c r="M36" s="4">
        <v>83322.36</v>
      </c>
      <c r="N36" s="5" t="s">
        <v>157</v>
      </c>
      <c r="O36" s="3">
        <v>12470</v>
      </c>
      <c r="P36" s="3">
        <v>6</v>
      </c>
      <c r="Q36" s="4">
        <v>74820</v>
      </c>
      <c r="R36" s="5" t="s">
        <v>158</v>
      </c>
    </row>
    <row r="37" spans="1:18" ht="30" x14ac:dyDescent="0.25">
      <c r="A37" t="s">
        <v>159</v>
      </c>
      <c r="B37" t="s">
        <v>23</v>
      </c>
      <c r="C37" t="s">
        <v>160</v>
      </c>
      <c r="D37" s="5" t="s">
        <v>161</v>
      </c>
      <c r="E37">
        <v>6</v>
      </c>
      <c r="F37" t="s">
        <v>26</v>
      </c>
      <c r="G37" s="3"/>
      <c r="H37" s="3"/>
      <c r="I37" s="4"/>
      <c r="K37" s="3">
        <v>13887.06</v>
      </c>
      <c r="L37" s="3">
        <v>6</v>
      </c>
      <c r="M37" s="4">
        <v>83322.36</v>
      </c>
      <c r="N37" s="5" t="s">
        <v>162</v>
      </c>
      <c r="O37" s="3">
        <v>12470</v>
      </c>
      <c r="P37" s="3">
        <v>6</v>
      </c>
      <c r="Q37" s="4">
        <v>74820</v>
      </c>
      <c r="R37" s="5" t="s">
        <v>163</v>
      </c>
    </row>
    <row r="38" spans="1:18" ht="30" x14ac:dyDescent="0.25">
      <c r="A38" t="s">
        <v>164</v>
      </c>
      <c r="B38" t="s">
        <v>23</v>
      </c>
      <c r="C38" t="s">
        <v>165</v>
      </c>
      <c r="D38" s="5" t="s">
        <v>166</v>
      </c>
      <c r="E38">
        <v>6</v>
      </c>
      <c r="F38" t="s">
        <v>26</v>
      </c>
      <c r="G38" s="3"/>
      <c r="H38" s="3"/>
      <c r="I38" s="4"/>
      <c r="K38" s="3">
        <v>13887.06</v>
      </c>
      <c r="L38" s="3">
        <v>6</v>
      </c>
      <c r="M38" s="4">
        <v>83322.36</v>
      </c>
      <c r="N38" s="5" t="s">
        <v>167</v>
      </c>
      <c r="O38" s="3">
        <v>12470</v>
      </c>
      <c r="P38" s="3">
        <v>6</v>
      </c>
      <c r="Q38" s="4">
        <v>74820</v>
      </c>
      <c r="R38" s="5" t="s">
        <v>168</v>
      </c>
    </row>
    <row r="39" spans="1:18" x14ac:dyDescent="0.25">
      <c r="A39" t="s">
        <v>169</v>
      </c>
      <c r="B39" t="s">
        <v>23</v>
      </c>
      <c r="C39" t="s">
        <v>170</v>
      </c>
      <c r="D39" t="s">
        <v>171</v>
      </c>
      <c r="E39">
        <v>20</v>
      </c>
      <c r="F39" t="s">
        <v>26</v>
      </c>
      <c r="G39" s="3"/>
      <c r="H39" s="3"/>
      <c r="I39" s="4"/>
      <c r="K39" s="3">
        <v>342.48</v>
      </c>
      <c r="L39" s="3">
        <v>20</v>
      </c>
      <c r="M39" s="4">
        <v>6849.6</v>
      </c>
      <c r="N39" t="s">
        <v>172</v>
      </c>
      <c r="O39" s="3"/>
      <c r="P39" s="3"/>
      <c r="Q39" s="4"/>
    </row>
    <row r="40" spans="1:18" ht="30" x14ac:dyDescent="0.25">
      <c r="A40" t="s">
        <v>173</v>
      </c>
      <c r="B40" t="s">
        <v>23</v>
      </c>
      <c r="C40" t="s">
        <v>174</v>
      </c>
      <c r="D40" s="5" t="s">
        <v>175</v>
      </c>
      <c r="E40">
        <v>260</v>
      </c>
      <c r="F40" t="s">
        <v>26</v>
      </c>
      <c r="G40" s="3"/>
      <c r="H40" s="3"/>
      <c r="I40" s="4"/>
      <c r="K40" s="3">
        <v>198.6</v>
      </c>
      <c r="L40" s="3">
        <v>260</v>
      </c>
      <c r="M40" s="4">
        <v>51636</v>
      </c>
      <c r="N40" s="5" t="s">
        <v>176</v>
      </c>
      <c r="O40" s="3"/>
      <c r="P40" s="3"/>
      <c r="Q40" s="4"/>
    </row>
    <row r="41" spans="1:18" ht="30" x14ac:dyDescent="0.25">
      <c r="A41" t="s">
        <v>177</v>
      </c>
      <c r="B41" t="s">
        <v>23</v>
      </c>
      <c r="C41" t="s">
        <v>178</v>
      </c>
      <c r="D41" t="s">
        <v>179</v>
      </c>
      <c r="E41">
        <v>11</v>
      </c>
      <c r="F41" t="s">
        <v>26</v>
      </c>
      <c r="G41" s="3"/>
      <c r="H41" s="3"/>
      <c r="I41" s="4"/>
      <c r="K41" s="3">
        <v>188.92</v>
      </c>
      <c r="L41" s="3">
        <v>11</v>
      </c>
      <c r="M41" s="4">
        <v>2078.12</v>
      </c>
      <c r="N41" s="5" t="s">
        <v>180</v>
      </c>
      <c r="O41" s="3">
        <v>4120</v>
      </c>
      <c r="P41" s="3">
        <v>11</v>
      </c>
      <c r="Q41" s="4">
        <v>45320</v>
      </c>
      <c r="R41" s="5" t="s">
        <v>181</v>
      </c>
    </row>
    <row r="42" spans="1:18" ht="30" x14ac:dyDescent="0.25">
      <c r="A42" t="s">
        <v>182</v>
      </c>
      <c r="B42" t="s">
        <v>23</v>
      </c>
      <c r="C42" t="s">
        <v>183</v>
      </c>
      <c r="D42" t="s">
        <v>184</v>
      </c>
      <c r="E42">
        <v>11</v>
      </c>
      <c r="F42" t="s">
        <v>26</v>
      </c>
      <c r="G42" s="3"/>
      <c r="H42" s="3"/>
      <c r="I42" s="4"/>
      <c r="K42" s="3">
        <v>188.92</v>
      </c>
      <c r="L42" s="3">
        <v>11</v>
      </c>
      <c r="M42" s="4">
        <v>2078.12</v>
      </c>
      <c r="N42" s="5" t="s">
        <v>185</v>
      </c>
      <c r="O42" s="3">
        <v>4120</v>
      </c>
      <c r="P42" s="3">
        <v>11</v>
      </c>
      <c r="Q42" s="4">
        <v>45320</v>
      </c>
      <c r="R42" s="5" t="s">
        <v>186</v>
      </c>
    </row>
    <row r="43" spans="1:18" ht="30" x14ac:dyDescent="0.25">
      <c r="A43" t="s">
        <v>187</v>
      </c>
      <c r="B43" t="s">
        <v>23</v>
      </c>
      <c r="C43" t="s">
        <v>188</v>
      </c>
      <c r="D43" t="s">
        <v>189</v>
      </c>
      <c r="E43">
        <v>12</v>
      </c>
      <c r="F43" t="s">
        <v>26</v>
      </c>
      <c r="G43" s="3"/>
      <c r="H43" s="3"/>
      <c r="I43" s="4"/>
      <c r="K43" s="3"/>
      <c r="L43" s="3"/>
      <c r="M43" s="4"/>
      <c r="O43" s="3">
        <v>3890</v>
      </c>
      <c r="P43" s="3">
        <v>12</v>
      </c>
      <c r="Q43" s="4">
        <v>46680</v>
      </c>
      <c r="R43" s="5" t="s">
        <v>190</v>
      </c>
    </row>
    <row r="44" spans="1:18" ht="30" x14ac:dyDescent="0.25">
      <c r="A44" t="s">
        <v>191</v>
      </c>
      <c r="B44" t="s">
        <v>23</v>
      </c>
      <c r="C44" t="s">
        <v>192</v>
      </c>
      <c r="D44" t="s">
        <v>193</v>
      </c>
      <c r="E44">
        <v>12</v>
      </c>
      <c r="F44" t="s">
        <v>26</v>
      </c>
      <c r="G44" s="3"/>
      <c r="H44" s="3"/>
      <c r="I44" s="4"/>
      <c r="K44" s="3"/>
      <c r="L44" s="3"/>
      <c r="M44" s="4"/>
      <c r="O44" s="3">
        <v>4315</v>
      </c>
      <c r="P44" s="3">
        <v>12</v>
      </c>
      <c r="Q44" s="4">
        <v>51780</v>
      </c>
      <c r="R44" s="5" t="s">
        <v>194</v>
      </c>
    </row>
    <row r="45" spans="1:18" ht="30" x14ac:dyDescent="0.25">
      <c r="A45" t="s">
        <v>195</v>
      </c>
      <c r="B45" t="s">
        <v>23</v>
      </c>
      <c r="C45" t="s">
        <v>196</v>
      </c>
      <c r="D45" t="s">
        <v>197</v>
      </c>
      <c r="E45">
        <v>12</v>
      </c>
      <c r="F45" t="s">
        <v>26</v>
      </c>
      <c r="G45" s="3"/>
      <c r="H45" s="3"/>
      <c r="I45" s="4"/>
      <c r="K45" s="3"/>
      <c r="L45" s="3"/>
      <c r="M45" s="4"/>
      <c r="O45" s="3">
        <v>4315</v>
      </c>
      <c r="P45" s="3">
        <v>12</v>
      </c>
      <c r="Q45" s="4">
        <v>51780</v>
      </c>
      <c r="R45" s="5" t="s">
        <v>198</v>
      </c>
    </row>
    <row r="46" spans="1:18" ht="30" x14ac:dyDescent="0.25">
      <c r="A46" t="s">
        <v>199</v>
      </c>
      <c r="B46" t="s">
        <v>23</v>
      </c>
      <c r="C46" t="s">
        <v>200</v>
      </c>
      <c r="D46" t="s">
        <v>201</v>
      </c>
      <c r="E46">
        <v>12</v>
      </c>
      <c r="F46" t="s">
        <v>26</v>
      </c>
      <c r="G46" s="3"/>
      <c r="H46" s="3"/>
      <c r="I46" s="4"/>
      <c r="K46" s="3"/>
      <c r="L46" s="3"/>
      <c r="M46" s="4"/>
      <c r="O46" s="3">
        <v>4315</v>
      </c>
      <c r="P46" s="3">
        <v>12</v>
      </c>
      <c r="Q46" s="4">
        <v>51780</v>
      </c>
      <c r="R46" s="5" t="s">
        <v>202</v>
      </c>
    </row>
    <row r="47" spans="1:18" ht="30" x14ac:dyDescent="0.25">
      <c r="A47" t="s">
        <v>203</v>
      </c>
      <c r="B47" t="s">
        <v>23</v>
      </c>
      <c r="C47" t="s">
        <v>204</v>
      </c>
      <c r="D47" t="s">
        <v>205</v>
      </c>
      <c r="E47">
        <v>12</v>
      </c>
      <c r="F47" t="s">
        <v>26</v>
      </c>
      <c r="G47" s="3"/>
      <c r="H47" s="3"/>
      <c r="I47" s="4"/>
      <c r="K47" s="3"/>
      <c r="L47" s="3"/>
      <c r="M47" s="4"/>
      <c r="O47" s="3">
        <v>3890</v>
      </c>
      <c r="P47" s="3">
        <v>12</v>
      </c>
      <c r="Q47" s="4">
        <v>46680</v>
      </c>
      <c r="R47" s="5" t="s">
        <v>206</v>
      </c>
    </row>
    <row r="48" spans="1:18" x14ac:dyDescent="0.25">
      <c r="A48" t="s">
        <v>207</v>
      </c>
      <c r="B48" t="s">
        <v>23</v>
      </c>
      <c r="C48" t="s">
        <v>208</v>
      </c>
      <c r="D48" t="s">
        <v>209</v>
      </c>
      <c r="E48">
        <v>4</v>
      </c>
      <c r="F48" t="s">
        <v>26</v>
      </c>
      <c r="G48" s="3"/>
      <c r="H48" s="3"/>
      <c r="I48" s="4"/>
      <c r="K48" s="3"/>
      <c r="L48" s="3"/>
      <c r="M48" s="4"/>
      <c r="O48" s="3"/>
      <c r="P48" s="3"/>
      <c r="Q48" s="4"/>
    </row>
    <row r="49" spans="1:18" x14ac:dyDescent="0.25">
      <c r="A49" t="s">
        <v>210</v>
      </c>
      <c r="B49" t="s">
        <v>23</v>
      </c>
      <c r="C49" t="s">
        <v>211</v>
      </c>
      <c r="D49" t="s">
        <v>212</v>
      </c>
      <c r="E49">
        <v>4</v>
      </c>
      <c r="F49" t="s">
        <v>26</v>
      </c>
      <c r="G49" s="3"/>
      <c r="H49" s="3"/>
      <c r="I49" s="4"/>
      <c r="K49" s="3"/>
      <c r="L49" s="3"/>
      <c r="M49" s="4"/>
      <c r="O49" s="3"/>
      <c r="P49" s="3"/>
      <c r="Q49" s="4"/>
    </row>
    <row r="50" spans="1:18" x14ac:dyDescent="0.25">
      <c r="A50" t="s">
        <v>213</v>
      </c>
      <c r="B50" t="s">
        <v>23</v>
      </c>
      <c r="C50" t="s">
        <v>214</v>
      </c>
      <c r="D50" t="s">
        <v>215</v>
      </c>
      <c r="E50">
        <v>4</v>
      </c>
      <c r="F50" t="s">
        <v>26</v>
      </c>
      <c r="G50" s="3"/>
      <c r="H50" s="3"/>
      <c r="I50" s="4"/>
      <c r="K50" s="3"/>
      <c r="L50" s="3"/>
      <c r="M50" s="4"/>
      <c r="O50" s="3"/>
      <c r="P50" s="3"/>
      <c r="Q50" s="4"/>
    </row>
    <row r="51" spans="1:18" ht="30" x14ac:dyDescent="0.25">
      <c r="A51" t="s">
        <v>216</v>
      </c>
      <c r="B51" t="s">
        <v>23</v>
      </c>
      <c r="C51" t="s">
        <v>217</v>
      </c>
      <c r="D51" s="5" t="s">
        <v>218</v>
      </c>
      <c r="E51">
        <v>50</v>
      </c>
      <c r="F51" t="s">
        <v>26</v>
      </c>
      <c r="G51" s="3"/>
      <c r="H51" s="3"/>
      <c r="I51" s="4"/>
      <c r="K51" s="3"/>
      <c r="L51" s="3"/>
      <c r="M51" s="4"/>
      <c r="O51" s="3"/>
      <c r="P51" s="3"/>
      <c r="Q51" s="4"/>
    </row>
    <row r="52" spans="1:18" ht="30" x14ac:dyDescent="0.25">
      <c r="A52" t="s">
        <v>219</v>
      </c>
      <c r="B52" t="s">
        <v>23</v>
      </c>
      <c r="C52" t="s">
        <v>220</v>
      </c>
      <c r="D52" s="5" t="s">
        <v>221</v>
      </c>
      <c r="E52">
        <v>440</v>
      </c>
      <c r="F52" t="s">
        <v>26</v>
      </c>
      <c r="G52" s="3">
        <v>73.87</v>
      </c>
      <c r="H52" s="3">
        <v>440</v>
      </c>
      <c r="I52" s="4">
        <v>32502.799999999999</v>
      </c>
      <c r="J52" s="5" t="s">
        <v>222</v>
      </c>
      <c r="K52" s="3">
        <v>2526.64</v>
      </c>
      <c r="L52" s="3">
        <v>440</v>
      </c>
      <c r="M52" s="4">
        <v>1111721.6000000001</v>
      </c>
      <c r="N52" t="s">
        <v>223</v>
      </c>
      <c r="O52" s="3">
        <v>128</v>
      </c>
      <c r="P52" s="3">
        <v>440</v>
      </c>
      <c r="Q52" s="4">
        <v>56320</v>
      </c>
      <c r="R52" s="5" t="s">
        <v>224</v>
      </c>
    </row>
    <row r="53" spans="1:18" ht="30" x14ac:dyDescent="0.25">
      <c r="A53" t="s">
        <v>225</v>
      </c>
      <c r="B53" t="s">
        <v>23</v>
      </c>
      <c r="C53" t="s">
        <v>226</v>
      </c>
      <c r="D53" s="5" t="s">
        <v>227</v>
      </c>
      <c r="E53">
        <v>10</v>
      </c>
      <c r="F53" t="s">
        <v>26</v>
      </c>
      <c r="G53" s="3"/>
      <c r="H53" s="3"/>
      <c r="I53" s="4"/>
      <c r="K53" s="3"/>
      <c r="L53" s="3"/>
      <c r="M53" s="4"/>
      <c r="O53" s="3">
        <v>690</v>
      </c>
      <c r="P53" s="3">
        <v>10</v>
      </c>
      <c r="Q53" s="4">
        <v>6900</v>
      </c>
      <c r="R53" t="s">
        <v>228</v>
      </c>
    </row>
    <row r="54" spans="1:18" ht="30" x14ac:dyDescent="0.25">
      <c r="A54" t="s">
        <v>229</v>
      </c>
      <c r="B54" t="s">
        <v>23</v>
      </c>
      <c r="C54" t="s">
        <v>230</v>
      </c>
      <c r="D54" s="5" t="s">
        <v>231</v>
      </c>
      <c r="E54">
        <v>10</v>
      </c>
      <c r="F54" t="s">
        <v>26</v>
      </c>
      <c r="G54" s="3"/>
      <c r="H54" s="3"/>
      <c r="I54" s="4"/>
      <c r="K54" s="3"/>
      <c r="L54" s="3"/>
      <c r="M54" s="4"/>
      <c r="O54" s="3">
        <v>750</v>
      </c>
      <c r="P54" s="3">
        <v>10</v>
      </c>
      <c r="Q54" s="4">
        <v>7500</v>
      </c>
      <c r="R54" t="s">
        <v>228</v>
      </c>
    </row>
    <row r="55" spans="1:18" ht="30" x14ac:dyDescent="0.25">
      <c r="A55" t="s">
        <v>232</v>
      </c>
      <c r="B55" t="s">
        <v>23</v>
      </c>
      <c r="C55" t="s">
        <v>233</v>
      </c>
      <c r="D55" s="5" t="s">
        <v>234</v>
      </c>
      <c r="E55">
        <v>40</v>
      </c>
      <c r="F55" t="s">
        <v>26</v>
      </c>
      <c r="G55" s="3"/>
      <c r="H55" s="3"/>
      <c r="I55" s="4"/>
      <c r="K55" s="3"/>
      <c r="L55" s="3"/>
      <c r="M55" s="4"/>
      <c r="O55" s="3">
        <v>690</v>
      </c>
      <c r="P55" s="3">
        <v>40</v>
      </c>
      <c r="Q55" s="4">
        <v>27600</v>
      </c>
      <c r="R55" t="s">
        <v>228</v>
      </c>
    </row>
    <row r="56" spans="1:18" ht="30" x14ac:dyDescent="0.25">
      <c r="A56" t="s">
        <v>235</v>
      </c>
      <c r="B56" t="s">
        <v>23</v>
      </c>
      <c r="C56" t="s">
        <v>236</v>
      </c>
      <c r="D56" s="5" t="s">
        <v>237</v>
      </c>
      <c r="E56">
        <v>10</v>
      </c>
      <c r="F56" t="s">
        <v>26</v>
      </c>
      <c r="G56" s="3"/>
      <c r="H56" s="3"/>
      <c r="I56" s="4"/>
      <c r="K56" s="3"/>
      <c r="L56" s="3"/>
      <c r="M56" s="4"/>
      <c r="O56" s="3">
        <v>690</v>
      </c>
      <c r="P56" s="3">
        <v>10</v>
      </c>
      <c r="Q56" s="4">
        <v>6900</v>
      </c>
      <c r="R56" t="s">
        <v>228</v>
      </c>
    </row>
    <row r="57" spans="1:18" ht="30" x14ac:dyDescent="0.25">
      <c r="A57" t="s">
        <v>238</v>
      </c>
      <c r="B57" t="s">
        <v>23</v>
      </c>
      <c r="C57" t="s">
        <v>239</v>
      </c>
      <c r="D57" s="5" t="s">
        <v>240</v>
      </c>
      <c r="E57">
        <v>300</v>
      </c>
      <c r="F57" t="s">
        <v>26</v>
      </c>
      <c r="G57" s="3">
        <v>850</v>
      </c>
      <c r="H57" s="3">
        <v>300</v>
      </c>
      <c r="I57" s="4">
        <v>255000</v>
      </c>
      <c r="J57" s="5" t="s">
        <v>241</v>
      </c>
      <c r="K57" s="3"/>
      <c r="L57" s="3"/>
      <c r="M57" s="4"/>
      <c r="O57" s="3"/>
      <c r="P57" s="3"/>
      <c r="Q57" s="4"/>
    </row>
    <row r="58" spans="1:18" ht="30" x14ac:dyDescent="0.25">
      <c r="A58" t="s">
        <v>242</v>
      </c>
      <c r="B58" t="s">
        <v>23</v>
      </c>
      <c r="C58" t="s">
        <v>243</v>
      </c>
      <c r="D58" s="5" t="s">
        <v>244</v>
      </c>
      <c r="E58">
        <v>50</v>
      </c>
      <c r="F58" t="s">
        <v>26</v>
      </c>
      <c r="G58" s="3">
        <v>1131</v>
      </c>
      <c r="H58" s="3">
        <v>50</v>
      </c>
      <c r="I58" s="4">
        <v>56550</v>
      </c>
      <c r="J58" s="5" t="s">
        <v>245</v>
      </c>
      <c r="K58" s="3"/>
      <c r="L58" s="3"/>
      <c r="M58" s="4"/>
      <c r="O58" s="3"/>
      <c r="P58" s="3"/>
      <c r="Q58" s="4"/>
    </row>
    <row r="59" spans="1:18" ht="30" x14ac:dyDescent="0.25">
      <c r="A59" t="s">
        <v>246</v>
      </c>
      <c r="B59" t="s">
        <v>23</v>
      </c>
      <c r="C59" t="s">
        <v>247</v>
      </c>
      <c r="D59" s="5" t="s">
        <v>248</v>
      </c>
      <c r="E59">
        <v>6</v>
      </c>
      <c r="F59" t="s">
        <v>26</v>
      </c>
      <c r="G59" s="3">
        <v>1150</v>
      </c>
      <c r="H59" s="3">
        <v>6</v>
      </c>
      <c r="I59" s="4">
        <v>6900</v>
      </c>
      <c r="J59" s="5" t="s">
        <v>249</v>
      </c>
      <c r="K59" s="3">
        <v>6198.56</v>
      </c>
      <c r="L59" s="3">
        <v>6</v>
      </c>
      <c r="M59" s="4">
        <v>37191.360000000001</v>
      </c>
      <c r="N59" t="s">
        <v>250</v>
      </c>
      <c r="O59" s="3"/>
      <c r="P59" s="3"/>
      <c r="Q59" s="4"/>
    </row>
    <row r="60" spans="1:18" ht="30" x14ac:dyDescent="0.25">
      <c r="A60" t="s">
        <v>251</v>
      </c>
      <c r="B60" t="s">
        <v>23</v>
      </c>
      <c r="C60" t="s">
        <v>252</v>
      </c>
      <c r="D60" s="5" t="s">
        <v>253</v>
      </c>
      <c r="E60">
        <v>56</v>
      </c>
      <c r="F60" t="s">
        <v>26</v>
      </c>
      <c r="G60" s="3">
        <v>1150</v>
      </c>
      <c r="H60" s="3">
        <v>56</v>
      </c>
      <c r="I60" s="4">
        <v>64400</v>
      </c>
      <c r="J60" s="5" t="s">
        <v>254</v>
      </c>
      <c r="K60" s="3">
        <v>6198.56</v>
      </c>
      <c r="L60" s="3">
        <v>56</v>
      </c>
      <c r="M60" s="4">
        <v>347119.35999999999</v>
      </c>
      <c r="N60" t="s">
        <v>255</v>
      </c>
      <c r="O60" s="3"/>
      <c r="P60" s="3"/>
      <c r="Q60" s="4"/>
    </row>
    <row r="61" spans="1:18" ht="30" x14ac:dyDescent="0.25">
      <c r="A61" t="s">
        <v>256</v>
      </c>
      <c r="B61" t="s">
        <v>23</v>
      </c>
      <c r="C61" t="s">
        <v>257</v>
      </c>
      <c r="D61" s="5" t="s">
        <v>258</v>
      </c>
      <c r="E61">
        <v>50</v>
      </c>
      <c r="F61" t="s">
        <v>26</v>
      </c>
      <c r="G61" s="3"/>
      <c r="H61" s="3"/>
      <c r="I61" s="4"/>
      <c r="K61" s="3">
        <v>6662.4</v>
      </c>
      <c r="L61" s="3">
        <v>50</v>
      </c>
      <c r="M61" s="4">
        <v>333120</v>
      </c>
      <c r="N61" s="5" t="s">
        <v>259</v>
      </c>
      <c r="O61" s="3"/>
      <c r="P61" s="3"/>
      <c r="Q61" s="4"/>
    </row>
    <row r="62" spans="1:18" ht="30" x14ac:dyDescent="0.25">
      <c r="A62" t="s">
        <v>260</v>
      </c>
      <c r="B62" t="s">
        <v>23</v>
      </c>
      <c r="C62" t="s">
        <v>261</v>
      </c>
      <c r="D62" t="s">
        <v>262</v>
      </c>
      <c r="E62">
        <v>50</v>
      </c>
      <c r="F62" t="s">
        <v>26</v>
      </c>
      <c r="G62" s="3">
        <v>470</v>
      </c>
      <c r="H62" s="3">
        <v>50</v>
      </c>
      <c r="I62" s="4">
        <v>23500</v>
      </c>
      <c r="J62" s="5" t="s">
        <v>263</v>
      </c>
      <c r="K62" s="3"/>
      <c r="L62" s="3"/>
      <c r="M62" s="4"/>
      <c r="O62" s="3">
        <v>250</v>
      </c>
      <c r="P62" s="3">
        <v>50</v>
      </c>
      <c r="Q62" s="4">
        <v>12500</v>
      </c>
      <c r="R62" s="5" t="s">
        <v>264</v>
      </c>
    </row>
    <row r="63" spans="1:18" ht="30" x14ac:dyDescent="0.25">
      <c r="A63" t="s">
        <v>265</v>
      </c>
      <c r="B63" t="s">
        <v>23</v>
      </c>
      <c r="C63" t="s">
        <v>266</v>
      </c>
      <c r="D63" t="s">
        <v>267</v>
      </c>
      <c r="E63">
        <v>100</v>
      </c>
      <c r="F63" t="s">
        <v>26</v>
      </c>
      <c r="G63" s="3">
        <v>330</v>
      </c>
      <c r="H63" s="3">
        <v>100</v>
      </c>
      <c r="I63" s="4">
        <v>33000</v>
      </c>
      <c r="J63" s="5" t="s">
        <v>268</v>
      </c>
      <c r="K63" s="3"/>
      <c r="L63" s="3"/>
      <c r="M63" s="4"/>
      <c r="O63" s="3">
        <v>293</v>
      </c>
      <c r="P63" s="3">
        <v>100</v>
      </c>
      <c r="Q63" s="4">
        <v>29300</v>
      </c>
      <c r="R63" s="5" t="s">
        <v>269</v>
      </c>
    </row>
    <row r="64" spans="1:18" ht="30" x14ac:dyDescent="0.25">
      <c r="A64" t="s">
        <v>270</v>
      </c>
      <c r="B64" t="s">
        <v>23</v>
      </c>
      <c r="C64" t="s">
        <v>271</v>
      </c>
      <c r="D64" s="5" t="s">
        <v>272</v>
      </c>
      <c r="E64">
        <v>500</v>
      </c>
      <c r="F64" t="s">
        <v>26</v>
      </c>
      <c r="G64" s="3"/>
      <c r="H64" s="3"/>
      <c r="I64" s="4"/>
      <c r="K64" s="3"/>
      <c r="L64" s="3"/>
      <c r="M64" s="4"/>
      <c r="O64" s="3">
        <v>270</v>
      </c>
      <c r="P64" s="3">
        <v>500</v>
      </c>
      <c r="Q64" s="4">
        <v>135000</v>
      </c>
      <c r="R64" s="5" t="s">
        <v>273</v>
      </c>
    </row>
    <row r="65" spans="1:18" ht="30" x14ac:dyDescent="0.25">
      <c r="A65" t="s">
        <v>274</v>
      </c>
      <c r="B65" t="s">
        <v>23</v>
      </c>
      <c r="C65" t="s">
        <v>275</v>
      </c>
      <c r="D65" t="s">
        <v>276</v>
      </c>
      <c r="E65">
        <v>100</v>
      </c>
      <c r="F65" t="s">
        <v>26</v>
      </c>
      <c r="G65" s="3">
        <v>470</v>
      </c>
      <c r="H65" s="3">
        <v>100</v>
      </c>
      <c r="I65" s="4">
        <v>47000</v>
      </c>
      <c r="J65" s="5" t="s">
        <v>277</v>
      </c>
      <c r="K65" s="3"/>
      <c r="L65" s="3"/>
      <c r="M65" s="4"/>
      <c r="O65" s="3">
        <v>785</v>
      </c>
      <c r="P65" s="3">
        <v>100</v>
      </c>
      <c r="Q65" s="4">
        <v>78500</v>
      </c>
      <c r="R65" t="s">
        <v>278</v>
      </c>
    </row>
    <row r="66" spans="1:18" ht="30" x14ac:dyDescent="0.25">
      <c r="A66" t="s">
        <v>279</v>
      </c>
      <c r="B66" t="s">
        <v>23</v>
      </c>
      <c r="C66" t="s">
        <v>280</v>
      </c>
      <c r="D66" t="s">
        <v>281</v>
      </c>
      <c r="E66">
        <v>100</v>
      </c>
      <c r="F66" t="s">
        <v>26</v>
      </c>
      <c r="G66" s="3">
        <v>470</v>
      </c>
      <c r="H66" s="3">
        <v>100</v>
      </c>
      <c r="I66" s="4">
        <v>47000</v>
      </c>
      <c r="J66" s="5" t="s">
        <v>277</v>
      </c>
      <c r="K66" s="3"/>
      <c r="L66" s="3"/>
      <c r="M66" s="4"/>
      <c r="O66" s="3"/>
      <c r="P66" s="3"/>
      <c r="Q66" s="4"/>
    </row>
    <row r="67" spans="1:18" ht="75" x14ac:dyDescent="0.25">
      <c r="A67" t="s">
        <v>282</v>
      </c>
      <c r="B67" t="s">
        <v>23</v>
      </c>
      <c r="C67" t="s">
        <v>283</v>
      </c>
      <c r="D67" s="5" t="s">
        <v>284</v>
      </c>
      <c r="E67">
        <v>25</v>
      </c>
      <c r="F67" t="s">
        <v>26</v>
      </c>
      <c r="G67" s="3">
        <v>11200</v>
      </c>
      <c r="H67" s="3">
        <v>25</v>
      </c>
      <c r="I67" s="4">
        <v>280000</v>
      </c>
      <c r="J67" s="5" t="s">
        <v>285</v>
      </c>
      <c r="K67" s="3"/>
      <c r="L67" s="3"/>
      <c r="M67" s="4"/>
      <c r="O67" s="3"/>
      <c r="P67" s="3"/>
      <c r="Q67" s="4"/>
    </row>
    <row r="68" spans="1:18" ht="30" x14ac:dyDescent="0.25">
      <c r="A68" t="s">
        <v>286</v>
      </c>
      <c r="B68" t="s">
        <v>23</v>
      </c>
      <c r="C68" t="s">
        <v>287</v>
      </c>
      <c r="D68" s="5" t="s">
        <v>288</v>
      </c>
      <c r="E68">
        <v>30</v>
      </c>
      <c r="F68" t="s">
        <v>26</v>
      </c>
      <c r="G68" s="3"/>
      <c r="H68" s="3"/>
      <c r="I68" s="4"/>
      <c r="K68" s="3"/>
      <c r="L68" s="3"/>
      <c r="M68" s="4"/>
      <c r="O68" s="3"/>
      <c r="P68" s="3"/>
      <c r="Q68" s="4"/>
    </row>
    <row r="69" spans="1:18" ht="45" x14ac:dyDescent="0.25">
      <c r="A69" t="s">
        <v>289</v>
      </c>
      <c r="B69" t="s">
        <v>23</v>
      </c>
      <c r="C69" t="s">
        <v>287</v>
      </c>
      <c r="D69" s="5" t="s">
        <v>288</v>
      </c>
      <c r="E69">
        <v>200</v>
      </c>
      <c r="F69" t="s">
        <v>26</v>
      </c>
      <c r="G69" s="3">
        <v>465</v>
      </c>
      <c r="H69" s="3">
        <v>200</v>
      </c>
      <c r="I69" s="4">
        <v>93000</v>
      </c>
      <c r="J69" s="5" t="s">
        <v>290</v>
      </c>
      <c r="K69" s="3"/>
      <c r="L69" s="3"/>
      <c r="M69" s="4"/>
      <c r="O69" s="3"/>
      <c r="P69" s="3"/>
      <c r="Q69" s="4"/>
    </row>
    <row r="70" spans="1:18" x14ac:dyDescent="0.25">
      <c r="A70" t="s">
        <v>291</v>
      </c>
      <c r="B70" t="s">
        <v>23</v>
      </c>
      <c r="C70" t="s">
        <v>170</v>
      </c>
      <c r="D70" t="s">
        <v>171</v>
      </c>
      <c r="E70">
        <v>200</v>
      </c>
      <c r="F70" t="s">
        <v>26</v>
      </c>
      <c r="G70" s="3"/>
      <c r="H70" s="3"/>
      <c r="I70" s="4"/>
      <c r="K70" s="3"/>
      <c r="L70" s="3"/>
      <c r="M70" s="4"/>
      <c r="O70" s="3"/>
      <c r="P70" s="3"/>
      <c r="Q70" s="4"/>
    </row>
    <row r="71" spans="1:18" x14ac:dyDescent="0.25">
      <c r="C71" t="s">
        <v>292</v>
      </c>
      <c r="G71" s="3"/>
      <c r="H71" s="3"/>
      <c r="I71" s="4">
        <f>SUBTOTAL(109,Table2[Total por renglón])</f>
        <v>2940450.4</v>
      </c>
      <c r="K71" s="3"/>
      <c r="L71" s="3"/>
      <c r="M71" s="4">
        <f>SUBTOTAL(109,Table3[Total por renglón])</f>
        <v>7409274.040000001</v>
      </c>
      <c r="O71" s="3"/>
      <c r="P71" s="3"/>
      <c r="Q71" s="4">
        <f>SUBTOTAL(109,Table4[Total por renglón])</f>
        <v>2677180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V. NICOLA</cp:lastModifiedBy>
  <dcterms:created xsi:type="dcterms:W3CDTF">2022-11-24T11:18:58Z</dcterms:created>
  <dcterms:modified xsi:type="dcterms:W3CDTF">2022-11-24T11:19:24Z</dcterms:modified>
</cp:coreProperties>
</file>