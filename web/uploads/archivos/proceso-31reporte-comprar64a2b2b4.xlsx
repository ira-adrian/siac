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CONTRATACIONES 2020 VIGENTES\FRANCO\100-0023-CPR22COMBUSTIBLE MAEMA\ofertas\"/>
    </mc:Choice>
  </mc:AlternateContent>
  <xr:revisionPtr revIDLastSave="0" documentId="8_{915EDAC0-CCA0-48EF-AA14-E2DB3C8D3D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6" i="2" l="1"/>
  <c r="M26" i="2"/>
  <c r="Q26" i="2"/>
  <c r="U26" i="2"/>
</calcChain>
</file>

<file path=xl/sharedStrings.xml><?xml version="1.0" encoding="utf-8"?>
<sst xmlns="http://schemas.openxmlformats.org/spreadsheetml/2006/main" count="140" uniqueCount="85">
  <si>
    <t>Número expediente:</t>
  </si>
  <si>
    <t>EX-2022-00616852-   -CAT-DPCBS#MEC</t>
  </si>
  <si>
    <t>Número proceso de compra:</t>
  </si>
  <si>
    <t>100-0023-CPR22</t>
  </si>
  <si>
    <t>Nombre descriptivo proceso de compra:</t>
  </si>
  <si>
    <t>ADQUICICIÓN DE COMBUSTIBLE Y LUBRICANTES DESTINADOS AL MINISTERIO DE AGUA, ENERGÍA Y MEDIO AMBIENTE.</t>
  </si>
  <si>
    <t>Unidad Operativa de Compras:</t>
  </si>
  <si>
    <t>Secretaria de Compras y Abastecimiento</t>
  </si>
  <si>
    <t>Fecha de Apertura:</t>
  </si>
  <si>
    <t>26/04/2022</t>
  </si>
  <si>
    <t>Renglón</t>
  </si>
  <si>
    <t>LLANTAY SRL</t>
  </si>
  <si>
    <t>MARIO RAMON ACEVEDO</t>
  </si>
  <si>
    <t>GUTIERREZ S.R.L.</t>
  </si>
  <si>
    <t>Raúl Alfredo Olveira Luraschi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</si>
  <si>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</si>
  <si>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</si>
  <si>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</si>
  <si>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</si>
  <si>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</si>
  <si>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</si>
  <si>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</si>
  <si>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</si>
  <si>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</si>
  <si>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</si>
  <si>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2.5.6-793.31 </t>
  </si>
  <si>
    <t xml:space="preserve">GAS OIL; PRESENTACION: POR LITRO, USO: MOTORES DIESEL, COMERCIALIZACION: GRADO 
3, DESTINO: DPTO. S.F.V. DE CATAMARCA </t>
  </si>
  <si>
    <t xml:space="preserve">UNIDAD </t>
  </si>
  <si>
    <t xml:space="preserve">se cotiza gas oil grado 3, QUANTIUM DIESEL X10 MARCA 
AXION 1RA CALIDAD, (SE ADJUNTA FICHA TECNICA) </t>
  </si>
  <si>
    <t xml:space="preserve">2 </t>
  </si>
  <si>
    <t xml:space="preserve">2.5.6-793.42 </t>
  </si>
  <si>
    <t xml:space="preserve">GAS OIL; PRESENTACION: POR LITRO, USO: MOTORES DIESEL, COMERCIALIZACION: GRADO 
3, DESTINO: DPTO. AMBATO </t>
  </si>
  <si>
    <t xml:space="preserve">3 </t>
  </si>
  <si>
    <t xml:space="preserve">2.5.6-793.44 </t>
  </si>
  <si>
    <t xml:space="preserve">GAS OIL; PRESENTACION: POR LITRO, USO: MOTORES DIESEL, COMERCIALIZACION: GRADO 
3, DESTINO: DPTO. CAPAYAN </t>
  </si>
  <si>
    <t xml:space="preserve">4 </t>
  </si>
  <si>
    <t xml:space="preserve">2.5.6-793.38 </t>
  </si>
  <si>
    <t xml:space="preserve">GAS OIL; PRESENTACION: POR LITRO, USO: MOTORES DIESEL, COMERCIALIZACION: GRADO 
3, DESTINO: DPTO. STA. MARIA </t>
  </si>
  <si>
    <t xml:space="preserve">5 </t>
  </si>
  <si>
    <t xml:space="preserve">2.5.6-793.34 </t>
  </si>
  <si>
    <t xml:space="preserve">GAS OIL; PRESENTACION: POR LITRO, USO: MOTORES DIESEL, COMERCIALIZACION: GRADO 
3, DESTINO: DPTO. STA. ROSA </t>
  </si>
  <si>
    <t xml:space="preserve">6 </t>
  </si>
  <si>
    <t xml:space="preserve">2.5.6-793.35 </t>
  </si>
  <si>
    <t xml:space="preserve">GAS OIL; PRESENTACION: POR LITRO, USO: MOTORES DIESEL, COMERCIALIZACION: GRADO 
3, DESTINO: DPTO. LA PAZ </t>
  </si>
  <si>
    <t xml:space="preserve">7 </t>
  </si>
  <si>
    <t xml:space="preserve">2.5.6-793.39 </t>
  </si>
  <si>
    <t xml:space="preserve">GAS OIL; PRESENTACION: POR LITRO, USO: MOTORES DIESEL, COMERCIALIZACION: GRADO 
3, DESTINO: DPTO. EL ALTO </t>
  </si>
  <si>
    <t xml:space="preserve">8 </t>
  </si>
  <si>
    <t xml:space="preserve">2.5.6-793.32 </t>
  </si>
  <si>
    <t xml:space="preserve">GAS OIL; PRESENTACION: POR LITRO, USO: MOTORES DIESEL, COMERCIALIZACION: GRADO 
3, DESTINO: DPTO. PACLIN </t>
  </si>
  <si>
    <t xml:space="preserve">9 </t>
  </si>
  <si>
    <t xml:space="preserve">2.5.6-793.36 </t>
  </si>
  <si>
    <t xml:space="preserve">GAS OIL; PRESENTACION: POR LITRO, USO: MOTORES DIESEL, COMERCIALIZACION: GRADO 
3, DESTINO: DPTO. TINOGASTA </t>
  </si>
  <si>
    <t xml:space="preserve">10 </t>
  </si>
  <si>
    <t xml:space="preserve">2.5.6-793.37 </t>
  </si>
  <si>
    <t xml:space="preserve">GAS OIL; PRESENTACION: POR LITRO, USO: MOTORES DIESEL, COMERCIALIZACION: GRADO 
3, DESTINO: DPTO. BELEN </t>
  </si>
  <si>
    <t xml:space="preserve">11 </t>
  </si>
  <si>
    <t xml:space="preserve">2.5.6-793.45 </t>
  </si>
  <si>
    <t xml:space="preserve">GAS OIL; PRESENTACION: POR LITRO, USO: MOTORES DIESEL, COMERCIALIZACION: GRADO 
3, DESTINO: DPTO. ANDALGALA </t>
  </si>
  <si>
    <t xml:space="preserve">12 </t>
  </si>
  <si>
    <t xml:space="preserve">2.5.6-793.40 </t>
  </si>
  <si>
    <t xml:space="preserve">GAS OIL; PRESENTACION: POR LITRO, USO: MOTORES DIESEL, COMERCIALIZACION: GRADO 
3, DESTINO: DPTO. ANT. DE LA SIERRA </t>
  </si>
  <si>
    <t xml:space="preserve">13 </t>
  </si>
  <si>
    <t xml:space="preserve">2.5.6-793.46 </t>
  </si>
  <si>
    <t xml:space="preserve">GAS OIL; PRESENTACION: POR LITRO, USO: MOTORES DIESEL, COMERCIALIZACION: GRADO 
2, DESTINO: DPTO. S.F.V. DE CATAMARCA </t>
  </si>
  <si>
    <t xml:space="preserve">se cotiza gas oil grado 2,  DIESEL MARCA AXION 
, (SE ADJUNTA FICHA TECNICA) </t>
  </si>
  <si>
    <t xml:space="preserve">14 </t>
  </si>
  <si>
    <t xml:space="preserve">2.5.6-797.39 </t>
  </si>
  <si>
    <t xml:space="preserve">NAFTA SUPER; TIPO: SUPER, OCTANO: 95, PRESENTACION: POR LITRO, DESTINO: 
DPTO. S.F.V. DE CATAMARCA </t>
  </si>
  <si>
    <t xml:space="preserve">se cotiza NAFTA SUPER MARCA AXION (SE ADJUNTA FICHA TECNICA) 
</t>
  </si>
  <si>
    <t xml:space="preserve">15 </t>
  </si>
  <si>
    <t xml:space="preserve">2.5.6-7104.19 </t>
  </si>
  <si>
    <t xml:space="preserve">ACEITES LUBRICANTES; DENOMINACION: SAE 15 W 40, USO: AUTOMOTOR, PRESENTACION: 
TAMBOR X 205 L, NORMA: SAE 15 W 40 </t>
  </si>
  <si>
    <t xml:space="preserve">se cotiza CRB MULTI 15W-40 MARCA CASTROL 1RA CALIDAD (SE 
ADJUNTA FICHA TECNICA) </t>
  </si>
  <si>
    <t xml:space="preserve">ACEITES LUBRICANTES; DENOMINACION: SAE 15 W 40, USO: AUTOMOTOR, PRESENTACION: 
TAMBOR X 205 L, NORMA: SAE 15 W 40 MARCA: 
TOTAL </t>
  </si>
  <si>
    <t xml:space="preserve">ACEITES LUBRICANTES; DENOMINACION: SAE 15 W 40, USO: AUTOMOTOR, PRESENTACION: 
TAMBOR X 205 L, NORMA: SAE 15 W 40 MARCA 
GULF </t>
  </si>
  <si>
    <t xml:space="preserve">ACEITES LUBRICANTES; DENOMINACION: SAE 15 W 40, USO: AUTOMOTOR, PRESENTACION: 
TAMBOR X 205 L, NORMA: SAE 15 W 40. MARCA: 
TOWER OIL </t>
  </si>
  <si>
    <t xml:space="preserve">16 </t>
  </si>
  <si>
    <t xml:space="preserve">2.5.6-1622.53 </t>
  </si>
  <si>
    <t xml:space="preserve">ACEITES HIDRAULICOS; VISCOSIDAD A 40 °C: 68,5 cst, VISCOSIDAD A 
100º C: 8,73 cst, INDICE DE VISCOSIDAD: 95, PUNTO DE 
INFLAMACION: 206 °C, PUNTO DE ESCURRIMIENTO: 9 °C, HERRUMBRE: PASA, 
PRESENTACION: ENVASE X 205 </t>
  </si>
  <si>
    <t xml:space="preserve">se cotiza, ACEITE HYDRAULIC OIL 68 MARCA CASTROL 1RA CALIDAD 
(SE ADJUNTA FICHA TECNICA) </t>
  </si>
  <si>
    <t xml:space="preserve">ACEITES HIDRAULICOS; VISCOSIDAD A 40 °C: 68,5 cst, VISCOSIDAD A 
100º C: 8,73 cst, INDICE DE VISCOSIDAD: 95, PUNTO DE 
INFLAMACION: 206 °C, PUNTO DE ESCURRIMIENTO: 9 °C, HERRUMBRE: PASA, 
PRESENTACION: ENVASE X 205 MARCA: TOTAL </t>
  </si>
  <si>
    <t xml:space="preserve">ACEITES HIDRAULICOS; VISCOSIDAD A 40 °C: 68,5 cst, VISCOSIDAD A 
100º C: 8,73 cst, INDICE DE VISCOSIDAD: 95, PUNTO DE 
INFLAMACION: 206 °C, PUNTO DE ESCURRIMIENTO: 9 °C, HERRUMBRE: PASA, 
PRESENTACION: ENVASE X 205 MARCA GULF </t>
  </si>
  <si>
    <t xml:space="preserve">ACEITES HIDRAULICOS; VISCOSIDAD A 40 °C: 68,5 cst, VISCOSIDAD A 
100º C: 8,73 cst, INDICE DE VISCOSIDAD: 95, PUNTO DE 
INFLAMACION: 206 °C, PUNTO DE ESCURRIMIENTO: 9 °C, HERRUMBRE: PASA, 
PRESENTACION: ENVASE X 205. MARCA: TOWER OIL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</si>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</sst>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2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2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26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26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26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3.5703125" customWidth="1"/>
    <col min="4" max="4" width="79.140625" customWidth="1"/>
    <col min="5" max="5" width="10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0.140625" customWidth="1"/>
    <col min="11" max="11" width="14.28515625" customWidth="1"/>
    <col min="12" max="12" width="17.28515625" customWidth="1"/>
    <col min="13" max="13" width="16.5703125" customWidth="1"/>
    <col min="14" max="14" width="80.140625" customWidth="1"/>
    <col min="15" max="15" width="14.28515625" customWidth="1"/>
    <col min="16" max="16" width="17.28515625" customWidth="1"/>
    <col min="17" max="17" width="16.5703125" customWidth="1"/>
    <col min="18" max="18" width="80.140625" customWidth="1"/>
    <col min="19" max="19" width="14.28515625" customWidth="1"/>
    <col min="20" max="20" width="17.28515625" customWidth="1"/>
    <col min="21" max="21" width="16.5703125" customWidth="1"/>
    <col min="22" max="22" width="80.140625" customWidth="1"/>
  </cols>
  <sheetData>
    <row r="1" spans="1:22" x14ac:dyDescent="0.25">
      <c r="D1" s="2" t="s">
        <v>0</v>
      </c>
      <c r="E1" s="2" t="s">
        <v>1</v>
      </c>
    </row>
    <row r="2" spans="1:22" x14ac:dyDescent="0.25">
      <c r="D2" s="2" t="s">
        <v>2</v>
      </c>
      <c r="E2" s="2" t="s">
        <v>3</v>
      </c>
    </row>
    <row r="3" spans="1:22" x14ac:dyDescent="0.25">
      <c r="D3" s="2" t="s">
        <v>4</v>
      </c>
      <c r="E3" s="2" t="s">
        <v>5</v>
      </c>
    </row>
    <row r="4" spans="1:22" x14ac:dyDescent="0.25">
      <c r="D4" s="2" t="s">
        <v>6</v>
      </c>
      <c r="E4" s="2" t="s">
        <v>7</v>
      </c>
    </row>
    <row r="5" spans="1:22" x14ac:dyDescent="0.25">
      <c r="D5" s="2" t="s">
        <v>8</v>
      </c>
      <c r="E5" s="2" t="s">
        <v>9</v>
      </c>
    </row>
    <row r="8" spans="1:22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</row>
    <row r="9" spans="1:22" x14ac:dyDescent="0.25">
      <c r="A9" t="s">
        <v>10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s="3" t="s">
        <v>20</v>
      </c>
      <c r="H9" s="3" t="s">
        <v>21</v>
      </c>
      <c r="I9" t="s">
        <v>22</v>
      </c>
      <c r="J9" t="s">
        <v>23</v>
      </c>
      <c r="K9" s="3" t="s">
        <v>20</v>
      </c>
      <c r="L9" s="3" t="s">
        <v>21</v>
      </c>
      <c r="M9" t="s">
        <v>22</v>
      </c>
      <c r="N9" t="s">
        <v>23</v>
      </c>
      <c r="O9" s="3" t="s">
        <v>20</v>
      </c>
      <c r="P9" s="3" t="s">
        <v>21</v>
      </c>
      <c r="Q9" t="s">
        <v>22</v>
      </c>
      <c r="R9" t="s">
        <v>23</v>
      </c>
      <c r="S9" s="3" t="s">
        <v>20</v>
      </c>
      <c r="T9" s="3" t="s">
        <v>21</v>
      </c>
      <c r="U9" t="s">
        <v>22</v>
      </c>
      <c r="V9" t="s">
        <v>23</v>
      </c>
    </row>
    <row r="10" spans="1:22" ht="45" x14ac:dyDescent="0.25">
      <c r="A10" t="s">
        <v>24</v>
      </c>
      <c r="B10" t="s">
        <v>24</v>
      </c>
      <c r="C10" t="s">
        <v>25</v>
      </c>
      <c r="D10" s="4" t="s">
        <v>26</v>
      </c>
      <c r="E10">
        <v>317503</v>
      </c>
      <c r="F10" t="s">
        <v>27</v>
      </c>
      <c r="G10" s="3">
        <v>142.30000000000001</v>
      </c>
      <c r="H10" s="3">
        <v>317503</v>
      </c>
      <c r="I10" s="5">
        <v>45180676.899999999</v>
      </c>
      <c r="J10" s="4" t="s">
        <v>28</v>
      </c>
      <c r="K10" s="3"/>
      <c r="L10" s="3"/>
      <c r="M10" s="5"/>
      <c r="O10" s="3"/>
      <c r="P10" s="3"/>
      <c r="Q10" s="5"/>
      <c r="S10" s="3"/>
      <c r="T10" s="3"/>
      <c r="U10" s="5"/>
    </row>
    <row r="11" spans="1:22" ht="45" x14ac:dyDescent="0.25">
      <c r="A11" t="s">
        <v>29</v>
      </c>
      <c r="B11" t="s">
        <v>24</v>
      </c>
      <c r="C11" t="s">
        <v>30</v>
      </c>
      <c r="D11" s="4" t="s">
        <v>31</v>
      </c>
      <c r="E11">
        <v>5000</v>
      </c>
      <c r="F11" t="s">
        <v>27</v>
      </c>
      <c r="G11" s="3">
        <v>142.30000000000001</v>
      </c>
      <c r="H11" s="3">
        <v>5000</v>
      </c>
      <c r="I11" s="5">
        <v>711500</v>
      </c>
      <c r="J11" s="4" t="s">
        <v>28</v>
      </c>
      <c r="K11" s="3"/>
      <c r="L11" s="3"/>
      <c r="M11" s="5"/>
      <c r="O11" s="3"/>
      <c r="P11" s="3"/>
      <c r="Q11" s="5"/>
      <c r="S11" s="3"/>
      <c r="T11" s="3"/>
      <c r="U11" s="5"/>
    </row>
    <row r="12" spans="1:22" ht="45" x14ac:dyDescent="0.25">
      <c r="A12" t="s">
        <v>32</v>
      </c>
      <c r="B12" t="s">
        <v>24</v>
      </c>
      <c r="C12" t="s">
        <v>33</v>
      </c>
      <c r="D12" s="4" t="s">
        <v>34</v>
      </c>
      <c r="E12">
        <v>5000</v>
      </c>
      <c r="F12" t="s">
        <v>27</v>
      </c>
      <c r="G12" s="3">
        <v>142.30000000000001</v>
      </c>
      <c r="H12" s="3">
        <v>5000</v>
      </c>
      <c r="I12" s="5">
        <v>711500</v>
      </c>
      <c r="J12" s="4" t="s">
        <v>28</v>
      </c>
      <c r="K12" s="3"/>
      <c r="L12" s="3"/>
      <c r="M12" s="5"/>
      <c r="O12" s="3"/>
      <c r="P12" s="3"/>
      <c r="Q12" s="5"/>
      <c r="S12" s="3"/>
      <c r="T12" s="3"/>
      <c r="U12" s="5"/>
    </row>
    <row r="13" spans="1:22" ht="45" x14ac:dyDescent="0.25">
      <c r="A13" t="s">
        <v>35</v>
      </c>
      <c r="B13" t="s">
        <v>24</v>
      </c>
      <c r="C13" t="s">
        <v>36</v>
      </c>
      <c r="D13" s="4" t="s">
        <v>37</v>
      </c>
      <c r="E13">
        <v>21000</v>
      </c>
      <c r="F13" t="s">
        <v>27</v>
      </c>
      <c r="G13" s="3">
        <v>142.30000000000001</v>
      </c>
      <c r="H13" s="3">
        <v>21000</v>
      </c>
      <c r="I13" s="5">
        <v>2988300</v>
      </c>
      <c r="J13" s="4" t="s">
        <v>28</v>
      </c>
      <c r="K13" s="3"/>
      <c r="L13" s="3"/>
      <c r="M13" s="5"/>
      <c r="O13" s="3"/>
      <c r="P13" s="3"/>
      <c r="Q13" s="5"/>
      <c r="S13" s="3"/>
      <c r="T13" s="3"/>
      <c r="U13" s="5"/>
    </row>
    <row r="14" spans="1:22" ht="45" x14ac:dyDescent="0.25">
      <c r="A14" t="s">
        <v>38</v>
      </c>
      <c r="B14" t="s">
        <v>24</v>
      </c>
      <c r="C14" t="s">
        <v>39</v>
      </c>
      <c r="D14" s="4" t="s">
        <v>40</v>
      </c>
      <c r="E14">
        <v>4000</v>
      </c>
      <c r="F14" t="s">
        <v>27</v>
      </c>
      <c r="G14" s="3">
        <v>142.30000000000001</v>
      </c>
      <c r="H14" s="3">
        <v>4000</v>
      </c>
      <c r="I14" s="5">
        <v>569200</v>
      </c>
      <c r="J14" s="4" t="s">
        <v>28</v>
      </c>
      <c r="K14" s="3"/>
      <c r="L14" s="3"/>
      <c r="M14" s="5"/>
      <c r="O14" s="3"/>
      <c r="P14" s="3"/>
      <c r="Q14" s="5"/>
      <c r="S14" s="3"/>
      <c r="T14" s="3"/>
      <c r="U14" s="5"/>
    </row>
    <row r="15" spans="1:22" ht="45" x14ac:dyDescent="0.25">
      <c r="A15" t="s">
        <v>41</v>
      </c>
      <c r="B15" t="s">
        <v>24</v>
      </c>
      <c r="C15" t="s">
        <v>42</v>
      </c>
      <c r="D15" s="4" t="s">
        <v>43</v>
      </c>
      <c r="E15">
        <v>3000</v>
      </c>
      <c r="F15" t="s">
        <v>27</v>
      </c>
      <c r="G15" s="3">
        <v>142.30000000000001</v>
      </c>
      <c r="H15" s="3">
        <v>3000</v>
      </c>
      <c r="I15" s="5">
        <v>426900</v>
      </c>
      <c r="J15" s="4" t="s">
        <v>28</v>
      </c>
      <c r="K15" s="3"/>
      <c r="L15" s="3"/>
      <c r="M15" s="5"/>
      <c r="O15" s="3"/>
      <c r="P15" s="3"/>
      <c r="Q15" s="5"/>
      <c r="S15" s="3"/>
      <c r="T15" s="3"/>
      <c r="U15" s="5"/>
    </row>
    <row r="16" spans="1:22" ht="45" x14ac:dyDescent="0.25">
      <c r="A16" t="s">
        <v>44</v>
      </c>
      <c r="B16" t="s">
        <v>24</v>
      </c>
      <c r="C16" t="s">
        <v>45</v>
      </c>
      <c r="D16" s="4" t="s">
        <v>46</v>
      </c>
      <c r="E16">
        <v>3000</v>
      </c>
      <c r="F16" t="s">
        <v>27</v>
      </c>
      <c r="G16" s="3">
        <v>142.30000000000001</v>
      </c>
      <c r="H16" s="3">
        <v>3000</v>
      </c>
      <c r="I16" s="5">
        <v>426900</v>
      </c>
      <c r="J16" s="4" t="s">
        <v>28</v>
      </c>
      <c r="K16" s="3"/>
      <c r="L16" s="3"/>
      <c r="M16" s="5"/>
      <c r="O16" s="3"/>
      <c r="P16" s="3"/>
      <c r="Q16" s="5"/>
      <c r="S16" s="3"/>
      <c r="T16" s="3"/>
      <c r="U16" s="5"/>
    </row>
    <row r="17" spans="1:22" ht="45" x14ac:dyDescent="0.25">
      <c r="A17" t="s">
        <v>47</v>
      </c>
      <c r="B17" t="s">
        <v>24</v>
      </c>
      <c r="C17" t="s">
        <v>48</v>
      </c>
      <c r="D17" s="4" t="s">
        <v>49</v>
      </c>
      <c r="E17">
        <v>3000</v>
      </c>
      <c r="F17" t="s">
        <v>27</v>
      </c>
      <c r="G17" s="3">
        <v>142.30000000000001</v>
      </c>
      <c r="H17" s="3">
        <v>3000</v>
      </c>
      <c r="I17" s="5">
        <v>426900</v>
      </c>
      <c r="J17" s="4" t="s">
        <v>28</v>
      </c>
      <c r="K17" s="3"/>
      <c r="L17" s="3"/>
      <c r="M17" s="5"/>
      <c r="O17" s="3"/>
      <c r="P17" s="3"/>
      <c r="Q17" s="5"/>
      <c r="S17" s="3"/>
      <c r="T17" s="3"/>
      <c r="U17" s="5"/>
    </row>
    <row r="18" spans="1:22" ht="45" x14ac:dyDescent="0.25">
      <c r="A18" t="s">
        <v>50</v>
      </c>
      <c r="B18" t="s">
        <v>24</v>
      </c>
      <c r="C18" t="s">
        <v>51</v>
      </c>
      <c r="D18" s="4" t="s">
        <v>52</v>
      </c>
      <c r="E18">
        <v>10000</v>
      </c>
      <c r="F18" t="s">
        <v>27</v>
      </c>
      <c r="G18" s="3">
        <v>142.30000000000001</v>
      </c>
      <c r="H18" s="3">
        <v>10000</v>
      </c>
      <c r="I18" s="5">
        <v>1423000</v>
      </c>
      <c r="J18" s="4" t="s">
        <v>28</v>
      </c>
      <c r="K18" s="3"/>
      <c r="L18" s="3"/>
      <c r="M18" s="5"/>
      <c r="O18" s="3"/>
      <c r="P18" s="3"/>
      <c r="Q18" s="5"/>
      <c r="S18" s="3"/>
      <c r="T18" s="3"/>
      <c r="U18" s="5"/>
    </row>
    <row r="19" spans="1:22" ht="45" x14ac:dyDescent="0.25">
      <c r="A19" t="s">
        <v>53</v>
      </c>
      <c r="B19" t="s">
        <v>24</v>
      </c>
      <c r="C19" t="s">
        <v>54</v>
      </c>
      <c r="D19" s="4" t="s">
        <v>55</v>
      </c>
      <c r="E19">
        <v>4000</v>
      </c>
      <c r="F19" t="s">
        <v>27</v>
      </c>
      <c r="G19" s="3">
        <v>142.30000000000001</v>
      </c>
      <c r="H19" s="3">
        <v>4000</v>
      </c>
      <c r="I19" s="5">
        <v>569200</v>
      </c>
      <c r="J19" s="4" t="s">
        <v>28</v>
      </c>
      <c r="K19" s="3"/>
      <c r="L19" s="3"/>
      <c r="M19" s="5"/>
      <c r="O19" s="3"/>
      <c r="P19" s="3"/>
      <c r="Q19" s="5"/>
      <c r="S19" s="3"/>
      <c r="T19" s="3"/>
      <c r="U19" s="5"/>
    </row>
    <row r="20" spans="1:22" ht="45" x14ac:dyDescent="0.25">
      <c r="A20" t="s">
        <v>56</v>
      </c>
      <c r="B20" t="s">
        <v>24</v>
      </c>
      <c r="C20" t="s">
        <v>57</v>
      </c>
      <c r="D20" s="4" t="s">
        <v>58</v>
      </c>
      <c r="E20">
        <v>4000</v>
      </c>
      <c r="F20" t="s">
        <v>27</v>
      </c>
      <c r="G20" s="3">
        <v>142.30000000000001</v>
      </c>
      <c r="H20" s="3">
        <v>4000</v>
      </c>
      <c r="I20" s="5">
        <v>569200</v>
      </c>
      <c r="J20" s="4" t="s">
        <v>28</v>
      </c>
      <c r="K20" s="3"/>
      <c r="L20" s="3"/>
      <c r="M20" s="5"/>
      <c r="O20" s="3"/>
      <c r="P20" s="3"/>
      <c r="Q20" s="5"/>
      <c r="S20" s="3"/>
      <c r="T20" s="3"/>
      <c r="U20" s="5"/>
    </row>
    <row r="21" spans="1:22" ht="45" x14ac:dyDescent="0.25">
      <c r="A21" t="s">
        <v>59</v>
      </c>
      <c r="B21" t="s">
        <v>24</v>
      </c>
      <c r="C21" t="s">
        <v>60</v>
      </c>
      <c r="D21" s="4" t="s">
        <v>61</v>
      </c>
      <c r="E21">
        <v>4000</v>
      </c>
      <c r="F21" t="s">
        <v>27</v>
      </c>
      <c r="G21" s="3">
        <v>142.30000000000001</v>
      </c>
      <c r="H21" s="3">
        <v>4000</v>
      </c>
      <c r="I21" s="5">
        <v>569200</v>
      </c>
      <c r="J21" s="4" t="s">
        <v>28</v>
      </c>
      <c r="K21" s="3"/>
      <c r="L21" s="3"/>
      <c r="M21" s="5"/>
      <c r="O21" s="3"/>
      <c r="P21" s="3"/>
      <c r="Q21" s="5"/>
      <c r="S21" s="3"/>
      <c r="T21" s="3"/>
      <c r="U21" s="5"/>
    </row>
    <row r="22" spans="1:22" ht="45" x14ac:dyDescent="0.25">
      <c r="A22" t="s">
        <v>62</v>
      </c>
      <c r="B22" t="s">
        <v>24</v>
      </c>
      <c r="C22" t="s">
        <v>63</v>
      </c>
      <c r="D22" s="4" t="s">
        <v>64</v>
      </c>
      <c r="E22">
        <v>57300</v>
      </c>
      <c r="F22" t="s">
        <v>27</v>
      </c>
      <c r="G22" s="3">
        <v>116.6</v>
      </c>
      <c r="H22" s="3">
        <v>57300</v>
      </c>
      <c r="I22" s="5">
        <v>6681180</v>
      </c>
      <c r="J22" s="4" t="s">
        <v>65</v>
      </c>
      <c r="K22" s="3"/>
      <c r="L22" s="3"/>
      <c r="M22" s="5"/>
      <c r="O22" s="3"/>
      <c r="P22" s="3"/>
      <c r="Q22" s="5"/>
      <c r="S22" s="3"/>
      <c r="T22" s="3"/>
      <c r="U22" s="5"/>
    </row>
    <row r="23" spans="1:22" ht="45" x14ac:dyDescent="0.25">
      <c r="A23" t="s">
        <v>66</v>
      </c>
      <c r="B23" t="s">
        <v>24</v>
      </c>
      <c r="C23" t="s">
        <v>67</v>
      </c>
      <c r="D23" s="4" t="s">
        <v>68</v>
      </c>
      <c r="E23">
        <v>40000</v>
      </c>
      <c r="F23" t="s">
        <v>27</v>
      </c>
      <c r="G23" s="3">
        <v>117.2</v>
      </c>
      <c r="H23" s="3">
        <v>40000</v>
      </c>
      <c r="I23" s="5">
        <v>4688000</v>
      </c>
      <c r="J23" s="4" t="s">
        <v>69</v>
      </c>
      <c r="K23" s="3"/>
      <c r="L23" s="3"/>
      <c r="M23" s="5"/>
      <c r="O23" s="3"/>
      <c r="P23" s="3"/>
      <c r="Q23" s="5"/>
      <c r="S23" s="3"/>
      <c r="T23" s="3"/>
      <c r="U23" s="5"/>
    </row>
    <row r="24" spans="1:22" ht="60" x14ac:dyDescent="0.25">
      <c r="A24" t="s">
        <v>70</v>
      </c>
      <c r="B24" t="s">
        <v>24</v>
      </c>
      <c r="C24" t="s">
        <v>71</v>
      </c>
      <c r="D24" s="4" t="s">
        <v>72</v>
      </c>
      <c r="E24">
        <v>18</v>
      </c>
      <c r="F24" t="s">
        <v>27</v>
      </c>
      <c r="G24" s="3">
        <v>78729</v>
      </c>
      <c r="H24" s="3">
        <v>18</v>
      </c>
      <c r="I24" s="5">
        <v>1417122</v>
      </c>
      <c r="J24" s="4" t="s">
        <v>73</v>
      </c>
      <c r="K24" s="3">
        <v>75000</v>
      </c>
      <c r="L24" s="3">
        <v>18</v>
      </c>
      <c r="M24" s="5">
        <v>1350000</v>
      </c>
      <c r="N24" s="4" t="s">
        <v>74</v>
      </c>
      <c r="O24" s="3">
        <v>86500</v>
      </c>
      <c r="P24" s="3">
        <v>18</v>
      </c>
      <c r="Q24" s="5">
        <v>1557000</v>
      </c>
      <c r="R24" s="4" t="s">
        <v>75</v>
      </c>
      <c r="S24" s="3">
        <v>92100</v>
      </c>
      <c r="T24" s="3">
        <v>18</v>
      </c>
      <c r="U24" s="5">
        <v>1657800</v>
      </c>
      <c r="V24" s="4" t="s">
        <v>76</v>
      </c>
    </row>
    <row r="25" spans="1:22" ht="60" x14ac:dyDescent="0.25">
      <c r="A25" t="s">
        <v>77</v>
      </c>
      <c r="B25" t="s">
        <v>24</v>
      </c>
      <c r="C25" t="s">
        <v>78</v>
      </c>
      <c r="D25" s="4" t="s">
        <v>79</v>
      </c>
      <c r="E25">
        <v>20</v>
      </c>
      <c r="F25" t="s">
        <v>27</v>
      </c>
      <c r="G25" s="3">
        <v>65013</v>
      </c>
      <c r="H25" s="3">
        <v>20</v>
      </c>
      <c r="I25" s="5">
        <v>1300260</v>
      </c>
      <c r="J25" s="4" t="s">
        <v>80</v>
      </c>
      <c r="K25" s="3">
        <v>72000</v>
      </c>
      <c r="L25" s="3">
        <v>20</v>
      </c>
      <c r="M25" s="5">
        <v>1440000</v>
      </c>
      <c r="N25" s="4" t="s">
        <v>81</v>
      </c>
      <c r="O25" s="3">
        <v>77216.25</v>
      </c>
      <c r="P25" s="3">
        <v>20</v>
      </c>
      <c r="Q25" s="5">
        <v>1544325</v>
      </c>
      <c r="R25" s="4" t="s">
        <v>82</v>
      </c>
      <c r="S25" s="3">
        <v>90000</v>
      </c>
      <c r="T25" s="3">
        <v>20</v>
      </c>
      <c r="U25" s="5">
        <v>1800000</v>
      </c>
      <c r="V25" s="4" t="s">
        <v>83</v>
      </c>
    </row>
    <row r="26" spans="1:22" x14ac:dyDescent="0.25">
      <c r="C26" t="s">
        <v>84</v>
      </c>
      <c r="D26" s="4"/>
      <c r="G26" s="3"/>
      <c r="H26" s="3"/>
      <c r="I26" s="5">
        <f>SUBTOTAL(109,Table2[Total por renglón])</f>
        <v>68659038.900000006</v>
      </c>
      <c r="J26" s="4"/>
      <c r="K26" s="3"/>
      <c r="L26" s="3"/>
      <c r="M26" s="5">
        <f>SUBTOTAL(109,Table3[Total por renglón])</f>
        <v>2790000</v>
      </c>
      <c r="N26" s="4"/>
      <c r="O26" s="3"/>
      <c r="P26" s="3"/>
      <c r="Q26" s="5">
        <f>SUBTOTAL(109,Table4[Total por renglón])</f>
        <v>3101325</v>
      </c>
      <c r="R26" s="4"/>
      <c r="S26" s="3"/>
      <c r="T26" s="3"/>
      <c r="U26" s="5">
        <f>SUBTOTAL(109,Table5[Total por renglón])</f>
        <v>3457800</v>
      </c>
      <c r="V26" s="4"/>
    </row>
  </sheetData>
  <mergeCells count="5">
    <mergeCell ref="G8:J8"/>
    <mergeCell ref="K8:N8"/>
    <mergeCell ref="O8:R8"/>
    <mergeCell ref="S8:V8"/>
    <mergeCell ref="A8:F8"/>
  </mergeCells>
  <pageMargins left="0.75" right="0.75" top="0.75" bottom="0.5" header="0.5" footer="0.75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RUBIO</dc:creator>
  <cp:lastModifiedBy>FRANCO RUBIO</cp:lastModifiedBy>
  <dcterms:created xsi:type="dcterms:W3CDTF">2022-04-27T13:35:25Z</dcterms:created>
  <dcterms:modified xsi:type="dcterms:W3CDTF">2022-04-27T13:36:14Z</dcterms:modified>
</cp:coreProperties>
</file>