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Mi unidad\Contrataciones 2022\SECRETARIA DE ABASTECIMIENTO\INFORMATICA (MARZO 2022)(COMPUS- IMPRESORAS Y ESCANNER)\INFORMATICA (COMPUTADORAS ESCANNER E IMPRESORAS)\"/>
    </mc:Choice>
  </mc:AlternateContent>
  <bookViews>
    <workbookView xWindow="-99" yWindow="-99" windowWidth="15600" windowHeight="11040" tabRatio="337"/>
  </bookViews>
  <sheets>
    <sheet name="Necesidades Trimestrales_Trim 2" sheetId="1" r:id="rId1"/>
    <sheet name="NOTA PEDIDO" sheetId="2" r:id="rId2"/>
    <sheet name="APG" sheetId="3" r:id="rId3"/>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5" i="2" l="1"/>
  <c r="H16" i="2"/>
  <c r="H14" i="2"/>
  <c r="H13" i="2"/>
  <c r="H11" i="2" l="1"/>
  <c r="H12" i="2"/>
  <c r="Q21" i="3" l="1"/>
  <c r="G17" i="2" l="1"/>
  <c r="I12" i="1"/>
  <c r="D12" i="1"/>
  <c r="I11" i="1"/>
  <c r="D11" i="1"/>
  <c r="I10" i="1" l="1"/>
  <c r="D10" i="1" l="1"/>
</calcChain>
</file>

<file path=xl/sharedStrings.xml><?xml version="1.0" encoding="utf-8"?>
<sst xmlns="http://schemas.openxmlformats.org/spreadsheetml/2006/main" count="190" uniqueCount="102">
  <si>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</si>
  <si>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</si>
  <si>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</si>
  <si>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</si>
  <si>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</si>
  <si>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</si>
  <si>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</si>
  <si>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</si>
  <si>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</si>
  <si>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</si>
  <si>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</si>
  <si>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</si>
  <si>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</si>
  <si>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</si>
  <si>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</si>
  <si>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</si>
  <si>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</si>
  <si>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</si>
  <si>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</si>
  <si>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</si>
  <si>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</si>
  <si>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50 - Ministerio de Educación</t>
  </si>
  <si>
    <t>26- Dirección Provincial de Administración</t>
  </si>
  <si>
    <t>4.3.6-6160.221</t>
  </si>
  <si>
    <t>INFORMÁTICA</t>
  </si>
  <si>
    <t>COMPUTADORAS; TIPO: DE ESCRITORIO, CODIGO ETAP: PC-002-00, VERSION ETAP: 23.0</t>
  </si>
  <si>
    <t>COMPUTADORAS; TIPO: ESCRITORIO, CODIGO ETAP: PC ESCRITORIO, VERSION ETAP: 25.0</t>
  </si>
  <si>
    <t>Especificidades Item N° 2:</t>
  </si>
  <si>
    <t>Especificidades Item N° 3:</t>
  </si>
  <si>
    <t>NOTA DE PEDIDO</t>
  </si>
  <si>
    <t xml:space="preserve">JURISDICCIÓN: </t>
  </si>
  <si>
    <t>50 - MINISTERIO DE EDUCACIÓN</t>
  </si>
  <si>
    <t>SAF:</t>
  </si>
  <si>
    <t>26 - DIRECCIÓN PROVINCIAL DE ADMINISTRACIÓN</t>
  </si>
  <si>
    <t>UNIDAD EJECUTORA:</t>
  </si>
  <si>
    <t>MINISTERIO DE EDUCACIÓN</t>
  </si>
  <si>
    <t xml:space="preserve">DEPENDENCIA SOLICITANTE: </t>
  </si>
  <si>
    <t>PERIODO UTILIZACIÓN:</t>
  </si>
  <si>
    <t>OBJETO:</t>
  </si>
  <si>
    <t>Adjunta Detalle Técnico</t>
  </si>
  <si>
    <t>SI</t>
  </si>
  <si>
    <t>Unidad</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</si>
  <si>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</si>
  <si>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</si>
  <si>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</si>
  <si>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</si>
  <si>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</si>
  <si>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</si>
  <si>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</si>
  <si>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</si>
  <si>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</si>
  <si>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</si>
  <si>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</si>
  <si>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</si>
  <si>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</si>
  <si>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</si>
  <si>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</si>
  <si>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</si>
  <si>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</si>
  <si>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</si>
  <si>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</si>
  <si>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</si>
  <si>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</si>
  <si>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</si>
  <si>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PARA COMPUTACIÓN</t>
  </si>
  <si>
    <t>JUSTIFICACIÓN:</t>
  </si>
  <si>
    <t>N° 26 -2022</t>
  </si>
  <si>
    <t>ADQUISICIÓN DE EQUIPOS INFORMÁTICOS  DESTINADOS A DISTINTAS DEPENDENCIAS DEL MINISTERIO DE EDUCACIÓN.-</t>
  </si>
  <si>
    <t>4.3.6-6170.58</t>
  </si>
  <si>
    <t>4.3.6</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</si>
  <si>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</si>
  <si>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Especificidades Item N° 4:</t>
  </si>
  <si>
    <t>4.3.6-6161.113</t>
  </si>
  <si>
    <t>IMPRESORAS; TIPO: IMPRESORA MULTIFUNCION, CODIGO ETAP: PR-010, VERSION ETAP: PRIMAVERA 2006 V 13</t>
  </si>
  <si>
    <t>4.3.6-6161.294</t>
  </si>
  <si>
    <t>IMPRESORAS; TIPO: LASER MONOCROMATICA, CODIGO ETAP: PR-017, VERSION ETAP: 19.0</t>
  </si>
  <si>
    <r>
      <rPr>
        <u/>
        <sz val="10"/>
        <rFont val="Times New Roman"/>
        <family val="1"/>
      </rPr>
      <t>Impresora Multifunción:</t>
    </r>
    <r>
      <rPr>
        <sz val="10"/>
        <rFont val="Times New Roman"/>
        <family val="1"/>
      </rPr>
      <t xml:space="preserve">
- Impresión: Inyección de tinta de 4 colores.
- Resolución mínima de impresión de 600 x 600 dpi (puntos por pulgada).
- Velocidad de impresión: Negro 27 ppm / Color 15 ppm en tamaño A4 
- Tamaño de papel: Carta (215.9 x 297.4 mm), A4 (210 x 297mm), Oficio (215.9 x 355,6 mm).
- Tipo papel: Fotográfico, Normal, Satinado, Mate.
- Cantidad máxima de hojas: 50.
- Fotocopiado: 5 copias por minuto Color, 10 copias por minuto blanco y negro.
- Escáner: Velocidad: 11 segundos blanco y negro, y 28 segundos color en PDF A4 a 200 dpi. Resolución: 1200 dpi/1200 dpi x 2400 dpi
- Conectividad: USB/ USB 2.0 Cables incluidos. Wi/Fi.
- Alimentación: 220V - 50 Hz. Cables incluidos.
</t>
    </r>
  </si>
  <si>
    <t xml:space="preserve">6 Meses </t>
  </si>
  <si>
    <t>Especificidades Item N° 5:</t>
  </si>
  <si>
    <r>
      <rPr>
        <u/>
        <sz val="10"/>
        <rFont val="Times New Roman"/>
        <family val="1"/>
      </rPr>
      <t>Impresora:</t>
    </r>
    <r>
      <rPr>
        <sz val="10"/>
        <rFont val="Times New Roman"/>
        <family val="1"/>
      </rPr>
      <t xml:space="preserve">
- Tipo: Impresora Laser Monocromática (ByN).
- Resolución mínima de impresión de 600 x 600 dpi (puntos por pulgada).
- Velocidad de impresión: no menor de 20 ppm (páginas por minuto), en tamaño A4.
- Tamaño de papel: Carta (215.9 x 297.4 mm), A4 (210 x 297mm), Oficio (215.9 x 355,6 mm).
- Tipo de papel: Normal, Grueso, Fino.
- Bandeja de entrada: Capacidad para al menos 150 hojas cortadas de 80 gr/m2.
- Bandeja de salida: Capacidad para al menos 100 hojas cortadas de 80 gr/m2.
- Memoria RAM: 256 MB (mínimo).
- Conectividad: Interfaz USB 2.0 o superior, cable incluido. Wireless Ethernet (WiFi) compatible con IEEE 802.11b/g/n.
- Drivers: Windows 7, 8.1, 10 versiones de 32 y 64 bits.
- Alimentación: 220V - 50 Hz. Cables incluidos.
</t>
    </r>
  </si>
  <si>
    <t>6 Meses</t>
  </si>
  <si>
    <t>Especificidades Item N° 6:</t>
  </si>
  <si>
    <t>Costo total estimado: PESOS DIEZ MILLONES NOVECIENTOS SESENTA MIL CON 00/100</t>
  </si>
  <si>
    <t>TOTAL DE PESOS: DIEZ MILLONES NOVECIENTOS SESENTA MIL CON 00/100</t>
  </si>
  <si>
    <t>4.3.6-6160.232</t>
  </si>
  <si>
    <r>
      <t xml:space="preserve">Autorizo la realización de los  trámites correspondientes, a fin de proveer a  este Organismo los bienes que se detallan en Nota  de Pedido N° </t>
    </r>
    <r>
      <rPr>
        <b/>
        <sz val="11"/>
        <color theme="1"/>
        <rFont val="Times New Roman"/>
        <family val="1"/>
      </rPr>
      <t>26/22,</t>
    </r>
    <r>
      <rPr>
        <sz val="11"/>
        <color theme="1"/>
        <rFont val="Times New Roman"/>
        <family val="1"/>
      </rPr>
      <t xml:space="preserve"> afectando la erogación resultante a los créditos presupuestarios aprobados a favor de esta Unidad Ejecutora, conforme al siguiente detalle:</t>
    </r>
  </si>
  <si>
    <t>No Corresponde</t>
  </si>
  <si>
    <t>No corresponde</t>
  </si>
  <si>
    <t>SEGUNDO TRIMESTRE</t>
  </si>
  <si>
    <t>DIG. DE IMAGENES/ESCANER; TIPO: ESTANDAR, CODIGO ETAP: SC-002, VERSION ETAP: 22.0</t>
  </si>
  <si>
    <t>De acuerdo a CODIGO ETAP: SC-002, VERSION ETAP: 22.0</t>
  </si>
  <si>
    <t>De acuerdo a CODIGO ETAP: PR-017, VERSION ETAP: 19.0</t>
  </si>
  <si>
    <t xml:space="preserve">De aceurdo a ETAP: PC ESCRITORIO, VERSION ETAP: 25.0 </t>
  </si>
  <si>
    <t>No corresponde.</t>
  </si>
  <si>
    <t>6 meses</t>
  </si>
  <si>
    <t>De acuerdo a ETAP: PR-010, VERSION ETAP: PRIMAVERA 2006 V 13</t>
  </si>
  <si>
    <t xml:space="preserve">De acuerdo a ETAP: PC ESCRITORIO, VERSION ETAP: 25.0 </t>
  </si>
  <si>
    <t>De acuerdo a ETAP: PC-002-00 VERSIÓN 23</t>
  </si>
  <si>
    <r>
      <t xml:space="preserve">Computadoras; Tipo: Escritorio, CODIGO ETAP: PC ESCRITORIO, VERSION ETAP: 25.0 PC ESCRITORIO - Computadora de Escritorio estándar. 
- UNIDAD DE PROCESAMIENTO de Rendimiento </t>
    </r>
    <r>
      <rPr>
        <b/>
        <sz val="10"/>
        <rFont val="Times New Roman"/>
        <family val="1"/>
      </rPr>
      <t>Medio</t>
    </r>
    <r>
      <rPr>
        <sz val="10"/>
        <rFont val="Times New Roman"/>
        <family val="1"/>
      </rPr>
      <t xml:space="preserve"> - Procesador "Intel" no inferior a "Core I5" de doble núcleo como mínimo, o "AMD" no inferior a "Ryzen 5" de doble núcleo como mínimo. 
MEMORIA Tipo DDR4 - 2400 o superior de Capacidad 16Gb mínimo. 
DISCO DURO Tipo SSD de capacidad 480Gb mínimo. 
VIDEO Controladora de vídeo SVGA/XGA o superior, resolución  1920x1080 Color 32 bits.
AUDIO Placa de Sonido Integrado. 
NETWORK Y COMUNICACIONES − Interfaz de red Tipo: Gigabit Ethernet autosensing (10/100/1000BaseT) - Interfaz de red Wireless (WiFi) con antena incorporada.  
CON Teclado Tipo español latinoamericano, del tipo QWERTY, que incluya función numérica. Mouse óptico. 
MONITOR tipo Led, Tamaño diagonal: 19" como mínimo, Relación de aspecto 16:9, Conexión VGA/D-Sub, Hdmi. Resolución mínima 1366x768px. 
PUERTOS INCORPORADOS − Al menos CUATRO (4) puertos USB tipo A, con sus conectores externos en el gabinete.▪ Al menos DOS (2) puertos serán USB 2.0 ▪ Al menos DOS (2) puertos serán USB 3.1.- Al menos 1 de los puertos debe estar al frente del equipo. Parlantes 2.0. 
Sin Sistema Operativo .</t>
    </r>
  </si>
  <si>
    <r>
      <rPr>
        <u/>
        <sz val="10"/>
        <rFont val="Times New Roman"/>
        <family val="1"/>
      </rPr>
      <t xml:space="preserve">Descripción técnica: 
</t>
    </r>
    <r>
      <rPr>
        <sz val="10"/>
        <rFont val="Times New Roman"/>
        <family val="1"/>
      </rPr>
      <t xml:space="preserve">- </t>
    </r>
    <r>
      <rPr>
        <u/>
        <sz val="10"/>
        <rFont val="Times New Roman"/>
        <family val="1"/>
      </rPr>
      <t>Digitalizador de Imágenes - Escáner</t>
    </r>
    <r>
      <rPr>
        <sz val="10"/>
        <rFont val="Times New Roman"/>
        <family val="1"/>
      </rPr>
      <t xml:space="preserve"> de escritorio en color, a doble faz, con ingreso de los documentos a escanear mediante alimentador automático de no menos de 20 hojas.
- Tamaños de documento escaneable: Carta (215.9 x 297.4 mm), A4 (210 x 297mm), Oficio (215.9 x 355,6 mm), como mínimo.
-  Resolución: 600 x 600 dpi mínimo.
- Color: 24 bits mínimos.
- Velocidad de escaneo en régimen para tamaño A4, no inferior a: 20ppm (páginas por minuto).
- Alimentación eléctrica: 220 V. - 50 Hz. Cable incluido. 
- Interfaz: USB 2.0 o superior. Cable incluido.
- Drivers y Software: Incluir interfaz de software TWAIN estándar, compatible con Sistema Operativo Windows 7, 8.1 y 10. Formatos de archivos de salida TIFF, JPEG, RTF, BMP y PDF.
</t>
    </r>
  </si>
  <si>
    <r>
      <t xml:space="preserve">Computadoras; Tipo: Escritorio, CODIGO ETAP: PC ESCRITORIO, VERSION ETAP: 25.0 PC ESCRITORIO - Computadora de Escritorio estándar. 
- UNIDAD DE PROCESAMIENTO de Rendimiento </t>
    </r>
    <r>
      <rPr>
        <b/>
        <sz val="10"/>
        <rFont val="Times New Roman"/>
        <family val="1"/>
      </rPr>
      <t>Bajo</t>
    </r>
    <r>
      <rPr>
        <sz val="10"/>
        <rFont val="Times New Roman"/>
        <family val="1"/>
      </rPr>
      <t xml:space="preserve"> - Procesador "Intel" no inferior a Core I3 de doble núcleo como mínimo, o "AMD" no inferior a "Ryzen 3" de doble núcleo como mínimo. 
MEMORIA Tipo DDR4 - 2400 o superior de Capacidad 8Gb mínimo. 
DISCO DURO Tipo SSD de capacidad 240Gb mínimo. 
VIDEO Controladora de vídeo SVGA/XGA o superior, resolución  1920x1080 Color 32 bits.
 AUDIO Placa de Sonido Integrado. 
NETWORK Y COMUNICACIONES − Interfaz de red Tipo: Gigabit Ethernet autosensing (10/100/1000BaseT) - Interfaz de red Wireless (WiFi) con antena incorporada.  
CON Teclado Tipo español latinoamericano, del tipo QWERTY, que incluya función numérica. Mouse óptico. 
MONITOR tipo Led, Tamaño diagonal: 19" como mínimo, Relación de aspecto 16:9, Conexión VGA/D-Sub, Hdmi. Resolución mínima 1366x768px. 
PUERTOS INCORPORADOS − Al menos CUATRO (4) puertos USB tipo A, con sus conectores externos en el gabinete.▪ Al menos DOS (2) puertos serán USB 2.0 ▪ Al menos DOS (2) puertos serán USB 3.1.- Al menos 1 de los puertos debe estar al frente del equipo. Parlantes 2.0. 
Sin Sistema Operativo .</t>
    </r>
  </si>
  <si>
    <t>Computadora de Escritorio Estándar, CÓDIGO ETAP: PC-002-00. 
Para uso estándar de oficina; arquitectura X86 de 64 bits, con soporte USB 3.0; con procesador INTEL no inferior a "Celeron" o procesador AMD no inferior a A4. 
Memoria DDR 3-1866 o superior de 4 GB mínimo 
Disco duro de 500Gb mínimo 
Unidad de lectura/escritura de DVD-RW 
Controlador de video SVGA/XGA o superior con soporte de color de 32 bits 
Plaqueta de sonido integrado  interfaz de red mediante tarjeta en slot PCI tipo GIGABIT Ethernet. Teclado español tipo Qwerty; mouse óptico. 
Puertos integrados al menos uno compatible con USB 3.0
MONITOR tipo Led, Tamaño diagonal: 19" como mínimo, Relación de aspecto 16:9, Conexión VGA/D-Sub, Hdmi. Resolución mínima 1366x768px. 
- Sin sistema operativo.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</si>
</sst>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quot; €&quot;_-;\-* #,##0.00&quot; €&quot;_-;_-* \-??&quot; €&quot;_-;_-@_-"/>
    <numFmt numFmtId="165" formatCode="[$$-2C0A]\ #,##0.00;[$$-2C0A]&quot; -&quot;#,##0.00"/>
    <numFmt numFmtId="166" formatCode="&quot;$&quot;\ #,##0.00"/>
    <numFmt numFmtId="167" formatCode="[$$-2C0A]\ #,##0.00"/>
    <numFmt numFmtId="168" formatCode="dd\-mm\-yy;@"/>
    <numFmt numFmtId="169" formatCode="_(\$* #,##0.00_);_(\$* \(#,##0.00\);_(\$* \-??_);_(@_)"/>
  </numFmts>
  <fonts count="35"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Times New Roman"/>
      <family val="1"/>
    </font>
    <font>
      <b/>
      <sz val="11"/>
      <color theme="1"/>
      <name val="Calibri"/>
      <family val="2"/>
      <scheme val="minor"/>
    </font>
    <font>
      <sz val="11"/>
      <color theme="0"/>
      <name val="Calibri"/>
      <family val="2"/>
      <scheme val="minor"/>
    </font>
    <font>
      <b/>
      <u/>
      <sz val="12"/>
      <name val="Times New Roman"/>
      <family val="1"/>
      <charset val="1"/>
    </font>
    <font>
      <b/>
      <sz val="11"/>
      <name val="Times New Roman"/>
      <family val="1"/>
    </font>
    <font>
      <b/>
      <u/>
      <sz val="11"/>
      <name val="Times New Roman"/>
      <family val="1"/>
      <charset val="1"/>
    </font>
    <font>
      <sz val="11"/>
      <name val="Times New Roman"/>
      <family val="1"/>
      <charset val="1"/>
    </font>
    <font>
      <b/>
      <sz val="11"/>
      <name val="Times New Roman"/>
      <family val="1"/>
      <charset val="1"/>
    </font>
    <font>
      <sz val="11"/>
      <color rgb="FF000000"/>
      <name val="Times New Roman"/>
      <family val="1"/>
    </font>
    <font>
      <sz val="9"/>
      <name val="Times New Roman"/>
      <family val="1"/>
      <charset val="1"/>
    </font>
    <font>
      <b/>
      <u/>
      <sz val="10"/>
      <name val="Arial"/>
      <family val="2"/>
    </font>
    <font>
      <sz val="11"/>
      <name val="Times New Roman"/>
      <family val="1"/>
    </font>
    <font>
      <b/>
      <u/>
      <sz val="11"/>
      <name val="Times New Roman"/>
      <family val="1"/>
    </font>
    <font>
      <b/>
      <sz val="9"/>
      <name val="Times New Roman"/>
      <family val="1"/>
    </font>
    <font>
      <sz val="10"/>
      <name val="Arial"/>
      <family val="2"/>
      <charset val="1"/>
    </font>
    <font>
      <b/>
      <sz val="9"/>
      <color theme="1"/>
      <name val="Times New Roman"/>
      <family val="1"/>
    </font>
    <font>
      <sz val="9"/>
      <color theme="1"/>
      <name val="Times New Roman"/>
      <family val="1"/>
    </font>
    <font>
      <sz val="11"/>
      <color theme="1"/>
      <name val="Times New Roman"/>
      <family val="1"/>
    </font>
    <font>
      <b/>
      <sz val="10"/>
      <color rgb="FFFF0000"/>
      <name val="Arial"/>
      <family val="2"/>
    </font>
    <font>
      <sz val="10"/>
      <color rgb="FFFF0000"/>
      <name val="Times New Roman"/>
      <family val="1"/>
    </font>
    <font>
      <b/>
      <sz val="11"/>
      <color theme="1"/>
      <name val="Times New Roman"/>
      <family val="1"/>
    </font>
    <font>
      <sz val="10"/>
      <color theme="1"/>
      <name val="Times New Roman"/>
      <family val="1"/>
    </font>
  </fonts>
  <fills count="7">
    <fill>
      <patternFill patternType="none"/>
    </fill>
    <fill>
      <patternFill patternType="gray125"/>
    </fill>
    <fill>
      <patternFill patternType="solid">
        <fgColor rgb="FFFFFF99"/>
        <bgColor rgb="FFFFFFCC"/>
      </patternFill>
    </fill>
    <fill>
      <patternFill patternType="solid">
        <fgColor theme="4" tint="0.39997558519241921"/>
        <bgColor rgb="FFFFFF00"/>
      </patternFill>
    </fill>
    <fill>
      <patternFill patternType="solid">
        <fgColor theme="4" tint="0.39997558519241921"/>
        <bgColor indexed="64"/>
      </patternFill>
    </fill>
    <fill>
      <patternFill patternType="solid">
        <fgColor theme="0"/>
        <bgColor indexed="64"/>
      </patternFill>
    </fill>
    <fill>
      <patternFill patternType="solid">
        <fgColor theme="0"/>
        <bgColor rgb="FFFFFF00"/>
      </patternFill>
    </fill>
  </fills>
  <borders count="60">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ck">
        <color auto="1"/>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164" fontId="3" fillId="0" borderId="0" applyBorder="0" applyProtection="0"/>
    <xf numFmtId="0" fontId="1" fillId="0" borderId="1" applyProtection="0"/>
    <xf numFmtId="0" fontId="2" fillId="2" borderId="0" applyBorder="0" applyProtection="0"/>
    <xf numFmtId="169" fontId="27" fillId="0" borderId="0" applyBorder="0" applyProtection="0"/>
  </cellStyleXfs>
  <cellXfs count="179">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11"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0" xfId="0" applyFont="1" applyBorder="1"/>
    <xf numFmtId="0" fontId="4" fillId="0" borderId="6" xfId="0" applyFont="1" applyBorder="1"/>
    <xf numFmtId="0" fontId="11" fillId="0" borderId="5" xfId="0" applyFont="1" applyBorder="1" applyAlignment="1">
      <alignment horizontal="left" indent="3"/>
    </xf>
    <xf numFmtId="0" fontId="4" fillId="0" borderId="5" xfId="0" applyFont="1" applyBorder="1" applyAlignment="1">
      <alignment horizontal="left" indent="3"/>
    </xf>
    <xf numFmtId="0" fontId="4" fillId="0" borderId="0"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left" indent="3"/>
    </xf>
    <xf numFmtId="0" fontId="4" fillId="0" borderId="8" xfId="0" applyFont="1" applyBorder="1"/>
    <xf numFmtId="0" fontId="4" fillId="0" borderId="9" xfId="0" applyFont="1" applyBorder="1"/>
    <xf numFmtId="0" fontId="12" fillId="3" borderId="0" xfId="0" applyFont="1" applyFill="1" applyAlignment="1">
      <alignment horizontal="left" wrapText="1" indent="1"/>
    </xf>
    <xf numFmtId="0" fontId="8" fillId="4" borderId="0" xfId="0" applyFont="1" applyFill="1" applyAlignment="1">
      <alignment horizontal="left"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9" fillId="0" borderId="15" xfId="0" applyFont="1" applyBorder="1" applyAlignment="1">
      <alignment horizontal="center" vertical="center"/>
    </xf>
    <xf numFmtId="0" fontId="10" fillId="0" borderId="16" xfId="0" applyFont="1" applyFill="1" applyBorder="1" applyAlignment="1">
      <alignment horizontal="center" vertical="center" wrapText="1"/>
    </xf>
    <xf numFmtId="0" fontId="10" fillId="0" borderId="16" xfId="0" applyFont="1" applyBorder="1" applyAlignment="1">
      <alignment horizontal="left" vertical="center" wrapText="1"/>
    </xf>
    <xf numFmtId="0" fontId="10" fillId="0" borderId="16" xfId="0" applyFont="1" applyBorder="1" applyAlignment="1">
      <alignment horizontal="center" vertical="center" wrapText="1"/>
    </xf>
    <xf numFmtId="165" fontId="9" fillId="0" borderId="16" xfId="1" applyNumberFormat="1" applyFont="1" applyFill="1" applyBorder="1" applyAlignment="1" applyProtection="1">
      <alignment horizontal="right" vertical="center" wrapText="1"/>
    </xf>
    <xf numFmtId="166" fontId="9" fillId="0" borderId="17" xfId="1" applyNumberFormat="1" applyFont="1" applyFill="1" applyBorder="1" applyAlignment="1" applyProtection="1">
      <alignment horizontal="right" vertical="center" wrapText="1"/>
    </xf>
    <xf numFmtId="0" fontId="9" fillId="0" borderId="14" xfId="0" applyFont="1" applyBorder="1" applyAlignment="1">
      <alignment horizontal="center" vertical="center"/>
    </xf>
    <xf numFmtId="0" fontId="10" fillId="0" borderId="14" xfId="0" applyFont="1" applyFill="1" applyBorder="1" applyAlignment="1">
      <alignment horizontal="center" vertical="center" wrapText="1"/>
    </xf>
    <xf numFmtId="0" fontId="10" fillId="0" borderId="14" xfId="0" applyFont="1" applyBorder="1" applyAlignment="1">
      <alignment horizontal="left" vertical="center" wrapText="1"/>
    </xf>
    <xf numFmtId="0" fontId="10" fillId="0" borderId="14" xfId="0" applyFont="1" applyBorder="1" applyAlignment="1">
      <alignment horizontal="center" vertical="center" wrapText="1"/>
    </xf>
    <xf numFmtId="165" fontId="9" fillId="0" borderId="14" xfId="1" applyNumberFormat="1" applyFont="1" applyFill="1" applyBorder="1" applyAlignment="1" applyProtection="1">
      <alignment horizontal="right" vertical="center" wrapText="1"/>
    </xf>
    <xf numFmtId="166" fontId="9" fillId="0" borderId="14" xfId="1" applyNumberFormat="1" applyFont="1" applyFill="1" applyBorder="1" applyAlignment="1" applyProtection="1">
      <alignment horizontal="right" vertical="center" wrapText="1"/>
    </xf>
    <xf numFmtId="0" fontId="18" fillId="0" borderId="5" xfId="0" applyFont="1" applyBorder="1" applyAlignment="1">
      <alignment vertical="center"/>
    </xf>
    <xf numFmtId="0" fontId="18" fillId="0" borderId="0" xfId="0" applyFont="1" applyBorder="1" applyAlignment="1">
      <alignment vertical="center"/>
    </xf>
    <xf numFmtId="0" fontId="18" fillId="0" borderId="6" xfId="0" applyFont="1" applyBorder="1" applyAlignment="1">
      <alignment vertical="center"/>
    </xf>
    <xf numFmtId="0" fontId="6" fillId="0" borderId="14" xfId="0" applyFont="1" applyBorder="1" applyAlignment="1">
      <alignment horizontal="center" vertical="center" wrapText="1"/>
    </xf>
    <xf numFmtId="0" fontId="20" fillId="0" borderId="14" xfId="0" applyFont="1" applyBorder="1" applyAlignment="1">
      <alignment horizontal="center" vertical="center" wrapText="1"/>
    </xf>
    <xf numFmtId="0" fontId="3" fillId="0" borderId="0" xfId="0" applyFont="1"/>
    <xf numFmtId="0" fontId="21" fillId="0" borderId="14" xfId="0" applyFont="1" applyBorder="1" applyAlignment="1">
      <alignment horizontal="center" vertical="center" wrapText="1"/>
    </xf>
    <xf numFmtId="0" fontId="22" fillId="0" borderId="14" xfId="0" applyFont="1" applyFill="1" applyBorder="1" applyAlignment="1">
      <alignment horizontal="center" vertical="center"/>
    </xf>
    <xf numFmtId="0" fontId="10" fillId="6" borderId="14" xfId="0" applyFont="1" applyFill="1" applyBorder="1" applyAlignment="1">
      <alignment horizontal="center" vertical="center" wrapText="1"/>
    </xf>
    <xf numFmtId="167" fontId="15" fillId="0" borderId="0" xfId="0" applyNumberFormat="1" applyFont="1"/>
    <xf numFmtId="166" fontId="0" fillId="0" borderId="0" xfId="0" applyNumberFormat="1"/>
    <xf numFmtId="167" fontId="0" fillId="0" borderId="14" xfId="0" applyNumberFormat="1" applyBorder="1"/>
    <xf numFmtId="0" fontId="23" fillId="0" borderId="0" xfId="0" applyFont="1"/>
    <xf numFmtId="166" fontId="23" fillId="0" borderId="0" xfId="0" applyNumberFormat="1" applyFont="1"/>
    <xf numFmtId="3" fontId="17" fillId="0" borderId="3" xfId="0" applyNumberFormat="1" applyFont="1" applyBorder="1"/>
    <xf numFmtId="168" fontId="24" fillId="0" borderId="3" xfId="0" applyNumberFormat="1" applyFont="1" applyBorder="1" applyAlignment="1">
      <alignment horizontal="left"/>
    </xf>
    <xf numFmtId="0" fontId="24" fillId="0" borderId="3" xfId="0" applyFont="1" applyBorder="1"/>
    <xf numFmtId="0" fontId="24" fillId="0" borderId="5" xfId="0" applyFont="1" applyBorder="1"/>
    <xf numFmtId="0" fontId="24" fillId="0" borderId="0" xfId="0" applyFont="1"/>
    <xf numFmtId="0" fontId="24" fillId="0" borderId="0" xfId="0" applyFont="1" applyAlignment="1">
      <alignment horizontal="left"/>
    </xf>
    <xf numFmtId="168" fontId="24" fillId="0" borderId="0" xfId="0" applyNumberFormat="1" applyFont="1" applyAlignment="1">
      <alignment horizontal="left"/>
    </xf>
    <xf numFmtId="0" fontId="24" fillId="0" borderId="6" xfId="0" applyFont="1" applyBorder="1"/>
    <xf numFmtId="0" fontId="24" fillId="0" borderId="29" xfId="0" applyFont="1" applyBorder="1"/>
    <xf numFmtId="0" fontId="24" fillId="0" borderId="30" xfId="0" applyFont="1" applyBorder="1"/>
    <xf numFmtId="0" fontId="24" fillId="0" borderId="30" xfId="0" applyFont="1" applyBorder="1" applyAlignment="1">
      <alignment horizontal="left"/>
    </xf>
    <xf numFmtId="0" fontId="24" fillId="0" borderId="31" xfId="0" applyFont="1" applyBorder="1"/>
    <xf numFmtId="0" fontId="26" fillId="0" borderId="34" xfId="0" applyFont="1" applyBorder="1" applyAlignment="1">
      <alignment vertical="center"/>
    </xf>
    <xf numFmtId="0" fontId="26" fillId="0" borderId="35" xfId="0" applyFont="1" applyBorder="1" applyAlignment="1">
      <alignment vertical="center"/>
    </xf>
    <xf numFmtId="0" fontId="26" fillId="0" borderId="36" xfId="0" applyFont="1" applyBorder="1" applyAlignment="1">
      <alignment vertical="center"/>
    </xf>
    <xf numFmtId="0" fontId="26" fillId="0" borderId="37" xfId="0" applyFont="1" applyBorder="1" applyAlignment="1">
      <alignment vertical="center"/>
    </xf>
    <xf numFmtId="0" fontId="9" fillId="0" borderId="38" xfId="0" applyFont="1" applyBorder="1" applyAlignment="1">
      <alignment horizontal="center" vertical="center"/>
    </xf>
    <xf numFmtId="0" fontId="9" fillId="0" borderId="39" xfId="0" applyFont="1" applyBorder="1" applyAlignment="1">
      <alignment horizontal="center" vertical="center"/>
    </xf>
    <xf numFmtId="0" fontId="9" fillId="0" borderId="40" xfId="0" applyFont="1" applyBorder="1" applyAlignment="1">
      <alignment horizontal="center" vertical="center"/>
    </xf>
    <xf numFmtId="165" fontId="9" fillId="0" borderId="42" xfId="4" applyNumberFormat="1" applyFont="1" applyBorder="1" applyAlignment="1" applyProtection="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0" borderId="45" xfId="0" applyFont="1" applyBorder="1" applyAlignment="1">
      <alignment horizontal="center" vertical="center"/>
    </xf>
    <xf numFmtId="0" fontId="9" fillId="0" borderId="46" xfId="0" applyFont="1" applyBorder="1" applyAlignment="1">
      <alignment horizontal="center" vertical="center"/>
    </xf>
    <xf numFmtId="165" fontId="9" fillId="0" borderId="49" xfId="4" applyNumberFormat="1" applyFont="1" applyBorder="1" applyAlignment="1" applyProtection="1">
      <alignment horizontal="center" vertical="center"/>
    </xf>
    <xf numFmtId="0" fontId="24" fillId="0" borderId="43" xfId="0" applyFont="1" applyBorder="1" applyAlignment="1">
      <alignment horizontal="center" vertical="center"/>
    </xf>
    <xf numFmtId="0" fontId="24" fillId="0" borderId="44" xfId="0" applyFont="1" applyBorder="1" applyAlignment="1">
      <alignment horizontal="center" vertical="center"/>
    </xf>
    <xf numFmtId="0" fontId="24" fillId="0" borderId="45" xfId="0" applyFont="1" applyBorder="1" applyAlignment="1">
      <alignment horizontal="center" vertical="center"/>
    </xf>
    <xf numFmtId="0" fontId="24" fillId="0" borderId="46" xfId="0" applyFont="1" applyBorder="1" applyAlignment="1">
      <alignment horizontal="center" vertical="center"/>
    </xf>
    <xf numFmtId="165" fontId="24" fillId="0" borderId="49" xfId="4" applyNumberFormat="1" applyFont="1" applyBorder="1" applyAlignment="1" applyProtection="1">
      <alignment horizontal="center" vertical="center"/>
    </xf>
    <xf numFmtId="0" fontId="24" fillId="0" borderId="50" xfId="0" applyFont="1" applyBorder="1" applyAlignment="1">
      <alignment horizontal="center" vertical="center"/>
    </xf>
    <xf numFmtId="0" fontId="24" fillId="0" borderId="51" xfId="0" applyFont="1" applyBorder="1" applyAlignment="1">
      <alignment horizontal="center" vertical="center"/>
    </xf>
    <xf numFmtId="0" fontId="24" fillId="0" borderId="52" xfId="0" applyFont="1" applyBorder="1" applyAlignment="1">
      <alignment horizontal="center" vertical="center"/>
    </xf>
    <xf numFmtId="165" fontId="24" fillId="0" borderId="53" xfId="4" applyNumberFormat="1" applyFont="1" applyBorder="1" applyAlignment="1" applyProtection="1">
      <alignment horizontal="center" vertical="center"/>
    </xf>
    <xf numFmtId="165" fontId="26" fillId="0" borderId="55" xfId="0" applyNumberFormat="1" applyFont="1" applyBorder="1" applyAlignment="1">
      <alignment horizontal="center" vertical="center"/>
    </xf>
    <xf numFmtId="0" fontId="21" fillId="0" borderId="16" xfId="0" applyFont="1" applyFill="1" applyBorder="1" applyAlignment="1">
      <alignment horizontal="center" vertical="center" wrapText="1"/>
    </xf>
    <xf numFmtId="0" fontId="21" fillId="0" borderId="14" xfId="0" applyFont="1" applyFill="1" applyBorder="1" applyAlignment="1">
      <alignment horizontal="center" vertical="center" wrapText="1"/>
    </xf>
    <xf numFmtId="165" fontId="4" fillId="0" borderId="16" xfId="1" applyNumberFormat="1" applyFont="1" applyFill="1" applyBorder="1" applyAlignment="1" applyProtection="1">
      <alignment horizontal="right" vertical="center" wrapText="1"/>
    </xf>
    <xf numFmtId="165" fontId="4" fillId="0" borderId="14" xfId="1" applyNumberFormat="1" applyFont="1" applyFill="1" applyBorder="1" applyAlignment="1" applyProtection="1">
      <alignment horizontal="right" vertical="center" wrapText="1"/>
    </xf>
    <xf numFmtId="0" fontId="21" fillId="0" borderId="16" xfId="0" applyFont="1" applyBorder="1" applyAlignment="1">
      <alignment horizontal="left" vertical="center" wrapText="1"/>
    </xf>
    <xf numFmtId="0" fontId="21" fillId="0" borderId="14" xfId="0" applyFont="1" applyBorder="1" applyAlignment="1">
      <alignment horizontal="left" vertical="center" wrapText="1"/>
    </xf>
    <xf numFmtId="0" fontId="11" fillId="0" borderId="2" xfId="0" applyFont="1" applyFill="1" applyBorder="1"/>
    <xf numFmtId="0" fontId="4" fillId="0" borderId="3" xfId="0" applyFont="1" applyFill="1" applyBorder="1"/>
    <xf numFmtId="0" fontId="4" fillId="0" borderId="4" xfId="0" applyFont="1" applyFill="1" applyBorder="1"/>
    <xf numFmtId="0" fontId="4" fillId="0" borderId="5" xfId="0" applyFont="1" applyFill="1" applyBorder="1"/>
    <xf numFmtId="0" fontId="4" fillId="0" borderId="0" xfId="0" applyFont="1" applyFill="1" applyBorder="1"/>
    <xf numFmtId="0" fontId="4" fillId="0" borderId="6" xfId="0" applyFont="1" applyFill="1" applyBorder="1"/>
    <xf numFmtId="0" fontId="11" fillId="0" borderId="5" xfId="0" applyFont="1" applyFill="1" applyBorder="1" applyAlignment="1">
      <alignment horizontal="left" indent="3"/>
    </xf>
    <xf numFmtId="0" fontId="4" fillId="0" borderId="5" xfId="0" applyFont="1" applyFill="1" applyBorder="1" applyAlignment="1">
      <alignment horizontal="left" indent="3"/>
    </xf>
    <xf numFmtId="0" fontId="4" fillId="0" borderId="0" xfId="0" applyFont="1" applyFill="1" applyBorder="1" applyAlignment="1">
      <alignment horizontal="center" wrapText="1"/>
    </xf>
    <xf numFmtId="0" fontId="4" fillId="0" borderId="6" xfId="0" applyFont="1" applyFill="1" applyBorder="1" applyAlignment="1">
      <alignment horizontal="center" wrapText="1"/>
    </xf>
    <xf numFmtId="0" fontId="4" fillId="0" borderId="7" xfId="0" applyFont="1" applyFill="1" applyBorder="1" applyAlignment="1">
      <alignment horizontal="left" indent="3"/>
    </xf>
    <xf numFmtId="0" fontId="4" fillId="0" borderId="8" xfId="0" applyFont="1" applyFill="1" applyBorder="1"/>
    <xf numFmtId="0" fontId="4" fillId="0" borderId="9" xfId="0" applyFont="1" applyFill="1" applyBorder="1"/>
    <xf numFmtId="0" fontId="30" fillId="0" borderId="14" xfId="0" applyFont="1" applyFill="1" applyBorder="1" applyAlignment="1">
      <alignment horizontal="center" vertical="center" wrapText="1"/>
    </xf>
    <xf numFmtId="0" fontId="24" fillId="0" borderId="14" xfId="0" applyFont="1" applyBorder="1" applyAlignment="1">
      <alignment horizontal="center" vertical="center"/>
    </xf>
    <xf numFmtId="0" fontId="29" fillId="0" borderId="14" xfId="0" applyFont="1" applyFill="1" applyBorder="1" applyAlignment="1">
      <alignment horizontal="center" vertical="center" wrapText="1"/>
    </xf>
    <xf numFmtId="0" fontId="4" fillId="0" borderId="0" xfId="0" applyFont="1" applyFill="1"/>
    <xf numFmtId="0" fontId="4" fillId="0" borderId="57" xfId="0" applyFont="1" applyFill="1" applyBorder="1"/>
    <xf numFmtId="0" fontId="4" fillId="0" borderId="58" xfId="0" applyFont="1" applyFill="1" applyBorder="1"/>
    <xf numFmtId="0" fontId="4" fillId="0" borderId="59" xfId="0" applyFont="1" applyFill="1" applyBorder="1"/>
    <xf numFmtId="0" fontId="31" fillId="0" borderId="0" xfId="0" applyFont="1"/>
    <xf numFmtId="0" fontId="33" fillId="0" borderId="18" xfId="0" applyFont="1" applyFill="1" applyBorder="1" applyAlignment="1">
      <alignment horizontal="left" vertical="center"/>
    </xf>
    <xf numFmtId="0" fontId="4" fillId="0" borderId="5" xfId="0" applyFont="1" applyFill="1" applyBorder="1" applyAlignment="1">
      <alignment horizontal="left" vertical="center" wrapText="1"/>
    </xf>
    <xf numFmtId="166" fontId="4" fillId="0" borderId="0" xfId="0" applyNumberFormat="1" applyFont="1"/>
    <xf numFmtId="0" fontId="5" fillId="0" borderId="0" xfId="0" applyFont="1" applyBorder="1" applyAlignment="1">
      <alignment horizontal="center"/>
    </xf>
    <xf numFmtId="0" fontId="6" fillId="0" borderId="0" xfId="0" applyFont="1" applyBorder="1" applyAlignment="1">
      <alignment horizontal="left" vertical="center" wrapText="1"/>
    </xf>
    <xf numFmtId="0" fontId="12" fillId="3" borderId="0" xfId="0" applyFont="1" applyFill="1" applyBorder="1" applyAlignment="1">
      <alignment horizontal="left" wrapText="1" indent="1"/>
    </xf>
    <xf numFmtId="0" fontId="4" fillId="0" borderId="6" xfId="0" applyFont="1" applyFill="1" applyBorder="1" applyAlignment="1">
      <alignment horizontal="center"/>
    </xf>
    <xf numFmtId="0" fontId="34" fillId="0" borderId="6" xfId="0" applyFont="1" applyFill="1" applyBorder="1" applyAlignment="1">
      <alignment horizontal="left" wrapText="1"/>
    </xf>
    <xf numFmtId="0" fontId="32" fillId="0" borderId="6" xfId="0" applyFont="1" applyFill="1" applyBorder="1" applyAlignment="1">
      <alignment horizontal="center"/>
    </xf>
    <xf numFmtId="0" fontId="4" fillId="0" borderId="6"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6" xfId="0" applyFont="1" applyFill="1" applyBorder="1" applyAlignment="1">
      <alignment horizontal="left" wrapText="1"/>
    </xf>
    <xf numFmtId="0" fontId="4" fillId="0" borderId="6" xfId="0" applyFont="1" applyFill="1" applyBorder="1" applyAlignment="1">
      <alignment horizontal="left"/>
    </xf>
    <xf numFmtId="0" fontId="4" fillId="0" borderId="0" xfId="0" applyFont="1" applyFill="1" applyBorder="1" applyAlignment="1">
      <alignment horizontal="left" vertical="top" wrapText="1"/>
    </xf>
    <xf numFmtId="0" fontId="4" fillId="0" borderId="6" xfId="0" applyFont="1" applyFill="1" applyBorder="1" applyAlignment="1">
      <alignment horizontal="left" vertical="top" wrapText="1"/>
    </xf>
    <xf numFmtId="0" fontId="34" fillId="0" borderId="6" xfId="0" applyFont="1" applyFill="1" applyBorder="1" applyAlignment="1">
      <alignment wrapText="1"/>
    </xf>
    <xf numFmtId="0" fontId="19" fillId="0" borderId="2" xfId="0" applyFont="1" applyBorder="1" applyAlignment="1">
      <alignment horizontal="left" vertical="center"/>
    </xf>
    <xf numFmtId="0" fontId="19" fillId="0" borderId="3" xfId="0" applyFont="1" applyBorder="1" applyAlignment="1">
      <alignment horizontal="left" vertical="center"/>
    </xf>
    <xf numFmtId="0" fontId="19" fillId="0" borderId="4" xfId="0" applyFont="1" applyBorder="1" applyAlignment="1">
      <alignment horizontal="left" vertical="center"/>
    </xf>
    <xf numFmtId="0" fontId="14" fillId="0" borderId="14" xfId="0" applyFont="1" applyBorder="1" applyAlignment="1">
      <alignment horizontal="left" vertical="top" wrapText="1"/>
    </xf>
    <xf numFmtId="0" fontId="19" fillId="0" borderId="18" xfId="0" applyFont="1" applyFill="1" applyBorder="1" applyAlignment="1">
      <alignment horizontal="left" vertical="center" wrapText="1"/>
    </xf>
    <xf numFmtId="0" fontId="20" fillId="0" borderId="18" xfId="0" applyFont="1" applyBorder="1" applyAlignment="1">
      <alignment horizontal="left" vertical="center" wrapText="1"/>
    </xf>
    <xf numFmtId="0" fontId="20" fillId="0" borderId="18" xfId="0" applyFont="1" applyFill="1" applyBorder="1" applyAlignment="1">
      <alignment vertical="center" wrapText="1"/>
    </xf>
    <xf numFmtId="0" fontId="20" fillId="0" borderId="18" xfId="0" applyFont="1" applyBorder="1" applyAlignment="1">
      <alignment vertical="center" wrapText="1"/>
    </xf>
    <xf numFmtId="0" fontId="20" fillId="5" borderId="18" xfId="0" applyFont="1" applyFill="1" applyBorder="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20" fillId="0" borderId="18" xfId="0" applyFont="1" applyFill="1" applyBorder="1" applyAlignment="1">
      <alignment horizontal="left" vertical="center" wrapText="1"/>
    </xf>
    <xf numFmtId="0" fontId="9" fillId="0" borderId="28" xfId="0" applyFont="1" applyBorder="1"/>
    <xf numFmtId="0" fontId="26" fillId="0" borderId="18" xfId="0" applyFont="1" applyBorder="1" applyAlignment="1">
      <alignment vertical="center" wrapText="1"/>
    </xf>
    <xf numFmtId="0" fontId="9" fillId="0" borderId="33" xfId="0" applyFont="1" applyBorder="1" applyAlignment="1">
      <alignment vertical="center" wrapText="1"/>
    </xf>
    <xf numFmtId="0" fontId="9" fillId="0" borderId="56" xfId="0" applyFont="1" applyBorder="1" applyAlignment="1">
      <alignment horizontal="left" vertical="center" wrapText="1" indent="1"/>
    </xf>
    <xf numFmtId="0" fontId="9" fillId="0" borderId="47" xfId="0" applyFont="1" applyBorder="1" applyAlignment="1">
      <alignment horizontal="left" vertical="center" wrapText="1"/>
    </xf>
    <xf numFmtId="0" fontId="9" fillId="0" borderId="48" xfId="0" applyFont="1" applyBorder="1" applyAlignment="1">
      <alignment horizontal="left" vertical="center" wrapText="1"/>
    </xf>
    <xf numFmtId="0" fontId="24" fillId="0" borderId="46" xfId="0" applyFont="1" applyBorder="1" applyAlignment="1">
      <alignment horizontal="center"/>
    </xf>
    <xf numFmtId="0" fontId="24" fillId="0" borderId="46" xfId="0" applyFont="1" applyBorder="1" applyAlignment="1">
      <alignment horizontal="center" vertical="center"/>
    </xf>
    <xf numFmtId="0" fontId="24" fillId="0" borderId="51" xfId="0" applyFont="1" applyBorder="1" applyAlignment="1">
      <alignment horizontal="left" vertical="center"/>
    </xf>
    <xf numFmtId="0" fontId="28" fillId="0" borderId="54" xfId="0" applyFont="1" applyBorder="1" applyAlignment="1">
      <alignment horizontal="left" vertical="center" wrapText="1"/>
    </xf>
    <xf numFmtId="0" fontId="9" fillId="0" borderId="40" xfId="0" applyFont="1" applyBorder="1" applyAlignment="1">
      <alignment horizontal="left" vertical="center" wrapText="1"/>
    </xf>
    <xf numFmtId="0" fontId="9" fillId="0" borderId="41" xfId="0" applyFont="1" applyBorder="1" applyAlignment="1">
      <alignment horizontal="left" vertical="center" wrapText="1"/>
    </xf>
    <xf numFmtId="0" fontId="24" fillId="5" borderId="24" xfId="0" applyFont="1" applyFill="1" applyBorder="1" applyAlignment="1">
      <alignment horizontal="left" vertical="center"/>
    </xf>
    <xf numFmtId="0" fontId="24" fillId="5" borderId="25" xfId="0" applyFont="1" applyFill="1" applyBorder="1" applyAlignment="1">
      <alignment horizontal="left" vertical="center"/>
    </xf>
    <xf numFmtId="0" fontId="24" fillId="5" borderId="26" xfId="0" applyFont="1" applyFill="1" applyBorder="1" applyAlignment="1">
      <alignment horizontal="left" vertical="center"/>
    </xf>
    <xf numFmtId="0" fontId="24" fillId="5" borderId="23" xfId="0" applyFont="1" applyFill="1" applyBorder="1" applyAlignment="1"/>
    <xf numFmtId="0" fontId="24" fillId="0" borderId="24" xfId="0" applyFont="1" applyBorder="1" applyAlignment="1">
      <alignment horizontal="left" vertical="center"/>
    </xf>
    <xf numFmtId="0" fontId="24" fillId="0" borderId="25" xfId="0" applyFont="1" applyBorder="1" applyAlignment="1">
      <alignment horizontal="left" vertical="center"/>
    </xf>
    <xf numFmtId="0" fontId="24" fillId="0" borderId="26" xfId="0" applyFont="1" applyBorder="1" applyAlignment="1">
      <alignment horizontal="left" vertical="center"/>
    </xf>
    <xf numFmtId="0" fontId="24" fillId="0" borderId="23" xfId="0" applyFont="1" applyBorder="1" applyAlignment="1"/>
    <xf numFmtId="0" fontId="25" fillId="0" borderId="27" xfId="0" applyFont="1" applyBorder="1" applyAlignment="1">
      <alignment horizontal="left"/>
    </xf>
    <xf numFmtId="0" fontId="24" fillId="0" borderId="28" xfId="0" applyFont="1" applyBorder="1" applyAlignment="1">
      <alignment horizontal="left"/>
    </xf>
    <xf numFmtId="0" fontId="30" fillId="0" borderId="5" xfId="0" applyNumberFormat="1" applyFont="1" applyBorder="1" applyAlignment="1">
      <alignment horizontal="justify" vertical="center" wrapText="1"/>
    </xf>
    <xf numFmtId="0" fontId="30" fillId="0" borderId="0" xfId="0" applyNumberFormat="1" applyFont="1" applyBorder="1" applyAlignment="1">
      <alignment horizontal="justify" vertical="center" wrapText="1"/>
    </xf>
    <xf numFmtId="0" fontId="30" fillId="0" borderId="6" xfId="0" applyNumberFormat="1" applyFont="1" applyBorder="1" applyAlignment="1">
      <alignment horizontal="justify" vertical="center" wrapText="1"/>
    </xf>
    <xf numFmtId="0" fontId="26" fillId="0" borderId="28" xfId="0" applyFont="1" applyBorder="1" applyAlignment="1">
      <alignment horizontal="center" vertical="center"/>
    </xf>
    <xf numFmtId="0" fontId="26" fillId="0" borderId="22" xfId="0" applyFont="1" applyBorder="1" applyAlignment="1">
      <alignment horizontal="center" vertical="center"/>
    </xf>
    <xf numFmtId="0" fontId="26" fillId="0" borderId="32" xfId="0" applyFont="1" applyBorder="1" applyAlignment="1">
      <alignment horizontal="center" vertical="center" wrapText="1"/>
    </xf>
    <xf numFmtId="0" fontId="26" fillId="0" borderId="33" xfId="0" applyFont="1" applyBorder="1" applyAlignment="1">
      <alignment horizontal="center" vertical="center"/>
    </xf>
    <xf numFmtId="0" fontId="24" fillId="0" borderId="22" xfId="0" applyFont="1" applyFill="1" applyBorder="1" applyAlignment="1">
      <alignment horizontal="left" vertical="center" wrapText="1"/>
    </xf>
    <xf numFmtId="0" fontId="24" fillId="0" borderId="23" xfId="0" applyFont="1" applyFill="1" applyBorder="1" applyAlignment="1"/>
    <xf numFmtId="0" fontId="24" fillId="0" borderId="19" xfId="0" applyFont="1" applyBorder="1" applyAlignment="1">
      <alignment horizontal="center"/>
    </xf>
    <xf numFmtId="0" fontId="17" fillId="0" borderId="20" xfId="0" applyFont="1" applyBorder="1" applyAlignment="1">
      <alignment horizontal="center"/>
    </xf>
    <xf numFmtId="0" fontId="17" fillId="0" borderId="21" xfId="0" applyFont="1" applyBorder="1" applyAlignment="1">
      <alignment horizontal="center" vertical="center" wrapText="1"/>
    </xf>
    <xf numFmtId="0" fontId="24" fillId="0" borderId="22" xfId="0" applyFont="1" applyFill="1" applyBorder="1"/>
    <xf numFmtId="0" fontId="0" fillId="0" borderId="0" xfId="0" applyAlignment="1">
      <alignment horizontal="left" vertical="center" wrapText="1"/>
    </xf>
    <xf numFmtId="0" fontId="0" fillId="0" borderId="6" xfId="0" applyBorder="1" applyAlignment="1">
      <alignment horizontal="left" vertical="center" wrapText="1"/>
    </xf>
    <xf numFmtId="0" fontId="4" fillId="0" borderId="6" xfId="0" applyFont="1" applyFill="1" applyBorder="1" applyAlignment="1">
      <alignment wrapText="1"/>
    </xf>
    <xf numFmtId="0" fontId="34" fillId="0" borderId="6" xfId="0" applyFont="1" applyFill="1" applyBorder="1" applyAlignment="1">
      <alignment horizontal="left" vertical="center" wrapText="1"/>
    </xf>
  </cellXfs>
  <cellStyles count="5">
    <cellStyle name="Encabezado 1" xfId="2"/>
    <cellStyle name="Moneda" xfId="1" builtinId="4"/>
    <cellStyle name="Moneda_AUTORIZACION Y NOTA DE PEDIDO" xfId="4"/>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05"/>
  <sheetViews>
    <sheetView tabSelected="1" topLeftCell="A26" zoomScale="115" zoomScaleNormal="115" workbookViewId="0">
      <selection activeCell="C32" sqref="C32"/>
    </sheetView>
  </sheetViews>
  <sheetFormatPr baseColWidth="10" defaultColWidth="11" defaultRowHeight="12.7" x14ac:dyDescent="0.2"/>
  <cols>
    <col min="1" max="1" width="4.625" style="1" customWidth="1"/>
    <col min="2" max="2" width="12.875" style="1" customWidth="1"/>
    <col min="3" max="3" width="32.375" style="1" customWidth="1"/>
    <col min="4" max="4" width="8.375" style="1" customWidth="1"/>
    <col min="5" max="5" width="79" style="1" customWidth="1"/>
    <col min="6" max="6" width="11" style="1"/>
    <col min="7" max="7" width="12.75" style="1" customWidth="1"/>
    <col min="8" max="8" width="13.875" style="1" customWidth="1"/>
    <col min="9" max="9" width="18.625" style="1" customWidth="1"/>
    <col min="10" max="16384" width="11" style="1"/>
  </cols>
  <sheetData>
    <row r="2" spans="1:9" ht="27.55" x14ac:dyDescent="0.4">
      <c r="B2" s="114" t="s">
        <v>0</v>
      </c>
      <c r="C2" s="114"/>
      <c r="D2" s="114"/>
      <c r="E2" s="114"/>
      <c r="F2" s="114"/>
      <c r="G2" s="114"/>
      <c r="H2" s="114"/>
    </row>
    <row r="4" spans="1:9" ht="18" customHeight="1" x14ac:dyDescent="0.25">
      <c r="A4" s="115" t="s">
        <v>1</v>
      </c>
      <c r="B4" s="115"/>
      <c r="C4" s="116" t="s">
        <v>21</v>
      </c>
      <c r="D4" s="116"/>
      <c r="E4" s="116"/>
      <c r="F4" s="2"/>
      <c r="G4" s="3"/>
      <c r="H4" s="2"/>
    </row>
    <row r="5" spans="1:9" ht="18" customHeight="1" x14ac:dyDescent="0.25">
      <c r="A5" s="115" t="s">
        <v>2</v>
      </c>
      <c r="B5" s="115"/>
      <c r="C5" s="116" t="s">
        <v>22</v>
      </c>
      <c r="D5" s="116"/>
      <c r="E5" s="116"/>
      <c r="F5" s="2"/>
      <c r="G5" s="3"/>
      <c r="H5" s="2"/>
    </row>
    <row r="6" spans="1:9" ht="16.600000000000001" customHeight="1" x14ac:dyDescent="0.25">
      <c r="A6" s="115" t="s">
        <v>3</v>
      </c>
      <c r="B6" s="115"/>
      <c r="C6" s="17">
        <v>2022</v>
      </c>
      <c r="D6" s="18"/>
      <c r="E6" s="18"/>
      <c r="F6" s="2"/>
      <c r="G6" s="3"/>
      <c r="H6" s="2"/>
    </row>
    <row r="7" spans="1:9" ht="16.600000000000001" customHeight="1" x14ac:dyDescent="0.25">
      <c r="A7" s="115" t="s">
        <v>4</v>
      </c>
      <c r="B7" s="115"/>
      <c r="C7" s="17">
        <v>2</v>
      </c>
      <c r="D7" s="18"/>
      <c r="E7" s="18"/>
      <c r="F7" s="2"/>
      <c r="G7" s="3"/>
      <c r="H7" s="2"/>
    </row>
    <row r="8" spans="1:9" ht="13.45" thickBot="1" x14ac:dyDescent="0.25">
      <c r="B8" s="2"/>
      <c r="C8" s="3"/>
      <c r="D8" s="2"/>
      <c r="E8" s="2"/>
      <c r="F8" s="2"/>
      <c r="G8" s="3"/>
      <c r="H8" s="2"/>
    </row>
    <row r="9" spans="1:9" ht="38.85" thickBot="1" x14ac:dyDescent="0.25">
      <c r="A9" s="19" t="s">
        <v>5</v>
      </c>
      <c r="B9" s="22" t="s">
        <v>6</v>
      </c>
      <c r="C9" s="19" t="s">
        <v>7</v>
      </c>
      <c r="D9" s="20" t="s">
        <v>8</v>
      </c>
      <c r="E9" s="20" t="s">
        <v>9</v>
      </c>
      <c r="F9" s="20" t="s">
        <v>10</v>
      </c>
      <c r="G9" s="20" t="s">
        <v>11</v>
      </c>
      <c r="H9" s="20" t="s">
        <v>12</v>
      </c>
      <c r="I9" s="21" t="s">
        <v>13</v>
      </c>
    </row>
    <row r="10" spans="1:9" ht="28.6" customHeight="1" x14ac:dyDescent="0.2">
      <c r="A10" s="23">
        <v>1</v>
      </c>
      <c r="B10" s="24" t="s">
        <v>23</v>
      </c>
      <c r="C10" s="25" t="s">
        <v>24</v>
      </c>
      <c r="D10" s="26" t="str">
        <f>LEFT(B10,5)</f>
        <v>4.3.6</v>
      </c>
      <c r="E10" s="25" t="s">
        <v>25</v>
      </c>
      <c r="F10" s="24" t="s">
        <v>14</v>
      </c>
      <c r="G10" s="24">
        <v>50</v>
      </c>
      <c r="H10" s="27">
        <v>70000</v>
      </c>
      <c r="I10" s="28">
        <f>H10*G10</f>
        <v>3500000</v>
      </c>
    </row>
    <row r="11" spans="1:9" ht="28.6" customHeight="1" x14ac:dyDescent="0.2">
      <c r="A11" s="29">
        <v>2</v>
      </c>
      <c r="B11" s="105" t="s">
        <v>84</v>
      </c>
      <c r="C11" s="31" t="s">
        <v>24</v>
      </c>
      <c r="D11" s="32" t="str">
        <f>LEFT(B11,5)</f>
        <v>4.3.6</v>
      </c>
      <c r="E11" s="31" t="s">
        <v>26</v>
      </c>
      <c r="F11" s="30" t="s">
        <v>14</v>
      </c>
      <c r="G11" s="30">
        <v>25</v>
      </c>
      <c r="H11" s="33">
        <v>80000</v>
      </c>
      <c r="I11" s="34">
        <f>H11*G11</f>
        <v>2000000</v>
      </c>
    </row>
    <row r="12" spans="1:9" ht="28.6" customHeight="1" x14ac:dyDescent="0.2">
      <c r="A12" s="29">
        <v>3</v>
      </c>
      <c r="B12" s="105" t="s">
        <v>84</v>
      </c>
      <c r="C12" s="31" t="s">
        <v>24</v>
      </c>
      <c r="D12" s="32" t="str">
        <f>LEFT(B12,5)</f>
        <v>4.3.6</v>
      </c>
      <c r="E12" s="31" t="s">
        <v>26</v>
      </c>
      <c r="F12" s="30" t="s">
        <v>14</v>
      </c>
      <c r="G12" s="30">
        <v>5</v>
      </c>
      <c r="H12" s="33">
        <v>90000</v>
      </c>
      <c r="I12" s="34">
        <f>H12*G12</f>
        <v>450000</v>
      </c>
    </row>
    <row r="13" spans="1:9" ht="28.6" customHeight="1" x14ac:dyDescent="0.2">
      <c r="A13" s="29">
        <v>4</v>
      </c>
      <c r="B13" s="105" t="s">
        <v>68</v>
      </c>
      <c r="C13" s="31" t="s">
        <v>24</v>
      </c>
      <c r="D13" s="32" t="s">
        <v>69</v>
      </c>
      <c r="E13" s="31" t="s">
        <v>89</v>
      </c>
      <c r="F13" s="30" t="s">
        <v>14</v>
      </c>
      <c r="G13" s="30">
        <v>20</v>
      </c>
      <c r="H13" s="33">
        <v>33000</v>
      </c>
      <c r="I13" s="34">
        <v>660000</v>
      </c>
    </row>
    <row r="14" spans="1:9" ht="28.6" customHeight="1" x14ac:dyDescent="0.2">
      <c r="A14" s="29">
        <v>5</v>
      </c>
      <c r="B14" s="105" t="s">
        <v>72</v>
      </c>
      <c r="C14" s="31" t="s">
        <v>24</v>
      </c>
      <c r="D14" s="32" t="s">
        <v>69</v>
      </c>
      <c r="E14" s="31" t="s">
        <v>73</v>
      </c>
      <c r="F14" s="30" t="s">
        <v>14</v>
      </c>
      <c r="G14" s="30">
        <v>50</v>
      </c>
      <c r="H14" s="33">
        <v>57000</v>
      </c>
      <c r="I14" s="34">
        <v>2850000</v>
      </c>
    </row>
    <row r="15" spans="1:9" ht="28.6" customHeight="1" x14ac:dyDescent="0.2">
      <c r="A15" s="29">
        <v>6</v>
      </c>
      <c r="B15" s="105" t="s">
        <v>74</v>
      </c>
      <c r="C15" s="31" t="s">
        <v>24</v>
      </c>
      <c r="D15" s="32" t="s">
        <v>69</v>
      </c>
      <c r="E15" s="31" t="s">
        <v>75</v>
      </c>
      <c r="F15" s="30" t="s">
        <v>14</v>
      </c>
      <c r="G15" s="30">
        <v>50</v>
      </c>
      <c r="H15" s="33">
        <v>30000</v>
      </c>
      <c r="I15" s="34">
        <v>1500000</v>
      </c>
    </row>
    <row r="16" spans="1:9" x14ac:dyDescent="0.2">
      <c r="I16" s="113"/>
    </row>
    <row r="18" spans="2:8" x14ac:dyDescent="0.2">
      <c r="B18" s="4" t="s">
        <v>15</v>
      </c>
      <c r="C18" s="5"/>
      <c r="D18" s="5"/>
      <c r="E18" s="6"/>
    </row>
    <row r="19" spans="2:8" ht="5.3" customHeight="1" x14ac:dyDescent="0.2">
      <c r="B19" s="7"/>
      <c r="C19" s="8"/>
      <c r="D19" s="8"/>
      <c r="E19" s="9"/>
    </row>
    <row r="20" spans="2:8" x14ac:dyDescent="0.2">
      <c r="B20" s="10" t="s">
        <v>16</v>
      </c>
      <c r="C20" s="8"/>
      <c r="D20" s="8"/>
      <c r="E20" s="9"/>
      <c r="H20" s="8"/>
    </row>
    <row r="21" spans="2:8" ht="154.94999999999999" customHeight="1" x14ac:dyDescent="0.2">
      <c r="B21" s="10"/>
      <c r="C21" s="120" t="s">
        <v>101</v>
      </c>
      <c r="D21" s="120"/>
      <c r="E21" s="120"/>
    </row>
    <row r="22" spans="2:8" x14ac:dyDescent="0.2">
      <c r="B22" s="10" t="s">
        <v>17</v>
      </c>
      <c r="C22" s="8"/>
      <c r="D22" s="8"/>
      <c r="E22" s="9"/>
    </row>
    <row r="23" spans="2:8" ht="60.7" customHeight="1" x14ac:dyDescent="0.2">
      <c r="B23" s="11"/>
      <c r="C23" s="178" t="s">
        <v>70</v>
      </c>
      <c r="D23" s="178"/>
      <c r="E23" s="178"/>
    </row>
    <row r="24" spans="2:8" x14ac:dyDescent="0.2">
      <c r="B24" s="11"/>
      <c r="C24" s="119"/>
      <c r="D24" s="119"/>
      <c r="E24" s="119"/>
    </row>
    <row r="25" spans="2:8" x14ac:dyDescent="0.2">
      <c r="B25" s="10" t="s">
        <v>18</v>
      </c>
      <c r="C25" s="8"/>
      <c r="D25" s="8"/>
      <c r="E25" s="9"/>
    </row>
    <row r="26" spans="2:8" ht="26.3" customHeight="1" x14ac:dyDescent="0.2">
      <c r="B26" s="11"/>
      <c r="C26" s="122" t="s">
        <v>97</v>
      </c>
      <c r="D26" s="122"/>
      <c r="E26" s="122"/>
    </row>
    <row r="27" spans="2:8" x14ac:dyDescent="0.2">
      <c r="B27" s="10" t="s">
        <v>19</v>
      </c>
      <c r="C27" s="12"/>
      <c r="D27" s="12"/>
      <c r="E27" s="13"/>
    </row>
    <row r="28" spans="2:8" ht="26.3" customHeight="1" x14ac:dyDescent="0.2">
      <c r="B28" s="11"/>
      <c r="C28" s="122" t="s">
        <v>87</v>
      </c>
      <c r="D28" s="122"/>
      <c r="E28" s="122"/>
    </row>
    <row r="29" spans="2:8" x14ac:dyDescent="0.2">
      <c r="B29" s="10" t="s">
        <v>20</v>
      </c>
      <c r="C29" s="8"/>
      <c r="D29" s="8"/>
      <c r="E29" s="9"/>
    </row>
    <row r="30" spans="2:8" ht="23.3" customHeight="1" x14ac:dyDescent="0.2">
      <c r="B30" s="10"/>
      <c r="C30" s="123" t="s">
        <v>80</v>
      </c>
      <c r="D30" s="123"/>
      <c r="E30" s="123"/>
    </row>
    <row r="31" spans="2:8" x14ac:dyDescent="0.2">
      <c r="B31" s="14"/>
      <c r="C31" s="15"/>
      <c r="D31" s="15"/>
      <c r="E31" s="16"/>
    </row>
    <row r="32" spans="2:8" ht="13.45" thickBot="1" x14ac:dyDescent="0.25"/>
    <row r="33" spans="2:5" x14ac:dyDescent="0.2">
      <c r="B33" s="4" t="s">
        <v>27</v>
      </c>
      <c r="C33" s="5"/>
      <c r="D33" s="5"/>
      <c r="E33" s="6"/>
    </row>
    <row r="34" spans="2:5" x14ac:dyDescent="0.2">
      <c r="B34" s="7"/>
      <c r="C34" s="8"/>
      <c r="D34" s="8"/>
      <c r="E34" s="9"/>
    </row>
    <row r="35" spans="2:5" x14ac:dyDescent="0.2">
      <c r="B35" s="10" t="s">
        <v>16</v>
      </c>
      <c r="C35" s="8"/>
      <c r="D35" s="8"/>
      <c r="E35" s="9"/>
    </row>
    <row r="36" spans="2:5" ht="180" customHeight="1" x14ac:dyDescent="0.2">
      <c r="B36" s="10"/>
      <c r="C36" s="120" t="s">
        <v>100</v>
      </c>
      <c r="D36" s="120"/>
      <c r="E36" s="120"/>
    </row>
    <row r="37" spans="2:5" x14ac:dyDescent="0.2">
      <c r="B37" s="10" t="s">
        <v>17</v>
      </c>
      <c r="C37" s="94"/>
      <c r="D37" s="94"/>
      <c r="E37" s="95"/>
    </row>
    <row r="38" spans="2:5" ht="61.45" customHeight="1" x14ac:dyDescent="0.2">
      <c r="B38" s="11"/>
      <c r="C38" s="118" t="s">
        <v>70</v>
      </c>
      <c r="D38" s="118"/>
      <c r="E38" s="118"/>
    </row>
    <row r="39" spans="2:5" x14ac:dyDescent="0.2">
      <c r="B39" s="11"/>
      <c r="C39" s="119"/>
      <c r="D39" s="119"/>
      <c r="E39" s="119"/>
    </row>
    <row r="40" spans="2:5" x14ac:dyDescent="0.2">
      <c r="B40" s="10" t="s">
        <v>18</v>
      </c>
      <c r="C40" s="94"/>
      <c r="D40" s="94"/>
      <c r="E40" s="95"/>
    </row>
    <row r="41" spans="2:5" x14ac:dyDescent="0.2">
      <c r="B41" s="11"/>
      <c r="C41" s="122" t="s">
        <v>96</v>
      </c>
      <c r="D41" s="122"/>
      <c r="E41" s="122"/>
    </row>
    <row r="42" spans="2:5" x14ac:dyDescent="0.2">
      <c r="B42" s="10" t="s">
        <v>19</v>
      </c>
      <c r="C42" s="98"/>
      <c r="D42" s="98"/>
      <c r="E42" s="99"/>
    </row>
    <row r="43" spans="2:5" x14ac:dyDescent="0.2">
      <c r="B43" s="11"/>
      <c r="C43" s="177" t="s">
        <v>87</v>
      </c>
      <c r="D43" s="177"/>
      <c r="E43" s="177"/>
    </row>
    <row r="44" spans="2:5" x14ac:dyDescent="0.2">
      <c r="B44" s="10" t="s">
        <v>20</v>
      </c>
      <c r="C44" s="94"/>
      <c r="D44" s="94"/>
      <c r="E44" s="95"/>
    </row>
    <row r="45" spans="2:5" x14ac:dyDescent="0.2">
      <c r="B45" s="10"/>
      <c r="C45" s="123" t="s">
        <v>94</v>
      </c>
      <c r="D45" s="123"/>
      <c r="E45" s="123"/>
    </row>
    <row r="46" spans="2:5" ht="13.45" thickBot="1" x14ac:dyDescent="0.25">
      <c r="B46" s="14"/>
      <c r="C46" s="101"/>
      <c r="D46" s="101"/>
      <c r="E46" s="102"/>
    </row>
    <row r="47" spans="2:5" ht="13.45" thickBot="1" x14ac:dyDescent="0.25">
      <c r="C47" s="106"/>
      <c r="D47" s="106"/>
      <c r="E47" s="106"/>
    </row>
    <row r="48" spans="2:5" x14ac:dyDescent="0.2">
      <c r="B48" s="4" t="s">
        <v>28</v>
      </c>
      <c r="C48" s="91"/>
      <c r="D48" s="91"/>
      <c r="E48" s="92"/>
    </row>
    <row r="49" spans="2:5" x14ac:dyDescent="0.2">
      <c r="B49" s="7"/>
      <c r="C49" s="94"/>
      <c r="D49" s="94"/>
      <c r="E49" s="95"/>
    </row>
    <row r="50" spans="2:5" x14ac:dyDescent="0.2">
      <c r="B50" s="10" t="s">
        <v>16</v>
      </c>
      <c r="C50" s="94"/>
      <c r="D50" s="94"/>
      <c r="E50" s="95"/>
    </row>
    <row r="51" spans="2:5" ht="180" customHeight="1" x14ac:dyDescent="0.2">
      <c r="B51" s="10"/>
      <c r="C51" s="120" t="s">
        <v>98</v>
      </c>
      <c r="D51" s="120"/>
      <c r="E51" s="120"/>
    </row>
    <row r="52" spans="2:5" x14ac:dyDescent="0.2">
      <c r="B52" s="10" t="s">
        <v>17</v>
      </c>
      <c r="C52" s="94"/>
      <c r="D52" s="94"/>
      <c r="E52" s="95"/>
    </row>
    <row r="53" spans="2:5" ht="58.6" customHeight="1" x14ac:dyDescent="0.2">
      <c r="B53" s="11"/>
      <c r="C53" s="118" t="s">
        <v>70</v>
      </c>
      <c r="D53" s="118"/>
      <c r="E53" s="118"/>
    </row>
    <row r="54" spans="2:5" x14ac:dyDescent="0.2">
      <c r="B54" s="11"/>
      <c r="C54" s="119"/>
      <c r="D54" s="119"/>
      <c r="E54" s="119"/>
    </row>
    <row r="55" spans="2:5" x14ac:dyDescent="0.2">
      <c r="B55" s="10" t="s">
        <v>18</v>
      </c>
      <c r="C55" s="94"/>
      <c r="D55" s="94"/>
      <c r="E55" s="95"/>
    </row>
    <row r="56" spans="2:5" x14ac:dyDescent="0.2">
      <c r="B56" s="11"/>
      <c r="C56" s="122" t="s">
        <v>92</v>
      </c>
      <c r="D56" s="122"/>
      <c r="E56" s="122"/>
    </row>
    <row r="57" spans="2:5" x14ac:dyDescent="0.2">
      <c r="B57" s="10" t="s">
        <v>19</v>
      </c>
      <c r="C57" s="98"/>
      <c r="D57" s="98"/>
      <c r="E57" s="99"/>
    </row>
    <row r="58" spans="2:5" x14ac:dyDescent="0.2">
      <c r="B58" s="11"/>
      <c r="C58" s="122" t="s">
        <v>93</v>
      </c>
      <c r="D58" s="122"/>
      <c r="E58" s="122"/>
    </row>
    <row r="59" spans="2:5" x14ac:dyDescent="0.2">
      <c r="B59" s="10" t="s">
        <v>20</v>
      </c>
      <c r="C59" s="94"/>
      <c r="D59" s="94"/>
      <c r="E59" s="95"/>
    </row>
    <row r="60" spans="2:5" x14ac:dyDescent="0.2">
      <c r="B60" s="10"/>
      <c r="C60" s="123" t="s">
        <v>94</v>
      </c>
      <c r="D60" s="123"/>
      <c r="E60" s="123"/>
    </row>
    <row r="61" spans="2:5" ht="13.45" thickBot="1" x14ac:dyDescent="0.25">
      <c r="B61" s="14"/>
      <c r="C61" s="15"/>
      <c r="D61" s="15"/>
      <c r="E61" s="16"/>
    </row>
    <row r="62" spans="2:5" ht="13.45" thickBot="1" x14ac:dyDescent="0.25"/>
    <row r="63" spans="2:5" x14ac:dyDescent="0.2">
      <c r="B63" s="90" t="s">
        <v>71</v>
      </c>
      <c r="C63" s="91"/>
      <c r="D63" s="91"/>
      <c r="E63" s="92"/>
    </row>
    <row r="64" spans="2:5" x14ac:dyDescent="0.2">
      <c r="B64" s="93"/>
      <c r="C64" s="94"/>
      <c r="D64" s="94"/>
      <c r="E64" s="95"/>
    </row>
    <row r="65" spans="2:5" ht="145.1" customHeight="1" x14ac:dyDescent="0.2">
      <c r="B65" s="112"/>
      <c r="C65" s="121" t="s">
        <v>99</v>
      </c>
      <c r="D65" s="175"/>
      <c r="E65" s="176"/>
    </row>
    <row r="66" spans="2:5" ht="11.3" customHeight="1" x14ac:dyDescent="0.2">
      <c r="B66" s="96"/>
      <c r="C66" s="94"/>
      <c r="D66" s="94"/>
      <c r="E66" s="95"/>
    </row>
    <row r="67" spans="2:5" x14ac:dyDescent="0.2">
      <c r="B67" s="96" t="s">
        <v>17</v>
      </c>
      <c r="C67" s="94"/>
      <c r="D67" s="94"/>
      <c r="E67" s="95"/>
    </row>
    <row r="68" spans="2:5" ht="63.55" customHeight="1" x14ac:dyDescent="0.2">
      <c r="B68" s="97"/>
      <c r="C68" s="178" t="s">
        <v>70</v>
      </c>
      <c r="D68" s="178"/>
      <c r="E68" s="178"/>
    </row>
    <row r="69" spans="2:5" x14ac:dyDescent="0.2">
      <c r="B69" s="97"/>
      <c r="C69" s="117"/>
      <c r="D69" s="117"/>
      <c r="E69" s="117"/>
    </row>
    <row r="70" spans="2:5" x14ac:dyDescent="0.2">
      <c r="B70" s="96" t="s">
        <v>18</v>
      </c>
      <c r="C70" s="94"/>
      <c r="D70" s="94"/>
      <c r="E70" s="95"/>
    </row>
    <row r="71" spans="2:5" ht="16.25" customHeight="1" x14ac:dyDescent="0.2">
      <c r="B71" s="97"/>
      <c r="C71" s="122" t="s">
        <v>90</v>
      </c>
      <c r="D71" s="122"/>
      <c r="E71" s="122"/>
    </row>
    <row r="72" spans="2:5" x14ac:dyDescent="0.2">
      <c r="B72" s="96" t="s">
        <v>19</v>
      </c>
      <c r="C72" s="98"/>
      <c r="D72" s="98"/>
      <c r="E72" s="99"/>
    </row>
    <row r="73" spans="2:5" x14ac:dyDescent="0.2">
      <c r="B73" s="97"/>
      <c r="C73" s="122" t="s">
        <v>86</v>
      </c>
      <c r="D73" s="122"/>
      <c r="E73" s="122"/>
    </row>
    <row r="74" spans="2:5" x14ac:dyDescent="0.2">
      <c r="B74" s="96" t="s">
        <v>20</v>
      </c>
      <c r="C74" s="94"/>
      <c r="D74" s="94"/>
      <c r="E74" s="95"/>
    </row>
    <row r="75" spans="2:5" x14ac:dyDescent="0.2">
      <c r="B75" s="96"/>
      <c r="C75" s="123" t="s">
        <v>94</v>
      </c>
      <c r="D75" s="123"/>
      <c r="E75" s="123"/>
    </row>
    <row r="76" spans="2:5" ht="13.45" thickBot="1" x14ac:dyDescent="0.25">
      <c r="B76" s="100"/>
      <c r="C76" s="101"/>
      <c r="D76" s="101"/>
      <c r="E76" s="102"/>
    </row>
    <row r="77" spans="2:5" ht="13.45" thickBot="1" x14ac:dyDescent="0.25"/>
    <row r="78" spans="2:5" x14ac:dyDescent="0.2">
      <c r="B78" s="90" t="s">
        <v>78</v>
      </c>
      <c r="C78" s="91"/>
      <c r="D78" s="91"/>
      <c r="E78" s="92"/>
    </row>
    <row r="79" spans="2:5" x14ac:dyDescent="0.2">
      <c r="B79" s="93"/>
      <c r="C79" s="94"/>
      <c r="D79" s="94"/>
      <c r="E79" s="95"/>
    </row>
    <row r="80" spans="2:5" x14ac:dyDescent="0.2">
      <c r="B80" s="96" t="s">
        <v>16</v>
      </c>
      <c r="C80" s="94"/>
      <c r="D80" s="94"/>
      <c r="E80" s="95"/>
    </row>
    <row r="81" spans="2:5" ht="165" customHeight="1" x14ac:dyDescent="0.2">
      <c r="B81" s="96"/>
      <c r="C81" s="124" t="s">
        <v>76</v>
      </c>
      <c r="D81" s="124"/>
      <c r="E81" s="125"/>
    </row>
    <row r="82" spans="2:5" x14ac:dyDescent="0.2">
      <c r="B82" s="96" t="s">
        <v>17</v>
      </c>
      <c r="C82" s="94"/>
      <c r="D82" s="94"/>
      <c r="E82" s="95"/>
    </row>
    <row r="83" spans="2:5" ht="55.1" customHeight="1" x14ac:dyDescent="0.2">
      <c r="B83" s="97"/>
      <c r="C83" s="126" t="s">
        <v>70</v>
      </c>
      <c r="D83" s="126"/>
      <c r="E83" s="126"/>
    </row>
    <row r="84" spans="2:5" x14ac:dyDescent="0.2">
      <c r="B84" s="97"/>
      <c r="C84" s="117"/>
      <c r="D84" s="117"/>
      <c r="E84" s="117"/>
    </row>
    <row r="85" spans="2:5" x14ac:dyDescent="0.2">
      <c r="B85" s="96" t="s">
        <v>18</v>
      </c>
      <c r="C85" s="94"/>
      <c r="D85" s="94"/>
      <c r="E85" s="95"/>
    </row>
    <row r="86" spans="2:5" x14ac:dyDescent="0.2">
      <c r="B86" s="97"/>
      <c r="C86" s="122" t="s">
        <v>95</v>
      </c>
      <c r="D86" s="122"/>
      <c r="E86" s="122"/>
    </row>
    <row r="87" spans="2:5" x14ac:dyDescent="0.2">
      <c r="B87" s="96" t="s">
        <v>19</v>
      </c>
      <c r="C87" s="98"/>
      <c r="D87" s="98"/>
      <c r="E87" s="99"/>
    </row>
    <row r="88" spans="2:5" x14ac:dyDescent="0.2">
      <c r="B88" s="97"/>
      <c r="C88" s="122" t="s">
        <v>87</v>
      </c>
      <c r="D88" s="122"/>
      <c r="E88" s="122"/>
    </row>
    <row r="89" spans="2:5" x14ac:dyDescent="0.2">
      <c r="B89" s="96" t="s">
        <v>20</v>
      </c>
      <c r="C89" s="94"/>
      <c r="D89" s="94"/>
      <c r="E89" s="95"/>
    </row>
    <row r="90" spans="2:5" x14ac:dyDescent="0.2">
      <c r="B90" s="96"/>
      <c r="C90" s="123" t="s">
        <v>77</v>
      </c>
      <c r="D90" s="123"/>
      <c r="E90" s="123"/>
    </row>
    <row r="91" spans="2:5" ht="13.45" thickBot="1" x14ac:dyDescent="0.25">
      <c r="B91" s="100"/>
      <c r="C91" s="101"/>
      <c r="D91" s="101"/>
      <c r="E91" s="102"/>
    </row>
    <row r="92" spans="2:5" ht="13.45" thickBot="1" x14ac:dyDescent="0.25"/>
    <row r="93" spans="2:5" x14ac:dyDescent="0.2">
      <c r="B93" s="90" t="s">
        <v>81</v>
      </c>
      <c r="C93" s="91"/>
      <c r="D93" s="91"/>
      <c r="E93" s="92"/>
    </row>
    <row r="94" spans="2:5" x14ac:dyDescent="0.2">
      <c r="B94" s="93"/>
      <c r="C94" s="94"/>
      <c r="D94" s="94"/>
      <c r="E94" s="95"/>
    </row>
    <row r="95" spans="2:5" x14ac:dyDescent="0.2">
      <c r="B95" s="96" t="s">
        <v>16</v>
      </c>
      <c r="C95" s="94"/>
      <c r="D95" s="94"/>
      <c r="E95" s="95"/>
    </row>
    <row r="96" spans="2:5" ht="169.95" customHeight="1" x14ac:dyDescent="0.2">
      <c r="B96" s="96"/>
      <c r="C96" s="122" t="s">
        <v>79</v>
      </c>
      <c r="D96" s="122"/>
      <c r="E96" s="122"/>
    </row>
    <row r="97" spans="2:5" x14ac:dyDescent="0.2">
      <c r="B97" s="96" t="s">
        <v>17</v>
      </c>
      <c r="C97" s="94"/>
      <c r="D97" s="94"/>
      <c r="E97" s="95"/>
    </row>
    <row r="98" spans="2:5" ht="61.45" customHeight="1" x14ac:dyDescent="0.2">
      <c r="B98" s="97"/>
      <c r="C98" s="118" t="s">
        <v>70</v>
      </c>
      <c r="D98" s="118"/>
      <c r="E98" s="118"/>
    </row>
    <row r="99" spans="2:5" x14ac:dyDescent="0.2">
      <c r="B99" s="97"/>
      <c r="C99" s="117"/>
      <c r="D99" s="117"/>
      <c r="E99" s="117"/>
    </row>
    <row r="100" spans="2:5" x14ac:dyDescent="0.2">
      <c r="B100" s="96" t="s">
        <v>18</v>
      </c>
      <c r="C100" s="94"/>
      <c r="D100" s="94"/>
      <c r="E100" s="95"/>
    </row>
    <row r="101" spans="2:5" x14ac:dyDescent="0.2">
      <c r="B101" s="97"/>
      <c r="C101" s="122" t="s">
        <v>91</v>
      </c>
      <c r="D101" s="122"/>
      <c r="E101" s="122"/>
    </row>
    <row r="102" spans="2:5" x14ac:dyDescent="0.2">
      <c r="B102" s="96" t="s">
        <v>19</v>
      </c>
      <c r="C102" s="98"/>
      <c r="D102" s="98"/>
      <c r="E102" s="99"/>
    </row>
    <row r="103" spans="2:5" x14ac:dyDescent="0.2">
      <c r="B103" s="97"/>
      <c r="C103" s="122" t="s">
        <v>87</v>
      </c>
      <c r="D103" s="122"/>
      <c r="E103" s="122"/>
    </row>
    <row r="104" spans="2:5" x14ac:dyDescent="0.2">
      <c r="B104" s="96" t="s">
        <v>20</v>
      </c>
      <c r="C104" s="94"/>
      <c r="D104" s="94"/>
      <c r="E104" s="95"/>
    </row>
    <row r="105" spans="2:5" x14ac:dyDescent="0.2">
      <c r="B105" s="107"/>
      <c r="C105" s="108" t="s">
        <v>80</v>
      </c>
      <c r="D105" s="108"/>
      <c r="E105" s="109"/>
    </row>
  </sheetData>
  <mergeCells count="42">
    <mergeCell ref="C101:E101"/>
    <mergeCell ref="C103:E103"/>
    <mergeCell ref="C88:E88"/>
    <mergeCell ref="C90:E90"/>
    <mergeCell ref="C96:E96"/>
    <mergeCell ref="C98:E98"/>
    <mergeCell ref="C99:E99"/>
    <mergeCell ref="C75:E75"/>
    <mergeCell ref="C81:E81"/>
    <mergeCell ref="C83:E83"/>
    <mergeCell ref="C84:E84"/>
    <mergeCell ref="C86:E86"/>
    <mergeCell ref="C68:E68"/>
    <mergeCell ref="C69:E69"/>
    <mergeCell ref="C71:E71"/>
    <mergeCell ref="C73:E73"/>
    <mergeCell ref="C65:E65"/>
    <mergeCell ref="C58:E58"/>
    <mergeCell ref="C60:E60"/>
    <mergeCell ref="C45:E45"/>
    <mergeCell ref="C51:E51"/>
    <mergeCell ref="C53:E53"/>
    <mergeCell ref="C54:E54"/>
    <mergeCell ref="C56:E56"/>
    <mergeCell ref="C36:E36"/>
    <mergeCell ref="C38:E38"/>
    <mergeCell ref="C39:E39"/>
    <mergeCell ref="C41:E41"/>
    <mergeCell ref="C43:E43"/>
    <mergeCell ref="C26:E26"/>
    <mergeCell ref="C28:E28"/>
    <mergeCell ref="C30:E30"/>
    <mergeCell ref="A6:B6"/>
    <mergeCell ref="A7:B7"/>
    <mergeCell ref="C21:E21"/>
    <mergeCell ref="C23:E23"/>
    <mergeCell ref="C24:E24"/>
    <mergeCell ref="B2:H2"/>
    <mergeCell ref="A4:B4"/>
    <mergeCell ref="C4:E4"/>
    <mergeCell ref="A5:B5"/>
    <mergeCell ref="C5:E5"/>
  </mergeCells>
  <pageMargins left="0.70866141732283472" right="0.70866141732283472" top="0.74803149606299213" bottom="0.74803149606299213" header="0.51181102362204722" footer="0.51181102362204722"/>
  <pageSetup paperSize="5" scale="80"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A13" workbookViewId="0">
      <selection activeCell="I13" sqref="I13"/>
    </sheetView>
  </sheetViews>
  <sheetFormatPr baseColWidth="10" defaultColWidth="11.375" defaultRowHeight="12.7" x14ac:dyDescent="0.2"/>
  <cols>
    <col min="1" max="1" width="4.625" customWidth="1"/>
    <col min="2" max="2" width="25.375" customWidth="1"/>
    <col min="3" max="3" width="39.125" customWidth="1"/>
    <col min="4" max="4" width="15.625" customWidth="1"/>
    <col min="5" max="5" width="17.75" customWidth="1"/>
    <col min="6" max="6" width="13.875" customWidth="1"/>
    <col min="7" max="7" width="16.875" customWidth="1"/>
    <col min="8" max="9" width="13.125" bestFit="1" customWidth="1"/>
    <col min="12" max="12" width="12.875" bestFit="1" customWidth="1"/>
  </cols>
  <sheetData>
    <row r="1" spans="1:13" ht="16.25" thickBot="1" x14ac:dyDescent="0.25">
      <c r="A1" s="136" t="s">
        <v>29</v>
      </c>
      <c r="B1" s="137"/>
      <c r="C1" s="137"/>
      <c r="D1" s="137"/>
      <c r="E1" s="137"/>
      <c r="F1" s="138"/>
      <c r="G1" s="111" t="s">
        <v>66</v>
      </c>
    </row>
    <row r="2" spans="1:13" ht="15.55" thickBot="1" x14ac:dyDescent="0.25">
      <c r="A2" s="35"/>
      <c r="B2" s="36"/>
      <c r="C2" s="36"/>
      <c r="D2" s="36"/>
      <c r="E2" s="36"/>
      <c r="F2" s="36"/>
      <c r="G2" s="37"/>
    </row>
    <row r="3" spans="1:13" ht="15.55" thickBot="1" x14ac:dyDescent="0.25">
      <c r="A3" s="131" t="s">
        <v>30</v>
      </c>
      <c r="B3" s="131"/>
      <c r="C3" s="133" t="s">
        <v>31</v>
      </c>
      <c r="D3" s="133"/>
      <c r="E3" s="133"/>
      <c r="F3" s="133"/>
      <c r="G3" s="133"/>
    </row>
    <row r="4" spans="1:13" ht="15.55" thickBot="1" x14ac:dyDescent="0.25">
      <c r="A4" s="131" t="s">
        <v>32</v>
      </c>
      <c r="B4" s="131"/>
      <c r="C4" s="139" t="s">
        <v>33</v>
      </c>
      <c r="D4" s="139"/>
      <c r="E4" s="139"/>
      <c r="F4" s="139"/>
      <c r="G4" s="139"/>
    </row>
    <row r="5" spans="1:13" ht="15.55" thickBot="1" x14ac:dyDescent="0.25">
      <c r="A5" s="131" t="s">
        <v>34</v>
      </c>
      <c r="B5" s="131"/>
      <c r="C5" s="135" t="s">
        <v>35</v>
      </c>
      <c r="D5" s="135"/>
      <c r="E5" s="135"/>
      <c r="F5" s="135"/>
      <c r="G5" s="135"/>
    </row>
    <row r="6" spans="1:13" ht="15.55" thickBot="1" x14ac:dyDescent="0.25">
      <c r="A6" s="131" t="s">
        <v>36</v>
      </c>
      <c r="B6" s="131"/>
      <c r="C6" s="132" t="s">
        <v>35</v>
      </c>
      <c r="D6" s="132"/>
      <c r="E6" s="132"/>
      <c r="F6" s="132"/>
      <c r="G6" s="132"/>
    </row>
    <row r="7" spans="1:13" ht="15.55" thickBot="1" x14ac:dyDescent="0.25">
      <c r="A7" s="131" t="s">
        <v>37</v>
      </c>
      <c r="B7" s="131"/>
      <c r="C7" s="133" t="s">
        <v>88</v>
      </c>
      <c r="D7" s="133"/>
      <c r="E7" s="133"/>
      <c r="F7" s="133"/>
      <c r="G7" s="133"/>
    </row>
    <row r="8" spans="1:13" ht="34.6" customHeight="1" thickBot="1" x14ac:dyDescent="0.25">
      <c r="A8" s="131" t="s">
        <v>38</v>
      </c>
      <c r="B8" s="131"/>
      <c r="C8" s="134" t="s">
        <v>67</v>
      </c>
      <c r="D8" s="134"/>
      <c r="E8" s="134"/>
      <c r="F8" s="134"/>
      <c r="G8" s="134"/>
    </row>
    <row r="9" spans="1:13" ht="14.85" x14ac:dyDescent="0.2">
      <c r="A9" s="127"/>
      <c r="B9" s="128"/>
      <c r="C9" s="128"/>
      <c r="D9" s="128"/>
      <c r="E9" s="128"/>
      <c r="F9" s="128"/>
      <c r="G9" s="129"/>
    </row>
    <row r="10" spans="1:13" ht="45.2" thickBot="1" x14ac:dyDescent="0.25">
      <c r="A10" s="38" t="s">
        <v>5</v>
      </c>
      <c r="B10" s="38" t="s">
        <v>6</v>
      </c>
      <c r="C10" s="38" t="s">
        <v>9</v>
      </c>
      <c r="D10" s="39" t="s">
        <v>39</v>
      </c>
      <c r="E10" s="38" t="s">
        <v>10</v>
      </c>
      <c r="F10" s="38" t="s">
        <v>12</v>
      </c>
      <c r="G10" s="38" t="s">
        <v>11</v>
      </c>
      <c r="J10" s="40"/>
      <c r="K10" s="40"/>
      <c r="L10" s="40"/>
    </row>
    <row r="11" spans="1:13" s="40" customFormat="1" ht="44.5" x14ac:dyDescent="0.25">
      <c r="A11" s="41">
        <v>1</v>
      </c>
      <c r="B11" s="84" t="s">
        <v>23</v>
      </c>
      <c r="C11" s="88" t="s">
        <v>25</v>
      </c>
      <c r="D11" s="42" t="s">
        <v>40</v>
      </c>
      <c r="E11" s="43" t="s">
        <v>41</v>
      </c>
      <c r="F11" s="86">
        <v>70000</v>
      </c>
      <c r="G11" s="84">
        <v>50</v>
      </c>
      <c r="H11" s="44">
        <f t="shared" ref="H11:H12" si="0">F11*G11</f>
        <v>3500000</v>
      </c>
    </row>
    <row r="12" spans="1:13" s="40" customFormat="1" ht="44.5" x14ac:dyDescent="0.25">
      <c r="A12" s="41">
        <v>2</v>
      </c>
      <c r="B12" s="103" t="s">
        <v>84</v>
      </c>
      <c r="C12" s="89" t="s">
        <v>26</v>
      </c>
      <c r="D12" s="42" t="s">
        <v>40</v>
      </c>
      <c r="E12" s="43" t="s">
        <v>41</v>
      </c>
      <c r="F12" s="87">
        <v>80000</v>
      </c>
      <c r="G12" s="85">
        <v>25</v>
      </c>
      <c r="H12" s="44">
        <f t="shared" si="0"/>
        <v>2000000</v>
      </c>
    </row>
    <row r="13" spans="1:13" s="40" customFormat="1" ht="44.5" x14ac:dyDescent="0.25">
      <c r="A13" s="104">
        <v>3</v>
      </c>
      <c r="B13" s="103" t="s">
        <v>84</v>
      </c>
      <c r="C13" s="89" t="s">
        <v>26</v>
      </c>
      <c r="D13" s="42" t="s">
        <v>40</v>
      </c>
      <c r="E13" s="43" t="s">
        <v>41</v>
      </c>
      <c r="F13" s="87">
        <v>90000</v>
      </c>
      <c r="G13" s="85">
        <v>5</v>
      </c>
      <c r="H13" s="44">
        <f>F13*G13</f>
        <v>450000</v>
      </c>
    </row>
    <row r="14" spans="1:13" s="40" customFormat="1" ht="44.5" x14ac:dyDescent="0.25">
      <c r="A14" s="104">
        <v>4</v>
      </c>
      <c r="B14" s="103" t="s">
        <v>68</v>
      </c>
      <c r="C14" s="89" t="s">
        <v>89</v>
      </c>
      <c r="D14" s="42" t="s">
        <v>40</v>
      </c>
      <c r="E14" s="43" t="s">
        <v>41</v>
      </c>
      <c r="F14" s="87">
        <v>33000</v>
      </c>
      <c r="G14" s="85">
        <v>20</v>
      </c>
      <c r="H14" s="44">
        <f>F14*G14</f>
        <v>660000</v>
      </c>
    </row>
    <row r="15" spans="1:13" s="40" customFormat="1" ht="44.5" x14ac:dyDescent="0.25">
      <c r="A15" s="104">
        <v>5</v>
      </c>
      <c r="B15" s="103" t="s">
        <v>72</v>
      </c>
      <c r="C15" s="89" t="s">
        <v>73</v>
      </c>
      <c r="D15" s="42" t="s">
        <v>40</v>
      </c>
      <c r="E15" s="43" t="s">
        <v>41</v>
      </c>
      <c r="F15" s="87">
        <v>57000</v>
      </c>
      <c r="G15" s="85">
        <v>50</v>
      </c>
      <c r="H15" s="44">
        <f>F15*G15</f>
        <v>2850000</v>
      </c>
    </row>
    <row r="16" spans="1:13" ht="44.5" x14ac:dyDescent="0.25">
      <c r="A16" s="104">
        <v>6</v>
      </c>
      <c r="B16" s="103" t="s">
        <v>74</v>
      </c>
      <c r="C16" s="89" t="s">
        <v>75</v>
      </c>
      <c r="D16" s="42" t="s">
        <v>40</v>
      </c>
      <c r="E16" s="43" t="s">
        <v>41</v>
      </c>
      <c r="F16" s="87">
        <v>30000</v>
      </c>
      <c r="G16" s="85">
        <v>50</v>
      </c>
      <c r="H16" s="44">
        <f>F16*G16</f>
        <v>1500000</v>
      </c>
      <c r="I16" s="45"/>
      <c r="M16" s="40"/>
    </row>
    <row r="17" spans="1:12" ht="14.85" x14ac:dyDescent="0.2">
      <c r="A17" s="130" t="s">
        <v>82</v>
      </c>
      <c r="B17" s="130"/>
      <c r="C17" s="130"/>
      <c r="D17" s="130"/>
      <c r="E17" s="130"/>
      <c r="F17" s="130"/>
      <c r="G17" s="46">
        <f>SUM(H11:H16)</f>
        <v>10960000</v>
      </c>
      <c r="K17" s="47"/>
      <c r="L17" s="48"/>
    </row>
    <row r="19" spans="1:12" x14ac:dyDescent="0.2">
      <c r="C19" s="110"/>
    </row>
    <row r="21" spans="1:12" x14ac:dyDescent="0.2">
      <c r="C21" s="110"/>
    </row>
  </sheetData>
  <mergeCells count="15">
    <mergeCell ref="A5:B5"/>
    <mergeCell ref="C5:G5"/>
    <mergeCell ref="A1:F1"/>
    <mergeCell ref="A3:B3"/>
    <mergeCell ref="C3:G3"/>
    <mergeCell ref="A4:B4"/>
    <mergeCell ref="C4:G4"/>
    <mergeCell ref="A9:G9"/>
    <mergeCell ref="A17:F17"/>
    <mergeCell ref="A6:B6"/>
    <mergeCell ref="C6:G6"/>
    <mergeCell ref="A7:B7"/>
    <mergeCell ref="C7:G7"/>
    <mergeCell ref="A8:B8"/>
    <mergeCell ref="C8:G8"/>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topLeftCell="A7" workbookViewId="0">
      <selection activeCell="P28" sqref="P28"/>
    </sheetView>
  </sheetViews>
  <sheetFormatPr baseColWidth="10" defaultColWidth="11.375" defaultRowHeight="12.7" x14ac:dyDescent="0.2"/>
  <cols>
    <col min="1" max="1" width="3.125" customWidth="1"/>
    <col min="2" max="2" width="3.375" customWidth="1"/>
    <col min="3" max="4" width="3.625" customWidth="1"/>
    <col min="5" max="5" width="3.375" customWidth="1"/>
    <col min="6" max="6" width="13.375" customWidth="1"/>
    <col min="7" max="8" width="3" customWidth="1"/>
    <col min="9" max="9" width="2.875" customWidth="1"/>
    <col min="10" max="10" width="3" customWidth="1"/>
    <col min="11" max="11" width="2.75" customWidth="1"/>
    <col min="12" max="12" width="3.125" customWidth="1"/>
    <col min="13" max="13" width="2.75" customWidth="1"/>
    <col min="14" max="14" width="3.75" customWidth="1"/>
    <col min="15" max="15" width="14.375" customWidth="1"/>
    <col min="16" max="16" width="7.875" customWidth="1"/>
    <col min="17" max="17" width="13.25" customWidth="1"/>
  </cols>
  <sheetData>
    <row r="1" spans="1:17" ht="15.55" thickBot="1" x14ac:dyDescent="0.3">
      <c r="A1" s="171" t="s">
        <v>3</v>
      </c>
      <c r="B1" s="171"/>
      <c r="C1" s="171"/>
      <c r="D1" s="172">
        <v>2022</v>
      </c>
      <c r="E1" s="172"/>
      <c r="F1" s="49"/>
      <c r="G1" s="49"/>
      <c r="H1" s="50"/>
      <c r="I1" s="50"/>
      <c r="J1" s="50"/>
      <c r="K1" s="50"/>
      <c r="L1" s="50"/>
      <c r="M1" s="50"/>
      <c r="N1" s="50"/>
      <c r="O1" s="51"/>
      <c r="P1" s="173" t="s">
        <v>42</v>
      </c>
      <c r="Q1" s="173"/>
    </row>
    <row r="2" spans="1:17" ht="15.55" thickBot="1" x14ac:dyDescent="0.3">
      <c r="A2" s="52"/>
      <c r="B2" s="53"/>
      <c r="C2" s="53"/>
      <c r="D2" s="53"/>
      <c r="E2" s="53"/>
      <c r="F2" s="53"/>
      <c r="G2" s="54"/>
      <c r="H2" s="55"/>
      <c r="I2" s="55"/>
      <c r="J2" s="55"/>
      <c r="K2" s="55"/>
      <c r="L2" s="55"/>
      <c r="M2" s="55"/>
      <c r="N2" s="55"/>
      <c r="O2" s="53"/>
      <c r="P2" s="173"/>
      <c r="Q2" s="173"/>
    </row>
    <row r="3" spans="1:17" ht="15.55" thickBot="1" x14ac:dyDescent="0.3">
      <c r="A3" s="52"/>
      <c r="B3" s="53"/>
      <c r="C3" s="53"/>
      <c r="D3" s="53"/>
      <c r="E3" s="53"/>
      <c r="F3" s="53"/>
      <c r="G3" s="54"/>
      <c r="H3" s="53"/>
      <c r="I3" s="53"/>
      <c r="J3" s="53"/>
      <c r="K3" s="53"/>
      <c r="L3" s="53"/>
      <c r="M3" s="53"/>
      <c r="N3" s="53"/>
      <c r="O3" s="53"/>
      <c r="P3" s="53"/>
      <c r="Q3" s="56"/>
    </row>
    <row r="4" spans="1:17" ht="15.55" thickBot="1" x14ac:dyDescent="0.3">
      <c r="A4" s="174" t="s">
        <v>43</v>
      </c>
      <c r="B4" s="174"/>
      <c r="C4" s="174"/>
      <c r="D4" s="174"/>
      <c r="E4" s="174"/>
      <c r="F4" s="174"/>
      <c r="G4" s="170" t="s">
        <v>31</v>
      </c>
      <c r="H4" s="170"/>
      <c r="I4" s="170"/>
      <c r="J4" s="170"/>
      <c r="K4" s="170"/>
      <c r="L4" s="170"/>
      <c r="M4" s="170"/>
      <c r="N4" s="170"/>
      <c r="O4" s="170"/>
      <c r="P4" s="170"/>
      <c r="Q4" s="170"/>
    </row>
    <row r="5" spans="1:17" ht="15.55" thickBot="1" x14ac:dyDescent="0.3">
      <c r="A5" s="169" t="s">
        <v>32</v>
      </c>
      <c r="B5" s="169"/>
      <c r="C5" s="169"/>
      <c r="D5" s="169"/>
      <c r="E5" s="169"/>
      <c r="F5" s="169"/>
      <c r="G5" s="170" t="s">
        <v>33</v>
      </c>
      <c r="H5" s="170"/>
      <c r="I5" s="170"/>
      <c r="J5" s="170"/>
      <c r="K5" s="170"/>
      <c r="L5" s="170"/>
      <c r="M5" s="170"/>
      <c r="N5" s="170"/>
      <c r="O5" s="170"/>
      <c r="P5" s="170"/>
      <c r="Q5" s="170"/>
    </row>
    <row r="6" spans="1:17" ht="15.55" thickBot="1" x14ac:dyDescent="0.3">
      <c r="A6" s="152" t="s">
        <v>34</v>
      </c>
      <c r="B6" s="153"/>
      <c r="C6" s="153"/>
      <c r="D6" s="153"/>
      <c r="E6" s="153"/>
      <c r="F6" s="154"/>
      <c r="G6" s="155" t="s">
        <v>35</v>
      </c>
      <c r="H6" s="155"/>
      <c r="I6" s="155"/>
      <c r="J6" s="155"/>
      <c r="K6" s="155"/>
      <c r="L6" s="155"/>
      <c r="M6" s="155"/>
      <c r="N6" s="155"/>
      <c r="O6" s="155"/>
      <c r="P6" s="155"/>
      <c r="Q6" s="155"/>
    </row>
    <row r="7" spans="1:17" ht="15.55" thickBot="1" x14ac:dyDescent="0.3">
      <c r="A7" s="156" t="s">
        <v>36</v>
      </c>
      <c r="B7" s="157"/>
      <c r="C7" s="157"/>
      <c r="D7" s="157"/>
      <c r="E7" s="157"/>
      <c r="F7" s="158"/>
      <c r="G7" s="159" t="s">
        <v>35</v>
      </c>
      <c r="H7" s="159"/>
      <c r="I7" s="159"/>
      <c r="J7" s="159"/>
      <c r="K7" s="159"/>
      <c r="L7" s="159"/>
      <c r="M7" s="159"/>
      <c r="N7" s="159"/>
      <c r="O7" s="159"/>
      <c r="P7" s="159"/>
      <c r="Q7" s="159"/>
    </row>
    <row r="8" spans="1:17" ht="15.55" thickBot="1" x14ac:dyDescent="0.3">
      <c r="A8" s="160" t="s">
        <v>44</v>
      </c>
      <c r="B8" s="160"/>
      <c r="C8" s="160"/>
      <c r="D8" s="160"/>
      <c r="E8" s="160"/>
      <c r="F8" s="160"/>
      <c r="G8" s="160"/>
      <c r="H8" s="160"/>
      <c r="I8" s="160"/>
      <c r="J8" s="160"/>
      <c r="K8" s="160"/>
      <c r="L8" s="160"/>
      <c r="M8" s="160"/>
      <c r="N8" s="160"/>
      <c r="O8" s="160"/>
      <c r="P8" s="160"/>
      <c r="Q8" s="160"/>
    </row>
    <row r="9" spans="1:17" ht="17.649999999999999" customHeight="1" x14ac:dyDescent="0.25">
      <c r="A9" s="161" t="s">
        <v>45</v>
      </c>
      <c r="B9" s="161"/>
      <c r="C9" s="161"/>
      <c r="D9" s="161"/>
      <c r="E9" s="161"/>
      <c r="F9" s="161"/>
      <c r="G9" s="161"/>
      <c r="H9" s="161"/>
      <c r="I9" s="161"/>
      <c r="J9" s="161"/>
      <c r="K9" s="161"/>
      <c r="L9" s="161"/>
      <c r="M9" s="161"/>
      <c r="N9" s="161"/>
      <c r="O9" s="161"/>
      <c r="P9" s="161"/>
      <c r="Q9" s="161"/>
    </row>
    <row r="10" spans="1:17" ht="48" customHeight="1" x14ac:dyDescent="0.2">
      <c r="A10" s="162" t="s">
        <v>85</v>
      </c>
      <c r="B10" s="163"/>
      <c r="C10" s="163"/>
      <c r="D10" s="163"/>
      <c r="E10" s="163"/>
      <c r="F10" s="163"/>
      <c r="G10" s="163"/>
      <c r="H10" s="163"/>
      <c r="I10" s="163"/>
      <c r="J10" s="163"/>
      <c r="K10" s="163"/>
      <c r="L10" s="163"/>
      <c r="M10" s="163"/>
      <c r="N10" s="163"/>
      <c r="O10" s="163"/>
      <c r="P10" s="163"/>
      <c r="Q10" s="164"/>
    </row>
    <row r="11" spans="1:17" ht="15.55" thickBot="1" x14ac:dyDescent="0.3">
      <c r="A11" s="57"/>
      <c r="B11" s="58"/>
      <c r="C11" s="58"/>
      <c r="D11" s="58"/>
      <c r="E11" s="58"/>
      <c r="F11" s="58"/>
      <c r="G11" s="59"/>
      <c r="H11" s="58"/>
      <c r="I11" s="58"/>
      <c r="J11" s="58"/>
      <c r="K11" s="58"/>
      <c r="L11" s="58"/>
      <c r="M11" s="58"/>
      <c r="N11" s="58"/>
      <c r="O11" s="58"/>
      <c r="P11" s="58"/>
      <c r="Q11" s="60"/>
    </row>
    <row r="12" spans="1:17" ht="13.45" thickBot="1" x14ac:dyDescent="0.25">
      <c r="A12" s="165" t="s">
        <v>46</v>
      </c>
      <c r="B12" s="165"/>
      <c r="C12" s="165"/>
      <c r="D12" s="165"/>
      <c r="E12" s="165"/>
      <c r="F12" s="165"/>
      <c r="G12" s="165"/>
      <c r="H12" s="165"/>
      <c r="I12" s="165"/>
      <c r="J12" s="165"/>
      <c r="K12" s="165"/>
      <c r="L12" s="165"/>
      <c r="M12" s="165"/>
      <c r="N12" s="165"/>
      <c r="O12" s="165"/>
      <c r="P12" s="165"/>
      <c r="Q12" s="165"/>
    </row>
    <row r="13" spans="1:17" ht="13.45" thickBot="1" x14ac:dyDescent="0.25">
      <c r="A13" s="166" t="s">
        <v>47</v>
      </c>
      <c r="B13" s="166"/>
      <c r="C13" s="166"/>
      <c r="D13" s="166"/>
      <c r="E13" s="166"/>
      <c r="F13" s="166"/>
      <c r="G13" s="166"/>
      <c r="H13" s="166"/>
      <c r="I13" s="166"/>
      <c r="J13" s="166"/>
      <c r="K13" s="166"/>
      <c r="L13" s="166"/>
      <c r="M13" s="166"/>
      <c r="N13" s="166"/>
      <c r="O13" s="167" t="s">
        <v>48</v>
      </c>
      <c r="P13" s="167"/>
      <c r="Q13" s="168" t="s">
        <v>49</v>
      </c>
    </row>
    <row r="14" spans="1:17" ht="26.15" customHeight="1" thickBot="1" x14ac:dyDescent="0.25">
      <c r="A14" s="61" t="s">
        <v>50</v>
      </c>
      <c r="B14" s="62" t="s">
        <v>51</v>
      </c>
      <c r="C14" s="62" t="s">
        <v>52</v>
      </c>
      <c r="D14" s="62" t="s">
        <v>53</v>
      </c>
      <c r="E14" s="62" t="s">
        <v>54</v>
      </c>
      <c r="F14" s="62" t="s">
        <v>55</v>
      </c>
      <c r="G14" s="62" t="s">
        <v>56</v>
      </c>
      <c r="H14" s="62" t="s">
        <v>57</v>
      </c>
      <c r="I14" s="62" t="s">
        <v>58</v>
      </c>
      <c r="J14" s="62" t="s">
        <v>59</v>
      </c>
      <c r="K14" s="62" t="s">
        <v>59</v>
      </c>
      <c r="L14" s="62" t="s">
        <v>60</v>
      </c>
      <c r="M14" s="63" t="s">
        <v>61</v>
      </c>
      <c r="N14" s="64" t="s">
        <v>62</v>
      </c>
      <c r="O14" s="167"/>
      <c r="P14" s="167"/>
      <c r="Q14" s="168"/>
    </row>
    <row r="15" spans="1:17" ht="25.45" customHeight="1" thickBot="1" x14ac:dyDescent="0.25">
      <c r="A15" s="65">
        <v>1</v>
      </c>
      <c r="B15" s="66">
        <v>0</v>
      </c>
      <c r="C15" s="66">
        <v>0</v>
      </c>
      <c r="D15" s="66">
        <v>1</v>
      </c>
      <c r="E15" s="66">
        <v>0</v>
      </c>
      <c r="F15" s="66">
        <v>4901</v>
      </c>
      <c r="G15" s="66">
        <v>3</v>
      </c>
      <c r="H15" s="66">
        <v>4</v>
      </c>
      <c r="I15" s="66">
        <v>4</v>
      </c>
      <c r="J15" s="66">
        <v>3</v>
      </c>
      <c r="K15" s="66">
        <v>6</v>
      </c>
      <c r="L15" s="66">
        <v>0</v>
      </c>
      <c r="M15" s="67">
        <v>1</v>
      </c>
      <c r="N15" s="66" t="s">
        <v>63</v>
      </c>
      <c r="O15" s="150" t="s">
        <v>64</v>
      </c>
      <c r="P15" s="151"/>
      <c r="Q15" s="68">
        <v>10960000</v>
      </c>
    </row>
    <row r="16" spans="1:17" x14ac:dyDescent="0.2">
      <c r="A16" s="69"/>
      <c r="B16" s="70"/>
      <c r="C16" s="70"/>
      <c r="D16" s="70"/>
      <c r="E16" s="70"/>
      <c r="F16" s="66"/>
      <c r="G16" s="70"/>
      <c r="H16" s="70"/>
      <c r="I16" s="70"/>
      <c r="J16" s="70"/>
      <c r="K16" s="70"/>
      <c r="L16" s="70"/>
      <c r="M16" s="71"/>
      <c r="N16" s="72"/>
      <c r="O16" s="144"/>
      <c r="P16" s="145"/>
      <c r="Q16" s="73"/>
    </row>
    <row r="17" spans="1:17" ht="14.85" x14ac:dyDescent="0.25">
      <c r="A17" s="74"/>
      <c r="B17" s="75"/>
      <c r="C17" s="75"/>
      <c r="D17" s="75"/>
      <c r="E17" s="75"/>
      <c r="F17" s="75"/>
      <c r="G17" s="75"/>
      <c r="H17" s="75"/>
      <c r="I17" s="75"/>
      <c r="J17" s="75"/>
      <c r="K17" s="75"/>
      <c r="L17" s="75"/>
      <c r="M17" s="76"/>
      <c r="N17" s="77"/>
      <c r="O17" s="146"/>
      <c r="P17" s="146"/>
      <c r="Q17" s="78"/>
    </row>
    <row r="18" spans="1:17" ht="14.85" x14ac:dyDescent="0.2">
      <c r="A18" s="74"/>
      <c r="B18" s="75"/>
      <c r="C18" s="75"/>
      <c r="D18" s="75"/>
      <c r="E18" s="75"/>
      <c r="F18" s="75"/>
      <c r="G18" s="75"/>
      <c r="H18" s="75"/>
      <c r="I18" s="75"/>
      <c r="J18" s="75"/>
      <c r="K18" s="75"/>
      <c r="L18" s="75"/>
      <c r="M18" s="76"/>
      <c r="N18" s="77"/>
      <c r="O18" s="147"/>
      <c r="P18" s="147"/>
      <c r="Q18" s="78"/>
    </row>
    <row r="19" spans="1:17" ht="14.85" x14ac:dyDescent="0.2">
      <c r="A19" s="74"/>
      <c r="B19" s="75"/>
      <c r="C19" s="75"/>
      <c r="D19" s="75"/>
      <c r="E19" s="75"/>
      <c r="F19" s="75"/>
      <c r="G19" s="75"/>
      <c r="H19" s="75"/>
      <c r="I19" s="75"/>
      <c r="J19" s="75"/>
      <c r="K19" s="75"/>
      <c r="L19" s="75"/>
      <c r="M19" s="76"/>
      <c r="N19" s="77"/>
      <c r="O19" s="147"/>
      <c r="P19" s="147"/>
      <c r="Q19" s="78"/>
    </row>
    <row r="20" spans="1:17" ht="15.55" thickBot="1" x14ac:dyDescent="0.25">
      <c r="A20" s="79"/>
      <c r="B20" s="80"/>
      <c r="C20" s="80"/>
      <c r="D20" s="80"/>
      <c r="E20" s="80"/>
      <c r="F20" s="80"/>
      <c r="G20" s="80"/>
      <c r="H20" s="80"/>
      <c r="I20" s="80"/>
      <c r="J20" s="80"/>
      <c r="K20" s="80"/>
      <c r="L20" s="80"/>
      <c r="M20" s="81"/>
      <c r="N20" s="80"/>
      <c r="O20" s="148"/>
      <c r="P20" s="148"/>
      <c r="Q20" s="82"/>
    </row>
    <row r="21" spans="1:17" ht="13.45" thickBot="1" x14ac:dyDescent="0.25">
      <c r="A21" s="149" t="s">
        <v>83</v>
      </c>
      <c r="B21" s="149"/>
      <c r="C21" s="149"/>
      <c r="D21" s="149"/>
      <c r="E21" s="149"/>
      <c r="F21" s="149"/>
      <c r="G21" s="149"/>
      <c r="H21" s="149"/>
      <c r="I21" s="149"/>
      <c r="J21" s="149"/>
      <c r="K21" s="149"/>
      <c r="L21" s="149"/>
      <c r="M21" s="149"/>
      <c r="N21" s="149"/>
      <c r="O21" s="149"/>
      <c r="P21" s="149"/>
      <c r="Q21" s="83">
        <f>SUM(Q15:Q20)</f>
        <v>10960000</v>
      </c>
    </row>
    <row r="22" spans="1:17" ht="13.45" thickBot="1" x14ac:dyDescent="0.25">
      <c r="A22" s="140"/>
      <c r="B22" s="140"/>
      <c r="C22" s="140"/>
      <c r="D22" s="140"/>
      <c r="E22" s="140"/>
      <c r="F22" s="140"/>
      <c r="G22" s="140"/>
      <c r="H22" s="140"/>
      <c r="I22" s="140"/>
      <c r="J22" s="140"/>
      <c r="K22" s="140"/>
      <c r="L22" s="140"/>
      <c r="M22" s="140"/>
      <c r="N22" s="140"/>
      <c r="O22" s="140"/>
      <c r="P22" s="140"/>
      <c r="Q22" s="140"/>
    </row>
    <row r="23" spans="1:17" ht="13.45" thickBot="1" x14ac:dyDescent="0.25">
      <c r="A23" s="141" t="s">
        <v>65</v>
      </c>
      <c r="B23" s="141"/>
      <c r="C23" s="141"/>
      <c r="D23" s="141"/>
      <c r="E23" s="141"/>
      <c r="F23" s="141"/>
      <c r="G23" s="142"/>
      <c r="H23" s="142"/>
      <c r="I23" s="142"/>
      <c r="J23" s="142"/>
      <c r="K23" s="142"/>
      <c r="L23" s="142"/>
      <c r="M23" s="142"/>
      <c r="N23" s="142"/>
      <c r="O23" s="142"/>
      <c r="P23" s="142"/>
      <c r="Q23" s="142"/>
    </row>
    <row r="24" spans="1:17" ht="13.45" thickBot="1" x14ac:dyDescent="0.25">
      <c r="A24" s="143" t="s">
        <v>67</v>
      </c>
      <c r="B24" s="143"/>
      <c r="C24" s="143"/>
      <c r="D24" s="143"/>
      <c r="E24" s="143"/>
      <c r="F24" s="143"/>
      <c r="G24" s="143"/>
      <c r="H24" s="143"/>
      <c r="I24" s="143"/>
      <c r="J24" s="143"/>
      <c r="K24" s="143"/>
      <c r="L24" s="143"/>
      <c r="M24" s="143"/>
      <c r="N24" s="143"/>
      <c r="O24" s="143"/>
      <c r="P24" s="143"/>
      <c r="Q24" s="143"/>
    </row>
    <row r="25" spans="1:17" ht="13.45" thickBot="1" x14ac:dyDescent="0.25">
      <c r="A25" s="143"/>
      <c r="B25" s="143"/>
      <c r="C25" s="143"/>
      <c r="D25" s="143"/>
      <c r="E25" s="143"/>
      <c r="F25" s="143"/>
      <c r="G25" s="143"/>
      <c r="H25" s="143"/>
      <c r="I25" s="143"/>
      <c r="J25" s="143"/>
      <c r="K25" s="143"/>
      <c r="L25" s="143"/>
      <c r="M25" s="143"/>
      <c r="N25" s="143"/>
      <c r="O25" s="143"/>
      <c r="P25" s="143"/>
      <c r="Q25" s="143"/>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pageSetup paperSize="5"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Trimestrales_Trim 2</vt:lpstr>
      <vt:lpstr>NOTA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PC COMPRAS 2021 1</cp:lastModifiedBy>
  <cp:revision>2</cp:revision>
  <cp:lastPrinted>2022-03-28T14:25:47Z</cp:lastPrinted>
  <dcterms:created xsi:type="dcterms:W3CDTF">2020-07-17T23:44:49Z</dcterms:created>
  <dcterms:modified xsi:type="dcterms:W3CDTF">2022-03-30T12:27:25Z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