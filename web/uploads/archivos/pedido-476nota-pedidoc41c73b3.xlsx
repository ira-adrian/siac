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compartida PATRIMONIO-ASESORIA CONTABLE\pedidos 2022\71- ALIMENTOS PERECEDEROS\"/>
    </mc:Choice>
  </mc:AlternateContent>
  <bookViews>
    <workbookView xWindow="-120" yWindow="-120" windowWidth="20640" windowHeight="11160" tabRatio="500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" l="1"/>
  <c r="I26" i="1" l="1"/>
  <c r="I25" i="1"/>
  <c r="I24" i="1"/>
  <c r="I23" i="1"/>
  <c r="I22" i="1"/>
  <c r="I29" i="1" l="1"/>
  <c r="I28" i="1"/>
  <c r="I27" i="1"/>
  <c r="I21" i="1"/>
  <c r="I20" i="1"/>
  <c r="I19" i="1"/>
  <c r="I18" i="1"/>
  <c r="I17" i="1"/>
  <c r="I16" i="1"/>
  <c r="I15" i="1"/>
  <c r="I14" i="1"/>
  <c r="I13" i="1"/>
  <c r="I10" i="1" l="1"/>
  <c r="I12" i="1" l="1"/>
  <c r="I11" i="1"/>
  <c r="I13" i="2" l="1"/>
  <c r="J13" i="2"/>
  <c r="K13" i="2"/>
  <c r="I14" i="2"/>
  <c r="J14" i="2"/>
  <c r="K14" i="2"/>
  <c r="C13" i="2"/>
  <c r="C14" i="2"/>
  <c r="B13" i="2"/>
  <c r="B14" i="2"/>
  <c r="K12" i="2"/>
  <c r="I12" i="2"/>
  <c r="J12" i="2"/>
  <c r="C12" i="2"/>
  <c r="B12" i="2"/>
  <c r="O15" i="3" l="1"/>
  <c r="A19" i="3"/>
  <c r="A10" i="3"/>
  <c r="J15" i="2" l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<sst xmlns="http://schemas.openxmlformats.org/spreadsheetml/2006/main" count="223" uniqueCount="146">
  <si>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</si>
  <si>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</si>
  <si>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</si>
  <si>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</si>
  <si>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</si>
  <si>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</si>
  <si>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</si>
  <si>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</si>
  <si>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</si>
  <si>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</si>
  <si>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</si>
  <si>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</si>
  <si>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</si>
  <si>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</si>
  <si>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</si>
  <si>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</si>
  <si>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2.1.1-542.236</t>
  </si>
  <si>
    <t>ALIMENTOS</t>
  </si>
  <si>
    <t>2.1.1</t>
  </si>
  <si>
    <t>UNIDAD</t>
  </si>
  <si>
    <t>2.1.1-541.176</t>
  </si>
  <si>
    <t>2.1.1-541.7</t>
  </si>
  <si>
    <t>2.1.1-456.22</t>
  </si>
  <si>
    <t>2.1.1-6546.112</t>
  </si>
  <si>
    <t>2.1.1-6546.236</t>
  </si>
  <si>
    <t>2.1.1-6546.167</t>
  </si>
  <si>
    <t>2.1.1-6546.390</t>
  </si>
  <si>
    <t>2.1.1-6546.95</t>
  </si>
  <si>
    <t>2.1.1-6546.162</t>
  </si>
  <si>
    <t>2.1.1-6546.151</t>
  </si>
  <si>
    <t>2.1.1-6546.153</t>
  </si>
  <si>
    <t>2.1.1-6546.47</t>
  </si>
  <si>
    <t>2.1.1-6546.132</t>
  </si>
  <si>
    <t>2.1.1-6546.34</t>
  </si>
  <si>
    <t>2.1.1-483.37</t>
  </si>
  <si>
    <t>MAPLE</t>
  </si>
  <si>
    <t>2.1.1-6539.170</t>
  </si>
  <si>
    <t>2.1.1-6539.30</t>
  </si>
  <si>
    <t>2.1.1-6539.157</t>
  </si>
  <si>
    <t>2.1.1-6539.8</t>
  </si>
  <si>
    <t>Especificidades:</t>
  </si>
  <si>
    <t>Para los oferentes que coticen carnes, frutas y verduras deberán presentar: CERTIFICADO DE HABILITACIÓN DEL LOCAL, DESINFECCIÓN DEL MISMO emitido por el Dpto. de Bromatología y CARNET SANITARIO del personal, en copia debidamente certificada por autoridad de Aplicación o Escribano Publico. Para los  ITEMS: 02 Y 03 se  deberá constar con la rotulación del frigorífico de origen.</t>
  </si>
  <si>
    <r>
      <t xml:space="preserve">Para los distintos tipos de </t>
    </r>
    <r>
      <rPr>
        <b/>
        <u/>
        <sz val="10"/>
        <rFont val="Century Gothic"/>
        <family val="2"/>
      </rPr>
      <t>Carnes:</t>
    </r>
    <r>
      <rPr>
        <sz val="10"/>
        <rFont val="Century Gothic"/>
        <family val="2"/>
      </rPr>
      <t xml:space="preserve"> Sin exceso de grasas, sin elementos extraños y en óptimas condiciones de higiene. Los oferentes deberán contar con la Habilitación del Local para la venta, expedida por Bromatología Municipal y Certificado de Transporte Alimenticio expedido por el Dpto. de Bromatología de la Provincia de Catamarca o Habilitación de Transporte Alimenticio según normas SENASA. Si el oferente no posee transporte propio, deberá presentar Acta Convenio, en cual se encuentre establecido el periodo de prestación del servicio y los datos del vehículo a utilizar.</t>
    </r>
  </si>
  <si>
    <t>Plazos y lugares de entrega</t>
  </si>
  <si>
    <t>Calidad Minima esperada</t>
  </si>
  <si>
    <t>Mantenimiento</t>
  </si>
  <si>
    <t>30 días</t>
  </si>
  <si>
    <t>Garantia</t>
  </si>
  <si>
    <t>*</t>
  </si>
  <si>
    <t>NOTA DE PEDIDO</t>
  </si>
  <si>
    <t>N°</t>
  </si>
  <si>
    <t>81/2021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</si>
  <si>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</si>
  <si>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</si>
  <si>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</si>
  <si>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</si>
  <si>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</si>
  <si>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</si>
  <si>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</si>
  <si>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3er trimestre Año 2021.-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</si>
  <si>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</si>
  <si>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</si>
  <si>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</si>
  <si>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</si>
  <si>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</si>
  <si>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</si>
  <si>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</si>
  <si>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</si>
  <si>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</si>
  <si>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</si>
  <si>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Doscientos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</si>
  <si>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</si>
  <si>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</si>
  <si>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</si>
  <si>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</si>
  <si>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</si>
  <si>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</si>
  <si>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</si>
  <si>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</si>
  <si>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</si>
  <si>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</si>
  <si>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</si>
  <si>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</si>
  <si>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</si>
  <si>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</si>
  <si>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</si>
  <si>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</si>
  <si>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</si>
  <si>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</si>
  <si>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</si>
  <si>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</si>
  <si>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</si>
  <si>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</si>
  <si>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 Treinta y Cuatro Mil Novecientos Cincuenta con 00/100.-</t>
  </si>
  <si>
    <t>JUSTIFICACIÓN:</t>
  </si>
  <si>
    <t xml:space="preserve">No sera necesario la presentacion de  muestras.- </t>
  </si>
  <si>
    <t>DE CORRESPONDER PRESENTAR LA SIGUIENTE DOCUMENTACION:
• Registro de habilitación bromatológica del establecimiento.
• Habilitación bromatológica del vehículo que transporta los alimentos. Debe venir en vehículo refrigerado aprobado por Senasa. El proveedor debe presentar la documentación del vehículo habilitada.
• Certificado de desinfección.</t>
  </si>
  <si>
    <t>a) LUGAR DE ENTREGA: En la Escuela de Cadetes de Policía– sito en Av. Acosta Villafañez al 1.500 de la ciudad de San Fernando del Valle de Catamarca. 
b) FORMA DE LA ENTREGA: Libre de flete, acarreo y embalaje, como así también, de todo riesgo de pérdida o destrucción total o parcial, por causas ajenas a la Institución.
c)  PLAZO DE ENTREGA:Las entregas se realizarán a requerimiento de acuerdo, a las Solicitudes de Provisión que se realicen. Se estima emitir una cantidad aproximada de 3 (Tres) Solicitudes de Provisión de 1/3 aprox. de la cantidad solicitada, en un plazo de 3 (Tres) meses: 1° Solic.de Provisión: aprox.a los 2 (Dos) dias hábiles de la firma del instrumento contractual. 2° Solic.de Provisión: Aprox.  a los 30 días de la firma del instrumento contractual; y la 3° Solic.de Provisión: Aprox. a los 30 días de emitida la anterior. Plazo de cumplimiento de cada Solicitud de Provisión: a los 5 días hábiles de notificada la misma, según necesidades del Organismo solicitante. Forma de Pago: Se solicita Pagos parciales por cada Solicitud de Provisión emitida, una vez finalizada la entrega de las cantidades contenidas en la misma.</t>
  </si>
  <si>
    <t xml:space="preserve">ITEM 01:                   </t>
  </si>
  <si>
    <t>LITROS</t>
  </si>
  <si>
    <r>
      <t xml:space="preserve">VERDURAS Y HORTALIZAS; VARIEDAD: </t>
    </r>
    <r>
      <rPr>
        <b/>
        <sz val="11"/>
        <color theme="1"/>
        <rFont val="Calibri"/>
        <family val="2"/>
      </rPr>
      <t>CEBOLLA</t>
    </r>
    <r>
      <rPr>
        <sz val="11"/>
        <color theme="1"/>
        <rFont val="Calibri"/>
        <family val="2"/>
      </rPr>
      <t>, ESTADO: NATURAL, PRESENTACION: BOLSA, PESO: 20 Kg</t>
    </r>
  </si>
  <si>
    <r>
      <t xml:space="preserve">VERDURAS Y HORTALIZAS; ESTADO: NATURAL, PESO: 25 Kg, VARIEDAD: </t>
    </r>
    <r>
      <rPr>
        <b/>
        <sz val="11"/>
        <color rgb="FF333333"/>
        <rFont val="Arial"/>
        <family val="2"/>
      </rPr>
      <t>PAPA NEGRA</t>
    </r>
    <r>
      <rPr>
        <sz val="11"/>
        <color rgb="FF333333"/>
        <rFont val="Arial"/>
        <family val="2"/>
      </rPr>
      <t>, PRESENTACION: BOLSA</t>
    </r>
  </si>
  <si>
    <r>
      <rPr>
        <b/>
        <sz val="11"/>
        <color rgb="FF333333"/>
        <rFont val="Arial"/>
        <family val="2"/>
      </rPr>
      <t>YOGHURT;</t>
    </r>
    <r>
      <rPr>
        <sz val="11"/>
        <color rgb="FF333333"/>
        <rFont val="Arial"/>
        <family val="2"/>
      </rPr>
      <t xml:space="preserve"> CAPACIDAD: 1 L, SABOR: FRUTILLA, TIPO: ENTERO, ENVASE: SACHET, AGREGADO: SIN VALOR, CONSISTENCIA: BEBIBLE, PRESENTACION: SACHET X 1 L</t>
    </r>
  </si>
  <si>
    <r>
      <t xml:space="preserve">VERDURAS Y HORTALIZAS; VARIEDAD: </t>
    </r>
    <r>
      <rPr>
        <b/>
        <sz val="11"/>
        <color theme="1"/>
        <rFont val="Calibri"/>
        <family val="2"/>
      </rPr>
      <t>ZANAHORIA</t>
    </r>
    <r>
      <rPr>
        <sz val="11"/>
        <color theme="1"/>
        <rFont val="Calibri"/>
        <family val="2"/>
      </rPr>
      <t>, PRESENTACION: BOLSA, ESTADO: NATURAL, PESO: 20 Kg</t>
    </r>
  </si>
  <si>
    <r>
      <t>VERDURAS Y HORTALIZAS; VARIEDAD:</t>
    </r>
    <r>
      <rPr>
        <b/>
        <sz val="11"/>
        <color theme="1"/>
        <rFont val="Calibri"/>
        <family val="2"/>
      </rPr>
      <t xml:space="preserve"> TOMATE REDONDO,</t>
    </r>
    <r>
      <rPr>
        <sz val="11"/>
        <color theme="1"/>
        <rFont val="Calibri"/>
        <family val="2"/>
      </rPr>
      <t xml:space="preserve"> ESTADO: NATURAL, PRESENTACION:</t>
    </r>
    <r>
      <rPr>
        <b/>
        <sz val="11"/>
        <color theme="1"/>
        <rFont val="Calibri"/>
        <family val="2"/>
      </rPr>
      <t xml:space="preserve"> CAJON, PESO: 17 A 22 Kg</t>
    </r>
    <r>
      <rPr>
        <sz val="11"/>
        <color theme="1"/>
        <rFont val="Calibri"/>
        <family val="2"/>
      </rPr>
      <t>, ELEM. TRANSPORTE: SIN, MATERIAL ELEM. TRANSPORTE: SIN, LIBRE DE GLUTEN: SI, ORGANICO: NO</t>
    </r>
  </si>
  <si>
    <r>
      <t>VERDURAS Y HORTALIZAS; VARIEDAD:</t>
    </r>
    <r>
      <rPr>
        <b/>
        <sz val="11"/>
        <rFont val="Calibri"/>
        <family val="2"/>
      </rPr>
      <t xml:space="preserve"> MORRON VERDE, </t>
    </r>
    <r>
      <rPr>
        <sz val="11"/>
        <rFont val="Calibri"/>
        <family val="2"/>
      </rPr>
      <t>ESTADO: NATURAL, PRESENTACION: GRANEL, PESO: SIN VALOR</t>
    </r>
  </si>
  <si>
    <r>
      <t>VERDURAS Y HORTALIZAS; VARIEDAD:</t>
    </r>
    <r>
      <rPr>
        <b/>
        <sz val="11"/>
        <color theme="1"/>
        <rFont val="Calibri"/>
        <family val="2"/>
      </rPr>
      <t xml:space="preserve"> ZAPALLO CRIOLLO</t>
    </r>
    <r>
      <rPr>
        <sz val="11"/>
        <color theme="1"/>
        <rFont val="Calibri"/>
        <family val="2"/>
      </rPr>
      <t>, ESTADO: NATURAL, PRESENTACION: UNIDAD, PESO: SIN VALOR</t>
    </r>
  </si>
  <si>
    <r>
      <t xml:space="preserve">VERDURAS Y HORTALIZAS; VARIEDAD: </t>
    </r>
    <r>
      <rPr>
        <b/>
        <sz val="11"/>
        <color theme="1"/>
        <rFont val="Calibri"/>
        <family val="2"/>
      </rPr>
      <t>ZAPALLITO REDONDO</t>
    </r>
    <r>
      <rPr>
        <sz val="11"/>
        <color theme="1"/>
        <rFont val="Calibri"/>
        <family val="2"/>
      </rPr>
      <t>, ESTADO: NATURAL, PRESENTACION: CAJON, PESO: SIN VALOR</t>
    </r>
  </si>
  <si>
    <r>
      <t>VERDURAS Y HORTALIZAS; VARIEDAD</t>
    </r>
    <r>
      <rPr>
        <b/>
        <sz val="11"/>
        <color theme="1"/>
        <rFont val="Calibri"/>
        <family val="2"/>
      </rPr>
      <t xml:space="preserve">: AJO, </t>
    </r>
    <r>
      <rPr>
        <sz val="11"/>
        <color theme="1"/>
        <rFont val="Calibri"/>
        <family val="2"/>
      </rPr>
      <t>ESTADO: NATURAL, PRESENTACION:</t>
    </r>
    <r>
      <rPr>
        <b/>
        <sz val="11"/>
        <color theme="1"/>
        <rFont val="Calibri"/>
        <family val="2"/>
      </rPr>
      <t xml:space="preserve"> RISTRA</t>
    </r>
    <r>
      <rPr>
        <sz val="11"/>
        <color theme="1"/>
        <rFont val="Calibri"/>
        <family val="2"/>
      </rPr>
      <t>, PESO: SIN VALOR</t>
    </r>
  </si>
  <si>
    <r>
      <t>VERDURAS Y HORTALIZAS; VARIEDAD:</t>
    </r>
    <r>
      <rPr>
        <b/>
        <sz val="11"/>
        <color theme="1"/>
        <rFont val="Calibri"/>
        <family val="2"/>
      </rPr>
      <t xml:space="preserve"> CEBOLLA DE VERDEO</t>
    </r>
    <r>
      <rPr>
        <sz val="11"/>
        <color theme="1"/>
        <rFont val="Calibri"/>
        <family val="2"/>
      </rPr>
      <t>, ESTADO: NATURAL, PRESENTACION: GRANEL, PESO: SIN VALOR</t>
    </r>
  </si>
  <si>
    <r>
      <t xml:space="preserve">VERDURAS Y HORTALIZAS; VARIEDAD: </t>
    </r>
    <r>
      <rPr>
        <b/>
        <sz val="11"/>
        <color theme="1"/>
        <rFont val="Calibri"/>
        <family val="2"/>
      </rPr>
      <t>PEREJIL</t>
    </r>
    <r>
      <rPr>
        <sz val="11"/>
        <color theme="1"/>
        <rFont val="Calibri"/>
        <family val="2"/>
      </rPr>
      <t>, ESTADO: NATURAL, PRESENTACION: GRANEL, PESO: SIN VALOR</t>
    </r>
  </si>
  <si>
    <r>
      <t xml:space="preserve">VERDURAS Y HORTALIZAS; VARIEDAD: </t>
    </r>
    <r>
      <rPr>
        <b/>
        <sz val="11"/>
        <color theme="1"/>
        <rFont val="Calibri"/>
        <family val="2"/>
      </rPr>
      <t>ACELGA</t>
    </r>
    <r>
      <rPr>
        <sz val="11"/>
        <color theme="1"/>
        <rFont val="Calibri"/>
        <family val="2"/>
      </rPr>
      <t>, ESTADO: EN HOJA, PRESENTACION: ATADO, PESO: SIN VALOR</t>
    </r>
  </si>
  <si>
    <r>
      <rPr>
        <b/>
        <sz val="11"/>
        <color theme="1"/>
        <rFont val="Calibri"/>
        <family val="2"/>
      </rPr>
      <t>HUEVO DE GALLIN</t>
    </r>
    <r>
      <rPr>
        <sz val="11"/>
        <color theme="1"/>
        <rFont val="Calibri"/>
        <family val="2"/>
      </rPr>
      <t>A; TAMAÑO: GRANDE, COLOR: COLOR, PRESENTACION: 30 UN</t>
    </r>
  </si>
  <si>
    <r>
      <t>FRUTAS; VARIEDAD:</t>
    </r>
    <r>
      <rPr>
        <b/>
        <sz val="11"/>
        <color theme="1"/>
        <rFont val="Calibri"/>
        <family val="2"/>
      </rPr>
      <t xml:space="preserve"> MANZANA RED DELICIOSA</t>
    </r>
    <r>
      <rPr>
        <sz val="11"/>
        <color theme="1"/>
        <rFont val="Calibri"/>
        <family val="2"/>
      </rPr>
      <t>, ESTADO: NATURAL, PRESENTACION: ENVASE X 15 Kg, ELEM. TRANSPORTE: CAJON, MATERIAL ELEM. TRANSPORTE: CARTON</t>
    </r>
  </si>
  <si>
    <r>
      <t>FRUTAS; VARIEDAD:</t>
    </r>
    <r>
      <rPr>
        <b/>
        <sz val="11"/>
        <color theme="1"/>
        <rFont val="Calibri"/>
        <family val="2"/>
      </rPr>
      <t xml:space="preserve"> BANANA</t>
    </r>
    <r>
      <rPr>
        <sz val="11"/>
        <color theme="1"/>
        <rFont val="Calibri"/>
        <family val="2"/>
      </rPr>
      <t>, PRESENTACION: CAJON, ESTADO: NATURAL, PESO: SIN VALOR</t>
    </r>
  </si>
  <si>
    <r>
      <t>FRUTAS; VARIEDAD:</t>
    </r>
    <r>
      <rPr>
        <b/>
        <sz val="11"/>
        <color theme="1"/>
        <rFont val="Calibri"/>
        <family val="2"/>
      </rPr>
      <t xml:space="preserve"> PERA,</t>
    </r>
    <r>
      <rPr>
        <sz val="11"/>
        <color theme="1"/>
        <rFont val="Calibri"/>
        <family val="2"/>
      </rPr>
      <t xml:space="preserve"> ESTADO: NATURAL, PRESENTACION: ENVASE X 20 Kg</t>
    </r>
  </si>
  <si>
    <r>
      <t>FRUTAS; VARIEDAD:</t>
    </r>
    <r>
      <rPr>
        <b/>
        <sz val="11"/>
        <color theme="1"/>
        <rFont val="Calibri"/>
        <family val="2"/>
      </rPr>
      <t xml:space="preserve"> NARANJA ESPECIAL</t>
    </r>
    <r>
      <rPr>
        <sz val="11"/>
        <color theme="1"/>
        <rFont val="Calibri"/>
        <family val="2"/>
      </rPr>
      <t>, ESTADO: NATURAL, PRESENTACION: CAJON, PESO: SIN VALOR</t>
    </r>
  </si>
  <si>
    <r>
      <rPr>
        <b/>
        <sz val="11"/>
        <color theme="1"/>
        <rFont val="Calibri"/>
        <family val="2"/>
      </rPr>
      <t>QUESOS</t>
    </r>
    <r>
      <rPr>
        <sz val="11"/>
        <color theme="1"/>
        <rFont val="Calibri"/>
        <family val="2"/>
      </rPr>
      <t>; TIPO: CREMOSO, PRESENTACION: AL PESO, ELEM. TRANSPORTE: SIN, MATERIAL ELEM. TRANSPORTE: SIN, MATERIAL ENVASE: SIN, CERTIFICADO FORESTAL (GFS): SIN, LIBRE DE GLUTEN: A DEFINIR</t>
    </r>
  </si>
  <si>
    <r>
      <t xml:space="preserve">CARNES; TIPO: VACUNA, CORTE: </t>
    </r>
    <r>
      <rPr>
        <b/>
        <sz val="11"/>
        <color theme="1"/>
        <rFont val="Calibri"/>
        <family val="2"/>
      </rPr>
      <t>CUARTO TRASERO</t>
    </r>
  </si>
  <si>
    <r>
      <t>CARNES; ESPECIE: VACUNA, CORTE:</t>
    </r>
    <r>
      <rPr>
        <b/>
        <sz val="11"/>
        <color theme="1"/>
        <rFont val="Calibri"/>
        <family val="2"/>
      </rPr>
      <t xml:space="preserve"> PICADA ESPECIAL</t>
    </r>
    <r>
      <rPr>
        <sz val="11"/>
        <color theme="1"/>
        <rFont val="Calibri"/>
        <family val="2"/>
      </rPr>
      <t>, TIPO: VACUNA</t>
    </r>
  </si>
  <si>
    <t>KG</t>
  </si>
  <si>
    <t>CAJON</t>
  </si>
  <si>
    <t>BOLSA</t>
  </si>
  <si>
    <t>RISTRA</t>
  </si>
  <si>
    <t>CAJON DE 20 KG APROX.</t>
  </si>
  <si>
    <t xml:space="preserve">PRESENTACION EN HORMA CON ENVASE CERRADO. CADA HORMA DE ENTRE 4 Y 5 KG CADA UNA. LA DIFERENCIA QUE RESULTE SE ENTREGARA DE MANERA SUELTA EN SU CORRESPONDIENTE ENVOLTORIO CON LOS RECAUDOS NECESARIOS. </t>
  </si>
  <si>
    <t>CAJON DE 10 KG APROX.</t>
  </si>
  <si>
    <t>UNIDAD DE 10 KG APROX. C/U.</t>
  </si>
  <si>
    <t>CAJON DE 15 KG APROX.</t>
  </si>
  <si>
    <t>RISTRA DE 50 BULBOS APROX.</t>
  </si>
  <si>
    <t>PRESENTACION EN ATADITOS DE 200 GR APROX.</t>
  </si>
  <si>
    <t>MAPLE DE 30 UNIDADES C/U.</t>
  </si>
  <si>
    <t xml:space="preserve">ITEM 08:   </t>
  </si>
  <si>
    <t>ITEM 09:</t>
  </si>
  <si>
    <t xml:space="preserve">ITEM 10:                   </t>
  </si>
  <si>
    <t xml:space="preserve">ITEM 11:               </t>
  </si>
  <si>
    <t xml:space="preserve">ITEM 12:                    </t>
  </si>
  <si>
    <t xml:space="preserve">ITEM 13:                  </t>
  </si>
  <si>
    <t xml:space="preserve">ITEM 14:                    </t>
  </si>
  <si>
    <t xml:space="preserve">ITEM 15:                   </t>
  </si>
  <si>
    <t xml:space="preserve">ITEM 16:                  </t>
  </si>
  <si>
    <t xml:space="preserve">ITEM 17:                    </t>
  </si>
  <si>
    <t xml:space="preserve">ITEM 18:               </t>
  </si>
  <si>
    <t xml:space="preserve">ITEM 19:                  </t>
  </si>
  <si>
    <t xml:space="preserve">ITEM 20:                </t>
  </si>
  <si>
    <t xml:space="preserve">Condición de Calidad:
CARNES
• La carne no deberá presentar ninguna modificación esencial en sus características principales y presenta color, olor y consistencia característicos.
• La carne fresca que ingrese al establecimiento debe mantenerse a una temperatura no mayor de 5º C.
• Las carnes estarán limpias, exentas de piel y vísceras.
• La carne tiene que ser de color rojo brillante, de color oscuro no se aceptará ya que se deterioran más rápido.
FRUTAS Y VERDURAS
• Las frutas y verduras que ingresen al establecimiento deben ser de 1ra calidad, frescas, limpias, enteras, en especial la papa debe venir sin exceso de tierra lo más limpia posible y conservando sus caracteres organolépticos característicos.
• Uniformidad: tamaño, forma, color y madurez característicos.
• No debe tener ningún tipo de contaminación física, química o biológica.
• Sanas, se excluyen en todos los casos los productos afectados por podredumbre o por alteraciones, que le hagan impropio para el consumo.
• Exentas de olor y/o sabor extraño.
• La lechuga y cualquier otra hortaliza de hojas debe estar verde, compacta, fresca (sin indicios de marchitez), limpia y sin tejido oxidado ni hojas dañadas por insectos u otros daños.
QUESOS, YOGURT Y HUEVOS
• El queso fresco y el yogurt deben conservarse durante el transporte hasta la recepción a una temperatura no mayor de 5º C.
• En el caso de los huevos deben conservarse a una temperatura no mayor de 6º C, la cascara debe estar integra, firme y limpia.
• Se controlará el origen del producto alimenticio (ROTULADO), la presencia de la numeración correspondiente, RNE (Registro Nacional del Establecimiento), RNPA (Registro Nacional del Producto Alimenticio) y numero de SENASA (para productos derivados de origen animal).
La fecha de elaboración y vencimiento, teniendo en cuenta que el lapso de aptitud sea lo suficientemente amplio.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</si>
</sst>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&quot;$&quot;\ #,##0.00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  <font>
      <sz val="11"/>
      <color theme="1"/>
      <name val="Calibri"/>
      <family val="2"/>
    </font>
    <font>
      <sz val="8"/>
      <name val="Arial"/>
      <family val="2"/>
    </font>
    <font>
      <sz val="11"/>
      <color rgb="FF333333"/>
      <name val="Arial"/>
      <family val="2"/>
    </font>
    <font>
      <sz val="10"/>
      <color rgb="FFFF0000"/>
      <name val="Century Gothic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333333"/>
      <name val="Arial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4" fillId="0" borderId="0"/>
  </cellStyleXfs>
  <cellXfs count="176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1" fontId="6" fillId="3" borderId="38" xfId="0" applyNumberFormat="1" applyFont="1" applyFill="1" applyBorder="1"/>
    <xf numFmtId="3" fontId="14" fillId="3" borderId="0" xfId="0" applyNumberFormat="1" applyFont="1" applyFill="1" applyBorder="1" applyAlignment="1"/>
    <xf numFmtId="169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167" fontId="5" fillId="3" borderId="33" xfId="3" applyNumberFormat="1" applyFont="1" applyFill="1" applyBorder="1" applyAlignment="1" applyProtection="1">
      <alignment horizontal="center" vertical="center"/>
    </xf>
    <xf numFmtId="167" fontId="6" fillId="3" borderId="34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170" fontId="5" fillId="3" borderId="42" xfId="1" applyNumberFormat="1" applyFont="1" applyFill="1" applyBorder="1" applyAlignment="1" applyProtection="1">
      <alignment horizontal="center" vertical="center"/>
    </xf>
    <xf numFmtId="3" fontId="5" fillId="3" borderId="42" xfId="0" applyNumberFormat="1" applyFont="1" applyFill="1" applyBorder="1" applyAlignment="1">
      <alignment horizontal="center" vertical="center"/>
    </xf>
    <xf numFmtId="170" fontId="5" fillId="3" borderId="0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horizontal="left"/>
    </xf>
    <xf numFmtId="0" fontId="5" fillId="5" borderId="3" xfId="0" applyFont="1" applyFill="1" applyBorder="1"/>
    <xf numFmtId="0" fontId="5" fillId="5" borderId="0" xfId="0" applyFont="1" applyFill="1" applyBorder="1"/>
    <xf numFmtId="0" fontId="9" fillId="5" borderId="0" xfId="0" applyFont="1" applyFill="1" applyBorder="1" applyAlignment="1"/>
    <xf numFmtId="0" fontId="10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3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left" indent="3"/>
    </xf>
    <xf numFmtId="0" fontId="10" fillId="5" borderId="5" xfId="0" applyFont="1" applyFill="1" applyBorder="1" applyAlignment="1"/>
    <xf numFmtId="0" fontId="9" fillId="5" borderId="5" xfId="0" applyFont="1" applyFill="1" applyBorder="1" applyAlignment="1">
      <alignment horizontal="left" indent="3"/>
    </xf>
    <xf numFmtId="0" fontId="5" fillId="5" borderId="7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49" fontId="5" fillId="3" borderId="50" xfId="0" applyNumberFormat="1" applyFont="1" applyFill="1" applyBorder="1"/>
    <xf numFmtId="167" fontId="5" fillId="3" borderId="42" xfId="1" applyNumberFormat="1" applyFont="1" applyFill="1" applyBorder="1" applyAlignment="1" applyProtection="1">
      <alignment horizontal="right" vertical="center" wrapText="1"/>
    </xf>
    <xf numFmtId="164" fontId="21" fillId="0" borderId="42" xfId="1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49" fontId="21" fillId="0" borderId="42" xfId="0" applyNumberFormat="1" applyFont="1" applyBorder="1" applyAlignment="1">
      <alignment vertical="center" wrapText="1"/>
    </xf>
    <xf numFmtId="0" fontId="21" fillId="0" borderId="42" xfId="0" applyFont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vertical="center" wrapText="1"/>
    </xf>
    <xf numFmtId="0" fontId="24" fillId="3" borderId="54" xfId="0" applyFont="1" applyFill="1" applyBorder="1" applyAlignment="1">
      <alignment vertical="center" wrapText="1"/>
    </xf>
    <xf numFmtId="0" fontId="8" fillId="3" borderId="54" xfId="0" applyFont="1" applyFill="1" applyBorder="1" applyAlignment="1">
      <alignment horizontal="center" vertical="center" wrapText="1"/>
    </xf>
    <xf numFmtId="164" fontId="21" fillId="0" borderId="54" xfId="1" applyNumberFormat="1" applyFont="1" applyBorder="1" applyAlignment="1">
      <alignment horizontal="center" vertical="center"/>
    </xf>
    <xf numFmtId="44" fontId="5" fillId="3" borderId="0" xfId="0" applyNumberFormat="1" applyFont="1" applyFill="1"/>
    <xf numFmtId="0" fontId="25" fillId="3" borderId="0" xfId="0" applyFont="1" applyFill="1"/>
    <xf numFmtId="0" fontId="5" fillId="0" borderId="42" xfId="0" applyFont="1" applyBorder="1" applyAlignment="1">
      <alignment horizontal="center" vertical="center" wrapText="1"/>
    </xf>
    <xf numFmtId="164" fontId="5" fillId="0" borderId="42" xfId="1" applyNumberFormat="1" applyFont="1" applyBorder="1" applyAlignment="1">
      <alignment horizontal="center" vertical="center"/>
    </xf>
    <xf numFmtId="0" fontId="5" fillId="5" borderId="0" xfId="0" applyFont="1" applyFill="1" applyBorder="1" applyAlignment="1">
      <alignment horizontal="left" vertical="center" wrapText="1"/>
    </xf>
    <xf numFmtId="49" fontId="5" fillId="0" borderId="56" xfId="0" applyNumberFormat="1" applyFont="1" applyBorder="1" applyAlignment="1">
      <alignment vertical="center"/>
    </xf>
    <xf numFmtId="0" fontId="5" fillId="5" borderId="0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22" fillId="0" borderId="42" xfId="0" applyFont="1" applyBorder="1" applyAlignment="1">
      <alignment vertical="center" wrapText="1"/>
    </xf>
    <xf numFmtId="0" fontId="22" fillId="3" borderId="42" xfId="0" applyFont="1" applyFill="1" applyBorder="1" applyAlignment="1">
      <alignment vertical="center" wrapText="1"/>
    </xf>
    <xf numFmtId="0" fontId="26" fillId="0" borderId="42" xfId="0" applyFont="1" applyBorder="1" applyAlignment="1">
      <alignment vertical="center" wrapText="1"/>
    </xf>
    <xf numFmtId="0" fontId="22" fillId="0" borderId="54" xfId="0" applyFont="1" applyBorder="1" applyAlignment="1">
      <alignment vertical="center" wrapText="1"/>
    </xf>
    <xf numFmtId="0" fontId="5" fillId="3" borderId="0" xfId="0" applyFont="1" applyFill="1" applyAlignment="1">
      <alignment vertical="center"/>
    </xf>
    <xf numFmtId="0" fontId="5" fillId="5" borderId="4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vertical="center"/>
    </xf>
    <xf numFmtId="0" fontId="5" fillId="5" borderId="54" xfId="0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 wrapText="1"/>
    </xf>
    <xf numFmtId="0" fontId="5" fillId="3" borderId="5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vertical="center"/>
    </xf>
    <xf numFmtId="0" fontId="9" fillId="5" borderId="7" xfId="0" applyFont="1" applyFill="1" applyBorder="1" applyAlignment="1">
      <alignment horizontal="left"/>
    </xf>
    <xf numFmtId="0" fontId="5" fillId="3" borderId="8" xfId="0" applyFont="1" applyFill="1" applyBorder="1"/>
    <xf numFmtId="0" fontId="5" fillId="3" borderId="9" xfId="0" applyFont="1" applyFill="1" applyBorder="1" applyAlignment="1">
      <alignment vertical="center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19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5" fillId="5" borderId="20" xfId="0" applyFont="1" applyFill="1" applyBorder="1" applyAlignment="1">
      <alignment horizontal="left" vertical="center" wrapText="1"/>
    </xf>
    <xf numFmtId="0" fontId="5" fillId="5" borderId="56" xfId="0" applyFont="1" applyFill="1" applyBorder="1" applyAlignment="1">
      <alignment horizontal="left" vertical="center" wrapText="1"/>
    </xf>
    <xf numFmtId="0" fontId="5" fillId="5" borderId="58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 vertical="center" wrapText="1"/>
    </xf>
    <xf numFmtId="0" fontId="5" fillId="5" borderId="54" xfId="0" applyFont="1" applyFill="1" applyBorder="1" applyAlignment="1">
      <alignment horizontal="left" vertical="center" wrapText="1"/>
    </xf>
    <xf numFmtId="0" fontId="5" fillId="5" borderId="57" xfId="0" applyFont="1" applyFill="1" applyBorder="1" applyAlignment="1">
      <alignment horizontal="left" vertical="center" wrapText="1"/>
    </xf>
    <xf numFmtId="0" fontId="5" fillId="3" borderId="56" xfId="0" applyFont="1" applyFill="1" applyBorder="1" applyAlignment="1">
      <alignment horizontal="left" vertical="center"/>
    </xf>
    <xf numFmtId="0" fontId="5" fillId="3" borderId="58" xfId="0" applyFont="1" applyFill="1" applyBorder="1" applyAlignment="1">
      <alignment horizontal="left" vertical="center"/>
    </xf>
    <xf numFmtId="0" fontId="18" fillId="3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wrapText="1" indent="1"/>
    </xf>
    <xf numFmtId="0" fontId="5" fillId="5" borderId="0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12" fillId="3" borderId="38" xfId="0" applyFont="1" applyFill="1" applyBorder="1" applyAlignment="1">
      <alignment horizontal="left" vertical="center" wrapText="1" indent="1"/>
    </xf>
    <xf numFmtId="168" fontId="12" fillId="3" borderId="38" xfId="0" applyNumberFormat="1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 wrapText="1" indent="1"/>
    </xf>
    <xf numFmtId="0" fontId="12" fillId="3" borderId="43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4" fillId="3" borderId="19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49" fontId="15" fillId="3" borderId="44" xfId="0" applyNumberFormat="1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5" fillId="3" borderId="48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5" fillId="3" borderId="32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45" xfId="0" applyFont="1" applyFill="1" applyBorder="1" applyAlignment="1">
      <alignment vertical="center" wrapText="1"/>
    </xf>
    <xf numFmtId="0" fontId="16" fillId="3" borderId="46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3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  <xf numFmtId="0" fontId="16" fillId="3" borderId="22" xfId="0" applyFont="1" applyFill="1" applyBorder="1" applyAlignment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indent="1"/>
    </xf>
    <xf numFmtId="0" fontId="10" fillId="3" borderId="11" xfId="0" applyFont="1" applyFill="1" applyBorder="1" applyAlignment="1">
      <alignment horizontal="left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8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5"/>
  <sheetViews>
    <sheetView tabSelected="1" zoomScale="90" zoomScaleNormal="90" workbookViewId="0">
      <selection activeCell="F58" sqref="F58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17.7109375" style="1" customWidth="1"/>
    <col min="4" max="4" width="8.42578125" style="1" customWidth="1"/>
    <col min="5" max="5" width="93.140625" style="85" customWidth="1"/>
    <col min="6" max="6" width="15.140625" style="85" customWidth="1"/>
    <col min="7" max="7" width="15.7109375" style="1" customWidth="1"/>
    <col min="8" max="8" width="13.85546875" style="1" customWidth="1"/>
    <col min="9" max="9" width="18.5703125" style="1" customWidth="1"/>
    <col min="10" max="10" width="11" style="1"/>
    <col min="11" max="11" width="12" style="1" bestFit="1" customWidth="1"/>
    <col min="12" max="16384" width="11" style="1"/>
  </cols>
  <sheetData>
    <row r="2" spans="1:10" ht="28.5" x14ac:dyDescent="0.4">
      <c r="B2" s="115" t="s">
        <v>0</v>
      </c>
      <c r="C2" s="115"/>
      <c r="D2" s="115"/>
      <c r="E2" s="115"/>
      <c r="F2" s="115"/>
      <c r="G2" s="115"/>
      <c r="H2" s="115"/>
    </row>
    <row r="4" spans="1:10" ht="18" customHeight="1" x14ac:dyDescent="0.25">
      <c r="A4" s="110" t="s">
        <v>1</v>
      </c>
      <c r="B4" s="110"/>
      <c r="C4" s="116" t="s">
        <v>2</v>
      </c>
      <c r="D4" s="116"/>
      <c r="E4" s="116"/>
      <c r="F4" s="80"/>
      <c r="G4" s="5"/>
      <c r="H4" s="2"/>
    </row>
    <row r="5" spans="1:10" ht="18" customHeight="1" x14ac:dyDescent="0.25">
      <c r="A5" s="110" t="s">
        <v>3</v>
      </c>
      <c r="B5" s="110"/>
      <c r="C5" s="116" t="s">
        <v>4</v>
      </c>
      <c r="D5" s="116"/>
      <c r="E5" s="116"/>
      <c r="F5" s="80"/>
      <c r="G5" s="5"/>
      <c r="H5" s="2"/>
    </row>
    <row r="6" spans="1:10" ht="16.5" customHeight="1" x14ac:dyDescent="0.25">
      <c r="A6" s="110" t="s">
        <v>5</v>
      </c>
      <c r="B6" s="110"/>
      <c r="C6" s="6">
        <v>2022</v>
      </c>
      <c r="D6" s="7"/>
      <c r="E6" s="79"/>
      <c r="F6" s="80"/>
      <c r="G6" s="5"/>
      <c r="H6" s="2"/>
    </row>
    <row r="7" spans="1:10" ht="16.5" customHeight="1" x14ac:dyDescent="0.25">
      <c r="A7" s="110" t="s">
        <v>6</v>
      </c>
      <c r="B7" s="110"/>
      <c r="C7" s="6">
        <v>3</v>
      </c>
      <c r="D7" s="7"/>
      <c r="E7" s="79"/>
      <c r="F7" s="80"/>
      <c r="G7" s="5"/>
      <c r="H7" s="2"/>
    </row>
    <row r="8" spans="1:10" ht="14.25" thickBot="1" x14ac:dyDescent="0.3">
      <c r="B8" s="2"/>
      <c r="C8" s="5"/>
      <c r="D8" s="2"/>
      <c r="E8" s="80"/>
      <c r="F8" s="80"/>
      <c r="G8" s="5"/>
      <c r="H8" s="2"/>
    </row>
    <row r="9" spans="1:10" ht="39" thickBot="1" x14ac:dyDescent="0.3">
      <c r="A9" s="67" t="s">
        <v>7</v>
      </c>
      <c r="B9" s="55" t="s">
        <v>8</v>
      </c>
      <c r="C9" s="66" t="s">
        <v>9</v>
      </c>
      <c r="D9" s="65" t="s">
        <v>10</v>
      </c>
      <c r="E9" s="65" t="s">
        <v>11</v>
      </c>
      <c r="F9" s="65" t="s">
        <v>12</v>
      </c>
      <c r="G9" s="65" t="s">
        <v>13</v>
      </c>
      <c r="H9" s="65" t="s">
        <v>14</v>
      </c>
      <c r="I9" s="64" t="s">
        <v>15</v>
      </c>
    </row>
    <row r="10" spans="1:10" ht="47.25" customHeight="1" x14ac:dyDescent="0.25">
      <c r="A10" s="63">
        <v>1</v>
      </c>
      <c r="B10" s="77" t="s">
        <v>16</v>
      </c>
      <c r="C10" s="62" t="s">
        <v>17</v>
      </c>
      <c r="D10" s="61" t="s">
        <v>18</v>
      </c>
      <c r="E10" s="81" t="s">
        <v>117</v>
      </c>
      <c r="F10" s="61" t="s">
        <v>120</v>
      </c>
      <c r="G10" s="60">
        <v>300</v>
      </c>
      <c r="H10" s="59">
        <v>1275</v>
      </c>
      <c r="I10" s="58">
        <f t="shared" ref="I10:I11" si="0">(G10*H10)</f>
        <v>382500</v>
      </c>
    </row>
    <row r="11" spans="1:10" ht="30.75" customHeight="1" x14ac:dyDescent="0.25">
      <c r="A11" s="63">
        <v>2</v>
      </c>
      <c r="B11" s="77" t="s">
        <v>20</v>
      </c>
      <c r="C11" s="62" t="s">
        <v>17</v>
      </c>
      <c r="D11" s="61" t="s">
        <v>18</v>
      </c>
      <c r="E11" s="81" t="s">
        <v>118</v>
      </c>
      <c r="F11" s="61" t="s">
        <v>120</v>
      </c>
      <c r="G11" s="60">
        <v>1500</v>
      </c>
      <c r="H11" s="59">
        <v>1950</v>
      </c>
      <c r="I11" s="58">
        <f t="shared" si="0"/>
        <v>2925000</v>
      </c>
    </row>
    <row r="12" spans="1:10" ht="27.75" customHeight="1" x14ac:dyDescent="0.25">
      <c r="A12" s="63">
        <v>3</v>
      </c>
      <c r="B12" s="77" t="s">
        <v>21</v>
      </c>
      <c r="C12" s="62" t="s">
        <v>17</v>
      </c>
      <c r="D12" s="61" t="s">
        <v>18</v>
      </c>
      <c r="E12" s="81" t="s">
        <v>119</v>
      </c>
      <c r="F12" s="61" t="s">
        <v>120</v>
      </c>
      <c r="G12" s="60">
        <v>2000</v>
      </c>
      <c r="H12" s="59">
        <v>1690</v>
      </c>
      <c r="I12" s="58">
        <f t="shared" ref="I12" si="1">(G12*H12)</f>
        <v>3380000</v>
      </c>
    </row>
    <row r="13" spans="1:10" ht="48.75" customHeight="1" x14ac:dyDescent="0.25">
      <c r="A13" s="63">
        <v>4</v>
      </c>
      <c r="B13" s="77" t="s">
        <v>22</v>
      </c>
      <c r="C13" s="62" t="s">
        <v>17</v>
      </c>
      <c r="D13" s="61" t="s">
        <v>18</v>
      </c>
      <c r="E13" s="68" t="s">
        <v>102</v>
      </c>
      <c r="F13" s="61" t="s">
        <v>99</v>
      </c>
      <c r="G13" s="60">
        <v>2000</v>
      </c>
      <c r="H13" s="59">
        <v>200</v>
      </c>
      <c r="I13" s="58">
        <f>(G13*H13)</f>
        <v>400000</v>
      </c>
    </row>
    <row r="14" spans="1:10" ht="36.75" customHeight="1" x14ac:dyDescent="0.25">
      <c r="A14" s="63">
        <v>5</v>
      </c>
      <c r="B14" s="77" t="s">
        <v>23</v>
      </c>
      <c r="C14" s="62" t="s">
        <v>17</v>
      </c>
      <c r="D14" s="61" t="s">
        <v>18</v>
      </c>
      <c r="E14" s="69" t="s">
        <v>101</v>
      </c>
      <c r="F14" s="94" t="s">
        <v>122</v>
      </c>
      <c r="G14" s="35">
        <v>150</v>
      </c>
      <c r="H14" s="59">
        <v>1430</v>
      </c>
      <c r="I14" s="58">
        <f t="shared" ref="I14:I29" si="2">(G14*H14)</f>
        <v>214500</v>
      </c>
    </row>
    <row r="15" spans="1:10" ht="30.75" customHeight="1" x14ac:dyDescent="0.25">
      <c r="A15" s="63">
        <v>6</v>
      </c>
      <c r="B15" s="77" t="s">
        <v>24</v>
      </c>
      <c r="C15" s="62" t="s">
        <v>17</v>
      </c>
      <c r="D15" s="61" t="s">
        <v>18</v>
      </c>
      <c r="E15" s="82" t="s">
        <v>100</v>
      </c>
      <c r="F15" s="61" t="s">
        <v>122</v>
      </c>
      <c r="G15" s="60">
        <v>150</v>
      </c>
      <c r="H15" s="59">
        <v>1300</v>
      </c>
      <c r="I15" s="58">
        <f t="shared" si="2"/>
        <v>195000</v>
      </c>
      <c r="J15" s="73"/>
    </row>
    <row r="16" spans="1:10" ht="30.75" customHeight="1" x14ac:dyDescent="0.25">
      <c r="A16" s="63">
        <v>7</v>
      </c>
      <c r="B16" s="77" t="s">
        <v>25</v>
      </c>
      <c r="C16" s="62" t="s">
        <v>17</v>
      </c>
      <c r="D16" s="61" t="s">
        <v>18</v>
      </c>
      <c r="E16" s="81" t="s">
        <v>103</v>
      </c>
      <c r="F16" s="61" t="s">
        <v>122</v>
      </c>
      <c r="G16" s="60">
        <v>150</v>
      </c>
      <c r="H16" s="59">
        <v>1560</v>
      </c>
      <c r="I16" s="58">
        <f t="shared" si="2"/>
        <v>234000</v>
      </c>
      <c r="J16" s="73"/>
    </row>
    <row r="17" spans="1:12" ht="49.5" customHeight="1" x14ac:dyDescent="0.25">
      <c r="A17" s="63">
        <v>8</v>
      </c>
      <c r="B17" s="77" t="s">
        <v>26</v>
      </c>
      <c r="C17" s="62" t="s">
        <v>17</v>
      </c>
      <c r="D17" s="61" t="s">
        <v>18</v>
      </c>
      <c r="E17" s="81" t="s">
        <v>104</v>
      </c>
      <c r="F17" s="61" t="s">
        <v>121</v>
      </c>
      <c r="G17" s="60">
        <v>80</v>
      </c>
      <c r="H17" s="59">
        <v>4160</v>
      </c>
      <c r="I17" s="58">
        <f>(G17*H17)</f>
        <v>332800</v>
      </c>
      <c r="J17" s="73"/>
    </row>
    <row r="18" spans="1:12" ht="44.25" customHeight="1" x14ac:dyDescent="0.25">
      <c r="A18" s="63">
        <v>9</v>
      </c>
      <c r="B18" s="77" t="s">
        <v>27</v>
      </c>
      <c r="C18" s="62" t="s">
        <v>17</v>
      </c>
      <c r="D18" s="61" t="s">
        <v>18</v>
      </c>
      <c r="E18" s="83" t="s">
        <v>105</v>
      </c>
      <c r="F18" s="61" t="s">
        <v>121</v>
      </c>
      <c r="G18" s="74">
        <v>100</v>
      </c>
      <c r="H18" s="75">
        <v>3120</v>
      </c>
      <c r="I18" s="58">
        <f t="shared" si="2"/>
        <v>312000</v>
      </c>
      <c r="J18" s="73"/>
    </row>
    <row r="19" spans="1:12" ht="25.9" customHeight="1" x14ac:dyDescent="0.25">
      <c r="A19" s="63">
        <v>10</v>
      </c>
      <c r="B19" s="77" t="s">
        <v>28</v>
      </c>
      <c r="C19" s="62" t="s">
        <v>17</v>
      </c>
      <c r="D19" s="61" t="s">
        <v>18</v>
      </c>
      <c r="E19" s="81" t="s">
        <v>106</v>
      </c>
      <c r="F19" s="61" t="s">
        <v>19</v>
      </c>
      <c r="G19" s="60">
        <v>100</v>
      </c>
      <c r="H19" s="59">
        <v>1300</v>
      </c>
      <c r="I19" s="58">
        <f t="shared" si="2"/>
        <v>130000</v>
      </c>
      <c r="J19" s="72"/>
      <c r="K19" s="72"/>
    </row>
    <row r="20" spans="1:12" ht="25.5" customHeight="1" x14ac:dyDescent="0.25">
      <c r="A20" s="63">
        <v>11</v>
      </c>
      <c r="B20" s="77" t="s">
        <v>29</v>
      </c>
      <c r="C20" s="62" t="s">
        <v>17</v>
      </c>
      <c r="D20" s="61" t="s">
        <v>18</v>
      </c>
      <c r="E20" s="81" t="s">
        <v>107</v>
      </c>
      <c r="F20" s="61" t="s">
        <v>121</v>
      </c>
      <c r="G20" s="74">
        <v>50</v>
      </c>
      <c r="H20" s="75">
        <v>2350</v>
      </c>
      <c r="I20" s="58">
        <f t="shared" si="2"/>
        <v>117500</v>
      </c>
    </row>
    <row r="21" spans="1:12" ht="32.25" customHeight="1" x14ac:dyDescent="0.25">
      <c r="A21" s="63">
        <v>12</v>
      </c>
      <c r="B21" s="77" t="s">
        <v>30</v>
      </c>
      <c r="C21" s="62" t="s">
        <v>17</v>
      </c>
      <c r="D21" s="61" t="s">
        <v>18</v>
      </c>
      <c r="E21" s="81" t="s">
        <v>108</v>
      </c>
      <c r="F21" s="35" t="s">
        <v>123</v>
      </c>
      <c r="G21" s="60">
        <v>52</v>
      </c>
      <c r="H21" s="59">
        <v>3120</v>
      </c>
      <c r="I21" s="58">
        <f t="shared" si="2"/>
        <v>162240</v>
      </c>
      <c r="J21" s="72"/>
      <c r="K21" s="72"/>
      <c r="L21" s="73"/>
    </row>
    <row r="22" spans="1:12" ht="28.5" customHeight="1" x14ac:dyDescent="0.25">
      <c r="A22" s="63">
        <v>13</v>
      </c>
      <c r="B22" s="77" t="s">
        <v>31</v>
      </c>
      <c r="C22" s="62" t="s">
        <v>17</v>
      </c>
      <c r="D22" s="61" t="s">
        <v>18</v>
      </c>
      <c r="E22" s="81" t="s">
        <v>109</v>
      </c>
      <c r="F22" s="61" t="s">
        <v>120</v>
      </c>
      <c r="G22" s="60">
        <v>50</v>
      </c>
      <c r="H22" s="59">
        <v>910</v>
      </c>
      <c r="I22" s="58">
        <f>(G22*H22)</f>
        <v>45500</v>
      </c>
      <c r="J22" s="73"/>
    </row>
    <row r="23" spans="1:12" ht="28.5" customHeight="1" x14ac:dyDescent="0.25">
      <c r="A23" s="63">
        <v>14</v>
      </c>
      <c r="B23" s="77" t="s">
        <v>32</v>
      </c>
      <c r="C23" s="62" t="s">
        <v>17</v>
      </c>
      <c r="D23" s="61" t="s">
        <v>18</v>
      </c>
      <c r="E23" s="81" t="s">
        <v>110</v>
      </c>
      <c r="F23" s="61" t="s">
        <v>120</v>
      </c>
      <c r="G23" s="60">
        <v>80</v>
      </c>
      <c r="H23" s="59">
        <v>910</v>
      </c>
      <c r="I23" s="58">
        <f>+H23*G23</f>
        <v>72800</v>
      </c>
    </row>
    <row r="24" spans="1:12" ht="29.25" customHeight="1" x14ac:dyDescent="0.25">
      <c r="A24" s="63">
        <v>15</v>
      </c>
      <c r="B24" s="77" t="s">
        <v>33</v>
      </c>
      <c r="C24" s="62" t="s">
        <v>17</v>
      </c>
      <c r="D24" s="61" t="s">
        <v>18</v>
      </c>
      <c r="E24" s="81" t="s">
        <v>111</v>
      </c>
      <c r="F24" s="61" t="s">
        <v>120</v>
      </c>
      <c r="G24" s="60">
        <v>50</v>
      </c>
      <c r="H24" s="59">
        <v>1560</v>
      </c>
      <c r="I24" s="58">
        <f>+H24*G24</f>
        <v>78000</v>
      </c>
    </row>
    <row r="25" spans="1:12" ht="44.25" customHeight="1" x14ac:dyDescent="0.25">
      <c r="A25" s="63">
        <v>16</v>
      </c>
      <c r="B25" s="77" t="s">
        <v>34</v>
      </c>
      <c r="C25" s="62" t="s">
        <v>17</v>
      </c>
      <c r="D25" s="61" t="s">
        <v>18</v>
      </c>
      <c r="E25" s="81" t="s">
        <v>112</v>
      </c>
      <c r="F25" s="70" t="s">
        <v>35</v>
      </c>
      <c r="G25" s="60">
        <v>150</v>
      </c>
      <c r="H25" s="59">
        <v>1040</v>
      </c>
      <c r="I25" s="58">
        <f>(G25*H25)</f>
        <v>156000</v>
      </c>
    </row>
    <row r="26" spans="1:12" ht="36.75" customHeight="1" x14ac:dyDescent="0.25">
      <c r="A26" s="63">
        <v>17</v>
      </c>
      <c r="B26" s="77" t="s">
        <v>36</v>
      </c>
      <c r="C26" s="62" t="s">
        <v>17</v>
      </c>
      <c r="D26" s="61" t="s">
        <v>18</v>
      </c>
      <c r="E26" s="81" t="s">
        <v>113</v>
      </c>
      <c r="F26" s="61" t="s">
        <v>121</v>
      </c>
      <c r="G26" s="60">
        <v>100</v>
      </c>
      <c r="H26" s="59">
        <v>4940</v>
      </c>
      <c r="I26" s="58">
        <f>(G26*H26)</f>
        <v>494000</v>
      </c>
    </row>
    <row r="27" spans="1:12" ht="36" customHeight="1" x14ac:dyDescent="0.25">
      <c r="A27" s="63">
        <v>18</v>
      </c>
      <c r="B27" s="77" t="s">
        <v>37</v>
      </c>
      <c r="C27" s="62" t="s">
        <v>17</v>
      </c>
      <c r="D27" s="61" t="s">
        <v>18</v>
      </c>
      <c r="E27" s="81" t="s">
        <v>114</v>
      </c>
      <c r="F27" s="70" t="s">
        <v>121</v>
      </c>
      <c r="G27" s="60">
        <v>100</v>
      </c>
      <c r="H27" s="59">
        <v>4420</v>
      </c>
      <c r="I27" s="58">
        <f t="shared" si="2"/>
        <v>442000</v>
      </c>
    </row>
    <row r="28" spans="1:12" ht="36" customHeight="1" x14ac:dyDescent="0.25">
      <c r="A28" s="63">
        <v>19</v>
      </c>
      <c r="B28" s="77" t="s">
        <v>38</v>
      </c>
      <c r="C28" s="62" t="s">
        <v>17</v>
      </c>
      <c r="D28" s="61" t="s">
        <v>18</v>
      </c>
      <c r="E28" s="84" t="s">
        <v>115</v>
      </c>
      <c r="F28" s="70" t="s">
        <v>121</v>
      </c>
      <c r="G28" s="60">
        <v>100</v>
      </c>
      <c r="H28" s="59">
        <v>4680</v>
      </c>
      <c r="I28" s="58">
        <f t="shared" si="2"/>
        <v>468000</v>
      </c>
    </row>
    <row r="29" spans="1:12" ht="36" customHeight="1" x14ac:dyDescent="0.25">
      <c r="A29" s="63">
        <v>20</v>
      </c>
      <c r="B29" s="77" t="s">
        <v>39</v>
      </c>
      <c r="C29" s="62" t="s">
        <v>17</v>
      </c>
      <c r="D29" s="61" t="s">
        <v>18</v>
      </c>
      <c r="E29" s="84" t="s">
        <v>116</v>
      </c>
      <c r="F29" s="70" t="s">
        <v>121</v>
      </c>
      <c r="G29" s="60">
        <v>100</v>
      </c>
      <c r="H29" s="71">
        <v>2340</v>
      </c>
      <c r="I29" s="58">
        <f t="shared" si="2"/>
        <v>234000</v>
      </c>
    </row>
    <row r="30" spans="1:12" ht="17.25" customHeight="1" thickBot="1" x14ac:dyDescent="0.3">
      <c r="B30" s="56"/>
      <c r="I30" s="8">
        <f>SUM(I10:I29)</f>
        <v>10775840</v>
      </c>
    </row>
    <row r="31" spans="1:12" ht="17.25" customHeight="1" x14ac:dyDescent="0.25">
      <c r="B31" s="39" t="s">
        <v>40</v>
      </c>
      <c r="C31" s="40"/>
      <c r="D31" s="40"/>
      <c r="E31" s="86"/>
    </row>
    <row r="32" spans="1:12" x14ac:dyDescent="0.25">
      <c r="B32" s="108"/>
      <c r="C32" s="109"/>
      <c r="D32" s="41"/>
      <c r="E32" s="87"/>
    </row>
    <row r="33" spans="2:5" ht="43.5" customHeight="1" x14ac:dyDescent="0.25">
      <c r="B33" s="96"/>
      <c r="C33" s="93" t="s">
        <v>98</v>
      </c>
      <c r="D33" s="111" t="s">
        <v>125</v>
      </c>
      <c r="E33" s="112"/>
    </row>
    <row r="34" spans="2:5" ht="20.25" customHeight="1" x14ac:dyDescent="0.25">
      <c r="B34" s="96"/>
      <c r="C34" s="95" t="s">
        <v>132</v>
      </c>
      <c r="D34" s="113" t="s">
        <v>124</v>
      </c>
      <c r="E34" s="114" t="s">
        <v>124</v>
      </c>
    </row>
    <row r="35" spans="2:5" ht="21" customHeight="1" x14ac:dyDescent="0.25">
      <c r="B35" s="96"/>
      <c r="C35" s="93" t="s">
        <v>133</v>
      </c>
      <c r="D35" s="106" t="s">
        <v>126</v>
      </c>
      <c r="E35" s="107" t="s">
        <v>126</v>
      </c>
    </row>
    <row r="36" spans="2:5" ht="20.25" customHeight="1" x14ac:dyDescent="0.25">
      <c r="B36" s="96"/>
      <c r="C36" s="93" t="s">
        <v>134</v>
      </c>
      <c r="D36" s="106" t="s">
        <v>127</v>
      </c>
      <c r="E36" s="107" t="s">
        <v>127</v>
      </c>
    </row>
    <row r="37" spans="2:5" ht="26.25" customHeight="1" x14ac:dyDescent="0.25">
      <c r="B37" s="96"/>
      <c r="C37" s="93" t="s">
        <v>135</v>
      </c>
      <c r="D37" s="106" t="s">
        <v>128</v>
      </c>
      <c r="E37" s="107" t="s">
        <v>128</v>
      </c>
    </row>
    <row r="38" spans="2:5" ht="26.25" customHeight="1" x14ac:dyDescent="0.25">
      <c r="B38" s="96"/>
      <c r="C38" s="93" t="s">
        <v>136</v>
      </c>
      <c r="D38" s="106" t="s">
        <v>129</v>
      </c>
      <c r="E38" s="107" t="s">
        <v>129</v>
      </c>
    </row>
    <row r="39" spans="2:5" ht="27.75" customHeight="1" x14ac:dyDescent="0.25">
      <c r="B39" s="96"/>
      <c r="C39" s="93" t="s">
        <v>137</v>
      </c>
      <c r="D39" s="106" t="s">
        <v>130</v>
      </c>
      <c r="E39" s="107" t="s">
        <v>130</v>
      </c>
    </row>
    <row r="40" spans="2:5" ht="33.75" customHeight="1" x14ac:dyDescent="0.25">
      <c r="B40" s="96"/>
      <c r="C40" s="93" t="s">
        <v>138</v>
      </c>
      <c r="D40" s="106" t="s">
        <v>130</v>
      </c>
      <c r="E40" s="107" t="s">
        <v>130</v>
      </c>
    </row>
    <row r="41" spans="2:5" ht="25.5" customHeight="1" x14ac:dyDescent="0.25">
      <c r="B41" s="96"/>
      <c r="C41" s="93" t="s">
        <v>139</v>
      </c>
      <c r="D41" s="106" t="s">
        <v>130</v>
      </c>
      <c r="E41" s="107" t="s">
        <v>130</v>
      </c>
    </row>
    <row r="42" spans="2:5" ht="25.5" customHeight="1" x14ac:dyDescent="0.25">
      <c r="B42" s="96"/>
      <c r="C42" s="93" t="s">
        <v>140</v>
      </c>
      <c r="D42" s="106" t="s">
        <v>131</v>
      </c>
      <c r="E42" s="107" t="s">
        <v>131</v>
      </c>
    </row>
    <row r="43" spans="2:5" ht="24" customHeight="1" x14ac:dyDescent="0.25">
      <c r="B43" s="96"/>
      <c r="C43" s="93" t="s">
        <v>141</v>
      </c>
      <c r="D43" s="106" t="s">
        <v>128</v>
      </c>
      <c r="E43" s="107" t="s">
        <v>128</v>
      </c>
    </row>
    <row r="44" spans="2:5" ht="29.25" customHeight="1" x14ac:dyDescent="0.25">
      <c r="B44" s="96"/>
      <c r="C44" s="93" t="s">
        <v>142</v>
      </c>
      <c r="D44" s="106" t="s">
        <v>124</v>
      </c>
      <c r="E44" s="107" t="s">
        <v>124</v>
      </c>
    </row>
    <row r="45" spans="2:5" ht="25.5" customHeight="1" x14ac:dyDescent="0.25">
      <c r="B45" s="96"/>
      <c r="C45" s="93" t="s">
        <v>143</v>
      </c>
      <c r="D45" s="106" t="s">
        <v>124</v>
      </c>
      <c r="E45" s="107" t="s">
        <v>124</v>
      </c>
    </row>
    <row r="46" spans="2:5" ht="26.25" customHeight="1" x14ac:dyDescent="0.25">
      <c r="B46" s="96"/>
      <c r="C46" s="93" t="s">
        <v>144</v>
      </c>
      <c r="D46" s="106" t="s">
        <v>124</v>
      </c>
      <c r="E46" s="107" t="s">
        <v>124</v>
      </c>
    </row>
    <row r="47" spans="2:5" ht="13.5" customHeight="1" x14ac:dyDescent="0.25">
      <c r="B47" s="96"/>
      <c r="C47" s="101"/>
      <c r="D47" s="101"/>
      <c r="E47" s="102"/>
    </row>
    <row r="48" spans="2:5" x14ac:dyDescent="0.25">
      <c r="B48" s="96"/>
      <c r="C48" s="3"/>
      <c r="D48" s="3"/>
      <c r="E48" s="97"/>
    </row>
    <row r="49" spans="2:5" ht="14.25" thickBot="1" x14ac:dyDescent="0.3">
      <c r="B49" s="98"/>
      <c r="C49" s="99"/>
      <c r="D49" s="99"/>
      <c r="E49" s="100"/>
    </row>
    <row r="50" spans="2:5" ht="59.25" customHeight="1" thickBot="1" x14ac:dyDescent="0.3">
      <c r="B50" s="103" t="s">
        <v>41</v>
      </c>
      <c r="C50" s="104"/>
      <c r="D50" s="104"/>
      <c r="E50" s="105"/>
    </row>
    <row r="51" spans="2:5" ht="75" customHeight="1" thickBot="1" x14ac:dyDescent="0.3">
      <c r="B51" s="103" t="s">
        <v>42</v>
      </c>
      <c r="C51" s="104"/>
      <c r="D51" s="104"/>
      <c r="E51" s="105"/>
    </row>
    <row r="52" spans="2:5" ht="14.25" thickBot="1" x14ac:dyDescent="0.3">
      <c r="B52" s="42"/>
      <c r="C52" s="76"/>
      <c r="D52" s="76"/>
      <c r="E52" s="78"/>
    </row>
    <row r="53" spans="2:5" x14ac:dyDescent="0.25">
      <c r="B53" s="43" t="s">
        <v>43</v>
      </c>
      <c r="C53" s="44"/>
      <c r="D53" s="40"/>
      <c r="E53" s="88"/>
    </row>
    <row r="54" spans="2:5" ht="119.25" customHeight="1" x14ac:dyDescent="0.25">
      <c r="B54" s="45"/>
      <c r="C54" s="101" t="s">
        <v>97</v>
      </c>
      <c r="D54" s="101"/>
      <c r="E54" s="102"/>
    </row>
    <row r="55" spans="2:5" x14ac:dyDescent="0.25">
      <c r="B55" s="45"/>
      <c r="C55" s="121"/>
      <c r="D55" s="121"/>
      <c r="E55" s="121"/>
    </row>
    <row r="56" spans="2:5" x14ac:dyDescent="0.25">
      <c r="B56" s="46" t="s">
        <v>44</v>
      </c>
      <c r="C56" s="47"/>
      <c r="D56" s="41"/>
      <c r="E56" s="89"/>
    </row>
    <row r="57" spans="2:5" ht="18.75" customHeight="1" x14ac:dyDescent="0.25">
      <c r="B57" s="45"/>
      <c r="C57" s="101" t="s">
        <v>95</v>
      </c>
      <c r="D57" s="101"/>
      <c r="E57" s="102"/>
    </row>
    <row r="58" spans="2:5" ht="370.5" customHeight="1" x14ac:dyDescent="0.25">
      <c r="B58" s="45"/>
      <c r="C58" s="101" t="s">
        <v>145</v>
      </c>
      <c r="D58" s="101"/>
      <c r="E58" s="102"/>
    </row>
    <row r="59" spans="2:5" ht="69" customHeight="1" thickBot="1" x14ac:dyDescent="0.3">
      <c r="B59" s="48"/>
      <c r="C59" s="122" t="s">
        <v>96</v>
      </c>
      <c r="D59" s="122"/>
      <c r="E59" s="123"/>
    </row>
    <row r="60" spans="2:5" ht="14.25" thickBot="1" x14ac:dyDescent="0.3">
      <c r="B60" s="41"/>
      <c r="C60" s="41"/>
      <c r="D60" s="41"/>
      <c r="E60" s="90"/>
    </row>
    <row r="61" spans="2:5" x14ac:dyDescent="0.25">
      <c r="B61" s="43" t="s">
        <v>45</v>
      </c>
      <c r="C61" s="50"/>
      <c r="D61" s="50"/>
      <c r="E61" s="91"/>
    </row>
    <row r="62" spans="2:5" x14ac:dyDescent="0.25">
      <c r="B62" s="51"/>
      <c r="C62" s="117" t="s">
        <v>46</v>
      </c>
      <c r="D62" s="117"/>
      <c r="E62" s="118"/>
    </row>
    <row r="63" spans="2:5" x14ac:dyDescent="0.25">
      <c r="B63" s="52" t="s">
        <v>47</v>
      </c>
      <c r="C63" s="41"/>
      <c r="D63" s="41"/>
      <c r="E63" s="87"/>
    </row>
    <row r="64" spans="2:5" x14ac:dyDescent="0.25">
      <c r="B64" s="53"/>
      <c r="C64" s="119" t="s">
        <v>48</v>
      </c>
      <c r="D64" s="119"/>
      <c r="E64" s="120"/>
    </row>
    <row r="65" spans="2:5" ht="14.25" thickBot="1" x14ac:dyDescent="0.3">
      <c r="B65" s="54"/>
      <c r="C65" s="49"/>
      <c r="D65" s="49"/>
      <c r="E65" s="92"/>
    </row>
  </sheetData>
  <mergeCells count="32">
    <mergeCell ref="C62:E62"/>
    <mergeCell ref="C64:E64"/>
    <mergeCell ref="C54:E54"/>
    <mergeCell ref="C55:E55"/>
    <mergeCell ref="C57:E57"/>
    <mergeCell ref="C58:E58"/>
    <mergeCell ref="C59:E59"/>
    <mergeCell ref="B2:H2"/>
    <mergeCell ref="A4:B4"/>
    <mergeCell ref="C4:E4"/>
    <mergeCell ref="A5:B5"/>
    <mergeCell ref="C5:E5"/>
    <mergeCell ref="B32:C32"/>
    <mergeCell ref="A6:B6"/>
    <mergeCell ref="A7:B7"/>
    <mergeCell ref="D42:E42"/>
    <mergeCell ref="D43:E43"/>
    <mergeCell ref="D35:E35"/>
    <mergeCell ref="D36:E36"/>
    <mergeCell ref="D33:E33"/>
    <mergeCell ref="D37:E37"/>
    <mergeCell ref="D38:E38"/>
    <mergeCell ref="D39:E39"/>
    <mergeCell ref="D40:E40"/>
    <mergeCell ref="D41:E41"/>
    <mergeCell ref="D34:E34"/>
    <mergeCell ref="C47:E47"/>
    <mergeCell ref="B51:E51"/>
    <mergeCell ref="B50:E50"/>
    <mergeCell ref="D44:E44"/>
    <mergeCell ref="D45:E45"/>
    <mergeCell ref="D46:E46"/>
  </mergeCells>
  <phoneticPr fontId="23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 x14ac:dyDescent="0.25"/>
  <cols>
    <col min="1" max="1" width="5.42578125" style="28" customWidth="1"/>
    <col min="2" max="2" width="12.28515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77.42578125" style="28" customWidth="1"/>
    <col min="8" max="8" width="8.42578125" style="28" customWidth="1"/>
    <col min="9" max="9" width="12" style="28" customWidth="1"/>
    <col min="10" max="10" width="11.42578125" style="28" customWidth="1"/>
    <col min="11" max="11" width="10.8554687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1"/>
  </cols>
  <sheetData>
    <row r="1" spans="1:1024" ht="18" customHeight="1" x14ac:dyDescent="0.25">
      <c r="A1" s="139" t="s">
        <v>49</v>
      </c>
      <c r="B1" s="139"/>
      <c r="C1" s="139"/>
      <c r="D1" s="139"/>
      <c r="E1" s="139"/>
      <c r="F1" s="139"/>
      <c r="G1" s="139"/>
      <c r="H1" s="139"/>
      <c r="I1" s="139"/>
      <c r="J1" s="26" t="s">
        <v>50</v>
      </c>
      <c r="K1" s="27" t="s">
        <v>51</v>
      </c>
    </row>
    <row r="2" spans="1:1024" ht="18.75" customHeight="1" thickBot="1" x14ac:dyDescent="0.3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024" ht="18.75" customHeight="1" thickBot="1" x14ac:dyDescent="0.3">
      <c r="A3" s="140" t="s">
        <v>52</v>
      </c>
      <c r="B3" s="140"/>
      <c r="C3" s="140"/>
      <c r="D3" s="143" t="str">
        <f>'Necesidades Trimestrales'!C4</f>
        <v>90 - Ministerio de Seguridad</v>
      </c>
      <c r="E3" s="143"/>
      <c r="F3" s="143"/>
      <c r="G3" s="143"/>
      <c r="H3" s="143"/>
      <c r="I3" s="143"/>
      <c r="J3" s="143"/>
      <c r="K3" s="143"/>
    </row>
    <row r="4" spans="1:1024" ht="18.75" customHeight="1" thickBot="1" x14ac:dyDescent="0.3">
      <c r="A4" s="142" t="s">
        <v>53</v>
      </c>
      <c r="B4" s="142"/>
      <c r="C4" s="142"/>
      <c r="D4" s="143" t="str">
        <f>'Necesidades Trimestrales'!C5</f>
        <v>7- Dirección Provincial de Administración de la Policía de la Provincia de Catamarca</v>
      </c>
      <c r="E4" s="143"/>
      <c r="F4" s="143"/>
      <c r="G4" s="143"/>
      <c r="H4" s="143"/>
      <c r="I4" s="143"/>
      <c r="J4" s="143"/>
      <c r="K4" s="143"/>
    </row>
    <row r="5" spans="1:1024" ht="18.75" customHeight="1" thickBot="1" x14ac:dyDescent="0.3">
      <c r="A5" s="142" t="s">
        <v>54</v>
      </c>
      <c r="B5" s="142"/>
      <c r="C5" s="142"/>
      <c r="D5" s="143" t="s">
        <v>55</v>
      </c>
      <c r="E5" s="143"/>
      <c r="F5" s="143"/>
      <c r="G5" s="143"/>
      <c r="H5" s="143"/>
      <c r="I5" s="143"/>
      <c r="J5" s="143"/>
      <c r="K5" s="143"/>
    </row>
    <row r="6" spans="1:1024" ht="16.5" customHeight="1" thickBot="1" x14ac:dyDescent="0.3">
      <c r="A6" s="140" t="s">
        <v>56</v>
      </c>
      <c r="B6" s="140"/>
      <c r="C6" s="140"/>
      <c r="D6" s="141" t="s">
        <v>57</v>
      </c>
      <c r="E6" s="127"/>
      <c r="F6" s="127"/>
      <c r="G6" s="127"/>
      <c r="H6" s="127"/>
      <c r="I6" s="127"/>
      <c r="J6" s="127"/>
      <c r="K6" s="128"/>
    </row>
    <row r="7" spans="1:1024" ht="16.5" customHeight="1" thickBot="1" x14ac:dyDescent="0.3">
      <c r="A7" s="142" t="s">
        <v>58</v>
      </c>
      <c r="B7" s="142"/>
      <c r="C7" s="142"/>
      <c r="D7" s="143" t="s">
        <v>59</v>
      </c>
      <c r="E7" s="143"/>
      <c r="F7" s="143"/>
      <c r="G7" s="143"/>
      <c r="H7" s="143"/>
      <c r="I7" s="143"/>
      <c r="J7" s="143"/>
      <c r="K7" s="143"/>
    </row>
    <row r="8" spans="1:1024" ht="16.5" customHeight="1" thickBot="1" x14ac:dyDescent="0.3">
      <c r="A8" s="135" t="s">
        <v>60</v>
      </c>
      <c r="B8" s="135"/>
      <c r="C8" s="135"/>
      <c r="D8" s="126" t="s">
        <v>61</v>
      </c>
      <c r="E8" s="127"/>
      <c r="F8" s="127"/>
      <c r="G8" s="127"/>
      <c r="H8" s="127"/>
      <c r="I8" s="127"/>
      <c r="J8" s="127"/>
      <c r="K8" s="128"/>
    </row>
    <row r="9" spans="1:1024" ht="18" thickBot="1" x14ac:dyDescent="0.3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024" ht="14.25" customHeight="1" thickBot="1" x14ac:dyDescent="0.3">
      <c r="A10" s="129" t="s">
        <v>62</v>
      </c>
      <c r="B10" s="130" t="s">
        <v>63</v>
      </c>
      <c r="C10" s="131" t="s">
        <v>64</v>
      </c>
      <c r="D10" s="132"/>
      <c r="E10" s="132"/>
      <c r="F10" s="132"/>
      <c r="G10" s="133"/>
      <c r="H10" s="134" t="s">
        <v>65</v>
      </c>
      <c r="I10" s="132" t="s">
        <v>66</v>
      </c>
      <c r="J10" s="132" t="s">
        <v>67</v>
      </c>
      <c r="K10" s="133" t="s">
        <v>68</v>
      </c>
    </row>
    <row r="11" spans="1:1024" ht="14.25" customHeight="1" thickBot="1" x14ac:dyDescent="0.3">
      <c r="A11" s="129"/>
      <c r="B11" s="130"/>
      <c r="C11" s="131"/>
      <c r="D11" s="132"/>
      <c r="E11" s="132"/>
      <c r="F11" s="132"/>
      <c r="G11" s="133"/>
      <c r="H11" s="134"/>
      <c r="I11" s="132"/>
      <c r="J11" s="132"/>
      <c r="K11" s="133"/>
    </row>
    <row r="12" spans="1:1024" ht="22.5" customHeight="1" thickBot="1" x14ac:dyDescent="0.3">
      <c r="A12" s="33">
        <v>1</v>
      </c>
      <c r="B12" s="57" t="e">
        <f>'Necesidades Trimestrales'!#REF!</f>
        <v>#REF!</v>
      </c>
      <c r="C12" s="136" t="e">
        <f>'Necesidades Trimestrales'!#REF!</f>
        <v>#REF!</v>
      </c>
      <c r="D12" s="137"/>
      <c r="E12" s="137"/>
      <c r="F12" s="137"/>
      <c r="G12" s="138"/>
      <c r="H12" s="34" t="s">
        <v>69</v>
      </c>
      <c r="I12" s="35" t="e">
        <f>'Necesidades Trimestrales'!#REF!</f>
        <v>#REF!</v>
      </c>
      <c r="J12" s="36" t="e">
        <f>'Necesidades Trimestrales'!#REF!</f>
        <v>#REF!</v>
      </c>
      <c r="K12" s="37" t="e">
        <f>'Necesidades Trimestrales'!#REF!</f>
        <v>#REF!</v>
      </c>
    </row>
    <row r="13" spans="1:1024" ht="22.5" customHeight="1" thickBot="1" x14ac:dyDescent="0.3">
      <c r="A13" s="33"/>
      <c r="B13" s="57" t="e">
        <f>'Necesidades Trimestrales'!#REF!</f>
        <v>#REF!</v>
      </c>
      <c r="C13" s="136" t="e">
        <f>'Necesidades Trimestrales'!#REF!</f>
        <v>#REF!</v>
      </c>
      <c r="D13" s="137"/>
      <c r="E13" s="137"/>
      <c r="F13" s="137"/>
      <c r="G13" s="138"/>
      <c r="H13" s="34" t="s">
        <v>69</v>
      </c>
      <c r="I13" s="35" t="e">
        <f>'Necesidades Trimestrales'!#REF!</f>
        <v>#REF!</v>
      </c>
      <c r="J13" s="36" t="e">
        <f>'Necesidades Trimestrales'!#REF!</f>
        <v>#REF!</v>
      </c>
      <c r="K13" s="37" t="e">
        <f>'Necesidades Trimestrales'!#REF!</f>
        <v>#REF!</v>
      </c>
    </row>
    <row r="14" spans="1:1024" ht="19.5" customHeight="1" x14ac:dyDescent="0.25">
      <c r="A14" s="33">
        <v>3</v>
      </c>
      <c r="B14" s="57" t="e">
        <f>'Necesidades Trimestrales'!#REF!</f>
        <v>#REF!</v>
      </c>
      <c r="C14" s="136" t="e">
        <f>'Necesidades Trimestrales'!#REF!</f>
        <v>#REF!</v>
      </c>
      <c r="D14" s="137"/>
      <c r="E14" s="137"/>
      <c r="F14" s="137"/>
      <c r="G14" s="138"/>
      <c r="H14" s="34" t="s">
        <v>69</v>
      </c>
      <c r="I14" s="35" t="e">
        <f>'Necesidades Trimestrales'!#REF!</f>
        <v>#REF!</v>
      </c>
      <c r="J14" s="36" t="e">
        <f>'Necesidades Trimestrales'!#REF!</f>
        <v>#REF!</v>
      </c>
      <c r="K14" s="37" t="e">
        <f>'Necesidades Trimestrales'!#REF!</f>
        <v>#REF!</v>
      </c>
    </row>
    <row r="15" spans="1:1024" ht="15.75" thickBot="1" x14ac:dyDescent="0.3">
      <c r="A15" s="124" t="s">
        <v>70</v>
      </c>
      <c r="B15" s="124"/>
      <c r="C15" s="124"/>
      <c r="D15" s="124"/>
      <c r="E15" s="124"/>
      <c r="F15" s="124"/>
      <c r="G15" s="124"/>
      <c r="H15" s="124"/>
      <c r="I15" s="124"/>
      <c r="J15" s="125">
        <f>'Necesidades Trimestrales'!I17</f>
        <v>332800</v>
      </c>
      <c r="K15" s="12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 x14ac:dyDescent="0.25">
      <c r="J16" s="38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opLeftCell="A7" workbookViewId="0">
      <selection activeCell="O15" sqref="O15:P15"/>
    </sheetView>
  </sheetViews>
  <sheetFormatPr baseColWidth="10" defaultColWidth="11" defaultRowHeight="13.5" x14ac:dyDescent="0.2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172" t="s">
        <v>5</v>
      </c>
      <c r="B1" s="172"/>
      <c r="C1" s="172"/>
      <c r="D1" s="173">
        <f>'Necesidades Trimestrales'!C6</f>
        <v>2022</v>
      </c>
      <c r="E1" s="173"/>
      <c r="F1" s="9"/>
      <c r="G1" s="9"/>
      <c r="H1" s="10"/>
      <c r="I1" s="10"/>
      <c r="J1" s="10"/>
      <c r="K1" s="10"/>
      <c r="L1" s="10"/>
      <c r="M1" s="10"/>
      <c r="N1" s="10"/>
      <c r="P1" s="174" t="s">
        <v>71</v>
      </c>
      <c r="Q1" s="174"/>
    </row>
    <row r="2" spans="1:17" ht="15.75" customHeight="1" x14ac:dyDescent="0.25">
      <c r="H2" s="10"/>
      <c r="I2" s="10"/>
      <c r="J2" s="10"/>
      <c r="K2" s="10"/>
      <c r="L2" s="10"/>
      <c r="M2" s="10"/>
      <c r="N2" s="10"/>
      <c r="P2" s="174"/>
      <c r="Q2" s="174"/>
    </row>
    <row r="4" spans="1:17" ht="18" customHeight="1" thickBot="1" x14ac:dyDescent="0.35">
      <c r="A4" s="175" t="s">
        <v>72</v>
      </c>
      <c r="B4" s="175"/>
      <c r="C4" s="175"/>
      <c r="D4" s="175"/>
      <c r="E4" s="175"/>
      <c r="F4" s="175"/>
      <c r="G4" s="170" t="str">
        <f>' NotaPedido'!D3</f>
        <v>90 - Ministerio de Seguridad</v>
      </c>
      <c r="H4" s="170"/>
      <c r="I4" s="170"/>
      <c r="J4" s="170"/>
      <c r="K4" s="170"/>
      <c r="L4" s="170"/>
      <c r="M4" s="170"/>
      <c r="N4" s="170"/>
      <c r="O4" s="170"/>
      <c r="P4" s="170"/>
      <c r="Q4" s="170"/>
    </row>
    <row r="5" spans="1:17" ht="18" customHeight="1" thickBot="1" x14ac:dyDescent="0.35">
      <c r="A5" s="167" t="s">
        <v>53</v>
      </c>
      <c r="B5" s="168"/>
      <c r="C5" s="168"/>
      <c r="D5" s="168"/>
      <c r="E5" s="168"/>
      <c r="F5" s="169"/>
      <c r="G5" s="170" t="str">
        <f>' NotaPedido'!D4</f>
        <v>7- Dirección Provincial de Administración de la Policía de la Provincia de Catamarca</v>
      </c>
      <c r="H5" s="170"/>
      <c r="I5" s="170"/>
      <c r="J5" s="170"/>
      <c r="K5" s="170"/>
      <c r="L5" s="170"/>
      <c r="M5" s="170"/>
      <c r="N5" s="170"/>
      <c r="O5" s="170"/>
      <c r="P5" s="170"/>
      <c r="Q5" s="170"/>
    </row>
    <row r="6" spans="1:17" ht="18" customHeight="1" thickBot="1" x14ac:dyDescent="0.35">
      <c r="A6" s="167" t="s">
        <v>54</v>
      </c>
      <c r="B6" s="168"/>
      <c r="C6" s="168"/>
      <c r="D6" s="168"/>
      <c r="E6" s="168"/>
      <c r="F6" s="169"/>
      <c r="G6" s="170" t="str">
        <f>' NotaPedido'!D5</f>
        <v>Policía de la Provincia de Catamarca</v>
      </c>
      <c r="H6" s="170"/>
      <c r="I6" s="170"/>
      <c r="J6" s="170"/>
      <c r="K6" s="170"/>
      <c r="L6" s="170"/>
      <c r="M6" s="170"/>
      <c r="N6" s="170"/>
      <c r="O6" s="170"/>
      <c r="P6" s="170"/>
      <c r="Q6" s="170"/>
    </row>
    <row r="7" spans="1:17" ht="18" customHeight="1" thickBot="1" x14ac:dyDescent="0.35">
      <c r="A7" s="167" t="s">
        <v>56</v>
      </c>
      <c r="B7" s="168"/>
      <c r="C7" s="168"/>
      <c r="D7" s="168"/>
      <c r="E7" s="168"/>
      <c r="F7" s="169"/>
      <c r="G7" s="170" t="str">
        <f>' NotaPedido'!D6</f>
        <v>División Intendencia, Departamento Logística</v>
      </c>
      <c r="H7" s="170"/>
      <c r="I7" s="170"/>
      <c r="J7" s="170"/>
      <c r="K7" s="170"/>
      <c r="L7" s="170"/>
      <c r="M7" s="170"/>
      <c r="N7" s="170"/>
      <c r="O7" s="170"/>
      <c r="P7" s="170"/>
      <c r="Q7" s="170"/>
    </row>
    <row r="8" spans="1:17" ht="18" customHeight="1" thickBot="1" x14ac:dyDescent="0.3">
      <c r="A8" s="171" t="s">
        <v>73</v>
      </c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</row>
    <row r="9" spans="1:17" ht="18" customHeight="1" x14ac:dyDescent="0.3">
      <c r="A9" s="161" t="s">
        <v>74</v>
      </c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3"/>
      <c r="P9" s="3"/>
      <c r="Q9" s="11"/>
    </row>
    <row r="10" spans="1:17" ht="66.75" customHeight="1" x14ac:dyDescent="0.25">
      <c r="A10" s="162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</row>
    <row r="11" spans="1:17" ht="9" customHeight="1" x14ac:dyDescent="0.25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5">
      <c r="A12" s="163" t="s">
        <v>75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</row>
    <row r="13" spans="1:17" ht="15.75" customHeight="1" x14ac:dyDescent="0.25">
      <c r="A13" s="164" t="s">
        <v>76</v>
      </c>
      <c r="B13" s="164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5" t="s">
        <v>77</v>
      </c>
      <c r="P13" s="165"/>
      <c r="Q13" s="166" t="s">
        <v>78</v>
      </c>
    </row>
    <row r="14" spans="1:17" ht="15.75" customHeight="1" thickBot="1" x14ac:dyDescent="0.3">
      <c r="A14" s="16" t="s">
        <v>79</v>
      </c>
      <c r="B14" s="17" t="s">
        <v>80</v>
      </c>
      <c r="C14" s="17" t="s">
        <v>81</v>
      </c>
      <c r="D14" s="17" t="s">
        <v>82</v>
      </c>
      <c r="E14" s="17" t="s">
        <v>83</v>
      </c>
      <c r="F14" s="17" t="s">
        <v>84</v>
      </c>
      <c r="G14" s="18" t="s">
        <v>85</v>
      </c>
      <c r="H14" s="17" t="s">
        <v>86</v>
      </c>
      <c r="I14" s="17" t="s">
        <v>87</v>
      </c>
      <c r="J14" s="17" t="s">
        <v>88</v>
      </c>
      <c r="K14" s="17" t="s">
        <v>88</v>
      </c>
      <c r="L14" s="17" t="s">
        <v>89</v>
      </c>
      <c r="M14" s="19" t="s">
        <v>90</v>
      </c>
      <c r="N14" s="20" t="s">
        <v>91</v>
      </c>
      <c r="O14" s="165"/>
      <c r="P14" s="165"/>
      <c r="Q14" s="166"/>
    </row>
    <row r="15" spans="1:17" ht="26.25" customHeight="1" x14ac:dyDescent="0.25">
      <c r="A15" s="21">
        <v>16</v>
      </c>
      <c r="B15" s="22">
        <v>0</v>
      </c>
      <c r="C15" s="22">
        <v>0</v>
      </c>
      <c r="D15" s="22">
        <v>1</v>
      </c>
      <c r="E15" s="22">
        <v>0</v>
      </c>
      <c r="F15" s="22">
        <v>10</v>
      </c>
      <c r="G15" s="22">
        <v>2</v>
      </c>
      <c r="H15" s="22">
        <v>210</v>
      </c>
      <c r="I15" s="22">
        <v>2</v>
      </c>
      <c r="J15" s="22">
        <v>9</v>
      </c>
      <c r="K15" s="22">
        <v>1</v>
      </c>
      <c r="L15" s="22">
        <v>0</v>
      </c>
      <c r="M15" s="23">
        <v>1</v>
      </c>
      <c r="N15" s="22" t="s">
        <v>92</v>
      </c>
      <c r="O15" s="144" t="e">
        <f>'Necesidades Trimestrales'!#REF!</f>
        <v>#REF!</v>
      </c>
      <c r="P15" s="145"/>
      <c r="Q15" s="24">
        <f>' NotaPedido'!J15</f>
        <v>332800</v>
      </c>
    </row>
    <row r="16" spans="1:17" ht="33" customHeight="1" thickBot="1" x14ac:dyDescent="0.3">
      <c r="A16" s="157" t="s">
        <v>93</v>
      </c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25">
        <f>Q15</f>
        <v>332800</v>
      </c>
    </row>
    <row r="17" spans="1:17" ht="18" customHeight="1" thickBot="1" x14ac:dyDescent="0.3">
      <c r="A17" s="158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60"/>
    </row>
    <row r="18" spans="1:17" ht="17.25" customHeight="1" thickBot="1" x14ac:dyDescent="0.3">
      <c r="A18" s="146" t="s">
        <v>94</v>
      </c>
      <c r="B18" s="147"/>
      <c r="C18" s="147"/>
      <c r="D18" s="147"/>
      <c r="E18" s="147"/>
      <c r="F18" s="148"/>
      <c r="G18" s="149"/>
      <c r="H18" s="150"/>
      <c r="I18" s="150"/>
      <c r="J18" s="150"/>
      <c r="K18" s="150"/>
      <c r="L18" s="150"/>
      <c r="M18" s="150"/>
      <c r="N18" s="150"/>
      <c r="O18" s="150"/>
      <c r="P18" s="150"/>
      <c r="Q18" s="150"/>
    </row>
    <row r="19" spans="1:17" ht="18" customHeight="1" x14ac:dyDescent="0.25">
      <c r="A19" s="151" t="str">
        <f>' NotaPedido'!D8</f>
        <v>Adquisición de Uniformes de Fajina para el personal policial.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3"/>
    </row>
    <row r="20" spans="1:17" ht="15" customHeight="1" thickBot="1" x14ac:dyDescent="0.3">
      <c r="A20" s="154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6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User</cp:lastModifiedBy>
  <cp:revision>2</cp:revision>
  <dcterms:created xsi:type="dcterms:W3CDTF">2020-07-17T23:44:49Z</dcterms:created>
  <dcterms:modified xsi:type="dcterms:W3CDTF">2022-09-06T13:21:21Z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