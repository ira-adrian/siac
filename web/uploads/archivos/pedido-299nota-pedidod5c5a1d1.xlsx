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G:\Mi unidad\COMPARTIDA\DIRECCION DE PLANIFICACION\DOCUMENTACION\Mario\MS\Tramites Cesar\Equipos Sanitarios y de Laboratorio\"/>
    </mc:Choice>
  </mc:AlternateContent>
  <xr:revisionPtr revIDLastSave="0" documentId="13_ncr:1_{11CA6EFB-7B56-4C0E-81C2-686A3DD98284}" xr6:coauthVersionLast="47" xr6:coauthVersionMax="47" xr10:uidLastSave="{00000000-0000-0000-0000-000000000000}"/>
  <bookViews>
    <workbookView xWindow="-120" yWindow="-120" windowWidth="29040" windowHeight="15840" xr2:uid="{00000000-000D-0000-FFFF-FFFF00000000}"/>
  </bookViews>
  <sheets>
    <sheet name="SAF 011 - NECESIDAD TRIMESTRAL" sheetId="1" r:id="rId1"/>
    <sheet name="NP" sheetId="2" r:id="rId2"/>
    <sheet name="APG" sheetId="3" r:id="rId3"/>
  </sheets>
  <definedNames>
    <definedName name="_xlnm._FilterDatabase" localSheetId="0" hidden="1">'SAF 011 - NECESIDAD TRIMESTRAL'!$A$9:$I$29</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41" i="3" l="1"/>
  <c r="G7" i="3"/>
  <c r="G6" i="3"/>
  <c r="G5" i="3"/>
  <c r="G4" i="3"/>
  <c r="C30" i="2"/>
  <c r="B30" i="2"/>
  <c r="C29" i="2"/>
  <c r="B29" i="2"/>
  <c r="C28" i="2"/>
  <c r="B28" i="2"/>
  <c r="C27" i="2"/>
  <c r="B27" i="2"/>
  <c r="C26" i="2"/>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I28" i="1"/>
  <c r="I27" i="1"/>
  <c r="I26" i="1"/>
  <c r="I25" i="1"/>
  <c r="I24" i="1"/>
  <c r="I23" i="1"/>
  <c r="I22" i="1"/>
  <c r="I21" i="1"/>
  <c r="I20" i="1"/>
  <c r="I19" i="1"/>
  <c r="I18" i="1"/>
  <c r="I17" i="1"/>
  <c r="I16" i="1"/>
  <c r="I15" i="1"/>
  <c r="I14" i="1"/>
  <c r="I13" i="1"/>
  <c r="H12" i="1"/>
  <c r="I11" i="1"/>
  <c r="I10" i="1"/>
  <c r="I12" i="1" l="1"/>
  <c r="I29" i="1" s="1"/>
  <c r="J32" i="2"/>
  <c r="Q38" i="3" s="1"/>
</calcChain>
</file>

<file path=xl/sharedStrings.xml><?xml version="1.0" encoding="utf-8"?>
<sst xmlns="http://schemas.openxmlformats.org/spreadsheetml/2006/main" count="254" uniqueCount="157">
  <si>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</si>
  <si>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</si>
  <si>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</si>
  <si>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</si>
  <si>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</si>
  <si>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</si>
  <si>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</si>
  <si>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</si>
  <si>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</si>
  <si>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</si>
  <si>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</si>
  <si>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</si>
  <si>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</si>
  <si>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CANTIDAD TOTAL</t>
  </si>
  <si>
    <t>PRECIO UNITARIO ESTIMADO</t>
  </si>
  <si>
    <t xml:space="preserve">IMPORTE TOTAL ESTIMADO </t>
  </si>
  <si>
    <t>4.3.3-8790.6</t>
  </si>
  <si>
    <t>PROD. MEDICO/FARMACEUTICOS/LAB</t>
  </si>
  <si>
    <t>4.3.3</t>
  </si>
  <si>
    <t>BAÑOS MARIA; DIMENSION: 45 X 30 X 13 mm, ALIMENTACION: 220 V, MATERIAL: ACERO INOXIDABLE, TEMPERATURA MAXIMA: 100 °C</t>
  </si>
  <si>
    <t>UNIDAD</t>
  </si>
  <si>
    <t>4.3.3-208.17</t>
  </si>
  <si>
    <t>CAMAS HOSPITALARIAS; DESTINO: DE INTERNACION, DIMENSION: 190 X 80 X 20 Cm, LECHO: REGULABLE, MOV. ORTOPEDICO: A MANIVELA, MATERIAL ESTRUCTURA: ACERO, TIPO PANEL LATERAL: BARANDA DESMONTABLE, MOVILIDAD: A MANIVELA, MATERIAL: ACERO</t>
  </si>
  <si>
    <t>Manual, 3 movimientos, barandas rebatibles y desmontables, ruedas por 125mm con freno independiente, lecho de chapa , porta suero inoxidables telescopico recto. Incluye colchon sanitario.</t>
  </si>
  <si>
    <t>4.3.3-208.12</t>
  </si>
  <si>
    <t>CAMAS HOSPITALARIAS; DESTINO: PACIENTES + DE 200 KG, DIMENSION: 110 X 200 X 62 Cm, LECHO: ESTRATIFICADO, MOV. ORTOPEDICO: A MANIVELA, MATERIAL ESTRUCTURA: CAÑO, TIPO PANEL LATERAL: DESMONTABLE, MOVILIDAD: A MANIVELA, MATERIAL: CAÑO</t>
  </si>
  <si>
    <t>4.3.3-1719.21</t>
  </si>
  <si>
    <t>EQUIPOS</t>
  </si>
  <si>
    <t>CAMILLAS; ANCHO: 50 Cm, LARGO: 200 Cm, ALTO: 75 Cm, ARNESES: SIN, TIPO: EXAMEN</t>
  </si>
  <si>
    <t>4.3.3-1719.15</t>
  </si>
  <si>
    <t>CAMILLAS; ANCHO: 55 Cm, LARGO: 130 Cm, ALTO: 85 Cm, ARNESES: SIN, TIPO: EXAMEN PEDIATRICO</t>
  </si>
  <si>
    <t>4.3.3-1719.14</t>
  </si>
  <si>
    <t>CAMILLAS; ANCHO: 55 Cm, LARGO: 180 Cm, ALTO: 70 Cm, ARNESES: SIN VALOR, TIPO: GINECOLOGICA</t>
  </si>
  <si>
    <t>4.3.3-1719.22</t>
  </si>
  <si>
    <t>CAMILLAS; ANCHO: 80 Cm, LARGO: 200 Cm, ALTO: 75 Cm, ARNESES: SIN, TIPO: EXAMEN</t>
  </si>
  <si>
    <t>4.3.3-2046.9</t>
  </si>
  <si>
    <t>CARDIODESFIBRILADORES; ALIMENTACION: BATERIA, TIPO: EXTERNO BIFASICO, ACCESORIO: MONITOR</t>
  </si>
  <si>
    <t>4.3.3-5412.12</t>
  </si>
  <si>
    <t>CARROS DE CURACIONES; MATERIAL: MELAMINA, ESTANTE: 2, DEFENSA: METALICAS CROMADAS, CAPACIDAD: 3 PORTAFRASCOS, CANT. DE RUEDAS: 4, DIMENSION: 46 X 55 X 78 Cm</t>
  </si>
  <si>
    <t>4.3.3-5412.10</t>
  </si>
  <si>
    <t>CARROS DE CURACIONES; MATERIAL: METAL, ESTANTE: 3, DEFENSA: CON, CAPACIDAD: 7 CRESTAS, CANT. DE RUEDAS: 4, DIMENSION: 76 X 50 X 100 Cm</t>
  </si>
  <si>
    <t>4.3.3-67.7</t>
  </si>
  <si>
    <t>CENTRIFUGAS P/LABORATORIO; CABEZAL: 24 TUBOS, TIPO CABEZAL: 24 TUBOS</t>
  </si>
  <si>
    <t>4.3.3-6359.1</t>
  </si>
  <si>
    <t>COLPOSCOPIOS; OBJETIVO: DE F 300 DIST. DE TRABAJO mm, MODELO: OP-C2, AUMENTOS: TRES, LUZ: FRIA DE 150 DE POTENCIA W, PARALELOGRAMO: BALANCEADO Y COMPENSADO, FILTRO: VERDE, BINOCULAR: INCLINADO A 45 °C, SIST. DE VIDEO: P/COLPOSCOPIA, VIDEO PRINTER: CON, AUMENTO: TRES</t>
  </si>
  <si>
    <t>4.3.3-4084.13</t>
  </si>
  <si>
    <t>4.3.3-7797.2</t>
  </si>
  <si>
    <t>FOTOSFOROS; TIPO: RODANTE, USO: MEDICO</t>
  </si>
  <si>
    <t>4.3.3-244.23</t>
  </si>
  <si>
    <t>MICROSCOPIOS; TIPO: BINOCULAR, DIST. DE TRABAJO: 13 mm, AUMENTO TOTAL: 50X, XY RESOLUCION: 0.001 mm, TOMA CORRIENTE: 110/220 V, MAX. ALT PIEZA: SIN VALOR, CANT. DE LENTES: 4, Nº LENTES: 4, AUMENTO: 50X, DISTANCIA TRABAJO: 13 mm, TENSION: 110/220 V, AUMENTO MAXIMO: 50X</t>
  </si>
  <si>
    <t>4.3.5-1290.9</t>
  </si>
  <si>
    <t>NEGATOSCOPIOS; USO: P/RADIOGRAFIAS, FUENTE DE ALIMENTACION : 220 V, ANCHO X LARGO: 38 X 56 Cm, MODELO: SIN VALOR, FUENTE DE ALIMENTACION: 220 V</t>
  </si>
  <si>
    <t>4.3.3-1711.9</t>
  </si>
  <si>
    <t>SILLAS DE RUEDAS; ANCHO: 61 Cm, APOYABRAZO: DESMONTABLE, PIERNERA: DESMONTABLE, FRENO: CON, MATERIAL: METALICA CROMADA</t>
  </si>
  <si>
    <t>TOTAL RUBRO EQUIPOS</t>
  </si>
  <si>
    <t>ESPECIFICADES Y DETALLE TECNICO:</t>
  </si>
  <si>
    <t>Plazos de entrega:</t>
  </si>
  <si>
    <t>Lugar de Entrega:</t>
  </si>
  <si>
    <t>MINISTERIO DE SALUD - CHACABUCO N° 169 - en el horario de 8:00hs a 12:00hs de lunes a viernes</t>
  </si>
  <si>
    <t>Calidad Minima esperada:</t>
  </si>
  <si>
    <t>Mantenimiento:</t>
  </si>
  <si>
    <t>cuarenta y cinco (45) días</t>
  </si>
  <si>
    <t>ESPECIFICIDADES ITEM 2</t>
  </si>
  <si>
    <t>ESPECIFICIDADES ITEM 3</t>
  </si>
  <si>
    <t>ESPECIFICIDADES ITEM 4</t>
  </si>
  <si>
    <t>ESPECIFICIDADES ITEM 5</t>
  </si>
  <si>
    <t>ESPECIFICIDADES ITEM 6</t>
  </si>
  <si>
    <t>ESPECIFICIDADES ITEM 7</t>
  </si>
  <si>
    <t>ESPECIFICIDADES ITEM 8</t>
  </si>
  <si>
    <t>ESPECIFICIDADES ITEM 10</t>
  </si>
  <si>
    <t>ESPECIFICIDADES ITEM 12</t>
  </si>
  <si>
    <t>ESPECIFICIDADES ITEM 14</t>
  </si>
  <si>
    <t>ESPECIFICIDADES ITEM 15</t>
  </si>
  <si>
    <t>ESPECIFICIDADES ITEM 18</t>
  </si>
  <si>
    <t>ESPECIFICIDADES ITEM 19</t>
  </si>
  <si>
    <t>NOTA DE PEDIDO</t>
  </si>
  <si>
    <t>N°</t>
  </si>
  <si>
    <t xml:space="preserve">JURISDICCIÓN: </t>
  </si>
  <si>
    <t>SAF:</t>
  </si>
  <si>
    <t>011 - DIRECCION PROVINCIAL DE ADMINISTRACION DEL MINISTERIO DE SALUD</t>
  </si>
  <si>
    <t>UNIDAD EJECUTORA:</t>
  </si>
  <si>
    <t>352 - MINISTERIO DE SALUD</t>
  </si>
  <si>
    <t xml:space="preserve">DEPENDENCIA SOLICITANTE: </t>
  </si>
  <si>
    <t>PERIODO UTILIZACIÓN:</t>
  </si>
  <si>
    <t>OBJETO:</t>
  </si>
  <si>
    <t>ADQUISICION DE EQUIPOS SANITARIOS Y DE LABORATORIO CON DESTINO A HOSPITALES DE LA PROVINCIA</t>
  </si>
  <si>
    <t>Ítem</t>
  </si>
  <si>
    <t>Codigo Item</t>
  </si>
  <si>
    <t>DESCRIPCIÓN</t>
  </si>
  <si>
    <t>Adjunta Detalle Técnico</t>
  </si>
  <si>
    <t>Unidad Medida</t>
  </si>
  <si>
    <t>Precio Unitario Estimado</t>
  </si>
  <si>
    <t>Cantidad Solicitada</t>
  </si>
  <si>
    <t>SI</t>
  </si>
  <si>
    <t>AUTORIZACION PARA GASTAR</t>
  </si>
  <si>
    <t>JURISDICCIÓN:</t>
  </si>
  <si>
    <r>
      <rPr>
        <b/>
        <u/>
        <sz val="10"/>
        <rFont val="Arial"/>
      </rPr>
      <t>AUTORIZACIÓN</t>
    </r>
    <r>
      <rPr>
        <b/>
        <u/>
        <sz val="10"/>
        <rFont val="Arial"/>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</si>
  <si>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</si>
  <si>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</si>
  <si>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</si>
  <si>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</si>
  <si>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</si>
  <si>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</si>
  <si>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</si>
  <si>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</si>
  <si>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</si>
  <si>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</si>
  <si>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</si>
  <si>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</si>
  <si>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</si>
  <si>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</si>
  <si>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</si>
  <si>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</si>
  <si>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</si>
  <si>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</si>
  <si>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</si>
  <si>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SANITARIOS Y DE LABORATORIO</t>
  </si>
  <si>
    <t>JUSTIFICACIÓN:</t>
  </si>
  <si>
    <t xml:space="preserve">Melamina en estructura metálica, pintura epoxi de la misma, superficie de apoyo mínima 60x50cm, 1 cajón como mínimo, 2 estantes mínimos, con 4 ruedas giratorias. </t>
  </si>
  <si>
    <t xml:space="preserve">Con porta tambor, barandas y porta ondina. Material: Acero inoxidable,  superficie de apoyo mínima 60x50cm, 2 cajones mínimos, 2 estantes mínimos, con 4 ruedas giratorias. </t>
  </si>
  <si>
    <t xml:space="preserve">Construido de caño de hierro cromado. Sólido y liviano, con secciones y espesores que soporten los esfuerzos a los que habitualmente están sometidos. Cabezal de iluminación pintado con pintura Epoxi. Integrado aproximadamente por 4 Leds de alta intensidad con mínima emisión de calor. Altura y ángulo de iluminación regulables a través de una articulación con freno a perilla. Tecla de encendido y cables normalizados. Base plástica de 5 ramas en estrella de 50 cm. con 5 ruedas giratorias duales. Altura aproximada: 140 mm  </t>
  </si>
  <si>
    <t>Garantía mínima de 1 año</t>
  </si>
  <si>
    <t xml:space="preserve">Electrocardiógrafo de 3 canales con pantalla LCD de alta resolución, donde se muestren la forma de onda de las 12 derivaciones en tiempo real y con menú en español. Teclado de membrana para las funciones de encendido y apagado, inicio y apagado de registro, indicador de carga de batería, indicador de alimentación, selector de derivación, sensibilidad, marcador de 1 mV , tecla de revisión, tecla reset. Con la opción para papel térmico de 50mm y de 63mm. Betería interna recargable de Ni-Mh que le permita una autonomía mínima de 2 hs. de trabajo contínuo. Tiempo de carga máximo 3 hs. Aviso en pantalla de electrodo suelto. Accesorios estándar: *1 Cable paciente de 12 derivaciones con protección contra desfibrilador CP 105J. *1 Juego por 6 electrodos de pecho para adultos TE01. *1 Juego por 4 electrodos para miembro adultos  TE 43. *1 Rollo de papel de 63 mm x 30 m. *1 Cable de línea. *1 Batería recargable. *1 Manual de uso. Debe tener al menos  1 año de garantía y contar con aprobación de ANMAT.
</t>
  </si>
  <si>
    <t>4.3.3-134.4</t>
  </si>
  <si>
    <t>ELECTROCARDIOGRAFOS; TIPO: PORTATIL, ALIMENTACION: 220V Y BATERIA RECARGABLE</t>
  </si>
  <si>
    <t>Garantia:</t>
  </si>
  <si>
    <t>minima un (1) año</t>
  </si>
  <si>
    <t>veinte (20) dias habiles</t>
  </si>
  <si>
    <t>TERCERO</t>
  </si>
  <si>
    <t>ESPECIFICIDADES ITEM 1</t>
  </si>
  <si>
    <t>Manual, 3 movimientos, barandas rebatibles y desmontables, ruedas por 125mm con freno independiente, lecho de chapa , porta suero inoxidables telescopico recto. Incluye colchon sanitario para obesos.</t>
  </si>
  <si>
    <t>ESPECIFICIDADES ITEM 9</t>
  </si>
  <si>
    <t>ESPECIFICIDADES ITEM 11</t>
  </si>
  <si>
    <t>ESPECIFICIDADES ITEM 13</t>
  </si>
  <si>
    <t>ESPECIFICIDADES ITEM 16</t>
  </si>
  <si>
    <t>ESPECIFICIDADES ITEM 17</t>
  </si>
  <si>
    <t>Autorizo la realización de los  trámites correspondientes, a fin de proveer a  este Organismo los bienes, servicios o ejecución de obras públicas que se detallan en Nota  de Pedido N° 09/2022 , afectando la erogación resultante a los créditos presupuestarios aprobados a favor de esta Unidad Ejecutora, conforme al siguiente detalle:</t>
  </si>
  <si>
    <t xml:space="preserve"> 09/2022</t>
  </si>
  <si>
    <t>Estructura de caño de 25 x 25, esmaltado en Epoxi. Reforzada, 4 patas fijas con refuerzo perimetral, tapizado en cuerina de gran espesor. Que soporte hasta 100 kg.</t>
  </si>
  <si>
    <t>Estructura de caño de 25 x 25, esmaltado en Epoxi. Reforzada, 4 patas fijas con refuerzo perimetral, tapizado en cuerina de gran espesor. Que soporte hasta 150 kg.</t>
  </si>
  <si>
    <t>Estructura de acero SAE, esmaltado en Epoxi. Reforzada, 6 patas fijas con refuerzo perimetral, tapizado en cuerina de gran espesor. Que soporte desde 200 kg.</t>
  </si>
  <si>
    <t>De tres planos, con estribos cromados y cajon, acolchado en cuero vinilico lavable. Estructura en caño fuerte de 3 cm de diámetro, con tratamiento epoxi, estribos removibles y con cabecera y piernera regulables manualmente. Bandeja debajo del cuerpo central de 20x20cm medidas mínimas. Sin arneses.</t>
  </si>
  <si>
    <t>EQUIPOS DE RAYOS X; USO: PORTATIL, FRECUENCIA: SIN VALOR, REGULACION: AUTOMATICA, COMANDOS: CON INSTRUMENTOS CONTROLADORES, AMPLIACION DE APLIQUE: APLIQUE POTENCIA 20/40/125 KW, COMANDO: CON INSTRUMENTOS CONTROLADORES</t>
  </si>
  <si>
    <t xml:space="preserve">Equipo de RX rodante con rendimiento de 600mA-125KV, para trabajar en líneas monofásicas de 220 V. Frecuencia: Alta. Comando digital integrado por microprocesadores RISC con las siguientes características: *Compensación automática de línea. *Estabilización a lazo cerrado de KV y mA manteniendolos constante durante el disparo. *Presentación en display de cuarzo líquido de dos líneas de todos los valores radiográficos, mensajes de funcionamiento y mensajes de error. *Señalización luminosa de encendido, puesto de trabajo, preparación, disparo, programador anatómico. *Señalización audible de funciones y alarmas. *Indicación de funciones, advertencias y mensajes en display. *Rango de KV radiográfico desde 35 KV a 125 KV en pasos de 1 KV. *Rango de mA radiográficos desde 50 a 600 mA en 7 pasos. (50 y 100 en FF y 200, 300, 400, 500 y 600 en FG). *Rango de tiempos de exposición radiográficos desde 5 mseg hasta 5 seg en 36 pasos. *Programador anatómico con lectura en directa en display de región anatómica a radiografiar con más de 1000 posibles técnicas reprogramables. *Banco de capacitares para almacenamiento de energía. *Alimentación monofásica de 220 V. (bajo consumo). Circuitos de seguridad mínimos: *Seguridad de filamento para foco fino y foco grueso en forma independiente. *Seguridad de giro de ánodo para circuito inductivo y capacitivo. *Seguridad por falla de línea. *Seguridad de IGBT y circuito de alta tensión. *Seguridad por KV máximo y mínimo (programable). Generador de alta frecuencia, con salida para un tubo de rayos x bifocal. Potencia máxima de salida 50 KW. Tubo de RX de ánodo giratorio de doble foco (1-2mm), capacidad térmica de 140 KHU y correspondiente juego de cables de alta tensión con funda de protección. Colimador Luminoso  manual, multiplano luminoso temporizado con tiempo de encendido con mando de encendido/ apagado desde colimador y frente de comando. Campo de iluminación con luz LED de alta intensidad. Base de colimador giratoria para su fácil posicionamiento. con tapas para seguridad en movimientos, superficies planas para facilitar la limpieza del equipo. Estativo con base de pequeñas dimensiones que le permita desplazarse con comodidad en salas de internación, neonatología y ascensores reducidos provista con dos ruedas principales de 250 mm de diámetro aproximadamente y ruedas giratorias de pequeñas dimensiones para ingreso bajo camillas e incubadoras. Sistema de traslado a través de mando en cuerpo principal con freno de ruedas principales para su inmovilización que se active automáticamente al soltar el mando. Pedal para elevación de rueda delantera para evitar discontinuidades en el piso. Brazo porta tubo: contrabalanceado con resortes neumáticos, movimiento foco piso aproximado entre 500 hasta 2100mm, con giro de tubo mínimo de 270°. Garantía mínima de 1 año. Deben proveer manuales de usuario y de servicio técnico. Debe contar con aprobación de ANMAT.
</t>
  </si>
  <si>
    <t>Luz led, con base rodante, estereoscopico , binocular de alta resolucion, con adaptador de dioptria, filtro verde. Aprobado por ANMAT</t>
  </si>
  <si>
    <t>Motor reforzado de baja sonoridad para uso intensivo, con escobillas. Tacómetro digital directo sobre motor con lectura constante. Timer digital programable desde 1 hasta 99 minutos (con intervalos de numeros enteros). Tablero frontal con teclas tipo burbuja de encendido, velocidad y tiempo. Lámpara piloto neón indicadora de marcha y detención. Gabinete esmaltado con pintura epoxi a fuego extra resistente.  Motor montado sobre amortiguador de goma para absorción de vibraciones. Cámara de centrifugación de aluminio de fácil limpieza. Rango de velocidad: 0 a 15000 rpm aprox. Debe cumplir con las normas de seguridad y estar aprobada por ANMAT.</t>
  </si>
  <si>
    <t>4.3.3-6499.21</t>
  </si>
  <si>
    <t>MICROCENTRIFUGAS DE MESA; TIPO: COMPACTA, RANGO DE TEMPERATURA: -10 A 40 °C, VELOCIDAD: 14000 RPM, CANTIDAD DE TUBOS: 24</t>
  </si>
  <si>
    <t>MICROCENTRIFUGAS DE MESA; AUTOCLAVABLE, TUBOS DE 1.5/2 mL, Para uso intensivo, con eje de acero y rodamientos sellados y autolubricados. Y todas las medidas de protección necesarias: traba de tapa hasta detención del cabezal; indicador e interrupción de marcha por desbalanceo; freno automático y motor asincrónico, sin carbones y libre de mantenimiento. Debe cumplir con las normas de seguridad y estar aprobada por ANMAT.</t>
  </si>
  <si>
    <t>Modelo: Simple; PVC: alto impacto; Tipo de iluminacion: led; Cant. De tubos:  dos de luz fría</t>
  </si>
  <si>
    <t>Acero cromada, peso 100 kg , pedanas y apoya brazos desmontables. Respaldo/asiento: cuerina gruesa. -Ancho asiento-respaldo abierto: 61 cm; -Ancho cerrado: 28 cm aprox. Ruedas de goma maciza. Cantidad de ruedas: 4.</t>
  </si>
  <si>
    <t>* ADJUNTAR FOLLETERIA, MANUALES Y/O CUALQUIER OTRA DOCUMENTACION QUE EL PROVEEDOR ESTIME NECESARIO PARA ACLARAR EL BIEN COTIZADO</t>
  </si>
  <si>
    <t>Con un rango de desvío no mayor a 1 grado centígrado. Aprobado por ANMAT.</t>
  </si>
  <si>
    <t>3er TRIMESTRE 2022</t>
  </si>
  <si>
    <t>Costo total estimado: PESOS CUARENTA Y DOS MILLONES TRESCIENTOS UN MIL OCHOCIENTOS SESENTA Y SIETE CON 17/100.-</t>
  </si>
  <si>
    <t>TOTAL DE PESOS: CUARENTA Y DOS MILLONES TRESCIENTOS UN MIL OCHOCIENTOS SESENTA Y SIETE CON 17/100.-</t>
  </si>
  <si>
    <t>Incluye dos juegos de parches de respuestos. Unidad portátil con manija de transporte y alojamiento de paletas integrada al gabinete. Función de monitorización. Selección de desfibrilación desde el teclado digital y desde las paletas. Presentación de frecuencia cardíaca y alarmas configurables por el usuario, con control de amplitud, congelamiento y volumen. Autonomía mínima de 60 descargas a máxima potencia o 6 horas de monitorización continua, alimentación 110v-220vca, garantía mínima de un año, debe incluir manuales de usuario y de servicio técnico, debe contar con aprobación de ANMAT y ser de marca reconocida internacionalmente.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</si>
</sst>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_-[$$-2C0A]\ * #,##0.00_-;\-[$$-2C0A]\ * #,##0.00_-;_-[$$-2C0A]\ * &quot;-&quot;??_-;_-@"/>
    <numFmt numFmtId="166" formatCode="[$$-2C0A]\ #,##0.00"/>
    <numFmt numFmtId="167" formatCode="dd\-mm\-yy"/>
  </numFmts>
  <fonts count="39" x14ac:knownFonts="1">
    <font>
      <sz val="11"/>
      <color rgb="FF000000"/>
      <name val="Calibri"/>
    </font>
    <font>
      <sz val="10"/>
      <name val="Times New Roman"/>
    </font>
    <font>
      <b/>
      <sz val="14"/>
      <name val="Times New Roman"/>
    </font>
    <font>
      <b/>
      <sz val="10"/>
      <color rgb="FF000000"/>
      <name val="Times New Roman"/>
    </font>
    <font>
      <sz val="10"/>
      <color rgb="FF000000"/>
      <name val="Times New Roman"/>
    </font>
    <font>
      <b/>
      <sz val="10"/>
      <name val="Times New Roman"/>
    </font>
    <font>
      <b/>
      <sz val="11"/>
      <color rgb="FF000000"/>
      <name val="Calibri"/>
    </font>
    <font>
      <sz val="10"/>
      <name val="Calibri"/>
    </font>
    <font>
      <b/>
      <sz val="10"/>
      <color rgb="FFFF0000"/>
      <name val="Calibri"/>
    </font>
    <font>
      <sz val="10"/>
      <color rgb="FF000000"/>
      <name val="Calibri"/>
    </font>
    <font>
      <sz val="11"/>
      <name val="Calibri"/>
    </font>
    <font>
      <sz val="11"/>
      <name val="Calibri"/>
    </font>
    <font>
      <b/>
      <sz val="10"/>
      <color rgb="FF000000"/>
      <name val="Calibri"/>
    </font>
    <font>
      <b/>
      <u/>
      <sz val="24"/>
      <name val="Times New Roman"/>
    </font>
    <font>
      <b/>
      <u/>
      <sz val="12"/>
      <name val="Times New Roman"/>
    </font>
    <font>
      <b/>
      <sz val="12"/>
      <name val="Times New Roman"/>
    </font>
    <font>
      <b/>
      <u/>
      <sz val="12"/>
      <name val="Times New Roman"/>
    </font>
    <font>
      <b/>
      <u/>
      <sz val="12"/>
      <name val="Times New Roman"/>
    </font>
    <font>
      <b/>
      <u/>
      <sz val="12"/>
      <name val="Times New Roman"/>
    </font>
    <font>
      <b/>
      <u/>
      <sz val="12"/>
      <name val="Times New Roman"/>
    </font>
    <font>
      <b/>
      <u/>
      <sz val="12"/>
      <name val="Times New Roman"/>
    </font>
    <font>
      <b/>
      <u/>
      <sz val="12"/>
      <name val="Times New Roman"/>
    </font>
    <font>
      <sz val="12"/>
      <name val="Times New Roman"/>
    </font>
    <font>
      <b/>
      <sz val="11"/>
      <name val="Times New Roman"/>
    </font>
    <font>
      <sz val="11"/>
      <name val="Times New Roman"/>
    </font>
    <font>
      <b/>
      <sz val="11"/>
      <name val="Arial"/>
    </font>
    <font>
      <b/>
      <sz val="12"/>
      <name val="Arial"/>
    </font>
    <font>
      <sz val="10"/>
      <name val="Arial"/>
    </font>
    <font>
      <sz val="11"/>
      <name val="Arial"/>
    </font>
    <font>
      <b/>
      <u/>
      <sz val="10"/>
      <name val="Arial"/>
    </font>
    <font>
      <b/>
      <sz val="10"/>
      <name val="Arial"/>
    </font>
    <font>
      <sz val="10"/>
      <name val="Calibri"/>
      <family val="2"/>
    </font>
    <font>
      <sz val="11"/>
      <name val="Calibri"/>
      <family val="2"/>
    </font>
    <font>
      <b/>
      <sz val="10"/>
      <color rgb="FF000000"/>
      <name val="Times New Roman"/>
      <family val="1"/>
    </font>
    <font>
      <b/>
      <sz val="11"/>
      <name val="Calibri"/>
      <family val="2"/>
    </font>
    <font>
      <b/>
      <sz val="10"/>
      <color rgb="FF000000"/>
      <name val="Calibri"/>
      <family val="2"/>
    </font>
    <font>
      <b/>
      <sz val="12"/>
      <name val="Times New Roman"/>
      <family val="1"/>
    </font>
    <font>
      <sz val="11"/>
      <name val="Arial"/>
      <family val="2"/>
    </font>
    <font>
      <sz val="11"/>
      <name val="Times New Roman"/>
      <family val="1"/>
    </font>
  </fonts>
  <fills count="3">
    <fill>
      <patternFill patternType="none"/>
    </fill>
    <fill>
      <patternFill patternType="gray125"/>
    </fill>
    <fill>
      <patternFill patternType="solid">
        <fgColor rgb="FFFFFFFF"/>
        <bgColor rgb="FFFFFFFF"/>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3D3D3D"/>
      </right>
      <top style="medium">
        <color rgb="FF000000"/>
      </top>
      <bottom/>
      <diagonal/>
    </border>
    <border>
      <left style="medium">
        <color rgb="FF3D3D3D"/>
      </left>
      <right style="medium">
        <color rgb="FF000000"/>
      </right>
      <top style="medium">
        <color rgb="FF000000"/>
      </top>
      <bottom style="medium">
        <color rgb="FF3D3D3D"/>
      </bottom>
      <diagonal/>
    </border>
    <border>
      <left style="medium">
        <color rgb="FF000000"/>
      </left>
      <right/>
      <top/>
      <bottom style="medium">
        <color rgb="FF3D3D3D"/>
      </bottom>
      <diagonal/>
    </border>
    <border>
      <left/>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3D3D3D"/>
      </top>
      <bottom/>
      <diagonal/>
    </border>
    <border>
      <left/>
      <right/>
      <top style="medium">
        <color rgb="FF3D3D3D"/>
      </top>
      <bottom/>
      <diagonal/>
    </border>
    <border>
      <left/>
      <right style="medium">
        <color rgb="FF3D3D3D"/>
      </right>
      <top style="medium">
        <color rgb="FF000000"/>
      </top>
      <bottom style="medium">
        <color rgb="FF000000"/>
      </bottom>
      <diagonal/>
    </border>
    <border>
      <left style="medium">
        <color rgb="FF3D3D3D"/>
      </left>
      <right/>
      <top style="medium">
        <color rgb="FF000000"/>
      </top>
      <bottom style="medium">
        <color rgb="FF000000"/>
      </bottom>
      <diagonal/>
    </border>
    <border>
      <left style="medium">
        <color rgb="FF000000"/>
      </left>
      <right style="medium">
        <color rgb="FF3D3D3D"/>
      </right>
      <top style="medium">
        <color rgb="FF000000"/>
      </top>
      <bottom/>
      <diagonal/>
    </border>
    <border>
      <left style="medium">
        <color rgb="FF3D3D3D"/>
      </left>
      <right style="medium">
        <color rgb="FF3D3D3D"/>
      </right>
      <top style="medium">
        <color rgb="FF000000"/>
      </top>
      <bottom/>
      <diagonal/>
    </border>
    <border>
      <left style="medium">
        <color rgb="FF3D3D3D"/>
      </left>
      <right/>
      <top style="medium">
        <color rgb="FF000000"/>
      </top>
      <bottom/>
      <diagonal/>
    </border>
    <border>
      <left style="medium">
        <color rgb="FF3D3D3D"/>
      </left>
      <right style="medium">
        <color rgb="FF000000"/>
      </right>
      <top style="medium">
        <color rgb="FF000000"/>
      </top>
      <bottom/>
      <diagonal/>
    </border>
    <border>
      <left style="medium">
        <color rgb="FF000000"/>
      </left>
      <right style="medium">
        <color rgb="FF3D3D3D"/>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3D3D3D"/>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3D3D3D"/>
      </left>
      <right/>
      <top/>
      <bottom style="medium">
        <color rgb="FF3D3D3D"/>
      </bottom>
      <diagonal/>
    </border>
    <border>
      <left/>
      <right style="medium">
        <color rgb="FF000000"/>
      </right>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right style="medium">
        <color rgb="FF000000"/>
      </right>
      <top style="medium">
        <color rgb="FF3D3D3D"/>
      </top>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s>
  <cellStyleXfs count="1">
    <xf numFmtId="0" fontId="0" fillId="0" borderId="0"/>
  </cellStyleXfs>
  <cellXfs count="237">
    <xf numFmtId="0" fontId="0" fillId="0" borderId="0" xfId="0" applyFont="1" applyAlignment="1"/>
    <xf numFmtId="3" fontId="1"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165" fontId="1" fillId="0" borderId="0" xfId="0" applyNumberFormat="1" applyFont="1" applyAlignment="1">
      <alignment horizontal="center" vertical="center"/>
    </xf>
    <xf numFmtId="165" fontId="0" fillId="0" borderId="0" xfId="0" applyNumberFormat="1" applyFont="1" applyAlignment="1">
      <alignment horizontal="center" vertical="center"/>
    </xf>
    <xf numFmtId="0" fontId="0" fillId="0" borderId="0" xfId="0" applyFont="1" applyAlignment="1">
      <alignment horizontal="center" vertical="center"/>
    </xf>
    <xf numFmtId="3" fontId="0" fillId="0" borderId="0" xfId="0" applyNumberFormat="1"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3" fontId="4" fillId="0" borderId="0" xfId="0" applyNumberFormat="1"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3" fontId="9" fillId="0" borderId="0" xfId="0" applyNumberFormat="1" applyFont="1" applyAlignment="1">
      <alignment horizontal="center" vertical="center"/>
    </xf>
    <xf numFmtId="165" fontId="9" fillId="0" borderId="0" xfId="0" applyNumberFormat="1" applyFont="1" applyAlignment="1">
      <alignment horizontal="center" vertical="center"/>
    </xf>
    <xf numFmtId="0" fontId="10" fillId="0" borderId="15" xfId="0" applyFont="1" applyBorder="1" applyAlignment="1">
      <alignment horizontal="center" vertical="center" wrapText="1"/>
    </xf>
    <xf numFmtId="0" fontId="10" fillId="0" borderId="0" xfId="0" applyFont="1" applyAlignment="1">
      <alignment horizontal="left" vertical="center"/>
    </xf>
    <xf numFmtId="0" fontId="0" fillId="0" borderId="16" xfId="0" applyFont="1" applyBorder="1" applyAlignment="1">
      <alignment horizontal="left" vertical="center" wrapText="1"/>
    </xf>
    <xf numFmtId="0" fontId="0" fillId="0" borderId="17" xfId="0" applyFont="1" applyBorder="1" applyAlignment="1">
      <alignment horizontal="center" vertical="center"/>
    </xf>
    <xf numFmtId="0" fontId="12" fillId="0" borderId="0" xfId="0" applyFont="1" applyAlignment="1">
      <alignment horizontal="center" vertical="center"/>
    </xf>
    <xf numFmtId="3" fontId="12" fillId="0" borderId="0" xfId="0" applyNumberFormat="1" applyFont="1" applyAlignment="1">
      <alignment horizontal="center" vertical="center"/>
    </xf>
    <xf numFmtId="165" fontId="12" fillId="0" borderId="0" xfId="0" applyNumberFormat="1" applyFont="1" applyAlignment="1">
      <alignment horizontal="center"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65" fontId="6" fillId="0" borderId="0" xfId="0" applyNumberFormat="1" applyFont="1" applyAlignment="1">
      <alignment horizontal="center" vertical="center"/>
    </xf>
    <xf numFmtId="0" fontId="0" fillId="0" borderId="0" xfId="0" applyFont="1" applyAlignment="1">
      <alignment horizontal="left" vertical="center" wrapText="1"/>
    </xf>
    <xf numFmtId="0" fontId="0" fillId="0" borderId="0" xfId="0" applyFont="1"/>
    <xf numFmtId="165" fontId="14" fillId="0" borderId="26" xfId="0" applyNumberFormat="1" applyFont="1" applyBorder="1" applyAlignment="1">
      <alignment horizontal="right" vertical="center"/>
    </xf>
    <xf numFmtId="0" fontId="16" fillId="0" borderId="28" xfId="0" applyFont="1" applyBorder="1" applyAlignment="1">
      <alignment vertical="center"/>
    </xf>
    <xf numFmtId="0" fontId="17" fillId="0" borderId="29" xfId="0" applyFont="1" applyBorder="1" applyAlignment="1">
      <alignment horizontal="center" vertical="center"/>
    </xf>
    <xf numFmtId="0" fontId="18" fillId="0" borderId="29" xfId="0" applyFont="1" applyBorder="1" applyAlignment="1">
      <alignment vertical="center"/>
    </xf>
    <xf numFmtId="0" fontId="19" fillId="0" borderId="0" xfId="0" applyFont="1" applyAlignment="1">
      <alignment vertical="center"/>
    </xf>
    <xf numFmtId="165" fontId="20" fillId="0" borderId="0" xfId="0" applyNumberFormat="1" applyFont="1" applyAlignment="1">
      <alignment vertical="center"/>
    </xf>
    <xf numFmtId="0" fontId="21" fillId="0" borderId="16" xfId="0" applyFont="1" applyBorder="1" applyAlignment="1">
      <alignment vertical="center"/>
    </xf>
    <xf numFmtId="0" fontId="15" fillId="0" borderId="32" xfId="0" applyFont="1" applyBorder="1" applyAlignment="1">
      <alignment vertical="center"/>
    </xf>
    <xf numFmtId="0" fontId="15" fillId="0" borderId="33" xfId="0" applyFont="1" applyBorder="1" applyAlignment="1">
      <alignment vertical="center"/>
    </xf>
    <xf numFmtId="165" fontId="15" fillId="0" borderId="33" xfId="0" applyNumberFormat="1" applyFont="1" applyBorder="1" applyAlignment="1">
      <alignment vertical="center"/>
    </xf>
    <xf numFmtId="0" fontId="15" fillId="0" borderId="34" xfId="0" applyFont="1" applyBorder="1" applyAlignment="1">
      <alignment vertical="center"/>
    </xf>
    <xf numFmtId="0" fontId="15" fillId="0" borderId="38" xfId="0" applyFont="1" applyBorder="1" applyAlignment="1">
      <alignment vertical="center"/>
    </xf>
    <xf numFmtId="0" fontId="22" fillId="0" borderId="15" xfId="0" applyFont="1" applyBorder="1" applyAlignment="1">
      <alignment horizontal="left" vertical="center"/>
    </xf>
    <xf numFmtId="0" fontId="22" fillId="0" borderId="0" xfId="0" applyFont="1" applyAlignment="1">
      <alignment horizontal="center" vertical="center"/>
    </xf>
    <xf numFmtId="0" fontId="22" fillId="0" borderId="0" xfId="0" applyFont="1" applyAlignment="1">
      <alignment horizontal="left" vertical="center"/>
    </xf>
    <xf numFmtId="0" fontId="15" fillId="0" borderId="0" xfId="0" applyFont="1" applyAlignment="1">
      <alignment horizontal="left" vertical="center" wrapText="1"/>
    </xf>
    <xf numFmtId="165" fontId="15" fillId="0" borderId="0" xfId="0" applyNumberFormat="1" applyFont="1" applyAlignment="1">
      <alignment horizontal="left" vertical="center" wrapText="1"/>
    </xf>
    <xf numFmtId="0" fontId="15" fillId="0" borderId="16" xfId="0" applyFont="1" applyBorder="1" applyAlignment="1">
      <alignment horizontal="left" vertical="center" wrapText="1"/>
    </xf>
    <xf numFmtId="0" fontId="24" fillId="0" borderId="48" xfId="0" applyFont="1" applyBorder="1" applyAlignment="1">
      <alignment horizontal="center" vertical="center"/>
    </xf>
    <xf numFmtId="0" fontId="24" fillId="0" borderId="49" xfId="0" applyFont="1" applyBorder="1" applyAlignment="1">
      <alignment horizontal="center" vertical="center"/>
    </xf>
    <xf numFmtId="0" fontId="24" fillId="0" borderId="49" xfId="0" applyFont="1" applyBorder="1" applyAlignment="1">
      <alignment horizontal="center" vertical="center" wrapText="1"/>
    </xf>
    <xf numFmtId="165" fontId="24" fillId="0" borderId="49" xfId="0" applyNumberFormat="1" applyFont="1" applyBorder="1" applyAlignment="1">
      <alignment horizontal="center" vertical="center" wrapText="1"/>
    </xf>
    <xf numFmtId="3" fontId="24" fillId="0" borderId="52" xfId="0" applyNumberFormat="1" applyFont="1" applyBorder="1" applyAlignment="1">
      <alignment horizontal="center" vertical="center"/>
    </xf>
    <xf numFmtId="0" fontId="24" fillId="0" borderId="53" xfId="0"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165" fontId="24" fillId="0" borderId="1" xfId="0" applyNumberFormat="1" applyFont="1" applyBorder="1" applyAlignment="1">
      <alignment horizontal="center" vertical="center" wrapText="1"/>
    </xf>
    <xf numFmtId="3" fontId="24" fillId="0" borderId="54" xfId="0" applyNumberFormat="1" applyFont="1" applyBorder="1" applyAlignment="1">
      <alignment horizontal="center" vertical="center"/>
    </xf>
    <xf numFmtId="0" fontId="24" fillId="0" borderId="55" xfId="0" applyFont="1" applyBorder="1" applyAlignment="1">
      <alignment horizontal="center" vertical="center"/>
    </xf>
    <xf numFmtId="0" fontId="24" fillId="0" borderId="8" xfId="0" applyFont="1" applyBorder="1" applyAlignment="1">
      <alignment horizontal="center" vertical="center"/>
    </xf>
    <xf numFmtId="0" fontId="24" fillId="0" borderId="8" xfId="0" applyFont="1" applyBorder="1" applyAlignment="1">
      <alignment horizontal="center" vertical="center" wrapText="1"/>
    </xf>
    <xf numFmtId="165" fontId="24" fillId="0" borderId="8" xfId="0" applyNumberFormat="1" applyFont="1" applyBorder="1" applyAlignment="1">
      <alignment horizontal="center" vertical="center" wrapText="1"/>
    </xf>
    <xf numFmtId="3" fontId="24" fillId="0" borderId="58" xfId="0" applyNumberFormat="1" applyFont="1" applyBorder="1" applyAlignment="1">
      <alignment horizontal="center" vertical="center"/>
    </xf>
    <xf numFmtId="0" fontId="0" fillId="0" borderId="0" xfId="0" applyFont="1" applyAlignment="1">
      <alignment horizontal="center"/>
    </xf>
    <xf numFmtId="165" fontId="0" fillId="0" borderId="0" xfId="0" applyNumberFormat="1" applyFont="1"/>
    <xf numFmtId="3" fontId="25" fillId="0" borderId="13" xfId="0" applyNumberFormat="1" applyFont="1" applyBorder="1"/>
    <xf numFmtId="167" fontId="0" fillId="0" borderId="13" xfId="0" applyNumberFormat="1" applyFont="1" applyBorder="1" applyAlignment="1">
      <alignment horizontal="left"/>
    </xf>
    <xf numFmtId="0" fontId="0" fillId="0" borderId="13" xfId="0" applyFont="1" applyBorder="1"/>
    <xf numFmtId="0" fontId="0" fillId="0" borderId="15" xfId="0" applyFont="1" applyBorder="1"/>
    <xf numFmtId="0" fontId="0" fillId="0" borderId="0" xfId="0" applyFont="1" applyAlignment="1">
      <alignment horizontal="left"/>
    </xf>
    <xf numFmtId="167" fontId="0" fillId="0" borderId="0" xfId="0" applyNumberFormat="1" applyFont="1" applyAlignment="1">
      <alignment horizontal="left"/>
    </xf>
    <xf numFmtId="165" fontId="0" fillId="0" borderId="16" xfId="0" applyNumberFormat="1" applyFont="1" applyBorder="1"/>
    <xf numFmtId="0" fontId="0" fillId="0" borderId="28" xfId="0" applyFont="1" applyBorder="1"/>
    <xf numFmtId="0" fontId="0" fillId="0" borderId="29" xfId="0" applyFont="1" applyBorder="1"/>
    <xf numFmtId="0" fontId="0" fillId="0" borderId="29" xfId="0" applyFont="1" applyBorder="1" applyAlignment="1">
      <alignment horizontal="left"/>
    </xf>
    <xf numFmtId="165" fontId="0" fillId="0" borderId="60" xfId="0" applyNumberFormat="1" applyFont="1" applyBorder="1"/>
    <xf numFmtId="0" fontId="30" fillId="0" borderId="67" xfId="0" applyFont="1" applyBorder="1" applyAlignment="1">
      <alignment horizontal="center" vertical="center"/>
    </xf>
    <xf numFmtId="0" fontId="30" fillId="0" borderId="68" xfId="0" applyFont="1" applyBorder="1" applyAlignment="1">
      <alignment horizontal="center" vertical="center"/>
    </xf>
    <xf numFmtId="0" fontId="30" fillId="0" borderId="68" xfId="0" applyFont="1" applyBorder="1" applyAlignment="1">
      <alignment horizontal="left" vertical="center"/>
    </xf>
    <xf numFmtId="0" fontId="30" fillId="0" borderId="69" xfId="0" applyFont="1" applyBorder="1" applyAlignment="1">
      <alignment horizontal="center" vertical="center"/>
    </xf>
    <xf numFmtId="0" fontId="30" fillId="0" borderId="44" xfId="0" applyFont="1" applyBorder="1" applyAlignment="1">
      <alignment horizontal="center" vertical="center"/>
    </xf>
    <xf numFmtId="0" fontId="0" fillId="0" borderId="70" xfId="0" applyFont="1" applyBorder="1" applyAlignment="1">
      <alignment horizontal="center" vertical="center"/>
    </xf>
    <xf numFmtId="0" fontId="0" fillId="0" borderId="71" xfId="0" applyFont="1" applyBorder="1" applyAlignment="1">
      <alignment horizontal="center" vertical="center"/>
    </xf>
    <xf numFmtId="0" fontId="0" fillId="0" borderId="72" xfId="0" applyFont="1" applyBorder="1" applyAlignment="1">
      <alignment horizontal="center" vertical="center"/>
    </xf>
    <xf numFmtId="165" fontId="0" fillId="0" borderId="74" xfId="0" applyNumberFormat="1" applyFont="1" applyBorder="1" applyAlignment="1">
      <alignment horizontal="center" vertical="center"/>
    </xf>
    <xf numFmtId="0" fontId="0" fillId="0" borderId="75" xfId="0" applyFont="1" applyBorder="1" applyAlignment="1">
      <alignment horizontal="center" vertical="center"/>
    </xf>
    <xf numFmtId="0" fontId="0" fillId="0" borderId="76" xfId="0" applyFont="1" applyBorder="1" applyAlignment="1">
      <alignment horizontal="center" vertical="center"/>
    </xf>
    <xf numFmtId="0" fontId="0" fillId="0" borderId="77" xfId="0" applyFont="1" applyBorder="1" applyAlignment="1">
      <alignment horizontal="center" vertical="center"/>
    </xf>
    <xf numFmtId="0" fontId="0" fillId="0" borderId="78" xfId="0" applyFont="1" applyBorder="1" applyAlignment="1">
      <alignment horizontal="center" vertical="center"/>
    </xf>
    <xf numFmtId="165" fontId="0" fillId="0" borderId="81" xfId="0" applyNumberFormat="1" applyFont="1" applyBorder="1" applyAlignment="1">
      <alignment horizontal="center" vertical="center"/>
    </xf>
    <xf numFmtId="0" fontId="28" fillId="0" borderId="75" xfId="0" applyFont="1" applyBorder="1" applyAlignment="1">
      <alignment horizontal="center" vertical="center"/>
    </xf>
    <xf numFmtId="0" fontId="28" fillId="0" borderId="76" xfId="0" applyFont="1" applyBorder="1" applyAlignment="1">
      <alignment horizontal="center" vertical="center"/>
    </xf>
    <xf numFmtId="0" fontId="28" fillId="0" borderId="77" xfId="0" applyFont="1" applyBorder="1" applyAlignment="1">
      <alignment horizontal="center" vertical="center"/>
    </xf>
    <xf numFmtId="0" fontId="28" fillId="0" borderId="78" xfId="0" applyFont="1" applyBorder="1" applyAlignment="1">
      <alignment horizontal="center" vertical="center"/>
    </xf>
    <xf numFmtId="0" fontId="0" fillId="0" borderId="82" xfId="0" applyFont="1" applyBorder="1" applyAlignment="1">
      <alignment horizontal="center" vertical="center"/>
    </xf>
    <xf numFmtId="0" fontId="0" fillId="0" borderId="83" xfId="0" applyFont="1" applyBorder="1" applyAlignment="1">
      <alignment horizontal="center" vertical="center"/>
    </xf>
    <xf numFmtId="0" fontId="0" fillId="0" borderId="84" xfId="0" applyFont="1" applyBorder="1" applyAlignment="1">
      <alignment horizontal="center" vertical="center"/>
    </xf>
    <xf numFmtId="165" fontId="0" fillId="0" borderId="86" xfId="0" applyNumberFormat="1" applyFont="1" applyBorder="1" applyAlignment="1">
      <alignment horizontal="center" vertical="center"/>
    </xf>
    <xf numFmtId="165" fontId="30" fillId="0" borderId="88" xfId="0" applyNumberFormat="1" applyFont="1" applyBorder="1" applyAlignment="1">
      <alignment horizontal="center" vertical="center"/>
    </xf>
    <xf numFmtId="0" fontId="10" fillId="0" borderId="0" xfId="0" applyFont="1" applyAlignment="1">
      <alignment horizontal="center" vertical="center"/>
    </xf>
    <xf numFmtId="0" fontId="11" fillId="0" borderId="16" xfId="0" applyFont="1" applyBorder="1"/>
    <xf numFmtId="0" fontId="0" fillId="0" borderId="0" xfId="0" applyFont="1" applyAlignment="1"/>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3" fontId="7" fillId="0" borderId="1" xfId="0" applyNumberFormat="1" applyFont="1" applyFill="1" applyBorder="1" applyAlignment="1">
      <alignment horizontal="center" vertical="center" wrapText="1"/>
    </xf>
    <xf numFmtId="164" fontId="7" fillId="0" borderId="1" xfId="0" applyNumberFormat="1" applyFont="1" applyFill="1" applyBorder="1" applyAlignment="1">
      <alignment horizontal="right" vertical="center" wrapText="1"/>
    </xf>
    <xf numFmtId="165" fontId="7" fillId="0" borderId="1" xfId="0" applyNumberFormat="1" applyFont="1" applyFill="1" applyBorder="1" applyAlignment="1">
      <alignment horizontal="center" vertical="center" wrapText="1"/>
    </xf>
    <xf numFmtId="0" fontId="0" fillId="0" borderId="0" xfId="0" applyFont="1" applyAlignment="1"/>
    <xf numFmtId="0" fontId="32" fillId="0" borderId="15" xfId="0" applyFont="1" applyBorder="1" applyAlignment="1">
      <alignment horizontal="center" vertical="center" wrapText="1"/>
    </xf>
    <xf numFmtId="0" fontId="33" fillId="0" borderId="0" xfId="0" applyFont="1" applyAlignment="1">
      <alignment horizontal="left"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3" fontId="3" fillId="0" borderId="3" xfId="0" applyNumberFormat="1" applyFont="1" applyFill="1" applyBorder="1" applyAlignment="1">
      <alignment horizontal="center" vertical="center" wrapText="1"/>
    </xf>
    <xf numFmtId="165" fontId="3" fillId="0" borderId="3" xfId="0" applyNumberFormat="1" applyFont="1" applyFill="1" applyBorder="1" applyAlignment="1">
      <alignment horizontal="center" vertical="center" wrapText="1"/>
    </xf>
    <xf numFmtId="165" fontId="5" fillId="0" borderId="3" xfId="0" applyNumberFormat="1" applyFont="1" applyFill="1" applyBorder="1" applyAlignment="1">
      <alignment horizontal="center" vertical="center" wrapText="1"/>
    </xf>
    <xf numFmtId="0" fontId="0" fillId="0" borderId="0" xfId="0" applyFont="1" applyFill="1" applyAlignment="1"/>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4" xfId="0" applyFont="1" applyFill="1" applyBorder="1" applyAlignment="1">
      <alignment horizontal="center" vertical="center" wrapText="1"/>
    </xf>
    <xf numFmtId="164" fontId="7" fillId="0" borderId="4" xfId="0" applyNumberFormat="1" applyFont="1" applyFill="1" applyBorder="1" applyAlignment="1">
      <alignment horizontal="right" vertical="center" wrapText="1"/>
    </xf>
    <xf numFmtId="165" fontId="7" fillId="0" borderId="5"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0" fontId="31" fillId="0" borderId="1" xfId="0" applyFont="1" applyFill="1" applyBorder="1" applyAlignment="1">
      <alignment horizontal="left" vertical="center" wrapText="1"/>
    </xf>
    <xf numFmtId="3" fontId="7" fillId="0" borderId="8" xfId="0" applyNumberFormat="1" applyFont="1" applyFill="1" applyBorder="1" applyAlignment="1">
      <alignment horizontal="center" vertical="center" wrapText="1"/>
    </xf>
    <xf numFmtId="165" fontId="7" fillId="0" borderId="8" xfId="0" applyNumberFormat="1" applyFont="1" applyFill="1" applyBorder="1" applyAlignment="1">
      <alignment horizontal="center" vertical="center" wrapTex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3" xfId="0" applyFont="1" applyFill="1" applyBorder="1" applyAlignment="1">
      <alignment horizontal="left" vertical="center" wrapText="1"/>
    </xf>
    <xf numFmtId="165" fontId="8" fillId="0" borderId="3" xfId="0" applyNumberFormat="1" applyFont="1" applyFill="1" applyBorder="1" applyAlignment="1">
      <alignment horizontal="center" vertical="center"/>
    </xf>
    <xf numFmtId="3" fontId="7" fillId="0" borderId="9" xfId="0" applyNumberFormat="1" applyFont="1" applyFill="1" applyBorder="1" applyAlignment="1">
      <alignment horizontal="center" vertical="center" wrapText="1"/>
    </xf>
    <xf numFmtId="165" fontId="8" fillId="0" borderId="10" xfId="0" applyNumberFormat="1" applyFont="1" applyFill="1" applyBorder="1" applyAlignment="1">
      <alignment horizontal="center" vertical="center" wrapText="1"/>
    </xf>
    <xf numFmtId="0" fontId="9" fillId="0" borderId="0" xfId="0" applyFont="1" applyAlignment="1">
      <alignment horizontal="center" vertical="center" wrapText="1"/>
    </xf>
    <xf numFmtId="0" fontId="7" fillId="0" borderId="0" xfId="0" applyFont="1" applyAlignment="1">
      <alignment horizontal="left" vertical="center" wrapText="1"/>
    </xf>
    <xf numFmtId="0" fontId="0" fillId="0" borderId="0" xfId="0" applyFont="1" applyAlignment="1">
      <alignment horizontal="center" vertical="center" wrapText="1"/>
    </xf>
    <xf numFmtId="0" fontId="36" fillId="0" borderId="27" xfId="0" applyFont="1" applyBorder="1" applyAlignment="1">
      <alignment horizontal="center" vertical="center"/>
    </xf>
    <xf numFmtId="0" fontId="0" fillId="0" borderId="0" xfId="0" applyFont="1" applyAlignment="1"/>
    <xf numFmtId="0" fontId="38" fillId="0" borderId="49" xfId="0" applyFont="1" applyBorder="1" applyAlignment="1">
      <alignment horizontal="center" vertical="center"/>
    </xf>
    <xf numFmtId="0" fontId="38" fillId="0" borderId="1" xfId="0" applyFont="1" applyBorder="1" applyAlignment="1">
      <alignment horizontal="center" vertical="center"/>
    </xf>
    <xf numFmtId="0" fontId="7" fillId="0" borderId="23" xfId="0" applyFont="1" applyBorder="1" applyAlignment="1">
      <alignment horizontal="left" vertical="center" wrapText="1"/>
    </xf>
    <xf numFmtId="0" fontId="11" fillId="0" borderId="24" xfId="0" applyFont="1" applyBorder="1" applyAlignment="1">
      <alignment wrapText="1"/>
    </xf>
    <xf numFmtId="0" fontId="11" fillId="0" borderId="25" xfId="0" applyFont="1" applyBorder="1" applyAlignment="1">
      <alignment wrapText="1"/>
    </xf>
    <xf numFmtId="0" fontId="35" fillId="0" borderId="20" xfId="0" applyFont="1" applyBorder="1" applyAlignment="1">
      <alignment horizontal="left" vertical="center" wrapText="1"/>
    </xf>
    <xf numFmtId="0" fontId="11" fillId="0" borderId="21" xfId="0" applyFont="1" applyBorder="1" applyAlignment="1">
      <alignment wrapText="1"/>
    </xf>
    <xf numFmtId="0" fontId="11" fillId="0" borderId="22" xfId="0" applyFont="1" applyBorder="1" applyAlignment="1">
      <alignment wrapText="1"/>
    </xf>
    <xf numFmtId="0" fontId="12" fillId="0" borderId="20" xfId="0" applyFont="1" applyBorder="1" applyAlignment="1">
      <alignment horizontal="left" vertical="center" wrapText="1"/>
    </xf>
    <xf numFmtId="0" fontId="3" fillId="0" borderId="0" xfId="0" applyFont="1" applyAlignment="1">
      <alignment horizontal="center" vertical="center" wrapText="1"/>
    </xf>
    <xf numFmtId="0" fontId="0" fillId="0" borderId="0" xfId="0" applyFont="1" applyAlignment="1"/>
    <xf numFmtId="0" fontId="10" fillId="0" borderId="0" xfId="0" applyFont="1" applyAlignment="1">
      <alignment horizontal="center" vertical="center" wrapText="1"/>
    </xf>
    <xf numFmtId="0" fontId="11" fillId="0" borderId="16" xfId="0" applyFont="1" applyBorder="1"/>
    <xf numFmtId="0" fontId="10" fillId="0" borderId="0" xfId="0" applyFont="1" applyAlignment="1">
      <alignment horizontal="center" vertical="center"/>
    </xf>
    <xf numFmtId="0" fontId="32" fillId="0" borderId="0" xfId="0" applyFont="1" applyAlignment="1">
      <alignment horizontal="left" vertical="center"/>
    </xf>
    <xf numFmtId="0" fontId="10" fillId="0" borderId="16" xfId="0" applyFont="1" applyBorder="1" applyAlignment="1">
      <alignment horizontal="left" vertical="center"/>
    </xf>
    <xf numFmtId="0" fontId="34" fillId="0" borderId="12"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14" xfId="0" applyFont="1" applyBorder="1" applyAlignment="1">
      <alignment horizontal="center" vertical="center" wrapText="1"/>
    </xf>
    <xf numFmtId="0" fontId="10" fillId="0" borderId="0" xfId="0" applyFont="1" applyAlignment="1">
      <alignment horizontal="left" vertical="center" wrapText="1"/>
    </xf>
    <xf numFmtId="0" fontId="32" fillId="0" borderId="16" xfId="0" applyFont="1" applyBorder="1" applyAlignment="1">
      <alignment horizontal="left" vertical="center"/>
    </xf>
    <xf numFmtId="0" fontId="34" fillId="0" borderId="15"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16" xfId="0" applyFont="1" applyFill="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wrapText="1"/>
    </xf>
    <xf numFmtId="0" fontId="0" fillId="0" borderId="18" xfId="0" applyFont="1" applyBorder="1" applyAlignment="1">
      <alignment horizontal="center" vertical="center"/>
    </xf>
    <xf numFmtId="0" fontId="11" fillId="0" borderId="19" xfId="0" applyFont="1" applyBorder="1"/>
    <xf numFmtId="0" fontId="23" fillId="0" borderId="39" xfId="0" applyFont="1" applyBorder="1" applyAlignment="1">
      <alignment horizontal="center" vertical="center"/>
    </xf>
    <xf numFmtId="0" fontId="11" fillId="0" borderId="43" xfId="0" applyFont="1" applyBorder="1"/>
    <xf numFmtId="0" fontId="22" fillId="0" borderId="30" xfId="0" applyFont="1" applyBorder="1" applyAlignment="1">
      <alignment horizontal="left" vertical="center" wrapText="1"/>
    </xf>
    <xf numFmtId="0" fontId="11" fillId="0" borderId="31" xfId="0" applyFont="1" applyBorder="1"/>
    <xf numFmtId="0" fontId="22" fillId="0" borderId="35" xfId="0" applyFont="1" applyBorder="1" applyAlignment="1">
      <alignment horizontal="left" vertical="center" wrapText="1"/>
    </xf>
    <xf numFmtId="0" fontId="11" fillId="0" borderId="36" xfId="0" applyFont="1" applyBorder="1"/>
    <xf numFmtId="0" fontId="22" fillId="0" borderId="32" xfId="0" applyFont="1" applyBorder="1" applyAlignment="1">
      <alignment horizontal="left" vertical="center"/>
    </xf>
    <xf numFmtId="0" fontId="11" fillId="0" borderId="33" xfId="0" applyFont="1" applyBorder="1"/>
    <xf numFmtId="0" fontId="11" fillId="0" borderId="37" xfId="0" applyFont="1" applyBorder="1"/>
    <xf numFmtId="0" fontId="13" fillId="0" borderId="12" xfId="0" applyFont="1" applyBorder="1" applyAlignment="1">
      <alignment horizontal="center" vertical="center"/>
    </xf>
    <xf numFmtId="0" fontId="11" fillId="0" borderId="13" xfId="0" applyFont="1" applyBorder="1"/>
    <xf numFmtId="0" fontId="23" fillId="0" borderId="40" xfId="0" applyFont="1" applyBorder="1" applyAlignment="1">
      <alignment horizontal="center" vertical="center" wrapText="1"/>
    </xf>
    <xf numFmtId="0" fontId="11" fillId="0" borderId="44" xfId="0" applyFont="1" applyBorder="1"/>
    <xf numFmtId="0" fontId="23" fillId="0" borderId="42" xfId="0" applyFont="1" applyBorder="1" applyAlignment="1">
      <alignment horizontal="center" vertical="center" wrapText="1"/>
    </xf>
    <xf numFmtId="0" fontId="11" fillId="0" borderId="47" xfId="0" applyFont="1" applyBorder="1"/>
    <xf numFmtId="165" fontId="23" fillId="0" borderId="40" xfId="0" applyNumberFormat="1" applyFont="1" applyBorder="1" applyAlignment="1">
      <alignment horizontal="center" vertical="center" wrapText="1"/>
    </xf>
    <xf numFmtId="0" fontId="24" fillId="0" borderId="6" xfId="0" applyFont="1" applyBorder="1" applyAlignment="1">
      <alignment horizontal="left" vertical="center" wrapText="1"/>
    </xf>
    <xf numFmtId="0" fontId="11" fillId="0" borderId="7" xfId="0" applyFont="1" applyBorder="1"/>
    <xf numFmtId="0" fontId="11" fillId="0" borderId="11" xfId="0" applyFont="1" applyBorder="1"/>
    <xf numFmtId="0" fontId="24" fillId="0" borderId="50" xfId="0" applyFont="1" applyBorder="1" applyAlignment="1">
      <alignment horizontal="left" vertical="center" wrapText="1"/>
    </xf>
    <xf numFmtId="0" fontId="11" fillId="0" borderId="21" xfId="0" applyFont="1" applyBorder="1"/>
    <xf numFmtId="0" fontId="11" fillId="0" borderId="51" xfId="0" applyFont="1" applyBorder="1"/>
    <xf numFmtId="0" fontId="23" fillId="0" borderId="41" xfId="0" applyFont="1" applyBorder="1" applyAlignment="1">
      <alignment horizontal="center" vertical="center" wrapText="1"/>
    </xf>
    <xf numFmtId="0" fontId="11" fillId="0" borderId="26" xfId="0" applyFont="1" applyBorder="1"/>
    <xf numFmtId="0" fontId="11" fillId="0" borderId="45" xfId="0" applyFont="1" applyBorder="1"/>
    <xf numFmtId="0" fontId="11" fillId="0" borderId="46" xfId="0" applyFont="1" applyBorder="1"/>
    <xf numFmtId="166" fontId="15" fillId="0" borderId="32" xfId="0" applyNumberFormat="1" applyFont="1" applyBorder="1" applyAlignment="1">
      <alignment horizontal="center" vertical="center"/>
    </xf>
    <xf numFmtId="0" fontId="11" fillId="0" borderId="34" xfId="0" applyFont="1" applyBorder="1"/>
    <xf numFmtId="0" fontId="2" fillId="0" borderId="17" xfId="0" applyFont="1" applyBorder="1" applyAlignment="1">
      <alignment horizontal="left" vertical="center" wrapText="1"/>
    </xf>
    <xf numFmtId="0" fontId="11" fillId="0" borderId="18" xfId="0" applyFont="1" applyBorder="1"/>
    <xf numFmtId="0" fontId="24" fillId="0" borderId="56" xfId="0" applyFont="1" applyBorder="1" applyAlignment="1">
      <alignment horizontal="center" vertical="center" wrapText="1"/>
    </xf>
    <xf numFmtId="0" fontId="11" fillId="0" borderId="24" xfId="0" applyFont="1" applyBorder="1"/>
    <xf numFmtId="0" fontId="11" fillId="0" borderId="57" xfId="0" applyFont="1" applyBorder="1"/>
    <xf numFmtId="0" fontId="0" fillId="0" borderId="79" xfId="0" applyFont="1" applyBorder="1" applyAlignment="1">
      <alignment horizontal="center" vertical="center"/>
    </xf>
    <xf numFmtId="0" fontId="11" fillId="0" borderId="80" xfId="0" applyFont="1" applyBorder="1"/>
    <xf numFmtId="49" fontId="37" fillId="0" borderId="15" xfId="0" applyNumberFormat="1" applyFont="1" applyBorder="1" applyAlignment="1">
      <alignment horizontal="left" vertical="center" wrapText="1"/>
    </xf>
    <xf numFmtId="0" fontId="30" fillId="0" borderId="35" xfId="0" applyFont="1" applyBorder="1" applyAlignment="1">
      <alignment horizontal="center" vertical="center"/>
    </xf>
    <xf numFmtId="0" fontId="11" fillId="0" borderId="64" xfId="0" applyFont="1" applyBorder="1"/>
    <xf numFmtId="0" fontId="30" fillId="0" borderId="30" xfId="0" applyFont="1" applyBorder="1" applyAlignment="1">
      <alignment horizontal="center" vertical="center"/>
    </xf>
    <xf numFmtId="0" fontId="11" fillId="0" borderId="61" xfId="0" applyFont="1" applyBorder="1"/>
    <xf numFmtId="0" fontId="30" fillId="0" borderId="65" xfId="0" applyFont="1" applyBorder="1" applyAlignment="1">
      <alignment horizontal="center" vertical="center" wrapText="1"/>
    </xf>
    <xf numFmtId="0" fontId="11" fillId="0" borderId="66" xfId="0" applyFont="1" applyBorder="1"/>
    <xf numFmtId="165" fontId="30" fillId="0" borderId="64" xfId="0" applyNumberFormat="1" applyFont="1" applyBorder="1" applyAlignment="1">
      <alignment horizontal="center" vertical="center"/>
    </xf>
    <xf numFmtId="0" fontId="0" fillId="0" borderId="72" xfId="0" applyFont="1" applyBorder="1" applyAlignment="1">
      <alignment horizontal="left" vertical="center" wrapText="1"/>
    </xf>
    <xf numFmtId="0" fontId="11" fillId="0" borderId="73" xfId="0" applyFont="1" applyBorder="1"/>
    <xf numFmtId="0" fontId="0" fillId="0" borderId="79" xfId="0" applyFont="1" applyBorder="1" applyAlignment="1">
      <alignment horizontal="left" vertical="center"/>
    </xf>
    <xf numFmtId="0" fontId="0" fillId="0" borderId="79" xfId="0" applyFont="1" applyBorder="1" applyAlignment="1">
      <alignment horizontal="center"/>
    </xf>
    <xf numFmtId="0" fontId="1" fillId="0" borderId="30" xfId="0" applyFont="1" applyBorder="1" applyAlignment="1">
      <alignment horizontal="left" vertical="center" wrapText="1"/>
    </xf>
    <xf numFmtId="0" fontId="27" fillId="0" borderId="30" xfId="0" applyFont="1" applyBorder="1"/>
    <xf numFmtId="0" fontId="28" fillId="0" borderId="35" xfId="0" applyFont="1" applyBorder="1" applyAlignment="1">
      <alignment horizontal="left"/>
    </xf>
    <xf numFmtId="0" fontId="29" fillId="0" borderId="30" xfId="0" applyFont="1" applyBorder="1" applyAlignment="1">
      <alignment horizontal="left"/>
    </xf>
    <xf numFmtId="0" fontId="11" fillId="0" borderId="63" xfId="0" applyFont="1" applyBorder="1"/>
    <xf numFmtId="0" fontId="28" fillId="0" borderId="62" xfId="0" applyFont="1" applyBorder="1" applyAlignment="1">
      <alignment horizontal="left"/>
    </xf>
    <xf numFmtId="0" fontId="0" fillId="0" borderId="32" xfId="0" applyFont="1" applyBorder="1" applyAlignment="1">
      <alignment horizontal="center"/>
    </xf>
    <xf numFmtId="3" fontId="25" fillId="0" borderId="33" xfId="0" applyNumberFormat="1" applyFont="1" applyBorder="1" applyAlignment="1">
      <alignment horizontal="center"/>
    </xf>
    <xf numFmtId="0" fontId="26" fillId="0" borderId="41" xfId="0" applyFont="1" applyBorder="1" applyAlignment="1">
      <alignment horizontal="center" vertical="center" wrapText="1"/>
    </xf>
    <xf numFmtId="0" fontId="11" fillId="0" borderId="14" xfId="0" applyFont="1" applyBorder="1"/>
    <xf numFmtId="0" fontId="11" fillId="0" borderId="59" xfId="0" applyFont="1" applyBorder="1"/>
    <xf numFmtId="0" fontId="11" fillId="0" borderId="60" xfId="0" applyFont="1" applyBorder="1"/>
    <xf numFmtId="0" fontId="25" fillId="0" borderId="28" xfId="0" applyFont="1" applyBorder="1" applyAlignment="1">
      <alignment horizontal="left" vertical="center" wrapText="1"/>
    </xf>
    <xf numFmtId="0" fontId="11" fillId="0" borderId="29" xfId="0" applyFont="1" applyBorder="1"/>
    <xf numFmtId="0" fontId="11" fillId="0" borderId="87" xfId="0" applyFont="1" applyBorder="1"/>
    <xf numFmtId="0" fontId="0" fillId="0" borderId="35" xfId="0" applyFont="1" applyBorder="1"/>
    <xf numFmtId="0" fontId="25" fillId="0" borderId="32" xfId="0" applyFont="1" applyBorder="1" applyAlignment="1">
      <alignment vertical="center" wrapText="1"/>
    </xf>
    <xf numFmtId="0" fontId="28" fillId="0" borderId="36" xfId="0" applyFont="1" applyBorder="1" applyAlignment="1">
      <alignment vertical="center" wrapText="1"/>
    </xf>
    <xf numFmtId="0" fontId="28" fillId="0" borderId="15" xfId="0" applyFont="1" applyBorder="1" applyAlignment="1">
      <alignment horizontal="left" vertical="center" wrapText="1"/>
    </xf>
    <xf numFmtId="0" fontId="11" fillId="0" borderId="17" xfId="0" applyFont="1" applyBorder="1"/>
    <xf numFmtId="0" fontId="0" fillId="0" borderId="84" xfId="0" applyFont="1" applyBorder="1" applyAlignment="1">
      <alignment horizontal="left" vertical="center"/>
    </xf>
    <xf numFmtId="0" fontId="11" fillId="0" borderId="8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16</xdr:col>
      <xdr:colOff>723900</xdr:colOff>
      <xdr:row>0</xdr:row>
      <xdr:rowOff>0</xdr:rowOff>
    </xdr:from>
    <xdr:ext cx="0" cy="0"/>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fLocksWithSheet="0"/>
  </xdr:oneCellAnchor>
  <xdr:oneCellAnchor>
    <xdr:from>
      <xdr:col>16</xdr:col>
      <xdr:colOff>723900</xdr:colOff>
      <xdr:row>0</xdr:row>
      <xdr:rowOff>0</xdr:rowOff>
    </xdr:from>
    <xdr:ext cx="0" cy="0"/>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fLocksWithSheet="0"/>
  </xdr:oneCellAnchor>
  <xdr:oneCellAnchor>
    <xdr:from>
      <xdr:col>16</xdr:col>
      <xdr:colOff>723900</xdr:colOff>
      <xdr:row>0</xdr:row>
      <xdr:rowOff>0</xdr:rowOff>
    </xdr:from>
    <xdr:ext cx="0" cy="0"/>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fLocksWithSheet="0"/>
  </xdr:oneCellAnchor>
  <xdr:oneCellAnchor>
    <xdr:from>
      <xdr:col>16</xdr:col>
      <xdr:colOff>723900</xdr:colOff>
      <xdr:row>0</xdr:row>
      <xdr:rowOff>0</xdr:rowOff>
    </xdr:from>
    <xdr:ext cx="0" cy="0"/>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5"/>
  <sheetViews>
    <sheetView tabSelected="1" topLeftCell="A19" zoomScale="90" zoomScaleNormal="90" workbookViewId="0">
      <selection activeCell="A24" sqref="A24"/>
    </sheetView>
  </sheetViews>
  <sheetFormatPr baseColWidth="10" defaultColWidth="14.42578125" defaultRowHeight="15" customHeight="1" x14ac:dyDescent="0.25"/>
  <cols>
    <col min="1" max="1" width="5.42578125" bestFit="1" customWidth="1"/>
    <col min="2" max="2" width="16.7109375" customWidth="1"/>
    <col min="3" max="3" width="42.42578125" customWidth="1"/>
    <col min="4" max="4" width="5.5703125" customWidth="1"/>
    <col min="5" max="5" width="116.85546875" customWidth="1"/>
    <col min="6" max="6" width="13.5703125" customWidth="1"/>
    <col min="7" max="7" width="12.140625" customWidth="1"/>
    <col min="8" max="8" width="12.7109375" bestFit="1" customWidth="1"/>
    <col min="9" max="9" width="16.5703125" bestFit="1" customWidth="1"/>
    <col min="10" max="10" width="14.42578125" customWidth="1"/>
  </cols>
  <sheetData>
    <row r="1" spans="1:9" x14ac:dyDescent="0.25">
      <c r="A1" s="1">
        <v>2022</v>
      </c>
      <c r="B1" s="2"/>
      <c r="C1" s="3"/>
      <c r="D1" s="3"/>
      <c r="E1" s="4"/>
      <c r="F1" s="3"/>
      <c r="G1" s="8"/>
      <c r="H1" s="6"/>
      <c r="I1" s="6"/>
    </row>
    <row r="2" spans="1:9" ht="18.75" x14ac:dyDescent="0.25">
      <c r="A2" s="3"/>
      <c r="B2" s="163" t="s">
        <v>0</v>
      </c>
      <c r="C2" s="149"/>
      <c r="D2" s="149"/>
      <c r="E2" s="149"/>
      <c r="F2" s="149"/>
      <c r="G2" s="149"/>
      <c r="H2" s="149"/>
      <c r="I2" s="6"/>
    </row>
    <row r="3" spans="1:9" x14ac:dyDescent="0.25">
      <c r="A3" s="3"/>
      <c r="B3" s="2"/>
      <c r="C3" s="3"/>
      <c r="D3" s="3"/>
      <c r="E3" s="4"/>
      <c r="F3" s="3"/>
      <c r="G3" s="8"/>
      <c r="H3" s="6"/>
      <c r="I3" s="6"/>
    </row>
    <row r="4" spans="1:9" x14ac:dyDescent="0.25">
      <c r="A4" s="148" t="s">
        <v>1</v>
      </c>
      <c r="B4" s="149"/>
      <c r="C4" s="164" t="s">
        <v>2</v>
      </c>
      <c r="D4" s="149"/>
      <c r="E4" s="149"/>
      <c r="F4" s="10"/>
      <c r="G4" s="8"/>
      <c r="H4" s="6"/>
      <c r="I4" s="6"/>
    </row>
    <row r="5" spans="1:9" x14ac:dyDescent="0.25">
      <c r="A5" s="148" t="s">
        <v>3</v>
      </c>
      <c r="B5" s="149"/>
      <c r="C5" s="165" t="s">
        <v>4</v>
      </c>
      <c r="D5" s="149"/>
      <c r="E5" s="149"/>
      <c r="F5" s="10"/>
      <c r="G5" s="11"/>
      <c r="H5" s="5"/>
      <c r="I5" s="5"/>
    </row>
    <row r="6" spans="1:9" x14ac:dyDescent="0.25">
      <c r="A6" s="148" t="s">
        <v>5</v>
      </c>
      <c r="B6" s="149"/>
      <c r="C6" s="12">
        <v>2022</v>
      </c>
      <c r="D6" s="9"/>
      <c r="E6" s="12"/>
      <c r="F6" s="10"/>
      <c r="G6" s="11"/>
      <c r="H6" s="5"/>
      <c r="I6" s="5"/>
    </row>
    <row r="7" spans="1:9" x14ac:dyDescent="0.25">
      <c r="A7" s="148" t="s">
        <v>6</v>
      </c>
      <c r="B7" s="149"/>
      <c r="C7" s="109" t="s">
        <v>128</v>
      </c>
      <c r="D7" s="9"/>
      <c r="E7" s="12"/>
      <c r="F7" s="10"/>
      <c r="G7" s="11"/>
      <c r="H7" s="5"/>
      <c r="I7" s="5"/>
    </row>
    <row r="8" spans="1:9" ht="15.75" thickBot="1" x14ac:dyDescent="0.3">
      <c r="A8" s="3"/>
      <c r="B8" s="10"/>
      <c r="C8" s="10"/>
      <c r="D8" s="10"/>
      <c r="E8" s="13"/>
      <c r="F8" s="10"/>
      <c r="G8" s="11"/>
      <c r="H8" s="5"/>
      <c r="I8" s="5"/>
    </row>
    <row r="9" spans="1:9" s="117" customFormat="1" ht="39" thickBot="1" x14ac:dyDescent="0.3">
      <c r="A9" s="110" t="s">
        <v>7</v>
      </c>
      <c r="B9" s="111" t="s">
        <v>8</v>
      </c>
      <c r="C9" s="112" t="s">
        <v>9</v>
      </c>
      <c r="D9" s="111" t="s">
        <v>10</v>
      </c>
      <c r="E9" s="113" t="s">
        <v>11</v>
      </c>
      <c r="F9" s="112" t="s">
        <v>12</v>
      </c>
      <c r="G9" s="114" t="s">
        <v>13</v>
      </c>
      <c r="H9" s="116" t="s">
        <v>14</v>
      </c>
      <c r="I9" s="115" t="s">
        <v>15</v>
      </c>
    </row>
    <row r="10" spans="1:9" s="117" customFormat="1" ht="42" customHeight="1" x14ac:dyDescent="0.25">
      <c r="A10" s="118">
        <v>1</v>
      </c>
      <c r="B10" s="118" t="s">
        <v>16</v>
      </c>
      <c r="C10" s="119" t="s">
        <v>17</v>
      </c>
      <c r="D10" s="119" t="s">
        <v>18</v>
      </c>
      <c r="E10" s="120" t="s">
        <v>19</v>
      </c>
      <c r="F10" s="121" t="s">
        <v>20</v>
      </c>
      <c r="G10" s="104">
        <v>4</v>
      </c>
      <c r="H10" s="122">
        <v>50000</v>
      </c>
      <c r="I10" s="123">
        <f t="shared" ref="I10:I28" si="0">+G10*H10</f>
        <v>200000</v>
      </c>
    </row>
    <row r="11" spans="1:9" s="117" customFormat="1" ht="42" customHeight="1" x14ac:dyDescent="0.25">
      <c r="A11" s="118">
        <v>2</v>
      </c>
      <c r="B11" s="103" t="s">
        <v>21</v>
      </c>
      <c r="C11" s="102" t="s">
        <v>17</v>
      </c>
      <c r="D11" s="102" t="s">
        <v>18</v>
      </c>
      <c r="E11" s="124" t="s">
        <v>22</v>
      </c>
      <c r="F11" s="102" t="s">
        <v>20</v>
      </c>
      <c r="G11" s="104">
        <v>70</v>
      </c>
      <c r="H11" s="105">
        <v>125000</v>
      </c>
      <c r="I11" s="123">
        <f t="shared" si="0"/>
        <v>8750000</v>
      </c>
    </row>
    <row r="12" spans="1:9" s="117" customFormat="1" ht="42" customHeight="1" x14ac:dyDescent="0.25">
      <c r="A12" s="118">
        <v>3</v>
      </c>
      <c r="B12" s="103" t="s">
        <v>24</v>
      </c>
      <c r="C12" s="102" t="s">
        <v>17</v>
      </c>
      <c r="D12" s="102" t="s">
        <v>18</v>
      </c>
      <c r="E12" s="124" t="s">
        <v>25</v>
      </c>
      <c r="F12" s="102" t="s">
        <v>20</v>
      </c>
      <c r="G12" s="104">
        <v>14</v>
      </c>
      <c r="H12" s="105">
        <f>278250+36113</f>
        <v>314363</v>
      </c>
      <c r="I12" s="123">
        <f t="shared" si="0"/>
        <v>4401082</v>
      </c>
    </row>
    <row r="13" spans="1:9" s="117" customFormat="1" ht="42" customHeight="1" x14ac:dyDescent="0.25">
      <c r="A13" s="118">
        <v>4</v>
      </c>
      <c r="B13" s="103" t="s">
        <v>26</v>
      </c>
      <c r="C13" s="102" t="s">
        <v>27</v>
      </c>
      <c r="D13" s="102" t="s">
        <v>18</v>
      </c>
      <c r="E13" s="124" t="s">
        <v>28</v>
      </c>
      <c r="F13" s="102" t="s">
        <v>20</v>
      </c>
      <c r="G13" s="104">
        <v>80</v>
      </c>
      <c r="H13" s="105">
        <v>32000</v>
      </c>
      <c r="I13" s="123">
        <f t="shared" si="0"/>
        <v>2560000</v>
      </c>
    </row>
    <row r="14" spans="1:9" s="117" customFormat="1" ht="42" customHeight="1" x14ac:dyDescent="0.25">
      <c r="A14" s="118">
        <v>5</v>
      </c>
      <c r="B14" s="103" t="s">
        <v>29</v>
      </c>
      <c r="C14" s="102" t="s">
        <v>27</v>
      </c>
      <c r="D14" s="102" t="s">
        <v>18</v>
      </c>
      <c r="E14" s="124" t="s">
        <v>30</v>
      </c>
      <c r="F14" s="102" t="s">
        <v>20</v>
      </c>
      <c r="G14" s="104">
        <v>10</v>
      </c>
      <c r="H14" s="105">
        <v>32000</v>
      </c>
      <c r="I14" s="123">
        <f t="shared" si="0"/>
        <v>320000</v>
      </c>
    </row>
    <row r="15" spans="1:9" s="117" customFormat="1" ht="28.9" customHeight="1" x14ac:dyDescent="0.25">
      <c r="A15" s="118">
        <v>6</v>
      </c>
      <c r="B15" s="103" t="s">
        <v>31</v>
      </c>
      <c r="C15" s="102" t="s">
        <v>27</v>
      </c>
      <c r="D15" s="102" t="s">
        <v>18</v>
      </c>
      <c r="E15" s="124" t="s">
        <v>32</v>
      </c>
      <c r="F15" s="102" t="s">
        <v>20</v>
      </c>
      <c r="G15" s="104">
        <v>10</v>
      </c>
      <c r="H15" s="105">
        <v>53000</v>
      </c>
      <c r="I15" s="123">
        <f t="shared" si="0"/>
        <v>530000</v>
      </c>
    </row>
    <row r="16" spans="1:9" s="117" customFormat="1" ht="42" customHeight="1" x14ac:dyDescent="0.25">
      <c r="A16" s="118">
        <v>7</v>
      </c>
      <c r="B16" s="103" t="s">
        <v>33</v>
      </c>
      <c r="C16" s="102" t="s">
        <v>27</v>
      </c>
      <c r="D16" s="102" t="s">
        <v>18</v>
      </c>
      <c r="E16" s="124" t="s">
        <v>34</v>
      </c>
      <c r="F16" s="102" t="s">
        <v>20</v>
      </c>
      <c r="G16" s="104">
        <v>10</v>
      </c>
      <c r="H16" s="105">
        <v>43000</v>
      </c>
      <c r="I16" s="123">
        <f t="shared" si="0"/>
        <v>430000</v>
      </c>
    </row>
    <row r="17" spans="1:9" s="117" customFormat="1" ht="35.450000000000003" customHeight="1" x14ac:dyDescent="0.25">
      <c r="A17" s="118">
        <v>8</v>
      </c>
      <c r="B17" s="103" t="s">
        <v>35</v>
      </c>
      <c r="C17" s="102" t="s">
        <v>17</v>
      </c>
      <c r="D17" s="102" t="s">
        <v>18</v>
      </c>
      <c r="E17" s="124" t="s">
        <v>36</v>
      </c>
      <c r="F17" s="102" t="s">
        <v>20</v>
      </c>
      <c r="G17" s="104">
        <v>7</v>
      </c>
      <c r="H17" s="105">
        <v>610000</v>
      </c>
      <c r="I17" s="123">
        <f t="shared" si="0"/>
        <v>4270000</v>
      </c>
    </row>
    <row r="18" spans="1:9" s="117" customFormat="1" ht="42" customHeight="1" x14ac:dyDescent="0.25">
      <c r="A18" s="118">
        <v>9</v>
      </c>
      <c r="B18" s="103" t="s">
        <v>37</v>
      </c>
      <c r="C18" s="102" t="s">
        <v>27</v>
      </c>
      <c r="D18" s="102" t="s">
        <v>18</v>
      </c>
      <c r="E18" s="124" t="s">
        <v>38</v>
      </c>
      <c r="F18" s="102" t="s">
        <v>20</v>
      </c>
      <c r="G18" s="104">
        <v>25</v>
      </c>
      <c r="H18" s="105">
        <v>14300</v>
      </c>
      <c r="I18" s="123">
        <f t="shared" si="0"/>
        <v>357500</v>
      </c>
    </row>
    <row r="19" spans="1:9" s="117" customFormat="1" ht="42" customHeight="1" x14ac:dyDescent="0.25">
      <c r="A19" s="118">
        <v>10</v>
      </c>
      <c r="B19" s="103" t="s">
        <v>39</v>
      </c>
      <c r="C19" s="102" t="s">
        <v>27</v>
      </c>
      <c r="D19" s="102" t="s">
        <v>18</v>
      </c>
      <c r="E19" s="124" t="s">
        <v>40</v>
      </c>
      <c r="F19" s="102" t="s">
        <v>20</v>
      </c>
      <c r="G19" s="104">
        <v>25</v>
      </c>
      <c r="H19" s="105">
        <v>32000</v>
      </c>
      <c r="I19" s="123">
        <f t="shared" si="0"/>
        <v>800000</v>
      </c>
    </row>
    <row r="20" spans="1:9" s="117" customFormat="1" ht="33.6" customHeight="1" x14ac:dyDescent="0.25">
      <c r="A20" s="118">
        <v>11</v>
      </c>
      <c r="B20" s="103" t="s">
        <v>41</v>
      </c>
      <c r="C20" s="102" t="s">
        <v>17</v>
      </c>
      <c r="D20" s="102" t="s">
        <v>18</v>
      </c>
      <c r="E20" s="124" t="s">
        <v>42</v>
      </c>
      <c r="F20" s="102" t="s">
        <v>20</v>
      </c>
      <c r="G20" s="104">
        <v>5</v>
      </c>
      <c r="H20" s="105">
        <v>255062.41</v>
      </c>
      <c r="I20" s="123">
        <f t="shared" si="0"/>
        <v>1275312.05</v>
      </c>
    </row>
    <row r="21" spans="1:9" s="117" customFormat="1" ht="37.5" customHeight="1" x14ac:dyDescent="0.25">
      <c r="A21" s="118">
        <v>12</v>
      </c>
      <c r="B21" s="103" t="s">
        <v>43</v>
      </c>
      <c r="C21" s="102" t="s">
        <v>27</v>
      </c>
      <c r="D21" s="102" t="s">
        <v>18</v>
      </c>
      <c r="E21" s="124" t="s">
        <v>44</v>
      </c>
      <c r="F21" s="102" t="s">
        <v>20</v>
      </c>
      <c r="G21" s="104">
        <v>4</v>
      </c>
      <c r="H21" s="105">
        <v>175000</v>
      </c>
      <c r="I21" s="106">
        <f t="shared" si="0"/>
        <v>700000</v>
      </c>
    </row>
    <row r="22" spans="1:9" s="117" customFormat="1" ht="33.6" customHeight="1" x14ac:dyDescent="0.25">
      <c r="A22" s="118">
        <v>13</v>
      </c>
      <c r="B22" s="103" t="s">
        <v>123</v>
      </c>
      <c r="C22" s="102" t="s">
        <v>17</v>
      </c>
      <c r="D22" s="102" t="s">
        <v>18</v>
      </c>
      <c r="E22" s="124" t="s">
        <v>124</v>
      </c>
      <c r="F22" s="102" t="s">
        <v>20</v>
      </c>
      <c r="G22" s="104">
        <v>7</v>
      </c>
      <c r="H22" s="105">
        <v>215000</v>
      </c>
      <c r="I22" s="106">
        <f t="shared" si="0"/>
        <v>1505000</v>
      </c>
    </row>
    <row r="23" spans="1:9" s="117" customFormat="1" ht="55.15" customHeight="1" x14ac:dyDescent="0.25">
      <c r="A23" s="118">
        <v>14</v>
      </c>
      <c r="B23" s="103" t="s">
        <v>45</v>
      </c>
      <c r="C23" s="102" t="s">
        <v>27</v>
      </c>
      <c r="D23" s="102" t="s">
        <v>18</v>
      </c>
      <c r="E23" s="125" t="s">
        <v>142</v>
      </c>
      <c r="F23" s="102" t="s">
        <v>20</v>
      </c>
      <c r="G23" s="104">
        <v>2</v>
      </c>
      <c r="H23" s="105">
        <v>5500000</v>
      </c>
      <c r="I23" s="106">
        <f t="shared" si="0"/>
        <v>11000000</v>
      </c>
    </row>
    <row r="24" spans="1:9" s="117" customFormat="1" ht="46.9" customHeight="1" x14ac:dyDescent="0.25">
      <c r="A24" s="118">
        <v>15</v>
      </c>
      <c r="B24" s="103" t="s">
        <v>46</v>
      </c>
      <c r="C24" s="102" t="s">
        <v>17</v>
      </c>
      <c r="D24" s="102" t="s">
        <v>18</v>
      </c>
      <c r="E24" s="124" t="s">
        <v>47</v>
      </c>
      <c r="F24" s="102" t="s">
        <v>20</v>
      </c>
      <c r="G24" s="104">
        <v>30</v>
      </c>
      <c r="H24" s="105">
        <v>19000</v>
      </c>
      <c r="I24" s="106">
        <f t="shared" si="0"/>
        <v>570000</v>
      </c>
    </row>
    <row r="25" spans="1:9" s="117" customFormat="1" ht="40.15" customHeight="1" x14ac:dyDescent="0.25">
      <c r="A25" s="118">
        <v>16</v>
      </c>
      <c r="B25" s="103" t="s">
        <v>146</v>
      </c>
      <c r="C25" s="102" t="s">
        <v>27</v>
      </c>
      <c r="D25" s="102" t="s">
        <v>18</v>
      </c>
      <c r="E25" s="124" t="s">
        <v>147</v>
      </c>
      <c r="F25" s="102" t="s">
        <v>20</v>
      </c>
      <c r="G25" s="104">
        <v>3</v>
      </c>
      <c r="H25" s="105">
        <v>537000</v>
      </c>
      <c r="I25" s="106">
        <f t="shared" si="0"/>
        <v>1611000</v>
      </c>
    </row>
    <row r="26" spans="1:9" s="117" customFormat="1" ht="47.25" customHeight="1" x14ac:dyDescent="0.25">
      <c r="A26" s="118">
        <v>17</v>
      </c>
      <c r="B26" s="103" t="s">
        <v>48</v>
      </c>
      <c r="C26" s="102" t="s">
        <v>17</v>
      </c>
      <c r="D26" s="102" t="s">
        <v>18</v>
      </c>
      <c r="E26" s="124" t="s">
        <v>49</v>
      </c>
      <c r="F26" s="102" t="s">
        <v>20</v>
      </c>
      <c r="G26" s="104">
        <v>4</v>
      </c>
      <c r="H26" s="105">
        <v>229493.28</v>
      </c>
      <c r="I26" s="106">
        <f t="shared" si="0"/>
        <v>917973.12</v>
      </c>
    </row>
    <row r="27" spans="1:9" s="117" customFormat="1" ht="42" customHeight="1" x14ac:dyDescent="0.25">
      <c r="A27" s="118">
        <v>18</v>
      </c>
      <c r="B27" s="103" t="s">
        <v>50</v>
      </c>
      <c r="C27" s="102" t="s">
        <v>17</v>
      </c>
      <c r="D27" s="102" t="s">
        <v>18</v>
      </c>
      <c r="E27" s="124" t="s">
        <v>51</v>
      </c>
      <c r="F27" s="102" t="s">
        <v>20</v>
      </c>
      <c r="G27" s="104">
        <v>30</v>
      </c>
      <c r="H27" s="105">
        <v>30000</v>
      </c>
      <c r="I27" s="106">
        <f t="shared" si="0"/>
        <v>900000</v>
      </c>
    </row>
    <row r="28" spans="1:9" s="117" customFormat="1" ht="32.450000000000003" customHeight="1" thickBot="1" x14ac:dyDescent="0.3">
      <c r="A28" s="118">
        <v>19</v>
      </c>
      <c r="B28" s="103" t="s">
        <v>52</v>
      </c>
      <c r="C28" s="102" t="s">
        <v>27</v>
      </c>
      <c r="D28" s="102" t="s">
        <v>18</v>
      </c>
      <c r="E28" s="124" t="s">
        <v>53</v>
      </c>
      <c r="F28" s="102" t="s">
        <v>20</v>
      </c>
      <c r="G28" s="126">
        <v>28</v>
      </c>
      <c r="H28" s="105">
        <v>43000</v>
      </c>
      <c r="I28" s="127">
        <f t="shared" si="0"/>
        <v>1204000</v>
      </c>
    </row>
    <row r="29" spans="1:9" s="117" customFormat="1" ht="25.5" customHeight="1" thickBot="1" x14ac:dyDescent="0.3">
      <c r="A29" s="128"/>
      <c r="B29" s="129"/>
      <c r="C29" s="129"/>
      <c r="D29" s="129"/>
      <c r="E29" s="130" t="s">
        <v>54</v>
      </c>
      <c r="F29" s="129"/>
      <c r="G29" s="132"/>
      <c r="H29" s="131"/>
      <c r="I29" s="133">
        <f>+SUM(I10:I28)</f>
        <v>42301867.169999994</v>
      </c>
    </row>
    <row r="30" spans="1:9" ht="15.75" customHeight="1" x14ac:dyDescent="0.25">
      <c r="A30" s="14"/>
      <c r="B30" s="14"/>
      <c r="C30" s="14"/>
      <c r="D30" s="14"/>
      <c r="E30" s="15"/>
      <c r="F30" s="14"/>
      <c r="G30" s="16"/>
      <c r="H30" s="17"/>
      <c r="I30" s="17"/>
    </row>
    <row r="31" spans="1:9" ht="15.75" customHeight="1" thickBot="1" x14ac:dyDescent="0.3">
      <c r="A31" s="14"/>
      <c r="B31" s="14"/>
      <c r="C31" s="14"/>
      <c r="D31" s="14"/>
      <c r="E31" s="15"/>
      <c r="F31" s="14"/>
      <c r="G31" s="16"/>
      <c r="H31" s="17"/>
      <c r="I31" s="17"/>
    </row>
    <row r="32" spans="1:9" ht="33.75" customHeight="1" x14ac:dyDescent="0.25">
      <c r="A32" s="14"/>
      <c r="B32" s="14"/>
      <c r="C32" s="155" t="s">
        <v>55</v>
      </c>
      <c r="D32" s="156"/>
      <c r="E32" s="157"/>
      <c r="F32" s="14"/>
      <c r="G32" s="16"/>
      <c r="H32" s="17"/>
      <c r="I32" s="17"/>
    </row>
    <row r="33" spans="1:9" s="138" customFormat="1" ht="35.25" customHeight="1" x14ac:dyDescent="0.25">
      <c r="A33" s="14"/>
      <c r="B33" s="14"/>
      <c r="C33" s="160" t="s">
        <v>151</v>
      </c>
      <c r="D33" s="161"/>
      <c r="E33" s="162"/>
      <c r="F33" s="14"/>
      <c r="G33" s="16"/>
      <c r="H33" s="17"/>
      <c r="I33" s="17"/>
    </row>
    <row r="34" spans="1:9" ht="15.75" customHeight="1" x14ac:dyDescent="0.25">
      <c r="A34" s="14"/>
      <c r="B34" s="14"/>
      <c r="C34" s="18"/>
      <c r="D34" s="150"/>
      <c r="E34" s="151"/>
      <c r="F34" s="14"/>
      <c r="G34" s="16"/>
      <c r="H34" s="17"/>
      <c r="I34" s="17"/>
    </row>
    <row r="35" spans="1:9" ht="15.75" customHeight="1" x14ac:dyDescent="0.25">
      <c r="A35" s="14"/>
      <c r="B35" s="14"/>
      <c r="C35" s="18" t="s">
        <v>56</v>
      </c>
      <c r="D35" s="153" t="s">
        <v>127</v>
      </c>
      <c r="E35" s="154"/>
      <c r="F35" s="14"/>
      <c r="G35" s="16"/>
      <c r="H35" s="17"/>
      <c r="I35" s="17"/>
    </row>
    <row r="36" spans="1:9" ht="15.75" customHeight="1" x14ac:dyDescent="0.25">
      <c r="A36" s="14"/>
      <c r="B36" s="14"/>
      <c r="C36" s="18"/>
      <c r="D36" s="152"/>
      <c r="E36" s="151"/>
      <c r="F36" s="14"/>
      <c r="G36" s="16"/>
      <c r="H36" s="17"/>
      <c r="I36" s="17"/>
    </row>
    <row r="37" spans="1:9" ht="15.75" customHeight="1" x14ac:dyDescent="0.25">
      <c r="A37" s="14"/>
      <c r="B37" s="14"/>
      <c r="C37" s="18" t="s">
        <v>57</v>
      </c>
      <c r="D37" s="158" t="s">
        <v>58</v>
      </c>
      <c r="E37" s="151"/>
      <c r="F37" s="14"/>
      <c r="G37" s="16"/>
      <c r="H37" s="17"/>
      <c r="I37" s="17"/>
    </row>
    <row r="38" spans="1:9" ht="15.75" customHeight="1" x14ac:dyDescent="0.25">
      <c r="A38" s="14"/>
      <c r="B38" s="14"/>
      <c r="C38" s="18"/>
      <c r="D38" s="152"/>
      <c r="E38" s="151"/>
      <c r="F38" s="14"/>
      <c r="G38" s="16"/>
      <c r="H38" s="17"/>
      <c r="I38" s="17"/>
    </row>
    <row r="39" spans="1:9" ht="15.75" customHeight="1" x14ac:dyDescent="0.25">
      <c r="A39" s="14"/>
      <c r="B39" s="14"/>
      <c r="C39" s="18" t="s">
        <v>59</v>
      </c>
      <c r="D39" s="152"/>
      <c r="E39" s="151"/>
      <c r="F39" s="14"/>
      <c r="G39" s="16"/>
      <c r="H39" s="17"/>
      <c r="I39" s="17"/>
    </row>
    <row r="40" spans="1:9" s="101" customFormat="1" ht="15.75" customHeight="1" x14ac:dyDescent="0.25">
      <c r="A40" s="14"/>
      <c r="B40" s="14"/>
      <c r="C40" s="18"/>
      <c r="D40" s="99"/>
      <c r="E40" s="100"/>
      <c r="F40" s="14"/>
      <c r="G40" s="16"/>
      <c r="H40" s="17"/>
      <c r="I40" s="17"/>
    </row>
    <row r="41" spans="1:9" s="101" customFormat="1" ht="15.75" customHeight="1" x14ac:dyDescent="0.25">
      <c r="A41" s="14"/>
      <c r="B41" s="14"/>
      <c r="C41" s="108" t="s">
        <v>125</v>
      </c>
      <c r="D41" s="153" t="s">
        <v>126</v>
      </c>
      <c r="E41" s="159"/>
      <c r="F41" s="14"/>
      <c r="G41" s="16"/>
      <c r="H41" s="17"/>
      <c r="I41" s="17"/>
    </row>
    <row r="42" spans="1:9" ht="15.75" customHeight="1" x14ac:dyDescent="0.25">
      <c r="A42" s="14"/>
      <c r="B42" s="14"/>
      <c r="C42" s="18"/>
      <c r="D42" s="152"/>
      <c r="E42" s="151"/>
      <c r="F42" s="14"/>
      <c r="G42" s="16"/>
      <c r="H42" s="17"/>
      <c r="I42" s="17"/>
    </row>
    <row r="43" spans="1:9" ht="15.75" customHeight="1" x14ac:dyDescent="0.25">
      <c r="A43" s="14"/>
      <c r="B43" s="14"/>
      <c r="C43" s="18" t="s">
        <v>60</v>
      </c>
      <c r="D43" s="19" t="s">
        <v>61</v>
      </c>
      <c r="E43" s="20"/>
      <c r="F43" s="14"/>
      <c r="G43" s="16"/>
      <c r="H43" s="17"/>
      <c r="I43" s="17"/>
    </row>
    <row r="44" spans="1:9" ht="15.75" customHeight="1" thickBot="1" x14ac:dyDescent="0.3">
      <c r="A44" s="14"/>
      <c r="B44" s="14"/>
      <c r="C44" s="21"/>
      <c r="D44" s="166"/>
      <c r="E44" s="167"/>
      <c r="F44" s="14"/>
      <c r="G44" s="16"/>
      <c r="H44" s="17"/>
      <c r="I44" s="17"/>
    </row>
    <row r="45" spans="1:9" ht="15.75" customHeight="1" thickBot="1" x14ac:dyDescent="0.3">
      <c r="A45" s="14"/>
      <c r="B45" s="14"/>
      <c r="C45" s="14"/>
      <c r="D45" s="14"/>
      <c r="E45" s="15"/>
      <c r="F45" s="14"/>
      <c r="G45" s="16"/>
      <c r="H45" s="17"/>
      <c r="I45" s="17"/>
    </row>
    <row r="46" spans="1:9" ht="15.75" customHeight="1" x14ac:dyDescent="0.25">
      <c r="A46" s="14"/>
      <c r="B46" s="14"/>
      <c r="C46" s="144" t="s">
        <v>129</v>
      </c>
      <c r="D46" s="145"/>
      <c r="E46" s="146"/>
      <c r="F46" s="14"/>
      <c r="G46" s="16"/>
      <c r="H46" s="17"/>
      <c r="I46" s="17"/>
    </row>
    <row r="47" spans="1:9" s="107" customFormat="1" ht="15.75" customHeight="1" thickBot="1" x14ac:dyDescent="0.3">
      <c r="A47" s="14"/>
      <c r="B47" s="14"/>
      <c r="C47" s="141" t="s">
        <v>152</v>
      </c>
      <c r="D47" s="142"/>
      <c r="E47" s="143"/>
      <c r="F47" s="14"/>
      <c r="G47" s="16"/>
      <c r="H47" s="17"/>
      <c r="I47" s="17"/>
    </row>
    <row r="48" spans="1:9" s="107" customFormat="1" ht="15.75" customHeight="1" thickBot="1" x14ac:dyDescent="0.3">
      <c r="A48" s="14"/>
      <c r="B48" s="14"/>
      <c r="C48" s="134"/>
      <c r="D48" s="134"/>
      <c r="E48" s="15"/>
      <c r="F48" s="14"/>
      <c r="G48" s="16"/>
      <c r="H48" s="17"/>
      <c r="I48" s="17"/>
    </row>
    <row r="49" spans="1:9" ht="15" customHeight="1" x14ac:dyDescent="0.25">
      <c r="A49" s="22"/>
      <c r="B49" s="22"/>
      <c r="C49" s="147" t="s">
        <v>62</v>
      </c>
      <c r="D49" s="145"/>
      <c r="E49" s="146"/>
      <c r="F49" s="22"/>
      <c r="G49" s="23"/>
      <c r="H49" s="24"/>
      <c r="I49" s="24"/>
    </row>
    <row r="50" spans="1:9" ht="31.5" customHeight="1" thickBot="1" x14ac:dyDescent="0.3">
      <c r="A50" s="7"/>
      <c r="B50" s="7"/>
      <c r="C50" s="141" t="s">
        <v>23</v>
      </c>
      <c r="D50" s="142"/>
      <c r="E50" s="143"/>
      <c r="F50" s="7"/>
      <c r="G50" s="8"/>
      <c r="H50" s="6"/>
      <c r="I50" s="6"/>
    </row>
    <row r="51" spans="1:9" ht="15.75" customHeight="1" thickBot="1" x14ac:dyDescent="0.3">
      <c r="A51" s="14"/>
      <c r="B51" s="14"/>
      <c r="C51" s="15"/>
      <c r="D51" s="15"/>
      <c r="E51" s="15"/>
      <c r="F51" s="14"/>
      <c r="G51" s="14"/>
      <c r="H51" s="14"/>
      <c r="I51" s="14"/>
    </row>
    <row r="52" spans="1:9" ht="15.75" customHeight="1" x14ac:dyDescent="0.25">
      <c r="A52" s="25"/>
      <c r="B52" s="25"/>
      <c r="C52" s="147" t="s">
        <v>63</v>
      </c>
      <c r="D52" s="145"/>
      <c r="E52" s="146"/>
      <c r="F52" s="25"/>
      <c r="G52" s="26"/>
      <c r="H52" s="27"/>
      <c r="I52" s="27"/>
    </row>
    <row r="53" spans="1:9" ht="27.75" customHeight="1" thickBot="1" x14ac:dyDescent="0.3">
      <c r="A53" s="7"/>
      <c r="B53" s="7"/>
      <c r="C53" s="141" t="s">
        <v>130</v>
      </c>
      <c r="D53" s="142"/>
      <c r="E53" s="143"/>
      <c r="F53" s="7"/>
      <c r="G53" s="8"/>
      <c r="H53" s="6"/>
      <c r="I53" s="6"/>
    </row>
    <row r="54" spans="1:9" ht="15.75" customHeight="1" thickBot="1" x14ac:dyDescent="0.3">
      <c r="A54" s="7"/>
      <c r="B54" s="7"/>
      <c r="C54" s="135"/>
      <c r="D54" s="28"/>
      <c r="E54" s="28"/>
      <c r="F54" s="7"/>
      <c r="G54" s="8"/>
      <c r="H54" s="6"/>
      <c r="I54" s="6"/>
    </row>
    <row r="55" spans="1:9" ht="15.75" customHeight="1" x14ac:dyDescent="0.25">
      <c r="A55" s="25"/>
      <c r="B55" s="25"/>
      <c r="C55" s="147" t="s">
        <v>64</v>
      </c>
      <c r="D55" s="145"/>
      <c r="E55" s="146"/>
      <c r="F55" s="25"/>
      <c r="G55" s="26"/>
      <c r="H55" s="27"/>
      <c r="I55" s="27"/>
    </row>
    <row r="56" spans="1:9" ht="27" customHeight="1" thickBot="1" x14ac:dyDescent="0.3">
      <c r="A56" s="7"/>
      <c r="B56" s="7"/>
      <c r="C56" s="141" t="s">
        <v>139</v>
      </c>
      <c r="D56" s="142"/>
      <c r="E56" s="143"/>
      <c r="F56" s="7"/>
      <c r="G56" s="8"/>
      <c r="H56" s="6"/>
      <c r="I56" s="6"/>
    </row>
    <row r="57" spans="1:9" ht="15.75" customHeight="1" thickBot="1" x14ac:dyDescent="0.3">
      <c r="A57" s="7"/>
      <c r="B57" s="7"/>
      <c r="C57" s="135"/>
      <c r="D57" s="28"/>
      <c r="E57" s="28"/>
      <c r="F57" s="7"/>
      <c r="G57" s="8"/>
      <c r="H57" s="6"/>
      <c r="I57" s="6"/>
    </row>
    <row r="58" spans="1:9" ht="15.75" customHeight="1" x14ac:dyDescent="0.25">
      <c r="A58" s="25"/>
      <c r="B58" s="25"/>
      <c r="C58" s="147" t="s">
        <v>65</v>
      </c>
      <c r="D58" s="145"/>
      <c r="E58" s="146"/>
      <c r="F58" s="25"/>
      <c r="G58" s="26"/>
      <c r="H58" s="27"/>
      <c r="I58" s="27"/>
    </row>
    <row r="59" spans="1:9" ht="28.5" customHeight="1" thickBot="1" x14ac:dyDescent="0.3">
      <c r="A59" s="7"/>
      <c r="B59" s="7"/>
      <c r="C59" s="141" t="s">
        <v>138</v>
      </c>
      <c r="D59" s="142"/>
      <c r="E59" s="143"/>
      <c r="F59" s="7"/>
      <c r="G59" s="8"/>
      <c r="H59" s="6"/>
      <c r="I59" s="6"/>
    </row>
    <row r="60" spans="1:9" ht="15.75" customHeight="1" thickBot="1" x14ac:dyDescent="0.3">
      <c r="A60" s="7"/>
      <c r="B60" s="7"/>
      <c r="C60" s="135"/>
      <c r="D60" s="28"/>
      <c r="E60" s="28"/>
      <c r="F60" s="7"/>
      <c r="G60" s="8"/>
      <c r="H60" s="6"/>
      <c r="I60" s="6"/>
    </row>
    <row r="61" spans="1:9" ht="15.75" customHeight="1" x14ac:dyDescent="0.25">
      <c r="A61" s="25"/>
      <c r="B61" s="25"/>
      <c r="C61" s="147" t="s">
        <v>66</v>
      </c>
      <c r="D61" s="145"/>
      <c r="E61" s="146"/>
      <c r="F61" s="25"/>
      <c r="G61" s="26"/>
      <c r="H61" s="27"/>
      <c r="I61" s="27"/>
    </row>
    <row r="62" spans="1:9" ht="33.75" customHeight="1" thickBot="1" x14ac:dyDescent="0.3">
      <c r="A62" s="7"/>
      <c r="B62" s="7"/>
      <c r="C62" s="141" t="s">
        <v>141</v>
      </c>
      <c r="D62" s="142"/>
      <c r="E62" s="143"/>
      <c r="F62" s="7"/>
      <c r="G62" s="8"/>
      <c r="H62" s="6"/>
      <c r="I62" s="6"/>
    </row>
    <row r="63" spans="1:9" ht="15.75" customHeight="1" thickBot="1" x14ac:dyDescent="0.3">
      <c r="A63" s="7"/>
      <c r="B63" s="7"/>
      <c r="C63" s="135"/>
      <c r="D63" s="28"/>
      <c r="E63" s="28"/>
      <c r="F63" s="7"/>
      <c r="G63" s="8"/>
      <c r="H63" s="6"/>
      <c r="I63" s="6"/>
    </row>
    <row r="64" spans="1:9" ht="15.75" customHeight="1" x14ac:dyDescent="0.25">
      <c r="A64" s="25"/>
      <c r="B64" s="25"/>
      <c r="C64" s="147" t="s">
        <v>67</v>
      </c>
      <c r="D64" s="145"/>
      <c r="E64" s="146"/>
      <c r="F64" s="25"/>
      <c r="G64" s="26"/>
      <c r="H64" s="27"/>
      <c r="I64" s="27"/>
    </row>
    <row r="65" spans="1:9" ht="30" customHeight="1" thickBot="1" x14ac:dyDescent="0.3">
      <c r="A65" s="7"/>
      <c r="B65" s="7"/>
      <c r="C65" s="141" t="s">
        <v>140</v>
      </c>
      <c r="D65" s="142"/>
      <c r="E65" s="143"/>
      <c r="F65" s="7"/>
      <c r="G65" s="8"/>
      <c r="H65" s="6"/>
      <c r="I65" s="6"/>
    </row>
    <row r="66" spans="1:9" ht="15.75" customHeight="1" thickBot="1" x14ac:dyDescent="0.3">
      <c r="A66" s="7"/>
      <c r="B66" s="7"/>
      <c r="C66" s="135"/>
      <c r="D66" s="28"/>
      <c r="E66" s="28"/>
      <c r="F66" s="7"/>
      <c r="G66" s="8"/>
      <c r="H66" s="6"/>
      <c r="I66" s="6"/>
    </row>
    <row r="67" spans="1:9" ht="15.75" customHeight="1" x14ac:dyDescent="0.25">
      <c r="A67" s="25"/>
      <c r="B67" s="25"/>
      <c r="C67" s="147" t="s">
        <v>68</v>
      </c>
      <c r="D67" s="145"/>
      <c r="E67" s="146"/>
      <c r="F67" s="25"/>
      <c r="G67" s="26"/>
      <c r="H67" s="27"/>
      <c r="I67" s="27"/>
    </row>
    <row r="68" spans="1:9" ht="59.25" customHeight="1" thickBot="1" x14ac:dyDescent="0.3">
      <c r="A68" s="7"/>
      <c r="B68" s="7"/>
      <c r="C68" s="141" t="s">
        <v>156</v>
      </c>
      <c r="D68" s="142"/>
      <c r="E68" s="143"/>
      <c r="F68" s="7"/>
      <c r="G68" s="8"/>
      <c r="H68" s="6"/>
      <c r="I68" s="6"/>
    </row>
    <row r="69" spans="1:9" ht="15.75" customHeight="1" thickBot="1" x14ac:dyDescent="0.3">
      <c r="A69" s="7"/>
      <c r="B69" s="7"/>
      <c r="C69" s="135"/>
      <c r="D69" s="28"/>
      <c r="E69" s="28"/>
      <c r="F69" s="7"/>
      <c r="G69" s="8"/>
      <c r="H69" s="6"/>
      <c r="I69" s="6"/>
    </row>
    <row r="70" spans="1:9" ht="15.75" customHeight="1" x14ac:dyDescent="0.25">
      <c r="A70" s="25"/>
      <c r="B70" s="25"/>
      <c r="C70" s="144" t="s">
        <v>131</v>
      </c>
      <c r="D70" s="145"/>
      <c r="E70" s="146"/>
      <c r="F70" s="25"/>
      <c r="G70" s="26"/>
      <c r="H70" s="27"/>
      <c r="I70" s="27"/>
    </row>
    <row r="71" spans="1:9" ht="25.5" customHeight="1" thickBot="1" x14ac:dyDescent="0.3">
      <c r="A71" s="7"/>
      <c r="B71" s="7"/>
      <c r="C71" s="141" t="s">
        <v>118</v>
      </c>
      <c r="D71" s="142"/>
      <c r="E71" s="143"/>
      <c r="F71" s="7"/>
      <c r="G71" s="8"/>
      <c r="H71" s="6"/>
      <c r="I71" s="6"/>
    </row>
    <row r="72" spans="1:9" ht="15.75" customHeight="1" thickBot="1" x14ac:dyDescent="0.3">
      <c r="A72" s="7"/>
      <c r="B72" s="7"/>
      <c r="C72" s="135"/>
      <c r="D72" s="28"/>
      <c r="E72" s="28"/>
      <c r="F72" s="7"/>
      <c r="G72" s="8"/>
      <c r="H72" s="6"/>
      <c r="I72" s="6"/>
    </row>
    <row r="73" spans="1:9" ht="15.75" customHeight="1" x14ac:dyDescent="0.25">
      <c r="A73" s="25"/>
      <c r="B73" s="25"/>
      <c r="C73" s="144" t="s">
        <v>69</v>
      </c>
      <c r="D73" s="145"/>
      <c r="E73" s="146"/>
      <c r="F73" s="25"/>
      <c r="G73" s="26"/>
      <c r="H73" s="27"/>
      <c r="I73" s="27"/>
    </row>
    <row r="74" spans="1:9" ht="30" customHeight="1" thickBot="1" x14ac:dyDescent="0.3">
      <c r="A74" s="7"/>
      <c r="B74" s="7"/>
      <c r="C74" s="141" t="s">
        <v>119</v>
      </c>
      <c r="D74" s="142"/>
      <c r="E74" s="143"/>
      <c r="F74" s="7"/>
      <c r="G74" s="8"/>
      <c r="H74" s="6"/>
      <c r="I74" s="6"/>
    </row>
    <row r="75" spans="1:9" ht="15.75" customHeight="1" thickBot="1" x14ac:dyDescent="0.3">
      <c r="A75" s="7"/>
      <c r="B75" s="7"/>
      <c r="C75" s="135"/>
      <c r="D75" s="28"/>
      <c r="E75" s="28"/>
      <c r="F75" s="7"/>
      <c r="G75" s="8"/>
      <c r="H75" s="6"/>
      <c r="I75" s="6"/>
    </row>
    <row r="76" spans="1:9" ht="15.75" customHeight="1" x14ac:dyDescent="0.25">
      <c r="A76" s="25"/>
      <c r="B76" s="25"/>
      <c r="C76" s="144" t="s">
        <v>132</v>
      </c>
      <c r="D76" s="145"/>
      <c r="E76" s="146"/>
      <c r="F76" s="25"/>
      <c r="G76" s="26"/>
      <c r="H76" s="27"/>
      <c r="I76" s="27"/>
    </row>
    <row r="77" spans="1:9" ht="56.25" customHeight="1" thickBot="1" x14ac:dyDescent="0.3">
      <c r="A77" s="7"/>
      <c r="B77" s="7"/>
      <c r="C77" s="141" t="s">
        <v>145</v>
      </c>
      <c r="D77" s="142"/>
      <c r="E77" s="143"/>
      <c r="F77" s="7"/>
      <c r="G77" s="8"/>
      <c r="H77" s="6"/>
      <c r="I77" s="6"/>
    </row>
    <row r="78" spans="1:9" ht="15.75" customHeight="1" thickBot="1" x14ac:dyDescent="0.3">
      <c r="A78" s="7"/>
      <c r="B78" s="7"/>
      <c r="C78" s="135"/>
      <c r="D78" s="28"/>
      <c r="E78" s="28"/>
      <c r="F78" s="7"/>
      <c r="G78" s="8"/>
      <c r="H78" s="6"/>
      <c r="I78" s="6"/>
    </row>
    <row r="79" spans="1:9" ht="15.75" customHeight="1" x14ac:dyDescent="0.25">
      <c r="A79" s="25"/>
      <c r="B79" s="25"/>
      <c r="C79" s="144" t="s">
        <v>70</v>
      </c>
      <c r="D79" s="145"/>
      <c r="E79" s="146"/>
      <c r="F79" s="25"/>
      <c r="G79" s="26"/>
      <c r="H79" s="27"/>
      <c r="I79" s="27"/>
    </row>
    <row r="80" spans="1:9" ht="26.25" customHeight="1" thickBot="1" x14ac:dyDescent="0.3">
      <c r="A80" s="7"/>
      <c r="B80" s="7"/>
      <c r="C80" s="141" t="s">
        <v>144</v>
      </c>
      <c r="D80" s="142"/>
      <c r="E80" s="143"/>
      <c r="F80" s="7"/>
      <c r="G80" s="8"/>
      <c r="H80" s="6"/>
      <c r="I80" s="6"/>
    </row>
    <row r="81" spans="1:9" ht="15.75" customHeight="1" thickBot="1" x14ac:dyDescent="0.3">
      <c r="A81" s="7"/>
      <c r="B81" s="7"/>
      <c r="C81" s="135"/>
      <c r="D81" s="28"/>
      <c r="E81" s="28"/>
      <c r="F81" s="7"/>
      <c r="G81" s="8"/>
      <c r="H81" s="6"/>
      <c r="I81" s="6"/>
    </row>
    <row r="82" spans="1:9" ht="15.75" customHeight="1" x14ac:dyDescent="0.25">
      <c r="A82" s="25"/>
      <c r="B82" s="25"/>
      <c r="C82" s="144" t="s">
        <v>133</v>
      </c>
      <c r="D82" s="145"/>
      <c r="E82" s="146"/>
      <c r="F82" s="25"/>
      <c r="G82" s="26"/>
      <c r="H82" s="27"/>
      <c r="I82" s="27"/>
    </row>
    <row r="83" spans="1:9" ht="90.75" customHeight="1" thickBot="1" x14ac:dyDescent="0.3">
      <c r="A83" s="7"/>
      <c r="B83" s="7"/>
      <c r="C83" s="141" t="s">
        <v>122</v>
      </c>
      <c r="D83" s="142"/>
      <c r="E83" s="143"/>
      <c r="F83" s="7"/>
      <c r="G83" s="8"/>
      <c r="H83" s="6"/>
      <c r="I83" s="6"/>
    </row>
    <row r="84" spans="1:9" ht="15.75" customHeight="1" thickBot="1" x14ac:dyDescent="0.3">
      <c r="A84" s="7"/>
      <c r="B84" s="7"/>
      <c r="C84" s="135"/>
      <c r="D84" s="28"/>
      <c r="E84" s="28"/>
      <c r="F84" s="7"/>
      <c r="G84" s="8"/>
      <c r="H84" s="6"/>
      <c r="I84" s="6"/>
    </row>
    <row r="85" spans="1:9" ht="15.75" customHeight="1" x14ac:dyDescent="0.25">
      <c r="A85" s="25"/>
      <c r="B85" s="25"/>
      <c r="C85" s="144" t="s">
        <v>71</v>
      </c>
      <c r="D85" s="145"/>
      <c r="E85" s="146"/>
      <c r="F85" s="25"/>
      <c r="G85" s="26"/>
      <c r="H85" s="27"/>
      <c r="I85" s="27"/>
    </row>
    <row r="86" spans="1:9" ht="220.15" customHeight="1" thickBot="1" x14ac:dyDescent="0.3">
      <c r="A86" s="7"/>
      <c r="B86" s="7"/>
      <c r="C86" s="141" t="s">
        <v>143</v>
      </c>
      <c r="D86" s="142"/>
      <c r="E86" s="143"/>
      <c r="F86" s="7"/>
      <c r="G86" s="8"/>
      <c r="H86" s="6"/>
      <c r="I86" s="6"/>
    </row>
    <row r="87" spans="1:9" ht="15.75" customHeight="1" thickBot="1" x14ac:dyDescent="0.3">
      <c r="A87" s="7"/>
      <c r="B87" s="7"/>
      <c r="C87" s="135"/>
      <c r="D87" s="28"/>
      <c r="E87" s="28"/>
      <c r="F87" s="7"/>
      <c r="G87" s="8"/>
      <c r="H87" s="6"/>
      <c r="I87" s="6"/>
    </row>
    <row r="88" spans="1:9" ht="15.75" customHeight="1" x14ac:dyDescent="0.25">
      <c r="A88" s="7"/>
      <c r="B88" s="7"/>
      <c r="C88" s="144" t="s">
        <v>72</v>
      </c>
      <c r="D88" s="145"/>
      <c r="E88" s="146"/>
      <c r="F88" s="7"/>
      <c r="G88" s="8"/>
      <c r="H88" s="6"/>
      <c r="I88" s="6"/>
    </row>
    <row r="89" spans="1:9" ht="49.15" customHeight="1" thickBot="1" x14ac:dyDescent="0.3">
      <c r="A89" s="7"/>
      <c r="B89" s="7"/>
      <c r="C89" s="141" t="s">
        <v>120</v>
      </c>
      <c r="D89" s="142"/>
      <c r="E89" s="143"/>
      <c r="F89" s="7"/>
      <c r="G89" s="8"/>
      <c r="H89" s="6"/>
      <c r="I89" s="6"/>
    </row>
    <row r="90" spans="1:9" ht="15.75" customHeight="1" thickBot="1" x14ac:dyDescent="0.3">
      <c r="A90" s="7"/>
      <c r="B90" s="7"/>
      <c r="C90" s="136"/>
      <c r="D90" s="136"/>
      <c r="E90" s="28"/>
      <c r="F90" s="7"/>
      <c r="G90" s="8"/>
      <c r="H90" s="6"/>
      <c r="I90" s="6"/>
    </row>
    <row r="91" spans="1:9" ht="15.75" customHeight="1" x14ac:dyDescent="0.25">
      <c r="A91" s="7"/>
      <c r="B91" s="7"/>
      <c r="C91" s="144" t="s">
        <v>134</v>
      </c>
      <c r="D91" s="145"/>
      <c r="E91" s="146"/>
      <c r="F91" s="7"/>
      <c r="G91" s="8"/>
      <c r="H91" s="6"/>
      <c r="I91" s="6"/>
    </row>
    <row r="92" spans="1:9" ht="44.45" customHeight="1" thickBot="1" x14ac:dyDescent="0.3">
      <c r="A92" s="7"/>
      <c r="B92" s="7"/>
      <c r="C92" s="141" t="s">
        <v>148</v>
      </c>
      <c r="D92" s="142"/>
      <c r="E92" s="143"/>
      <c r="F92" s="7"/>
      <c r="G92" s="8"/>
      <c r="H92" s="6"/>
      <c r="I92" s="6"/>
    </row>
    <row r="93" spans="1:9" ht="15.75" customHeight="1" thickBot="1" x14ac:dyDescent="0.3">
      <c r="A93" s="7"/>
      <c r="B93" s="7"/>
      <c r="C93" s="7"/>
      <c r="D93" s="7"/>
      <c r="E93" s="28"/>
      <c r="F93" s="7"/>
      <c r="G93" s="8"/>
      <c r="H93" s="6"/>
      <c r="I93" s="6"/>
    </row>
    <row r="94" spans="1:9" ht="15.75" customHeight="1" x14ac:dyDescent="0.25">
      <c r="A94" s="7"/>
      <c r="B94" s="7"/>
      <c r="C94" s="144" t="s">
        <v>135</v>
      </c>
      <c r="D94" s="145"/>
      <c r="E94" s="146"/>
      <c r="F94" s="7"/>
      <c r="G94" s="8"/>
      <c r="H94" s="6"/>
      <c r="I94" s="6"/>
    </row>
    <row r="95" spans="1:9" ht="15.75" customHeight="1" thickBot="1" x14ac:dyDescent="0.3">
      <c r="A95" s="7"/>
      <c r="B95" s="7"/>
      <c r="C95" s="141" t="s">
        <v>121</v>
      </c>
      <c r="D95" s="142"/>
      <c r="E95" s="143"/>
      <c r="F95" s="7"/>
      <c r="G95" s="8"/>
      <c r="H95" s="6"/>
      <c r="I95" s="6"/>
    </row>
    <row r="96" spans="1:9" ht="15.75" customHeight="1" thickBot="1" x14ac:dyDescent="0.3">
      <c r="A96" s="7"/>
      <c r="B96" s="7"/>
      <c r="C96" s="7"/>
      <c r="D96" s="7"/>
      <c r="E96" s="28"/>
      <c r="F96" s="7"/>
      <c r="G96" s="8"/>
      <c r="H96" s="6"/>
      <c r="I96" s="6"/>
    </row>
    <row r="97" spans="1:9" ht="15.75" customHeight="1" x14ac:dyDescent="0.25">
      <c r="A97" s="7"/>
      <c r="B97" s="7"/>
      <c r="C97" s="147" t="s">
        <v>73</v>
      </c>
      <c r="D97" s="145"/>
      <c r="E97" s="146"/>
      <c r="F97" s="7"/>
      <c r="G97" s="8"/>
      <c r="H97" s="6"/>
      <c r="I97" s="6"/>
    </row>
    <row r="98" spans="1:9" ht="15.75" customHeight="1" thickBot="1" x14ac:dyDescent="0.3">
      <c r="A98" s="7"/>
      <c r="B98" s="7"/>
      <c r="C98" s="141" t="s">
        <v>149</v>
      </c>
      <c r="D98" s="142"/>
      <c r="E98" s="143"/>
      <c r="F98" s="7"/>
      <c r="G98" s="8"/>
      <c r="H98" s="6"/>
      <c r="I98" s="6"/>
    </row>
    <row r="99" spans="1:9" ht="15.75" customHeight="1" thickBot="1" x14ac:dyDescent="0.3">
      <c r="A99" s="7"/>
      <c r="B99" s="7"/>
      <c r="C99" s="7"/>
      <c r="D99" s="7"/>
      <c r="E99" s="28"/>
      <c r="F99" s="7"/>
      <c r="G99" s="8"/>
      <c r="H99" s="6"/>
      <c r="I99" s="6"/>
    </row>
    <row r="100" spans="1:9" ht="15.75" customHeight="1" x14ac:dyDescent="0.25">
      <c r="A100" s="7"/>
      <c r="B100" s="7"/>
      <c r="C100" s="144" t="s">
        <v>74</v>
      </c>
      <c r="D100" s="145"/>
      <c r="E100" s="146"/>
      <c r="F100" s="7"/>
      <c r="G100" s="8"/>
      <c r="H100" s="6"/>
      <c r="I100" s="6"/>
    </row>
    <row r="101" spans="1:9" ht="40.15" customHeight="1" thickBot="1" x14ac:dyDescent="0.3">
      <c r="A101" s="7"/>
      <c r="B101" s="7"/>
      <c r="C101" s="141" t="s">
        <v>150</v>
      </c>
      <c r="D101" s="142"/>
      <c r="E101" s="143"/>
      <c r="F101" s="7"/>
      <c r="G101" s="8"/>
      <c r="H101" s="6"/>
      <c r="I101" s="6"/>
    </row>
    <row r="102" spans="1:9" ht="15.75" customHeight="1" x14ac:dyDescent="0.25">
      <c r="A102" s="7"/>
      <c r="B102" s="7"/>
      <c r="C102" s="7"/>
      <c r="D102" s="7"/>
      <c r="E102" s="28"/>
      <c r="F102" s="7"/>
      <c r="G102" s="8"/>
      <c r="H102" s="6"/>
      <c r="I102" s="6"/>
    </row>
    <row r="103" spans="1:9" ht="15.75" customHeight="1" x14ac:dyDescent="0.25">
      <c r="A103" s="7"/>
      <c r="B103" s="7"/>
      <c r="C103" s="7"/>
      <c r="D103" s="7"/>
      <c r="E103" s="28"/>
      <c r="F103" s="7"/>
      <c r="G103" s="8"/>
      <c r="H103" s="6"/>
      <c r="I103" s="6"/>
    </row>
    <row r="104" spans="1:9" ht="15.75" customHeight="1" x14ac:dyDescent="0.25">
      <c r="A104" s="7"/>
      <c r="B104" s="7"/>
      <c r="C104" s="7"/>
      <c r="D104" s="7"/>
      <c r="E104" s="28"/>
      <c r="F104" s="7"/>
      <c r="G104" s="8"/>
      <c r="H104" s="6"/>
      <c r="I104" s="6"/>
    </row>
    <row r="105" spans="1:9" ht="15.75" customHeight="1" x14ac:dyDescent="0.25">
      <c r="A105" s="7"/>
      <c r="B105" s="7"/>
      <c r="C105" s="7"/>
      <c r="D105" s="7"/>
      <c r="E105" s="28"/>
      <c r="F105" s="7"/>
      <c r="G105" s="8"/>
      <c r="H105" s="6"/>
      <c r="I105" s="6"/>
    </row>
  </sheetData>
  <mergeCells count="56">
    <mergeCell ref="C98:E98"/>
    <mergeCell ref="C100:E100"/>
    <mergeCell ref="C101:E101"/>
    <mergeCell ref="C91:E91"/>
    <mergeCell ref="C92:E92"/>
    <mergeCell ref="C94:E94"/>
    <mergeCell ref="C95:E95"/>
    <mergeCell ref="C97:E97"/>
    <mergeCell ref="C88:E88"/>
    <mergeCell ref="C89:E89"/>
    <mergeCell ref="D38:E38"/>
    <mergeCell ref="D39:E39"/>
    <mergeCell ref="C49:E49"/>
    <mergeCell ref="D42:E42"/>
    <mergeCell ref="D44:E44"/>
    <mergeCell ref="C53:E53"/>
    <mergeCell ref="C55:E55"/>
    <mergeCell ref="C56:E56"/>
    <mergeCell ref="C77:E77"/>
    <mergeCell ref="C58:E58"/>
    <mergeCell ref="C59:E59"/>
    <mergeCell ref="C62:E62"/>
    <mergeCell ref="C61:E61"/>
    <mergeCell ref="C64:E64"/>
    <mergeCell ref="A6:B6"/>
    <mergeCell ref="B2:H2"/>
    <mergeCell ref="A4:B4"/>
    <mergeCell ref="C4:E4"/>
    <mergeCell ref="A5:B5"/>
    <mergeCell ref="C5:E5"/>
    <mergeCell ref="A7:B7"/>
    <mergeCell ref="D34:E34"/>
    <mergeCell ref="D36:E36"/>
    <mergeCell ref="C50:E50"/>
    <mergeCell ref="C52:E52"/>
    <mergeCell ref="D35:E35"/>
    <mergeCell ref="C32:E32"/>
    <mergeCell ref="C46:E46"/>
    <mergeCell ref="C47:E47"/>
    <mergeCell ref="D37:E37"/>
    <mergeCell ref="D41:E41"/>
    <mergeCell ref="C33:E33"/>
    <mergeCell ref="C86:E86"/>
    <mergeCell ref="C79:E79"/>
    <mergeCell ref="C80:E80"/>
    <mergeCell ref="C85:E85"/>
    <mergeCell ref="C65:E65"/>
    <mergeCell ref="C67:E67"/>
    <mergeCell ref="C71:E71"/>
    <mergeCell ref="C70:E70"/>
    <mergeCell ref="C73:E73"/>
    <mergeCell ref="C68:E68"/>
    <mergeCell ref="C82:E82"/>
    <mergeCell ref="C83:E83"/>
    <mergeCell ref="C74:E74"/>
    <mergeCell ref="C76:E76"/>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topLeftCell="A20" zoomScale="80" zoomScaleNormal="80" workbookViewId="0">
      <selection activeCell="I12" sqref="I12:K30"/>
    </sheetView>
  </sheetViews>
  <sheetFormatPr baseColWidth="10" defaultColWidth="14.42578125" defaultRowHeight="15" customHeight="1" x14ac:dyDescent="0.25"/>
  <cols>
    <col min="1" max="1" width="5.5703125" customWidth="1"/>
    <col min="2" max="2" width="15.140625" customWidth="1"/>
    <col min="3" max="3" width="14.140625" customWidth="1"/>
    <col min="4" max="4" width="26" customWidth="1"/>
    <col min="5" max="5" width="8" customWidth="1"/>
    <col min="6" max="6" width="7.85546875" customWidth="1"/>
    <col min="7" max="7" width="89.28515625" customWidth="1"/>
    <col min="8" max="8" width="9.28515625" customWidth="1"/>
    <col min="9" max="9" width="15.5703125" customWidth="1"/>
    <col min="10" max="10" width="16.28515625" customWidth="1"/>
    <col min="11" max="11" width="15.5703125" customWidth="1"/>
  </cols>
  <sheetData>
    <row r="1" spans="1:11" ht="30" x14ac:dyDescent="0.25">
      <c r="A1" s="177" t="s">
        <v>75</v>
      </c>
      <c r="B1" s="178"/>
      <c r="C1" s="178"/>
      <c r="D1" s="178"/>
      <c r="E1" s="178"/>
      <c r="F1" s="178"/>
      <c r="G1" s="178"/>
      <c r="H1" s="178"/>
      <c r="I1" s="178"/>
      <c r="J1" s="30" t="s">
        <v>76</v>
      </c>
      <c r="K1" s="137" t="s">
        <v>137</v>
      </c>
    </row>
    <row r="2" spans="1:11" ht="15.75" x14ac:dyDescent="0.25">
      <c r="A2" s="31"/>
      <c r="B2" s="32"/>
      <c r="C2" s="33"/>
      <c r="D2" s="34"/>
      <c r="E2" s="34"/>
      <c r="F2" s="34"/>
      <c r="G2" s="34"/>
      <c r="H2" s="34"/>
      <c r="I2" s="34"/>
      <c r="J2" s="35"/>
      <c r="K2" s="36"/>
    </row>
    <row r="3" spans="1:11" ht="16.5" customHeight="1" x14ac:dyDescent="0.25">
      <c r="A3" s="170" t="s">
        <v>77</v>
      </c>
      <c r="B3" s="171"/>
      <c r="C3" s="171"/>
      <c r="D3" s="37" t="s">
        <v>2</v>
      </c>
      <c r="E3" s="38"/>
      <c r="F3" s="38"/>
      <c r="G3" s="38"/>
      <c r="H3" s="38"/>
      <c r="I3" s="38"/>
      <c r="J3" s="39"/>
      <c r="K3" s="40"/>
    </row>
    <row r="4" spans="1:11" ht="16.5" customHeight="1" x14ac:dyDescent="0.25">
      <c r="A4" s="172" t="s">
        <v>78</v>
      </c>
      <c r="B4" s="173"/>
      <c r="C4" s="173"/>
      <c r="D4" s="37" t="s">
        <v>79</v>
      </c>
      <c r="E4" s="38"/>
      <c r="F4" s="38"/>
      <c r="G4" s="38"/>
      <c r="H4" s="38"/>
      <c r="I4" s="38"/>
      <c r="J4" s="39"/>
      <c r="K4" s="40"/>
    </row>
    <row r="5" spans="1:11" ht="15.75" x14ac:dyDescent="0.25">
      <c r="A5" s="172" t="s">
        <v>80</v>
      </c>
      <c r="B5" s="173"/>
      <c r="C5" s="173"/>
      <c r="D5" s="37" t="s">
        <v>81</v>
      </c>
      <c r="E5" s="38"/>
      <c r="F5" s="38"/>
      <c r="G5" s="38"/>
      <c r="H5" s="38"/>
      <c r="I5" s="38"/>
      <c r="J5" s="39"/>
      <c r="K5" s="40"/>
    </row>
    <row r="6" spans="1:11" ht="15.75" x14ac:dyDescent="0.25">
      <c r="A6" s="170" t="s">
        <v>82</v>
      </c>
      <c r="B6" s="171"/>
      <c r="C6" s="171"/>
      <c r="D6" s="37" t="s">
        <v>81</v>
      </c>
      <c r="E6" s="38"/>
      <c r="F6" s="38"/>
      <c r="G6" s="38"/>
      <c r="H6" s="38"/>
      <c r="I6" s="38"/>
      <c r="J6" s="39"/>
      <c r="K6" s="40"/>
    </row>
    <row r="7" spans="1:11" ht="15.75" x14ac:dyDescent="0.25">
      <c r="A7" s="172" t="s">
        <v>83</v>
      </c>
      <c r="B7" s="173"/>
      <c r="C7" s="173"/>
      <c r="D7" s="37" t="s">
        <v>153</v>
      </c>
      <c r="E7" s="38"/>
      <c r="F7" s="38"/>
      <c r="G7" s="38"/>
      <c r="H7" s="38"/>
      <c r="I7" s="38"/>
      <c r="J7" s="39"/>
      <c r="K7" s="40"/>
    </row>
    <row r="8" spans="1:11" ht="16.5" customHeight="1" x14ac:dyDescent="0.25">
      <c r="A8" s="174" t="s">
        <v>84</v>
      </c>
      <c r="B8" s="175"/>
      <c r="C8" s="176"/>
      <c r="D8" s="41" t="s">
        <v>85</v>
      </c>
      <c r="E8" s="38"/>
      <c r="F8" s="38"/>
      <c r="G8" s="38"/>
      <c r="H8" s="38"/>
      <c r="I8" s="38"/>
      <c r="J8" s="39"/>
      <c r="K8" s="40"/>
    </row>
    <row r="9" spans="1:11" ht="15.75" x14ac:dyDescent="0.25">
      <c r="A9" s="42"/>
      <c r="B9" s="43"/>
      <c r="C9" s="44"/>
      <c r="D9" s="45"/>
      <c r="E9" s="45"/>
      <c r="F9" s="45"/>
      <c r="G9" s="45"/>
      <c r="H9" s="45"/>
      <c r="I9" s="45"/>
      <c r="J9" s="46"/>
      <c r="K9" s="47"/>
    </row>
    <row r="10" spans="1:11" x14ac:dyDescent="0.25">
      <c r="A10" s="168" t="s">
        <v>86</v>
      </c>
      <c r="B10" s="179" t="s">
        <v>87</v>
      </c>
      <c r="C10" s="190" t="s">
        <v>88</v>
      </c>
      <c r="D10" s="178"/>
      <c r="E10" s="178"/>
      <c r="F10" s="178"/>
      <c r="G10" s="191"/>
      <c r="H10" s="179" t="s">
        <v>89</v>
      </c>
      <c r="I10" s="179" t="s">
        <v>90</v>
      </c>
      <c r="J10" s="183" t="s">
        <v>91</v>
      </c>
      <c r="K10" s="181" t="s">
        <v>92</v>
      </c>
    </row>
    <row r="11" spans="1:11" ht="36.75" customHeight="1" x14ac:dyDescent="0.25">
      <c r="A11" s="169"/>
      <c r="B11" s="180"/>
      <c r="C11" s="192"/>
      <c r="D11" s="149"/>
      <c r="E11" s="149"/>
      <c r="F11" s="149"/>
      <c r="G11" s="193"/>
      <c r="H11" s="180"/>
      <c r="I11" s="180"/>
      <c r="J11" s="180"/>
      <c r="K11" s="182"/>
    </row>
    <row r="12" spans="1:11" ht="32.25" customHeight="1" x14ac:dyDescent="0.25">
      <c r="A12" s="48">
        <v>1</v>
      </c>
      <c r="B12" s="49" t="str">
        <f>'SAF 011 - NECESIDAD TRIMESTRAL'!B10</f>
        <v>4.3.3-8790.6</v>
      </c>
      <c r="C12" s="187" t="str">
        <f>'SAF 011 - NECESIDAD TRIMESTRAL'!E10</f>
        <v>BAÑOS MARIA; DIMENSION: 45 X 30 X 13 mm, ALIMENTACION: 220 V, MATERIAL: ACERO INOXIDABLE, TEMPERATURA MAXIMA: 100 °C</v>
      </c>
      <c r="D12" s="188"/>
      <c r="E12" s="188"/>
      <c r="F12" s="188"/>
      <c r="G12" s="189"/>
      <c r="H12" s="139" t="s">
        <v>93</v>
      </c>
      <c r="I12" s="50" t="s">
        <v>20</v>
      </c>
      <c r="J12" s="51">
        <v>50000</v>
      </c>
      <c r="K12" s="52">
        <v>4</v>
      </c>
    </row>
    <row r="13" spans="1:11" ht="37.5" customHeight="1" x14ac:dyDescent="0.25">
      <c r="A13" s="53">
        <v>2</v>
      </c>
      <c r="B13" s="54" t="str">
        <f>'SAF 011 - NECESIDAD TRIMESTRAL'!B11</f>
        <v>4.3.3-208.17</v>
      </c>
      <c r="C13" s="184" t="str">
        <f>'SAF 011 - NECESIDAD TRIMESTRAL'!E11</f>
        <v>CAMAS HOSPITALARIAS; DESTINO: DE INTERNACION, DIMENSION: 190 X 80 X 20 Cm, LECHO: REGULABLE, MOV. ORTOPEDICO: A MANIVELA, MATERIAL ESTRUCTURA: ACERO, TIPO PANEL LATERAL: BARANDA DESMONTABLE, MOVILIDAD: A MANIVELA, MATERIAL: ACERO</v>
      </c>
      <c r="D13" s="185"/>
      <c r="E13" s="185"/>
      <c r="F13" s="185"/>
      <c r="G13" s="186"/>
      <c r="H13" s="54" t="s">
        <v>93</v>
      </c>
      <c r="I13" s="55" t="s">
        <v>20</v>
      </c>
      <c r="J13" s="56">
        <v>125000</v>
      </c>
      <c r="K13" s="57">
        <v>70</v>
      </c>
    </row>
    <row r="14" spans="1:11" ht="37.5" customHeight="1" x14ac:dyDescent="0.25">
      <c r="A14" s="53">
        <v>3</v>
      </c>
      <c r="B14" s="54" t="str">
        <f>'SAF 011 - NECESIDAD TRIMESTRAL'!B12</f>
        <v>4.3.3-208.12</v>
      </c>
      <c r="C14" s="184" t="str">
        <f>'SAF 011 - NECESIDAD TRIMESTRAL'!E12</f>
        <v>CAMAS HOSPITALARIAS; DESTINO: PACIENTES + DE 200 KG, DIMENSION: 110 X 200 X 62 Cm, LECHO: ESTRATIFICADO, MOV. ORTOPEDICO: A MANIVELA, MATERIAL ESTRUCTURA: CAÑO, TIPO PANEL LATERAL: DESMONTABLE, MOVILIDAD: A MANIVELA, MATERIAL: CAÑO</v>
      </c>
      <c r="D14" s="185"/>
      <c r="E14" s="185"/>
      <c r="F14" s="185"/>
      <c r="G14" s="186"/>
      <c r="H14" s="54" t="s">
        <v>93</v>
      </c>
      <c r="I14" s="55" t="s">
        <v>20</v>
      </c>
      <c r="J14" s="56">
        <v>314363</v>
      </c>
      <c r="K14" s="57">
        <v>14</v>
      </c>
    </row>
    <row r="15" spans="1:11" ht="37.5" customHeight="1" x14ac:dyDescent="0.25">
      <c r="A15" s="53">
        <v>4</v>
      </c>
      <c r="B15" s="54" t="str">
        <f>'SAF 011 - NECESIDAD TRIMESTRAL'!B13</f>
        <v>4.3.3-1719.21</v>
      </c>
      <c r="C15" s="184" t="str">
        <f>'SAF 011 - NECESIDAD TRIMESTRAL'!E13</f>
        <v>CAMILLAS; ANCHO: 50 Cm, LARGO: 200 Cm, ALTO: 75 Cm, ARNESES: SIN, TIPO: EXAMEN</v>
      </c>
      <c r="D15" s="185"/>
      <c r="E15" s="185"/>
      <c r="F15" s="185"/>
      <c r="G15" s="186"/>
      <c r="H15" s="54" t="s">
        <v>93</v>
      </c>
      <c r="I15" s="55" t="s">
        <v>20</v>
      </c>
      <c r="J15" s="56">
        <v>32000</v>
      </c>
      <c r="K15" s="57">
        <v>80</v>
      </c>
    </row>
    <row r="16" spans="1:11" ht="37.5" customHeight="1" x14ac:dyDescent="0.25">
      <c r="A16" s="53">
        <v>5</v>
      </c>
      <c r="B16" s="54" t="str">
        <f>'SAF 011 - NECESIDAD TRIMESTRAL'!B14</f>
        <v>4.3.3-1719.15</v>
      </c>
      <c r="C16" s="184" t="str">
        <f>'SAF 011 - NECESIDAD TRIMESTRAL'!E14</f>
        <v>CAMILLAS; ANCHO: 55 Cm, LARGO: 130 Cm, ALTO: 85 Cm, ARNESES: SIN, TIPO: EXAMEN PEDIATRICO</v>
      </c>
      <c r="D16" s="185"/>
      <c r="E16" s="185"/>
      <c r="F16" s="185"/>
      <c r="G16" s="186"/>
      <c r="H16" s="54" t="s">
        <v>93</v>
      </c>
      <c r="I16" s="55" t="s">
        <v>20</v>
      </c>
      <c r="J16" s="56">
        <v>32000</v>
      </c>
      <c r="K16" s="57">
        <v>10</v>
      </c>
    </row>
    <row r="17" spans="1:11" ht="37.5" customHeight="1" x14ac:dyDescent="0.25">
      <c r="A17" s="53">
        <v>6</v>
      </c>
      <c r="B17" s="54" t="str">
        <f>'SAF 011 - NECESIDAD TRIMESTRAL'!B15</f>
        <v>4.3.3-1719.14</v>
      </c>
      <c r="C17" s="184" t="str">
        <f>'SAF 011 - NECESIDAD TRIMESTRAL'!E15</f>
        <v>CAMILLAS; ANCHO: 55 Cm, LARGO: 180 Cm, ALTO: 70 Cm, ARNESES: SIN VALOR, TIPO: GINECOLOGICA</v>
      </c>
      <c r="D17" s="185"/>
      <c r="E17" s="185"/>
      <c r="F17" s="185"/>
      <c r="G17" s="186"/>
      <c r="H17" s="54" t="s">
        <v>93</v>
      </c>
      <c r="I17" s="55" t="s">
        <v>20</v>
      </c>
      <c r="J17" s="56">
        <v>53000</v>
      </c>
      <c r="K17" s="57">
        <v>10</v>
      </c>
    </row>
    <row r="18" spans="1:11" ht="37.5" customHeight="1" x14ac:dyDescent="0.25">
      <c r="A18" s="53">
        <v>7</v>
      </c>
      <c r="B18" s="54" t="str">
        <f>'SAF 011 - NECESIDAD TRIMESTRAL'!B16</f>
        <v>4.3.3-1719.22</v>
      </c>
      <c r="C18" s="184" t="str">
        <f>'SAF 011 - NECESIDAD TRIMESTRAL'!E16</f>
        <v>CAMILLAS; ANCHO: 80 Cm, LARGO: 200 Cm, ALTO: 75 Cm, ARNESES: SIN, TIPO: EXAMEN</v>
      </c>
      <c r="D18" s="185"/>
      <c r="E18" s="185"/>
      <c r="F18" s="185"/>
      <c r="G18" s="186"/>
      <c r="H18" s="54" t="s">
        <v>93</v>
      </c>
      <c r="I18" s="55" t="s">
        <v>20</v>
      </c>
      <c r="J18" s="56">
        <v>43000</v>
      </c>
      <c r="K18" s="57">
        <v>10</v>
      </c>
    </row>
    <row r="19" spans="1:11" ht="37.5" customHeight="1" x14ac:dyDescent="0.25">
      <c r="A19" s="53">
        <v>8</v>
      </c>
      <c r="B19" s="54" t="str">
        <f>'SAF 011 - NECESIDAD TRIMESTRAL'!B17</f>
        <v>4.3.3-2046.9</v>
      </c>
      <c r="C19" s="184" t="str">
        <f>'SAF 011 - NECESIDAD TRIMESTRAL'!E17</f>
        <v>CARDIODESFIBRILADORES; ALIMENTACION: BATERIA, TIPO: EXTERNO BIFASICO, ACCESORIO: MONITOR</v>
      </c>
      <c r="D19" s="185"/>
      <c r="E19" s="185"/>
      <c r="F19" s="185"/>
      <c r="G19" s="186"/>
      <c r="H19" s="54" t="s">
        <v>93</v>
      </c>
      <c r="I19" s="55" t="s">
        <v>20</v>
      </c>
      <c r="J19" s="56">
        <v>610000</v>
      </c>
      <c r="K19" s="57">
        <v>7</v>
      </c>
    </row>
    <row r="20" spans="1:11" ht="37.5" customHeight="1" x14ac:dyDescent="0.25">
      <c r="A20" s="53">
        <v>9</v>
      </c>
      <c r="B20" s="54" t="str">
        <f>'SAF 011 - NECESIDAD TRIMESTRAL'!B18</f>
        <v>4.3.3-5412.12</v>
      </c>
      <c r="C20" s="184" t="str">
        <f>'SAF 011 - NECESIDAD TRIMESTRAL'!E18</f>
        <v>CARROS DE CURACIONES; MATERIAL: MELAMINA, ESTANTE: 2, DEFENSA: METALICAS CROMADAS, CAPACIDAD: 3 PORTAFRASCOS, CANT. DE RUEDAS: 4, DIMENSION: 46 X 55 X 78 Cm</v>
      </c>
      <c r="D20" s="185"/>
      <c r="E20" s="185"/>
      <c r="F20" s="185"/>
      <c r="G20" s="186"/>
      <c r="H20" s="140" t="s">
        <v>93</v>
      </c>
      <c r="I20" s="55" t="s">
        <v>20</v>
      </c>
      <c r="J20" s="56">
        <v>14300</v>
      </c>
      <c r="K20" s="57">
        <v>25</v>
      </c>
    </row>
    <row r="21" spans="1:11" ht="37.5" customHeight="1" x14ac:dyDescent="0.25">
      <c r="A21" s="53">
        <v>10</v>
      </c>
      <c r="B21" s="54" t="str">
        <f>'SAF 011 - NECESIDAD TRIMESTRAL'!B19</f>
        <v>4.3.3-5412.10</v>
      </c>
      <c r="C21" s="184" t="str">
        <f>'SAF 011 - NECESIDAD TRIMESTRAL'!E19</f>
        <v>CARROS DE CURACIONES; MATERIAL: METAL, ESTANTE: 3, DEFENSA: CON, CAPACIDAD: 7 CRESTAS, CANT. DE RUEDAS: 4, DIMENSION: 76 X 50 X 100 Cm</v>
      </c>
      <c r="D21" s="185"/>
      <c r="E21" s="185"/>
      <c r="F21" s="185"/>
      <c r="G21" s="186"/>
      <c r="H21" s="54" t="s">
        <v>93</v>
      </c>
      <c r="I21" s="55" t="s">
        <v>20</v>
      </c>
      <c r="J21" s="56">
        <v>32000</v>
      </c>
      <c r="K21" s="57">
        <v>25</v>
      </c>
    </row>
    <row r="22" spans="1:11" ht="37.5" customHeight="1" x14ac:dyDescent="0.25">
      <c r="A22" s="53">
        <v>11</v>
      </c>
      <c r="B22" s="54" t="str">
        <f>'SAF 011 - NECESIDAD TRIMESTRAL'!B20</f>
        <v>4.3.3-67.7</v>
      </c>
      <c r="C22" s="184" t="str">
        <f>'SAF 011 - NECESIDAD TRIMESTRAL'!E20</f>
        <v>CENTRIFUGAS P/LABORATORIO; CABEZAL: 24 TUBOS, TIPO CABEZAL: 24 TUBOS</v>
      </c>
      <c r="D22" s="185"/>
      <c r="E22" s="185"/>
      <c r="F22" s="185"/>
      <c r="G22" s="186"/>
      <c r="H22" s="140" t="s">
        <v>93</v>
      </c>
      <c r="I22" s="55" t="s">
        <v>20</v>
      </c>
      <c r="J22" s="56">
        <v>255062.41</v>
      </c>
      <c r="K22" s="57">
        <v>5</v>
      </c>
    </row>
    <row r="23" spans="1:11" ht="45.75" customHeight="1" x14ac:dyDescent="0.25">
      <c r="A23" s="53">
        <v>12</v>
      </c>
      <c r="B23" s="54" t="str">
        <f>'SAF 011 - NECESIDAD TRIMESTRAL'!B21</f>
        <v>4.3.3-6359.1</v>
      </c>
      <c r="C23" s="184" t="str">
        <f>'SAF 011 - NECESIDAD TRIMESTRAL'!E21</f>
        <v>COLPOSCOPIOS; OBJETIVO: DE F 300 DIST. DE TRABAJO mm, MODELO: OP-C2, AUMENTOS: TRES, LUZ: FRIA DE 150 DE POTENCIA W, PARALELOGRAMO: BALANCEADO Y COMPENSADO, FILTRO: VERDE, BINOCULAR: INCLINADO A 45 °C, SIST. DE VIDEO: P/COLPOSCOPIA, VIDEO PRINTER: CON, AUMENTO: TRES</v>
      </c>
      <c r="D23" s="185"/>
      <c r="E23" s="185"/>
      <c r="F23" s="185"/>
      <c r="G23" s="186"/>
      <c r="H23" s="54" t="s">
        <v>93</v>
      </c>
      <c r="I23" s="55" t="s">
        <v>20</v>
      </c>
      <c r="J23" s="56">
        <v>175000</v>
      </c>
      <c r="K23" s="57">
        <v>4</v>
      </c>
    </row>
    <row r="24" spans="1:11" ht="37.5" customHeight="1" x14ac:dyDescent="0.25">
      <c r="A24" s="53">
        <v>13</v>
      </c>
      <c r="B24" s="54" t="str">
        <f>'SAF 011 - NECESIDAD TRIMESTRAL'!B22</f>
        <v>4.3.3-134.4</v>
      </c>
      <c r="C24" s="184" t="str">
        <f>'SAF 011 - NECESIDAD TRIMESTRAL'!E22</f>
        <v>ELECTROCARDIOGRAFOS; TIPO: PORTATIL, ALIMENTACION: 220V Y BATERIA RECARGABLE</v>
      </c>
      <c r="D24" s="185"/>
      <c r="E24" s="185"/>
      <c r="F24" s="185"/>
      <c r="G24" s="186"/>
      <c r="H24" s="140" t="s">
        <v>93</v>
      </c>
      <c r="I24" s="55" t="s">
        <v>20</v>
      </c>
      <c r="J24" s="56">
        <v>215000</v>
      </c>
      <c r="K24" s="57">
        <v>7</v>
      </c>
    </row>
    <row r="25" spans="1:11" ht="37.5" customHeight="1" x14ac:dyDescent="0.25">
      <c r="A25" s="53">
        <v>14</v>
      </c>
      <c r="B25" s="54" t="str">
        <f>'SAF 011 - NECESIDAD TRIMESTRAL'!B23</f>
        <v>4.3.3-4084.13</v>
      </c>
      <c r="C25" s="184" t="str">
        <f>'SAF 011 - NECESIDAD TRIMESTRAL'!E23</f>
        <v>EQUIPOS DE RAYOS X; USO: PORTATIL, FRECUENCIA: SIN VALOR, REGULACION: AUTOMATICA, COMANDOS: CON INSTRUMENTOS CONTROLADORES, AMPLIACION DE APLIQUE: APLIQUE POTENCIA 20/40/125 KW, COMANDO: CON INSTRUMENTOS CONTROLADORES</v>
      </c>
      <c r="D25" s="185"/>
      <c r="E25" s="185"/>
      <c r="F25" s="185"/>
      <c r="G25" s="186"/>
      <c r="H25" s="54" t="s">
        <v>93</v>
      </c>
      <c r="I25" s="55" t="s">
        <v>20</v>
      </c>
      <c r="J25" s="56">
        <v>5500000</v>
      </c>
      <c r="K25" s="57">
        <v>2</v>
      </c>
    </row>
    <row r="26" spans="1:11" ht="37.5" customHeight="1" x14ac:dyDescent="0.25">
      <c r="A26" s="53">
        <v>15</v>
      </c>
      <c r="B26" s="54" t="str">
        <f>'SAF 011 - NECESIDAD TRIMESTRAL'!B24</f>
        <v>4.3.3-7797.2</v>
      </c>
      <c r="C26" s="184" t="str">
        <f>'SAF 011 - NECESIDAD TRIMESTRAL'!E24</f>
        <v>FOTOSFOROS; TIPO: RODANTE, USO: MEDICO</v>
      </c>
      <c r="D26" s="185"/>
      <c r="E26" s="185"/>
      <c r="F26" s="185"/>
      <c r="G26" s="186"/>
      <c r="H26" s="54" t="s">
        <v>93</v>
      </c>
      <c r="I26" s="55" t="s">
        <v>20</v>
      </c>
      <c r="J26" s="56">
        <v>19000</v>
      </c>
      <c r="K26" s="57">
        <v>30</v>
      </c>
    </row>
    <row r="27" spans="1:11" ht="47.25" customHeight="1" x14ac:dyDescent="0.25">
      <c r="A27" s="53">
        <v>16</v>
      </c>
      <c r="B27" s="54" t="str">
        <f>'SAF 011 - NECESIDAD TRIMESTRAL'!B25</f>
        <v>4.3.3-6499.21</v>
      </c>
      <c r="C27" s="184" t="str">
        <f>'SAF 011 - NECESIDAD TRIMESTRAL'!E25</f>
        <v>MICROCENTRIFUGAS DE MESA; TIPO: COMPACTA, RANGO DE TEMPERATURA: -10 A 40 °C, VELOCIDAD: 14000 RPM, CANTIDAD DE TUBOS: 24</v>
      </c>
      <c r="D27" s="185"/>
      <c r="E27" s="185"/>
      <c r="F27" s="185"/>
      <c r="G27" s="186"/>
      <c r="H27" s="140" t="s">
        <v>93</v>
      </c>
      <c r="I27" s="55" t="s">
        <v>20</v>
      </c>
      <c r="J27" s="56">
        <v>537000</v>
      </c>
      <c r="K27" s="57">
        <v>3</v>
      </c>
    </row>
    <row r="28" spans="1:11" ht="45.75" customHeight="1" x14ac:dyDescent="0.25">
      <c r="A28" s="53">
        <v>17</v>
      </c>
      <c r="B28" s="54" t="str">
        <f>'SAF 011 - NECESIDAD TRIMESTRAL'!B26</f>
        <v>4.3.3-244.23</v>
      </c>
      <c r="C28" s="184" t="str">
        <f>'SAF 011 - NECESIDAD TRIMESTRAL'!E26</f>
        <v>MICROSCOPIOS; TIPO: BINOCULAR, DIST. DE TRABAJO: 13 mm, AUMENTO TOTAL: 50X, XY RESOLUCION: 0.001 mm, TOMA CORRIENTE: 110/220 V, MAX. ALT PIEZA: SIN VALOR, CANT. DE LENTES: 4, Nº LENTES: 4, AUMENTO: 50X, DISTANCIA TRABAJO: 13 mm, TENSION: 110/220 V, AUMENTO MAXIMO: 50X</v>
      </c>
      <c r="D28" s="185"/>
      <c r="E28" s="185"/>
      <c r="F28" s="185"/>
      <c r="G28" s="186"/>
      <c r="H28" s="140" t="s">
        <v>93</v>
      </c>
      <c r="I28" s="55" t="s">
        <v>20</v>
      </c>
      <c r="J28" s="56">
        <v>229493.28</v>
      </c>
      <c r="K28" s="57">
        <v>4</v>
      </c>
    </row>
    <row r="29" spans="1:11" ht="37.5" customHeight="1" x14ac:dyDescent="0.25">
      <c r="A29" s="53">
        <v>18</v>
      </c>
      <c r="B29" s="54" t="str">
        <f>'SAF 011 - NECESIDAD TRIMESTRAL'!B27</f>
        <v>4.3.5-1290.9</v>
      </c>
      <c r="C29" s="184" t="str">
        <f>'SAF 011 - NECESIDAD TRIMESTRAL'!E27</f>
        <v>NEGATOSCOPIOS; USO: P/RADIOGRAFIAS, FUENTE DE ALIMENTACION : 220 V, ANCHO X LARGO: 38 X 56 Cm, MODELO: SIN VALOR, FUENTE DE ALIMENTACION: 220 V</v>
      </c>
      <c r="D29" s="185"/>
      <c r="E29" s="185"/>
      <c r="F29" s="185"/>
      <c r="G29" s="186"/>
      <c r="H29" s="54" t="s">
        <v>93</v>
      </c>
      <c r="I29" s="55" t="s">
        <v>20</v>
      </c>
      <c r="J29" s="56">
        <v>30000</v>
      </c>
      <c r="K29" s="57">
        <v>30</v>
      </c>
    </row>
    <row r="30" spans="1:11" ht="37.5" customHeight="1" x14ac:dyDescent="0.25">
      <c r="A30" s="53">
        <v>19</v>
      </c>
      <c r="B30" s="54" t="str">
        <f>'SAF 011 - NECESIDAD TRIMESTRAL'!B28</f>
        <v>4.3.3-1711.9</v>
      </c>
      <c r="C30" s="184" t="str">
        <f>'SAF 011 - NECESIDAD TRIMESTRAL'!E28</f>
        <v>SILLAS DE RUEDAS; ANCHO: 61 Cm, APOYABRAZO: DESMONTABLE, PIERNERA: DESMONTABLE, FRENO: CON, MATERIAL: METALICA CROMADA</v>
      </c>
      <c r="D30" s="185"/>
      <c r="E30" s="185"/>
      <c r="F30" s="185"/>
      <c r="G30" s="186"/>
      <c r="H30" s="54" t="s">
        <v>93</v>
      </c>
      <c r="I30" s="55" t="s">
        <v>20</v>
      </c>
      <c r="J30" s="56">
        <v>43000</v>
      </c>
      <c r="K30" s="57">
        <v>28</v>
      </c>
    </row>
    <row r="31" spans="1:11" ht="15.75" customHeight="1" x14ac:dyDescent="0.25">
      <c r="A31" s="58"/>
      <c r="B31" s="59"/>
      <c r="C31" s="198"/>
      <c r="D31" s="199"/>
      <c r="E31" s="199"/>
      <c r="F31" s="199"/>
      <c r="G31" s="200"/>
      <c r="H31" s="59"/>
      <c r="I31" s="60"/>
      <c r="J31" s="61"/>
      <c r="K31" s="62"/>
    </row>
    <row r="32" spans="1:11" ht="31.5" customHeight="1" x14ac:dyDescent="0.25">
      <c r="A32" s="196" t="s">
        <v>154</v>
      </c>
      <c r="B32" s="197"/>
      <c r="C32" s="197"/>
      <c r="D32" s="197"/>
      <c r="E32" s="197"/>
      <c r="F32" s="197"/>
      <c r="G32" s="197"/>
      <c r="H32" s="197"/>
      <c r="I32" s="167"/>
      <c r="J32" s="194">
        <f>SUMPRODUCT(J12:J30,K12:K30)</f>
        <v>42301867.169999994</v>
      </c>
      <c r="K32" s="195"/>
    </row>
    <row r="33" spans="2:10" ht="15.75" customHeight="1" x14ac:dyDescent="0.25">
      <c r="B33" s="63"/>
      <c r="J33" s="64"/>
    </row>
    <row r="34" spans="2:10" ht="15.75" customHeight="1" x14ac:dyDescent="0.25">
      <c r="B34" s="63"/>
      <c r="J34" s="64"/>
    </row>
    <row r="35" spans="2:10" ht="15.75" customHeight="1" x14ac:dyDescent="0.25">
      <c r="B35" s="63"/>
      <c r="J35" s="64"/>
    </row>
    <row r="36" spans="2:10" ht="15.75" customHeight="1" x14ac:dyDescent="0.25">
      <c r="B36" s="63"/>
      <c r="J36" s="64"/>
    </row>
    <row r="37" spans="2:10" ht="15.75" customHeight="1" x14ac:dyDescent="0.25">
      <c r="B37" s="63"/>
      <c r="J37" s="64"/>
    </row>
    <row r="38" spans="2:10" ht="15.75" customHeight="1" x14ac:dyDescent="0.25">
      <c r="B38" s="63"/>
      <c r="J38" s="64"/>
    </row>
    <row r="39" spans="2:10" ht="15.75" customHeight="1" x14ac:dyDescent="0.25">
      <c r="B39" s="63"/>
      <c r="J39" s="64"/>
    </row>
    <row r="40" spans="2:10" ht="15.75" customHeight="1" x14ac:dyDescent="0.25">
      <c r="B40" s="63"/>
      <c r="J40" s="64"/>
    </row>
    <row r="41" spans="2:10" ht="15.75" customHeight="1" x14ac:dyDescent="0.25">
      <c r="B41" s="63"/>
      <c r="J41" s="64"/>
    </row>
    <row r="42" spans="2:10" ht="15.75" customHeight="1" x14ac:dyDescent="0.25">
      <c r="B42" s="63"/>
      <c r="J42" s="64"/>
    </row>
    <row r="43" spans="2:10" ht="15.75" customHeight="1" x14ac:dyDescent="0.25">
      <c r="B43" s="63"/>
      <c r="J43" s="64"/>
    </row>
    <row r="44" spans="2:10" ht="15.75" customHeight="1" x14ac:dyDescent="0.25">
      <c r="B44" s="63"/>
      <c r="J44" s="64"/>
    </row>
    <row r="45" spans="2:10" ht="15.75" customHeight="1" x14ac:dyDescent="0.25">
      <c r="B45" s="63"/>
      <c r="J45" s="64"/>
    </row>
    <row r="46" spans="2:10" ht="15.75" customHeight="1" x14ac:dyDescent="0.25">
      <c r="B46" s="63"/>
      <c r="J46" s="64"/>
    </row>
    <row r="47" spans="2:10" ht="15.75" customHeight="1" x14ac:dyDescent="0.25">
      <c r="B47" s="63"/>
      <c r="J47" s="64"/>
    </row>
    <row r="48" spans="2:10" ht="15.75" customHeight="1" x14ac:dyDescent="0.25">
      <c r="B48" s="63"/>
      <c r="J48" s="64"/>
    </row>
    <row r="49" spans="2:10" ht="15.75" customHeight="1" x14ac:dyDescent="0.25">
      <c r="B49" s="63"/>
      <c r="J49" s="64"/>
    </row>
    <row r="50" spans="2:10" ht="15.75" customHeight="1" x14ac:dyDescent="0.25">
      <c r="B50" s="63"/>
      <c r="J50" s="64"/>
    </row>
    <row r="51" spans="2:10" ht="15.75" customHeight="1" x14ac:dyDescent="0.25">
      <c r="B51" s="63"/>
      <c r="J51" s="64"/>
    </row>
    <row r="52" spans="2:10" ht="15.75" customHeight="1" x14ac:dyDescent="0.25">
      <c r="B52" s="63"/>
      <c r="J52" s="64"/>
    </row>
    <row r="53" spans="2:10" ht="15.75" customHeight="1" x14ac:dyDescent="0.25">
      <c r="B53" s="63"/>
      <c r="J53" s="64"/>
    </row>
    <row r="54" spans="2:10" ht="15.75" customHeight="1" x14ac:dyDescent="0.25">
      <c r="B54" s="63"/>
      <c r="J54" s="64"/>
    </row>
    <row r="55" spans="2:10" ht="15.75" customHeight="1" x14ac:dyDescent="0.25">
      <c r="B55" s="63"/>
      <c r="J55" s="64"/>
    </row>
    <row r="56" spans="2:10" ht="15.75" customHeight="1" x14ac:dyDescent="0.25">
      <c r="B56" s="63"/>
      <c r="J56" s="64"/>
    </row>
    <row r="57" spans="2:10" ht="15.75" customHeight="1" x14ac:dyDescent="0.25">
      <c r="B57" s="63"/>
      <c r="J57" s="64"/>
    </row>
    <row r="58" spans="2:10" ht="15.75" customHeight="1" x14ac:dyDescent="0.25">
      <c r="B58" s="63"/>
      <c r="J58" s="64"/>
    </row>
    <row r="59" spans="2:10" ht="15.75" customHeight="1" x14ac:dyDescent="0.25">
      <c r="B59" s="63"/>
      <c r="J59" s="64"/>
    </row>
    <row r="60" spans="2:10" ht="15.75" customHeight="1" x14ac:dyDescent="0.25">
      <c r="B60" s="63"/>
      <c r="J60" s="64"/>
    </row>
    <row r="61" spans="2:10" ht="15.75" customHeight="1" x14ac:dyDescent="0.25">
      <c r="B61" s="63"/>
      <c r="J61" s="64"/>
    </row>
    <row r="62" spans="2:10" ht="15.75" customHeight="1" x14ac:dyDescent="0.25">
      <c r="B62" s="63"/>
      <c r="J62" s="64"/>
    </row>
    <row r="63" spans="2:10" ht="15.75" customHeight="1" x14ac:dyDescent="0.25">
      <c r="B63" s="63"/>
      <c r="J63" s="64"/>
    </row>
    <row r="64" spans="2:10" ht="15.75" customHeight="1" x14ac:dyDescent="0.25">
      <c r="B64" s="63"/>
      <c r="J64" s="64"/>
    </row>
    <row r="65" spans="2:10" ht="15.75" customHeight="1" x14ac:dyDescent="0.25">
      <c r="B65" s="63"/>
      <c r="J65" s="64"/>
    </row>
    <row r="66" spans="2:10" ht="15.75" customHeight="1" x14ac:dyDescent="0.25">
      <c r="B66" s="63"/>
      <c r="J66" s="64"/>
    </row>
    <row r="67" spans="2:10" ht="15.75" customHeight="1" x14ac:dyDescent="0.25">
      <c r="B67" s="63"/>
      <c r="J67" s="64"/>
    </row>
    <row r="68" spans="2:10" ht="15.75" customHeight="1" x14ac:dyDescent="0.25">
      <c r="B68" s="63"/>
      <c r="J68" s="64"/>
    </row>
    <row r="69" spans="2:10" ht="15.75" customHeight="1" x14ac:dyDescent="0.25">
      <c r="B69" s="63"/>
      <c r="J69" s="64"/>
    </row>
    <row r="70" spans="2:10" ht="15.75" customHeight="1" x14ac:dyDescent="0.25">
      <c r="B70" s="63"/>
      <c r="J70" s="64"/>
    </row>
    <row r="71" spans="2:10" ht="15.75" customHeight="1" x14ac:dyDescent="0.25">
      <c r="B71" s="63"/>
      <c r="J71" s="64"/>
    </row>
    <row r="72" spans="2:10" ht="15.75" customHeight="1" x14ac:dyDescent="0.25">
      <c r="B72" s="63"/>
      <c r="J72" s="64"/>
    </row>
    <row r="73" spans="2:10" ht="15.75" customHeight="1" x14ac:dyDescent="0.25">
      <c r="B73" s="63"/>
      <c r="J73" s="64"/>
    </row>
    <row r="74" spans="2:10" ht="15.75" customHeight="1" x14ac:dyDescent="0.25">
      <c r="B74" s="63"/>
      <c r="J74" s="64"/>
    </row>
    <row r="75" spans="2:10" ht="15.75" customHeight="1" x14ac:dyDescent="0.25">
      <c r="B75" s="63"/>
      <c r="J75" s="64"/>
    </row>
    <row r="76" spans="2:10" ht="15.75" customHeight="1" x14ac:dyDescent="0.25">
      <c r="B76" s="63"/>
      <c r="J76" s="64"/>
    </row>
    <row r="77" spans="2:10" ht="15.75" customHeight="1" x14ac:dyDescent="0.25">
      <c r="B77" s="63"/>
      <c r="J77" s="64"/>
    </row>
    <row r="78" spans="2:10" ht="15.75" customHeight="1" x14ac:dyDescent="0.25">
      <c r="B78" s="63"/>
      <c r="J78" s="64"/>
    </row>
    <row r="79" spans="2:10" ht="15.75" customHeight="1" x14ac:dyDescent="0.25">
      <c r="B79" s="63"/>
      <c r="J79" s="64"/>
    </row>
    <row r="80" spans="2:10" ht="15.75" customHeight="1" x14ac:dyDescent="0.25">
      <c r="B80" s="63"/>
      <c r="J80" s="64"/>
    </row>
    <row r="81" spans="2:10" ht="15.75" customHeight="1" x14ac:dyDescent="0.25">
      <c r="B81" s="63"/>
      <c r="J81" s="64"/>
    </row>
    <row r="82" spans="2:10" ht="15.75" customHeight="1" x14ac:dyDescent="0.25">
      <c r="B82" s="63"/>
      <c r="J82" s="64"/>
    </row>
    <row r="83" spans="2:10" ht="15.75" customHeight="1" x14ac:dyDescent="0.25">
      <c r="B83" s="63"/>
      <c r="J83" s="64"/>
    </row>
    <row r="84" spans="2:10" ht="15.75" customHeight="1" x14ac:dyDescent="0.25">
      <c r="B84" s="63"/>
      <c r="J84" s="64"/>
    </row>
    <row r="85" spans="2:10" ht="15.75" customHeight="1" x14ac:dyDescent="0.25">
      <c r="B85" s="63"/>
      <c r="J85" s="64"/>
    </row>
    <row r="86" spans="2:10" ht="15.75" customHeight="1" x14ac:dyDescent="0.25">
      <c r="B86" s="63"/>
      <c r="J86" s="64"/>
    </row>
    <row r="87" spans="2:10" ht="15.75" customHeight="1" x14ac:dyDescent="0.25">
      <c r="B87" s="63"/>
      <c r="J87" s="64"/>
    </row>
    <row r="88" spans="2:10" ht="15.75" customHeight="1" x14ac:dyDescent="0.25">
      <c r="B88" s="63"/>
      <c r="J88" s="64"/>
    </row>
    <row r="89" spans="2:10" ht="15.75" customHeight="1" x14ac:dyDescent="0.25">
      <c r="B89" s="63"/>
      <c r="J89" s="64"/>
    </row>
    <row r="90" spans="2:10" ht="15.75" customHeight="1" x14ac:dyDescent="0.25">
      <c r="B90" s="63"/>
      <c r="J90" s="64"/>
    </row>
    <row r="91" spans="2:10" ht="15.75" customHeight="1" x14ac:dyDescent="0.25">
      <c r="B91" s="63"/>
      <c r="J91" s="64"/>
    </row>
    <row r="92" spans="2:10" ht="15.75" customHeight="1" x14ac:dyDescent="0.25">
      <c r="B92" s="63"/>
      <c r="J92" s="64"/>
    </row>
    <row r="93" spans="2:10" ht="15.75" customHeight="1" x14ac:dyDescent="0.25">
      <c r="B93" s="63"/>
      <c r="J93" s="64"/>
    </row>
    <row r="94" spans="2:10" ht="15.75" customHeight="1" x14ac:dyDescent="0.25">
      <c r="B94" s="63"/>
      <c r="J94" s="64"/>
    </row>
    <row r="95" spans="2:10" ht="15.75" customHeight="1" x14ac:dyDescent="0.25">
      <c r="B95" s="63"/>
      <c r="J95" s="64"/>
    </row>
    <row r="96" spans="2:10" ht="15.75" customHeight="1" x14ac:dyDescent="0.25">
      <c r="B96" s="63"/>
      <c r="J96" s="64"/>
    </row>
    <row r="97" spans="2:10" ht="15.75" customHeight="1" x14ac:dyDescent="0.25">
      <c r="B97" s="63"/>
      <c r="J97" s="64"/>
    </row>
    <row r="98" spans="2:10" ht="15.75" customHeight="1" x14ac:dyDescent="0.25">
      <c r="B98" s="63"/>
      <c r="J98" s="64"/>
    </row>
    <row r="99" spans="2:10" ht="15.75" customHeight="1" x14ac:dyDescent="0.25">
      <c r="B99" s="63"/>
      <c r="J99" s="64"/>
    </row>
    <row r="100" spans="2:10" ht="15.75" customHeight="1" x14ac:dyDescent="0.25">
      <c r="B100" s="63"/>
      <c r="J100" s="64"/>
    </row>
  </sheetData>
  <mergeCells count="36">
    <mergeCell ref="C24:G24"/>
    <mergeCell ref="C14:G14"/>
    <mergeCell ref="C15:G15"/>
    <mergeCell ref="J32:K32"/>
    <mergeCell ref="A32:I32"/>
    <mergeCell ref="C26:G26"/>
    <mergeCell ref="C27:G27"/>
    <mergeCell ref="C28:G28"/>
    <mergeCell ref="C29:G29"/>
    <mergeCell ref="C30:G30"/>
    <mergeCell ref="C22:G22"/>
    <mergeCell ref="C25:G25"/>
    <mergeCell ref="C31:G31"/>
    <mergeCell ref="C21:G21"/>
    <mergeCell ref="C16:G16"/>
    <mergeCell ref="C17:G17"/>
    <mergeCell ref="K10:K11"/>
    <mergeCell ref="J10:J11"/>
    <mergeCell ref="C23:G23"/>
    <mergeCell ref="C12:G12"/>
    <mergeCell ref="C13:G13"/>
    <mergeCell ref="C18:G18"/>
    <mergeCell ref="C19:G19"/>
    <mergeCell ref="C20:G20"/>
    <mergeCell ref="H10:H11"/>
    <mergeCell ref="I10:I11"/>
    <mergeCell ref="C10:G11"/>
    <mergeCell ref="A10:A11"/>
    <mergeCell ref="A6:C6"/>
    <mergeCell ref="A7:C7"/>
    <mergeCell ref="A8:C8"/>
    <mergeCell ref="A1:I1"/>
    <mergeCell ref="A3:C3"/>
    <mergeCell ref="B10:B11"/>
    <mergeCell ref="A4:C4"/>
    <mergeCell ref="A5:C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
  <sheetViews>
    <sheetView topLeftCell="A7" workbookViewId="0">
      <selection activeCell="Q18" sqref="Q18"/>
    </sheetView>
  </sheetViews>
  <sheetFormatPr baseColWidth="10" defaultColWidth="14.42578125" defaultRowHeight="15" customHeight="1" x14ac:dyDescent="0.25"/>
  <cols>
    <col min="1" max="5" width="4.42578125" customWidth="1"/>
    <col min="6" max="6" width="5" customWidth="1"/>
    <col min="7" max="14" width="4.42578125" customWidth="1"/>
    <col min="15" max="15" width="14.85546875" customWidth="1"/>
    <col min="16" max="16" width="24.42578125" customWidth="1"/>
    <col min="17" max="17" width="15.5703125" customWidth="1"/>
  </cols>
  <sheetData>
    <row r="1" spans="1:17" x14ac:dyDescent="0.25">
      <c r="A1" s="221" t="s">
        <v>5</v>
      </c>
      <c r="B1" s="175"/>
      <c r="C1" s="175"/>
      <c r="D1" s="222">
        <v>2022</v>
      </c>
      <c r="E1" s="195"/>
      <c r="F1" s="65"/>
      <c r="G1" s="65"/>
      <c r="H1" s="66"/>
      <c r="I1" s="66"/>
      <c r="J1" s="66"/>
      <c r="K1" s="66"/>
      <c r="L1" s="66"/>
      <c r="M1" s="66"/>
      <c r="N1" s="66"/>
      <c r="O1" s="67"/>
      <c r="P1" s="223" t="s">
        <v>94</v>
      </c>
      <c r="Q1" s="224"/>
    </row>
    <row r="2" spans="1:17" x14ac:dyDescent="0.25">
      <c r="A2" s="68"/>
      <c r="B2" s="29"/>
      <c r="C2" s="29"/>
      <c r="D2" s="29"/>
      <c r="E2" s="29"/>
      <c r="F2" s="29"/>
      <c r="G2" s="69"/>
      <c r="H2" s="70"/>
      <c r="I2" s="70"/>
      <c r="J2" s="70"/>
      <c r="K2" s="70"/>
      <c r="L2" s="70"/>
      <c r="M2" s="70"/>
      <c r="N2" s="70"/>
      <c r="O2" s="29"/>
      <c r="P2" s="225"/>
      <c r="Q2" s="226"/>
    </row>
    <row r="3" spans="1:17" x14ac:dyDescent="0.25">
      <c r="A3" s="68"/>
      <c r="B3" s="29"/>
      <c r="C3" s="29"/>
      <c r="D3" s="29"/>
      <c r="E3" s="29"/>
      <c r="F3" s="29"/>
      <c r="G3" s="69"/>
      <c r="H3" s="29"/>
      <c r="I3" s="29"/>
      <c r="J3" s="29"/>
      <c r="K3" s="29"/>
      <c r="L3" s="29"/>
      <c r="M3" s="29"/>
      <c r="N3" s="29"/>
      <c r="O3" s="29"/>
      <c r="P3" s="29"/>
      <c r="Q3" s="71"/>
    </row>
    <row r="4" spans="1:17" x14ac:dyDescent="0.25">
      <c r="A4" s="216" t="s">
        <v>95</v>
      </c>
      <c r="B4" s="171"/>
      <c r="C4" s="171"/>
      <c r="D4" s="171"/>
      <c r="E4" s="171"/>
      <c r="F4" s="207"/>
      <c r="G4" s="220" t="str">
        <f>NP!D3</f>
        <v>040 - MINISTERIO DE SALUD</v>
      </c>
      <c r="H4" s="171"/>
      <c r="I4" s="171"/>
      <c r="J4" s="171"/>
      <c r="K4" s="171"/>
      <c r="L4" s="171"/>
      <c r="M4" s="171"/>
      <c r="N4" s="171"/>
      <c r="O4" s="171"/>
      <c r="P4" s="171"/>
      <c r="Q4" s="219"/>
    </row>
    <row r="5" spans="1:17" x14ac:dyDescent="0.25">
      <c r="A5" s="215" t="s">
        <v>78</v>
      </c>
      <c r="B5" s="171"/>
      <c r="C5" s="171"/>
      <c r="D5" s="171"/>
      <c r="E5" s="171"/>
      <c r="F5" s="207"/>
      <c r="G5" s="220" t="str">
        <f>NP!D4</f>
        <v>011 - DIRECCION PROVINCIAL DE ADMINISTRACION DEL MINISTERIO DE SALUD</v>
      </c>
      <c r="H5" s="171"/>
      <c r="I5" s="171"/>
      <c r="J5" s="171"/>
      <c r="K5" s="171"/>
      <c r="L5" s="171"/>
      <c r="M5" s="171"/>
      <c r="N5" s="171"/>
      <c r="O5" s="171"/>
      <c r="P5" s="171"/>
      <c r="Q5" s="219"/>
    </row>
    <row r="6" spans="1:17" x14ac:dyDescent="0.25">
      <c r="A6" s="215" t="s">
        <v>80</v>
      </c>
      <c r="B6" s="171"/>
      <c r="C6" s="171"/>
      <c r="D6" s="171"/>
      <c r="E6" s="171"/>
      <c r="F6" s="207"/>
      <c r="G6" s="220" t="str">
        <f>NP!D5</f>
        <v>352 - MINISTERIO DE SALUD</v>
      </c>
      <c r="H6" s="171"/>
      <c r="I6" s="171"/>
      <c r="J6" s="171"/>
      <c r="K6" s="171"/>
      <c r="L6" s="171"/>
      <c r="M6" s="171"/>
      <c r="N6" s="171"/>
      <c r="O6" s="171"/>
      <c r="P6" s="171"/>
      <c r="Q6" s="219"/>
    </row>
    <row r="7" spans="1:17" x14ac:dyDescent="0.25">
      <c r="A7" s="215" t="s">
        <v>82</v>
      </c>
      <c r="B7" s="171"/>
      <c r="C7" s="171"/>
      <c r="D7" s="171"/>
      <c r="E7" s="171"/>
      <c r="F7" s="207"/>
      <c r="G7" s="220" t="str">
        <f>NP!D6</f>
        <v>352 - MINISTERIO DE SALUD</v>
      </c>
      <c r="H7" s="171"/>
      <c r="I7" s="171"/>
      <c r="J7" s="171"/>
      <c r="K7" s="171"/>
      <c r="L7" s="171"/>
      <c r="M7" s="171"/>
      <c r="N7" s="171"/>
      <c r="O7" s="171"/>
      <c r="P7" s="171"/>
      <c r="Q7" s="219"/>
    </row>
    <row r="8" spans="1:17" x14ac:dyDescent="0.25">
      <c r="A8" s="218" t="s">
        <v>96</v>
      </c>
      <c r="B8" s="171"/>
      <c r="C8" s="171"/>
      <c r="D8" s="171"/>
      <c r="E8" s="171"/>
      <c r="F8" s="171"/>
      <c r="G8" s="171"/>
      <c r="H8" s="171"/>
      <c r="I8" s="171"/>
      <c r="J8" s="171"/>
      <c r="K8" s="171"/>
      <c r="L8" s="171"/>
      <c r="M8" s="171"/>
      <c r="N8" s="171"/>
      <c r="O8" s="171"/>
      <c r="P8" s="171"/>
      <c r="Q8" s="219"/>
    </row>
    <row r="9" spans="1:17" x14ac:dyDescent="0.25">
      <c r="A9" s="217" t="s">
        <v>97</v>
      </c>
      <c r="B9" s="173"/>
      <c r="C9" s="173"/>
      <c r="D9" s="173"/>
      <c r="E9" s="173"/>
      <c r="F9" s="173"/>
      <c r="G9" s="173"/>
      <c r="H9" s="173"/>
      <c r="I9" s="173"/>
      <c r="J9" s="173"/>
      <c r="K9" s="173"/>
      <c r="L9" s="173"/>
      <c r="M9" s="173"/>
      <c r="N9" s="173"/>
      <c r="O9" s="173"/>
      <c r="P9" s="173"/>
      <c r="Q9" s="205"/>
    </row>
    <row r="10" spans="1:17" ht="75" customHeight="1" x14ac:dyDescent="0.25">
      <c r="A10" s="203" t="s">
        <v>136</v>
      </c>
      <c r="B10" s="149"/>
      <c r="C10" s="149"/>
      <c r="D10" s="149"/>
      <c r="E10" s="149"/>
      <c r="F10" s="149"/>
      <c r="G10" s="149"/>
      <c r="H10" s="149"/>
      <c r="I10" s="149"/>
      <c r="J10" s="149"/>
      <c r="K10" s="149"/>
      <c r="L10" s="149"/>
      <c r="M10" s="149"/>
      <c r="N10" s="149"/>
      <c r="O10" s="149"/>
      <c r="P10" s="149"/>
      <c r="Q10" s="151"/>
    </row>
    <row r="11" spans="1:17" x14ac:dyDescent="0.25">
      <c r="A11" s="72"/>
      <c r="B11" s="73"/>
      <c r="C11" s="73"/>
      <c r="D11" s="73"/>
      <c r="E11" s="73"/>
      <c r="F11" s="73"/>
      <c r="G11" s="74"/>
      <c r="H11" s="73"/>
      <c r="I11" s="73"/>
      <c r="J11" s="73"/>
      <c r="K11" s="73"/>
      <c r="L11" s="73"/>
      <c r="M11" s="73"/>
      <c r="N11" s="73"/>
      <c r="O11" s="73"/>
      <c r="P11" s="73"/>
      <c r="Q11" s="75"/>
    </row>
    <row r="12" spans="1:17" x14ac:dyDescent="0.25">
      <c r="A12" s="204" t="s">
        <v>98</v>
      </c>
      <c r="B12" s="173"/>
      <c r="C12" s="173"/>
      <c r="D12" s="173"/>
      <c r="E12" s="173"/>
      <c r="F12" s="173"/>
      <c r="G12" s="173"/>
      <c r="H12" s="173"/>
      <c r="I12" s="173"/>
      <c r="J12" s="173"/>
      <c r="K12" s="173"/>
      <c r="L12" s="173"/>
      <c r="M12" s="173"/>
      <c r="N12" s="173"/>
      <c r="O12" s="173"/>
      <c r="P12" s="173"/>
      <c r="Q12" s="205"/>
    </row>
    <row r="13" spans="1:17" x14ac:dyDescent="0.25">
      <c r="A13" s="206" t="s">
        <v>99</v>
      </c>
      <c r="B13" s="171"/>
      <c r="C13" s="171"/>
      <c r="D13" s="171"/>
      <c r="E13" s="171"/>
      <c r="F13" s="171"/>
      <c r="G13" s="171"/>
      <c r="H13" s="171"/>
      <c r="I13" s="171"/>
      <c r="J13" s="171"/>
      <c r="K13" s="171"/>
      <c r="L13" s="171"/>
      <c r="M13" s="171"/>
      <c r="N13" s="207"/>
      <c r="O13" s="208" t="s">
        <v>100</v>
      </c>
      <c r="P13" s="209"/>
      <c r="Q13" s="210" t="s">
        <v>101</v>
      </c>
    </row>
    <row r="14" spans="1:17" x14ac:dyDescent="0.25">
      <c r="A14" s="76" t="s">
        <v>102</v>
      </c>
      <c r="B14" s="77" t="s">
        <v>103</v>
      </c>
      <c r="C14" s="77" t="s">
        <v>104</v>
      </c>
      <c r="D14" s="77" t="s">
        <v>105</v>
      </c>
      <c r="E14" s="77" t="s">
        <v>106</v>
      </c>
      <c r="F14" s="77" t="s">
        <v>107</v>
      </c>
      <c r="G14" s="78" t="s">
        <v>108</v>
      </c>
      <c r="H14" s="77" t="s">
        <v>109</v>
      </c>
      <c r="I14" s="77" t="s">
        <v>110</v>
      </c>
      <c r="J14" s="77" t="s">
        <v>111</v>
      </c>
      <c r="K14" s="77" t="s">
        <v>111</v>
      </c>
      <c r="L14" s="77" t="s">
        <v>112</v>
      </c>
      <c r="M14" s="79" t="s">
        <v>113</v>
      </c>
      <c r="N14" s="80" t="s">
        <v>114</v>
      </c>
      <c r="O14" s="192"/>
      <c r="P14" s="193"/>
      <c r="Q14" s="151"/>
    </row>
    <row r="15" spans="1:17" x14ac:dyDescent="0.25">
      <c r="A15" s="81">
        <v>1</v>
      </c>
      <c r="B15" s="82"/>
      <c r="C15" s="82"/>
      <c r="D15" s="82">
        <v>1</v>
      </c>
      <c r="E15" s="82"/>
      <c r="F15" s="82">
        <v>4901</v>
      </c>
      <c r="G15" s="82">
        <v>3</v>
      </c>
      <c r="H15" s="82">
        <v>1</v>
      </c>
      <c r="I15" s="82">
        <v>4</v>
      </c>
      <c r="J15" s="82">
        <v>3</v>
      </c>
      <c r="K15" s="82">
        <v>3</v>
      </c>
      <c r="L15" s="82"/>
      <c r="M15" s="83">
        <v>1</v>
      </c>
      <c r="N15" s="82" t="s">
        <v>115</v>
      </c>
      <c r="O15" s="211" t="s">
        <v>116</v>
      </c>
      <c r="P15" s="212"/>
      <c r="Q15" s="84">
        <v>42301867.169999994</v>
      </c>
    </row>
    <row r="16" spans="1:17" x14ac:dyDescent="0.25">
      <c r="A16" s="85"/>
      <c r="B16" s="86"/>
      <c r="C16" s="86"/>
      <c r="D16" s="86"/>
      <c r="E16" s="86"/>
      <c r="F16" s="86"/>
      <c r="G16" s="86"/>
      <c r="H16" s="86"/>
      <c r="I16" s="86"/>
      <c r="J16" s="86"/>
      <c r="K16" s="86"/>
      <c r="L16" s="86"/>
      <c r="M16" s="87"/>
      <c r="N16" s="88"/>
      <c r="O16" s="213"/>
      <c r="P16" s="202"/>
      <c r="Q16" s="89"/>
    </row>
    <row r="17" spans="1:17" x14ac:dyDescent="0.25">
      <c r="A17" s="85"/>
      <c r="B17" s="86"/>
      <c r="C17" s="86"/>
      <c r="D17" s="86"/>
      <c r="E17" s="86"/>
      <c r="F17" s="86"/>
      <c r="G17" s="86"/>
      <c r="H17" s="86"/>
      <c r="I17" s="86"/>
      <c r="J17" s="86"/>
      <c r="K17" s="86"/>
      <c r="L17" s="86"/>
      <c r="M17" s="87"/>
      <c r="N17" s="88"/>
      <c r="O17" s="214"/>
      <c r="P17" s="202"/>
      <c r="Q17" s="89"/>
    </row>
    <row r="18" spans="1:17" x14ac:dyDescent="0.25">
      <c r="A18" s="85"/>
      <c r="B18" s="86"/>
      <c r="C18" s="86"/>
      <c r="D18" s="86"/>
      <c r="E18" s="86"/>
      <c r="F18" s="86"/>
      <c r="G18" s="86"/>
      <c r="H18" s="86"/>
      <c r="I18" s="86"/>
      <c r="J18" s="86"/>
      <c r="K18" s="86"/>
      <c r="L18" s="86"/>
      <c r="M18" s="87"/>
      <c r="N18" s="88"/>
      <c r="O18" s="201"/>
      <c r="P18" s="202"/>
      <c r="Q18" s="89"/>
    </row>
    <row r="19" spans="1:17" x14ac:dyDescent="0.25">
      <c r="A19" s="85"/>
      <c r="B19" s="86"/>
      <c r="C19" s="86"/>
      <c r="D19" s="86"/>
      <c r="E19" s="86"/>
      <c r="F19" s="86"/>
      <c r="G19" s="86"/>
      <c r="H19" s="86"/>
      <c r="I19" s="86"/>
      <c r="J19" s="86"/>
      <c r="K19" s="86"/>
      <c r="L19" s="86"/>
      <c r="M19" s="87"/>
      <c r="N19" s="88"/>
      <c r="O19" s="201"/>
      <c r="P19" s="202"/>
      <c r="Q19" s="89"/>
    </row>
    <row r="20" spans="1:17" x14ac:dyDescent="0.25">
      <c r="A20" s="85"/>
      <c r="B20" s="86"/>
      <c r="C20" s="86"/>
      <c r="D20" s="86"/>
      <c r="E20" s="86"/>
      <c r="F20" s="86"/>
      <c r="G20" s="86"/>
      <c r="H20" s="86"/>
      <c r="I20" s="86"/>
      <c r="J20" s="86"/>
      <c r="K20" s="86"/>
      <c r="L20" s="86"/>
      <c r="M20" s="87"/>
      <c r="N20" s="88"/>
      <c r="O20" s="201"/>
      <c r="P20" s="202"/>
      <c r="Q20" s="89"/>
    </row>
    <row r="21" spans="1:17" ht="15.75" customHeight="1" x14ac:dyDescent="0.25">
      <c r="A21" s="85"/>
      <c r="B21" s="86"/>
      <c r="C21" s="86"/>
      <c r="D21" s="86"/>
      <c r="E21" s="86"/>
      <c r="F21" s="86"/>
      <c r="G21" s="86"/>
      <c r="H21" s="86"/>
      <c r="I21" s="86"/>
      <c r="J21" s="86"/>
      <c r="K21" s="86"/>
      <c r="L21" s="86"/>
      <c r="M21" s="87"/>
      <c r="N21" s="88"/>
      <c r="O21" s="201"/>
      <c r="P21" s="202"/>
      <c r="Q21" s="89"/>
    </row>
    <row r="22" spans="1:17" ht="15.75" customHeight="1" x14ac:dyDescent="0.25">
      <c r="A22" s="85"/>
      <c r="B22" s="86"/>
      <c r="C22" s="86"/>
      <c r="D22" s="86"/>
      <c r="E22" s="86"/>
      <c r="F22" s="86"/>
      <c r="G22" s="86"/>
      <c r="H22" s="86"/>
      <c r="I22" s="86"/>
      <c r="J22" s="86"/>
      <c r="K22" s="86"/>
      <c r="L22" s="86"/>
      <c r="M22" s="87"/>
      <c r="N22" s="88"/>
      <c r="O22" s="201"/>
      <c r="P22" s="202"/>
      <c r="Q22" s="89"/>
    </row>
    <row r="23" spans="1:17" ht="15.75" customHeight="1" x14ac:dyDescent="0.25">
      <c r="A23" s="85"/>
      <c r="B23" s="86"/>
      <c r="C23" s="86"/>
      <c r="D23" s="86"/>
      <c r="E23" s="86"/>
      <c r="F23" s="86"/>
      <c r="G23" s="86"/>
      <c r="H23" s="86"/>
      <c r="I23" s="86"/>
      <c r="J23" s="86"/>
      <c r="K23" s="86"/>
      <c r="L23" s="86"/>
      <c r="M23" s="87"/>
      <c r="N23" s="88"/>
      <c r="O23" s="201"/>
      <c r="P23" s="202"/>
      <c r="Q23" s="89"/>
    </row>
    <row r="24" spans="1:17" ht="15.75" customHeight="1" x14ac:dyDescent="0.25">
      <c r="A24" s="85"/>
      <c r="B24" s="86"/>
      <c r="C24" s="86"/>
      <c r="D24" s="86"/>
      <c r="E24" s="86"/>
      <c r="F24" s="86"/>
      <c r="G24" s="86"/>
      <c r="H24" s="86"/>
      <c r="I24" s="86"/>
      <c r="J24" s="86"/>
      <c r="K24" s="86"/>
      <c r="L24" s="86"/>
      <c r="M24" s="87"/>
      <c r="N24" s="88"/>
      <c r="O24" s="201"/>
      <c r="P24" s="202"/>
      <c r="Q24" s="89"/>
    </row>
    <row r="25" spans="1:17" ht="15.75" customHeight="1" x14ac:dyDescent="0.25">
      <c r="A25" s="85"/>
      <c r="B25" s="86"/>
      <c r="C25" s="86"/>
      <c r="D25" s="86"/>
      <c r="E25" s="86"/>
      <c r="F25" s="86"/>
      <c r="G25" s="86"/>
      <c r="H25" s="86"/>
      <c r="I25" s="86"/>
      <c r="J25" s="86"/>
      <c r="K25" s="86"/>
      <c r="L25" s="86"/>
      <c r="M25" s="87"/>
      <c r="N25" s="88"/>
      <c r="O25" s="201"/>
      <c r="P25" s="202"/>
      <c r="Q25" s="89"/>
    </row>
    <row r="26" spans="1:17" ht="15.75" customHeight="1" x14ac:dyDescent="0.25">
      <c r="A26" s="85"/>
      <c r="B26" s="86"/>
      <c r="C26" s="86"/>
      <c r="D26" s="86"/>
      <c r="E26" s="86"/>
      <c r="F26" s="86"/>
      <c r="G26" s="86"/>
      <c r="H26" s="86"/>
      <c r="I26" s="86"/>
      <c r="J26" s="86"/>
      <c r="K26" s="86"/>
      <c r="L26" s="86"/>
      <c r="M26" s="87"/>
      <c r="N26" s="88"/>
      <c r="O26" s="201"/>
      <c r="P26" s="202"/>
      <c r="Q26" s="89"/>
    </row>
    <row r="27" spans="1:17" ht="15.75" customHeight="1" x14ac:dyDescent="0.25">
      <c r="A27" s="85"/>
      <c r="B27" s="86"/>
      <c r="C27" s="86"/>
      <c r="D27" s="86"/>
      <c r="E27" s="86"/>
      <c r="F27" s="86"/>
      <c r="G27" s="86"/>
      <c r="H27" s="86"/>
      <c r="I27" s="86"/>
      <c r="J27" s="86"/>
      <c r="K27" s="86"/>
      <c r="L27" s="86"/>
      <c r="M27" s="87"/>
      <c r="N27" s="88"/>
      <c r="O27" s="201"/>
      <c r="P27" s="202"/>
      <c r="Q27" s="89"/>
    </row>
    <row r="28" spans="1:17" ht="15.75" customHeight="1" x14ac:dyDescent="0.25">
      <c r="A28" s="85"/>
      <c r="B28" s="86"/>
      <c r="C28" s="86"/>
      <c r="D28" s="86"/>
      <c r="E28" s="86"/>
      <c r="F28" s="86"/>
      <c r="G28" s="86"/>
      <c r="H28" s="86"/>
      <c r="I28" s="86"/>
      <c r="J28" s="86"/>
      <c r="K28" s="86"/>
      <c r="L28" s="86"/>
      <c r="M28" s="87"/>
      <c r="N28" s="88"/>
      <c r="O28" s="201"/>
      <c r="P28" s="202"/>
      <c r="Q28" s="89"/>
    </row>
    <row r="29" spans="1:17" ht="15.75" customHeight="1" x14ac:dyDescent="0.25">
      <c r="A29" s="85"/>
      <c r="B29" s="86"/>
      <c r="C29" s="86"/>
      <c r="D29" s="86"/>
      <c r="E29" s="86"/>
      <c r="F29" s="86"/>
      <c r="G29" s="86"/>
      <c r="H29" s="86"/>
      <c r="I29" s="86"/>
      <c r="J29" s="86"/>
      <c r="K29" s="86"/>
      <c r="L29" s="86"/>
      <c r="M29" s="87"/>
      <c r="N29" s="88"/>
      <c r="O29" s="201"/>
      <c r="P29" s="202"/>
      <c r="Q29" s="89"/>
    </row>
    <row r="30" spans="1:17" ht="15.75" customHeight="1" x14ac:dyDescent="0.25">
      <c r="A30" s="85"/>
      <c r="B30" s="86"/>
      <c r="C30" s="86"/>
      <c r="D30" s="86"/>
      <c r="E30" s="86"/>
      <c r="F30" s="86"/>
      <c r="G30" s="86"/>
      <c r="H30" s="86"/>
      <c r="I30" s="86"/>
      <c r="J30" s="86"/>
      <c r="K30" s="86"/>
      <c r="L30" s="86"/>
      <c r="M30" s="87"/>
      <c r="N30" s="88"/>
      <c r="O30" s="201"/>
      <c r="P30" s="202"/>
      <c r="Q30" s="89"/>
    </row>
    <row r="31" spans="1:17" ht="15.75" customHeight="1" x14ac:dyDescent="0.25">
      <c r="A31" s="85"/>
      <c r="B31" s="86"/>
      <c r="C31" s="86"/>
      <c r="D31" s="86"/>
      <c r="E31" s="86"/>
      <c r="F31" s="86"/>
      <c r="G31" s="86"/>
      <c r="H31" s="86"/>
      <c r="I31" s="86"/>
      <c r="J31" s="86"/>
      <c r="K31" s="86"/>
      <c r="L31" s="86"/>
      <c r="M31" s="87"/>
      <c r="N31" s="88"/>
      <c r="O31" s="201"/>
      <c r="P31" s="202"/>
      <c r="Q31" s="89"/>
    </row>
    <row r="32" spans="1:17" ht="15.75" customHeight="1" x14ac:dyDescent="0.25">
      <c r="A32" s="85"/>
      <c r="B32" s="86"/>
      <c r="C32" s="86"/>
      <c r="D32" s="86"/>
      <c r="E32" s="86"/>
      <c r="F32" s="88"/>
      <c r="G32" s="86"/>
      <c r="H32" s="86"/>
      <c r="I32" s="86"/>
      <c r="J32" s="86"/>
      <c r="K32" s="86"/>
      <c r="L32" s="86"/>
      <c r="M32" s="87"/>
      <c r="N32" s="88"/>
      <c r="O32" s="213"/>
      <c r="P32" s="202"/>
      <c r="Q32" s="89"/>
    </row>
    <row r="33" spans="1:17" ht="15.75" customHeight="1" x14ac:dyDescent="0.25">
      <c r="A33" s="85"/>
      <c r="B33" s="86"/>
      <c r="C33" s="86"/>
      <c r="D33" s="86"/>
      <c r="E33" s="86"/>
      <c r="F33" s="86"/>
      <c r="G33" s="86"/>
      <c r="H33" s="86"/>
      <c r="I33" s="86"/>
      <c r="J33" s="86"/>
      <c r="K33" s="86"/>
      <c r="L33" s="86"/>
      <c r="M33" s="87"/>
      <c r="N33" s="88"/>
      <c r="O33" s="213"/>
      <c r="P33" s="202"/>
      <c r="Q33" s="89"/>
    </row>
    <row r="34" spans="1:17" ht="15.75" customHeight="1" x14ac:dyDescent="0.25">
      <c r="A34" s="85"/>
      <c r="B34" s="86"/>
      <c r="C34" s="86"/>
      <c r="D34" s="86"/>
      <c r="E34" s="86"/>
      <c r="F34" s="88"/>
      <c r="G34" s="86"/>
      <c r="H34" s="86"/>
      <c r="I34" s="86"/>
      <c r="J34" s="86"/>
      <c r="K34" s="86"/>
      <c r="L34" s="86"/>
      <c r="M34" s="87"/>
      <c r="N34" s="88"/>
      <c r="O34" s="213"/>
      <c r="P34" s="202"/>
      <c r="Q34" s="89"/>
    </row>
    <row r="35" spans="1:17" ht="15.75" customHeight="1" x14ac:dyDescent="0.25">
      <c r="A35" s="85"/>
      <c r="B35" s="86"/>
      <c r="C35" s="86"/>
      <c r="D35" s="86"/>
      <c r="E35" s="86"/>
      <c r="F35" s="88"/>
      <c r="G35" s="86"/>
      <c r="H35" s="86"/>
      <c r="I35" s="86"/>
      <c r="J35" s="86"/>
      <c r="K35" s="86"/>
      <c r="L35" s="86"/>
      <c r="M35" s="87"/>
      <c r="N35" s="88"/>
      <c r="O35" s="213"/>
      <c r="P35" s="202"/>
      <c r="Q35" s="89"/>
    </row>
    <row r="36" spans="1:17" ht="15.75" customHeight="1" x14ac:dyDescent="0.25">
      <c r="A36" s="90"/>
      <c r="B36" s="91"/>
      <c r="C36" s="91"/>
      <c r="D36" s="91"/>
      <c r="E36" s="91"/>
      <c r="F36" s="88"/>
      <c r="G36" s="91"/>
      <c r="H36" s="91"/>
      <c r="I36" s="91"/>
      <c r="J36" s="91"/>
      <c r="K36" s="91"/>
      <c r="L36" s="91"/>
      <c r="M36" s="92"/>
      <c r="N36" s="93"/>
      <c r="O36" s="213"/>
      <c r="P36" s="202"/>
      <c r="Q36" s="89"/>
    </row>
    <row r="37" spans="1:17" ht="15.75" customHeight="1" x14ac:dyDescent="0.25">
      <c r="A37" s="94"/>
      <c r="B37" s="95"/>
      <c r="C37" s="95"/>
      <c r="D37" s="95"/>
      <c r="E37" s="95"/>
      <c r="F37" s="95"/>
      <c r="G37" s="95"/>
      <c r="H37" s="95"/>
      <c r="I37" s="95"/>
      <c r="J37" s="95"/>
      <c r="K37" s="95"/>
      <c r="L37" s="95"/>
      <c r="M37" s="96"/>
      <c r="N37" s="95"/>
      <c r="O37" s="235"/>
      <c r="P37" s="236"/>
      <c r="Q37" s="97"/>
    </row>
    <row r="38" spans="1:17" ht="50.25" customHeight="1" x14ac:dyDescent="0.25">
      <c r="A38" s="227" t="s">
        <v>155</v>
      </c>
      <c r="B38" s="228"/>
      <c r="C38" s="228"/>
      <c r="D38" s="228"/>
      <c r="E38" s="228"/>
      <c r="F38" s="228"/>
      <c r="G38" s="228"/>
      <c r="H38" s="228"/>
      <c r="I38" s="228"/>
      <c r="J38" s="228"/>
      <c r="K38" s="228"/>
      <c r="L38" s="228"/>
      <c r="M38" s="228"/>
      <c r="N38" s="228"/>
      <c r="O38" s="228"/>
      <c r="P38" s="229"/>
      <c r="Q38" s="98">
        <f>SUM(Q15:Q37)</f>
        <v>42301867.169999994</v>
      </c>
    </row>
    <row r="39" spans="1:17" ht="15.75" customHeight="1" x14ac:dyDescent="0.25">
      <c r="A39" s="230"/>
      <c r="B39" s="173"/>
      <c r="C39" s="173"/>
      <c r="D39" s="173"/>
      <c r="E39" s="173"/>
      <c r="F39" s="173"/>
      <c r="G39" s="173"/>
      <c r="H39" s="173"/>
      <c r="I39" s="173"/>
      <c r="J39" s="173"/>
      <c r="K39" s="173"/>
      <c r="L39" s="173"/>
      <c r="M39" s="173"/>
      <c r="N39" s="173"/>
      <c r="O39" s="173"/>
      <c r="P39" s="173"/>
      <c r="Q39" s="205"/>
    </row>
    <row r="40" spans="1:17" ht="15.75" customHeight="1" x14ac:dyDescent="0.25">
      <c r="A40" s="231" t="s">
        <v>117</v>
      </c>
      <c r="B40" s="175"/>
      <c r="C40" s="175"/>
      <c r="D40" s="175"/>
      <c r="E40" s="175"/>
      <c r="F40" s="195"/>
      <c r="G40" s="232"/>
      <c r="H40" s="173"/>
      <c r="I40" s="173"/>
      <c r="J40" s="173"/>
      <c r="K40" s="173"/>
      <c r="L40" s="173"/>
      <c r="M40" s="173"/>
      <c r="N40" s="173"/>
      <c r="O40" s="173"/>
      <c r="P40" s="173"/>
      <c r="Q40" s="205"/>
    </row>
    <row r="41" spans="1:17" ht="15.75" customHeight="1" x14ac:dyDescent="0.25">
      <c r="A41" s="233" t="str">
        <f>NP!D8</f>
        <v>ADQUISICION DE EQUIPOS SANITARIOS Y DE LABORATORIO CON DESTINO A HOSPITALES DE LA PROVINCIA</v>
      </c>
      <c r="B41" s="149"/>
      <c r="C41" s="149"/>
      <c r="D41" s="149"/>
      <c r="E41" s="149"/>
      <c r="F41" s="149"/>
      <c r="G41" s="149"/>
      <c r="H41" s="149"/>
      <c r="I41" s="149"/>
      <c r="J41" s="149"/>
      <c r="K41" s="149"/>
      <c r="L41" s="149"/>
      <c r="M41" s="149"/>
      <c r="N41" s="149"/>
      <c r="O41" s="149"/>
      <c r="P41" s="149"/>
      <c r="Q41" s="151"/>
    </row>
    <row r="42" spans="1:17" ht="15.75" customHeight="1" x14ac:dyDescent="0.25">
      <c r="A42" s="234"/>
      <c r="B42" s="197"/>
      <c r="C42" s="197"/>
      <c r="D42" s="197"/>
      <c r="E42" s="197"/>
      <c r="F42" s="197"/>
      <c r="G42" s="197"/>
      <c r="H42" s="197"/>
      <c r="I42" s="197"/>
      <c r="J42" s="197"/>
      <c r="K42" s="197"/>
      <c r="L42" s="197"/>
      <c r="M42" s="197"/>
      <c r="N42" s="197"/>
      <c r="O42" s="197"/>
      <c r="P42" s="197"/>
      <c r="Q42" s="167"/>
    </row>
    <row r="43" spans="1:17" ht="15.75" customHeight="1" x14ac:dyDescent="0.25">
      <c r="Q43" s="64"/>
    </row>
    <row r="44" spans="1:17" ht="15.75" customHeight="1" x14ac:dyDescent="0.25">
      <c r="Q44" s="64"/>
    </row>
    <row r="45" spans="1:17" ht="15.75" customHeight="1" x14ac:dyDescent="0.25">
      <c r="Q45" s="64"/>
    </row>
    <row r="46" spans="1:17" ht="15.75" customHeight="1" x14ac:dyDescent="0.25">
      <c r="Q46" s="64"/>
    </row>
    <row r="47" spans="1:17" ht="15.75" customHeight="1" x14ac:dyDescent="0.25">
      <c r="Q47" s="64"/>
    </row>
    <row r="48" spans="1:17" ht="15.75" customHeight="1" x14ac:dyDescent="0.25">
      <c r="Q48" s="64"/>
    </row>
    <row r="49" spans="17:17" ht="15.75" customHeight="1" x14ac:dyDescent="0.25">
      <c r="Q49" s="64"/>
    </row>
    <row r="50" spans="17:17" ht="15.75" customHeight="1" x14ac:dyDescent="0.25">
      <c r="Q50" s="64"/>
    </row>
    <row r="51" spans="17:17" ht="15.75" customHeight="1" x14ac:dyDescent="0.25">
      <c r="Q51" s="64"/>
    </row>
    <row r="52" spans="17:17" ht="15.75" customHeight="1" x14ac:dyDescent="0.25">
      <c r="Q52" s="64"/>
    </row>
    <row r="53" spans="17:17" ht="15.75" customHeight="1" x14ac:dyDescent="0.25">
      <c r="Q53" s="64"/>
    </row>
    <row r="54" spans="17:17" ht="15.75" customHeight="1" x14ac:dyDescent="0.25">
      <c r="Q54" s="64"/>
    </row>
    <row r="55" spans="17:17" ht="15.75" customHeight="1" x14ac:dyDescent="0.25">
      <c r="Q55" s="64"/>
    </row>
    <row r="56" spans="17:17" ht="15.75" customHeight="1" x14ac:dyDescent="0.25">
      <c r="Q56" s="64"/>
    </row>
    <row r="57" spans="17:17" ht="15.75" customHeight="1" x14ac:dyDescent="0.25">
      <c r="Q57" s="64"/>
    </row>
    <row r="58" spans="17:17" ht="15.75" customHeight="1" x14ac:dyDescent="0.25">
      <c r="Q58" s="64"/>
    </row>
    <row r="59" spans="17:17" ht="15.75" customHeight="1" x14ac:dyDescent="0.25">
      <c r="Q59" s="64"/>
    </row>
    <row r="60" spans="17:17" ht="15.75" customHeight="1" x14ac:dyDescent="0.25">
      <c r="Q60" s="64"/>
    </row>
    <row r="61" spans="17:17" ht="15.75" customHeight="1" x14ac:dyDescent="0.25">
      <c r="Q61" s="64"/>
    </row>
    <row r="62" spans="17:17" ht="15.75" customHeight="1" x14ac:dyDescent="0.25">
      <c r="Q62" s="64"/>
    </row>
    <row r="63" spans="17:17" ht="15.75" customHeight="1" x14ac:dyDescent="0.25">
      <c r="Q63" s="64"/>
    </row>
    <row r="64" spans="17:17" ht="15.75" customHeight="1" x14ac:dyDescent="0.25">
      <c r="Q64" s="64"/>
    </row>
    <row r="65" spans="17:17" ht="15.75" customHeight="1" x14ac:dyDescent="0.25">
      <c r="Q65" s="64"/>
    </row>
    <row r="66" spans="17:17" ht="15.75" customHeight="1" x14ac:dyDescent="0.25">
      <c r="Q66" s="64"/>
    </row>
    <row r="67" spans="17:17" ht="15.75" customHeight="1" x14ac:dyDescent="0.25">
      <c r="Q67" s="64"/>
    </row>
    <row r="68" spans="17:17" ht="15.75" customHeight="1" x14ac:dyDescent="0.25">
      <c r="Q68" s="64"/>
    </row>
    <row r="69" spans="17:17" ht="15.75" customHeight="1" x14ac:dyDescent="0.25">
      <c r="Q69" s="64"/>
    </row>
    <row r="70" spans="17:17" ht="15.75" customHeight="1" x14ac:dyDescent="0.25">
      <c r="Q70" s="64"/>
    </row>
    <row r="71" spans="17:17" ht="15.75" customHeight="1" x14ac:dyDescent="0.25">
      <c r="Q71" s="64"/>
    </row>
    <row r="72" spans="17:17" ht="15.75" customHeight="1" x14ac:dyDescent="0.25">
      <c r="Q72" s="64"/>
    </row>
    <row r="73" spans="17:17" ht="15.75" customHeight="1" x14ac:dyDescent="0.25">
      <c r="Q73" s="64"/>
    </row>
    <row r="74" spans="17:17" ht="15.75" customHeight="1" x14ac:dyDescent="0.25">
      <c r="Q74" s="64"/>
    </row>
    <row r="75" spans="17:17" ht="15.75" customHeight="1" x14ac:dyDescent="0.25">
      <c r="Q75" s="64"/>
    </row>
    <row r="76" spans="17:17" ht="15.75" customHeight="1" x14ac:dyDescent="0.25">
      <c r="Q76" s="64"/>
    </row>
    <row r="77" spans="17:17" ht="15.75" customHeight="1" x14ac:dyDescent="0.25">
      <c r="Q77" s="64"/>
    </row>
    <row r="78" spans="17:17" ht="15.75" customHeight="1" x14ac:dyDescent="0.25">
      <c r="Q78" s="64"/>
    </row>
    <row r="79" spans="17:17" ht="15.75" customHeight="1" x14ac:dyDescent="0.25">
      <c r="Q79" s="64"/>
    </row>
    <row r="80" spans="17:17" ht="15.75" customHeight="1" x14ac:dyDescent="0.25">
      <c r="Q80" s="64"/>
    </row>
    <row r="81" spans="17:17" ht="15.75" customHeight="1" x14ac:dyDescent="0.25">
      <c r="Q81" s="64"/>
    </row>
    <row r="82" spans="17:17" ht="15.75" customHeight="1" x14ac:dyDescent="0.25">
      <c r="Q82" s="64"/>
    </row>
    <row r="83" spans="17:17" ht="15.75" customHeight="1" x14ac:dyDescent="0.25">
      <c r="Q83" s="64"/>
    </row>
    <row r="84" spans="17:17" ht="15.75" customHeight="1" x14ac:dyDescent="0.25">
      <c r="Q84" s="64"/>
    </row>
    <row r="85" spans="17:17" ht="15.75" customHeight="1" x14ac:dyDescent="0.25">
      <c r="Q85" s="64"/>
    </row>
    <row r="86" spans="17:17" ht="15.75" customHeight="1" x14ac:dyDescent="0.25">
      <c r="Q86" s="64"/>
    </row>
    <row r="87" spans="17:17" ht="15.75" customHeight="1" x14ac:dyDescent="0.25">
      <c r="Q87" s="64"/>
    </row>
    <row r="88" spans="17:17" ht="15.75" customHeight="1" x14ac:dyDescent="0.25">
      <c r="Q88" s="64"/>
    </row>
    <row r="89" spans="17:17" ht="15.75" customHeight="1" x14ac:dyDescent="0.25">
      <c r="Q89" s="64"/>
    </row>
    <row r="90" spans="17:17" ht="15.75" customHeight="1" x14ac:dyDescent="0.25">
      <c r="Q90" s="64"/>
    </row>
    <row r="91" spans="17:17" ht="15.75" customHeight="1" x14ac:dyDescent="0.25">
      <c r="Q91" s="64"/>
    </row>
    <row r="92" spans="17:17" ht="15.75" customHeight="1" x14ac:dyDescent="0.25">
      <c r="Q92" s="64"/>
    </row>
    <row r="93" spans="17:17" ht="15.75" customHeight="1" x14ac:dyDescent="0.25">
      <c r="Q93" s="64"/>
    </row>
    <row r="94" spans="17:17" ht="15.75" customHeight="1" x14ac:dyDescent="0.25">
      <c r="Q94" s="64"/>
    </row>
    <row r="95" spans="17:17" ht="15.75" customHeight="1" x14ac:dyDescent="0.25">
      <c r="Q95" s="64"/>
    </row>
    <row r="96" spans="17:17" ht="15.75" customHeight="1" x14ac:dyDescent="0.25">
      <c r="Q96" s="64"/>
    </row>
    <row r="97" spans="17:17" ht="15.75" customHeight="1" x14ac:dyDescent="0.25">
      <c r="Q97" s="64"/>
    </row>
    <row r="98" spans="17:17" ht="15.75" customHeight="1" x14ac:dyDescent="0.25">
      <c r="Q98" s="64"/>
    </row>
    <row r="99" spans="17:17" ht="15.75" customHeight="1" x14ac:dyDescent="0.25">
      <c r="Q99" s="64"/>
    </row>
    <row r="100" spans="17:17" ht="15.75" customHeight="1" x14ac:dyDescent="0.25">
      <c r="Q100" s="64"/>
    </row>
  </sheetData>
  <mergeCells count="46">
    <mergeCell ref="O23:P23"/>
    <mergeCell ref="O24:P24"/>
    <mergeCell ref="O25:P25"/>
    <mergeCell ref="O26:P26"/>
    <mergeCell ref="O27:P27"/>
    <mergeCell ref="O34:P34"/>
    <mergeCell ref="O35:P35"/>
    <mergeCell ref="O36:P36"/>
    <mergeCell ref="O37:P37"/>
    <mergeCell ref="O28:P28"/>
    <mergeCell ref="O29:P29"/>
    <mergeCell ref="O30:P30"/>
    <mergeCell ref="O31:P31"/>
    <mergeCell ref="O33:P33"/>
    <mergeCell ref="O32:P32"/>
    <mergeCell ref="A38:P38"/>
    <mergeCell ref="A39:Q39"/>
    <mergeCell ref="A40:F40"/>
    <mergeCell ref="G40:Q40"/>
    <mergeCell ref="A41:Q42"/>
    <mergeCell ref="A1:C1"/>
    <mergeCell ref="D1:E1"/>
    <mergeCell ref="P1:Q2"/>
    <mergeCell ref="G4:Q4"/>
    <mergeCell ref="G5:Q5"/>
    <mergeCell ref="A5:F5"/>
    <mergeCell ref="A6:F6"/>
    <mergeCell ref="A4:F4"/>
    <mergeCell ref="A7:F7"/>
    <mergeCell ref="A9:Q9"/>
    <mergeCell ref="A8:Q8"/>
    <mergeCell ref="G6:Q6"/>
    <mergeCell ref="G7:Q7"/>
    <mergeCell ref="O19:P19"/>
    <mergeCell ref="O20:P20"/>
    <mergeCell ref="O22:P22"/>
    <mergeCell ref="O21:P21"/>
    <mergeCell ref="A10:Q10"/>
    <mergeCell ref="A12:Q12"/>
    <mergeCell ref="A13:N13"/>
    <mergeCell ref="O13:P14"/>
    <mergeCell ref="Q13:Q14"/>
    <mergeCell ref="O15:P15"/>
    <mergeCell ref="O16:P16"/>
    <mergeCell ref="O17:P17"/>
    <mergeCell ref="O18:P18"/>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SAF 011 - NECESIDAD TRIMESTRAL</vt:lpstr>
      <vt:lpstr>NP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COMPRAR</cp:lastModifiedBy>
  <dcterms:created xsi:type="dcterms:W3CDTF">2021-11-12T17:27:33Z</dcterms:created>
  <dcterms:modified xsi:type="dcterms:W3CDTF">2022-06-22T11:59:22Z</dcterms:modified>
</cp:coreProperties>
</file>