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 SAF 06\PEDIDO TRIMESTRAL\TINTAS Y TONERS\"/>
    </mc:Choice>
  </mc:AlternateContent>
  <bookViews>
    <workbookView xWindow="0" yWindow="0" windowWidth="28800" windowHeight="13095" tabRatio="500"/>
  </bookViews>
  <sheets>
    <sheet name="Necesidades Trimestrales" sheetId="1" r:id="rId1"/>
    <sheet name=" NotaPedido" sheetId="2" r:id="rId2"/>
    <sheet name="APG" sheetId="3" r:id="rId3"/>
  </sheets>
  <definedNames>
    <definedName name="_xlnm.Print_Area" localSheetId="1">' NotaPedido'!$A$1:$K$33</definedName>
    <definedName name="_xlnm.Print_Area" localSheetId="2">APG!$A$1:$Q$30</definedName>
  </definedNames>
  <calcPr calcId="162913"/>
</workbook>
</file>

<file path=xl/calcChain.xml><?xml version="1.0" encoding="utf-8"?>
<calcChain xmlns="http://schemas.openxmlformats.org/spreadsheetml/2006/main">
  <c r="E28" i="2" l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29" i="3" l="1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G32" i="2"/>
  <c r="F32" i="2"/>
  <c r="E32" i="2"/>
  <c r="C32" i="2"/>
  <c r="B32" i="2"/>
  <c r="G31" i="2"/>
  <c r="F31" i="2"/>
  <c r="E31" i="2"/>
  <c r="C31" i="2"/>
  <c r="B31" i="2"/>
  <c r="G30" i="2"/>
  <c r="F30" i="2"/>
  <c r="E30" i="2"/>
  <c r="C30" i="2"/>
  <c r="B30" i="2"/>
  <c r="G29" i="2"/>
  <c r="F29" i="2"/>
  <c r="E29" i="2"/>
  <c r="C29" i="2"/>
  <c r="B29" i="2"/>
  <c r="G28" i="2"/>
  <c r="F28" i="2"/>
  <c r="C28" i="2"/>
  <c r="B28" i="2"/>
  <c r="G27" i="2"/>
  <c r="F27" i="2"/>
  <c r="E27" i="2"/>
  <c r="C27" i="2"/>
  <c r="B27" i="2"/>
  <c r="G26" i="2"/>
  <c r="F26" i="2"/>
  <c r="E26" i="2"/>
  <c r="C26" i="2"/>
  <c r="B26" i="2"/>
  <c r="G25" i="2"/>
  <c r="F25" i="2"/>
  <c r="E25" i="2"/>
  <c r="C25" i="2"/>
  <c r="B25" i="2"/>
  <c r="G24" i="2"/>
  <c r="F24" i="2"/>
  <c r="E24" i="2"/>
  <c r="C24" i="2"/>
  <c r="B24" i="2"/>
  <c r="G23" i="2"/>
  <c r="F23" i="2"/>
  <c r="E23" i="2"/>
  <c r="C23" i="2"/>
  <c r="B23" i="2"/>
  <c r="G22" i="2"/>
  <c r="F22" i="2"/>
  <c r="E22" i="2"/>
  <c r="C22" i="2"/>
  <c r="B22" i="2"/>
  <c r="G21" i="2"/>
  <c r="F21" i="2"/>
  <c r="E21" i="2"/>
  <c r="C21" i="2"/>
  <c r="B21" i="2"/>
  <c r="G20" i="2"/>
  <c r="F20" i="2"/>
  <c r="E20" i="2"/>
  <c r="C20" i="2"/>
  <c r="B20" i="2"/>
  <c r="G19" i="2"/>
  <c r="F19" i="2"/>
  <c r="E19" i="2"/>
  <c r="C19" i="2"/>
  <c r="B19" i="2"/>
  <c r="G18" i="2"/>
  <c r="F18" i="2"/>
  <c r="E18" i="2"/>
  <c r="C18" i="2"/>
  <c r="B18" i="2"/>
  <c r="G17" i="2"/>
  <c r="F17" i="2"/>
  <c r="E17" i="2"/>
  <c r="C17" i="2"/>
  <c r="B17" i="2"/>
  <c r="G16" i="2"/>
  <c r="F16" i="2"/>
  <c r="E16" i="2"/>
  <c r="C16" i="2"/>
  <c r="B16" i="2"/>
  <c r="G15" i="2"/>
  <c r="F15" i="2"/>
  <c r="E15" i="2"/>
  <c r="C15" i="2"/>
  <c r="B15" i="2"/>
  <c r="G14" i="2"/>
  <c r="F14" i="2"/>
  <c r="E14" i="2"/>
  <c r="C14" i="2"/>
  <c r="B14" i="2"/>
  <c r="G13" i="2"/>
  <c r="F13" i="2"/>
  <c r="E13" i="2"/>
  <c r="C13" i="2"/>
  <c r="B13" i="2"/>
  <c r="A10" i="3"/>
  <c r="F33" i="2" l="1"/>
  <c r="G6" i="3"/>
  <c r="C4" i="2"/>
  <c r="G4" i="3" s="1"/>
  <c r="C5" i="2"/>
  <c r="G5" i="3" s="1"/>
  <c r="D1" i="3" l="1"/>
  <c r="Q26" i="3" l="1"/>
</calcChain>
</file>

<file path=xl/sharedStrings.xml><?xml version="1.0" encoding="utf-8"?>
<sst xmlns="http://schemas.openxmlformats.org/spreadsheetml/2006/main" count="336" uniqueCount="178">
  <si>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</si>
  <si>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</si>
  <si>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</si>
  <si>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</si>
  <si>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</si>
  <si>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</si>
  <si>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</si>
  <si>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</si>
  <si>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</si>
  <si>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</si>
  <si>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</si>
  <si>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</si>
  <si>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</si>
  <si>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</si>
  <si>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</si>
  <si>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</si>
  <si>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</si>
  <si>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</si>
  <si>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</si>
  <si>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</si>
  <si>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</si>
  <si>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</si>
  <si>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</si>
  <si>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</si>
  <si>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</si>
  <si>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</si>
  <si>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</si>
  <si>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</si>
  <si>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</si>
  <si>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</si>
  <si>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</si>
  <si>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</si>
  <si>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</si>
  <si>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</si>
  <si>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</si>
  <si>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</si>
  <si>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</si>
  <si>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</si>
  <si>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</si>
  <si>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</si>
  <si>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</si>
  <si>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</si>
  <si>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</si>
  <si>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</si>
  <si>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</si>
  <si>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</si>
  <si>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</si>
  <si>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</si>
  <si>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</si>
  <si>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</si>
  <si>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</si>
  <si>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</si>
  <si>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OBSERVACIONES:</t>
  </si>
  <si>
    <t>Plazos y lugares de entrega:</t>
  </si>
  <si>
    <t>Calidad Minima esperada:</t>
  </si>
  <si>
    <t>Mantenimiento:</t>
  </si>
  <si>
    <t>UNIDAD</t>
  </si>
  <si>
    <t>12 -Ministerio de Gobierno, Justicia y Derechos Humanos.</t>
  </si>
  <si>
    <t>06 - Secretaria de Gestion Administrativa del Ministerio de Gobierno, Justicia y Derechos Humanos</t>
  </si>
  <si>
    <t>Ministerio de Gobierno, Justicia y Derechos Humanos.</t>
  </si>
  <si>
    <t>30 (treinta)  días habiles</t>
  </si>
  <si>
    <t>Forma de Pago:</t>
  </si>
  <si>
    <t>Que cumpla con lo solicitado y condiciones de calidad adjuntas, productos de muy buena calidad.-</t>
  </si>
  <si>
    <t>Especificidades de los Items:</t>
  </si>
  <si>
    <t>2do. TRIMESTRE</t>
  </si>
  <si>
    <t>2022 - 2do Trimestre</t>
  </si>
  <si>
    <t>26/2022</t>
  </si>
  <si>
    <t>Ministerio de Gob. J. y D.H.- Secretaria de la Mujer, Generos y Diversidad- Direc. Prov. De Accion Coop. Y Mutuales- Direccion Prov. de Derechos Humanos-Dirección de Justicia- Direcc. Prov. Del Registro Civil- Direcc. Insp. Personas Juridicas- Secretaria de Asuntos Municipales.</t>
  </si>
  <si>
    <t>2.9.6-401.1910</t>
  </si>
  <si>
    <t>2.9.6-1355.1503</t>
  </si>
  <si>
    <t>2.9.6-1355.1938</t>
  </si>
  <si>
    <t>2.9.6-1355.1939</t>
  </si>
  <si>
    <t>2.9.6-1355.1940</t>
  </si>
  <si>
    <t>2.9.6-1355.1941</t>
  </si>
  <si>
    <t>2.9.6-401.2378</t>
  </si>
  <si>
    <t>2.9.6-1355.1789</t>
  </si>
  <si>
    <t>2.9.6-401.2228</t>
  </si>
  <si>
    <t>2.9.6-401.1486</t>
  </si>
  <si>
    <t>2.9.6-401.2377</t>
  </si>
  <si>
    <t>2.9.6-401.1563</t>
  </si>
  <si>
    <t>2.9.6-401.1282</t>
  </si>
  <si>
    <t>2.9.6-401.1442</t>
  </si>
  <si>
    <t>2.9.6-1355.1988</t>
  </si>
  <si>
    <t>2.9.6-401.1289</t>
  </si>
  <si>
    <t>2.9.6-401.2045</t>
  </si>
  <si>
    <t>2.9.6-401.1765</t>
  </si>
  <si>
    <t>REPUESTOS</t>
  </si>
  <si>
    <r>
      <rPr>
        <b/>
        <sz val="11"/>
        <color theme="1"/>
        <rFont val="Calibri"/>
        <family val="2"/>
        <scheme val="minor"/>
      </rPr>
      <t xml:space="preserve">CARTUCHOS DE TONER; </t>
    </r>
    <r>
      <rPr>
        <sz val="10"/>
        <rFont val="Arial"/>
        <charset val="1"/>
      </rPr>
      <t>CODIGO: 101 D101S, USO: SAMSUNG</t>
    </r>
  </si>
  <si>
    <r>
      <rPr>
        <b/>
        <sz val="11"/>
        <color theme="1"/>
        <rFont val="Calibri"/>
        <family val="2"/>
        <scheme val="minor"/>
      </rPr>
      <t>CARTUCHOS DE TINTA;</t>
    </r>
    <r>
      <rPr>
        <sz val="10"/>
        <rFont val="Arial"/>
        <charset val="1"/>
      </rPr>
      <t xml:space="preserve"> CODIGO: HP 60, USO: HEWLETT PACKARD</t>
    </r>
  </si>
  <si>
    <r>
      <rPr>
        <b/>
        <sz val="11"/>
        <color theme="1"/>
        <rFont val="Calibri"/>
        <family val="2"/>
        <scheme val="minor"/>
      </rPr>
      <t>CARTUCHOS DE TINTA;</t>
    </r>
    <r>
      <rPr>
        <sz val="10"/>
        <rFont val="Arial"/>
        <charset val="1"/>
      </rPr>
      <t xml:space="preserve"> CODIGO: T664120, USO: EPSON</t>
    </r>
  </si>
  <si>
    <r>
      <rPr>
        <b/>
        <sz val="11"/>
        <color theme="1"/>
        <rFont val="Calibri"/>
        <family val="2"/>
        <scheme val="minor"/>
      </rPr>
      <t xml:space="preserve">CARTUCHOS DE TINTA; </t>
    </r>
    <r>
      <rPr>
        <sz val="10"/>
        <rFont val="Arial"/>
        <charset val="1"/>
      </rPr>
      <t>CODIGO: T664220, USO: EPSON</t>
    </r>
  </si>
  <si>
    <r>
      <rPr>
        <b/>
        <sz val="11"/>
        <color theme="1"/>
        <rFont val="Calibri"/>
        <family val="2"/>
        <scheme val="minor"/>
      </rPr>
      <t>CARTUCHOS DE TINTA;</t>
    </r>
    <r>
      <rPr>
        <sz val="10"/>
        <rFont val="Arial"/>
        <charset val="1"/>
      </rPr>
      <t xml:space="preserve"> CODIGO: T664320, USO: EPSON</t>
    </r>
  </si>
  <si>
    <r>
      <rPr>
        <b/>
        <sz val="11"/>
        <color theme="1"/>
        <rFont val="Calibri"/>
        <family val="2"/>
        <scheme val="minor"/>
      </rPr>
      <t xml:space="preserve">CARTUCHOS DE TINTA; </t>
    </r>
    <r>
      <rPr>
        <sz val="10"/>
        <rFont val="Arial"/>
        <charset val="1"/>
      </rPr>
      <t>CODIGO: T664420, USO: EPSON</t>
    </r>
  </si>
  <si>
    <r>
      <rPr>
        <b/>
        <sz val="11"/>
        <color theme="1"/>
        <rFont val="Calibri"/>
        <family val="2"/>
        <scheme val="minor"/>
      </rPr>
      <t>CARTUCHOS DE TONER;</t>
    </r>
    <r>
      <rPr>
        <sz val="10"/>
        <rFont val="Arial"/>
        <charset val="1"/>
      </rPr>
      <t xml:space="preserve"> CODIGO: W1105A, USO: HEWLETT PACKARD</t>
    </r>
  </si>
  <si>
    <r>
      <rPr>
        <b/>
        <sz val="11"/>
        <color theme="1"/>
        <rFont val="Calibri"/>
        <family val="2"/>
        <scheme val="minor"/>
      </rPr>
      <t>CARTUCHOS DE TONER;</t>
    </r>
    <r>
      <rPr>
        <sz val="10"/>
        <rFont val="Arial"/>
        <charset val="1"/>
      </rPr>
      <t xml:space="preserve"> CODIGO: CF217A, USO: HP LASERJET MFP</t>
    </r>
  </si>
  <si>
    <r>
      <rPr>
        <b/>
        <sz val="11"/>
        <color theme="1"/>
        <rFont val="Calibri"/>
        <family val="2"/>
        <scheme val="minor"/>
      </rPr>
      <t>CARTUCHOS DE TONER</t>
    </r>
    <r>
      <rPr>
        <sz val="10"/>
        <rFont val="Arial"/>
        <charset val="1"/>
      </rPr>
      <t>; CODIGO: HP 53A, USO: HP</t>
    </r>
  </si>
  <si>
    <r>
      <rPr>
        <b/>
        <sz val="11"/>
        <color theme="1"/>
        <rFont val="Calibri"/>
        <family val="2"/>
        <scheme val="minor"/>
      </rPr>
      <t xml:space="preserve">CARTUCHOS DE TONER; </t>
    </r>
    <r>
      <rPr>
        <sz val="10"/>
        <rFont val="Arial"/>
        <charset val="1"/>
      </rPr>
      <t>CODIGO: CF279A, USO: HEWLETT PACKARD</t>
    </r>
  </si>
  <si>
    <r>
      <rPr>
        <b/>
        <sz val="11"/>
        <color theme="1"/>
        <rFont val="Calibri"/>
        <family val="2"/>
        <scheme val="minor"/>
      </rPr>
      <t>CARTUCHOS DE TONER;</t>
    </r>
    <r>
      <rPr>
        <sz val="10"/>
        <rFont val="Arial"/>
        <charset val="1"/>
      </rPr>
      <t xml:space="preserve"> CODIGO: HP 85A, USO: HP</t>
    </r>
  </si>
  <si>
    <r>
      <rPr>
        <b/>
        <sz val="11"/>
        <color theme="1"/>
        <rFont val="Calibri"/>
        <family val="2"/>
        <scheme val="minor"/>
      </rPr>
      <t>CARTUCHOS DE TONER;</t>
    </r>
    <r>
      <rPr>
        <sz val="10"/>
        <rFont val="Arial"/>
        <charset val="1"/>
      </rPr>
      <t xml:space="preserve"> CODIGO: CE505A, USO: HEWLETT PACKARD</t>
    </r>
  </si>
  <si>
    <r>
      <rPr>
        <b/>
        <sz val="11"/>
        <color theme="1"/>
        <rFont val="Calibri"/>
        <family val="2"/>
        <scheme val="minor"/>
      </rPr>
      <t xml:space="preserve">CARTUCHOS DE TONER; </t>
    </r>
    <r>
      <rPr>
        <sz val="10"/>
        <rFont val="Arial"/>
        <charset val="1"/>
      </rPr>
      <t>CODIGO: 42A, USO: HEWLETT PACKARD</t>
    </r>
  </si>
  <si>
    <r>
      <rPr>
        <b/>
        <sz val="11"/>
        <color theme="1"/>
        <rFont val="Calibri"/>
        <family val="2"/>
        <scheme val="minor"/>
      </rPr>
      <t>CARTUCHOS DE TINTA;</t>
    </r>
    <r>
      <rPr>
        <sz val="10"/>
        <rFont val="Arial"/>
        <charset val="1"/>
      </rPr>
      <t xml:space="preserve"> CODIGO: 664, USO: HEWLET PACKARD</t>
    </r>
  </si>
  <si>
    <r>
      <rPr>
        <b/>
        <sz val="11"/>
        <color theme="1"/>
        <rFont val="Calibri"/>
        <family val="2"/>
        <scheme val="minor"/>
      </rPr>
      <t>CARTUCHOS DE TONER;</t>
    </r>
    <r>
      <rPr>
        <sz val="10"/>
        <rFont val="Arial"/>
        <charset val="1"/>
      </rPr>
      <t xml:space="preserve"> CODIGO: T 1640, USO: TOSHIBA ESTUDIO 166</t>
    </r>
  </si>
  <si>
    <r>
      <rPr>
        <b/>
        <sz val="11"/>
        <color theme="1"/>
        <rFont val="Calibri"/>
        <family val="2"/>
        <scheme val="minor"/>
      </rPr>
      <t xml:space="preserve">CARTUCHOS DE TONER; </t>
    </r>
    <r>
      <rPr>
        <sz val="10"/>
        <rFont val="Arial"/>
        <charset val="1"/>
      </rPr>
      <t>CODIGO: TN 1060, USO: BROTHER</t>
    </r>
  </si>
  <si>
    <r>
      <rPr>
        <b/>
        <sz val="11"/>
        <color theme="1"/>
        <rFont val="Calibri"/>
        <family val="2"/>
        <scheme val="minor"/>
      </rPr>
      <t>CARTUCHOS DE TONER;</t>
    </r>
    <r>
      <rPr>
        <sz val="10"/>
        <rFont val="Arial"/>
        <charset val="1"/>
      </rPr>
      <t xml:space="preserve"> CODIGO: 106R01531, USO: XEROX</t>
    </r>
  </si>
  <si>
    <t>SAMSUNG</t>
  </si>
  <si>
    <t xml:space="preserve">ML-2165w </t>
  </si>
  <si>
    <t>HEWLETT-PACKARD</t>
  </si>
  <si>
    <t>Deskjet F4480</t>
  </si>
  <si>
    <t>EPSON</t>
  </si>
  <si>
    <t>Eco Tank L380</t>
  </si>
  <si>
    <t>LaserJet 107w </t>
  </si>
  <si>
    <t>M102W</t>
  </si>
  <si>
    <t xml:space="preserve"> P1102 </t>
  </si>
  <si>
    <t>Laser 408dn</t>
  </si>
  <si>
    <t>TOSHIBA</t>
  </si>
  <si>
    <t>BROTHER</t>
  </si>
  <si>
    <t>XEROX</t>
  </si>
  <si>
    <t>IMPRESORA
MARCA</t>
  </si>
  <si>
    <t>IMPRESORA
MODELO</t>
  </si>
  <si>
    <r>
      <rPr>
        <u/>
        <sz val="11"/>
        <rFont val="Calibri"/>
        <family val="2"/>
        <scheme val="minor"/>
      </rPr>
      <t>ÍTEM N° 6: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</si>
  <si>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</si>
  <si>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2: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</si>
  <si>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3: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</si>
  <si>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4: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</si>
  <si>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5: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</si>
  <si>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7: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</si>
  <si>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8: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</si>
  <si>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9: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</si>
  <si>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10: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</si>
  <si>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11: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</si>
  <si>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12: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</si>
  <si>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13: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</si>
  <si>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14: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</si>
  <si>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15: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</si>
  <si>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16:</t>
    </r>
    <r>
      <rPr>
        <sz val="11"/>
        <rFont val="Calibri"/>
        <family val="2"/>
        <scheme val="minor"/>
      </rPr>
      <t xml:space="preserve"> </t>
    </r>
  </si>
  <si>
    <t>TINTA P/IMPRESORA HP 664- NEGRO.- ALTERNATIVO</t>
  </si>
  <si>
    <r>
      <rPr>
        <u/>
        <sz val="11"/>
        <rFont val="Calibri"/>
        <family val="2"/>
        <scheme val="minor"/>
      </rPr>
      <t>ÍTEM N° 17:</t>
    </r>
    <r>
      <rPr>
        <sz val="11"/>
        <rFont val="Calibri"/>
        <family val="2"/>
        <scheme val="minor"/>
      </rPr>
      <t xml:space="preserve"> </t>
    </r>
  </si>
  <si>
    <t>TINTA P/IMPRESORA HP 664- TRICOLOR- ALTERNATIVO</t>
  </si>
  <si>
    <r>
      <rPr>
        <u/>
        <sz val="11"/>
        <rFont val="Calibri"/>
        <family val="2"/>
        <scheme val="minor"/>
      </rPr>
      <t>ÍTEM N° 18: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</si>
  <si>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19: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</si>
  <si>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20:</t>
    </r>
    <r>
      <rPr>
        <sz val="11"/>
        <rFont val="Calibri"/>
        <family val="2"/>
        <scheme val="minor"/>
      </rPr>
      <t xml:space="preserve"> </t>
    </r>
  </si>
  <si>
    <t>Dentro de los 30 días de efectuada la recepcion definitiva de los bienes solicitados.-</t>
  </si>
  <si>
    <t>Costo total estimado: Pesos Quinientos Treinta y Un Mil con 00/100.-</t>
  </si>
  <si>
    <t>TOTAL DE PESOS: Quinientos Treinta y Un Mil con 00/100.-</t>
  </si>
  <si>
    <t>ADQ. DE TINTAS Y TONERS DESTINADOS A LAS DISTINTAS DEPENDENCIAS DEL MINISTERIO DE GOBIERNO JUSTICIA Y DERECHOS HUMANOS, 
PARA EL 2do TRIMESTRE DEL AÑO 2022.</t>
  </si>
  <si>
    <t>TINTA HP 60 NEGRA- ORIGINAL</t>
  </si>
  <si>
    <t>TINTA HP 60 MULTICOLOR- ORIGINAL</t>
  </si>
  <si>
    <t>TINTA PARA IMPRESORA EPSON N° 664. NEGRO- ORIGINAL</t>
  </si>
  <si>
    <t>TINTA PARA IMPRESORA EPSON N° 664. CIAN- ORIGINAL</t>
  </si>
  <si>
    <t>TINTA PARA IMPRESORA EPSON N° 664. MAGENTA.- ORIGINAL</t>
  </si>
  <si>
    <t>TINTA PARA IMPRESORA EPSON N° 664. YELLOW- ORIGINAL</t>
  </si>
  <si>
    <t>TONER MLT -D101S- NEGRO-ORIGINAL</t>
  </si>
  <si>
    <t>TONER P/HP W1105 A- NEGRO-ALTERNATIVO</t>
  </si>
  <si>
    <t>TONER P/HP N° 42A- NEGRO-ALTERNATIVO</t>
  </si>
  <si>
    <t>TONER P/HP N° 05A- NEGRO-ALTERNATIVO</t>
  </si>
  <si>
    <t>TONER P/HP N° 85A- NEGRO-ALTERNATIVO</t>
  </si>
  <si>
    <t>TONER P/HP N° 79A- NEGRO-ALTERNATIVO</t>
  </si>
  <si>
    <t>TONER P/HP N° 53A- NEGRO- ALTERNATIVO</t>
  </si>
  <si>
    <t>TONER P/HP M102W- N° 17A- NEGRO- ALTERNATIVO</t>
  </si>
  <si>
    <t>TONER TN 1060 BROTHER  NEGRO-ALTERNATIVO</t>
  </si>
  <si>
    <t>SI</t>
  </si>
  <si>
    <t>DETALLE TECNICO  de los Items:</t>
  </si>
  <si>
    <t>2.9.2</t>
  </si>
  <si>
    <t>LaserJet Pro P1005</t>
  </si>
  <si>
    <t>TONER P/HP 1005- NEGRO- ALTERNATIVO</t>
  </si>
  <si>
    <r>
      <rPr>
        <b/>
        <sz val="10"/>
        <rFont val="Arial"/>
        <family val="2"/>
      </rPr>
      <t>CARTUCHOS DE TINTA</t>
    </r>
    <r>
      <rPr>
        <sz val="10"/>
        <rFont val="Arial"/>
        <charset val="1"/>
      </rPr>
      <t>; CODIGO: 35A, USO: HEWLETT PACKARD</t>
    </r>
  </si>
  <si>
    <t>Laser 4250</t>
  </si>
  <si>
    <t>LaserJet P2015d</t>
  </si>
  <si>
    <t>LaserJet Pro M12W</t>
  </si>
  <si>
    <t xml:space="preserve"> Deskjet F4480</t>
  </si>
  <si>
    <t>DeskJet Ink 
Adventage
2675</t>
  </si>
  <si>
    <t>WORKCENTRE
3550</t>
  </si>
  <si>
    <t>TONER P/FOTOCOPIADORA XEROX WORKCENTRE 3550.-</t>
  </si>
  <si>
    <t>UTILES DE ESCRITORIO, OFICINA
Y ENSEÑANZA</t>
  </si>
  <si>
    <t>TONER P/FOTOCOPIADORA TOSHIBA E- STUDIO T-1640- NEGRO-ALTERNATIVO</t>
  </si>
  <si>
    <t>T-1640</t>
  </si>
  <si>
    <t>HL1110</t>
  </si>
  <si>
    <r>
      <t xml:space="preserve">a) LUGAR DE ENTREGA:  Dirección Prov. de Gestion Administrativa- sito en Ayacucho N° 502 (Edificio Ex I.P.P.S) 2do Piso - De 08 a 12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Libre de flete, acarreo y embalaje, como así también, de todo riesgo de pérdida o destrucción total o parcial, por causas ajenas a la Institución.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</si>
</sst>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_ &quot;$&quot;\ * #,##0.00_ ;_ &quot;$&quot;\ * \-#,##0.00_ ;_ &quot;$&quot;\ * &quot;-&quot;??_ ;_ @_ "/>
    <numFmt numFmtId="171" formatCode="_(&quot;$&quot;* #,##0.00_);_(&quot;$&quot;* \(#,##0.00\);_(&quot;$&quot;* &quot;-&quot;??_);_(@_)"/>
    <numFmt numFmtId="172" formatCode="&quot;$&quot;\ #,##0.00"/>
  </numFmts>
  <fonts count="4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sz val="10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4"/>
      <name val="Times New Roman"/>
      <family val="1"/>
      <charset val="1"/>
    </font>
    <font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b/>
      <u/>
      <sz val="11"/>
      <color rgb="FFFF0000"/>
      <name val="Calibri"/>
      <family val="2"/>
      <scheme val="minor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9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5" fontId="12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2" fillId="0" borderId="0"/>
    <xf numFmtId="171" fontId="12" fillId="0" borderId="0" applyFont="0" applyFill="0" applyBorder="0" applyAlignment="0" applyProtection="0"/>
  </cellStyleXfs>
  <cellXfs count="2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7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26" xfId="0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Fill="1"/>
    <xf numFmtId="166" fontId="0" fillId="0" borderId="0" xfId="0" applyNumberFormat="1"/>
    <xf numFmtId="0" fontId="11" fillId="0" borderId="19" xfId="0" applyFont="1" applyBorder="1" applyAlignment="1">
      <alignment horizontal="center" vertical="center"/>
    </xf>
    <xf numFmtId="0" fontId="0" fillId="3" borderId="21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left"/>
    </xf>
    <xf numFmtId="0" fontId="0" fillId="3" borderId="22" xfId="0" applyFill="1" applyBorder="1"/>
    <xf numFmtId="0" fontId="0" fillId="3" borderId="0" xfId="0" applyFill="1" applyBorder="1"/>
    <xf numFmtId="0" fontId="0" fillId="3" borderId="10" xfId="0" applyFill="1" applyBorder="1"/>
    <xf numFmtId="0" fontId="16" fillId="0" borderId="27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29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/>
    </xf>
    <xf numFmtId="166" fontId="16" fillId="0" borderId="42" xfId="3" applyNumberFormat="1" applyFont="1" applyBorder="1" applyAlignment="1" applyProtection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66" fontId="16" fillId="0" borderId="43" xfId="3" applyNumberFormat="1" applyFont="1" applyBorder="1" applyAlignment="1" applyProtection="1">
      <alignment horizontal="center" vertical="center"/>
    </xf>
    <xf numFmtId="166" fontId="18" fillId="3" borderId="34" xfId="0" applyNumberFormat="1" applyFont="1" applyFill="1" applyBorder="1" applyAlignment="1">
      <alignment horizontal="center" vertical="center"/>
    </xf>
    <xf numFmtId="49" fontId="6" fillId="4" borderId="1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 wrapText="1"/>
    </xf>
    <xf numFmtId="0" fontId="23" fillId="0" borderId="0" xfId="0" applyFont="1"/>
    <xf numFmtId="0" fontId="6" fillId="0" borderId="10" xfId="0" applyFont="1" applyBorder="1" applyAlignment="1">
      <alignment horizontal="right" vertical="center"/>
    </xf>
    <xf numFmtId="0" fontId="26" fillId="0" borderId="8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 indent="1"/>
    </xf>
    <xf numFmtId="0" fontId="26" fillId="3" borderId="0" xfId="0" applyFont="1" applyFill="1" applyBorder="1" applyAlignment="1">
      <alignment horizontal="left" vertical="center" wrapText="1" indent="1"/>
    </xf>
    <xf numFmtId="0" fontId="26" fillId="0" borderId="0" xfId="0" applyFont="1" applyFill="1" applyBorder="1" applyAlignment="1">
      <alignment horizontal="left" vertical="center" wrapText="1"/>
    </xf>
    <xf numFmtId="0" fontId="20" fillId="0" borderId="39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169" fontId="25" fillId="0" borderId="64" xfId="0" applyNumberFormat="1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right" vertical="center"/>
    </xf>
    <xf numFmtId="49" fontId="6" fillId="4" borderId="0" xfId="0" applyNumberFormat="1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 wrapText="1"/>
    </xf>
    <xf numFmtId="0" fontId="29" fillId="0" borderId="56" xfId="0" applyFont="1" applyBorder="1" applyAlignment="1">
      <alignment vertical="center" wrapText="1"/>
    </xf>
    <xf numFmtId="0" fontId="27" fillId="0" borderId="8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horizontal="left" vertical="center" wrapText="1"/>
    </xf>
    <xf numFmtId="0" fontId="27" fillId="0" borderId="77" xfId="0" applyFont="1" applyBorder="1" applyAlignment="1">
      <alignment horizontal="center" vertical="center"/>
    </xf>
    <xf numFmtId="0" fontId="27" fillId="0" borderId="72" xfId="0" applyFont="1" applyBorder="1" applyAlignment="1">
      <alignment horizontal="center" vertical="center"/>
    </xf>
    <xf numFmtId="0" fontId="27" fillId="0" borderId="64" xfId="0" applyFont="1" applyFill="1" applyBorder="1" applyAlignment="1">
      <alignment horizontal="center" vertical="center"/>
    </xf>
    <xf numFmtId="0" fontId="27" fillId="0" borderId="65" xfId="0" applyFont="1" applyFill="1" applyBorder="1" applyAlignment="1">
      <alignment horizontal="center" vertical="center"/>
    </xf>
    <xf numFmtId="0" fontId="27" fillId="0" borderId="81" xfId="0" applyFont="1" applyFill="1" applyBorder="1" applyAlignment="1">
      <alignment vertical="center" wrapText="1"/>
    </xf>
    <xf numFmtId="0" fontId="27" fillId="0" borderId="73" xfId="0" applyFont="1" applyFill="1" applyBorder="1" applyAlignment="1">
      <alignment vertical="center" wrapText="1"/>
    </xf>
    <xf numFmtId="0" fontId="27" fillId="0" borderId="81" xfId="0" applyFont="1" applyFill="1" applyBorder="1" applyAlignment="1">
      <alignment horizontal="center" vertical="center"/>
    </xf>
    <xf numFmtId="0" fontId="27" fillId="0" borderId="73" xfId="0" applyFont="1" applyFill="1" applyBorder="1" applyAlignment="1">
      <alignment horizontal="center" vertical="center"/>
    </xf>
    <xf numFmtId="166" fontId="27" fillId="0" borderId="81" xfId="1" applyNumberFormat="1" applyFont="1" applyFill="1" applyBorder="1" applyAlignment="1" applyProtection="1">
      <alignment horizontal="center" vertical="center" wrapText="1"/>
    </xf>
    <xf numFmtId="166" fontId="27" fillId="0" borderId="73" xfId="1" applyNumberFormat="1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vertical="center" wrapText="1"/>
    </xf>
    <xf numFmtId="0" fontId="27" fillId="0" borderId="5" xfId="0" applyFont="1" applyBorder="1" applyAlignment="1">
      <alignment horizontal="left"/>
    </xf>
    <xf numFmtId="0" fontId="27" fillId="0" borderId="0" xfId="0" applyFont="1" applyBorder="1"/>
    <xf numFmtId="0" fontId="27" fillId="0" borderId="6" xfId="0" applyFont="1" applyBorder="1"/>
    <xf numFmtId="0" fontId="27" fillId="0" borderId="5" xfId="0" applyFont="1" applyBorder="1"/>
    <xf numFmtId="0" fontId="31" fillId="0" borderId="73" xfId="0" applyFont="1" applyFill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0" fontId="29" fillId="0" borderId="0" xfId="0" applyFont="1" applyBorder="1" applyAlignment="1">
      <alignment horizontal="left"/>
    </xf>
    <xf numFmtId="0" fontId="0" fillId="0" borderId="54" xfId="0" applyFont="1" applyBorder="1" applyAlignment="1">
      <alignment horizontal="center"/>
    </xf>
    <xf numFmtId="0" fontId="0" fillId="3" borderId="54" xfId="0" applyFont="1" applyFill="1" applyBorder="1" applyAlignment="1">
      <alignment horizontal="center"/>
    </xf>
    <xf numFmtId="0" fontId="0" fillId="3" borderId="54" xfId="0" applyFont="1" applyFill="1" applyBorder="1"/>
    <xf numFmtId="0" fontId="0" fillId="0" borderId="54" xfId="0" applyFont="1" applyBorder="1"/>
    <xf numFmtId="0" fontId="36" fillId="0" borderId="54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170" fontId="0" fillId="0" borderId="54" xfId="1" applyNumberFormat="1" applyFont="1" applyBorder="1" applyAlignment="1">
      <alignment horizontal="center" vertical="center"/>
    </xf>
    <xf numFmtId="170" fontId="0" fillId="3" borderId="54" xfId="1" applyNumberFormat="1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/>
    </xf>
    <xf numFmtId="0" fontId="39" fillId="0" borderId="54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8" fillId="3" borderId="54" xfId="0" applyFont="1" applyFill="1" applyBorder="1" applyAlignment="1">
      <alignment horizontal="center" vertical="center" wrapText="1"/>
    </xf>
    <xf numFmtId="0" fontId="40" fillId="3" borderId="54" xfId="0" applyFont="1" applyFill="1" applyBorder="1" applyAlignment="1">
      <alignment horizontal="center" vertical="center" wrapText="1"/>
    </xf>
    <xf numFmtId="0" fontId="38" fillId="3" borderId="54" xfId="0" applyFont="1" applyFill="1" applyBorder="1" applyAlignment="1">
      <alignment horizontal="center"/>
    </xf>
    <xf numFmtId="0" fontId="38" fillId="0" borderId="57" xfId="0" applyFont="1" applyBorder="1" applyAlignment="1">
      <alignment horizontal="center"/>
    </xf>
    <xf numFmtId="0" fontId="37" fillId="0" borderId="17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169" fontId="13" fillId="0" borderId="0" xfId="0" applyNumberFormat="1" applyFont="1"/>
    <xf numFmtId="0" fontId="27" fillId="0" borderId="5" xfId="0" applyFont="1" applyBorder="1" applyAlignment="1">
      <alignment horizontal="center"/>
    </xf>
    <xf numFmtId="0" fontId="13" fillId="0" borderId="85" xfId="0" applyFont="1" applyBorder="1"/>
    <xf numFmtId="0" fontId="27" fillId="0" borderId="0" xfId="0" applyFont="1" applyBorder="1" applyAlignment="1">
      <alignment horizontal="left"/>
    </xf>
    <xf numFmtId="0" fontId="16" fillId="0" borderId="87" xfId="5" applyFont="1" applyBorder="1" applyAlignment="1">
      <alignment horizontal="center"/>
    </xf>
    <xf numFmtId="0" fontId="16" fillId="0" borderId="57" xfId="5" applyFont="1" applyBorder="1" applyAlignment="1">
      <alignment horizontal="center"/>
    </xf>
    <xf numFmtId="0" fontId="16" fillId="0" borderId="88" xfId="5" applyFont="1" applyBorder="1" applyAlignment="1">
      <alignment horizontal="center"/>
    </xf>
    <xf numFmtId="0" fontId="16" fillId="0" borderId="54" xfId="5" applyFont="1" applyBorder="1" applyAlignment="1">
      <alignment horizontal="center"/>
    </xf>
    <xf numFmtId="0" fontId="16" fillId="0" borderId="67" xfId="5" applyFont="1" applyBorder="1" applyAlignment="1">
      <alignment horizontal="center"/>
    </xf>
    <xf numFmtId="172" fontId="12" fillId="0" borderId="65" xfId="6" applyNumberFormat="1" applyFont="1" applyBorder="1"/>
    <xf numFmtId="172" fontId="12" fillId="0" borderId="65" xfId="5" applyNumberFormat="1" applyFont="1" applyBorder="1" applyAlignment="1"/>
    <xf numFmtId="0" fontId="13" fillId="0" borderId="0" xfId="0" applyFont="1" applyBorder="1"/>
    <xf numFmtId="0" fontId="27" fillId="0" borderId="85" xfId="0" applyFont="1" applyBorder="1" applyAlignment="1">
      <alignment horizontal="center"/>
    </xf>
    <xf numFmtId="0" fontId="29" fillId="0" borderId="95" xfId="0" applyFont="1" applyBorder="1" applyAlignment="1">
      <alignment horizontal="left"/>
    </xf>
    <xf numFmtId="0" fontId="27" fillId="0" borderId="88" xfId="0" applyFont="1" applyBorder="1" applyAlignment="1">
      <alignment horizontal="center"/>
    </xf>
    <xf numFmtId="0" fontId="29" fillId="0" borderId="0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25" fillId="3" borderId="65" xfId="0" applyFont="1" applyFill="1" applyBorder="1" applyAlignment="1">
      <alignment horizontal="center" vertical="center" wrapText="1"/>
    </xf>
    <xf numFmtId="169" fontId="25" fillId="3" borderId="64" xfId="0" applyNumberFormat="1" applyFont="1" applyFill="1" applyBorder="1" applyAlignment="1">
      <alignment horizontal="center" vertical="center" wrapText="1"/>
    </xf>
    <xf numFmtId="0" fontId="39" fillId="3" borderId="54" xfId="0" applyFont="1" applyFill="1" applyBorder="1" applyAlignment="1">
      <alignment horizontal="center" vertical="center" wrapText="1"/>
    </xf>
    <xf numFmtId="0" fontId="13" fillId="3" borderId="0" xfId="0" applyFont="1" applyFill="1"/>
    <xf numFmtId="0" fontId="25" fillId="3" borderId="64" xfId="0" applyFont="1" applyFill="1" applyBorder="1" applyAlignment="1">
      <alignment horizontal="center" vertical="center" wrapText="1"/>
    </xf>
    <xf numFmtId="0" fontId="12" fillId="3" borderId="0" xfId="0" applyFont="1" applyFill="1"/>
    <xf numFmtId="0" fontId="40" fillId="0" borderId="54" xfId="0" applyFont="1" applyBorder="1" applyAlignment="1">
      <alignment horizontal="center" wrapText="1"/>
    </xf>
    <xf numFmtId="0" fontId="38" fillId="3" borderId="54" xfId="0" applyFont="1" applyFill="1" applyBorder="1" applyAlignment="1">
      <alignment horizontal="center" vertical="center"/>
    </xf>
    <xf numFmtId="0" fontId="27" fillId="0" borderId="7" xfId="0" applyFont="1" applyBorder="1" applyAlignment="1">
      <alignment horizontal="left"/>
    </xf>
    <xf numFmtId="0" fontId="41" fillId="0" borderId="8" xfId="0" applyFont="1" applyBorder="1" applyAlignment="1">
      <alignment horizontal="left"/>
    </xf>
    <xf numFmtId="0" fontId="41" fillId="0" borderId="9" xfId="0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0" fontId="27" fillId="0" borderId="5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27" fillId="0" borderId="6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29" fillId="0" borderId="2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30" fillId="0" borderId="50" xfId="0" applyFont="1" applyBorder="1" applyAlignment="1">
      <alignment horizontal="left" vertical="center" wrapText="1"/>
    </xf>
    <xf numFmtId="0" fontId="30" fillId="0" borderId="70" xfId="0" applyFont="1" applyBorder="1" applyAlignment="1">
      <alignment horizontal="left" vertical="center" wrapText="1"/>
    </xf>
    <xf numFmtId="0" fontId="30" fillId="0" borderId="51" xfId="0" applyFont="1" applyBorder="1" applyAlignment="1">
      <alignment horizontal="left" vertical="center" wrapText="1"/>
    </xf>
    <xf numFmtId="0" fontId="30" fillId="0" borderId="60" xfId="0" applyFont="1" applyBorder="1" applyAlignment="1">
      <alignment horizontal="left" vertical="center" wrapText="1"/>
    </xf>
    <xf numFmtId="0" fontId="21" fillId="0" borderId="78" xfId="0" applyFont="1" applyFill="1" applyBorder="1" applyAlignment="1">
      <alignment horizontal="left" vertical="center"/>
    </xf>
    <xf numFmtId="0" fontId="21" fillId="0" borderId="53" xfId="0" applyFont="1" applyFill="1" applyBorder="1" applyAlignment="1">
      <alignment horizontal="left" vertical="center"/>
    </xf>
    <xf numFmtId="0" fontId="21" fillId="0" borderId="70" xfId="0" applyFont="1" applyFill="1" applyBorder="1" applyAlignment="1">
      <alignment horizontal="left" vertical="center"/>
    </xf>
    <xf numFmtId="0" fontId="21" fillId="0" borderId="62" xfId="0" applyFont="1" applyFill="1" applyBorder="1" applyAlignment="1">
      <alignment horizontal="left" vertical="center"/>
    </xf>
    <xf numFmtId="0" fontId="21" fillId="0" borderId="54" xfId="0" applyFont="1" applyFill="1" applyBorder="1" applyAlignment="1">
      <alignment horizontal="left" vertical="center"/>
    </xf>
    <xf numFmtId="0" fontId="21" fillId="0" borderId="60" xfId="0" applyFont="1" applyFill="1" applyBorder="1" applyAlignment="1">
      <alignment horizontal="left" vertical="center"/>
    </xf>
    <xf numFmtId="0" fontId="21" fillId="0" borderId="63" xfId="0" applyFont="1" applyFill="1" applyBorder="1" applyAlignment="1">
      <alignment horizontal="left" vertical="center"/>
    </xf>
    <xf numFmtId="0" fontId="21" fillId="0" borderId="55" xfId="0" applyFont="1" applyFill="1" applyBorder="1" applyAlignment="1">
      <alignment horizontal="left" vertical="center"/>
    </xf>
    <xf numFmtId="0" fontId="21" fillId="0" borderId="61" xfId="0" applyFont="1" applyFill="1" applyBorder="1" applyAlignment="1">
      <alignment horizontal="left" vertical="center"/>
    </xf>
    <xf numFmtId="0" fontId="30" fillId="0" borderId="52" xfId="0" applyFont="1" applyBorder="1" applyAlignment="1">
      <alignment horizontal="left" vertical="center" wrapText="1"/>
    </xf>
    <xf numFmtId="0" fontId="30" fillId="0" borderId="61" xfId="0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34" fillId="3" borderId="0" xfId="0" applyFont="1" applyFill="1" applyBorder="1" applyAlignment="1">
      <alignment horizontal="left" vertical="center" wrapText="1"/>
    </xf>
    <xf numFmtId="0" fontId="13" fillId="0" borderId="95" xfId="0" applyFont="1" applyFill="1" applyBorder="1" applyAlignment="1">
      <alignment horizontal="left" vertical="center" wrapText="1"/>
    </xf>
    <xf numFmtId="0" fontId="13" fillId="0" borderId="96" xfId="0" applyFont="1" applyFill="1" applyBorder="1" applyAlignment="1">
      <alignment horizontal="left" vertical="center" wrapText="1"/>
    </xf>
    <xf numFmtId="0" fontId="13" fillId="0" borderId="97" xfId="0" applyFont="1" applyFill="1" applyBorder="1" applyAlignment="1">
      <alignment horizontal="left" vertical="center" wrapText="1"/>
    </xf>
    <xf numFmtId="0" fontId="29" fillId="0" borderId="93" xfId="0" applyFont="1" applyBorder="1" applyAlignment="1">
      <alignment horizontal="left"/>
    </xf>
    <xf numFmtId="0" fontId="29" fillId="0" borderId="75" xfId="0" applyFont="1" applyBorder="1" applyAlignment="1">
      <alignment horizontal="left"/>
    </xf>
    <xf numFmtId="0" fontId="29" fillId="0" borderId="94" xfId="0" applyFont="1" applyBorder="1" applyAlignment="1">
      <alignment horizontal="left"/>
    </xf>
    <xf numFmtId="0" fontId="33" fillId="0" borderId="0" xfId="0" applyFont="1" applyBorder="1" applyAlignment="1">
      <alignment horizontal="center" vertical="center"/>
    </xf>
    <xf numFmtId="0" fontId="27" fillId="0" borderId="50" xfId="0" applyFont="1" applyFill="1" applyBorder="1" applyAlignment="1">
      <alignment horizontal="left" vertical="center" wrapText="1"/>
    </xf>
    <xf numFmtId="0" fontId="27" fillId="0" borderId="53" xfId="0" applyFont="1" applyFill="1" applyBorder="1" applyAlignment="1">
      <alignment horizontal="left" vertical="center" wrapText="1"/>
    </xf>
    <xf numFmtId="0" fontId="27" fillId="0" borderId="70" xfId="0" applyFont="1" applyFill="1" applyBorder="1" applyAlignment="1">
      <alignment horizontal="left" vertical="center" wrapText="1"/>
    </xf>
    <xf numFmtId="0" fontId="27" fillId="0" borderId="51" xfId="0" applyFont="1" applyFill="1" applyBorder="1" applyAlignment="1">
      <alignment horizontal="left" vertical="center" wrapText="1"/>
    </xf>
    <xf numFmtId="0" fontId="27" fillId="0" borderId="54" xfId="0" applyFont="1" applyFill="1" applyBorder="1" applyAlignment="1">
      <alignment horizontal="left" vertical="center" wrapText="1"/>
    </xf>
    <xf numFmtId="0" fontId="27" fillId="0" borderId="60" xfId="0" applyFont="1" applyFill="1" applyBorder="1" applyAlignment="1">
      <alignment horizontal="left" vertical="center" wrapText="1"/>
    </xf>
    <xf numFmtId="0" fontId="29" fillId="0" borderId="50" xfId="0" applyFont="1" applyBorder="1" applyAlignment="1">
      <alignment horizontal="left" vertical="center" wrapText="1"/>
    </xf>
    <xf numFmtId="0" fontId="29" fillId="0" borderId="71" xfId="0" applyFont="1" applyBorder="1" applyAlignment="1">
      <alignment horizontal="left" vertical="center" wrapText="1"/>
    </xf>
    <xf numFmtId="0" fontId="29" fillId="0" borderId="51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29" fillId="0" borderId="74" xfId="0" applyFont="1" applyBorder="1" applyAlignment="1">
      <alignment horizontal="left" vertical="center"/>
    </xf>
    <xf numFmtId="0" fontId="29" fillId="0" borderId="75" xfId="0" applyFont="1" applyBorder="1" applyAlignment="1">
      <alignment horizontal="left" vertical="center"/>
    </xf>
    <xf numFmtId="0" fontId="26" fillId="0" borderId="80" xfId="0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/>
    </xf>
    <xf numFmtId="0" fontId="6" fillId="0" borderId="5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27" fillId="0" borderId="52" xfId="0" applyFont="1" applyFill="1" applyBorder="1" applyAlignment="1">
      <alignment horizontal="left" vertical="center" wrapText="1"/>
    </xf>
    <xf numFmtId="0" fontId="27" fillId="0" borderId="55" xfId="0" applyFont="1" applyFill="1" applyBorder="1" applyAlignment="1">
      <alignment horizontal="left" vertical="center" wrapText="1"/>
    </xf>
    <xf numFmtId="0" fontId="27" fillId="0" borderId="61" xfId="0" applyFont="1" applyFill="1" applyBorder="1" applyAlignment="1">
      <alignment horizontal="left" vertical="center" wrapText="1"/>
    </xf>
    <xf numFmtId="167" fontId="19" fillId="0" borderId="14" xfId="0" applyNumberFormat="1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79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8" fillId="0" borderId="80" xfId="0" applyFont="1" applyBorder="1" applyAlignment="1">
      <alignment horizontal="center" vertical="center" wrapText="1"/>
    </xf>
    <xf numFmtId="0" fontId="28" fillId="0" borderId="69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left" vertical="center"/>
    </xf>
    <xf numFmtId="0" fontId="16" fillId="0" borderId="47" xfId="0" applyFont="1" applyBorder="1" applyAlignment="1">
      <alignment horizontal="left" vertical="center"/>
    </xf>
    <xf numFmtId="0" fontId="7" fillId="0" borderId="16" xfId="0" applyFont="1" applyBorder="1" applyAlignment="1">
      <alignment vertical="center" wrapText="1"/>
    </xf>
    <xf numFmtId="0" fontId="7" fillId="0" borderId="35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34" xfId="0" applyFont="1" applyFill="1" applyBorder="1" applyAlignment="1">
      <alignment horizontal="left" vertical="center" wrapText="1" indent="1"/>
    </xf>
    <xf numFmtId="0" fontId="9" fillId="0" borderId="20" xfId="0" applyFont="1" applyFill="1" applyBorder="1" applyAlignment="1">
      <alignment horizontal="left" vertical="center" wrapText="1" indent="1"/>
    </xf>
    <xf numFmtId="0" fontId="16" fillId="0" borderId="48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 wrapText="1"/>
    </xf>
    <xf numFmtId="0" fontId="0" fillId="0" borderId="18" xfId="0" applyBorder="1"/>
    <xf numFmtId="0" fontId="11" fillId="0" borderId="1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wrapText="1"/>
    </xf>
    <xf numFmtId="0" fontId="11" fillId="0" borderId="89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90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42" fillId="0" borderId="83" xfId="0" applyFont="1" applyBorder="1" applyAlignment="1">
      <alignment horizontal="center" vertical="center" wrapText="1"/>
    </xf>
    <xf numFmtId="0" fontId="42" fillId="0" borderId="84" xfId="0" applyFont="1" applyBorder="1" applyAlignment="1">
      <alignment horizontal="center" vertical="center" wrapText="1"/>
    </xf>
    <xf numFmtId="0" fontId="9" fillId="0" borderId="8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0" fillId="0" borderId="16" xfId="0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9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left"/>
    </xf>
    <xf numFmtId="0" fontId="27" fillId="0" borderId="86" xfId="0" applyFont="1" applyFill="1" applyBorder="1" applyAlignment="1">
      <alignment horizontal="left" vertical="center" wrapText="1"/>
    </xf>
    <xf numFmtId="0" fontId="27" fillId="0" borderId="36" xfId="0" applyFont="1" applyFill="1" applyBorder="1" applyAlignment="1">
      <alignment horizontal="left" vertical="center" wrapText="1"/>
    </xf>
    <xf numFmtId="0" fontId="27" fillId="0" borderId="37" xfId="0" applyFont="1" applyFill="1" applyBorder="1" applyAlignment="1">
      <alignment horizontal="left" vertical="center" wrapText="1"/>
    </xf>
    <xf numFmtId="0" fontId="9" fillId="3" borderId="19" xfId="0" applyFont="1" applyFill="1" applyBorder="1"/>
    <xf numFmtId="0" fontId="9" fillId="3" borderId="20" xfId="0" applyFont="1" applyFill="1" applyBorder="1" applyAlignment="1">
      <alignment horizontal="left" vertical="center" wrapText="1" indent="1"/>
    </xf>
  </cellXfs>
  <cellStyles count="7">
    <cellStyle name="Encabezado 1" xfId="2"/>
    <cellStyle name="Moneda" xfId="1" builtinId="4"/>
    <cellStyle name="Moneda 2" xfId="6"/>
    <cellStyle name="Moneda_AUTORIZACION Y NOTA DE PEDIDO" xfId="3"/>
    <cellStyle name="Neutral 1" xfId="4"/>
    <cellStyle name="Normal" xfId="0" builtinId="0"/>
    <cellStyle name="Normal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topLeftCell="A25" workbookViewId="0">
      <selection activeCell="H56" sqref="H56"/>
    </sheetView>
  </sheetViews>
  <sheetFormatPr baseColWidth="10" defaultColWidth="11" defaultRowHeight="12.75" x14ac:dyDescent="0.2"/>
  <cols>
    <col min="1" max="1" width="4.5703125" style="12" customWidth="1"/>
    <col min="2" max="2" width="14" style="12" customWidth="1"/>
    <col min="3" max="3" width="14.7109375" style="12" customWidth="1"/>
    <col min="4" max="4" width="8.42578125" style="12" customWidth="1"/>
    <col min="5" max="5" width="69" style="12" customWidth="1"/>
    <col min="6" max="6" width="11.85546875" style="12" customWidth="1"/>
    <col min="7" max="7" width="9.140625" style="12" bestFit="1" customWidth="1"/>
    <col min="8" max="8" width="13.85546875" style="12" customWidth="1"/>
    <col min="9" max="9" width="14.5703125" style="12" customWidth="1"/>
    <col min="10" max="10" width="14.28515625" style="12" customWidth="1"/>
    <col min="11" max="11" width="13.140625" style="12" customWidth="1"/>
    <col min="12" max="16384" width="11" style="12"/>
  </cols>
  <sheetData>
    <row r="1" spans="1:11" ht="13.5" thickBot="1" x14ac:dyDescent="0.25"/>
    <row r="2" spans="1:11" ht="24" customHeight="1" thickBot="1" x14ac:dyDescent="0.4">
      <c r="A2" s="139" t="s">
        <v>0</v>
      </c>
      <c r="B2" s="140"/>
      <c r="C2" s="140"/>
      <c r="D2" s="140"/>
      <c r="E2" s="140"/>
      <c r="F2" s="140"/>
      <c r="G2" s="140"/>
      <c r="H2" s="140"/>
      <c r="I2" s="141"/>
    </row>
    <row r="3" spans="1:11" ht="13.5" thickBot="1" x14ac:dyDescent="0.25"/>
    <row r="4" spans="1:11" ht="18" customHeight="1" x14ac:dyDescent="0.2">
      <c r="A4" s="145" t="s">
        <v>1</v>
      </c>
      <c r="B4" s="146"/>
      <c r="C4" s="149" t="s">
        <v>57</v>
      </c>
      <c r="D4" s="150"/>
      <c r="E4" s="150"/>
      <c r="F4" s="150"/>
      <c r="G4" s="150"/>
      <c r="H4" s="150"/>
      <c r="I4" s="151"/>
    </row>
    <row r="5" spans="1:11" ht="18" customHeight="1" x14ac:dyDescent="0.2">
      <c r="A5" s="147" t="s">
        <v>2</v>
      </c>
      <c r="B5" s="148"/>
      <c r="C5" s="152" t="s">
        <v>58</v>
      </c>
      <c r="D5" s="153"/>
      <c r="E5" s="153"/>
      <c r="F5" s="153"/>
      <c r="G5" s="153"/>
      <c r="H5" s="153"/>
      <c r="I5" s="154"/>
    </row>
    <row r="6" spans="1:11" ht="16.5" customHeight="1" x14ac:dyDescent="0.2">
      <c r="A6" s="147" t="s">
        <v>3</v>
      </c>
      <c r="B6" s="148"/>
      <c r="C6" s="152">
        <v>2022</v>
      </c>
      <c r="D6" s="153"/>
      <c r="E6" s="153"/>
      <c r="F6" s="153"/>
      <c r="G6" s="153"/>
      <c r="H6" s="153"/>
      <c r="I6" s="154"/>
    </row>
    <row r="7" spans="1:11" ht="16.5" customHeight="1" thickBot="1" x14ac:dyDescent="0.25">
      <c r="A7" s="158" t="s">
        <v>4</v>
      </c>
      <c r="B7" s="159"/>
      <c r="C7" s="155" t="s">
        <v>64</v>
      </c>
      <c r="D7" s="156"/>
      <c r="E7" s="156"/>
      <c r="F7" s="156"/>
      <c r="G7" s="156"/>
      <c r="H7" s="156"/>
      <c r="I7" s="157"/>
    </row>
    <row r="8" spans="1:11" ht="13.5" thickBot="1" x14ac:dyDescent="0.25">
      <c r="A8" s="41"/>
      <c r="B8" s="39"/>
      <c r="C8" s="40"/>
      <c r="D8" s="39"/>
      <c r="E8" s="39"/>
      <c r="F8" s="39"/>
      <c r="G8" s="40"/>
      <c r="H8" s="39"/>
      <c r="I8" s="41"/>
    </row>
    <row r="9" spans="1:11" ht="39" thickBot="1" x14ac:dyDescent="0.25">
      <c r="A9" s="50" t="s">
        <v>5</v>
      </c>
      <c r="B9" s="49" t="s">
        <v>6</v>
      </c>
      <c r="C9" s="47" t="s">
        <v>7</v>
      </c>
      <c r="D9" s="53" t="s">
        <v>8</v>
      </c>
      <c r="E9" s="50" t="s">
        <v>9</v>
      </c>
      <c r="F9" s="55" t="s">
        <v>10</v>
      </c>
      <c r="G9" s="56" t="s">
        <v>11</v>
      </c>
      <c r="H9" s="48" t="s">
        <v>12</v>
      </c>
      <c r="I9" s="92" t="s">
        <v>13</v>
      </c>
      <c r="J9" s="101" t="s">
        <v>117</v>
      </c>
      <c r="K9" s="100" t="s">
        <v>118</v>
      </c>
    </row>
    <row r="10" spans="1:11" ht="24.95" customHeight="1" x14ac:dyDescent="0.25">
      <c r="A10" s="51">
        <v>1</v>
      </c>
      <c r="B10" s="84" t="s">
        <v>68</v>
      </c>
      <c r="C10" s="84" t="s">
        <v>86</v>
      </c>
      <c r="D10" s="84" t="s">
        <v>162</v>
      </c>
      <c r="E10" s="86" t="s">
        <v>87</v>
      </c>
      <c r="F10" s="88" t="s">
        <v>56</v>
      </c>
      <c r="G10" s="88">
        <v>5</v>
      </c>
      <c r="H10" s="90">
        <v>10000</v>
      </c>
      <c r="I10" s="54">
        <f>G10*H10</f>
        <v>50000</v>
      </c>
      <c r="J10" s="99" t="s">
        <v>104</v>
      </c>
      <c r="K10" s="99" t="s">
        <v>105</v>
      </c>
    </row>
    <row r="11" spans="1:11" ht="24.95" customHeight="1" x14ac:dyDescent="0.25">
      <c r="A11" s="52">
        <v>2</v>
      </c>
      <c r="B11" s="84" t="s">
        <v>69</v>
      </c>
      <c r="C11" s="84" t="s">
        <v>86</v>
      </c>
      <c r="D11" s="84" t="s">
        <v>162</v>
      </c>
      <c r="E11" s="87" t="s">
        <v>88</v>
      </c>
      <c r="F11" s="88" t="s">
        <v>56</v>
      </c>
      <c r="G11" s="88">
        <v>2</v>
      </c>
      <c r="H11" s="90">
        <v>5000</v>
      </c>
      <c r="I11" s="54">
        <f t="shared" ref="I11:I29" si="0">G11*H11</f>
        <v>10000</v>
      </c>
      <c r="J11" s="94" t="s">
        <v>106</v>
      </c>
      <c r="K11" s="94" t="s">
        <v>107</v>
      </c>
    </row>
    <row r="12" spans="1:11" ht="24.95" customHeight="1" x14ac:dyDescent="0.25">
      <c r="A12" s="52">
        <v>3</v>
      </c>
      <c r="B12" s="85" t="s">
        <v>69</v>
      </c>
      <c r="C12" s="85" t="s">
        <v>86</v>
      </c>
      <c r="D12" s="84" t="s">
        <v>162</v>
      </c>
      <c r="E12" s="86" t="s">
        <v>88</v>
      </c>
      <c r="F12" s="88" t="s">
        <v>56</v>
      </c>
      <c r="G12" s="88">
        <v>2</v>
      </c>
      <c r="H12" s="90">
        <v>6000</v>
      </c>
      <c r="I12" s="54">
        <f t="shared" si="0"/>
        <v>12000</v>
      </c>
      <c r="J12" s="94" t="s">
        <v>106</v>
      </c>
      <c r="K12" s="94" t="s">
        <v>169</v>
      </c>
    </row>
    <row r="13" spans="1:11" ht="24.95" customHeight="1" x14ac:dyDescent="0.25">
      <c r="A13" s="51">
        <v>4</v>
      </c>
      <c r="B13" s="84" t="s">
        <v>70</v>
      </c>
      <c r="C13" s="84" t="s">
        <v>86</v>
      </c>
      <c r="D13" s="84" t="s">
        <v>162</v>
      </c>
      <c r="E13" s="87" t="s">
        <v>89</v>
      </c>
      <c r="F13" s="88" t="s">
        <v>56</v>
      </c>
      <c r="G13" s="88">
        <v>2</v>
      </c>
      <c r="H13" s="90">
        <v>2000</v>
      </c>
      <c r="I13" s="54">
        <f t="shared" si="0"/>
        <v>4000</v>
      </c>
      <c r="J13" s="93" t="s">
        <v>108</v>
      </c>
      <c r="K13" s="93" t="s">
        <v>109</v>
      </c>
    </row>
    <row r="14" spans="1:11" ht="24.95" customHeight="1" x14ac:dyDescent="0.25">
      <c r="A14" s="52">
        <v>5</v>
      </c>
      <c r="B14" s="84" t="s">
        <v>71</v>
      </c>
      <c r="C14" s="84" t="s">
        <v>86</v>
      </c>
      <c r="D14" s="84" t="s">
        <v>162</v>
      </c>
      <c r="E14" s="87" t="s">
        <v>90</v>
      </c>
      <c r="F14" s="88" t="s">
        <v>56</v>
      </c>
      <c r="G14" s="88">
        <v>2</v>
      </c>
      <c r="H14" s="90">
        <v>1500</v>
      </c>
      <c r="I14" s="54">
        <f t="shared" si="0"/>
        <v>3000</v>
      </c>
      <c r="J14" s="93" t="s">
        <v>108</v>
      </c>
      <c r="K14" s="93" t="s">
        <v>109</v>
      </c>
    </row>
    <row r="15" spans="1:11" ht="24.95" customHeight="1" x14ac:dyDescent="0.25">
      <c r="A15" s="52">
        <v>6</v>
      </c>
      <c r="B15" s="84" t="s">
        <v>72</v>
      </c>
      <c r="C15" s="84" t="s">
        <v>86</v>
      </c>
      <c r="D15" s="84" t="s">
        <v>162</v>
      </c>
      <c r="E15" s="87" t="s">
        <v>91</v>
      </c>
      <c r="F15" s="88" t="s">
        <v>56</v>
      </c>
      <c r="G15" s="88">
        <v>2</v>
      </c>
      <c r="H15" s="90">
        <v>1500</v>
      </c>
      <c r="I15" s="54">
        <f t="shared" si="0"/>
        <v>3000</v>
      </c>
      <c r="J15" s="93" t="s">
        <v>108</v>
      </c>
      <c r="K15" s="93" t="s">
        <v>109</v>
      </c>
    </row>
    <row r="16" spans="1:11" ht="24.95" customHeight="1" x14ac:dyDescent="0.25">
      <c r="A16" s="51">
        <v>7</v>
      </c>
      <c r="B16" s="84" t="s">
        <v>73</v>
      </c>
      <c r="C16" s="84" t="s">
        <v>86</v>
      </c>
      <c r="D16" s="84" t="s">
        <v>162</v>
      </c>
      <c r="E16" s="87" t="s">
        <v>92</v>
      </c>
      <c r="F16" s="88" t="s">
        <v>56</v>
      </c>
      <c r="G16" s="88">
        <v>2</v>
      </c>
      <c r="H16" s="90">
        <v>1500</v>
      </c>
      <c r="I16" s="54">
        <f t="shared" si="0"/>
        <v>3000</v>
      </c>
      <c r="J16" s="93" t="s">
        <v>108</v>
      </c>
      <c r="K16" s="93" t="s">
        <v>109</v>
      </c>
    </row>
    <row r="17" spans="1:11" ht="24.95" customHeight="1" x14ac:dyDescent="0.25">
      <c r="A17" s="52">
        <v>8</v>
      </c>
      <c r="B17" s="84" t="s">
        <v>74</v>
      </c>
      <c r="C17" s="84" t="s">
        <v>86</v>
      </c>
      <c r="D17" s="84" t="s">
        <v>162</v>
      </c>
      <c r="E17" s="87" t="s">
        <v>93</v>
      </c>
      <c r="F17" s="88" t="s">
        <v>56</v>
      </c>
      <c r="G17" s="88">
        <v>26</v>
      </c>
      <c r="H17" s="90">
        <v>3000</v>
      </c>
      <c r="I17" s="54">
        <f t="shared" si="0"/>
        <v>78000</v>
      </c>
      <c r="J17" s="94" t="s">
        <v>106</v>
      </c>
      <c r="K17" s="95" t="s">
        <v>110</v>
      </c>
    </row>
    <row r="18" spans="1:11" s="122" customFormat="1" ht="24.95" customHeight="1" x14ac:dyDescent="0.2">
      <c r="A18" s="119">
        <v>9</v>
      </c>
      <c r="B18" s="85" t="s">
        <v>75</v>
      </c>
      <c r="C18" s="85" t="s">
        <v>86</v>
      </c>
      <c r="D18" s="85" t="s">
        <v>162</v>
      </c>
      <c r="E18" s="124" t="s">
        <v>165</v>
      </c>
      <c r="F18" s="89" t="s">
        <v>56</v>
      </c>
      <c r="G18" s="89">
        <v>1</v>
      </c>
      <c r="H18" s="91">
        <v>3000</v>
      </c>
      <c r="I18" s="120">
        <f t="shared" si="0"/>
        <v>3000</v>
      </c>
      <c r="J18" s="121" t="s">
        <v>106</v>
      </c>
      <c r="K18" s="96" t="s">
        <v>163</v>
      </c>
    </row>
    <row r="19" spans="1:11" ht="24.95" customHeight="1" x14ac:dyDescent="0.25">
      <c r="A19" s="51">
        <v>10</v>
      </c>
      <c r="B19" s="84" t="s">
        <v>76</v>
      </c>
      <c r="C19" s="84" t="s">
        <v>86</v>
      </c>
      <c r="D19" s="84" t="s">
        <v>162</v>
      </c>
      <c r="E19" s="87" t="s">
        <v>94</v>
      </c>
      <c r="F19" s="88" t="s">
        <v>56</v>
      </c>
      <c r="G19" s="88">
        <v>15</v>
      </c>
      <c r="H19" s="90">
        <v>3000</v>
      </c>
      <c r="I19" s="54">
        <f t="shared" si="0"/>
        <v>45000</v>
      </c>
      <c r="J19" s="94" t="s">
        <v>106</v>
      </c>
      <c r="K19" s="95" t="s">
        <v>111</v>
      </c>
    </row>
    <row r="20" spans="1:11" s="122" customFormat="1" ht="24.95" customHeight="1" x14ac:dyDescent="0.25">
      <c r="A20" s="119">
        <v>11</v>
      </c>
      <c r="B20" s="85" t="s">
        <v>77</v>
      </c>
      <c r="C20" s="85" t="s">
        <v>86</v>
      </c>
      <c r="D20" s="85" t="s">
        <v>162</v>
      </c>
      <c r="E20" s="86" t="s">
        <v>95</v>
      </c>
      <c r="F20" s="89" t="s">
        <v>56</v>
      </c>
      <c r="G20" s="89">
        <v>20</v>
      </c>
      <c r="H20" s="91">
        <v>2000</v>
      </c>
      <c r="I20" s="120">
        <f t="shared" si="0"/>
        <v>40000</v>
      </c>
      <c r="J20" s="121" t="s">
        <v>106</v>
      </c>
      <c r="K20" s="96" t="s">
        <v>167</v>
      </c>
    </row>
    <row r="21" spans="1:11" s="122" customFormat="1" ht="24.95" customHeight="1" x14ac:dyDescent="0.25">
      <c r="A21" s="119">
        <v>12</v>
      </c>
      <c r="B21" s="85" t="s">
        <v>78</v>
      </c>
      <c r="C21" s="85" t="s">
        <v>86</v>
      </c>
      <c r="D21" s="85" t="s">
        <v>162</v>
      </c>
      <c r="E21" s="86" t="s">
        <v>96</v>
      </c>
      <c r="F21" s="89" t="s">
        <v>56</v>
      </c>
      <c r="G21" s="89">
        <v>40</v>
      </c>
      <c r="H21" s="91">
        <v>1300</v>
      </c>
      <c r="I21" s="120">
        <f t="shared" si="0"/>
        <v>52000</v>
      </c>
      <c r="J21" s="121" t="s">
        <v>106</v>
      </c>
      <c r="K21" s="96" t="s">
        <v>168</v>
      </c>
    </row>
    <row r="22" spans="1:11" s="122" customFormat="1" ht="24.95" customHeight="1" x14ac:dyDescent="0.25">
      <c r="A22" s="123">
        <v>13</v>
      </c>
      <c r="B22" s="85" t="s">
        <v>79</v>
      </c>
      <c r="C22" s="85" t="s">
        <v>86</v>
      </c>
      <c r="D22" s="85" t="s">
        <v>162</v>
      </c>
      <c r="E22" s="86" t="s">
        <v>97</v>
      </c>
      <c r="F22" s="89" t="s">
        <v>56</v>
      </c>
      <c r="G22" s="89">
        <v>35</v>
      </c>
      <c r="H22" s="91">
        <v>1500</v>
      </c>
      <c r="I22" s="120">
        <f t="shared" si="0"/>
        <v>52500</v>
      </c>
      <c r="J22" s="121" t="s">
        <v>106</v>
      </c>
      <c r="K22" s="98" t="s">
        <v>112</v>
      </c>
    </row>
    <row r="23" spans="1:11" s="122" customFormat="1" ht="24.95" customHeight="1" x14ac:dyDescent="0.25">
      <c r="A23" s="119">
        <v>14</v>
      </c>
      <c r="B23" s="85" t="s">
        <v>80</v>
      </c>
      <c r="C23" s="85" t="s">
        <v>86</v>
      </c>
      <c r="D23" s="85" t="s">
        <v>162</v>
      </c>
      <c r="E23" s="86" t="s">
        <v>98</v>
      </c>
      <c r="F23" s="89" t="s">
        <v>56</v>
      </c>
      <c r="G23" s="89">
        <v>50</v>
      </c>
      <c r="H23" s="91">
        <v>1500</v>
      </c>
      <c r="I23" s="120">
        <f t="shared" si="0"/>
        <v>75000</v>
      </c>
      <c r="J23" s="121" t="s">
        <v>106</v>
      </c>
      <c r="K23" s="97" t="s">
        <v>113</v>
      </c>
    </row>
    <row r="24" spans="1:11" s="122" customFormat="1" ht="24.95" customHeight="1" x14ac:dyDescent="0.25">
      <c r="A24" s="119">
        <v>15</v>
      </c>
      <c r="B24" s="85" t="s">
        <v>81</v>
      </c>
      <c r="C24" s="85" t="s">
        <v>86</v>
      </c>
      <c r="D24" s="85" t="s">
        <v>162</v>
      </c>
      <c r="E24" s="86" t="s">
        <v>99</v>
      </c>
      <c r="F24" s="89" t="s">
        <v>56</v>
      </c>
      <c r="G24" s="89">
        <v>8</v>
      </c>
      <c r="H24" s="91">
        <v>3000</v>
      </c>
      <c r="I24" s="120">
        <f t="shared" si="0"/>
        <v>24000</v>
      </c>
      <c r="J24" s="121" t="s">
        <v>106</v>
      </c>
      <c r="K24" s="96" t="s">
        <v>166</v>
      </c>
    </row>
    <row r="25" spans="1:11" ht="39.75" customHeight="1" x14ac:dyDescent="0.25">
      <c r="A25" s="51">
        <v>16</v>
      </c>
      <c r="B25" s="84" t="s">
        <v>82</v>
      </c>
      <c r="C25" s="84" t="s">
        <v>86</v>
      </c>
      <c r="D25" s="84" t="s">
        <v>162</v>
      </c>
      <c r="E25" s="87" t="s">
        <v>100</v>
      </c>
      <c r="F25" s="88" t="s">
        <v>56</v>
      </c>
      <c r="G25" s="88">
        <v>17</v>
      </c>
      <c r="H25" s="90">
        <v>1500</v>
      </c>
      <c r="I25" s="54">
        <f t="shared" si="0"/>
        <v>25500</v>
      </c>
      <c r="J25" s="94" t="s">
        <v>106</v>
      </c>
      <c r="K25" s="125" t="s">
        <v>170</v>
      </c>
    </row>
    <row r="26" spans="1:11" ht="43.5" customHeight="1" x14ac:dyDescent="0.25">
      <c r="A26" s="52">
        <v>17</v>
      </c>
      <c r="B26" s="85" t="s">
        <v>82</v>
      </c>
      <c r="C26" s="85" t="s">
        <v>86</v>
      </c>
      <c r="D26" s="84" t="s">
        <v>162</v>
      </c>
      <c r="E26" s="86" t="s">
        <v>100</v>
      </c>
      <c r="F26" s="88" t="s">
        <v>56</v>
      </c>
      <c r="G26" s="88">
        <v>8</v>
      </c>
      <c r="H26" s="90">
        <v>2000</v>
      </c>
      <c r="I26" s="54">
        <f t="shared" si="0"/>
        <v>16000</v>
      </c>
      <c r="J26" s="94" t="s">
        <v>106</v>
      </c>
      <c r="K26" s="125" t="s">
        <v>170</v>
      </c>
    </row>
    <row r="27" spans="1:11" ht="24.95" customHeight="1" x14ac:dyDescent="0.25">
      <c r="A27" s="52">
        <v>18</v>
      </c>
      <c r="B27" s="84" t="s">
        <v>83</v>
      </c>
      <c r="C27" s="84" t="s">
        <v>86</v>
      </c>
      <c r="D27" s="84" t="s">
        <v>162</v>
      </c>
      <c r="E27" s="87" t="s">
        <v>101</v>
      </c>
      <c r="F27" s="88" t="s">
        <v>56</v>
      </c>
      <c r="G27" s="88">
        <v>3</v>
      </c>
      <c r="H27" s="90">
        <v>1500</v>
      </c>
      <c r="I27" s="54">
        <f t="shared" si="0"/>
        <v>4500</v>
      </c>
      <c r="J27" s="93" t="s">
        <v>114</v>
      </c>
      <c r="K27" s="93" t="s">
        <v>175</v>
      </c>
    </row>
    <row r="28" spans="1:11" ht="24.95" customHeight="1" x14ac:dyDescent="0.25">
      <c r="A28" s="51">
        <v>19</v>
      </c>
      <c r="B28" s="84" t="s">
        <v>84</v>
      </c>
      <c r="C28" s="84" t="s">
        <v>86</v>
      </c>
      <c r="D28" s="84" t="s">
        <v>162</v>
      </c>
      <c r="E28" s="87" t="s">
        <v>102</v>
      </c>
      <c r="F28" s="88" t="s">
        <v>56</v>
      </c>
      <c r="G28" s="88">
        <v>23</v>
      </c>
      <c r="H28" s="90">
        <v>1000</v>
      </c>
      <c r="I28" s="54">
        <f t="shared" si="0"/>
        <v>23000</v>
      </c>
      <c r="J28" s="93" t="s">
        <v>115</v>
      </c>
      <c r="K28" s="93" t="s">
        <v>176</v>
      </c>
    </row>
    <row r="29" spans="1:11" ht="24.95" customHeight="1" x14ac:dyDescent="0.25">
      <c r="A29" s="52">
        <v>20</v>
      </c>
      <c r="B29" s="85" t="s">
        <v>85</v>
      </c>
      <c r="C29" s="85" t="s">
        <v>86</v>
      </c>
      <c r="D29" s="84" t="s">
        <v>162</v>
      </c>
      <c r="E29" s="86" t="s">
        <v>103</v>
      </c>
      <c r="F29" s="89" t="s">
        <v>56</v>
      </c>
      <c r="G29" s="89">
        <v>3</v>
      </c>
      <c r="H29" s="91">
        <v>2500</v>
      </c>
      <c r="I29" s="54">
        <f t="shared" si="0"/>
        <v>7500</v>
      </c>
      <c r="J29" s="126" t="s">
        <v>116</v>
      </c>
      <c r="K29" s="96" t="s">
        <v>171</v>
      </c>
    </row>
    <row r="31" spans="1:11" ht="13.5" thickBot="1" x14ac:dyDescent="0.25">
      <c r="I31" s="102"/>
    </row>
    <row r="32" spans="1:11" ht="15" x14ac:dyDescent="0.25">
      <c r="B32" s="142" t="s">
        <v>63</v>
      </c>
      <c r="C32" s="143"/>
      <c r="D32" s="143"/>
      <c r="E32" s="144"/>
    </row>
    <row r="33" spans="2:6" ht="15" x14ac:dyDescent="0.25">
      <c r="B33" s="103" t="s">
        <v>120</v>
      </c>
      <c r="C33" s="105" t="s">
        <v>151</v>
      </c>
      <c r="D33" s="83"/>
      <c r="E33" s="83"/>
      <c r="F33" s="104"/>
    </row>
    <row r="34" spans="2:6" ht="15" x14ac:dyDescent="0.25">
      <c r="B34" s="103" t="s">
        <v>121</v>
      </c>
      <c r="C34" s="160" t="s">
        <v>145</v>
      </c>
      <c r="D34" s="160"/>
      <c r="E34" s="160"/>
      <c r="F34" s="104"/>
    </row>
    <row r="35" spans="2:6" ht="15" x14ac:dyDescent="0.25">
      <c r="B35" s="103" t="s">
        <v>122</v>
      </c>
      <c r="C35" s="160" t="s">
        <v>146</v>
      </c>
      <c r="D35" s="160"/>
      <c r="E35" s="160"/>
      <c r="F35" s="104"/>
    </row>
    <row r="36" spans="2:6" ht="15" x14ac:dyDescent="0.25">
      <c r="B36" s="103" t="s">
        <v>123</v>
      </c>
      <c r="C36" s="160" t="s">
        <v>147</v>
      </c>
      <c r="D36" s="160"/>
      <c r="E36" s="160"/>
      <c r="F36" s="104"/>
    </row>
    <row r="37" spans="2:6" ht="15" x14ac:dyDescent="0.25">
      <c r="B37" s="103" t="s">
        <v>124</v>
      </c>
      <c r="C37" s="160" t="s">
        <v>148</v>
      </c>
      <c r="D37" s="160"/>
      <c r="E37" s="160"/>
      <c r="F37" s="104"/>
    </row>
    <row r="38" spans="2:6" ht="15" x14ac:dyDescent="0.25">
      <c r="B38" s="103" t="s">
        <v>119</v>
      </c>
      <c r="C38" s="160" t="s">
        <v>149</v>
      </c>
      <c r="D38" s="160"/>
      <c r="E38" s="160"/>
      <c r="F38" s="104"/>
    </row>
    <row r="39" spans="2:6" ht="15" x14ac:dyDescent="0.25">
      <c r="B39" s="103" t="s">
        <v>125</v>
      </c>
      <c r="C39" s="160" t="s">
        <v>150</v>
      </c>
      <c r="D39" s="160"/>
      <c r="E39" s="160"/>
      <c r="F39" s="104"/>
    </row>
    <row r="40" spans="2:6" ht="15" x14ac:dyDescent="0.25">
      <c r="B40" s="103" t="s">
        <v>126</v>
      </c>
      <c r="C40" s="160" t="s">
        <v>152</v>
      </c>
      <c r="D40" s="160"/>
      <c r="E40" s="160"/>
      <c r="F40" s="104"/>
    </row>
    <row r="41" spans="2:6" ht="15" x14ac:dyDescent="0.25">
      <c r="B41" s="103" t="s">
        <v>127</v>
      </c>
      <c r="C41" s="160" t="s">
        <v>164</v>
      </c>
      <c r="D41" s="160"/>
      <c r="E41" s="160"/>
      <c r="F41" s="104"/>
    </row>
    <row r="42" spans="2:6" ht="15" x14ac:dyDescent="0.25">
      <c r="B42" s="103" t="s">
        <v>128</v>
      </c>
      <c r="C42" s="160" t="s">
        <v>158</v>
      </c>
      <c r="D42" s="160"/>
      <c r="E42" s="160"/>
      <c r="F42" s="104"/>
    </row>
    <row r="43" spans="2:6" ht="15.75" customHeight="1" x14ac:dyDescent="0.25">
      <c r="B43" s="103" t="s">
        <v>129</v>
      </c>
      <c r="C43" s="160" t="s">
        <v>157</v>
      </c>
      <c r="D43" s="160"/>
      <c r="E43" s="160"/>
      <c r="F43" s="104"/>
    </row>
    <row r="44" spans="2:6" ht="15" x14ac:dyDescent="0.25">
      <c r="B44" s="103" t="s">
        <v>130</v>
      </c>
      <c r="C44" s="160" t="s">
        <v>156</v>
      </c>
      <c r="D44" s="160"/>
      <c r="E44" s="160"/>
      <c r="F44" s="104"/>
    </row>
    <row r="45" spans="2:6" ht="15" x14ac:dyDescent="0.25">
      <c r="B45" s="103" t="s">
        <v>131</v>
      </c>
      <c r="C45" s="160" t="s">
        <v>155</v>
      </c>
      <c r="D45" s="160"/>
      <c r="E45" s="160"/>
      <c r="F45" s="104"/>
    </row>
    <row r="46" spans="2:6" ht="15" x14ac:dyDescent="0.25">
      <c r="B46" s="103" t="s">
        <v>132</v>
      </c>
      <c r="C46" s="160" t="s">
        <v>154</v>
      </c>
      <c r="D46" s="160"/>
      <c r="E46" s="160"/>
      <c r="F46" s="104"/>
    </row>
    <row r="47" spans="2:6" ht="15" x14ac:dyDescent="0.25">
      <c r="B47" s="103" t="s">
        <v>133</v>
      </c>
      <c r="C47" s="160" t="s">
        <v>153</v>
      </c>
      <c r="D47" s="160"/>
      <c r="E47" s="160"/>
      <c r="F47" s="104"/>
    </row>
    <row r="48" spans="2:6" ht="15.75" customHeight="1" x14ac:dyDescent="0.25">
      <c r="B48" s="103" t="s">
        <v>134</v>
      </c>
      <c r="C48" s="160" t="s">
        <v>135</v>
      </c>
      <c r="D48" s="160"/>
      <c r="E48" s="160"/>
      <c r="F48" s="104"/>
    </row>
    <row r="49" spans="2:9" ht="15.75" customHeight="1" x14ac:dyDescent="0.25">
      <c r="B49" s="103" t="s">
        <v>136</v>
      </c>
      <c r="C49" s="160" t="s">
        <v>137</v>
      </c>
      <c r="D49" s="160"/>
      <c r="E49" s="160"/>
      <c r="F49" s="104"/>
    </row>
    <row r="50" spans="2:9" ht="15" x14ac:dyDescent="0.25">
      <c r="B50" s="103" t="s">
        <v>138</v>
      </c>
      <c r="C50" s="160" t="s">
        <v>174</v>
      </c>
      <c r="D50" s="160"/>
      <c r="E50" s="160"/>
      <c r="F50" s="104"/>
    </row>
    <row r="51" spans="2:9" ht="15" x14ac:dyDescent="0.25">
      <c r="B51" s="103" t="s">
        <v>139</v>
      </c>
      <c r="C51" s="160" t="s">
        <v>159</v>
      </c>
      <c r="D51" s="160"/>
      <c r="E51" s="160"/>
      <c r="F51" s="104"/>
    </row>
    <row r="52" spans="2:9" ht="15" x14ac:dyDescent="0.25">
      <c r="B52" s="103" t="s">
        <v>140</v>
      </c>
      <c r="C52" s="160" t="s">
        <v>172</v>
      </c>
      <c r="D52" s="160"/>
      <c r="E52" s="160"/>
      <c r="F52" s="104"/>
    </row>
    <row r="53" spans="2:9" ht="15" x14ac:dyDescent="0.25">
      <c r="B53" s="77"/>
      <c r="C53" s="78"/>
      <c r="D53" s="78"/>
      <c r="E53" s="78"/>
      <c r="F53" s="104"/>
    </row>
    <row r="54" spans="2:9" ht="12" customHeight="1" x14ac:dyDescent="0.25">
      <c r="B54" s="80"/>
      <c r="C54" s="78"/>
      <c r="D54" s="78"/>
      <c r="E54" s="79"/>
    </row>
    <row r="55" spans="2:9" ht="15" x14ac:dyDescent="0.25">
      <c r="B55" s="130" t="s">
        <v>53</v>
      </c>
      <c r="C55" s="131"/>
      <c r="D55" s="131"/>
      <c r="E55" s="132"/>
    </row>
    <row r="56" spans="2:9" ht="128.25" customHeight="1" x14ac:dyDescent="0.2">
      <c r="B56" s="136" t="s">
        <v>177</v>
      </c>
      <c r="C56" s="137"/>
      <c r="D56" s="137"/>
      <c r="E56" s="138"/>
    </row>
    <row r="57" spans="2:9" ht="16.5" hidden="1" customHeight="1" x14ac:dyDescent="0.2">
      <c r="B57" s="136"/>
      <c r="C57" s="137"/>
      <c r="D57" s="137"/>
      <c r="E57" s="138"/>
    </row>
    <row r="58" spans="2:9" ht="15" x14ac:dyDescent="0.25">
      <c r="B58" s="130" t="s">
        <v>54</v>
      </c>
      <c r="C58" s="131"/>
      <c r="D58" s="131"/>
      <c r="E58" s="132"/>
    </row>
    <row r="59" spans="2:9" ht="15" x14ac:dyDescent="0.25">
      <c r="B59" s="133" t="s">
        <v>62</v>
      </c>
      <c r="C59" s="134"/>
      <c r="D59" s="134"/>
      <c r="E59" s="135"/>
    </row>
    <row r="60" spans="2:9" ht="15" x14ac:dyDescent="0.25">
      <c r="B60" s="130" t="s">
        <v>55</v>
      </c>
      <c r="C60" s="131"/>
      <c r="D60" s="131"/>
      <c r="E60" s="132"/>
    </row>
    <row r="61" spans="2:9" ht="15" x14ac:dyDescent="0.25">
      <c r="B61" s="133" t="s">
        <v>60</v>
      </c>
      <c r="C61" s="134"/>
      <c r="D61" s="134"/>
      <c r="E61" s="135"/>
    </row>
    <row r="62" spans="2:9" ht="31.5" customHeight="1" x14ac:dyDescent="0.25">
      <c r="B62" s="130" t="s">
        <v>61</v>
      </c>
      <c r="C62" s="131"/>
      <c r="D62" s="131"/>
      <c r="E62" s="132"/>
      <c r="F62" s="161"/>
      <c r="G62" s="161"/>
      <c r="H62" s="161"/>
      <c r="I62" s="161"/>
    </row>
    <row r="63" spans="2:9" ht="15.75" thickBot="1" x14ac:dyDescent="0.3">
      <c r="B63" s="127" t="s">
        <v>141</v>
      </c>
      <c r="C63" s="128"/>
      <c r="D63" s="128"/>
      <c r="E63" s="129"/>
      <c r="F63" s="161"/>
      <c r="G63" s="161"/>
      <c r="H63" s="161"/>
      <c r="I63" s="161"/>
    </row>
    <row r="64" spans="2:9" x14ac:dyDescent="0.2">
      <c r="C64" s="13"/>
      <c r="D64" s="13"/>
      <c r="E64" s="13"/>
    </row>
  </sheetData>
  <mergeCells count="38">
    <mergeCell ref="F62:I6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A2:I2"/>
    <mergeCell ref="B32:E32"/>
    <mergeCell ref="B61:E61"/>
    <mergeCell ref="A4:B4"/>
    <mergeCell ref="A5:B5"/>
    <mergeCell ref="C4:I4"/>
    <mergeCell ref="C5:I5"/>
    <mergeCell ref="C6:I6"/>
    <mergeCell ref="C7:I7"/>
    <mergeCell ref="A6:B6"/>
    <mergeCell ref="A7:B7"/>
    <mergeCell ref="C49:E49"/>
    <mergeCell ref="C50:E50"/>
    <mergeCell ref="C51:E51"/>
    <mergeCell ref="C52:E52"/>
    <mergeCell ref="B63:E63"/>
    <mergeCell ref="B55:E55"/>
    <mergeCell ref="B58:E58"/>
    <mergeCell ref="B60:E60"/>
    <mergeCell ref="B62:E62"/>
    <mergeCell ref="B59:E59"/>
    <mergeCell ref="B56:E57"/>
  </mergeCells>
  <pageMargins left="0.70866141732283472" right="0.70866141732283472" top="0.74803149606299213" bottom="0.74803149606299213" header="0.51181102362204722" footer="0.51181102362204722"/>
  <pageSetup paperSize="9" scale="7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7"/>
  <sheetViews>
    <sheetView workbookViewId="0">
      <selection activeCell="G45" sqref="G45"/>
    </sheetView>
  </sheetViews>
  <sheetFormatPr baseColWidth="10" defaultColWidth="9.140625" defaultRowHeight="12.75" x14ac:dyDescent="0.2"/>
  <cols>
    <col min="1" max="1" width="7.28515625" style="2" customWidth="1"/>
    <col min="2" max="2" width="18.28515625" style="2" customWidth="1"/>
    <col min="3" max="3" width="85.85546875" style="2" customWidth="1"/>
    <col min="4" max="4" width="9.140625" style="2" customWidth="1"/>
    <col min="5" max="5" width="11" style="2" customWidth="1"/>
    <col min="6" max="6" width="10.7109375" style="2" customWidth="1"/>
    <col min="7" max="7" width="9.140625" style="2" customWidth="1"/>
    <col min="8" max="8" width="9.28515625" style="2" customWidth="1"/>
    <col min="9" max="9" width="12" style="2" customWidth="1"/>
    <col min="10" max="10" width="14.7109375" style="2" customWidth="1"/>
    <col min="11" max="11" width="13.8554687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thickBot="1" x14ac:dyDescent="0.25">
      <c r="A1" s="168" t="s">
        <v>14</v>
      </c>
      <c r="B1" s="168"/>
      <c r="C1" s="168"/>
      <c r="D1" s="168"/>
      <c r="E1" s="168"/>
      <c r="F1" s="168"/>
      <c r="G1" s="168"/>
      <c r="H1" s="82"/>
      <c r="I1" s="82"/>
    </row>
    <row r="2" spans="1:11" ht="18.75" customHeight="1" thickBot="1" x14ac:dyDescent="0.25">
      <c r="A2" s="3"/>
      <c r="B2" s="3"/>
      <c r="C2" s="3"/>
      <c r="D2" s="3"/>
      <c r="E2" s="3"/>
      <c r="F2" s="42" t="s">
        <v>15</v>
      </c>
      <c r="G2" s="38" t="s">
        <v>66</v>
      </c>
      <c r="H2" s="3"/>
      <c r="I2" s="3"/>
      <c r="J2" s="3"/>
      <c r="K2" s="3"/>
    </row>
    <row r="3" spans="1:11" ht="7.5" customHeight="1" thickBot="1" x14ac:dyDescent="0.25">
      <c r="A3" s="3"/>
      <c r="B3" s="3"/>
      <c r="C3" s="3"/>
      <c r="D3" s="3"/>
      <c r="E3" s="3"/>
      <c r="F3" s="58"/>
      <c r="G3" s="59"/>
      <c r="H3" s="3"/>
      <c r="I3" s="3"/>
      <c r="J3" s="3"/>
      <c r="K3" s="3"/>
    </row>
    <row r="4" spans="1:11" ht="18.75" customHeight="1" x14ac:dyDescent="0.2">
      <c r="A4" s="175" t="s">
        <v>48</v>
      </c>
      <c r="B4" s="176"/>
      <c r="C4" s="169" t="str">
        <f>'Necesidades Trimestrales'!C4</f>
        <v>12 -Ministerio de Gobierno, Justicia y Derechos Humanos.</v>
      </c>
      <c r="D4" s="170"/>
      <c r="E4" s="170"/>
      <c r="F4" s="170"/>
      <c r="G4" s="171"/>
      <c r="H4" s="44"/>
      <c r="I4" s="44"/>
      <c r="J4" s="44"/>
    </row>
    <row r="5" spans="1:11" ht="18.75" customHeight="1" x14ac:dyDescent="0.2">
      <c r="A5" s="177" t="s">
        <v>49</v>
      </c>
      <c r="B5" s="178"/>
      <c r="C5" s="172" t="str">
        <f>'Necesidades Trimestrales'!C5</f>
        <v>06 - Secretaria de Gestion Administrativa del Ministerio de Gobierno, Justicia y Derechos Humanos</v>
      </c>
      <c r="D5" s="173"/>
      <c r="E5" s="173"/>
      <c r="F5" s="173"/>
      <c r="G5" s="174"/>
      <c r="H5" s="44"/>
      <c r="I5" s="44"/>
      <c r="J5" s="44"/>
    </row>
    <row r="6" spans="1:11" ht="18.75" customHeight="1" x14ac:dyDescent="0.2">
      <c r="A6" s="177" t="s">
        <v>27</v>
      </c>
      <c r="B6" s="178"/>
      <c r="C6" s="172" t="s">
        <v>59</v>
      </c>
      <c r="D6" s="173"/>
      <c r="E6" s="173"/>
      <c r="F6" s="173"/>
      <c r="G6" s="174"/>
      <c r="H6" s="44"/>
      <c r="I6" s="44"/>
      <c r="J6" s="44"/>
    </row>
    <row r="7" spans="1:11" ht="32.25" customHeight="1" x14ac:dyDescent="0.2">
      <c r="A7" s="177" t="s">
        <v>50</v>
      </c>
      <c r="B7" s="178"/>
      <c r="C7" s="172" t="s">
        <v>67</v>
      </c>
      <c r="D7" s="173"/>
      <c r="E7" s="173"/>
      <c r="F7" s="173"/>
      <c r="G7" s="174"/>
      <c r="H7" s="44"/>
      <c r="I7" s="44"/>
      <c r="J7" s="44"/>
    </row>
    <row r="8" spans="1:11" ht="16.5" customHeight="1" x14ac:dyDescent="0.2">
      <c r="A8" s="177" t="s">
        <v>16</v>
      </c>
      <c r="B8" s="178"/>
      <c r="C8" s="172" t="s">
        <v>65</v>
      </c>
      <c r="D8" s="173"/>
      <c r="E8" s="173"/>
      <c r="F8" s="173"/>
      <c r="G8" s="174"/>
      <c r="H8" s="45"/>
      <c r="I8" s="45"/>
      <c r="J8" s="45"/>
    </row>
    <row r="9" spans="1:11" ht="27.75" customHeight="1" thickBot="1" x14ac:dyDescent="0.25">
      <c r="A9" s="179" t="s">
        <v>17</v>
      </c>
      <c r="B9" s="180"/>
      <c r="C9" s="186" t="s">
        <v>144</v>
      </c>
      <c r="D9" s="187"/>
      <c r="E9" s="187"/>
      <c r="F9" s="187"/>
      <c r="G9" s="188"/>
      <c r="H9" s="46"/>
      <c r="I9" s="46"/>
      <c r="J9" s="46"/>
    </row>
    <row r="10" spans="1:11" ht="16.5" customHeight="1" thickBot="1" x14ac:dyDescent="0.25">
      <c r="A10" s="60"/>
      <c r="B10" s="61"/>
      <c r="C10" s="62"/>
      <c r="D10" s="62"/>
      <c r="E10" s="43"/>
      <c r="F10" s="43"/>
      <c r="G10" s="63"/>
      <c r="H10" s="46"/>
      <c r="I10" s="46"/>
      <c r="J10" s="46"/>
    </row>
    <row r="11" spans="1:11" ht="18.75" customHeight="1" x14ac:dyDescent="0.2">
      <c r="A11" s="190" t="s">
        <v>18</v>
      </c>
      <c r="B11" s="192" t="s">
        <v>19</v>
      </c>
      <c r="C11" s="181" t="s">
        <v>20</v>
      </c>
      <c r="D11" s="194" t="s">
        <v>21</v>
      </c>
      <c r="E11" s="194" t="s">
        <v>22</v>
      </c>
      <c r="F11" s="194" t="s">
        <v>23</v>
      </c>
      <c r="G11" s="194" t="s">
        <v>24</v>
      </c>
    </row>
    <row r="12" spans="1:11" ht="24" customHeight="1" thickBot="1" x14ac:dyDescent="0.25">
      <c r="A12" s="191"/>
      <c r="B12" s="193"/>
      <c r="C12" s="182"/>
      <c r="D12" s="195"/>
      <c r="E12" s="195"/>
      <c r="F12" s="195"/>
      <c r="G12" s="195"/>
    </row>
    <row r="13" spans="1:11" ht="15" x14ac:dyDescent="0.2">
      <c r="A13" s="64">
        <f>'Necesidades Trimestrales'!A10</f>
        <v>1</v>
      </c>
      <c r="B13" s="66" t="str">
        <f>'Necesidades Trimestrales'!B10</f>
        <v>2.9.6-401.1910</v>
      </c>
      <c r="C13" s="68" t="str">
        <f>'Necesidades Trimestrales'!E10</f>
        <v>CARTUCHOS DE TONER; CODIGO: 101 D101S, USO: SAMSUNG</v>
      </c>
      <c r="D13" s="70" t="s">
        <v>160</v>
      </c>
      <c r="E13" s="70" t="str">
        <f>'Necesidades Trimestrales'!F10</f>
        <v>UNIDAD</v>
      </c>
      <c r="F13" s="72">
        <f>'Necesidades Trimestrales'!H10</f>
        <v>10000</v>
      </c>
      <c r="G13" s="70">
        <f>'Necesidades Trimestrales'!G10</f>
        <v>5</v>
      </c>
    </row>
    <row r="14" spans="1:11" ht="15" x14ac:dyDescent="0.2">
      <c r="A14" s="65">
        <f>'Necesidades Trimestrales'!A11</f>
        <v>2</v>
      </c>
      <c r="B14" s="67" t="str">
        <f>'Necesidades Trimestrales'!B11</f>
        <v>2.9.6-1355.1503</v>
      </c>
      <c r="C14" s="69" t="str">
        <f>'Necesidades Trimestrales'!E11</f>
        <v>CARTUCHOS DE TINTA; CODIGO: HP 60, USO: HEWLETT PACKARD</v>
      </c>
      <c r="D14" s="70" t="s">
        <v>160</v>
      </c>
      <c r="E14" s="71" t="str">
        <f>'Necesidades Trimestrales'!F11</f>
        <v>UNIDAD</v>
      </c>
      <c r="F14" s="73">
        <f>'Necesidades Trimestrales'!H11</f>
        <v>5000</v>
      </c>
      <c r="G14" s="71">
        <f>'Necesidades Trimestrales'!G11</f>
        <v>2</v>
      </c>
    </row>
    <row r="15" spans="1:11" ht="15" x14ac:dyDescent="0.2">
      <c r="A15" s="65">
        <f>'Necesidades Trimestrales'!A12</f>
        <v>3</v>
      </c>
      <c r="B15" s="67" t="str">
        <f>'Necesidades Trimestrales'!B12</f>
        <v>2.9.6-1355.1503</v>
      </c>
      <c r="C15" s="69" t="str">
        <f>'Necesidades Trimestrales'!E12</f>
        <v>CARTUCHOS DE TINTA; CODIGO: HP 60, USO: HEWLETT PACKARD</v>
      </c>
      <c r="D15" s="70" t="s">
        <v>160</v>
      </c>
      <c r="E15" s="71" t="str">
        <f>'Necesidades Trimestrales'!F12</f>
        <v>UNIDAD</v>
      </c>
      <c r="F15" s="73">
        <f>'Necesidades Trimestrales'!H12</f>
        <v>6000</v>
      </c>
      <c r="G15" s="71">
        <f>'Necesidades Trimestrales'!G12</f>
        <v>2</v>
      </c>
    </row>
    <row r="16" spans="1:11" ht="15" x14ac:dyDescent="0.2">
      <c r="A16" s="65">
        <f>'Necesidades Trimestrales'!A13</f>
        <v>4</v>
      </c>
      <c r="B16" s="67" t="str">
        <f>'Necesidades Trimestrales'!B13</f>
        <v>2.9.6-1355.1938</v>
      </c>
      <c r="C16" s="69" t="str">
        <f>'Necesidades Trimestrales'!E13</f>
        <v>CARTUCHOS DE TINTA; CODIGO: T664120, USO: EPSON</v>
      </c>
      <c r="D16" s="70" t="s">
        <v>160</v>
      </c>
      <c r="E16" s="71" t="str">
        <f>'Necesidades Trimestrales'!F13</f>
        <v>UNIDAD</v>
      </c>
      <c r="F16" s="73">
        <f>'Necesidades Trimestrales'!H13</f>
        <v>2000</v>
      </c>
      <c r="G16" s="71">
        <f>'Necesidades Trimestrales'!G13</f>
        <v>2</v>
      </c>
    </row>
    <row r="17" spans="1:7" ht="15" x14ac:dyDescent="0.2">
      <c r="A17" s="65">
        <f>'Necesidades Trimestrales'!A14</f>
        <v>5</v>
      </c>
      <c r="B17" s="67" t="str">
        <f>'Necesidades Trimestrales'!B14</f>
        <v>2.9.6-1355.1939</v>
      </c>
      <c r="C17" s="69" t="str">
        <f>'Necesidades Trimestrales'!E14</f>
        <v>CARTUCHOS DE TINTA; CODIGO: T664220, USO: EPSON</v>
      </c>
      <c r="D17" s="70" t="s">
        <v>160</v>
      </c>
      <c r="E17" s="71" t="str">
        <f>'Necesidades Trimestrales'!F14</f>
        <v>UNIDAD</v>
      </c>
      <c r="F17" s="73">
        <f>'Necesidades Trimestrales'!H14</f>
        <v>1500</v>
      </c>
      <c r="G17" s="71">
        <f>'Necesidades Trimestrales'!G14</f>
        <v>2</v>
      </c>
    </row>
    <row r="18" spans="1:7" ht="15" x14ac:dyDescent="0.2">
      <c r="A18" s="65">
        <f>'Necesidades Trimestrales'!A15</f>
        <v>6</v>
      </c>
      <c r="B18" s="67" t="str">
        <f>'Necesidades Trimestrales'!B15</f>
        <v>2.9.6-1355.1940</v>
      </c>
      <c r="C18" s="69" t="str">
        <f>'Necesidades Trimestrales'!E15</f>
        <v>CARTUCHOS DE TINTA; CODIGO: T664320, USO: EPSON</v>
      </c>
      <c r="D18" s="70" t="s">
        <v>160</v>
      </c>
      <c r="E18" s="81" t="str">
        <f>'Necesidades Trimestrales'!F15</f>
        <v>UNIDAD</v>
      </c>
      <c r="F18" s="73">
        <f>'Necesidades Trimestrales'!H15</f>
        <v>1500</v>
      </c>
      <c r="G18" s="71">
        <f>'Necesidades Trimestrales'!G15</f>
        <v>2</v>
      </c>
    </row>
    <row r="19" spans="1:7" ht="15" x14ac:dyDescent="0.2">
      <c r="A19" s="65">
        <f>'Necesidades Trimestrales'!A16</f>
        <v>7</v>
      </c>
      <c r="B19" s="67" t="str">
        <f>'Necesidades Trimestrales'!B16</f>
        <v>2.9.6-1355.1941</v>
      </c>
      <c r="C19" s="69" t="str">
        <f>'Necesidades Trimestrales'!E16</f>
        <v>CARTUCHOS DE TINTA; CODIGO: T664420, USO: EPSON</v>
      </c>
      <c r="D19" s="70" t="s">
        <v>160</v>
      </c>
      <c r="E19" s="81" t="str">
        <f>'Necesidades Trimestrales'!F16</f>
        <v>UNIDAD</v>
      </c>
      <c r="F19" s="73">
        <f>'Necesidades Trimestrales'!H16</f>
        <v>1500</v>
      </c>
      <c r="G19" s="71">
        <f>'Necesidades Trimestrales'!G16</f>
        <v>2</v>
      </c>
    </row>
    <row r="20" spans="1:7" ht="15" x14ac:dyDescent="0.2">
      <c r="A20" s="65">
        <f>'Necesidades Trimestrales'!A17</f>
        <v>8</v>
      </c>
      <c r="B20" s="67" t="str">
        <f>'Necesidades Trimestrales'!B17</f>
        <v>2.9.6-401.2378</v>
      </c>
      <c r="C20" s="69" t="str">
        <f>'Necesidades Trimestrales'!E17</f>
        <v>CARTUCHOS DE TONER; CODIGO: W1105A, USO: HEWLETT PACKARD</v>
      </c>
      <c r="D20" s="70" t="s">
        <v>160</v>
      </c>
      <c r="E20" s="71" t="str">
        <f>'Necesidades Trimestrales'!F17</f>
        <v>UNIDAD</v>
      </c>
      <c r="F20" s="73">
        <f>'Necesidades Trimestrales'!H17</f>
        <v>3000</v>
      </c>
      <c r="G20" s="71">
        <f>'Necesidades Trimestrales'!G17</f>
        <v>26</v>
      </c>
    </row>
    <row r="21" spans="1:7" ht="15" x14ac:dyDescent="0.2">
      <c r="A21" s="65">
        <f>'Necesidades Trimestrales'!A18</f>
        <v>9</v>
      </c>
      <c r="B21" s="67" t="str">
        <f>'Necesidades Trimestrales'!B18</f>
        <v>2.9.6-1355.1789</v>
      </c>
      <c r="C21" s="69" t="str">
        <f>'Necesidades Trimestrales'!E18</f>
        <v>CARTUCHOS DE TINTA; CODIGO: 35A, USO: HEWLETT PACKARD</v>
      </c>
      <c r="D21" s="70" t="s">
        <v>160</v>
      </c>
      <c r="E21" s="71" t="str">
        <f>'Necesidades Trimestrales'!F18</f>
        <v>UNIDAD</v>
      </c>
      <c r="F21" s="73">
        <f>'Necesidades Trimestrales'!H18</f>
        <v>3000</v>
      </c>
      <c r="G21" s="71">
        <f>'Necesidades Trimestrales'!G18</f>
        <v>1</v>
      </c>
    </row>
    <row r="22" spans="1:7" ht="15" x14ac:dyDescent="0.2">
      <c r="A22" s="65">
        <f>'Necesidades Trimestrales'!A19</f>
        <v>10</v>
      </c>
      <c r="B22" s="67" t="str">
        <f>'Necesidades Trimestrales'!B19</f>
        <v>2.9.6-401.2228</v>
      </c>
      <c r="C22" s="69" t="str">
        <f>'Necesidades Trimestrales'!E19</f>
        <v>CARTUCHOS DE TONER; CODIGO: CF217A, USO: HP LASERJET MFP</v>
      </c>
      <c r="D22" s="70" t="s">
        <v>160</v>
      </c>
      <c r="E22" s="71" t="str">
        <f>'Necesidades Trimestrales'!F19</f>
        <v>UNIDAD</v>
      </c>
      <c r="F22" s="73">
        <f>'Necesidades Trimestrales'!H19</f>
        <v>3000</v>
      </c>
      <c r="G22" s="71">
        <f>'Necesidades Trimestrales'!G19</f>
        <v>15</v>
      </c>
    </row>
    <row r="23" spans="1:7" ht="15" x14ac:dyDescent="0.2">
      <c r="A23" s="65">
        <f>'Necesidades Trimestrales'!A20</f>
        <v>11</v>
      </c>
      <c r="B23" s="67" t="str">
        <f>'Necesidades Trimestrales'!B20</f>
        <v>2.9.6-401.1486</v>
      </c>
      <c r="C23" s="69" t="str">
        <f>'Necesidades Trimestrales'!E20</f>
        <v>CARTUCHOS DE TONER; CODIGO: HP 53A, USO: HP</v>
      </c>
      <c r="D23" s="70" t="s">
        <v>160</v>
      </c>
      <c r="E23" s="71" t="str">
        <f>'Necesidades Trimestrales'!F20</f>
        <v>UNIDAD</v>
      </c>
      <c r="F23" s="73">
        <f>'Necesidades Trimestrales'!H20</f>
        <v>2000</v>
      </c>
      <c r="G23" s="71">
        <f>'Necesidades Trimestrales'!G20</f>
        <v>20</v>
      </c>
    </row>
    <row r="24" spans="1:7" ht="15" x14ac:dyDescent="0.2">
      <c r="A24" s="65">
        <f>'Necesidades Trimestrales'!A21</f>
        <v>12</v>
      </c>
      <c r="B24" s="67" t="str">
        <f>'Necesidades Trimestrales'!B21</f>
        <v>2.9.6-401.2377</v>
      </c>
      <c r="C24" s="69" t="str">
        <f>'Necesidades Trimestrales'!E21</f>
        <v>CARTUCHOS DE TONER; CODIGO: CF279A, USO: HEWLETT PACKARD</v>
      </c>
      <c r="D24" s="70" t="s">
        <v>160</v>
      </c>
      <c r="E24" s="71" t="str">
        <f>'Necesidades Trimestrales'!F21</f>
        <v>UNIDAD</v>
      </c>
      <c r="F24" s="73">
        <f>'Necesidades Trimestrales'!H21</f>
        <v>1300</v>
      </c>
      <c r="G24" s="71">
        <f>'Necesidades Trimestrales'!G21</f>
        <v>40</v>
      </c>
    </row>
    <row r="25" spans="1:7" ht="15" x14ac:dyDescent="0.2">
      <c r="A25" s="65">
        <f>'Necesidades Trimestrales'!A22</f>
        <v>13</v>
      </c>
      <c r="B25" s="67" t="str">
        <f>'Necesidades Trimestrales'!B22</f>
        <v>2.9.6-401.1563</v>
      </c>
      <c r="C25" s="69" t="str">
        <f>'Necesidades Trimestrales'!E22</f>
        <v>CARTUCHOS DE TONER; CODIGO: HP 85A, USO: HP</v>
      </c>
      <c r="D25" s="70" t="s">
        <v>160</v>
      </c>
      <c r="E25" s="71" t="str">
        <f>'Necesidades Trimestrales'!F22</f>
        <v>UNIDAD</v>
      </c>
      <c r="F25" s="73">
        <f>'Necesidades Trimestrales'!H22</f>
        <v>1500</v>
      </c>
      <c r="G25" s="71">
        <f>'Necesidades Trimestrales'!G22</f>
        <v>35</v>
      </c>
    </row>
    <row r="26" spans="1:7" ht="15" x14ac:dyDescent="0.2">
      <c r="A26" s="65">
        <f>'Necesidades Trimestrales'!A23</f>
        <v>14</v>
      </c>
      <c r="B26" s="67" t="str">
        <f>'Necesidades Trimestrales'!B23</f>
        <v>2.9.6-401.1282</v>
      </c>
      <c r="C26" s="69" t="str">
        <f>'Necesidades Trimestrales'!E23</f>
        <v>CARTUCHOS DE TONER; CODIGO: CE505A, USO: HEWLETT PACKARD</v>
      </c>
      <c r="D26" s="70" t="s">
        <v>160</v>
      </c>
      <c r="E26" s="71" t="str">
        <f>'Necesidades Trimestrales'!F23</f>
        <v>UNIDAD</v>
      </c>
      <c r="F26" s="73">
        <f>'Necesidades Trimestrales'!H23</f>
        <v>1500</v>
      </c>
      <c r="G26" s="71">
        <f>'Necesidades Trimestrales'!G23</f>
        <v>50</v>
      </c>
    </row>
    <row r="27" spans="1:7" ht="15" x14ac:dyDescent="0.2">
      <c r="A27" s="65">
        <f>'Necesidades Trimestrales'!A24</f>
        <v>15</v>
      </c>
      <c r="B27" s="67" t="str">
        <f>'Necesidades Trimestrales'!B24</f>
        <v>2.9.6-401.1442</v>
      </c>
      <c r="C27" s="69" t="str">
        <f>'Necesidades Trimestrales'!E24</f>
        <v>CARTUCHOS DE TONER; CODIGO: 42A, USO: HEWLETT PACKARD</v>
      </c>
      <c r="D27" s="70" t="s">
        <v>160</v>
      </c>
      <c r="E27" s="71" t="str">
        <f>'Necesidades Trimestrales'!F24</f>
        <v>UNIDAD</v>
      </c>
      <c r="F27" s="73">
        <f>'Necesidades Trimestrales'!H24</f>
        <v>3000</v>
      </c>
      <c r="G27" s="71">
        <f>'Necesidades Trimestrales'!G24</f>
        <v>8</v>
      </c>
    </row>
    <row r="28" spans="1:7" ht="15" x14ac:dyDescent="0.2">
      <c r="A28" s="65">
        <f>'Necesidades Trimestrales'!A25</f>
        <v>16</v>
      </c>
      <c r="B28" s="67" t="str">
        <f>'Necesidades Trimestrales'!B25</f>
        <v>2.9.6-1355.1988</v>
      </c>
      <c r="C28" s="69" t="str">
        <f>'Necesidades Trimestrales'!E25</f>
        <v>CARTUCHOS DE TINTA; CODIGO: 664, USO: HEWLET PACKARD</v>
      </c>
      <c r="D28" s="70" t="s">
        <v>160</v>
      </c>
      <c r="E28" s="71" t="str">
        <f>'Necesidades Trimestrales'!F25</f>
        <v>UNIDAD</v>
      </c>
      <c r="F28" s="73">
        <f>'Necesidades Trimestrales'!H25</f>
        <v>1500</v>
      </c>
      <c r="G28" s="71">
        <f>'Necesidades Trimestrales'!G25</f>
        <v>17</v>
      </c>
    </row>
    <row r="29" spans="1:7" ht="15" x14ac:dyDescent="0.2">
      <c r="A29" s="65">
        <f>'Necesidades Trimestrales'!A26</f>
        <v>17</v>
      </c>
      <c r="B29" s="67" t="str">
        <f>'Necesidades Trimestrales'!B26</f>
        <v>2.9.6-1355.1988</v>
      </c>
      <c r="C29" s="69" t="str">
        <f>'Necesidades Trimestrales'!E26</f>
        <v>CARTUCHOS DE TINTA; CODIGO: 664, USO: HEWLET PACKARD</v>
      </c>
      <c r="D29" s="70" t="s">
        <v>160</v>
      </c>
      <c r="E29" s="71" t="str">
        <f>'Necesidades Trimestrales'!F26</f>
        <v>UNIDAD</v>
      </c>
      <c r="F29" s="73">
        <f>'Necesidades Trimestrales'!H26</f>
        <v>2000</v>
      </c>
      <c r="G29" s="71">
        <f>'Necesidades Trimestrales'!G26</f>
        <v>8</v>
      </c>
    </row>
    <row r="30" spans="1:7" ht="15" x14ac:dyDescent="0.2">
      <c r="A30" s="65">
        <f>'Necesidades Trimestrales'!A27</f>
        <v>18</v>
      </c>
      <c r="B30" s="67" t="str">
        <f>'Necesidades Trimestrales'!B27</f>
        <v>2.9.6-401.1289</v>
      </c>
      <c r="C30" s="69" t="str">
        <f>'Necesidades Trimestrales'!E27</f>
        <v>CARTUCHOS DE TONER; CODIGO: T 1640, USO: TOSHIBA ESTUDIO 166</v>
      </c>
      <c r="D30" s="70" t="s">
        <v>160</v>
      </c>
      <c r="E30" s="71" t="str">
        <f>'Necesidades Trimestrales'!F27</f>
        <v>UNIDAD</v>
      </c>
      <c r="F30" s="73">
        <f>'Necesidades Trimestrales'!H27</f>
        <v>1500</v>
      </c>
      <c r="G30" s="71">
        <f>'Necesidades Trimestrales'!G27</f>
        <v>3</v>
      </c>
    </row>
    <row r="31" spans="1:7" ht="15" x14ac:dyDescent="0.2">
      <c r="A31" s="65">
        <f>'Necesidades Trimestrales'!A28</f>
        <v>19</v>
      </c>
      <c r="B31" s="67" t="str">
        <f>'Necesidades Trimestrales'!B28</f>
        <v>2.9.6-401.2045</v>
      </c>
      <c r="C31" s="69" t="str">
        <f>'Necesidades Trimestrales'!E28</f>
        <v>CARTUCHOS DE TONER; CODIGO: TN 1060, USO: BROTHER</v>
      </c>
      <c r="D31" s="70" t="s">
        <v>160</v>
      </c>
      <c r="E31" s="71" t="str">
        <f>'Necesidades Trimestrales'!F28</f>
        <v>UNIDAD</v>
      </c>
      <c r="F31" s="73">
        <f>'Necesidades Trimestrales'!H28</f>
        <v>1000</v>
      </c>
      <c r="G31" s="71">
        <f>'Necesidades Trimestrales'!G28</f>
        <v>23</v>
      </c>
    </row>
    <row r="32" spans="1:7" ht="15.75" thickBot="1" x14ac:dyDescent="0.25">
      <c r="A32" s="65">
        <f>'Necesidades Trimestrales'!A29</f>
        <v>20</v>
      </c>
      <c r="B32" s="67" t="str">
        <f>'Necesidades Trimestrales'!B29</f>
        <v>2.9.6-401.1765</v>
      </c>
      <c r="C32" s="69" t="str">
        <f>'Necesidades Trimestrales'!E29</f>
        <v>CARTUCHOS DE TONER; CODIGO: 106R01531, USO: XEROX</v>
      </c>
      <c r="D32" s="70" t="s">
        <v>160</v>
      </c>
      <c r="E32" s="71" t="str">
        <f>'Necesidades Trimestrales'!F29</f>
        <v>UNIDAD</v>
      </c>
      <c r="F32" s="73">
        <f>'Necesidades Trimestrales'!H29</f>
        <v>2500</v>
      </c>
      <c r="G32" s="71">
        <f>'Necesidades Trimestrales'!G29</f>
        <v>3</v>
      </c>
    </row>
    <row r="33" spans="1:9" ht="20.25" customHeight="1" thickBot="1" x14ac:dyDescent="0.25">
      <c r="A33" s="183" t="s">
        <v>142</v>
      </c>
      <c r="B33" s="184"/>
      <c r="C33" s="184"/>
      <c r="D33" s="184"/>
      <c r="E33" s="185"/>
      <c r="F33" s="189">
        <f>SUMPRODUCT(F13:F32*G13:G32)</f>
        <v>531000</v>
      </c>
      <c r="G33" s="189"/>
      <c r="H33" s="57"/>
      <c r="I33" s="57"/>
    </row>
    <row r="37" spans="1:9" s="12" customFormat="1" ht="15" x14ac:dyDescent="0.25">
      <c r="B37" s="165" t="s">
        <v>161</v>
      </c>
      <c r="C37" s="166"/>
      <c r="D37" s="166"/>
      <c r="E37" s="167"/>
    </row>
    <row r="38" spans="1:9" s="12" customFormat="1" ht="15" x14ac:dyDescent="0.25">
      <c r="B38" s="114" t="s">
        <v>120</v>
      </c>
      <c r="C38" s="118" t="s">
        <v>151</v>
      </c>
      <c r="D38" s="117"/>
      <c r="E38" s="115"/>
      <c r="F38" s="113"/>
    </row>
    <row r="39" spans="1:9" s="12" customFormat="1" ht="15" x14ac:dyDescent="0.25">
      <c r="B39" s="114" t="s">
        <v>121</v>
      </c>
      <c r="C39" s="160" t="s">
        <v>145</v>
      </c>
      <c r="D39" s="160"/>
      <c r="E39" s="162"/>
      <c r="F39" s="113"/>
    </row>
    <row r="40" spans="1:9" s="12" customFormat="1" ht="15" x14ac:dyDescent="0.25">
      <c r="B40" s="114" t="s">
        <v>122</v>
      </c>
      <c r="C40" s="160" t="s">
        <v>146</v>
      </c>
      <c r="D40" s="160"/>
      <c r="E40" s="162"/>
      <c r="F40" s="113"/>
    </row>
    <row r="41" spans="1:9" s="12" customFormat="1" ht="15" x14ac:dyDescent="0.25">
      <c r="B41" s="114" t="s">
        <v>123</v>
      </c>
      <c r="C41" s="160" t="s">
        <v>147</v>
      </c>
      <c r="D41" s="160"/>
      <c r="E41" s="162"/>
      <c r="F41" s="113"/>
    </row>
    <row r="42" spans="1:9" s="12" customFormat="1" ht="15" x14ac:dyDescent="0.25">
      <c r="B42" s="114" t="s">
        <v>124</v>
      </c>
      <c r="C42" s="160" t="s">
        <v>148</v>
      </c>
      <c r="D42" s="160"/>
      <c r="E42" s="162"/>
      <c r="F42" s="113"/>
    </row>
    <row r="43" spans="1:9" s="12" customFormat="1" ht="15" x14ac:dyDescent="0.25">
      <c r="B43" s="114" t="s">
        <v>119</v>
      </c>
      <c r="C43" s="160" t="s">
        <v>149</v>
      </c>
      <c r="D43" s="160"/>
      <c r="E43" s="162"/>
      <c r="F43" s="113"/>
    </row>
    <row r="44" spans="1:9" s="12" customFormat="1" ht="15" x14ac:dyDescent="0.25">
      <c r="B44" s="114" t="s">
        <v>125</v>
      </c>
      <c r="C44" s="160" t="s">
        <v>150</v>
      </c>
      <c r="D44" s="160"/>
      <c r="E44" s="162"/>
      <c r="F44" s="113"/>
    </row>
    <row r="45" spans="1:9" s="12" customFormat="1" ht="15" x14ac:dyDescent="0.25">
      <c r="B45" s="114" t="s">
        <v>126</v>
      </c>
      <c r="C45" s="160" t="s">
        <v>152</v>
      </c>
      <c r="D45" s="160"/>
      <c r="E45" s="162"/>
      <c r="F45" s="113"/>
    </row>
    <row r="46" spans="1:9" s="12" customFormat="1" ht="15" x14ac:dyDescent="0.25">
      <c r="B46" s="114" t="s">
        <v>127</v>
      </c>
      <c r="C46" s="160" t="s">
        <v>164</v>
      </c>
      <c r="D46" s="160"/>
      <c r="E46" s="162"/>
      <c r="F46" s="113"/>
      <c r="I46" s="113"/>
    </row>
    <row r="47" spans="1:9" s="12" customFormat="1" ht="15" x14ac:dyDescent="0.25">
      <c r="B47" s="114" t="s">
        <v>128</v>
      </c>
      <c r="C47" s="160" t="s">
        <v>158</v>
      </c>
      <c r="D47" s="160"/>
      <c r="E47" s="162"/>
      <c r="F47" s="113"/>
    </row>
    <row r="48" spans="1:9" s="12" customFormat="1" ht="15.75" customHeight="1" x14ac:dyDescent="0.25">
      <c r="B48" s="114" t="s">
        <v>129</v>
      </c>
      <c r="C48" s="160" t="s">
        <v>157</v>
      </c>
      <c r="D48" s="160"/>
      <c r="E48" s="162"/>
      <c r="F48" s="113"/>
    </row>
    <row r="49" spans="2:6" s="12" customFormat="1" ht="15" x14ac:dyDescent="0.25">
      <c r="B49" s="114" t="s">
        <v>130</v>
      </c>
      <c r="C49" s="160" t="s">
        <v>156</v>
      </c>
      <c r="D49" s="160"/>
      <c r="E49" s="162"/>
      <c r="F49" s="113"/>
    </row>
    <row r="50" spans="2:6" s="12" customFormat="1" ht="15" x14ac:dyDescent="0.25">
      <c r="B50" s="114" t="s">
        <v>131</v>
      </c>
      <c r="C50" s="160" t="s">
        <v>155</v>
      </c>
      <c r="D50" s="160"/>
      <c r="E50" s="162"/>
      <c r="F50" s="113"/>
    </row>
    <row r="51" spans="2:6" s="12" customFormat="1" ht="15" x14ac:dyDescent="0.25">
      <c r="B51" s="114" t="s">
        <v>132</v>
      </c>
      <c r="C51" s="160" t="s">
        <v>154</v>
      </c>
      <c r="D51" s="160"/>
      <c r="E51" s="162"/>
      <c r="F51" s="113"/>
    </row>
    <row r="52" spans="2:6" s="12" customFormat="1" ht="15" x14ac:dyDescent="0.25">
      <c r="B52" s="114" t="s">
        <v>133</v>
      </c>
      <c r="C52" s="160" t="s">
        <v>153</v>
      </c>
      <c r="D52" s="160"/>
      <c r="E52" s="162"/>
      <c r="F52" s="113"/>
    </row>
    <row r="53" spans="2:6" s="12" customFormat="1" ht="15.75" customHeight="1" x14ac:dyDescent="0.25">
      <c r="B53" s="114" t="s">
        <v>134</v>
      </c>
      <c r="C53" s="160" t="s">
        <v>135</v>
      </c>
      <c r="D53" s="160"/>
      <c r="E53" s="162"/>
      <c r="F53" s="113"/>
    </row>
    <row r="54" spans="2:6" s="12" customFormat="1" ht="15.75" customHeight="1" x14ac:dyDescent="0.25">
      <c r="B54" s="114" t="s">
        <v>136</v>
      </c>
      <c r="C54" s="160" t="s">
        <v>137</v>
      </c>
      <c r="D54" s="160"/>
      <c r="E54" s="162"/>
      <c r="F54" s="113"/>
    </row>
    <row r="55" spans="2:6" s="12" customFormat="1" ht="15" x14ac:dyDescent="0.25">
      <c r="B55" s="114" t="s">
        <v>138</v>
      </c>
      <c r="C55" s="160" t="s">
        <v>174</v>
      </c>
      <c r="D55" s="160"/>
      <c r="E55" s="162"/>
      <c r="F55" s="113"/>
    </row>
    <row r="56" spans="2:6" s="12" customFormat="1" ht="15" x14ac:dyDescent="0.25">
      <c r="B56" s="114" t="s">
        <v>139</v>
      </c>
      <c r="C56" s="160" t="s">
        <v>159</v>
      </c>
      <c r="D56" s="160"/>
      <c r="E56" s="162"/>
      <c r="F56" s="113"/>
    </row>
    <row r="57" spans="2:6" s="12" customFormat="1" ht="15" x14ac:dyDescent="0.25">
      <c r="B57" s="116" t="s">
        <v>140</v>
      </c>
      <c r="C57" s="163" t="s">
        <v>172</v>
      </c>
      <c r="D57" s="163"/>
      <c r="E57" s="164"/>
      <c r="F57" s="113"/>
    </row>
  </sheetData>
  <mergeCells count="42">
    <mergeCell ref="C8:G8"/>
    <mergeCell ref="A9:B9"/>
    <mergeCell ref="C11:C12"/>
    <mergeCell ref="A33:E33"/>
    <mergeCell ref="C9:G9"/>
    <mergeCell ref="F33:G33"/>
    <mergeCell ref="A11:A12"/>
    <mergeCell ref="B11:B12"/>
    <mergeCell ref="D11:D12"/>
    <mergeCell ref="E11:E12"/>
    <mergeCell ref="F11:F12"/>
    <mergeCell ref="G11:G12"/>
    <mergeCell ref="A8:B8"/>
    <mergeCell ref="A1:G1"/>
    <mergeCell ref="C4:G4"/>
    <mergeCell ref="C5:G5"/>
    <mergeCell ref="C6:G6"/>
    <mergeCell ref="C7:G7"/>
    <mergeCell ref="A4:B4"/>
    <mergeCell ref="A5:B5"/>
    <mergeCell ref="A6:B6"/>
    <mergeCell ref="A7:B7"/>
    <mergeCell ref="B37:E3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zoomScale="130" zoomScaleNormal="130" workbookViewId="0">
      <selection activeCell="S15" sqref="S15"/>
    </sheetView>
  </sheetViews>
  <sheetFormatPr baseColWidth="10" defaultColWidth="11" defaultRowHeight="12.75" x14ac:dyDescent="0.2"/>
  <cols>
    <col min="1" max="4" width="4.42578125" customWidth="1"/>
    <col min="5" max="5" width="7.5703125" customWidth="1"/>
    <col min="6" max="6" width="5.85546875" bestFit="1" customWidth="1"/>
    <col min="7" max="7" width="4.42578125" style="4" customWidth="1"/>
    <col min="8" max="11" width="4.42578125" customWidth="1"/>
    <col min="12" max="12" width="5" customWidth="1"/>
    <col min="13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221" t="s">
        <v>3</v>
      </c>
      <c r="B1" s="221"/>
      <c r="C1" s="221"/>
      <c r="D1" s="222">
        <f>'Necesidades Trimestrales'!C6</f>
        <v>2022</v>
      </c>
      <c r="E1" s="222"/>
      <c r="F1" s="5"/>
      <c r="G1" s="5"/>
      <c r="H1" s="6"/>
      <c r="I1" s="6"/>
      <c r="J1" s="6"/>
      <c r="K1" s="6"/>
      <c r="L1" s="6"/>
      <c r="M1" s="6"/>
      <c r="N1" s="6"/>
      <c r="P1" s="223" t="s">
        <v>25</v>
      </c>
      <c r="Q1" s="223"/>
    </row>
    <row r="2" spans="1:17" ht="15.75" customHeight="1" x14ac:dyDescent="0.2">
      <c r="H2" s="6"/>
      <c r="I2" s="6"/>
      <c r="J2" s="6"/>
      <c r="K2" s="6"/>
      <c r="L2" s="6"/>
      <c r="M2" s="6"/>
      <c r="N2" s="6"/>
      <c r="P2" s="223"/>
      <c r="Q2" s="223"/>
    </row>
    <row r="4" spans="1:17" s="7" customFormat="1" ht="18" customHeight="1" thickBot="1" x14ac:dyDescent="0.25">
      <c r="A4" s="224" t="s">
        <v>26</v>
      </c>
      <c r="B4" s="224"/>
      <c r="C4" s="224"/>
      <c r="D4" s="224"/>
      <c r="E4" s="224"/>
      <c r="F4" s="224"/>
      <c r="G4" s="225" t="str">
        <f>' NotaPedido'!C4</f>
        <v>12 -Ministerio de Gobierno, Justicia y Derechos Humanos.</v>
      </c>
      <c r="H4" s="225"/>
      <c r="I4" s="225"/>
      <c r="J4" s="225"/>
      <c r="K4" s="225"/>
      <c r="L4" s="225"/>
      <c r="M4" s="225"/>
      <c r="N4" s="225"/>
      <c r="O4" s="225"/>
      <c r="P4" s="225"/>
      <c r="Q4" s="225"/>
    </row>
    <row r="5" spans="1:17" s="7" customFormat="1" ht="32.25" customHeight="1" thickBot="1" x14ac:dyDescent="0.25">
      <c r="A5" s="226" t="s">
        <v>49</v>
      </c>
      <c r="B5" s="227"/>
      <c r="C5" s="227"/>
      <c r="D5" s="227"/>
      <c r="E5" s="227"/>
      <c r="F5" s="228"/>
      <c r="G5" s="229" t="str">
        <f>' NotaPedido'!C5</f>
        <v>06 - Secretaria de Gestion Administrativa del Ministerio de Gobierno, Justicia y Derechos Humanos</v>
      </c>
      <c r="H5" s="229"/>
      <c r="I5" s="229"/>
      <c r="J5" s="229"/>
      <c r="K5" s="229"/>
      <c r="L5" s="229"/>
      <c r="M5" s="229"/>
      <c r="N5" s="229"/>
      <c r="O5" s="229"/>
      <c r="P5" s="229"/>
      <c r="Q5" s="229"/>
    </row>
    <row r="6" spans="1:17" s="7" customFormat="1" ht="18" customHeight="1" thickBot="1" x14ac:dyDescent="0.25">
      <c r="A6" s="226" t="s">
        <v>27</v>
      </c>
      <c r="B6" s="227"/>
      <c r="C6" s="227"/>
      <c r="D6" s="227"/>
      <c r="E6" s="227"/>
      <c r="F6" s="228"/>
      <c r="G6" s="225" t="str">
        <f>' NotaPedido'!C6</f>
        <v>Ministerio de Gobierno, Justicia y Derechos Humanos.</v>
      </c>
      <c r="H6" s="225"/>
      <c r="I6" s="225"/>
      <c r="J6" s="225"/>
      <c r="K6" s="225"/>
      <c r="L6" s="225"/>
      <c r="M6" s="225"/>
      <c r="N6" s="225"/>
      <c r="O6" s="225"/>
      <c r="P6" s="225"/>
      <c r="Q6" s="225"/>
    </row>
    <row r="7" spans="1:17" s="7" customFormat="1" ht="44.25" customHeight="1" thickBot="1" x14ac:dyDescent="0.25">
      <c r="A7" s="226" t="s">
        <v>50</v>
      </c>
      <c r="B7" s="227"/>
      <c r="C7" s="227"/>
      <c r="D7" s="227"/>
      <c r="E7" s="227"/>
      <c r="F7" s="228"/>
      <c r="G7" s="231" t="s">
        <v>67</v>
      </c>
      <c r="H7" s="232"/>
      <c r="I7" s="232"/>
      <c r="J7" s="232"/>
      <c r="K7" s="232"/>
      <c r="L7" s="232"/>
      <c r="M7" s="232"/>
      <c r="N7" s="232"/>
      <c r="O7" s="232"/>
      <c r="P7" s="232"/>
      <c r="Q7" s="233"/>
    </row>
    <row r="8" spans="1:17" ht="18" customHeight="1" thickBot="1" x14ac:dyDescent="0.25">
      <c r="A8" s="230" t="s">
        <v>28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</row>
    <row r="9" spans="1:17" ht="18" customHeight="1" x14ac:dyDescent="0.2">
      <c r="A9" s="234" t="s">
        <v>29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0"/>
      <c r="P9" s="20"/>
      <c r="Q9" s="21"/>
    </row>
    <row r="10" spans="1:17" ht="54.75" customHeight="1" x14ac:dyDescent="0.2">
      <c r="A10" s="235" t="str">
        <f>"Autorizo la realización de los  trámites correspondientes, a fin de proveer a  este Organismo los bienes y/o servicios que se detallan en Nota  de Pedido N° " &amp; ' NotaPedido'!G2&amp;",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26/2022,  afectando la erogación resultante a los créditos presupuestarios aprobados a favor de esta Unidad Ejecutora, conforme al siguiente detalle: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</row>
    <row r="11" spans="1:17" ht="9" customHeight="1" x14ac:dyDescent="0.2">
      <c r="A11" s="16"/>
      <c r="B11" s="17"/>
      <c r="C11" s="17"/>
      <c r="D11" s="17"/>
      <c r="E11" s="17"/>
      <c r="F11" s="17"/>
      <c r="G11" s="18"/>
      <c r="H11" s="17"/>
      <c r="I11" s="17"/>
      <c r="J11" s="17"/>
      <c r="K11" s="17"/>
      <c r="L11" s="17"/>
      <c r="M11" s="17"/>
      <c r="N11" s="17"/>
      <c r="O11" s="17"/>
      <c r="P11" s="17"/>
      <c r="Q11" s="19"/>
    </row>
    <row r="12" spans="1:17" ht="15.75" customHeight="1" thickBot="1" x14ac:dyDescent="0.25">
      <c r="A12" s="208" t="s">
        <v>30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</row>
    <row r="13" spans="1:17" ht="15.75" customHeight="1" thickBot="1" x14ac:dyDescent="0.25">
      <c r="A13" s="209" t="s">
        <v>31</v>
      </c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10"/>
      <c r="O13" s="211" t="s">
        <v>32</v>
      </c>
      <c r="P13" s="212"/>
      <c r="Q13" s="215" t="s">
        <v>33</v>
      </c>
    </row>
    <row r="14" spans="1:17" ht="15.75" customHeight="1" thickBot="1" x14ac:dyDescent="0.25">
      <c r="A14" s="8" t="s">
        <v>34</v>
      </c>
      <c r="B14" s="9" t="s">
        <v>35</v>
      </c>
      <c r="C14" s="9" t="s">
        <v>36</v>
      </c>
      <c r="D14" s="9" t="s">
        <v>37</v>
      </c>
      <c r="E14" s="9" t="s">
        <v>38</v>
      </c>
      <c r="F14" s="9" t="s">
        <v>39</v>
      </c>
      <c r="G14" s="10" t="s">
        <v>40</v>
      </c>
      <c r="H14" s="9" t="s">
        <v>41</v>
      </c>
      <c r="I14" s="9" t="s">
        <v>42</v>
      </c>
      <c r="J14" s="9" t="s">
        <v>43</v>
      </c>
      <c r="K14" s="9" t="s">
        <v>43</v>
      </c>
      <c r="L14" s="9" t="s">
        <v>44</v>
      </c>
      <c r="M14" s="11" t="s">
        <v>45</v>
      </c>
      <c r="N14" s="15" t="s">
        <v>46</v>
      </c>
      <c r="O14" s="213"/>
      <c r="P14" s="214"/>
      <c r="Q14" s="216"/>
    </row>
    <row r="15" spans="1:17" ht="24.75" customHeight="1" thickBot="1" x14ac:dyDescent="0.25">
      <c r="A15" s="106">
        <v>1</v>
      </c>
      <c r="B15" s="107">
        <v>0</v>
      </c>
      <c r="C15" s="107">
        <v>0</v>
      </c>
      <c r="D15" s="107">
        <v>1</v>
      </c>
      <c r="E15" s="107">
        <v>0</v>
      </c>
      <c r="F15" s="107">
        <v>4901</v>
      </c>
      <c r="G15" s="107">
        <v>1</v>
      </c>
      <c r="H15" s="107">
        <v>3</v>
      </c>
      <c r="I15" s="107">
        <v>2</v>
      </c>
      <c r="J15" s="107">
        <v>9</v>
      </c>
      <c r="K15" s="107">
        <v>2</v>
      </c>
      <c r="L15" s="107">
        <v>0</v>
      </c>
      <c r="M15" s="108">
        <v>1</v>
      </c>
      <c r="N15" s="108" t="s">
        <v>51</v>
      </c>
      <c r="O15" s="217" t="s">
        <v>173</v>
      </c>
      <c r="P15" s="218"/>
      <c r="Q15" s="111">
        <v>30000</v>
      </c>
    </row>
    <row r="16" spans="1:17" ht="24.75" customHeight="1" thickBot="1" x14ac:dyDescent="0.25">
      <c r="A16" s="106">
        <v>5</v>
      </c>
      <c r="B16" s="107">
        <v>0</v>
      </c>
      <c r="C16" s="107">
        <v>0</v>
      </c>
      <c r="D16" s="107">
        <v>1</v>
      </c>
      <c r="E16" s="107">
        <v>0</v>
      </c>
      <c r="F16" s="107">
        <v>4901</v>
      </c>
      <c r="G16" s="107">
        <v>3</v>
      </c>
      <c r="H16" s="107">
        <v>2</v>
      </c>
      <c r="I16" s="107">
        <v>2</v>
      </c>
      <c r="J16" s="107">
        <v>9</v>
      </c>
      <c r="K16" s="107">
        <v>2</v>
      </c>
      <c r="L16" s="109">
        <v>0</v>
      </c>
      <c r="M16" s="110">
        <v>1</v>
      </c>
      <c r="N16" s="108" t="s">
        <v>51</v>
      </c>
      <c r="O16" s="217" t="s">
        <v>173</v>
      </c>
      <c r="P16" s="218"/>
      <c r="Q16" s="112">
        <v>14500</v>
      </c>
    </row>
    <row r="17" spans="1:19" ht="24.75" customHeight="1" thickBot="1" x14ac:dyDescent="0.25">
      <c r="A17" s="106">
        <v>6</v>
      </c>
      <c r="B17" s="107">
        <v>0</v>
      </c>
      <c r="C17" s="107">
        <v>0</v>
      </c>
      <c r="D17" s="107">
        <v>1</v>
      </c>
      <c r="E17" s="107">
        <v>0</v>
      </c>
      <c r="F17" s="107">
        <v>4901</v>
      </c>
      <c r="G17" s="107">
        <v>3</v>
      </c>
      <c r="H17" s="107">
        <v>2</v>
      </c>
      <c r="I17" s="107">
        <v>2</v>
      </c>
      <c r="J17" s="107">
        <v>9</v>
      </c>
      <c r="K17" s="107">
        <v>2</v>
      </c>
      <c r="L17" s="109">
        <v>0</v>
      </c>
      <c r="M17" s="110">
        <v>1</v>
      </c>
      <c r="N17" s="108" t="s">
        <v>51</v>
      </c>
      <c r="O17" s="217" t="s">
        <v>173</v>
      </c>
      <c r="P17" s="218"/>
      <c r="Q17" s="112">
        <v>45000</v>
      </c>
    </row>
    <row r="18" spans="1:19" ht="24.75" customHeight="1" thickBot="1" x14ac:dyDescent="0.25">
      <c r="A18" s="106">
        <v>18</v>
      </c>
      <c r="B18" s="107">
        <v>0</v>
      </c>
      <c r="C18" s="107">
        <v>0</v>
      </c>
      <c r="D18" s="107">
        <v>1</v>
      </c>
      <c r="E18" s="107">
        <v>0</v>
      </c>
      <c r="F18" s="107">
        <v>4901</v>
      </c>
      <c r="G18" s="107">
        <v>3</v>
      </c>
      <c r="H18" s="107">
        <v>2</v>
      </c>
      <c r="I18" s="107">
        <v>2</v>
      </c>
      <c r="J18" s="107">
        <v>9</v>
      </c>
      <c r="K18" s="107">
        <v>2</v>
      </c>
      <c r="L18" s="109">
        <v>0</v>
      </c>
      <c r="M18" s="110">
        <v>1</v>
      </c>
      <c r="N18" s="108" t="s">
        <v>51</v>
      </c>
      <c r="O18" s="217" t="s">
        <v>173</v>
      </c>
      <c r="P18" s="218"/>
      <c r="Q18" s="112">
        <v>30000</v>
      </c>
    </row>
    <row r="19" spans="1:19" ht="24.75" customHeight="1" thickBot="1" x14ac:dyDescent="0.25">
      <c r="A19" s="106">
        <v>20</v>
      </c>
      <c r="B19" s="107">
        <v>0</v>
      </c>
      <c r="C19" s="107">
        <v>0</v>
      </c>
      <c r="D19" s="107">
        <v>1</v>
      </c>
      <c r="E19" s="107">
        <v>0</v>
      </c>
      <c r="F19" s="107">
        <v>4901</v>
      </c>
      <c r="G19" s="107">
        <v>3</v>
      </c>
      <c r="H19" s="107">
        <v>6</v>
      </c>
      <c r="I19" s="107">
        <v>2</v>
      </c>
      <c r="J19" s="107">
        <v>9</v>
      </c>
      <c r="K19" s="107">
        <v>2</v>
      </c>
      <c r="L19" s="109">
        <v>0</v>
      </c>
      <c r="M19" s="110">
        <v>1</v>
      </c>
      <c r="N19" s="108" t="s">
        <v>51</v>
      </c>
      <c r="O19" s="217" t="s">
        <v>173</v>
      </c>
      <c r="P19" s="218"/>
      <c r="Q19" s="112">
        <v>28500</v>
      </c>
    </row>
    <row r="20" spans="1:19" ht="24.75" customHeight="1" thickBot="1" x14ac:dyDescent="0.25">
      <c r="A20" s="106">
        <v>22</v>
      </c>
      <c r="B20" s="107">
        <v>0</v>
      </c>
      <c r="C20" s="107">
        <v>0</v>
      </c>
      <c r="D20" s="107">
        <v>1</v>
      </c>
      <c r="E20" s="107">
        <v>0</v>
      </c>
      <c r="F20" s="107">
        <v>4901</v>
      </c>
      <c r="G20" s="107">
        <v>1</v>
      </c>
      <c r="H20" s="107">
        <v>9</v>
      </c>
      <c r="I20" s="107">
        <v>2</v>
      </c>
      <c r="J20" s="107">
        <v>9</v>
      </c>
      <c r="K20" s="107">
        <v>2</v>
      </c>
      <c r="L20" s="109">
        <v>0</v>
      </c>
      <c r="M20" s="110">
        <v>1</v>
      </c>
      <c r="N20" s="108" t="s">
        <v>51</v>
      </c>
      <c r="O20" s="217" t="s">
        <v>173</v>
      </c>
      <c r="P20" s="218"/>
      <c r="Q20" s="112">
        <v>330000</v>
      </c>
    </row>
    <row r="21" spans="1:19" ht="24.75" customHeight="1" thickBot="1" x14ac:dyDescent="0.25">
      <c r="A21" s="106">
        <v>23</v>
      </c>
      <c r="B21" s="107">
        <v>0</v>
      </c>
      <c r="C21" s="107">
        <v>0</v>
      </c>
      <c r="D21" s="107">
        <v>1</v>
      </c>
      <c r="E21" s="107">
        <v>0</v>
      </c>
      <c r="F21" s="107">
        <v>4901</v>
      </c>
      <c r="G21" s="107">
        <v>1</v>
      </c>
      <c r="H21" s="107">
        <v>9</v>
      </c>
      <c r="I21" s="107">
        <v>2</v>
      </c>
      <c r="J21" s="107">
        <v>9</v>
      </c>
      <c r="K21" s="107">
        <v>2</v>
      </c>
      <c r="L21" s="109">
        <v>0</v>
      </c>
      <c r="M21" s="110">
        <v>1</v>
      </c>
      <c r="N21" s="108" t="s">
        <v>51</v>
      </c>
      <c r="O21" s="217" t="s">
        <v>173</v>
      </c>
      <c r="P21" s="218"/>
      <c r="Q21" s="112">
        <v>3000</v>
      </c>
    </row>
    <row r="22" spans="1:19" ht="24.75" customHeight="1" x14ac:dyDescent="0.2">
      <c r="A22" s="106">
        <v>27</v>
      </c>
      <c r="B22" s="107">
        <v>0</v>
      </c>
      <c r="C22" s="107">
        <v>0</v>
      </c>
      <c r="D22" s="107">
        <v>1</v>
      </c>
      <c r="E22" s="107">
        <v>0</v>
      </c>
      <c r="F22" s="107">
        <v>4901</v>
      </c>
      <c r="G22" s="107">
        <v>1</v>
      </c>
      <c r="H22" s="107">
        <v>5</v>
      </c>
      <c r="I22" s="107">
        <v>2</v>
      </c>
      <c r="J22" s="107">
        <v>9</v>
      </c>
      <c r="K22" s="107">
        <v>2</v>
      </c>
      <c r="L22" s="109">
        <v>0</v>
      </c>
      <c r="M22" s="110">
        <v>1</v>
      </c>
      <c r="N22" s="108" t="s">
        <v>51</v>
      </c>
      <c r="O22" s="217" t="s">
        <v>173</v>
      </c>
      <c r="P22" s="218"/>
      <c r="Q22" s="112">
        <v>50000</v>
      </c>
    </row>
    <row r="23" spans="1:19" ht="17.25" customHeight="1" x14ac:dyDescent="0.2">
      <c r="A23" s="22"/>
      <c r="B23" s="23"/>
      <c r="C23" s="23"/>
      <c r="D23" s="23"/>
      <c r="E23" s="23"/>
      <c r="F23" s="27"/>
      <c r="G23" s="23"/>
      <c r="H23" s="23"/>
      <c r="I23" s="23"/>
      <c r="J23" s="23"/>
      <c r="K23" s="23"/>
      <c r="L23" s="23"/>
      <c r="M23" s="24"/>
      <c r="N23" s="25"/>
      <c r="O23" s="196"/>
      <c r="P23" s="197"/>
      <c r="Q23" s="26"/>
    </row>
    <row r="24" spans="1:19" ht="17.25" customHeight="1" x14ac:dyDescent="0.2">
      <c r="A24" s="28"/>
      <c r="B24" s="29"/>
      <c r="C24" s="29"/>
      <c r="D24" s="29"/>
      <c r="E24" s="29"/>
      <c r="F24" s="30"/>
      <c r="G24" s="29"/>
      <c r="H24" s="29"/>
      <c r="I24" s="29"/>
      <c r="J24" s="29"/>
      <c r="K24" s="29"/>
      <c r="L24" s="29"/>
      <c r="M24" s="31"/>
      <c r="N24" s="32"/>
      <c r="O24" s="196"/>
      <c r="P24" s="197"/>
      <c r="Q24" s="26"/>
      <c r="R24" s="1"/>
    </row>
    <row r="25" spans="1:19" ht="17.25" customHeight="1" x14ac:dyDescent="0.2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  <c r="N25" s="35"/>
      <c r="O25" s="204"/>
      <c r="P25" s="205"/>
      <c r="Q25" s="36"/>
    </row>
    <row r="26" spans="1:19" ht="33.75" customHeight="1" x14ac:dyDescent="0.2">
      <c r="A26" s="206" t="s">
        <v>143</v>
      </c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37">
        <f>SUM(Q15:Q25)</f>
        <v>531000</v>
      </c>
    </row>
    <row r="27" spans="1:19" ht="18" customHeight="1" thickBot="1" x14ac:dyDescent="0.25">
      <c r="A27" s="207"/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</row>
    <row r="28" spans="1:19" ht="17.25" customHeight="1" thickBot="1" x14ac:dyDescent="0.25">
      <c r="A28" s="198" t="s">
        <v>47</v>
      </c>
      <c r="B28" s="199"/>
      <c r="C28" s="199"/>
      <c r="D28" s="199"/>
      <c r="E28" s="199"/>
      <c r="F28" s="200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</row>
    <row r="29" spans="1:19" ht="18" customHeight="1" thickBot="1" x14ac:dyDescent="0.25">
      <c r="A29" s="202" t="str">
        <f>' NotaPedido'!C9</f>
        <v>ADQ. DE TINTAS Y TONERS DESTINADOS A LAS DISTINTAS DEPENDENCIAS DEL MINISTERIO DE GOBIERNO JUSTICIA Y DERECHOS HUMANOS, 
PARA EL 2do TRIMESTRE DEL AÑO 2022.</v>
      </c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</row>
    <row r="30" spans="1:19" ht="28.5" customHeight="1" thickBot="1" x14ac:dyDescent="0.25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</row>
    <row r="31" spans="1:19" ht="15.75" thickBot="1" x14ac:dyDescent="0.25">
      <c r="A31" s="198" t="s">
        <v>52</v>
      </c>
      <c r="B31" s="199"/>
      <c r="C31" s="199"/>
      <c r="D31" s="199"/>
      <c r="E31" s="199"/>
      <c r="F31" s="200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20"/>
      <c r="S31" s="14"/>
    </row>
    <row r="32" spans="1:19" ht="13.5" customHeight="1" thickBot="1" x14ac:dyDescent="0.25">
      <c r="A32" s="74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6"/>
    </row>
    <row r="33" ht="13.5" customHeight="1" x14ac:dyDescent="0.2"/>
    <row r="34" ht="13.5" customHeight="1" x14ac:dyDescent="0.2"/>
  </sheetData>
  <mergeCells count="36">
    <mergeCell ref="A31:F31"/>
    <mergeCell ref="G31:Q31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22:P22"/>
    <mergeCell ref="O20:P20"/>
    <mergeCell ref="O21:P21"/>
    <mergeCell ref="O15:P15"/>
    <mergeCell ref="O16:P16"/>
    <mergeCell ref="O17:P17"/>
    <mergeCell ref="O18:P18"/>
    <mergeCell ref="O19:P19"/>
    <mergeCell ref="O23:P23"/>
    <mergeCell ref="A28:F28"/>
    <mergeCell ref="G28:Q28"/>
    <mergeCell ref="A29:Q30"/>
    <mergeCell ref="O24:P24"/>
    <mergeCell ref="O25:P25"/>
    <mergeCell ref="A26:P26"/>
    <mergeCell ref="A27:Q27"/>
  </mergeCells>
  <phoneticPr fontId="15" type="noConversion"/>
  <printOptions horizontalCentered="1"/>
  <pageMargins left="0.39370078740157483" right="0.39370078740157483" top="0.98425196850393704" bottom="0.98425196850393704" header="0.51181102362204722" footer="0.51181102362204722"/>
  <pageSetup paperSize="5" scale="85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APG</vt:lpstr>
      <vt:lpstr>' NotaPedido'!Área_de_impresión</vt:lpstr>
      <vt:lpstr>APG!Área_de_impresión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Usuario</cp:lastModifiedBy>
  <cp:revision>2</cp:revision>
  <cp:lastPrinted>2022-05-03T15:22:07Z</cp:lastPrinted>
  <dcterms:created xsi:type="dcterms:W3CDTF">2020-07-17T23:44:49Z</dcterms:created>
  <dcterms:modified xsi:type="dcterms:W3CDTF">2022-05-12T13:35:23Z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