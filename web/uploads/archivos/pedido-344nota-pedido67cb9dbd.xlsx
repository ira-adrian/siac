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OLFO SARTOR\Downloads\UTILES DE ESCRITORIO Ministerio de Trabajo\"/>
    </mc:Choice>
  </mc:AlternateContent>
  <xr:revisionPtr revIDLastSave="0" documentId="8_{57A15C96-BB16-48CA-A892-C77EAD19D3DA}" xr6:coauthVersionLast="47" xr6:coauthVersionMax="47" xr10:uidLastSave="{00000000-0000-0000-0000-000000000000}"/>
  <bookViews>
    <workbookView xWindow="-120" yWindow="-120" windowWidth="29040" windowHeight="15840" tabRatio="500" firstSheet="1" activeTab="1" xr2:uid="{00000000-000D-0000-FFFF-FFFF00000000}"/>
  </bookViews>
  <sheets>
    <sheet name="Hoja1" sheetId="2" state="hidden" r:id="rId1"/>
    <sheet name="Utiles de Escritorio" sheetId="17" r:id="rId2"/>
  </sheets>
  <externalReferences>
    <externalReference r:id="rId3"/>
    <externalReference r:id="rId4"/>
  </externalReferences>
  <definedNames>
    <definedName name="_xlnm._FilterDatabase" localSheetId="1" hidden="1">'Utiles de Escritorio'!$A$9:$I$63</definedName>
    <definedName name="_xlcn.WorksheetConnection_RelevamientodeHardMinisteriodeTrabajoyRRHH20base.xlsxTabla11" localSheetId="1" hidden="1">[1]!Tabla1[#Data]</definedName>
    <definedName name="_xlcn.WorksheetConnection_RelevamientodeHardMinisteriodeTrabajoyRRHH20base.xlsxTabla11" hidden="1">[2]!Tabla1[#Data]</definedName>
    <definedName name="ORGANIGRAMA" localSheetId="1">#REF!</definedName>
    <definedName name="ORGANIGRAMA">#REF!</definedName>
    <definedName name="toners" localSheetId="1">#REF!</definedName>
    <definedName name="toners">#REF!</definedName>
  </definedNames>
  <calcPr calcId="181029"/>
</workbook>
</file>

<file path=xl/calcChain.xml><?xml version="1.0" encoding="utf-8"?>
<calcChain xmlns="http://schemas.openxmlformats.org/spreadsheetml/2006/main">
  <c r="I62" i="17" l="1"/>
  <c r="I61" i="17"/>
  <c r="I60" i="17"/>
  <c r="I59" i="17"/>
  <c r="D59" i="17"/>
  <c r="I58" i="17"/>
  <c r="D58" i="17"/>
  <c r="I57" i="17"/>
  <c r="D57" i="17"/>
  <c r="I56" i="17"/>
  <c r="D56" i="17"/>
  <c r="I55" i="17"/>
  <c r="D55" i="17"/>
  <c r="I54" i="17"/>
  <c r="D54" i="17"/>
  <c r="I53" i="17"/>
  <c r="D53" i="17"/>
  <c r="I52" i="17"/>
  <c r="D52" i="17"/>
  <c r="I51" i="17"/>
  <c r="D51" i="17"/>
  <c r="I50" i="17"/>
  <c r="D50" i="17"/>
  <c r="I49" i="17"/>
  <c r="D49" i="17"/>
  <c r="I48" i="17"/>
  <c r="D48" i="17"/>
  <c r="I47" i="17"/>
  <c r="D47" i="17"/>
  <c r="I46" i="17"/>
  <c r="D46" i="17"/>
  <c r="I45" i="17"/>
  <c r="D45" i="17"/>
  <c r="I44" i="17"/>
  <c r="D44" i="17"/>
  <c r="I43" i="17"/>
  <c r="D43" i="17"/>
  <c r="I42" i="17"/>
  <c r="D42" i="17"/>
  <c r="I41" i="17"/>
  <c r="D41" i="17"/>
  <c r="I40" i="17"/>
  <c r="D40" i="17"/>
  <c r="I39" i="17"/>
  <c r="D39" i="17"/>
  <c r="I38" i="17"/>
  <c r="D38" i="17"/>
  <c r="I37" i="17"/>
  <c r="D37" i="17"/>
  <c r="I36" i="17"/>
  <c r="D36" i="17"/>
  <c r="I35" i="17"/>
  <c r="D35" i="17"/>
  <c r="I34" i="17"/>
  <c r="D34" i="17"/>
  <c r="I33" i="17"/>
  <c r="D33" i="17"/>
  <c r="I32" i="17"/>
  <c r="D32" i="17"/>
  <c r="I31" i="17"/>
  <c r="D31" i="17"/>
  <c r="I30" i="17"/>
  <c r="D30" i="17"/>
  <c r="I29" i="17"/>
  <c r="D29" i="17"/>
  <c r="I28" i="17"/>
  <c r="D28" i="17"/>
  <c r="I27" i="17"/>
  <c r="D27" i="17"/>
  <c r="I26" i="17"/>
  <c r="D26" i="17"/>
  <c r="I25" i="17"/>
  <c r="D25" i="17"/>
  <c r="I24" i="17"/>
  <c r="D24" i="17"/>
  <c r="I23" i="17"/>
  <c r="D23" i="17"/>
  <c r="I22" i="17"/>
  <c r="D22" i="17"/>
  <c r="I21" i="17"/>
  <c r="D21" i="17"/>
  <c r="I20" i="17"/>
  <c r="D20" i="17"/>
  <c r="I19" i="17"/>
  <c r="D19" i="17"/>
  <c r="I18" i="17"/>
  <c r="D18" i="17"/>
  <c r="I17" i="17"/>
  <c r="I16" i="17"/>
  <c r="D16" i="17"/>
  <c r="D15" i="17"/>
  <c r="I14" i="17"/>
  <c r="D14" i="17"/>
  <c r="I13" i="17"/>
  <c r="D13" i="17"/>
  <c r="I12" i="17"/>
  <c r="D12" i="17"/>
  <c r="I11" i="17"/>
  <c r="D11" i="17"/>
  <c r="I10" i="17"/>
  <c r="D10" i="17"/>
  <c r="I63" i="17" l="1"/>
</calcChain>
</file>

<file path=xl/sharedStrings.xml><?xml version="1.0" encoding="utf-8"?>
<sst xmlns="http://schemas.openxmlformats.org/spreadsheetml/2006/main" count="272" uniqueCount="157">
  <si>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</si>
  <si>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</si>
  <si>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</si>
  <si>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</si>
  <si>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</si>
  <si>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</si>
  <si>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</si>
  <si>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</si>
  <si>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</si>
  <si>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</si>
  <si>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</si>
  <si>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</si>
  <si>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</si>
  <si>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</si>
  <si>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</si>
  <si>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Descripción técnica</t>
  </si>
  <si>
    <t>Plazos y lugares de entrega</t>
  </si>
  <si>
    <t>Calidad Minima esperada</t>
  </si>
  <si>
    <t>Mantenimiento</t>
  </si>
  <si>
    <t>Garantia</t>
  </si>
  <si>
    <t>LIBRERIA,PAP. Y UTILES OFICINA</t>
  </si>
  <si>
    <t>2.9.2-1358.34</t>
  </si>
  <si>
    <r>
      <t xml:space="preserve">Que Cumpla con lo Solicitado de Forma Integra. </t>
    </r>
    <r>
      <rPr>
        <b/>
        <u/>
        <sz val="10"/>
        <rFont val="Times New Roman"/>
        <family val="1"/>
      </rPr>
      <t/>
    </r>
  </si>
  <si>
    <t>2.3.1-6563.1009</t>
  </si>
  <si>
    <t>2.3.1-6563.968</t>
  </si>
  <si>
    <t>2.3.1-6587.333</t>
  </si>
  <si>
    <t>2.3.1-6587.346</t>
  </si>
  <si>
    <t>2.3.1-6590.555</t>
  </si>
  <si>
    <t>2.3.1-6590.556</t>
  </si>
  <si>
    <t>2.9.2-1153.35</t>
  </si>
  <si>
    <t>2.9.2-1153.47</t>
  </si>
  <si>
    <t>2.9.2-1153.90</t>
  </si>
  <si>
    <t>2.9.2-1354.15</t>
  </si>
  <si>
    <t>2.9.2-1354.17</t>
  </si>
  <si>
    <t>2.9.2-1354.28</t>
  </si>
  <si>
    <t>2.9.2-1354.29</t>
  </si>
  <si>
    <t>2.9.2-1358.35</t>
  </si>
  <si>
    <t>2.9.2-1450.30</t>
  </si>
  <si>
    <t xml:space="preserve">UNIDAD </t>
  </si>
  <si>
    <t>2.9.2-1450.4</t>
  </si>
  <si>
    <t>2.9.2-1616.128</t>
  </si>
  <si>
    <t>2.9.2-1616.134</t>
  </si>
  <si>
    <t>2.9.2-1616.79</t>
  </si>
  <si>
    <t>2.9.2-261.14</t>
  </si>
  <si>
    <t>2.9.2-262.4</t>
  </si>
  <si>
    <t>2.9.2-262.45</t>
  </si>
  <si>
    <t>2.9.2-274.49</t>
  </si>
  <si>
    <t>2.9.2-274.73</t>
  </si>
  <si>
    <t>2.9.2-317.1</t>
  </si>
  <si>
    <t>2.9.2-317.17</t>
  </si>
  <si>
    <t>2.9.2-660.10</t>
  </si>
  <si>
    <t>2.9.2-700.59</t>
  </si>
  <si>
    <t>2.9.2-758.8</t>
  </si>
  <si>
    <t>2.9.2-790.10</t>
  </si>
  <si>
    <t>2.9.2-791.9</t>
  </si>
  <si>
    <t>2.9.2-848.20</t>
  </si>
  <si>
    <t>2.9.2-848.22</t>
  </si>
  <si>
    <t>2.9.2-853.30</t>
  </si>
  <si>
    <t>2.9.2-853.31</t>
  </si>
  <si>
    <t>2.9.2-873.1</t>
  </si>
  <si>
    <t>2.9.2-317.21</t>
  </si>
  <si>
    <t>2.9.2-674.9</t>
  </si>
  <si>
    <t>2.9.2-661.11</t>
  </si>
  <si>
    <t>30 (treinta)  días habiles</t>
  </si>
  <si>
    <t>2.3.1-928.8</t>
  </si>
  <si>
    <r>
      <t xml:space="preserve">PAPELES ENCUADERNADOS; CANT. DE </t>
    </r>
    <r>
      <rPr>
        <b/>
        <sz val="10"/>
        <rFont val="Times New Roman"/>
        <family val="1"/>
      </rPr>
      <t>HOJAS: 100, TAMAÑO: A4, TIPO: CUADERNO ESPIRALADO TAPA DURA, C</t>
    </r>
    <r>
      <rPr>
        <sz val="10"/>
        <rFont val="Times New Roman"/>
        <family val="1"/>
      </rPr>
      <t>ERTIFICADO FORESTAL (GFS): SIN, PORC. FIBRAS RECICLADAS: 0 %, CERT. FIBRA ALTERNATIVA (FCA): SIN</t>
    </r>
  </si>
  <si>
    <r>
      <rPr>
        <b/>
        <sz val="10"/>
        <rFont val="Times New Roman"/>
        <family val="1"/>
      </rPr>
      <t>SOBRES DE PAPEL</t>
    </r>
    <r>
      <rPr>
        <sz val="10"/>
        <rFont val="Times New Roman"/>
        <family val="1"/>
      </rPr>
      <t>; TIPO: MANILA, TAMAÑO: OFICIO, GRAMAJE: 80 GR, PRESENTACION: UNIDAD, CERTIFICADO FORESTAL (GFS): SIN, PORC. FIBRAS RECICLADAS: 0 %, CERT. FIBRA ALTERNATIVA (FCA): SIN</t>
    </r>
  </si>
  <si>
    <r>
      <rPr>
        <b/>
        <sz val="10"/>
        <rFont val="Times New Roman"/>
        <family val="1"/>
      </rPr>
      <t>SOBRES DE PAPEL;</t>
    </r>
    <r>
      <rPr>
        <sz val="10"/>
        <rFont val="Times New Roman"/>
        <family val="1"/>
      </rPr>
      <t xml:space="preserve"> TIPO: MANILA, TAMAÑO: A4, GRAMAJE: 80 GR, PRESENTACION: UNIDAD, CERTIFICADO FORESTAL (GFS): SIN, PORC. FIBRAS RECICLADAS: 0 %, CERT. FIBRA ALTERNATIVA (FCA): SIN</t>
    </r>
  </si>
  <si>
    <r>
      <rPr>
        <b/>
        <sz val="10"/>
        <rFont val="Times New Roman"/>
        <family val="1"/>
      </rPr>
      <t>CINTAS ADHESIVAS; TIPO: EMBALAR, COLOR MARRON</t>
    </r>
    <r>
      <rPr>
        <sz val="10"/>
        <rFont val="Times New Roman"/>
        <family val="1"/>
      </rPr>
      <t>, ANCHO: 5 Cm, LARGO ROLLO: 50 M, MATERIAL: CELOFAN, ACCESORIO: SIN, LARGO: 50 M</t>
    </r>
  </si>
  <si>
    <r>
      <rPr>
        <b/>
        <sz val="10"/>
        <rFont val="Times New Roman"/>
        <family val="1"/>
      </rPr>
      <t xml:space="preserve">CINTAS ADHESIVAS; TIPO: ADHESIVA, ANCHO: 12 Cm, </t>
    </r>
    <r>
      <rPr>
        <sz val="10"/>
        <rFont val="Times New Roman"/>
        <family val="1"/>
      </rPr>
      <t>LARGO ROLLO: 50 M, MATERIAL: PLASTICO, ACCESORIO: SIN, LARGO: 50 M</t>
    </r>
  </si>
  <si>
    <r>
      <rPr>
        <b/>
        <sz val="10"/>
        <rFont val="Times New Roman"/>
        <family val="1"/>
      </rPr>
      <t>CINTAS ADHESIVAS; TIPO: EMBALAR, ANCHO: 48 mm</t>
    </r>
    <r>
      <rPr>
        <sz val="10"/>
        <rFont val="Times New Roman"/>
        <family val="1"/>
      </rPr>
      <t>, LARGO ROLLO: 50 M, MATERIAL: PLASTICO, ACCESORIO: SIN, LARGO: 50 M</t>
    </r>
  </si>
  <si>
    <r>
      <rPr>
        <b/>
        <sz val="10"/>
        <rFont val="Times New Roman"/>
        <family val="1"/>
      </rPr>
      <t>TINTAS P/SELLOS</t>
    </r>
    <r>
      <rPr>
        <sz val="10"/>
        <rFont val="Times New Roman"/>
        <family val="1"/>
      </rPr>
      <t>; TIPO DE SELLO: DE GOMA, ENVASE: 60 CM3, COLOR: AZUL, PRESENTACION: ENVASE X 60 CM3</t>
    </r>
  </si>
  <si>
    <r>
      <rPr>
        <b/>
        <sz val="10"/>
        <rFont val="Times New Roman"/>
        <family val="1"/>
      </rPr>
      <t xml:space="preserve">MARCADORES; </t>
    </r>
    <r>
      <rPr>
        <sz val="10"/>
        <rFont val="Times New Roman"/>
        <family val="1"/>
      </rPr>
      <t>TIPO PARA PIZARRA - TRAZO GRUESO - PUNTA REDONDA - RECARGABLE NO</t>
    </r>
  </si>
  <si>
    <r>
      <rPr>
        <b/>
        <sz val="10"/>
        <rFont val="Times New Roman"/>
        <family val="1"/>
      </rPr>
      <t xml:space="preserve">ADHESIVOS P/PAPEL; </t>
    </r>
    <r>
      <rPr>
        <sz val="10"/>
        <rFont val="Times New Roman"/>
        <family val="1"/>
      </rPr>
      <t>PRESENTACION: 30 CM3, TIPO: TRANSPARENTE</t>
    </r>
  </si>
  <si>
    <r>
      <rPr>
        <b/>
        <sz val="10"/>
        <rFont val="Times New Roman"/>
        <family val="1"/>
      </rPr>
      <t>BIBLIORATOS</t>
    </r>
    <r>
      <rPr>
        <sz val="10"/>
        <rFont val="Times New Roman"/>
        <family val="1"/>
      </rPr>
      <t xml:space="preserve">; ANCHO: 80 mm, ANILLO: 2 Y PALANCA, TAMAÑO: </t>
    </r>
    <r>
      <rPr>
        <b/>
        <sz val="10"/>
        <rFont val="Times New Roman"/>
        <family val="1"/>
      </rPr>
      <t>A4</t>
    </r>
    <r>
      <rPr>
        <sz val="10"/>
        <rFont val="Times New Roman"/>
        <family val="1"/>
      </rPr>
      <t>, MATERIAL: CARTON FORRADO EN PVC</t>
    </r>
  </si>
  <si>
    <r>
      <rPr>
        <b/>
        <sz val="10"/>
        <rFont val="Times New Roman"/>
        <family val="1"/>
      </rPr>
      <t>BOLIGRAFOS</t>
    </r>
    <r>
      <rPr>
        <sz val="10"/>
        <rFont val="Times New Roman"/>
        <family val="1"/>
      </rPr>
      <t>; COLOR TINTA: AZUL, TRAZO: 0,7 mm</t>
    </r>
  </si>
  <si>
    <r>
      <rPr>
        <b/>
        <sz val="10"/>
        <rFont val="Times New Roman"/>
        <family val="1"/>
      </rPr>
      <t>BOLIGRAFOS;</t>
    </r>
    <r>
      <rPr>
        <sz val="10"/>
        <rFont val="Times New Roman"/>
        <family val="1"/>
      </rPr>
      <t xml:space="preserve"> TRAZO: 0,1 mm, COLOR TINTA: AZUL</t>
    </r>
  </si>
  <si>
    <r>
      <rPr>
        <b/>
        <sz val="10"/>
        <rFont val="Times New Roman"/>
        <family val="1"/>
      </rPr>
      <t>BOLIGRAFOS</t>
    </r>
    <r>
      <rPr>
        <sz val="10"/>
        <rFont val="Times New Roman"/>
        <family val="1"/>
      </rPr>
      <t>; TRAZO: GRUESO, COLOR TINTA: NEGRO</t>
    </r>
  </si>
  <si>
    <r>
      <rPr>
        <b/>
        <sz val="10"/>
        <rFont val="Times New Roman"/>
        <family val="1"/>
      </rPr>
      <t>REGLAS GRADUADAS</t>
    </r>
    <r>
      <rPr>
        <sz val="10"/>
        <rFont val="Times New Roman"/>
        <family val="1"/>
      </rPr>
      <t>; TIPO: PLANA, MATERIAL: PLASTICO, LONG.DE CUERPO: 30 Cm</t>
    </r>
  </si>
  <si>
    <r>
      <rPr>
        <b/>
        <sz val="10"/>
        <rFont val="Times New Roman"/>
        <family val="1"/>
      </rPr>
      <t>BROCHES P/ABROCHADORA</t>
    </r>
    <r>
      <rPr>
        <sz val="10"/>
        <rFont val="Times New Roman"/>
        <family val="1"/>
      </rPr>
      <t>; NUMERO: 23, PRESENTACION: CAJA X 1000</t>
    </r>
  </si>
  <si>
    <r>
      <rPr>
        <b/>
        <sz val="10"/>
        <rFont val="Times New Roman"/>
        <family val="1"/>
      </rPr>
      <t xml:space="preserve">TIJERAS </t>
    </r>
    <r>
      <rPr>
        <sz val="10"/>
        <rFont val="Times New Roman"/>
        <family val="1"/>
      </rPr>
      <t>P/CORTAR PAPELES; CUCHILLA: PUNTIAGUDAS, MATERIAL: ACERO BRUÑIDO, MANGO: PLASTICO, LONG.DE CUERPO: 17 Cm</t>
    </r>
  </si>
  <si>
    <r>
      <rPr>
        <b/>
        <sz val="10"/>
        <rFont val="Times New Roman"/>
        <family val="1"/>
      </rPr>
      <t xml:space="preserve">CUTER; </t>
    </r>
    <r>
      <rPr>
        <sz val="10"/>
        <rFont val="Times New Roman"/>
        <family val="1"/>
      </rPr>
      <t>ANCHO HOJA: 12 mm, MATERIAL MANGO: METAL, TIPO HOJA: MOVIL SECCIONABLE, TIPO DE HOJA: MOVIL SECCIONABLE, ANCHO DE HOJA: 12 mm</t>
    </r>
  </si>
  <si>
    <r>
      <rPr>
        <b/>
        <sz val="10"/>
        <rFont val="Times New Roman"/>
        <family val="1"/>
      </rPr>
      <t xml:space="preserve">TALONARIOS NOTAS </t>
    </r>
    <r>
      <rPr>
        <sz val="10"/>
        <rFont val="Times New Roman"/>
        <family val="1"/>
      </rPr>
      <t>AUTOADHESIVAS; MEDIDA 76 X 76mm</t>
    </r>
  </si>
  <si>
    <r>
      <rPr>
        <b/>
        <sz val="10"/>
        <rFont val="Times New Roman"/>
        <family val="1"/>
      </rPr>
      <t>LAPIZ</t>
    </r>
    <r>
      <rPr>
        <sz val="10"/>
        <rFont val="Times New Roman"/>
        <family val="1"/>
      </rPr>
      <t>; TIPO: 2HB, COLOR: NEGRO</t>
    </r>
  </si>
  <si>
    <r>
      <rPr>
        <b/>
        <sz val="10"/>
        <rFont val="Times New Roman"/>
        <family val="1"/>
      </rPr>
      <t>LAPIZ;</t>
    </r>
    <r>
      <rPr>
        <sz val="10"/>
        <rFont val="Times New Roman"/>
        <family val="1"/>
      </rPr>
      <t xml:space="preserve"> TIPO: CON GOMA, COLOR: NEGRO</t>
    </r>
  </si>
  <si>
    <r>
      <rPr>
        <b/>
        <sz val="10"/>
        <rFont val="Times New Roman"/>
        <family val="1"/>
      </rPr>
      <t>GOMAS DE BORRAR</t>
    </r>
    <r>
      <rPr>
        <sz val="10"/>
        <rFont val="Times New Roman"/>
        <family val="1"/>
      </rPr>
      <t>; USO: LAPIZ Y TINTA, CANT. X CAJA: 36, DIMENSION: 4 X 1 X 1 Cm, MATERIAL: PLASTICO, PRESENTACION: CAJA X 36</t>
    </r>
  </si>
  <si>
    <r>
      <rPr>
        <b/>
        <sz val="10"/>
        <rFont val="Times New Roman"/>
        <family val="1"/>
      </rPr>
      <t>BROCHES P/EXPEDIENTE</t>
    </r>
    <r>
      <rPr>
        <sz val="10"/>
        <rFont val="Times New Roman"/>
        <family val="1"/>
      </rPr>
      <t xml:space="preserve">; TIPO: </t>
    </r>
    <r>
      <rPr>
        <b/>
        <sz val="10"/>
        <rFont val="Times New Roman"/>
        <family val="1"/>
      </rPr>
      <t>MARIPOSA</t>
    </r>
    <r>
      <rPr>
        <sz val="10"/>
        <rFont val="Times New Roman"/>
        <family val="1"/>
      </rPr>
      <t>, LONG.DE CUERPO: 25 mm</t>
    </r>
  </si>
  <si>
    <r>
      <rPr>
        <b/>
        <sz val="10"/>
        <rFont val="Times New Roman"/>
        <family val="1"/>
      </rPr>
      <t>ARANDELAS DE CARTON;</t>
    </r>
    <r>
      <rPr>
        <sz val="10"/>
        <rFont val="Times New Roman"/>
        <family val="1"/>
      </rPr>
      <t xml:space="preserve"> DIAMETRO: 1 pulg, PRESENTACION: CAJA X 500 UNIDADES</t>
    </r>
  </si>
  <si>
    <r>
      <rPr>
        <b/>
        <sz val="10"/>
        <rFont val="Times New Roman"/>
        <family val="1"/>
      </rPr>
      <t>PINCHES P/PAPELES</t>
    </r>
    <r>
      <rPr>
        <sz val="10"/>
        <rFont val="Times New Roman"/>
        <family val="1"/>
      </rPr>
      <t>; ALTURA 125mm - BASE METAL</t>
    </r>
  </si>
  <si>
    <r>
      <t xml:space="preserve">PAPELES EN HOJA; TIPO DE PAPEL: BLANCO, DIMENSION: </t>
    </r>
    <r>
      <rPr>
        <b/>
        <sz val="10"/>
        <rFont val="Times New Roman"/>
        <family val="1"/>
      </rPr>
      <t>OFICIO</t>
    </r>
    <r>
      <rPr>
        <sz val="10"/>
        <rFont val="Times New Roman"/>
        <family val="1"/>
      </rPr>
      <t xml:space="preserve">, GRAMAJE: 80 GR, PRESENTACION: </t>
    </r>
    <r>
      <rPr>
        <b/>
        <sz val="10"/>
        <rFont val="Times New Roman"/>
        <family val="1"/>
      </rPr>
      <t>ENVASE X 500 HOJAS</t>
    </r>
    <r>
      <rPr>
        <sz val="10"/>
        <rFont val="Times New Roman"/>
        <family val="1"/>
      </rPr>
      <t>, CERTIFICADO FORESTAL (GFS): SIN, PORC. FIBRAS RECICLADAS: 0 %, CERT. FIBRA ALTERNATIVA (FCA): SIN</t>
    </r>
  </si>
  <si>
    <r>
      <t>PAPELES EN HOJA; TIPO DE PAPEL: EXTRA BLANCO, DIMENSION:</t>
    </r>
    <r>
      <rPr>
        <b/>
        <sz val="10"/>
        <rFont val="Times New Roman"/>
        <family val="1"/>
      </rPr>
      <t xml:space="preserve"> A4</t>
    </r>
    <r>
      <rPr>
        <sz val="10"/>
        <rFont val="Times New Roman"/>
        <family val="1"/>
      </rPr>
      <t>, GRAMAJE: 80 GR, PRESENTACION:</t>
    </r>
    <r>
      <rPr>
        <b/>
        <sz val="10"/>
        <rFont val="Times New Roman"/>
        <family val="1"/>
      </rPr>
      <t xml:space="preserve"> RESMA X 500 HOJAS</t>
    </r>
    <r>
      <rPr>
        <sz val="10"/>
        <rFont val="Times New Roman"/>
        <family val="1"/>
      </rPr>
      <t>, CERTIFICADO FORESTAL (GFS): SIN, PORC. FIBRAS RECICLADAS: 0 %, CERT. FIBRA ALTERNATIVA (FCA): CON</t>
    </r>
  </si>
  <si>
    <r>
      <rPr>
        <b/>
        <sz val="10"/>
        <rFont val="Times New Roman"/>
        <family val="1"/>
      </rPr>
      <t>BROCHES P/EXPEDIENTE</t>
    </r>
    <r>
      <rPr>
        <sz val="10"/>
        <rFont val="Times New Roman"/>
        <family val="1"/>
      </rPr>
      <t>; TIPO: MARIPOSA, LONG.DE CUERPO: 75 mm</t>
    </r>
  </si>
  <si>
    <t>2.9.2-853.17</t>
  </si>
  <si>
    <r>
      <rPr>
        <b/>
        <sz val="10"/>
        <rFont val="Times New Roman"/>
        <family val="1"/>
      </rPr>
      <t>BROCHES</t>
    </r>
    <r>
      <rPr>
        <sz val="10"/>
        <rFont val="Times New Roman"/>
        <family val="1"/>
      </rPr>
      <t xml:space="preserve"> P/EXPEDIENTE; TIPO:</t>
    </r>
    <r>
      <rPr>
        <b/>
        <sz val="10"/>
        <rFont val="Times New Roman"/>
        <family val="1"/>
      </rPr>
      <t xml:space="preserve"> MARIPOSA,</t>
    </r>
    <r>
      <rPr>
        <sz val="10"/>
        <rFont val="Times New Roman"/>
        <family val="1"/>
      </rPr>
      <t xml:space="preserve"> LONG.DE CUERPO: 65 mm</t>
    </r>
  </si>
  <si>
    <t>2.9.2-1062.5</t>
  </si>
  <si>
    <r>
      <rPr>
        <b/>
        <sz val="10"/>
        <rFont val="Times New Roman"/>
        <family val="1"/>
      </rPr>
      <t>PAPELES ANOTADOR AUTOADHESIVOS;</t>
    </r>
    <r>
      <rPr>
        <sz val="10"/>
        <rFont val="Times New Roman"/>
        <family val="1"/>
      </rPr>
      <t xml:space="preserve"> PRESENTACION: 400 HOJAS, LARGO X ANCHO: 9 X 9 Cm, DIMENSION: SIN VALOR, MATERIAL: SIN VALOR</t>
    </r>
  </si>
  <si>
    <t>2.9.2-323.4</t>
  </si>
  <si>
    <t>2.9.2-753.11</t>
  </si>
  <si>
    <t>CAJA</t>
  </si>
  <si>
    <t>PAQUETE</t>
  </si>
  <si>
    <r>
      <rPr>
        <b/>
        <sz val="10"/>
        <rFont val="Times New Roman"/>
        <family val="1"/>
      </rPr>
      <t>RESALTADORES; PUNTA: 3</t>
    </r>
    <r>
      <rPr>
        <sz val="10"/>
        <rFont val="Times New Roman"/>
        <family val="1"/>
      </rPr>
      <t xml:space="preserve"> PLANA mm, ACCESORIO: SIN, </t>
    </r>
    <r>
      <rPr>
        <b/>
        <sz val="10"/>
        <rFont val="Times New Roman"/>
        <family val="1"/>
      </rPr>
      <t>COLOR: VERDE</t>
    </r>
    <r>
      <rPr>
        <sz val="10"/>
        <rFont val="Times New Roman"/>
        <family val="1"/>
      </rPr>
      <t>, TIPO PUNTA: 3 PLANA mm</t>
    </r>
  </si>
  <si>
    <r>
      <rPr>
        <b/>
        <sz val="10"/>
        <rFont val="Times New Roman"/>
        <family val="1"/>
      </rPr>
      <t>RESALTADORES; PUNTA: 5 PLANA</t>
    </r>
    <r>
      <rPr>
        <sz val="10"/>
        <rFont val="Times New Roman"/>
        <family val="1"/>
      </rPr>
      <t xml:space="preserve">, ACCESORIO: SIN, </t>
    </r>
    <r>
      <rPr>
        <b/>
        <sz val="10"/>
        <rFont val="Times New Roman"/>
        <family val="1"/>
      </rPr>
      <t>COLOR: AZUL</t>
    </r>
    <r>
      <rPr>
        <sz val="10"/>
        <rFont val="Times New Roman"/>
        <family val="1"/>
      </rPr>
      <t>, TIPO PUNTA: 5 PLANA</t>
    </r>
  </si>
  <si>
    <r>
      <rPr>
        <b/>
        <sz val="10"/>
        <rFont val="Times New Roman"/>
        <family val="1"/>
      </rPr>
      <t>RESALTADORES; PUNTA: FINA</t>
    </r>
    <r>
      <rPr>
        <sz val="10"/>
        <rFont val="Times New Roman"/>
        <family val="1"/>
      </rPr>
      <t xml:space="preserve">, ACCESORIO: SIN, </t>
    </r>
    <r>
      <rPr>
        <b/>
        <sz val="10"/>
        <rFont val="Times New Roman"/>
        <family val="1"/>
      </rPr>
      <t>COLOR: AMARILLO</t>
    </r>
    <r>
      <rPr>
        <sz val="10"/>
        <rFont val="Times New Roman"/>
        <family val="1"/>
      </rPr>
      <t>, TIPO PUNTA: FINA</t>
    </r>
  </si>
  <si>
    <r>
      <rPr>
        <b/>
        <sz val="10"/>
        <rFont val="Times New Roman"/>
        <family val="1"/>
      </rPr>
      <t>RESALTADORES; PUNTA: FINA</t>
    </r>
    <r>
      <rPr>
        <sz val="10"/>
        <rFont val="Times New Roman"/>
        <family val="1"/>
      </rPr>
      <t xml:space="preserve">, ACCESORIO: SIN, </t>
    </r>
    <r>
      <rPr>
        <b/>
        <sz val="10"/>
        <rFont val="Times New Roman"/>
        <family val="1"/>
      </rPr>
      <t>COLOR: VERDE</t>
    </r>
    <r>
      <rPr>
        <sz val="10"/>
        <rFont val="Times New Roman"/>
        <family val="1"/>
      </rPr>
      <t>, TIPO PUNTA: FINA</t>
    </r>
  </si>
  <si>
    <r>
      <rPr>
        <b/>
        <sz val="10"/>
        <rFont val="Times New Roman"/>
        <family val="1"/>
      </rPr>
      <t xml:space="preserve">CARPETAS; MATERIAL PVC </t>
    </r>
    <r>
      <rPr>
        <sz val="10"/>
        <rFont val="Times New Roman"/>
        <family val="1"/>
      </rPr>
      <t>- TAMAÑO OFICIO</t>
    </r>
  </si>
  <si>
    <r>
      <rPr>
        <b/>
        <sz val="10"/>
        <rFont val="Times New Roman"/>
        <family val="1"/>
      </rPr>
      <t>CARPETAS; MATERIAL PVC -</t>
    </r>
    <r>
      <rPr>
        <sz val="10"/>
        <rFont val="Times New Roman"/>
        <family val="1"/>
      </rPr>
      <t xml:space="preserve"> TAMAÑO A4</t>
    </r>
  </si>
  <si>
    <r>
      <rPr>
        <b/>
        <sz val="10"/>
        <rFont val="Times New Roman"/>
        <family val="1"/>
      </rPr>
      <t>MARCADORES</t>
    </r>
    <r>
      <rPr>
        <sz val="10"/>
        <rFont val="Times New Roman"/>
        <family val="1"/>
      </rPr>
      <t>; TIPO: AL SOLVENTE, TRAZO: GRUESO, PUNTA: CHANFLEADA,</t>
    </r>
    <r>
      <rPr>
        <b/>
        <sz val="10"/>
        <rFont val="Times New Roman"/>
        <family val="1"/>
      </rPr>
      <t xml:space="preserve"> COLOR: VERDE</t>
    </r>
    <r>
      <rPr>
        <sz val="10"/>
        <rFont val="Times New Roman"/>
        <family val="1"/>
      </rPr>
      <t>, RECARGABLE:NO</t>
    </r>
  </si>
  <si>
    <r>
      <rPr>
        <b/>
        <sz val="11"/>
        <rFont val="Times New Roman"/>
        <family val="1"/>
      </rPr>
      <t>MARCADORES</t>
    </r>
    <r>
      <rPr>
        <sz val="11"/>
        <rFont val="Times New Roman"/>
        <family val="1"/>
      </rPr>
      <t xml:space="preserve">; TIPO: AL SOLVENTE, TRAZO: FINO, PUNTA: REDONDA, </t>
    </r>
    <r>
      <rPr>
        <b/>
        <sz val="11"/>
        <rFont val="Times New Roman"/>
        <family val="1"/>
      </rPr>
      <t xml:space="preserve">COLOR: NEGRO, </t>
    </r>
    <r>
      <rPr>
        <sz val="11"/>
        <rFont val="Times New Roman"/>
        <family val="1"/>
      </rPr>
      <t>RECARGABLE: NO</t>
    </r>
  </si>
  <si>
    <r>
      <rPr>
        <b/>
        <sz val="10"/>
        <rFont val="Times New Roman"/>
        <family val="1"/>
      </rPr>
      <t>BIBLIORATOS;</t>
    </r>
    <r>
      <rPr>
        <sz val="10"/>
        <rFont val="Times New Roman"/>
        <family val="1"/>
      </rPr>
      <t xml:space="preserve"> </t>
    </r>
    <r>
      <rPr>
        <b/>
        <sz val="10"/>
        <rFont val="Times New Roman"/>
        <family val="1"/>
      </rPr>
      <t>COLOR: GRIS</t>
    </r>
    <r>
      <rPr>
        <sz val="10"/>
        <rFont val="Times New Roman"/>
        <family val="1"/>
      </rPr>
      <t xml:space="preserve">, ANCHO: 28 Cm, ANILLO: 2 Y PALANCA, TAMAÑO: </t>
    </r>
    <r>
      <rPr>
        <b/>
        <sz val="10"/>
        <rFont val="Times New Roman"/>
        <family val="1"/>
      </rPr>
      <t>OFICIO</t>
    </r>
    <r>
      <rPr>
        <sz val="10"/>
        <rFont val="Times New Roman"/>
        <family val="1"/>
      </rPr>
      <t>, TAPAS: CARTON, LOMO: CARTON, MATERIAL: CARTON</t>
    </r>
  </si>
  <si>
    <t>2.9.2-317.5</t>
  </si>
  <si>
    <r>
      <rPr>
        <b/>
        <sz val="10"/>
        <rFont val="Times New Roman"/>
        <family val="1"/>
      </rPr>
      <t>BOLIGRAFOS</t>
    </r>
    <r>
      <rPr>
        <sz val="10"/>
        <rFont val="Times New Roman"/>
        <family val="1"/>
      </rPr>
      <t xml:space="preserve">; TRAZO 1,0mm </t>
    </r>
  </si>
  <si>
    <r>
      <rPr>
        <b/>
        <sz val="10"/>
        <rFont val="Times New Roman"/>
        <family val="1"/>
      </rPr>
      <t>BOLIGRAFOS</t>
    </r>
    <r>
      <rPr>
        <sz val="10"/>
        <rFont val="Times New Roman"/>
        <family val="1"/>
      </rPr>
      <t>; TRAZO 1,0mm</t>
    </r>
  </si>
  <si>
    <r>
      <rPr>
        <b/>
        <sz val="10"/>
        <rFont val="Times New Roman"/>
        <family val="1"/>
      </rPr>
      <t>CORRECTORES DE ESCRITURA</t>
    </r>
    <r>
      <rPr>
        <sz val="10"/>
        <rFont val="Times New Roman"/>
        <family val="1"/>
      </rPr>
      <t>; CAPACIDAD: 7 mL, ENVASE: LAPIZ (PUNTA METAL), PRESENTACION: LAPIZ (PUNTA METAL) X 7 mL</t>
    </r>
  </si>
  <si>
    <t>2.9.2-660.19</t>
  </si>
  <si>
    <r>
      <rPr>
        <b/>
        <sz val="10"/>
        <rFont val="Times New Roman"/>
        <family val="1"/>
      </rPr>
      <t>CLIPS P/PAPEL; NUMERO: 2,</t>
    </r>
    <r>
      <rPr>
        <sz val="10"/>
        <rFont val="Times New Roman"/>
        <family val="1"/>
      </rPr>
      <t xml:space="preserve"> MATERIAL: ACERO INOXIDABLE TRIANGULARES, CANT. X</t>
    </r>
    <r>
      <rPr>
        <b/>
        <u/>
        <sz val="10"/>
        <rFont val="Times New Roman"/>
        <family val="1"/>
      </rPr>
      <t xml:space="preserve"> CAJA: 20 UNIDADES</t>
    </r>
    <r>
      <rPr>
        <sz val="10"/>
        <rFont val="Times New Roman"/>
        <family val="1"/>
      </rPr>
      <t>, PRESENTACION: CAJA X 20</t>
    </r>
  </si>
  <si>
    <r>
      <rPr>
        <b/>
        <sz val="10"/>
        <rFont val="Times New Roman"/>
        <family val="1"/>
      </rPr>
      <t>CLIPS P/PAPEL</t>
    </r>
    <r>
      <rPr>
        <sz val="10"/>
        <rFont val="Times New Roman"/>
        <family val="1"/>
      </rPr>
      <t xml:space="preserve">; </t>
    </r>
    <r>
      <rPr>
        <u/>
        <sz val="10"/>
        <rFont val="Times New Roman"/>
        <family val="1"/>
      </rPr>
      <t>CANT. X CAJA: 50</t>
    </r>
    <r>
      <rPr>
        <sz val="10"/>
        <rFont val="Times New Roman"/>
        <family val="1"/>
      </rPr>
      <t>, NUMERO:</t>
    </r>
    <r>
      <rPr>
        <b/>
        <sz val="10"/>
        <rFont val="Times New Roman"/>
        <family val="1"/>
      </rPr>
      <t xml:space="preserve"> 6, </t>
    </r>
    <r>
      <rPr>
        <sz val="10"/>
        <rFont val="Times New Roman"/>
        <family val="1"/>
      </rPr>
      <t>MATERIAL: METAL, PRESENTACION: CAJA X 50</t>
    </r>
  </si>
  <si>
    <t>2.9.2-660.43</t>
  </si>
  <si>
    <r>
      <rPr>
        <b/>
        <sz val="10"/>
        <rFont val="Times New Roman"/>
        <family val="1"/>
      </rPr>
      <t xml:space="preserve">CLIPS P/PAPEL; NUMERO: 12, </t>
    </r>
    <r>
      <rPr>
        <sz val="10"/>
        <rFont val="Times New Roman"/>
        <family val="1"/>
      </rPr>
      <t xml:space="preserve">MATERIAL: METAL, PRESENTACION: </t>
    </r>
    <r>
      <rPr>
        <u/>
        <sz val="10"/>
        <rFont val="Times New Roman"/>
        <family val="1"/>
      </rPr>
      <t>CAJA X 100 UN</t>
    </r>
  </si>
  <si>
    <r>
      <rPr>
        <b/>
        <sz val="10"/>
        <rFont val="Times New Roman"/>
        <family val="1"/>
      </rPr>
      <t>PORTA SELLOS;</t>
    </r>
    <r>
      <rPr>
        <sz val="10"/>
        <rFont val="Times New Roman"/>
        <family val="1"/>
      </rPr>
      <t xml:space="preserve"> CANT. DE SELLOS: 12, MATERIAL: METAL</t>
    </r>
  </si>
  <si>
    <r>
      <t>PAPELES ENCUADERNADOS; CANT. DE HOJAS: 100, TAMAÑO: A4, TIPO: CUADERNO ESPIRALADO TAPA DURA, CERTIFICADO FORESTAL (GFS): SIN, PORC. FIBRAS RECICLADAS: 0 %, CERT. FIBRA ALTERNATIVA (FCA): SIN.</t>
    </r>
    <r>
      <rPr>
        <sz val="14"/>
        <rFont val="Times New Roman"/>
        <family val="1"/>
      </rPr>
      <t xml:space="preserve"> </t>
    </r>
    <r>
      <rPr>
        <b/>
        <u/>
        <sz val="14"/>
        <rFont val="Times New Roman"/>
        <family val="1"/>
      </rPr>
      <t>RAYADO</t>
    </r>
    <r>
      <rPr>
        <sz val="14"/>
        <rFont val="Times New Roman"/>
        <family val="1"/>
      </rPr>
      <t>.</t>
    </r>
  </si>
  <si>
    <r>
      <t xml:space="preserve">BIBLIORATOS; ANCHO: 80 mm, ANILLO: 2 Y PALANCA, TAMAÑO: A4, MATERIAL: CARTON FORRADO EN PVC. </t>
    </r>
    <r>
      <rPr>
        <b/>
        <sz val="14"/>
        <rFont val="Times New Roman"/>
        <family val="1"/>
      </rPr>
      <t>COLOR: GRIS.</t>
    </r>
  </si>
  <si>
    <r>
      <rPr>
        <sz val="10"/>
        <rFont val="Times New Roman"/>
        <family val="1"/>
      </rPr>
      <t>BOLIGRAFOS; TRAZO: GRUESO, COLOR</t>
    </r>
    <r>
      <rPr>
        <sz val="20"/>
        <rFont val="Times New Roman"/>
        <family val="1"/>
      </rPr>
      <t xml:space="preserve"> </t>
    </r>
    <r>
      <rPr>
        <sz val="14"/>
        <rFont val="Times New Roman"/>
        <family val="1"/>
      </rPr>
      <t>TINT</t>
    </r>
    <r>
      <rPr>
        <u/>
        <sz val="14"/>
        <rFont val="Times New Roman"/>
        <family val="1"/>
      </rPr>
      <t xml:space="preserve">A: </t>
    </r>
    <r>
      <rPr>
        <b/>
        <u/>
        <sz val="14"/>
        <rFont val="Times New Roman"/>
        <family val="1"/>
      </rPr>
      <t>ROJA</t>
    </r>
  </si>
  <si>
    <r>
      <t xml:space="preserve">BOLIGRAFOS; TRAZO: GRUESO, COLOR </t>
    </r>
    <r>
      <rPr>
        <sz val="14"/>
        <rFont val="Times New Roman"/>
        <family val="1"/>
      </rPr>
      <t>TINT</t>
    </r>
    <r>
      <rPr>
        <u/>
        <sz val="14"/>
        <rFont val="Times New Roman"/>
        <family val="1"/>
      </rPr>
      <t xml:space="preserve">A: </t>
    </r>
    <r>
      <rPr>
        <b/>
        <u/>
        <sz val="14"/>
        <rFont val="Times New Roman"/>
        <family val="1"/>
      </rPr>
      <t>VERDE</t>
    </r>
  </si>
  <si>
    <r>
      <t>BROCHES P/EXPEDIENTE; TIPO: MARIPOSA, LONG.DE CUERPO: 65 mm.</t>
    </r>
    <r>
      <rPr>
        <b/>
        <sz val="20"/>
        <rFont val="Times New Roman"/>
        <family val="1"/>
      </rPr>
      <t xml:space="preserve"> </t>
    </r>
    <r>
      <rPr>
        <b/>
        <sz val="14"/>
        <rFont val="Times New Roman"/>
        <family val="1"/>
      </rPr>
      <t>PRESENTACION: CAJA X 100 UNIDADES</t>
    </r>
  </si>
  <si>
    <r>
      <t>BROCHES P/EXPEDIENTE; TIPO: MARIPOSA, LONG.DE CUERPO: 25 mm.</t>
    </r>
    <r>
      <rPr>
        <sz val="14"/>
        <rFont val="Times New Roman"/>
        <family val="1"/>
      </rPr>
      <t xml:space="preserve"> </t>
    </r>
    <r>
      <rPr>
        <b/>
        <sz val="14"/>
        <rFont val="Times New Roman"/>
        <family val="1"/>
      </rPr>
      <t>PRESENTACION: CAJA X 100</t>
    </r>
    <r>
      <rPr>
        <b/>
        <sz val="20"/>
        <rFont val="Times New Roman"/>
        <family val="1"/>
      </rPr>
      <t xml:space="preserve"> </t>
    </r>
  </si>
  <si>
    <r>
      <t xml:space="preserve">BROCHES P/EXPEDIENTE; TIPO: MARIPOSA, LONG.DE CUERPO: 75 mm </t>
    </r>
    <r>
      <rPr>
        <b/>
        <sz val="14"/>
        <rFont val="Times New Roman"/>
        <family val="1"/>
      </rPr>
      <t xml:space="preserve">PRESENTACION: CAJA X 100 </t>
    </r>
  </si>
  <si>
    <t>2.3.1-6587.291</t>
  </si>
  <si>
    <r>
      <t xml:space="preserve">PAPELES ENCUADERNADOS; CANT. DE HOJAS: 120 HOJAS, TAMAÑO: 16 X 21 Cm, TIPO: RAYADO ESPIRALADO, CERTIFICADO FORESTAL (GFS): SIN, PORC. FIBRAS RECICLADAS: SIN VALOR %, CERT. FIBRA ALTERNATIVA (FCA): SIN
</t>
    </r>
    <r>
      <rPr>
        <b/>
        <u/>
        <sz val="14"/>
        <rFont val="Times New Roman"/>
        <family val="1"/>
      </rPr>
      <t>ESPIRALADO CON TAPA DURA. FORMATO: RAYADO</t>
    </r>
  </si>
  <si>
    <t>2.9.2</t>
  </si>
  <si>
    <t>22 - Subsecretaria de Administracion Financiera del Ministerio de Trabajo, Planificacion y Recursos Humanos</t>
  </si>
  <si>
    <r>
      <rPr>
        <b/>
        <sz val="10"/>
        <rFont val="Times New Roman"/>
        <family val="1"/>
      </rPr>
      <t>PAPELES ENCUADERNADO</t>
    </r>
    <r>
      <rPr>
        <sz val="10"/>
        <rFont val="Times New Roman"/>
        <family val="1"/>
      </rPr>
      <t xml:space="preserve">S; CANT. DE </t>
    </r>
    <r>
      <rPr>
        <b/>
        <sz val="10"/>
        <rFont val="Times New Roman"/>
        <family val="1"/>
      </rPr>
      <t xml:space="preserve">HOJAS: 84 HOJAS, TAMAÑO: 21 X 29,7 Cm, TIPO: RAYADO ESPIRALADO, </t>
    </r>
    <r>
      <rPr>
        <sz val="10"/>
        <rFont val="Times New Roman"/>
        <family val="1"/>
      </rPr>
      <t>CERTIFICADO FORESTAL (GFS): CON, PORC. FIBRAS RECICLADAS: 0 %, CERT. FIBRA ALTERNATIVA (FCA): SIN</t>
    </r>
  </si>
  <si>
    <r>
      <rPr>
        <b/>
        <sz val="10"/>
        <rFont val="Times New Roman"/>
        <family val="1"/>
      </rPr>
      <t>PAPELES ENCUADERNADOS</t>
    </r>
    <r>
      <rPr>
        <sz val="10"/>
        <rFont val="Times New Roman"/>
        <family val="1"/>
      </rPr>
      <t xml:space="preserve">; CANT. DE HOJAS: </t>
    </r>
    <r>
      <rPr>
        <b/>
        <sz val="10"/>
        <rFont val="Times New Roman"/>
        <family val="1"/>
      </rPr>
      <t>120 HOJAS, TAMAÑO: 16 X 21</t>
    </r>
    <r>
      <rPr>
        <sz val="10"/>
        <rFont val="Times New Roman"/>
        <family val="1"/>
      </rPr>
      <t xml:space="preserve"> Cm, TIPO: RAYADO ESPIRALADO, CERTIFICADO FORESTAL (GFS): SIN, PORC. FIBRAS RECICLADAS: SIN VALOR %, CERT. FIBRA ALTERNATIVA (FCA): SIN</t>
    </r>
  </si>
  <si>
    <t>2.9.2-1611.1</t>
  </si>
  <si>
    <t>2.9.2-1611.21</t>
  </si>
  <si>
    <r>
      <rPr>
        <b/>
        <u/>
        <sz val="10"/>
        <rFont val="Times New Roman"/>
        <family val="1"/>
      </rPr>
      <t>FOLIOS TRANSPARENTES</t>
    </r>
    <r>
      <rPr>
        <sz val="10"/>
        <rFont val="Times New Roman"/>
        <family val="1"/>
      </rPr>
      <t>; MATERIAL: PLASTICO (POLIETILENO), TAMAÑO: OFICIO, PERFORACIONES: 5 UNIVERSALES</t>
    </r>
  </si>
  <si>
    <r>
      <rPr>
        <b/>
        <u/>
        <sz val="10"/>
        <rFont val="Times New Roman"/>
        <family val="1"/>
      </rPr>
      <t>FOLIOS TRANSPARENTES;</t>
    </r>
    <r>
      <rPr>
        <sz val="10"/>
        <rFont val="Times New Roman"/>
        <family val="1"/>
      </rPr>
      <t xml:space="preserve"> TAMAÑO: A4, PERFORACIONES: SIN, MATERIAL: POLIETILENO</t>
    </r>
  </si>
  <si>
    <r>
      <rPr>
        <b/>
        <u/>
        <sz val="10"/>
        <rFont val="Times New Roman"/>
        <family val="1"/>
      </rPr>
      <t>ABROCHADORAS DE PAPEL</t>
    </r>
    <r>
      <rPr>
        <sz val="10"/>
        <rFont val="Times New Roman"/>
        <family val="1"/>
      </rPr>
      <t>; TIPO: PINZA, P/BROCHES: 10/50, MATERIAL: METALICA, MEDIDA: 10/50</t>
    </r>
  </si>
  <si>
    <t>12- Ministerio de Trabajo, Planificacion y Recursos Humanos</t>
  </si>
  <si>
    <t>TINTAS P/SELLOS; TIPO DE SELLO: DE GOMA, COLOR: NEGRO, PRESENTACION: ENVASE X 50 CM3, ENVASE: 50 CM3</t>
  </si>
  <si>
    <r>
      <t xml:space="preserve">CARPETAS; COLOR: NEGRO, TIPO: </t>
    </r>
    <r>
      <rPr>
        <b/>
        <u/>
        <sz val="14"/>
        <rFont val="Times New Roman"/>
        <family val="1"/>
      </rPr>
      <t>TAPA TRANSPARENTE,</t>
    </r>
    <r>
      <rPr>
        <sz val="14"/>
        <rFont val="Times New Roman"/>
        <family val="1"/>
      </rPr>
      <t xml:space="preserve"> </t>
    </r>
    <r>
      <rPr>
        <sz val="10"/>
        <rFont val="Times New Roman"/>
        <family val="1"/>
      </rPr>
      <t>PRESENTACION:</t>
    </r>
    <r>
      <rPr>
        <b/>
        <sz val="10"/>
        <rFont val="Times New Roman"/>
        <family val="1"/>
      </rPr>
      <t xml:space="preserve"> </t>
    </r>
    <r>
      <rPr>
        <b/>
        <sz val="14"/>
        <rFont val="Times New Roman"/>
        <family val="1"/>
      </rPr>
      <t xml:space="preserve">PAQUETE DE 10 UNIDADES </t>
    </r>
    <r>
      <rPr>
        <sz val="10"/>
        <rFont val="Times New Roman"/>
        <family val="1"/>
      </rPr>
      <t>CADA UNO, SUJECION BROCHE TIPO NEPACO, MATERIAL: PVC, TAMAÑO: OFICIO. CANTIDAD SOLICITADA: QUINCE (15) PAQUETES DE 10 UNIDADES, EN TOTAL 150 UNIDADES.</t>
    </r>
  </si>
  <si>
    <r>
      <t>CARPETAS; COLOR: NEGRO, TIPO:</t>
    </r>
    <r>
      <rPr>
        <sz val="20"/>
        <rFont val="Times New Roman"/>
        <family val="1"/>
      </rPr>
      <t xml:space="preserve"> </t>
    </r>
    <r>
      <rPr>
        <b/>
        <u/>
        <sz val="14"/>
        <rFont val="Times New Roman"/>
        <family val="1"/>
      </rPr>
      <t>TAPA TRANSPARENTE</t>
    </r>
    <r>
      <rPr>
        <sz val="20"/>
        <rFont val="Times New Roman"/>
        <family val="1"/>
      </rPr>
      <t xml:space="preserve">, </t>
    </r>
    <r>
      <rPr>
        <sz val="10"/>
        <rFont val="Times New Roman"/>
        <family val="1"/>
      </rPr>
      <t xml:space="preserve">PRESENTACION: </t>
    </r>
    <r>
      <rPr>
        <b/>
        <sz val="14"/>
        <rFont val="Times New Roman"/>
        <family val="1"/>
      </rPr>
      <t>PAQUETE DE 10  UNIDADES</t>
    </r>
    <r>
      <rPr>
        <sz val="14"/>
        <rFont val="Times New Roman"/>
        <family val="1"/>
      </rPr>
      <t xml:space="preserve"> </t>
    </r>
    <r>
      <rPr>
        <sz val="10"/>
        <rFont val="Times New Roman"/>
        <family val="1"/>
      </rPr>
      <t>CADA UNO, SUJECION: BROCHE TIPO NEPACO, MATERIAL: PVC, TAMAÑO: A4. CANTIDAD SOLICITADA: QUINCE (15) PAQUETES DE 10 UNIDADES, EN TOTAL 150 UNIDADES.</t>
    </r>
  </si>
  <si>
    <t>Especificidades Ítem N° 3:</t>
  </si>
  <si>
    <t>Especificidades Ítem N° 5:</t>
  </si>
  <si>
    <t>Especificidades Ítem N° 18:</t>
  </si>
  <si>
    <t>Especificidades Ítem N° 17:</t>
  </si>
  <si>
    <t>Especificidades Ítem N° 27:</t>
  </si>
  <si>
    <t>Especificidades Ítem N° 32:</t>
  </si>
  <si>
    <t>Especificidades Ítem N° 31:</t>
  </si>
  <si>
    <t>Especificidades Ítem N° 46:</t>
  </si>
  <si>
    <t>Especificidades Ítem N° 47:</t>
  </si>
  <si>
    <t>Especificidades Ítem N° 48:</t>
  </si>
  <si>
    <t>a) LUGAR DE ENTREGA: Oficinas Centrales del Ministerio de Trabajo, Planificacion y Recursos Humanos, sito en Av. Colon- Capital - De 08 a 12 horas. 
b) FORMA DE LA ENTREGA: Libre de flete, acarreo y embalaje, como así también, de todo riesgo de pérdida o destrucción total o parcial, por causas ajenas a la Institución.
c)  PLAZO DE ENTREGA: El Oferente deberá establecer plazo de entrega de los elementos cotizados, debiendo ser expresado en días hábiles; que no podrá ser superior a cinco (5) días hábiles, contados a partir de la recepción de la comunicación prevista en el Artículo en el Reglamento Parcial N° 2 de la ley 4938.</t>
  </si>
  <si>
    <r>
      <rPr>
        <b/>
        <sz val="10"/>
        <rFont val="Times New Roman"/>
        <family val="1"/>
      </rPr>
      <t>ADHESIVOS P/PAPEL</t>
    </r>
    <r>
      <rPr>
        <sz val="10"/>
        <rFont val="Times New Roman"/>
        <family val="1"/>
      </rPr>
      <t xml:space="preserve">; PRESENTACION: 250 GR, TIPO: </t>
    </r>
    <r>
      <rPr>
        <b/>
        <sz val="10"/>
        <rFont val="Times New Roman"/>
        <family val="1"/>
      </rPr>
      <t>COLA VINILICA</t>
    </r>
  </si>
  <si>
    <t>2.9.2-791.41</t>
  </si>
  <si>
    <t>TALONARIOS NOTAS AUTOADHESIVAS; MEDIDA: 50 X 50 mm</t>
  </si>
  <si>
    <t>Especificidades Ítem N° 8:</t>
  </si>
  <si>
    <t>TALONARIOS NOTAS AUTOADHESIVAS; MEDIDA: 50 X 50 mm - PRESENTACION: POR 240 HOJAS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</si>
</sst>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&quot; €&quot;_-;\-* #,##0.00&quot; €&quot;_-;_-* \-??&quot; €&quot;_-;_-@_-"/>
    <numFmt numFmtId="165" formatCode="_ [$$-2C0A]\ * #,##0.00_ ;_ [$$-2C0A]\ * \-#,##0.00_ ;_ [$$-2C0A]\ * &quot;-&quot;??_ ;_ @_ "/>
  </numFmts>
  <fonts count="25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u/>
      <sz val="11"/>
      <name val="Times New Roman"/>
      <family val="1"/>
    </font>
    <font>
      <sz val="11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b/>
      <sz val="14"/>
      <name val="Times New Roman"/>
      <family val="1"/>
    </font>
    <font>
      <sz val="20"/>
      <name val="Times New Roman"/>
      <family val="1"/>
    </font>
    <font>
      <b/>
      <sz val="20"/>
      <name val="Times New Roman"/>
      <family val="1"/>
    </font>
    <font>
      <b/>
      <u/>
      <sz val="14"/>
      <name val="Times New Roman"/>
      <family val="1"/>
    </font>
    <font>
      <sz val="14"/>
      <name val="Times New Roman"/>
      <family val="1"/>
    </font>
    <font>
      <u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2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7">
    <xf numFmtId="0" fontId="0" fillId="0" borderId="0"/>
    <xf numFmtId="164" fontId="5" fillId="0" borderId="0" applyBorder="0" applyProtection="0"/>
    <xf numFmtId="0" fontId="3" fillId="0" borderId="1" applyProtection="0"/>
    <xf numFmtId="0" fontId="4" fillId="2" borderId="0" applyBorder="0" applyProtection="0"/>
    <xf numFmtId="0" fontId="2" fillId="0" borderId="0"/>
    <xf numFmtId="0" fontId="1" fillId="0" borderId="0"/>
    <xf numFmtId="0" fontId="5" fillId="0" borderId="0"/>
  </cellStyleXfs>
  <cellXfs count="108">
    <xf numFmtId="0" fontId="0" fillId="0" borderId="0" xfId="0"/>
    <xf numFmtId="0" fontId="6" fillId="0" borderId="0" xfId="0" applyFont="1"/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center" wrapText="1"/>
    </xf>
    <xf numFmtId="0" fontId="6" fillId="0" borderId="0" xfId="0" applyFont="1" applyBorder="1"/>
    <xf numFmtId="0" fontId="11" fillId="0" borderId="13" xfId="0" applyFont="1" applyBorder="1" applyAlignment="1">
      <alignment horizontal="left" indent="3"/>
    </xf>
    <xf numFmtId="0" fontId="6" fillId="0" borderId="13" xfId="0" applyFont="1" applyBorder="1" applyAlignment="1">
      <alignment horizontal="left" indent="3"/>
    </xf>
    <xf numFmtId="0" fontId="6" fillId="0" borderId="15" xfId="0" applyFont="1" applyBorder="1" applyAlignment="1">
      <alignment horizontal="left" indent="3"/>
    </xf>
    <xf numFmtId="0" fontId="6" fillId="0" borderId="0" xfId="0" applyFont="1" applyFill="1"/>
    <xf numFmtId="0" fontId="6" fillId="0" borderId="0" xfId="0" applyFont="1" applyAlignment="1"/>
    <xf numFmtId="0" fontId="11" fillId="0" borderId="10" xfId="0" applyFont="1" applyBorder="1" applyAlignment="1"/>
    <xf numFmtId="0" fontId="6" fillId="0" borderId="13" xfId="0" applyFont="1" applyBorder="1" applyAlignment="1"/>
    <xf numFmtId="0" fontId="11" fillId="0" borderId="13" xfId="0" applyFont="1" applyBorder="1" applyAlignment="1"/>
    <xf numFmtId="0" fontId="6" fillId="0" borderId="15" xfId="0" applyFont="1" applyBorder="1" applyAlignment="1"/>
    <xf numFmtId="165" fontId="6" fillId="0" borderId="0" xfId="0" applyNumberFormat="1" applyFont="1"/>
    <xf numFmtId="0" fontId="6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/>
    <xf numFmtId="0" fontId="15" fillId="0" borderId="10" xfId="0" applyFont="1" applyBorder="1" applyAlignment="1">
      <alignment horizontal="left" vertical="center"/>
    </xf>
    <xf numFmtId="0" fontId="14" fillId="0" borderId="13" xfId="0" applyFont="1" applyBorder="1" applyAlignment="1">
      <alignment horizontal="left" vertical="center"/>
    </xf>
    <xf numFmtId="0" fontId="14" fillId="0" borderId="10" xfId="0" applyFont="1" applyBorder="1" applyAlignment="1">
      <alignment horizontal="left" vertical="center"/>
    </xf>
    <xf numFmtId="0" fontId="14" fillId="0" borderId="13" xfId="0" applyFont="1" applyBorder="1" applyAlignment="1"/>
    <xf numFmtId="0" fontId="6" fillId="0" borderId="9" xfId="0" applyFont="1" applyBorder="1"/>
    <xf numFmtId="0" fontId="6" fillId="0" borderId="6" xfId="0" applyFont="1" applyBorder="1" applyAlignment="1">
      <alignment vertical="center"/>
    </xf>
    <xf numFmtId="0" fontId="6" fillId="0" borderId="6" xfId="0" applyFont="1" applyBorder="1" applyAlignment="1">
      <alignment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left" vertical="center" wrapText="1"/>
    </xf>
    <xf numFmtId="0" fontId="6" fillId="0" borderId="6" xfId="0" applyFont="1" applyFill="1" applyBorder="1" applyAlignment="1">
      <alignment vertical="center" wrapText="1"/>
    </xf>
    <xf numFmtId="0" fontId="6" fillId="0" borderId="8" xfId="0" applyFont="1" applyBorder="1"/>
    <xf numFmtId="0" fontId="6" fillId="0" borderId="9" xfId="0" applyFont="1" applyBorder="1" applyAlignment="1"/>
    <xf numFmtId="0" fontId="6" fillId="0" borderId="9" xfId="0" applyFont="1" applyBorder="1" applyAlignment="1">
      <alignment horizontal="center"/>
    </xf>
    <xf numFmtId="165" fontId="6" fillId="0" borderId="7" xfId="1" applyNumberFormat="1" applyFont="1" applyFill="1" applyBorder="1" applyAlignment="1" applyProtection="1">
      <alignment horizontal="right" vertical="center" wrapText="1"/>
    </xf>
    <xf numFmtId="0" fontId="6" fillId="0" borderId="0" xfId="0" applyFont="1" applyAlignment="1">
      <alignment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4" xfId="0" applyNumberFormat="1" applyFont="1" applyBorder="1" applyAlignment="1">
      <alignment horizontal="center" vertical="center" wrapText="1"/>
    </xf>
    <xf numFmtId="165" fontId="5" fillId="0" borderId="0" xfId="1" applyNumberFormat="1" applyAlignment="1">
      <alignment horizontal="center" vertical="center"/>
    </xf>
    <xf numFmtId="165" fontId="5" fillId="0" borderId="6" xfId="1" applyNumberFormat="1" applyBorder="1" applyAlignment="1">
      <alignment horizontal="center" vertical="center"/>
    </xf>
    <xf numFmtId="165" fontId="5" fillId="0" borderId="9" xfId="1" applyNumberFormat="1" applyBorder="1" applyAlignment="1">
      <alignment horizontal="center" vertical="center"/>
    </xf>
    <xf numFmtId="0" fontId="6" fillId="0" borderId="6" xfId="0" applyFont="1" applyFill="1" applyBorder="1" applyAlignment="1">
      <alignment vertical="center"/>
    </xf>
    <xf numFmtId="165" fontId="5" fillId="0" borderId="6" xfId="1" applyNumberFormat="1" applyFill="1" applyBorder="1" applyAlignment="1">
      <alignment horizontal="center" vertical="center"/>
    </xf>
    <xf numFmtId="0" fontId="13" fillId="0" borderId="3" xfId="0" applyFont="1" applyBorder="1" applyAlignment="1">
      <alignment horizontal="center" wrapText="1"/>
    </xf>
    <xf numFmtId="0" fontId="6" fillId="0" borderId="6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165" fontId="13" fillId="0" borderId="18" xfId="0" applyNumberFormat="1" applyFont="1" applyBorder="1"/>
    <xf numFmtId="0" fontId="11" fillId="0" borderId="15" xfId="0" applyFont="1" applyBorder="1" applyAlignment="1"/>
    <xf numFmtId="0" fontId="11" fillId="0" borderId="0" xfId="0" applyFont="1" applyBorder="1" applyAlignment="1"/>
    <xf numFmtId="165" fontId="5" fillId="0" borderId="3" xfId="1" applyNumberFormat="1" applyBorder="1" applyAlignment="1">
      <alignment horizontal="center" vertical="center" wrapText="1"/>
    </xf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165" fontId="5" fillId="0" borderId="0" xfId="1" applyNumberFormat="1" applyBorder="1" applyAlignment="1">
      <alignment horizontal="center" vertical="center"/>
    </xf>
    <xf numFmtId="165" fontId="6" fillId="0" borderId="0" xfId="0" applyNumberFormat="1" applyFont="1" applyBorder="1"/>
    <xf numFmtId="0" fontId="6" fillId="0" borderId="19" xfId="0" applyFont="1" applyBorder="1" applyAlignment="1">
      <alignment vertical="center" wrapText="1"/>
    </xf>
    <xf numFmtId="165" fontId="5" fillId="0" borderId="19" xfId="1" applyNumberFormat="1" applyBorder="1" applyAlignment="1">
      <alignment horizontal="center" vertical="center"/>
    </xf>
    <xf numFmtId="165" fontId="6" fillId="0" borderId="20" xfId="1" applyNumberFormat="1" applyFont="1" applyFill="1" applyBorder="1" applyAlignment="1" applyProtection="1">
      <alignment horizontal="right" vertical="center" wrapText="1"/>
    </xf>
    <xf numFmtId="0" fontId="13" fillId="0" borderId="6" xfId="0" applyFont="1" applyBorder="1" applyAlignment="1">
      <alignment horizontal="center" vertical="center"/>
    </xf>
    <xf numFmtId="3" fontId="13" fillId="0" borderId="6" xfId="0" applyNumberFormat="1" applyFont="1" applyBorder="1" applyAlignment="1">
      <alignment horizontal="center" vertical="center"/>
    </xf>
    <xf numFmtId="3" fontId="13" fillId="0" borderId="6" xfId="0" applyNumberFormat="1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3" fontId="13" fillId="0" borderId="19" xfId="0" applyNumberFormat="1" applyFont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vertical="center" wrapText="1"/>
    </xf>
    <xf numFmtId="0" fontId="6" fillId="0" borderId="14" xfId="0" applyFont="1" applyFill="1" applyBorder="1" applyAlignment="1">
      <alignment horizontal="left" vertical="center" wrapText="1"/>
    </xf>
    <xf numFmtId="0" fontId="12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/>
    </xf>
    <xf numFmtId="0" fontId="6" fillId="0" borderId="9" xfId="0" applyFont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/>
    </xf>
    <xf numFmtId="0" fontId="6" fillId="0" borderId="14" xfId="0" applyFont="1" applyBorder="1" applyAlignment="1">
      <alignment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6" xfId="0" applyFont="1" applyBorder="1" applyAlignment="1">
      <alignment vertical="center"/>
    </xf>
    <xf numFmtId="0" fontId="6" fillId="0" borderId="17" xfId="0" applyFont="1" applyBorder="1" applyAlignment="1">
      <alignment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0" xfId="0" applyFont="1" applyFill="1" applyBorder="1" applyAlignment="1">
      <alignment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6" fillId="0" borderId="14" xfId="0" applyFont="1" applyFill="1" applyBorder="1" applyAlignment="1">
      <alignment horizontal="left" vertical="center" wrapText="1"/>
    </xf>
    <xf numFmtId="0" fontId="6" fillId="0" borderId="14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left" vertical="center" wrapText="1"/>
    </xf>
    <xf numFmtId="0" fontId="13" fillId="0" borderId="14" xfId="0" applyFont="1" applyFill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/>
    </xf>
    <xf numFmtId="0" fontId="12" fillId="0" borderId="0" xfId="0" applyFont="1" applyFill="1" applyBorder="1" applyAlignment="1">
      <alignment horizontal="left" vertical="center" wrapText="1"/>
    </xf>
    <xf numFmtId="0" fontId="6" fillId="0" borderId="16" xfId="0" applyFont="1" applyFill="1" applyBorder="1" applyAlignment="1">
      <alignment horizontal="left" vertical="center" wrapText="1"/>
    </xf>
    <xf numFmtId="0" fontId="6" fillId="0" borderId="17" xfId="0" applyFont="1" applyFill="1" applyBorder="1" applyAlignment="1">
      <alignment horizontal="left" vertical="center" wrapText="1"/>
    </xf>
  </cellXfs>
  <cellStyles count="7">
    <cellStyle name="Encabezado 1" xfId="2" xr:uid="{00000000-0005-0000-0000-000000000000}"/>
    <cellStyle name="Moneda" xfId="1" builtinId="4"/>
    <cellStyle name="Neutral 1" xfId="3" xr:uid="{00000000-0005-0000-0000-000002000000}"/>
    <cellStyle name="Normal" xfId="0" builtinId="0"/>
    <cellStyle name="Normal 2" xfId="4" xr:uid="{00000000-0005-0000-0000-000004000000}"/>
    <cellStyle name="Normal 3" xfId="5" xr:uid="{00000000-0005-0000-0000-000005000000}"/>
    <cellStyle name="Normal 4" xfId="6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mpr/Dropbox/SAF%20022/SAF%2022%20-%20PLANIFICACION/PAC%202022/1RO%202022/Detalle%20Relevamiento%20de%20Hardware%20Ministerio%20de%20Trabajo%20y%20RRHH%20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mpr/Dropbox/SAF%2022%20-%20OTROS/PAC%202022/3RO%202022/Detalle%20Relevamiento%20de%20Hardware%20Ministerio%20de%20Trabajo%20y%20RRHH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por reparticion"/>
      <sheetName val="DETALLE CPUS ESTADO CRITICO"/>
      <sheetName val="NECESIDADES"/>
      <sheetName val="Necesidades a considerar"/>
      <sheetName val="PROCESADORES"/>
      <sheetName val="MODELOS DE IMPRESORAS Y TONER"/>
      <sheetName val="DETALLE RELEVAMIENTO"/>
      <sheetName val="Hoja2"/>
      <sheetName val="necesidades SRRHHD"/>
      <sheetName val="Detalle Relevamiento de Hardw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por reparticion"/>
      <sheetName val="DETALLE CPUS ESTADO CRITICO"/>
      <sheetName val="NECESIDADES"/>
      <sheetName val="Necesidades a considerar"/>
      <sheetName val="PROCESADORES"/>
      <sheetName val="MODELOS DE IMPRESORAS Y TONER"/>
      <sheetName val="DETALLE RELEVAMIENTO"/>
      <sheetName val="Hoja2"/>
      <sheetName val="necesidades SRRHHD"/>
      <sheetName val="Detalle Relevamiento de Hardw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141"/>
  <sheetViews>
    <sheetView tabSelected="1" zoomScale="90" zoomScaleNormal="90" workbookViewId="0">
      <selection activeCell="E15" sqref="E15"/>
    </sheetView>
  </sheetViews>
  <sheetFormatPr baseColWidth="10" defaultColWidth="11" defaultRowHeight="12.75" x14ac:dyDescent="0.2"/>
  <cols>
    <col min="1" max="1" width="4.5703125" style="1" customWidth="1"/>
    <col min="2" max="2" width="14.7109375" style="1" customWidth="1"/>
    <col min="3" max="3" width="32.140625" style="82" customWidth="1"/>
    <col min="4" max="4" width="8.85546875" style="83" customWidth="1"/>
    <col min="5" max="5" width="79" style="84" customWidth="1"/>
    <col min="6" max="6" width="11" style="1"/>
    <col min="7" max="7" width="12.7109375" style="26" customWidth="1"/>
    <col min="8" max="8" width="13.85546875" style="46" customWidth="1"/>
    <col min="9" max="9" width="18.5703125" style="14" customWidth="1"/>
    <col min="10" max="10" width="65.5703125" style="1" customWidth="1"/>
    <col min="11" max="16384" width="11" style="1"/>
  </cols>
  <sheetData>
    <row r="2" spans="1:9" ht="27" x14ac:dyDescent="0.35">
      <c r="B2" s="104" t="s">
        <v>0</v>
      </c>
      <c r="C2" s="104"/>
      <c r="D2" s="104"/>
      <c r="E2" s="104"/>
      <c r="F2" s="104"/>
      <c r="G2" s="104"/>
      <c r="H2" s="104"/>
    </row>
    <row r="4" spans="1:9" ht="18" customHeight="1" x14ac:dyDescent="0.2">
      <c r="A4" s="101" t="s">
        <v>1</v>
      </c>
      <c r="B4" s="101"/>
      <c r="C4" s="105" t="s">
        <v>137</v>
      </c>
      <c r="D4" s="105"/>
      <c r="E4" s="105"/>
      <c r="F4" s="2"/>
      <c r="G4" s="3"/>
    </row>
    <row r="5" spans="1:9" ht="18" customHeight="1" x14ac:dyDescent="0.2">
      <c r="A5" s="101" t="s">
        <v>2</v>
      </c>
      <c r="B5" s="101"/>
      <c r="C5" s="105" t="s">
        <v>129</v>
      </c>
      <c r="D5" s="105"/>
      <c r="E5" s="105"/>
      <c r="F5" s="2"/>
      <c r="G5" s="3"/>
    </row>
    <row r="6" spans="1:9" ht="16.5" customHeight="1" x14ac:dyDescent="0.2">
      <c r="A6" s="101" t="s">
        <v>3</v>
      </c>
      <c r="B6" s="101"/>
      <c r="C6" s="75">
        <v>2022</v>
      </c>
      <c r="D6" s="76"/>
      <c r="E6" s="76"/>
      <c r="F6" s="2"/>
      <c r="G6" s="3"/>
    </row>
    <row r="7" spans="1:9" ht="16.5" customHeight="1" x14ac:dyDescent="0.2">
      <c r="A7" s="101" t="s">
        <v>4</v>
      </c>
      <c r="B7" s="101"/>
      <c r="C7" s="75">
        <v>3</v>
      </c>
      <c r="D7" s="76"/>
      <c r="E7" s="76"/>
      <c r="F7" s="2"/>
      <c r="G7" s="3"/>
    </row>
    <row r="8" spans="1:9" ht="13.5" thickBot="1" x14ac:dyDescent="0.25">
      <c r="B8" s="2"/>
      <c r="C8" s="77"/>
      <c r="D8" s="78"/>
      <c r="E8" s="78"/>
      <c r="F8" s="2"/>
      <c r="G8" s="3"/>
    </row>
    <row r="9" spans="1:9" ht="35.25" customHeight="1" x14ac:dyDescent="0.2">
      <c r="A9" s="43" t="s">
        <v>5</v>
      </c>
      <c r="B9" s="51" t="s">
        <v>6</v>
      </c>
      <c r="C9" s="44" t="s">
        <v>7</v>
      </c>
      <c r="D9" s="44" t="s">
        <v>8</v>
      </c>
      <c r="E9" s="44" t="s">
        <v>9</v>
      </c>
      <c r="F9" s="44" t="s">
        <v>10</v>
      </c>
      <c r="G9" s="44" t="s">
        <v>11</v>
      </c>
      <c r="H9" s="57" t="s">
        <v>12</v>
      </c>
      <c r="I9" s="45" t="s">
        <v>13</v>
      </c>
    </row>
    <row r="10" spans="1:9" ht="49.5" customHeight="1" x14ac:dyDescent="0.2">
      <c r="A10" s="31">
        <v>1</v>
      </c>
      <c r="B10" s="23" t="s">
        <v>23</v>
      </c>
      <c r="C10" s="32" t="s">
        <v>20</v>
      </c>
      <c r="D10" s="32" t="str">
        <f t="shared" ref="D10:D57" si="0">+LEFT(B10,5)</f>
        <v>2.3.1</v>
      </c>
      <c r="E10" s="24" t="s">
        <v>89</v>
      </c>
      <c r="F10" s="33" t="s">
        <v>14</v>
      </c>
      <c r="G10" s="66">
        <v>300</v>
      </c>
      <c r="H10" s="47">
        <v>1280</v>
      </c>
      <c r="I10" s="41">
        <f t="shared" ref="I10:I59" si="1">+H10*G10</f>
        <v>384000</v>
      </c>
    </row>
    <row r="11" spans="1:9" ht="40.5" customHeight="1" x14ac:dyDescent="0.2">
      <c r="A11" s="31">
        <v>2</v>
      </c>
      <c r="B11" s="23" t="s">
        <v>24</v>
      </c>
      <c r="C11" s="32" t="s">
        <v>20</v>
      </c>
      <c r="D11" s="32" t="str">
        <f t="shared" si="0"/>
        <v>2.3.1</v>
      </c>
      <c r="E11" s="24" t="s">
        <v>90</v>
      </c>
      <c r="F11" s="33" t="s">
        <v>14</v>
      </c>
      <c r="G11" s="67">
        <v>300</v>
      </c>
      <c r="H11" s="47">
        <v>1212</v>
      </c>
      <c r="I11" s="41">
        <f t="shared" si="1"/>
        <v>363600</v>
      </c>
    </row>
    <row r="12" spans="1:9" ht="49.5" customHeight="1" x14ac:dyDescent="0.2">
      <c r="A12" s="31">
        <v>3</v>
      </c>
      <c r="B12" s="23" t="s">
        <v>126</v>
      </c>
      <c r="C12" s="32" t="s">
        <v>20</v>
      </c>
      <c r="D12" s="32" t="str">
        <f t="shared" si="0"/>
        <v>2.3.1</v>
      </c>
      <c r="E12" s="24" t="s">
        <v>131</v>
      </c>
      <c r="F12" s="25" t="s">
        <v>14</v>
      </c>
      <c r="G12" s="65">
        <v>80</v>
      </c>
      <c r="H12" s="47">
        <v>1064</v>
      </c>
      <c r="I12" s="41">
        <f t="shared" si="1"/>
        <v>85120</v>
      </c>
    </row>
    <row r="13" spans="1:9" ht="49.5" customHeight="1" x14ac:dyDescent="0.2">
      <c r="A13" s="31">
        <v>4</v>
      </c>
      <c r="B13" s="23" t="s">
        <v>25</v>
      </c>
      <c r="C13" s="32" t="s">
        <v>20</v>
      </c>
      <c r="D13" s="30" t="str">
        <f t="shared" si="0"/>
        <v>2.3.1</v>
      </c>
      <c r="E13" s="24" t="s">
        <v>130</v>
      </c>
      <c r="F13" s="25" t="s">
        <v>14</v>
      </c>
      <c r="G13" s="65">
        <v>80</v>
      </c>
      <c r="H13" s="47">
        <v>543.91999999999996</v>
      </c>
      <c r="I13" s="41">
        <f t="shared" si="1"/>
        <v>43513.599999999999</v>
      </c>
    </row>
    <row r="14" spans="1:9" ht="49.5" customHeight="1" x14ac:dyDescent="0.2">
      <c r="A14" s="31">
        <v>5</v>
      </c>
      <c r="B14" s="23" t="s">
        <v>26</v>
      </c>
      <c r="C14" s="32" t="s">
        <v>20</v>
      </c>
      <c r="D14" s="30" t="str">
        <f t="shared" si="0"/>
        <v>2.3.1</v>
      </c>
      <c r="E14" s="24" t="s">
        <v>65</v>
      </c>
      <c r="F14" s="25" t="s">
        <v>14</v>
      </c>
      <c r="G14" s="65">
        <v>80</v>
      </c>
      <c r="H14" s="47">
        <v>1098</v>
      </c>
      <c r="I14" s="41">
        <f t="shared" si="1"/>
        <v>87840</v>
      </c>
    </row>
    <row r="15" spans="1:9" ht="49.5" customHeight="1" x14ac:dyDescent="0.2">
      <c r="A15" s="31">
        <v>6</v>
      </c>
      <c r="B15" s="23" t="s">
        <v>27</v>
      </c>
      <c r="C15" s="32" t="s">
        <v>20</v>
      </c>
      <c r="D15" s="30" t="str">
        <f t="shared" si="0"/>
        <v>2.3.1</v>
      </c>
      <c r="E15" s="24" t="s">
        <v>66</v>
      </c>
      <c r="F15" s="25" t="s">
        <v>14</v>
      </c>
      <c r="G15" s="65">
        <v>100</v>
      </c>
      <c r="H15" s="47">
        <v>17.75</v>
      </c>
      <c r="I15" s="41">
        <v>1775</v>
      </c>
    </row>
    <row r="16" spans="1:9" ht="49.5" customHeight="1" x14ac:dyDescent="0.2">
      <c r="A16" s="31">
        <v>7</v>
      </c>
      <c r="B16" s="23" t="s">
        <v>28</v>
      </c>
      <c r="C16" s="32" t="s">
        <v>20</v>
      </c>
      <c r="D16" s="30" t="str">
        <f t="shared" si="0"/>
        <v>2.3.1</v>
      </c>
      <c r="E16" s="24" t="s">
        <v>67</v>
      </c>
      <c r="F16" s="25" t="s">
        <v>14</v>
      </c>
      <c r="G16" s="65">
        <v>200</v>
      </c>
      <c r="H16" s="47">
        <v>17.989999999999998</v>
      </c>
      <c r="I16" s="41">
        <f t="shared" si="1"/>
        <v>3597.9999999999995</v>
      </c>
    </row>
    <row r="17" spans="1:10" ht="43.5" customHeight="1" x14ac:dyDescent="0.2">
      <c r="A17" s="31">
        <v>8</v>
      </c>
      <c r="B17" s="23" t="s">
        <v>153</v>
      </c>
      <c r="C17" s="32" t="s">
        <v>20</v>
      </c>
      <c r="D17" s="30" t="s">
        <v>128</v>
      </c>
      <c r="E17" s="24" t="s">
        <v>154</v>
      </c>
      <c r="F17" s="25" t="s">
        <v>14</v>
      </c>
      <c r="G17" s="65">
        <v>100</v>
      </c>
      <c r="H17" s="47">
        <v>430</v>
      </c>
      <c r="I17" s="41">
        <f t="shared" si="1"/>
        <v>43000</v>
      </c>
    </row>
    <row r="18" spans="1:10" ht="49.5" customHeight="1" x14ac:dyDescent="0.2">
      <c r="A18" s="31">
        <v>9</v>
      </c>
      <c r="B18" s="23" t="s">
        <v>94</v>
      </c>
      <c r="C18" s="32" t="s">
        <v>20</v>
      </c>
      <c r="D18" s="30" t="str">
        <f t="shared" si="0"/>
        <v>2.9.2</v>
      </c>
      <c r="E18" s="24" t="s">
        <v>95</v>
      </c>
      <c r="F18" s="25" t="s">
        <v>14</v>
      </c>
      <c r="G18" s="66">
        <v>50</v>
      </c>
      <c r="H18" s="47">
        <v>787</v>
      </c>
      <c r="I18" s="41">
        <f t="shared" si="1"/>
        <v>39350</v>
      </c>
    </row>
    <row r="19" spans="1:10" ht="42.75" customHeight="1" x14ac:dyDescent="0.2">
      <c r="A19" s="31">
        <v>10</v>
      </c>
      <c r="B19" s="23" t="s">
        <v>29</v>
      </c>
      <c r="C19" s="32" t="s">
        <v>20</v>
      </c>
      <c r="D19" s="30" t="str">
        <f t="shared" si="0"/>
        <v>2.9.2</v>
      </c>
      <c r="E19" s="24" t="s">
        <v>68</v>
      </c>
      <c r="F19" s="25" t="s">
        <v>14</v>
      </c>
      <c r="G19" s="65">
        <v>50</v>
      </c>
      <c r="H19" s="47">
        <v>231</v>
      </c>
      <c r="I19" s="41">
        <f t="shared" si="1"/>
        <v>11550</v>
      </c>
    </row>
    <row r="20" spans="1:10" ht="40.5" customHeight="1" x14ac:dyDescent="0.2">
      <c r="A20" s="31">
        <v>11</v>
      </c>
      <c r="B20" s="23" t="s">
        <v>30</v>
      </c>
      <c r="C20" s="32" t="s">
        <v>20</v>
      </c>
      <c r="D20" s="30" t="str">
        <f t="shared" si="0"/>
        <v>2.9.2</v>
      </c>
      <c r="E20" s="24" t="s">
        <v>69</v>
      </c>
      <c r="F20" s="25" t="s">
        <v>14</v>
      </c>
      <c r="G20" s="65">
        <v>50</v>
      </c>
      <c r="H20" s="47">
        <v>120</v>
      </c>
      <c r="I20" s="41">
        <f t="shared" si="1"/>
        <v>6000</v>
      </c>
    </row>
    <row r="21" spans="1:10" ht="41.25" customHeight="1" x14ac:dyDescent="0.2">
      <c r="A21" s="31">
        <v>12</v>
      </c>
      <c r="B21" s="23" t="s">
        <v>31</v>
      </c>
      <c r="C21" s="32" t="s">
        <v>20</v>
      </c>
      <c r="D21" s="30" t="str">
        <f t="shared" si="0"/>
        <v>2.9.2</v>
      </c>
      <c r="E21" s="24" t="s">
        <v>70</v>
      </c>
      <c r="F21" s="25" t="s">
        <v>14</v>
      </c>
      <c r="G21" s="66">
        <v>50</v>
      </c>
      <c r="H21" s="47">
        <v>209</v>
      </c>
      <c r="I21" s="41">
        <f t="shared" si="1"/>
        <v>10450</v>
      </c>
    </row>
    <row r="22" spans="1:10" ht="41.25" customHeight="1" x14ac:dyDescent="0.2">
      <c r="A22" s="31">
        <v>13</v>
      </c>
      <c r="B22" s="23" t="s">
        <v>32</v>
      </c>
      <c r="C22" s="32" t="s">
        <v>20</v>
      </c>
      <c r="D22" s="30" t="str">
        <f t="shared" si="0"/>
        <v>2.9.2</v>
      </c>
      <c r="E22" s="24" t="s">
        <v>100</v>
      </c>
      <c r="F22" s="25" t="s">
        <v>14</v>
      </c>
      <c r="G22" s="66">
        <v>100</v>
      </c>
      <c r="H22" s="47">
        <v>100</v>
      </c>
      <c r="I22" s="41">
        <f t="shared" si="1"/>
        <v>10000</v>
      </c>
    </row>
    <row r="23" spans="1:10" ht="39.75" customHeight="1" x14ac:dyDescent="0.2">
      <c r="A23" s="31">
        <v>14</v>
      </c>
      <c r="B23" s="23" t="s">
        <v>33</v>
      </c>
      <c r="C23" s="32" t="s">
        <v>20</v>
      </c>
      <c r="D23" s="30" t="str">
        <f t="shared" si="0"/>
        <v>2.9.2</v>
      </c>
      <c r="E23" s="24" t="s">
        <v>101</v>
      </c>
      <c r="F23" s="25" t="s">
        <v>14</v>
      </c>
      <c r="G23" s="66">
        <v>100</v>
      </c>
      <c r="H23" s="47">
        <v>92.5</v>
      </c>
      <c r="I23" s="41">
        <f t="shared" si="1"/>
        <v>9250</v>
      </c>
    </row>
    <row r="24" spans="1:10" ht="36" customHeight="1" x14ac:dyDescent="0.2">
      <c r="A24" s="31">
        <v>15</v>
      </c>
      <c r="B24" s="23" t="s">
        <v>34</v>
      </c>
      <c r="C24" s="32" t="s">
        <v>20</v>
      </c>
      <c r="D24" s="32" t="str">
        <f t="shared" si="0"/>
        <v>2.9.2</v>
      </c>
      <c r="E24" s="24" t="s">
        <v>102</v>
      </c>
      <c r="F24" s="33" t="s">
        <v>14</v>
      </c>
      <c r="G24" s="66">
        <v>100</v>
      </c>
      <c r="H24" s="47">
        <v>63</v>
      </c>
      <c r="I24" s="41">
        <f t="shared" si="1"/>
        <v>6300</v>
      </c>
    </row>
    <row r="25" spans="1:10" ht="36.75" customHeight="1" x14ac:dyDescent="0.2">
      <c r="A25" s="31">
        <v>16</v>
      </c>
      <c r="B25" s="23" t="s">
        <v>35</v>
      </c>
      <c r="C25" s="32" t="s">
        <v>20</v>
      </c>
      <c r="D25" s="32" t="str">
        <f t="shared" si="0"/>
        <v>2.9.2</v>
      </c>
      <c r="E25" s="24" t="s">
        <v>103</v>
      </c>
      <c r="F25" s="33" t="s">
        <v>14</v>
      </c>
      <c r="G25" s="66">
        <v>100</v>
      </c>
      <c r="H25" s="47">
        <v>76.599999999999994</v>
      </c>
      <c r="I25" s="41">
        <f t="shared" si="1"/>
        <v>7659.9999999999991</v>
      </c>
    </row>
    <row r="26" spans="1:10" ht="31.5" customHeight="1" x14ac:dyDescent="0.2">
      <c r="A26" s="31">
        <v>17</v>
      </c>
      <c r="B26" s="52" t="s">
        <v>21</v>
      </c>
      <c r="C26" s="32" t="s">
        <v>20</v>
      </c>
      <c r="D26" s="30" t="str">
        <f t="shared" si="0"/>
        <v>2.9.2</v>
      </c>
      <c r="E26" s="24" t="s">
        <v>104</v>
      </c>
      <c r="F26" s="25" t="s">
        <v>99</v>
      </c>
      <c r="G26" s="66">
        <v>15</v>
      </c>
      <c r="H26" s="47">
        <v>914</v>
      </c>
      <c r="I26" s="41">
        <f t="shared" si="1"/>
        <v>13710</v>
      </c>
    </row>
    <row r="27" spans="1:10" ht="36" customHeight="1" x14ac:dyDescent="0.2">
      <c r="A27" s="31">
        <v>18</v>
      </c>
      <c r="B27" s="23" t="s">
        <v>36</v>
      </c>
      <c r="C27" s="32" t="s">
        <v>20</v>
      </c>
      <c r="D27" s="30" t="str">
        <f t="shared" si="0"/>
        <v>2.9.2</v>
      </c>
      <c r="E27" s="24" t="s">
        <v>105</v>
      </c>
      <c r="F27" s="25" t="s">
        <v>99</v>
      </c>
      <c r="G27" s="66">
        <v>15</v>
      </c>
      <c r="H27" s="47">
        <v>545</v>
      </c>
      <c r="I27" s="41">
        <f t="shared" si="1"/>
        <v>8175</v>
      </c>
    </row>
    <row r="28" spans="1:10" ht="36.75" customHeight="1" x14ac:dyDescent="0.2">
      <c r="A28" s="31">
        <v>19</v>
      </c>
      <c r="B28" s="23" t="s">
        <v>37</v>
      </c>
      <c r="C28" s="32" t="s">
        <v>20</v>
      </c>
      <c r="D28" s="30" t="str">
        <f t="shared" si="0"/>
        <v>2.9.2</v>
      </c>
      <c r="E28" s="24" t="s">
        <v>71</v>
      </c>
      <c r="F28" s="25" t="s">
        <v>38</v>
      </c>
      <c r="G28" s="66">
        <v>40</v>
      </c>
      <c r="H28" s="47">
        <v>346</v>
      </c>
      <c r="I28" s="41">
        <f t="shared" si="1"/>
        <v>13840</v>
      </c>
    </row>
    <row r="29" spans="1:10" ht="36" customHeight="1" x14ac:dyDescent="0.2">
      <c r="A29" s="31">
        <v>20</v>
      </c>
      <c r="B29" s="23" t="s">
        <v>39</v>
      </c>
      <c r="C29" s="32" t="s">
        <v>20</v>
      </c>
      <c r="D29" s="30" t="str">
        <f t="shared" si="0"/>
        <v>2.9.2</v>
      </c>
      <c r="E29" s="73" t="s">
        <v>138</v>
      </c>
      <c r="F29" s="25" t="s">
        <v>14</v>
      </c>
      <c r="G29" s="66">
        <v>40</v>
      </c>
      <c r="H29" s="47">
        <v>346</v>
      </c>
      <c r="I29" s="41">
        <f t="shared" si="1"/>
        <v>13840</v>
      </c>
      <c r="J29" s="42"/>
    </row>
    <row r="30" spans="1:10" ht="39.75" customHeight="1" x14ac:dyDescent="0.2">
      <c r="A30" s="31">
        <v>21</v>
      </c>
      <c r="B30" s="23" t="s">
        <v>40</v>
      </c>
      <c r="C30" s="32" t="s">
        <v>20</v>
      </c>
      <c r="D30" s="30" t="str">
        <f t="shared" si="0"/>
        <v>2.9.2</v>
      </c>
      <c r="E30" s="24" t="s">
        <v>72</v>
      </c>
      <c r="F30" s="25" t="s">
        <v>14</v>
      </c>
      <c r="G30" s="66">
        <v>40</v>
      </c>
      <c r="H30" s="47">
        <v>117.9</v>
      </c>
      <c r="I30" s="41">
        <f t="shared" si="1"/>
        <v>4716</v>
      </c>
    </row>
    <row r="31" spans="1:10" ht="34.5" customHeight="1" x14ac:dyDescent="0.2">
      <c r="A31" s="31">
        <v>22</v>
      </c>
      <c r="B31" s="23" t="s">
        <v>41</v>
      </c>
      <c r="C31" s="32" t="s">
        <v>20</v>
      </c>
      <c r="D31" s="30" t="str">
        <f t="shared" si="0"/>
        <v>2.9.2</v>
      </c>
      <c r="E31" s="24" t="s">
        <v>106</v>
      </c>
      <c r="F31" s="25" t="s">
        <v>14</v>
      </c>
      <c r="G31" s="66">
        <v>40</v>
      </c>
      <c r="H31" s="47">
        <v>228</v>
      </c>
      <c r="I31" s="41">
        <f t="shared" si="1"/>
        <v>9120</v>
      </c>
    </row>
    <row r="32" spans="1:10" ht="37.5" customHeight="1" x14ac:dyDescent="0.2">
      <c r="A32" s="31">
        <v>23</v>
      </c>
      <c r="B32" s="53" t="s">
        <v>42</v>
      </c>
      <c r="C32" s="29" t="s">
        <v>20</v>
      </c>
      <c r="D32" s="30" t="str">
        <f t="shared" si="0"/>
        <v>2.9.2</v>
      </c>
      <c r="E32" s="36" t="s">
        <v>107</v>
      </c>
      <c r="F32" s="28" t="s">
        <v>14</v>
      </c>
      <c r="G32" s="68">
        <v>40</v>
      </c>
      <c r="H32" s="47">
        <v>330</v>
      </c>
      <c r="I32" s="41">
        <f t="shared" si="1"/>
        <v>13200</v>
      </c>
    </row>
    <row r="33" spans="1:9" ht="24.75" customHeight="1" x14ac:dyDescent="0.2">
      <c r="A33" s="31">
        <v>24</v>
      </c>
      <c r="B33" s="23" t="s">
        <v>44</v>
      </c>
      <c r="C33" s="32" t="s">
        <v>20</v>
      </c>
      <c r="D33" s="30" t="str">
        <f t="shared" si="0"/>
        <v>2.9.2</v>
      </c>
      <c r="E33" s="24" t="s">
        <v>152</v>
      </c>
      <c r="F33" s="25" t="s">
        <v>14</v>
      </c>
      <c r="G33" s="66">
        <v>50</v>
      </c>
      <c r="H33" s="47">
        <v>350</v>
      </c>
      <c r="I33" s="41">
        <f t="shared" si="1"/>
        <v>17500</v>
      </c>
    </row>
    <row r="34" spans="1:9" ht="24.75" customHeight="1" x14ac:dyDescent="0.2">
      <c r="A34" s="31">
        <v>25</v>
      </c>
      <c r="B34" s="23" t="s">
        <v>45</v>
      </c>
      <c r="C34" s="32" t="s">
        <v>20</v>
      </c>
      <c r="D34" s="30" t="str">
        <f t="shared" si="0"/>
        <v>2.9.2</v>
      </c>
      <c r="E34" s="24" t="s">
        <v>73</v>
      </c>
      <c r="F34" s="25" t="s">
        <v>14</v>
      </c>
      <c r="G34" s="66">
        <v>80</v>
      </c>
      <c r="H34" s="47">
        <v>150</v>
      </c>
      <c r="I34" s="41">
        <f t="shared" si="1"/>
        <v>12000</v>
      </c>
    </row>
    <row r="35" spans="1:9" ht="36.75" customHeight="1" x14ac:dyDescent="0.2">
      <c r="A35" s="31">
        <v>26</v>
      </c>
      <c r="B35" s="23" t="s">
        <v>46</v>
      </c>
      <c r="C35" s="32" t="s">
        <v>20</v>
      </c>
      <c r="D35" s="30" t="str">
        <f t="shared" si="0"/>
        <v>2.9.2</v>
      </c>
      <c r="E35" s="24" t="s">
        <v>108</v>
      </c>
      <c r="F35" s="25" t="s">
        <v>14</v>
      </c>
      <c r="G35" s="66">
        <v>50</v>
      </c>
      <c r="H35" s="47">
        <v>729</v>
      </c>
      <c r="I35" s="41">
        <f t="shared" si="1"/>
        <v>36450</v>
      </c>
    </row>
    <row r="36" spans="1:9" ht="36" customHeight="1" x14ac:dyDescent="0.2">
      <c r="A36" s="31">
        <v>27</v>
      </c>
      <c r="B36" s="23" t="s">
        <v>47</v>
      </c>
      <c r="C36" s="32" t="s">
        <v>20</v>
      </c>
      <c r="D36" s="30" t="str">
        <f t="shared" si="0"/>
        <v>2.9.2</v>
      </c>
      <c r="E36" s="24" t="s">
        <v>74</v>
      </c>
      <c r="F36" s="25" t="s">
        <v>14</v>
      </c>
      <c r="G36" s="66">
        <v>50</v>
      </c>
      <c r="H36" s="47">
        <v>379</v>
      </c>
      <c r="I36" s="41">
        <f t="shared" si="1"/>
        <v>18950</v>
      </c>
    </row>
    <row r="37" spans="1:9" ht="27.75" customHeight="1" x14ac:dyDescent="0.2">
      <c r="A37" s="31">
        <v>28</v>
      </c>
      <c r="B37" s="23" t="s">
        <v>48</v>
      </c>
      <c r="C37" s="32" t="s">
        <v>20</v>
      </c>
      <c r="D37" s="30" t="str">
        <f>+LEFT(B37,5)</f>
        <v>2.9.2</v>
      </c>
      <c r="E37" s="37" t="s">
        <v>75</v>
      </c>
      <c r="F37" s="25" t="s">
        <v>14</v>
      </c>
      <c r="G37" s="66">
        <v>300</v>
      </c>
      <c r="H37" s="47">
        <v>63.5</v>
      </c>
      <c r="I37" s="41">
        <f t="shared" si="1"/>
        <v>19050</v>
      </c>
    </row>
    <row r="38" spans="1:9" ht="27.75" customHeight="1" x14ac:dyDescent="0.2">
      <c r="A38" s="31">
        <v>29</v>
      </c>
      <c r="B38" s="23" t="s">
        <v>60</v>
      </c>
      <c r="C38" s="32" t="s">
        <v>20</v>
      </c>
      <c r="D38" s="30" t="str">
        <f>+LEFT(B38,5)</f>
        <v>2.9.2</v>
      </c>
      <c r="E38" s="37" t="s">
        <v>76</v>
      </c>
      <c r="F38" s="25" t="s">
        <v>14</v>
      </c>
      <c r="G38" s="66">
        <v>300</v>
      </c>
      <c r="H38" s="47">
        <v>56.91</v>
      </c>
      <c r="I38" s="41">
        <f t="shared" si="1"/>
        <v>17073</v>
      </c>
    </row>
    <row r="39" spans="1:9" ht="25.5" customHeight="1" x14ac:dyDescent="0.2">
      <c r="A39" s="31">
        <v>30</v>
      </c>
      <c r="B39" s="23" t="s">
        <v>49</v>
      </c>
      <c r="C39" s="32" t="s">
        <v>20</v>
      </c>
      <c r="D39" s="30" t="str">
        <f>+LEFT(B39,5)</f>
        <v>2.9.2</v>
      </c>
      <c r="E39" s="37" t="s">
        <v>77</v>
      </c>
      <c r="F39" s="25" t="s">
        <v>14</v>
      </c>
      <c r="G39" s="66">
        <v>300</v>
      </c>
      <c r="H39" s="47">
        <v>144.59</v>
      </c>
      <c r="I39" s="41">
        <f t="shared" si="1"/>
        <v>43377</v>
      </c>
    </row>
    <row r="40" spans="1:9" ht="28.5" customHeight="1" x14ac:dyDescent="0.2">
      <c r="A40" s="31">
        <v>31</v>
      </c>
      <c r="B40" s="23" t="s">
        <v>109</v>
      </c>
      <c r="C40" s="32" t="s">
        <v>20</v>
      </c>
      <c r="D40" s="30" t="str">
        <f>+LEFT(B40,5)</f>
        <v>2.9.2</v>
      </c>
      <c r="E40" s="37" t="s">
        <v>110</v>
      </c>
      <c r="F40" s="25" t="s">
        <v>14</v>
      </c>
      <c r="G40" s="66">
        <v>300</v>
      </c>
      <c r="H40" s="47">
        <v>39.799999999999997</v>
      </c>
      <c r="I40" s="41">
        <f t="shared" si="1"/>
        <v>11940</v>
      </c>
    </row>
    <row r="41" spans="1:9" ht="28.5" customHeight="1" x14ac:dyDescent="0.2">
      <c r="A41" s="31">
        <v>32</v>
      </c>
      <c r="B41" s="23" t="s">
        <v>109</v>
      </c>
      <c r="C41" s="32" t="s">
        <v>20</v>
      </c>
      <c r="D41" s="30" t="str">
        <f>+LEFT(B41,5)</f>
        <v>2.9.2</v>
      </c>
      <c r="E41" s="37" t="s">
        <v>111</v>
      </c>
      <c r="F41" s="25" t="s">
        <v>14</v>
      </c>
      <c r="G41" s="66">
        <v>300</v>
      </c>
      <c r="H41" s="47">
        <v>39.799999999999997</v>
      </c>
      <c r="I41" s="41">
        <f t="shared" si="1"/>
        <v>11940</v>
      </c>
    </row>
    <row r="42" spans="1:9" ht="34.5" customHeight="1" x14ac:dyDescent="0.2">
      <c r="A42" s="31">
        <v>33</v>
      </c>
      <c r="B42" s="23" t="s">
        <v>96</v>
      </c>
      <c r="C42" s="32" t="s">
        <v>20</v>
      </c>
      <c r="D42" s="30" t="str">
        <f t="shared" si="0"/>
        <v>2.9.2</v>
      </c>
      <c r="E42" s="24" t="s">
        <v>112</v>
      </c>
      <c r="F42" s="25" t="s">
        <v>14</v>
      </c>
      <c r="G42" s="66">
        <v>150</v>
      </c>
      <c r="H42" s="47">
        <v>107.5</v>
      </c>
      <c r="I42" s="41">
        <f t="shared" si="1"/>
        <v>16125</v>
      </c>
    </row>
    <row r="43" spans="1:9" ht="36.75" customHeight="1" x14ac:dyDescent="0.2">
      <c r="A43" s="31">
        <v>34</v>
      </c>
      <c r="B43" s="23" t="s">
        <v>50</v>
      </c>
      <c r="C43" s="32" t="s">
        <v>20</v>
      </c>
      <c r="D43" s="30" t="str">
        <f t="shared" si="0"/>
        <v>2.9.2</v>
      </c>
      <c r="E43" s="24" t="s">
        <v>115</v>
      </c>
      <c r="F43" s="25" t="s">
        <v>98</v>
      </c>
      <c r="G43" s="66">
        <v>10</v>
      </c>
      <c r="H43" s="47">
        <v>220</v>
      </c>
      <c r="I43" s="41">
        <f t="shared" si="1"/>
        <v>2200</v>
      </c>
    </row>
    <row r="44" spans="1:9" ht="37.5" customHeight="1" x14ac:dyDescent="0.2">
      <c r="A44" s="31">
        <v>35</v>
      </c>
      <c r="B44" s="23" t="s">
        <v>113</v>
      </c>
      <c r="C44" s="32" t="s">
        <v>20</v>
      </c>
      <c r="D44" s="30" t="str">
        <f t="shared" si="0"/>
        <v>2.9.2</v>
      </c>
      <c r="E44" s="24" t="s">
        <v>114</v>
      </c>
      <c r="F44" s="25" t="s">
        <v>98</v>
      </c>
      <c r="G44" s="66">
        <v>10</v>
      </c>
      <c r="H44" s="47">
        <v>68.75</v>
      </c>
      <c r="I44" s="41">
        <f t="shared" si="1"/>
        <v>687.5</v>
      </c>
    </row>
    <row r="45" spans="1:9" ht="27.75" customHeight="1" x14ac:dyDescent="0.2">
      <c r="A45" s="31">
        <v>36</v>
      </c>
      <c r="B45" s="23" t="s">
        <v>116</v>
      </c>
      <c r="C45" s="32" t="s">
        <v>20</v>
      </c>
      <c r="D45" s="30" t="str">
        <f t="shared" si="0"/>
        <v>2.9.2</v>
      </c>
      <c r="E45" s="24" t="s">
        <v>117</v>
      </c>
      <c r="F45" s="25" t="s">
        <v>98</v>
      </c>
      <c r="G45" s="66">
        <v>10</v>
      </c>
      <c r="H45" s="47">
        <v>239</v>
      </c>
      <c r="I45" s="41">
        <f t="shared" si="1"/>
        <v>2390</v>
      </c>
    </row>
    <row r="46" spans="1:9" ht="24.75" customHeight="1" x14ac:dyDescent="0.2">
      <c r="A46" s="31">
        <v>37</v>
      </c>
      <c r="B46" s="23" t="s">
        <v>61</v>
      </c>
      <c r="C46" s="32" t="s">
        <v>20</v>
      </c>
      <c r="D46" s="30" t="str">
        <f t="shared" si="0"/>
        <v>2.9.2</v>
      </c>
      <c r="E46" s="24" t="s">
        <v>78</v>
      </c>
      <c r="F46" s="25" t="s">
        <v>14</v>
      </c>
      <c r="G46" s="66">
        <v>30</v>
      </c>
      <c r="H46" s="47">
        <v>109</v>
      </c>
      <c r="I46" s="41">
        <f t="shared" si="1"/>
        <v>3270</v>
      </c>
    </row>
    <row r="47" spans="1:9" ht="33.75" customHeight="1" x14ac:dyDescent="0.2">
      <c r="A47" s="31">
        <v>38</v>
      </c>
      <c r="B47" s="23" t="s">
        <v>51</v>
      </c>
      <c r="C47" s="32" t="s">
        <v>20</v>
      </c>
      <c r="D47" s="32" t="str">
        <f t="shared" si="0"/>
        <v>2.9.2</v>
      </c>
      <c r="E47" s="24" t="s">
        <v>79</v>
      </c>
      <c r="F47" s="33" t="s">
        <v>98</v>
      </c>
      <c r="G47" s="66">
        <v>20</v>
      </c>
      <c r="H47" s="47">
        <v>250</v>
      </c>
      <c r="I47" s="41">
        <f t="shared" si="1"/>
        <v>5000</v>
      </c>
    </row>
    <row r="48" spans="1:9" s="8" customFormat="1" ht="29.25" customHeight="1" x14ac:dyDescent="0.2">
      <c r="A48" s="31">
        <v>39</v>
      </c>
      <c r="B48" s="49" t="s">
        <v>97</v>
      </c>
      <c r="C48" s="33" t="s">
        <v>20</v>
      </c>
      <c r="D48" s="33" t="str">
        <f t="shared" si="0"/>
        <v>2.9.2</v>
      </c>
      <c r="E48" s="37" t="s">
        <v>118</v>
      </c>
      <c r="F48" s="25" t="s">
        <v>14</v>
      </c>
      <c r="G48" s="67">
        <v>20</v>
      </c>
      <c r="H48" s="50">
        <v>495</v>
      </c>
      <c r="I48" s="41">
        <f t="shared" si="1"/>
        <v>9900</v>
      </c>
    </row>
    <row r="49" spans="1:9" ht="49.5" customHeight="1" x14ac:dyDescent="0.2">
      <c r="A49" s="31">
        <v>40</v>
      </c>
      <c r="B49" s="23" t="s">
        <v>52</v>
      </c>
      <c r="C49" s="32" t="s">
        <v>20</v>
      </c>
      <c r="D49" s="32" t="str">
        <f t="shared" si="0"/>
        <v>2.9.2</v>
      </c>
      <c r="E49" s="24" t="s">
        <v>80</v>
      </c>
      <c r="F49" s="33" t="s">
        <v>14</v>
      </c>
      <c r="G49" s="66">
        <v>30</v>
      </c>
      <c r="H49" s="47">
        <v>209</v>
      </c>
      <c r="I49" s="41">
        <f t="shared" si="1"/>
        <v>6270</v>
      </c>
    </row>
    <row r="50" spans="1:9" ht="49.5" customHeight="1" x14ac:dyDescent="0.2">
      <c r="A50" s="31">
        <v>41</v>
      </c>
      <c r="B50" s="23" t="s">
        <v>53</v>
      </c>
      <c r="C50" s="32" t="s">
        <v>20</v>
      </c>
      <c r="D50" s="30" t="str">
        <f t="shared" si="0"/>
        <v>2.9.2</v>
      </c>
      <c r="E50" s="24" t="s">
        <v>81</v>
      </c>
      <c r="F50" s="25" t="s">
        <v>14</v>
      </c>
      <c r="G50" s="66">
        <v>30</v>
      </c>
      <c r="H50" s="47">
        <v>140</v>
      </c>
      <c r="I50" s="41">
        <f t="shared" si="1"/>
        <v>4200</v>
      </c>
    </row>
    <row r="51" spans="1:9" ht="33" customHeight="1" x14ac:dyDescent="0.2">
      <c r="A51" s="31">
        <v>42</v>
      </c>
      <c r="B51" s="23" t="s">
        <v>54</v>
      </c>
      <c r="C51" s="32" t="s">
        <v>20</v>
      </c>
      <c r="D51" s="30" t="str">
        <f t="shared" si="0"/>
        <v>2.9.2</v>
      </c>
      <c r="E51" s="24" t="s">
        <v>82</v>
      </c>
      <c r="F51" s="25" t="s">
        <v>14</v>
      </c>
      <c r="G51" s="66">
        <v>200</v>
      </c>
      <c r="H51" s="47">
        <v>180</v>
      </c>
      <c r="I51" s="41">
        <f t="shared" si="1"/>
        <v>36000</v>
      </c>
    </row>
    <row r="52" spans="1:9" ht="27" customHeight="1" x14ac:dyDescent="0.2">
      <c r="A52" s="31">
        <v>43</v>
      </c>
      <c r="B52" s="23" t="s">
        <v>55</v>
      </c>
      <c r="C52" s="32" t="s">
        <v>20</v>
      </c>
      <c r="D52" s="30" t="str">
        <f t="shared" si="0"/>
        <v>2.9.2</v>
      </c>
      <c r="E52" s="37" t="s">
        <v>83</v>
      </c>
      <c r="F52" s="25" t="s">
        <v>14</v>
      </c>
      <c r="G52" s="66">
        <v>120</v>
      </c>
      <c r="H52" s="47">
        <v>99</v>
      </c>
      <c r="I52" s="41">
        <f t="shared" si="1"/>
        <v>11880</v>
      </c>
    </row>
    <row r="53" spans="1:9" ht="33" customHeight="1" x14ac:dyDescent="0.2">
      <c r="A53" s="31">
        <v>44</v>
      </c>
      <c r="B53" s="23" t="s">
        <v>56</v>
      </c>
      <c r="C53" s="32" t="s">
        <v>20</v>
      </c>
      <c r="D53" s="30" t="str">
        <f>+LEFT(B53,5)</f>
        <v>2.9.2</v>
      </c>
      <c r="E53" s="37" t="s">
        <v>84</v>
      </c>
      <c r="F53" s="25" t="s">
        <v>14</v>
      </c>
      <c r="G53" s="66">
        <v>100</v>
      </c>
      <c r="H53" s="47">
        <v>90.25</v>
      </c>
      <c r="I53" s="41">
        <f t="shared" si="1"/>
        <v>9025</v>
      </c>
    </row>
    <row r="54" spans="1:9" ht="42" customHeight="1" x14ac:dyDescent="0.2">
      <c r="A54" s="31">
        <v>45</v>
      </c>
      <c r="B54" s="23" t="s">
        <v>62</v>
      </c>
      <c r="C54" s="32" t="s">
        <v>20</v>
      </c>
      <c r="D54" s="30" t="str">
        <f>+LEFT(B54,5)</f>
        <v>2.9.2</v>
      </c>
      <c r="E54" s="37" t="s">
        <v>85</v>
      </c>
      <c r="F54" s="25" t="s">
        <v>98</v>
      </c>
      <c r="G54" s="66">
        <v>8</v>
      </c>
      <c r="H54" s="47">
        <v>1767</v>
      </c>
      <c r="I54" s="41">
        <f t="shared" si="1"/>
        <v>14136</v>
      </c>
    </row>
    <row r="55" spans="1:9" ht="28.5" customHeight="1" x14ac:dyDescent="0.2">
      <c r="A55" s="31">
        <v>46</v>
      </c>
      <c r="B55" s="23" t="s">
        <v>92</v>
      </c>
      <c r="C55" s="32" t="s">
        <v>20</v>
      </c>
      <c r="D55" s="30" t="str">
        <f t="shared" si="0"/>
        <v>2.9.2</v>
      </c>
      <c r="E55" s="24" t="s">
        <v>93</v>
      </c>
      <c r="F55" s="25" t="s">
        <v>98</v>
      </c>
      <c r="G55" s="66">
        <v>20</v>
      </c>
      <c r="H55" s="47">
        <v>650</v>
      </c>
      <c r="I55" s="41">
        <f t="shared" si="1"/>
        <v>13000</v>
      </c>
    </row>
    <row r="56" spans="1:9" ht="30" customHeight="1" x14ac:dyDescent="0.2">
      <c r="A56" s="31">
        <v>47</v>
      </c>
      <c r="B56" s="23" t="s">
        <v>57</v>
      </c>
      <c r="C56" s="32" t="s">
        <v>20</v>
      </c>
      <c r="D56" s="30" t="str">
        <f t="shared" si="0"/>
        <v>2.9.2</v>
      </c>
      <c r="E56" s="24" t="s">
        <v>86</v>
      </c>
      <c r="F56" s="25" t="s">
        <v>98</v>
      </c>
      <c r="G56" s="66">
        <v>20</v>
      </c>
      <c r="H56" s="47">
        <v>363</v>
      </c>
      <c r="I56" s="41">
        <f t="shared" si="1"/>
        <v>7260</v>
      </c>
    </row>
    <row r="57" spans="1:9" ht="29.25" customHeight="1" x14ac:dyDescent="0.2">
      <c r="A57" s="31">
        <v>48</v>
      </c>
      <c r="B57" s="23" t="s">
        <v>58</v>
      </c>
      <c r="C57" s="32" t="s">
        <v>20</v>
      </c>
      <c r="D57" s="30" t="str">
        <f t="shared" si="0"/>
        <v>2.9.2</v>
      </c>
      <c r="E57" s="24" t="s">
        <v>91</v>
      </c>
      <c r="F57" s="25" t="s">
        <v>98</v>
      </c>
      <c r="G57" s="66">
        <v>20</v>
      </c>
      <c r="H57" s="47">
        <v>515</v>
      </c>
      <c r="I57" s="41">
        <f t="shared" si="1"/>
        <v>10300</v>
      </c>
    </row>
    <row r="58" spans="1:9" s="34" customFormat="1" ht="29.25" customHeight="1" x14ac:dyDescent="0.2">
      <c r="A58" s="31">
        <v>49</v>
      </c>
      <c r="B58" s="24" t="s">
        <v>64</v>
      </c>
      <c r="C58" s="24" t="s">
        <v>20</v>
      </c>
      <c r="D58" s="30" t="str">
        <f t="shared" ref="D58" si="2">+LEFT(B58,5)</f>
        <v>2.3.1</v>
      </c>
      <c r="E58" s="24" t="s">
        <v>87</v>
      </c>
      <c r="F58" s="24" t="s">
        <v>98</v>
      </c>
      <c r="G58" s="69">
        <v>10</v>
      </c>
      <c r="H58" s="47">
        <v>481.45</v>
      </c>
      <c r="I58" s="41">
        <f t="shared" si="1"/>
        <v>4814.5</v>
      </c>
    </row>
    <row r="59" spans="1:9" s="34" customFormat="1" ht="28.5" customHeight="1" x14ac:dyDescent="0.2">
      <c r="A59" s="31">
        <v>50</v>
      </c>
      <c r="B59" s="24" t="s">
        <v>59</v>
      </c>
      <c r="C59" s="24" t="s">
        <v>20</v>
      </c>
      <c r="D59" s="30" t="str">
        <f>+LEFT(B59,5)</f>
        <v>2.9.2</v>
      </c>
      <c r="E59" s="24" t="s">
        <v>88</v>
      </c>
      <c r="F59" s="24" t="s">
        <v>14</v>
      </c>
      <c r="G59" s="69">
        <v>20</v>
      </c>
      <c r="H59" s="47">
        <v>220</v>
      </c>
      <c r="I59" s="41">
        <f t="shared" si="1"/>
        <v>4400</v>
      </c>
    </row>
    <row r="60" spans="1:9" s="34" customFormat="1" ht="37.5" customHeight="1" x14ac:dyDescent="0.2">
      <c r="A60" s="31">
        <v>51</v>
      </c>
      <c r="B60" s="62" t="s">
        <v>132</v>
      </c>
      <c r="C60" s="62" t="s">
        <v>20</v>
      </c>
      <c r="D60" s="70" t="s">
        <v>128</v>
      </c>
      <c r="E60" s="62" t="s">
        <v>134</v>
      </c>
      <c r="F60" s="62" t="s">
        <v>14</v>
      </c>
      <c r="G60" s="71">
        <v>500</v>
      </c>
      <c r="H60" s="63">
        <v>14.4</v>
      </c>
      <c r="I60" s="64">
        <f t="shared" ref="I60:I62" si="3">+H60*G60</f>
        <v>7200</v>
      </c>
    </row>
    <row r="61" spans="1:9" s="34" customFormat="1" ht="37.5" customHeight="1" x14ac:dyDescent="0.2">
      <c r="A61" s="31">
        <v>52</v>
      </c>
      <c r="B61" s="62" t="s">
        <v>133</v>
      </c>
      <c r="C61" s="62" t="s">
        <v>20</v>
      </c>
      <c r="D61" s="70" t="s">
        <v>128</v>
      </c>
      <c r="E61" s="62" t="s">
        <v>135</v>
      </c>
      <c r="F61" s="62" t="s">
        <v>14</v>
      </c>
      <c r="G61" s="71">
        <v>300</v>
      </c>
      <c r="H61" s="63">
        <v>12.9</v>
      </c>
      <c r="I61" s="64">
        <f t="shared" si="3"/>
        <v>3870</v>
      </c>
    </row>
    <row r="62" spans="1:9" s="34" customFormat="1" ht="37.5" customHeight="1" x14ac:dyDescent="0.2">
      <c r="A62" s="31">
        <v>53</v>
      </c>
      <c r="B62" s="62" t="s">
        <v>43</v>
      </c>
      <c r="C62" s="62" t="s">
        <v>20</v>
      </c>
      <c r="D62" s="70" t="s">
        <v>128</v>
      </c>
      <c r="E62" s="62" t="s">
        <v>136</v>
      </c>
      <c r="F62" s="62" t="s">
        <v>14</v>
      </c>
      <c r="G62" s="71">
        <v>30</v>
      </c>
      <c r="H62" s="63">
        <v>2500</v>
      </c>
      <c r="I62" s="64">
        <f t="shared" si="3"/>
        <v>75000</v>
      </c>
    </row>
    <row r="63" spans="1:9" ht="13.5" thickBot="1" x14ac:dyDescent="0.25">
      <c r="A63" s="38"/>
      <c r="B63" s="39"/>
      <c r="C63" s="79"/>
      <c r="D63" s="80"/>
      <c r="E63" s="81"/>
      <c r="F63" s="22"/>
      <c r="G63" s="40"/>
      <c r="H63" s="48"/>
      <c r="I63" s="54">
        <f>SUM(I10:I62)</f>
        <v>1624815.6</v>
      </c>
    </row>
    <row r="64" spans="1:9" ht="18" customHeight="1" x14ac:dyDescent="0.2">
      <c r="B64" s="9"/>
    </row>
    <row r="65" spans="1:10" s="26" customFormat="1" ht="29.25" customHeight="1" thickBot="1" x14ac:dyDescent="0.25">
      <c r="A65" s="1"/>
      <c r="B65" s="56"/>
      <c r="C65" s="72"/>
      <c r="D65" s="72"/>
      <c r="E65" s="72"/>
      <c r="H65" s="46"/>
      <c r="I65" s="14"/>
      <c r="J65" s="1"/>
    </row>
    <row r="66" spans="1:10" s="26" customFormat="1" x14ac:dyDescent="0.2">
      <c r="A66" s="1"/>
      <c r="B66" s="10" t="s">
        <v>141</v>
      </c>
      <c r="C66" s="35"/>
      <c r="D66" s="85"/>
      <c r="E66" s="86"/>
      <c r="H66" s="46"/>
      <c r="I66" s="14"/>
      <c r="J66" s="1"/>
    </row>
    <row r="67" spans="1:10" s="26" customFormat="1" x14ac:dyDescent="0.2">
      <c r="A67" s="1"/>
      <c r="B67" s="11"/>
      <c r="C67" s="87"/>
      <c r="D67" s="88"/>
      <c r="E67" s="89"/>
      <c r="H67" s="46"/>
      <c r="I67" s="14"/>
      <c r="J67" s="1"/>
    </row>
    <row r="68" spans="1:10" s="26" customFormat="1" ht="17.25" customHeight="1" x14ac:dyDescent="0.2">
      <c r="A68" s="1"/>
      <c r="B68" s="12" t="s">
        <v>15</v>
      </c>
      <c r="C68" s="87"/>
      <c r="D68" s="88"/>
      <c r="E68" s="89"/>
      <c r="H68" s="46"/>
      <c r="I68" s="14"/>
      <c r="J68" s="1"/>
    </row>
    <row r="69" spans="1:10" s="26" customFormat="1" ht="55.5" customHeight="1" thickBot="1" x14ac:dyDescent="0.25">
      <c r="A69" s="1"/>
      <c r="B69" s="55"/>
      <c r="C69" s="102" t="s">
        <v>127</v>
      </c>
      <c r="D69" s="102"/>
      <c r="E69" s="103"/>
      <c r="H69" s="46"/>
      <c r="I69" s="14"/>
      <c r="J69" s="1"/>
    </row>
    <row r="70" spans="1:10" s="59" customFormat="1" ht="28.5" customHeight="1" thickBot="1" x14ac:dyDescent="0.25">
      <c r="A70" s="4"/>
      <c r="B70" s="56"/>
      <c r="C70" s="72"/>
      <c r="D70" s="72"/>
      <c r="E70" s="72"/>
      <c r="H70" s="60"/>
      <c r="I70" s="61"/>
      <c r="J70" s="4"/>
    </row>
    <row r="71" spans="1:10" s="26" customFormat="1" ht="22.5" customHeight="1" x14ac:dyDescent="0.2">
      <c r="A71" s="1"/>
      <c r="B71" s="10" t="s">
        <v>155</v>
      </c>
      <c r="C71" s="35"/>
      <c r="D71" s="85"/>
      <c r="E71" s="86"/>
      <c r="H71" s="46"/>
      <c r="I71" s="14"/>
      <c r="J71" s="1"/>
    </row>
    <row r="72" spans="1:10" s="26" customFormat="1" ht="21" customHeight="1" x14ac:dyDescent="0.2">
      <c r="A72" s="1"/>
      <c r="B72" s="11"/>
      <c r="C72" s="87"/>
      <c r="D72" s="88"/>
      <c r="E72" s="89"/>
      <c r="H72" s="46"/>
      <c r="I72" s="14"/>
      <c r="J72" s="1"/>
    </row>
    <row r="73" spans="1:10" s="26" customFormat="1" x14ac:dyDescent="0.2">
      <c r="A73" s="1"/>
      <c r="B73" s="12" t="s">
        <v>15</v>
      </c>
      <c r="C73" s="87"/>
      <c r="D73" s="88"/>
      <c r="E73" s="89"/>
      <c r="H73" s="46"/>
      <c r="I73" s="14"/>
      <c r="J73" s="1"/>
    </row>
    <row r="74" spans="1:10" s="26" customFormat="1" ht="41.25" customHeight="1" thickBot="1" x14ac:dyDescent="0.25">
      <c r="A74" s="1"/>
      <c r="B74" s="55"/>
      <c r="C74" s="102" t="s">
        <v>156</v>
      </c>
      <c r="D74" s="102"/>
      <c r="E74" s="103"/>
      <c r="H74" s="46"/>
      <c r="I74" s="14"/>
      <c r="J74" s="1"/>
    </row>
    <row r="75" spans="1:10" s="26" customFormat="1" ht="21.75" customHeight="1" x14ac:dyDescent="0.2">
      <c r="A75" s="1"/>
      <c r="B75" s="56"/>
      <c r="C75" s="72"/>
      <c r="D75" s="72"/>
      <c r="E75" s="72"/>
      <c r="H75" s="46"/>
      <c r="I75" s="14"/>
      <c r="J75" s="1"/>
    </row>
    <row r="76" spans="1:10" s="26" customFormat="1" ht="12" customHeight="1" thickBot="1" x14ac:dyDescent="0.25">
      <c r="A76" s="1"/>
      <c r="B76" s="56"/>
      <c r="C76" s="72"/>
      <c r="D76" s="72"/>
      <c r="E76" s="72"/>
      <c r="H76" s="46"/>
      <c r="I76" s="14"/>
      <c r="J76" s="1"/>
    </row>
    <row r="77" spans="1:10" s="26" customFormat="1" x14ac:dyDescent="0.2">
      <c r="A77" s="1"/>
      <c r="B77" s="10" t="s">
        <v>142</v>
      </c>
      <c r="C77" s="35"/>
      <c r="D77" s="85"/>
      <c r="E77" s="86"/>
      <c r="F77" s="1"/>
      <c r="H77" s="46"/>
      <c r="I77" s="14"/>
      <c r="J77" s="1"/>
    </row>
    <row r="78" spans="1:10" s="26" customFormat="1" x14ac:dyDescent="0.2">
      <c r="A78" s="1"/>
      <c r="B78" s="11"/>
      <c r="C78" s="87"/>
      <c r="D78" s="88"/>
      <c r="E78" s="89"/>
      <c r="H78" s="46"/>
      <c r="I78" s="14"/>
      <c r="J78" s="1"/>
    </row>
    <row r="79" spans="1:10" s="26" customFormat="1" x14ac:dyDescent="0.2">
      <c r="A79" s="1"/>
      <c r="B79" s="12" t="s">
        <v>15</v>
      </c>
      <c r="C79" s="87"/>
      <c r="D79" s="88"/>
      <c r="E79" s="89"/>
      <c r="H79" s="46"/>
      <c r="I79" s="14"/>
      <c r="J79" s="1"/>
    </row>
    <row r="80" spans="1:10" s="26" customFormat="1" ht="38.25" customHeight="1" thickBot="1" x14ac:dyDescent="0.25">
      <c r="A80" s="1"/>
      <c r="B80" s="55"/>
      <c r="C80" s="102" t="s">
        <v>119</v>
      </c>
      <c r="D80" s="102"/>
      <c r="E80" s="103"/>
      <c r="H80" s="46"/>
      <c r="I80" s="14"/>
      <c r="J80" s="1"/>
    </row>
    <row r="81" spans="1:10" s="26" customFormat="1" ht="45.75" customHeight="1" thickBot="1" x14ac:dyDescent="0.25">
      <c r="A81" s="1"/>
      <c r="B81" s="9"/>
      <c r="C81" s="82"/>
      <c r="D81" s="83"/>
      <c r="E81" s="84"/>
      <c r="H81" s="46"/>
      <c r="I81" s="14"/>
      <c r="J81" s="1"/>
    </row>
    <row r="82" spans="1:10" s="26" customFormat="1" x14ac:dyDescent="0.2">
      <c r="A82" s="1"/>
      <c r="B82" s="10" t="s">
        <v>144</v>
      </c>
      <c r="C82" s="35"/>
      <c r="D82" s="85"/>
      <c r="E82" s="86"/>
      <c r="H82" s="46"/>
      <c r="I82" s="14"/>
      <c r="J82" s="1"/>
    </row>
    <row r="83" spans="1:10" s="26" customFormat="1" x14ac:dyDescent="0.2">
      <c r="A83" s="1"/>
      <c r="B83" s="11"/>
      <c r="C83" s="87"/>
      <c r="D83" s="88"/>
      <c r="E83" s="89"/>
      <c r="H83" s="46"/>
      <c r="I83" s="14"/>
      <c r="J83" s="1"/>
    </row>
    <row r="84" spans="1:10" s="26" customFormat="1" x14ac:dyDescent="0.2">
      <c r="A84" s="1"/>
      <c r="B84" s="12" t="s">
        <v>15</v>
      </c>
      <c r="C84" s="87"/>
      <c r="D84" s="88"/>
      <c r="E84" s="89"/>
      <c r="H84" s="46"/>
      <c r="I84" s="14"/>
      <c r="J84" s="1"/>
    </row>
    <row r="85" spans="1:10" s="26" customFormat="1" ht="57" customHeight="1" thickBot="1" x14ac:dyDescent="0.25">
      <c r="A85" s="1"/>
      <c r="B85" s="55"/>
      <c r="C85" s="106" t="s">
        <v>139</v>
      </c>
      <c r="D85" s="106"/>
      <c r="E85" s="107"/>
      <c r="H85" s="46"/>
      <c r="I85" s="14"/>
      <c r="J85" s="1"/>
    </row>
    <row r="86" spans="1:10" s="26" customFormat="1" ht="29.25" customHeight="1" thickBot="1" x14ac:dyDescent="0.25">
      <c r="A86" s="1"/>
      <c r="B86" s="9"/>
      <c r="C86" s="82"/>
      <c r="D86" s="83"/>
      <c r="E86" s="84"/>
      <c r="H86" s="46"/>
      <c r="I86" s="14"/>
      <c r="J86" s="1"/>
    </row>
    <row r="87" spans="1:10" s="26" customFormat="1" ht="15.75" customHeight="1" x14ac:dyDescent="0.2">
      <c r="A87" s="1"/>
      <c r="B87" s="10" t="s">
        <v>143</v>
      </c>
      <c r="C87" s="35"/>
      <c r="D87" s="85"/>
      <c r="E87" s="86"/>
      <c r="H87" s="46"/>
      <c r="I87" s="14"/>
      <c r="J87" s="1"/>
    </row>
    <row r="88" spans="1:10" s="26" customFormat="1" x14ac:dyDescent="0.2">
      <c r="A88" s="1"/>
      <c r="B88" s="11"/>
      <c r="C88" s="87"/>
      <c r="D88" s="88"/>
      <c r="E88" s="89"/>
      <c r="F88" s="1"/>
      <c r="H88" s="46"/>
      <c r="I88" s="14"/>
      <c r="J88" s="1"/>
    </row>
    <row r="89" spans="1:10" s="26" customFormat="1" x14ac:dyDescent="0.2">
      <c r="A89" s="1"/>
      <c r="B89" s="12" t="s">
        <v>15</v>
      </c>
      <c r="C89" s="87"/>
      <c r="D89" s="88"/>
      <c r="E89" s="89"/>
      <c r="H89" s="46"/>
      <c r="I89" s="14"/>
      <c r="J89" s="1"/>
    </row>
    <row r="90" spans="1:10" s="26" customFormat="1" ht="61.5" customHeight="1" x14ac:dyDescent="0.2">
      <c r="A90" s="1"/>
      <c r="B90" s="12"/>
      <c r="C90" s="96" t="s">
        <v>140</v>
      </c>
      <c r="D90" s="96"/>
      <c r="E90" s="97"/>
      <c r="H90" s="46"/>
      <c r="I90" s="14"/>
      <c r="J90" s="1"/>
    </row>
    <row r="91" spans="1:10" s="26" customFormat="1" ht="13.5" thickBot="1" x14ac:dyDescent="0.25">
      <c r="A91" s="1"/>
      <c r="B91" s="13"/>
      <c r="C91" s="90"/>
      <c r="D91" s="91"/>
      <c r="E91" s="92"/>
      <c r="H91" s="46"/>
      <c r="I91" s="14"/>
      <c r="J91" s="1"/>
    </row>
    <row r="92" spans="1:10" s="26" customFormat="1" ht="45" customHeight="1" thickBot="1" x14ac:dyDescent="0.25">
      <c r="A92" s="1"/>
      <c r="B92" s="9"/>
      <c r="C92" s="82"/>
      <c r="D92" s="83"/>
      <c r="E92" s="84"/>
      <c r="H92" s="46"/>
      <c r="I92" s="14"/>
      <c r="J92" s="1"/>
    </row>
    <row r="93" spans="1:10" s="26" customFormat="1" x14ac:dyDescent="0.2">
      <c r="A93" s="1"/>
      <c r="B93" s="10" t="s">
        <v>145</v>
      </c>
      <c r="C93" s="35"/>
      <c r="D93" s="85"/>
      <c r="E93" s="86"/>
      <c r="H93" s="46"/>
      <c r="I93" s="14"/>
      <c r="J93" s="1"/>
    </row>
    <row r="94" spans="1:10" s="26" customFormat="1" x14ac:dyDescent="0.2">
      <c r="A94" s="1"/>
      <c r="B94" s="11"/>
      <c r="C94" s="87"/>
      <c r="D94" s="88"/>
      <c r="E94" s="89"/>
      <c r="F94" s="1"/>
      <c r="H94" s="46"/>
      <c r="I94" s="14"/>
      <c r="J94" s="1"/>
    </row>
    <row r="95" spans="1:10" s="26" customFormat="1" x14ac:dyDescent="0.2">
      <c r="A95" s="1"/>
      <c r="B95" s="12" t="s">
        <v>15</v>
      </c>
      <c r="C95" s="87"/>
      <c r="D95" s="88"/>
      <c r="E95" s="89"/>
      <c r="H95" s="46"/>
      <c r="I95" s="14"/>
      <c r="J95" s="1"/>
    </row>
    <row r="96" spans="1:10" s="26" customFormat="1" x14ac:dyDescent="0.2">
      <c r="A96" s="1"/>
      <c r="B96" s="12"/>
      <c r="C96" s="99" t="s">
        <v>120</v>
      </c>
      <c r="D96" s="99"/>
      <c r="E96" s="100"/>
      <c r="H96" s="46"/>
      <c r="I96" s="14"/>
      <c r="J96" s="1"/>
    </row>
    <row r="97" spans="1:10" s="26" customFormat="1" ht="13.5" thickBot="1" x14ac:dyDescent="0.25">
      <c r="A97" s="1"/>
      <c r="B97" s="13"/>
      <c r="C97" s="90"/>
      <c r="D97" s="91"/>
      <c r="E97" s="92"/>
      <c r="H97" s="46"/>
      <c r="I97" s="14"/>
      <c r="J97" s="1"/>
    </row>
    <row r="98" spans="1:10" s="26" customFormat="1" ht="30.75" customHeight="1" thickBot="1" x14ac:dyDescent="0.25">
      <c r="A98" s="1"/>
      <c r="B98" s="9"/>
      <c r="C98" s="82"/>
      <c r="D98" s="83"/>
      <c r="E98" s="84"/>
      <c r="H98" s="46"/>
      <c r="I98" s="14"/>
      <c r="J98" s="1"/>
    </row>
    <row r="99" spans="1:10" s="26" customFormat="1" ht="12" customHeight="1" x14ac:dyDescent="0.2">
      <c r="A99" s="1"/>
      <c r="B99" s="10" t="s">
        <v>147</v>
      </c>
      <c r="C99" s="35"/>
      <c r="D99" s="85"/>
      <c r="E99" s="86"/>
      <c r="H99" s="46"/>
      <c r="I99" s="14"/>
      <c r="J99" s="1"/>
    </row>
    <row r="100" spans="1:10" s="26" customFormat="1" x14ac:dyDescent="0.2">
      <c r="A100" s="1"/>
      <c r="B100" s="11"/>
      <c r="C100" s="87"/>
      <c r="D100" s="88"/>
      <c r="E100" s="89"/>
      <c r="H100" s="46"/>
      <c r="I100" s="14"/>
      <c r="J100" s="1"/>
    </row>
    <row r="101" spans="1:10" s="26" customFormat="1" x14ac:dyDescent="0.2">
      <c r="A101" s="1"/>
      <c r="B101" s="12" t="s">
        <v>15</v>
      </c>
      <c r="C101" s="87"/>
      <c r="D101" s="88"/>
      <c r="E101" s="89"/>
      <c r="H101" s="46"/>
      <c r="I101" s="14"/>
      <c r="J101" s="1"/>
    </row>
    <row r="102" spans="1:10" s="26" customFormat="1" ht="24.75" customHeight="1" x14ac:dyDescent="0.2">
      <c r="A102" s="1"/>
      <c r="B102" s="12"/>
      <c r="C102" s="99" t="s">
        <v>121</v>
      </c>
      <c r="D102" s="99"/>
      <c r="E102" s="100"/>
      <c r="H102" s="46"/>
      <c r="I102" s="14"/>
      <c r="J102" s="1"/>
    </row>
    <row r="103" spans="1:10" s="26" customFormat="1" ht="13.5" thickBot="1" x14ac:dyDescent="0.25">
      <c r="A103" s="1"/>
      <c r="B103" s="13"/>
      <c r="C103" s="90"/>
      <c r="D103" s="91"/>
      <c r="E103" s="92"/>
      <c r="H103" s="46"/>
      <c r="I103" s="14"/>
      <c r="J103" s="1"/>
    </row>
    <row r="104" spans="1:10" s="26" customFormat="1" ht="28.5" customHeight="1" thickBot="1" x14ac:dyDescent="0.25">
      <c r="A104" s="1"/>
      <c r="B104" s="9"/>
      <c r="C104" s="82"/>
      <c r="D104" s="83"/>
      <c r="E104" s="84"/>
      <c r="H104" s="46"/>
      <c r="I104" s="14"/>
      <c r="J104" s="1"/>
    </row>
    <row r="105" spans="1:10" ht="17.25" customHeight="1" x14ac:dyDescent="0.2">
      <c r="A105" s="15"/>
      <c r="B105" s="10" t="s">
        <v>146</v>
      </c>
      <c r="C105" s="35"/>
      <c r="D105" s="85"/>
      <c r="E105" s="86"/>
      <c r="F105" s="26"/>
    </row>
    <row r="106" spans="1:10" s="4" customFormat="1" ht="14.25" customHeight="1" x14ac:dyDescent="0.2">
      <c r="A106" s="27"/>
      <c r="B106" s="11"/>
      <c r="C106" s="87"/>
      <c r="D106" s="88"/>
      <c r="E106" s="89"/>
      <c r="F106" s="59"/>
      <c r="G106" s="59"/>
      <c r="H106" s="60"/>
      <c r="I106" s="61"/>
    </row>
    <row r="107" spans="1:10" x14ac:dyDescent="0.2">
      <c r="B107" s="12" t="s">
        <v>15</v>
      </c>
      <c r="C107" s="87"/>
      <c r="D107" s="88"/>
      <c r="E107" s="89"/>
      <c r="F107" s="26"/>
    </row>
    <row r="108" spans="1:10" ht="20.25" customHeight="1" x14ac:dyDescent="0.2">
      <c r="B108" s="12"/>
      <c r="C108" s="96" t="s">
        <v>122</v>
      </c>
      <c r="D108" s="99"/>
      <c r="E108" s="100"/>
      <c r="F108" s="26"/>
    </row>
    <row r="109" spans="1:10" ht="13.5" thickBot="1" x14ac:dyDescent="0.25">
      <c r="B109" s="13"/>
      <c r="C109" s="90"/>
      <c r="D109" s="91"/>
      <c r="E109" s="92"/>
      <c r="F109" s="26"/>
    </row>
    <row r="110" spans="1:10" ht="50.25" customHeight="1" thickBot="1" x14ac:dyDescent="0.25">
      <c r="B110" s="58"/>
      <c r="C110" s="87"/>
      <c r="D110" s="88"/>
      <c r="E110" s="34"/>
      <c r="F110" s="26"/>
    </row>
    <row r="111" spans="1:10" ht="17.25" customHeight="1" x14ac:dyDescent="0.2">
      <c r="A111" s="15"/>
      <c r="B111" s="10" t="s">
        <v>148</v>
      </c>
      <c r="C111" s="35"/>
      <c r="D111" s="85"/>
      <c r="E111" s="86"/>
      <c r="F111" s="26"/>
    </row>
    <row r="112" spans="1:10" x14ac:dyDescent="0.2">
      <c r="B112" s="11"/>
      <c r="C112" s="87"/>
      <c r="D112" s="88"/>
      <c r="E112" s="89"/>
      <c r="F112" s="26"/>
    </row>
    <row r="113" spans="1:10" x14ac:dyDescent="0.2">
      <c r="B113" s="12" t="s">
        <v>15</v>
      </c>
      <c r="C113" s="87"/>
      <c r="D113" s="88"/>
      <c r="E113" s="89"/>
      <c r="F113" s="26"/>
    </row>
    <row r="114" spans="1:10" ht="29.25" customHeight="1" x14ac:dyDescent="0.2">
      <c r="B114" s="12"/>
      <c r="C114" s="96" t="s">
        <v>123</v>
      </c>
      <c r="D114" s="99"/>
      <c r="E114" s="100"/>
      <c r="F114" s="26"/>
    </row>
    <row r="115" spans="1:10" ht="13.5" thickBot="1" x14ac:dyDescent="0.25">
      <c r="B115" s="13"/>
      <c r="C115" s="90"/>
      <c r="D115" s="91"/>
      <c r="E115" s="92"/>
      <c r="F115" s="26"/>
    </row>
    <row r="116" spans="1:10" ht="39" customHeight="1" thickBot="1" x14ac:dyDescent="0.25">
      <c r="B116" s="9"/>
      <c r="F116" s="26"/>
    </row>
    <row r="117" spans="1:10" x14ac:dyDescent="0.2">
      <c r="B117" s="10" t="s">
        <v>149</v>
      </c>
      <c r="C117" s="35"/>
      <c r="D117" s="85"/>
      <c r="E117" s="86"/>
      <c r="F117" s="26"/>
    </row>
    <row r="118" spans="1:10" x14ac:dyDescent="0.2">
      <c r="B118" s="11"/>
      <c r="C118" s="87"/>
      <c r="D118" s="88"/>
      <c r="E118" s="89"/>
      <c r="F118" s="26"/>
    </row>
    <row r="119" spans="1:10" ht="17.25" customHeight="1" x14ac:dyDescent="0.2">
      <c r="B119" s="12" t="s">
        <v>15</v>
      </c>
      <c r="C119" s="87"/>
      <c r="D119" s="88"/>
      <c r="E119" s="89"/>
      <c r="F119" s="26"/>
    </row>
    <row r="120" spans="1:10" x14ac:dyDescent="0.2">
      <c r="B120" s="12"/>
      <c r="C120" s="96" t="s">
        <v>124</v>
      </c>
      <c r="D120" s="99"/>
      <c r="E120" s="100"/>
      <c r="F120" s="26"/>
    </row>
    <row r="121" spans="1:10" s="26" customFormat="1" ht="13.5" thickBot="1" x14ac:dyDescent="0.25">
      <c r="A121" s="1"/>
      <c r="B121" s="13"/>
      <c r="C121" s="90"/>
      <c r="D121" s="91"/>
      <c r="E121" s="92"/>
      <c r="H121" s="46"/>
      <c r="I121" s="14"/>
      <c r="J121" s="1"/>
    </row>
    <row r="122" spans="1:10" s="26" customFormat="1" ht="31.5" customHeight="1" thickBot="1" x14ac:dyDescent="0.25">
      <c r="A122" s="1"/>
      <c r="B122" s="9"/>
      <c r="C122" s="82"/>
      <c r="D122" s="83"/>
      <c r="E122" s="84"/>
      <c r="H122" s="46"/>
      <c r="I122" s="14"/>
      <c r="J122" s="1"/>
    </row>
    <row r="123" spans="1:10" s="26" customFormat="1" ht="15" customHeight="1" x14ac:dyDescent="0.2">
      <c r="A123" s="1"/>
      <c r="B123" s="10" t="s">
        <v>150</v>
      </c>
      <c r="C123" s="35"/>
      <c r="D123" s="85"/>
      <c r="E123" s="86"/>
      <c r="H123" s="46"/>
      <c r="I123" s="14"/>
      <c r="J123" s="1"/>
    </row>
    <row r="124" spans="1:10" s="26" customFormat="1" x14ac:dyDescent="0.2">
      <c r="A124" s="1"/>
      <c r="B124" s="11"/>
      <c r="C124" s="87"/>
      <c r="D124" s="88"/>
      <c r="E124" s="89"/>
      <c r="F124" s="1"/>
      <c r="H124" s="46"/>
      <c r="I124" s="14"/>
      <c r="J124" s="1"/>
    </row>
    <row r="125" spans="1:10" s="26" customFormat="1" x14ac:dyDescent="0.2">
      <c r="A125" s="1"/>
      <c r="B125" s="12" t="s">
        <v>15</v>
      </c>
      <c r="C125" s="87"/>
      <c r="D125" s="88"/>
      <c r="E125" s="89"/>
      <c r="F125" s="1"/>
      <c r="H125" s="46"/>
      <c r="I125" s="14"/>
      <c r="J125" s="1"/>
    </row>
    <row r="126" spans="1:10" s="26" customFormat="1" x14ac:dyDescent="0.2">
      <c r="A126" s="1"/>
      <c r="B126" s="12"/>
      <c r="C126" s="96" t="s">
        <v>125</v>
      </c>
      <c r="D126" s="99"/>
      <c r="E126" s="100"/>
      <c r="F126" s="1"/>
      <c r="H126" s="46"/>
      <c r="I126" s="14"/>
      <c r="J126" s="1"/>
    </row>
    <row r="127" spans="1:10" s="26" customFormat="1" ht="13.5" thickBot="1" x14ac:dyDescent="0.25">
      <c r="A127" s="1"/>
      <c r="B127" s="13"/>
      <c r="C127" s="90"/>
      <c r="D127" s="91"/>
      <c r="E127" s="92"/>
      <c r="F127" s="1"/>
      <c r="H127" s="46"/>
      <c r="I127" s="14"/>
      <c r="J127" s="1"/>
    </row>
    <row r="128" spans="1:10" s="26" customFormat="1" ht="24.75" customHeight="1" x14ac:dyDescent="0.2">
      <c r="A128" s="15"/>
      <c r="B128" s="9"/>
      <c r="C128" s="82"/>
      <c r="D128" s="83"/>
      <c r="E128" s="84"/>
      <c r="F128" s="1"/>
      <c r="H128" s="46"/>
      <c r="I128" s="14"/>
      <c r="J128" s="1"/>
    </row>
    <row r="129" spans="1:10" s="26" customFormat="1" ht="13.5" thickBot="1" x14ac:dyDescent="0.25">
      <c r="A129" s="15"/>
      <c r="B129" s="9"/>
      <c r="C129" s="82"/>
      <c r="D129" s="83"/>
      <c r="E129" s="84"/>
      <c r="F129" s="1"/>
      <c r="H129" s="46"/>
      <c r="I129" s="14"/>
      <c r="J129" s="1"/>
    </row>
    <row r="130" spans="1:10" ht="14.25" x14ac:dyDescent="0.2">
      <c r="A130" s="15"/>
      <c r="B130" s="18" t="s">
        <v>16</v>
      </c>
      <c r="C130" s="35"/>
      <c r="D130" s="85"/>
      <c r="E130" s="93"/>
    </row>
    <row r="131" spans="1:10" ht="118.5" customHeight="1" x14ac:dyDescent="0.2">
      <c r="B131" s="16"/>
      <c r="C131" s="96" t="s">
        <v>151</v>
      </c>
      <c r="D131" s="96"/>
      <c r="E131" s="97"/>
    </row>
    <row r="132" spans="1:10" x14ac:dyDescent="0.2">
      <c r="B132" s="16"/>
      <c r="C132" s="98"/>
      <c r="D132" s="98"/>
      <c r="E132" s="98"/>
    </row>
    <row r="133" spans="1:10" x14ac:dyDescent="0.2">
      <c r="B133" s="19" t="s">
        <v>17</v>
      </c>
      <c r="C133" s="72"/>
      <c r="D133" s="94"/>
      <c r="E133" s="74"/>
    </row>
    <row r="134" spans="1:10" ht="30" customHeight="1" x14ac:dyDescent="0.2">
      <c r="B134" s="16"/>
      <c r="C134" s="96" t="s">
        <v>22</v>
      </c>
      <c r="D134" s="96"/>
      <c r="E134" s="97"/>
    </row>
    <row r="135" spans="1:10" ht="24.75" customHeight="1" thickBot="1" x14ac:dyDescent="0.25">
      <c r="B135" s="17"/>
      <c r="C135" s="90"/>
      <c r="D135" s="91"/>
      <c r="E135" s="92"/>
    </row>
    <row r="136" spans="1:10" ht="13.5" thickBot="1" x14ac:dyDescent="0.25"/>
    <row r="137" spans="1:10" x14ac:dyDescent="0.2">
      <c r="B137" s="20" t="s">
        <v>18</v>
      </c>
      <c r="C137" s="35"/>
      <c r="D137" s="35"/>
      <c r="E137" s="95"/>
    </row>
    <row r="138" spans="1:10" x14ac:dyDescent="0.2">
      <c r="B138" s="6"/>
      <c r="C138" s="96" t="s">
        <v>63</v>
      </c>
      <c r="D138" s="96"/>
      <c r="E138" s="97"/>
    </row>
    <row r="139" spans="1:10" x14ac:dyDescent="0.2">
      <c r="B139" s="21" t="s">
        <v>19</v>
      </c>
      <c r="C139" s="87"/>
      <c r="D139" s="88"/>
      <c r="E139" s="89"/>
    </row>
    <row r="140" spans="1:10" x14ac:dyDescent="0.2">
      <c r="B140" s="5"/>
      <c r="C140" s="98"/>
      <c r="D140" s="98"/>
      <c r="E140" s="98"/>
    </row>
    <row r="141" spans="1:10" ht="13.5" thickBot="1" x14ac:dyDescent="0.25">
      <c r="B141" s="7"/>
      <c r="C141" s="90"/>
      <c r="D141" s="91"/>
      <c r="E141" s="92"/>
    </row>
  </sheetData>
  <autoFilter ref="A9:I63" xr:uid="{00000000-0009-0000-0000-000001000000}"/>
  <mergeCells count="23">
    <mergeCell ref="C114:E114"/>
    <mergeCell ref="A7:B7"/>
    <mergeCell ref="C69:E69"/>
    <mergeCell ref="C80:E80"/>
    <mergeCell ref="B2:H2"/>
    <mergeCell ref="A4:B4"/>
    <mergeCell ref="C4:E4"/>
    <mergeCell ref="A5:B5"/>
    <mergeCell ref="C5:E5"/>
    <mergeCell ref="A6:B6"/>
    <mergeCell ref="C85:E85"/>
    <mergeCell ref="C90:E90"/>
    <mergeCell ref="C96:E96"/>
    <mergeCell ref="C102:E102"/>
    <mergeCell ref="C108:E108"/>
    <mergeCell ref="C74:E74"/>
    <mergeCell ref="C138:E138"/>
    <mergeCell ref="C140:E140"/>
    <mergeCell ref="C120:E120"/>
    <mergeCell ref="C126:E126"/>
    <mergeCell ref="C131:E131"/>
    <mergeCell ref="C132:E132"/>
    <mergeCell ref="C134:E134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Utiles de Escritorio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Policia</dc:creator>
  <cp:lastModifiedBy>RODOLFO SARTOR</cp:lastModifiedBy>
  <cp:revision>2</cp:revision>
  <cp:lastPrinted>2020-09-08T12:28:46Z</cp:lastPrinted>
  <dcterms:created xsi:type="dcterms:W3CDTF">2020-07-17T23:44:49Z</dcterms:created>
  <dcterms:modified xsi:type="dcterms:W3CDTF">2022-07-05T14:45:39Z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