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RGINIA GRIMA\Desktop\DESCARTABLES\DESIERTOS Y FRACASADOS\"/>
    </mc:Choice>
  </mc:AlternateContent>
  <xr:revisionPtr revIDLastSave="0" documentId="13_ncr:1_{557610A8-7EBD-4BE8-8F1A-B5EABCF9F96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Necesidades Trimestrales" sheetId="1" r:id="rId1"/>
    <sheet name="NP FCIA" sheetId="2" r:id="rId2"/>
    <sheet name="APG FCIA" sheetId="3" r:id="rId3"/>
    <sheet name="NP DPMIA" sheetId="6" r:id="rId4"/>
    <sheet name="APG DPMIA" sheetId="7" r:id="rId5"/>
  </sheets>
  <definedNames>
    <definedName name="_xlnm._FilterDatabase" localSheetId="0" hidden="1">'Necesidades Trimestrales'!$A$9:$M$19</definedName>
  </definedNames>
  <calcPr calcId="181029"/>
</workbook>
</file>

<file path=xl/calcChain.xml><?xml version="1.0" encoding="utf-8"?>
<calcChain xmlns="http://schemas.openxmlformats.org/spreadsheetml/2006/main">
  <c r="H12" i="1" l="1"/>
  <c r="M17" i="1" l="1"/>
  <c r="M18" i="1"/>
  <c r="I19" i="2" l="1"/>
  <c r="J19" i="2"/>
  <c r="M19" i="2" s="1"/>
  <c r="K19" i="2"/>
  <c r="K14" i="2" l="1"/>
  <c r="J14" i="2"/>
  <c r="M14" i="2" s="1"/>
  <c r="I14" i="2"/>
  <c r="C14" i="2"/>
  <c r="B14" i="2"/>
  <c r="K12" i="1" l="1"/>
  <c r="M12" i="1" s="1"/>
  <c r="K12" i="6" l="1"/>
  <c r="K13" i="6"/>
  <c r="K15" i="2"/>
  <c r="K13" i="2"/>
  <c r="K16" i="2"/>
  <c r="K17" i="2"/>
  <c r="K18" i="2"/>
  <c r="K12" i="2"/>
  <c r="Q23" i="7"/>
  <c r="A10" i="7"/>
  <c r="G7" i="7"/>
  <c r="G6" i="7"/>
  <c r="D1" i="7"/>
  <c r="J13" i="6"/>
  <c r="I13" i="6"/>
  <c r="C13" i="6"/>
  <c r="B13" i="6"/>
  <c r="J12" i="6"/>
  <c r="I12" i="6"/>
  <c r="C12" i="6"/>
  <c r="B12" i="6"/>
  <c r="D4" i="6"/>
  <c r="G5" i="7" s="1"/>
  <c r="D3" i="6"/>
  <c r="G4" i="7" s="1"/>
  <c r="K10" i="1" l="1"/>
  <c r="K11" i="1"/>
  <c r="K13" i="1"/>
  <c r="J14" i="6" s="1"/>
  <c r="K14" i="1"/>
  <c r="K15" i="1"/>
  <c r="K16" i="1"/>
  <c r="K17" i="1"/>
  <c r="K18" i="1"/>
  <c r="K19" i="1"/>
  <c r="J10" i="1"/>
  <c r="J11" i="1"/>
  <c r="J13" i="1"/>
  <c r="J14" i="1"/>
  <c r="J15" i="1"/>
  <c r="J16" i="1"/>
  <c r="J17" i="1"/>
  <c r="J18" i="1"/>
  <c r="J19" i="1"/>
  <c r="H10" i="1"/>
  <c r="H11" i="1"/>
  <c r="H13" i="1"/>
  <c r="H14" i="1"/>
  <c r="H15" i="1"/>
  <c r="H16" i="1"/>
  <c r="H17" i="1"/>
  <c r="H18" i="1"/>
  <c r="H19" i="1"/>
  <c r="J20" i="1" l="1"/>
  <c r="H20" i="1"/>
  <c r="J12" i="2"/>
  <c r="M12" i="2" s="1"/>
  <c r="J13" i="2"/>
  <c r="M13" i="2" s="1"/>
  <c r="J15" i="2"/>
  <c r="M15" i="2" s="1"/>
  <c r="J16" i="2"/>
  <c r="N16" i="2" s="1"/>
  <c r="N20" i="2" s="1"/>
  <c r="Q16" i="3" s="1"/>
  <c r="J17" i="2"/>
  <c r="M17" i="2" s="1"/>
  <c r="J18" i="2"/>
  <c r="M18" i="2" s="1"/>
  <c r="I12" i="2"/>
  <c r="I13" i="2"/>
  <c r="I15" i="2"/>
  <c r="I16" i="2"/>
  <c r="I17" i="2"/>
  <c r="I18" i="2"/>
  <c r="C12" i="2"/>
  <c r="C13" i="2"/>
  <c r="C15" i="2"/>
  <c r="C16" i="2"/>
  <c r="C17" i="2"/>
  <c r="C18" i="2"/>
  <c r="C19" i="2"/>
  <c r="B12" i="2"/>
  <c r="B13" i="2"/>
  <c r="B15" i="2"/>
  <c r="B16" i="2"/>
  <c r="B17" i="2"/>
  <c r="B18" i="2"/>
  <c r="B19" i="2"/>
  <c r="M11" i="1"/>
  <c r="M20" i="2" l="1"/>
  <c r="Q15" i="3" s="1"/>
  <c r="J20" i="2"/>
  <c r="O20" i="2" l="1"/>
  <c r="M10" i="1"/>
  <c r="M19" i="1"/>
  <c r="M16" i="1"/>
  <c r="M15" i="1"/>
  <c r="M13" i="1" l="1"/>
  <c r="M14" i="1"/>
  <c r="M20" i="1" l="1"/>
  <c r="Q22" i="3"/>
  <c r="A10" i="3"/>
  <c r="G7" i="3"/>
  <c r="G6" i="3"/>
  <c r="D1" i="3"/>
  <c r="D4" i="2"/>
  <c r="G5" i="3" s="1"/>
  <c r="D3" i="2"/>
  <c r="G4" i="3" s="1"/>
</calcChain>
</file>

<file path=xl/sharedStrings.xml><?xml version="1.0" encoding="utf-8"?>
<sst xmlns="http://schemas.openxmlformats.org/spreadsheetml/2006/main" count="190" uniqueCount="110">
  <si>
    <t>Pedido de Necesidades Trimestrales</t>
  </si>
  <si>
    <t>JURISDICCION:</t>
  </si>
  <si>
    <t>040 - Ministerio de Salud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</si>
  <si>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</si>
  <si>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</si>
  <si>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</si>
  <si>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</si>
  <si>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</si>
  <si>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</si>
  <si>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</si>
  <si>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</si>
  <si>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</si>
  <si>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</si>
  <si>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</si>
  <si>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COMPRIMIDO</t>
  </si>
  <si>
    <t>AMPOLLA</t>
  </si>
  <si>
    <t>FRASCO</t>
  </si>
  <si>
    <t>ENVASE</t>
  </si>
  <si>
    <t>UNIDAD</t>
  </si>
  <si>
    <t>NOTA DE PEDIDO</t>
  </si>
  <si>
    <t>N°</t>
  </si>
  <si>
    <t>xxx/2022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</si>
  <si>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</si>
  <si>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</si>
  <si>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</si>
  <si>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</si>
  <si>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</si>
  <si>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</si>
  <si>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</si>
  <si>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</si>
  <si>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</si>
  <si>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</si>
  <si>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</si>
  <si>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</si>
  <si>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</si>
  <si>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</si>
  <si>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</si>
  <si>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</si>
  <si>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u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</si>
  <si>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</si>
  <si>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</si>
  <si>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</si>
  <si>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</si>
  <si>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</si>
  <si>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</si>
  <si>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</si>
  <si>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</si>
  <si>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</si>
  <si>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</si>
  <si>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</si>
  <si>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</si>
  <si>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</si>
  <si>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</si>
  <si>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</si>
  <si>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</si>
  <si>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</si>
  <si>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</si>
  <si>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</si>
  <si>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</si>
  <si>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PROD. MEDICO/FARMACEUTICOS/LAB</t>
  </si>
  <si>
    <t>2.5.2-1725.68</t>
  </si>
  <si>
    <t>2.5.2-1724.154</t>
  </si>
  <si>
    <t>ANALGESICOS ; TIPO: MONODROGA, DROGA GENERICA: TRAMADOL 50 mGr, FORMA FARMACEUTICA: AMPOLLA, PRESENTACION: UNIDAD</t>
  </si>
  <si>
    <t>ANTIINFLAMATORIOS NO ESTEROIDE; TIPO: MONODROGA, DROGA GENERICA: IBUPROFENO, FORMA FARMACEUTICA: COMPRIMIDO, PRESENTACION: 400 mGr</t>
  </si>
  <si>
    <t>PEDICULICIDAS; DROGA GENERICA: PERMETRINA, FORMA FARMACEUTICA: EMULSION, PRESENTACION: 100 mL</t>
  </si>
  <si>
    <t>2.5.2-3097.9</t>
  </si>
  <si>
    <t>Productos Farmacéuticos y Medicinales</t>
  </si>
  <si>
    <t>GESTAGENO; TIPO: MONODROGA, DROGA GENERICA: MEDROXIPROGESTERONA, FORMA FARMACEUTICA: AMPOLLA, PRESENTACION: 150 mGr</t>
  </si>
  <si>
    <t>2.5.2-1850.6</t>
  </si>
  <si>
    <t>2.5.2-1855.23</t>
  </si>
  <si>
    <t>CORTICOESTEROIDES; TIPO: MONODROGA, DROGA GENERICA: BETAMETASONA, FORMA FARMACEUTICA: CREMA, PRESENTACION: 15 GR</t>
  </si>
  <si>
    <t>2.5.2-2200.6</t>
  </si>
  <si>
    <t>CORTICOIDES; DROGA GENERICA: HIDROCORTISONA X 1 GR, FORMA FARMACEUTICA: CREMA, PRESENTACION: 15 GR, TIPO: MONODROGA</t>
  </si>
  <si>
    <t>2.5.2-1895.8</t>
  </si>
  <si>
    <t>HORMONAS MEDICINALES; TIPO: MONODROGA, DROGA GENERICA: GONADOTROFINA CORIONICA, FORMA FARMACEUTICA: AMPOLLA, PRESENTACION: 5000 UI, USO: SEXUAL</t>
  </si>
  <si>
    <t>2.9.5-2161.545</t>
  </si>
  <si>
    <t>CATETERES/SONDAS; NUMERO: SIN, TIPO: TUBO DE LUKEN PARA TOMA DE MUESTRAS</t>
  </si>
  <si>
    <t>2.5.2-1821.201</t>
  </si>
  <si>
    <t>ANTIBIOTICOS P/PERSONAS; TIPO: ANTITUBERCULOSTATICO, DROGA GENERICA: RIFAMPICINA X 2 GR, FORMA FARMACEUTICA: EN SUSPENSION CADA 100 mL, PRESENTACION: FRASCO X 50 Ml</t>
  </si>
  <si>
    <t>Utiles Menores Medico, Quirurgico y de Laboratorio</t>
  </si>
  <si>
    <t>3 meses</t>
  </si>
  <si>
    <t>Adquisición de Medicamentos y Descartables Desiertos y Fracasados</t>
  </si>
  <si>
    <t>D.P.FARMACIA</t>
  </si>
  <si>
    <t>TOTAL FARMACIA</t>
  </si>
  <si>
    <t>D.P.M.I.A.</t>
  </si>
  <si>
    <t>TOTAL MATERNO</t>
  </si>
  <si>
    <t>011 - DIRECCION PROVINCIAL DE ADMINISTRACION - MS</t>
  </si>
  <si>
    <t>CANTIDAD TOTAL</t>
  </si>
  <si>
    <t>TOTAL RUBRO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</si>
  <si>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</si>
  <si>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</si>
  <si>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</si>
  <si>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</si>
  <si>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</si>
  <si>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Calidad Minima esperada</t>
  </si>
  <si>
    <t>Mantenimiento</t>
  </si>
  <si>
    <t>cuarenta y cinco (45) días</t>
  </si>
  <si>
    <t>469 - DIRECCION PROVINCIAL DE FARMACIA E INSUMOS</t>
  </si>
  <si>
    <t>Para la adquisición de Medicamentos y Descartables Desiertos y Fracasados destinados a la Direccion Provincial de Farmacia e Insumos - MS</t>
  </si>
  <si>
    <t>Costo total estimado: PESOS OCHO MILLONES DOSCIENTOS SESENTA Y CINCO MIL con 00/100.</t>
  </si>
  <si>
    <t>Para la adquisición de Medicamentos y Descartables Desiertos y Fracasados destinados a la Direccion Provincial de Maternidad, Infancia y Adolescencia</t>
  </si>
  <si>
    <t>162 - DIRECCION PROVINCIAL DE MATERNIDAD, INFANCIA Y ADOLESCENCIA</t>
  </si>
  <si>
    <t>TOTAL DE PESOS: OCHO MILLONES DOSCIENTOS SESENTA Y CINCO MIL con 00/100.</t>
  </si>
  <si>
    <t>2.5.2-1724.163</t>
  </si>
  <si>
    <t>ANALGESICOS ; TIPO: MONODROGA, DROGA GENERICA: IBUPROFENO 2%, FORMA FARMACEUTICA: SUSPENSION, PRESENTACION: ENVASE X 90 mL</t>
  </si>
  <si>
    <t>ITEMS 8 y 9 - DIR. PROV. DE MATERNIDAD, INFANCIA Y ADOLESCENCIA - CHACABUCO N° 169 - en el horario de 8:00hs a 12:00hs de lunes a viernes. DEBIENDO CORRER LOS GASTOS DE FLETES, ACARREO, CARGA, DESCARGA Y SEGURO A CARGO DEL ADJUDICATARIO.</t>
  </si>
  <si>
    <t>ITEMS 1, 2, 3, 4, 5, 7 y 10 - DIR. PROV. DE FARMACIA E INSUMOS - CHACABUCO N° 169 - en el horario de 8:00hs a 12:00hs de lunes a viernes. DEBIENDO CORRER LOS GASTOS DE FLETES, ACARREO, CARGA, DESCARGA Y SEGURO A CARGO DEL ADJUDICATARIO.</t>
  </si>
  <si>
    <t>Costo total estimado: PESOS SEIS MILLONES TRESCIENTOS SIETE MIL QUINIENTOS VEINTE con 00/100.</t>
  </si>
  <si>
    <t>TOTAL DE PESOS: PESOS SEIS MILLONES TRESCIENTOS SIETE MIL QUINIENTOS VEINTE con 00/100.</t>
  </si>
  <si>
    <t>falta item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</si>
</sst>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(&quot;$&quot;* #,##0.00_);_(&quot;$&quot;* \(#,##0.00\);_(&quot;$&quot;* &quot;-&quot;??_);_(@_)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[$$-2C0A]\ #,##0.00;[$$-2C0A]&quot; -&quot;#,##0.00"/>
    <numFmt numFmtId="168" formatCode="[$$-2C0A]\ #,##0.00"/>
    <numFmt numFmtId="169" formatCode="dd\-mm\-yy"/>
    <numFmt numFmtId="170" formatCode="_-&quot;$&quot;* #,##0.00_-;\-&quot;$&quot;* #,##0.00_-;_-&quot;$&quot;* &quot;-&quot;??_-;_-@_-"/>
    <numFmt numFmtId="171" formatCode="_-[$$-2C0A]\ * #,##0.00_-;\-[$$-2C0A]\ * #,##0.00_-;_-[$$-2C0A]\ * &quot;-&quot;??_-;_-@_-"/>
  </numFmts>
  <fonts count="31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sz val="10"/>
      <name val="Arial"/>
      <family val="2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</font>
    <font>
      <sz val="10"/>
      <color theme="0"/>
      <name val="Arial"/>
      <family val="2"/>
    </font>
    <font>
      <b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000000"/>
      </top>
      <bottom style="medium">
        <color rgb="FF000000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/>
      <right/>
      <top/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/>
      <right style="medium">
        <color rgb="FF3D3D3D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indexed="64"/>
      </bottom>
      <diagonal/>
    </border>
    <border>
      <left/>
      <right style="thin">
        <color rgb="FF3D3D3D"/>
      </right>
      <top/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/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medium">
        <color indexed="64"/>
      </bottom>
      <diagonal/>
    </border>
    <border>
      <left style="thin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6"/>
    <xf numFmtId="164" fontId="28" fillId="0" borderId="0" applyFont="0" applyFill="0" applyBorder="0" applyAlignment="0" applyProtection="0"/>
    <xf numFmtId="0" fontId="5" fillId="0" borderId="6"/>
    <xf numFmtId="0" fontId="1" fillId="0" borderId="6"/>
    <xf numFmtId="0" fontId="25" fillId="0" borderId="6"/>
    <xf numFmtId="0" fontId="5" fillId="0" borderId="6"/>
  </cellStyleXfs>
  <cellXfs count="286">
    <xf numFmtId="0" fontId="0" fillId="0" borderId="0" xfId="0"/>
    <xf numFmtId="0" fontId="3" fillId="0" borderId="1" xfId="0" applyFont="1" applyBorder="1"/>
    <xf numFmtId="165" fontId="3" fillId="0" borderId="1" xfId="0" applyNumberFormat="1" applyFont="1" applyBorder="1"/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center" wrapText="1"/>
    </xf>
    <xf numFmtId="0" fontId="16" fillId="0" borderId="9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3" fontId="20" fillId="0" borderId="0" xfId="0" applyNumberFormat="1" applyFont="1"/>
    <xf numFmtId="169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23" xfId="0" applyFont="1" applyBorder="1"/>
    <xf numFmtId="0" fontId="11" fillId="0" borderId="30" xfId="0" applyFont="1" applyBorder="1"/>
    <xf numFmtId="0" fontId="11" fillId="0" borderId="30" xfId="0" applyFont="1" applyBorder="1" applyAlignment="1">
      <alignment horizontal="left"/>
    </xf>
    <xf numFmtId="0" fontId="11" fillId="0" borderId="24" xfId="0" applyFont="1" applyBorder="1"/>
    <xf numFmtId="0" fontId="24" fillId="0" borderId="32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3" xfId="0" applyFont="1" applyBorder="1" applyAlignment="1">
      <alignment horizontal="left" vertical="center"/>
    </xf>
    <xf numFmtId="0" fontId="24" fillId="0" borderId="34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167" fontId="11" fillId="0" borderId="45" xfId="0" applyNumberFormat="1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1" fillId="0" borderId="48" xfId="0" applyFont="1" applyBorder="1" applyAlignment="1">
      <alignment horizontal="center" vertical="center"/>
    </xf>
    <xf numFmtId="167" fontId="11" fillId="0" borderId="50" xfId="0" applyNumberFormat="1" applyFont="1" applyBorder="1" applyAlignment="1">
      <alignment horizontal="center" vertical="center"/>
    </xf>
    <xf numFmtId="0" fontId="3" fillId="0" borderId="6" xfId="0" applyFont="1" applyBorder="1"/>
    <xf numFmtId="0" fontId="8" fillId="0" borderId="6" xfId="0" applyFont="1" applyBorder="1" applyAlignment="1">
      <alignment horizontal="left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5" fillId="0" borderId="0" xfId="0" applyFont="1" applyAlignment="1">
      <alignment vertical="center"/>
    </xf>
    <xf numFmtId="0" fontId="3" fillId="0" borderId="1" xfId="0" applyFont="1" applyBorder="1" applyAlignment="1">
      <alignment wrapText="1"/>
    </xf>
    <xf numFmtId="0" fontId="0" fillId="0" borderId="6" xfId="0" applyBorder="1" applyAlignment="1">
      <alignment vertical="center"/>
    </xf>
    <xf numFmtId="0" fontId="3" fillId="0" borderId="66" xfId="0" applyFont="1" applyBorder="1" applyAlignment="1">
      <alignment horizontal="center" vertical="center"/>
    </xf>
    <xf numFmtId="0" fontId="3" fillId="0" borderId="66" xfId="0" applyFont="1" applyBorder="1" applyAlignment="1">
      <alignment horizontal="left" vertical="center"/>
    </xf>
    <xf numFmtId="0" fontId="3" fillId="0" borderId="66" xfId="0" applyFont="1" applyBorder="1" applyAlignment="1">
      <alignment horizontal="center" vertical="center" wrapText="1"/>
    </xf>
    <xf numFmtId="167" fontId="3" fillId="0" borderId="66" xfId="0" applyNumberFormat="1" applyFont="1" applyBorder="1" applyAlignment="1">
      <alignment horizontal="right" vertical="center" wrapText="1"/>
    </xf>
    <xf numFmtId="3" fontId="3" fillId="0" borderId="66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25" fillId="0" borderId="6" xfId="0" applyFont="1" applyBorder="1" applyAlignment="1">
      <alignment horizontal="left" vertical="center" wrapText="1"/>
    </xf>
    <xf numFmtId="3" fontId="11" fillId="0" borderId="6" xfId="0" applyNumberFormat="1" applyFont="1" applyBorder="1" applyAlignment="1">
      <alignment horizontal="center" vertical="center"/>
    </xf>
    <xf numFmtId="166" fontId="11" fillId="0" borderId="6" xfId="0" applyNumberFormat="1" applyFont="1" applyBorder="1" applyAlignment="1">
      <alignment horizontal="right" vertical="center"/>
    </xf>
    <xf numFmtId="165" fontId="11" fillId="0" borderId="6" xfId="0" applyNumberFormat="1" applyFont="1" applyBorder="1" applyAlignment="1">
      <alignment horizontal="right" vertical="center" wrapText="1"/>
    </xf>
    <xf numFmtId="44" fontId="5" fillId="2" borderId="67" xfId="2" applyNumberFormat="1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25" fillId="2" borderId="67" xfId="0" applyFont="1" applyFill="1" applyBorder="1" applyAlignment="1">
      <alignment horizontal="center" vertical="center" wrapText="1"/>
    </xf>
    <xf numFmtId="3" fontId="5" fillId="2" borderId="67" xfId="0" applyNumberFormat="1" applyFont="1" applyFill="1" applyBorder="1" applyAlignment="1">
      <alignment horizontal="center" vertical="center"/>
    </xf>
    <xf numFmtId="166" fontId="11" fillId="0" borderId="67" xfId="0" applyNumberFormat="1" applyFont="1" applyBorder="1" applyAlignment="1">
      <alignment horizontal="center" vertical="center"/>
    </xf>
    <xf numFmtId="0" fontId="0" fillId="2" borderId="67" xfId="0" applyFill="1" applyBorder="1" applyAlignment="1">
      <alignment horizontal="center" vertical="center" wrapText="1"/>
    </xf>
    <xf numFmtId="166" fontId="11" fillId="2" borderId="67" xfId="0" applyNumberFormat="1" applyFont="1" applyFill="1" applyBorder="1" applyAlignment="1">
      <alignment horizontal="center" vertical="center"/>
    </xf>
    <xf numFmtId="0" fontId="11" fillId="2" borderId="67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left" vertical="center"/>
    </xf>
    <xf numFmtId="0" fontId="25" fillId="2" borderId="67" xfId="0" applyFont="1" applyFill="1" applyBorder="1" applyAlignment="1">
      <alignment horizontal="left" vertical="center"/>
    </xf>
    <xf numFmtId="0" fontId="11" fillId="2" borderId="67" xfId="0" applyFont="1" applyFill="1" applyBorder="1" applyAlignment="1">
      <alignment horizontal="left" vertical="center"/>
    </xf>
    <xf numFmtId="0" fontId="25" fillId="2" borderId="67" xfId="0" applyFont="1" applyFill="1" applyBorder="1" applyAlignment="1">
      <alignment vertical="center" wrapText="1"/>
    </xf>
    <xf numFmtId="0" fontId="0" fillId="0" borderId="67" xfId="0" applyBorder="1" applyAlignment="1">
      <alignment horizontal="left" wrapText="1"/>
    </xf>
    <xf numFmtId="0" fontId="26" fillId="3" borderId="6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0" fillId="0" borderId="0" xfId="0"/>
    <xf numFmtId="0" fontId="5" fillId="0" borderId="6" xfId="0" applyFont="1" applyBorder="1" applyAlignment="1">
      <alignment horizontal="left" vertical="center" wrapText="1"/>
    </xf>
    <xf numFmtId="0" fontId="25" fillId="0" borderId="67" xfId="0" applyFont="1" applyFill="1" applyBorder="1" applyAlignment="1">
      <alignment horizontal="left" vertical="center" wrapText="1"/>
    </xf>
    <xf numFmtId="0" fontId="0" fillId="0" borderId="67" xfId="0" applyFill="1" applyBorder="1" applyAlignment="1">
      <alignment horizontal="left" vertical="center" wrapText="1"/>
    </xf>
    <xf numFmtId="165" fontId="11" fillId="2" borderId="67" xfId="0" applyNumberFormat="1" applyFont="1" applyFill="1" applyBorder="1" applyAlignment="1">
      <alignment horizontal="left" vertical="center"/>
    </xf>
    <xf numFmtId="165" fontId="11" fillId="0" borderId="67" xfId="0" applyNumberFormat="1" applyFont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0" fillId="0" borderId="0" xfId="0"/>
    <xf numFmtId="3" fontId="3" fillId="0" borderId="6" xfId="0" applyNumberFormat="1" applyFont="1" applyBorder="1"/>
    <xf numFmtId="3" fontId="8" fillId="0" borderId="6" xfId="0" applyNumberFormat="1" applyFont="1" applyBorder="1" applyAlignment="1">
      <alignment horizontal="left" wrapText="1"/>
    </xf>
    <xf numFmtId="3" fontId="11" fillId="2" borderId="67" xfId="0" applyNumberFormat="1" applyFont="1" applyFill="1" applyBorder="1" applyAlignment="1">
      <alignment horizontal="center" vertical="center"/>
    </xf>
    <xf numFmtId="3" fontId="0" fillId="0" borderId="0" xfId="0" applyNumberFormat="1"/>
    <xf numFmtId="44" fontId="11" fillId="2" borderId="67" xfId="0" applyNumberFormat="1" applyFont="1" applyFill="1" applyBorder="1" applyAlignment="1">
      <alignment horizontal="center" vertical="center"/>
    </xf>
    <xf numFmtId="44" fontId="26" fillId="2" borderId="72" xfId="4" applyNumberFormat="1" applyFont="1" applyFill="1" applyBorder="1" applyAlignment="1">
      <alignment horizontal="left" vertical="center"/>
    </xf>
    <xf numFmtId="170" fontId="24" fillId="0" borderId="67" xfId="2" applyNumberFormat="1" applyFont="1" applyFill="1" applyBorder="1" applyAlignment="1" applyProtection="1">
      <alignment horizontal="center" vertical="center" wrapText="1"/>
    </xf>
    <xf numFmtId="0" fontId="12" fillId="0" borderId="58" xfId="6" applyFont="1" applyFill="1" applyBorder="1" applyAlignment="1">
      <alignment horizontal="center" vertical="center" wrapText="1"/>
    </xf>
    <xf numFmtId="0" fontId="12" fillId="0" borderId="61" xfId="6" applyFont="1" applyFill="1" applyBorder="1" applyAlignment="1">
      <alignment horizontal="center" vertical="center" wrapText="1"/>
    </xf>
    <xf numFmtId="0" fontId="3" fillId="0" borderId="6" xfId="6" applyFont="1" applyFill="1" applyBorder="1" applyAlignment="1">
      <alignment horizontal="left" vertical="center" wrapText="1"/>
    </xf>
    <xf numFmtId="0" fontId="3" fillId="0" borderId="6" xfId="6" applyFont="1" applyFill="1" applyBorder="1" applyAlignment="1">
      <alignment horizontal="center" vertical="center"/>
    </xf>
    <xf numFmtId="0" fontId="3" fillId="0" borderId="6" xfId="6" applyFont="1" applyFill="1" applyBorder="1" applyAlignment="1">
      <alignment vertical="center"/>
    </xf>
    <xf numFmtId="0" fontId="12" fillId="0" borderId="61" xfId="6" applyFont="1" applyBorder="1" applyAlignment="1">
      <alignment horizontal="center" vertical="center" wrapText="1"/>
    </xf>
    <xf numFmtId="0" fontId="3" fillId="0" borderId="6" xfId="6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6" xfId="6" applyFont="1" applyBorder="1" applyAlignment="1">
      <alignment horizontal="left" vertical="center"/>
    </xf>
    <xf numFmtId="0" fontId="0" fillId="0" borderId="62" xfId="0" applyBorder="1"/>
    <xf numFmtId="0" fontId="0" fillId="0" borderId="63" xfId="0" applyBorder="1" applyAlignment="1">
      <alignment vertical="center"/>
    </xf>
    <xf numFmtId="0" fontId="0" fillId="0" borderId="64" xfId="0" applyBorder="1"/>
    <xf numFmtId="0" fontId="0" fillId="0" borderId="65" xfId="0" applyBorder="1"/>
    <xf numFmtId="0" fontId="16" fillId="0" borderId="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0" fillId="0" borderId="0" xfId="0" applyFill="1"/>
    <xf numFmtId="171" fontId="14" fillId="0" borderId="7" xfId="0" applyNumberFormat="1" applyFont="1" applyBorder="1" applyAlignment="1">
      <alignment horizontal="right" vertical="center"/>
    </xf>
    <xf numFmtId="171" fontId="17" fillId="0" borderId="1" xfId="0" applyNumberFormat="1" applyFont="1" applyBorder="1" applyAlignment="1">
      <alignment vertical="center"/>
    </xf>
    <xf numFmtId="171" fontId="15" fillId="0" borderId="1" xfId="0" applyNumberFormat="1" applyFont="1" applyBorder="1" applyAlignment="1">
      <alignment horizontal="left" vertical="center" wrapText="1"/>
    </xf>
    <xf numFmtId="171" fontId="3" fillId="0" borderId="66" xfId="0" applyNumberFormat="1" applyFont="1" applyBorder="1" applyAlignment="1">
      <alignment horizontal="right" vertical="center" wrapText="1"/>
    </xf>
    <xf numFmtId="171" fontId="0" fillId="0" borderId="0" xfId="0" applyNumberFormat="1"/>
    <xf numFmtId="0" fontId="11" fillId="0" borderId="0" xfId="0" applyFont="1" applyFill="1"/>
    <xf numFmtId="0" fontId="11" fillId="0" borderId="27" xfId="0" applyFont="1" applyFill="1" applyBorder="1"/>
    <xf numFmtId="0" fontId="24" fillId="0" borderId="76" xfId="0" applyFont="1" applyBorder="1" applyAlignment="1">
      <alignment horizontal="center" vertical="center"/>
    </xf>
    <xf numFmtId="0" fontId="24" fillId="0" borderId="77" xfId="0" applyFont="1" applyBorder="1" applyAlignment="1">
      <alignment horizontal="center" vertical="center"/>
    </xf>
    <xf numFmtId="0" fontId="24" fillId="0" borderId="77" xfId="0" applyFont="1" applyBorder="1" applyAlignment="1">
      <alignment horizontal="left" vertical="center"/>
    </xf>
    <xf numFmtId="0" fontId="24" fillId="0" borderId="78" xfId="0" applyFont="1" applyBorder="1" applyAlignment="1">
      <alignment horizontal="center" vertical="center"/>
    </xf>
    <xf numFmtId="0" fontId="24" fillId="0" borderId="79" xfId="0" applyFont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2" borderId="40" xfId="0" applyFont="1" applyFill="1" applyBorder="1" applyAlignment="1">
      <alignment horizontal="center" vertical="center"/>
    </xf>
    <xf numFmtId="0" fontId="11" fillId="4" borderId="40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167" fontId="11" fillId="2" borderId="71" xfId="0" applyNumberFormat="1" applyFont="1" applyFill="1" applyBorder="1" applyAlignment="1">
      <alignment horizontal="center" vertical="center"/>
    </xf>
    <xf numFmtId="0" fontId="0" fillId="2" borderId="0" xfId="0" applyFill="1"/>
    <xf numFmtId="0" fontId="5" fillId="2" borderId="43" xfId="0" applyFont="1" applyFill="1" applyBorder="1" applyAlignment="1">
      <alignment horizontal="center" vertical="center"/>
    </xf>
    <xf numFmtId="0" fontId="29" fillId="0" borderId="0" xfId="0" applyFont="1"/>
    <xf numFmtId="0" fontId="29" fillId="0" borderId="0" xfId="0" applyFont="1" applyFill="1"/>
    <xf numFmtId="171" fontId="29" fillId="0" borderId="0" xfId="0" applyNumberFormat="1" applyFont="1"/>
    <xf numFmtId="167" fontId="24" fillId="0" borderId="54" xfId="0" applyNumberFormat="1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vertical="center"/>
    </xf>
    <xf numFmtId="0" fontId="24" fillId="0" borderId="67" xfId="0" applyFont="1" applyFill="1" applyBorder="1" applyAlignment="1">
      <alignment vertical="center"/>
    </xf>
    <xf numFmtId="44" fontId="24" fillId="0" borderId="67" xfId="0" applyNumberFormat="1" applyFont="1" applyFill="1" applyBorder="1" applyAlignment="1">
      <alignment vertical="center"/>
    </xf>
    <xf numFmtId="0" fontId="10" fillId="0" borderId="72" xfId="0" applyFont="1" applyBorder="1" applyAlignment="1">
      <alignment horizontal="center" vertical="center" wrapText="1"/>
    </xf>
    <xf numFmtId="0" fontId="10" fillId="0" borderId="80" xfId="0" applyFont="1" applyBorder="1" applyAlignment="1">
      <alignment horizontal="center" vertical="center" wrapText="1"/>
    </xf>
    <xf numFmtId="3" fontId="10" fillId="0" borderId="80" xfId="0" applyNumberFormat="1" applyFont="1" applyBorder="1" applyAlignment="1">
      <alignment horizontal="center" vertical="center" wrapText="1"/>
    </xf>
    <xf numFmtId="165" fontId="10" fillId="0" borderId="81" xfId="0" applyNumberFormat="1" applyFont="1" applyBorder="1" applyAlignment="1">
      <alignment horizontal="center" vertical="center" wrapText="1"/>
    </xf>
    <xf numFmtId="0" fontId="11" fillId="0" borderId="35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11" fillId="0" borderId="68" xfId="0" applyFont="1" applyFill="1" applyBorder="1" applyAlignment="1">
      <alignment horizontal="center" vertical="center"/>
    </xf>
    <xf numFmtId="0" fontId="11" fillId="0" borderId="37" xfId="0" applyFont="1" applyFill="1" applyBorder="1" applyAlignment="1">
      <alignment horizontal="center" vertical="center"/>
    </xf>
    <xf numFmtId="0" fontId="11" fillId="0" borderId="38" xfId="0" applyFont="1" applyFill="1" applyBorder="1" applyAlignment="1">
      <alignment horizontal="center" vertical="center"/>
    </xf>
    <xf numFmtId="167" fontId="11" fillId="0" borderId="70" xfId="0" applyNumberFormat="1" applyFont="1" applyFill="1" applyBorder="1" applyAlignment="1">
      <alignment horizontal="center" vertical="center"/>
    </xf>
    <xf numFmtId="0" fontId="11" fillId="0" borderId="39" xfId="0" applyFont="1" applyFill="1" applyBorder="1" applyAlignment="1">
      <alignment horizontal="center" vertical="center"/>
    </xf>
    <xf numFmtId="0" fontId="11" fillId="0" borderId="40" xfId="0" applyFont="1" applyFill="1" applyBorder="1" applyAlignment="1">
      <alignment horizontal="center" vertical="center"/>
    </xf>
    <xf numFmtId="0" fontId="11" fillId="0" borderId="41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167" fontId="11" fillId="0" borderId="71" xfId="0" applyNumberFormat="1" applyFont="1" applyFill="1" applyBorder="1" applyAlignment="1">
      <alignment horizontal="center" vertical="center"/>
    </xf>
    <xf numFmtId="0" fontId="11" fillId="0" borderId="42" xfId="0" applyFont="1" applyFill="1" applyBorder="1" applyAlignment="1">
      <alignment horizontal="center" vertical="center"/>
    </xf>
    <xf numFmtId="167" fontId="11" fillId="0" borderId="45" xfId="0" applyNumberFormat="1" applyFont="1" applyFill="1" applyBorder="1" applyAlignment="1">
      <alignment horizontal="center" vertical="center"/>
    </xf>
    <xf numFmtId="0" fontId="22" fillId="0" borderId="39" xfId="0" applyFont="1" applyFill="1" applyBorder="1" applyAlignment="1">
      <alignment horizontal="center" vertical="center"/>
    </xf>
    <xf numFmtId="0" fontId="22" fillId="0" borderId="40" xfId="0" applyFont="1" applyFill="1" applyBorder="1" applyAlignment="1">
      <alignment horizontal="center" vertical="center"/>
    </xf>
    <xf numFmtId="0" fontId="22" fillId="0" borderId="41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11" fillId="0" borderId="46" xfId="0" applyFont="1" applyFill="1" applyBorder="1" applyAlignment="1">
      <alignment horizontal="center" vertical="center"/>
    </xf>
    <xf numFmtId="0" fontId="11" fillId="0" borderId="47" xfId="0" applyFont="1" applyFill="1" applyBorder="1" applyAlignment="1">
      <alignment horizontal="center" vertical="center"/>
    </xf>
    <xf numFmtId="0" fontId="11" fillId="0" borderId="48" xfId="0" applyFont="1" applyFill="1" applyBorder="1" applyAlignment="1">
      <alignment horizontal="center" vertical="center"/>
    </xf>
    <xf numFmtId="167" fontId="11" fillId="0" borderId="50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wrapText="1"/>
    </xf>
    <xf numFmtId="3" fontId="8" fillId="0" borderId="6" xfId="0" applyNumberFormat="1" applyFont="1" applyFill="1" applyBorder="1" applyAlignment="1">
      <alignment horizontal="left" wrapText="1"/>
    </xf>
    <xf numFmtId="0" fontId="8" fillId="0" borderId="6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/>
    <xf numFmtId="0" fontId="3" fillId="0" borderId="1" xfId="0" applyFont="1" applyFill="1" applyBorder="1"/>
    <xf numFmtId="0" fontId="7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left" wrapText="1"/>
    </xf>
    <xf numFmtId="0" fontId="14" fillId="0" borderId="7" xfId="0" applyFont="1" applyFill="1" applyBorder="1" applyAlignment="1">
      <alignment horizontal="right" vertical="center"/>
    </xf>
    <xf numFmtId="0" fontId="16" fillId="0" borderId="9" xfId="0" applyFont="1" applyFill="1" applyBorder="1" applyAlignment="1">
      <alignment vertical="center"/>
    </xf>
    <xf numFmtId="0" fontId="17" fillId="0" borderId="1" xfId="0" applyFont="1" applyFill="1" applyBorder="1" applyAlignment="1">
      <alignment vertical="center"/>
    </xf>
    <xf numFmtId="171" fontId="29" fillId="0" borderId="0" xfId="0" applyNumberFormat="1" applyFont="1" applyFill="1"/>
    <xf numFmtId="0" fontId="3" fillId="0" borderId="59" xfId="6" applyFont="1" applyFill="1" applyBorder="1" applyAlignment="1">
      <alignment horizontal="left" vertical="center" wrapText="1"/>
    </xf>
    <xf numFmtId="0" fontId="3" fillId="0" borderId="60" xfId="6" applyFont="1" applyFill="1" applyBorder="1" applyAlignment="1">
      <alignment horizontal="left" vertical="center" wrapText="1"/>
    </xf>
    <xf numFmtId="0" fontId="3" fillId="0" borderId="6" xfId="6" applyFont="1" applyFill="1" applyBorder="1" applyAlignment="1">
      <alignment horizontal="left" vertical="center"/>
    </xf>
    <xf numFmtId="0" fontId="3" fillId="0" borderId="62" xfId="6" applyFont="1" applyFill="1" applyBorder="1" applyAlignment="1">
      <alignment horizontal="left" vertical="center"/>
    </xf>
    <xf numFmtId="0" fontId="3" fillId="0" borderId="6" xfId="6" applyFont="1" applyFill="1" applyBorder="1" applyAlignment="1">
      <alignment horizontal="left" vertical="center" wrapText="1"/>
    </xf>
    <xf numFmtId="0" fontId="3" fillId="0" borderId="62" xfId="6" applyFont="1" applyFill="1" applyBorder="1" applyAlignment="1">
      <alignment horizontal="left" vertical="center" wrapText="1"/>
    </xf>
    <xf numFmtId="0" fontId="3" fillId="0" borderId="6" xfId="6" applyFont="1" applyBorder="1" applyAlignment="1">
      <alignment horizontal="center" vertical="center"/>
    </xf>
    <xf numFmtId="0" fontId="3" fillId="0" borderId="62" xfId="6" applyFont="1" applyBorder="1" applyAlignment="1">
      <alignment horizontal="center" vertical="center"/>
    </xf>
    <xf numFmtId="0" fontId="24" fillId="0" borderId="73" xfId="0" applyFont="1" applyFill="1" applyBorder="1" applyAlignment="1">
      <alignment horizontal="center" vertical="center"/>
    </xf>
    <xf numFmtId="0" fontId="24" fillId="0" borderId="74" xfId="0" applyFont="1" applyFill="1" applyBorder="1" applyAlignment="1">
      <alignment horizontal="center" vertical="center"/>
    </xf>
    <xf numFmtId="0" fontId="24" fillId="0" borderId="75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5" fillId="0" borderId="4" xfId="0" applyFont="1" applyFill="1" applyBorder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6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wrapText="1"/>
    </xf>
    <xf numFmtId="0" fontId="7" fillId="0" borderId="2" xfId="0" applyFont="1" applyFill="1" applyBorder="1" applyAlignment="1">
      <alignment horizontal="left" wrapText="1"/>
    </xf>
    <xf numFmtId="0" fontId="5" fillId="0" borderId="3" xfId="0" applyFont="1" applyFill="1" applyBorder="1"/>
    <xf numFmtId="0" fontId="5" fillId="0" borderId="6" xfId="0" applyFont="1" applyFill="1" applyBorder="1"/>
    <xf numFmtId="0" fontId="15" fillId="0" borderId="66" xfId="0" applyFont="1" applyBorder="1" applyAlignment="1">
      <alignment horizontal="left" vertical="center" wrapText="1"/>
    </xf>
    <xf numFmtId="0" fontId="24" fillId="0" borderId="66" xfId="0" applyFont="1" applyBorder="1"/>
    <xf numFmtId="168" fontId="15" fillId="0" borderId="6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5" fillId="0" borderId="11" xfId="0" applyFont="1" applyBorder="1"/>
    <xf numFmtId="0" fontId="5" fillId="0" borderId="12" xfId="0" applyFont="1" applyBorder="1"/>
    <xf numFmtId="0" fontId="15" fillId="0" borderId="13" xfId="0" applyFont="1" applyBorder="1" applyAlignment="1">
      <alignment horizontal="left" vertical="center" wrapText="1"/>
    </xf>
    <xf numFmtId="0" fontId="5" fillId="0" borderId="14" xfId="0" applyFont="1" applyBorder="1"/>
    <xf numFmtId="0" fontId="5" fillId="0" borderId="15" xfId="0" applyFont="1" applyBorder="1"/>
    <xf numFmtId="0" fontId="18" fillId="0" borderId="16" xfId="0" applyFont="1" applyFill="1" applyBorder="1" applyAlignment="1">
      <alignment horizontal="left" vertical="center" wrapText="1"/>
    </xf>
    <xf numFmtId="0" fontId="5" fillId="0" borderId="17" xfId="0" applyFont="1" applyFill="1" applyBorder="1"/>
    <xf numFmtId="0" fontId="5" fillId="0" borderId="18" xfId="0" applyFont="1" applyFill="1" applyBorder="1"/>
    <xf numFmtId="0" fontId="15" fillId="0" borderId="13" xfId="0" applyFont="1" applyFill="1" applyBorder="1" applyAlignment="1">
      <alignment horizontal="left" vertical="center" wrapText="1"/>
    </xf>
    <xf numFmtId="0" fontId="5" fillId="0" borderId="14" xfId="0" applyFont="1" applyFill="1" applyBorder="1"/>
    <xf numFmtId="0" fontId="5" fillId="0" borderId="15" xfId="0" applyFont="1" applyFill="1" applyBorder="1"/>
    <xf numFmtId="0" fontId="18" fillId="0" borderId="13" xfId="0" applyFont="1" applyFill="1" applyBorder="1" applyAlignment="1">
      <alignment horizontal="left" vertical="center"/>
    </xf>
    <xf numFmtId="0" fontId="5" fillId="0" borderId="19" xfId="0" applyFont="1" applyFill="1" applyBorder="1"/>
    <xf numFmtId="0" fontId="18" fillId="0" borderId="10" xfId="0" applyFont="1" applyFill="1" applyBorder="1" applyAlignment="1">
      <alignment horizontal="left" vertical="center" wrapText="1"/>
    </xf>
    <xf numFmtId="0" fontId="5" fillId="0" borderId="11" xfId="0" applyFont="1" applyFill="1" applyBorder="1"/>
    <xf numFmtId="0" fontId="5" fillId="0" borderId="12" xfId="0" applyFont="1" applyFill="1" applyBorder="1"/>
    <xf numFmtId="0" fontId="19" fillId="0" borderId="66" xfId="0" applyFont="1" applyBorder="1" applyAlignment="1">
      <alignment horizontal="center" vertical="center"/>
    </xf>
    <xf numFmtId="0" fontId="5" fillId="0" borderId="66" xfId="0" applyFont="1" applyBorder="1"/>
    <xf numFmtId="0" fontId="19" fillId="0" borderId="66" xfId="0" applyFont="1" applyBorder="1" applyAlignment="1">
      <alignment horizontal="center" vertical="center" wrapText="1"/>
    </xf>
    <xf numFmtId="0" fontId="5" fillId="0" borderId="66" xfId="0" applyFont="1" applyBorder="1" applyAlignment="1">
      <alignment horizontal="center"/>
    </xf>
    <xf numFmtId="171" fontId="19" fillId="0" borderId="66" xfId="0" applyNumberFormat="1" applyFont="1" applyBorder="1" applyAlignment="1">
      <alignment horizontal="center" vertical="center" wrapText="1"/>
    </xf>
    <xf numFmtId="171" fontId="5" fillId="0" borderId="66" xfId="0" applyNumberFormat="1" applyFont="1" applyBorder="1"/>
    <xf numFmtId="0" fontId="13" fillId="0" borderId="2" xfId="0" applyFont="1" applyBorder="1" applyAlignment="1">
      <alignment horizontal="center" vertical="center"/>
    </xf>
    <xf numFmtId="0" fontId="15" fillId="0" borderId="20" xfId="0" applyFont="1" applyFill="1" applyBorder="1" applyAlignment="1">
      <alignment horizontal="left" vertical="center" wrapText="1"/>
    </xf>
    <xf numFmtId="0" fontId="5" fillId="0" borderId="14" xfId="0" applyFont="1" applyFill="1" applyBorder="1" applyAlignment="1">
      <alignment horizontal="left"/>
    </xf>
    <xf numFmtId="0" fontId="5" fillId="0" borderId="15" xfId="0" applyFont="1" applyFill="1" applyBorder="1" applyAlignment="1">
      <alignment horizontal="left"/>
    </xf>
    <xf numFmtId="0" fontId="3" fillId="0" borderId="66" xfId="0" applyFont="1" applyBorder="1" applyAlignment="1">
      <alignment horizontal="left" vertical="center" wrapText="1"/>
    </xf>
    <xf numFmtId="0" fontId="24" fillId="0" borderId="21" xfId="0" applyFont="1" applyBorder="1" applyAlignment="1">
      <alignment horizontal="center" vertical="center"/>
    </xf>
    <xf numFmtId="0" fontId="5" fillId="0" borderId="31" xfId="0" applyFont="1" applyBorder="1"/>
    <xf numFmtId="0" fontId="5" fillId="0" borderId="22" xfId="0" applyFont="1" applyBorder="1"/>
    <xf numFmtId="0" fontId="22" fillId="0" borderId="31" xfId="0" applyFont="1" applyFill="1" applyBorder="1" applyAlignment="1">
      <alignment vertical="center" wrapText="1"/>
    </xf>
    <xf numFmtId="0" fontId="5" fillId="0" borderId="31" xfId="0" applyFont="1" applyFill="1" applyBorder="1"/>
    <xf numFmtId="0" fontId="5" fillId="0" borderId="22" xfId="0" applyFont="1" applyFill="1" applyBorder="1"/>
    <xf numFmtId="0" fontId="24" fillId="0" borderId="58" xfId="0" applyFont="1" applyBorder="1" applyAlignment="1">
      <alignment horizontal="center" vertical="center" wrapText="1"/>
    </xf>
    <xf numFmtId="0" fontId="5" fillId="0" borderId="60" xfId="0" applyFont="1" applyBorder="1"/>
    <xf numFmtId="0" fontId="5" fillId="0" borderId="63" xfId="0" applyFont="1" applyBorder="1"/>
    <xf numFmtId="0" fontId="5" fillId="0" borderId="65" xfId="0" applyFont="1" applyBorder="1"/>
    <xf numFmtId="0" fontId="24" fillId="0" borderId="22" xfId="0" applyFont="1" applyBorder="1" applyAlignment="1">
      <alignment horizontal="center" vertical="center"/>
    </xf>
    <xf numFmtId="0" fontId="5" fillId="0" borderId="27" xfId="0" applyFont="1" applyBorder="1"/>
    <xf numFmtId="0" fontId="11" fillId="2" borderId="57" xfId="0" applyFont="1" applyFill="1" applyBorder="1" applyAlignment="1">
      <alignment horizontal="left" vertical="center" wrapText="1"/>
    </xf>
    <xf numFmtId="0" fontId="5" fillId="2" borderId="57" xfId="0" applyFont="1" applyFill="1" applyBorder="1" applyAlignment="1">
      <alignment horizontal="left" vertical="center" wrapText="1"/>
    </xf>
    <xf numFmtId="0" fontId="11" fillId="0" borderId="41" xfId="0" applyFont="1" applyBorder="1" applyAlignment="1">
      <alignment horizontal="left" vertical="center"/>
    </xf>
    <xf numFmtId="0" fontId="5" fillId="0" borderId="69" xfId="0" applyFont="1" applyBorder="1"/>
    <xf numFmtId="0" fontId="11" fillId="0" borderId="43" xfId="0" applyFont="1" applyBorder="1" applyAlignment="1">
      <alignment horizontal="left" vertical="center"/>
    </xf>
    <xf numFmtId="0" fontId="5" fillId="0" borderId="44" xfId="0" applyFont="1" applyBorder="1"/>
    <xf numFmtId="0" fontId="23" fillId="0" borderId="10" xfId="0" applyFont="1" applyFill="1" applyBorder="1" applyAlignment="1">
      <alignment horizontal="left"/>
    </xf>
    <xf numFmtId="0" fontId="5" fillId="0" borderId="25" xfId="0" applyFont="1" applyFill="1" applyBorder="1"/>
    <xf numFmtId="0" fontId="3" fillId="0" borderId="10" xfId="0" applyFont="1" applyFill="1" applyBorder="1" applyAlignment="1">
      <alignment horizontal="left" vertical="center" wrapText="1"/>
    </xf>
    <xf numFmtId="0" fontId="22" fillId="0" borderId="10" xfId="0" applyFont="1" applyFill="1" applyBorder="1" applyAlignment="1">
      <alignment horizontal="left"/>
    </xf>
    <xf numFmtId="0" fontId="22" fillId="0" borderId="26" xfId="0" applyFont="1" applyFill="1" applyBorder="1"/>
    <xf numFmtId="0" fontId="0" fillId="0" borderId="0" xfId="0" applyFill="1"/>
    <xf numFmtId="0" fontId="22" fillId="0" borderId="28" xfId="0" applyFont="1" applyFill="1" applyBorder="1" applyAlignment="1">
      <alignment horizontal="left" vertical="center" wrapText="1"/>
    </xf>
    <xf numFmtId="0" fontId="5" fillId="0" borderId="29" xfId="0" applyFont="1" applyFill="1" applyBorder="1"/>
    <xf numFmtId="0" fontId="21" fillId="0" borderId="21" xfId="0" applyFont="1" applyBorder="1" applyAlignment="1">
      <alignment horizontal="center" vertical="center" wrapText="1"/>
    </xf>
    <xf numFmtId="0" fontId="5" fillId="0" borderId="23" xfId="0" applyFont="1" applyBorder="1"/>
    <xf numFmtId="0" fontId="5" fillId="0" borderId="24" xfId="0" applyFont="1" applyBorder="1"/>
    <xf numFmtId="0" fontId="11" fillId="0" borderId="10" xfId="0" applyFont="1" applyBorder="1"/>
    <xf numFmtId="0" fontId="5" fillId="0" borderId="25" xfId="0" applyFont="1" applyBorder="1"/>
    <xf numFmtId="0" fontId="22" fillId="0" borderId="10" xfId="0" applyFont="1" applyBorder="1" applyAlignment="1">
      <alignment horizontal="left"/>
    </xf>
    <xf numFmtId="0" fontId="11" fillId="0" borderId="13" xfId="0" applyFont="1" applyBorder="1" applyAlignment="1">
      <alignment horizontal="center"/>
    </xf>
    <xf numFmtId="3" fontId="20" fillId="0" borderId="14" xfId="0" applyNumberFormat="1" applyFont="1" applyBorder="1" applyAlignment="1">
      <alignment horizontal="center"/>
    </xf>
    <xf numFmtId="0" fontId="22" fillId="0" borderId="55" xfId="0" applyFont="1" applyFill="1" applyBorder="1" applyAlignment="1">
      <alignment horizontal="left" vertical="center" wrapText="1"/>
    </xf>
    <xf numFmtId="0" fontId="5" fillId="0" borderId="5" xfId="0" applyFont="1" applyFill="1" applyBorder="1"/>
    <xf numFmtId="0" fontId="5" fillId="0" borderId="56" xfId="0" applyFont="1" applyFill="1" applyBorder="1"/>
    <xf numFmtId="0" fontId="5" fillId="0" borderId="23" xfId="0" applyFont="1" applyFill="1" applyBorder="1"/>
    <xf numFmtId="0" fontId="5" fillId="0" borderId="30" xfId="0" applyFont="1" applyFill="1" applyBorder="1"/>
    <xf numFmtId="0" fontId="5" fillId="0" borderId="24" xfId="0" applyFont="1" applyFill="1" applyBorder="1"/>
    <xf numFmtId="0" fontId="20" fillId="0" borderId="51" xfId="0" applyFont="1" applyFill="1" applyBorder="1" applyAlignment="1">
      <alignment horizontal="left" vertical="center" wrapText="1"/>
    </xf>
    <xf numFmtId="0" fontId="5" fillId="0" borderId="52" xfId="0" applyFont="1" applyFill="1" applyBorder="1"/>
    <xf numFmtId="0" fontId="5" fillId="0" borderId="53" xfId="0" applyFont="1" applyFill="1" applyBorder="1"/>
    <xf numFmtId="0" fontId="11" fillId="0" borderId="21" xfId="0" applyFont="1" applyFill="1" applyBorder="1"/>
    <xf numFmtId="0" fontId="11" fillId="0" borderId="48" xfId="0" applyFont="1" applyBorder="1" applyAlignment="1">
      <alignment horizontal="left" vertical="center"/>
    </xf>
    <xf numFmtId="0" fontId="5" fillId="0" borderId="49" xfId="0" applyFont="1" applyBorder="1"/>
    <xf numFmtId="0" fontId="20" fillId="0" borderId="13" xfId="0" applyFont="1" applyFill="1" applyBorder="1" applyAlignment="1">
      <alignment vertical="center" wrapText="1"/>
    </xf>
    <xf numFmtId="168" fontId="18" fillId="0" borderId="66" xfId="0" applyNumberFormat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1" fillId="0" borderId="57" xfId="0" applyFont="1" applyFill="1" applyBorder="1" applyAlignment="1">
      <alignment horizontal="left" vertical="center" wrapText="1"/>
    </xf>
    <xf numFmtId="0" fontId="5" fillId="0" borderId="57" xfId="0" applyFont="1" applyFill="1" applyBorder="1" applyAlignment="1">
      <alignment horizontal="left" vertical="center" wrapText="1"/>
    </xf>
    <xf numFmtId="0" fontId="11" fillId="0" borderId="41" xfId="0" applyFont="1" applyFill="1" applyBorder="1" applyAlignment="1">
      <alignment horizontal="left" vertical="center"/>
    </xf>
    <xf numFmtId="0" fontId="5" fillId="0" borderId="69" xfId="0" applyFont="1" applyFill="1" applyBorder="1"/>
    <xf numFmtId="0" fontId="11" fillId="0" borderId="43" xfId="0" applyFont="1" applyFill="1" applyBorder="1" applyAlignment="1">
      <alignment horizontal="left" vertical="center"/>
    </xf>
    <xf numFmtId="0" fontId="5" fillId="0" borderId="44" xfId="0" applyFont="1" applyFill="1" applyBorder="1"/>
    <xf numFmtId="0" fontId="11" fillId="0" borderId="48" xfId="0" applyFont="1" applyFill="1" applyBorder="1" applyAlignment="1">
      <alignment horizontal="left" vertical="center"/>
    </xf>
    <xf numFmtId="0" fontId="5" fillId="0" borderId="49" xfId="0" applyFont="1" applyFill="1" applyBorder="1"/>
    <xf numFmtId="0" fontId="24" fillId="0" borderId="10" xfId="0" applyFont="1" applyBorder="1" applyAlignment="1">
      <alignment horizontal="center" vertical="center"/>
    </xf>
    <xf numFmtId="0" fontId="3" fillId="5" borderId="6" xfId="6" applyFont="1" applyFill="1" applyBorder="1" applyAlignment="1">
      <alignment horizontal="left" vertical="center" wrapText="1"/>
    </xf>
    <xf numFmtId="0" fontId="3" fillId="5" borderId="62" xfId="6" applyFont="1" applyFill="1" applyBorder="1" applyAlignment="1">
      <alignment horizontal="left" vertical="center" wrapText="1"/>
    </xf>
    <xf numFmtId="3" fontId="30" fillId="0" borderId="0" xfId="0" applyNumberFormat="1" applyFont="1"/>
  </cellXfs>
  <cellStyles count="7">
    <cellStyle name="Moneda" xfId="2" builtinId="4"/>
    <cellStyle name="Normal" xfId="0" builtinId="0"/>
    <cellStyle name="Normal 2" xfId="1" xr:uid="{00000000-0005-0000-0000-000002000000}"/>
    <cellStyle name="Normal 2 2" xfId="6" xr:uid="{00000000-0005-0000-0000-000003000000}"/>
    <cellStyle name="Normal 2 3" xfId="3" xr:uid="{00000000-0005-0000-0000-000004000000}"/>
    <cellStyle name="Normal 3" xfId="5" xr:uid="{00000000-0005-0000-0000-000005000000}"/>
    <cellStyle name="Normal 5" xfId="4" xr:uid="{00000000-0005-0000-0000-000006000000}"/>
  </cellStyles>
  <dxfs count="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728662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728662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728662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  <xdr:oneCellAnchor>
    <xdr:from>
      <xdr:col>16</xdr:col>
      <xdr:colOff>723900</xdr:colOff>
      <xdr:row>0</xdr:row>
      <xdr:rowOff>0</xdr:rowOff>
    </xdr:from>
    <xdr:ext cx="0" cy="0"/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728662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topLeftCell="A8" zoomScale="80" zoomScaleNormal="80" workbookViewId="0">
      <selection activeCell="G22" sqref="G22"/>
    </sheetView>
  </sheetViews>
  <sheetFormatPr baseColWidth="10" defaultColWidth="12.5703125" defaultRowHeight="15" customHeight="1" x14ac:dyDescent="0.2"/>
  <cols>
    <col min="1" max="1" width="4.5703125" customWidth="1"/>
    <col min="2" max="2" width="14" style="36" customWidth="1"/>
    <col min="3" max="3" width="29.42578125" style="36" customWidth="1"/>
    <col min="4" max="4" width="5.85546875" bestFit="1" customWidth="1"/>
    <col min="5" max="5" width="90.7109375" customWidth="1"/>
    <col min="6" max="6" width="15.85546875" customWidth="1"/>
    <col min="7" max="7" width="15.85546875" style="85" customWidth="1"/>
    <col min="8" max="10" width="15.85546875" style="74" customWidth="1"/>
    <col min="11" max="11" width="10.85546875" customWidth="1"/>
    <col min="12" max="12" width="14.42578125" style="36" customWidth="1"/>
    <col min="13" max="13" width="15.5703125" customWidth="1"/>
    <col min="14" max="14" width="48.5703125" bestFit="1" customWidth="1"/>
    <col min="15" max="15" width="52.140625" bestFit="1" customWidth="1"/>
    <col min="16" max="16" width="38.28515625" bestFit="1" customWidth="1"/>
  </cols>
  <sheetData>
    <row r="1" spans="1:14" ht="12.75" customHeight="1" x14ac:dyDescent="0.2">
      <c r="A1" s="1"/>
      <c r="B1" s="37"/>
      <c r="C1" s="37"/>
      <c r="D1" s="1"/>
      <c r="E1" s="34"/>
      <c r="F1" s="1"/>
      <c r="G1" s="82"/>
      <c r="H1" s="34"/>
      <c r="I1" s="34"/>
      <c r="J1" s="34"/>
      <c r="K1" s="1"/>
      <c r="L1" s="37"/>
      <c r="M1" s="2"/>
      <c r="N1" s="1"/>
    </row>
    <row r="2" spans="1:14" ht="26.25" customHeight="1" x14ac:dyDescent="0.35">
      <c r="A2" s="1"/>
      <c r="B2" s="185" t="s">
        <v>0</v>
      </c>
      <c r="C2" s="186"/>
      <c r="D2" s="186"/>
      <c r="E2" s="187"/>
      <c r="F2" s="186"/>
      <c r="G2" s="187"/>
      <c r="H2" s="187"/>
      <c r="I2" s="187"/>
      <c r="J2" s="187"/>
      <c r="K2" s="186"/>
      <c r="L2" s="188"/>
      <c r="M2" s="2"/>
      <c r="N2" s="1"/>
    </row>
    <row r="3" spans="1:14" ht="12.75" customHeight="1" x14ac:dyDescent="0.2">
      <c r="A3" s="1"/>
      <c r="B3" s="37"/>
      <c r="C3" s="37"/>
      <c r="D3" s="1"/>
      <c r="E3" s="34"/>
      <c r="F3" s="1"/>
      <c r="G3" s="82"/>
      <c r="H3" s="34"/>
      <c r="I3" s="34"/>
      <c r="J3" s="34"/>
      <c r="K3" s="1"/>
      <c r="L3" s="37"/>
      <c r="M3" s="2"/>
      <c r="N3" s="1"/>
    </row>
    <row r="4" spans="1:14" ht="12.75" customHeight="1" x14ac:dyDescent="0.25">
      <c r="A4" s="189" t="s">
        <v>1</v>
      </c>
      <c r="B4" s="188"/>
      <c r="C4" s="190" t="s">
        <v>2</v>
      </c>
      <c r="D4" s="186"/>
      <c r="E4" s="187"/>
      <c r="F4" s="3"/>
      <c r="G4" s="83"/>
      <c r="H4" s="35"/>
      <c r="I4" s="35"/>
      <c r="J4" s="35"/>
      <c r="K4" s="4"/>
      <c r="L4" s="40"/>
      <c r="M4" s="2"/>
      <c r="N4" s="1"/>
    </row>
    <row r="5" spans="1:14" s="105" customFormat="1" ht="12.75" customHeight="1" x14ac:dyDescent="0.25">
      <c r="A5" s="183" t="s">
        <v>3</v>
      </c>
      <c r="B5" s="184"/>
      <c r="C5" s="191" t="s">
        <v>86</v>
      </c>
      <c r="D5" s="192"/>
      <c r="E5" s="193"/>
      <c r="F5" s="158"/>
      <c r="G5" s="159"/>
      <c r="H5" s="160"/>
      <c r="I5" s="160"/>
      <c r="J5" s="160"/>
      <c r="K5" s="161"/>
      <c r="L5" s="162"/>
      <c r="M5" s="163"/>
      <c r="N5" s="164"/>
    </row>
    <row r="6" spans="1:14" s="105" customFormat="1" ht="12.75" customHeight="1" x14ac:dyDescent="0.2">
      <c r="A6" s="183" t="s">
        <v>4</v>
      </c>
      <c r="B6" s="184"/>
      <c r="C6" s="165">
        <v>2022</v>
      </c>
      <c r="D6" s="166"/>
      <c r="E6" s="167"/>
      <c r="F6" s="158"/>
      <c r="G6" s="159"/>
      <c r="H6" s="160"/>
      <c r="I6" s="160"/>
      <c r="J6" s="160"/>
      <c r="K6" s="161"/>
      <c r="L6" s="162"/>
      <c r="M6" s="163"/>
      <c r="N6" s="164"/>
    </row>
    <row r="7" spans="1:14" s="105" customFormat="1" ht="12.75" customHeight="1" x14ac:dyDescent="0.2">
      <c r="A7" s="183" t="s">
        <v>5</v>
      </c>
      <c r="B7" s="184"/>
      <c r="C7" s="165">
        <v>3</v>
      </c>
      <c r="D7" s="166"/>
      <c r="E7" s="167"/>
      <c r="F7" s="158"/>
      <c r="G7" s="159"/>
      <c r="H7" s="160"/>
      <c r="I7" s="160"/>
      <c r="J7" s="160"/>
      <c r="K7" s="161"/>
      <c r="L7" s="162"/>
      <c r="M7" s="163"/>
      <c r="N7" s="164"/>
    </row>
    <row r="8" spans="1:14" ht="12.75" customHeight="1" thickBot="1" x14ac:dyDescent="0.25">
      <c r="A8" s="1"/>
      <c r="B8" s="40"/>
      <c r="C8" s="39"/>
      <c r="D8" s="3"/>
      <c r="E8" s="35"/>
      <c r="F8" s="3"/>
      <c r="G8" s="83"/>
      <c r="H8" s="35"/>
      <c r="I8" s="35"/>
      <c r="J8" s="35"/>
      <c r="K8" s="4"/>
      <c r="L8" s="40"/>
      <c r="M8" s="2"/>
      <c r="N8" s="1"/>
    </row>
    <row r="9" spans="1:14" s="41" customFormat="1" ht="39" thickBot="1" x14ac:dyDescent="0.25">
      <c r="A9" s="133" t="s">
        <v>6</v>
      </c>
      <c r="B9" s="134" t="s">
        <v>7</v>
      </c>
      <c r="C9" s="134" t="s">
        <v>8</v>
      </c>
      <c r="D9" s="134" t="s">
        <v>9</v>
      </c>
      <c r="E9" s="134" t="s">
        <v>10</v>
      </c>
      <c r="F9" s="134" t="s">
        <v>11</v>
      </c>
      <c r="G9" s="135" t="s">
        <v>82</v>
      </c>
      <c r="H9" s="134" t="s">
        <v>83</v>
      </c>
      <c r="I9" s="134" t="s">
        <v>84</v>
      </c>
      <c r="J9" s="134" t="s">
        <v>85</v>
      </c>
      <c r="K9" s="134" t="s">
        <v>87</v>
      </c>
      <c r="L9" s="134" t="s">
        <v>12</v>
      </c>
      <c r="M9" s="136" t="s">
        <v>13</v>
      </c>
      <c r="N9" s="43"/>
    </row>
    <row r="10" spans="1:14" ht="31.5" customHeight="1" thickBot="1" x14ac:dyDescent="0.25">
      <c r="A10" s="59">
        <v>1</v>
      </c>
      <c r="B10" s="68" t="s">
        <v>61</v>
      </c>
      <c r="C10" s="70" t="s">
        <v>59</v>
      </c>
      <c r="D10" s="63">
        <v>252</v>
      </c>
      <c r="E10" s="76" t="s">
        <v>62</v>
      </c>
      <c r="F10" s="65" t="s">
        <v>15</v>
      </c>
      <c r="G10" s="84">
        <v>1000</v>
      </c>
      <c r="H10" s="86">
        <f t="shared" ref="H10:H19" si="0">+G10*L10</f>
        <v>68900</v>
      </c>
      <c r="I10" s="65"/>
      <c r="J10" s="86">
        <f t="shared" ref="J10:J19" si="1">+I10*L10</f>
        <v>0</v>
      </c>
      <c r="K10" s="61">
        <f t="shared" ref="K10:K19" si="2">+G10+I10</f>
        <v>1000</v>
      </c>
      <c r="L10" s="64">
        <v>68.900000000000006</v>
      </c>
      <c r="M10" s="78">
        <f t="shared" ref="M10:M19" si="3">+K10*L10</f>
        <v>68900</v>
      </c>
      <c r="N10" s="36"/>
    </row>
    <row r="11" spans="1:14" ht="29.25" customHeight="1" thickBot="1" x14ac:dyDescent="0.25">
      <c r="A11" s="59">
        <v>2</v>
      </c>
      <c r="B11" s="68" t="s">
        <v>77</v>
      </c>
      <c r="C11" s="70" t="s">
        <v>59</v>
      </c>
      <c r="D11" s="63">
        <v>252</v>
      </c>
      <c r="E11" s="76" t="s">
        <v>78</v>
      </c>
      <c r="F11" s="65" t="s">
        <v>16</v>
      </c>
      <c r="G11" s="84">
        <v>30</v>
      </c>
      <c r="H11" s="86">
        <f t="shared" si="0"/>
        <v>24060</v>
      </c>
      <c r="I11" s="65"/>
      <c r="J11" s="86">
        <f t="shared" si="1"/>
        <v>0</v>
      </c>
      <c r="K11" s="61">
        <f t="shared" si="2"/>
        <v>30</v>
      </c>
      <c r="L11" s="64">
        <v>802</v>
      </c>
      <c r="M11" s="78">
        <f t="shared" si="3"/>
        <v>24060</v>
      </c>
      <c r="N11" s="38"/>
    </row>
    <row r="12" spans="1:14" s="81" customFormat="1" ht="29.25" customHeight="1" thickBot="1" x14ac:dyDescent="0.25">
      <c r="A12" s="59">
        <v>3</v>
      </c>
      <c r="B12" s="68" t="s">
        <v>103</v>
      </c>
      <c r="C12" s="70" t="s">
        <v>59</v>
      </c>
      <c r="D12" s="63">
        <v>252</v>
      </c>
      <c r="E12" s="76" t="s">
        <v>104</v>
      </c>
      <c r="F12" s="65" t="s">
        <v>16</v>
      </c>
      <c r="G12" s="84">
        <v>20050</v>
      </c>
      <c r="H12" s="86">
        <f t="shared" si="0"/>
        <v>1704250</v>
      </c>
      <c r="I12" s="65"/>
      <c r="J12" s="86"/>
      <c r="K12" s="61">
        <f t="shared" si="2"/>
        <v>20050</v>
      </c>
      <c r="L12" s="64">
        <v>85</v>
      </c>
      <c r="M12" s="78">
        <f t="shared" si="3"/>
        <v>1704250</v>
      </c>
      <c r="N12" s="38"/>
    </row>
    <row r="13" spans="1:14" ht="31.5" customHeight="1" thickBot="1" x14ac:dyDescent="0.25">
      <c r="A13" s="59">
        <v>4</v>
      </c>
      <c r="B13" s="68" t="s">
        <v>60</v>
      </c>
      <c r="C13" s="70" t="s">
        <v>59</v>
      </c>
      <c r="D13" s="63">
        <v>252</v>
      </c>
      <c r="E13" s="76" t="s">
        <v>63</v>
      </c>
      <c r="F13" s="65" t="s">
        <v>14</v>
      </c>
      <c r="G13" s="84">
        <v>150250</v>
      </c>
      <c r="H13" s="86">
        <f t="shared" si="0"/>
        <v>763270</v>
      </c>
      <c r="I13" s="65"/>
      <c r="J13" s="86">
        <f t="shared" si="1"/>
        <v>0</v>
      </c>
      <c r="K13" s="61">
        <f t="shared" si="2"/>
        <v>150250</v>
      </c>
      <c r="L13" s="64">
        <v>5.08</v>
      </c>
      <c r="M13" s="78">
        <f t="shared" si="3"/>
        <v>763270</v>
      </c>
      <c r="N13" s="37"/>
    </row>
    <row r="14" spans="1:14" ht="26.25" thickBot="1" x14ac:dyDescent="0.25">
      <c r="A14" s="59">
        <v>5</v>
      </c>
      <c r="B14" s="67" t="s">
        <v>75</v>
      </c>
      <c r="C14" s="71" t="s">
        <v>59</v>
      </c>
      <c r="D14" s="72">
        <v>295</v>
      </c>
      <c r="E14" s="77" t="s">
        <v>76</v>
      </c>
      <c r="F14" s="59" t="s">
        <v>18</v>
      </c>
      <c r="G14" s="61">
        <v>50</v>
      </c>
      <c r="H14" s="86">
        <f t="shared" si="0"/>
        <v>62500</v>
      </c>
      <c r="I14" s="59"/>
      <c r="J14" s="86">
        <f t="shared" si="1"/>
        <v>0</v>
      </c>
      <c r="K14" s="61">
        <f t="shared" si="2"/>
        <v>50</v>
      </c>
      <c r="L14" s="62">
        <v>1250</v>
      </c>
      <c r="M14" s="79">
        <f t="shared" si="3"/>
        <v>62500</v>
      </c>
      <c r="N14" s="42"/>
    </row>
    <row r="15" spans="1:14" ht="27.75" customHeight="1" thickBot="1" x14ac:dyDescent="0.25">
      <c r="A15" s="59">
        <v>6</v>
      </c>
      <c r="B15" s="67" t="s">
        <v>69</v>
      </c>
      <c r="C15" s="70" t="s">
        <v>59</v>
      </c>
      <c r="D15" s="60">
        <v>252</v>
      </c>
      <c r="E15" s="76" t="s">
        <v>70</v>
      </c>
      <c r="F15" s="59" t="s">
        <v>17</v>
      </c>
      <c r="G15" s="61">
        <v>5000</v>
      </c>
      <c r="H15" s="86">
        <f t="shared" si="0"/>
        <v>1245500</v>
      </c>
      <c r="I15" s="59"/>
      <c r="J15" s="86">
        <f t="shared" si="1"/>
        <v>0</v>
      </c>
      <c r="K15" s="61">
        <f t="shared" si="2"/>
        <v>5000</v>
      </c>
      <c r="L15" s="58">
        <v>249.1</v>
      </c>
      <c r="M15" s="87">
        <f t="shared" si="3"/>
        <v>1245500</v>
      </c>
      <c r="N15" s="36"/>
    </row>
    <row r="16" spans="1:14" ht="26.25" thickBot="1" x14ac:dyDescent="0.25">
      <c r="A16" s="59">
        <v>7</v>
      </c>
      <c r="B16" s="67" t="s">
        <v>71</v>
      </c>
      <c r="C16" s="70" t="s">
        <v>59</v>
      </c>
      <c r="D16" s="60">
        <v>252</v>
      </c>
      <c r="E16" s="76" t="s">
        <v>72</v>
      </c>
      <c r="F16" s="59" t="s">
        <v>17</v>
      </c>
      <c r="G16" s="61">
        <v>2000</v>
      </c>
      <c r="H16" s="86">
        <f t="shared" si="0"/>
        <v>523039.99999999994</v>
      </c>
      <c r="I16" s="59"/>
      <c r="J16" s="86">
        <f t="shared" si="1"/>
        <v>0</v>
      </c>
      <c r="K16" s="61">
        <f t="shared" si="2"/>
        <v>2000</v>
      </c>
      <c r="L16" s="58">
        <v>261.52</v>
      </c>
      <c r="M16" s="87">
        <f t="shared" si="3"/>
        <v>523039.99999999994</v>
      </c>
      <c r="N16" s="75"/>
    </row>
    <row r="17" spans="1:15" ht="26.25" thickBot="1" x14ac:dyDescent="0.25">
      <c r="A17" s="59">
        <v>8</v>
      </c>
      <c r="B17" s="67" t="s">
        <v>68</v>
      </c>
      <c r="C17" s="70" t="s">
        <v>59</v>
      </c>
      <c r="D17" s="60">
        <v>252</v>
      </c>
      <c r="E17" s="76" t="s">
        <v>67</v>
      </c>
      <c r="F17" s="59" t="s">
        <v>15</v>
      </c>
      <c r="G17" s="61"/>
      <c r="H17" s="86">
        <f t="shared" si="0"/>
        <v>0</v>
      </c>
      <c r="I17" s="59">
        <v>3000</v>
      </c>
      <c r="J17" s="86">
        <f t="shared" si="1"/>
        <v>1815000</v>
      </c>
      <c r="K17" s="61">
        <f t="shared" si="2"/>
        <v>3000</v>
      </c>
      <c r="L17" s="58">
        <v>605</v>
      </c>
      <c r="M17" s="87">
        <f t="shared" si="3"/>
        <v>1815000</v>
      </c>
      <c r="N17" s="66"/>
      <c r="O17" s="41"/>
    </row>
    <row r="18" spans="1:15" ht="32.25" customHeight="1" thickBot="1" x14ac:dyDescent="0.25">
      <c r="A18" s="59">
        <v>9</v>
      </c>
      <c r="B18" s="67" t="s">
        <v>73</v>
      </c>
      <c r="C18" s="70" t="s">
        <v>59</v>
      </c>
      <c r="D18" s="60">
        <v>252</v>
      </c>
      <c r="E18" s="76" t="s">
        <v>74</v>
      </c>
      <c r="F18" s="59" t="s">
        <v>18</v>
      </c>
      <c r="G18" s="61"/>
      <c r="H18" s="86">
        <f t="shared" si="0"/>
        <v>0</v>
      </c>
      <c r="I18" s="59">
        <v>1000</v>
      </c>
      <c r="J18" s="86">
        <f t="shared" si="1"/>
        <v>6450000</v>
      </c>
      <c r="K18" s="61">
        <f t="shared" si="2"/>
        <v>1000</v>
      </c>
      <c r="L18" s="58">
        <v>6450</v>
      </c>
      <c r="M18" s="87">
        <f t="shared" si="3"/>
        <v>6450000</v>
      </c>
      <c r="N18" s="44"/>
    </row>
    <row r="19" spans="1:15" ht="26.25" thickBot="1" x14ac:dyDescent="0.25">
      <c r="A19" s="59">
        <v>10</v>
      </c>
      <c r="B19" s="69" t="s">
        <v>65</v>
      </c>
      <c r="C19" s="70" t="s">
        <v>59</v>
      </c>
      <c r="D19" s="63">
        <v>252</v>
      </c>
      <c r="E19" s="77" t="s">
        <v>64</v>
      </c>
      <c r="F19" s="65" t="s">
        <v>17</v>
      </c>
      <c r="G19" s="84">
        <v>2000</v>
      </c>
      <c r="H19" s="86">
        <f t="shared" si="0"/>
        <v>1916000</v>
      </c>
      <c r="I19" s="65"/>
      <c r="J19" s="86">
        <f t="shared" si="1"/>
        <v>0</v>
      </c>
      <c r="K19" s="61">
        <f t="shared" si="2"/>
        <v>2000</v>
      </c>
      <c r="L19" s="64">
        <v>958</v>
      </c>
      <c r="M19" s="78">
        <f t="shared" si="3"/>
        <v>1916000</v>
      </c>
      <c r="N19" s="73"/>
    </row>
    <row r="20" spans="1:15" ht="13.5" thickBot="1" x14ac:dyDescent="0.25">
      <c r="A20" s="180" t="s">
        <v>88</v>
      </c>
      <c r="B20" s="181"/>
      <c r="C20" s="181"/>
      <c r="D20" s="181"/>
      <c r="E20" s="181"/>
      <c r="F20" s="182"/>
      <c r="G20" s="130"/>
      <c r="H20" s="132">
        <f>SUM(H10:H19)</f>
        <v>6307520</v>
      </c>
      <c r="I20" s="130"/>
      <c r="J20" s="132">
        <f>SUM(J10:J19)</f>
        <v>8265000</v>
      </c>
      <c r="K20" s="130"/>
      <c r="L20" s="131"/>
      <c r="M20" s="88">
        <f>SUM(M10:M19)</f>
        <v>14572520</v>
      </c>
      <c r="N20" s="38"/>
    </row>
    <row r="21" spans="1:15" ht="13.5" thickBot="1" x14ac:dyDescent="0.25">
      <c r="A21" s="50"/>
      <c r="B21" s="51"/>
      <c r="C21" s="52"/>
      <c r="D21" s="53"/>
      <c r="E21" s="54"/>
      <c r="F21" s="50"/>
      <c r="G21" s="55"/>
      <c r="H21" s="50"/>
      <c r="I21" s="50"/>
      <c r="J21" s="50"/>
      <c r="K21" s="55"/>
      <c r="L21" s="56"/>
      <c r="M21" s="57"/>
      <c r="N21" s="36"/>
    </row>
    <row r="22" spans="1:15" ht="126.75" customHeight="1" x14ac:dyDescent="0.2">
      <c r="C22" s="89" t="s">
        <v>89</v>
      </c>
      <c r="D22" s="172" t="s">
        <v>90</v>
      </c>
      <c r="E22" s="173"/>
    </row>
    <row r="23" spans="1:15" ht="15" customHeight="1" x14ac:dyDescent="0.2">
      <c r="C23" s="90"/>
      <c r="D23" s="91"/>
      <c r="E23" s="98"/>
    </row>
    <row r="24" spans="1:15" ht="15" customHeight="1" x14ac:dyDescent="0.2">
      <c r="C24" s="90" t="s">
        <v>91</v>
      </c>
      <c r="D24" s="174" t="s">
        <v>92</v>
      </c>
      <c r="E24" s="175"/>
    </row>
    <row r="25" spans="1:15" ht="15" customHeight="1" x14ac:dyDescent="0.2">
      <c r="C25" s="90"/>
      <c r="D25" s="92"/>
      <c r="E25" s="98"/>
    </row>
    <row r="26" spans="1:15" ht="40.5" customHeight="1" x14ac:dyDescent="0.2">
      <c r="C26" s="90" t="s">
        <v>93</v>
      </c>
      <c r="D26" s="283" t="s">
        <v>106</v>
      </c>
      <c r="E26" s="284"/>
      <c r="G26" s="285" t="s">
        <v>109</v>
      </c>
    </row>
    <row r="27" spans="1:15" s="81" customFormat="1" ht="40.5" customHeight="1" x14ac:dyDescent="0.2">
      <c r="B27" s="36"/>
      <c r="C27" s="90"/>
      <c r="D27" s="176" t="s">
        <v>105</v>
      </c>
      <c r="E27" s="177"/>
      <c r="G27" s="85"/>
      <c r="L27" s="36"/>
    </row>
    <row r="28" spans="1:15" ht="15" customHeight="1" x14ac:dyDescent="0.2">
      <c r="C28" s="90"/>
      <c r="D28" s="93"/>
      <c r="E28" s="98"/>
    </row>
    <row r="29" spans="1:15" ht="15" customHeight="1" x14ac:dyDescent="0.2">
      <c r="C29" s="94" t="s">
        <v>94</v>
      </c>
      <c r="D29" s="178"/>
      <c r="E29" s="179"/>
    </row>
    <row r="30" spans="1:15" ht="15" customHeight="1" x14ac:dyDescent="0.2">
      <c r="C30" s="94"/>
      <c r="D30" s="95"/>
      <c r="E30" s="98"/>
    </row>
    <row r="31" spans="1:15" ht="15" customHeight="1" x14ac:dyDescent="0.2">
      <c r="C31" s="94" t="s">
        <v>95</v>
      </c>
      <c r="D31" s="97" t="s">
        <v>96</v>
      </c>
      <c r="E31" s="98"/>
    </row>
    <row r="32" spans="1:15" ht="15" customHeight="1" thickBot="1" x14ac:dyDescent="0.25">
      <c r="C32" s="99"/>
      <c r="D32" s="100"/>
      <c r="E32" s="101"/>
    </row>
  </sheetData>
  <sortState xmlns:xlrd2="http://schemas.microsoft.com/office/spreadsheetml/2017/richdata2" ref="A10:I41">
    <sortCondition ref="E10:E41"/>
  </sortState>
  <mergeCells count="13">
    <mergeCell ref="A20:F20"/>
    <mergeCell ref="A6:B6"/>
    <mergeCell ref="A7:B7"/>
    <mergeCell ref="B2:L2"/>
    <mergeCell ref="A4:B4"/>
    <mergeCell ref="C4:E4"/>
    <mergeCell ref="A5:B5"/>
    <mergeCell ref="C5:E5"/>
    <mergeCell ref="D22:E22"/>
    <mergeCell ref="D24:E24"/>
    <mergeCell ref="D26:E26"/>
    <mergeCell ref="D29:E29"/>
    <mergeCell ref="D27:E27"/>
  </mergeCells>
  <conditionalFormatting sqref="C24:C31">
    <cfRule type="duplicateValues" dxfId="1" priority="5"/>
  </conditionalFormatting>
  <conditionalFormatting sqref="C24:C31">
    <cfRule type="duplicateValues" dxfId="0" priority="7"/>
  </conditionalFormatting>
  <printOptions horizontalCentered="1"/>
  <pageMargins left="0.11811023622047245" right="0.11811023622047245" top="0.74803149606299213" bottom="0.35433070866141736" header="0" footer="0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"/>
  <sheetViews>
    <sheetView topLeftCell="A13" workbookViewId="0">
      <selection activeCell="L14" sqref="L14"/>
    </sheetView>
  </sheetViews>
  <sheetFormatPr baseColWidth="10" defaultColWidth="12.5703125" defaultRowHeight="15" customHeight="1" x14ac:dyDescent="0.2"/>
  <cols>
    <col min="1" max="1" width="5.5703125" customWidth="1"/>
    <col min="2" max="2" width="15.140625" style="96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5703125" customWidth="1"/>
    <col min="8" max="8" width="9.28515625" customWidth="1"/>
    <col min="9" max="9" width="15.5703125" customWidth="1"/>
    <col min="10" max="10" width="14.7109375" style="110" customWidth="1"/>
    <col min="11" max="11" width="15.5703125" customWidth="1"/>
    <col min="13" max="14" width="14.42578125" style="127" bestFit="1" customWidth="1"/>
    <col min="15" max="15" width="14.42578125" style="126" bestFit="1" customWidth="1"/>
  </cols>
  <sheetData>
    <row r="1" spans="1:15" ht="20.25" customHeight="1" x14ac:dyDescent="0.2">
      <c r="A1" s="220" t="s">
        <v>19</v>
      </c>
      <c r="B1" s="186"/>
      <c r="C1" s="186"/>
      <c r="D1" s="186"/>
      <c r="E1" s="186"/>
      <c r="F1" s="186"/>
      <c r="G1" s="186"/>
      <c r="H1" s="186"/>
      <c r="I1" s="188"/>
      <c r="J1" s="106" t="s">
        <v>20</v>
      </c>
      <c r="K1" s="104" t="s">
        <v>21</v>
      </c>
    </row>
    <row r="2" spans="1:15" ht="15.75" x14ac:dyDescent="0.2">
      <c r="A2" s="5"/>
      <c r="B2" s="102"/>
      <c r="C2" s="5"/>
      <c r="D2" s="6"/>
      <c r="E2" s="6"/>
      <c r="F2" s="6"/>
      <c r="G2" s="6"/>
      <c r="H2" s="6"/>
      <c r="I2" s="6"/>
      <c r="J2" s="107"/>
      <c r="K2" s="6"/>
    </row>
    <row r="3" spans="1:15" ht="19.5" customHeight="1" x14ac:dyDescent="0.2">
      <c r="A3" s="197" t="s">
        <v>22</v>
      </c>
      <c r="B3" s="198"/>
      <c r="C3" s="199"/>
      <c r="D3" s="200" t="str">
        <f>'Necesidades Trimestrales'!C4</f>
        <v>040 - Ministerio de Salud</v>
      </c>
      <c r="E3" s="201"/>
      <c r="F3" s="201"/>
      <c r="G3" s="201"/>
      <c r="H3" s="201"/>
      <c r="I3" s="201"/>
      <c r="J3" s="201"/>
      <c r="K3" s="202"/>
    </row>
    <row r="4" spans="1:15" s="105" customFormat="1" ht="19.5" customHeight="1" x14ac:dyDescent="0.2">
      <c r="A4" s="203" t="s">
        <v>23</v>
      </c>
      <c r="B4" s="204"/>
      <c r="C4" s="205"/>
      <c r="D4" s="206" t="str">
        <f>'Necesidades Trimestrales'!C5</f>
        <v>011 - DIRECCION PROVINCIAL DE ADMINISTRACION - MS</v>
      </c>
      <c r="E4" s="207"/>
      <c r="F4" s="207"/>
      <c r="G4" s="207"/>
      <c r="H4" s="207"/>
      <c r="I4" s="207"/>
      <c r="J4" s="207"/>
      <c r="K4" s="208"/>
      <c r="M4" s="127"/>
      <c r="N4" s="127"/>
      <c r="O4" s="127"/>
    </row>
    <row r="5" spans="1:15" s="105" customFormat="1" ht="19.5" customHeight="1" x14ac:dyDescent="0.2">
      <c r="A5" s="203" t="s">
        <v>24</v>
      </c>
      <c r="B5" s="204"/>
      <c r="C5" s="205"/>
      <c r="D5" s="206" t="s">
        <v>97</v>
      </c>
      <c r="E5" s="207"/>
      <c r="F5" s="207"/>
      <c r="G5" s="207"/>
      <c r="H5" s="207"/>
      <c r="I5" s="207"/>
      <c r="J5" s="207"/>
      <c r="K5" s="208"/>
      <c r="M5" s="127"/>
      <c r="N5" s="127"/>
      <c r="O5" s="127"/>
    </row>
    <row r="6" spans="1:15" s="105" customFormat="1" ht="19.5" customHeight="1" x14ac:dyDescent="0.2">
      <c r="A6" s="211" t="s">
        <v>25</v>
      </c>
      <c r="B6" s="212"/>
      <c r="C6" s="213"/>
      <c r="D6" s="206" t="s">
        <v>97</v>
      </c>
      <c r="E6" s="207"/>
      <c r="F6" s="207"/>
      <c r="G6" s="207"/>
      <c r="H6" s="207"/>
      <c r="I6" s="207"/>
      <c r="J6" s="207"/>
      <c r="K6" s="208"/>
      <c r="M6" s="127"/>
      <c r="N6" s="127"/>
      <c r="O6" s="127"/>
    </row>
    <row r="7" spans="1:15" s="105" customFormat="1" ht="19.5" customHeight="1" x14ac:dyDescent="0.2">
      <c r="A7" s="203" t="s">
        <v>26</v>
      </c>
      <c r="B7" s="204"/>
      <c r="C7" s="205"/>
      <c r="D7" s="206" t="s">
        <v>80</v>
      </c>
      <c r="E7" s="207"/>
      <c r="F7" s="207"/>
      <c r="G7" s="207"/>
      <c r="H7" s="207"/>
      <c r="I7" s="207"/>
      <c r="J7" s="207"/>
      <c r="K7" s="208"/>
      <c r="M7" s="127"/>
      <c r="N7" s="127"/>
      <c r="O7" s="127"/>
    </row>
    <row r="8" spans="1:15" s="105" customFormat="1" ht="30" customHeight="1" x14ac:dyDescent="0.2">
      <c r="A8" s="209" t="s">
        <v>27</v>
      </c>
      <c r="B8" s="207"/>
      <c r="C8" s="210"/>
      <c r="D8" s="221" t="s">
        <v>81</v>
      </c>
      <c r="E8" s="222"/>
      <c r="F8" s="222"/>
      <c r="G8" s="222"/>
      <c r="H8" s="222"/>
      <c r="I8" s="222"/>
      <c r="J8" s="222"/>
      <c r="K8" s="223"/>
      <c r="M8" s="127"/>
      <c r="N8" s="127"/>
      <c r="O8" s="127"/>
    </row>
    <row r="9" spans="1:15" ht="12.75" customHeight="1" thickBot="1" x14ac:dyDescent="0.25">
      <c r="A9" s="7"/>
      <c r="B9" s="103"/>
      <c r="C9" s="7"/>
      <c r="D9" s="8"/>
      <c r="E9" s="8"/>
      <c r="F9" s="8"/>
      <c r="G9" s="8"/>
      <c r="H9" s="8"/>
      <c r="I9" s="8"/>
      <c r="J9" s="108"/>
      <c r="K9" s="8"/>
    </row>
    <row r="10" spans="1:15" ht="12.75" customHeight="1" thickBot="1" x14ac:dyDescent="0.25">
      <c r="A10" s="214" t="s">
        <v>28</v>
      </c>
      <c r="B10" s="216" t="s">
        <v>29</v>
      </c>
      <c r="C10" s="216" t="s">
        <v>30</v>
      </c>
      <c r="D10" s="215"/>
      <c r="E10" s="215"/>
      <c r="F10" s="215"/>
      <c r="G10" s="215"/>
      <c r="H10" s="216" t="s">
        <v>31</v>
      </c>
      <c r="I10" s="216" t="s">
        <v>32</v>
      </c>
      <c r="J10" s="218" t="s">
        <v>33</v>
      </c>
      <c r="K10" s="216" t="s">
        <v>34</v>
      </c>
    </row>
    <row r="11" spans="1:15" ht="32.25" customHeight="1" thickBot="1" x14ac:dyDescent="0.25">
      <c r="A11" s="215"/>
      <c r="B11" s="217"/>
      <c r="C11" s="215"/>
      <c r="D11" s="215"/>
      <c r="E11" s="215"/>
      <c r="F11" s="215"/>
      <c r="G11" s="215"/>
      <c r="H11" s="215"/>
      <c r="I11" s="215"/>
      <c r="J11" s="219"/>
      <c r="K11" s="215"/>
      <c r="M11" s="127">
        <v>252</v>
      </c>
      <c r="N11" s="127">
        <v>295</v>
      </c>
    </row>
    <row r="12" spans="1:15" ht="32.25" customHeight="1" thickBot="1" x14ac:dyDescent="0.25">
      <c r="A12" s="45">
        <v>1</v>
      </c>
      <c r="B12" s="45" t="str">
        <f>+'Necesidades Trimestrales'!B10</f>
        <v>2.5.2-1724.154</v>
      </c>
      <c r="C12" s="224" t="str">
        <f>+'Necesidades Trimestrales'!E10</f>
        <v>ANALGESICOS ; TIPO: MONODROGA, DROGA GENERICA: TRAMADOL 50 mGr, FORMA FARMACEUTICA: AMPOLLA, PRESENTACION: UNIDAD</v>
      </c>
      <c r="D12" s="215"/>
      <c r="E12" s="215"/>
      <c r="F12" s="215"/>
      <c r="G12" s="215"/>
      <c r="H12" s="45" t="s">
        <v>35</v>
      </c>
      <c r="I12" s="47" t="str">
        <f>+'Necesidades Trimestrales'!F10</f>
        <v>AMPOLLA</v>
      </c>
      <c r="J12" s="109">
        <f>+'Necesidades Trimestrales'!L10</f>
        <v>68.900000000000006</v>
      </c>
      <c r="K12" s="49">
        <f>'Necesidades Trimestrales'!G10</f>
        <v>1000</v>
      </c>
      <c r="M12" s="171">
        <f>+J12*K12</f>
        <v>68900</v>
      </c>
      <c r="N12" s="171"/>
    </row>
    <row r="13" spans="1:15" ht="32.25" customHeight="1" thickBot="1" x14ac:dyDescent="0.25">
      <c r="A13" s="45">
        <v>2</v>
      </c>
      <c r="B13" s="45" t="str">
        <f>+'Necesidades Trimestrales'!B11</f>
        <v>2.5.2-1821.201</v>
      </c>
      <c r="C13" s="224" t="str">
        <f>+'Necesidades Trimestrales'!E11</f>
        <v>ANTIBIOTICOS P/PERSONAS; TIPO: ANTITUBERCULOSTATICO, DROGA GENERICA: RIFAMPICINA X 2 GR, FORMA FARMACEUTICA: EN SUSPENSION CADA 100 mL, PRESENTACION: FRASCO X 50 Ml</v>
      </c>
      <c r="D13" s="215"/>
      <c r="E13" s="215"/>
      <c r="F13" s="215"/>
      <c r="G13" s="215"/>
      <c r="H13" s="45" t="s">
        <v>35</v>
      </c>
      <c r="I13" s="47" t="str">
        <f>+'Necesidades Trimestrales'!F11</f>
        <v>FRASCO</v>
      </c>
      <c r="J13" s="109">
        <f>+'Necesidades Trimestrales'!L11</f>
        <v>802</v>
      </c>
      <c r="K13" s="49">
        <f>'Necesidades Trimestrales'!G11</f>
        <v>30</v>
      </c>
      <c r="M13" s="171">
        <f>+J13*K13</f>
        <v>24060</v>
      </c>
      <c r="N13" s="171"/>
    </row>
    <row r="14" spans="1:15" s="81" customFormat="1" ht="32.25" customHeight="1" thickBot="1" x14ac:dyDescent="0.25">
      <c r="A14" s="45">
        <v>3</v>
      </c>
      <c r="B14" s="45" t="str">
        <f>+'Necesidades Trimestrales'!B12</f>
        <v>2.5.2-1724.163</v>
      </c>
      <c r="C14" s="224" t="str">
        <f>+'Necesidades Trimestrales'!E12</f>
        <v>ANALGESICOS ; TIPO: MONODROGA, DROGA GENERICA: IBUPROFENO 2%, FORMA FARMACEUTICA: SUSPENSION, PRESENTACION: ENVASE X 90 mL</v>
      </c>
      <c r="D14" s="215"/>
      <c r="E14" s="215"/>
      <c r="F14" s="215"/>
      <c r="G14" s="215"/>
      <c r="H14" s="45" t="s">
        <v>35</v>
      </c>
      <c r="I14" s="47" t="str">
        <f>+'Necesidades Trimestrales'!F12</f>
        <v>FRASCO</v>
      </c>
      <c r="J14" s="109">
        <f>+'Necesidades Trimestrales'!L12</f>
        <v>85</v>
      </c>
      <c r="K14" s="49">
        <f>'Necesidades Trimestrales'!G12</f>
        <v>20050</v>
      </c>
      <c r="M14" s="171">
        <f>+J14*K14</f>
        <v>1704250</v>
      </c>
      <c r="N14" s="171"/>
      <c r="O14" s="126"/>
    </row>
    <row r="15" spans="1:15" ht="32.25" customHeight="1" thickBot="1" x14ac:dyDescent="0.25">
      <c r="A15" s="45">
        <v>4</v>
      </c>
      <c r="B15" s="45" t="str">
        <f>+'Necesidades Trimestrales'!B13</f>
        <v>2.5.2-1725.68</v>
      </c>
      <c r="C15" s="224" t="str">
        <f>+'Necesidades Trimestrales'!E13</f>
        <v>ANTIINFLAMATORIOS NO ESTEROIDE; TIPO: MONODROGA, DROGA GENERICA: IBUPROFENO, FORMA FARMACEUTICA: COMPRIMIDO, PRESENTACION: 400 mGr</v>
      </c>
      <c r="D15" s="215"/>
      <c r="E15" s="215"/>
      <c r="F15" s="215"/>
      <c r="G15" s="215"/>
      <c r="H15" s="45" t="s">
        <v>35</v>
      </c>
      <c r="I15" s="47" t="str">
        <f>+'Necesidades Trimestrales'!F13</f>
        <v>COMPRIMIDO</v>
      </c>
      <c r="J15" s="109">
        <f>+'Necesidades Trimestrales'!L13</f>
        <v>5.08</v>
      </c>
      <c r="K15" s="49">
        <f>'Necesidades Trimestrales'!G13</f>
        <v>150250</v>
      </c>
      <c r="M15" s="171">
        <f t="shared" ref="M15:M19" si="0">+J15*K15</f>
        <v>763270</v>
      </c>
      <c r="N15" s="171"/>
    </row>
    <row r="16" spans="1:15" ht="32.25" customHeight="1" thickBot="1" x14ac:dyDescent="0.25">
      <c r="A16" s="45">
        <v>5</v>
      </c>
      <c r="B16" s="45" t="str">
        <f>+'Necesidades Trimestrales'!B14</f>
        <v>2.9.5-2161.545</v>
      </c>
      <c r="C16" s="224" t="str">
        <f>+'Necesidades Trimestrales'!E14</f>
        <v>CATETERES/SONDAS; NUMERO: SIN, TIPO: TUBO DE LUKEN PARA TOMA DE MUESTRAS</v>
      </c>
      <c r="D16" s="215"/>
      <c r="E16" s="215"/>
      <c r="F16" s="215"/>
      <c r="G16" s="215"/>
      <c r="H16" s="45" t="s">
        <v>35</v>
      </c>
      <c r="I16" s="47" t="str">
        <f>+'Necesidades Trimestrales'!F14</f>
        <v>UNIDAD</v>
      </c>
      <c r="J16" s="109">
        <f>+'Necesidades Trimestrales'!L14</f>
        <v>1250</v>
      </c>
      <c r="K16" s="49">
        <f>'Necesidades Trimestrales'!G14</f>
        <v>50</v>
      </c>
      <c r="M16" s="171"/>
      <c r="N16" s="171">
        <f t="shared" ref="N16" si="1">+J16*K16</f>
        <v>62500</v>
      </c>
    </row>
    <row r="17" spans="1:15" ht="32.25" customHeight="1" thickBot="1" x14ac:dyDescent="0.25">
      <c r="A17" s="45">
        <v>6</v>
      </c>
      <c r="B17" s="45" t="str">
        <f>+'Necesidades Trimestrales'!B15</f>
        <v>2.5.2-1855.23</v>
      </c>
      <c r="C17" s="224" t="str">
        <f>+'Necesidades Trimestrales'!E15</f>
        <v>CORTICOESTEROIDES; TIPO: MONODROGA, DROGA GENERICA: BETAMETASONA, FORMA FARMACEUTICA: CREMA, PRESENTACION: 15 GR</v>
      </c>
      <c r="D17" s="215"/>
      <c r="E17" s="215"/>
      <c r="F17" s="215"/>
      <c r="G17" s="215"/>
      <c r="H17" s="45" t="s">
        <v>35</v>
      </c>
      <c r="I17" s="47" t="str">
        <f>+'Necesidades Trimestrales'!F15</f>
        <v>ENVASE</v>
      </c>
      <c r="J17" s="109">
        <f>+'Necesidades Trimestrales'!L15</f>
        <v>249.1</v>
      </c>
      <c r="K17" s="49">
        <f>'Necesidades Trimestrales'!G15</f>
        <v>5000</v>
      </c>
      <c r="M17" s="171">
        <f t="shared" si="0"/>
        <v>1245500</v>
      </c>
      <c r="N17" s="171"/>
    </row>
    <row r="18" spans="1:15" ht="32.25" customHeight="1" thickBot="1" x14ac:dyDescent="0.25">
      <c r="A18" s="45">
        <v>7</v>
      </c>
      <c r="B18" s="45" t="str">
        <f>+'Necesidades Trimestrales'!B16</f>
        <v>2.5.2-2200.6</v>
      </c>
      <c r="C18" s="224" t="str">
        <f>+'Necesidades Trimestrales'!E16</f>
        <v>CORTICOIDES; DROGA GENERICA: HIDROCORTISONA X 1 GR, FORMA FARMACEUTICA: CREMA, PRESENTACION: 15 GR, TIPO: MONODROGA</v>
      </c>
      <c r="D18" s="215"/>
      <c r="E18" s="215"/>
      <c r="F18" s="215"/>
      <c r="G18" s="215"/>
      <c r="H18" s="45" t="s">
        <v>35</v>
      </c>
      <c r="I18" s="47" t="str">
        <f>+'Necesidades Trimestrales'!F16</f>
        <v>ENVASE</v>
      </c>
      <c r="J18" s="109">
        <f>+'Necesidades Trimestrales'!L16</f>
        <v>261.52</v>
      </c>
      <c r="K18" s="49">
        <f>'Necesidades Trimestrales'!G16</f>
        <v>2000</v>
      </c>
      <c r="M18" s="171">
        <f t="shared" si="0"/>
        <v>523039.99999999994</v>
      </c>
      <c r="N18" s="171"/>
    </row>
    <row r="19" spans="1:15" ht="32.25" customHeight="1" thickBot="1" x14ac:dyDescent="0.25">
      <c r="A19" s="45">
        <v>8</v>
      </c>
      <c r="B19" s="45" t="str">
        <f>+'Necesidades Trimestrales'!B19</f>
        <v>2.5.2-3097.9</v>
      </c>
      <c r="C19" s="224" t="str">
        <f>+'Necesidades Trimestrales'!E19</f>
        <v>PEDICULICIDAS; DROGA GENERICA: PERMETRINA, FORMA FARMACEUTICA: EMULSION, PRESENTACION: 100 mL</v>
      </c>
      <c r="D19" s="215"/>
      <c r="E19" s="215"/>
      <c r="F19" s="215"/>
      <c r="G19" s="215"/>
      <c r="H19" s="45" t="s">
        <v>35</v>
      </c>
      <c r="I19" s="47" t="str">
        <f>+'Necesidades Trimestrales'!F19</f>
        <v>ENVASE</v>
      </c>
      <c r="J19" s="109">
        <f>+'Necesidades Trimestrales'!L19</f>
        <v>958</v>
      </c>
      <c r="K19" s="49">
        <f>'Necesidades Trimestrales'!G19</f>
        <v>2000</v>
      </c>
      <c r="M19" s="171">
        <f t="shared" si="0"/>
        <v>1916000</v>
      </c>
      <c r="N19" s="171"/>
    </row>
    <row r="20" spans="1:15" ht="21" customHeight="1" thickBot="1" x14ac:dyDescent="0.25">
      <c r="A20" s="194" t="s">
        <v>107</v>
      </c>
      <c r="B20" s="195"/>
      <c r="C20" s="195"/>
      <c r="D20" s="195"/>
      <c r="E20" s="195"/>
      <c r="F20" s="195"/>
      <c r="G20" s="195"/>
      <c r="H20" s="195"/>
      <c r="I20" s="195"/>
      <c r="J20" s="196">
        <f>SUMPRODUCT(J12:J19,K12:K19)</f>
        <v>6307520</v>
      </c>
      <c r="K20" s="195"/>
      <c r="M20" s="171">
        <f>SUM(M12:M19)</f>
        <v>6245020</v>
      </c>
      <c r="N20" s="171">
        <f>SUM(N12:N19)</f>
        <v>62500</v>
      </c>
      <c r="O20" s="128">
        <f>SUM(M20:N20)</f>
        <v>6307520</v>
      </c>
    </row>
  </sheetData>
  <mergeCells count="30">
    <mergeCell ref="C12:G12"/>
    <mergeCell ref="C19:G19"/>
    <mergeCell ref="C18:G18"/>
    <mergeCell ref="C15:G15"/>
    <mergeCell ref="C16:G16"/>
    <mergeCell ref="C17:G17"/>
    <mergeCell ref="C13:G13"/>
    <mergeCell ref="C14:G14"/>
    <mergeCell ref="J10:J11"/>
    <mergeCell ref="A1:I1"/>
    <mergeCell ref="D6:K6"/>
    <mergeCell ref="D7:K7"/>
    <mergeCell ref="D8:K8"/>
    <mergeCell ref="K10:K11"/>
    <mergeCell ref="A20:I20"/>
    <mergeCell ref="J20:K20"/>
    <mergeCell ref="A3:C3"/>
    <mergeCell ref="D3:K3"/>
    <mergeCell ref="A4:C4"/>
    <mergeCell ref="D4:K4"/>
    <mergeCell ref="A5:C5"/>
    <mergeCell ref="D5:K5"/>
    <mergeCell ref="A7:C7"/>
    <mergeCell ref="A8:C8"/>
    <mergeCell ref="A6:C6"/>
    <mergeCell ref="A10:A11"/>
    <mergeCell ref="B10:B11"/>
    <mergeCell ref="C10:G11"/>
    <mergeCell ref="H10:H11"/>
    <mergeCell ref="I10:I11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99"/>
  <sheetViews>
    <sheetView workbookViewId="0">
      <selection activeCell="A23" sqref="A23:Q23"/>
    </sheetView>
  </sheetViews>
  <sheetFormatPr baseColWidth="10" defaultColWidth="12.5703125" defaultRowHeight="15" customHeight="1" x14ac:dyDescent="0.2"/>
  <cols>
    <col min="1" max="5" width="4.42578125" customWidth="1"/>
    <col min="6" max="6" width="5" customWidth="1"/>
    <col min="7" max="14" width="4.42578125" customWidth="1"/>
    <col min="15" max="15" width="14.85546875" customWidth="1"/>
    <col min="16" max="16" width="21" customWidth="1"/>
    <col min="17" max="17" width="14.7109375" customWidth="1"/>
    <col min="18" max="18" width="11" customWidth="1"/>
  </cols>
  <sheetData>
    <row r="1" spans="1:18" ht="15.75" customHeight="1" x14ac:dyDescent="0.25">
      <c r="A1" s="257" t="s">
        <v>4</v>
      </c>
      <c r="B1" s="201"/>
      <c r="C1" s="201"/>
      <c r="D1" s="258">
        <f>'Necesidades Trimestrales'!C6</f>
        <v>2022</v>
      </c>
      <c r="E1" s="202"/>
      <c r="F1" s="9"/>
      <c r="G1" s="9"/>
      <c r="H1" s="10"/>
      <c r="I1" s="10"/>
      <c r="J1" s="10"/>
      <c r="K1" s="10"/>
      <c r="L1" s="10"/>
      <c r="M1" s="10"/>
      <c r="N1" s="10"/>
      <c r="P1" s="251" t="s">
        <v>36</v>
      </c>
      <c r="Q1" s="227"/>
    </row>
    <row r="2" spans="1:18" ht="15.75" customHeight="1" x14ac:dyDescent="0.2">
      <c r="G2" s="11"/>
      <c r="H2" s="10"/>
      <c r="I2" s="10"/>
      <c r="J2" s="10"/>
      <c r="K2" s="10"/>
      <c r="L2" s="10"/>
      <c r="M2" s="10"/>
      <c r="N2" s="10"/>
      <c r="P2" s="252"/>
      <c r="Q2" s="253"/>
    </row>
    <row r="3" spans="1:18" ht="12.75" customHeight="1" x14ac:dyDescent="0.2">
      <c r="G3" s="11"/>
    </row>
    <row r="4" spans="1:18" ht="14.25" x14ac:dyDescent="0.2">
      <c r="A4" s="254" t="s">
        <v>37</v>
      </c>
      <c r="B4" s="198"/>
      <c r="C4" s="198"/>
      <c r="D4" s="198"/>
      <c r="E4" s="198"/>
      <c r="F4" s="255"/>
      <c r="G4" s="256" t="str">
        <f>'NP FCIA'!D3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255"/>
      <c r="R4" s="12"/>
    </row>
    <row r="5" spans="1:18" s="105" customFormat="1" ht="14.25" x14ac:dyDescent="0.2">
      <c r="A5" s="245" t="s">
        <v>23</v>
      </c>
      <c r="B5" s="212"/>
      <c r="C5" s="212"/>
      <c r="D5" s="212"/>
      <c r="E5" s="212"/>
      <c r="F5" s="244"/>
      <c r="G5" s="246" t="str">
        <f>'NP FCIA'!D4</f>
        <v>011 - DIRECCION PROVINCIAL DE ADMINISTRACION - MS</v>
      </c>
      <c r="H5" s="212"/>
      <c r="I5" s="212"/>
      <c r="J5" s="212"/>
      <c r="K5" s="212"/>
      <c r="L5" s="212"/>
      <c r="M5" s="212"/>
      <c r="N5" s="212"/>
      <c r="O5" s="212"/>
      <c r="P5" s="212"/>
      <c r="Q5" s="244"/>
      <c r="R5" s="111"/>
    </row>
    <row r="6" spans="1:18" s="105" customFormat="1" ht="14.25" x14ac:dyDescent="0.2">
      <c r="A6" s="245" t="s">
        <v>24</v>
      </c>
      <c r="B6" s="212"/>
      <c r="C6" s="212"/>
      <c r="D6" s="212"/>
      <c r="E6" s="212"/>
      <c r="F6" s="244"/>
      <c r="G6" s="246" t="str">
        <f>'NP FCIA'!D5</f>
        <v>469 - DIRECCION PROVINCIAL DE FARMACIA E INSUMOS</v>
      </c>
      <c r="H6" s="212"/>
      <c r="I6" s="212"/>
      <c r="J6" s="212"/>
      <c r="K6" s="212"/>
      <c r="L6" s="212"/>
      <c r="M6" s="212"/>
      <c r="N6" s="212"/>
      <c r="O6" s="212"/>
      <c r="P6" s="212"/>
      <c r="Q6" s="244"/>
      <c r="R6" s="111"/>
    </row>
    <row r="7" spans="1:18" s="105" customFormat="1" ht="14.25" x14ac:dyDescent="0.2">
      <c r="A7" s="245" t="s">
        <v>25</v>
      </c>
      <c r="B7" s="212"/>
      <c r="C7" s="212"/>
      <c r="D7" s="212"/>
      <c r="E7" s="212"/>
      <c r="F7" s="244"/>
      <c r="G7" s="246" t="str">
        <f>'NP FCIA'!D6</f>
        <v>469 - DIRECCION PROVINCIAL DE FARMACIA E INSUMOS</v>
      </c>
      <c r="H7" s="212"/>
      <c r="I7" s="212"/>
      <c r="J7" s="212"/>
      <c r="K7" s="212"/>
      <c r="L7" s="212"/>
      <c r="M7" s="212"/>
      <c r="N7" s="212"/>
      <c r="O7" s="212"/>
      <c r="P7" s="212"/>
      <c r="Q7" s="244"/>
      <c r="R7" s="111"/>
    </row>
    <row r="8" spans="1:18" s="105" customFormat="1" ht="18" customHeight="1" x14ac:dyDescent="0.2">
      <c r="A8" s="243" t="s">
        <v>38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44"/>
    </row>
    <row r="9" spans="1:18" s="105" customFormat="1" ht="18" customHeight="1" x14ac:dyDescent="0.2">
      <c r="A9" s="247" t="s">
        <v>39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111"/>
      <c r="P9" s="111"/>
      <c r="Q9" s="112"/>
    </row>
    <row r="10" spans="1:18" s="105" customFormat="1" ht="54.75" customHeight="1" x14ac:dyDescent="0.2">
      <c r="A10" s="249" t="str">
        <f>"Autorizo la realización de los  trámites correspondientes, a fin de proveer a  este Organismo los bienes y/o servicios que se detallan en Nota de Pedido N° " &amp; 'NP FCIA'!K1&amp;",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250"/>
    </row>
    <row r="11" spans="1:18" ht="9" customHeight="1" x14ac:dyDescent="0.2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8" ht="15.75" customHeight="1" thickBot="1" x14ac:dyDescent="0.25">
      <c r="A12" s="225" t="s">
        <v>40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7"/>
    </row>
    <row r="13" spans="1:18" ht="15.75" customHeight="1" thickBot="1" x14ac:dyDescent="0.25">
      <c r="A13" s="225" t="s">
        <v>41</v>
      </c>
      <c r="B13" s="226"/>
      <c r="C13" s="226"/>
      <c r="D13" s="226"/>
      <c r="E13" s="226"/>
      <c r="F13" s="226"/>
      <c r="G13" s="226"/>
      <c r="H13" s="226"/>
      <c r="I13" s="226"/>
      <c r="J13" s="226"/>
      <c r="K13" s="226"/>
      <c r="L13" s="226"/>
      <c r="M13" s="226"/>
      <c r="N13" s="226"/>
      <c r="O13" s="231" t="s">
        <v>42</v>
      </c>
      <c r="P13" s="232"/>
      <c r="Q13" s="235" t="s">
        <v>43</v>
      </c>
    </row>
    <row r="14" spans="1:18" ht="15.75" customHeight="1" thickBot="1" x14ac:dyDescent="0.25">
      <c r="A14" s="113" t="s">
        <v>44</v>
      </c>
      <c r="B14" s="114" t="s">
        <v>45</v>
      </c>
      <c r="C14" s="114" t="s">
        <v>46</v>
      </c>
      <c r="D14" s="114" t="s">
        <v>47</v>
      </c>
      <c r="E14" s="114" t="s">
        <v>48</v>
      </c>
      <c r="F14" s="114" t="s">
        <v>49</v>
      </c>
      <c r="G14" s="115" t="s">
        <v>50</v>
      </c>
      <c r="H14" s="114" t="s">
        <v>51</v>
      </c>
      <c r="I14" s="114" t="s">
        <v>52</v>
      </c>
      <c r="J14" s="114" t="s">
        <v>53</v>
      </c>
      <c r="K14" s="114" t="s">
        <v>53</v>
      </c>
      <c r="L14" s="114" t="s">
        <v>54</v>
      </c>
      <c r="M14" s="116" t="s">
        <v>55</v>
      </c>
      <c r="N14" s="117" t="s">
        <v>56</v>
      </c>
      <c r="O14" s="233"/>
      <c r="P14" s="234"/>
      <c r="Q14" s="236"/>
    </row>
    <row r="15" spans="1:18" s="124" customFormat="1" ht="24.75" customHeight="1" x14ac:dyDescent="0.2">
      <c r="A15" s="118">
        <v>30</v>
      </c>
      <c r="B15" s="119"/>
      <c r="C15" s="119"/>
      <c r="D15" s="119">
        <v>1</v>
      </c>
      <c r="E15" s="119"/>
      <c r="F15" s="119">
        <v>4901</v>
      </c>
      <c r="G15" s="119">
        <v>3</v>
      </c>
      <c r="H15" s="119">
        <v>1</v>
      </c>
      <c r="I15" s="120">
        <v>2</v>
      </c>
      <c r="J15" s="120">
        <v>5</v>
      </c>
      <c r="K15" s="120">
        <v>2</v>
      </c>
      <c r="L15" s="119"/>
      <c r="M15" s="121">
        <v>1</v>
      </c>
      <c r="N15" s="122" t="s">
        <v>57</v>
      </c>
      <c r="O15" s="237" t="s">
        <v>66</v>
      </c>
      <c r="P15" s="237"/>
      <c r="Q15" s="123">
        <f>'NP FCIA'!M20</f>
        <v>6245020</v>
      </c>
    </row>
    <row r="16" spans="1:18" s="124" customFormat="1" ht="27" customHeight="1" x14ac:dyDescent="0.2">
      <c r="A16" s="118">
        <v>30</v>
      </c>
      <c r="B16" s="119"/>
      <c r="C16" s="119"/>
      <c r="D16" s="119">
        <v>1</v>
      </c>
      <c r="E16" s="119"/>
      <c r="F16" s="119">
        <v>4901</v>
      </c>
      <c r="G16" s="119">
        <v>3</v>
      </c>
      <c r="H16" s="119">
        <v>1</v>
      </c>
      <c r="I16" s="120">
        <v>2</v>
      </c>
      <c r="J16" s="120">
        <v>9</v>
      </c>
      <c r="K16" s="120">
        <v>5</v>
      </c>
      <c r="L16" s="119"/>
      <c r="M16" s="121">
        <v>1</v>
      </c>
      <c r="N16" s="125" t="s">
        <v>57</v>
      </c>
      <c r="O16" s="238" t="s">
        <v>79</v>
      </c>
      <c r="P16" s="238"/>
      <c r="Q16" s="123">
        <f>'NP FCIA'!N20</f>
        <v>62500</v>
      </c>
    </row>
    <row r="17" spans="1:18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239"/>
      <c r="P17" s="240"/>
      <c r="Q17" s="25"/>
    </row>
    <row r="18" spans="1:18" ht="17.25" customHeight="1" x14ac:dyDescent="0.2">
      <c r="A18" s="21"/>
      <c r="B18" s="22"/>
      <c r="C18" s="22"/>
      <c r="D18" s="22"/>
      <c r="E18" s="22"/>
      <c r="F18" s="24"/>
      <c r="G18" s="22"/>
      <c r="H18" s="22"/>
      <c r="I18" s="22"/>
      <c r="J18" s="22"/>
      <c r="K18" s="22"/>
      <c r="L18" s="22"/>
      <c r="M18" s="23"/>
      <c r="N18" s="24"/>
      <c r="O18" s="241"/>
      <c r="P18" s="242"/>
      <c r="Q18" s="25"/>
    </row>
    <row r="19" spans="1:18" ht="17.25" customHeight="1" x14ac:dyDescent="0.2">
      <c r="A19" s="21"/>
      <c r="B19" s="22"/>
      <c r="C19" s="22"/>
      <c r="D19" s="22"/>
      <c r="E19" s="22"/>
      <c r="F19" s="24"/>
      <c r="G19" s="22"/>
      <c r="H19" s="22"/>
      <c r="I19" s="22"/>
      <c r="J19" s="22"/>
      <c r="K19" s="22"/>
      <c r="L19" s="22"/>
      <c r="M19" s="23"/>
      <c r="N19" s="24"/>
      <c r="O19" s="241"/>
      <c r="P19" s="242"/>
      <c r="Q19" s="25"/>
    </row>
    <row r="20" spans="1:18" ht="17.25" customHeight="1" x14ac:dyDescent="0.2">
      <c r="A20" s="26"/>
      <c r="B20" s="27"/>
      <c r="C20" s="27"/>
      <c r="D20" s="27"/>
      <c r="E20" s="27"/>
      <c r="F20" s="24"/>
      <c r="G20" s="27"/>
      <c r="H20" s="27"/>
      <c r="I20" s="27"/>
      <c r="J20" s="27"/>
      <c r="K20" s="27"/>
      <c r="L20" s="27"/>
      <c r="M20" s="28"/>
      <c r="N20" s="29"/>
      <c r="O20" s="241"/>
      <c r="P20" s="242"/>
      <c r="Q20" s="25"/>
      <c r="R20" s="12"/>
    </row>
    <row r="21" spans="1:18" ht="17.25" customHeight="1" x14ac:dyDescent="0.2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2"/>
      <c r="N21" s="31"/>
      <c r="O21" s="269"/>
      <c r="P21" s="270"/>
      <c r="Q21" s="33"/>
    </row>
    <row r="22" spans="1:18" s="105" customFormat="1" ht="29.25" customHeight="1" x14ac:dyDescent="0.2">
      <c r="A22" s="265" t="s">
        <v>108</v>
      </c>
      <c r="B22" s="266"/>
      <c r="C22" s="266"/>
      <c r="D22" s="266"/>
      <c r="E22" s="266"/>
      <c r="F22" s="266"/>
      <c r="G22" s="266"/>
      <c r="H22" s="266"/>
      <c r="I22" s="266"/>
      <c r="J22" s="266"/>
      <c r="K22" s="266"/>
      <c r="L22" s="266"/>
      <c r="M22" s="266"/>
      <c r="N22" s="266"/>
      <c r="O22" s="266"/>
      <c r="P22" s="267"/>
      <c r="Q22" s="129">
        <f>SUM(Q15:Q21)</f>
        <v>6307520</v>
      </c>
    </row>
    <row r="23" spans="1:18" s="105" customFormat="1" ht="18" customHeight="1" x14ac:dyDescent="0.2">
      <c r="A23" s="268"/>
      <c r="B23" s="229"/>
      <c r="C23" s="229"/>
      <c r="D23" s="229"/>
      <c r="E23" s="229"/>
      <c r="F23" s="229"/>
      <c r="G23" s="229"/>
      <c r="H23" s="229"/>
      <c r="I23" s="229"/>
      <c r="J23" s="229"/>
      <c r="K23" s="229"/>
      <c r="L23" s="229"/>
      <c r="M23" s="229"/>
      <c r="N23" s="229"/>
      <c r="O23" s="229"/>
      <c r="P23" s="229"/>
      <c r="Q23" s="230"/>
    </row>
    <row r="24" spans="1:18" s="105" customFormat="1" ht="17.25" customHeight="1" x14ac:dyDescent="0.2">
      <c r="A24" s="271" t="s">
        <v>58</v>
      </c>
      <c r="B24" s="207"/>
      <c r="C24" s="207"/>
      <c r="D24" s="207"/>
      <c r="E24" s="207"/>
      <c r="F24" s="208"/>
      <c r="G24" s="228"/>
      <c r="H24" s="229"/>
      <c r="I24" s="229"/>
      <c r="J24" s="229"/>
      <c r="K24" s="229"/>
      <c r="L24" s="229"/>
      <c r="M24" s="229"/>
      <c r="N24" s="229"/>
      <c r="O24" s="229"/>
      <c r="P24" s="229"/>
      <c r="Q24" s="230"/>
    </row>
    <row r="25" spans="1:18" s="105" customFormat="1" ht="18" customHeight="1" x14ac:dyDescent="0.2">
      <c r="A25" s="259" t="s">
        <v>98</v>
      </c>
      <c r="B25" s="260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1"/>
    </row>
    <row r="26" spans="1:18" s="105" customFormat="1" ht="42.75" customHeight="1" x14ac:dyDescent="0.2">
      <c r="A26" s="262"/>
      <c r="B26" s="263"/>
      <c r="C26" s="263"/>
      <c r="D26" s="263"/>
      <c r="E26" s="263"/>
      <c r="F26" s="263"/>
      <c r="G26" s="263"/>
      <c r="H26" s="263"/>
      <c r="I26" s="263"/>
      <c r="J26" s="263"/>
      <c r="K26" s="263"/>
      <c r="L26" s="263"/>
      <c r="M26" s="263"/>
      <c r="N26" s="263"/>
      <c r="O26" s="263"/>
      <c r="P26" s="263"/>
      <c r="Q26" s="264"/>
    </row>
    <row r="27" spans="1:18" ht="12.75" customHeight="1" x14ac:dyDescent="0.2">
      <c r="G27" s="11"/>
    </row>
    <row r="28" spans="1:18" ht="12.75" customHeight="1" x14ac:dyDescent="0.2">
      <c r="G28" s="11"/>
    </row>
    <row r="29" spans="1:18" ht="12.75" customHeight="1" x14ac:dyDescent="0.2">
      <c r="G29" s="11"/>
    </row>
    <row r="30" spans="1:18" ht="12.75" customHeight="1" x14ac:dyDescent="0.2">
      <c r="G30" s="11"/>
    </row>
    <row r="31" spans="1:18" ht="12.75" customHeight="1" x14ac:dyDescent="0.2">
      <c r="G31" s="11"/>
    </row>
    <row r="32" spans="1:18" ht="12.75" customHeight="1" x14ac:dyDescent="0.2">
      <c r="G32" s="11"/>
    </row>
    <row r="33" spans="7:7" ht="12.75" customHeight="1" x14ac:dyDescent="0.2">
      <c r="G33" s="11"/>
    </row>
    <row r="34" spans="7:7" ht="12.75" customHeight="1" x14ac:dyDescent="0.2">
      <c r="G34" s="11"/>
    </row>
    <row r="35" spans="7:7" ht="12.75" customHeight="1" x14ac:dyDescent="0.2">
      <c r="G35" s="11"/>
    </row>
    <row r="36" spans="7:7" ht="12.75" customHeight="1" x14ac:dyDescent="0.2">
      <c r="G36" s="11"/>
    </row>
    <row r="37" spans="7:7" ht="12.75" customHeight="1" x14ac:dyDescent="0.2">
      <c r="G37" s="11"/>
    </row>
    <row r="38" spans="7:7" ht="12.75" customHeight="1" x14ac:dyDescent="0.2">
      <c r="G38" s="11"/>
    </row>
    <row r="39" spans="7:7" ht="12.75" customHeight="1" x14ac:dyDescent="0.2">
      <c r="G39" s="11"/>
    </row>
    <row r="40" spans="7:7" ht="12.75" customHeight="1" x14ac:dyDescent="0.2">
      <c r="G40" s="11"/>
    </row>
    <row r="41" spans="7:7" ht="12.75" customHeight="1" x14ac:dyDescent="0.2">
      <c r="G41" s="11"/>
    </row>
    <row r="42" spans="7:7" ht="12.75" customHeight="1" x14ac:dyDescent="0.2">
      <c r="G42" s="11"/>
    </row>
    <row r="43" spans="7:7" ht="12.75" customHeight="1" x14ac:dyDescent="0.2">
      <c r="G43" s="11"/>
    </row>
    <row r="44" spans="7:7" ht="12.75" customHeight="1" x14ac:dyDescent="0.2">
      <c r="G44" s="11"/>
    </row>
    <row r="45" spans="7:7" ht="12.75" customHeight="1" x14ac:dyDescent="0.2">
      <c r="G45" s="11"/>
    </row>
    <row r="46" spans="7:7" ht="12.75" customHeight="1" x14ac:dyDescent="0.2">
      <c r="G46" s="11"/>
    </row>
    <row r="47" spans="7:7" ht="12.75" customHeight="1" x14ac:dyDescent="0.2">
      <c r="G47" s="11"/>
    </row>
    <row r="48" spans="7:7" ht="12.75" customHeight="1" x14ac:dyDescent="0.2">
      <c r="G48" s="11"/>
    </row>
    <row r="49" spans="7:7" ht="12.75" customHeight="1" x14ac:dyDescent="0.2">
      <c r="G49" s="11"/>
    </row>
    <row r="50" spans="7:7" ht="12.75" customHeight="1" x14ac:dyDescent="0.2">
      <c r="G50" s="11"/>
    </row>
    <row r="51" spans="7:7" ht="12.75" customHeight="1" x14ac:dyDescent="0.2">
      <c r="G51" s="11"/>
    </row>
    <row r="52" spans="7:7" ht="12.75" customHeight="1" x14ac:dyDescent="0.2">
      <c r="G52" s="11"/>
    </row>
    <row r="53" spans="7:7" ht="12.75" customHeight="1" x14ac:dyDescent="0.2">
      <c r="G53" s="11"/>
    </row>
    <row r="54" spans="7:7" ht="12.75" customHeight="1" x14ac:dyDescent="0.2">
      <c r="G54" s="11"/>
    </row>
    <row r="55" spans="7:7" ht="12.75" customHeight="1" x14ac:dyDescent="0.2">
      <c r="G55" s="11"/>
    </row>
    <row r="56" spans="7:7" ht="12.75" customHeight="1" x14ac:dyDescent="0.2">
      <c r="G56" s="11"/>
    </row>
    <row r="57" spans="7:7" ht="12.75" customHeight="1" x14ac:dyDescent="0.2">
      <c r="G57" s="11"/>
    </row>
    <row r="58" spans="7:7" ht="12.75" customHeight="1" x14ac:dyDescent="0.2">
      <c r="G58" s="11"/>
    </row>
    <row r="59" spans="7:7" ht="12.75" customHeight="1" x14ac:dyDescent="0.2">
      <c r="G59" s="11"/>
    </row>
    <row r="60" spans="7:7" ht="12.75" customHeight="1" x14ac:dyDescent="0.2">
      <c r="G60" s="11"/>
    </row>
    <row r="61" spans="7:7" ht="12.75" customHeight="1" x14ac:dyDescent="0.2">
      <c r="G61" s="11"/>
    </row>
    <row r="62" spans="7:7" ht="12.75" customHeight="1" x14ac:dyDescent="0.2">
      <c r="G62" s="11"/>
    </row>
    <row r="63" spans="7:7" ht="12.75" customHeight="1" x14ac:dyDescent="0.2">
      <c r="G63" s="11"/>
    </row>
    <row r="64" spans="7:7" ht="12.75" customHeight="1" x14ac:dyDescent="0.2">
      <c r="G64" s="11"/>
    </row>
    <row r="65" spans="7:7" ht="12.75" customHeight="1" x14ac:dyDescent="0.2">
      <c r="G65" s="11"/>
    </row>
    <row r="66" spans="7:7" ht="12.75" customHeight="1" x14ac:dyDescent="0.2">
      <c r="G66" s="11"/>
    </row>
    <row r="67" spans="7:7" ht="12.75" customHeight="1" x14ac:dyDescent="0.2">
      <c r="G67" s="11"/>
    </row>
    <row r="68" spans="7:7" ht="12.75" customHeight="1" x14ac:dyDescent="0.2">
      <c r="G68" s="11"/>
    </row>
    <row r="69" spans="7:7" ht="12.75" customHeight="1" x14ac:dyDescent="0.2">
      <c r="G69" s="11"/>
    </row>
    <row r="70" spans="7:7" ht="12.75" customHeight="1" x14ac:dyDescent="0.2">
      <c r="G70" s="11"/>
    </row>
    <row r="71" spans="7:7" ht="12.75" customHeight="1" x14ac:dyDescent="0.2">
      <c r="G71" s="11"/>
    </row>
    <row r="72" spans="7:7" ht="12.75" customHeight="1" x14ac:dyDescent="0.2">
      <c r="G72" s="11"/>
    </row>
    <row r="73" spans="7:7" ht="12.75" customHeight="1" x14ac:dyDescent="0.2">
      <c r="G73" s="11"/>
    </row>
    <row r="74" spans="7:7" ht="12.75" customHeight="1" x14ac:dyDescent="0.2">
      <c r="G74" s="11"/>
    </row>
    <row r="75" spans="7:7" ht="12.75" customHeight="1" x14ac:dyDescent="0.2">
      <c r="G75" s="11"/>
    </row>
    <row r="76" spans="7:7" ht="12.75" customHeight="1" x14ac:dyDescent="0.2">
      <c r="G76" s="11"/>
    </row>
    <row r="77" spans="7:7" ht="12.75" customHeight="1" x14ac:dyDescent="0.2">
      <c r="G77" s="11"/>
    </row>
    <row r="78" spans="7:7" ht="12.75" customHeight="1" x14ac:dyDescent="0.2">
      <c r="G78" s="11"/>
    </row>
    <row r="79" spans="7:7" ht="12.75" customHeight="1" x14ac:dyDescent="0.2">
      <c r="G79" s="11"/>
    </row>
    <row r="80" spans="7:7" ht="12.75" customHeight="1" x14ac:dyDescent="0.2">
      <c r="G80" s="11"/>
    </row>
    <row r="81" spans="7:7" ht="12.75" customHeight="1" x14ac:dyDescent="0.2">
      <c r="G81" s="11"/>
    </row>
    <row r="82" spans="7:7" ht="12.75" customHeight="1" x14ac:dyDescent="0.2">
      <c r="G82" s="11"/>
    </row>
    <row r="83" spans="7:7" ht="12.75" customHeight="1" x14ac:dyDescent="0.2">
      <c r="G83" s="11"/>
    </row>
    <row r="84" spans="7:7" ht="12.75" customHeight="1" x14ac:dyDescent="0.2">
      <c r="G84" s="11"/>
    </row>
    <row r="85" spans="7:7" ht="12.75" customHeight="1" x14ac:dyDescent="0.2">
      <c r="G85" s="11"/>
    </row>
    <row r="86" spans="7:7" ht="12.75" customHeight="1" x14ac:dyDescent="0.2">
      <c r="G86" s="11"/>
    </row>
    <row r="87" spans="7:7" ht="12.75" customHeight="1" x14ac:dyDescent="0.2">
      <c r="G87" s="11"/>
    </row>
    <row r="88" spans="7:7" ht="12.75" customHeight="1" x14ac:dyDescent="0.2">
      <c r="G88" s="11"/>
    </row>
    <row r="89" spans="7:7" ht="12.75" customHeight="1" x14ac:dyDescent="0.2">
      <c r="G89" s="11"/>
    </row>
    <row r="90" spans="7:7" ht="12.75" customHeight="1" x14ac:dyDescent="0.2">
      <c r="G90" s="11"/>
    </row>
    <row r="91" spans="7:7" ht="12.75" customHeight="1" x14ac:dyDescent="0.2">
      <c r="G91" s="11"/>
    </row>
    <row r="92" spans="7:7" ht="12.75" customHeight="1" x14ac:dyDescent="0.2">
      <c r="G92" s="11"/>
    </row>
    <row r="93" spans="7:7" ht="12.75" customHeight="1" x14ac:dyDescent="0.2">
      <c r="G93" s="11"/>
    </row>
    <row r="94" spans="7:7" ht="12.75" customHeight="1" x14ac:dyDescent="0.2">
      <c r="G94" s="11"/>
    </row>
    <row r="95" spans="7:7" ht="12.75" customHeight="1" x14ac:dyDescent="0.2">
      <c r="G95" s="11"/>
    </row>
    <row r="96" spans="7:7" ht="12.75" customHeight="1" x14ac:dyDescent="0.2">
      <c r="G96" s="11"/>
    </row>
    <row r="97" spans="7:7" ht="12.75" customHeight="1" x14ac:dyDescent="0.2">
      <c r="G97" s="11"/>
    </row>
    <row r="98" spans="7:7" ht="12.75" customHeight="1" x14ac:dyDescent="0.2">
      <c r="G98" s="11"/>
    </row>
    <row r="99" spans="7:7" ht="12.75" customHeight="1" x14ac:dyDescent="0.2">
      <c r="G99" s="11"/>
    </row>
  </sheetData>
  <mergeCells count="30">
    <mergeCell ref="A25:Q26"/>
    <mergeCell ref="A22:P22"/>
    <mergeCell ref="A23:Q23"/>
    <mergeCell ref="O19:P19"/>
    <mergeCell ref="O20:P20"/>
    <mergeCell ref="O21:P21"/>
    <mergeCell ref="A24:F24"/>
    <mergeCell ref="P1:Q2"/>
    <mergeCell ref="A4:F4"/>
    <mergeCell ref="G4:Q4"/>
    <mergeCell ref="G5:Q5"/>
    <mergeCell ref="G6:Q6"/>
    <mergeCell ref="A5:F5"/>
    <mergeCell ref="A6:F6"/>
    <mergeCell ref="A1:C1"/>
    <mergeCell ref="D1:E1"/>
    <mergeCell ref="A8:Q8"/>
    <mergeCell ref="A7:F7"/>
    <mergeCell ref="G7:Q7"/>
    <mergeCell ref="A9:N9"/>
    <mergeCell ref="A10:Q10"/>
    <mergeCell ref="A12:Q12"/>
    <mergeCell ref="A13:N13"/>
    <mergeCell ref="G24:Q24"/>
    <mergeCell ref="O13:P14"/>
    <mergeCell ref="Q13:Q14"/>
    <mergeCell ref="O15:P15"/>
    <mergeCell ref="O16:P16"/>
    <mergeCell ref="O17:P17"/>
    <mergeCell ref="O18:P18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"/>
  <sheetViews>
    <sheetView workbookViewId="0">
      <selection activeCell="G24" sqref="G24"/>
    </sheetView>
  </sheetViews>
  <sheetFormatPr baseColWidth="10" defaultColWidth="12.5703125" defaultRowHeight="15" customHeight="1" x14ac:dyDescent="0.2"/>
  <cols>
    <col min="1" max="1" width="5.5703125" style="81" customWidth="1"/>
    <col min="2" max="2" width="15.140625" style="81" customWidth="1"/>
    <col min="3" max="3" width="14.140625" style="81" customWidth="1"/>
    <col min="4" max="4" width="26" style="81" customWidth="1"/>
    <col min="5" max="5" width="8" style="81" customWidth="1"/>
    <col min="6" max="6" width="7.85546875" style="81" customWidth="1"/>
    <col min="7" max="7" width="48.5703125" style="81" customWidth="1"/>
    <col min="8" max="8" width="9.28515625" style="81" customWidth="1"/>
    <col min="9" max="9" width="15.5703125" style="81" customWidth="1"/>
    <col min="10" max="10" width="14.7109375" style="81" customWidth="1"/>
    <col min="11" max="11" width="15.5703125" style="81" customWidth="1"/>
    <col min="12" max="16384" width="12.5703125" style="81"/>
  </cols>
  <sheetData>
    <row r="1" spans="1:11" s="105" customFormat="1" ht="20.25" customHeight="1" thickBot="1" x14ac:dyDescent="0.25">
      <c r="A1" s="273" t="s">
        <v>19</v>
      </c>
      <c r="B1" s="192"/>
      <c r="C1" s="192"/>
      <c r="D1" s="192"/>
      <c r="E1" s="192"/>
      <c r="F1" s="192"/>
      <c r="G1" s="192"/>
      <c r="H1" s="192"/>
      <c r="I1" s="184"/>
      <c r="J1" s="168" t="s">
        <v>20</v>
      </c>
      <c r="K1" s="104" t="s">
        <v>21</v>
      </c>
    </row>
    <row r="2" spans="1:11" s="105" customFormat="1" ht="16.5" thickBot="1" x14ac:dyDescent="0.25">
      <c r="A2" s="169"/>
      <c r="B2" s="169"/>
      <c r="C2" s="169"/>
      <c r="D2" s="170"/>
      <c r="E2" s="170"/>
      <c r="F2" s="170"/>
      <c r="G2" s="170"/>
      <c r="H2" s="170"/>
      <c r="I2" s="170"/>
      <c r="J2" s="170"/>
      <c r="K2" s="170"/>
    </row>
    <row r="3" spans="1:11" s="105" customFormat="1" ht="19.5" customHeight="1" thickBot="1" x14ac:dyDescent="0.25">
      <c r="A3" s="211" t="s">
        <v>22</v>
      </c>
      <c r="B3" s="212"/>
      <c r="C3" s="213"/>
      <c r="D3" s="206" t="str">
        <f>'Necesidades Trimestrales'!C4</f>
        <v>040 - Ministerio de Salud</v>
      </c>
      <c r="E3" s="207"/>
      <c r="F3" s="207"/>
      <c r="G3" s="207"/>
      <c r="H3" s="207"/>
      <c r="I3" s="207"/>
      <c r="J3" s="207"/>
      <c r="K3" s="208"/>
    </row>
    <row r="4" spans="1:11" s="105" customFormat="1" ht="19.5" customHeight="1" thickBot="1" x14ac:dyDescent="0.25">
      <c r="A4" s="203" t="s">
        <v>23</v>
      </c>
      <c r="B4" s="204"/>
      <c r="C4" s="205"/>
      <c r="D4" s="206" t="str">
        <f>'Necesidades Trimestrales'!C5</f>
        <v>011 - DIRECCION PROVINCIAL DE ADMINISTRACION - MS</v>
      </c>
      <c r="E4" s="207"/>
      <c r="F4" s="207"/>
      <c r="G4" s="207"/>
      <c r="H4" s="207"/>
      <c r="I4" s="207"/>
      <c r="J4" s="207"/>
      <c r="K4" s="208"/>
    </row>
    <row r="5" spans="1:11" s="105" customFormat="1" ht="19.5" customHeight="1" thickBot="1" x14ac:dyDescent="0.25">
      <c r="A5" s="203" t="s">
        <v>24</v>
      </c>
      <c r="B5" s="204"/>
      <c r="C5" s="205"/>
      <c r="D5" s="206" t="s">
        <v>101</v>
      </c>
      <c r="E5" s="207"/>
      <c r="F5" s="207"/>
      <c r="G5" s="207"/>
      <c r="H5" s="207"/>
      <c r="I5" s="207"/>
      <c r="J5" s="207"/>
      <c r="K5" s="208"/>
    </row>
    <row r="6" spans="1:11" s="105" customFormat="1" ht="19.5" customHeight="1" thickBot="1" x14ac:dyDescent="0.25">
      <c r="A6" s="211" t="s">
        <v>25</v>
      </c>
      <c r="B6" s="212"/>
      <c r="C6" s="213"/>
      <c r="D6" s="206" t="s">
        <v>101</v>
      </c>
      <c r="E6" s="207"/>
      <c r="F6" s="207"/>
      <c r="G6" s="207"/>
      <c r="H6" s="207"/>
      <c r="I6" s="207"/>
      <c r="J6" s="207"/>
      <c r="K6" s="208"/>
    </row>
    <row r="7" spans="1:11" s="105" customFormat="1" ht="19.5" customHeight="1" thickBot="1" x14ac:dyDescent="0.25">
      <c r="A7" s="203" t="s">
        <v>26</v>
      </c>
      <c r="B7" s="204"/>
      <c r="C7" s="205"/>
      <c r="D7" s="206" t="s">
        <v>80</v>
      </c>
      <c r="E7" s="207"/>
      <c r="F7" s="207"/>
      <c r="G7" s="207"/>
      <c r="H7" s="207"/>
      <c r="I7" s="207"/>
      <c r="J7" s="207"/>
      <c r="K7" s="208"/>
    </row>
    <row r="8" spans="1:11" s="105" customFormat="1" ht="30" customHeight="1" thickBot="1" x14ac:dyDescent="0.25">
      <c r="A8" s="209" t="s">
        <v>27</v>
      </c>
      <c r="B8" s="207"/>
      <c r="C8" s="210"/>
      <c r="D8" s="221" t="s">
        <v>81</v>
      </c>
      <c r="E8" s="222"/>
      <c r="F8" s="222"/>
      <c r="G8" s="222"/>
      <c r="H8" s="222"/>
      <c r="I8" s="222"/>
      <c r="J8" s="222"/>
      <c r="K8" s="223"/>
    </row>
    <row r="9" spans="1:11" ht="12.75" customHeight="1" thickBot="1" x14ac:dyDescent="0.25">
      <c r="A9" s="7"/>
      <c r="B9" s="7"/>
      <c r="C9" s="7"/>
      <c r="D9" s="8"/>
      <c r="E9" s="8"/>
      <c r="F9" s="8"/>
      <c r="G9" s="8"/>
      <c r="H9" s="8"/>
      <c r="I9" s="8"/>
      <c r="J9" s="8"/>
      <c r="K9" s="8"/>
    </row>
    <row r="10" spans="1:11" ht="12.75" customHeight="1" thickBot="1" x14ac:dyDescent="0.25">
      <c r="A10" s="214" t="s">
        <v>28</v>
      </c>
      <c r="B10" s="216" t="s">
        <v>29</v>
      </c>
      <c r="C10" s="216" t="s">
        <v>30</v>
      </c>
      <c r="D10" s="215"/>
      <c r="E10" s="215"/>
      <c r="F10" s="215"/>
      <c r="G10" s="215"/>
      <c r="H10" s="216" t="s">
        <v>31</v>
      </c>
      <c r="I10" s="216" t="s">
        <v>32</v>
      </c>
      <c r="J10" s="216" t="s">
        <v>33</v>
      </c>
      <c r="K10" s="216" t="s">
        <v>34</v>
      </c>
    </row>
    <row r="11" spans="1:11" ht="32.25" customHeight="1" thickBot="1" x14ac:dyDescent="0.25">
      <c r="A11" s="215"/>
      <c r="B11" s="215"/>
      <c r="C11" s="215"/>
      <c r="D11" s="215"/>
      <c r="E11" s="215"/>
      <c r="F11" s="215"/>
      <c r="G11" s="215"/>
      <c r="H11" s="215"/>
      <c r="I11" s="215"/>
      <c r="J11" s="215"/>
      <c r="K11" s="215"/>
    </row>
    <row r="12" spans="1:11" ht="32.25" customHeight="1" thickBot="1" x14ac:dyDescent="0.25">
      <c r="A12" s="45">
        <v>1</v>
      </c>
      <c r="B12" s="46" t="str">
        <f>+'Necesidades Trimestrales'!B17</f>
        <v>2.5.2-1850.6</v>
      </c>
      <c r="C12" s="224" t="str">
        <f>+'Necesidades Trimestrales'!E17</f>
        <v>GESTAGENO; TIPO: MONODROGA, DROGA GENERICA: MEDROXIPROGESTERONA, FORMA FARMACEUTICA: AMPOLLA, PRESENTACION: 150 mGr</v>
      </c>
      <c r="D12" s="215"/>
      <c r="E12" s="215"/>
      <c r="F12" s="215"/>
      <c r="G12" s="215"/>
      <c r="H12" s="45" t="s">
        <v>35</v>
      </c>
      <c r="I12" s="47" t="str">
        <f>+'Necesidades Trimestrales'!F17</f>
        <v>AMPOLLA</v>
      </c>
      <c r="J12" s="48">
        <f>+'Necesidades Trimestrales'!L17</f>
        <v>605</v>
      </c>
      <c r="K12" s="49">
        <f>'Necesidades Trimestrales'!I17</f>
        <v>3000</v>
      </c>
    </row>
    <row r="13" spans="1:11" ht="32.25" customHeight="1" thickBot="1" x14ac:dyDescent="0.25">
      <c r="A13" s="45">
        <v>2</v>
      </c>
      <c r="B13" s="46" t="str">
        <f>+'Necesidades Trimestrales'!B18</f>
        <v>2.5.2-1895.8</v>
      </c>
      <c r="C13" s="224" t="str">
        <f>+'Necesidades Trimestrales'!E18</f>
        <v>HORMONAS MEDICINALES; TIPO: MONODROGA, DROGA GENERICA: GONADOTROFINA CORIONICA, FORMA FARMACEUTICA: AMPOLLA, PRESENTACION: 5000 UI, USO: SEXUAL</v>
      </c>
      <c r="D13" s="215"/>
      <c r="E13" s="215"/>
      <c r="F13" s="215"/>
      <c r="G13" s="215"/>
      <c r="H13" s="45" t="s">
        <v>35</v>
      </c>
      <c r="I13" s="47" t="str">
        <f>+'Necesidades Trimestrales'!F18</f>
        <v>UNIDAD</v>
      </c>
      <c r="J13" s="48">
        <f>+'Necesidades Trimestrales'!L18</f>
        <v>6450</v>
      </c>
      <c r="K13" s="49">
        <f>'Necesidades Trimestrales'!I18</f>
        <v>1000</v>
      </c>
    </row>
    <row r="14" spans="1:11" ht="21" customHeight="1" thickBot="1" x14ac:dyDescent="0.25">
      <c r="A14" s="194" t="s">
        <v>99</v>
      </c>
      <c r="B14" s="215"/>
      <c r="C14" s="215"/>
      <c r="D14" s="215"/>
      <c r="E14" s="215"/>
      <c r="F14" s="215"/>
      <c r="G14" s="215"/>
      <c r="H14" s="215"/>
      <c r="I14" s="215"/>
      <c r="J14" s="272">
        <f>SUMPRODUCT(J12:J13,K12:K13)</f>
        <v>8265000</v>
      </c>
      <c r="K14" s="215"/>
    </row>
  </sheetData>
  <mergeCells count="24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2:G12"/>
    <mergeCell ref="C13:G13"/>
    <mergeCell ref="A14:I14"/>
    <mergeCell ref="J14:K14"/>
    <mergeCell ref="K10:K11"/>
    <mergeCell ref="A10:A11"/>
    <mergeCell ref="B10:B11"/>
    <mergeCell ref="C10:G11"/>
    <mergeCell ref="H10:H11"/>
    <mergeCell ref="I10:I11"/>
    <mergeCell ref="J10:J11"/>
  </mergeCells>
  <printOptions horizontalCentered="1"/>
  <pageMargins left="0.196527777777778" right="0.196527777777778" top="0.98402777777777795" bottom="0.98402777777777795" header="0" footer="0"/>
  <pageSetup paperSize="9"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"/>
  <sheetViews>
    <sheetView workbookViewId="0">
      <selection activeCell="O22" sqref="O22:P22"/>
    </sheetView>
  </sheetViews>
  <sheetFormatPr baseColWidth="10" defaultColWidth="12.5703125" defaultRowHeight="15" customHeight="1" x14ac:dyDescent="0.2"/>
  <cols>
    <col min="1" max="5" width="4.42578125" style="81" customWidth="1"/>
    <col min="6" max="6" width="5" style="81" customWidth="1"/>
    <col min="7" max="14" width="4.42578125" style="81" customWidth="1"/>
    <col min="15" max="15" width="14.85546875" style="81" customWidth="1"/>
    <col min="16" max="16" width="21" style="81" customWidth="1"/>
    <col min="17" max="17" width="14.7109375" style="81" customWidth="1"/>
    <col min="18" max="18" width="11" style="81" customWidth="1"/>
    <col min="19" max="16384" width="12.5703125" style="81"/>
  </cols>
  <sheetData>
    <row r="1" spans="1:18" ht="15.75" customHeight="1" thickBot="1" x14ac:dyDescent="0.3">
      <c r="A1" s="257" t="s">
        <v>4</v>
      </c>
      <c r="B1" s="201"/>
      <c r="C1" s="201"/>
      <c r="D1" s="258">
        <f>'Necesidades Trimestrales'!C6</f>
        <v>2022</v>
      </c>
      <c r="E1" s="202"/>
      <c r="F1" s="9"/>
      <c r="G1" s="9"/>
      <c r="H1" s="10"/>
      <c r="I1" s="10"/>
      <c r="J1" s="10"/>
      <c r="K1" s="10"/>
      <c r="L1" s="10"/>
      <c r="M1" s="10"/>
      <c r="N1" s="10"/>
      <c r="P1" s="251" t="s">
        <v>36</v>
      </c>
      <c r="Q1" s="227"/>
    </row>
    <row r="2" spans="1:18" ht="15.75" customHeight="1" thickBot="1" x14ac:dyDescent="0.25">
      <c r="G2" s="11"/>
      <c r="H2" s="10"/>
      <c r="I2" s="10"/>
      <c r="J2" s="10"/>
      <c r="K2" s="10"/>
      <c r="L2" s="10"/>
      <c r="M2" s="10"/>
      <c r="N2" s="10"/>
      <c r="P2" s="252"/>
      <c r="Q2" s="253"/>
    </row>
    <row r="3" spans="1:18" ht="12.75" customHeight="1" thickBot="1" x14ac:dyDescent="0.25">
      <c r="G3" s="11"/>
    </row>
    <row r="4" spans="1:18" thickBot="1" x14ac:dyDescent="0.25">
      <c r="A4" s="254" t="s">
        <v>37</v>
      </c>
      <c r="B4" s="198"/>
      <c r="C4" s="198"/>
      <c r="D4" s="198"/>
      <c r="E4" s="198"/>
      <c r="F4" s="255"/>
      <c r="G4" s="256" t="str">
        <f>'NP DPMIA'!D3</f>
        <v>040 - Ministerio de Salud</v>
      </c>
      <c r="H4" s="198"/>
      <c r="I4" s="198"/>
      <c r="J4" s="198"/>
      <c r="K4" s="198"/>
      <c r="L4" s="198"/>
      <c r="M4" s="198"/>
      <c r="N4" s="198"/>
      <c r="O4" s="198"/>
      <c r="P4" s="198"/>
      <c r="Q4" s="255"/>
      <c r="R4" s="12"/>
    </row>
    <row r="5" spans="1:18" s="105" customFormat="1" thickBot="1" x14ac:dyDescent="0.25">
      <c r="A5" s="245" t="s">
        <v>23</v>
      </c>
      <c r="B5" s="212"/>
      <c r="C5" s="212"/>
      <c r="D5" s="212"/>
      <c r="E5" s="212"/>
      <c r="F5" s="244"/>
      <c r="G5" s="246" t="str">
        <f>'NP DPMIA'!D4</f>
        <v>011 - DIRECCION PROVINCIAL DE ADMINISTRACION - MS</v>
      </c>
      <c r="H5" s="212"/>
      <c r="I5" s="212"/>
      <c r="J5" s="212"/>
      <c r="K5" s="212"/>
      <c r="L5" s="212"/>
      <c r="M5" s="212"/>
      <c r="N5" s="212"/>
      <c r="O5" s="212"/>
      <c r="P5" s="212"/>
      <c r="Q5" s="244"/>
      <c r="R5" s="111"/>
    </row>
    <row r="6" spans="1:18" s="105" customFormat="1" thickBot="1" x14ac:dyDescent="0.25">
      <c r="A6" s="245" t="s">
        <v>24</v>
      </c>
      <c r="B6" s="212"/>
      <c r="C6" s="212"/>
      <c r="D6" s="212"/>
      <c r="E6" s="212"/>
      <c r="F6" s="244"/>
      <c r="G6" s="246" t="str">
        <f>'NP DPMIA'!D5</f>
        <v>162 - DIRECCION PROVINCIAL DE MATERNIDAD, INFANCIA Y ADOLESCENCIA</v>
      </c>
      <c r="H6" s="212"/>
      <c r="I6" s="212"/>
      <c r="J6" s="212"/>
      <c r="K6" s="212"/>
      <c r="L6" s="212"/>
      <c r="M6" s="212"/>
      <c r="N6" s="212"/>
      <c r="O6" s="212"/>
      <c r="P6" s="212"/>
      <c r="Q6" s="244"/>
      <c r="R6" s="111"/>
    </row>
    <row r="7" spans="1:18" s="105" customFormat="1" thickBot="1" x14ac:dyDescent="0.25">
      <c r="A7" s="245" t="s">
        <v>25</v>
      </c>
      <c r="B7" s="212"/>
      <c r="C7" s="212"/>
      <c r="D7" s="212"/>
      <c r="E7" s="212"/>
      <c r="F7" s="244"/>
      <c r="G7" s="246" t="str">
        <f>'NP DPMIA'!D6</f>
        <v>162 - DIRECCION PROVINCIAL DE MATERNIDAD, INFANCIA Y ADOLESCENCIA</v>
      </c>
      <c r="H7" s="212"/>
      <c r="I7" s="212"/>
      <c r="J7" s="212"/>
      <c r="K7" s="212"/>
      <c r="L7" s="212"/>
      <c r="M7" s="212"/>
      <c r="N7" s="212"/>
      <c r="O7" s="212"/>
      <c r="P7" s="212"/>
      <c r="Q7" s="244"/>
      <c r="R7" s="111"/>
    </row>
    <row r="8" spans="1:18" s="105" customFormat="1" ht="18" customHeight="1" thickBot="1" x14ac:dyDescent="0.25">
      <c r="A8" s="243" t="s">
        <v>38</v>
      </c>
      <c r="B8" s="212"/>
      <c r="C8" s="212"/>
      <c r="D8" s="212"/>
      <c r="E8" s="212"/>
      <c r="F8" s="212"/>
      <c r="G8" s="212"/>
      <c r="H8" s="212"/>
      <c r="I8" s="212"/>
      <c r="J8" s="212"/>
      <c r="K8" s="212"/>
      <c r="L8" s="212"/>
      <c r="M8" s="212"/>
      <c r="N8" s="212"/>
      <c r="O8" s="212"/>
      <c r="P8" s="212"/>
      <c r="Q8" s="244"/>
    </row>
    <row r="9" spans="1:18" s="105" customFormat="1" ht="18" customHeight="1" x14ac:dyDescent="0.2">
      <c r="A9" s="247" t="s">
        <v>39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111"/>
      <c r="P9" s="111"/>
      <c r="Q9" s="112"/>
    </row>
    <row r="10" spans="1:18" s="105" customFormat="1" ht="54.75" customHeight="1" x14ac:dyDescent="0.2">
      <c r="A10" s="249" t="str">
        <f>"Autorizo la realización de los  trámites correspondientes, a fin de proveer a  este Organismo los bienes y/o servicios que se detallan en Nota de Pedido N° " &amp; 'NP DPMIA'!K1&amp;",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xxx/2022,  afectando la erogación resultante a los créditos presupuestarios aprobados a favor de esta Unidad Ejecutora, conforme al siguiente detalle:</v>
      </c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250"/>
    </row>
    <row r="11" spans="1:18" ht="9" customHeight="1" thickBot="1" x14ac:dyDescent="0.25">
      <c r="A11" s="13"/>
      <c r="B11" s="14"/>
      <c r="C11" s="14"/>
      <c r="D11" s="14"/>
      <c r="E11" s="14"/>
      <c r="F11" s="14"/>
      <c r="G11" s="15"/>
      <c r="H11" s="14"/>
      <c r="I11" s="14"/>
      <c r="J11" s="14"/>
      <c r="K11" s="14"/>
      <c r="L11" s="14"/>
      <c r="M11" s="14"/>
      <c r="N11" s="14"/>
      <c r="O11" s="14"/>
      <c r="P11" s="14"/>
      <c r="Q11" s="16"/>
    </row>
    <row r="12" spans="1:18" ht="15.75" customHeight="1" thickBot="1" x14ac:dyDescent="0.25">
      <c r="A12" s="225" t="s">
        <v>40</v>
      </c>
      <c r="B12" s="226"/>
      <c r="C12" s="226"/>
      <c r="D12" s="226"/>
      <c r="E12" s="226"/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7"/>
    </row>
    <row r="13" spans="1:18" ht="15.75" customHeight="1" thickBot="1" x14ac:dyDescent="0.25">
      <c r="A13" s="282" t="s">
        <v>41</v>
      </c>
      <c r="B13" s="198"/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9"/>
      <c r="O13" s="231" t="s">
        <v>42</v>
      </c>
      <c r="P13" s="232"/>
      <c r="Q13" s="235" t="s">
        <v>43</v>
      </c>
    </row>
    <row r="14" spans="1:18" ht="15.75" customHeight="1" thickBot="1" x14ac:dyDescent="0.25">
      <c r="A14" s="17" t="s">
        <v>44</v>
      </c>
      <c r="B14" s="18" t="s">
        <v>45</v>
      </c>
      <c r="C14" s="18" t="s">
        <v>46</v>
      </c>
      <c r="D14" s="18" t="s">
        <v>47</v>
      </c>
      <c r="E14" s="18" t="s">
        <v>48</v>
      </c>
      <c r="F14" s="18" t="s">
        <v>49</v>
      </c>
      <c r="G14" s="19" t="s">
        <v>50</v>
      </c>
      <c r="H14" s="18" t="s">
        <v>51</v>
      </c>
      <c r="I14" s="18" t="s">
        <v>52</v>
      </c>
      <c r="J14" s="18" t="s">
        <v>53</v>
      </c>
      <c r="K14" s="18" t="s">
        <v>53</v>
      </c>
      <c r="L14" s="18" t="s">
        <v>54</v>
      </c>
      <c r="M14" s="20" t="s">
        <v>55</v>
      </c>
      <c r="N14" s="80" t="s">
        <v>56</v>
      </c>
      <c r="O14" s="233"/>
      <c r="P14" s="234"/>
      <c r="Q14" s="236"/>
    </row>
    <row r="15" spans="1:18" s="105" customFormat="1" ht="26.25" customHeight="1" x14ac:dyDescent="0.2">
      <c r="A15" s="137">
        <v>20</v>
      </c>
      <c r="B15" s="138"/>
      <c r="C15" s="138"/>
      <c r="D15" s="138">
        <v>1</v>
      </c>
      <c r="E15" s="138"/>
      <c r="F15" s="138">
        <v>4901</v>
      </c>
      <c r="G15" s="138">
        <v>3</v>
      </c>
      <c r="H15" s="138">
        <v>1</v>
      </c>
      <c r="I15" s="139">
        <v>2</v>
      </c>
      <c r="J15" s="139">
        <v>5</v>
      </c>
      <c r="K15" s="139">
        <v>2</v>
      </c>
      <c r="L15" s="138"/>
      <c r="M15" s="140">
        <v>1</v>
      </c>
      <c r="N15" s="141" t="s">
        <v>57</v>
      </c>
      <c r="O15" s="274" t="s">
        <v>66</v>
      </c>
      <c r="P15" s="274"/>
      <c r="Q15" s="142">
        <v>5200000</v>
      </c>
    </row>
    <row r="16" spans="1:18" s="105" customFormat="1" ht="24.75" customHeight="1" x14ac:dyDescent="0.2">
      <c r="A16" s="143">
        <v>20</v>
      </c>
      <c r="B16" s="144"/>
      <c r="C16" s="144"/>
      <c r="D16" s="144">
        <v>1</v>
      </c>
      <c r="E16" s="144"/>
      <c r="F16" s="144">
        <v>4901</v>
      </c>
      <c r="G16" s="144">
        <v>3</v>
      </c>
      <c r="H16" s="144">
        <v>1</v>
      </c>
      <c r="I16" s="144">
        <v>2</v>
      </c>
      <c r="J16" s="144">
        <v>5</v>
      </c>
      <c r="K16" s="144">
        <v>2</v>
      </c>
      <c r="L16" s="144"/>
      <c r="M16" s="145">
        <v>1</v>
      </c>
      <c r="N16" s="146" t="s">
        <v>57</v>
      </c>
      <c r="O16" s="274" t="s">
        <v>66</v>
      </c>
      <c r="P16" s="274"/>
      <c r="Q16" s="147">
        <v>3065000</v>
      </c>
    </row>
    <row r="17" spans="1:18" s="105" customFormat="1" ht="27" customHeight="1" x14ac:dyDescent="0.2">
      <c r="A17" s="143"/>
      <c r="B17" s="144"/>
      <c r="C17" s="144"/>
      <c r="D17" s="144"/>
      <c r="E17" s="144"/>
      <c r="F17" s="144"/>
      <c r="G17" s="144"/>
      <c r="H17" s="144"/>
      <c r="I17" s="144"/>
      <c r="J17" s="144"/>
      <c r="K17" s="144"/>
      <c r="L17" s="144"/>
      <c r="M17" s="145"/>
      <c r="N17" s="146"/>
      <c r="O17" s="275"/>
      <c r="P17" s="275"/>
      <c r="Q17" s="147"/>
    </row>
    <row r="18" spans="1:18" s="105" customFormat="1" ht="17.25" customHeight="1" x14ac:dyDescent="0.2">
      <c r="A18" s="143"/>
      <c r="B18" s="144"/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5"/>
      <c r="N18" s="148"/>
      <c r="O18" s="276"/>
      <c r="P18" s="277"/>
      <c r="Q18" s="149"/>
    </row>
    <row r="19" spans="1:18" s="105" customFormat="1" ht="17.25" customHeight="1" x14ac:dyDescent="0.2">
      <c r="A19" s="143"/>
      <c r="B19" s="144"/>
      <c r="C19" s="144"/>
      <c r="D19" s="144"/>
      <c r="E19" s="144"/>
      <c r="F19" s="148"/>
      <c r="G19" s="144"/>
      <c r="H19" s="144"/>
      <c r="I19" s="144"/>
      <c r="J19" s="144"/>
      <c r="K19" s="144"/>
      <c r="L19" s="144"/>
      <c r="M19" s="145"/>
      <c r="N19" s="148"/>
      <c r="O19" s="278"/>
      <c r="P19" s="279"/>
      <c r="Q19" s="149"/>
    </row>
    <row r="20" spans="1:18" s="105" customFormat="1" ht="17.25" customHeight="1" x14ac:dyDescent="0.2">
      <c r="A20" s="143"/>
      <c r="B20" s="144"/>
      <c r="C20" s="144"/>
      <c r="D20" s="144"/>
      <c r="E20" s="144"/>
      <c r="F20" s="148"/>
      <c r="G20" s="144"/>
      <c r="H20" s="144"/>
      <c r="I20" s="144"/>
      <c r="J20" s="144"/>
      <c r="K20" s="144"/>
      <c r="L20" s="144"/>
      <c r="M20" s="145"/>
      <c r="N20" s="148"/>
      <c r="O20" s="278"/>
      <c r="P20" s="279"/>
      <c r="Q20" s="149"/>
    </row>
    <row r="21" spans="1:18" s="105" customFormat="1" ht="17.25" customHeight="1" x14ac:dyDescent="0.2">
      <c r="A21" s="150"/>
      <c r="B21" s="151"/>
      <c r="C21" s="151"/>
      <c r="D21" s="151"/>
      <c r="E21" s="151"/>
      <c r="F21" s="148"/>
      <c r="G21" s="151"/>
      <c r="H21" s="151"/>
      <c r="I21" s="151"/>
      <c r="J21" s="151"/>
      <c r="K21" s="151"/>
      <c r="L21" s="151"/>
      <c r="M21" s="152"/>
      <c r="N21" s="153"/>
      <c r="O21" s="278"/>
      <c r="P21" s="279"/>
      <c r="Q21" s="149"/>
      <c r="R21" s="111"/>
    </row>
    <row r="22" spans="1:18" s="105" customFormat="1" ht="17.25" customHeight="1" thickBot="1" x14ac:dyDescent="0.25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  <c r="N22" s="155"/>
      <c r="O22" s="280"/>
      <c r="P22" s="281"/>
      <c r="Q22" s="157"/>
    </row>
    <row r="23" spans="1:18" s="105" customFormat="1" ht="29.25" customHeight="1" thickBot="1" x14ac:dyDescent="0.25">
      <c r="A23" s="265" t="s">
        <v>102</v>
      </c>
      <c r="B23" s="266"/>
      <c r="C23" s="266"/>
      <c r="D23" s="266"/>
      <c r="E23" s="266"/>
      <c r="F23" s="266"/>
      <c r="G23" s="266"/>
      <c r="H23" s="266"/>
      <c r="I23" s="266"/>
      <c r="J23" s="266"/>
      <c r="K23" s="266"/>
      <c r="L23" s="266"/>
      <c r="M23" s="266"/>
      <c r="N23" s="266"/>
      <c r="O23" s="266"/>
      <c r="P23" s="267"/>
      <c r="Q23" s="129">
        <f>SUM(Q15:Q22)</f>
        <v>8265000</v>
      </c>
    </row>
    <row r="24" spans="1:18" s="105" customFormat="1" ht="18" customHeight="1" thickBot="1" x14ac:dyDescent="0.25">
      <c r="A24" s="268"/>
      <c r="B24" s="229"/>
      <c r="C24" s="229"/>
      <c r="D24" s="229"/>
      <c r="E24" s="229"/>
      <c r="F24" s="229"/>
      <c r="G24" s="229"/>
      <c r="H24" s="229"/>
      <c r="I24" s="229"/>
      <c r="J24" s="229"/>
      <c r="K24" s="229"/>
      <c r="L24" s="229"/>
      <c r="M24" s="229"/>
      <c r="N24" s="229"/>
      <c r="O24" s="229"/>
      <c r="P24" s="229"/>
      <c r="Q24" s="230"/>
    </row>
    <row r="25" spans="1:18" s="105" customFormat="1" ht="17.25" customHeight="1" thickBot="1" x14ac:dyDescent="0.25">
      <c r="A25" s="271" t="s">
        <v>58</v>
      </c>
      <c r="B25" s="207"/>
      <c r="C25" s="207"/>
      <c r="D25" s="207"/>
      <c r="E25" s="207"/>
      <c r="F25" s="208"/>
      <c r="G25" s="228"/>
      <c r="H25" s="229"/>
      <c r="I25" s="229"/>
      <c r="J25" s="229"/>
      <c r="K25" s="229"/>
      <c r="L25" s="229"/>
      <c r="M25" s="229"/>
      <c r="N25" s="229"/>
      <c r="O25" s="229"/>
      <c r="P25" s="229"/>
      <c r="Q25" s="230"/>
    </row>
    <row r="26" spans="1:18" s="105" customFormat="1" ht="18" customHeight="1" x14ac:dyDescent="0.2">
      <c r="A26" s="259" t="s">
        <v>100</v>
      </c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1"/>
    </row>
    <row r="27" spans="1:18" s="105" customFormat="1" ht="15" customHeight="1" thickBot="1" x14ac:dyDescent="0.25">
      <c r="A27" s="262"/>
      <c r="B27" s="263"/>
      <c r="C27" s="263"/>
      <c r="D27" s="263"/>
      <c r="E27" s="263"/>
      <c r="F27" s="263"/>
      <c r="G27" s="263"/>
      <c r="H27" s="263"/>
      <c r="I27" s="263"/>
      <c r="J27" s="263"/>
      <c r="K27" s="263"/>
      <c r="L27" s="263"/>
      <c r="M27" s="263"/>
      <c r="N27" s="263"/>
      <c r="O27" s="263"/>
      <c r="P27" s="263"/>
      <c r="Q27" s="264"/>
    </row>
    <row r="28" spans="1:18" ht="12.75" customHeight="1" x14ac:dyDescent="0.2">
      <c r="G28" s="11"/>
    </row>
    <row r="29" spans="1:18" ht="12.75" customHeight="1" x14ac:dyDescent="0.2">
      <c r="G29" s="11"/>
    </row>
    <row r="30" spans="1:18" ht="12.75" customHeight="1" x14ac:dyDescent="0.2">
      <c r="G30" s="11"/>
    </row>
    <row r="31" spans="1:18" ht="12.75" customHeight="1" x14ac:dyDescent="0.2">
      <c r="G31" s="11"/>
    </row>
    <row r="32" spans="1:18" ht="12.75" customHeight="1" x14ac:dyDescent="0.2">
      <c r="G32" s="11"/>
    </row>
    <row r="33" spans="7:7" ht="12.75" customHeight="1" x14ac:dyDescent="0.2">
      <c r="G33" s="11"/>
    </row>
    <row r="34" spans="7:7" ht="12.75" customHeight="1" x14ac:dyDescent="0.2">
      <c r="G34" s="11"/>
    </row>
    <row r="35" spans="7:7" ht="12.75" customHeight="1" x14ac:dyDescent="0.2">
      <c r="G35" s="11"/>
    </row>
    <row r="36" spans="7:7" ht="12.75" customHeight="1" x14ac:dyDescent="0.2">
      <c r="G36" s="11"/>
    </row>
    <row r="37" spans="7:7" ht="12.75" customHeight="1" x14ac:dyDescent="0.2">
      <c r="G37" s="11"/>
    </row>
    <row r="38" spans="7:7" ht="12.75" customHeight="1" x14ac:dyDescent="0.2">
      <c r="G38" s="11"/>
    </row>
    <row r="39" spans="7:7" ht="12.75" customHeight="1" x14ac:dyDescent="0.2">
      <c r="G39" s="11"/>
    </row>
    <row r="40" spans="7:7" ht="12.75" customHeight="1" x14ac:dyDescent="0.2">
      <c r="G40" s="11"/>
    </row>
    <row r="41" spans="7:7" ht="12.75" customHeight="1" x14ac:dyDescent="0.2">
      <c r="G41" s="11"/>
    </row>
    <row r="42" spans="7:7" ht="12.75" customHeight="1" x14ac:dyDescent="0.2">
      <c r="G42" s="11"/>
    </row>
    <row r="43" spans="7:7" ht="12.75" customHeight="1" x14ac:dyDescent="0.2">
      <c r="G43" s="11"/>
    </row>
    <row r="44" spans="7:7" ht="12.75" customHeight="1" x14ac:dyDescent="0.2">
      <c r="G44" s="11"/>
    </row>
    <row r="45" spans="7:7" ht="12.75" customHeight="1" x14ac:dyDescent="0.2">
      <c r="G45" s="11"/>
    </row>
    <row r="46" spans="7:7" ht="12.75" customHeight="1" x14ac:dyDescent="0.2">
      <c r="G46" s="11"/>
    </row>
    <row r="47" spans="7:7" ht="12.75" customHeight="1" x14ac:dyDescent="0.2">
      <c r="G47" s="11"/>
    </row>
    <row r="48" spans="7:7" ht="12.75" customHeight="1" x14ac:dyDescent="0.2">
      <c r="G48" s="11"/>
    </row>
    <row r="49" spans="7:7" ht="12.75" customHeight="1" x14ac:dyDescent="0.2">
      <c r="G49" s="11"/>
    </row>
    <row r="50" spans="7:7" ht="12.75" customHeight="1" x14ac:dyDescent="0.2">
      <c r="G50" s="11"/>
    </row>
    <row r="51" spans="7:7" ht="12.75" customHeight="1" x14ac:dyDescent="0.2">
      <c r="G51" s="11"/>
    </row>
    <row r="52" spans="7:7" ht="12.75" customHeight="1" x14ac:dyDescent="0.2">
      <c r="G52" s="11"/>
    </row>
    <row r="53" spans="7:7" ht="12.75" customHeight="1" x14ac:dyDescent="0.2">
      <c r="G53" s="11"/>
    </row>
    <row r="54" spans="7:7" ht="12.75" customHeight="1" x14ac:dyDescent="0.2">
      <c r="G54" s="11"/>
    </row>
    <row r="55" spans="7:7" ht="12.75" customHeight="1" x14ac:dyDescent="0.2">
      <c r="G55" s="11"/>
    </row>
    <row r="56" spans="7:7" ht="12.75" customHeight="1" x14ac:dyDescent="0.2">
      <c r="G56" s="11"/>
    </row>
    <row r="57" spans="7:7" ht="12.75" customHeight="1" x14ac:dyDescent="0.2">
      <c r="G57" s="11"/>
    </row>
    <row r="58" spans="7:7" ht="12.75" customHeight="1" x14ac:dyDescent="0.2">
      <c r="G58" s="11"/>
    </row>
    <row r="59" spans="7:7" ht="12.75" customHeight="1" x14ac:dyDescent="0.2">
      <c r="G59" s="11"/>
    </row>
    <row r="60" spans="7:7" ht="12.75" customHeight="1" x14ac:dyDescent="0.2">
      <c r="G60" s="11"/>
    </row>
    <row r="61" spans="7:7" ht="12.75" customHeight="1" x14ac:dyDescent="0.2">
      <c r="G61" s="11"/>
    </row>
    <row r="62" spans="7:7" ht="12.75" customHeight="1" x14ac:dyDescent="0.2">
      <c r="G62" s="11"/>
    </row>
    <row r="63" spans="7:7" ht="12.75" customHeight="1" x14ac:dyDescent="0.2">
      <c r="G63" s="11"/>
    </row>
    <row r="64" spans="7:7" ht="12.75" customHeight="1" x14ac:dyDescent="0.2">
      <c r="G64" s="11"/>
    </row>
    <row r="65" spans="7:7" ht="12.75" customHeight="1" x14ac:dyDescent="0.2">
      <c r="G65" s="11"/>
    </row>
    <row r="66" spans="7:7" ht="12.75" customHeight="1" x14ac:dyDescent="0.2">
      <c r="G66" s="11"/>
    </row>
    <row r="67" spans="7:7" ht="12.75" customHeight="1" x14ac:dyDescent="0.2">
      <c r="G67" s="11"/>
    </row>
    <row r="68" spans="7:7" ht="12.75" customHeight="1" x14ac:dyDescent="0.2">
      <c r="G68" s="11"/>
    </row>
    <row r="69" spans="7:7" ht="12.75" customHeight="1" x14ac:dyDescent="0.2">
      <c r="G69" s="11"/>
    </row>
    <row r="70" spans="7:7" ht="12.75" customHeight="1" x14ac:dyDescent="0.2">
      <c r="G70" s="11"/>
    </row>
    <row r="71" spans="7:7" ht="12.75" customHeight="1" x14ac:dyDescent="0.2">
      <c r="G71" s="11"/>
    </row>
    <row r="72" spans="7:7" ht="12.75" customHeight="1" x14ac:dyDescent="0.2">
      <c r="G72" s="11"/>
    </row>
    <row r="73" spans="7:7" ht="12.75" customHeight="1" x14ac:dyDescent="0.2">
      <c r="G73" s="11"/>
    </row>
    <row r="74" spans="7:7" ht="12.75" customHeight="1" x14ac:dyDescent="0.2">
      <c r="G74" s="11"/>
    </row>
    <row r="75" spans="7:7" ht="12.75" customHeight="1" x14ac:dyDescent="0.2">
      <c r="G75" s="11"/>
    </row>
    <row r="76" spans="7:7" ht="12.75" customHeight="1" x14ac:dyDescent="0.2">
      <c r="G76" s="11"/>
    </row>
    <row r="77" spans="7:7" ht="12.75" customHeight="1" x14ac:dyDescent="0.2">
      <c r="G77" s="11"/>
    </row>
    <row r="78" spans="7:7" ht="12.75" customHeight="1" x14ac:dyDescent="0.2">
      <c r="G78" s="11"/>
    </row>
    <row r="79" spans="7:7" ht="12.75" customHeight="1" x14ac:dyDescent="0.2">
      <c r="G79" s="11"/>
    </row>
    <row r="80" spans="7:7" ht="12.75" customHeight="1" x14ac:dyDescent="0.2">
      <c r="G80" s="11"/>
    </row>
    <row r="81" spans="7:7" ht="12.75" customHeight="1" x14ac:dyDescent="0.2">
      <c r="G81" s="11"/>
    </row>
    <row r="82" spans="7:7" ht="12.75" customHeight="1" x14ac:dyDescent="0.2">
      <c r="G82" s="11"/>
    </row>
    <row r="83" spans="7:7" ht="12.75" customHeight="1" x14ac:dyDescent="0.2">
      <c r="G83" s="11"/>
    </row>
    <row r="84" spans="7:7" ht="12.75" customHeight="1" x14ac:dyDescent="0.2">
      <c r="G84" s="11"/>
    </row>
    <row r="85" spans="7:7" ht="12.75" customHeight="1" x14ac:dyDescent="0.2">
      <c r="G85" s="11"/>
    </row>
    <row r="86" spans="7:7" ht="12.75" customHeight="1" x14ac:dyDescent="0.2">
      <c r="G86" s="11"/>
    </row>
    <row r="87" spans="7:7" ht="12.75" customHeight="1" x14ac:dyDescent="0.2">
      <c r="G87" s="11"/>
    </row>
    <row r="88" spans="7:7" ht="12.75" customHeight="1" x14ac:dyDescent="0.2">
      <c r="G88" s="11"/>
    </row>
    <row r="89" spans="7:7" ht="12.75" customHeight="1" x14ac:dyDescent="0.2">
      <c r="G89" s="11"/>
    </row>
    <row r="90" spans="7:7" ht="12.75" customHeight="1" x14ac:dyDescent="0.2">
      <c r="G90" s="11"/>
    </row>
    <row r="91" spans="7:7" ht="12.75" customHeight="1" x14ac:dyDescent="0.2">
      <c r="G91" s="11"/>
    </row>
    <row r="92" spans="7:7" ht="12.75" customHeight="1" x14ac:dyDescent="0.2">
      <c r="G92" s="11"/>
    </row>
    <row r="93" spans="7:7" ht="12.75" customHeight="1" x14ac:dyDescent="0.2">
      <c r="G93" s="11"/>
    </row>
    <row r="94" spans="7:7" ht="12.75" customHeight="1" x14ac:dyDescent="0.2">
      <c r="G94" s="11"/>
    </row>
    <row r="95" spans="7:7" ht="12.75" customHeight="1" x14ac:dyDescent="0.2">
      <c r="G95" s="11"/>
    </row>
    <row r="96" spans="7:7" ht="12.75" customHeight="1" x14ac:dyDescent="0.2">
      <c r="G96" s="11"/>
    </row>
    <row r="97" spans="7:7" ht="12.75" customHeight="1" x14ac:dyDescent="0.2">
      <c r="G97" s="11"/>
    </row>
    <row r="98" spans="7:7" ht="12.75" customHeight="1" x14ac:dyDescent="0.2">
      <c r="G98" s="11"/>
    </row>
    <row r="99" spans="7:7" ht="12.75" customHeight="1" x14ac:dyDescent="0.2">
      <c r="G99" s="11"/>
    </row>
    <row r="100" spans="7:7" ht="12.75" customHeight="1" x14ac:dyDescent="0.2">
      <c r="G100" s="11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4999999999999" right="0.39374999999999999" top="0.98402777777777795" bottom="0.98402777777777795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Necesidades Trimestrales</vt:lpstr>
      <vt:lpstr>NP FCIA</vt:lpstr>
      <vt:lpstr>APG FCIA</vt:lpstr>
      <vt:lpstr>NP DPMIA</vt:lpstr>
      <vt:lpstr>APG DPMIA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revision>2</cp:revision>
  <cp:lastPrinted>2020-07-23T13:47:13Z</cp:lastPrinted>
  <dcterms:created xsi:type="dcterms:W3CDTF">2020-07-17T23:44:49Z</dcterms:created>
  <dcterms:modified xsi:type="dcterms:W3CDTF">2022-08-22T15:38:55Z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