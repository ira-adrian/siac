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RIZO GASTON\Desktop\"/>
    </mc:Choice>
  </mc:AlternateContent>
  <xr:revisionPtr revIDLastSave="0" documentId="8_{AF5C7704-3B52-4D25-B9B6-B34EA32241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5" i="2" l="1"/>
  <c r="M65" i="2"/>
  <c r="Q65" i="2"/>
  <c r="U65" i="2"/>
</calcChain>
</file>

<file path=xl/sharedStrings.xml><?xml version="1.0" encoding="utf-8"?>
<sst xmlns="http://schemas.openxmlformats.org/spreadsheetml/2006/main" count="429" uniqueCount="302">
  <si>
    <t>Número expediente:</t>
  </si>
  <si>
    <t>EX-2022-02261717-   -CAT-DPCBS#MEC</t>
  </si>
  <si>
    <t>Número proceso de compra:</t>
  </si>
  <si>
    <t>100-0223-CDI22</t>
  </si>
  <si>
    <t>Nombre descriptivo proceso de compra:</t>
  </si>
  <si>
    <t>ADQUISICION DE INSUMOS ODONTOLOGICOS DESTINADO AL HOSPITAL INTERZONAL DE NIÑOS EVA PERON</t>
  </si>
  <si>
    <t>Unidad Operativa de Compras:</t>
  </si>
  <si>
    <t>Secretaria de Compras y Abastecimiento</t>
  </si>
  <si>
    <t>Fecha de Apertura:</t>
  </si>
  <si>
    <t>29/11/2022</t>
  </si>
  <si>
    <t>Renglón</t>
  </si>
  <si>
    <t>EZEQUIEL DAVID ROSENBLAT</t>
  </si>
  <si>
    <t>ELIO OMAR CANDUSSI</t>
  </si>
  <si>
    <t>DROGUERIA PHARMA CENTER S.R.L</t>
  </si>
  <si>
    <t>Pharma Express S.A.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</si>
  <si>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</si>
  <si>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</si>
  <si>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</si>
  <si>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</si>
  <si>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</si>
  <si>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</si>
  <si>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</si>
  <si>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</si>
  <si>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</si>
  <si>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</si>
  <si>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2.5.2-2322.12 </t>
  </si>
  <si>
    <t xml:space="preserve">CEMENTOS QUIRURGICOS; PRESENTACION: ENVASE X 20 GR, TIPO: GROSSMAN, USO: 
ODONTOLOGIA </t>
  </si>
  <si>
    <t xml:space="preserve">UNIDAD </t>
  </si>
  <si>
    <t xml:space="preserve">MEDI CEMENTO GROSSMAN X 20 GR FARMA </t>
  </si>
  <si>
    <t xml:space="preserve">FARMADENTAL CEMENTO GROSSMAN POLVO X 20 GR  </t>
  </si>
  <si>
    <t xml:space="preserve">CEMENTOS QUIRURGICOS; PRESENTACION: ENVASE X 20 GR, TIPO: GROSSMAN, USO: 
ODONTOLOGIA DENSELL </t>
  </si>
  <si>
    <t xml:space="preserve">2 </t>
  </si>
  <si>
    <t xml:space="preserve">2.5.2-2322.20 </t>
  </si>
  <si>
    <t xml:space="preserve">CEMENTOS QUIRURGICOS; PRESENTACION: AVIO 13 GRS/11 GRS, TIPO: HIDROXIDO DE 
CALCIO FRAGUABLE, USO: ODONTOLOGIA </t>
  </si>
  <si>
    <t xml:space="preserve">HIDROXIDO DE CALCIO PICKAV </t>
  </si>
  <si>
    <t xml:space="preserve">LABORATORIO LS PICKAV 13 GR + 11 GR  </t>
  </si>
  <si>
    <t xml:space="preserve">CEMENTOS QUIRURGICOS; PRESENTACION: AVIO 13 GRS/11 GRS, TIPO: HIDROXIDO DE 
CALCIO FRAGUABLE, USO: ODONTOLOGIA DENSELL </t>
  </si>
  <si>
    <t xml:space="preserve">3 </t>
  </si>
  <si>
    <t xml:space="preserve">2.5.2-2322.45 </t>
  </si>
  <si>
    <t xml:space="preserve">CEMENTOS QUIRURGICOS; PRESENTACION: AVIO 38 GRS/15 ML, TIPO: OXIDO DE 
ZINC Y EUGENOL REFORZ, USO: ODONTOLOGICO </t>
  </si>
  <si>
    <t xml:space="preserve">CEMENTO ZOER'S SUBITON AVIO </t>
  </si>
  <si>
    <t xml:space="preserve">DENSELL ZOERS CEMENTO REFORZADO AVIO X 40 GR/15 GR  
</t>
  </si>
  <si>
    <t xml:space="preserve">CEMENTOS QUIRURGICOS; PRESENTACION: AVIO 38 GRS/15 ML, TIPO: OXIDO DE 
ZINC Y EUGENOL REFORZ, USO: ODONTOLOGICO DENSELL </t>
  </si>
  <si>
    <t xml:space="preserve">4 </t>
  </si>
  <si>
    <t xml:space="preserve">2.5.2-5525.1 </t>
  </si>
  <si>
    <t xml:space="preserve">SELLADORES P/ODONTOLOGIA; USO: FOSAS Y FISURAS, PRESENTACION: ENVASE X 6 
mL </t>
  </si>
  <si>
    <t xml:space="preserve">SELLADOR CONSEAL-F SDI FOTO JER.X 1 GR Dp:19017IC04007879M </t>
  </si>
  <si>
    <t xml:space="preserve">PREVEST PF SEAL LC JERINGA X 2 GR </t>
  </si>
  <si>
    <t xml:space="preserve">5 </t>
  </si>
  <si>
    <t xml:space="preserve">2.5.2-5143.37 </t>
  </si>
  <si>
    <t xml:space="preserve">IONOMEROS VITREOS; USO: FOTOCURADO, PRESENTACION: AVIO 10 GRS/6 ML, FORMA 
DE PRESENTACION: POLVO - LIQUIDO </t>
  </si>
  <si>
    <t xml:space="preserve">IONOMERO FOTO OBTUR RIVA LC A2 AVIO 5 GR Dp:19017IC04007879M 
</t>
  </si>
  <si>
    <t xml:space="preserve">DENSELL IONOMERO TIPO II MPLC AVIO X 10 GR  
</t>
  </si>
  <si>
    <t xml:space="preserve">IONOMEROS VITREOS; USO: FOTOCURADO, PRESENTACION: AVIO 10 GRS/6 ML, FORMA 
DE PRESENTACION: POLVO - LIQUIDO DENSELL </t>
  </si>
  <si>
    <t xml:space="preserve">6 </t>
  </si>
  <si>
    <t xml:space="preserve">2.5.2-5143.19 </t>
  </si>
  <si>
    <t xml:space="preserve">IONOMEROS VITREOS; USO: AUTOCURADO, ESTADO: POLVO - LIQUIDO, PRESENTACION: AVIO 
30 GRS/12 ML, FORMA DE PRESENTACION: POLVO - LIQUIDO </t>
  </si>
  <si>
    <t xml:space="preserve">IONOMERO OBTUR RIVA SC A2 AVIO 15 GR Dp:19017IC04004311N </t>
  </si>
  <si>
    <t xml:space="preserve">VOCO MERON IONOMERO CEMENTADO AVIO X 35 GR </t>
  </si>
  <si>
    <t xml:space="preserve">IONOMEROS VITREOS; USO: AUTOCURADO, ESTADO: POLVO - LIQUIDO, PRESENTACION: AVIO 
30 GRS/12 ML, FORMA DE PRESENTACION: POLVO - LIQUIDO DENSELL 
</t>
  </si>
  <si>
    <t xml:space="preserve">7 </t>
  </si>
  <si>
    <t xml:space="preserve">2.5.2-1723.92 </t>
  </si>
  <si>
    <t xml:space="preserve">ANTISEPTICOS LOCALES P/PERSONA; TIPO: ANTISEPTICO, DROGA GENERICA: EUGENOL, FORMA FARMACEUTICA: 
LIQUIDO, PRESENTACION: FRASCO X 50 mL </t>
  </si>
  <si>
    <t xml:space="preserve">MEDI EUGENOL PURO X 20 CC FARMADENTAL </t>
  </si>
  <si>
    <t xml:space="preserve">FARMADENTAL EUGENO X 20 CC </t>
  </si>
  <si>
    <t xml:space="preserve">ANTISEPTICOS LOCALES P/PERSONA; TIPO: ANTISEPTICO, DROGA GENERICA: EUGENOL, FORMA FARMACEUTICA: 
LIQUIDO, PRESENTACION: FRASCO X 50 mL DENSELL </t>
  </si>
  <si>
    <t xml:space="preserve">8 </t>
  </si>
  <si>
    <t xml:space="preserve">2.5.2-5142.13 </t>
  </si>
  <si>
    <t xml:space="preserve">TOPICOS ODONTOLOGICOS; DROGA GENERICA: BENZOCAINA AL 20%, PRESENTACION: ENVASE X 
20 GR, FORMA DE PRESENTACION: POMADA </t>
  </si>
  <si>
    <t xml:space="preserve">ANESTESIA INDICAN GEL TOPICO X 20 GR </t>
  </si>
  <si>
    <t xml:space="preserve">SIDUS INDICAN GEL LIDOCAINA AL 5% ENVASE X 20 GR 
</t>
  </si>
  <si>
    <t xml:space="preserve">9 </t>
  </si>
  <si>
    <t xml:space="preserve">2.5.2-5142.3 </t>
  </si>
  <si>
    <t xml:space="preserve">TOPICOS ODONTOLOGICOS; DROGA GENERICA: FLUORURO DIAMIN. PLATA CARIOST, ESTADO: SOLUCION, 
PRESENTACION: ENVASE X 5 mL, FORMA DE PRESENTACION: SOLUCION </t>
  </si>
  <si>
    <t xml:space="preserve">CARIOSTATICO FAGAMIN X 5 CC </t>
  </si>
  <si>
    <t xml:space="preserve">DENSELL FLUOR SILVER CARIOSTATICO FRASCO X 5 ML </t>
  </si>
  <si>
    <t xml:space="preserve">10 </t>
  </si>
  <si>
    <t xml:space="preserve">2.5.2-5142.6 </t>
  </si>
  <si>
    <t xml:space="preserve">TOPICOS ODONTOLOGICOS; DROGA GENERICA: FORMOCRESOL, PRESENTACION: FRASCO X 20 mL, 
ESTADO: LIQUIDO, FORMA DE PRESENTACION: LIQUIDO </t>
  </si>
  <si>
    <t xml:space="preserve">MEDI FORMOCRESOL X 20 CC FARMA </t>
  </si>
  <si>
    <t xml:space="preserve">FARMADENTAL FORMOCRESOL X 20 CC  </t>
  </si>
  <si>
    <t xml:space="preserve">TOPICOS ODONTOLOGICOS; DROGA GENERICA: FORMOCRESOL, PRESENTACION: FRASCO X 20 mL, 
ESTADO: LIQUIDO, FORMA DE PRESENTACION: LIQUIDO DENSELL </t>
  </si>
  <si>
    <t xml:space="preserve">11 </t>
  </si>
  <si>
    <t xml:space="preserve">2.5.2-1723.157 </t>
  </si>
  <si>
    <t xml:space="preserve">ANTISEPTICOS LOCALES P/PERSONA; TIPO: MONODROGA, DROGA GENERICA: IODOFORMO, FORMA FARMACEUTICA: 
POLVO, PRESENTACION: ENVASE X 10 GR </t>
  </si>
  <si>
    <t xml:space="preserve">MEDI IODOFORMO X 20 GR FARMA </t>
  </si>
  <si>
    <t xml:space="preserve">FARMADENTAL IODOFORMO X 10 GR  </t>
  </si>
  <si>
    <t xml:space="preserve">12 </t>
  </si>
  <si>
    <t xml:space="preserve">2.5.2-9133.2 </t>
  </si>
  <si>
    <t xml:space="preserve">COMPOSITE; COLOR: A2, POLIMERIZACION: FOTOPOLIMERIZACION, TAMAÑO PARTICULA: HIBRIDO, FORMA DE 
PRESENTACION: JERINGA, PRESENTACION: ENVASE X 4 GR </t>
  </si>
  <si>
    <t xml:space="preserve">COMPOSITE SDI LUNA JER.X 4G A2 Dp:19017IC04007879M </t>
  </si>
  <si>
    <t xml:space="preserve">ULTRAFILL COMPOSITE A2 JERINGA X 4 GR  </t>
  </si>
  <si>
    <t xml:space="preserve">13 </t>
  </si>
  <si>
    <t xml:space="preserve">2.5.2-9133.3 </t>
  </si>
  <si>
    <t xml:space="preserve">COMPOSITE; COLOR: A3, POLIMERIZACION: FOTOPOLIMERIZACION, TAMAÑO PARTICULA: HIBRIDO, FORMA DE 
PRESENTACION: JERINGA, PRESENTACION: ENVASE X 4 GR </t>
  </si>
  <si>
    <t xml:space="preserve">COMPOSITE SDI LUNA JER.X 4G A3 Dp:19017IC04004311N </t>
  </si>
  <si>
    <t xml:space="preserve">ULTRAFILL COMPOSITE A3 JERINGA X 4 GR </t>
  </si>
  <si>
    <t xml:space="preserve">14 </t>
  </si>
  <si>
    <t xml:space="preserve">2.5.6-7104.529 </t>
  </si>
  <si>
    <t xml:space="preserve">ACEITES LUBRICANTES; USO: TURBINA ODONTOLOGICA, PRESENTACION: 210 mL, NORMA: SAE 
30, COMERCIALIZACION: POR LITRO </t>
  </si>
  <si>
    <t xml:space="preserve">ACEITE P/TURBINA GACELA SPRAY X 250 ML </t>
  </si>
  <si>
    <t xml:space="preserve">GACELA LUBRICANTE SPRAY X 250 ML </t>
  </si>
  <si>
    <t xml:space="preserve">15 </t>
  </si>
  <si>
    <t xml:space="preserve">2.5.9-4280.4 </t>
  </si>
  <si>
    <t xml:space="preserve">SILICONAS; TIPO: P/ODONTOLOGIA (P/AUTOMEZCLADO), PRESENTACION: AVIO X 96 mL </t>
  </si>
  <si>
    <t xml:space="preserve">SILICONA ZHERMACK ZETAPLUS L INTRO KIT </t>
  </si>
  <si>
    <t xml:space="preserve">DENSELL A+ SILICONE LIGTH CARTUCHO X 50 ML </t>
  </si>
  <si>
    <t xml:space="preserve">16 </t>
  </si>
  <si>
    <t xml:space="preserve">2.5.9-4280.5 </t>
  </si>
  <si>
    <t xml:space="preserve">SILICONAS; TIPO: P/ODONTOLOGIA (P/ADICION), PRESENTACION: AVIO X 96 mL </t>
  </si>
  <si>
    <t xml:space="preserve">DENSELL A+ SILICONE PUTTY SOFT X 400 ML </t>
  </si>
  <si>
    <t xml:space="preserve">17 </t>
  </si>
  <si>
    <t xml:space="preserve">2.5.9-945.28 </t>
  </si>
  <si>
    <t xml:space="preserve">PLACAS RADIOGRAFICAS; SENSIBILIDAD: AL VERDE, DIMENSION: P/ODONTOLOGIA </t>
  </si>
  <si>
    <t xml:space="preserve">PELICULA CARESTREAM SIMPLE E-SPEED X 150 </t>
  </si>
  <si>
    <t xml:space="preserve">CARESTREAM E-SPEED CELESTE X 150 UNID  </t>
  </si>
  <si>
    <t xml:space="preserve">18 </t>
  </si>
  <si>
    <t xml:space="preserve">2.6.5-677.31 </t>
  </si>
  <si>
    <t xml:space="preserve">YESO EN POLVO; PRESENTACION: BOLSA, PESO: 25 Kg, USO: ODONTOLOGICO, 
TIPO: PIEDRA </t>
  </si>
  <si>
    <t xml:space="preserve">YESO PIEDRA VERDE X 25 KG </t>
  </si>
  <si>
    <t xml:space="preserve">PESCIO YESO PIEDRA VERDE X 25 KG </t>
  </si>
  <si>
    <t xml:space="preserve">19 </t>
  </si>
  <si>
    <t xml:space="preserve">2.9.5-4684.16 </t>
  </si>
  <si>
    <t xml:space="preserve">PELICULAS RADIOGRAFICAS; USO: ODONTOLOGICO PERIAPICAL NIÑOS, PRESENTACION: ENVASE X 100 
UN </t>
  </si>
  <si>
    <t xml:space="preserve">PELICULA CARESTREAM P/NIÑOS U. DF54 X100 </t>
  </si>
  <si>
    <t xml:space="preserve">CARESTREAM DF54 PLACA RX NIÑO X 100 UNID  </t>
  </si>
  <si>
    <t xml:space="preserve">20 </t>
  </si>
  <si>
    <t xml:space="preserve">2.9.5-5515.1 </t>
  </si>
  <si>
    <t xml:space="preserve">TIRAS P/ODONTOLOGIA; USO: PULIR, PRESENTACION: ENVASE X 100 UN </t>
  </si>
  <si>
    <t xml:space="preserve">TIRA P/PULIR COMPOSITE MAQUIRA X 150 Dp:19017IC06000385W </t>
  </si>
  <si>
    <t xml:space="preserve">MAQUIRA TIRA P/ PULIR COMPOSITE X 150 UNID  </t>
  </si>
  <si>
    <t xml:space="preserve">21 </t>
  </si>
  <si>
    <t xml:space="preserve">2.9.5-5144.4 </t>
  </si>
  <si>
    <t xml:space="preserve">INSTRUMENTAL ODONTOLOGICO; TIPO: TURBINA A RULEMANES, DESCARTABLE: NO, PRESENTACION: UNIDAD 
</t>
  </si>
  <si>
    <t xml:space="preserve">TURBINA GACELA EVO TORQUE RG </t>
  </si>
  <si>
    <t xml:space="preserve">GAVELA EVO TORQUE SISTEMA QUITA FRESA, SIMPLE SPRAY X UNID 
 </t>
  </si>
  <si>
    <t xml:space="preserve">22 </t>
  </si>
  <si>
    <t xml:space="preserve">2.9.5-5144.95 </t>
  </si>
  <si>
    <t xml:space="preserve">INSTRUMENTAL ODONTOLOGICO; TIPO: CONTRA-ANGULO, DESCARTABLE: NO, PRESENTACION: UNIDAD </t>
  </si>
  <si>
    <t xml:space="preserve">CONTRA ANGULO GACELA SEDNA A GATILLO </t>
  </si>
  <si>
    <t xml:space="preserve">GACELA SEDNA CONTRA ANGULO A GATILLO X UNID  </t>
  </si>
  <si>
    <t xml:space="preserve">23 </t>
  </si>
  <si>
    <t xml:space="preserve">2.9.5-5144.24 </t>
  </si>
  <si>
    <t xml:space="preserve">INSTRUMENTAL ODONTOLOGICO; TIPO: SINDESMOTOMO CURVO, DESCARTABLE: NO, PRESENTACION: UNIDAD </t>
  </si>
  <si>
    <t xml:space="preserve">BELKYS SINDESMOTOMO CURVO X UNID  </t>
  </si>
  <si>
    <t xml:space="preserve">24 </t>
  </si>
  <si>
    <t xml:space="preserve">2.9.5-5144.45 </t>
  </si>
  <si>
    <t xml:space="preserve">INSTRUMENTAL ODONTOLOGICO; TIPO: SINDESMOTOMO RECTO, DESCARTABLE: SIN VALOR, PRESENTACION: SIN 
VALOR </t>
  </si>
  <si>
    <t xml:space="preserve">BELKYS SINDESMÓTOMO RECTO X UNID  </t>
  </si>
  <si>
    <t xml:space="preserve">25 </t>
  </si>
  <si>
    <t xml:space="preserve">2.9.5-2538.143 </t>
  </si>
  <si>
    <t xml:space="preserve">LIMAS P/ODONTOLOGIA; MATERIAL: CARBURO DE TUNGSTENO, NUMERO: 15 - 40, 
LARGO: 25 mm, TIPO: HEDSTRONG </t>
  </si>
  <si>
    <t xml:space="preserve">LIMA HEDSTROEM HENRY SCHEIN #15-40 X 25 </t>
  </si>
  <si>
    <t xml:space="preserve">ROGIN LIMA HEDSTROEM 15/40 DE 25 MM BLISTER X 6 
UNID  </t>
  </si>
  <si>
    <t xml:space="preserve">26 </t>
  </si>
  <si>
    <t xml:space="preserve">2.9.5-2538.161 </t>
  </si>
  <si>
    <t xml:space="preserve">LIMAS P/ODONTOLOGIA; MATERIAL: CARBURO DE TUNGSTENO, NUMERO: 45/80, LARGO: 25 
mm, TIPO: K </t>
  </si>
  <si>
    <t xml:space="preserve">LIMA K HENRY SCHEIN ENDOFLEX #45-80 X 25 </t>
  </si>
  <si>
    <t xml:space="preserve">ROGIN LIMA K 45/80 DE 25 MM BLISTER X 6 
UNID  </t>
  </si>
  <si>
    <t xml:space="preserve">27 </t>
  </si>
  <si>
    <t xml:space="preserve">2.9.5-5627.4 </t>
  </si>
  <si>
    <t xml:space="preserve">MANGOS DE BISTURI; TIPO: MANGO DE BISTURI, USO: ODONTOLOGICO, CUERPO: 
147 dBV/mPa , CAMBIAR HOJAS: SI, NUMERO: 15, MATERIAL DEL 
CUERPO: 147 dBV/mPa , MATERIAL: METAL </t>
  </si>
  <si>
    <t xml:space="preserve">MANGO P/BISTURI Nº 3 PAKISTAN </t>
  </si>
  <si>
    <t xml:space="preserve">BELKYS MANGO BISTURÍ N° 3 X UNID  </t>
  </si>
  <si>
    <t xml:space="preserve">28 </t>
  </si>
  <si>
    <t xml:space="preserve">2.9.5-5144.7 </t>
  </si>
  <si>
    <t xml:space="preserve">INSTRUMENTAL ODONTOLOGICO; DESCARTABLE: NO, PRESENTACION: UNIDAD, TIPO: EXPLORADOR CURVO P/EXAMEN 
BUCA </t>
  </si>
  <si>
    <t xml:space="preserve">EXPLORADOR # 23 HENRY SCHEIN </t>
  </si>
  <si>
    <t xml:space="preserve">PANORAMA EXPLORADOR X UNID  </t>
  </si>
  <si>
    <t xml:space="preserve">29 </t>
  </si>
  <si>
    <t xml:space="preserve">2.9.5-5144.8 </t>
  </si>
  <si>
    <t xml:space="preserve">INSTRUMENTAL ODONTOLOGICO; TIPO: PINZA DE ALGODON, DESCARTABLE: NO, PRESENTACION: UNIDAD 
</t>
  </si>
  <si>
    <t xml:space="preserve">PANORAMA PINZA ALGODÓN X UNID  </t>
  </si>
  <si>
    <t xml:space="preserve">30 </t>
  </si>
  <si>
    <t xml:space="preserve">2.9.5-5144.9 </t>
  </si>
  <si>
    <t xml:space="preserve">INSTRUMENTAL ODONTOLOGICO; TIPO: MANGO PARA ESPEJO BUCAL, PRESENTACION: UNIDAD, DESCARTABLE: 
NO </t>
  </si>
  <si>
    <t xml:space="preserve">MANGO PARA ESPEJO HENRY SCHEIN </t>
  </si>
  <si>
    <t xml:space="preserve">PANORAMA MANGO ESPEJO X UNID  </t>
  </si>
  <si>
    <t xml:space="preserve">31 </t>
  </si>
  <si>
    <t xml:space="preserve">2.9.5-5144.10 </t>
  </si>
  <si>
    <t xml:space="preserve">INSTRUMENTAL ODONTOLOGICO; TIPO: JERINGAS TIPO CARPULE, PRESENTACION: UNIDAD, DESCARTABLE: NO 
</t>
  </si>
  <si>
    <t xml:space="preserve">JERINGA CARPULE CON ASPIRACION MEDIS </t>
  </si>
  <si>
    <t xml:space="preserve">PAKISTAN JERINGA ARTICULADA X UNID  </t>
  </si>
  <si>
    <t xml:space="preserve">32 </t>
  </si>
  <si>
    <t xml:space="preserve">2.9.5-5144.31 </t>
  </si>
  <si>
    <t xml:space="preserve">INSTRUMENTAL ODONTOLOGICO; TIPO: ALICATE UNIVERSAL, DESCARTABLE: NO, PRESENTACION: UNIDAD </t>
  </si>
  <si>
    <t xml:space="preserve">ALICATE UNIVERSAL PAKISTAN </t>
  </si>
  <si>
    <t xml:space="preserve">PS PAKISTAN ALICATE UNIVERSAL X UNID  </t>
  </si>
  <si>
    <t xml:space="preserve">33 </t>
  </si>
  <si>
    <t xml:space="preserve">2.9.5-5144.118 </t>
  </si>
  <si>
    <t xml:space="preserve">INSTRUMENTAL ODONTOLOGICO; TIPO: BROCHITA P/PROFILAXIS, DESCARTABLE: SI, PRESENTACION: BOLSA X 
100 UN </t>
  </si>
  <si>
    <t xml:space="preserve">BROCHA PROFILAXIS BLANCA P/CA </t>
  </si>
  <si>
    <t xml:space="preserve">TPC BROCHITA P/ PROFILAXIS CAJA X 100 UNID  </t>
  </si>
  <si>
    <t xml:space="preserve">INSTRUMENTAL ODONTOLOGICO; TIPO: BROCHITA P/PROFILAXIS, DESCARTABLE: SI, PRESENTACION: BOLSA X 
100 UN MICRODONT </t>
  </si>
  <si>
    <t xml:space="preserve">34 </t>
  </si>
  <si>
    <t xml:space="preserve">2.9.5-5144.75 </t>
  </si>
  <si>
    <t xml:space="preserve">INSTRUMENTAL ODONTOLOGICO; TIPO: TIRA P/PULIR COMPOSITE, DESCARTABLE: NO, PRESENTACION: ENVASE 
X 100 UN </t>
  </si>
  <si>
    <t xml:space="preserve">MAQUIRA TIRA P/ PULIR COMPOSITE CAJA X 150 UNID  
</t>
  </si>
  <si>
    <t xml:space="preserve">35 </t>
  </si>
  <si>
    <t xml:space="preserve">2.9.5-5144.82 </t>
  </si>
  <si>
    <t xml:space="preserve">INSTRUMENTAL ODONTOLOGICO; TIPO: PAPEL DE ARTICULAR, DESCARTABLE: SI, PRESENTACION: BLOCK 
X 10 </t>
  </si>
  <si>
    <t xml:space="preserve">BETCH PAPEL ARTICULAR DOBLE TONO X 10 LIBRITOS  </t>
  </si>
  <si>
    <t xml:space="preserve">36 </t>
  </si>
  <si>
    <t xml:space="preserve">2.9.5-5144.164 </t>
  </si>
  <si>
    <t xml:space="preserve">INSTRUMENTAL ODONTOLOGICO; TIPO: CUCHARITAS DE BLACK DOBLES, PRESENTACION: UNIDAD, DESCARTABLE: 
NO </t>
  </si>
  <si>
    <t xml:space="preserve">CUCHARILLA DE BLACK DOBLE CORTA IND.ARG </t>
  </si>
  <si>
    <t xml:space="preserve">PANORAMA CUCHARILLA DE BLACK 65/66 X UNID  </t>
  </si>
  <si>
    <t xml:space="preserve">37 </t>
  </si>
  <si>
    <t xml:space="preserve">2.9.5-5144.179 </t>
  </si>
  <si>
    <t xml:space="preserve">INSTRUMENTAL ODONTOLOGICO; TIPO: CEPILLO LIMPIAFRESA, PRESENTACION: UNIDAD, DESCARTABLE: NO </t>
  </si>
  <si>
    <t xml:space="preserve">CEPILLO LIMPIA FRESAS FIJO </t>
  </si>
  <si>
    <t xml:space="preserve">PROVEDURIA LIMPIA FRESA FIJO X UNID  </t>
  </si>
  <si>
    <t xml:space="preserve">38 </t>
  </si>
  <si>
    <t xml:space="preserve">2.9.5-5144.251 </t>
  </si>
  <si>
    <t xml:space="preserve">INSTRUMENTAL ODONTOLOGICO; TIPO: CONO GUTAPERCHA 1ªSERIE, DESCARTABLE: SI, PRESENTACION: UNIDAD 
</t>
  </si>
  <si>
    <t xml:space="preserve">CONO DE GUTA HENRY SCHEIN #15-40 </t>
  </si>
  <si>
    <t xml:space="preserve">META CONO 15/40 CAJA X 120 UNID  </t>
  </si>
  <si>
    <t xml:space="preserve">39 </t>
  </si>
  <si>
    <t xml:space="preserve">2.9.5-5144.252 </t>
  </si>
  <si>
    <t xml:space="preserve">INSTRUMENTAL ODONTOLOGICO; TIPO: CONO GUTAPERCHA 2ªSERIE, DESCARTABLE: SI, PRESENTACION: UNIDAD 
</t>
  </si>
  <si>
    <t xml:space="preserve">CONO DE GUTA 45/80 DIADENT </t>
  </si>
  <si>
    <t xml:space="preserve">META/ DIADENT CONO 45/80 CAJA X 120 UNID  </t>
  </si>
  <si>
    <t xml:space="preserve">40 </t>
  </si>
  <si>
    <t xml:space="preserve">2.9.5-5144.254 </t>
  </si>
  <si>
    <t xml:space="preserve">INSTRUMENTAL ODONTOLOGICO; TIPO: CONO DE PAPEL Nº 45-80, DESCARTABLE: SI, 
PRESENTACION: UNIDAD </t>
  </si>
  <si>
    <t xml:space="preserve">CONO DE PAPEL META 45-80 X 200 U Dp:15017IC04001391Y </t>
  </si>
  <si>
    <t xml:space="preserve">META CONO PAPEL 40/80 CAJA X 200 UNID  </t>
  </si>
  <si>
    <t xml:space="preserve">41 </t>
  </si>
  <si>
    <t xml:space="preserve">2.9.5-5144.370 </t>
  </si>
  <si>
    <t xml:space="preserve">INSTRUMENTAL ODONTOLOGICO; TIPO: PUNTA P/CAVITADOR , DESCARTABLE: SI, PRESENTACION: UNIDAD 
</t>
  </si>
  <si>
    <t xml:space="preserve">42 </t>
  </si>
  <si>
    <t xml:space="preserve">2.9.5-5144.456 </t>
  </si>
  <si>
    <t xml:space="preserve">INSTRUMENTAL ODONTOLOGICO; TIPO: MATRIZ ACERO 6 mm, DESCARTABLE: SI, PRESENTACION: 
ROLLO X 3 M </t>
  </si>
  <si>
    <t xml:space="preserve">MATRIZ DE ACERO EN ROLLO 7 MM X 50 CM 
Dp:19017IC05003755C </t>
  </si>
  <si>
    <t xml:space="preserve">ANGER MATRIZ ACERO ROLLO DE 6 MM X 3 MTS 
</t>
  </si>
  <si>
    <t xml:space="preserve">43 </t>
  </si>
  <si>
    <t xml:space="preserve">2.9.5-5144.462 </t>
  </si>
  <si>
    <t xml:space="preserve">INSTRUMENTAL ODONTOLOGICO; TIPO: PINCEL MICROBRUSH, DESCARTABLE: SI, PRESENTACION: ENVASE X 
100 UN </t>
  </si>
  <si>
    <t xml:space="preserve">APLICADOR P/ADHESIVO SDI X 100 </t>
  </si>
  <si>
    <t xml:space="preserve">ULTRA ONE PINCEL MICROBRUSH APLICADOR X 100 UNID  </t>
  </si>
  <si>
    <t xml:space="preserve">44 </t>
  </si>
  <si>
    <t xml:space="preserve">2.9.5-5144.481 </t>
  </si>
  <si>
    <t xml:space="preserve">INSTRUMENTAL ODONTOLOGICO; TIPO: CLIP P/RADIOGRAFIA, DESCARTABLE: NO, PRESENTACION: UNIDAD </t>
  </si>
  <si>
    <t xml:space="preserve">CLIPS PARA 1 RADIOGRAFIA PLASTICO </t>
  </si>
  <si>
    <t xml:space="preserve">EVODEN CLIP PLÁSTICO X UNID  </t>
  </si>
  <si>
    <t xml:space="preserve">45 </t>
  </si>
  <si>
    <t xml:space="preserve">2.9.5-5144.540 </t>
  </si>
  <si>
    <t xml:space="preserve">INSTRUMENTAL ODONTOLOGICO; TIPO: VASOS, DESCARTABLE: SI, PRESENTACION: CAJA X 3500 
UN </t>
  </si>
  <si>
    <t xml:space="preserve">INDUSTRIA NACIONAL VASO BLANCO DESCARTABLE CAJA X 3500 UNID  
</t>
  </si>
  <si>
    <t xml:space="preserve">46 </t>
  </si>
  <si>
    <t xml:space="preserve">2.9.5-5144.608 </t>
  </si>
  <si>
    <t xml:space="preserve">INSTRUMENTAL ODONTOLOGICO; TIPO: ESPATULA DE YESO, DESCARTABLE: NO, PRESENTACION: UNIDAD 
</t>
  </si>
  <si>
    <t xml:space="preserve">ESPATULA P/YESO PLASTICA ECO </t>
  </si>
  <si>
    <t xml:space="preserve">SHARK ESPÁTULA DE YESO MANGO PLÁSTICO X UNID  </t>
  </si>
  <si>
    <t xml:space="preserve">47 </t>
  </si>
  <si>
    <t xml:space="preserve">2.9.5-5144.654 </t>
  </si>
  <si>
    <t xml:space="preserve">INSTRUMENTAL ODONTOLOGICO; TIPO: TIJERA P/ENCIAS CURVAS, DESCARTABLE: NO, PRESENTACION: UNIDAD 
</t>
  </si>
  <si>
    <t xml:space="preserve">PS TIJERA ENCIAS CURVA X UNID  </t>
  </si>
  <si>
    <t xml:space="preserve">48 </t>
  </si>
  <si>
    <t xml:space="preserve">2.5.2-1883.179 </t>
  </si>
  <si>
    <t xml:space="preserve">ANESTESICOS LOCALES; TIPO: ANESTESIA ODONTOLOGICA, DROGA GENERICA: CLORHIDRATO DE CARTICAINA 
4%, FORMA FARMACEUTICA: ANESTUBOS, PRESENTACION: ENVASE X 25 UN </t>
  </si>
  <si>
    <t xml:space="preserve">ANESTESIA ANESCART FORTE X 100 CARTUCHOS </t>
  </si>
  <si>
    <t xml:space="preserve">SIDUS ANESCART FORTE PVC X 25 UNID  </t>
  </si>
  <si>
    <t xml:space="preserve">ANESTESICOS LOCALES; TIPO: ANESTESIA ODONTOLOGICA, DROGA GENERICA: CLORHIDRATO DE CARTICAINA 
4%, FORMA FARMACEUTICA: ANESTUBOS, PRESENTACION: ENVASE X 25 UN Marca 
ANESCART FORTE - LAB. SIDUS  </t>
  </si>
  <si>
    <t xml:space="preserve">49 </t>
  </si>
  <si>
    <t xml:space="preserve">2.9.5-4208.21 </t>
  </si>
  <si>
    <t xml:space="preserve">ELEMENTOS P/RADIOLOGIA; TIPO: LIQUIDO REVELADOR P/RX, PRESENTACION: ENVASE X 500 
CM3 </t>
  </si>
  <si>
    <t xml:space="preserve">REVELADOR ROMEK X 480 CC </t>
  </si>
  <si>
    <t xml:space="preserve">ROMEK TD-3 REVELADOR RADIGRAFICO  X 500 CC </t>
  </si>
  <si>
    <t xml:space="preserve">ELEMENTOS P/RADIOLOGIA; TIPO: LIQUIDO REVELADOR P/RX, PRESENTACION: ENVASE X 500 
CM3 ROMEK </t>
  </si>
  <si>
    <t xml:space="preserve">50 </t>
  </si>
  <si>
    <t xml:space="preserve">2.9.5-4208.22 </t>
  </si>
  <si>
    <t xml:space="preserve">ELEMENTOS P/RADIOLOGIA; TIPO: LIQUIDO FIJADOR P/RX, PRESENTACION: ENVASE X 500 
CM3 </t>
  </si>
  <si>
    <t xml:space="preserve">FIJADOR ROMEK FRASCO X 480 CC </t>
  </si>
  <si>
    <t xml:space="preserve">ROMEK TD-4 FIJADOR RADIGRÀFICO X 500 CC  </t>
  </si>
  <si>
    <t xml:space="preserve">ELEMENTOS P/RADIOLOGIA; TIPO: LIQUIDO FIJADOR P/RX, PRESENTACION: ENVASE X 500 
CM3 ROMEX </t>
  </si>
  <si>
    <t xml:space="preserve">51 </t>
  </si>
  <si>
    <t xml:space="preserve">2.5.2-3204.13 </t>
  </si>
  <si>
    <t xml:space="preserve">ACIDO GRABADOR ODONTOLOG.; ESTADO: GEL, PRESENTACION: JERINGA X 12 GR, 
CAPACIDAD: 12 GR </t>
  </si>
  <si>
    <t xml:space="preserve">ACIDO GRABADOR DENSELL AZUL X 12 GR </t>
  </si>
  <si>
    <t xml:space="preserve">BIODINAMICA ATTAQUE GEL AL 37% JERINGA X 12 GR  
</t>
  </si>
  <si>
    <t xml:space="preserve">52 </t>
  </si>
  <si>
    <t xml:space="preserve">2.9.5-4274.3 </t>
  </si>
  <si>
    <t xml:space="preserve">ESPEJOS BUCALES; PRESENTACION: CAJA X 12 UN </t>
  </si>
  <si>
    <t xml:space="preserve">ESPEJO SIMPLE BELKYS S/AUMENTO X 12U </t>
  </si>
  <si>
    <t xml:space="preserve">BELKYS ESPEJO METÁLICO CAJA X 12 UNID  </t>
  </si>
  <si>
    <t xml:space="preserve">53 </t>
  </si>
  <si>
    <t xml:space="preserve">2.9.5-441.429 </t>
  </si>
  <si>
    <t xml:space="preserve">AGUJAS QUIRURGICAS; TIPO: ODONTOLOGICA, ESPECIFICACION: CORTA DE 21 mm, PRESENTACION: 
ENVASE X 100 UN </t>
  </si>
  <si>
    <t xml:space="preserve">AGUJA CORTA MEDIC 30G 030 X 21MM </t>
  </si>
  <si>
    <t xml:space="preserve">DOCHEM AGUJA DESCARTABLE CORTA X 100 UNID  </t>
  </si>
  <si>
    <t xml:space="preserve">54 </t>
  </si>
  <si>
    <t xml:space="preserve">2.9.5-441.428 </t>
  </si>
  <si>
    <t xml:space="preserve">AGUJAS QUIRURGICAS; TIPO: CARPULE, ESPECIFICACION: EXTRA CORTAS, PRESENTACION: ENVASE X 
100 UN </t>
  </si>
  <si>
    <t xml:space="preserve">DELTAJET AGUJA DESCARTABLE EXTRA CORTA X 100 UNID  </t>
  </si>
  <si>
    <t xml:space="preserve">55 </t>
  </si>
  <si>
    <t xml:space="preserve">2.9.5-5144.417 </t>
  </si>
  <si>
    <t xml:space="preserve">INSTRUMENTAL ODONTOLOGICO; TIPO: EYECTOR P/SALIVA, DESCARTABLE: SI, PRESENTACION: ENVASE X 
100 </t>
  </si>
  <si>
    <t xml:space="preserve">EYECTOR DESC. ASPIRDENTAL X 100 </t>
  </si>
  <si>
    <t xml:space="preserve">PLUSS SUCTOR DESCARTABLE PAQUETE X 100 UNID  </t>
  </si>
  <si>
    <t xml:space="preserve">INSTRUMENTAL ODONTOLOGICO; TIPO: EYECTOR P/SALIVA, DESCARTABLE: SI, PRESENTACION: ENVASE X 
100 ULTRA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</si>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</sst>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6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65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65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65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65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E2" sqref="E2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3.5703125" customWidth="1"/>
    <col min="5" max="5" width="95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3.28515625" customWidth="1"/>
    <col min="11" max="11" width="14.28515625" customWidth="1"/>
    <col min="12" max="12" width="17.28515625" customWidth="1"/>
    <col min="13" max="13" width="16.5703125" customWidth="1"/>
    <col min="14" max="14" width="62" customWidth="1"/>
    <col min="15" max="15" width="14.28515625" customWidth="1"/>
    <col min="16" max="16" width="17.28515625" customWidth="1"/>
    <col min="17" max="17" width="16.5703125" customWidth="1"/>
    <col min="18" max="18" width="101.85546875" customWidth="1"/>
    <col min="19" max="19" width="14.28515625" customWidth="1"/>
    <col min="20" max="20" width="17.28515625" customWidth="1"/>
    <col min="21" max="21" width="16.5703125" customWidth="1"/>
    <col min="22" max="22" width="95.140625" customWidth="1"/>
  </cols>
  <sheetData>
    <row r="1" spans="1:22" x14ac:dyDescent="0.25">
      <c r="D1" s="2" t="s">
        <v>0</v>
      </c>
      <c r="E1" s="2" t="s">
        <v>1</v>
      </c>
    </row>
    <row r="2" spans="1:22" x14ac:dyDescent="0.25">
      <c r="D2" s="2" t="s">
        <v>2</v>
      </c>
      <c r="E2" s="2" t="s">
        <v>3</v>
      </c>
    </row>
    <row r="3" spans="1:22" x14ac:dyDescent="0.25">
      <c r="D3" s="2" t="s">
        <v>4</v>
      </c>
      <c r="E3" s="2" t="s">
        <v>5</v>
      </c>
    </row>
    <row r="4" spans="1:22" x14ac:dyDescent="0.25">
      <c r="D4" s="2" t="s">
        <v>6</v>
      </c>
      <c r="E4" s="2" t="s">
        <v>7</v>
      </c>
    </row>
    <row r="5" spans="1:22" x14ac:dyDescent="0.25">
      <c r="D5" s="2" t="s">
        <v>8</v>
      </c>
      <c r="E5" s="2" t="s">
        <v>9</v>
      </c>
    </row>
    <row r="8" spans="1:22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</row>
    <row r="9" spans="1:22" x14ac:dyDescent="0.25">
      <c r="A9" t="s">
        <v>10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s="3" t="s">
        <v>20</v>
      </c>
      <c r="H9" s="3" t="s">
        <v>21</v>
      </c>
      <c r="I9" t="s">
        <v>22</v>
      </c>
      <c r="J9" t="s">
        <v>23</v>
      </c>
      <c r="K9" s="3" t="s">
        <v>20</v>
      </c>
      <c r="L9" s="3" t="s">
        <v>21</v>
      </c>
      <c r="M9" t="s">
        <v>22</v>
      </c>
      <c r="N9" t="s">
        <v>23</v>
      </c>
      <c r="O9" s="3" t="s">
        <v>20</v>
      </c>
      <c r="P9" s="3" t="s">
        <v>21</v>
      </c>
      <c r="Q9" t="s">
        <v>22</v>
      </c>
      <c r="R9" t="s">
        <v>23</v>
      </c>
      <c r="S9" s="3" t="s">
        <v>20</v>
      </c>
      <c r="T9" s="3" t="s">
        <v>21</v>
      </c>
      <c r="U9" t="s">
        <v>22</v>
      </c>
      <c r="V9" t="s">
        <v>23</v>
      </c>
    </row>
    <row r="10" spans="1:22" ht="30" x14ac:dyDescent="0.25">
      <c r="A10" t="s">
        <v>24</v>
      </c>
      <c r="B10" t="s">
        <v>24</v>
      </c>
      <c r="C10" t="s">
        <v>25</v>
      </c>
      <c r="D10" s="4" t="s">
        <v>26</v>
      </c>
      <c r="E10">
        <v>4</v>
      </c>
      <c r="F10" t="s">
        <v>27</v>
      </c>
      <c r="G10" s="3">
        <v>850</v>
      </c>
      <c r="H10" s="3">
        <v>4</v>
      </c>
      <c r="I10" s="5">
        <v>3400</v>
      </c>
      <c r="J10" t="s">
        <v>28</v>
      </c>
      <c r="K10" s="3">
        <v>696</v>
      </c>
      <c r="L10" s="3">
        <v>4</v>
      </c>
      <c r="M10" s="5">
        <v>2784</v>
      </c>
      <c r="N10" t="s">
        <v>29</v>
      </c>
      <c r="O10" s="3">
        <v>2289</v>
      </c>
      <c r="P10" s="3">
        <v>4</v>
      </c>
      <c r="Q10" s="5">
        <v>9156</v>
      </c>
      <c r="R10" s="4" t="s">
        <v>30</v>
      </c>
      <c r="S10" s="3"/>
      <c r="T10" s="3"/>
      <c r="U10" s="5"/>
    </row>
    <row r="11" spans="1:22" ht="30" x14ac:dyDescent="0.25">
      <c r="A11" t="s">
        <v>31</v>
      </c>
      <c r="B11" t="s">
        <v>24</v>
      </c>
      <c r="C11" t="s">
        <v>32</v>
      </c>
      <c r="D11" s="4" t="s">
        <v>33</v>
      </c>
      <c r="E11">
        <v>2</v>
      </c>
      <c r="F11" t="s">
        <v>27</v>
      </c>
      <c r="G11" s="3">
        <v>2850</v>
      </c>
      <c r="H11" s="3">
        <v>2</v>
      </c>
      <c r="I11" s="5">
        <v>5700</v>
      </c>
      <c r="J11" t="s">
        <v>34</v>
      </c>
      <c r="K11" s="3">
        <v>2112</v>
      </c>
      <c r="L11" s="3">
        <v>2</v>
      </c>
      <c r="M11" s="5">
        <v>4224</v>
      </c>
      <c r="N11" t="s">
        <v>35</v>
      </c>
      <c r="O11" s="3">
        <v>7090.5</v>
      </c>
      <c r="P11" s="3">
        <v>2</v>
      </c>
      <c r="Q11" s="5">
        <v>14181</v>
      </c>
      <c r="R11" s="4" t="s">
        <v>36</v>
      </c>
      <c r="S11" s="3"/>
      <c r="T11" s="3"/>
      <c r="U11" s="5"/>
    </row>
    <row r="12" spans="1:22" ht="30" x14ac:dyDescent="0.25">
      <c r="A12" t="s">
        <v>37</v>
      </c>
      <c r="B12" t="s">
        <v>24</v>
      </c>
      <c r="C12" t="s">
        <v>38</v>
      </c>
      <c r="D12" s="4" t="s">
        <v>39</v>
      </c>
      <c r="E12">
        <v>3</v>
      </c>
      <c r="F12" t="s">
        <v>27</v>
      </c>
      <c r="G12" s="3">
        <v>6600</v>
      </c>
      <c r="H12" s="3">
        <v>3</v>
      </c>
      <c r="I12" s="5">
        <v>19800</v>
      </c>
      <c r="J12" t="s">
        <v>40</v>
      </c>
      <c r="K12" s="3">
        <v>4284</v>
      </c>
      <c r="L12" s="3">
        <v>3</v>
      </c>
      <c r="M12" s="5">
        <v>12852</v>
      </c>
      <c r="N12" s="4" t="s">
        <v>41</v>
      </c>
      <c r="O12" s="3">
        <v>1041</v>
      </c>
      <c r="P12" s="3">
        <v>3</v>
      </c>
      <c r="Q12" s="5">
        <v>3123</v>
      </c>
      <c r="R12" s="4" t="s">
        <v>42</v>
      </c>
      <c r="S12" s="3"/>
      <c r="T12" s="3"/>
      <c r="U12" s="5"/>
    </row>
    <row r="13" spans="1:22" ht="30" x14ac:dyDescent="0.25">
      <c r="A13" t="s">
        <v>43</v>
      </c>
      <c r="B13" t="s">
        <v>24</v>
      </c>
      <c r="C13" t="s">
        <v>44</v>
      </c>
      <c r="D13" s="4" t="s">
        <v>45</v>
      </c>
      <c r="E13">
        <v>3</v>
      </c>
      <c r="F13" t="s">
        <v>27</v>
      </c>
      <c r="G13" s="3">
        <v>4600</v>
      </c>
      <c r="H13" s="3">
        <v>3</v>
      </c>
      <c r="I13" s="5">
        <v>13800</v>
      </c>
      <c r="J13" t="s">
        <v>46</v>
      </c>
      <c r="K13" s="3">
        <v>2460</v>
      </c>
      <c r="L13" s="3">
        <v>3</v>
      </c>
      <c r="M13" s="5">
        <v>7380</v>
      </c>
      <c r="N13" t="s">
        <v>47</v>
      </c>
      <c r="O13" s="3"/>
      <c r="P13" s="3"/>
      <c r="Q13" s="5"/>
      <c r="S13" s="3"/>
      <c r="T13" s="3"/>
      <c r="U13" s="5"/>
    </row>
    <row r="14" spans="1:22" ht="30" x14ac:dyDescent="0.25">
      <c r="A14" t="s">
        <v>48</v>
      </c>
      <c r="B14" t="s">
        <v>24</v>
      </c>
      <c r="C14" t="s">
        <v>49</v>
      </c>
      <c r="D14" s="4" t="s">
        <v>50</v>
      </c>
      <c r="E14">
        <v>6</v>
      </c>
      <c r="F14" t="s">
        <v>27</v>
      </c>
      <c r="G14" s="3">
        <v>14000</v>
      </c>
      <c r="H14" s="3">
        <v>6</v>
      </c>
      <c r="I14" s="5">
        <v>84000</v>
      </c>
      <c r="J14" s="4" t="s">
        <v>51</v>
      </c>
      <c r="K14" s="3">
        <v>15300</v>
      </c>
      <c r="L14" s="3">
        <v>6</v>
      </c>
      <c r="M14" s="5">
        <v>91800</v>
      </c>
      <c r="N14" s="4" t="s">
        <v>52</v>
      </c>
      <c r="O14" s="3">
        <v>13767</v>
      </c>
      <c r="P14" s="3">
        <v>6</v>
      </c>
      <c r="Q14" s="5">
        <v>82602</v>
      </c>
      <c r="R14" s="4" t="s">
        <v>53</v>
      </c>
      <c r="S14" s="3"/>
      <c r="T14" s="3"/>
      <c r="U14" s="5"/>
    </row>
    <row r="15" spans="1:22" ht="45" x14ac:dyDescent="0.25">
      <c r="A15" t="s">
        <v>54</v>
      </c>
      <c r="B15" t="s">
        <v>24</v>
      </c>
      <c r="C15" t="s">
        <v>55</v>
      </c>
      <c r="D15" s="4" t="s">
        <v>56</v>
      </c>
      <c r="E15">
        <v>4</v>
      </c>
      <c r="F15" t="s">
        <v>27</v>
      </c>
      <c r="G15" s="3">
        <v>15300</v>
      </c>
      <c r="H15" s="3">
        <v>4</v>
      </c>
      <c r="I15" s="5">
        <v>61200</v>
      </c>
      <c r="J15" t="s">
        <v>57</v>
      </c>
      <c r="K15" s="3">
        <v>17400</v>
      </c>
      <c r="L15" s="3">
        <v>4</v>
      </c>
      <c r="M15" s="5">
        <v>69600</v>
      </c>
      <c r="N15" t="s">
        <v>58</v>
      </c>
      <c r="O15" s="3">
        <v>13767</v>
      </c>
      <c r="P15" s="3">
        <v>4</v>
      </c>
      <c r="Q15" s="5">
        <v>55068</v>
      </c>
      <c r="R15" s="4" t="s">
        <v>59</v>
      </c>
      <c r="S15" s="3"/>
      <c r="T15" s="3"/>
      <c r="U15" s="5"/>
    </row>
    <row r="16" spans="1:22" ht="30" x14ac:dyDescent="0.25">
      <c r="A16" t="s">
        <v>60</v>
      </c>
      <c r="B16" t="s">
        <v>24</v>
      </c>
      <c r="C16" t="s">
        <v>61</v>
      </c>
      <c r="D16" s="4" t="s">
        <v>62</v>
      </c>
      <c r="E16">
        <v>2</v>
      </c>
      <c r="F16" t="s">
        <v>27</v>
      </c>
      <c r="G16" s="3">
        <v>1400</v>
      </c>
      <c r="H16" s="3">
        <v>2</v>
      </c>
      <c r="I16" s="5">
        <v>2800</v>
      </c>
      <c r="J16" t="s">
        <v>63</v>
      </c>
      <c r="K16" s="3">
        <v>1020</v>
      </c>
      <c r="L16" s="3">
        <v>2</v>
      </c>
      <c r="M16" s="5">
        <v>2040</v>
      </c>
      <c r="N16" t="s">
        <v>64</v>
      </c>
      <c r="O16" s="3">
        <v>1342</v>
      </c>
      <c r="P16" s="3">
        <v>2</v>
      </c>
      <c r="Q16" s="5">
        <v>2684</v>
      </c>
      <c r="R16" s="4" t="s">
        <v>65</v>
      </c>
      <c r="S16" s="3"/>
      <c r="T16" s="3"/>
      <c r="U16" s="5"/>
    </row>
    <row r="17" spans="1:21" ht="30" x14ac:dyDescent="0.25">
      <c r="A17" t="s">
        <v>66</v>
      </c>
      <c r="B17" t="s">
        <v>24</v>
      </c>
      <c r="C17" t="s">
        <v>67</v>
      </c>
      <c r="D17" s="4" t="s">
        <v>68</v>
      </c>
      <c r="E17">
        <v>4</v>
      </c>
      <c r="F17" t="s">
        <v>27</v>
      </c>
      <c r="G17" s="3">
        <v>5700</v>
      </c>
      <c r="H17" s="3">
        <v>4</v>
      </c>
      <c r="I17" s="5">
        <v>22800</v>
      </c>
      <c r="J17" t="s">
        <v>69</v>
      </c>
      <c r="K17" s="3">
        <v>3840</v>
      </c>
      <c r="L17" s="3">
        <v>4</v>
      </c>
      <c r="M17" s="5">
        <v>15360</v>
      </c>
      <c r="N17" s="4" t="s">
        <v>70</v>
      </c>
      <c r="O17" s="3"/>
      <c r="P17" s="3"/>
      <c r="Q17" s="5"/>
      <c r="S17" s="3"/>
      <c r="T17" s="3"/>
      <c r="U17" s="5"/>
    </row>
    <row r="18" spans="1:21" ht="30" x14ac:dyDescent="0.25">
      <c r="A18" t="s">
        <v>71</v>
      </c>
      <c r="B18" t="s">
        <v>24</v>
      </c>
      <c r="C18" t="s">
        <v>72</v>
      </c>
      <c r="D18" s="4" t="s">
        <v>73</v>
      </c>
      <c r="E18">
        <v>3</v>
      </c>
      <c r="F18" t="s">
        <v>27</v>
      </c>
      <c r="G18" s="3">
        <v>9000</v>
      </c>
      <c r="H18" s="3">
        <v>3</v>
      </c>
      <c r="I18" s="5">
        <v>27000</v>
      </c>
      <c r="J18" t="s">
        <v>74</v>
      </c>
      <c r="K18" s="3">
        <v>5580</v>
      </c>
      <c r="L18" s="3">
        <v>3</v>
      </c>
      <c r="M18" s="5">
        <v>16740</v>
      </c>
      <c r="N18" t="s">
        <v>75</v>
      </c>
      <c r="O18" s="3"/>
      <c r="P18" s="3"/>
      <c r="Q18" s="5"/>
      <c r="S18" s="3"/>
      <c r="T18" s="3"/>
      <c r="U18" s="5"/>
    </row>
    <row r="19" spans="1:21" ht="30" x14ac:dyDescent="0.25">
      <c r="A19" t="s">
        <v>76</v>
      </c>
      <c r="B19" t="s">
        <v>24</v>
      </c>
      <c r="C19" t="s">
        <v>77</v>
      </c>
      <c r="D19" s="4" t="s">
        <v>78</v>
      </c>
      <c r="E19">
        <v>3</v>
      </c>
      <c r="F19" t="s">
        <v>27</v>
      </c>
      <c r="G19" s="3">
        <v>900</v>
      </c>
      <c r="H19" s="3">
        <v>3</v>
      </c>
      <c r="I19" s="5">
        <v>2700</v>
      </c>
      <c r="J19" t="s">
        <v>79</v>
      </c>
      <c r="K19" s="3">
        <v>708</v>
      </c>
      <c r="L19" s="3">
        <v>3</v>
      </c>
      <c r="M19" s="5">
        <v>2124</v>
      </c>
      <c r="N19" t="s">
        <v>80</v>
      </c>
      <c r="O19" s="3">
        <v>1356</v>
      </c>
      <c r="P19" s="3">
        <v>3</v>
      </c>
      <c r="Q19" s="5">
        <v>4068</v>
      </c>
      <c r="R19" s="4" t="s">
        <v>81</v>
      </c>
      <c r="S19" s="3"/>
      <c r="T19" s="3"/>
      <c r="U19" s="5"/>
    </row>
    <row r="20" spans="1:21" ht="45" x14ac:dyDescent="0.25">
      <c r="A20" t="s">
        <v>82</v>
      </c>
      <c r="B20" t="s">
        <v>24</v>
      </c>
      <c r="C20" t="s">
        <v>83</v>
      </c>
      <c r="D20" s="4" t="s">
        <v>84</v>
      </c>
      <c r="E20">
        <v>2</v>
      </c>
      <c r="F20" t="s">
        <v>27</v>
      </c>
      <c r="G20" s="3">
        <v>2200</v>
      </c>
      <c r="H20" s="3">
        <v>2</v>
      </c>
      <c r="I20" s="5">
        <v>4400</v>
      </c>
      <c r="J20" t="s">
        <v>85</v>
      </c>
      <c r="K20" s="3">
        <v>1380</v>
      </c>
      <c r="L20" s="3">
        <v>2</v>
      </c>
      <c r="M20" s="5">
        <v>2760</v>
      </c>
      <c r="N20" t="s">
        <v>86</v>
      </c>
      <c r="O20" s="3">
        <v>2517</v>
      </c>
      <c r="P20" s="3">
        <v>2</v>
      </c>
      <c r="Q20" s="5">
        <v>5034</v>
      </c>
      <c r="R20" s="4" t="s">
        <v>84</v>
      </c>
      <c r="S20" s="3"/>
      <c r="T20" s="3"/>
      <c r="U20" s="5"/>
    </row>
    <row r="21" spans="1:21" ht="30" x14ac:dyDescent="0.25">
      <c r="A21" t="s">
        <v>87</v>
      </c>
      <c r="B21" t="s">
        <v>24</v>
      </c>
      <c r="C21" t="s">
        <v>88</v>
      </c>
      <c r="D21" s="4" t="s">
        <v>89</v>
      </c>
      <c r="E21">
        <v>4</v>
      </c>
      <c r="F21" t="s">
        <v>27</v>
      </c>
      <c r="G21" s="3">
        <v>7000</v>
      </c>
      <c r="H21" s="3">
        <v>4</v>
      </c>
      <c r="I21" s="5">
        <v>28000</v>
      </c>
      <c r="J21" t="s">
        <v>90</v>
      </c>
      <c r="K21" s="3">
        <v>2712</v>
      </c>
      <c r="L21" s="3">
        <v>4</v>
      </c>
      <c r="M21" s="5">
        <v>10848</v>
      </c>
      <c r="N21" t="s">
        <v>91</v>
      </c>
      <c r="O21" s="3"/>
      <c r="P21" s="3"/>
      <c r="Q21" s="5"/>
      <c r="S21" s="3"/>
      <c r="T21" s="3"/>
      <c r="U21" s="5"/>
    </row>
    <row r="22" spans="1:21" ht="30" x14ac:dyDescent="0.25">
      <c r="A22" t="s">
        <v>92</v>
      </c>
      <c r="B22" t="s">
        <v>24</v>
      </c>
      <c r="C22" t="s">
        <v>93</v>
      </c>
      <c r="D22" s="4" t="s">
        <v>94</v>
      </c>
      <c r="E22">
        <v>3</v>
      </c>
      <c r="F22" t="s">
        <v>27</v>
      </c>
      <c r="G22" s="3">
        <v>7000</v>
      </c>
      <c r="H22" s="3">
        <v>3</v>
      </c>
      <c r="I22" s="5">
        <v>21000</v>
      </c>
      <c r="J22" t="s">
        <v>95</v>
      </c>
      <c r="K22" s="3">
        <v>2712</v>
      </c>
      <c r="L22" s="3">
        <v>3</v>
      </c>
      <c r="M22" s="5">
        <v>8136</v>
      </c>
      <c r="N22" t="s">
        <v>96</v>
      </c>
      <c r="O22" s="3"/>
      <c r="P22" s="3"/>
      <c r="Q22" s="5"/>
      <c r="S22" s="3"/>
      <c r="T22" s="3"/>
      <c r="U22" s="5"/>
    </row>
    <row r="23" spans="1:21" ht="30" x14ac:dyDescent="0.25">
      <c r="A23" t="s">
        <v>97</v>
      </c>
      <c r="B23" t="s">
        <v>24</v>
      </c>
      <c r="C23" t="s">
        <v>98</v>
      </c>
      <c r="D23" s="4" t="s">
        <v>99</v>
      </c>
      <c r="E23">
        <v>2</v>
      </c>
      <c r="F23" t="s">
        <v>27</v>
      </c>
      <c r="G23" s="3">
        <v>2900</v>
      </c>
      <c r="H23" s="3">
        <v>2</v>
      </c>
      <c r="I23" s="5">
        <v>5800</v>
      </c>
      <c r="J23" t="s">
        <v>100</v>
      </c>
      <c r="K23" s="3">
        <v>2388</v>
      </c>
      <c r="L23" s="3">
        <v>2</v>
      </c>
      <c r="M23" s="5">
        <v>4776</v>
      </c>
      <c r="N23" t="s">
        <v>101</v>
      </c>
      <c r="O23" s="3"/>
      <c r="P23" s="3"/>
      <c r="Q23" s="5"/>
      <c r="S23" s="3"/>
      <c r="T23" s="3"/>
      <c r="U23" s="5"/>
    </row>
    <row r="24" spans="1:21" x14ac:dyDescent="0.25">
      <c r="A24" t="s">
        <v>102</v>
      </c>
      <c r="B24" t="s">
        <v>24</v>
      </c>
      <c r="C24" t="s">
        <v>103</v>
      </c>
      <c r="D24" t="s">
        <v>104</v>
      </c>
      <c r="E24">
        <v>1</v>
      </c>
      <c r="F24" t="s">
        <v>27</v>
      </c>
      <c r="G24" s="3">
        <v>22000</v>
      </c>
      <c r="H24" s="3">
        <v>1</v>
      </c>
      <c r="I24" s="5">
        <v>22000</v>
      </c>
      <c r="J24" t="s">
        <v>105</v>
      </c>
      <c r="K24" s="3">
        <v>4200</v>
      </c>
      <c r="L24" s="3">
        <v>1</v>
      </c>
      <c r="M24" s="5">
        <v>4200</v>
      </c>
      <c r="N24" t="s">
        <v>106</v>
      </c>
      <c r="O24" s="3"/>
      <c r="P24" s="3"/>
      <c r="Q24" s="5"/>
      <c r="S24" s="3"/>
      <c r="T24" s="3"/>
      <c r="U24" s="5"/>
    </row>
    <row r="25" spans="1:21" x14ac:dyDescent="0.25">
      <c r="A25" t="s">
        <v>107</v>
      </c>
      <c r="B25" t="s">
        <v>24</v>
      </c>
      <c r="C25" t="s">
        <v>108</v>
      </c>
      <c r="D25" t="s">
        <v>109</v>
      </c>
      <c r="E25">
        <v>1</v>
      </c>
      <c r="F25" t="s">
        <v>27</v>
      </c>
      <c r="G25" s="3">
        <v>22000</v>
      </c>
      <c r="H25" s="3">
        <v>1</v>
      </c>
      <c r="I25" s="5">
        <v>22000</v>
      </c>
      <c r="J25" t="s">
        <v>105</v>
      </c>
      <c r="K25" s="3">
        <v>7286</v>
      </c>
      <c r="L25" s="3">
        <v>1</v>
      </c>
      <c r="M25" s="5">
        <v>7286</v>
      </c>
      <c r="N25" t="s">
        <v>110</v>
      </c>
      <c r="O25" s="3"/>
      <c r="P25" s="3"/>
      <c r="Q25" s="5"/>
      <c r="S25" s="3"/>
      <c r="T25" s="3"/>
      <c r="U25" s="5"/>
    </row>
    <row r="26" spans="1:21" x14ac:dyDescent="0.25">
      <c r="A26" t="s">
        <v>111</v>
      </c>
      <c r="B26" t="s">
        <v>24</v>
      </c>
      <c r="C26" t="s">
        <v>112</v>
      </c>
      <c r="D26" t="s">
        <v>113</v>
      </c>
      <c r="E26">
        <v>3</v>
      </c>
      <c r="F26" t="s">
        <v>27</v>
      </c>
      <c r="G26" s="3">
        <v>22000</v>
      </c>
      <c r="H26" s="3">
        <v>3</v>
      </c>
      <c r="I26" s="5">
        <v>66000</v>
      </c>
      <c r="J26" t="s">
        <v>114</v>
      </c>
      <c r="K26" s="3">
        <v>15588</v>
      </c>
      <c r="L26" s="3">
        <v>3</v>
      </c>
      <c r="M26" s="5">
        <v>46764</v>
      </c>
      <c r="N26" t="s">
        <v>115</v>
      </c>
      <c r="O26" s="3"/>
      <c r="P26" s="3"/>
      <c r="Q26" s="5"/>
      <c r="S26" s="3"/>
      <c r="T26" s="3"/>
      <c r="U26" s="5"/>
    </row>
    <row r="27" spans="1:21" ht="30" x14ac:dyDescent="0.25">
      <c r="A27" t="s">
        <v>116</v>
      </c>
      <c r="B27" t="s">
        <v>24</v>
      </c>
      <c r="C27" t="s">
        <v>117</v>
      </c>
      <c r="D27" s="4" t="s">
        <v>118</v>
      </c>
      <c r="E27">
        <v>1</v>
      </c>
      <c r="F27" t="s">
        <v>27</v>
      </c>
      <c r="G27" s="3">
        <v>26200</v>
      </c>
      <c r="H27" s="3">
        <v>1</v>
      </c>
      <c r="I27" s="5">
        <v>26200</v>
      </c>
      <c r="J27" t="s">
        <v>119</v>
      </c>
      <c r="K27" s="3">
        <v>5760</v>
      </c>
      <c r="L27" s="3">
        <v>1</v>
      </c>
      <c r="M27" s="5">
        <v>5760</v>
      </c>
      <c r="N27" t="s">
        <v>120</v>
      </c>
      <c r="O27" s="3"/>
      <c r="P27" s="3"/>
      <c r="Q27" s="5"/>
      <c r="S27" s="3"/>
      <c r="T27" s="3"/>
      <c r="U27" s="5"/>
    </row>
    <row r="28" spans="1:21" ht="30" x14ac:dyDescent="0.25">
      <c r="A28" t="s">
        <v>121</v>
      </c>
      <c r="B28" t="s">
        <v>24</v>
      </c>
      <c r="C28" t="s">
        <v>122</v>
      </c>
      <c r="D28" s="4" t="s">
        <v>123</v>
      </c>
      <c r="E28">
        <v>2</v>
      </c>
      <c r="F28" t="s">
        <v>27</v>
      </c>
      <c r="G28" s="3">
        <v>30500</v>
      </c>
      <c r="H28" s="3">
        <v>2</v>
      </c>
      <c r="I28" s="5">
        <v>61000</v>
      </c>
      <c r="J28" t="s">
        <v>124</v>
      </c>
      <c r="K28" s="3">
        <v>18457</v>
      </c>
      <c r="L28" s="3">
        <v>2</v>
      </c>
      <c r="M28" s="5">
        <v>36914</v>
      </c>
      <c r="N28" t="s">
        <v>125</v>
      </c>
      <c r="O28" s="3"/>
      <c r="P28" s="3"/>
      <c r="Q28" s="5"/>
      <c r="S28" s="3"/>
      <c r="T28" s="3"/>
      <c r="U28" s="5"/>
    </row>
    <row r="29" spans="1:21" x14ac:dyDescent="0.25">
      <c r="A29" t="s">
        <v>126</v>
      </c>
      <c r="B29" t="s">
        <v>24</v>
      </c>
      <c r="C29" t="s">
        <v>127</v>
      </c>
      <c r="D29" t="s">
        <v>128</v>
      </c>
      <c r="E29">
        <v>3</v>
      </c>
      <c r="F29" t="s">
        <v>27</v>
      </c>
      <c r="G29" s="3">
        <v>2700</v>
      </c>
      <c r="H29" s="3">
        <v>3</v>
      </c>
      <c r="I29" s="5">
        <v>8100</v>
      </c>
      <c r="J29" t="s">
        <v>129</v>
      </c>
      <c r="K29" s="3">
        <v>2388</v>
      </c>
      <c r="L29" s="3">
        <v>3</v>
      </c>
      <c r="M29" s="5">
        <v>7164</v>
      </c>
      <c r="N29" t="s">
        <v>130</v>
      </c>
      <c r="O29" s="3"/>
      <c r="P29" s="3"/>
      <c r="Q29" s="5"/>
      <c r="S29" s="3"/>
      <c r="T29" s="3"/>
      <c r="U29" s="5"/>
    </row>
    <row r="30" spans="1:21" ht="30" x14ac:dyDescent="0.25">
      <c r="A30" t="s">
        <v>131</v>
      </c>
      <c r="B30" t="s">
        <v>24</v>
      </c>
      <c r="C30" t="s">
        <v>132</v>
      </c>
      <c r="D30" s="4" t="s">
        <v>133</v>
      </c>
      <c r="E30">
        <v>1</v>
      </c>
      <c r="F30" t="s">
        <v>27</v>
      </c>
      <c r="G30" s="3">
        <v>30500</v>
      </c>
      <c r="H30" s="3">
        <v>1</v>
      </c>
      <c r="I30" s="5">
        <v>30500</v>
      </c>
      <c r="J30" t="s">
        <v>134</v>
      </c>
      <c r="K30" s="3">
        <v>19260</v>
      </c>
      <c r="L30" s="3">
        <v>1</v>
      </c>
      <c r="M30" s="5">
        <v>19260</v>
      </c>
      <c r="N30" s="4" t="s">
        <v>135</v>
      </c>
      <c r="O30" s="3"/>
      <c r="P30" s="3"/>
      <c r="Q30" s="5"/>
      <c r="S30" s="3"/>
      <c r="T30" s="3"/>
      <c r="U30" s="5"/>
    </row>
    <row r="31" spans="1:21" x14ac:dyDescent="0.25">
      <c r="A31" t="s">
        <v>136</v>
      </c>
      <c r="B31" t="s">
        <v>24</v>
      </c>
      <c r="C31" t="s">
        <v>137</v>
      </c>
      <c r="D31" t="s">
        <v>138</v>
      </c>
      <c r="E31">
        <v>1</v>
      </c>
      <c r="F31" t="s">
        <v>27</v>
      </c>
      <c r="G31" s="3">
        <v>32000</v>
      </c>
      <c r="H31" s="3">
        <v>1</v>
      </c>
      <c r="I31" s="5">
        <v>32000</v>
      </c>
      <c r="J31" t="s">
        <v>139</v>
      </c>
      <c r="K31" s="3">
        <v>20280</v>
      </c>
      <c r="L31" s="3">
        <v>1</v>
      </c>
      <c r="M31" s="5">
        <v>20280</v>
      </c>
      <c r="N31" t="s">
        <v>140</v>
      </c>
      <c r="O31" s="3"/>
      <c r="P31" s="3"/>
      <c r="Q31" s="5"/>
      <c r="S31" s="3"/>
      <c r="T31" s="3"/>
      <c r="U31" s="5"/>
    </row>
    <row r="32" spans="1:21" x14ac:dyDescent="0.25">
      <c r="A32" t="s">
        <v>141</v>
      </c>
      <c r="B32" t="s">
        <v>24</v>
      </c>
      <c r="C32" t="s">
        <v>142</v>
      </c>
      <c r="D32" t="s">
        <v>143</v>
      </c>
      <c r="E32">
        <v>3</v>
      </c>
      <c r="F32" t="s">
        <v>27</v>
      </c>
      <c r="G32" s="3"/>
      <c r="H32" s="3"/>
      <c r="I32" s="5"/>
      <c r="K32" s="3">
        <v>660</v>
      </c>
      <c r="L32" s="3">
        <v>3</v>
      </c>
      <c r="M32" s="5">
        <v>1980</v>
      </c>
      <c r="N32" t="s">
        <v>144</v>
      </c>
      <c r="O32" s="3"/>
      <c r="P32" s="3"/>
      <c r="Q32" s="5"/>
      <c r="S32" s="3"/>
      <c r="T32" s="3"/>
      <c r="U32" s="5"/>
    </row>
    <row r="33" spans="1:21" ht="30" x14ac:dyDescent="0.25">
      <c r="A33" t="s">
        <v>145</v>
      </c>
      <c r="B33" t="s">
        <v>24</v>
      </c>
      <c r="C33" t="s">
        <v>146</v>
      </c>
      <c r="D33" s="4" t="s">
        <v>147</v>
      </c>
      <c r="E33">
        <v>3</v>
      </c>
      <c r="F33" t="s">
        <v>27</v>
      </c>
      <c r="G33" s="3"/>
      <c r="H33" s="3"/>
      <c r="I33" s="5"/>
      <c r="K33" s="3">
        <v>660</v>
      </c>
      <c r="L33" s="3">
        <v>3</v>
      </c>
      <c r="M33" s="5">
        <v>1980</v>
      </c>
      <c r="N33" t="s">
        <v>148</v>
      </c>
      <c r="O33" s="3"/>
      <c r="P33" s="3"/>
      <c r="Q33" s="5"/>
      <c r="S33" s="3"/>
      <c r="T33" s="3"/>
      <c r="U33" s="5"/>
    </row>
    <row r="34" spans="1:21" ht="30" x14ac:dyDescent="0.25">
      <c r="A34" t="s">
        <v>149</v>
      </c>
      <c r="B34" t="s">
        <v>24</v>
      </c>
      <c r="C34" t="s">
        <v>150</v>
      </c>
      <c r="D34" s="4" t="s">
        <v>151</v>
      </c>
      <c r="E34">
        <v>2</v>
      </c>
      <c r="F34" t="s">
        <v>27</v>
      </c>
      <c r="G34" s="3">
        <v>3000</v>
      </c>
      <c r="H34" s="3">
        <v>2</v>
      </c>
      <c r="I34" s="5">
        <v>6000</v>
      </c>
      <c r="J34" t="s">
        <v>152</v>
      </c>
      <c r="K34" s="3">
        <v>1296</v>
      </c>
      <c r="L34" s="3">
        <v>2</v>
      </c>
      <c r="M34" s="5">
        <v>2592</v>
      </c>
      <c r="N34" s="4" t="s">
        <v>153</v>
      </c>
      <c r="O34" s="3">
        <v>3630</v>
      </c>
      <c r="P34" s="3">
        <v>2</v>
      </c>
      <c r="Q34" s="5">
        <v>7260</v>
      </c>
      <c r="R34" s="4" t="s">
        <v>151</v>
      </c>
      <c r="S34" s="3"/>
      <c r="T34" s="3"/>
      <c r="U34" s="5"/>
    </row>
    <row r="35" spans="1:21" ht="30" x14ac:dyDescent="0.25">
      <c r="A35" t="s">
        <v>154</v>
      </c>
      <c r="B35" t="s">
        <v>24</v>
      </c>
      <c r="C35" t="s">
        <v>155</v>
      </c>
      <c r="D35" s="4" t="s">
        <v>156</v>
      </c>
      <c r="E35">
        <v>2</v>
      </c>
      <c r="F35" t="s">
        <v>27</v>
      </c>
      <c r="G35" s="3">
        <v>3000</v>
      </c>
      <c r="H35" s="3">
        <v>2</v>
      </c>
      <c r="I35" s="5">
        <v>6000</v>
      </c>
      <c r="J35" t="s">
        <v>157</v>
      </c>
      <c r="K35" s="3">
        <v>1296</v>
      </c>
      <c r="L35" s="3">
        <v>2</v>
      </c>
      <c r="M35" s="5">
        <v>2592</v>
      </c>
      <c r="N35" s="4" t="s">
        <v>158</v>
      </c>
      <c r="O35" s="3">
        <v>3630</v>
      </c>
      <c r="P35" s="3">
        <v>2</v>
      </c>
      <c r="Q35" s="5">
        <v>7260</v>
      </c>
      <c r="R35" s="4" t="s">
        <v>156</v>
      </c>
      <c r="S35" s="3"/>
      <c r="T35" s="3"/>
      <c r="U35" s="5"/>
    </row>
    <row r="36" spans="1:21" ht="45" x14ac:dyDescent="0.25">
      <c r="A36" t="s">
        <v>159</v>
      </c>
      <c r="B36" t="s">
        <v>24</v>
      </c>
      <c r="C36" t="s">
        <v>160</v>
      </c>
      <c r="D36" s="4" t="s">
        <v>161</v>
      </c>
      <c r="E36">
        <v>1</v>
      </c>
      <c r="F36" t="s">
        <v>27</v>
      </c>
      <c r="G36" s="3">
        <v>900</v>
      </c>
      <c r="H36" s="3">
        <v>1</v>
      </c>
      <c r="I36" s="5">
        <v>900</v>
      </c>
      <c r="J36" t="s">
        <v>162</v>
      </c>
      <c r="K36" s="3">
        <v>612</v>
      </c>
      <c r="L36" s="3">
        <v>1</v>
      </c>
      <c r="M36" s="5">
        <v>612</v>
      </c>
      <c r="N36" t="s">
        <v>163</v>
      </c>
      <c r="O36" s="3"/>
      <c r="P36" s="3"/>
      <c r="Q36" s="5"/>
      <c r="S36" s="3"/>
      <c r="T36" s="3"/>
      <c r="U36" s="5"/>
    </row>
    <row r="37" spans="1:21" ht="45" x14ac:dyDescent="0.25">
      <c r="A37" t="s">
        <v>164</v>
      </c>
      <c r="B37" t="s">
        <v>24</v>
      </c>
      <c r="C37" t="s">
        <v>165</v>
      </c>
      <c r="D37" s="4" t="s">
        <v>166</v>
      </c>
      <c r="E37">
        <v>20</v>
      </c>
      <c r="F37" t="s">
        <v>27</v>
      </c>
      <c r="G37" s="3">
        <v>2200</v>
      </c>
      <c r="H37" s="3">
        <v>20</v>
      </c>
      <c r="I37" s="5">
        <v>44000</v>
      </c>
      <c r="J37" t="s">
        <v>167</v>
      </c>
      <c r="K37" s="3">
        <v>576</v>
      </c>
      <c r="L37" s="3">
        <v>20</v>
      </c>
      <c r="M37" s="5">
        <v>11520</v>
      </c>
      <c r="N37" t="s">
        <v>168</v>
      </c>
      <c r="O37" s="3"/>
      <c r="P37" s="3"/>
      <c r="Q37" s="5"/>
      <c r="S37" s="3"/>
      <c r="T37" s="3"/>
      <c r="U37" s="5"/>
    </row>
    <row r="38" spans="1:21" ht="30" x14ac:dyDescent="0.25">
      <c r="A38" t="s">
        <v>169</v>
      </c>
      <c r="B38" t="s">
        <v>24</v>
      </c>
      <c r="C38" t="s">
        <v>170</v>
      </c>
      <c r="D38" s="4" t="s">
        <v>171</v>
      </c>
      <c r="E38">
        <v>20</v>
      </c>
      <c r="F38" t="s">
        <v>27</v>
      </c>
      <c r="G38" s="3"/>
      <c r="H38" s="3"/>
      <c r="I38" s="5"/>
      <c r="K38" s="3">
        <v>588</v>
      </c>
      <c r="L38" s="3">
        <v>20</v>
      </c>
      <c r="M38" s="5">
        <v>11760</v>
      </c>
      <c r="N38" t="s">
        <v>172</v>
      </c>
      <c r="O38" s="3"/>
      <c r="P38" s="3"/>
      <c r="Q38" s="5"/>
      <c r="S38" s="3"/>
      <c r="T38" s="3"/>
      <c r="U38" s="5"/>
    </row>
    <row r="39" spans="1:21" ht="30" x14ac:dyDescent="0.25">
      <c r="A39" t="s">
        <v>173</v>
      </c>
      <c r="B39" t="s">
        <v>24</v>
      </c>
      <c r="C39" t="s">
        <v>174</v>
      </c>
      <c r="D39" s="4" t="s">
        <v>175</v>
      </c>
      <c r="E39">
        <v>25</v>
      </c>
      <c r="F39" t="s">
        <v>27</v>
      </c>
      <c r="G39" s="3">
        <v>1100</v>
      </c>
      <c r="H39" s="3">
        <v>25</v>
      </c>
      <c r="I39" s="5">
        <v>27500</v>
      </c>
      <c r="J39" t="s">
        <v>176</v>
      </c>
      <c r="K39" s="3">
        <v>468</v>
      </c>
      <c r="L39" s="3">
        <v>25</v>
      </c>
      <c r="M39" s="5">
        <v>11700</v>
      </c>
      <c r="N39" t="s">
        <v>177</v>
      </c>
      <c r="O39" s="3"/>
      <c r="P39" s="3"/>
      <c r="Q39" s="5"/>
      <c r="S39" s="3"/>
      <c r="T39" s="3"/>
      <c r="U39" s="5"/>
    </row>
    <row r="40" spans="1:21" ht="30" x14ac:dyDescent="0.25">
      <c r="A40" t="s">
        <v>178</v>
      </c>
      <c r="B40" t="s">
        <v>24</v>
      </c>
      <c r="C40" t="s">
        <v>179</v>
      </c>
      <c r="D40" s="4" t="s">
        <v>180</v>
      </c>
      <c r="E40">
        <v>3</v>
      </c>
      <c r="F40" t="s">
        <v>27</v>
      </c>
      <c r="G40" s="3">
        <v>9500</v>
      </c>
      <c r="H40" s="3">
        <v>3</v>
      </c>
      <c r="I40" s="5">
        <v>28500</v>
      </c>
      <c r="J40" t="s">
        <v>181</v>
      </c>
      <c r="K40" s="3">
        <v>3588</v>
      </c>
      <c r="L40" s="3">
        <v>3</v>
      </c>
      <c r="M40" s="5">
        <v>10764</v>
      </c>
      <c r="N40" t="s">
        <v>182</v>
      </c>
      <c r="O40" s="3"/>
      <c r="P40" s="3"/>
      <c r="Q40" s="5"/>
      <c r="S40" s="3"/>
      <c r="T40" s="3"/>
      <c r="U40" s="5"/>
    </row>
    <row r="41" spans="1:21" x14ac:dyDescent="0.25">
      <c r="A41" t="s">
        <v>183</v>
      </c>
      <c r="B41" t="s">
        <v>24</v>
      </c>
      <c r="C41" t="s">
        <v>184</v>
      </c>
      <c r="D41" t="s">
        <v>185</v>
      </c>
      <c r="E41">
        <v>1</v>
      </c>
      <c r="F41" t="s">
        <v>27</v>
      </c>
      <c r="G41" s="3">
        <v>4500</v>
      </c>
      <c r="H41" s="3">
        <v>1</v>
      </c>
      <c r="I41" s="5">
        <v>4500</v>
      </c>
      <c r="J41" t="s">
        <v>186</v>
      </c>
      <c r="K41" s="3">
        <v>3348</v>
      </c>
      <c r="L41" s="3">
        <v>1</v>
      </c>
      <c r="M41" s="5">
        <v>3348</v>
      </c>
      <c r="N41" t="s">
        <v>187</v>
      </c>
      <c r="O41" s="3"/>
      <c r="P41" s="3"/>
      <c r="Q41" s="5"/>
      <c r="S41" s="3"/>
      <c r="T41" s="3"/>
      <c r="U41" s="5"/>
    </row>
    <row r="42" spans="1:21" ht="30" x14ac:dyDescent="0.25">
      <c r="A42" t="s">
        <v>188</v>
      </c>
      <c r="B42" t="s">
        <v>24</v>
      </c>
      <c r="C42" t="s">
        <v>189</v>
      </c>
      <c r="D42" s="4" t="s">
        <v>190</v>
      </c>
      <c r="E42">
        <v>1</v>
      </c>
      <c r="F42" t="s">
        <v>27</v>
      </c>
      <c r="G42" s="3">
        <v>14000</v>
      </c>
      <c r="H42" s="3">
        <v>1</v>
      </c>
      <c r="I42" s="5">
        <v>14000</v>
      </c>
      <c r="J42" t="s">
        <v>191</v>
      </c>
      <c r="K42" s="3">
        <v>11400</v>
      </c>
      <c r="L42" s="3">
        <v>1</v>
      </c>
      <c r="M42" s="5">
        <v>11400</v>
      </c>
      <c r="N42" t="s">
        <v>192</v>
      </c>
      <c r="O42" s="3">
        <v>29151</v>
      </c>
      <c r="P42" s="3">
        <v>1</v>
      </c>
      <c r="Q42" s="5">
        <v>29151</v>
      </c>
      <c r="R42" s="4" t="s">
        <v>193</v>
      </c>
      <c r="S42" s="3"/>
      <c r="T42" s="3"/>
      <c r="U42" s="5"/>
    </row>
    <row r="43" spans="1:21" ht="30" x14ac:dyDescent="0.25">
      <c r="A43" t="s">
        <v>194</v>
      </c>
      <c r="B43" t="s">
        <v>24</v>
      </c>
      <c r="C43" t="s">
        <v>195</v>
      </c>
      <c r="D43" s="4" t="s">
        <v>196</v>
      </c>
      <c r="E43">
        <v>1</v>
      </c>
      <c r="F43" t="s">
        <v>27</v>
      </c>
      <c r="G43" s="3"/>
      <c r="H43" s="3"/>
      <c r="I43" s="5"/>
      <c r="K43" s="3">
        <v>2388</v>
      </c>
      <c r="L43" s="3">
        <v>1</v>
      </c>
      <c r="M43" s="5">
        <v>2388</v>
      </c>
      <c r="N43" s="4" t="s">
        <v>197</v>
      </c>
      <c r="O43" s="3"/>
      <c r="P43" s="3"/>
      <c r="Q43" s="5"/>
      <c r="S43" s="3"/>
      <c r="T43" s="3"/>
      <c r="U43" s="5"/>
    </row>
    <row r="44" spans="1:21" ht="30" x14ac:dyDescent="0.25">
      <c r="A44" t="s">
        <v>198</v>
      </c>
      <c r="B44" t="s">
        <v>24</v>
      </c>
      <c r="C44" t="s">
        <v>199</v>
      </c>
      <c r="D44" s="4" t="s">
        <v>200</v>
      </c>
      <c r="E44">
        <v>3</v>
      </c>
      <c r="F44" t="s">
        <v>27</v>
      </c>
      <c r="G44" s="3"/>
      <c r="H44" s="3"/>
      <c r="I44" s="5"/>
      <c r="K44" s="3">
        <v>2160</v>
      </c>
      <c r="L44" s="3">
        <v>3</v>
      </c>
      <c r="M44" s="5">
        <v>6480</v>
      </c>
      <c r="N44" t="s">
        <v>201</v>
      </c>
      <c r="O44" s="3"/>
      <c r="P44" s="3"/>
      <c r="Q44" s="5"/>
      <c r="S44" s="3"/>
      <c r="T44" s="3"/>
      <c r="U44" s="5"/>
    </row>
    <row r="45" spans="1:21" ht="30" x14ac:dyDescent="0.25">
      <c r="A45" t="s">
        <v>202</v>
      </c>
      <c r="B45" t="s">
        <v>24</v>
      </c>
      <c r="C45" t="s">
        <v>203</v>
      </c>
      <c r="D45" s="4" t="s">
        <v>204</v>
      </c>
      <c r="E45">
        <v>5</v>
      </c>
      <c r="F45" t="s">
        <v>27</v>
      </c>
      <c r="G45" s="3">
        <v>1400</v>
      </c>
      <c r="H45" s="3">
        <v>5</v>
      </c>
      <c r="I45" s="5">
        <v>7000</v>
      </c>
      <c r="J45" t="s">
        <v>205</v>
      </c>
      <c r="K45" s="3">
        <v>660</v>
      </c>
      <c r="L45" s="3">
        <v>5</v>
      </c>
      <c r="M45" s="5">
        <v>3300</v>
      </c>
      <c r="N45" t="s">
        <v>206</v>
      </c>
      <c r="O45" s="3"/>
      <c r="P45" s="3"/>
      <c r="Q45" s="5"/>
      <c r="S45" s="3"/>
      <c r="T45" s="3"/>
      <c r="U45" s="5"/>
    </row>
    <row r="46" spans="1:21" x14ac:dyDescent="0.25">
      <c r="A46" t="s">
        <v>207</v>
      </c>
      <c r="B46" t="s">
        <v>24</v>
      </c>
      <c r="C46" t="s">
        <v>208</v>
      </c>
      <c r="D46" t="s">
        <v>209</v>
      </c>
      <c r="E46">
        <v>4</v>
      </c>
      <c r="F46" t="s">
        <v>27</v>
      </c>
      <c r="G46" s="3">
        <v>900</v>
      </c>
      <c r="H46" s="3">
        <v>4</v>
      </c>
      <c r="I46" s="5">
        <v>3600</v>
      </c>
      <c r="J46" t="s">
        <v>210</v>
      </c>
      <c r="K46" s="3">
        <v>564</v>
      </c>
      <c r="L46" s="3">
        <v>4</v>
      </c>
      <c r="M46" s="5">
        <v>2256</v>
      </c>
      <c r="N46" t="s">
        <v>211</v>
      </c>
      <c r="O46" s="3"/>
      <c r="P46" s="3"/>
      <c r="Q46" s="5"/>
      <c r="S46" s="3"/>
      <c r="T46" s="3"/>
      <c r="U46" s="5"/>
    </row>
    <row r="47" spans="1:21" ht="30" x14ac:dyDescent="0.25">
      <c r="A47" t="s">
        <v>212</v>
      </c>
      <c r="B47" t="s">
        <v>24</v>
      </c>
      <c r="C47" t="s">
        <v>213</v>
      </c>
      <c r="D47" s="4" t="s">
        <v>214</v>
      </c>
      <c r="E47">
        <v>3</v>
      </c>
      <c r="F47" t="s">
        <v>27</v>
      </c>
      <c r="G47" s="3">
        <v>3000</v>
      </c>
      <c r="H47" s="3">
        <v>3</v>
      </c>
      <c r="I47" s="5">
        <v>9000</v>
      </c>
      <c r="J47" t="s">
        <v>215</v>
      </c>
      <c r="K47" s="3">
        <v>2040</v>
      </c>
      <c r="L47" s="3">
        <v>3</v>
      </c>
      <c r="M47" s="5">
        <v>6120</v>
      </c>
      <c r="N47" t="s">
        <v>216</v>
      </c>
      <c r="O47" s="3"/>
      <c r="P47" s="3"/>
      <c r="Q47" s="5"/>
      <c r="S47" s="3"/>
      <c r="T47" s="3"/>
      <c r="U47" s="5"/>
    </row>
    <row r="48" spans="1:21" ht="30" x14ac:dyDescent="0.25">
      <c r="A48" t="s">
        <v>217</v>
      </c>
      <c r="B48" t="s">
        <v>24</v>
      </c>
      <c r="C48" t="s">
        <v>218</v>
      </c>
      <c r="D48" s="4" t="s">
        <v>219</v>
      </c>
      <c r="E48">
        <v>3</v>
      </c>
      <c r="F48" t="s">
        <v>27</v>
      </c>
      <c r="G48" s="3">
        <v>2000</v>
      </c>
      <c r="H48" s="3">
        <v>3</v>
      </c>
      <c r="I48" s="5">
        <v>6000</v>
      </c>
      <c r="J48" t="s">
        <v>220</v>
      </c>
      <c r="K48" s="3">
        <v>2040</v>
      </c>
      <c r="L48" s="3">
        <v>3</v>
      </c>
      <c r="M48" s="5">
        <v>6120</v>
      </c>
      <c r="N48" t="s">
        <v>221</v>
      </c>
      <c r="O48" s="3"/>
      <c r="P48" s="3"/>
      <c r="Q48" s="5"/>
      <c r="S48" s="3"/>
      <c r="T48" s="3"/>
      <c r="U48" s="5"/>
    </row>
    <row r="49" spans="1:22" ht="30" x14ac:dyDescent="0.25">
      <c r="A49" t="s">
        <v>222</v>
      </c>
      <c r="B49" t="s">
        <v>24</v>
      </c>
      <c r="C49" t="s">
        <v>223</v>
      </c>
      <c r="D49" s="4" t="s">
        <v>224</v>
      </c>
      <c r="E49">
        <v>3</v>
      </c>
      <c r="F49" t="s">
        <v>27</v>
      </c>
      <c r="G49" s="3">
        <v>2700</v>
      </c>
      <c r="H49" s="3">
        <v>3</v>
      </c>
      <c r="I49" s="5">
        <v>8100</v>
      </c>
      <c r="J49" t="s">
        <v>225</v>
      </c>
      <c r="K49" s="3">
        <v>1464</v>
      </c>
      <c r="L49" s="3">
        <v>3</v>
      </c>
      <c r="M49" s="5">
        <v>4392</v>
      </c>
      <c r="N49" t="s">
        <v>226</v>
      </c>
      <c r="O49" s="3"/>
      <c r="P49" s="3"/>
      <c r="Q49" s="5"/>
      <c r="S49" s="3"/>
      <c r="T49" s="3"/>
      <c r="U49" s="5"/>
    </row>
    <row r="50" spans="1:22" ht="30" x14ac:dyDescent="0.25">
      <c r="A50" t="s">
        <v>227</v>
      </c>
      <c r="B50" t="s">
        <v>24</v>
      </c>
      <c r="C50" t="s">
        <v>228</v>
      </c>
      <c r="D50" s="4" t="s">
        <v>229</v>
      </c>
      <c r="E50">
        <v>2</v>
      </c>
      <c r="F50" t="s">
        <v>27</v>
      </c>
      <c r="G50" s="3"/>
      <c r="H50" s="3"/>
      <c r="I50" s="5"/>
      <c r="K50" s="3"/>
      <c r="L50" s="3"/>
      <c r="M50" s="5"/>
      <c r="O50" s="3"/>
      <c r="P50" s="3"/>
      <c r="Q50" s="5"/>
      <c r="S50" s="3"/>
      <c r="T50" s="3"/>
      <c r="U50" s="5"/>
    </row>
    <row r="51" spans="1:22" ht="30" x14ac:dyDescent="0.25">
      <c r="A51" t="s">
        <v>230</v>
      </c>
      <c r="B51" t="s">
        <v>24</v>
      </c>
      <c r="C51" t="s">
        <v>231</v>
      </c>
      <c r="D51" s="4" t="s">
        <v>232</v>
      </c>
      <c r="E51">
        <v>1</v>
      </c>
      <c r="F51" t="s">
        <v>27</v>
      </c>
      <c r="G51" s="3">
        <v>700</v>
      </c>
      <c r="H51" s="3">
        <v>1</v>
      </c>
      <c r="I51" s="5">
        <v>700</v>
      </c>
      <c r="J51" s="4" t="s">
        <v>233</v>
      </c>
      <c r="K51" s="3">
        <v>1440</v>
      </c>
      <c r="L51" s="3">
        <v>1</v>
      </c>
      <c r="M51" s="5">
        <v>1440</v>
      </c>
      <c r="N51" s="4" t="s">
        <v>234</v>
      </c>
      <c r="O51" s="3"/>
      <c r="P51" s="3"/>
      <c r="Q51" s="5"/>
      <c r="S51" s="3"/>
      <c r="T51" s="3"/>
      <c r="U51" s="5"/>
    </row>
    <row r="52" spans="1:22" ht="30" x14ac:dyDescent="0.25">
      <c r="A52" t="s">
        <v>235</v>
      </c>
      <c r="B52" t="s">
        <v>24</v>
      </c>
      <c r="C52" t="s">
        <v>236</v>
      </c>
      <c r="D52" s="4" t="s">
        <v>237</v>
      </c>
      <c r="E52">
        <v>5</v>
      </c>
      <c r="F52" t="s">
        <v>27</v>
      </c>
      <c r="G52" s="3">
        <v>3000</v>
      </c>
      <c r="H52" s="3">
        <v>5</v>
      </c>
      <c r="I52" s="5">
        <v>15000</v>
      </c>
      <c r="J52" t="s">
        <v>238</v>
      </c>
      <c r="K52" s="3">
        <v>1092</v>
      </c>
      <c r="L52" s="3">
        <v>5</v>
      </c>
      <c r="M52" s="5">
        <v>5460</v>
      </c>
      <c r="N52" t="s">
        <v>239</v>
      </c>
      <c r="O52" s="3"/>
      <c r="P52" s="3"/>
      <c r="Q52" s="5"/>
      <c r="S52" s="3"/>
      <c r="T52" s="3"/>
      <c r="U52" s="5"/>
    </row>
    <row r="53" spans="1:22" x14ac:dyDescent="0.25">
      <c r="A53" t="s">
        <v>240</v>
      </c>
      <c r="B53" t="s">
        <v>24</v>
      </c>
      <c r="C53" t="s">
        <v>241</v>
      </c>
      <c r="D53" t="s">
        <v>242</v>
      </c>
      <c r="E53">
        <v>5</v>
      </c>
      <c r="F53" t="s">
        <v>27</v>
      </c>
      <c r="G53" s="3">
        <v>400</v>
      </c>
      <c r="H53" s="3">
        <v>5</v>
      </c>
      <c r="I53" s="5">
        <v>2000</v>
      </c>
      <c r="J53" t="s">
        <v>243</v>
      </c>
      <c r="K53" s="3">
        <v>84</v>
      </c>
      <c r="L53" s="3">
        <v>5</v>
      </c>
      <c r="M53" s="5">
        <v>420</v>
      </c>
      <c r="N53" t="s">
        <v>244</v>
      </c>
      <c r="O53" s="3"/>
      <c r="P53" s="3"/>
      <c r="Q53" s="5"/>
      <c r="S53" s="3"/>
      <c r="T53" s="3"/>
      <c r="U53" s="5"/>
    </row>
    <row r="54" spans="1:22" ht="45" x14ac:dyDescent="0.25">
      <c r="A54" t="s">
        <v>245</v>
      </c>
      <c r="B54" t="s">
        <v>24</v>
      </c>
      <c r="C54" t="s">
        <v>246</v>
      </c>
      <c r="D54" s="4" t="s">
        <v>247</v>
      </c>
      <c r="E54">
        <v>1</v>
      </c>
      <c r="F54" t="s">
        <v>27</v>
      </c>
      <c r="G54" s="3"/>
      <c r="H54" s="3"/>
      <c r="I54" s="5"/>
      <c r="K54" s="3">
        <v>31920</v>
      </c>
      <c r="L54" s="3">
        <v>1</v>
      </c>
      <c r="M54" s="5">
        <v>31920</v>
      </c>
      <c r="N54" s="4" t="s">
        <v>248</v>
      </c>
      <c r="O54" s="3"/>
      <c r="P54" s="3"/>
      <c r="Q54" s="5"/>
      <c r="S54" s="3"/>
      <c r="T54" s="3"/>
      <c r="U54" s="5"/>
    </row>
    <row r="55" spans="1:22" ht="30" x14ac:dyDescent="0.25">
      <c r="A55" t="s">
        <v>249</v>
      </c>
      <c r="B55" t="s">
        <v>24</v>
      </c>
      <c r="C55" t="s">
        <v>250</v>
      </c>
      <c r="D55" s="4" t="s">
        <v>251</v>
      </c>
      <c r="E55">
        <v>2</v>
      </c>
      <c r="F55" t="s">
        <v>27</v>
      </c>
      <c r="G55" s="3">
        <v>350</v>
      </c>
      <c r="H55" s="3">
        <v>2</v>
      </c>
      <c r="I55" s="5">
        <v>700</v>
      </c>
      <c r="J55" t="s">
        <v>252</v>
      </c>
      <c r="K55" s="3">
        <v>588</v>
      </c>
      <c r="L55" s="3">
        <v>2</v>
      </c>
      <c r="M55" s="5">
        <v>1176</v>
      </c>
      <c r="N55" t="s">
        <v>253</v>
      </c>
      <c r="O55" s="3"/>
      <c r="P55" s="3"/>
      <c r="Q55" s="5"/>
      <c r="S55" s="3"/>
      <c r="T55" s="3"/>
      <c r="U55" s="5"/>
    </row>
    <row r="56" spans="1:22" ht="30" x14ac:dyDescent="0.25">
      <c r="A56" t="s">
        <v>254</v>
      </c>
      <c r="B56" t="s">
        <v>24</v>
      </c>
      <c r="C56" t="s">
        <v>255</v>
      </c>
      <c r="D56" s="4" t="s">
        <v>256</v>
      </c>
      <c r="E56">
        <v>2</v>
      </c>
      <c r="F56" t="s">
        <v>27</v>
      </c>
      <c r="G56" s="3"/>
      <c r="H56" s="3"/>
      <c r="I56" s="5"/>
      <c r="K56" s="3">
        <v>828</v>
      </c>
      <c r="L56" s="3">
        <v>2</v>
      </c>
      <c r="M56" s="5">
        <v>1656</v>
      </c>
      <c r="N56" t="s">
        <v>257</v>
      </c>
      <c r="O56" s="3"/>
      <c r="P56" s="3"/>
      <c r="Q56" s="5"/>
      <c r="S56" s="3"/>
      <c r="T56" s="3"/>
      <c r="U56" s="5"/>
    </row>
    <row r="57" spans="1:22" ht="60" x14ac:dyDescent="0.25">
      <c r="A57" t="s">
        <v>258</v>
      </c>
      <c r="B57" t="s">
        <v>24</v>
      </c>
      <c r="C57" t="s">
        <v>259</v>
      </c>
      <c r="D57" s="4" t="s">
        <v>260</v>
      </c>
      <c r="E57">
        <v>30</v>
      </c>
      <c r="F57" t="s">
        <v>27</v>
      </c>
      <c r="G57" s="3">
        <v>22000</v>
      </c>
      <c r="H57" s="3">
        <v>30</v>
      </c>
      <c r="I57" s="5">
        <v>660000</v>
      </c>
      <c r="J57" t="s">
        <v>261</v>
      </c>
      <c r="K57" s="3">
        <v>3600</v>
      </c>
      <c r="L57" s="3">
        <v>30</v>
      </c>
      <c r="M57" s="5">
        <v>108000</v>
      </c>
      <c r="N57" t="s">
        <v>262</v>
      </c>
      <c r="O57" s="3"/>
      <c r="P57" s="3"/>
      <c r="Q57" s="5"/>
      <c r="S57" s="3">
        <v>2722.3</v>
      </c>
      <c r="T57" s="3">
        <v>30</v>
      </c>
      <c r="U57" s="5">
        <v>81669</v>
      </c>
      <c r="V57" s="4" t="s">
        <v>263</v>
      </c>
    </row>
    <row r="58" spans="1:22" ht="30" x14ac:dyDescent="0.25">
      <c r="A58" t="s">
        <v>264</v>
      </c>
      <c r="B58" t="s">
        <v>24</v>
      </c>
      <c r="C58" t="s">
        <v>265</v>
      </c>
      <c r="D58" s="4" t="s">
        <v>266</v>
      </c>
      <c r="E58">
        <v>6</v>
      </c>
      <c r="F58" t="s">
        <v>27</v>
      </c>
      <c r="G58" s="3">
        <v>2000</v>
      </c>
      <c r="H58" s="3">
        <v>6</v>
      </c>
      <c r="I58" s="5">
        <v>12000</v>
      </c>
      <c r="J58" t="s">
        <v>267</v>
      </c>
      <c r="K58" s="3">
        <v>1380</v>
      </c>
      <c r="L58" s="3">
        <v>6</v>
      </c>
      <c r="M58" s="5">
        <v>8280</v>
      </c>
      <c r="N58" t="s">
        <v>268</v>
      </c>
      <c r="O58" s="3">
        <v>1921</v>
      </c>
      <c r="P58" s="3">
        <v>6</v>
      </c>
      <c r="Q58" s="5">
        <v>11526</v>
      </c>
      <c r="R58" s="4" t="s">
        <v>269</v>
      </c>
      <c r="S58" s="3"/>
      <c r="T58" s="3"/>
      <c r="U58" s="5"/>
    </row>
    <row r="59" spans="1:22" ht="30" x14ac:dyDescent="0.25">
      <c r="A59" t="s">
        <v>270</v>
      </c>
      <c r="B59" t="s">
        <v>24</v>
      </c>
      <c r="C59" t="s">
        <v>271</v>
      </c>
      <c r="D59" s="4" t="s">
        <v>272</v>
      </c>
      <c r="E59">
        <v>6</v>
      </c>
      <c r="F59" t="s">
        <v>27</v>
      </c>
      <c r="G59" s="3">
        <v>1600</v>
      </c>
      <c r="H59" s="3">
        <v>6</v>
      </c>
      <c r="I59" s="5">
        <v>9600</v>
      </c>
      <c r="J59" t="s">
        <v>273</v>
      </c>
      <c r="K59" s="3">
        <v>1260</v>
      </c>
      <c r="L59" s="3">
        <v>6</v>
      </c>
      <c r="M59" s="5">
        <v>7560</v>
      </c>
      <c r="N59" t="s">
        <v>274</v>
      </c>
      <c r="O59" s="3">
        <v>2146.5</v>
      </c>
      <c r="P59" s="3">
        <v>6</v>
      </c>
      <c r="Q59" s="5">
        <v>12879</v>
      </c>
      <c r="R59" s="4" t="s">
        <v>275</v>
      </c>
      <c r="S59" s="3"/>
      <c r="T59" s="3"/>
      <c r="U59" s="5"/>
    </row>
    <row r="60" spans="1:22" ht="30" x14ac:dyDescent="0.25">
      <c r="A60" t="s">
        <v>276</v>
      </c>
      <c r="B60" t="s">
        <v>24</v>
      </c>
      <c r="C60" t="s">
        <v>277</v>
      </c>
      <c r="D60" s="4" t="s">
        <v>278</v>
      </c>
      <c r="E60">
        <v>4</v>
      </c>
      <c r="F60" t="s">
        <v>27</v>
      </c>
      <c r="G60" s="3">
        <v>4000</v>
      </c>
      <c r="H60" s="3">
        <v>4</v>
      </c>
      <c r="I60" s="5">
        <v>16000</v>
      </c>
      <c r="J60" t="s">
        <v>279</v>
      </c>
      <c r="K60" s="3">
        <v>1500</v>
      </c>
      <c r="L60" s="3">
        <v>4</v>
      </c>
      <c r="M60" s="5">
        <v>6000</v>
      </c>
      <c r="N60" s="4" t="s">
        <v>280</v>
      </c>
      <c r="O60" s="3"/>
      <c r="P60" s="3"/>
      <c r="Q60" s="5"/>
      <c r="S60" s="3"/>
      <c r="T60" s="3"/>
      <c r="U60" s="5"/>
    </row>
    <row r="61" spans="1:22" x14ac:dyDescent="0.25">
      <c r="A61" t="s">
        <v>281</v>
      </c>
      <c r="B61" t="s">
        <v>24</v>
      </c>
      <c r="C61" t="s">
        <v>282</v>
      </c>
      <c r="D61" t="s">
        <v>283</v>
      </c>
      <c r="E61">
        <v>3</v>
      </c>
      <c r="F61" t="s">
        <v>27</v>
      </c>
      <c r="G61" s="3">
        <v>2400</v>
      </c>
      <c r="H61" s="3">
        <v>3</v>
      </c>
      <c r="I61" s="5">
        <v>7200</v>
      </c>
      <c r="J61" t="s">
        <v>284</v>
      </c>
      <c r="K61" s="3">
        <v>2760</v>
      </c>
      <c r="L61" s="3">
        <v>3</v>
      </c>
      <c r="M61" s="5">
        <v>8280</v>
      </c>
      <c r="N61" t="s">
        <v>285</v>
      </c>
      <c r="O61" s="3"/>
      <c r="P61" s="3"/>
      <c r="Q61" s="5"/>
      <c r="S61" s="3"/>
      <c r="T61" s="3"/>
      <c r="U61" s="5"/>
    </row>
    <row r="62" spans="1:22" ht="30" x14ac:dyDescent="0.25">
      <c r="A62" t="s">
        <v>286</v>
      </c>
      <c r="B62" t="s">
        <v>24</v>
      </c>
      <c r="C62" t="s">
        <v>287</v>
      </c>
      <c r="D62" s="4" t="s">
        <v>288</v>
      </c>
      <c r="E62">
        <v>5</v>
      </c>
      <c r="F62" t="s">
        <v>27</v>
      </c>
      <c r="G62" s="3">
        <v>2200</v>
      </c>
      <c r="H62" s="3">
        <v>5</v>
      </c>
      <c r="I62" s="5">
        <v>11000</v>
      </c>
      <c r="J62" t="s">
        <v>289</v>
      </c>
      <c r="K62" s="3">
        <v>2158</v>
      </c>
      <c r="L62" s="3">
        <v>5</v>
      </c>
      <c r="M62" s="5">
        <v>10790</v>
      </c>
      <c r="N62" t="s">
        <v>290</v>
      </c>
      <c r="O62" s="3"/>
      <c r="P62" s="3"/>
      <c r="Q62" s="5"/>
      <c r="S62" s="3"/>
      <c r="T62" s="3"/>
      <c r="U62" s="5"/>
    </row>
    <row r="63" spans="1:22" ht="30" x14ac:dyDescent="0.25">
      <c r="A63" t="s">
        <v>291</v>
      </c>
      <c r="B63" t="s">
        <v>24</v>
      </c>
      <c r="C63" t="s">
        <v>292</v>
      </c>
      <c r="D63" s="4" t="s">
        <v>293</v>
      </c>
      <c r="E63">
        <v>5</v>
      </c>
      <c r="F63" t="s">
        <v>27</v>
      </c>
      <c r="G63" s="3">
        <v>4800</v>
      </c>
      <c r="H63" s="3">
        <v>5</v>
      </c>
      <c r="I63" s="5">
        <v>24000</v>
      </c>
      <c r="J63" t="s">
        <v>289</v>
      </c>
      <c r="K63" s="3">
        <v>2688</v>
      </c>
      <c r="L63" s="3">
        <v>5</v>
      </c>
      <c r="M63" s="5">
        <v>13440</v>
      </c>
      <c r="N63" t="s">
        <v>294</v>
      </c>
      <c r="O63" s="3"/>
      <c r="P63" s="3"/>
      <c r="Q63" s="5"/>
      <c r="S63" s="3"/>
      <c r="T63" s="3"/>
      <c r="U63" s="5"/>
    </row>
    <row r="64" spans="1:22" ht="30" x14ac:dyDescent="0.25">
      <c r="A64" t="s">
        <v>295</v>
      </c>
      <c r="B64" t="s">
        <v>24</v>
      </c>
      <c r="C64" t="s">
        <v>296</v>
      </c>
      <c r="D64" s="4" t="s">
        <v>297</v>
      </c>
      <c r="E64">
        <v>10</v>
      </c>
      <c r="F64" t="s">
        <v>27</v>
      </c>
      <c r="G64" s="3">
        <v>2000</v>
      </c>
      <c r="H64" s="3">
        <v>10</v>
      </c>
      <c r="I64" s="5">
        <v>20000</v>
      </c>
      <c r="J64" t="s">
        <v>298</v>
      </c>
      <c r="K64" s="3">
        <v>1500</v>
      </c>
      <c r="L64" s="3">
        <v>10</v>
      </c>
      <c r="M64" s="5">
        <v>15000</v>
      </c>
      <c r="N64" t="s">
        <v>299</v>
      </c>
      <c r="O64" s="3">
        <v>1647</v>
      </c>
      <c r="P64" s="3">
        <v>10</v>
      </c>
      <c r="Q64" s="5">
        <v>16470</v>
      </c>
      <c r="R64" s="4" t="s">
        <v>300</v>
      </c>
      <c r="S64" s="3"/>
      <c r="T64" s="3"/>
      <c r="U64" s="5"/>
    </row>
    <row r="65" spans="3:21" x14ac:dyDescent="0.25">
      <c r="C65" t="s">
        <v>301</v>
      </c>
      <c r="D65" s="4"/>
      <c r="G65" s="3"/>
      <c r="H65" s="3"/>
      <c r="I65" s="5">
        <f>SUBTOTAL(109,Table2[Total por renglón])</f>
        <v>1513500</v>
      </c>
      <c r="K65" s="3"/>
      <c r="L65" s="3"/>
      <c r="M65" s="5">
        <f>SUBTOTAL(109,Table3[Total por renglón])</f>
        <v>719778</v>
      </c>
      <c r="O65" s="3"/>
      <c r="P65" s="3"/>
      <c r="Q65" s="5">
        <f>SUBTOTAL(109,Table4[Total por renglón])</f>
        <v>260462</v>
      </c>
      <c r="R65" s="4"/>
      <c r="S65" s="3"/>
      <c r="T65" s="3"/>
      <c r="U65" s="5">
        <f>SUBTOTAL(109,Table5[Total por renglón])</f>
        <v>81669</v>
      </c>
    </row>
  </sheetData>
  <mergeCells count="5">
    <mergeCell ref="G8:J8"/>
    <mergeCell ref="K8:N8"/>
    <mergeCell ref="O8:R8"/>
    <mergeCell ref="S8:V8"/>
    <mergeCell ref="A8:F8"/>
  </mergeCells>
  <pageMargins left="0.75" right="0.75" top="0.75" bottom="0.5" header="0.5" footer="0.7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CARRIZO GASTON</dc:creator>
  <cp:lastModifiedBy>CARRIZO GASTON</cp:lastModifiedBy>
  <dcterms:created xsi:type="dcterms:W3CDTF">2022-12-07T14:48:47Z</dcterms:created>
  <dcterms:modified xsi:type="dcterms:W3CDTF">2022-12-07T15:02:48Z</dcterms:modified>
</cp:coreProperties>
</file>