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Gastar'!$A$1:$Q$26</definedName>
  </definedNames>
  <calcPr calcId="144525"/>
</workbook>
</file>

<file path=xl/calcChain.xml><?xml version="1.0" encoding="utf-8"?>
<calcChain xmlns="http://schemas.openxmlformats.org/spreadsheetml/2006/main">
  <c r="A10" i="3" l="1"/>
  <c r="G6" i="3" l="1"/>
  <c r="D7" i="2"/>
  <c r="D3" i="2"/>
  <c r="D4" i="2"/>
  <c r="G4" i="3" l="1"/>
  <c r="G5" i="3"/>
  <c r="D1" i="3"/>
  <c r="K12" i="2"/>
  <c r="J12" i="2"/>
  <c r="J13" i="2" s="1"/>
  <c r="I12" i="2"/>
  <c r="C12" i="2"/>
  <c r="B12" i="2"/>
  <c r="I10" i="1"/>
  <c r="Q22" i="3" l="1"/>
</calcChain>
</file>

<file path=xl/sharedStrings.xml><?xml version="1.0" encoding="utf-8"?>
<sst xmlns="http://schemas.openxmlformats.org/spreadsheetml/2006/main" count="82" uniqueCount="76">
  <si>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</si>
  <si>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</si>
  <si>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</si>
  <si>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</si>
  <si>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</si>
  <si>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</si>
  <si>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</si>
  <si>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</si>
  <si>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</si>
  <si>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</si>
  <si>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</si>
  <si>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</si>
  <si>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</si>
  <si>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</si>
  <si>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</si>
  <si>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</si>
  <si>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</si>
  <si>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</si>
  <si>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</si>
  <si>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</si>
  <si>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</si>
  <si>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</si>
  <si>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</si>
  <si>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</si>
  <si>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</si>
  <si>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</si>
  <si>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</si>
  <si>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</si>
  <si>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</si>
  <si>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</si>
  <si>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</si>
  <si>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</si>
  <si>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</si>
  <si>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</si>
  <si>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</si>
  <si>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</si>
  <si>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</si>
  <si>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</si>
  <si>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</si>
  <si>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</si>
  <si>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</si>
  <si>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</si>
  <si>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</si>
  <si>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</si>
  <si>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</si>
  <si>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</si>
  <si>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</si>
  <si>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</si>
  <si>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</si>
  <si>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</si>
  <si>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</si>
  <si>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</si>
  <si>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</si>
  <si>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</si>
  <si>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Plazos y lugares de entrega</t>
  </si>
  <si>
    <t>Especificidades Item N° 1: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</si>
  <si>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HOSPITAL INT. DE NIÑOS – AV. VIRGEN DEL VALLE N° 1050-CATAMARCA DE 8:00 A 12:00HS., DEBIENDO CORRER LOS GASTOS DE FLETES, ACARREO, CARGA, DESCARGA, SEGURO, INSTALACION Y PUESTA EN FUNCIONAMIENTO A CARGO DEL ADJUDICATARIO.</t>
    </r>
  </si>
  <si>
    <t>SI</t>
  </si>
  <si>
    <t>Direccion Asistencial</t>
  </si>
  <si>
    <t>ECOGRAFOS; TIPO: DOPPLER COLOR, USO: EXAMENES ECOGRAFICOS MEDICOS</t>
  </si>
  <si>
    <t>4.3.3-5186.2</t>
  </si>
  <si>
    <t>EQUIPOS</t>
  </si>
  <si>
    <t>4.3.3</t>
  </si>
  <si>
    <t>038/2022</t>
  </si>
  <si>
    <t>Ecografo</t>
  </si>
  <si>
    <t>EQUIPO SANITARIO Y DE LABORATORIO</t>
  </si>
  <si>
    <t>1.1</t>
  </si>
  <si>
    <t>Direccion de Asistencial</t>
  </si>
  <si>
    <t>Para la adquisición de Ecografo destinado al servicio de Cardiologia del Hospital Interzonal de Niños Eva Peron, para el normal funcionamiento del organismo.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</si>
  <si>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cuarenta y cinco (45) días Habiles de notificada la Orden de Compra. </t>
    </r>
  </si>
  <si>
    <t>SEGÚN "ANEXO I" DE ESPECIFICACIONES TECNICAS.</t>
  </si>
  <si>
    <t>Descripcion Tecnica:</t>
  </si>
  <si>
    <r>
      <rPr>
        <u/>
        <sz val="10"/>
        <rFont val="Times New Roman"/>
        <family val="1"/>
      </rPr>
      <t>Mantenimiento de Oferta</t>
    </r>
    <r>
      <rPr>
        <sz val="10"/>
        <rFont val="Times New Roman"/>
        <family val="1"/>
      </rPr>
      <t>: Cuarenta y Cinco (45) dias habiles.</t>
    </r>
  </si>
  <si>
    <r>
      <t>Forma de Pago:</t>
    </r>
    <r>
      <rPr>
        <sz val="10"/>
        <rFont val="Times New Roman"/>
        <family val="1"/>
      </rPr>
      <t xml:space="preserve"> Treinta (30) dias habiles.</t>
    </r>
  </si>
  <si>
    <t>Costo total estimado: Seis Millones con 00/100.</t>
  </si>
  <si>
    <t>TOTAL DE PESOS: SEIS MILLONES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</si>
</sst>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3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166" fontId="13" fillId="0" borderId="4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8" xfId="0" applyFont="1" applyBorder="1"/>
    <xf numFmtId="0" fontId="22" fillId="0" borderId="7" xfId="0" applyFont="1" applyBorder="1" applyAlignment="1">
      <alignment horizontal="left" indent="3"/>
    </xf>
    <xf numFmtId="166" fontId="15" fillId="0" borderId="0" xfId="0" applyNumberFormat="1" applyFont="1"/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46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47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6" fontId="4" fillId="3" borderId="2" xfId="1" applyNumberFormat="1" applyFont="1" applyFill="1" applyBorder="1" applyAlignment="1" applyProtection="1">
      <alignment horizontal="right" vertical="center" wrapText="1"/>
    </xf>
    <xf numFmtId="3" fontId="4" fillId="3" borderId="3" xfId="0" applyNumberFormat="1" applyFont="1" applyFill="1" applyBorder="1" applyAlignment="1">
      <alignment horizontal="center" vertical="center"/>
    </xf>
    <xf numFmtId="0" fontId="22" fillId="0" borderId="9" xfId="0" applyFont="1" applyBorder="1" applyAlignment="1"/>
    <xf numFmtId="0" fontId="15" fillId="0" borderId="10" xfId="0" applyFont="1" applyBorder="1" applyAlignment="1">
      <alignment horizontal="center" wrapText="1"/>
    </xf>
    <xf numFmtId="0" fontId="15" fillId="0" borderId="10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vertical="center" wrapText="1"/>
    </xf>
    <xf numFmtId="0" fontId="4" fillId="3" borderId="50" xfId="0" applyFont="1" applyFill="1" applyBorder="1" applyAlignment="1">
      <alignment vertical="center" wrapText="1"/>
    </xf>
    <xf numFmtId="0" fontId="20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166" fontId="20" fillId="4" borderId="53" xfId="1" applyNumberFormat="1" applyFont="1" applyFill="1" applyBorder="1" applyAlignment="1" applyProtection="1">
      <alignment horizontal="right" vertical="center" wrapText="1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vertical="center" wrapText="1"/>
    </xf>
    <xf numFmtId="0" fontId="0" fillId="0" borderId="52" xfId="0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4" borderId="7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left" vertical="center" wrapText="1"/>
    </xf>
    <xf numFmtId="0" fontId="4" fillId="3" borderId="4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1" xfId="0" applyFont="1" applyFill="1" applyBorder="1" applyAlignment="1">
      <alignment horizontal="left" vertical="center" wrapText="1" indent="1"/>
    </xf>
    <xf numFmtId="0" fontId="0" fillId="0" borderId="35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9" fillId="0" borderId="41" xfId="0" applyFont="1" applyBorder="1" applyAlignment="1">
      <alignment horizontal="left" vertical="center" wrapText="1"/>
    </xf>
    <xf numFmtId="0" fontId="0" fillId="0" borderId="23" xfId="0" applyBorder="1"/>
    <xf numFmtId="0" fontId="24" fillId="0" borderId="33" xfId="0" applyFont="1" applyFill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="89" zoomScaleNormal="89" workbookViewId="0">
      <selection activeCell="H11" sqref="H11"/>
    </sheetView>
  </sheetViews>
  <sheetFormatPr baseColWidth="10" defaultColWidth="11" defaultRowHeight="12.75" x14ac:dyDescent="0.2"/>
  <cols>
    <col min="1" max="1" width="4.5703125" style="31" customWidth="1"/>
    <col min="2" max="2" width="15.140625" style="31" customWidth="1"/>
    <col min="3" max="3" width="13.5703125" style="31" customWidth="1"/>
    <col min="4" max="4" width="8.42578125" style="31" customWidth="1"/>
    <col min="5" max="5" width="43.28515625" style="31" customWidth="1"/>
    <col min="6" max="6" width="11" style="31"/>
    <col min="7" max="7" width="11.28515625" style="31" customWidth="1"/>
    <col min="8" max="8" width="13.85546875" style="31" customWidth="1"/>
    <col min="9" max="9" width="18.5703125" style="31" customWidth="1"/>
    <col min="10" max="11" width="11" style="31"/>
    <col min="12" max="12" width="12.7109375" style="31" bestFit="1" customWidth="1"/>
    <col min="13" max="16384" width="11" style="31"/>
  </cols>
  <sheetData>
    <row r="1" spans="1:12" ht="3.75" customHeight="1" x14ac:dyDescent="0.2"/>
    <row r="2" spans="1:12" ht="27" x14ac:dyDescent="0.35">
      <c r="B2" s="80" t="s">
        <v>0</v>
      </c>
      <c r="C2" s="80"/>
      <c r="D2" s="80"/>
      <c r="E2" s="80"/>
      <c r="F2" s="80"/>
      <c r="G2" s="80"/>
      <c r="H2" s="80"/>
    </row>
    <row r="3" spans="1:12" ht="12" customHeight="1" x14ac:dyDescent="0.2"/>
    <row r="4" spans="1:12" ht="18" customHeight="1" x14ac:dyDescent="0.25">
      <c r="A4" s="81" t="s">
        <v>1</v>
      </c>
      <c r="B4" s="81"/>
      <c r="C4" s="82" t="s">
        <v>53</v>
      </c>
      <c r="D4" s="82"/>
      <c r="E4" s="82"/>
      <c r="F4" s="32"/>
      <c r="G4" s="33"/>
      <c r="H4" s="32"/>
    </row>
    <row r="5" spans="1:12" ht="18" customHeight="1" x14ac:dyDescent="0.25">
      <c r="A5" s="81" t="s">
        <v>2</v>
      </c>
      <c r="B5" s="81"/>
      <c r="C5" s="82" t="s">
        <v>52</v>
      </c>
      <c r="D5" s="82"/>
      <c r="E5" s="82"/>
      <c r="F5" s="32"/>
      <c r="G5" s="33"/>
      <c r="H5" s="32"/>
    </row>
    <row r="6" spans="1:12" ht="16.5" customHeight="1" x14ac:dyDescent="0.25">
      <c r="A6" s="81" t="s">
        <v>3</v>
      </c>
      <c r="B6" s="81"/>
      <c r="C6" s="49">
        <v>2022</v>
      </c>
      <c r="D6" s="50"/>
      <c r="E6" s="50"/>
      <c r="F6" s="32"/>
      <c r="G6" s="33"/>
      <c r="H6" s="32"/>
    </row>
    <row r="7" spans="1:12" ht="16.5" customHeight="1" x14ac:dyDescent="0.25">
      <c r="A7" s="81" t="s">
        <v>4</v>
      </c>
      <c r="B7" s="81"/>
      <c r="C7" s="49">
        <v>2</v>
      </c>
      <c r="D7" s="50"/>
      <c r="E7" s="50"/>
      <c r="F7" s="32"/>
      <c r="G7" s="33"/>
      <c r="H7" s="32"/>
    </row>
    <row r="8" spans="1:12" ht="13.5" thickBot="1" x14ac:dyDescent="0.25">
      <c r="B8" s="32"/>
      <c r="C8" s="33"/>
      <c r="D8" s="32"/>
      <c r="E8" s="32"/>
      <c r="F8" s="32"/>
      <c r="G8" s="33"/>
      <c r="H8" s="32"/>
    </row>
    <row r="9" spans="1:12" ht="39" thickBot="1" x14ac:dyDescent="0.25">
      <c r="A9" s="59" t="s">
        <v>5</v>
      </c>
      <c r="B9" s="59" t="s">
        <v>6</v>
      </c>
      <c r="C9" s="59" t="s">
        <v>7</v>
      </c>
      <c r="D9" s="59" t="s">
        <v>8</v>
      </c>
      <c r="E9" s="59" t="s">
        <v>9</v>
      </c>
      <c r="F9" s="59" t="s">
        <v>10</v>
      </c>
      <c r="G9" s="59" t="s">
        <v>11</v>
      </c>
      <c r="H9" s="59" t="s">
        <v>12</v>
      </c>
      <c r="I9" s="59" t="s">
        <v>13</v>
      </c>
    </row>
    <row r="10" spans="1:12" ht="39.75" customHeight="1" thickBot="1" x14ac:dyDescent="0.25">
      <c r="A10" s="72">
        <v>1</v>
      </c>
      <c r="B10" s="77" t="s">
        <v>60</v>
      </c>
      <c r="C10" s="79" t="s">
        <v>61</v>
      </c>
      <c r="D10" s="73" t="s">
        <v>62</v>
      </c>
      <c r="E10" s="78" t="s">
        <v>59</v>
      </c>
      <c r="F10" s="74" t="s">
        <v>14</v>
      </c>
      <c r="G10" s="74">
        <v>1</v>
      </c>
      <c r="H10" s="75">
        <v>6000000</v>
      </c>
      <c r="I10" s="76">
        <f>H10*G10</f>
        <v>6000000</v>
      </c>
      <c r="L10" s="40"/>
    </row>
    <row r="11" spans="1:12" ht="13.5" thickBot="1" x14ac:dyDescent="0.25">
      <c r="I11" s="40"/>
    </row>
    <row r="12" spans="1:12" x14ac:dyDescent="0.2">
      <c r="B12" s="34" t="s">
        <v>55</v>
      </c>
      <c r="C12" s="35"/>
      <c r="D12" s="35"/>
      <c r="E12" s="36"/>
    </row>
    <row r="13" spans="1:12" x14ac:dyDescent="0.2">
      <c r="B13" s="39" t="s">
        <v>71</v>
      </c>
      <c r="C13" s="37"/>
      <c r="D13" s="37"/>
      <c r="E13" s="38"/>
    </row>
    <row r="14" spans="1:12" ht="21.75" customHeight="1" x14ac:dyDescent="0.2">
      <c r="B14" s="83" t="s">
        <v>70</v>
      </c>
      <c r="C14" s="84"/>
      <c r="D14" s="84"/>
      <c r="E14" s="85"/>
    </row>
    <row r="15" spans="1:12" x14ac:dyDescent="0.2">
      <c r="B15" s="39" t="s">
        <v>54</v>
      </c>
      <c r="C15" s="37"/>
      <c r="D15" s="37"/>
      <c r="E15" s="38"/>
    </row>
    <row r="16" spans="1:12" ht="19.5" customHeight="1" x14ac:dyDescent="0.2">
      <c r="B16" s="86" t="s">
        <v>56</v>
      </c>
      <c r="C16" s="87"/>
      <c r="D16" s="87"/>
      <c r="E16" s="88"/>
    </row>
    <row r="17" spans="2:5" ht="34.5" customHeight="1" x14ac:dyDescent="0.2">
      <c r="B17" s="86"/>
      <c r="C17" s="87"/>
      <c r="D17" s="87"/>
      <c r="E17" s="88"/>
    </row>
    <row r="18" spans="2:5" ht="18" customHeight="1" x14ac:dyDescent="0.2">
      <c r="B18" s="86" t="s">
        <v>69</v>
      </c>
      <c r="C18" s="87"/>
      <c r="D18" s="87"/>
      <c r="E18" s="88"/>
    </row>
    <row r="19" spans="2:5" ht="18" customHeight="1" x14ac:dyDescent="0.2">
      <c r="B19" s="86" t="s">
        <v>72</v>
      </c>
      <c r="C19" s="87"/>
      <c r="D19" s="87"/>
      <c r="E19" s="88"/>
    </row>
    <row r="20" spans="2:5" ht="18" customHeight="1" thickBot="1" x14ac:dyDescent="0.25">
      <c r="B20" s="65" t="s">
        <v>73</v>
      </c>
      <c r="C20" s="66"/>
      <c r="D20" s="67"/>
      <c r="E20" s="68"/>
    </row>
  </sheetData>
  <mergeCells count="11">
    <mergeCell ref="B19:E19"/>
    <mergeCell ref="B14:E14"/>
    <mergeCell ref="A6:B6"/>
    <mergeCell ref="A7:B7"/>
    <mergeCell ref="B16:E17"/>
    <mergeCell ref="B18:E18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35433070866141736" bottom="0.15748031496062992" header="0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110" zoomScaleNormal="110" workbookViewId="0">
      <selection activeCell="A13" sqref="A13:I13"/>
    </sheetView>
  </sheetViews>
  <sheetFormatPr baseColWidth="10" defaultColWidth="9.140625" defaultRowHeight="12.75" x14ac:dyDescent="0.2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5" style="43" customWidth="1"/>
    <col min="6" max="6" width="7.85546875" style="43" hidden="1" customWidth="1"/>
    <col min="7" max="7" width="48.5703125" style="43" hidden="1" customWidth="1"/>
    <col min="8" max="8" width="9.28515625" style="43" customWidth="1"/>
    <col min="9" max="9" width="15.5703125" style="43" customWidth="1"/>
    <col min="10" max="10" width="14.7109375" style="43" customWidth="1"/>
    <col min="11" max="11" width="15.5703125" style="43" customWidth="1"/>
    <col min="12" max="14" width="5.85546875" style="43" customWidth="1"/>
    <col min="15" max="15" width="12.5703125" style="43" customWidth="1"/>
    <col min="16" max="1024" width="9.140625" style="43"/>
    <col min="1025" max="16384" width="9.140625" style="44"/>
  </cols>
  <sheetData>
    <row r="1" spans="1:11" ht="18" customHeight="1" x14ac:dyDescent="0.2">
      <c r="A1" s="98" t="s">
        <v>15</v>
      </c>
      <c r="B1" s="98"/>
      <c r="C1" s="98"/>
      <c r="D1" s="98"/>
      <c r="E1" s="98"/>
      <c r="F1" s="98"/>
      <c r="G1" s="98"/>
      <c r="H1" s="98"/>
      <c r="I1" s="98"/>
      <c r="J1" s="41" t="s">
        <v>16</v>
      </c>
      <c r="K1" s="42" t="s">
        <v>63</v>
      </c>
    </row>
    <row r="2" spans="1:11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1" ht="18.75" customHeight="1" thickBot="1" x14ac:dyDescent="0.25">
      <c r="A3" s="99" t="s">
        <v>49</v>
      </c>
      <c r="B3" s="99"/>
      <c r="C3" s="99"/>
      <c r="D3" s="89" t="str">
        <f>'Necesidades Trimestrales'!C4</f>
        <v>040 - Ministerio de Salud</v>
      </c>
      <c r="E3" s="89"/>
      <c r="F3" s="89"/>
      <c r="G3" s="89"/>
      <c r="H3" s="89"/>
      <c r="I3" s="89"/>
      <c r="J3" s="89"/>
      <c r="K3" s="89"/>
    </row>
    <row r="4" spans="1:11" ht="18.75" customHeight="1" thickBot="1" x14ac:dyDescent="0.25">
      <c r="A4" s="100" t="s">
        <v>50</v>
      </c>
      <c r="B4" s="100"/>
      <c r="C4" s="100"/>
      <c r="D4" s="89" t="str">
        <f>'Necesidades Trimestrales'!C5</f>
        <v>024 - Hospital Interzonal de Niños</v>
      </c>
      <c r="E4" s="89"/>
      <c r="F4" s="89"/>
      <c r="G4" s="89"/>
      <c r="H4" s="89"/>
      <c r="I4" s="89"/>
      <c r="J4" s="89"/>
      <c r="K4" s="89"/>
    </row>
    <row r="5" spans="1:11" ht="18.75" customHeight="1" thickBot="1" x14ac:dyDescent="0.25">
      <c r="A5" s="100" t="s">
        <v>28</v>
      </c>
      <c r="B5" s="100"/>
      <c r="C5" s="100"/>
      <c r="D5" s="89" t="s">
        <v>52</v>
      </c>
      <c r="E5" s="89"/>
      <c r="F5" s="89"/>
      <c r="G5" s="89"/>
      <c r="H5" s="89"/>
      <c r="I5" s="89"/>
      <c r="J5" s="89"/>
      <c r="K5" s="89"/>
    </row>
    <row r="6" spans="1:11" ht="16.5" customHeight="1" thickBot="1" x14ac:dyDescent="0.25">
      <c r="A6" s="99" t="s">
        <v>51</v>
      </c>
      <c r="B6" s="99"/>
      <c r="C6" s="99"/>
      <c r="D6" s="89" t="s">
        <v>58</v>
      </c>
      <c r="E6" s="89"/>
      <c r="F6" s="89"/>
      <c r="G6" s="89"/>
      <c r="H6" s="89"/>
      <c r="I6" s="89"/>
      <c r="J6" s="89"/>
      <c r="K6" s="89"/>
    </row>
    <row r="7" spans="1:11" ht="16.5" customHeight="1" x14ac:dyDescent="0.2">
      <c r="A7" s="100" t="s">
        <v>17</v>
      </c>
      <c r="B7" s="100"/>
      <c r="C7" s="100"/>
      <c r="D7" s="89" t="str">
        <f>'Necesidades Trimestrales'!C7 &amp; "° Trimestre - Año " &amp; 'Necesidades Trimestrales'!C6</f>
        <v>2° Trimestre - Año 2022</v>
      </c>
      <c r="E7" s="89"/>
      <c r="F7" s="89"/>
      <c r="G7" s="89"/>
      <c r="H7" s="89"/>
      <c r="I7" s="89"/>
      <c r="J7" s="89"/>
      <c r="K7" s="89"/>
    </row>
    <row r="8" spans="1:11" ht="16.5" customHeight="1" x14ac:dyDescent="0.2">
      <c r="A8" s="91" t="s">
        <v>18</v>
      </c>
      <c r="B8" s="91"/>
      <c r="C8" s="91"/>
      <c r="D8" s="92" t="s">
        <v>64</v>
      </c>
      <c r="E8" s="92"/>
      <c r="F8" s="92"/>
      <c r="G8" s="92"/>
      <c r="H8" s="92"/>
      <c r="I8" s="92"/>
      <c r="J8" s="92"/>
      <c r="K8" s="92"/>
    </row>
    <row r="9" spans="1:11" ht="15.75" x14ac:dyDescent="0.2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1" ht="18.75" customHeight="1" x14ac:dyDescent="0.2">
      <c r="A10" s="93" t="s">
        <v>19</v>
      </c>
      <c r="B10" s="94" t="s">
        <v>20</v>
      </c>
      <c r="C10" s="94" t="s">
        <v>21</v>
      </c>
      <c r="D10" s="94"/>
      <c r="E10" s="94"/>
      <c r="F10" s="94"/>
      <c r="G10" s="94"/>
      <c r="H10" s="94" t="s">
        <v>22</v>
      </c>
      <c r="I10" s="94" t="s">
        <v>23</v>
      </c>
      <c r="J10" s="94" t="s">
        <v>24</v>
      </c>
      <c r="K10" s="95" t="s">
        <v>25</v>
      </c>
    </row>
    <row r="11" spans="1:11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63.75" customHeight="1" thickBot="1" x14ac:dyDescent="0.25">
      <c r="A12" s="60">
        <v>1</v>
      </c>
      <c r="B12" s="69" t="str">
        <f>'Necesidades Trimestrales'!B10</f>
        <v>4.3.3-5186.2</v>
      </c>
      <c r="C12" s="96" t="str">
        <f>'Necesidades Trimestrales'!E10</f>
        <v>ECOGRAFOS; TIPO: DOPPLER COLOR, USO: EXAMENES ECOGRAFICOS MEDICOS</v>
      </c>
      <c r="D12" s="97"/>
      <c r="E12" s="97"/>
      <c r="F12" s="70"/>
      <c r="G12" s="71"/>
      <c r="H12" s="61" t="s">
        <v>57</v>
      </c>
      <c r="I12" s="62" t="str">
        <f>'Necesidades Trimestrales'!F10</f>
        <v>UNIDAD</v>
      </c>
      <c r="J12" s="63">
        <f>'Necesidades Trimestrales'!H10</f>
        <v>6000000</v>
      </c>
      <c r="K12" s="64">
        <f>'Necesidades Trimestrales'!G10</f>
        <v>1</v>
      </c>
    </row>
    <row r="13" spans="1:11" ht="31.5" customHeight="1" thickBot="1" x14ac:dyDescent="0.25">
      <c r="A13" s="89" t="s">
        <v>74</v>
      </c>
      <c r="B13" s="89"/>
      <c r="C13" s="89"/>
      <c r="D13" s="89"/>
      <c r="E13" s="89"/>
      <c r="F13" s="89"/>
      <c r="G13" s="89"/>
      <c r="H13" s="89"/>
      <c r="I13" s="89"/>
      <c r="J13" s="90">
        <f>SUMPRODUCT(J12:J12,K12:K12)</f>
        <v>6000000</v>
      </c>
      <c r="K13" s="90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E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17" zoomScale="130" zoomScaleNormal="130" workbookViewId="0">
      <selection activeCell="A23" sqref="A23:Q23"/>
    </sheetView>
  </sheetViews>
  <sheetFormatPr baseColWidth="10" defaultColWidth="4.85546875" defaultRowHeight="12.75" x14ac:dyDescent="0.2"/>
  <cols>
    <col min="7" max="7" width="4.85546875" style="2"/>
    <col min="9" max="9" width="2.85546875" customWidth="1"/>
    <col min="10" max="10" width="3.5703125" customWidth="1"/>
    <col min="11" max="11" width="3.28515625" customWidth="1"/>
    <col min="16" max="16" width="22.140625" customWidth="1"/>
    <col min="17" max="17" width="13.5703125" customWidth="1"/>
  </cols>
  <sheetData>
    <row r="1" spans="1:17" ht="15.75" customHeight="1" thickBot="1" x14ac:dyDescent="0.3">
      <c r="A1" s="126" t="s">
        <v>3</v>
      </c>
      <c r="B1" s="126"/>
      <c r="C1" s="126"/>
      <c r="D1" s="127">
        <f>'Necesidades Trimestrales'!C6</f>
        <v>2022</v>
      </c>
      <c r="E1" s="127"/>
      <c r="F1" s="3"/>
      <c r="G1" s="3"/>
      <c r="H1" s="4"/>
      <c r="I1" s="4"/>
      <c r="J1" s="4"/>
      <c r="K1" s="4"/>
      <c r="L1" s="4"/>
      <c r="M1" s="4"/>
      <c r="N1" s="4"/>
      <c r="P1" s="128" t="s">
        <v>26</v>
      </c>
      <c r="Q1" s="128"/>
    </row>
    <row r="2" spans="1:17" ht="15.75" customHeight="1" thickBot="1" x14ac:dyDescent="0.25">
      <c r="H2" s="4"/>
      <c r="I2" s="4"/>
      <c r="J2" s="4"/>
      <c r="K2" s="4"/>
      <c r="L2" s="4"/>
      <c r="M2" s="4"/>
      <c r="N2" s="4"/>
      <c r="P2" s="128"/>
      <c r="Q2" s="128"/>
    </row>
    <row r="4" spans="1:17" s="5" customFormat="1" ht="18" customHeight="1" thickBot="1" x14ac:dyDescent="0.25">
      <c r="A4" s="129" t="s">
        <v>27</v>
      </c>
      <c r="B4" s="129"/>
      <c r="C4" s="129"/>
      <c r="D4" s="129"/>
      <c r="E4" s="129"/>
      <c r="F4" s="129"/>
      <c r="G4" s="124" t="str">
        <f>' NotaPedido'!D3</f>
        <v>040 - Ministerio de Salud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1:17" s="5" customFormat="1" ht="18" customHeight="1" thickBot="1" x14ac:dyDescent="0.25">
      <c r="A5" s="121" t="s">
        <v>50</v>
      </c>
      <c r="B5" s="122"/>
      <c r="C5" s="122"/>
      <c r="D5" s="122"/>
      <c r="E5" s="122"/>
      <c r="F5" s="123"/>
      <c r="G5" s="124" t="str">
        <f>' NotaPedido'!D4</f>
        <v>024 - Hospital Interzonal de Niños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17" s="5" customFormat="1" ht="18" customHeight="1" thickBot="1" x14ac:dyDescent="0.25">
      <c r="A6" s="121" t="s">
        <v>28</v>
      </c>
      <c r="B6" s="122"/>
      <c r="C6" s="122"/>
      <c r="D6" s="122"/>
      <c r="E6" s="122"/>
      <c r="F6" s="123"/>
      <c r="G6" s="124" t="str">
        <f>' NotaPedido'!D5</f>
        <v>024 - Hospital Interzonal de Niños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5" customFormat="1" ht="18" customHeight="1" thickBot="1" x14ac:dyDescent="0.25">
      <c r="A7" s="121" t="s">
        <v>51</v>
      </c>
      <c r="B7" s="122"/>
      <c r="C7" s="122"/>
      <c r="D7" s="122"/>
      <c r="E7" s="122"/>
      <c r="F7" s="123"/>
      <c r="G7" s="124" t="s">
        <v>67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ht="18" customHeight="1" thickBot="1" x14ac:dyDescent="0.25">
      <c r="A8" s="125" t="s">
        <v>29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7" ht="18" customHeight="1" x14ac:dyDescent="0.2">
      <c r="A9" s="114" t="s">
        <v>30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6"/>
    </row>
    <row r="10" spans="1:17" ht="54.75" customHeight="1" x14ac:dyDescent="0.2">
      <c r="A10" s="11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038/2022,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16" t="s">
        <v>31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thickBot="1" x14ac:dyDescent="0.25">
      <c r="A13" s="117" t="s">
        <v>32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33</v>
      </c>
      <c r="P13" s="118"/>
      <c r="Q13" s="120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19"/>
      <c r="P14" s="119"/>
      <c r="Q14" s="120"/>
    </row>
    <row r="15" spans="1:17" ht="28.5" customHeight="1" x14ac:dyDescent="0.2">
      <c r="A15" s="51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8">
        <v>4</v>
      </c>
      <c r="J15" s="58">
        <v>3</v>
      </c>
      <c r="K15" s="58">
        <v>3</v>
      </c>
      <c r="L15" s="57"/>
      <c r="M15" s="52">
        <v>1</v>
      </c>
      <c r="N15" s="53" t="s">
        <v>66</v>
      </c>
      <c r="O15" s="111" t="s">
        <v>65</v>
      </c>
      <c r="P15" s="111"/>
      <c r="Q15" s="20">
        <v>6000000</v>
      </c>
    </row>
    <row r="16" spans="1:17" ht="17.25" customHeight="1" x14ac:dyDescent="0.2">
      <c r="A16" s="51"/>
      <c r="B16" s="55"/>
      <c r="C16" s="55"/>
      <c r="D16" s="55"/>
      <c r="E16" s="55"/>
      <c r="F16" s="55"/>
      <c r="G16" s="55"/>
      <c r="H16" s="55"/>
      <c r="I16" s="56"/>
      <c r="J16" s="56"/>
      <c r="K16" s="56"/>
      <c r="L16" s="55"/>
      <c r="M16" s="52"/>
      <c r="N16" s="53"/>
      <c r="O16" s="112"/>
      <c r="P16" s="106"/>
      <c r="Q16" s="20"/>
    </row>
    <row r="17" spans="1:18" ht="17.25" customHeight="1" x14ac:dyDescent="0.2">
      <c r="A17" s="51"/>
      <c r="B17" s="52"/>
      <c r="C17" s="52"/>
      <c r="D17" s="52"/>
      <c r="E17" s="52"/>
      <c r="F17" s="52"/>
      <c r="G17" s="52"/>
      <c r="H17" s="52"/>
      <c r="I17" s="54"/>
      <c r="J17" s="54"/>
      <c r="K17" s="54"/>
      <c r="L17" s="52"/>
      <c r="M17" s="52"/>
      <c r="N17" s="53"/>
      <c r="O17" s="112"/>
      <c r="P17" s="106"/>
      <c r="Q17" s="20"/>
    </row>
    <row r="18" spans="1:18" ht="23.25" customHeight="1" x14ac:dyDescent="0.2">
      <c r="A18" s="51"/>
      <c r="B18" s="52"/>
      <c r="C18" s="52"/>
      <c r="D18" s="52"/>
      <c r="E18" s="52"/>
      <c r="F18" s="52"/>
      <c r="G18" s="52"/>
      <c r="H18" s="52"/>
      <c r="I18" s="54"/>
      <c r="J18" s="54"/>
      <c r="K18" s="54"/>
      <c r="L18" s="52"/>
      <c r="M18" s="52"/>
      <c r="N18" s="53"/>
      <c r="O18" s="113"/>
      <c r="P18" s="106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06"/>
      <c r="P19" s="106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07"/>
      <c r="P20" s="107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08"/>
      <c r="P21" s="108"/>
      <c r="Q21" s="29"/>
    </row>
    <row r="22" spans="1:18" ht="29.25" customHeight="1" x14ac:dyDescent="0.2">
      <c r="A22" s="109" t="s">
        <v>75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30">
        <f>SUM(Q15:Q21)</f>
        <v>6000000</v>
      </c>
    </row>
    <row r="23" spans="1:18" ht="18" customHeight="1" thickBot="1" x14ac:dyDescent="0.25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</row>
    <row r="24" spans="1:18" ht="17.25" customHeight="1" thickBot="1" x14ac:dyDescent="0.25">
      <c r="A24" s="101" t="s">
        <v>48</v>
      </c>
      <c r="B24" s="102"/>
      <c r="C24" s="102"/>
      <c r="D24" s="102"/>
      <c r="E24" s="102"/>
      <c r="F24" s="103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</row>
    <row r="25" spans="1:18" ht="18" customHeight="1" thickBot="1" x14ac:dyDescent="0.25">
      <c r="A25" s="105" t="s">
        <v>68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18" ht="15" customHeight="1" x14ac:dyDescent="0.2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2022-04-07T13:46:19Z</cp:lastPrinted>
  <dcterms:created xsi:type="dcterms:W3CDTF">2020-07-17T23:44:49Z</dcterms:created>
  <dcterms:modified xsi:type="dcterms:W3CDTF">2022-04-22T16:26:33Z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