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Secretaria de Estado de Gabinete\"/>
    </mc:Choice>
  </mc:AlternateContent>
  <xr:revisionPtr revIDLastSave="0" documentId="13_ncr:1_{341B53D2-9FE3-4201-A2D0-A7C0EEBC9A9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Gastar'!$A$1:$Q$39</definedName>
    <definedName name="_xlnm.Print_Area" localSheetId="0">'Necesidades Trimestrales'!$A$1:$I$26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3" l="1"/>
  <c r="Q35" i="2"/>
</calcChain>
</file>

<file path=xl/sharedStrings.xml><?xml version="1.0" encoding="utf-8"?>
<sst xmlns="http://schemas.openxmlformats.org/spreadsheetml/2006/main" count="93" uniqueCount="83">
  <si>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</si>
  <si>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</si>
  <si>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</si>
  <si>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</si>
  <si>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</si>
  <si>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</si>
  <si>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</si>
  <si>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</si>
  <si>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</si>
  <si>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</si>
  <si>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</si>
  <si>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</si>
  <si>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</si>
  <si>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</si>
  <si>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</si>
  <si>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</si>
  <si>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</si>
  <si>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</si>
  <si>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</si>
  <si>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</si>
  <si>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</si>
  <si>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</si>
  <si>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</si>
  <si>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</si>
  <si>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</si>
  <si>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</si>
  <si>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</si>
  <si>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</si>
  <si>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</si>
  <si>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</si>
  <si>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</si>
  <si>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</si>
  <si>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</si>
  <si>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</si>
  <si>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</si>
  <si>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</si>
  <si>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</si>
  <si>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</si>
  <si>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62- MINISTERIO DE AGRICULTURA Y GANADERIA</t>
  </si>
  <si>
    <t>33- DIRECCION PROVINCIAL DE GESTION ADMINISTRATIVA Y R.R.H.H.</t>
  </si>
  <si>
    <t>MINISTERIO DE AGRICULTURA Y GANADERIA</t>
  </si>
  <si>
    <t>1.1</t>
  </si>
  <si>
    <t>33- DIRECCION PROVINCIAL DE GESTION ADMINISTRATIVA Y R.R.H.H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</si>
  <si>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</si>
  <si>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</si>
  <si>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</si>
  <si>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</si>
  <si>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</si>
  <si>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</si>
  <si>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</si>
  <si>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</si>
  <si>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</si>
  <si>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</si>
  <si>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</si>
  <si>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Garantia</t>
  </si>
  <si>
    <t>UNIDAD</t>
  </si>
  <si>
    <t>Pedido de Necesidades Trimestrales</t>
  </si>
  <si>
    <t>TRIMESTRE: 04</t>
  </si>
  <si>
    <t>IMPORTE TOTAL ESTIMADO</t>
  </si>
  <si>
    <t>4 - TRIMESTRE 2021</t>
  </si>
  <si>
    <t>30 DIAS</t>
  </si>
  <si>
    <t>Mantenimiento</t>
  </si>
  <si>
    <t>SI</t>
  </si>
  <si>
    <t>ACOPLADOS; DIMENSION: 3,3 X 1,9 X 2 M, CAPACIDAD: 4 TON, USO: TRASLADO DE BOBINO, MATERIAL: CHAPA METAL</t>
  </si>
  <si>
    <t>4.3.2-8393.44</t>
  </si>
  <si>
    <t>EQUIPOS</t>
  </si>
  <si>
    <t>4.3.2.</t>
  </si>
  <si>
    <t>Equipo de Transporte, Tracción y Elevación</t>
  </si>
  <si>
    <t>TOTAL DE PESOS: OCHOCIENTOS TREINTA Y OCHO MIL CON 00/100</t>
  </si>
  <si>
    <t>Autorizo la realización de los  trámites correspondientes, a fin de proveer a  este Organismo los bienes, servicios o ejecución de obras públicas que se detallan en Nota  de Pedido N° 56 / 2021 afectando la erogación resultante a los créditos presupuestarios aprobados a favor de esta Unidad Ejecutora, conforme al siguiente detalle:</t>
  </si>
  <si>
    <t>Adquisicion de Carro Vaquero para traslado de animales desde areas dependientes del Ministerio de Agricultura y Ganaderia.</t>
  </si>
  <si>
    <t>Costo total estimado: OCHOCIENTOS TREINTA Y OCHO MIL CON 00/100</t>
  </si>
  <si>
    <t>Que Cumpla con lo Solicitado de Forma Integra. Adjuntando folletos, manuales, imágenes y toda otra documentación que se estime necesaria a fin de poder evaluar luego las ofertas recibidas.</t>
  </si>
  <si>
    <t xml:space="preserve">Calidad Minima esperada </t>
  </si>
  <si>
    <t>VEHICULOS UTILITARIOS; TIPO: MULTIPROPOSITO BUTACADO, TIPO DE MOTOR: DIESEL , CILINDRADA: 2755 CM3 MINIMO, POTENCIA: DESDE 171 CV, CANT. DE CILINDROS: 4, AÑO: SEGÚN PLIEGO, TRACCION: 4X4, CAPACIDAD DE CARGA: 7 PERSONAS MINIMO, NORMA DE EMISION: EURO III MINIMO, CAJA DE VELOCIDAD: AUTOMATICA</t>
  </si>
  <si>
    <t>4.3.2-215.442</t>
  </si>
  <si>
    <t>JURISDICCION : 15- SECRETARIA DE ESTADO DE GABINETE</t>
  </si>
  <si>
    <t>SAF N°: 21- DIRECCION PROVINCIAL DE ADMINISTRACION FINANCIERA</t>
  </si>
  <si>
    <t>EJERCICIO: 2022</t>
  </si>
  <si>
    <t xml:space="preserve">Vehículo, Monovolumen, tipo rural, para 7 pasajeros como mínimo, nueva sin uso, ultimo año de fabricación. Mecánica:
Motor: Sera del tipo Diesel Turbo, de cuatro tiempos, cuatro cilindros, cilindrada no inferior a   2755 cm3 
Caja de Velocidad: Sera Automática de 6 velocidades como mínimo y una de retroceso.
Dirección: De accionamiento hidráulico o electroasistida
Suspensión Delantera: Independiente con barras de torsión estabilizadoras y amortiguadores telescópicos hidráulicos.
Suspensión Trasera: Mediante elásticos semielípticos y amortiguadores telescópicos hidráulicos. 
Transmisión: Tracción tipo 4 x 4.
Frenos de servicio: Discos en ruedas delanteras y tambor en ruedas traseras, como mínimo.
Dimensiones:
Largo Mínimo: 4700 mm
Ancho Mínimo: 1800 mm
Altura Minima:1700 mm
Seguridad:
Sistema ABS en ruedas delanteras y traseras
Apoyacabezas regulables en altura
Cinturones de seguridad delanteros y traseros de 3 puntos regulables en altura.
Airbags frontales para conductor y acompañante como mínimo
Llantas de 17” como mínimo
Control de tracción y de estabilidad
Equipamiento/Confort
Aire Acondicionado
Audio con pantalla táctil con AM/FM/ CD/MP3, Bluetooh.
Volante dirección regulable en altura
Cierre centralizado de puertas comando a distancia
</t>
  </si>
  <si>
    <r>
      <t xml:space="preserve">a) </t>
    </r>
    <r>
      <rPr>
        <b/>
        <sz val="9"/>
        <rFont val="Century Gothic"/>
        <family val="2"/>
      </rPr>
      <t xml:space="preserve"> FORMA DE LA ENTREGA  ENTREGA :  Vehículo, Monovolumen, tipo rural, para 7 pasajeros como mínimo, nueva sin uso, ultimo año de fabricación. </t>
    </r>
    <r>
      <rPr>
        <sz val="9"/>
        <rFont val="Century Gothic"/>
        <family val="2"/>
      </rPr>
      <t xml:space="preserve">Garantia escrita de fábrica por el termino  de Cuatro (4) Años o 100.000 Km (lo que ocurra primero) como mínimo. Servicio de mantenimiento de garantías realizados en la provincia de Catamarca
Unidad entregada en Catamarca, patentada a nombre de la Repartición Secretaria de Estado de Gabinte CUIT: 30-71679931-6 , con cobertura de seguro obligatorio contra terceros y terceros transportados , la que tendra vigencia a partir de la recepción definitiva del vehiculo por el término de Un (1) Año. El precio de la unidad a adquirir debera contemplar Curso de Capacitacion para el personal de mantenimiento y Manual de informacion Mantenimiento del vehiculo.
b)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del bien cotizado, debiendo ser expresado en días hábiles; que no podrá ser superior a</t>
    </r>
    <r>
      <rPr>
        <b/>
        <sz val="9"/>
        <rFont val="Century Gothic"/>
        <family val="2"/>
      </rPr>
      <t xml:space="preserve">  </t>
    </r>
    <r>
      <rPr>
        <sz val="9"/>
        <rFont val="Century Gothic"/>
        <family val="2"/>
      </rPr>
      <t>Quince 15 día</t>
    </r>
    <r>
      <rPr>
        <b/>
        <sz val="9"/>
        <rFont val="Century Gothic"/>
        <family val="2"/>
      </rPr>
      <t>s</t>
    </r>
    <r>
      <rPr>
        <sz val="9"/>
        <rFont val="Century Gothic"/>
        <family val="2"/>
      </rPr>
      <t xml:space="preserve"> hábiles contados a partir de la recepción de la comunicación prevista en el Artículo 80° de del Reglamento Parcial N° 2 de la ley 4938. -  El Lugar de Entrega sera: DIRECCION PROVINCIAL DE ADMINISTRACION FINANCIERA- SECRETARIA DE ESTADO DE GABINETE - Maria Hayde Varela de Varela esq. Pte Castillo–San Fernando del Valle de Catamarca</t>
    </r>
  </si>
  <si>
    <t>Vehículo, Monovolumen, tipo rural, para 7 pasajeros como mínimo, nueva sin uso, ultimo año de fabricación. Mecánica: Motor: Sera del tipo Diesel Turbo, de cuatro tiempos, cuatro cilindros, cilindrada no inferior a 2700 cm3. Caja de Velocidad: Sera Automática de 6 velocidades como mínimo y una de retroceso. Dirección: De accionamiento hidráulico o electroasistida. Suspensión Delantera: Independiente con barras de torsión estabilizadoras y amortiguadores telescópicos hidráulicos. Suspensión Trasera: Mediante elásticos semielípticos y amortiguadores telescópicos hidráulicos. Transmisión: Tracción tipo 4 x 4. Frenos de servicio: Discos en ruedas delanteras y tambor en ruedas traseras, como mínimo. Dimensiones: Largo Mínimo: 4700 mm, Ancho Mínimo: 1800 mm, Altura Minima:1700 mm. Seguridad: Sistema ABS en ruedas delanteras y traseras. Apoyacabezas regulables en altura. Cinturones de seguridad delanteros y traseros de 3 puntos regulables en altura. Airbags frontales para conductor y acompañante como mínimo. Llantas de 17” como mínimo. Control de tracción y de estabilidad. Equipamiento/Confort: Aire Acondicionado, Audio con pantalla táctil con AM/FM/ CD/MP3, Bluetooh. Volante dirección regulable en altura. Cierre centralizado de puertas comando a distancia.</t>
  </si>
  <si>
    <t>Especificacion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</si>
</sst>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2" fillId="0" borderId="20" xfId="0" applyNumberFormat="1" applyFont="1" applyBorder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165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9" fillId="0" borderId="13" xfId="0" applyFont="1" applyBorder="1"/>
    <xf numFmtId="0" fontId="25" fillId="0" borderId="0" xfId="0" applyFont="1"/>
    <xf numFmtId="0" fontId="25" fillId="0" borderId="7" xfId="0" applyFont="1" applyBorder="1"/>
    <xf numFmtId="0" fontId="25" fillId="0" borderId="13" xfId="0" applyFont="1" applyBorder="1"/>
    <xf numFmtId="0" fontId="29" fillId="0" borderId="0" xfId="0" applyFont="1"/>
    <xf numFmtId="0" fontId="30" fillId="0" borderId="0" xfId="0" applyFont="1"/>
    <xf numFmtId="0" fontId="25" fillId="0" borderId="51" xfId="0" applyFont="1" applyBorder="1"/>
    <xf numFmtId="0" fontId="29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9" fillId="0" borderId="0" xfId="0" applyFont="1" applyAlignment="1">
      <alignment vertical="top" wrapText="1"/>
    </xf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 wrapText="1"/>
    </xf>
    <xf numFmtId="0" fontId="32" fillId="0" borderId="54" xfId="0" applyFont="1" applyBorder="1" applyAlignment="1">
      <alignment vertical="center" wrapText="1"/>
    </xf>
    <xf numFmtId="3" fontId="25" fillId="0" borderId="54" xfId="0" applyNumberFormat="1" applyFont="1" applyBorder="1" applyAlignment="1">
      <alignment horizontal="center" vertical="center"/>
    </xf>
    <xf numFmtId="6" fontId="25" fillId="0" borderId="54" xfId="0" applyNumberFormat="1" applyFont="1" applyBorder="1" applyAlignment="1">
      <alignment horizontal="center" vertical="center" wrapText="1"/>
    </xf>
    <xf numFmtId="167" fontId="25" fillId="0" borderId="54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6" fillId="0" borderId="60" xfId="0" applyFont="1" applyBorder="1" applyAlignment="1">
      <alignment horizontal="left" vertical="center"/>
    </xf>
    <xf numFmtId="0" fontId="30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11" fillId="0" borderId="17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0" fillId="0" borderId="18" xfId="0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7" fillId="0" borderId="22" xfId="0" applyFont="1" applyBorder="1" applyAlignment="1">
      <alignment horizontal="left" indent="1"/>
    </xf>
    <xf numFmtId="0" fontId="10" fillId="0" borderId="21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31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  <xf numFmtId="0" fontId="27" fillId="3" borderId="0" xfId="0" applyFont="1" applyFill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5"/>
  <sheetViews>
    <sheetView tabSelected="1" workbookViewId="0">
      <selection activeCell="J10" sqref="J1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48.7109375" customWidth="1"/>
    <col min="7" max="7" width="13.42578125" customWidth="1"/>
    <col min="8" max="8" width="11.5703125" bestFit="1" customWidth="1"/>
    <col min="9" max="9" width="13.7109375" bestFit="1" customWidth="1"/>
    <col min="10" max="10" width="72" customWidth="1"/>
    <col min="11" max="11" width="12.7109375" bestFit="1" customWidth="1"/>
  </cols>
  <sheetData>
    <row r="2" spans="1:15" ht="18" x14ac:dyDescent="0.25">
      <c r="A2" s="58"/>
      <c r="B2" s="125" t="s">
        <v>56</v>
      </c>
      <c r="C2" s="125"/>
      <c r="D2" s="125"/>
      <c r="E2" s="125"/>
      <c r="F2" s="125"/>
      <c r="G2" s="125"/>
      <c r="H2" s="125"/>
      <c r="I2" s="125"/>
    </row>
    <row r="3" spans="1:15" ht="13.5" x14ac:dyDescent="0.25">
      <c r="A3" s="58"/>
      <c r="B3" s="58"/>
      <c r="C3" s="58"/>
      <c r="D3" s="58"/>
      <c r="E3" s="58"/>
      <c r="F3" s="58"/>
      <c r="G3" s="58"/>
      <c r="H3" s="58"/>
      <c r="I3" s="58"/>
    </row>
    <row r="4" spans="1:15" x14ac:dyDescent="0.2">
      <c r="A4" s="68" t="s">
        <v>76</v>
      </c>
      <c r="B4" s="68"/>
      <c r="C4" s="68"/>
      <c r="D4" s="68"/>
      <c r="E4" s="68"/>
      <c r="F4" s="68"/>
      <c r="G4" s="68"/>
      <c r="H4" s="68"/>
      <c r="I4" s="68"/>
    </row>
    <row r="5" spans="1:15" x14ac:dyDescent="0.2">
      <c r="A5" s="68" t="s">
        <v>77</v>
      </c>
      <c r="B5" s="68"/>
      <c r="C5" s="68"/>
      <c r="D5" s="68"/>
      <c r="E5" s="68"/>
      <c r="F5" s="68"/>
      <c r="G5" s="68"/>
      <c r="H5" s="68"/>
      <c r="I5" s="68"/>
    </row>
    <row r="6" spans="1:15" x14ac:dyDescent="0.2">
      <c r="A6" s="68" t="s">
        <v>78</v>
      </c>
      <c r="B6" s="68"/>
      <c r="C6" s="68"/>
      <c r="D6" s="68"/>
      <c r="E6" s="68"/>
      <c r="F6" s="68"/>
      <c r="G6" s="68"/>
      <c r="H6" s="68"/>
      <c r="I6" s="68"/>
    </row>
    <row r="7" spans="1:15" x14ac:dyDescent="0.2">
      <c r="A7" s="68" t="s">
        <v>57</v>
      </c>
      <c r="B7" s="68"/>
      <c r="C7" s="68"/>
      <c r="D7" s="68"/>
      <c r="E7" s="68"/>
      <c r="F7" s="68"/>
      <c r="G7" s="68"/>
      <c r="H7" s="68"/>
      <c r="I7" s="68"/>
    </row>
    <row r="8" spans="1:15" ht="13.5" thickBot="1" x14ac:dyDescent="0.25">
      <c r="A8" s="68"/>
      <c r="B8" s="68"/>
      <c r="C8" s="68"/>
      <c r="D8" s="68"/>
      <c r="E8" s="68"/>
      <c r="F8" s="68"/>
      <c r="G8" s="68"/>
      <c r="H8" s="68"/>
      <c r="I8" s="68"/>
    </row>
    <row r="9" spans="1:15" ht="38.25" customHeight="1" x14ac:dyDescent="0.2">
      <c r="A9" s="69" t="s">
        <v>43</v>
      </c>
      <c r="B9" s="70" t="s">
        <v>44</v>
      </c>
      <c r="C9" s="71" t="s">
        <v>45</v>
      </c>
      <c r="D9" s="71" t="s">
        <v>46</v>
      </c>
      <c r="E9" s="71" t="s">
        <v>47</v>
      </c>
      <c r="F9" s="72" t="s">
        <v>48</v>
      </c>
      <c r="G9" s="71" t="s">
        <v>49</v>
      </c>
      <c r="H9" s="72" t="s">
        <v>50</v>
      </c>
      <c r="I9" s="73" t="s">
        <v>58</v>
      </c>
      <c r="J9" s="81" t="s">
        <v>82</v>
      </c>
    </row>
    <row r="10" spans="1:15" ht="159" customHeight="1" x14ac:dyDescent="0.2">
      <c r="A10" s="74">
        <v>1</v>
      </c>
      <c r="B10" s="74" t="s">
        <v>75</v>
      </c>
      <c r="C10" s="75" t="s">
        <v>65</v>
      </c>
      <c r="D10" s="74" t="s">
        <v>66</v>
      </c>
      <c r="E10" s="76" t="s">
        <v>74</v>
      </c>
      <c r="F10" s="74" t="s">
        <v>55</v>
      </c>
      <c r="G10" s="77">
        <v>1</v>
      </c>
      <c r="H10" s="78">
        <v>18170000</v>
      </c>
      <c r="I10" s="79">
        <f>H10*G10</f>
        <v>18170000</v>
      </c>
      <c r="J10" s="82" t="s">
        <v>81</v>
      </c>
      <c r="K10" s="80"/>
      <c r="L10" s="80"/>
      <c r="M10" s="80"/>
      <c r="N10" s="80"/>
      <c r="O10" s="80"/>
    </row>
    <row r="11" spans="1:15" ht="13.5" customHeight="1" thickBot="1" x14ac:dyDescent="0.25">
      <c r="I11" s="48"/>
      <c r="J11" s="80"/>
      <c r="K11" s="80"/>
      <c r="L11" s="80"/>
      <c r="M11" s="80"/>
      <c r="N11" s="80"/>
      <c r="O11" s="80"/>
    </row>
    <row r="12" spans="1:15" x14ac:dyDescent="0.2">
      <c r="B12" s="46"/>
      <c r="C12" s="15"/>
      <c r="D12" s="15"/>
      <c r="E12" s="15"/>
      <c r="F12" s="15"/>
      <c r="G12" s="15"/>
      <c r="H12" s="15"/>
      <c r="I12" s="47"/>
    </row>
    <row r="13" spans="1:15" ht="13.5" x14ac:dyDescent="0.25">
      <c r="B13" s="57" t="s">
        <v>51</v>
      </c>
      <c r="C13" s="58"/>
      <c r="D13" s="58"/>
      <c r="E13" s="58"/>
      <c r="F13" s="58"/>
      <c r="G13" s="58"/>
      <c r="H13" s="58"/>
      <c r="I13" s="59"/>
    </row>
    <row r="14" spans="1:15" ht="13.5" x14ac:dyDescent="0.25">
      <c r="B14" s="60"/>
      <c r="C14" s="58"/>
      <c r="D14" s="58"/>
      <c r="E14" s="58"/>
      <c r="F14" s="58"/>
      <c r="G14" s="58"/>
      <c r="H14" s="58"/>
      <c r="I14" s="59"/>
    </row>
    <row r="15" spans="1:15" ht="13.5" x14ac:dyDescent="0.25">
      <c r="B15" s="60"/>
      <c r="C15" s="61" t="s">
        <v>52</v>
      </c>
      <c r="D15" s="58"/>
      <c r="E15" s="58"/>
      <c r="F15" s="58"/>
      <c r="G15" s="58"/>
      <c r="H15" s="58"/>
      <c r="I15" s="59"/>
    </row>
    <row r="16" spans="1:15" ht="333.75" customHeight="1" x14ac:dyDescent="0.25">
      <c r="B16" s="60"/>
      <c r="C16" s="58"/>
      <c r="D16" s="126" t="s">
        <v>79</v>
      </c>
      <c r="E16" s="126"/>
      <c r="F16" s="126"/>
      <c r="G16" s="126"/>
      <c r="H16" s="126"/>
      <c r="I16" s="127"/>
    </row>
    <row r="17" spans="2:12" ht="13.5" x14ac:dyDescent="0.25">
      <c r="B17" s="60"/>
      <c r="C17" s="58"/>
      <c r="D17" s="126"/>
      <c r="E17" s="126"/>
      <c r="F17" s="126"/>
      <c r="G17" s="126"/>
      <c r="H17" s="126"/>
      <c r="I17" s="127"/>
    </row>
    <row r="18" spans="2:12" ht="14.25" x14ac:dyDescent="0.3">
      <c r="B18" s="60"/>
      <c r="C18" s="58"/>
      <c r="D18" s="62"/>
      <c r="E18" s="58"/>
      <c r="F18" s="58"/>
      <c r="G18" s="58"/>
      <c r="H18" s="58"/>
      <c r="I18" s="59"/>
    </row>
    <row r="19" spans="2:12" ht="13.5" x14ac:dyDescent="0.25">
      <c r="B19" s="60"/>
      <c r="C19" s="61" t="s">
        <v>53</v>
      </c>
      <c r="D19" s="58"/>
      <c r="E19" s="58"/>
      <c r="F19" s="58"/>
      <c r="G19" s="58"/>
      <c r="H19" s="58"/>
      <c r="I19" s="59"/>
    </row>
    <row r="20" spans="2:12" ht="189.75" customHeight="1" x14ac:dyDescent="0.25">
      <c r="B20" s="60"/>
      <c r="C20" s="58"/>
      <c r="D20" s="128" t="s">
        <v>80</v>
      </c>
      <c r="E20" s="128"/>
      <c r="F20" s="128"/>
      <c r="G20" s="128"/>
      <c r="H20" s="128"/>
      <c r="I20" s="129"/>
      <c r="L20" s="18"/>
    </row>
    <row r="21" spans="2:12" ht="14.25" x14ac:dyDescent="0.3">
      <c r="B21" s="60"/>
      <c r="C21" s="58"/>
      <c r="D21" s="62"/>
      <c r="E21" s="58"/>
      <c r="F21" s="58"/>
      <c r="G21" s="58"/>
      <c r="H21" s="58"/>
      <c r="I21" s="59"/>
    </row>
    <row r="22" spans="2:12" ht="13.5" x14ac:dyDescent="0.25">
      <c r="B22" s="60"/>
      <c r="C22" s="58"/>
      <c r="D22" s="58"/>
      <c r="E22" s="58"/>
      <c r="F22" s="58"/>
      <c r="G22" s="58"/>
      <c r="H22" s="58"/>
      <c r="I22" s="59"/>
    </row>
    <row r="23" spans="2:12" ht="35.25" customHeight="1" x14ac:dyDescent="0.25">
      <c r="B23" s="60"/>
      <c r="C23" s="67" t="s">
        <v>73</v>
      </c>
      <c r="D23" s="126" t="s">
        <v>72</v>
      </c>
      <c r="E23" s="126"/>
      <c r="F23" s="126"/>
      <c r="G23" s="126"/>
      <c r="H23" s="126"/>
      <c r="I23" s="127"/>
    </row>
    <row r="24" spans="2:12" ht="14.25" x14ac:dyDescent="0.3">
      <c r="B24" s="60"/>
      <c r="C24" s="61" t="s">
        <v>61</v>
      </c>
      <c r="D24" s="62" t="s">
        <v>60</v>
      </c>
      <c r="E24" s="58"/>
      <c r="F24" s="58"/>
      <c r="G24" s="58"/>
      <c r="H24" s="58"/>
      <c r="I24" s="59"/>
    </row>
    <row r="25" spans="2:12" ht="14.25" thickBot="1" x14ac:dyDescent="0.3">
      <c r="B25" s="63"/>
      <c r="C25" s="64" t="s">
        <v>54</v>
      </c>
      <c r="D25" s="65"/>
      <c r="E25" s="65"/>
      <c r="F25" s="65"/>
      <c r="G25" s="65"/>
      <c r="H25" s="65"/>
      <c r="I25" s="66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"/>
  <sheetViews>
    <sheetView zoomScaleNormal="100" workbookViewId="0">
      <selection activeCell="G27" sqref="G2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2" t="s">
        <v>1</v>
      </c>
      <c r="K1" s="3">
        <v>56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84" t="s">
        <v>2</v>
      </c>
      <c r="B3" s="84"/>
      <c r="C3" s="84"/>
      <c r="D3" s="85" t="s">
        <v>38</v>
      </c>
      <c r="E3" s="86"/>
      <c r="F3" s="86"/>
      <c r="G3" s="86"/>
      <c r="H3" s="86"/>
      <c r="I3" s="86"/>
      <c r="J3" s="86"/>
      <c r="K3" s="87"/>
    </row>
    <row r="4" spans="1:11" ht="18.75" customHeight="1" thickBot="1" x14ac:dyDescent="0.25">
      <c r="A4" s="88" t="s">
        <v>3</v>
      </c>
      <c r="B4" s="88"/>
      <c r="C4" s="88"/>
      <c r="D4" s="85" t="s">
        <v>42</v>
      </c>
      <c r="E4" s="86"/>
      <c r="F4" s="86"/>
      <c r="G4" s="86"/>
      <c r="H4" s="86"/>
      <c r="I4" s="86"/>
      <c r="J4" s="86"/>
      <c r="K4" s="87"/>
    </row>
    <row r="5" spans="1:11" ht="18.75" customHeight="1" thickBot="1" x14ac:dyDescent="0.25">
      <c r="A5" s="88" t="s">
        <v>4</v>
      </c>
      <c r="B5" s="88"/>
      <c r="C5" s="88"/>
      <c r="D5" s="85" t="s">
        <v>40</v>
      </c>
      <c r="E5" s="86"/>
      <c r="F5" s="86"/>
      <c r="G5" s="86"/>
      <c r="H5" s="86"/>
      <c r="I5" s="86"/>
      <c r="J5" s="86"/>
      <c r="K5" s="87"/>
    </row>
    <row r="6" spans="1:11" ht="16.5" customHeight="1" thickBot="1" x14ac:dyDescent="0.25">
      <c r="A6" s="84" t="s">
        <v>5</v>
      </c>
      <c r="B6" s="84"/>
      <c r="C6" s="84"/>
      <c r="D6" s="85" t="s">
        <v>40</v>
      </c>
      <c r="E6" s="86"/>
      <c r="F6" s="86"/>
      <c r="G6" s="86"/>
      <c r="H6" s="86"/>
      <c r="I6" s="86"/>
      <c r="J6" s="86"/>
      <c r="K6" s="87"/>
    </row>
    <row r="7" spans="1:11" ht="16.5" customHeight="1" thickBot="1" x14ac:dyDescent="0.25">
      <c r="A7" s="88" t="s">
        <v>6</v>
      </c>
      <c r="B7" s="88"/>
      <c r="C7" s="88"/>
      <c r="D7" s="89" t="s">
        <v>59</v>
      </c>
      <c r="E7" s="89"/>
      <c r="F7" s="89"/>
      <c r="G7" s="89"/>
      <c r="H7" s="89"/>
      <c r="I7" s="89"/>
      <c r="J7" s="89"/>
      <c r="K7" s="89"/>
    </row>
    <row r="8" spans="1:11" ht="40.5" customHeight="1" thickBot="1" x14ac:dyDescent="0.25">
      <c r="A8" s="94" t="s">
        <v>7</v>
      </c>
      <c r="B8" s="94"/>
      <c r="C8" s="94"/>
      <c r="D8" s="95" t="s">
        <v>70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96" t="s">
        <v>8</v>
      </c>
      <c r="B10" s="97" t="s">
        <v>9</v>
      </c>
      <c r="C10" s="97" t="s">
        <v>10</v>
      </c>
      <c r="D10" s="97"/>
      <c r="E10" s="97"/>
      <c r="F10" s="97"/>
      <c r="G10" s="97"/>
      <c r="H10" s="97" t="s">
        <v>11</v>
      </c>
      <c r="I10" s="97" t="s">
        <v>12</v>
      </c>
      <c r="J10" s="97" t="s">
        <v>13</v>
      </c>
      <c r="K10" s="98" t="s">
        <v>14</v>
      </c>
    </row>
    <row r="11" spans="1:11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51.75" customHeight="1" thickBot="1" x14ac:dyDescent="0.25">
      <c r="A12" s="50">
        <v>1</v>
      </c>
      <c r="B12" s="51" t="s">
        <v>64</v>
      </c>
      <c r="C12" s="99" t="s">
        <v>63</v>
      </c>
      <c r="D12" s="99"/>
      <c r="E12" s="99"/>
      <c r="F12" s="99"/>
      <c r="G12" s="99"/>
      <c r="H12" s="52" t="s">
        <v>62</v>
      </c>
      <c r="I12" s="53" t="s">
        <v>55</v>
      </c>
      <c r="J12" s="56">
        <v>838000</v>
      </c>
      <c r="K12" s="54">
        <v>1</v>
      </c>
    </row>
    <row r="13" spans="1:11" ht="25.5" customHeight="1" thickBot="1" x14ac:dyDescent="0.25">
      <c r="A13" s="90" t="s">
        <v>71</v>
      </c>
      <c r="B13" s="90"/>
      <c r="C13" s="90"/>
      <c r="D13" s="90"/>
      <c r="E13" s="90"/>
      <c r="F13" s="90"/>
      <c r="G13" s="90"/>
      <c r="H13" s="90"/>
      <c r="I13" s="91"/>
      <c r="J13" s="92">
        <v>838000</v>
      </c>
      <c r="K13" s="93"/>
    </row>
  </sheetData>
  <mergeCells count="23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opLeftCell="A4" zoomScale="110" zoomScaleNormal="110" workbookViewId="0">
      <selection activeCell="A35" sqref="A35:P35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0" t="s">
        <v>15</v>
      </c>
      <c r="B1" s="100"/>
      <c r="C1" s="100"/>
      <c r="D1" s="101">
        <v>2021</v>
      </c>
      <c r="E1" s="101"/>
      <c r="F1" s="13"/>
      <c r="G1" s="13"/>
      <c r="H1" s="14"/>
      <c r="I1" s="14"/>
      <c r="J1" s="14"/>
      <c r="K1" s="14"/>
      <c r="L1" s="14"/>
      <c r="M1" s="14"/>
      <c r="N1" s="14"/>
      <c r="O1" s="15"/>
      <c r="P1" s="102" t="s">
        <v>16</v>
      </c>
      <c r="Q1" s="102"/>
    </row>
    <row r="2" spans="1:17" ht="15.75" customHeight="1" x14ac:dyDescent="0.2">
      <c r="A2" s="16"/>
      <c r="H2" s="17"/>
      <c r="I2" s="17"/>
      <c r="J2" s="17"/>
      <c r="K2" s="17"/>
      <c r="L2" s="17"/>
      <c r="M2" s="17"/>
      <c r="N2" s="17"/>
      <c r="P2" s="102"/>
      <c r="Q2" s="102"/>
    </row>
    <row r="3" spans="1:17" x14ac:dyDescent="0.2">
      <c r="A3" s="16"/>
      <c r="Q3" s="18"/>
    </row>
    <row r="4" spans="1:17" s="19" customFormat="1" ht="18" customHeight="1" x14ac:dyDescent="0.2">
      <c r="A4" s="103" t="s">
        <v>17</v>
      </c>
      <c r="B4" s="103"/>
      <c r="C4" s="103"/>
      <c r="D4" s="103"/>
      <c r="E4" s="103"/>
      <c r="F4" s="103"/>
      <c r="G4" s="104" t="s">
        <v>38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s="19" customFormat="1" ht="18" customHeight="1" x14ac:dyDescent="0.2">
      <c r="A5" s="105" t="s">
        <v>3</v>
      </c>
      <c r="B5" s="105"/>
      <c r="C5" s="105"/>
      <c r="D5" s="105"/>
      <c r="E5" s="105"/>
      <c r="F5" s="105"/>
      <c r="G5" s="104" t="s">
        <v>39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s="19" customFormat="1" ht="18" customHeight="1" x14ac:dyDescent="0.2">
      <c r="A6" s="105" t="s">
        <v>4</v>
      </c>
      <c r="B6" s="105"/>
      <c r="C6" s="105"/>
      <c r="D6" s="105"/>
      <c r="E6" s="105"/>
      <c r="F6" s="105"/>
      <c r="G6" s="104" t="s">
        <v>40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s="19" customFormat="1" ht="22.5" customHeight="1" x14ac:dyDescent="0.2">
      <c r="A7" s="105" t="s">
        <v>5</v>
      </c>
      <c r="B7" s="105"/>
      <c r="C7" s="105"/>
      <c r="D7" s="105"/>
      <c r="E7" s="105"/>
      <c r="F7" s="105"/>
      <c r="G7" s="104" t="s">
        <v>40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8" customHeight="1" x14ac:dyDescent="0.2">
      <c r="A8" s="109" t="s">
        <v>18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 x14ac:dyDescent="0.2">
      <c r="A9" s="110" t="s">
        <v>19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</row>
    <row r="10" spans="1:17" ht="66" customHeight="1" x14ac:dyDescent="0.2">
      <c r="A10" s="111" t="s">
        <v>69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 thickBot="1" x14ac:dyDescent="0.25">
      <c r="A11" s="20"/>
      <c r="B11" s="21"/>
      <c r="C11" s="21"/>
      <c r="D11" s="21"/>
      <c r="E11" s="21"/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3"/>
    </row>
    <row r="12" spans="1:17" ht="15.75" customHeight="1" x14ac:dyDescent="0.2">
      <c r="A12" s="112" t="s">
        <v>20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 x14ac:dyDescent="0.2">
      <c r="A13" s="113" t="s">
        <v>21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22</v>
      </c>
      <c r="P13" s="114"/>
      <c r="Q13" s="115" t="s">
        <v>23</v>
      </c>
    </row>
    <row r="14" spans="1:17" ht="15.75" customHeight="1" thickBot="1" x14ac:dyDescent="0.25">
      <c r="A14" s="24" t="s">
        <v>24</v>
      </c>
      <c r="B14" s="25" t="s">
        <v>25</v>
      </c>
      <c r="C14" s="25" t="s">
        <v>26</v>
      </c>
      <c r="D14" s="25" t="s">
        <v>27</v>
      </c>
      <c r="E14" s="25" t="s">
        <v>28</v>
      </c>
      <c r="F14" s="25" t="s">
        <v>29</v>
      </c>
      <c r="G14" s="26" t="s">
        <v>30</v>
      </c>
      <c r="H14" s="25" t="s">
        <v>31</v>
      </c>
      <c r="I14" s="25" t="s">
        <v>32</v>
      </c>
      <c r="J14" s="25" t="s">
        <v>33</v>
      </c>
      <c r="K14" s="25" t="s">
        <v>33</v>
      </c>
      <c r="L14" s="25" t="s">
        <v>34</v>
      </c>
      <c r="M14" s="27" t="s">
        <v>35</v>
      </c>
      <c r="N14" s="28" t="s">
        <v>36</v>
      </c>
      <c r="O14" s="114"/>
      <c r="P14" s="114"/>
      <c r="Q14" s="115"/>
    </row>
    <row r="15" spans="1:17" ht="31.5" customHeight="1" thickBot="1" x14ac:dyDescent="0.25">
      <c r="A15" s="43">
        <v>1</v>
      </c>
      <c r="B15" s="44">
        <v>0</v>
      </c>
      <c r="C15" s="44">
        <v>0</v>
      </c>
      <c r="D15" s="44">
        <v>1</v>
      </c>
      <c r="E15" s="44">
        <v>0</v>
      </c>
      <c r="F15" s="44">
        <v>4901</v>
      </c>
      <c r="G15" s="44">
        <v>1</v>
      </c>
      <c r="H15" s="44">
        <v>3</v>
      </c>
      <c r="I15" s="44">
        <v>4</v>
      </c>
      <c r="J15" s="44">
        <v>3</v>
      </c>
      <c r="K15" s="44">
        <v>2</v>
      </c>
      <c r="L15" s="44">
        <v>0</v>
      </c>
      <c r="M15" s="45">
        <v>1</v>
      </c>
      <c r="N15" s="44" t="s">
        <v>41</v>
      </c>
      <c r="O15" s="106" t="s">
        <v>67</v>
      </c>
      <c r="P15" s="107"/>
      <c r="Q15" s="55">
        <v>838000</v>
      </c>
    </row>
    <row r="16" spans="1:17" ht="28.5" customHeight="1" x14ac:dyDescent="0.2">
      <c r="A16" s="43"/>
      <c r="B16" s="44"/>
      <c r="C16" s="44"/>
      <c r="D16" s="44"/>
      <c r="E16" s="44"/>
      <c r="F16" s="44"/>
      <c r="G16" s="44"/>
      <c r="H16" s="44"/>
      <c r="I16" s="30"/>
      <c r="J16" s="30"/>
      <c r="K16" s="30"/>
      <c r="L16" s="44"/>
      <c r="M16" s="45"/>
      <c r="N16" s="44"/>
      <c r="O16" s="108"/>
      <c r="P16" s="108"/>
      <c r="Q16" s="49"/>
    </row>
    <row r="17" spans="1:17" ht="17.25" customHeight="1" x14ac:dyDescent="0.2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2"/>
      <c r="O17" s="116"/>
      <c r="P17" s="116"/>
      <c r="Q17" s="33"/>
    </row>
    <row r="18" spans="1:17" ht="17.25" customHeight="1" x14ac:dyDescent="0.2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  <c r="O18" s="116"/>
      <c r="P18" s="116"/>
      <c r="Q18" s="33"/>
    </row>
    <row r="19" spans="1:17" ht="17.25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/>
      <c r="O19" s="116"/>
      <c r="P19" s="116"/>
      <c r="Q19" s="33"/>
    </row>
    <row r="20" spans="1:17" ht="17.25" customHeight="1" x14ac:dyDescent="0.2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2"/>
      <c r="O20" s="116"/>
      <c r="P20" s="116"/>
      <c r="Q20" s="33"/>
    </row>
    <row r="21" spans="1:17" ht="17.25" customHeight="1" x14ac:dyDescent="0.2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2"/>
      <c r="O21" s="116"/>
      <c r="P21" s="116"/>
      <c r="Q21" s="33"/>
    </row>
    <row r="22" spans="1:17" ht="17.25" customHeight="1" x14ac:dyDescent="0.2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2"/>
      <c r="O22" s="116"/>
      <c r="P22" s="116"/>
      <c r="Q22" s="33"/>
    </row>
    <row r="23" spans="1:17" ht="17.25" customHeight="1" x14ac:dyDescent="0.2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2"/>
      <c r="O23" s="116"/>
      <c r="P23" s="116"/>
      <c r="Q23" s="33"/>
    </row>
    <row r="24" spans="1:17" ht="17.25" customHeight="1" x14ac:dyDescent="0.2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32"/>
      <c r="O24" s="116"/>
      <c r="P24" s="116"/>
      <c r="Q24" s="33"/>
    </row>
    <row r="25" spans="1:17" ht="17.25" customHeight="1" x14ac:dyDescent="0.2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2"/>
      <c r="O25" s="116"/>
      <c r="P25" s="116"/>
      <c r="Q25" s="33"/>
    </row>
    <row r="26" spans="1:17" ht="17.25" customHeight="1" x14ac:dyDescent="0.2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  <c r="N26" s="32"/>
      <c r="O26" s="116"/>
      <c r="P26" s="116"/>
      <c r="Q26" s="33"/>
    </row>
    <row r="27" spans="1:17" ht="17.25" customHeight="1" x14ac:dyDescent="0.2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  <c r="N27" s="32"/>
      <c r="O27" s="116"/>
      <c r="P27" s="116"/>
      <c r="Q27" s="33"/>
    </row>
    <row r="28" spans="1:17" ht="17.25" customHeight="1" x14ac:dyDescent="0.2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32"/>
      <c r="O28" s="116"/>
      <c r="P28" s="116"/>
      <c r="Q28" s="33"/>
    </row>
    <row r="29" spans="1:17" ht="17.25" customHeight="1" x14ac:dyDescent="0.2">
      <c r="A29" s="29"/>
      <c r="B29" s="30"/>
      <c r="C29" s="30"/>
      <c r="D29" s="30"/>
      <c r="E29" s="30"/>
      <c r="F29" s="32"/>
      <c r="G29" s="30"/>
      <c r="H29" s="30"/>
      <c r="I29" s="30"/>
      <c r="J29" s="30"/>
      <c r="K29" s="30"/>
      <c r="L29" s="30"/>
      <c r="M29" s="31"/>
      <c r="N29" s="32"/>
      <c r="O29" s="117"/>
      <c r="P29" s="117"/>
      <c r="Q29" s="33"/>
    </row>
    <row r="30" spans="1:17" ht="17.25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32"/>
      <c r="O30" s="117"/>
      <c r="P30" s="117"/>
      <c r="Q30" s="33"/>
    </row>
    <row r="31" spans="1:17" ht="17.25" customHeight="1" x14ac:dyDescent="0.2">
      <c r="A31" s="29"/>
      <c r="B31" s="30"/>
      <c r="C31" s="30"/>
      <c r="D31" s="30"/>
      <c r="E31" s="30"/>
      <c r="F31" s="32"/>
      <c r="G31" s="30"/>
      <c r="H31" s="30"/>
      <c r="I31" s="30"/>
      <c r="J31" s="30"/>
      <c r="K31" s="30"/>
      <c r="L31" s="30"/>
      <c r="M31" s="31"/>
      <c r="N31" s="32"/>
      <c r="O31" s="117"/>
      <c r="P31" s="117"/>
      <c r="Q31" s="33"/>
    </row>
    <row r="32" spans="1:17" ht="17.25" customHeight="1" x14ac:dyDescent="0.2">
      <c r="A32" s="29"/>
      <c r="B32" s="30"/>
      <c r="C32" s="30"/>
      <c r="D32" s="30"/>
      <c r="E32" s="30"/>
      <c r="F32" s="32"/>
      <c r="G32" s="30"/>
      <c r="H32" s="30"/>
      <c r="I32" s="30"/>
      <c r="J32" s="30"/>
      <c r="K32" s="30"/>
      <c r="L32" s="30"/>
      <c r="M32" s="31"/>
      <c r="N32" s="32"/>
      <c r="O32" s="117"/>
      <c r="P32" s="117"/>
      <c r="Q32" s="33"/>
    </row>
    <row r="33" spans="1:17" ht="17.25" customHeight="1" x14ac:dyDescent="0.2">
      <c r="A33" s="34"/>
      <c r="B33" s="35"/>
      <c r="C33" s="35"/>
      <c r="D33" s="35"/>
      <c r="E33" s="35"/>
      <c r="F33" s="32"/>
      <c r="G33" s="35"/>
      <c r="H33" s="35"/>
      <c r="I33" s="35"/>
      <c r="J33" s="35"/>
      <c r="K33" s="35"/>
      <c r="L33" s="35"/>
      <c r="M33" s="36"/>
      <c r="N33" s="37"/>
      <c r="O33" s="117"/>
      <c r="P33" s="117"/>
      <c r="Q33" s="33"/>
    </row>
    <row r="34" spans="1:17" ht="17.25" customHeight="1" x14ac:dyDescent="0.2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40"/>
      <c r="N34" s="39"/>
      <c r="O34" s="122"/>
      <c r="P34" s="122"/>
      <c r="Q34" s="41"/>
    </row>
    <row r="35" spans="1:17" ht="20.25" customHeight="1" x14ac:dyDescent="0.2">
      <c r="A35" s="123" t="s">
        <v>68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42">
        <f>SUM(Q15:Q34)</f>
        <v>838000</v>
      </c>
    </row>
    <row r="36" spans="1:17" ht="18" customHeight="1" x14ac:dyDescent="0.2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</row>
    <row r="37" spans="1:17" ht="17.25" customHeight="1" x14ac:dyDescent="0.2">
      <c r="A37" s="118" t="s">
        <v>37</v>
      </c>
      <c r="B37" s="118"/>
      <c r="C37" s="118"/>
      <c r="D37" s="118"/>
      <c r="E37" s="118"/>
      <c r="F37" s="118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</row>
    <row r="38" spans="1:17" ht="18" customHeight="1" x14ac:dyDescent="0.2">
      <c r="A38" s="120" t="s">
        <v>70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</row>
    <row r="39" spans="1:17" ht="63.75" customHeight="1" x14ac:dyDescent="0.2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</row>
  </sheetData>
  <mergeCells count="43">
    <mergeCell ref="A37:F37"/>
    <mergeCell ref="G37:Q37"/>
    <mergeCell ref="A38:Q39"/>
    <mergeCell ref="O32:P32"/>
    <mergeCell ref="O33:P33"/>
    <mergeCell ref="O34:P34"/>
    <mergeCell ref="A35:P35"/>
    <mergeCell ref="A36:Q36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COMPRAR</cp:lastModifiedBy>
  <cp:revision>3</cp:revision>
  <cp:lastPrinted>2022-12-05T13:53:14Z</cp:lastPrinted>
  <dcterms:created xsi:type="dcterms:W3CDTF">2020-07-17T23:44:49Z</dcterms:created>
  <dcterms:modified xsi:type="dcterms:W3CDTF">2022-12-07T15:33:40Z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