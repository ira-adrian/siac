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Ambulancias. MS\2º Pedido de ambulancia\"/>
    </mc:Choice>
  </mc:AlternateContent>
  <bookViews>
    <workbookView xWindow="-15" yWindow="6390" windowWidth="28830" windowHeight="6435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TRIMESTRAL'!$A$9:$AY$9</definedName>
  </definedNames>
  <calcPr calcId="162913"/>
</workbook>
</file>

<file path=xl/calcChain.xml><?xml version="1.0" encoding="utf-8"?>
<calcChain xmlns="http://schemas.openxmlformats.org/spreadsheetml/2006/main">
  <c r="K12" i="2" l="1"/>
  <c r="J12" i="2"/>
  <c r="I12" i="2"/>
  <c r="C12" i="2"/>
  <c r="B12" i="2"/>
  <c r="J14" i="2" l="1"/>
  <c r="A41" i="3"/>
  <c r="Q15" i="3"/>
  <c r="G5" i="3" l="1"/>
  <c r="G6" i="3"/>
  <c r="G7" i="3"/>
  <c r="G4" i="3"/>
  <c r="Q38" i="3"/>
  <c r="AW10" i="1" l="1"/>
  <c r="AV10" i="1" l="1"/>
  <c r="AY10" i="1"/>
  <c r="AY11" i="1" s="1"/>
  <c r="T11" i="1"/>
  <c r="AD10" i="1"/>
  <c r="T10" i="1"/>
</calcChain>
</file>

<file path=xl/sharedStrings.xml><?xml version="1.0" encoding="utf-8"?>
<sst xmlns="http://schemas.openxmlformats.org/spreadsheetml/2006/main" count="132" uniqueCount="125">
  <si>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</si>
  <si>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</si>
  <si>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</si>
  <si>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</si>
  <si>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</si>
  <si>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</si>
  <si>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</si>
  <si>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</si>
  <si>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</si>
  <si>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</si>
  <si>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</si>
  <si>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</si>
  <si>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</si>
  <si>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</si>
  <si>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</si>
  <si>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</si>
  <si>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</si>
  <si>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</si>
  <si>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</si>
  <si>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</si>
  <si>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</si>
  <si>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</si>
  <si>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</si>
  <si>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</si>
  <si>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</si>
  <si>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</si>
  <si>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</si>
  <si>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</si>
  <si>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</si>
  <si>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</si>
  <si>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</si>
  <si>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</si>
  <si>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</si>
  <si>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</si>
  <si>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</si>
  <si>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</si>
  <si>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</si>
  <si>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</si>
  <si>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</si>
  <si>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</si>
  <si>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</si>
  <si>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</si>
  <si>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</si>
  <si>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</si>
  <si>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</si>
  <si>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</si>
  <si>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</si>
  <si>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</si>
  <si>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</si>
  <si>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 xml:space="preserve">IMPORTE TOTAL ESTIMADO </t>
  </si>
  <si>
    <t>ESPECIFICACION TECNICA</t>
  </si>
  <si>
    <t>UNIDAD</t>
  </si>
  <si>
    <t>TOTAL SAME</t>
  </si>
  <si>
    <t>CRONICAS</t>
  </si>
  <si>
    <t>TOTAL CRONICAS</t>
  </si>
  <si>
    <t>EPIDEMIOLOGIA</t>
  </si>
  <si>
    <t>TOTAL EPIDEMIOLOGIA</t>
  </si>
  <si>
    <t>MS</t>
  </si>
  <si>
    <t>TOTAL MS</t>
  </si>
  <si>
    <t>EQUIPOS</t>
  </si>
  <si>
    <t>TOTAL RUBRO VEHICULOS</t>
  </si>
  <si>
    <t>SEGUNDO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</si>
  <si>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</si>
  <si>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</si>
  <si>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</si>
  <si>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</si>
  <si>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</si>
  <si>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</si>
  <si>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</si>
  <si>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</si>
  <si>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</si>
  <si>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</si>
  <si>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</si>
  <si>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</si>
  <si>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</si>
  <si>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</si>
  <si>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</si>
  <si>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</si>
  <si>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</si>
  <si>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</si>
  <si>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</si>
  <si>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</si>
  <si>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</si>
  <si>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</si>
  <si>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</si>
  <si>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</si>
  <si>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</si>
  <si>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</si>
  <si>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</si>
  <si>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</si>
  <si>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</si>
  <si>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</si>
  <si>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</si>
  <si>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</si>
  <si>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</si>
  <si>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</si>
  <si>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</si>
  <si>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</si>
  <si>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</si>
  <si>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011 - DIRECCION PROVINCIAL DE ADMINISTRACION DEL MINISTERIO DE SALUD</t>
  </si>
  <si>
    <t>SI</t>
  </si>
  <si>
    <t>4.3.2-215.451</t>
  </si>
  <si>
    <t>4.3.2</t>
  </si>
  <si>
    <t>VEHICULOS UTILITARIOS TIPO: SIN VALOR; AMBULANCIA TIPO DE COMPLEJIDAD: SIN VALOR, TIPO DE MOTOR: DIESEL, CILINDRADA: SIN VALOR , POTENCIA: 114 CV MINIMO, CANT. DE CILINDROS: 4 MINIMO, AÑO: 0 KM, CAPACIDAD DE CARGA: 900 KG MINIMO, CAJA DE VELOCIDAD: MANUAL O AUTOMATICO, COLOR: BLANCO</t>
  </si>
  <si>
    <t>Especificidades Item N° 1:</t>
  </si>
  <si>
    <t>VER ANEXO I</t>
  </si>
  <si>
    <t>Descripción técnica</t>
  </si>
  <si>
    <t>Calidad Minima esperada</t>
  </si>
  <si>
    <t>Mantenimiento</t>
  </si>
  <si>
    <t>Garantia</t>
  </si>
  <si>
    <t>Cuarenta y cinco (45) días habiles, renovables por igual periodo automáticamente.</t>
  </si>
  <si>
    <t>352 - MINISTERIO DE SALUD</t>
  </si>
  <si>
    <t>CINCO (5) AÑOS</t>
  </si>
  <si>
    <t>ADQUISICION DE AMBULANCIAS PARA FORTALECER EL SERVICIO DE TRASLADO Y/O DERIVACIONES EN EL SECTOR PUBLICO PROVINCIAL.</t>
  </si>
  <si>
    <t xml:space="preserve"> 06/2022</t>
  </si>
  <si>
    <t>1.1</t>
  </si>
  <si>
    <t>EQUIPO DE TRANSPORTE, TRACCION Y ELEVACION</t>
  </si>
  <si>
    <t>Autorizo la realización de los  trámites correspondientes, a fin de proveer a  este Organismo los bienes, servicios o ejecución de obras públicas que se detallan en Nota  de Pedido N° 06/2022 , afectando la erogación resultante a los créditos presupuestarios aprobados a favor de esta Unidad Ejecutora, conforme al siguiente detalle:</t>
  </si>
  <si>
    <t>TOTAL DE PESOS: CIENTO CUARENTA Y OCHO MILLONES SETECIENTOS TREINTA Y TRES MIL VEINTE CON 00/100.-</t>
  </si>
  <si>
    <t>Costo total estimado: PESOS CIENTO CUARENTA Y OCHO MILLONES SETECIENTOS TREINTA Y TRES MIL VEINTE CON 00/100.-</t>
  </si>
  <si>
    <t xml:space="preserve"> Lugar de Entrega: </t>
  </si>
  <si>
    <t>Plazo de entrega</t>
  </si>
  <si>
    <t xml:space="preserve">Treinta (30) días hábiles - </t>
  </si>
  <si>
    <t>Ministerio de Salud - Chacabuco N° 169</t>
  </si>
  <si>
    <t>PRECIO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</si>
</sst>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sz val="9"/>
      <name val="Times New Roman"/>
      <family val="1"/>
    </font>
    <font>
      <u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8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70" fontId="27" fillId="0" borderId="0" applyBorder="0" applyProtection="0"/>
    <xf numFmtId="44" fontId="8" fillId="0" borderId="0" applyBorder="0" applyAlignment="0" applyProtection="0"/>
    <xf numFmtId="168" fontId="8" fillId="0" borderId="0" applyBorder="0" applyProtection="0"/>
    <xf numFmtId="0" fontId="1" fillId="0" borderId="0"/>
    <xf numFmtId="44" fontId="8" fillId="0" borderId="0" applyFont="0" applyFill="0" applyBorder="0" applyAlignment="0" applyProtection="0"/>
  </cellStyleXfs>
  <cellXfs count="21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9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3" fontId="7" fillId="0" borderId="9" xfId="2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67" fontId="9" fillId="0" borderId="2" xfId="0" applyNumberFormat="1" applyFont="1" applyBorder="1" applyAlignment="1">
      <alignment vertical="center"/>
    </xf>
    <xf numFmtId="0" fontId="9" fillId="0" borderId="0" xfId="0" applyFont="1" applyBorder="1"/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167" fontId="4" fillId="0" borderId="4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167" fontId="10" fillId="0" borderId="4" xfId="0" applyNumberFormat="1" applyFont="1" applyFill="1" applyBorder="1" applyAlignment="1">
      <alignment horizontal="center" vertical="center"/>
    </xf>
    <xf numFmtId="3" fontId="10" fillId="0" borderId="4" xfId="0" applyNumberFormat="1" applyFont="1" applyFill="1" applyBorder="1" applyAlignment="1">
      <alignment horizontal="center" vertical="center"/>
    </xf>
    <xf numFmtId="167" fontId="10" fillId="0" borderId="7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wrapText="1"/>
    </xf>
    <xf numFmtId="0" fontId="10" fillId="0" borderId="0" xfId="0" applyFont="1" applyFill="1"/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3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3" fontId="10" fillId="0" borderId="4" xfId="2" applyNumberFormat="1" applyFont="1" applyFill="1" applyBorder="1" applyAlignment="1">
      <alignment horizontal="center" vertical="center" wrapText="1"/>
    </xf>
    <xf numFmtId="0" fontId="10" fillId="0" borderId="7" xfId="0" applyNumberFormat="1" applyFont="1" applyFill="1" applyBorder="1" applyAlignment="1">
      <alignment horizontal="center" vertical="center"/>
    </xf>
    <xf numFmtId="167" fontId="10" fillId="0" borderId="3" xfId="0" applyNumberFormat="1" applyFont="1" applyFill="1" applyBorder="1"/>
    <xf numFmtId="0" fontId="20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21" fillId="0" borderId="22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 wrapText="1" indent="1"/>
    </xf>
    <xf numFmtId="0" fontId="20" fillId="0" borderId="17" xfId="0" applyFont="1" applyBorder="1" applyAlignment="1">
      <alignment horizontal="left" vertical="center" wrapText="1" indent="1"/>
    </xf>
    <xf numFmtId="0" fontId="23" fillId="0" borderId="26" xfId="0" applyFont="1" applyBorder="1" applyAlignment="1">
      <alignment horizontal="center" vertical="center"/>
    </xf>
    <xf numFmtId="3" fontId="25" fillId="0" borderId="30" xfId="0" applyNumberFormat="1" applyFont="1" applyBorder="1" applyAlignment="1"/>
    <xf numFmtId="169" fontId="0" fillId="0" borderId="30" xfId="0" applyNumberFormat="1" applyBorder="1" applyAlignment="1">
      <alignment horizontal="left"/>
    </xf>
    <xf numFmtId="0" fontId="0" fillId="0" borderId="30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30" fillId="0" borderId="39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left" vertic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11" xfId="0" applyFont="1" applyBorder="1" applyAlignment="1">
      <alignment vertical="center"/>
    </xf>
    <xf numFmtId="0" fontId="20" fillId="0" borderId="58" xfId="0" applyFont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0" fillId="0" borderId="59" xfId="0" applyFont="1" applyBorder="1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19" fillId="0" borderId="13" xfId="0" applyNumberFormat="1" applyFont="1" applyBorder="1" applyAlignment="1">
      <alignment horizontal="right" vertical="center"/>
    </xf>
    <xf numFmtId="167" fontId="19" fillId="0" borderId="0" xfId="0" applyNumberFormat="1" applyFont="1" applyBorder="1" applyAlignment="1">
      <alignment vertical="center"/>
    </xf>
    <xf numFmtId="167" fontId="20" fillId="0" borderId="58" xfId="0" applyNumberFormat="1" applyFont="1" applyBorder="1" applyAlignment="1">
      <alignment vertical="center"/>
    </xf>
    <xf numFmtId="167" fontId="20" fillId="0" borderId="0" xfId="0" applyNumberFormat="1" applyFont="1" applyBorder="1" applyAlignment="1">
      <alignment horizontal="left" vertical="center" wrapText="1" indent="1"/>
    </xf>
    <xf numFmtId="167" fontId="0" fillId="0" borderId="0" xfId="0" applyNumberFormat="1"/>
    <xf numFmtId="0" fontId="23" fillId="0" borderId="10" xfId="0" applyFont="1" applyBorder="1" applyAlignment="1">
      <alignment horizontal="center" vertical="center" wrapText="1"/>
    </xf>
    <xf numFmtId="167" fontId="23" fillId="0" borderId="10" xfId="0" applyNumberFormat="1" applyFont="1" applyBorder="1" applyAlignment="1">
      <alignment horizontal="center" vertical="center" wrapText="1"/>
    </xf>
    <xf numFmtId="3" fontId="23" fillId="0" borderId="27" xfId="0" applyNumberFormat="1" applyFont="1" applyBorder="1" applyAlignment="1">
      <alignment horizontal="center" vertical="center"/>
    </xf>
    <xf numFmtId="0" fontId="0" fillId="0" borderId="0" xfId="0" applyFont="1"/>
    <xf numFmtId="167" fontId="0" fillId="0" borderId="17" xfId="0" applyNumberFormat="1" applyBorder="1"/>
    <xf numFmtId="167" fontId="0" fillId="0" borderId="36" xfId="0" applyNumberFormat="1" applyBorder="1"/>
    <xf numFmtId="167" fontId="0" fillId="0" borderId="46" xfId="33" applyNumberFormat="1" applyFont="1" applyBorder="1" applyAlignment="1" applyProtection="1">
      <alignment horizontal="center" vertical="center"/>
    </xf>
    <xf numFmtId="167" fontId="0" fillId="0" borderId="51" xfId="33" applyNumberFormat="1" applyFont="1" applyBorder="1" applyAlignment="1" applyProtection="1">
      <alignment horizontal="center" vertical="center"/>
    </xf>
    <xf numFmtId="167" fontId="0" fillId="0" borderId="55" xfId="33" applyNumberFormat="1" applyFont="1" applyBorder="1" applyAlignment="1" applyProtection="1">
      <alignment horizontal="center" vertical="center"/>
    </xf>
    <xf numFmtId="167" fontId="30" fillId="0" borderId="57" xfId="0" applyNumberFormat="1" applyFont="1" applyBorder="1" applyAlignment="1">
      <alignment horizontal="center" vertical="center"/>
    </xf>
    <xf numFmtId="0" fontId="32" fillId="0" borderId="0" xfId="2" applyFont="1" applyBorder="1" applyAlignment="1">
      <alignment horizontal="center" vertical="center" wrapText="1"/>
    </xf>
    <xf numFmtId="0" fontId="3" fillId="0" borderId="0" xfId="2" applyFont="1" applyFill="1" applyBorder="1" applyAlignment="1"/>
    <xf numFmtId="0" fontId="0" fillId="0" borderId="0" xfId="0" applyFont="1" applyBorder="1" applyAlignment="1">
      <alignment horizontal="center" vertical="center"/>
    </xf>
    <xf numFmtId="0" fontId="34" fillId="0" borderId="0" xfId="2" applyFont="1" applyBorder="1" applyAlignment="1">
      <alignment horizontal="left" vertical="center"/>
    </xf>
    <xf numFmtId="3" fontId="0" fillId="0" borderId="0" xfId="0" applyNumberFormat="1" applyFont="1" applyBorder="1" applyAlignment="1">
      <alignment horizontal="center" vertical="center"/>
    </xf>
    <xf numFmtId="167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34" fillId="0" borderId="22" xfId="2" applyFont="1" applyBorder="1" applyAlignment="1">
      <alignment horizontal="center" vertical="center" wrapText="1"/>
    </xf>
    <xf numFmtId="0" fontId="33" fillId="0" borderId="22" xfId="2" applyFont="1" applyBorder="1" applyAlignment="1">
      <alignment horizontal="center" vertical="center" wrapText="1"/>
    </xf>
    <xf numFmtId="0" fontId="34" fillId="0" borderId="0" xfId="2" applyFont="1" applyBorder="1" applyAlignment="1">
      <alignment vertical="center"/>
    </xf>
    <xf numFmtId="0" fontId="34" fillId="0" borderId="17" xfId="2" applyFont="1" applyBorder="1" applyAlignment="1">
      <alignment vertical="center"/>
    </xf>
    <xf numFmtId="0" fontId="34" fillId="0" borderId="0" xfId="2" applyFont="1" applyFill="1" applyBorder="1" applyAlignment="1">
      <alignment vertical="center"/>
    </xf>
    <xf numFmtId="0" fontId="34" fillId="0" borderId="17" xfId="2" applyFont="1" applyFill="1" applyBorder="1" applyAlignment="1">
      <alignment vertical="center"/>
    </xf>
    <xf numFmtId="0" fontId="34" fillId="0" borderId="0" xfId="2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33" fillId="0" borderId="61" xfId="2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34" fillId="0" borderId="17" xfId="2" applyFont="1" applyBorder="1" applyAlignment="1">
      <alignment horizontal="center" vertical="center"/>
    </xf>
    <xf numFmtId="0" fontId="34" fillId="0" borderId="0" xfId="2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34" fillId="0" borderId="62" xfId="2" applyFont="1" applyFill="1" applyBorder="1" applyAlignment="1">
      <alignment vertical="center"/>
    </xf>
    <xf numFmtId="0" fontId="34" fillId="0" borderId="63" xfId="2" applyFont="1" applyFill="1" applyBorder="1" applyAlignment="1">
      <alignment vertical="center"/>
    </xf>
    <xf numFmtId="0" fontId="23" fillId="0" borderId="6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167" fontId="23" fillId="0" borderId="2" xfId="0" applyNumberFormat="1" applyFont="1" applyBorder="1" applyAlignment="1">
      <alignment horizontal="center" vertical="center" wrapText="1"/>
    </xf>
    <xf numFmtId="3" fontId="23" fillId="0" borderId="65" xfId="0" applyNumberFormat="1" applyFont="1" applyBorder="1" applyAlignment="1">
      <alignment horizontal="center" vertical="center"/>
    </xf>
    <xf numFmtId="0" fontId="33" fillId="0" borderId="12" xfId="2" applyFont="1" applyBorder="1" applyAlignment="1">
      <alignment horizontal="center" vertical="center" wrapText="1"/>
    </xf>
    <xf numFmtId="0" fontId="33" fillId="0" borderId="30" xfId="2" applyFont="1" applyBorder="1" applyAlignment="1">
      <alignment horizontal="center" vertical="center" wrapText="1"/>
    </xf>
    <xf numFmtId="0" fontId="33" fillId="0" borderId="60" xfId="2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 indent="1"/>
    </xf>
    <xf numFmtId="0" fontId="23" fillId="0" borderId="2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167" fontId="22" fillId="0" borderId="24" xfId="0" applyNumberFormat="1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6" fontId="31" fillId="0" borderId="29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/>
    </xf>
    <xf numFmtId="0" fontId="25" fillId="0" borderId="19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28" xfId="0" applyFont="1" applyBorder="1" applyAlignment="1">
      <alignment horizontal="left" vertical="center" wrapText="1" indent="1"/>
    </xf>
    <xf numFmtId="0" fontId="0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25" fillId="0" borderId="56" xfId="0" applyFont="1" applyBorder="1" applyAlignment="1">
      <alignment horizontal="left" vertical="center" wrapText="1"/>
    </xf>
    <xf numFmtId="0" fontId="0" fillId="0" borderId="34" xfId="0" applyBorder="1"/>
    <xf numFmtId="0" fontId="0" fillId="0" borderId="50" xfId="0" applyFont="1" applyBorder="1" applyAlignment="1">
      <alignment horizontal="center" vertical="center"/>
    </xf>
    <xf numFmtId="49" fontId="28" fillId="0" borderId="35" xfId="0" applyNumberFormat="1" applyFont="1" applyBorder="1" applyAlignment="1">
      <alignment horizontal="justify" vertical="center" wrapText="1"/>
    </xf>
    <xf numFmtId="0" fontId="30" fillId="0" borderId="34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 wrapText="1"/>
    </xf>
    <xf numFmtId="167" fontId="30" fillId="0" borderId="38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horizontal="left" vertical="center" wrapText="1"/>
    </xf>
    <xf numFmtId="0" fontId="0" fillId="0" borderId="50" xfId="0" applyBorder="1" applyAlignment="1">
      <alignment horizontal="center"/>
    </xf>
    <xf numFmtId="0" fontId="28" fillId="0" borderId="34" xfId="0" applyFont="1" applyBorder="1" applyAlignment="1">
      <alignment horizontal="left"/>
    </xf>
    <xf numFmtId="0" fontId="0" fillId="0" borderId="11" xfId="0" applyFont="1" applyBorder="1" applyAlignment="1">
      <alignment horizontal="center"/>
    </xf>
    <xf numFmtId="3" fontId="25" fillId="0" borderId="29" xfId="0" applyNumberFormat="1" applyFont="1" applyBorder="1" applyAlignment="1">
      <alignment horizontal="center"/>
    </xf>
    <xf numFmtId="0" fontId="26" fillId="0" borderId="14" xfId="0" applyFont="1" applyBorder="1" applyAlignment="1">
      <alignment horizontal="center" vertical="center" wrapText="1"/>
    </xf>
    <xf numFmtId="0" fontId="27" fillId="0" borderId="31" xfId="0" applyFont="1" applyBorder="1"/>
    <xf numFmtId="0" fontId="28" fillId="0" borderId="32" xfId="0" applyFont="1" applyBorder="1" applyAlignment="1">
      <alignment horizontal="left" indent="1"/>
    </xf>
    <xf numFmtId="0" fontId="17" fillId="0" borderId="31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/>
    </xf>
  </cellXfs>
  <cellStyles count="38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2 3" xfId="35"/>
    <cellStyle name="Moneda 3" xfId="14"/>
    <cellStyle name="Moneda 3 2" xfId="37"/>
    <cellStyle name="Moneda 4" xfId="21"/>
    <cellStyle name="Moneda 5" xfId="9"/>
    <cellStyle name="Moneda 6" xfId="34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2 4" xfId="36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0"/>
  <sheetViews>
    <sheetView tabSelected="1" topLeftCell="F1" zoomScaleNormal="100" workbookViewId="0">
      <selection activeCell="AX10" sqref="AX10"/>
    </sheetView>
  </sheetViews>
  <sheetFormatPr baseColWidth="10" defaultRowHeight="15" x14ac:dyDescent="0.25"/>
  <cols>
    <col min="1" max="1" width="4.85546875" style="17" bestFit="1" customWidth="1"/>
    <col min="2" max="2" width="13.85546875" style="17" bestFit="1" customWidth="1"/>
    <col min="3" max="3" width="35.7109375" style="17" customWidth="1"/>
    <col min="4" max="4" width="5.5703125" style="17" bestFit="1" customWidth="1"/>
    <col min="5" max="5" width="91.85546875" style="18" customWidth="1"/>
    <col min="6" max="6" width="13" style="17" customWidth="1"/>
    <col min="7" max="7" width="17.140625" style="17" hidden="1" customWidth="1"/>
    <col min="8" max="8" width="10.85546875" style="17" hidden="1" customWidth="1"/>
    <col min="9" max="9" width="8" style="17" hidden="1" customWidth="1"/>
    <col min="10" max="10" width="14.5703125" style="17" hidden="1" customWidth="1"/>
    <col min="11" max="11" width="9.42578125" style="17" hidden="1" customWidth="1"/>
    <col min="12" max="12" width="14" style="17" hidden="1" customWidth="1"/>
    <col min="13" max="13" width="8.28515625" style="17" hidden="1" customWidth="1"/>
    <col min="14" max="14" width="14.140625" style="17" hidden="1" customWidth="1"/>
    <col min="15" max="15" width="4.5703125" style="17" hidden="1" customWidth="1"/>
    <col min="16" max="16" width="12.42578125" style="17" hidden="1" customWidth="1"/>
    <col min="17" max="17" width="14.7109375" style="17" hidden="1" customWidth="1"/>
    <col min="18" max="18" width="13.42578125" style="17" hidden="1" customWidth="1"/>
    <col min="19" max="19" width="10.5703125" style="19" hidden="1" customWidth="1"/>
    <col min="20" max="20" width="10.5703125" style="37" hidden="1" customWidth="1"/>
    <col min="21" max="21" width="14.7109375" style="17" hidden="1" customWidth="1"/>
    <col min="22" max="22" width="12.85546875" style="17" hidden="1" customWidth="1"/>
    <col min="23" max="23" width="6" style="17" hidden="1" customWidth="1"/>
    <col min="24" max="24" width="13.85546875" style="37" hidden="1" customWidth="1"/>
    <col min="25" max="25" width="10.140625" style="17" hidden="1" customWidth="1"/>
    <col min="26" max="26" width="13.5703125" style="17" hidden="1" customWidth="1"/>
    <col min="27" max="27" width="14.42578125" style="17" hidden="1" customWidth="1"/>
    <col min="28" max="28" width="14.42578125" style="37" hidden="1" customWidth="1"/>
    <col min="29" max="29" width="5.7109375" style="17" hidden="1" customWidth="1"/>
    <col min="30" max="30" width="12.42578125" style="17" hidden="1" customWidth="1"/>
    <col min="31" max="31" width="10.140625" style="28" hidden="1" customWidth="1"/>
    <col min="32" max="32" width="13.5703125" style="17" hidden="1" customWidth="1"/>
    <col min="33" max="33" width="12.140625" style="17" hidden="1" customWidth="1"/>
    <col min="34" max="34" width="13" style="17" hidden="1" customWidth="1"/>
    <col min="35" max="36" width="10.5703125" style="17" hidden="1" customWidth="1"/>
    <col min="37" max="37" width="4.7109375" style="17" hidden="1" customWidth="1"/>
    <col min="38" max="38" width="11.28515625" style="17" hidden="1" customWidth="1"/>
    <col min="39" max="39" width="6.5703125" style="17" hidden="1" customWidth="1"/>
    <col min="40" max="40" width="13.5703125" style="37" hidden="1" customWidth="1"/>
    <col min="41" max="41" width="14.85546875" style="17" hidden="1" customWidth="1"/>
    <col min="42" max="42" width="13.5703125" style="17" hidden="1" customWidth="1"/>
    <col min="43" max="43" width="13.85546875" style="17" hidden="1" customWidth="1"/>
    <col min="44" max="44" width="13.85546875" style="37" hidden="1" customWidth="1"/>
    <col min="45" max="45" width="15.28515625" style="24" hidden="1" customWidth="1"/>
    <col min="46" max="46" width="15.28515625" style="27" hidden="1" customWidth="1"/>
    <col min="47" max="47" width="5" style="24" hidden="1" customWidth="1"/>
    <col min="48" max="48" width="15.85546875" style="37" hidden="1" customWidth="1"/>
    <col min="49" max="49" width="10.42578125" style="19" bestFit="1" customWidth="1"/>
    <col min="50" max="50" width="15.5703125" style="20" bestFit="1" customWidth="1"/>
    <col min="51" max="51" width="16.7109375" style="20" bestFit="1" customWidth="1"/>
    <col min="52" max="52" width="60.5703125" style="51" hidden="1" customWidth="1"/>
  </cols>
  <sheetData>
    <row r="1" spans="1:53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9"/>
      <c r="AO1" s="7"/>
      <c r="AP1" s="3"/>
      <c r="AQ1" s="7"/>
      <c r="AR1" s="9"/>
      <c r="AS1" s="26"/>
      <c r="AT1" s="3"/>
      <c r="AU1" s="26"/>
      <c r="AV1" s="9"/>
      <c r="AW1" s="7"/>
      <c r="AX1" s="8"/>
      <c r="AY1" s="9"/>
    </row>
    <row r="2" spans="1:53" ht="18.75" x14ac:dyDescent="0.25">
      <c r="A2" s="3"/>
      <c r="B2" s="170" t="s">
        <v>0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9"/>
    </row>
    <row r="3" spans="1:53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9"/>
      <c r="AO3" s="7"/>
      <c r="AP3" s="3"/>
      <c r="AQ3" s="7"/>
      <c r="AR3" s="9"/>
      <c r="AS3" s="26"/>
      <c r="AT3" s="3"/>
      <c r="AU3" s="26"/>
      <c r="AV3" s="9"/>
      <c r="AW3" s="7"/>
      <c r="AX3" s="8"/>
      <c r="AY3" s="9"/>
    </row>
    <row r="4" spans="1:53" x14ac:dyDescent="0.25">
      <c r="A4" s="169" t="s">
        <v>1</v>
      </c>
      <c r="B4" s="169"/>
      <c r="C4" s="171" t="s">
        <v>2</v>
      </c>
      <c r="D4" s="171"/>
      <c r="E4" s="171"/>
      <c r="F4" s="10"/>
      <c r="G4" s="10"/>
      <c r="H4" s="10"/>
      <c r="I4" s="10"/>
      <c r="J4" s="10"/>
      <c r="K4" s="10"/>
      <c r="L4" s="10"/>
      <c r="M4" s="11"/>
      <c r="N4" s="12"/>
      <c r="O4" s="13"/>
      <c r="P4" s="10"/>
      <c r="Q4" s="11"/>
      <c r="R4" s="10"/>
      <c r="S4" s="13"/>
      <c r="T4" s="36"/>
      <c r="U4" s="11"/>
      <c r="V4" s="10"/>
      <c r="W4" s="13"/>
      <c r="X4" s="36"/>
      <c r="Y4" s="13"/>
      <c r="Z4" s="10"/>
      <c r="AA4" s="13"/>
      <c r="AB4" s="36"/>
      <c r="AC4" s="13"/>
      <c r="AD4" s="10"/>
      <c r="AE4" s="13"/>
      <c r="AF4" s="10"/>
      <c r="AG4" s="13"/>
      <c r="AH4" s="10"/>
      <c r="AI4" s="13"/>
      <c r="AJ4" s="10"/>
      <c r="AK4" s="13"/>
      <c r="AL4" s="10"/>
      <c r="AM4" s="13"/>
      <c r="AN4" s="36"/>
      <c r="AO4" s="13"/>
      <c r="AP4" s="10"/>
      <c r="AQ4" s="13"/>
      <c r="AR4" s="36"/>
      <c r="AS4" s="23"/>
      <c r="AT4" s="10"/>
      <c r="AU4" s="23"/>
      <c r="AV4" s="36"/>
      <c r="AW4" s="13"/>
      <c r="AX4" s="8"/>
      <c r="AY4" s="9"/>
    </row>
    <row r="5" spans="1:53" x14ac:dyDescent="0.25">
      <c r="A5" s="169" t="s">
        <v>3</v>
      </c>
      <c r="B5" s="169"/>
      <c r="C5" s="172" t="s">
        <v>4</v>
      </c>
      <c r="D5" s="172"/>
      <c r="E5" s="172"/>
      <c r="F5" s="10"/>
      <c r="G5" s="10"/>
      <c r="H5" s="10"/>
      <c r="I5" s="10"/>
      <c r="J5" s="10"/>
      <c r="K5" s="10"/>
      <c r="L5" s="10"/>
      <c r="M5" s="11"/>
      <c r="N5" s="12"/>
      <c r="O5" s="13"/>
      <c r="P5" s="10"/>
      <c r="Q5" s="11"/>
      <c r="R5" s="10"/>
      <c r="S5" s="13"/>
      <c r="T5" s="36"/>
      <c r="U5" s="11"/>
      <c r="V5" s="10"/>
      <c r="W5" s="13"/>
      <c r="X5" s="36"/>
      <c r="Y5" s="13"/>
      <c r="Z5" s="10"/>
      <c r="AA5" s="13"/>
      <c r="AB5" s="36"/>
      <c r="AC5" s="13"/>
      <c r="AD5" s="10"/>
      <c r="AE5" s="13"/>
      <c r="AF5" s="10"/>
      <c r="AG5" s="13"/>
      <c r="AH5" s="10"/>
      <c r="AI5" s="13"/>
      <c r="AJ5" s="10"/>
      <c r="AK5" s="13"/>
      <c r="AL5" s="10"/>
      <c r="AM5" s="13"/>
      <c r="AN5" s="36"/>
      <c r="AO5" s="13"/>
      <c r="AP5" s="10"/>
      <c r="AQ5" s="13"/>
      <c r="AR5" s="36"/>
      <c r="AS5" s="23"/>
      <c r="AT5" s="10"/>
      <c r="AU5" s="23"/>
      <c r="AV5" s="36"/>
      <c r="AW5" s="13"/>
      <c r="AX5" s="8"/>
      <c r="AY5" s="9"/>
    </row>
    <row r="6" spans="1:53" x14ac:dyDescent="0.25">
      <c r="A6" s="169" t="s">
        <v>5</v>
      </c>
      <c r="B6" s="169"/>
      <c r="C6" s="14">
        <v>2022</v>
      </c>
      <c r="D6" s="15"/>
      <c r="E6" s="14"/>
      <c r="F6" s="10"/>
      <c r="G6" s="10"/>
      <c r="H6" s="10"/>
      <c r="I6" s="10"/>
      <c r="J6" s="10"/>
      <c r="K6" s="10"/>
      <c r="L6" s="10"/>
      <c r="M6" s="11"/>
      <c r="N6" s="12"/>
      <c r="O6" s="13"/>
      <c r="P6" s="10"/>
      <c r="Q6" s="11"/>
      <c r="R6" s="10"/>
      <c r="S6" s="13"/>
      <c r="T6" s="36"/>
      <c r="U6" s="11"/>
      <c r="V6" s="10"/>
      <c r="W6" s="13"/>
      <c r="X6" s="36"/>
      <c r="Y6" s="13"/>
      <c r="Z6" s="10"/>
      <c r="AA6" s="13"/>
      <c r="AB6" s="36"/>
      <c r="AC6" s="13"/>
      <c r="AD6" s="10"/>
      <c r="AE6" s="13"/>
      <c r="AF6" s="10"/>
      <c r="AG6" s="13"/>
      <c r="AH6" s="10"/>
      <c r="AI6" s="13"/>
      <c r="AJ6" s="10"/>
      <c r="AK6" s="13"/>
      <c r="AL6" s="10"/>
      <c r="AM6" s="13"/>
      <c r="AN6" s="36"/>
      <c r="AO6" s="13"/>
      <c r="AP6" s="10"/>
      <c r="AQ6" s="13"/>
      <c r="AR6" s="36"/>
      <c r="AS6" s="23"/>
      <c r="AT6" s="10"/>
      <c r="AU6" s="23"/>
      <c r="AV6" s="36"/>
      <c r="AW6" s="13"/>
      <c r="AX6" s="8"/>
      <c r="AY6" s="9"/>
    </row>
    <row r="7" spans="1:53" x14ac:dyDescent="0.25">
      <c r="A7" s="169" t="s">
        <v>6</v>
      </c>
      <c r="B7" s="169"/>
      <c r="C7" s="14" t="s">
        <v>61</v>
      </c>
      <c r="D7" s="15"/>
      <c r="E7" s="14"/>
      <c r="F7" s="10"/>
      <c r="G7" s="10"/>
      <c r="H7" s="10"/>
      <c r="I7" s="10"/>
      <c r="J7" s="10"/>
      <c r="K7" s="10"/>
      <c r="L7" s="10"/>
      <c r="M7" s="11"/>
      <c r="N7" s="12"/>
      <c r="O7" s="13"/>
      <c r="P7" s="10"/>
      <c r="Q7" s="11"/>
      <c r="R7" s="10"/>
      <c r="S7" s="13"/>
      <c r="T7" s="36"/>
      <c r="U7" s="11"/>
      <c r="V7" s="10"/>
      <c r="W7" s="13"/>
      <c r="X7" s="36"/>
      <c r="Y7" s="13"/>
      <c r="Z7" s="10"/>
      <c r="AA7" s="13"/>
      <c r="AB7" s="36"/>
      <c r="AC7" s="13"/>
      <c r="AD7" s="10"/>
      <c r="AE7" s="13"/>
      <c r="AF7" s="10"/>
      <c r="AG7" s="13"/>
      <c r="AH7" s="10"/>
      <c r="AI7" s="13"/>
      <c r="AJ7" s="10"/>
      <c r="AK7" s="13"/>
      <c r="AL7" s="10"/>
      <c r="AM7" s="13"/>
      <c r="AN7" s="36"/>
      <c r="AO7" s="13"/>
      <c r="AP7" s="10"/>
      <c r="AQ7" s="13"/>
      <c r="AR7" s="36"/>
      <c r="AS7" s="23"/>
      <c r="AT7" s="10"/>
      <c r="AU7" s="23"/>
      <c r="AV7" s="36"/>
      <c r="AW7" s="13"/>
      <c r="AX7" s="8"/>
      <c r="AY7" s="9"/>
    </row>
    <row r="8" spans="1:53" ht="15.75" thickBot="1" x14ac:dyDescent="0.3">
      <c r="A8" s="3"/>
      <c r="B8" s="10"/>
      <c r="C8" s="10"/>
      <c r="D8" s="10"/>
      <c r="E8" s="16"/>
      <c r="F8" s="10"/>
      <c r="G8" s="10"/>
      <c r="H8" s="10"/>
      <c r="I8" s="10"/>
      <c r="J8" s="10"/>
      <c r="K8" s="10"/>
      <c r="L8" s="10"/>
      <c r="M8" s="11"/>
      <c r="N8" s="12"/>
      <c r="O8" s="13"/>
      <c r="P8" s="10"/>
      <c r="Q8" s="11"/>
      <c r="R8" s="10"/>
      <c r="S8" s="13"/>
      <c r="T8" s="36"/>
      <c r="U8" s="11"/>
      <c r="V8" s="10"/>
      <c r="W8" s="13"/>
      <c r="X8" s="36"/>
      <c r="Y8" s="13"/>
      <c r="Z8" s="10"/>
      <c r="AA8" s="13"/>
      <c r="AB8" s="36"/>
      <c r="AC8" s="13"/>
      <c r="AD8" s="10"/>
      <c r="AE8" s="13"/>
      <c r="AF8" s="10"/>
      <c r="AG8" s="13"/>
      <c r="AH8" s="10"/>
      <c r="AI8" s="13"/>
      <c r="AJ8" s="10"/>
      <c r="AK8" s="13"/>
      <c r="AL8" s="10"/>
      <c r="AM8" s="13"/>
      <c r="AN8" s="36"/>
      <c r="AO8" s="13"/>
      <c r="AP8" s="10"/>
      <c r="AQ8" s="13"/>
      <c r="AR8" s="36"/>
      <c r="AS8" s="23"/>
      <c r="AT8" s="10"/>
      <c r="AU8" s="23"/>
      <c r="AV8" s="36"/>
      <c r="AW8" s="13"/>
      <c r="AX8" s="8"/>
      <c r="AY8" s="9"/>
    </row>
    <row r="9" spans="1:53" ht="39" thickBot="1" x14ac:dyDescent="0.3">
      <c r="A9" s="39" t="s">
        <v>7</v>
      </c>
      <c r="B9" s="40" t="s">
        <v>8</v>
      </c>
      <c r="C9" s="41" t="s">
        <v>9</v>
      </c>
      <c r="D9" s="40" t="s">
        <v>10</v>
      </c>
      <c r="E9" s="42" t="s">
        <v>11</v>
      </c>
      <c r="F9" s="41" t="s">
        <v>12</v>
      </c>
      <c r="G9" s="41" t="s">
        <v>13</v>
      </c>
      <c r="H9" s="41" t="s">
        <v>14</v>
      </c>
      <c r="I9" s="43" t="s">
        <v>15</v>
      </c>
      <c r="J9" s="41" t="s">
        <v>16</v>
      </c>
      <c r="K9" s="41" t="s">
        <v>17</v>
      </c>
      <c r="L9" s="41" t="s">
        <v>18</v>
      </c>
      <c r="M9" s="44" t="s">
        <v>19</v>
      </c>
      <c r="N9" s="45" t="s">
        <v>20</v>
      </c>
      <c r="O9" s="46" t="s">
        <v>21</v>
      </c>
      <c r="P9" s="41" t="s">
        <v>22</v>
      </c>
      <c r="Q9" s="44" t="s">
        <v>23</v>
      </c>
      <c r="R9" s="41" t="s">
        <v>24</v>
      </c>
      <c r="S9" s="46" t="s">
        <v>25</v>
      </c>
      <c r="T9" s="47" t="s">
        <v>26</v>
      </c>
      <c r="U9" s="44" t="s">
        <v>27</v>
      </c>
      <c r="V9" s="41" t="s">
        <v>28</v>
      </c>
      <c r="W9" s="46" t="s">
        <v>29</v>
      </c>
      <c r="X9" s="47" t="s">
        <v>52</v>
      </c>
      <c r="Y9" s="46" t="s">
        <v>30</v>
      </c>
      <c r="Z9" s="41" t="s">
        <v>31</v>
      </c>
      <c r="AA9" s="46" t="s">
        <v>32</v>
      </c>
      <c r="AB9" s="47" t="s">
        <v>33</v>
      </c>
      <c r="AC9" s="48" t="s">
        <v>34</v>
      </c>
      <c r="AD9" s="41" t="s">
        <v>35</v>
      </c>
      <c r="AE9" s="46" t="s">
        <v>36</v>
      </c>
      <c r="AF9" s="41" t="s">
        <v>37</v>
      </c>
      <c r="AG9" s="46" t="s">
        <v>38</v>
      </c>
      <c r="AH9" s="41" t="s">
        <v>39</v>
      </c>
      <c r="AI9" s="46" t="s">
        <v>53</v>
      </c>
      <c r="AJ9" s="41" t="s">
        <v>54</v>
      </c>
      <c r="AK9" s="46" t="s">
        <v>40</v>
      </c>
      <c r="AL9" s="41" t="s">
        <v>41</v>
      </c>
      <c r="AM9" s="48" t="s">
        <v>42</v>
      </c>
      <c r="AN9" s="47" t="s">
        <v>43</v>
      </c>
      <c r="AO9" s="48" t="s">
        <v>44</v>
      </c>
      <c r="AP9" s="41" t="s">
        <v>45</v>
      </c>
      <c r="AQ9" s="46" t="s">
        <v>46</v>
      </c>
      <c r="AR9" s="47" t="s">
        <v>47</v>
      </c>
      <c r="AS9" s="49" t="s">
        <v>55</v>
      </c>
      <c r="AT9" s="41" t="s">
        <v>56</v>
      </c>
      <c r="AU9" s="49" t="s">
        <v>57</v>
      </c>
      <c r="AV9" s="47" t="s">
        <v>58</v>
      </c>
      <c r="AW9" s="46" t="s">
        <v>48</v>
      </c>
      <c r="AX9" s="50" t="s">
        <v>124</v>
      </c>
      <c r="AY9" s="47" t="s">
        <v>49</v>
      </c>
      <c r="AZ9" s="52" t="s">
        <v>50</v>
      </c>
      <c r="BA9" s="21"/>
    </row>
    <row r="10" spans="1:53" s="53" customFormat="1" ht="39" thickBot="1" x14ac:dyDescent="0.3">
      <c r="A10" s="29">
        <v>1</v>
      </c>
      <c r="B10" s="29" t="s">
        <v>101</v>
      </c>
      <c r="C10" s="29" t="s">
        <v>59</v>
      </c>
      <c r="D10" s="29" t="s">
        <v>102</v>
      </c>
      <c r="E10" s="30" t="s">
        <v>103</v>
      </c>
      <c r="F10" s="29" t="s">
        <v>51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2">
        <f t="shared" ref="T10:T11" si="0">+S10*AT10</f>
        <v>0</v>
      </c>
      <c r="U10" s="29"/>
      <c r="V10" s="29"/>
      <c r="W10" s="29"/>
      <c r="X10" s="32"/>
      <c r="Y10" s="29"/>
      <c r="Z10" s="29"/>
      <c r="AA10" s="29"/>
      <c r="AB10" s="29"/>
      <c r="AC10" s="29"/>
      <c r="AD10" s="32">
        <f>+AC10*AT10</f>
        <v>0</v>
      </c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38"/>
      <c r="AT10" s="32"/>
      <c r="AU10" s="31">
        <v>10</v>
      </c>
      <c r="AV10" s="34">
        <f>+AU10*AX10</f>
        <v>148733020</v>
      </c>
      <c r="AW10" s="25">
        <f t="shared" ref="AW10" si="1">+AQ10+AO10+AM10+AK10+AI10+AG10+AE10+AC10+AA10+Y10+W10+U10+S10+Q10+O10+M10+K10+I10+AS10+G10+AU10</f>
        <v>10</v>
      </c>
      <c r="AX10" s="22">
        <v>14873302</v>
      </c>
      <c r="AY10" s="22">
        <f>+AW10*AX10</f>
        <v>148733020</v>
      </c>
      <c r="AZ10" s="33"/>
    </row>
    <row r="11" spans="1:53" s="61" customFormat="1" ht="13.5" thickBot="1" x14ac:dyDescent="0.25">
      <c r="A11" s="54"/>
      <c r="B11" s="55"/>
      <c r="C11" s="55"/>
      <c r="D11" s="55"/>
      <c r="E11" s="56" t="s">
        <v>60</v>
      </c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7">
        <f t="shared" si="0"/>
        <v>0</v>
      </c>
      <c r="U11" s="55"/>
      <c r="V11" s="55"/>
      <c r="W11" s="55"/>
      <c r="X11" s="57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8"/>
      <c r="AT11" s="57"/>
      <c r="AU11" s="69"/>
      <c r="AV11" s="70"/>
      <c r="AW11" s="68"/>
      <c r="AX11" s="57"/>
      <c r="AY11" s="59">
        <f>+AY10</f>
        <v>148733020</v>
      </c>
      <c r="AZ11" s="60"/>
    </row>
    <row r="12" spans="1:53" s="35" customFormat="1" ht="12.75" x14ac:dyDescent="0.2">
      <c r="A12" s="62"/>
      <c r="B12" s="62"/>
      <c r="C12" s="62"/>
      <c r="D12" s="62"/>
      <c r="E12" s="63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4"/>
      <c r="T12" s="65"/>
      <c r="U12" s="62"/>
      <c r="V12" s="62"/>
      <c r="W12" s="62"/>
      <c r="X12" s="65"/>
      <c r="Y12" s="62"/>
      <c r="Z12" s="62"/>
      <c r="AA12" s="62"/>
      <c r="AB12" s="65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5"/>
      <c r="AO12" s="62"/>
      <c r="AP12" s="62"/>
      <c r="AQ12" s="62"/>
      <c r="AR12" s="65"/>
      <c r="AS12" s="66"/>
      <c r="AT12" s="62"/>
      <c r="AU12" s="66"/>
      <c r="AV12" s="65"/>
      <c r="AW12" s="64"/>
      <c r="AX12" s="65"/>
      <c r="AY12" s="65"/>
      <c r="AZ12" s="67"/>
    </row>
    <row r="13" spans="1:53" s="35" customFormat="1" ht="12.75" x14ac:dyDescent="0.2">
      <c r="A13" s="62"/>
      <c r="B13" s="62"/>
      <c r="C13" s="62"/>
      <c r="D13" s="62"/>
      <c r="E13" s="63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4"/>
      <c r="T13" s="65"/>
      <c r="U13" s="62"/>
      <c r="V13" s="62"/>
      <c r="W13" s="62"/>
      <c r="X13" s="65"/>
      <c r="Y13" s="62"/>
      <c r="Z13" s="62"/>
      <c r="AA13" s="62"/>
      <c r="AB13" s="65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5"/>
      <c r="AO13" s="62"/>
      <c r="AP13" s="62"/>
      <c r="AQ13" s="62"/>
      <c r="AR13" s="65"/>
      <c r="AS13" s="66"/>
      <c r="AT13" s="62"/>
      <c r="AU13" s="66"/>
      <c r="AV13" s="65"/>
      <c r="AW13" s="64"/>
      <c r="AX13" s="65"/>
      <c r="AY13" s="65"/>
      <c r="AZ13" s="67"/>
    </row>
    <row r="14" spans="1:53" s="35" customFormat="1" ht="13.5" thickBot="1" x14ac:dyDescent="0.25">
      <c r="A14" s="62"/>
      <c r="B14" s="62"/>
      <c r="C14" s="62"/>
      <c r="D14" s="62"/>
      <c r="E14" s="63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4"/>
      <c r="T14" s="65"/>
      <c r="U14" s="62"/>
      <c r="V14" s="62"/>
      <c r="W14" s="62"/>
      <c r="X14" s="65"/>
      <c r="Y14" s="62"/>
      <c r="Z14" s="62"/>
      <c r="AA14" s="62"/>
      <c r="AB14" s="65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5"/>
      <c r="AO14" s="62"/>
      <c r="AP14" s="62"/>
      <c r="AQ14" s="62"/>
      <c r="AR14" s="65"/>
      <c r="AS14" s="66"/>
      <c r="AT14" s="62"/>
      <c r="AU14" s="66"/>
      <c r="AV14" s="65"/>
      <c r="AW14" s="64"/>
      <c r="AX14" s="65"/>
      <c r="AY14" s="65"/>
      <c r="AZ14" s="67"/>
    </row>
    <row r="15" spans="1:53" s="154" customFormat="1" x14ac:dyDescent="0.25">
      <c r="A15" s="136"/>
      <c r="B15" s="136"/>
      <c r="C15" s="166" t="s">
        <v>104</v>
      </c>
      <c r="D15" s="167"/>
      <c r="E15" s="168"/>
      <c r="F15" s="137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8"/>
      <c r="T15" s="139"/>
      <c r="U15" s="136"/>
      <c r="V15" s="136"/>
      <c r="W15" s="136"/>
      <c r="X15" s="139"/>
      <c r="Y15" s="136"/>
      <c r="Z15" s="136"/>
      <c r="AA15" s="136"/>
      <c r="AB15" s="139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9"/>
      <c r="AO15" s="136"/>
      <c r="AP15" s="136"/>
      <c r="AQ15" s="136"/>
      <c r="AR15" s="139"/>
      <c r="AS15" s="140"/>
      <c r="AT15" s="136"/>
      <c r="AU15" s="140"/>
      <c r="AV15" s="139"/>
      <c r="AW15" s="138"/>
      <c r="AX15" s="139"/>
      <c r="AY15" s="139"/>
      <c r="AZ15" s="153"/>
    </row>
    <row r="16" spans="1:53" s="154" customFormat="1" x14ac:dyDescent="0.25">
      <c r="A16" s="136"/>
      <c r="B16" s="136"/>
      <c r="C16" s="141"/>
      <c r="D16" s="137"/>
      <c r="E16" s="155"/>
      <c r="F16" s="137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8"/>
      <c r="T16" s="139"/>
      <c r="U16" s="136"/>
      <c r="V16" s="136"/>
      <c r="W16" s="136"/>
      <c r="X16" s="139"/>
      <c r="Y16" s="136"/>
      <c r="Z16" s="136"/>
      <c r="AA16" s="136"/>
      <c r="AB16" s="139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9"/>
      <c r="AO16" s="136"/>
      <c r="AP16" s="136"/>
      <c r="AQ16" s="136"/>
      <c r="AR16" s="139"/>
      <c r="AS16" s="140"/>
      <c r="AT16" s="136"/>
      <c r="AU16" s="140"/>
      <c r="AV16" s="139"/>
      <c r="AW16" s="138"/>
      <c r="AX16" s="139"/>
      <c r="AY16" s="139"/>
      <c r="AZ16" s="153"/>
    </row>
    <row r="17" spans="1:52" s="154" customFormat="1" x14ac:dyDescent="0.25">
      <c r="A17" s="136"/>
      <c r="B17" s="136"/>
      <c r="C17" s="142" t="s">
        <v>106</v>
      </c>
      <c r="D17" s="137" t="s">
        <v>105</v>
      </c>
      <c r="E17" s="144"/>
      <c r="F17" s="143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8"/>
      <c r="T17" s="139"/>
      <c r="U17" s="136"/>
      <c r="V17" s="136"/>
      <c r="W17" s="136"/>
      <c r="X17" s="139"/>
      <c r="Y17" s="136"/>
      <c r="Z17" s="136"/>
      <c r="AA17" s="136"/>
      <c r="AB17" s="139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9"/>
      <c r="AO17" s="136"/>
      <c r="AP17" s="136"/>
      <c r="AQ17" s="136"/>
      <c r="AR17" s="139"/>
      <c r="AS17" s="140"/>
      <c r="AT17" s="136"/>
      <c r="AU17" s="140"/>
      <c r="AV17" s="139"/>
      <c r="AW17" s="138"/>
      <c r="AX17" s="139"/>
      <c r="AY17" s="139"/>
      <c r="AZ17" s="153"/>
    </row>
    <row r="18" spans="1:52" s="154" customFormat="1" x14ac:dyDescent="0.25">
      <c r="A18" s="136"/>
      <c r="B18" s="136"/>
      <c r="C18" s="142"/>
      <c r="D18" s="145"/>
      <c r="E18" s="146"/>
      <c r="F18" s="147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8"/>
      <c r="T18" s="139"/>
      <c r="U18" s="136"/>
      <c r="V18" s="136"/>
      <c r="W18" s="136"/>
      <c r="X18" s="139"/>
      <c r="Y18" s="136"/>
      <c r="Z18" s="136"/>
      <c r="AA18" s="136"/>
      <c r="AB18" s="139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9"/>
      <c r="AO18" s="136"/>
      <c r="AP18" s="136"/>
      <c r="AQ18" s="136"/>
      <c r="AR18" s="139"/>
      <c r="AS18" s="140"/>
      <c r="AT18" s="136"/>
      <c r="AU18" s="140"/>
      <c r="AV18" s="139"/>
      <c r="AW18" s="138"/>
      <c r="AX18" s="139"/>
      <c r="AY18" s="139"/>
      <c r="AZ18" s="153"/>
    </row>
    <row r="19" spans="1:52" s="154" customFormat="1" x14ac:dyDescent="0.25">
      <c r="A19" s="136"/>
      <c r="B19" s="136"/>
      <c r="C19" s="142" t="s">
        <v>120</v>
      </c>
      <c r="D19" s="145" t="s">
        <v>123</v>
      </c>
      <c r="E19" s="146"/>
      <c r="F19" s="147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8"/>
      <c r="T19" s="139"/>
      <c r="U19" s="136"/>
      <c r="V19" s="136"/>
      <c r="W19" s="136"/>
      <c r="X19" s="139"/>
      <c r="Y19" s="136"/>
      <c r="Z19" s="136"/>
      <c r="AA19" s="136"/>
      <c r="AB19" s="139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9"/>
      <c r="AO19" s="136"/>
      <c r="AP19" s="136"/>
      <c r="AQ19" s="136"/>
      <c r="AR19" s="139"/>
      <c r="AS19" s="140"/>
      <c r="AT19" s="136"/>
      <c r="AU19" s="140"/>
      <c r="AV19" s="139"/>
      <c r="AW19" s="138"/>
      <c r="AX19" s="139"/>
      <c r="AY19" s="139"/>
      <c r="AZ19" s="153"/>
    </row>
    <row r="20" spans="1:52" s="154" customFormat="1" x14ac:dyDescent="0.25">
      <c r="A20" s="136"/>
      <c r="B20" s="136"/>
      <c r="C20" s="142"/>
      <c r="D20" s="145"/>
      <c r="E20" s="146"/>
      <c r="F20" s="147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8"/>
      <c r="T20" s="139"/>
      <c r="U20" s="136"/>
      <c r="V20" s="136"/>
      <c r="W20" s="136"/>
      <c r="X20" s="139"/>
      <c r="Y20" s="136"/>
      <c r="Z20" s="136"/>
      <c r="AA20" s="136"/>
      <c r="AB20" s="139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9"/>
      <c r="AO20" s="136"/>
      <c r="AP20" s="136"/>
      <c r="AQ20" s="136"/>
      <c r="AR20" s="139"/>
      <c r="AS20" s="140"/>
      <c r="AT20" s="136"/>
      <c r="AU20" s="140"/>
      <c r="AV20" s="139"/>
      <c r="AW20" s="138"/>
      <c r="AX20" s="139"/>
      <c r="AY20" s="139"/>
      <c r="AZ20" s="153"/>
    </row>
    <row r="21" spans="1:52" s="154" customFormat="1" ht="18" customHeight="1" x14ac:dyDescent="0.25">
      <c r="A21" s="136"/>
      <c r="B21" s="136"/>
      <c r="C21" s="142" t="s">
        <v>121</v>
      </c>
      <c r="D21" s="143" t="s">
        <v>122</v>
      </c>
      <c r="E21" s="144"/>
      <c r="F21" s="15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8"/>
      <c r="T21" s="139"/>
      <c r="U21" s="136"/>
      <c r="V21" s="136"/>
      <c r="W21" s="136"/>
      <c r="X21" s="139"/>
      <c r="Y21" s="136"/>
      <c r="Z21" s="136"/>
      <c r="AA21" s="136"/>
      <c r="AB21" s="139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9"/>
      <c r="AO21" s="136"/>
      <c r="AP21" s="136"/>
      <c r="AQ21" s="136"/>
      <c r="AR21" s="139"/>
      <c r="AS21" s="140"/>
      <c r="AT21" s="136"/>
      <c r="AU21" s="140"/>
      <c r="AV21" s="139"/>
      <c r="AW21" s="138"/>
      <c r="AX21" s="139"/>
      <c r="AY21" s="139"/>
      <c r="AZ21" s="153"/>
    </row>
    <row r="22" spans="1:52" s="154" customFormat="1" x14ac:dyDescent="0.25">
      <c r="A22" s="136"/>
      <c r="B22" s="136"/>
      <c r="C22" s="142"/>
      <c r="D22" s="143"/>
      <c r="E22" s="144"/>
      <c r="F22" s="143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8"/>
      <c r="T22" s="139"/>
      <c r="U22" s="136"/>
      <c r="V22" s="136"/>
      <c r="W22" s="136"/>
      <c r="X22" s="139"/>
      <c r="Y22" s="136"/>
      <c r="Z22" s="136"/>
      <c r="AA22" s="136"/>
      <c r="AB22" s="139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9"/>
      <c r="AO22" s="136"/>
      <c r="AP22" s="136"/>
      <c r="AQ22" s="136"/>
      <c r="AR22" s="139"/>
      <c r="AS22" s="140"/>
      <c r="AT22" s="136"/>
      <c r="AU22" s="140"/>
      <c r="AV22" s="139"/>
      <c r="AW22" s="138"/>
      <c r="AX22" s="139"/>
      <c r="AY22" s="139"/>
      <c r="AZ22" s="153"/>
    </row>
    <row r="23" spans="1:52" s="154" customFormat="1" x14ac:dyDescent="0.25">
      <c r="A23" s="136"/>
      <c r="B23" s="136"/>
      <c r="C23" s="142" t="s">
        <v>107</v>
      </c>
      <c r="D23" s="145"/>
      <c r="E23" s="146"/>
      <c r="F23" s="145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8"/>
      <c r="T23" s="139"/>
      <c r="U23" s="136"/>
      <c r="V23" s="136"/>
      <c r="W23" s="136"/>
      <c r="X23" s="139"/>
      <c r="Y23" s="136"/>
      <c r="Z23" s="136"/>
      <c r="AA23" s="136"/>
      <c r="AB23" s="139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9"/>
      <c r="AO23" s="136"/>
      <c r="AP23" s="136"/>
      <c r="AQ23" s="136"/>
      <c r="AR23" s="139"/>
      <c r="AS23" s="140"/>
      <c r="AT23" s="136"/>
      <c r="AU23" s="140"/>
      <c r="AV23" s="139"/>
      <c r="AW23" s="138"/>
      <c r="AX23" s="139"/>
      <c r="AY23" s="139"/>
      <c r="AZ23" s="153"/>
    </row>
    <row r="24" spans="1:52" s="154" customFormat="1" x14ac:dyDescent="0.25">
      <c r="A24" s="136"/>
      <c r="B24" s="136"/>
      <c r="C24" s="141"/>
      <c r="D24" s="145"/>
      <c r="E24" s="146"/>
      <c r="F24" s="147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8"/>
      <c r="T24" s="139"/>
      <c r="U24" s="136"/>
      <c r="V24" s="136"/>
      <c r="W24" s="136"/>
      <c r="X24" s="139"/>
      <c r="Y24" s="136"/>
      <c r="Z24" s="136"/>
      <c r="AA24" s="136"/>
      <c r="AB24" s="139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9"/>
      <c r="AO24" s="136"/>
      <c r="AP24" s="136"/>
      <c r="AQ24" s="136"/>
      <c r="AR24" s="139"/>
      <c r="AS24" s="140"/>
      <c r="AT24" s="136"/>
      <c r="AU24" s="140"/>
      <c r="AV24" s="139"/>
      <c r="AW24" s="138"/>
      <c r="AX24" s="139"/>
      <c r="AY24" s="139"/>
      <c r="AZ24" s="153"/>
    </row>
    <row r="25" spans="1:52" s="154" customFormat="1" ht="12.75" customHeight="1" x14ac:dyDescent="0.25">
      <c r="A25" s="136"/>
      <c r="B25" s="136"/>
      <c r="C25" s="142" t="s">
        <v>108</v>
      </c>
      <c r="D25" s="145" t="s">
        <v>110</v>
      </c>
      <c r="E25" s="146"/>
      <c r="F25" s="147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8"/>
      <c r="T25" s="139"/>
      <c r="U25" s="136"/>
      <c r="V25" s="136"/>
      <c r="W25" s="136"/>
      <c r="X25" s="139"/>
      <c r="Y25" s="136"/>
      <c r="Z25" s="136"/>
      <c r="AA25" s="136"/>
      <c r="AB25" s="139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9"/>
      <c r="AO25" s="136"/>
      <c r="AP25" s="136"/>
      <c r="AQ25" s="136"/>
      <c r="AR25" s="139"/>
      <c r="AS25" s="140"/>
      <c r="AT25" s="136"/>
      <c r="AU25" s="140"/>
      <c r="AV25" s="139"/>
      <c r="AW25" s="138"/>
      <c r="AX25" s="139"/>
      <c r="AY25" s="139"/>
      <c r="AZ25" s="153"/>
    </row>
    <row r="26" spans="1:52" s="154" customFormat="1" x14ac:dyDescent="0.25">
      <c r="A26" s="136"/>
      <c r="B26" s="136"/>
      <c r="C26" s="141"/>
      <c r="D26" s="145"/>
      <c r="E26" s="146"/>
      <c r="F26" s="147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8"/>
      <c r="T26" s="139"/>
      <c r="U26" s="136"/>
      <c r="V26" s="136"/>
      <c r="W26" s="136"/>
      <c r="X26" s="139"/>
      <c r="Y26" s="136"/>
      <c r="Z26" s="136"/>
      <c r="AA26" s="136"/>
      <c r="AB26" s="139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9"/>
      <c r="AO26" s="136"/>
      <c r="AP26" s="136"/>
      <c r="AQ26" s="136"/>
      <c r="AR26" s="139"/>
      <c r="AS26" s="140"/>
      <c r="AT26" s="136"/>
      <c r="AU26" s="140"/>
      <c r="AV26" s="139"/>
      <c r="AW26" s="138"/>
      <c r="AX26" s="139"/>
      <c r="AY26" s="139"/>
      <c r="AZ26" s="153"/>
    </row>
    <row r="27" spans="1:52" s="158" customFormat="1" x14ac:dyDescent="0.25">
      <c r="A27" s="148"/>
      <c r="B27" s="148"/>
      <c r="C27" s="142" t="s">
        <v>109</v>
      </c>
      <c r="D27" s="143"/>
      <c r="E27" s="144"/>
      <c r="F27" s="143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9"/>
      <c r="T27" s="150"/>
      <c r="U27" s="148"/>
      <c r="V27" s="148"/>
      <c r="W27" s="148"/>
      <c r="X27" s="150"/>
      <c r="Y27" s="148"/>
      <c r="Z27" s="148"/>
      <c r="AA27" s="148"/>
      <c r="AB27" s="150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50"/>
      <c r="AO27" s="148"/>
      <c r="AP27" s="148"/>
      <c r="AQ27" s="148"/>
      <c r="AR27" s="150"/>
      <c r="AS27" s="151"/>
      <c r="AT27" s="148"/>
      <c r="AU27" s="151"/>
      <c r="AV27" s="150"/>
      <c r="AW27" s="149"/>
      <c r="AX27" s="150"/>
      <c r="AY27" s="150"/>
      <c r="AZ27" s="157"/>
    </row>
    <row r="28" spans="1:52" s="158" customFormat="1" ht="15.75" thickBot="1" x14ac:dyDescent="0.3">
      <c r="A28" s="148"/>
      <c r="B28" s="148"/>
      <c r="C28" s="152"/>
      <c r="D28" s="159"/>
      <c r="E28" s="160"/>
      <c r="F28" s="145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9"/>
      <c r="T28" s="150"/>
      <c r="U28" s="148"/>
      <c r="V28" s="148"/>
      <c r="W28" s="148"/>
      <c r="X28" s="150"/>
      <c r="Y28" s="148"/>
      <c r="Z28" s="148"/>
      <c r="AA28" s="148"/>
      <c r="AB28" s="150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50"/>
      <c r="AO28" s="148"/>
      <c r="AP28" s="148"/>
      <c r="AQ28" s="148"/>
      <c r="AR28" s="150"/>
      <c r="AS28" s="151"/>
      <c r="AT28" s="148"/>
      <c r="AU28" s="151"/>
      <c r="AV28" s="150"/>
      <c r="AW28" s="149"/>
      <c r="AX28" s="150"/>
      <c r="AY28" s="150"/>
      <c r="AZ28" s="157"/>
    </row>
    <row r="29" spans="1:52" x14ac:dyDescent="0.25">
      <c r="C29" s="134"/>
      <c r="D29" s="135"/>
      <c r="E29" s="135"/>
      <c r="F29" s="135"/>
    </row>
    <row r="30" spans="1:52" x14ac:dyDescent="0.25">
      <c r="D30" s="28"/>
      <c r="F30" s="28"/>
    </row>
  </sheetData>
  <mergeCells count="8">
    <mergeCell ref="C15:E15"/>
    <mergeCell ref="A7:B7"/>
    <mergeCell ref="B2:AX2"/>
    <mergeCell ref="A4:B4"/>
    <mergeCell ref="C4:E4"/>
    <mergeCell ref="A5:B5"/>
    <mergeCell ref="C5:E5"/>
    <mergeCell ref="A6:B6"/>
  </mergeCells>
  <conditionalFormatting sqref="B1:B9 E1:E9">
    <cfRule type="duplicateValues" dxfId="5" priority="231"/>
  </conditionalFormatting>
  <conditionalFormatting sqref="E1:E9 B1:B9">
    <cfRule type="duplicateValues" dxfId="4" priority="232"/>
  </conditionalFormatting>
  <conditionalFormatting sqref="B1:B9">
    <cfRule type="duplicateValues" dxfId="3" priority="435"/>
  </conditionalFormatting>
  <conditionalFormatting sqref="E1:E9">
    <cfRule type="duplicateValues" dxfId="2" priority="436"/>
  </conditionalFormatting>
  <conditionalFormatting sqref="E1:E9">
    <cfRule type="duplicateValues" dxfId="1" priority="437"/>
    <cfRule type="duplicateValues" dxfId="0" priority="438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C12" sqref="C12:G12"/>
    </sheetView>
  </sheetViews>
  <sheetFormatPr baseColWidth="10" defaultRowHeight="15" x14ac:dyDescent="0.25"/>
  <cols>
    <col min="1" max="1" width="5.5703125" customWidth="1"/>
    <col min="2" max="2" width="15.140625" style="118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2.140625" customWidth="1"/>
    <col min="8" max="8" width="9.28515625" customWidth="1"/>
    <col min="9" max="9" width="15.5703125" customWidth="1"/>
    <col min="10" max="10" width="25.7109375" style="123" customWidth="1"/>
    <col min="11" max="11" width="14" customWidth="1"/>
  </cols>
  <sheetData>
    <row r="1" spans="1:11" ht="30.75" thickBot="1" x14ac:dyDescent="0.3">
      <c r="A1" s="185" t="s">
        <v>62</v>
      </c>
      <c r="B1" s="185"/>
      <c r="C1" s="185"/>
      <c r="D1" s="185"/>
      <c r="E1" s="185"/>
      <c r="F1" s="185"/>
      <c r="G1" s="185"/>
      <c r="H1" s="185"/>
      <c r="I1" s="185"/>
      <c r="J1" s="119" t="s">
        <v>63</v>
      </c>
      <c r="K1" s="71" t="s">
        <v>114</v>
      </c>
    </row>
    <row r="2" spans="1:11" ht="16.5" thickBot="1" x14ac:dyDescent="0.3">
      <c r="A2" s="72"/>
      <c r="B2" s="115"/>
      <c r="C2" s="73"/>
      <c r="D2" s="74"/>
      <c r="E2" s="74"/>
      <c r="F2" s="74"/>
      <c r="G2" s="74"/>
      <c r="H2" s="74"/>
      <c r="I2" s="74"/>
      <c r="J2" s="120"/>
      <c r="K2" s="75"/>
    </row>
    <row r="3" spans="1:11" ht="16.5" customHeight="1" thickBot="1" x14ac:dyDescent="0.3">
      <c r="A3" s="182" t="s">
        <v>64</v>
      </c>
      <c r="B3" s="182"/>
      <c r="C3" s="182"/>
      <c r="D3" s="111" t="s">
        <v>2</v>
      </c>
      <c r="E3" s="112"/>
      <c r="F3" s="112"/>
      <c r="G3" s="112"/>
      <c r="H3" s="112"/>
      <c r="I3" s="112"/>
      <c r="J3" s="121"/>
      <c r="K3" s="113"/>
    </row>
    <row r="4" spans="1:11" ht="16.5" customHeight="1" thickBot="1" x14ac:dyDescent="0.3">
      <c r="A4" s="183" t="s">
        <v>65</v>
      </c>
      <c r="B4" s="183"/>
      <c r="C4" s="183"/>
      <c r="D4" s="111" t="s">
        <v>99</v>
      </c>
      <c r="E4" s="112"/>
      <c r="F4" s="112"/>
      <c r="G4" s="112"/>
      <c r="H4" s="112"/>
      <c r="I4" s="112"/>
      <c r="J4" s="121"/>
      <c r="K4" s="113"/>
    </row>
    <row r="5" spans="1:11" ht="16.5" thickBot="1" x14ac:dyDescent="0.3">
      <c r="A5" s="183" t="s">
        <v>66</v>
      </c>
      <c r="B5" s="183"/>
      <c r="C5" s="183"/>
      <c r="D5" s="111" t="s">
        <v>111</v>
      </c>
      <c r="E5" s="112"/>
      <c r="F5" s="112"/>
      <c r="G5" s="112"/>
      <c r="H5" s="112"/>
      <c r="I5" s="112"/>
      <c r="J5" s="121"/>
      <c r="K5" s="113"/>
    </row>
    <row r="6" spans="1:11" ht="16.5" thickBot="1" x14ac:dyDescent="0.3">
      <c r="A6" s="182" t="s">
        <v>67</v>
      </c>
      <c r="B6" s="182"/>
      <c r="C6" s="182"/>
      <c r="D6" s="111" t="s">
        <v>111</v>
      </c>
      <c r="E6" s="112"/>
      <c r="F6" s="112"/>
      <c r="G6" s="112"/>
      <c r="H6" s="112"/>
      <c r="I6" s="112"/>
      <c r="J6" s="121"/>
      <c r="K6" s="113"/>
    </row>
    <row r="7" spans="1:11" ht="16.5" thickBot="1" x14ac:dyDescent="0.3">
      <c r="A7" s="183" t="s">
        <v>68</v>
      </c>
      <c r="B7" s="183"/>
      <c r="C7" s="183"/>
      <c r="D7" s="111" t="s">
        <v>112</v>
      </c>
      <c r="E7" s="112"/>
      <c r="F7" s="112"/>
      <c r="G7" s="112"/>
      <c r="H7" s="112"/>
      <c r="I7" s="112"/>
      <c r="J7" s="121"/>
      <c r="K7" s="113"/>
    </row>
    <row r="8" spans="1:11" ht="16.5" customHeight="1" thickBot="1" x14ac:dyDescent="0.3">
      <c r="A8" s="184" t="s">
        <v>69</v>
      </c>
      <c r="B8" s="184"/>
      <c r="C8" s="184"/>
      <c r="D8" s="114" t="s">
        <v>113</v>
      </c>
      <c r="E8" s="112"/>
      <c r="F8" s="112"/>
      <c r="G8" s="112"/>
      <c r="H8" s="112"/>
      <c r="I8" s="112"/>
      <c r="J8" s="121"/>
      <c r="K8" s="113"/>
    </row>
    <row r="9" spans="1:11" ht="16.5" thickBot="1" x14ac:dyDescent="0.3">
      <c r="A9" s="76"/>
      <c r="B9" s="116"/>
      <c r="C9" s="77"/>
      <c r="D9" s="78"/>
      <c r="E9" s="78"/>
      <c r="F9" s="78"/>
      <c r="G9" s="78"/>
      <c r="H9" s="78"/>
      <c r="I9" s="78"/>
      <c r="J9" s="122"/>
      <c r="K9" s="79"/>
    </row>
    <row r="10" spans="1:11" ht="15.75" thickBot="1" x14ac:dyDescent="0.3">
      <c r="A10" s="179" t="s">
        <v>70</v>
      </c>
      <c r="B10" s="177" t="s">
        <v>71</v>
      </c>
      <c r="C10" s="177" t="s">
        <v>72</v>
      </c>
      <c r="D10" s="177"/>
      <c r="E10" s="177"/>
      <c r="F10" s="177"/>
      <c r="G10" s="177"/>
      <c r="H10" s="177" t="s">
        <v>73</v>
      </c>
      <c r="I10" s="177" t="s">
        <v>74</v>
      </c>
      <c r="J10" s="178" t="s">
        <v>75</v>
      </c>
      <c r="K10" s="175" t="s">
        <v>76</v>
      </c>
    </row>
    <row r="11" spans="1:11" ht="36.75" customHeight="1" thickBot="1" x14ac:dyDescent="0.3">
      <c r="A11" s="179"/>
      <c r="B11" s="177"/>
      <c r="C11" s="177"/>
      <c r="D11" s="177"/>
      <c r="E11" s="177"/>
      <c r="F11" s="177"/>
      <c r="G11" s="177"/>
      <c r="H11" s="177"/>
      <c r="I11" s="177"/>
      <c r="J11" s="178"/>
      <c r="K11" s="175"/>
    </row>
    <row r="12" spans="1:11" s="127" customFormat="1" ht="91.5" customHeight="1" x14ac:dyDescent="0.25">
      <c r="A12" s="80">
        <v>1</v>
      </c>
      <c r="B12" s="117" t="str">
        <f>'SAF 011 - NECESIDAD TRIMESTRAL'!B10</f>
        <v>4.3.2-215.451</v>
      </c>
      <c r="C12" s="176" t="str">
        <f>'SAF 011 - NECESIDAD TRIMESTRAL'!E10</f>
        <v>VEHICULOS UTILITARIOS TIPO: SIN VALOR; AMBULANCIA TIPO DE COMPLEJIDAD: SIN VALOR, TIPO DE MOTOR: DIESEL, CILINDRADA: SIN VALOR , POTENCIA: 114 CV MINIMO, CANT. DE CILINDROS: 4 MINIMO, AÑO: 0 KM, CAPACIDAD DE CARGA: 900 KG MINIMO, CAJA DE VELOCIDAD: MANUAL O AUTOMATICO, COLOR: BLANCO</v>
      </c>
      <c r="D12" s="176"/>
      <c r="E12" s="176"/>
      <c r="F12" s="176"/>
      <c r="G12" s="176"/>
      <c r="H12" s="117" t="s">
        <v>100</v>
      </c>
      <c r="I12" s="124" t="str">
        <f>'SAF 011 - NECESIDAD TRIMESTRAL'!F10</f>
        <v>UNIDAD</v>
      </c>
      <c r="J12" s="125">
        <f>'SAF 011 - NECESIDAD TRIMESTRAL'!AX10</f>
        <v>14873302</v>
      </c>
      <c r="K12" s="126">
        <f>'SAF 011 - NECESIDAD TRIMESTRAL'!AU10</f>
        <v>10</v>
      </c>
    </row>
    <row r="13" spans="1:11" s="127" customFormat="1" ht="15.75" thickBot="1" x14ac:dyDescent="0.3">
      <c r="A13" s="161"/>
      <c r="B13" s="162"/>
      <c r="C13" s="174"/>
      <c r="D13" s="174"/>
      <c r="E13" s="174"/>
      <c r="F13" s="174"/>
      <c r="G13" s="174"/>
      <c r="H13" s="162"/>
      <c r="I13" s="163"/>
      <c r="J13" s="164"/>
      <c r="K13" s="165"/>
    </row>
    <row r="14" spans="1:11" ht="36.75" customHeight="1" thickBot="1" x14ac:dyDescent="0.3">
      <c r="A14" s="173" t="s">
        <v>119</v>
      </c>
      <c r="B14" s="173"/>
      <c r="C14" s="173"/>
      <c r="D14" s="173"/>
      <c r="E14" s="173"/>
      <c r="F14" s="173"/>
      <c r="G14" s="173"/>
      <c r="H14" s="173"/>
      <c r="I14" s="173"/>
      <c r="J14" s="180">
        <f>+K12*J12</f>
        <v>148733020</v>
      </c>
      <c r="K14" s="181"/>
    </row>
  </sheetData>
  <mergeCells count="18">
    <mergeCell ref="A6:C6"/>
    <mergeCell ref="A7:C7"/>
    <mergeCell ref="A8:C8"/>
    <mergeCell ref="A1:I1"/>
    <mergeCell ref="A3:C3"/>
    <mergeCell ref="A4:C4"/>
    <mergeCell ref="A5:C5"/>
    <mergeCell ref="A14:I14"/>
    <mergeCell ref="C13:G13"/>
    <mergeCell ref="K10:K11"/>
    <mergeCell ref="C12:G12"/>
    <mergeCell ref="I10:I11"/>
    <mergeCell ref="J10:J11"/>
    <mergeCell ref="A10:A11"/>
    <mergeCell ref="B10:B11"/>
    <mergeCell ref="C10:G11"/>
    <mergeCell ref="H10:H11"/>
    <mergeCell ref="J14:K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3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17.140625" customWidth="1"/>
    <col min="17" max="17" width="16.7109375" style="123" bestFit="1" customWidth="1"/>
  </cols>
  <sheetData>
    <row r="1" spans="1:17" ht="15.75" thickBot="1" x14ac:dyDescent="0.3">
      <c r="A1" s="203" t="s">
        <v>5</v>
      </c>
      <c r="B1" s="203"/>
      <c r="C1" s="203"/>
      <c r="D1" s="204">
        <v>2022</v>
      </c>
      <c r="E1" s="204"/>
      <c r="F1" s="81"/>
      <c r="G1" s="81"/>
      <c r="H1" s="82"/>
      <c r="I1" s="82"/>
      <c r="J1" s="82"/>
      <c r="K1" s="82"/>
      <c r="L1" s="82"/>
      <c r="M1" s="82"/>
      <c r="N1" s="82"/>
      <c r="O1" s="83"/>
      <c r="P1" s="205" t="s">
        <v>77</v>
      </c>
      <c r="Q1" s="205"/>
    </row>
    <row r="2" spans="1:17" ht="15.75" thickBot="1" x14ac:dyDescent="0.3">
      <c r="A2" s="84"/>
      <c r="B2" s="85"/>
      <c r="C2" s="85"/>
      <c r="D2" s="85"/>
      <c r="E2" s="85"/>
      <c r="F2" s="85"/>
      <c r="G2" s="86"/>
      <c r="H2" s="87"/>
      <c r="I2" s="87"/>
      <c r="J2" s="87"/>
      <c r="K2" s="87"/>
      <c r="L2" s="87"/>
      <c r="M2" s="87"/>
      <c r="N2" s="87"/>
      <c r="O2" s="85"/>
      <c r="P2" s="205"/>
      <c r="Q2" s="205"/>
    </row>
    <row r="3" spans="1:17" ht="15.75" thickBot="1" x14ac:dyDescent="0.3">
      <c r="A3" s="84"/>
      <c r="B3" s="85"/>
      <c r="C3" s="85"/>
      <c r="D3" s="85"/>
      <c r="E3" s="85"/>
      <c r="F3" s="85"/>
      <c r="G3" s="86"/>
      <c r="H3" s="85"/>
      <c r="I3" s="85"/>
      <c r="J3" s="85"/>
      <c r="K3" s="85"/>
      <c r="L3" s="85"/>
      <c r="M3" s="85"/>
      <c r="N3" s="85"/>
      <c r="O3" s="85"/>
      <c r="P3" s="85"/>
      <c r="Q3" s="128"/>
    </row>
    <row r="4" spans="1:17" ht="15.75" thickBot="1" x14ac:dyDescent="0.3">
      <c r="A4" s="206" t="s">
        <v>78</v>
      </c>
      <c r="B4" s="206"/>
      <c r="C4" s="206"/>
      <c r="D4" s="206"/>
      <c r="E4" s="206"/>
      <c r="F4" s="206"/>
      <c r="G4" s="207" t="str">
        <f>NP!D3</f>
        <v>040 - MINISTERIO DE SALUD</v>
      </c>
      <c r="H4" s="207"/>
      <c r="I4" s="207"/>
      <c r="J4" s="207"/>
      <c r="K4" s="207"/>
      <c r="L4" s="207"/>
      <c r="M4" s="207"/>
      <c r="N4" s="207"/>
      <c r="O4" s="207"/>
      <c r="P4" s="207"/>
      <c r="Q4" s="207"/>
    </row>
    <row r="5" spans="1:17" ht="15.75" thickBot="1" x14ac:dyDescent="0.3">
      <c r="A5" s="208" t="s">
        <v>65</v>
      </c>
      <c r="B5" s="208"/>
      <c r="C5" s="208"/>
      <c r="D5" s="208"/>
      <c r="E5" s="208"/>
      <c r="F5" s="208"/>
      <c r="G5" s="207" t="str">
        <f>NP!D4</f>
        <v>011 - DIRECCION PROVINCIAL DE ADMINISTRACION DEL MINISTERIO DE SALUD</v>
      </c>
      <c r="H5" s="207"/>
      <c r="I5" s="207"/>
      <c r="J5" s="207"/>
      <c r="K5" s="207"/>
      <c r="L5" s="207"/>
      <c r="M5" s="207"/>
      <c r="N5" s="207"/>
      <c r="O5" s="207"/>
      <c r="P5" s="207"/>
      <c r="Q5" s="207"/>
    </row>
    <row r="6" spans="1:17" ht="15.75" thickBot="1" x14ac:dyDescent="0.3">
      <c r="A6" s="208" t="s">
        <v>66</v>
      </c>
      <c r="B6" s="208"/>
      <c r="C6" s="208"/>
      <c r="D6" s="208"/>
      <c r="E6" s="208"/>
      <c r="F6" s="208"/>
      <c r="G6" s="207" t="str">
        <f>NP!D5</f>
        <v>352 - MINISTERIO DE SALUD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15.75" thickBot="1" x14ac:dyDescent="0.3">
      <c r="A7" s="208" t="s">
        <v>67</v>
      </c>
      <c r="B7" s="208"/>
      <c r="C7" s="208"/>
      <c r="D7" s="208"/>
      <c r="E7" s="208"/>
      <c r="F7" s="208"/>
      <c r="G7" s="207" t="str">
        <f>NP!D6</f>
        <v>352 - MINISTERIO DE SALUD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5.75" thickBot="1" x14ac:dyDescent="0.3">
      <c r="A8" s="209" t="s">
        <v>79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x14ac:dyDescent="0.25">
      <c r="A9" s="202" t="s">
        <v>80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</row>
    <row r="10" spans="1:17" ht="75" customHeight="1" x14ac:dyDescent="0.25">
      <c r="A10" s="195" t="s">
        <v>117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</row>
    <row r="11" spans="1:17" ht="15.75" thickBot="1" x14ac:dyDescent="0.3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129"/>
    </row>
    <row r="12" spans="1:17" ht="15.75" thickBot="1" x14ac:dyDescent="0.3">
      <c r="A12" s="196" t="s">
        <v>81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</row>
    <row r="13" spans="1:17" ht="15.75" thickBot="1" x14ac:dyDescent="0.3">
      <c r="A13" s="197" t="s">
        <v>82</v>
      </c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8" t="s">
        <v>83</v>
      </c>
      <c r="P13" s="198"/>
      <c r="Q13" s="199" t="s">
        <v>84</v>
      </c>
    </row>
    <row r="14" spans="1:17" ht="15.75" thickBot="1" x14ac:dyDescent="0.3">
      <c r="A14" s="91" t="s">
        <v>85</v>
      </c>
      <c r="B14" s="92" t="s">
        <v>86</v>
      </c>
      <c r="C14" s="92" t="s">
        <v>87</v>
      </c>
      <c r="D14" s="92" t="s">
        <v>88</v>
      </c>
      <c r="E14" s="92" t="s">
        <v>89</v>
      </c>
      <c r="F14" s="92" t="s">
        <v>90</v>
      </c>
      <c r="G14" s="93" t="s">
        <v>91</v>
      </c>
      <c r="H14" s="92" t="s">
        <v>92</v>
      </c>
      <c r="I14" s="92" t="s">
        <v>93</v>
      </c>
      <c r="J14" s="92" t="s">
        <v>94</v>
      </c>
      <c r="K14" s="92" t="s">
        <v>94</v>
      </c>
      <c r="L14" s="92" t="s">
        <v>95</v>
      </c>
      <c r="M14" s="94" t="s">
        <v>96</v>
      </c>
      <c r="N14" s="95" t="s">
        <v>97</v>
      </c>
      <c r="O14" s="198"/>
      <c r="P14" s="198"/>
      <c r="Q14" s="199"/>
    </row>
    <row r="15" spans="1:17" ht="36" customHeight="1" x14ac:dyDescent="0.25">
      <c r="A15" s="96">
        <v>1</v>
      </c>
      <c r="B15" s="97"/>
      <c r="C15" s="97"/>
      <c r="D15" s="97">
        <v>1</v>
      </c>
      <c r="E15" s="97"/>
      <c r="F15" s="97">
        <v>4901</v>
      </c>
      <c r="G15" s="97">
        <v>3</v>
      </c>
      <c r="H15" s="97">
        <v>1</v>
      </c>
      <c r="I15" s="97">
        <v>4</v>
      </c>
      <c r="J15" s="97">
        <v>3</v>
      </c>
      <c r="K15" s="97">
        <v>2</v>
      </c>
      <c r="L15" s="97"/>
      <c r="M15" s="98">
        <v>1</v>
      </c>
      <c r="N15" s="97" t="s">
        <v>115</v>
      </c>
      <c r="O15" s="200" t="s">
        <v>116</v>
      </c>
      <c r="P15" s="200"/>
      <c r="Q15" s="130">
        <f>NP!J14</f>
        <v>148733020</v>
      </c>
    </row>
    <row r="16" spans="1:17" x14ac:dyDescent="0.25">
      <c r="A16" s="99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1"/>
      <c r="N16" s="102"/>
      <c r="O16" s="189"/>
      <c r="P16" s="189"/>
      <c r="Q16" s="131"/>
    </row>
    <row r="17" spans="1:17" x14ac:dyDescent="0.25">
      <c r="A17" s="99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1"/>
      <c r="N17" s="102"/>
      <c r="O17" s="201"/>
      <c r="P17" s="201"/>
      <c r="Q17" s="131"/>
    </row>
    <row r="18" spans="1:17" x14ac:dyDescent="0.25">
      <c r="A18" s="99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1"/>
      <c r="N18" s="102"/>
      <c r="O18" s="194"/>
      <c r="P18" s="194"/>
      <c r="Q18" s="131"/>
    </row>
    <row r="19" spans="1:17" x14ac:dyDescent="0.25">
      <c r="A19" s="99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1"/>
      <c r="N19" s="102"/>
      <c r="O19" s="194"/>
      <c r="P19" s="194"/>
      <c r="Q19" s="131"/>
    </row>
    <row r="20" spans="1:17" x14ac:dyDescent="0.25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1"/>
      <c r="N20" s="102"/>
      <c r="O20" s="194"/>
      <c r="P20" s="194"/>
      <c r="Q20" s="131"/>
    </row>
    <row r="21" spans="1:17" x14ac:dyDescent="0.25">
      <c r="A21" s="99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1"/>
      <c r="N21" s="102"/>
      <c r="O21" s="194"/>
      <c r="P21" s="194"/>
      <c r="Q21" s="131"/>
    </row>
    <row r="22" spans="1:17" x14ac:dyDescent="0.25">
      <c r="A22" s="99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1"/>
      <c r="N22" s="102"/>
      <c r="O22" s="194"/>
      <c r="P22" s="194"/>
      <c r="Q22" s="131"/>
    </row>
    <row r="23" spans="1:17" x14ac:dyDescent="0.25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1"/>
      <c r="N23" s="102"/>
      <c r="O23" s="194"/>
      <c r="P23" s="194"/>
      <c r="Q23" s="131"/>
    </row>
    <row r="24" spans="1:17" x14ac:dyDescent="0.25">
      <c r="A24" s="99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1"/>
      <c r="N24" s="102"/>
      <c r="O24" s="194"/>
      <c r="P24" s="194"/>
      <c r="Q24" s="131"/>
    </row>
    <row r="25" spans="1:17" x14ac:dyDescent="0.25">
      <c r="A25" s="99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1"/>
      <c r="N25" s="102"/>
      <c r="O25" s="194"/>
      <c r="P25" s="194"/>
      <c r="Q25" s="131"/>
    </row>
    <row r="26" spans="1:17" x14ac:dyDescent="0.25">
      <c r="A26" s="99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1"/>
      <c r="N26" s="102"/>
      <c r="O26" s="194"/>
      <c r="P26" s="194"/>
      <c r="Q26" s="131"/>
    </row>
    <row r="27" spans="1:17" x14ac:dyDescent="0.25">
      <c r="A27" s="99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1"/>
      <c r="N27" s="102"/>
      <c r="O27" s="194"/>
      <c r="P27" s="194"/>
      <c r="Q27" s="131"/>
    </row>
    <row r="28" spans="1:17" x14ac:dyDescent="0.25">
      <c r="A28" s="99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1"/>
      <c r="N28" s="102"/>
      <c r="O28" s="194"/>
      <c r="P28" s="194"/>
      <c r="Q28" s="131"/>
    </row>
    <row r="29" spans="1:17" x14ac:dyDescent="0.25">
      <c r="A29" s="99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1"/>
      <c r="N29" s="102"/>
      <c r="O29" s="194"/>
      <c r="P29" s="194"/>
      <c r="Q29" s="131"/>
    </row>
    <row r="30" spans="1:17" x14ac:dyDescent="0.25">
      <c r="A30" s="99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1"/>
      <c r="N30" s="102"/>
      <c r="O30" s="194"/>
      <c r="P30" s="194"/>
      <c r="Q30" s="131"/>
    </row>
    <row r="31" spans="1:17" x14ac:dyDescent="0.25">
      <c r="A31" s="99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1"/>
      <c r="N31" s="102"/>
      <c r="O31" s="194"/>
      <c r="P31" s="194"/>
      <c r="Q31" s="131"/>
    </row>
    <row r="32" spans="1:17" x14ac:dyDescent="0.25">
      <c r="A32" s="99"/>
      <c r="B32" s="100"/>
      <c r="C32" s="100"/>
      <c r="D32" s="100"/>
      <c r="E32" s="100"/>
      <c r="F32" s="102"/>
      <c r="G32" s="100"/>
      <c r="H32" s="100"/>
      <c r="I32" s="100"/>
      <c r="J32" s="100"/>
      <c r="K32" s="100"/>
      <c r="L32" s="100"/>
      <c r="M32" s="101"/>
      <c r="N32" s="102"/>
      <c r="O32" s="189"/>
      <c r="P32" s="189"/>
      <c r="Q32" s="131"/>
    </row>
    <row r="33" spans="1:17" x14ac:dyDescent="0.25">
      <c r="A33" s="99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1"/>
      <c r="N33" s="102"/>
      <c r="O33" s="189"/>
      <c r="P33" s="189"/>
      <c r="Q33" s="131"/>
    </row>
    <row r="34" spans="1:17" x14ac:dyDescent="0.25">
      <c r="A34" s="99"/>
      <c r="B34" s="100"/>
      <c r="C34" s="100"/>
      <c r="D34" s="100"/>
      <c r="E34" s="100"/>
      <c r="F34" s="102"/>
      <c r="G34" s="100"/>
      <c r="H34" s="100"/>
      <c r="I34" s="100"/>
      <c r="J34" s="100"/>
      <c r="K34" s="100"/>
      <c r="L34" s="100"/>
      <c r="M34" s="101"/>
      <c r="N34" s="102"/>
      <c r="O34" s="189"/>
      <c r="P34" s="189"/>
      <c r="Q34" s="131"/>
    </row>
    <row r="35" spans="1:17" x14ac:dyDescent="0.25">
      <c r="A35" s="99"/>
      <c r="B35" s="100"/>
      <c r="C35" s="100"/>
      <c r="D35" s="100"/>
      <c r="E35" s="100"/>
      <c r="F35" s="102"/>
      <c r="G35" s="100"/>
      <c r="H35" s="100"/>
      <c r="I35" s="100"/>
      <c r="J35" s="100"/>
      <c r="K35" s="100"/>
      <c r="L35" s="100"/>
      <c r="M35" s="101"/>
      <c r="N35" s="102"/>
      <c r="O35" s="189"/>
      <c r="P35" s="189"/>
      <c r="Q35" s="131"/>
    </row>
    <row r="36" spans="1:17" x14ac:dyDescent="0.25">
      <c r="A36" s="103"/>
      <c r="B36" s="104"/>
      <c r="C36" s="104"/>
      <c r="D36" s="104"/>
      <c r="E36" s="104"/>
      <c r="F36" s="105"/>
      <c r="G36" s="104"/>
      <c r="H36" s="104"/>
      <c r="I36" s="104"/>
      <c r="J36" s="104"/>
      <c r="K36" s="104"/>
      <c r="L36" s="104"/>
      <c r="M36" s="106"/>
      <c r="N36" s="107"/>
      <c r="O36" s="190"/>
      <c r="P36" s="190"/>
      <c r="Q36" s="131"/>
    </row>
    <row r="37" spans="1:17" ht="15.75" thickBot="1" x14ac:dyDescent="0.3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10"/>
      <c r="N37" s="109"/>
      <c r="O37" s="191"/>
      <c r="P37" s="191"/>
      <c r="Q37" s="132"/>
    </row>
    <row r="38" spans="1:17" ht="41.25" customHeight="1" thickBot="1" x14ac:dyDescent="0.3">
      <c r="A38" s="192" t="s">
        <v>118</v>
      </c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33">
        <f>SUM(Q15:Q37)</f>
        <v>148733020</v>
      </c>
    </row>
    <row r="39" spans="1:17" ht="15.75" thickBot="1" x14ac:dyDescent="0.3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</row>
    <row r="40" spans="1:17" ht="15.75" thickBot="1" x14ac:dyDescent="0.3">
      <c r="A40" s="186" t="s">
        <v>98</v>
      </c>
      <c r="B40" s="186"/>
      <c r="C40" s="186"/>
      <c r="D40" s="186"/>
      <c r="E40" s="186"/>
      <c r="F40" s="186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</row>
    <row r="41" spans="1:17" ht="15.75" thickBot="1" x14ac:dyDescent="0.3">
      <c r="A41" s="188" t="str">
        <f>NP!D8</f>
        <v>ADQUISICION DE AMBULANCIAS PARA FORTALECER EL SERVICIO DE TRASLADO Y/O DERIVACIONES EN EL SECTOR PUBLICO PROVINCIAL.</v>
      </c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</row>
    <row r="42" spans="1:17" ht="39.75" customHeight="1" thickBot="1" x14ac:dyDescent="0.3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2022-05-16T15:24:57Z</dcterms:modified>
</cp:coreProperties>
</file>