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66C3038-6696-478D-90FD-9F729C64D23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_" sheetId="1" r:id="rId1"/>
  </sheets>
  <calcPr calcId="181029"/>
</workbook>
</file>

<file path=xl/calcChain.xml><?xml version="1.0" encoding="utf-8"?>
<calcChain xmlns="http://schemas.openxmlformats.org/spreadsheetml/2006/main">
  <c r="I55" i="1" l="1"/>
  <c r="I17" i="1"/>
  <c r="I15" i="1"/>
  <c r="I14" i="1"/>
  <c r="I13" i="1"/>
  <c r="I12" i="1"/>
  <c r="I10" i="1"/>
</calcChain>
</file>

<file path=xl/sharedStrings.xml><?xml version="1.0" encoding="utf-8"?>
<sst xmlns="http://schemas.openxmlformats.org/spreadsheetml/2006/main" count="238" uniqueCount="129">
  <si>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</si>
  <si>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</si>
  <si>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</si>
  <si>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</si>
  <si>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</si>
  <si>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</si>
  <si>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</si>
  <si>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</si>
  <si>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</si>
  <si>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</si>
  <si>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</si>
  <si>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</si>
  <si>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</si>
  <si>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</si>
  <si>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</si>
  <si>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</si>
  <si>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2.1.5-393.13</t>
  </si>
  <si>
    <t>FERRETERIA</t>
  </si>
  <si>
    <t>2.1.5</t>
  </si>
  <si>
    <t>CABOS DE MADERA; APLICACION: P/ESCOBA, FORMA: RECTO</t>
  </si>
  <si>
    <t>UNIDAD</t>
  </si>
  <si>
    <t>TOTAL FERRETERIA</t>
  </si>
  <si>
    <t>2.2.2-1629.3</t>
  </si>
  <si>
    <t>INDUMENTARIA TEXTIL Y CONFECCIONES</t>
  </si>
  <si>
    <t>2.2.2</t>
  </si>
  <si>
    <t>GUANTES; PROTECCION: SIN VALOR, MATERIAL: CUERO DESCARNE, TIPO: 5 DEDOS, INTERIOR: SIN VALOR, CIERRE: SIN, LARGO: HASTA MUÑECA 12, MATERIAL INTERNO: SIN VALOR</t>
  </si>
  <si>
    <t>2.2.2-1629.41</t>
  </si>
  <si>
    <t>GUANTES; PROTECCION: RECUBIERTA DE GOMA, MATERIAL: ALGODON Y POLYESTER, TIPO: 5 DEDOS, INTERIOR: ALGODON Y POLIESTER, LARGO: PUÑO CORTO, CIERRE: ELASTICO CON MALLA, MATERIAL INTERNO: ALGODON Y POLIESTER</t>
  </si>
  <si>
    <t>TOTAL INDUMENTARIA TEXTIL Y CONFECCIONES</t>
  </si>
  <si>
    <t>2.5.2-711.49</t>
  </si>
  <si>
    <t>PRODUCTOS FARMACEUTICOS Y MEDICINALES</t>
  </si>
  <si>
    <t>2.5.2</t>
  </si>
  <si>
    <t>ALCOHOL USO MEDICINAL; PUREZA: 70 %, PRESENTACIÓN: SEGÚN PLIEGO, CANTIDAD: SEGÚN PLIEGO</t>
  </si>
  <si>
    <t>TOTAL PRODUCTOS FARMACEUTICOS Y MEDICINALES</t>
  </si>
  <si>
    <t>2.7.5-1491.11</t>
  </si>
  <si>
    <t>HERRAMIENTAS</t>
  </si>
  <si>
    <t>2.7.5</t>
  </si>
  <si>
    <t>PULVERIZADORES; MATERIAL: PLASTICO, CAPACIDAD: 500 mL, TIPO: MANUAL</t>
  </si>
  <si>
    <t>TOTAL HERRAMIENTAS</t>
  </si>
  <si>
    <t>2.3.4-786.45</t>
  </si>
  <si>
    <t>ELEMENTOS DE LIMPIEZA</t>
  </si>
  <si>
    <t>2.3.4</t>
  </si>
  <si>
    <t>PAPEL HIGIENICO; PRESENTACION: UNIDAD, TIPO: ROLLO, HOJA: SIMPLE, ANCHO: 10 Cm, LARGO: 50 M, MATERIAL HOJA: SIMPLE, TIPO DE HOJA: SIMPLE</t>
  </si>
  <si>
    <t>2.3.4-938.60</t>
  </si>
  <si>
    <t>BAZAR Y MENAJE</t>
  </si>
  <si>
    <t>SERVILLETAS DE PAPEL; TIPO: LISAS, MOTIVO: SIN, DIMENSION: 18 X 18 Cm, PRESENTACION: ENVASE X 80</t>
  </si>
  <si>
    <t>2.9.1-6951.31</t>
  </si>
  <si>
    <t>2.9.1</t>
  </si>
  <si>
    <t>LIMPIADORES; TIPO: LAVANDINA, PRESENTACION: ENVASE X 10 L</t>
  </si>
  <si>
    <t>2.9.1-6951.214</t>
  </si>
  <si>
    <t>LIMPIADORES; TIPO: DETERGENTE NEUTRO, PRESENTACION: ENVASE X 5 L</t>
  </si>
  <si>
    <t>2.9.1-6951.157</t>
  </si>
  <si>
    <t>LIMPIADORES; TIPO: DESODORANTE LIQUIDO , PRESENTACION: BIDON X 5 L</t>
  </si>
  <si>
    <t>2.9.1-6951.281</t>
  </si>
  <si>
    <t>LIMPIADORES; TIPO: QUITASARRO, PRESENTACION: ENVASE X 1 L, BIODEGRADABLE: SI</t>
  </si>
  <si>
    <t>2.9.1-6951.116</t>
  </si>
  <si>
    <t>LIMPIADORES; TIPO: LIMPIAVIDRIOS, PRESENTACION: ENVASE X 5 L</t>
  </si>
  <si>
    <t>2.9.1-6952.91</t>
  </si>
  <si>
    <t>CEPILLOS; TIPO: ESCOBA, MATERIAL: PVC</t>
  </si>
  <si>
    <t>2.9.1-2425.2</t>
  </si>
  <si>
    <t>LAMPAZOS; MATERIAL: HILO, MANGO: MADERA</t>
  </si>
  <si>
    <t>2.9.1-714.1</t>
  </si>
  <si>
    <t>FRANELAS; DIMENSION: 40 X 60 Cm</t>
  </si>
  <si>
    <t>2.9.1-564.10</t>
  </si>
  <si>
    <t>BALDES DE PLASTICO; CAPACIDAD: 20 L, COLOR: AZUL</t>
  </si>
  <si>
    <t>2.9.1-544.65</t>
  </si>
  <si>
    <t>DESODORANTES DE AMBIENTE; FORMATO: AEROSOL, FRAGANCIA: VAINILLA, PRESENTACION: ENVASE X 360 CM3, LIBRE DE CFC: SI</t>
  </si>
  <si>
    <t>2.9.1-544.64</t>
  </si>
  <si>
    <t>DESODORANTES DE AMBIENTE; FORMATO: AEROSOL, FRAGANCIA: CAMPOS DE JAZMIN, PRESENTACION: ENVASE X 360 CM3, LIBRE DE CFC: SI</t>
  </si>
  <si>
    <t>2.9.1-6950.30</t>
  </si>
  <si>
    <t>LUSTRADORES; TIPO: LUSTRAMUEBLES, PRESENTACION: AEROSOL X 360 CM3</t>
  </si>
  <si>
    <t>2.9.1-761.1</t>
  </si>
  <si>
    <t>GUANTES P/LIMPIEZA; TAMAÑO: GRANDE, MATERIAL: LATEX</t>
  </si>
  <si>
    <t>2.9.1-6952.29</t>
  </si>
  <si>
    <t>CEPILLOS; TIPO: ESCOBILLA LIMPIA INODORO, MATERIAL: PLASTICO</t>
  </si>
  <si>
    <t>2.9.1-1081.1</t>
  </si>
  <si>
    <t>VIRUTAS; PRESENTACION: ROLLITO, CONTENIDO: 10 UNIDADES, MATERIAL: ACERO</t>
  </si>
  <si>
    <t>2.9.1-6952.71</t>
  </si>
  <si>
    <t>CEPILLOS; TIPO: ESCOBILLON INDUSTRIAL, MATERIAL: PVC</t>
  </si>
  <si>
    <t>2.9.1-2661.40</t>
  </si>
  <si>
    <t xml:space="preserve">TACHOS DE RESIDUOS; MATERIAL: POLIETILENO, SECCION: RECTANGULAR, DIMENSION: 120 L, TAPA: CON- </t>
  </si>
  <si>
    <t>2.9.1-2661.28</t>
  </si>
  <si>
    <t xml:space="preserve">TACHOS DE RESIDUOS; MATERIAL: PLASTICO, SECCION: RECTANGULAR, DIMENSION: 70 L, TAPA: VAIVEN- </t>
  </si>
  <si>
    <t>2.9.1-646.76</t>
  </si>
  <si>
    <t>BOLSAS DE RESIDUOS; DIMENSION: 60 X 40 Cm, PRESENTACION: ENVASE X 10 UN, ESPESOR: 30 Mn</t>
  </si>
  <si>
    <t>2.9.1-646.52</t>
  </si>
  <si>
    <t>BOLSAS DE RESIDUOS; DIMENSION: 60 X 90 Cm, PRESENTACION: PAQUETE X 50 UN, ESPESOR: 25 Mn, COLOR: NEGRO</t>
  </si>
  <si>
    <t>2.9.1-646.75</t>
  </si>
  <si>
    <t>BOLSAS DE RESIDUOS; DIMENSION: 90 X 120 Cm, PRESENTACION: ENVASE X 10 UN, ESPESOR: 80 µm</t>
  </si>
  <si>
    <t>2.9.1-678.5</t>
  </si>
  <si>
    <t>TRAPOS REJILLA; DIMENSION: 50 X 60 Cm, COLOR: BLANCO, MATERIAL: PURO ALGODÓN</t>
  </si>
  <si>
    <t>2.9.1-6961.15</t>
  </si>
  <si>
    <t>ELEM. P/LIMPIEZA SANITARIOS; TIPO: REJILLA DESODORANTE, PRESENTACION: UNIDAD</t>
  </si>
  <si>
    <t>2.9.1-4784.4</t>
  </si>
  <si>
    <t>LIMPIADORES MULTIUSO; TIPO: P/LAMPAZO, PRESENTACION: ENVASE X 1 L</t>
  </si>
  <si>
    <t>2.9.1-713.14</t>
  </si>
  <si>
    <t>TRAPOS DE PISO; DIMENSION: 80 X 80 Cm</t>
  </si>
  <si>
    <t>2.9.1-2029.14</t>
  </si>
  <si>
    <t>TRAPOS REPASADORES; MATERIAL: ALGODON, DIMENSION: 60 X 60 Cm</t>
  </si>
  <si>
    <t>2.9.1-683.8</t>
  </si>
  <si>
    <t>SECADORES DE GOMA; LARGO: 60 Cm, COLOR: NEGRO</t>
  </si>
  <si>
    <t>2.9.1-6956.73</t>
  </si>
  <si>
    <t>ARTICULOS DE TOCADOR; TIPO: JABON LIQUIDO, PRESENTACION: ENVASE X 5 L</t>
  </si>
  <si>
    <t>2.9.1-1164.1</t>
  </si>
  <si>
    <t>ESPONJAS; MATERIAL: POLIURETANO POLIETER, USO: P/COCINA, ADITAMENTO: FIBRA POLIESTER SUAVE, FORMA: PRISMATICA, LARGO X ANCHO X ESP: 10 X 6 X 3,5 Cm, COLOR: AMARILLO</t>
  </si>
  <si>
    <t>2.9.1-6951.272</t>
  </si>
  <si>
    <t>LIMPIADORES; TIPO: LIMPIA MUEBLES CREMA, PRESENTACION: ENVASE X 250 CM3</t>
  </si>
  <si>
    <t>2.9.1-8853.6</t>
  </si>
  <si>
    <t>MOPAS; LARGO MANGO: 20 Cm, MATERIAL: MICROFIBRA</t>
  </si>
  <si>
    <t>2.9.1-2437.2</t>
  </si>
  <si>
    <t>PALAS DE RESIDUOS; MATERIAL: PLASTICO, MANGO: LARGO</t>
  </si>
  <si>
    <t>2.5.4-505.90</t>
  </si>
  <si>
    <t>2.5.4</t>
  </si>
  <si>
    <t>DESINFECTANTES; PRINCIPIO ACTIVO: ANTIBACTERIANO, CONTROL: BACTERIAS Y HONGOS, PRESENTACION: ENVASE X 390 CM3</t>
  </si>
  <si>
    <t>2.5.4-505.98</t>
  </si>
  <si>
    <t>DESINFECTANTES; CAPACIDAD: 360cc, PRINCIPIO ACTIVO: CLORURO DE BENCIL AMONIO, PRESENTACION: UNIDAD X 360CC, USO P/CONTROL: VIRUS, CONTROL: VIRUS VARIOS</t>
  </si>
  <si>
    <t>TOTAL ELEMENTOS DE LIMPIEZA</t>
  </si>
  <si>
    <t>Especificidades Item N° 1 al 41:</t>
  </si>
  <si>
    <t>Descripción técnica</t>
  </si>
  <si>
    <t>Item Nº 1 al 20 Sin Especificación</t>
  </si>
  <si>
    <t>Item Nº 21 Color Verde</t>
  </si>
  <si>
    <t>Item Nº 22 Color Verde</t>
  </si>
  <si>
    <t>Item Nº 23 al 41 Sin Especificación</t>
  </si>
  <si>
    <t>Plazos y lugares de entrega</t>
  </si>
  <si>
    <t>Calidad Minima esperada</t>
  </si>
  <si>
    <t>Primera Marca</t>
  </si>
  <si>
    <t>Mantenimiento</t>
  </si>
  <si>
    <t>Garantia</t>
  </si>
  <si>
    <t>La entrega deberá efectuarse dentro de los Diez (10) días en el depósito de la Dirección Provincial de Administración dependiente del Ministerio de Agua, Energia y Medio Ambiente en el horario de 07:00 a 13:00, sito en Avenida Belgrano S/Nº Pabellón Nº2 -(C.A.P.E)- S.F.V. de Catamarca.- corriendo los gastos de flete,acarreos, carga y descarga y seguro por cuenta del adjudicatario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</si>
</sst>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</numFmts>
  <fonts count="22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4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u/>
      <sz val="10"/>
      <name val="Times New Roman"/>
      <family val="1"/>
    </font>
    <font>
      <b/>
      <u/>
      <sz val="16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u/>
      <sz val="16"/>
      <name val="Times New Roman"/>
      <family val="1"/>
    </font>
    <font>
      <sz val="11"/>
      <color rgb="FF333333"/>
      <name val="Arial"/>
      <family val="2"/>
    </font>
    <font>
      <sz val="12"/>
      <color rgb="FF333333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rgb="FFE5E5E5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4" fontId="1" fillId="0" borderId="0" applyBorder="0" applyProtection="0"/>
    <xf numFmtId="9" fontId="1" fillId="0" borderId="0" applyFont="0" applyFill="0" applyBorder="0" applyAlignment="0" applyProtection="0"/>
    <xf numFmtId="0" fontId="20" fillId="0" borderId="20" applyProtection="0"/>
    <xf numFmtId="0" fontId="21" fillId="5" borderId="0" applyBorder="0" applyProtection="0"/>
  </cellStyleXfs>
  <cellXfs count="92">
    <xf numFmtId="0" fontId="0" fillId="0" borderId="0" xfId="0"/>
    <xf numFmtId="0" fontId="2" fillId="0" borderId="0" xfId="0" applyFont="1"/>
    <xf numFmtId="0" fontId="2" fillId="2" borderId="0" xfId="0" applyFont="1" applyFill="1"/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center" wrapText="1"/>
    </xf>
    <xf numFmtId="0" fontId="2" fillId="0" borderId="0" xfId="0" applyFont="1" applyFill="1"/>
    <xf numFmtId="0" fontId="5" fillId="0" borderId="0" xfId="0" applyFont="1" applyFill="1" applyAlignment="1">
      <alignment horizontal="left" wrapText="1" indent="1"/>
    </xf>
    <xf numFmtId="0" fontId="5" fillId="0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2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65" fontId="8" fillId="3" borderId="3" xfId="1" applyNumberFormat="1" applyFont="1" applyFill="1" applyBorder="1" applyAlignment="1" applyProtection="1">
      <alignment horizontal="right" vertical="center" wrapText="1"/>
    </xf>
    <xf numFmtId="165" fontId="8" fillId="3" borderId="4" xfId="1" applyNumberFormat="1" applyFont="1" applyFill="1" applyBorder="1" applyAlignment="1" applyProtection="1">
      <alignment horizontal="right" vertical="center" wrapText="1"/>
    </xf>
    <xf numFmtId="165" fontId="10" fillId="3" borderId="4" xfId="1" applyNumberFormat="1" applyFont="1" applyFill="1" applyBorder="1" applyAlignment="1" applyProtection="1">
      <alignment horizontal="right" vertical="center" wrapTex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165" fontId="8" fillId="3" borderId="8" xfId="1" applyNumberFormat="1" applyFont="1" applyFill="1" applyBorder="1" applyAlignment="1" applyProtection="1">
      <alignment horizontal="right" vertical="center" wrapText="1"/>
    </xf>
    <xf numFmtId="0" fontId="8" fillId="0" borderId="0" xfId="0" applyFont="1" applyFill="1"/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165" fontId="8" fillId="0" borderId="3" xfId="1" applyNumberFormat="1" applyFont="1" applyFill="1" applyBorder="1" applyAlignment="1" applyProtection="1">
      <alignment horizontal="right" vertical="center" wrapText="1"/>
    </xf>
    <xf numFmtId="165" fontId="8" fillId="0" borderId="4" xfId="1" applyNumberFormat="1" applyFont="1" applyFill="1" applyBorder="1" applyAlignment="1" applyProtection="1">
      <alignment horizontal="right" vertical="center" wrapText="1"/>
    </xf>
    <xf numFmtId="9" fontId="8" fillId="0" borderId="0" xfId="2" applyFont="1" applyFill="1"/>
    <xf numFmtId="0" fontId="8" fillId="4" borderId="0" xfId="0" applyFont="1" applyFill="1"/>
    <xf numFmtId="0" fontId="11" fillId="0" borderId="0" xfId="0" applyFont="1"/>
    <xf numFmtId="165" fontId="10" fillId="0" borderId="8" xfId="0" applyNumberFormat="1" applyFont="1" applyFill="1" applyBorder="1" applyAlignment="1"/>
    <xf numFmtId="165" fontId="2" fillId="2" borderId="0" xfId="0" applyNumberFormat="1" applyFont="1" applyFill="1"/>
    <xf numFmtId="0" fontId="12" fillId="0" borderId="0" xfId="0" applyFont="1" applyFill="1"/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/>
    <xf numFmtId="0" fontId="14" fillId="0" borderId="10" xfId="0" applyFont="1" applyBorder="1"/>
    <xf numFmtId="0" fontId="15" fillId="0" borderId="11" xfId="0" applyFont="1" applyFill="1" applyBorder="1"/>
    <xf numFmtId="0" fontId="16" fillId="0" borderId="12" xfId="0" applyFont="1" applyFill="1" applyBorder="1"/>
    <xf numFmtId="0" fontId="2" fillId="0" borderId="0" xfId="0" applyFont="1" applyFill="1" applyBorder="1"/>
    <xf numFmtId="0" fontId="16" fillId="0" borderId="9" xfId="0" applyFont="1" applyBorder="1"/>
    <xf numFmtId="0" fontId="16" fillId="0" borderId="0" xfId="0" applyFont="1" applyFill="1" applyBorder="1"/>
    <xf numFmtId="0" fontId="16" fillId="0" borderId="13" xfId="0" applyFont="1" applyFill="1" applyBorder="1"/>
    <xf numFmtId="0" fontId="13" fillId="0" borderId="0" xfId="0" applyFont="1" applyFill="1" applyBorder="1" applyAlignment="1">
      <alignment horizontal="left" indent="3"/>
    </xf>
    <xf numFmtId="0" fontId="14" fillId="0" borderId="9" xfId="0" applyFont="1" applyBorder="1" applyAlignment="1">
      <alignment horizontal="left" indent="3"/>
    </xf>
    <xf numFmtId="0" fontId="17" fillId="0" borderId="9" xfId="0" applyFont="1" applyBorder="1" applyAlignment="1">
      <alignment horizontal="left" indent="3"/>
    </xf>
    <xf numFmtId="0" fontId="18" fillId="0" borderId="14" xfId="0" applyFont="1" applyFill="1" applyBorder="1" applyAlignment="1">
      <alignment vertical="top" wrapText="1"/>
    </xf>
    <xf numFmtId="0" fontId="16" fillId="0" borderId="13" xfId="0" applyFont="1" applyFill="1" applyBorder="1" applyAlignment="1">
      <alignment horizontal="left" wrapText="1"/>
    </xf>
    <xf numFmtId="0" fontId="16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indent="3"/>
    </xf>
    <xf numFmtId="0" fontId="16" fillId="0" borderId="9" xfId="0" applyFont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14" fillId="0" borderId="0" xfId="0" applyFont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5" xfId="0" applyFont="1" applyFill="1" applyBorder="1" applyAlignment="1">
      <alignment horizontal="center" wrapText="1"/>
    </xf>
    <xf numFmtId="0" fontId="16" fillId="0" borderId="15" xfId="0" applyFont="1" applyBorder="1" applyAlignment="1">
      <alignment horizontal="left" indent="3"/>
    </xf>
    <xf numFmtId="0" fontId="16" fillId="0" borderId="16" xfId="0" applyFont="1" applyFill="1" applyBorder="1" applyAlignment="1">
      <alignment horizontal="left" wrapText="1"/>
    </xf>
    <xf numFmtId="0" fontId="14" fillId="0" borderId="15" xfId="0" applyFont="1" applyBorder="1" applyAlignment="1">
      <alignment horizontal="left" indent="3"/>
    </xf>
    <xf numFmtId="0" fontId="16" fillId="0" borderId="16" xfId="0" applyFont="1" applyFill="1" applyBorder="1"/>
    <xf numFmtId="0" fontId="17" fillId="0" borderId="15" xfId="0" applyFont="1" applyBorder="1" applyAlignment="1">
      <alignment horizontal="left" indent="3"/>
    </xf>
    <xf numFmtId="0" fontId="16" fillId="0" borderId="17" xfId="0" applyFont="1" applyFill="1" applyBorder="1"/>
    <xf numFmtId="0" fontId="16" fillId="0" borderId="18" xfId="0" applyFont="1" applyFill="1" applyBorder="1"/>
    <xf numFmtId="0" fontId="16" fillId="0" borderId="19" xfId="0" applyFont="1" applyFill="1" applyBorder="1"/>
    <xf numFmtId="0" fontId="8" fillId="0" borderId="0" xfId="0" applyFont="1" applyFill="1" applyBorder="1"/>
    <xf numFmtId="0" fontId="19" fillId="0" borderId="0" xfId="0" applyFont="1" applyFill="1" applyBorder="1" applyAlignment="1">
      <alignment vertical="top" wrapText="1"/>
    </xf>
    <xf numFmtId="166" fontId="2" fillId="2" borderId="0" xfId="0" applyNumberFormat="1" applyFont="1" applyFill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165" fontId="8" fillId="3" borderId="0" xfId="1" applyNumberFormat="1" applyFont="1" applyFill="1" applyBorder="1" applyAlignment="1" applyProtection="1">
      <alignment horizontal="right" vertical="center" wrapText="1"/>
    </xf>
    <xf numFmtId="165" fontId="10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left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 wrapText="1"/>
    </xf>
    <xf numFmtId="0" fontId="16" fillId="0" borderId="13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left" wrapText="1"/>
    </xf>
    <xf numFmtId="0" fontId="16" fillId="0" borderId="16" xfId="0" applyFont="1" applyFill="1" applyBorder="1" applyAlignment="1">
      <alignment horizontal="center"/>
    </xf>
  </cellXfs>
  <cellStyles count="5">
    <cellStyle name="Encabezado 1" xfId="3" xr:uid="{00000000-0005-0000-0000-000000000000}"/>
    <cellStyle name="Moneda" xfId="1" builtinId="4"/>
    <cellStyle name="Neutral 1" xfId="4" xr:uid="{00000000-0005-0000-0000-000002000000}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W79"/>
  <sheetViews>
    <sheetView tabSelected="1" workbookViewId="0">
      <selection activeCell="A4" sqref="A4:B4"/>
    </sheetView>
  </sheetViews>
  <sheetFormatPr baseColWidth="10" defaultColWidth="11" defaultRowHeight="12.75" x14ac:dyDescent="0.2"/>
  <cols>
    <col min="1" max="1" width="4.5703125" style="1" customWidth="1"/>
    <col min="2" max="2" width="15.7109375" style="1" customWidth="1"/>
    <col min="3" max="3" width="28" style="1" customWidth="1"/>
    <col min="4" max="4" width="8.42578125" style="1" customWidth="1"/>
    <col min="5" max="5" width="79" style="1" customWidth="1"/>
    <col min="6" max="6" width="15.5703125" style="1" customWidth="1"/>
    <col min="7" max="7" width="7" style="1" customWidth="1"/>
    <col min="8" max="8" width="11.5703125" style="2" customWidth="1"/>
    <col min="9" max="9" width="18.7109375" style="2" customWidth="1"/>
    <col min="10" max="16384" width="11" style="1"/>
  </cols>
  <sheetData>
    <row r="2" spans="1:19" ht="30" x14ac:dyDescent="0.4">
      <c r="B2" s="77" t="s">
        <v>0</v>
      </c>
      <c r="C2" s="77"/>
      <c r="D2" s="77"/>
      <c r="E2" s="77"/>
      <c r="F2" s="77"/>
      <c r="G2" s="77"/>
      <c r="H2" s="77"/>
    </row>
    <row r="4" spans="1:19" s="5" customFormat="1" ht="20.25" customHeight="1" x14ac:dyDescent="0.3">
      <c r="A4" s="76" t="s">
        <v>1</v>
      </c>
      <c r="B4" s="76"/>
      <c r="C4" s="78" t="s">
        <v>2</v>
      </c>
      <c r="D4" s="78"/>
      <c r="E4" s="78"/>
      <c r="F4" s="3"/>
      <c r="G4" s="4"/>
      <c r="H4" s="3"/>
    </row>
    <row r="5" spans="1:19" s="5" customFormat="1" ht="20.25" customHeight="1" x14ac:dyDescent="0.3">
      <c r="A5" s="76" t="s">
        <v>3</v>
      </c>
      <c r="B5" s="76"/>
      <c r="C5" s="78" t="s">
        <v>4</v>
      </c>
      <c r="D5" s="78"/>
      <c r="E5" s="78"/>
      <c r="F5" s="3"/>
      <c r="G5" s="4"/>
      <c r="H5" s="3"/>
    </row>
    <row r="6" spans="1:19" s="5" customFormat="1" ht="20.25" customHeight="1" x14ac:dyDescent="0.3">
      <c r="A6" s="76" t="s">
        <v>5</v>
      </c>
      <c r="B6" s="76"/>
      <c r="C6" s="6">
        <v>2021</v>
      </c>
      <c r="D6" s="7"/>
      <c r="E6" s="7"/>
      <c r="F6" s="3"/>
      <c r="G6" s="4"/>
      <c r="H6" s="3"/>
    </row>
    <row r="7" spans="1:19" s="5" customFormat="1" ht="20.25" customHeight="1" x14ac:dyDescent="0.3">
      <c r="A7" s="76" t="s">
        <v>6</v>
      </c>
      <c r="B7" s="76"/>
      <c r="C7" s="6">
        <v>2</v>
      </c>
      <c r="D7" s="7"/>
      <c r="E7" s="7"/>
      <c r="F7" s="3"/>
      <c r="G7" s="4"/>
      <c r="H7" s="3"/>
    </row>
    <row r="8" spans="1:19" ht="13.5" thickBot="1" x14ac:dyDescent="0.25">
      <c r="B8" s="8"/>
      <c r="C8" s="9"/>
      <c r="D8" s="8"/>
      <c r="E8" s="8"/>
      <c r="F8" s="8"/>
      <c r="G8" s="9"/>
      <c r="H8" s="10"/>
    </row>
    <row r="9" spans="1:19" s="13" customFormat="1" ht="80.25" thickTop="1" thickBot="1" x14ac:dyDescent="0.3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2" t="s">
        <v>14</v>
      </c>
      <c r="I9" s="12" t="s">
        <v>15</v>
      </c>
      <c r="K9" s="69"/>
      <c r="L9" s="69"/>
      <c r="M9" s="69"/>
      <c r="N9" s="69"/>
      <c r="O9" s="69"/>
      <c r="P9" s="69"/>
      <c r="Q9" s="69"/>
      <c r="R9" s="69"/>
      <c r="S9" s="69"/>
    </row>
    <row r="10" spans="1:19" s="13" customFormat="1" ht="40.5" customHeight="1" thickBot="1" x14ac:dyDescent="0.3">
      <c r="A10" s="14">
        <v>10</v>
      </c>
      <c r="B10" s="15" t="s">
        <v>16</v>
      </c>
      <c r="C10" s="16" t="s">
        <v>17</v>
      </c>
      <c r="D10" s="17" t="s">
        <v>18</v>
      </c>
      <c r="E10" s="16" t="s">
        <v>19</v>
      </c>
      <c r="F10" s="15" t="s">
        <v>20</v>
      </c>
      <c r="G10" s="15">
        <v>400</v>
      </c>
      <c r="H10" s="18">
        <v>72</v>
      </c>
      <c r="I10" s="19">
        <f t="shared" ref="I10" si="0">H10*G10</f>
        <v>28800</v>
      </c>
      <c r="K10" s="70"/>
      <c r="L10" s="71"/>
      <c r="M10" s="72"/>
      <c r="N10" s="73"/>
      <c r="O10" s="72"/>
      <c r="P10" s="71"/>
      <c r="Q10" s="71"/>
      <c r="R10" s="74"/>
      <c r="S10" s="74"/>
    </row>
    <row r="11" spans="1:19" s="13" customFormat="1" ht="24.75" customHeight="1" thickBot="1" x14ac:dyDescent="0.3">
      <c r="A11" s="80" t="s">
        <v>21</v>
      </c>
      <c r="B11" s="81"/>
      <c r="C11" s="81"/>
      <c r="D11" s="81"/>
      <c r="E11" s="81"/>
      <c r="F11" s="81"/>
      <c r="G11" s="81"/>
      <c r="H11" s="82"/>
      <c r="I11" s="20">
        <v>28800</v>
      </c>
      <c r="K11" s="83"/>
      <c r="L11" s="83"/>
      <c r="M11" s="83"/>
      <c r="N11" s="83"/>
      <c r="O11" s="83"/>
      <c r="P11" s="83"/>
      <c r="Q11" s="83"/>
      <c r="R11" s="83"/>
      <c r="S11" s="75"/>
    </row>
    <row r="12" spans="1:19" s="13" customFormat="1" ht="48" thickBot="1" x14ac:dyDescent="0.3">
      <c r="A12" s="21">
        <v>39</v>
      </c>
      <c r="B12" s="22" t="s">
        <v>22</v>
      </c>
      <c r="C12" s="23" t="s">
        <v>23</v>
      </c>
      <c r="D12" s="24" t="s">
        <v>24</v>
      </c>
      <c r="E12" s="23" t="s">
        <v>25</v>
      </c>
      <c r="F12" s="22" t="s">
        <v>20</v>
      </c>
      <c r="G12" s="22">
        <v>100</v>
      </c>
      <c r="H12" s="25">
        <v>230</v>
      </c>
      <c r="I12" s="19">
        <f t="shared" ref="I12:I13" si="1">H12*G12</f>
        <v>23000</v>
      </c>
      <c r="K12" s="69"/>
      <c r="L12" s="69"/>
      <c r="M12" s="69"/>
      <c r="N12" s="69"/>
      <c r="O12" s="69"/>
      <c r="P12" s="69"/>
      <c r="Q12" s="69"/>
      <c r="R12" s="69"/>
      <c r="S12" s="69"/>
    </row>
    <row r="13" spans="1:19" s="13" customFormat="1" ht="63" customHeight="1" thickBot="1" x14ac:dyDescent="0.3">
      <c r="A13" s="21">
        <v>40</v>
      </c>
      <c r="B13" s="22" t="s">
        <v>26</v>
      </c>
      <c r="C13" s="23" t="s">
        <v>23</v>
      </c>
      <c r="D13" s="24" t="s">
        <v>24</v>
      </c>
      <c r="E13" s="23" t="s">
        <v>27</v>
      </c>
      <c r="F13" s="22" t="s">
        <v>20</v>
      </c>
      <c r="G13" s="22">
        <v>150</v>
      </c>
      <c r="H13" s="25">
        <v>1087</v>
      </c>
      <c r="I13" s="19">
        <f t="shared" si="1"/>
        <v>163050</v>
      </c>
    </row>
    <row r="14" spans="1:19" s="13" customFormat="1" ht="29.25" customHeight="1" thickBot="1" x14ac:dyDescent="0.3">
      <c r="A14" s="80" t="s">
        <v>28</v>
      </c>
      <c r="B14" s="81"/>
      <c r="C14" s="81"/>
      <c r="D14" s="81"/>
      <c r="E14" s="81"/>
      <c r="F14" s="81"/>
      <c r="G14" s="81"/>
      <c r="H14" s="82"/>
      <c r="I14" s="20">
        <f>SUM(I12:I13)</f>
        <v>186050</v>
      </c>
    </row>
    <row r="15" spans="1:19" s="13" customFormat="1" ht="51.75" customHeight="1" thickBot="1" x14ac:dyDescent="0.3">
      <c r="A15" s="14">
        <v>38</v>
      </c>
      <c r="B15" s="15" t="s">
        <v>29</v>
      </c>
      <c r="C15" s="16" t="s">
        <v>30</v>
      </c>
      <c r="D15" s="17" t="s">
        <v>31</v>
      </c>
      <c r="E15" s="16" t="s">
        <v>32</v>
      </c>
      <c r="F15" s="15" t="s">
        <v>20</v>
      </c>
      <c r="G15" s="15">
        <v>50</v>
      </c>
      <c r="H15" s="18">
        <v>1710</v>
      </c>
      <c r="I15" s="19">
        <f t="shared" ref="I15" si="2">H15*G15</f>
        <v>85500</v>
      </c>
    </row>
    <row r="16" spans="1:19" s="13" customFormat="1" ht="36" customHeight="1" thickBot="1" x14ac:dyDescent="0.3">
      <c r="A16" s="80" t="s">
        <v>33</v>
      </c>
      <c r="B16" s="81"/>
      <c r="C16" s="81"/>
      <c r="D16" s="81"/>
      <c r="E16" s="81"/>
      <c r="F16" s="81"/>
      <c r="G16" s="81"/>
      <c r="H16" s="82"/>
      <c r="I16" s="20">
        <v>85500</v>
      </c>
    </row>
    <row r="17" spans="1:13" s="13" customFormat="1" ht="42" customHeight="1" thickBot="1" x14ac:dyDescent="0.3">
      <c r="A17" s="14">
        <v>3</v>
      </c>
      <c r="B17" s="15" t="s">
        <v>34</v>
      </c>
      <c r="C17" s="16" t="s">
        <v>35</v>
      </c>
      <c r="D17" s="17" t="s">
        <v>36</v>
      </c>
      <c r="E17" s="16" t="s">
        <v>37</v>
      </c>
      <c r="F17" s="15" t="s">
        <v>20</v>
      </c>
      <c r="G17" s="15">
        <v>200</v>
      </c>
      <c r="H17" s="18">
        <v>210</v>
      </c>
      <c r="I17" s="19">
        <f>SUM(G17*H17)</f>
        <v>42000</v>
      </c>
    </row>
    <row r="18" spans="1:13" s="13" customFormat="1" ht="26.25" customHeight="1" thickBot="1" x14ac:dyDescent="0.3">
      <c r="A18" s="80" t="s">
        <v>38</v>
      </c>
      <c r="B18" s="81"/>
      <c r="C18" s="81"/>
      <c r="D18" s="81"/>
      <c r="E18" s="81"/>
      <c r="F18" s="81"/>
      <c r="G18" s="81"/>
      <c r="H18" s="82"/>
      <c r="I18" s="20">
        <v>42000</v>
      </c>
    </row>
    <row r="19" spans="1:13" s="26" customFormat="1" ht="48" thickBot="1" x14ac:dyDescent="0.3">
      <c r="A19" s="14">
        <v>1</v>
      </c>
      <c r="B19" s="15" t="s">
        <v>39</v>
      </c>
      <c r="C19" s="16" t="s">
        <v>40</v>
      </c>
      <c r="D19" s="17" t="s">
        <v>41</v>
      </c>
      <c r="E19" s="16" t="s">
        <v>42</v>
      </c>
      <c r="F19" s="15" t="s">
        <v>20</v>
      </c>
      <c r="G19" s="15">
        <v>800</v>
      </c>
      <c r="H19" s="18">
        <v>25.5</v>
      </c>
      <c r="I19" s="19">
        <v>20400</v>
      </c>
    </row>
    <row r="20" spans="1:13" s="26" customFormat="1" ht="32.25" thickBot="1" x14ac:dyDescent="0.3">
      <c r="A20" s="14">
        <v>2</v>
      </c>
      <c r="B20" s="15" t="s">
        <v>43</v>
      </c>
      <c r="C20" s="16" t="s">
        <v>44</v>
      </c>
      <c r="D20" s="17" t="s">
        <v>41</v>
      </c>
      <c r="E20" s="16" t="s">
        <v>45</v>
      </c>
      <c r="F20" s="15" t="s">
        <v>20</v>
      </c>
      <c r="G20" s="15">
        <v>400</v>
      </c>
      <c r="H20" s="18">
        <v>45</v>
      </c>
      <c r="I20" s="19">
        <v>18000</v>
      </c>
    </row>
    <row r="21" spans="1:13" s="13" customFormat="1" ht="32.25" thickBot="1" x14ac:dyDescent="0.3">
      <c r="A21" s="14">
        <v>4</v>
      </c>
      <c r="B21" s="15" t="s">
        <v>46</v>
      </c>
      <c r="C21" s="16" t="s">
        <v>40</v>
      </c>
      <c r="D21" s="17" t="s">
        <v>47</v>
      </c>
      <c r="E21" s="16" t="s">
        <v>48</v>
      </c>
      <c r="F21" s="15" t="s">
        <v>20</v>
      </c>
      <c r="G21" s="15">
        <v>200</v>
      </c>
      <c r="H21" s="18">
        <v>526</v>
      </c>
      <c r="I21" s="19">
        <v>105200</v>
      </c>
    </row>
    <row r="22" spans="1:13" s="13" customFormat="1" ht="32.25" thickBot="1" x14ac:dyDescent="0.3">
      <c r="A22" s="14">
        <v>5</v>
      </c>
      <c r="B22" s="15" t="s">
        <v>49</v>
      </c>
      <c r="C22" s="16" t="s">
        <v>40</v>
      </c>
      <c r="D22" s="17" t="s">
        <v>47</v>
      </c>
      <c r="E22" s="16" t="s">
        <v>50</v>
      </c>
      <c r="F22" s="15" t="s">
        <v>20</v>
      </c>
      <c r="G22" s="15">
        <v>100</v>
      </c>
      <c r="H22" s="18">
        <v>500</v>
      </c>
      <c r="I22" s="19">
        <v>50000</v>
      </c>
    </row>
    <row r="23" spans="1:13" s="13" customFormat="1" ht="32.25" thickBot="1" x14ac:dyDescent="0.3">
      <c r="A23" s="14">
        <v>6</v>
      </c>
      <c r="B23" s="15" t="s">
        <v>51</v>
      </c>
      <c r="C23" s="16" t="s">
        <v>40</v>
      </c>
      <c r="D23" s="17" t="s">
        <v>47</v>
      </c>
      <c r="E23" s="16" t="s">
        <v>52</v>
      </c>
      <c r="F23" s="15" t="s">
        <v>20</v>
      </c>
      <c r="G23" s="15">
        <v>150</v>
      </c>
      <c r="H23" s="18">
        <v>276</v>
      </c>
      <c r="I23" s="19">
        <v>41400</v>
      </c>
    </row>
    <row r="24" spans="1:13" s="13" customFormat="1" ht="32.25" thickBot="1" x14ac:dyDescent="0.3">
      <c r="A24" s="14">
        <v>7</v>
      </c>
      <c r="B24" s="15" t="s">
        <v>53</v>
      </c>
      <c r="C24" s="16" t="s">
        <v>40</v>
      </c>
      <c r="D24" s="17" t="s">
        <v>47</v>
      </c>
      <c r="E24" s="16" t="s">
        <v>54</v>
      </c>
      <c r="F24" s="15" t="s">
        <v>20</v>
      </c>
      <c r="G24" s="15">
        <v>100</v>
      </c>
      <c r="H24" s="18">
        <v>220</v>
      </c>
      <c r="I24" s="19">
        <v>22000</v>
      </c>
    </row>
    <row r="25" spans="1:13" s="13" customFormat="1" ht="32.25" thickBot="1" x14ac:dyDescent="0.3">
      <c r="A25" s="14">
        <v>8</v>
      </c>
      <c r="B25" s="15" t="s">
        <v>55</v>
      </c>
      <c r="C25" s="16" t="s">
        <v>40</v>
      </c>
      <c r="D25" s="17" t="s">
        <v>47</v>
      </c>
      <c r="E25" s="16" t="s">
        <v>56</v>
      </c>
      <c r="F25" s="15" t="s">
        <v>20</v>
      </c>
      <c r="G25" s="15">
        <v>50</v>
      </c>
      <c r="H25" s="18">
        <v>550</v>
      </c>
      <c r="I25" s="19">
        <v>27500</v>
      </c>
    </row>
    <row r="26" spans="1:13" s="13" customFormat="1" ht="32.25" thickBot="1" x14ac:dyDescent="0.3">
      <c r="A26" s="14">
        <v>9</v>
      </c>
      <c r="B26" s="15" t="s">
        <v>57</v>
      </c>
      <c r="C26" s="16" t="s">
        <v>40</v>
      </c>
      <c r="D26" s="17" t="s">
        <v>47</v>
      </c>
      <c r="E26" s="16" t="s">
        <v>58</v>
      </c>
      <c r="F26" s="15" t="s">
        <v>20</v>
      </c>
      <c r="G26" s="15">
        <v>400</v>
      </c>
      <c r="H26" s="18">
        <v>240</v>
      </c>
      <c r="I26" s="19">
        <v>96000</v>
      </c>
      <c r="J26" s="84"/>
      <c r="K26" s="85"/>
      <c r="L26" s="85"/>
      <c r="M26" s="85"/>
    </row>
    <row r="27" spans="1:13" s="13" customFormat="1" ht="32.25" thickBot="1" x14ac:dyDescent="0.3">
      <c r="A27" s="14">
        <v>11</v>
      </c>
      <c r="B27" s="15" t="s">
        <v>59</v>
      </c>
      <c r="C27" s="16" t="s">
        <v>40</v>
      </c>
      <c r="D27" s="17" t="s">
        <v>47</v>
      </c>
      <c r="E27" s="16" t="s">
        <v>60</v>
      </c>
      <c r="F27" s="15" t="s">
        <v>20</v>
      </c>
      <c r="G27" s="15">
        <v>50</v>
      </c>
      <c r="H27" s="18">
        <v>600</v>
      </c>
      <c r="I27" s="19">
        <v>30000</v>
      </c>
    </row>
    <row r="28" spans="1:13" s="13" customFormat="1" ht="32.25" thickBot="1" x14ac:dyDescent="0.3">
      <c r="A28" s="14">
        <v>12</v>
      </c>
      <c r="B28" s="15" t="s">
        <v>61</v>
      </c>
      <c r="C28" s="16" t="s">
        <v>40</v>
      </c>
      <c r="D28" s="17" t="s">
        <v>47</v>
      </c>
      <c r="E28" s="16" t="s">
        <v>62</v>
      </c>
      <c r="F28" s="15" t="s">
        <v>20</v>
      </c>
      <c r="G28" s="15">
        <v>250</v>
      </c>
      <c r="H28" s="18">
        <v>195</v>
      </c>
      <c r="I28" s="19">
        <v>48750</v>
      </c>
    </row>
    <row r="29" spans="1:13" s="13" customFormat="1" ht="39" customHeight="1" thickBot="1" x14ac:dyDescent="0.3">
      <c r="A29" s="14">
        <v>13</v>
      </c>
      <c r="B29" s="15" t="s">
        <v>63</v>
      </c>
      <c r="C29" s="16" t="s">
        <v>40</v>
      </c>
      <c r="D29" s="17" t="s">
        <v>47</v>
      </c>
      <c r="E29" s="16" t="s">
        <v>64</v>
      </c>
      <c r="F29" s="15" t="s">
        <v>20</v>
      </c>
      <c r="G29" s="15">
        <v>50</v>
      </c>
      <c r="H29" s="18">
        <v>400</v>
      </c>
      <c r="I29" s="19">
        <v>20000</v>
      </c>
    </row>
    <row r="30" spans="1:13" s="13" customFormat="1" ht="53.25" customHeight="1" thickBot="1" x14ac:dyDescent="0.3">
      <c r="A30" s="14">
        <v>14</v>
      </c>
      <c r="B30" s="27" t="s">
        <v>65</v>
      </c>
      <c r="C30" s="28" t="s">
        <v>40</v>
      </c>
      <c r="D30" s="27" t="s">
        <v>47</v>
      </c>
      <c r="E30" s="28" t="s">
        <v>66</v>
      </c>
      <c r="F30" s="27" t="s">
        <v>20</v>
      </c>
      <c r="G30" s="27">
        <v>100</v>
      </c>
      <c r="H30" s="29">
        <v>123</v>
      </c>
      <c r="I30" s="30">
        <v>12300</v>
      </c>
    </row>
    <row r="31" spans="1:13" s="13" customFormat="1" ht="53.25" customHeight="1" thickBot="1" x14ac:dyDescent="0.3">
      <c r="A31" s="14">
        <v>15</v>
      </c>
      <c r="B31" s="27" t="s">
        <v>67</v>
      </c>
      <c r="C31" s="28" t="s">
        <v>40</v>
      </c>
      <c r="D31" s="27" t="s">
        <v>47</v>
      </c>
      <c r="E31" s="28" t="s">
        <v>68</v>
      </c>
      <c r="F31" s="27" t="s">
        <v>20</v>
      </c>
      <c r="G31" s="27">
        <v>50</v>
      </c>
      <c r="H31" s="29">
        <v>123</v>
      </c>
      <c r="I31" s="30">
        <v>6150</v>
      </c>
    </row>
    <row r="32" spans="1:13" s="13" customFormat="1" ht="45" customHeight="1" thickBot="1" x14ac:dyDescent="0.3">
      <c r="A32" s="14">
        <v>16</v>
      </c>
      <c r="B32" s="15" t="s">
        <v>69</v>
      </c>
      <c r="C32" s="16" t="s">
        <v>40</v>
      </c>
      <c r="D32" s="17" t="s">
        <v>47</v>
      </c>
      <c r="E32" s="16" t="s">
        <v>70</v>
      </c>
      <c r="F32" s="15" t="s">
        <v>20</v>
      </c>
      <c r="G32" s="15">
        <v>300</v>
      </c>
      <c r="H32" s="18">
        <v>179</v>
      </c>
      <c r="I32" s="19">
        <v>53700</v>
      </c>
    </row>
    <row r="33" spans="1:127" s="13" customFormat="1" ht="36" customHeight="1" thickBot="1" x14ac:dyDescent="0.3">
      <c r="A33" s="14">
        <v>17</v>
      </c>
      <c r="B33" s="15" t="s">
        <v>71</v>
      </c>
      <c r="C33" s="16" t="s">
        <v>40</v>
      </c>
      <c r="D33" s="17" t="s">
        <v>47</v>
      </c>
      <c r="E33" s="16" t="s">
        <v>72</v>
      </c>
      <c r="F33" s="15" t="s">
        <v>20</v>
      </c>
      <c r="G33" s="15">
        <v>300</v>
      </c>
      <c r="H33" s="18">
        <v>186</v>
      </c>
      <c r="I33" s="19">
        <v>55800</v>
      </c>
    </row>
    <row r="34" spans="1:127" s="13" customFormat="1" ht="39" customHeight="1" thickBot="1" x14ac:dyDescent="0.3">
      <c r="A34" s="14">
        <v>18</v>
      </c>
      <c r="B34" s="15" t="s">
        <v>73</v>
      </c>
      <c r="C34" s="16" t="s">
        <v>40</v>
      </c>
      <c r="D34" s="17" t="s">
        <v>47</v>
      </c>
      <c r="E34" s="16" t="s">
        <v>74</v>
      </c>
      <c r="F34" s="15" t="s">
        <v>20</v>
      </c>
      <c r="G34" s="15">
        <v>30</v>
      </c>
      <c r="H34" s="18">
        <v>200</v>
      </c>
      <c r="I34" s="19">
        <v>6000</v>
      </c>
    </row>
    <row r="35" spans="1:127" s="13" customFormat="1" ht="53.25" customHeight="1" thickBot="1" x14ac:dyDescent="0.3">
      <c r="A35" s="14">
        <v>19</v>
      </c>
      <c r="B35" s="15" t="s">
        <v>75</v>
      </c>
      <c r="C35" s="16" t="s">
        <v>40</v>
      </c>
      <c r="D35" s="17" t="s">
        <v>47</v>
      </c>
      <c r="E35" s="16" t="s">
        <v>76</v>
      </c>
      <c r="F35" s="15" t="s">
        <v>20</v>
      </c>
      <c r="G35" s="15">
        <v>50</v>
      </c>
      <c r="H35" s="18">
        <v>50</v>
      </c>
      <c r="I35" s="19">
        <v>2500</v>
      </c>
    </row>
    <row r="36" spans="1:127" s="13" customFormat="1" ht="53.25" customHeight="1" thickBot="1" x14ac:dyDescent="0.3">
      <c r="A36" s="14">
        <v>20</v>
      </c>
      <c r="B36" s="15" t="s">
        <v>77</v>
      </c>
      <c r="C36" s="16" t="s">
        <v>40</v>
      </c>
      <c r="D36" s="17" t="s">
        <v>47</v>
      </c>
      <c r="E36" s="16" t="s">
        <v>78</v>
      </c>
      <c r="F36" s="15" t="s">
        <v>20</v>
      </c>
      <c r="G36" s="15">
        <v>100</v>
      </c>
      <c r="H36" s="18">
        <v>500</v>
      </c>
      <c r="I36" s="19">
        <v>50000</v>
      </c>
    </row>
    <row r="37" spans="1:127" s="26" customFormat="1" ht="53.25" customHeight="1" thickBot="1" x14ac:dyDescent="0.3">
      <c r="A37" s="14">
        <v>21</v>
      </c>
      <c r="B37" s="15" t="s">
        <v>79</v>
      </c>
      <c r="C37" s="16" t="s">
        <v>40</v>
      </c>
      <c r="D37" s="17" t="s">
        <v>47</v>
      </c>
      <c r="E37" s="16" t="s">
        <v>80</v>
      </c>
      <c r="F37" s="15" t="s">
        <v>20</v>
      </c>
      <c r="G37" s="15">
        <v>50</v>
      </c>
      <c r="H37" s="18">
        <v>4050</v>
      </c>
      <c r="I37" s="19">
        <v>202500</v>
      </c>
    </row>
    <row r="38" spans="1:127" s="13" customFormat="1" ht="53.25" customHeight="1" thickBot="1" x14ac:dyDescent="0.3">
      <c r="A38" s="14">
        <v>22</v>
      </c>
      <c r="B38" s="15" t="s">
        <v>81</v>
      </c>
      <c r="C38" s="16" t="s">
        <v>40</v>
      </c>
      <c r="D38" s="17" t="s">
        <v>47</v>
      </c>
      <c r="E38" s="16" t="s">
        <v>82</v>
      </c>
      <c r="F38" s="15" t="s">
        <v>20</v>
      </c>
      <c r="G38" s="15">
        <v>50</v>
      </c>
      <c r="H38" s="18">
        <v>3070</v>
      </c>
      <c r="I38" s="19">
        <v>153500</v>
      </c>
    </row>
    <row r="39" spans="1:127" s="13" customFormat="1" ht="53.25" customHeight="1" thickBot="1" x14ac:dyDescent="0.3">
      <c r="A39" s="14">
        <v>23</v>
      </c>
      <c r="B39" s="15" t="s">
        <v>83</v>
      </c>
      <c r="C39" s="16" t="s">
        <v>40</v>
      </c>
      <c r="D39" s="17" t="s">
        <v>47</v>
      </c>
      <c r="E39" s="16" t="s">
        <v>84</v>
      </c>
      <c r="F39" s="15" t="s">
        <v>20</v>
      </c>
      <c r="G39" s="15">
        <v>2000</v>
      </c>
      <c r="H39" s="18">
        <v>50</v>
      </c>
      <c r="I39" s="19">
        <v>100000</v>
      </c>
    </row>
    <row r="40" spans="1:127" s="13" customFormat="1" ht="53.25" customHeight="1" thickBot="1" x14ac:dyDescent="0.3">
      <c r="A40" s="14">
        <v>24</v>
      </c>
      <c r="B40" s="15" t="s">
        <v>85</v>
      </c>
      <c r="C40" s="16" t="s">
        <v>40</v>
      </c>
      <c r="D40" s="17" t="s">
        <v>47</v>
      </c>
      <c r="E40" s="16" t="s">
        <v>86</v>
      </c>
      <c r="F40" s="15" t="s">
        <v>20</v>
      </c>
      <c r="G40" s="15">
        <v>40</v>
      </c>
      <c r="H40" s="18">
        <v>500</v>
      </c>
      <c r="I40" s="19">
        <v>20000</v>
      </c>
    </row>
    <row r="41" spans="1:127" s="13" customFormat="1" ht="53.25" customHeight="1" thickBot="1" x14ac:dyDescent="0.3">
      <c r="A41" s="14">
        <v>25</v>
      </c>
      <c r="B41" s="15" t="s">
        <v>87</v>
      </c>
      <c r="C41" s="16" t="s">
        <v>40</v>
      </c>
      <c r="D41" s="17" t="s">
        <v>47</v>
      </c>
      <c r="E41" s="16" t="s">
        <v>88</v>
      </c>
      <c r="F41" s="15" t="s">
        <v>20</v>
      </c>
      <c r="G41" s="15">
        <v>2000</v>
      </c>
      <c r="H41" s="18">
        <v>200</v>
      </c>
      <c r="I41" s="19">
        <v>400000</v>
      </c>
    </row>
    <row r="42" spans="1:127" s="32" customFormat="1" ht="53.25" customHeight="1" thickBot="1" x14ac:dyDescent="0.3">
      <c r="A42" s="14">
        <v>26</v>
      </c>
      <c r="B42" s="15" t="s">
        <v>89</v>
      </c>
      <c r="C42" s="16" t="s">
        <v>40</v>
      </c>
      <c r="D42" s="17" t="s">
        <v>47</v>
      </c>
      <c r="E42" s="16" t="s">
        <v>90</v>
      </c>
      <c r="F42" s="15" t="s">
        <v>20</v>
      </c>
      <c r="G42" s="15">
        <v>300</v>
      </c>
      <c r="H42" s="18">
        <v>50</v>
      </c>
      <c r="I42" s="19">
        <v>15000</v>
      </c>
      <c r="J42" s="26"/>
      <c r="K42" s="31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</row>
    <row r="43" spans="1:127" s="13" customFormat="1" ht="53.25" customHeight="1" thickBot="1" x14ac:dyDescent="0.3">
      <c r="A43" s="14">
        <v>27</v>
      </c>
      <c r="B43" s="15" t="s">
        <v>91</v>
      </c>
      <c r="C43" s="16" t="s">
        <v>40</v>
      </c>
      <c r="D43" s="17" t="s">
        <v>47</v>
      </c>
      <c r="E43" s="16" t="s">
        <v>92</v>
      </c>
      <c r="F43" s="15" t="s">
        <v>20</v>
      </c>
      <c r="G43" s="15">
        <v>30</v>
      </c>
      <c r="H43" s="18">
        <v>550</v>
      </c>
      <c r="I43" s="19">
        <v>16500</v>
      </c>
    </row>
    <row r="44" spans="1:127" s="13" customFormat="1" ht="53.25" customHeight="1" thickBot="1" x14ac:dyDescent="0.3">
      <c r="A44" s="14">
        <v>28</v>
      </c>
      <c r="B44" s="15" t="s">
        <v>93</v>
      </c>
      <c r="C44" s="16" t="s">
        <v>40</v>
      </c>
      <c r="D44" s="17" t="s">
        <v>47</v>
      </c>
      <c r="E44" s="16" t="s">
        <v>94</v>
      </c>
      <c r="F44" s="15" t="s">
        <v>20</v>
      </c>
      <c r="G44" s="15">
        <v>80</v>
      </c>
      <c r="H44" s="18">
        <v>200</v>
      </c>
      <c r="I44" s="19">
        <v>16000</v>
      </c>
    </row>
    <row r="45" spans="1:127" s="13" customFormat="1" ht="32.25" thickBot="1" x14ac:dyDescent="0.3">
      <c r="A45" s="14">
        <v>29</v>
      </c>
      <c r="B45" s="15" t="s">
        <v>95</v>
      </c>
      <c r="C45" s="16" t="s">
        <v>40</v>
      </c>
      <c r="D45" s="17" t="s">
        <v>47</v>
      </c>
      <c r="E45" s="16" t="s">
        <v>96</v>
      </c>
      <c r="F45" s="15" t="s">
        <v>20</v>
      </c>
      <c r="G45" s="15">
        <v>500</v>
      </c>
      <c r="H45" s="18">
        <v>100</v>
      </c>
      <c r="I45" s="19">
        <v>50000</v>
      </c>
    </row>
    <row r="46" spans="1:127" s="13" customFormat="1" ht="32.25" thickBot="1" x14ac:dyDescent="0.3">
      <c r="A46" s="14">
        <v>30</v>
      </c>
      <c r="B46" s="15" t="s">
        <v>97</v>
      </c>
      <c r="C46" s="16" t="s">
        <v>40</v>
      </c>
      <c r="D46" s="17" t="s">
        <v>47</v>
      </c>
      <c r="E46" s="16" t="s">
        <v>98</v>
      </c>
      <c r="F46" s="15" t="s">
        <v>20</v>
      </c>
      <c r="G46" s="15">
        <v>50</v>
      </c>
      <c r="H46" s="18">
        <v>200</v>
      </c>
      <c r="I46" s="19">
        <v>10000</v>
      </c>
    </row>
    <row r="47" spans="1:127" s="33" customFormat="1" ht="32.25" thickBot="1" x14ac:dyDescent="0.3">
      <c r="A47" s="14">
        <v>31</v>
      </c>
      <c r="B47" s="15" t="s">
        <v>99</v>
      </c>
      <c r="C47" s="16" t="s">
        <v>40</v>
      </c>
      <c r="D47" s="17" t="s">
        <v>47</v>
      </c>
      <c r="E47" s="16" t="s">
        <v>100</v>
      </c>
      <c r="F47" s="15" t="s">
        <v>20</v>
      </c>
      <c r="G47" s="15">
        <v>300</v>
      </c>
      <c r="H47" s="18">
        <v>210</v>
      </c>
      <c r="I47" s="19">
        <v>63000</v>
      </c>
    </row>
    <row r="48" spans="1:127" s="33" customFormat="1" ht="32.25" thickBot="1" x14ac:dyDescent="0.3">
      <c r="A48" s="14">
        <v>32</v>
      </c>
      <c r="B48" s="27" t="s">
        <v>101</v>
      </c>
      <c r="C48" s="28" t="s">
        <v>40</v>
      </c>
      <c r="D48" s="27" t="s">
        <v>47</v>
      </c>
      <c r="E48" s="28" t="s">
        <v>102</v>
      </c>
      <c r="F48" s="27" t="s">
        <v>20</v>
      </c>
      <c r="G48" s="27">
        <v>30</v>
      </c>
      <c r="H48" s="29">
        <v>350</v>
      </c>
      <c r="I48" s="30">
        <v>10500</v>
      </c>
    </row>
    <row r="49" spans="1:9" ht="48" thickBot="1" x14ac:dyDescent="0.25">
      <c r="A49" s="14">
        <v>33</v>
      </c>
      <c r="B49" s="15" t="s">
        <v>103</v>
      </c>
      <c r="C49" s="16" t="s">
        <v>40</v>
      </c>
      <c r="D49" s="17" t="s">
        <v>47</v>
      </c>
      <c r="E49" s="16" t="s">
        <v>104</v>
      </c>
      <c r="F49" s="15" t="s">
        <v>20</v>
      </c>
      <c r="G49" s="15">
        <v>100</v>
      </c>
      <c r="H49" s="18">
        <v>40</v>
      </c>
      <c r="I49" s="19">
        <v>4000</v>
      </c>
    </row>
    <row r="50" spans="1:9" ht="40.5" customHeight="1" thickBot="1" x14ac:dyDescent="0.25">
      <c r="A50" s="14">
        <v>34</v>
      </c>
      <c r="B50" s="15" t="s">
        <v>105</v>
      </c>
      <c r="C50" s="16" t="s">
        <v>40</v>
      </c>
      <c r="D50" s="17" t="s">
        <v>47</v>
      </c>
      <c r="E50" s="16" t="s">
        <v>106</v>
      </c>
      <c r="F50" s="15" t="s">
        <v>20</v>
      </c>
      <c r="G50" s="15">
        <v>100</v>
      </c>
      <c r="H50" s="18">
        <v>80</v>
      </c>
      <c r="I50" s="19">
        <v>8000</v>
      </c>
    </row>
    <row r="51" spans="1:9" s="5" customFormat="1" ht="32.25" thickBot="1" x14ac:dyDescent="0.25">
      <c r="A51" s="14">
        <v>35</v>
      </c>
      <c r="B51" s="15" t="s">
        <v>107</v>
      </c>
      <c r="C51" s="16" t="s">
        <v>40</v>
      </c>
      <c r="D51" s="17" t="s">
        <v>47</v>
      </c>
      <c r="E51" s="16" t="s">
        <v>108</v>
      </c>
      <c r="F51" s="15" t="s">
        <v>20</v>
      </c>
      <c r="G51" s="15">
        <v>50</v>
      </c>
      <c r="H51" s="18">
        <v>2000</v>
      </c>
      <c r="I51" s="19">
        <v>100000</v>
      </c>
    </row>
    <row r="52" spans="1:9" ht="32.25" thickBot="1" x14ac:dyDescent="0.25">
      <c r="A52" s="14">
        <v>36</v>
      </c>
      <c r="B52" s="15" t="s">
        <v>109</v>
      </c>
      <c r="C52" s="16" t="s">
        <v>40</v>
      </c>
      <c r="D52" s="17" t="s">
        <v>47</v>
      </c>
      <c r="E52" s="16" t="s">
        <v>110</v>
      </c>
      <c r="F52" s="15" t="s">
        <v>20</v>
      </c>
      <c r="G52" s="15">
        <v>100</v>
      </c>
      <c r="H52" s="18">
        <v>483</v>
      </c>
      <c r="I52" s="19">
        <v>48300</v>
      </c>
    </row>
    <row r="53" spans="1:9" ht="48.75" customHeight="1" thickBot="1" x14ac:dyDescent="0.25">
      <c r="A53" s="14">
        <v>37</v>
      </c>
      <c r="B53" s="15" t="s">
        <v>111</v>
      </c>
      <c r="C53" s="16" t="s">
        <v>40</v>
      </c>
      <c r="D53" s="17" t="s">
        <v>112</v>
      </c>
      <c r="E53" s="16" t="s">
        <v>113</v>
      </c>
      <c r="F53" s="15" t="s">
        <v>20</v>
      </c>
      <c r="G53" s="15">
        <v>300</v>
      </c>
      <c r="H53" s="18">
        <v>407</v>
      </c>
      <c r="I53" s="19">
        <v>122100</v>
      </c>
    </row>
    <row r="54" spans="1:9" s="5" customFormat="1" ht="48.75" customHeight="1" x14ac:dyDescent="0.2">
      <c r="A54" s="21">
        <v>41</v>
      </c>
      <c r="B54" s="22" t="s">
        <v>114</v>
      </c>
      <c r="C54" s="23" t="s">
        <v>40</v>
      </c>
      <c r="D54" s="24" t="s">
        <v>112</v>
      </c>
      <c r="E54" s="23" t="s">
        <v>115</v>
      </c>
      <c r="F54" s="22" t="s">
        <v>20</v>
      </c>
      <c r="G54" s="22">
        <v>200</v>
      </c>
      <c r="H54" s="25">
        <v>230</v>
      </c>
      <c r="I54" s="19">
        <v>46000</v>
      </c>
    </row>
    <row r="55" spans="1:9" ht="20.25" customHeight="1" x14ac:dyDescent="0.25">
      <c r="A55" s="86" t="s">
        <v>116</v>
      </c>
      <c r="B55" s="86"/>
      <c r="C55" s="86"/>
      <c r="D55" s="86"/>
      <c r="E55" s="86"/>
      <c r="F55" s="86"/>
      <c r="G55" s="86"/>
      <c r="H55" s="86"/>
      <c r="I55" s="34">
        <f>SUM(I19:I54)</f>
        <v>2051100</v>
      </c>
    </row>
    <row r="56" spans="1:9" x14ac:dyDescent="0.2">
      <c r="I56" s="35"/>
    </row>
    <row r="57" spans="1:9" x14ac:dyDescent="0.2">
      <c r="I57" s="35"/>
    </row>
    <row r="58" spans="1:9" ht="15" thickBot="1" x14ac:dyDescent="0.25">
      <c r="B58" s="36"/>
      <c r="C58" s="37"/>
      <c r="D58" s="37"/>
      <c r="E58" s="37"/>
      <c r="F58" s="37"/>
      <c r="I58" s="68"/>
    </row>
    <row r="59" spans="1:9" ht="20.25" x14ac:dyDescent="0.3">
      <c r="B59" s="38"/>
      <c r="C59" s="39" t="s">
        <v>117</v>
      </c>
      <c r="D59" s="40"/>
      <c r="E59" s="40"/>
      <c r="F59" s="41"/>
    </row>
    <row r="60" spans="1:9" ht="20.25" x14ac:dyDescent="0.3">
      <c r="B60" s="42"/>
      <c r="C60" s="43"/>
      <c r="D60" s="44"/>
      <c r="E60" s="44"/>
      <c r="F60" s="45"/>
      <c r="I60" s="35"/>
    </row>
    <row r="61" spans="1:9" ht="20.25" x14ac:dyDescent="0.3">
      <c r="B61" s="46"/>
      <c r="C61" s="47" t="s">
        <v>118</v>
      </c>
      <c r="D61" s="44"/>
      <c r="E61" s="44"/>
      <c r="F61" s="45"/>
    </row>
    <row r="62" spans="1:9" s="5" customFormat="1" ht="21" thickBot="1" x14ac:dyDescent="0.35">
      <c r="A62" s="1"/>
      <c r="B62" s="46"/>
      <c r="C62" s="48"/>
      <c r="D62" s="87" t="s">
        <v>119</v>
      </c>
      <c r="E62" s="87"/>
      <c r="F62" s="45"/>
      <c r="G62" s="1"/>
      <c r="H62" s="2"/>
      <c r="I62" s="35"/>
    </row>
    <row r="63" spans="1:9" ht="20.25" x14ac:dyDescent="0.3">
      <c r="A63" s="5"/>
      <c r="B63" s="46"/>
      <c r="C63" s="48"/>
      <c r="D63" s="79" t="s">
        <v>120</v>
      </c>
      <c r="E63" s="79"/>
      <c r="F63" s="88"/>
      <c r="G63" s="49"/>
      <c r="H63" s="49"/>
      <c r="I63" s="5"/>
    </row>
    <row r="64" spans="1:9" ht="20.25" x14ac:dyDescent="0.3">
      <c r="B64" s="46"/>
      <c r="C64" s="48"/>
      <c r="D64" s="79" t="s">
        <v>121</v>
      </c>
      <c r="E64" s="79"/>
      <c r="F64" s="50"/>
    </row>
    <row r="65" spans="2:6" ht="20.25" x14ac:dyDescent="0.3">
      <c r="B65" s="46"/>
      <c r="C65" s="48"/>
      <c r="D65" s="79" t="s">
        <v>122</v>
      </c>
      <c r="E65" s="79"/>
      <c r="F65" s="50"/>
    </row>
    <row r="66" spans="2:6" ht="20.25" x14ac:dyDescent="0.3">
      <c r="B66" s="46"/>
      <c r="C66" s="48"/>
      <c r="D66" s="51"/>
      <c r="E66" s="51"/>
      <c r="F66" s="50"/>
    </row>
    <row r="67" spans="2:6" ht="20.25" x14ac:dyDescent="0.3">
      <c r="B67" s="46"/>
      <c r="C67" s="47" t="s">
        <v>123</v>
      </c>
      <c r="D67" s="44"/>
      <c r="E67" s="44"/>
      <c r="F67" s="45"/>
    </row>
    <row r="68" spans="2:6" ht="105.75" customHeight="1" x14ac:dyDescent="0.3">
      <c r="B68" s="52"/>
      <c r="C68" s="53"/>
      <c r="D68" s="79" t="s">
        <v>128</v>
      </c>
      <c r="E68" s="79"/>
      <c r="F68" s="88"/>
    </row>
    <row r="69" spans="2:6" ht="20.25" x14ac:dyDescent="0.3">
      <c r="B69" s="52"/>
      <c r="C69" s="53"/>
      <c r="D69" s="89"/>
      <c r="E69" s="89"/>
      <c r="F69" s="89"/>
    </row>
    <row r="70" spans="2:6" ht="20.25" x14ac:dyDescent="0.3">
      <c r="B70" s="46"/>
      <c r="C70" s="47" t="s">
        <v>124</v>
      </c>
      <c r="D70" s="44"/>
      <c r="E70" s="44"/>
      <c r="F70" s="45"/>
    </row>
    <row r="71" spans="2:6" ht="20.25" x14ac:dyDescent="0.3">
      <c r="B71" s="52"/>
      <c r="C71" s="53"/>
      <c r="D71" s="79" t="s">
        <v>125</v>
      </c>
      <c r="E71" s="79"/>
      <c r="F71" s="88"/>
    </row>
    <row r="72" spans="2:6" ht="20.25" x14ac:dyDescent="0.3">
      <c r="B72" s="52"/>
      <c r="C72" s="54"/>
      <c r="D72" s="51"/>
      <c r="E72" s="51"/>
      <c r="F72" s="51"/>
    </row>
    <row r="73" spans="2:6" ht="20.25" x14ac:dyDescent="0.3">
      <c r="B73" s="46"/>
      <c r="C73" s="55" t="s">
        <v>126</v>
      </c>
      <c r="D73" s="56"/>
      <c r="E73" s="56"/>
      <c r="F73" s="57"/>
    </row>
    <row r="74" spans="2:6" ht="20.25" x14ac:dyDescent="0.3">
      <c r="B74" s="52"/>
      <c r="C74" s="58"/>
      <c r="D74" s="79"/>
      <c r="E74" s="79"/>
      <c r="F74" s="90"/>
    </row>
    <row r="75" spans="2:6" ht="20.25" x14ac:dyDescent="0.3">
      <c r="B75" s="52"/>
      <c r="C75" s="58"/>
      <c r="D75" s="51"/>
      <c r="E75" s="51"/>
      <c r="F75" s="59"/>
    </row>
    <row r="76" spans="2:6" ht="20.25" x14ac:dyDescent="0.3">
      <c r="B76" s="46"/>
      <c r="C76" s="60" t="s">
        <v>127</v>
      </c>
      <c r="D76" s="44"/>
      <c r="E76" s="44"/>
      <c r="F76" s="61"/>
    </row>
    <row r="77" spans="2:6" ht="20.25" x14ac:dyDescent="0.3">
      <c r="B77" s="46"/>
      <c r="C77" s="62"/>
      <c r="D77" s="89"/>
      <c r="E77" s="89"/>
      <c r="F77" s="91"/>
    </row>
    <row r="78" spans="2:6" ht="20.25" x14ac:dyDescent="0.3">
      <c r="B78" s="42"/>
      <c r="C78" s="63"/>
      <c r="D78" s="64"/>
      <c r="E78" s="64"/>
      <c r="F78" s="65"/>
    </row>
    <row r="79" spans="2:6" ht="15.75" x14ac:dyDescent="0.25">
      <c r="B79" s="42"/>
      <c r="C79" s="66"/>
      <c r="D79" s="66"/>
      <c r="E79" s="66"/>
      <c r="F79" s="67"/>
    </row>
  </sheetData>
  <mergeCells count="23">
    <mergeCell ref="D68:F68"/>
    <mergeCell ref="D69:F69"/>
    <mergeCell ref="D71:F71"/>
    <mergeCell ref="D74:F74"/>
    <mergeCell ref="D77:F77"/>
    <mergeCell ref="D65:E65"/>
    <mergeCell ref="A7:B7"/>
    <mergeCell ref="A11:H11"/>
    <mergeCell ref="K11:R11"/>
    <mergeCell ref="A14:H14"/>
    <mergeCell ref="A16:H16"/>
    <mergeCell ref="A18:H18"/>
    <mergeCell ref="J26:M26"/>
    <mergeCell ref="A55:H55"/>
    <mergeCell ref="D62:E62"/>
    <mergeCell ref="D63:F63"/>
    <mergeCell ref="D64:E64"/>
    <mergeCell ref="A6:B6"/>
    <mergeCell ref="B2:H2"/>
    <mergeCell ref="A4:B4"/>
    <mergeCell ref="C4:E4"/>
    <mergeCell ref="A5:B5"/>
    <mergeCell ref="C5:E5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2021-03-17T16:38:24Z</cp:lastPrinted>
  <dcterms:created xsi:type="dcterms:W3CDTF">2021-03-17T14:16:26Z</dcterms:created>
  <dcterms:modified xsi:type="dcterms:W3CDTF">2021-08-17T12:17:56Z</dcterms:modified>
</cp:coreProperties>
</file>