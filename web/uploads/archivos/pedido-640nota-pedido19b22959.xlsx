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Trimestrales'!$A$9:$I$69</definedName>
    <definedName name="_xlnm.Print_Area" localSheetId="2">'Autor Gastar'!$A$1:$Q$27</definedName>
    <definedName name="_xlnm.Print_Area" localSheetId="1">NotaPedido!$A$1:$K$72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72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<sst xmlns="http://schemas.openxmlformats.org/spreadsheetml/2006/main" count="387" uniqueCount="157">
  <si>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</si>
  <si>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</si>
  <si>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</si>
  <si>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</si>
  <si>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</si>
  <si>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</si>
  <si>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</si>
  <si>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</si>
  <si>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</si>
  <si>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</si>
  <si>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</si>
  <si>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</si>
  <si>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</si>
  <si>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</si>
  <si>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</si>
  <si>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</si>
  <si>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</si>
  <si>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</si>
  <si>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</si>
  <si>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</si>
  <si>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</si>
  <si>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</si>
  <si>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</si>
  <si>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</si>
  <si>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</si>
  <si>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</si>
  <si>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</si>
  <si>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</si>
  <si>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</si>
  <si>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</si>
  <si>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</si>
  <si>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</si>
  <si>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</si>
  <si>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</si>
  <si>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</si>
  <si>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</si>
  <si>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</si>
  <si>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</si>
  <si>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</si>
  <si>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</si>
  <si>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</si>
  <si>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</si>
  <si>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</si>
  <si>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</si>
  <si>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</si>
  <si>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</si>
  <si>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</si>
  <si>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</si>
  <si>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</si>
  <si>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</si>
  <si>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</si>
  <si>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</si>
  <si>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</si>
  <si>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</si>
  <si>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</si>
  <si>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</si>
  <si>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</si>
  <si>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</si>
  <si>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</si>
  <si>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</si>
  <si>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</si>
  <si>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Compuestos Quimicos</t>
  </si>
  <si>
    <t>Productos Farmaceuticos y Medicinales</t>
  </si>
  <si>
    <t xml:space="preserve">45 dias habiles </t>
  </si>
  <si>
    <t xml:space="preserve">Otros NEP </t>
  </si>
  <si>
    <t>3.1</t>
  </si>
  <si>
    <t>1.1</t>
  </si>
  <si>
    <t>Utiles Menores Med. Quir. y de Lab.</t>
  </si>
  <si>
    <t xml:space="preserve">Compuestos Quimicos </t>
  </si>
  <si>
    <t xml:space="preserve">ACIDO ACETICO EN SOLUCION  25% / 30%  X 5 KILOGRAMOS TIPO OXIDIAL </t>
  </si>
  <si>
    <t>BIDON</t>
  </si>
  <si>
    <t>ACIDO PERACETICO  ( 3%  de peroxido de hidrogeno ) tipo ANIOXYDE 1000  X 5 LITROS</t>
  </si>
  <si>
    <t xml:space="preserve">Prod. Farmaceuticos y Medicinales </t>
  </si>
  <si>
    <t>AGUA OXIGENADA MEDICINAL DE 10 VOLUMENES X 1 LITRO</t>
  </si>
  <si>
    <t>BOTELLA</t>
  </si>
  <si>
    <t>ALCOHOL 96º X 1000 ML</t>
  </si>
  <si>
    <t xml:space="preserve">BOTELLA </t>
  </si>
  <si>
    <t>CLORHEXIDINA 2% SOLUCION ACUOSA X 250 ML</t>
  </si>
  <si>
    <t>FRASCO</t>
  </si>
  <si>
    <t>CLOROXILENOL  X 5 LITROS</t>
  </si>
  <si>
    <t>FORMOL 40% ENVASE X 1 LITRO</t>
  </si>
  <si>
    <t>GLUTARALDEHIDO 2% CON SURFACTANTE BIDON X 4 LITROS</t>
  </si>
  <si>
    <t xml:space="preserve">IODOPOVIDONA 5% JABON X 1 LITRO CON VALVULA ATOMIZADORA </t>
  </si>
  <si>
    <t xml:space="preserve">JABON LIQUIDO HIPOALERGENICO CON EMOLIENTE  X 800 ML   TIPO ADOX  JL4  Envase BAG IN BOX </t>
  </si>
  <si>
    <t>BAG IN BOX</t>
  </si>
  <si>
    <t>LOCION ALCOHOLICA BACTERICIDA CON CLORHEXIDINA + EMOLIENTES  X 800 ML  TIPO ADOX  L9   Envase BAG IN BOX</t>
  </si>
  <si>
    <t>NITROFURAZONA X 1 LITRO</t>
  </si>
  <si>
    <t xml:space="preserve">UTILES MEN. MED. QUIRURG. Y DE LAB. </t>
  </si>
  <si>
    <t>2.9.5</t>
  </si>
  <si>
    <t>UNIDAD</t>
  </si>
  <si>
    <t>CATETER DOBLE J 4.7 FR x 26 CM TIPO COOK</t>
  </si>
  <si>
    <t>CATETER DOBLE J 4.8 FRENCH X 46 CM TIPO COOK</t>
  </si>
  <si>
    <t>CATETER DOBLE J 7 FRENCH X 46 CM TIPO COOK</t>
  </si>
  <si>
    <t>CATETER FOGARTY Nº 3</t>
  </si>
  <si>
    <t>CATETER FOGARTY Nº 4</t>
  </si>
  <si>
    <t>CATETER FOGARTY Nº 5</t>
  </si>
  <si>
    <t>CLAVO DE KISHNER Nº 4 x 25 CM (CLAVIJAS)</t>
  </si>
  <si>
    <t>CLAVO DE KISHNER Nº 5 x 25 CM (CLAVIJAS)</t>
  </si>
  <si>
    <t>DRENAJE DE SILICONA ESTERIL TIPO DRENAJE BLAKE</t>
  </si>
  <si>
    <t>FILTRO PARA HEMODIALISIS 1,9 m2 HF</t>
  </si>
  <si>
    <t>FILTRO PARA HEMODIALISIS 2.1 m2 HF</t>
  </si>
  <si>
    <t>FRASCO PARA DRENAJE TORACICO x 2500 ML</t>
  </si>
  <si>
    <t>FRASCO PARA DRENAJE TORACICO x 750 ML</t>
  </si>
  <si>
    <t>GUIA ARTERIAL CON GUIA HEPARINA Y TRANSDUCTOR DE PRESION P 0.8 TIPO NIPRO</t>
  </si>
  <si>
    <t>GUIA VENOSA Y TRANSDUCTOR DE PRESION P 0.8 TIPO NIPRO</t>
  </si>
  <si>
    <t>LIGACLIP LT 300</t>
  </si>
  <si>
    <t>LIGACLIP LT 400</t>
  </si>
  <si>
    <t>SET DE NEFROSTOMIA 16 FRENCH TIPO COOK</t>
  </si>
  <si>
    <t>SONDA FOLEY TRIPLE VIA HEMATURICA Nº 20</t>
  </si>
  <si>
    <t>SONDA FOLEY TRIPLE VIA HEMATURICA Nº 22</t>
  </si>
  <si>
    <t>SONDA FOLEY TRIPLE VIA HEMATURICA Nº18</t>
  </si>
  <si>
    <t xml:space="preserve">SONDA PARA DRENAJE TORACICO SILICONADO 150/28 TIPO SILMAG </t>
  </si>
  <si>
    <t>SONDA PARA NUTRICION ENTERAL TIPO K108 DE RIVERO</t>
  </si>
  <si>
    <t>SURGICEL 7 x 5 CM SOBRE</t>
  </si>
  <si>
    <t>TUBO DE INTUBACION SELECTIVA DERECHO CH 35</t>
  </si>
  <si>
    <t>TUBO DE INTUBACION SELECTIVA DERECHO CH 37</t>
  </si>
  <si>
    <t>TUBO DE INTUBACION SELECTIVA IZQUIERDO CH 35</t>
  </si>
  <si>
    <t>TUBO DE INTUBACION SELECTIVA IZQUIERDO CH 37</t>
  </si>
  <si>
    <t>TUBO P/DRENAJE 110-12-SILMAG</t>
  </si>
  <si>
    <t>CANASTILLA DE DORMIA TIPO FUJIFILM MEDWORCK 2.8 MM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</si>
  <si>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</si>
  <si>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</si>
  <si>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12:00 HORAS </t>
  </si>
  <si>
    <t>Especificidades Tecnicas:</t>
  </si>
  <si>
    <t xml:space="preserve">15 dias habiles - Servicio de Farmacia del HISJB - Avda. Illia y Mariano Moreno de Lunes a Viernes de 08:00 a 12:00 horas </t>
  </si>
  <si>
    <t>BOTAS ALTAS DESCARTABLES DE 30 GRAMOS CON TIRA EL PAR</t>
  </si>
  <si>
    <t>PAR</t>
  </si>
  <si>
    <t>CAMISOLIN DESCARTABLE DE TELA SMS 50 GRAMOS CON MANGA Y PUÑOS DE 1,4 M DE LARGO</t>
  </si>
  <si>
    <t>CANULA NASAL PARA OXIGENOTERAPIA ADULTO</t>
  </si>
  <si>
    <t>COFIAS PLIZADAS CON AJUSTE ELASTIZADO</t>
  </si>
  <si>
    <t xml:space="preserve">COMPUESTOS QUIMICOS </t>
  </si>
  <si>
    <t>2.5.1</t>
  </si>
  <si>
    <t>DETERGENTE TRIENZIMATICO  ( LIPASA, AMILASA,PROTEASA ) Concentración: 3 a 5 ml/litro. Libre de fenoles, Atoxico. Bidón por 5 litros. Aprobación PM ANMAT  TIPO DM3 PLUS ADOX</t>
  </si>
  <si>
    <t xml:space="preserve">FILTRO HME ADULTO HIGROBAC INTERCAMBIADOR CALOR/HUMEDAD </t>
  </si>
  <si>
    <t>FILTRO HME BACTERIAL VIRAL PARA CIRCUITO RESPIRADOR</t>
  </si>
  <si>
    <t>LIMPIADOR DESINFECTANTE PARA AREAS CRITICAS  EN BASE A PEROXOSULFATO ACIDO DE POTASIO (0,46% activo por litro) .SOBRE POR 20 GRS . Estabilidad: 15 días desde su preparación. Aprobación PM ANMAT.</t>
  </si>
  <si>
    <t>SOBRE</t>
  </si>
  <si>
    <t>MASCARA PROTECTORA FACIAL  DE POLICARBONATO TRASPARENTE   REBATIBLE CON ARNES REFORZADO</t>
  </si>
  <si>
    <t xml:space="preserve">UNIDAD </t>
  </si>
  <si>
    <t>TUBO ENDOTRAQUEAL CON BALON Nº 7</t>
  </si>
  <si>
    <t>2.5.2</t>
  </si>
  <si>
    <t>CEPILLO P/LAVAR TUBOS CHICOS X 1</t>
  </si>
  <si>
    <t>CEPILLO P/LAVAR TUBOS GRANDES X 1</t>
  </si>
  <si>
    <t>CEPILLO P/LAVAR TUBOS MEDIANOS X 1</t>
  </si>
  <si>
    <t xml:space="preserve">Envoltorio para esterilización de Tela no tejida 100% a base de Polipropileno SMS. Gramaje 45 gr/m2 Bobina x 200 metros </t>
  </si>
  <si>
    <t>INDICADORES DE ESTERILIZACION,CALOR SECO,TIRAS INTEGRADORAS CLASE 5  CAJA X 100</t>
  </si>
  <si>
    <t>LUPAS; POTENCIA: 75 Diop, DIAMETRO: 65 mm, MATERIAL LENTE: VIDRIO, ACCESORIO: C/LUZ, ARMAZON: PLASTICO, ESTRUCTURA: PLASTICO</t>
  </si>
  <si>
    <t xml:space="preserve">OTROS NEP </t>
  </si>
  <si>
    <t>2.5.9</t>
  </si>
  <si>
    <t>PAPEL GRADO MEDICO 120 CM X 100 MTS</t>
  </si>
  <si>
    <t xml:space="preserve">BOBINA </t>
  </si>
  <si>
    <t>PAPEL GRADO MEDICO 60 GR ANCHO 60 CM X 100 MTS</t>
  </si>
  <si>
    <t xml:space="preserve">CAJA </t>
  </si>
  <si>
    <t>087 - 2021</t>
  </si>
  <si>
    <t xml:space="preserve">Adquisición de Descartables para Farmacia </t>
  </si>
  <si>
    <t>Costo total estimado: ocho millones doscientos dieciseis mil veintinueve con 34/100.----</t>
  </si>
  <si>
    <t>TOTAL DE PESOS: OCHO MILLONES DOSCIENTOS DIECISEIS MIL VEINTINUEVE CON 34/100.---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</si>
</sst>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_-[$$-2C0A]\ * #,##0.00_-;\-[$$-2C0A]\ * #,##0.00_-;_-[$$-2C0A]\ * &quot;-&quot;??_-;_-@_-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2F2F2"/>
        <bgColor rgb="FFF2F2F2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6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169" fontId="14" fillId="6" borderId="14" xfId="0" applyNumberFormat="1" applyFont="1" applyFill="1" applyBorder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center" vertical="center"/>
    </xf>
    <xf numFmtId="0" fontId="26" fillId="6" borderId="14" xfId="0" applyFont="1" applyFill="1" applyBorder="1" applyAlignment="1">
      <alignment horizontal="left" vertical="center" wrapText="1"/>
    </xf>
    <xf numFmtId="0" fontId="27" fillId="0" borderId="14" xfId="0" applyFont="1" applyBorder="1" applyAlignment="1">
      <alignment horizontal="center" vertical="center"/>
    </xf>
    <xf numFmtId="0" fontId="28" fillId="0" borderId="14" xfId="0" applyFont="1" applyFill="1" applyBorder="1" applyAlignment="1">
      <alignment vertical="center"/>
    </xf>
    <xf numFmtId="0" fontId="14" fillId="5" borderId="14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170" fontId="14" fillId="0" borderId="14" xfId="1" applyNumberFormat="1" applyBorder="1"/>
    <xf numFmtId="0" fontId="28" fillId="0" borderId="14" xfId="0" applyFont="1" applyFill="1" applyBorder="1" applyAlignment="1">
      <alignment horizontal="left" vertical="center"/>
    </xf>
    <xf numFmtId="0" fontId="21" fillId="7" borderId="20" xfId="0" applyFont="1" applyFill="1" applyBorder="1" applyAlignment="1">
      <alignment horizontal="center" vertical="center" wrapText="1"/>
    </xf>
    <xf numFmtId="0" fontId="21" fillId="7" borderId="48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8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15" fillId="5" borderId="14" xfId="0" applyFont="1" applyFill="1" applyBorder="1" applyAlignment="1">
      <alignment horizontal="center" vertical="center"/>
    </xf>
    <xf numFmtId="169" fontId="14" fillId="0" borderId="14" xfId="0" applyNumberFormat="1" applyFont="1" applyBorder="1" applyAlignment="1">
      <alignment horizontal="center"/>
    </xf>
    <xf numFmtId="0" fontId="26" fillId="5" borderId="14" xfId="0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169" fontId="14" fillId="6" borderId="14" xfId="0" applyNumberFormat="1" applyFont="1" applyFill="1" applyBorder="1" applyAlignment="1">
      <alignment horizontal="right" vertical="center"/>
    </xf>
    <xf numFmtId="0" fontId="27" fillId="8" borderId="14" xfId="0" applyFont="1" applyFill="1" applyBorder="1" applyAlignment="1">
      <alignment horizontal="center" vertical="center"/>
    </xf>
    <xf numFmtId="169" fontId="14" fillId="0" borderId="14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 wrapText="1"/>
    </xf>
    <xf numFmtId="0" fontId="24" fillId="9" borderId="14" xfId="0" applyFont="1" applyFill="1" applyBorder="1" applyAlignment="1">
      <alignment vertical="center"/>
    </xf>
    <xf numFmtId="0" fontId="29" fillId="4" borderId="14" xfId="0" applyFont="1" applyFill="1" applyBorder="1" applyAlignment="1">
      <alignment horizontal="center" vertical="center" wrapText="1"/>
    </xf>
    <xf numFmtId="166" fontId="24" fillId="4" borderId="14" xfId="1" applyNumberFormat="1" applyFont="1" applyFill="1" applyBorder="1" applyAlignment="1" applyProtection="1">
      <alignment horizontal="center" vertical="center" wrapText="1"/>
    </xf>
    <xf numFmtId="0" fontId="29" fillId="5" borderId="14" xfId="0" applyFont="1" applyFill="1" applyBorder="1" applyAlignment="1">
      <alignment horizontal="left" vertical="center" wrapText="1"/>
    </xf>
    <xf numFmtId="0" fontId="29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26" fillId="5" borderId="14" xfId="0" applyFont="1" applyFill="1" applyBorder="1" applyAlignment="1">
      <alignment horizontal="left" vertical="center" wrapText="1"/>
    </xf>
    <xf numFmtId="0" fontId="30" fillId="0" borderId="38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2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9"/>
  <sheetViews>
    <sheetView tabSelected="1" topLeftCell="A3" zoomScale="85" zoomScaleNormal="85" workbookViewId="0">
      <selection activeCell="K16" sqref="K16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57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58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4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68</v>
      </c>
      <c r="D10" s="124" t="s">
        <v>131</v>
      </c>
      <c r="E10" s="125" t="s">
        <v>69</v>
      </c>
      <c r="F10" s="126" t="s">
        <v>70</v>
      </c>
      <c r="G10" s="127">
        <v>15</v>
      </c>
      <c r="H10" s="128">
        <v>2900</v>
      </c>
      <c r="I10" s="62">
        <f t="shared" ref="I10:I69" si="0">G10*H10</f>
        <v>43500</v>
      </c>
    </row>
    <row r="11" spans="1:9" ht="31.9" customHeight="1" thickBot="1" x14ac:dyDescent="0.25">
      <c r="A11" s="56">
        <v>2</v>
      </c>
      <c r="B11" s="60"/>
      <c r="C11" s="57" t="s">
        <v>68</v>
      </c>
      <c r="D11" s="124" t="s">
        <v>131</v>
      </c>
      <c r="E11" s="125" t="s">
        <v>71</v>
      </c>
      <c r="F11" s="126" t="s">
        <v>70</v>
      </c>
      <c r="G11" s="129">
        <v>5</v>
      </c>
      <c r="H11" s="128">
        <v>8200</v>
      </c>
      <c r="I11" s="62">
        <f t="shared" si="0"/>
        <v>41000</v>
      </c>
    </row>
    <row r="12" spans="1:9" ht="31.9" customHeight="1" thickBot="1" x14ac:dyDescent="0.25">
      <c r="A12" s="56">
        <v>3</v>
      </c>
      <c r="B12" s="60"/>
      <c r="C12" s="57" t="s">
        <v>72</v>
      </c>
      <c r="D12" s="130" t="s">
        <v>140</v>
      </c>
      <c r="E12" s="131" t="s">
        <v>73</v>
      </c>
      <c r="F12" s="126" t="s">
        <v>74</v>
      </c>
      <c r="G12" s="129">
        <v>100</v>
      </c>
      <c r="H12" s="128">
        <v>135</v>
      </c>
      <c r="I12" s="62">
        <f t="shared" si="0"/>
        <v>13500</v>
      </c>
    </row>
    <row r="13" spans="1:9" ht="31.9" customHeight="1" thickBot="1" x14ac:dyDescent="0.25">
      <c r="A13" s="56">
        <v>4</v>
      </c>
      <c r="B13" s="60"/>
      <c r="C13" s="57" t="s">
        <v>72</v>
      </c>
      <c r="D13" s="130" t="s">
        <v>140</v>
      </c>
      <c r="E13" s="59" t="s">
        <v>75</v>
      </c>
      <c r="F13" s="60" t="s">
        <v>76</v>
      </c>
      <c r="G13" s="60">
        <v>100</v>
      </c>
      <c r="H13" s="61">
        <v>180</v>
      </c>
      <c r="I13" s="62">
        <f t="shared" si="0"/>
        <v>18000</v>
      </c>
    </row>
    <row r="14" spans="1:9" ht="31.9" customHeight="1" thickBot="1" x14ac:dyDescent="0.25">
      <c r="A14" s="56">
        <v>5</v>
      </c>
      <c r="B14" s="60"/>
      <c r="C14" s="57" t="s">
        <v>87</v>
      </c>
      <c r="D14" s="58" t="s">
        <v>88</v>
      </c>
      <c r="E14" s="151" t="s">
        <v>125</v>
      </c>
      <c r="F14" s="126" t="s">
        <v>126</v>
      </c>
      <c r="G14" s="152">
        <v>12000</v>
      </c>
      <c r="H14" s="153">
        <v>13.91</v>
      </c>
      <c r="I14" s="62">
        <f t="shared" si="0"/>
        <v>166920</v>
      </c>
    </row>
    <row r="15" spans="1:9" ht="31.9" customHeight="1" thickBot="1" x14ac:dyDescent="0.25">
      <c r="A15" s="56">
        <v>6</v>
      </c>
      <c r="B15" s="60"/>
      <c r="C15" s="57" t="s">
        <v>87</v>
      </c>
      <c r="D15" s="58" t="s">
        <v>88</v>
      </c>
      <c r="E15" s="169" t="s">
        <v>127</v>
      </c>
      <c r="F15" s="126" t="s">
        <v>89</v>
      </c>
      <c r="G15" s="154">
        <v>6400</v>
      </c>
      <c r="H15" s="153">
        <v>136</v>
      </c>
      <c r="I15" s="62">
        <f t="shared" si="0"/>
        <v>870400</v>
      </c>
    </row>
    <row r="16" spans="1:9" ht="31.9" customHeight="1" thickBot="1" x14ac:dyDescent="0.25">
      <c r="A16" s="56">
        <v>7</v>
      </c>
      <c r="B16" s="60"/>
      <c r="C16" s="57" t="s">
        <v>87</v>
      </c>
      <c r="D16" s="58" t="s">
        <v>88</v>
      </c>
      <c r="E16" s="135" t="s">
        <v>119</v>
      </c>
      <c r="F16" s="136" t="s">
        <v>89</v>
      </c>
      <c r="G16" s="137">
        <v>5</v>
      </c>
      <c r="H16" s="138">
        <v>21000</v>
      </c>
      <c r="I16" s="62">
        <f t="shared" si="0"/>
        <v>105000</v>
      </c>
    </row>
    <row r="17" spans="1:9" ht="31.9" customHeight="1" thickBot="1" x14ac:dyDescent="0.25">
      <c r="A17" s="56">
        <v>8</v>
      </c>
      <c r="B17" s="60"/>
      <c r="C17" s="57" t="s">
        <v>87</v>
      </c>
      <c r="D17" s="58" t="s">
        <v>88</v>
      </c>
      <c r="E17" s="155" t="s">
        <v>128</v>
      </c>
      <c r="F17" s="126" t="s">
        <v>89</v>
      </c>
      <c r="G17" s="152">
        <v>2000</v>
      </c>
      <c r="H17" s="153">
        <v>69</v>
      </c>
      <c r="I17" s="62">
        <f t="shared" si="0"/>
        <v>138000</v>
      </c>
    </row>
    <row r="18" spans="1:9" ht="31.9" customHeight="1" thickBot="1" x14ac:dyDescent="0.25">
      <c r="A18" s="56">
        <v>9</v>
      </c>
      <c r="B18" s="60"/>
      <c r="C18" s="57" t="s">
        <v>87</v>
      </c>
      <c r="D18" s="58" t="s">
        <v>88</v>
      </c>
      <c r="E18" s="135" t="s">
        <v>90</v>
      </c>
      <c r="F18" s="136" t="s">
        <v>89</v>
      </c>
      <c r="G18" s="137">
        <v>3</v>
      </c>
      <c r="H18" s="138">
        <v>16100</v>
      </c>
      <c r="I18" s="62">
        <f t="shared" si="0"/>
        <v>48300</v>
      </c>
    </row>
    <row r="19" spans="1:9" ht="35.25" customHeight="1" thickBot="1" x14ac:dyDescent="0.25">
      <c r="A19" s="56">
        <v>10</v>
      </c>
      <c r="B19" s="60"/>
      <c r="C19" s="57" t="s">
        <v>87</v>
      </c>
      <c r="D19" s="58" t="s">
        <v>88</v>
      </c>
      <c r="E19" s="135" t="s">
        <v>91</v>
      </c>
      <c r="F19" s="136" t="s">
        <v>89</v>
      </c>
      <c r="G19" s="137">
        <v>3</v>
      </c>
      <c r="H19" s="138">
        <v>16100</v>
      </c>
      <c r="I19" s="62">
        <f t="shared" si="0"/>
        <v>48300</v>
      </c>
    </row>
    <row r="20" spans="1:9" ht="38.25" customHeight="1" thickBot="1" x14ac:dyDescent="0.25">
      <c r="A20" s="56">
        <v>11</v>
      </c>
      <c r="B20" s="60"/>
      <c r="C20" s="57" t="s">
        <v>87</v>
      </c>
      <c r="D20" s="58" t="s">
        <v>88</v>
      </c>
      <c r="E20" s="135" t="s">
        <v>92</v>
      </c>
      <c r="F20" s="136" t="s">
        <v>89</v>
      </c>
      <c r="G20" s="137">
        <v>3</v>
      </c>
      <c r="H20" s="138">
        <v>16100</v>
      </c>
      <c r="I20" s="62">
        <f t="shared" si="0"/>
        <v>48300</v>
      </c>
    </row>
    <row r="21" spans="1:9" ht="31.9" customHeight="1" thickBot="1" x14ac:dyDescent="0.25">
      <c r="A21" s="56">
        <v>12</v>
      </c>
      <c r="B21" s="60"/>
      <c r="C21" s="57" t="s">
        <v>87</v>
      </c>
      <c r="D21" s="58" t="s">
        <v>88</v>
      </c>
      <c r="E21" s="135" t="s">
        <v>93</v>
      </c>
      <c r="F21" s="136" t="s">
        <v>89</v>
      </c>
      <c r="G21" s="137">
        <v>2</v>
      </c>
      <c r="H21" s="138">
        <v>4495</v>
      </c>
      <c r="I21" s="62">
        <f t="shared" si="0"/>
        <v>8990</v>
      </c>
    </row>
    <row r="22" spans="1:9" ht="31.9" customHeight="1" thickBot="1" x14ac:dyDescent="0.25">
      <c r="A22" s="56">
        <v>13</v>
      </c>
      <c r="B22" s="60"/>
      <c r="C22" s="57" t="s">
        <v>87</v>
      </c>
      <c r="D22" s="58" t="s">
        <v>88</v>
      </c>
      <c r="E22" s="135" t="s">
        <v>94</v>
      </c>
      <c r="F22" s="136" t="s">
        <v>89</v>
      </c>
      <c r="G22" s="137">
        <v>2</v>
      </c>
      <c r="H22" s="138">
        <v>4495</v>
      </c>
      <c r="I22" s="62">
        <f t="shared" si="0"/>
        <v>8990</v>
      </c>
    </row>
    <row r="23" spans="1:9" ht="31.9" customHeight="1" thickBot="1" x14ac:dyDescent="0.25">
      <c r="A23" s="56">
        <v>14</v>
      </c>
      <c r="B23" s="60"/>
      <c r="C23" s="57" t="s">
        <v>87</v>
      </c>
      <c r="D23" s="58" t="s">
        <v>88</v>
      </c>
      <c r="E23" s="135" t="s">
        <v>95</v>
      </c>
      <c r="F23" s="136" t="s">
        <v>89</v>
      </c>
      <c r="G23" s="137">
        <v>2</v>
      </c>
      <c r="H23" s="138">
        <v>4495</v>
      </c>
      <c r="I23" s="62">
        <f t="shared" si="0"/>
        <v>8990</v>
      </c>
    </row>
    <row r="24" spans="1:9" ht="31.9" customHeight="1" thickBot="1" x14ac:dyDescent="0.25">
      <c r="A24" s="56">
        <v>15</v>
      </c>
      <c r="B24" s="60"/>
      <c r="C24" s="57" t="s">
        <v>87</v>
      </c>
      <c r="D24" s="162" t="s">
        <v>88</v>
      </c>
      <c r="E24" s="163" t="s">
        <v>141</v>
      </c>
      <c r="F24" s="164" t="s">
        <v>138</v>
      </c>
      <c r="G24" s="164">
        <v>2</v>
      </c>
      <c r="H24" s="165">
        <v>169</v>
      </c>
      <c r="I24" s="62">
        <f t="shared" si="0"/>
        <v>338</v>
      </c>
    </row>
    <row r="25" spans="1:9" ht="31.9" customHeight="1" thickBot="1" x14ac:dyDescent="0.25">
      <c r="A25" s="56">
        <v>16</v>
      </c>
      <c r="B25" s="60"/>
      <c r="C25" s="57" t="s">
        <v>87</v>
      </c>
      <c r="D25" s="162" t="s">
        <v>88</v>
      </c>
      <c r="E25" s="163" t="s">
        <v>142</v>
      </c>
      <c r="F25" s="164" t="s">
        <v>138</v>
      </c>
      <c r="G25" s="164">
        <v>2</v>
      </c>
      <c r="H25" s="165">
        <v>581.23</v>
      </c>
      <c r="I25" s="62">
        <f t="shared" si="0"/>
        <v>1162.46</v>
      </c>
    </row>
    <row r="26" spans="1:9" ht="31.9" customHeight="1" thickBot="1" x14ac:dyDescent="0.25">
      <c r="A26" s="56">
        <v>17</v>
      </c>
      <c r="B26" s="60"/>
      <c r="C26" s="57" t="s">
        <v>87</v>
      </c>
      <c r="D26" s="162" t="s">
        <v>88</v>
      </c>
      <c r="E26" s="163" t="s">
        <v>143</v>
      </c>
      <c r="F26" s="164" t="s">
        <v>138</v>
      </c>
      <c r="G26" s="164">
        <v>2</v>
      </c>
      <c r="H26" s="165">
        <v>249.44</v>
      </c>
      <c r="I26" s="62">
        <f t="shared" si="0"/>
        <v>498.88</v>
      </c>
    </row>
    <row r="27" spans="1:9" ht="31.9" customHeight="1" thickBot="1" x14ac:dyDescent="0.25">
      <c r="A27" s="56">
        <v>18</v>
      </c>
      <c r="B27" s="60"/>
      <c r="C27" s="57" t="s">
        <v>87</v>
      </c>
      <c r="D27" s="58" t="s">
        <v>88</v>
      </c>
      <c r="E27" s="135" t="s">
        <v>96</v>
      </c>
      <c r="F27" s="136" t="s">
        <v>89</v>
      </c>
      <c r="G27" s="137">
        <v>60</v>
      </c>
      <c r="H27" s="138">
        <v>396</v>
      </c>
      <c r="I27" s="62">
        <f t="shared" si="0"/>
        <v>23760</v>
      </c>
    </row>
    <row r="28" spans="1:9" ht="31.9" customHeight="1" thickBot="1" x14ac:dyDescent="0.25">
      <c r="A28" s="56">
        <v>19</v>
      </c>
      <c r="B28" s="60"/>
      <c r="C28" s="57" t="s">
        <v>87</v>
      </c>
      <c r="D28" s="58" t="s">
        <v>88</v>
      </c>
      <c r="E28" s="135" t="s">
        <v>97</v>
      </c>
      <c r="F28" s="136" t="s">
        <v>89</v>
      </c>
      <c r="G28" s="137">
        <v>60</v>
      </c>
      <c r="H28" s="138">
        <v>396</v>
      </c>
      <c r="I28" s="62">
        <f t="shared" si="0"/>
        <v>23760</v>
      </c>
    </row>
    <row r="29" spans="1:9" ht="31.9" customHeight="1" thickBot="1" x14ac:dyDescent="0.25">
      <c r="A29" s="56">
        <v>20</v>
      </c>
      <c r="B29" s="60"/>
      <c r="C29" s="57" t="s">
        <v>72</v>
      </c>
      <c r="D29" s="130" t="s">
        <v>140</v>
      </c>
      <c r="E29" s="131" t="s">
        <v>77</v>
      </c>
      <c r="F29" s="126" t="s">
        <v>78</v>
      </c>
      <c r="G29" s="132">
        <v>48</v>
      </c>
      <c r="H29" s="128">
        <v>630</v>
      </c>
      <c r="I29" s="62">
        <f t="shared" si="0"/>
        <v>30240</v>
      </c>
    </row>
    <row r="30" spans="1:9" ht="31.9" customHeight="1" thickBot="1" x14ac:dyDescent="0.25">
      <c r="A30" s="56">
        <v>21</v>
      </c>
      <c r="B30" s="60"/>
      <c r="C30" s="57" t="s">
        <v>72</v>
      </c>
      <c r="D30" s="130" t="s">
        <v>140</v>
      </c>
      <c r="E30" s="131" t="s">
        <v>79</v>
      </c>
      <c r="F30" s="126" t="s">
        <v>70</v>
      </c>
      <c r="G30" s="132">
        <v>15</v>
      </c>
      <c r="H30" s="128">
        <v>3900</v>
      </c>
      <c r="I30" s="62">
        <f t="shared" si="0"/>
        <v>58500</v>
      </c>
    </row>
    <row r="31" spans="1:9" ht="31.9" customHeight="1" thickBot="1" x14ac:dyDescent="0.25">
      <c r="A31" s="56">
        <v>22</v>
      </c>
      <c r="B31" s="60"/>
      <c r="C31" s="57" t="s">
        <v>87</v>
      </c>
      <c r="D31" s="58" t="s">
        <v>88</v>
      </c>
      <c r="E31" s="151" t="s">
        <v>129</v>
      </c>
      <c r="F31" s="156" t="s">
        <v>89</v>
      </c>
      <c r="G31" s="157">
        <v>6000</v>
      </c>
      <c r="H31" s="158">
        <v>6.1</v>
      </c>
      <c r="I31" s="62">
        <f t="shared" si="0"/>
        <v>36600</v>
      </c>
    </row>
    <row r="32" spans="1:9" ht="45.75" customHeight="1" thickBot="1" x14ac:dyDescent="0.25">
      <c r="A32" s="56">
        <v>23</v>
      </c>
      <c r="B32" s="60"/>
      <c r="C32" s="57" t="s">
        <v>130</v>
      </c>
      <c r="D32" s="58" t="s">
        <v>131</v>
      </c>
      <c r="E32" s="133" t="s">
        <v>132</v>
      </c>
      <c r="F32" s="156" t="s">
        <v>70</v>
      </c>
      <c r="G32" s="159">
        <v>10</v>
      </c>
      <c r="H32" s="158">
        <v>4222</v>
      </c>
      <c r="I32" s="62">
        <f t="shared" si="0"/>
        <v>42220</v>
      </c>
    </row>
    <row r="33" spans="1:9" ht="31.9" customHeight="1" thickBot="1" x14ac:dyDescent="0.25">
      <c r="A33" s="56">
        <v>24</v>
      </c>
      <c r="B33" s="60"/>
      <c r="C33" s="57" t="s">
        <v>87</v>
      </c>
      <c r="D33" s="58" t="s">
        <v>88</v>
      </c>
      <c r="E33" s="135" t="s">
        <v>98</v>
      </c>
      <c r="F33" s="136" t="s">
        <v>89</v>
      </c>
      <c r="G33" s="137">
        <v>300</v>
      </c>
      <c r="H33" s="138">
        <v>1100</v>
      </c>
      <c r="I33" s="62">
        <f t="shared" si="0"/>
        <v>330000</v>
      </c>
    </row>
    <row r="34" spans="1:9" ht="40.5" customHeight="1" thickBot="1" x14ac:dyDescent="0.25">
      <c r="A34" s="56">
        <v>25</v>
      </c>
      <c r="B34" s="60"/>
      <c r="C34" s="57" t="s">
        <v>87</v>
      </c>
      <c r="D34" s="162" t="s">
        <v>88</v>
      </c>
      <c r="E34" s="59" t="s">
        <v>144</v>
      </c>
      <c r="F34" s="164" t="s">
        <v>138</v>
      </c>
      <c r="G34" s="164">
        <v>1</v>
      </c>
      <c r="H34" s="165">
        <v>23410</v>
      </c>
      <c r="I34" s="62">
        <f t="shared" si="0"/>
        <v>23410</v>
      </c>
    </row>
    <row r="35" spans="1:9" ht="31.9" customHeight="1" thickBot="1" x14ac:dyDescent="0.25">
      <c r="A35" s="56">
        <v>26</v>
      </c>
      <c r="B35" s="60"/>
      <c r="C35" s="57" t="s">
        <v>87</v>
      </c>
      <c r="D35" s="58" t="s">
        <v>88</v>
      </c>
      <c r="E35" s="155" t="s">
        <v>133</v>
      </c>
      <c r="F35" s="156" t="s">
        <v>89</v>
      </c>
      <c r="G35" s="157">
        <v>1000</v>
      </c>
      <c r="H35" s="158">
        <v>368</v>
      </c>
      <c r="I35" s="62">
        <f t="shared" si="0"/>
        <v>368000</v>
      </c>
    </row>
    <row r="36" spans="1:9" ht="31.9" customHeight="1" thickBot="1" x14ac:dyDescent="0.25">
      <c r="A36" s="56">
        <v>27</v>
      </c>
      <c r="B36" s="60"/>
      <c r="C36" s="57" t="s">
        <v>87</v>
      </c>
      <c r="D36" s="58" t="s">
        <v>88</v>
      </c>
      <c r="E36" s="155" t="s">
        <v>134</v>
      </c>
      <c r="F36" s="156" t="s">
        <v>89</v>
      </c>
      <c r="G36" s="157">
        <v>500</v>
      </c>
      <c r="H36" s="158">
        <v>238</v>
      </c>
      <c r="I36" s="62">
        <f t="shared" si="0"/>
        <v>119000</v>
      </c>
    </row>
    <row r="37" spans="1:9" ht="31.9" customHeight="1" thickBot="1" x14ac:dyDescent="0.25">
      <c r="A37" s="56">
        <v>28</v>
      </c>
      <c r="B37" s="60"/>
      <c r="C37" s="57" t="s">
        <v>87</v>
      </c>
      <c r="D37" s="58" t="s">
        <v>88</v>
      </c>
      <c r="E37" s="135" t="s">
        <v>99</v>
      </c>
      <c r="F37" s="136" t="s">
        <v>89</v>
      </c>
      <c r="G37" s="137">
        <v>300</v>
      </c>
      <c r="H37" s="138">
        <v>1820</v>
      </c>
      <c r="I37" s="62">
        <f t="shared" si="0"/>
        <v>546000</v>
      </c>
    </row>
    <row r="38" spans="1:9" ht="31.9" customHeight="1" thickBot="1" x14ac:dyDescent="0.25">
      <c r="A38" s="56">
        <v>29</v>
      </c>
      <c r="B38" s="60"/>
      <c r="C38" s="57" t="s">
        <v>87</v>
      </c>
      <c r="D38" s="58" t="s">
        <v>88</v>
      </c>
      <c r="E38" s="135" t="s">
        <v>100</v>
      </c>
      <c r="F38" s="136" t="s">
        <v>89</v>
      </c>
      <c r="G38" s="137">
        <v>100</v>
      </c>
      <c r="H38" s="138">
        <v>1820</v>
      </c>
      <c r="I38" s="62">
        <f t="shared" si="0"/>
        <v>182000</v>
      </c>
    </row>
    <row r="39" spans="1:9" ht="31.9" customHeight="1" thickBot="1" x14ac:dyDescent="0.25">
      <c r="A39" s="56">
        <v>30</v>
      </c>
      <c r="B39" s="60"/>
      <c r="C39" s="57" t="s">
        <v>68</v>
      </c>
      <c r="D39" s="124" t="s">
        <v>131</v>
      </c>
      <c r="E39" s="133" t="s">
        <v>80</v>
      </c>
      <c r="F39" s="126" t="s">
        <v>74</v>
      </c>
      <c r="G39" s="129">
        <v>20</v>
      </c>
      <c r="H39" s="128">
        <v>527</v>
      </c>
      <c r="I39" s="62">
        <f t="shared" si="0"/>
        <v>10540</v>
      </c>
    </row>
    <row r="40" spans="1:9" ht="31.9" customHeight="1" thickBot="1" x14ac:dyDescent="0.25">
      <c r="A40" s="56">
        <v>31</v>
      </c>
      <c r="B40" s="60"/>
      <c r="C40" s="57" t="s">
        <v>87</v>
      </c>
      <c r="D40" s="58" t="s">
        <v>88</v>
      </c>
      <c r="E40" s="135" t="s">
        <v>101</v>
      </c>
      <c r="F40" s="136" t="s">
        <v>89</v>
      </c>
      <c r="G40" s="137">
        <v>30</v>
      </c>
      <c r="H40" s="138">
        <v>850</v>
      </c>
      <c r="I40" s="62">
        <f t="shared" si="0"/>
        <v>25500</v>
      </c>
    </row>
    <row r="41" spans="1:9" ht="31.9" customHeight="1" thickBot="1" x14ac:dyDescent="0.25">
      <c r="A41" s="56">
        <v>32</v>
      </c>
      <c r="B41" s="60"/>
      <c r="C41" s="57" t="s">
        <v>87</v>
      </c>
      <c r="D41" s="58" t="s">
        <v>88</v>
      </c>
      <c r="E41" s="135" t="s">
        <v>102</v>
      </c>
      <c r="F41" s="136" t="s">
        <v>89</v>
      </c>
      <c r="G41" s="137">
        <v>30</v>
      </c>
      <c r="H41" s="138">
        <v>210</v>
      </c>
      <c r="I41" s="62">
        <f t="shared" si="0"/>
        <v>6300</v>
      </c>
    </row>
    <row r="42" spans="1:9" ht="31.9" customHeight="1" thickBot="1" x14ac:dyDescent="0.25">
      <c r="A42" s="56">
        <v>33</v>
      </c>
      <c r="B42" s="60"/>
      <c r="C42" s="57" t="s">
        <v>68</v>
      </c>
      <c r="D42" s="124" t="s">
        <v>131</v>
      </c>
      <c r="E42" s="59" t="s">
        <v>81</v>
      </c>
      <c r="F42" s="60" t="s">
        <v>70</v>
      </c>
      <c r="G42" s="60">
        <v>150</v>
      </c>
      <c r="H42" s="61">
        <v>1120</v>
      </c>
      <c r="I42" s="62">
        <f t="shared" si="0"/>
        <v>168000</v>
      </c>
    </row>
    <row r="43" spans="1:9" ht="31.9" customHeight="1" thickBot="1" x14ac:dyDescent="0.25">
      <c r="A43" s="56">
        <v>34</v>
      </c>
      <c r="B43" s="60"/>
      <c r="C43" s="57" t="s">
        <v>87</v>
      </c>
      <c r="D43" s="58" t="s">
        <v>88</v>
      </c>
      <c r="E43" s="135" t="s">
        <v>103</v>
      </c>
      <c r="F43" s="136" t="s">
        <v>89</v>
      </c>
      <c r="G43" s="137">
        <v>2400</v>
      </c>
      <c r="H43" s="138">
        <v>215</v>
      </c>
      <c r="I43" s="62">
        <f t="shared" si="0"/>
        <v>516000</v>
      </c>
    </row>
    <row r="44" spans="1:9" ht="31.9" customHeight="1" thickBot="1" x14ac:dyDescent="0.25">
      <c r="A44" s="56">
        <v>35</v>
      </c>
      <c r="B44" s="60"/>
      <c r="C44" s="57" t="s">
        <v>87</v>
      </c>
      <c r="D44" s="58" t="s">
        <v>88</v>
      </c>
      <c r="E44" s="135" t="s">
        <v>104</v>
      </c>
      <c r="F44" s="136" t="s">
        <v>89</v>
      </c>
      <c r="G44" s="137">
        <v>2400</v>
      </c>
      <c r="H44" s="138">
        <v>215</v>
      </c>
      <c r="I44" s="62">
        <f t="shared" si="0"/>
        <v>516000</v>
      </c>
    </row>
    <row r="45" spans="1:9" ht="36.75" customHeight="1" thickBot="1" x14ac:dyDescent="0.25">
      <c r="A45" s="56">
        <v>36</v>
      </c>
      <c r="B45" s="60"/>
      <c r="C45" s="166" t="s">
        <v>130</v>
      </c>
      <c r="D45" s="167" t="s">
        <v>131</v>
      </c>
      <c r="E45" s="168" t="s">
        <v>145</v>
      </c>
      <c r="F45" s="164" t="s">
        <v>152</v>
      </c>
      <c r="G45" s="164">
        <v>8</v>
      </c>
      <c r="H45" s="165">
        <v>2130</v>
      </c>
      <c r="I45" s="62">
        <f t="shared" si="0"/>
        <v>17040</v>
      </c>
    </row>
    <row r="46" spans="1:9" ht="31.9" customHeight="1" thickBot="1" x14ac:dyDescent="0.25">
      <c r="A46" s="56">
        <v>37</v>
      </c>
      <c r="B46" s="60"/>
      <c r="C46" s="57" t="s">
        <v>72</v>
      </c>
      <c r="D46" s="130" t="s">
        <v>140</v>
      </c>
      <c r="E46" s="131" t="s">
        <v>82</v>
      </c>
      <c r="F46" s="126" t="s">
        <v>74</v>
      </c>
      <c r="G46" s="129">
        <v>50</v>
      </c>
      <c r="H46" s="128">
        <v>420</v>
      </c>
      <c r="I46" s="62">
        <f t="shared" si="0"/>
        <v>21000</v>
      </c>
    </row>
    <row r="47" spans="1:9" ht="31.9" customHeight="1" thickBot="1" x14ac:dyDescent="0.25">
      <c r="A47" s="56">
        <v>38</v>
      </c>
      <c r="B47" s="60"/>
      <c r="C47" s="57" t="s">
        <v>72</v>
      </c>
      <c r="D47" s="130" t="s">
        <v>140</v>
      </c>
      <c r="E47" s="59" t="s">
        <v>83</v>
      </c>
      <c r="F47" s="60" t="s">
        <v>84</v>
      </c>
      <c r="G47" s="60">
        <v>60</v>
      </c>
      <c r="H47" s="61">
        <v>1089</v>
      </c>
      <c r="I47" s="62">
        <f t="shared" si="0"/>
        <v>65340</v>
      </c>
    </row>
    <row r="48" spans="1:9" ht="31.9" customHeight="1" thickBot="1" x14ac:dyDescent="0.25">
      <c r="A48" s="56">
        <v>39</v>
      </c>
      <c r="B48" s="60"/>
      <c r="C48" s="57" t="s">
        <v>87</v>
      </c>
      <c r="D48" s="58" t="s">
        <v>88</v>
      </c>
      <c r="E48" s="135" t="s">
        <v>105</v>
      </c>
      <c r="F48" s="136" t="s">
        <v>89</v>
      </c>
      <c r="G48" s="137">
        <v>750</v>
      </c>
      <c r="H48" s="138">
        <v>1500</v>
      </c>
      <c r="I48" s="62">
        <f t="shared" si="0"/>
        <v>1125000</v>
      </c>
    </row>
    <row r="49" spans="1:9" ht="31.9" customHeight="1" thickBot="1" x14ac:dyDescent="0.25">
      <c r="A49" s="56">
        <v>40</v>
      </c>
      <c r="B49" s="60"/>
      <c r="C49" s="57" t="s">
        <v>87</v>
      </c>
      <c r="D49" s="58" t="s">
        <v>88</v>
      </c>
      <c r="E49" s="135" t="s">
        <v>106</v>
      </c>
      <c r="F49" s="136" t="s">
        <v>89</v>
      </c>
      <c r="G49" s="137">
        <v>360</v>
      </c>
      <c r="H49" s="138">
        <v>1500</v>
      </c>
      <c r="I49" s="62">
        <f t="shared" si="0"/>
        <v>540000</v>
      </c>
    </row>
    <row r="50" spans="1:9" ht="52.5" customHeight="1" thickBot="1" x14ac:dyDescent="0.25">
      <c r="A50" s="56">
        <v>41</v>
      </c>
      <c r="B50" s="60"/>
      <c r="C50" s="57" t="s">
        <v>130</v>
      </c>
      <c r="D50" s="58" t="s">
        <v>131</v>
      </c>
      <c r="E50" s="133" t="s">
        <v>135</v>
      </c>
      <c r="F50" s="156" t="s">
        <v>136</v>
      </c>
      <c r="G50" s="159">
        <v>3000</v>
      </c>
      <c r="H50" s="128">
        <v>181.5</v>
      </c>
      <c r="I50" s="62">
        <f t="shared" si="0"/>
        <v>544500</v>
      </c>
    </row>
    <row r="51" spans="1:9" ht="47.25" customHeight="1" thickBot="1" x14ac:dyDescent="0.25">
      <c r="A51" s="56">
        <v>42</v>
      </c>
      <c r="B51" s="60"/>
      <c r="C51" s="57" t="s">
        <v>72</v>
      </c>
      <c r="D51" s="130" t="s">
        <v>140</v>
      </c>
      <c r="E51" s="59" t="s">
        <v>85</v>
      </c>
      <c r="F51" s="60" t="s">
        <v>84</v>
      </c>
      <c r="G51" s="60">
        <v>60</v>
      </c>
      <c r="H51" s="61">
        <v>1161</v>
      </c>
      <c r="I51" s="62">
        <f t="shared" si="0"/>
        <v>69660</v>
      </c>
    </row>
    <row r="52" spans="1:9" ht="42.75" customHeight="1" thickBot="1" x14ac:dyDescent="0.25">
      <c r="A52" s="56">
        <v>43</v>
      </c>
      <c r="B52" s="60"/>
      <c r="C52" s="57" t="s">
        <v>87</v>
      </c>
      <c r="D52" s="162" t="s">
        <v>88</v>
      </c>
      <c r="E52" s="59" t="s">
        <v>146</v>
      </c>
      <c r="F52" s="164" t="s">
        <v>138</v>
      </c>
      <c r="G52" s="164">
        <v>2</v>
      </c>
      <c r="H52" s="165">
        <v>8000</v>
      </c>
      <c r="I52" s="62">
        <f t="shared" si="0"/>
        <v>16000</v>
      </c>
    </row>
    <row r="53" spans="1:9" ht="39.75" customHeight="1" thickBot="1" x14ac:dyDescent="0.25">
      <c r="A53" s="56">
        <v>44</v>
      </c>
      <c r="B53" s="60"/>
      <c r="C53" s="57" t="s">
        <v>87</v>
      </c>
      <c r="D53" s="58" t="s">
        <v>88</v>
      </c>
      <c r="E53" s="59" t="s">
        <v>137</v>
      </c>
      <c r="F53" s="60" t="s">
        <v>138</v>
      </c>
      <c r="G53" s="60">
        <v>50</v>
      </c>
      <c r="H53" s="61">
        <v>1275</v>
      </c>
      <c r="I53" s="62">
        <f t="shared" si="0"/>
        <v>63750</v>
      </c>
    </row>
    <row r="54" spans="1:9" ht="31.9" customHeight="1" thickBot="1" x14ac:dyDescent="0.25">
      <c r="A54" s="56">
        <v>45</v>
      </c>
      <c r="B54" s="60"/>
      <c r="C54" s="57" t="s">
        <v>72</v>
      </c>
      <c r="D54" s="130" t="s">
        <v>140</v>
      </c>
      <c r="E54" s="131" t="s">
        <v>86</v>
      </c>
      <c r="F54" s="126" t="s">
        <v>74</v>
      </c>
      <c r="G54" s="134">
        <v>100</v>
      </c>
      <c r="H54" s="128">
        <v>1200</v>
      </c>
      <c r="I54" s="62">
        <f t="shared" si="0"/>
        <v>120000</v>
      </c>
    </row>
    <row r="55" spans="1:9" ht="31.9" customHeight="1" thickBot="1" x14ac:dyDescent="0.25">
      <c r="A55" s="56">
        <v>46</v>
      </c>
      <c r="B55" s="60"/>
      <c r="C55" s="161" t="s">
        <v>147</v>
      </c>
      <c r="D55" s="162" t="s">
        <v>148</v>
      </c>
      <c r="E55" s="59" t="s">
        <v>149</v>
      </c>
      <c r="F55" s="164" t="s">
        <v>150</v>
      </c>
      <c r="G55" s="164">
        <v>40</v>
      </c>
      <c r="H55" s="165">
        <v>1940</v>
      </c>
      <c r="I55" s="62">
        <f t="shared" si="0"/>
        <v>77600</v>
      </c>
    </row>
    <row r="56" spans="1:9" ht="31.9" customHeight="1" thickBot="1" x14ac:dyDescent="0.25">
      <c r="A56" s="56">
        <v>47</v>
      </c>
      <c r="B56" s="60"/>
      <c r="C56" s="161" t="s">
        <v>147</v>
      </c>
      <c r="D56" s="162" t="s">
        <v>148</v>
      </c>
      <c r="E56" s="59" t="s">
        <v>151</v>
      </c>
      <c r="F56" s="164" t="s">
        <v>150</v>
      </c>
      <c r="G56" s="164">
        <v>30</v>
      </c>
      <c r="H56" s="165">
        <v>2100</v>
      </c>
      <c r="I56" s="62">
        <f t="shared" si="0"/>
        <v>63000</v>
      </c>
    </row>
    <row r="57" spans="1:9" ht="31.9" customHeight="1" thickBot="1" x14ac:dyDescent="0.25">
      <c r="A57" s="56">
        <v>48</v>
      </c>
      <c r="B57" s="60"/>
      <c r="C57" s="57" t="s">
        <v>87</v>
      </c>
      <c r="D57" s="58" t="s">
        <v>88</v>
      </c>
      <c r="E57" s="135" t="s">
        <v>107</v>
      </c>
      <c r="F57" s="136" t="s">
        <v>89</v>
      </c>
      <c r="G57" s="137">
        <v>3</v>
      </c>
      <c r="H57" s="138">
        <v>112000</v>
      </c>
      <c r="I57" s="62">
        <f t="shared" si="0"/>
        <v>336000</v>
      </c>
    </row>
    <row r="58" spans="1:9" ht="31.9" customHeight="1" thickBot="1" x14ac:dyDescent="0.25">
      <c r="A58" s="56">
        <v>49</v>
      </c>
      <c r="B58" s="60"/>
      <c r="C58" s="57" t="s">
        <v>87</v>
      </c>
      <c r="D58" s="58" t="s">
        <v>88</v>
      </c>
      <c r="E58" s="135" t="s">
        <v>108</v>
      </c>
      <c r="F58" s="136" t="s">
        <v>89</v>
      </c>
      <c r="G58" s="137">
        <v>10</v>
      </c>
      <c r="H58" s="138">
        <v>1950</v>
      </c>
      <c r="I58" s="62">
        <f t="shared" si="0"/>
        <v>19500</v>
      </c>
    </row>
    <row r="59" spans="1:9" ht="38.25" customHeight="1" thickBot="1" x14ac:dyDescent="0.25">
      <c r="A59" s="56">
        <v>50</v>
      </c>
      <c r="B59" s="60"/>
      <c r="C59" s="57" t="s">
        <v>87</v>
      </c>
      <c r="D59" s="58" t="s">
        <v>88</v>
      </c>
      <c r="E59" s="135" t="s">
        <v>109</v>
      </c>
      <c r="F59" s="136" t="s">
        <v>89</v>
      </c>
      <c r="G59" s="137">
        <v>10</v>
      </c>
      <c r="H59" s="138">
        <v>1950</v>
      </c>
      <c r="I59" s="62">
        <f t="shared" si="0"/>
        <v>19500</v>
      </c>
    </row>
    <row r="60" spans="1:9" ht="31.9" customHeight="1" thickBot="1" x14ac:dyDescent="0.25">
      <c r="A60" s="56">
        <v>51</v>
      </c>
      <c r="B60" s="60"/>
      <c r="C60" s="57" t="s">
        <v>87</v>
      </c>
      <c r="D60" s="58" t="s">
        <v>88</v>
      </c>
      <c r="E60" s="139" t="s">
        <v>110</v>
      </c>
      <c r="F60" s="136" t="s">
        <v>89</v>
      </c>
      <c r="G60" s="137">
        <v>10</v>
      </c>
      <c r="H60" s="138">
        <v>1950</v>
      </c>
      <c r="I60" s="62">
        <f t="shared" si="0"/>
        <v>19500</v>
      </c>
    </row>
    <row r="61" spans="1:9" ht="31.9" customHeight="1" thickBot="1" x14ac:dyDescent="0.25">
      <c r="A61" s="56">
        <v>52</v>
      </c>
      <c r="B61" s="60"/>
      <c r="C61" s="57" t="s">
        <v>87</v>
      </c>
      <c r="D61" s="58" t="s">
        <v>88</v>
      </c>
      <c r="E61" s="135" t="s">
        <v>111</v>
      </c>
      <c r="F61" s="136" t="s">
        <v>89</v>
      </c>
      <c r="G61" s="137">
        <v>50</v>
      </c>
      <c r="H61" s="138">
        <v>2862</v>
      </c>
      <c r="I61" s="62">
        <f t="shared" si="0"/>
        <v>143100</v>
      </c>
    </row>
    <row r="62" spans="1:9" ht="31.9" customHeight="1" thickBot="1" x14ac:dyDescent="0.25">
      <c r="A62" s="56">
        <v>53</v>
      </c>
      <c r="B62" s="60"/>
      <c r="C62" s="57" t="s">
        <v>87</v>
      </c>
      <c r="D62" s="58" t="s">
        <v>88</v>
      </c>
      <c r="E62" s="59" t="s">
        <v>112</v>
      </c>
      <c r="F62" s="60" t="s">
        <v>89</v>
      </c>
      <c r="G62" s="60">
        <v>50</v>
      </c>
      <c r="H62" s="61">
        <v>4500</v>
      </c>
      <c r="I62" s="62">
        <f t="shared" si="0"/>
        <v>225000</v>
      </c>
    </row>
    <row r="63" spans="1:9" ht="31.9" customHeight="1" thickBot="1" x14ac:dyDescent="0.25">
      <c r="A63" s="56">
        <v>54</v>
      </c>
      <c r="B63" s="60"/>
      <c r="C63" s="57" t="s">
        <v>87</v>
      </c>
      <c r="D63" s="58" t="s">
        <v>88</v>
      </c>
      <c r="E63" s="135" t="s">
        <v>113</v>
      </c>
      <c r="F63" s="136" t="s">
        <v>89</v>
      </c>
      <c r="G63" s="137">
        <v>48</v>
      </c>
      <c r="H63" s="138">
        <v>1150</v>
      </c>
      <c r="I63" s="62">
        <f t="shared" si="0"/>
        <v>55200</v>
      </c>
    </row>
    <row r="64" spans="1:9" ht="31.9" customHeight="1" thickBot="1" x14ac:dyDescent="0.25">
      <c r="A64" s="56">
        <v>55</v>
      </c>
      <c r="B64" s="60"/>
      <c r="C64" s="57" t="s">
        <v>87</v>
      </c>
      <c r="D64" s="58" t="s">
        <v>88</v>
      </c>
      <c r="E64" s="135" t="s">
        <v>114</v>
      </c>
      <c r="F64" s="136" t="s">
        <v>89</v>
      </c>
      <c r="G64" s="137">
        <v>2</v>
      </c>
      <c r="H64" s="138">
        <v>5800</v>
      </c>
      <c r="I64" s="62">
        <f t="shared" si="0"/>
        <v>11600</v>
      </c>
    </row>
    <row r="65" spans="1:9" ht="36.75" customHeight="1" thickBot="1" x14ac:dyDescent="0.25">
      <c r="A65" s="56">
        <v>56</v>
      </c>
      <c r="B65" s="60"/>
      <c r="C65" s="57" t="s">
        <v>87</v>
      </c>
      <c r="D65" s="58" t="s">
        <v>88</v>
      </c>
      <c r="E65" s="135" t="s">
        <v>115</v>
      </c>
      <c r="F65" s="136" t="s">
        <v>89</v>
      </c>
      <c r="G65" s="137">
        <v>2</v>
      </c>
      <c r="H65" s="138">
        <v>5800</v>
      </c>
      <c r="I65" s="62">
        <f t="shared" si="0"/>
        <v>11600</v>
      </c>
    </row>
    <row r="66" spans="1:9" ht="41.25" customHeight="1" thickBot="1" x14ac:dyDescent="0.25">
      <c r="A66" s="56">
        <v>57</v>
      </c>
      <c r="B66" s="60"/>
      <c r="C66" s="57" t="s">
        <v>87</v>
      </c>
      <c r="D66" s="58" t="s">
        <v>88</v>
      </c>
      <c r="E66" s="135" t="s">
        <v>116</v>
      </c>
      <c r="F66" s="136" t="s">
        <v>89</v>
      </c>
      <c r="G66" s="137">
        <v>2</v>
      </c>
      <c r="H66" s="138">
        <v>5800</v>
      </c>
      <c r="I66" s="62">
        <f t="shared" si="0"/>
        <v>11600</v>
      </c>
    </row>
    <row r="67" spans="1:9" ht="39.75" customHeight="1" thickBot="1" x14ac:dyDescent="0.25">
      <c r="A67" s="56">
        <v>58</v>
      </c>
      <c r="B67" s="60"/>
      <c r="C67" s="57" t="s">
        <v>87</v>
      </c>
      <c r="D67" s="58" t="s">
        <v>88</v>
      </c>
      <c r="E67" s="135" t="s">
        <v>117</v>
      </c>
      <c r="F67" s="136" t="s">
        <v>89</v>
      </c>
      <c r="G67" s="137">
        <v>2</v>
      </c>
      <c r="H67" s="138">
        <v>5800</v>
      </c>
      <c r="I67" s="62">
        <f t="shared" si="0"/>
        <v>11600</v>
      </c>
    </row>
    <row r="68" spans="1:9" ht="35.25" customHeight="1" thickBot="1" x14ac:dyDescent="0.25">
      <c r="A68" s="56">
        <v>59</v>
      </c>
      <c r="B68" s="60"/>
      <c r="C68" s="57" t="s">
        <v>87</v>
      </c>
      <c r="D68" s="58" t="s">
        <v>88</v>
      </c>
      <c r="E68" s="155" t="s">
        <v>139</v>
      </c>
      <c r="F68" s="156" t="s">
        <v>89</v>
      </c>
      <c r="G68" s="134">
        <v>300</v>
      </c>
      <c r="H68" s="160">
        <v>70</v>
      </c>
      <c r="I68" s="62">
        <f t="shared" si="0"/>
        <v>21000</v>
      </c>
    </row>
    <row r="69" spans="1:9" ht="31.9" customHeight="1" thickBot="1" x14ac:dyDescent="0.25">
      <c r="A69" s="56">
        <v>60</v>
      </c>
      <c r="B69" s="60"/>
      <c r="C69" s="57" t="s">
        <v>87</v>
      </c>
      <c r="D69" s="58" t="s">
        <v>88</v>
      </c>
      <c r="E69" s="135" t="s">
        <v>118</v>
      </c>
      <c r="F69" s="136" t="s">
        <v>89</v>
      </c>
      <c r="G69" s="137">
        <v>4</v>
      </c>
      <c r="H69" s="138">
        <v>2980</v>
      </c>
      <c r="I69" s="62">
        <f t="shared" si="0"/>
        <v>11920</v>
      </c>
    </row>
    <row r="70" spans="1:9" ht="13.5" thickBot="1" x14ac:dyDescent="0.25"/>
    <row r="71" spans="1:9" ht="73.5" customHeight="1" thickBot="1" x14ac:dyDescent="0.25">
      <c r="C71" s="140" t="s">
        <v>120</v>
      </c>
      <c r="D71" s="141"/>
      <c r="E71" s="142"/>
    </row>
    <row r="72" spans="1:9" ht="23.25" customHeight="1" thickBot="1" x14ac:dyDescent="0.25">
      <c r="C72" s="143" t="s">
        <v>121</v>
      </c>
      <c r="D72" s="144"/>
      <c r="E72" s="145"/>
    </row>
    <row r="73" spans="1:9" ht="37.5" customHeight="1" thickBot="1" x14ac:dyDescent="0.25">
      <c r="C73" s="146" t="s">
        <v>122</v>
      </c>
      <c r="D73" s="147"/>
      <c r="E73" s="148"/>
    </row>
    <row r="75" spans="1:9" ht="13.5" thickBot="1" x14ac:dyDescent="0.25"/>
    <row r="76" spans="1:9" x14ac:dyDescent="0.2">
      <c r="B76" s="42" t="s">
        <v>123</v>
      </c>
      <c r="C76" s="43"/>
      <c r="D76" s="43"/>
      <c r="E76" s="44"/>
    </row>
    <row r="77" spans="1:9" ht="5.25" customHeight="1" x14ac:dyDescent="0.2">
      <c r="B77" s="45"/>
      <c r="C77" s="46"/>
      <c r="D77" s="46"/>
      <c r="E77" s="47"/>
    </row>
    <row r="78" spans="1:9" x14ac:dyDescent="0.2">
      <c r="B78" s="48" t="s">
        <v>14</v>
      </c>
      <c r="C78" s="46"/>
      <c r="D78" s="46"/>
      <c r="E78" s="47"/>
    </row>
    <row r="79" spans="1:9" ht="41.25" customHeight="1" x14ac:dyDescent="0.2">
      <c r="B79" s="48"/>
      <c r="C79" s="82"/>
      <c r="D79" s="82"/>
      <c r="E79" s="82"/>
    </row>
    <row r="80" spans="1:9" x14ac:dyDescent="0.2">
      <c r="B80" s="48" t="s">
        <v>15</v>
      </c>
      <c r="C80" s="46"/>
      <c r="D80" s="46"/>
      <c r="E80" s="47"/>
    </row>
    <row r="81" spans="2:5" ht="18" customHeight="1" x14ac:dyDescent="0.2">
      <c r="B81" s="49"/>
      <c r="C81" s="149" t="s">
        <v>124</v>
      </c>
      <c r="D81" s="149"/>
      <c r="E81" s="150"/>
    </row>
    <row r="82" spans="2:5" x14ac:dyDescent="0.2">
      <c r="B82" s="49"/>
      <c r="C82" s="83"/>
      <c r="D82" s="83"/>
      <c r="E82" s="83"/>
    </row>
    <row r="83" spans="2:5" x14ac:dyDescent="0.2">
      <c r="B83" s="48" t="s">
        <v>16</v>
      </c>
      <c r="C83" s="46"/>
      <c r="D83" s="46"/>
      <c r="E83" s="47"/>
    </row>
    <row r="84" spans="2:5" ht="26.25" customHeight="1" x14ac:dyDescent="0.2">
      <c r="B84" s="49"/>
      <c r="C84" s="82"/>
      <c r="D84" s="82"/>
      <c r="E84" s="82"/>
    </row>
    <row r="85" spans="2:5" x14ac:dyDescent="0.2">
      <c r="B85" s="48" t="s">
        <v>17</v>
      </c>
      <c r="C85" s="50"/>
      <c r="D85" s="50"/>
      <c r="E85" s="51"/>
    </row>
    <row r="86" spans="2:5" ht="26.25" customHeight="1" x14ac:dyDescent="0.2">
      <c r="B86" s="49"/>
      <c r="C86" s="85" t="s">
        <v>63</v>
      </c>
      <c r="D86" s="85"/>
      <c r="E86" s="85"/>
    </row>
    <row r="87" spans="2:5" x14ac:dyDescent="0.2">
      <c r="B87" s="48" t="s">
        <v>18</v>
      </c>
      <c r="C87" s="46"/>
      <c r="D87" s="46"/>
      <c r="E87" s="47"/>
    </row>
    <row r="88" spans="2:5" ht="23.25" customHeight="1" x14ac:dyDescent="0.2">
      <c r="B88" s="48"/>
      <c r="C88" s="84"/>
      <c r="D88" s="84"/>
      <c r="E88" s="84"/>
    </row>
    <row r="89" spans="2:5" ht="13.5" thickBot="1" x14ac:dyDescent="0.25">
      <c r="B89" s="52"/>
      <c r="C89" s="53"/>
      <c r="D89" s="53"/>
      <c r="E89" s="54"/>
    </row>
  </sheetData>
  <sortState ref="C10:H69">
    <sortCondition ref="E10:E69"/>
  </sortState>
  <mergeCells count="16">
    <mergeCell ref="C84:E84"/>
    <mergeCell ref="C86:E86"/>
    <mergeCell ref="C88:E88"/>
    <mergeCell ref="A6:B6"/>
    <mergeCell ref="A7:B7"/>
    <mergeCell ref="C79:E79"/>
    <mergeCell ref="C81:E81"/>
    <mergeCell ref="C82:E82"/>
    <mergeCell ref="C71:E71"/>
    <mergeCell ref="C72:E72"/>
    <mergeCell ref="C73:E73"/>
    <mergeCell ref="B2:H2"/>
    <mergeCell ref="A4:B4"/>
    <mergeCell ref="C4:E4"/>
    <mergeCell ref="A5:B5"/>
    <mergeCell ref="C5:E5"/>
  </mergeCells>
  <conditionalFormatting sqref="E15">
    <cfRule type="expression" dxfId="1" priority="2">
      <formula>ROW()=CELL("fila")</formula>
    </cfRule>
  </conditionalFormatting>
  <conditionalFormatting sqref="E33:E34">
    <cfRule type="expression" dxfId="0" priority="1">
      <formula>ROW()=CELL("fila")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2"/>
  <sheetViews>
    <sheetView topLeftCell="A58" zoomScale="70" zoomScaleNormal="70" workbookViewId="0">
      <selection activeCell="G82" sqref="G8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6" t="s">
        <v>19</v>
      </c>
      <c r="B1" s="86"/>
      <c r="C1" s="86"/>
      <c r="D1" s="86"/>
      <c r="E1" s="86"/>
      <c r="F1" s="86"/>
      <c r="G1" s="86"/>
      <c r="H1" s="86"/>
      <c r="I1" s="86"/>
      <c r="J1" s="3" t="s">
        <v>20</v>
      </c>
      <c r="K1" s="65" t="s">
        <v>153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7" t="s">
        <v>53</v>
      </c>
      <c r="B3" s="87"/>
      <c r="C3" s="87"/>
      <c r="D3" s="88" t="str">
        <f>'Necesidades Trimestrales'!C4</f>
        <v>40 - Ministerio de Salud</v>
      </c>
      <c r="E3" s="88"/>
      <c r="F3" s="88"/>
      <c r="G3" s="88"/>
      <c r="H3" s="88"/>
      <c r="I3" s="88"/>
      <c r="J3" s="88"/>
      <c r="K3" s="88"/>
    </row>
    <row r="4" spans="1:11" ht="18.75" customHeight="1" thickBot="1" x14ac:dyDescent="0.25">
      <c r="A4" s="89" t="s">
        <v>54</v>
      </c>
      <c r="B4" s="89"/>
      <c r="C4" s="89"/>
      <c r="D4" s="88" t="str">
        <f>'Necesidades Trimestrales'!C5</f>
        <v>23 - Hospital Interzonal San Juan Bautista</v>
      </c>
      <c r="E4" s="88"/>
      <c r="F4" s="88"/>
      <c r="G4" s="88"/>
      <c r="H4" s="88"/>
      <c r="I4" s="88"/>
      <c r="J4" s="88"/>
      <c r="K4" s="88"/>
    </row>
    <row r="5" spans="1:11" ht="18.75" customHeight="1" thickBot="1" x14ac:dyDescent="0.25">
      <c r="A5" s="89" t="s">
        <v>32</v>
      </c>
      <c r="B5" s="89"/>
      <c r="C5" s="89"/>
      <c r="D5" s="88" t="s">
        <v>59</v>
      </c>
      <c r="E5" s="88"/>
      <c r="F5" s="88"/>
      <c r="G5" s="88"/>
      <c r="H5" s="88"/>
      <c r="I5" s="88"/>
      <c r="J5" s="88"/>
      <c r="K5" s="88"/>
    </row>
    <row r="6" spans="1:11" ht="16.5" customHeight="1" thickBot="1" x14ac:dyDescent="0.25">
      <c r="A6" s="87" t="s">
        <v>55</v>
      </c>
      <c r="B6" s="87"/>
      <c r="C6" s="87"/>
      <c r="D6" s="88" t="s">
        <v>60</v>
      </c>
      <c r="E6" s="88"/>
      <c r="F6" s="88"/>
      <c r="G6" s="88"/>
      <c r="H6" s="88"/>
      <c r="I6" s="88"/>
      <c r="J6" s="88"/>
      <c r="K6" s="88"/>
    </row>
    <row r="7" spans="1:11" ht="16.5" customHeight="1" x14ac:dyDescent="0.2">
      <c r="A7" s="89" t="s">
        <v>21</v>
      </c>
      <c r="B7" s="89"/>
      <c r="C7" s="89"/>
      <c r="D7" s="88" t="str">
        <f>'Necesidades Trimestrales'!C7 &amp; "° Trimestre - Año " &amp; 'Necesidades Trimestrales'!C6</f>
        <v>4° Trimestre - Año 2021</v>
      </c>
      <c r="E7" s="88"/>
      <c r="F7" s="88"/>
      <c r="G7" s="88"/>
      <c r="H7" s="88"/>
      <c r="I7" s="88"/>
      <c r="J7" s="88"/>
      <c r="K7" s="88"/>
    </row>
    <row r="8" spans="1:11" ht="16.5" customHeight="1" x14ac:dyDescent="0.2">
      <c r="A8" s="90" t="s">
        <v>22</v>
      </c>
      <c r="B8" s="90"/>
      <c r="C8" s="90"/>
      <c r="D8" s="91" t="s">
        <v>154</v>
      </c>
      <c r="E8" s="91"/>
      <c r="F8" s="91"/>
      <c r="G8" s="91"/>
      <c r="H8" s="91"/>
      <c r="I8" s="91"/>
      <c r="J8" s="91"/>
      <c r="K8" s="9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2" t="s">
        <v>23</v>
      </c>
      <c r="B10" s="93" t="s">
        <v>24</v>
      </c>
      <c r="C10" s="93" t="s">
        <v>25</v>
      </c>
      <c r="D10" s="93"/>
      <c r="E10" s="93"/>
      <c r="F10" s="93"/>
      <c r="G10" s="93"/>
      <c r="H10" s="93" t="s">
        <v>26</v>
      </c>
      <c r="I10" s="93" t="s">
        <v>27</v>
      </c>
      <c r="J10" s="93" t="s">
        <v>28</v>
      </c>
      <c r="K10" s="94" t="s">
        <v>29</v>
      </c>
    </row>
    <row r="11" spans="1:11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97" t="str">
        <f>'Necesidades Trimestrales'!E10</f>
        <v xml:space="preserve">ACIDO ACETICO EN SOLUCION  25% / 30%  X 5 KILOGRAMOS TIPO OXIDIAL </v>
      </c>
      <c r="D12" s="97"/>
      <c r="E12" s="97"/>
      <c r="F12" s="97"/>
      <c r="G12" s="97"/>
      <c r="H12" s="67" t="s">
        <v>56</v>
      </c>
      <c r="I12" s="68" t="str">
        <f>'Necesidades Trimestrales'!F10</f>
        <v>BIDON</v>
      </c>
      <c r="J12" s="69">
        <f>'Necesidades Trimestrales'!H10</f>
        <v>2900</v>
      </c>
      <c r="K12" s="70">
        <f>'Necesidades Trimestrales'!G10</f>
        <v>15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97" t="str">
        <f>'Necesidades Trimestrales'!E11</f>
        <v>ACIDO PERACETICO  ( 3%  de peroxido de hidrogeno ) tipo ANIOXYDE 1000  X 5 LITROS</v>
      </c>
      <c r="D13" s="97"/>
      <c r="E13" s="97"/>
      <c r="F13" s="97"/>
      <c r="G13" s="97"/>
      <c r="H13" s="67" t="s">
        <v>56</v>
      </c>
      <c r="I13" s="68" t="str">
        <f>'Necesidades Trimestrales'!F11</f>
        <v>BIDON</v>
      </c>
      <c r="J13" s="69">
        <f>'Necesidades Trimestrales'!H11</f>
        <v>8200</v>
      </c>
      <c r="K13" s="70">
        <f>'Necesidades Trimestrales'!G11</f>
        <v>5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97" t="str">
        <f>'Necesidades Trimestrales'!E12</f>
        <v>AGUA OXIGENADA MEDICINAL DE 10 VOLUMENES X 1 LITRO</v>
      </c>
      <c r="D14" s="97"/>
      <c r="E14" s="97"/>
      <c r="F14" s="97"/>
      <c r="G14" s="97"/>
      <c r="H14" s="67" t="s">
        <v>56</v>
      </c>
      <c r="I14" s="68" t="str">
        <f>'Necesidades Trimestrales'!F12</f>
        <v>BOTELLA</v>
      </c>
      <c r="J14" s="69">
        <f>'Necesidades Trimestrales'!H12</f>
        <v>135</v>
      </c>
      <c r="K14" s="70">
        <f>'Necesidades Trimestrales'!G12</f>
        <v>100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97" t="str">
        <f>'Necesidades Trimestrales'!E13</f>
        <v>ALCOHOL 96º X 1000 ML</v>
      </c>
      <c r="D15" s="97"/>
      <c r="E15" s="97"/>
      <c r="F15" s="97"/>
      <c r="G15" s="97"/>
      <c r="H15" s="67" t="s">
        <v>56</v>
      </c>
      <c r="I15" s="68" t="str">
        <f>'Necesidades Trimestrales'!F13</f>
        <v xml:space="preserve">BOTELLA </v>
      </c>
      <c r="J15" s="69">
        <f>'Necesidades Trimestrales'!H13</f>
        <v>180</v>
      </c>
      <c r="K15" s="70">
        <f>'Necesidades Trimestrales'!G13</f>
        <v>100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97" t="str">
        <f>'Necesidades Trimestrales'!E14</f>
        <v>BOTAS ALTAS DESCARTABLES DE 30 GRAMOS CON TIRA EL PAR</v>
      </c>
      <c r="D16" s="97"/>
      <c r="E16" s="97"/>
      <c r="F16" s="97"/>
      <c r="G16" s="97"/>
      <c r="H16" s="67" t="s">
        <v>56</v>
      </c>
      <c r="I16" s="68" t="str">
        <f>'Necesidades Trimestrales'!F14</f>
        <v>PAR</v>
      </c>
      <c r="J16" s="69">
        <f>'Necesidades Trimestrales'!H14</f>
        <v>13.91</v>
      </c>
      <c r="K16" s="70">
        <f>'Necesidades Trimestrales'!G14</f>
        <v>12000</v>
      </c>
    </row>
    <row r="17" spans="1:11" ht="20.25" customHeight="1" thickBot="1" x14ac:dyDescent="0.25">
      <c r="A17" s="8">
        <v>6</v>
      </c>
      <c r="B17" s="66">
        <f>'Necesidades Trimestrales'!B15</f>
        <v>0</v>
      </c>
      <c r="C17" s="97" t="str">
        <f>'Necesidades Trimestrales'!E15</f>
        <v>CAMISOLIN DESCARTABLE DE TELA SMS 50 GRAMOS CON MANGA Y PUÑOS DE 1,4 M DE LARGO</v>
      </c>
      <c r="D17" s="97"/>
      <c r="E17" s="97"/>
      <c r="F17" s="97"/>
      <c r="G17" s="97"/>
      <c r="H17" s="67" t="s">
        <v>56</v>
      </c>
      <c r="I17" s="68" t="str">
        <f>'Necesidades Trimestrales'!F15</f>
        <v>UNIDAD</v>
      </c>
      <c r="J17" s="69">
        <f>'Necesidades Trimestrales'!H15</f>
        <v>136</v>
      </c>
      <c r="K17" s="70">
        <f>'Necesidades Trimestrales'!G15</f>
        <v>6400</v>
      </c>
    </row>
    <row r="18" spans="1:11" ht="20.25" customHeight="1" thickBot="1" x14ac:dyDescent="0.25">
      <c r="A18" s="8">
        <v>7</v>
      </c>
      <c r="B18" s="66">
        <f>'Necesidades Trimestrales'!B16</f>
        <v>0</v>
      </c>
      <c r="C18" s="97" t="str">
        <f>'Necesidades Trimestrales'!E16</f>
        <v>CANASTILLA DE DORMIA TIPO FUJIFILM MEDWORCK 2.8 MM</v>
      </c>
      <c r="D18" s="97"/>
      <c r="E18" s="97"/>
      <c r="F18" s="97"/>
      <c r="G18" s="97"/>
      <c r="H18" s="67" t="s">
        <v>56</v>
      </c>
      <c r="I18" s="68" t="str">
        <f>'Necesidades Trimestrales'!F16</f>
        <v>UNIDAD</v>
      </c>
      <c r="J18" s="69">
        <f>'Necesidades Trimestrales'!H16</f>
        <v>21000</v>
      </c>
      <c r="K18" s="70">
        <f>'Necesidades Trimestrales'!G16</f>
        <v>5</v>
      </c>
    </row>
    <row r="19" spans="1:11" ht="20.25" customHeight="1" thickBot="1" x14ac:dyDescent="0.25">
      <c r="A19" s="8">
        <v>8</v>
      </c>
      <c r="B19" s="66">
        <f>'Necesidades Trimestrales'!B17</f>
        <v>0</v>
      </c>
      <c r="C19" s="97" t="str">
        <f>'Necesidades Trimestrales'!E17</f>
        <v>CANULA NASAL PARA OXIGENOTERAPIA ADULTO</v>
      </c>
      <c r="D19" s="97"/>
      <c r="E19" s="97"/>
      <c r="F19" s="97"/>
      <c r="G19" s="97"/>
      <c r="H19" s="67" t="s">
        <v>56</v>
      </c>
      <c r="I19" s="68" t="str">
        <f>'Necesidades Trimestrales'!F17</f>
        <v>UNIDAD</v>
      </c>
      <c r="J19" s="69">
        <f>'Necesidades Trimestrales'!H17</f>
        <v>69</v>
      </c>
      <c r="K19" s="70">
        <f>'Necesidades Trimestrales'!G17</f>
        <v>2000</v>
      </c>
    </row>
    <row r="20" spans="1:11" ht="20.25" customHeight="1" thickBot="1" x14ac:dyDescent="0.25">
      <c r="A20" s="8">
        <v>9</v>
      </c>
      <c r="B20" s="66">
        <f>'Necesidades Trimestrales'!B18</f>
        <v>0</v>
      </c>
      <c r="C20" s="97" t="str">
        <f>'Necesidades Trimestrales'!E18</f>
        <v>CATETER DOBLE J 4.7 FR x 26 CM TIPO COOK</v>
      </c>
      <c r="D20" s="97"/>
      <c r="E20" s="97"/>
      <c r="F20" s="97"/>
      <c r="G20" s="97"/>
      <c r="H20" s="67" t="s">
        <v>56</v>
      </c>
      <c r="I20" s="68" t="str">
        <f>'Necesidades Trimestrales'!F18</f>
        <v>UNIDAD</v>
      </c>
      <c r="J20" s="69">
        <f>'Necesidades Trimestrales'!H18</f>
        <v>16100</v>
      </c>
      <c r="K20" s="70">
        <f>'Necesidades Trimestrales'!G18</f>
        <v>3</v>
      </c>
    </row>
    <row r="21" spans="1:11" ht="20.25" customHeight="1" thickBot="1" x14ac:dyDescent="0.25">
      <c r="A21" s="8">
        <v>10</v>
      </c>
      <c r="B21" s="66">
        <f>'Necesidades Trimestrales'!B19</f>
        <v>0</v>
      </c>
      <c r="C21" s="97" t="str">
        <f>'Necesidades Trimestrales'!E19</f>
        <v>CATETER DOBLE J 4.8 FRENCH X 46 CM TIPO COOK</v>
      </c>
      <c r="D21" s="97"/>
      <c r="E21" s="97"/>
      <c r="F21" s="97"/>
      <c r="G21" s="97"/>
      <c r="H21" s="67" t="s">
        <v>56</v>
      </c>
      <c r="I21" s="68" t="str">
        <f>'Necesidades Trimestrales'!F19</f>
        <v>UNIDAD</v>
      </c>
      <c r="J21" s="69">
        <f>'Necesidades Trimestrales'!H19</f>
        <v>16100</v>
      </c>
      <c r="K21" s="70">
        <f>'Necesidades Trimestrales'!G19</f>
        <v>3</v>
      </c>
    </row>
    <row r="22" spans="1:11" ht="20.25" customHeight="1" thickBot="1" x14ac:dyDescent="0.25">
      <c r="A22" s="8">
        <v>11</v>
      </c>
      <c r="B22" s="66">
        <f>'Necesidades Trimestrales'!B20</f>
        <v>0</v>
      </c>
      <c r="C22" s="97" t="str">
        <f>'Necesidades Trimestrales'!E20</f>
        <v>CATETER DOBLE J 7 FRENCH X 46 CM TIPO COOK</v>
      </c>
      <c r="D22" s="97"/>
      <c r="E22" s="97"/>
      <c r="F22" s="97"/>
      <c r="G22" s="97"/>
      <c r="H22" s="67" t="s">
        <v>56</v>
      </c>
      <c r="I22" s="68" t="str">
        <f>'Necesidades Trimestrales'!F20</f>
        <v>UNIDAD</v>
      </c>
      <c r="J22" s="69">
        <f>'Necesidades Trimestrales'!H20</f>
        <v>16100</v>
      </c>
      <c r="K22" s="70">
        <f>'Necesidades Trimestrales'!G20</f>
        <v>3</v>
      </c>
    </row>
    <row r="23" spans="1:11" ht="20.25" customHeight="1" thickBot="1" x14ac:dyDescent="0.25">
      <c r="A23" s="8">
        <v>12</v>
      </c>
      <c r="B23" s="66">
        <f>'Necesidades Trimestrales'!B21</f>
        <v>0</v>
      </c>
      <c r="C23" s="97" t="str">
        <f>'Necesidades Trimestrales'!E21</f>
        <v>CATETER FOGARTY Nº 3</v>
      </c>
      <c r="D23" s="97"/>
      <c r="E23" s="97"/>
      <c r="F23" s="97"/>
      <c r="G23" s="97"/>
      <c r="H23" s="67" t="s">
        <v>56</v>
      </c>
      <c r="I23" s="68" t="str">
        <f>'Necesidades Trimestrales'!F21</f>
        <v>UNIDAD</v>
      </c>
      <c r="J23" s="69">
        <f>'Necesidades Trimestrales'!H21</f>
        <v>4495</v>
      </c>
      <c r="K23" s="70">
        <f>'Necesidades Trimestrales'!G21</f>
        <v>2</v>
      </c>
    </row>
    <row r="24" spans="1:11" ht="20.25" customHeight="1" thickBot="1" x14ac:dyDescent="0.25">
      <c r="A24" s="8">
        <v>13</v>
      </c>
      <c r="B24" s="66">
        <f>'Necesidades Trimestrales'!B22</f>
        <v>0</v>
      </c>
      <c r="C24" s="97" t="str">
        <f>'Necesidades Trimestrales'!E22</f>
        <v>CATETER FOGARTY Nº 4</v>
      </c>
      <c r="D24" s="97"/>
      <c r="E24" s="97"/>
      <c r="F24" s="97"/>
      <c r="G24" s="97"/>
      <c r="H24" s="67" t="s">
        <v>56</v>
      </c>
      <c r="I24" s="68" t="str">
        <f>'Necesidades Trimestrales'!F22</f>
        <v>UNIDAD</v>
      </c>
      <c r="J24" s="69">
        <f>'Necesidades Trimestrales'!H22</f>
        <v>4495</v>
      </c>
      <c r="K24" s="70">
        <f>'Necesidades Trimestrales'!G22</f>
        <v>2</v>
      </c>
    </row>
    <row r="25" spans="1:11" ht="20.25" customHeight="1" thickBot="1" x14ac:dyDescent="0.25">
      <c r="A25" s="8">
        <v>14</v>
      </c>
      <c r="B25" s="66">
        <f>'Necesidades Trimestrales'!B23</f>
        <v>0</v>
      </c>
      <c r="C25" s="97" t="str">
        <f>'Necesidades Trimestrales'!E23</f>
        <v>CATETER FOGARTY Nº 5</v>
      </c>
      <c r="D25" s="97"/>
      <c r="E25" s="97"/>
      <c r="F25" s="97"/>
      <c r="G25" s="97"/>
      <c r="H25" s="67" t="s">
        <v>56</v>
      </c>
      <c r="I25" s="68" t="str">
        <f>'Necesidades Trimestrales'!F23</f>
        <v>UNIDAD</v>
      </c>
      <c r="J25" s="69">
        <f>'Necesidades Trimestrales'!H23</f>
        <v>4495</v>
      </c>
      <c r="K25" s="70">
        <f>'Necesidades Trimestrales'!G23</f>
        <v>2</v>
      </c>
    </row>
    <row r="26" spans="1:11" ht="20.25" customHeight="1" thickBot="1" x14ac:dyDescent="0.25">
      <c r="A26" s="8">
        <v>15</v>
      </c>
      <c r="B26" s="66">
        <f>'Necesidades Trimestrales'!B24</f>
        <v>0</v>
      </c>
      <c r="C26" s="97" t="str">
        <f>'Necesidades Trimestrales'!E24</f>
        <v>CEPILLO P/LAVAR TUBOS CHICOS X 1</v>
      </c>
      <c r="D26" s="97"/>
      <c r="E26" s="97"/>
      <c r="F26" s="97"/>
      <c r="G26" s="97"/>
      <c r="H26" s="67" t="s">
        <v>56</v>
      </c>
      <c r="I26" s="68" t="str">
        <f>'Necesidades Trimestrales'!F24</f>
        <v xml:space="preserve">UNIDAD </v>
      </c>
      <c r="J26" s="69">
        <f>'Necesidades Trimestrales'!H24</f>
        <v>169</v>
      </c>
      <c r="K26" s="70">
        <f>'Necesidades Trimestrales'!G24</f>
        <v>2</v>
      </c>
    </row>
    <row r="27" spans="1:11" ht="20.25" customHeight="1" thickBot="1" x14ac:dyDescent="0.25">
      <c r="A27" s="8">
        <v>16</v>
      </c>
      <c r="B27" s="66">
        <f>'Necesidades Trimestrales'!B25</f>
        <v>0</v>
      </c>
      <c r="C27" s="97" t="str">
        <f>'Necesidades Trimestrales'!E25</f>
        <v>CEPILLO P/LAVAR TUBOS GRANDES X 1</v>
      </c>
      <c r="D27" s="97"/>
      <c r="E27" s="97"/>
      <c r="F27" s="97"/>
      <c r="G27" s="97"/>
      <c r="H27" s="67" t="s">
        <v>56</v>
      </c>
      <c r="I27" s="68" t="str">
        <f>'Necesidades Trimestrales'!F25</f>
        <v xml:space="preserve">UNIDAD </v>
      </c>
      <c r="J27" s="69">
        <f>'Necesidades Trimestrales'!H25</f>
        <v>581.23</v>
      </c>
      <c r="K27" s="70">
        <f>'Necesidades Trimestrales'!G25</f>
        <v>2</v>
      </c>
    </row>
    <row r="28" spans="1:11" ht="20.25" customHeight="1" thickBot="1" x14ac:dyDescent="0.25">
      <c r="A28" s="8">
        <v>17</v>
      </c>
      <c r="B28" s="66">
        <f>'Necesidades Trimestrales'!B26</f>
        <v>0</v>
      </c>
      <c r="C28" s="97" t="str">
        <f>'Necesidades Trimestrales'!E26</f>
        <v>CEPILLO P/LAVAR TUBOS MEDIANOS X 1</v>
      </c>
      <c r="D28" s="97"/>
      <c r="E28" s="97"/>
      <c r="F28" s="97"/>
      <c r="G28" s="97"/>
      <c r="H28" s="67" t="s">
        <v>56</v>
      </c>
      <c r="I28" s="68" t="str">
        <f>'Necesidades Trimestrales'!F26</f>
        <v xml:space="preserve">UNIDAD </v>
      </c>
      <c r="J28" s="69">
        <f>'Necesidades Trimestrales'!H26</f>
        <v>249.44</v>
      </c>
      <c r="K28" s="70">
        <f>'Necesidades Trimestrales'!G26</f>
        <v>2</v>
      </c>
    </row>
    <row r="29" spans="1:11" ht="20.25" customHeight="1" thickBot="1" x14ac:dyDescent="0.25">
      <c r="A29" s="8">
        <v>18</v>
      </c>
      <c r="B29" s="66">
        <f>'Necesidades Trimestrales'!B27</f>
        <v>0</v>
      </c>
      <c r="C29" s="97" t="str">
        <f>'Necesidades Trimestrales'!E27</f>
        <v>CLAVO DE KISHNER Nº 4 x 25 CM (CLAVIJAS)</v>
      </c>
      <c r="D29" s="97"/>
      <c r="E29" s="97"/>
      <c r="F29" s="97"/>
      <c r="G29" s="97"/>
      <c r="H29" s="67" t="s">
        <v>56</v>
      </c>
      <c r="I29" s="68" t="str">
        <f>'Necesidades Trimestrales'!F27</f>
        <v>UNIDAD</v>
      </c>
      <c r="J29" s="69">
        <f>'Necesidades Trimestrales'!H27</f>
        <v>396</v>
      </c>
      <c r="K29" s="70">
        <f>'Necesidades Trimestrales'!G27</f>
        <v>60</v>
      </c>
    </row>
    <row r="30" spans="1:11" ht="20.25" customHeight="1" thickBot="1" x14ac:dyDescent="0.25">
      <c r="A30" s="8">
        <v>19</v>
      </c>
      <c r="B30" s="66">
        <f>'Necesidades Trimestrales'!B28</f>
        <v>0</v>
      </c>
      <c r="C30" s="97" t="str">
        <f>'Necesidades Trimestrales'!E28</f>
        <v>CLAVO DE KISHNER Nº 5 x 25 CM (CLAVIJAS)</v>
      </c>
      <c r="D30" s="97"/>
      <c r="E30" s="97"/>
      <c r="F30" s="97"/>
      <c r="G30" s="97"/>
      <c r="H30" s="67" t="s">
        <v>56</v>
      </c>
      <c r="I30" s="68" t="str">
        <f>'Necesidades Trimestrales'!F28</f>
        <v>UNIDAD</v>
      </c>
      <c r="J30" s="69">
        <f>'Necesidades Trimestrales'!H28</f>
        <v>396</v>
      </c>
      <c r="K30" s="70">
        <f>'Necesidades Trimestrales'!G28</f>
        <v>60</v>
      </c>
    </row>
    <row r="31" spans="1:11" ht="20.25" customHeight="1" thickBot="1" x14ac:dyDescent="0.25">
      <c r="A31" s="8">
        <v>20</v>
      </c>
      <c r="B31" s="66">
        <f>'Necesidades Trimestrales'!B29</f>
        <v>0</v>
      </c>
      <c r="C31" s="97" t="str">
        <f>'Necesidades Trimestrales'!E29</f>
        <v>CLORHEXIDINA 2% SOLUCION ACUOSA X 250 ML</v>
      </c>
      <c r="D31" s="97"/>
      <c r="E31" s="97"/>
      <c r="F31" s="97"/>
      <c r="G31" s="97"/>
      <c r="H31" s="67" t="s">
        <v>56</v>
      </c>
      <c r="I31" s="68" t="str">
        <f>'Necesidades Trimestrales'!F29</f>
        <v>FRASCO</v>
      </c>
      <c r="J31" s="69">
        <f>'Necesidades Trimestrales'!H29</f>
        <v>630</v>
      </c>
      <c r="K31" s="70">
        <f>'Necesidades Trimestrales'!G29</f>
        <v>48</v>
      </c>
    </row>
    <row r="32" spans="1:11" ht="20.25" customHeight="1" thickBot="1" x14ac:dyDescent="0.25">
      <c r="A32" s="8">
        <v>21</v>
      </c>
      <c r="B32" s="66">
        <f>'Necesidades Trimestrales'!B30</f>
        <v>0</v>
      </c>
      <c r="C32" s="97" t="str">
        <f>'Necesidades Trimestrales'!E30</f>
        <v>CLOROXILENOL  X 5 LITROS</v>
      </c>
      <c r="D32" s="97"/>
      <c r="E32" s="97"/>
      <c r="F32" s="97"/>
      <c r="G32" s="97"/>
      <c r="H32" s="67" t="s">
        <v>56</v>
      </c>
      <c r="I32" s="68" t="str">
        <f>'Necesidades Trimestrales'!F30</f>
        <v>BIDON</v>
      </c>
      <c r="J32" s="69">
        <f>'Necesidades Trimestrales'!H30</f>
        <v>3900</v>
      </c>
      <c r="K32" s="70">
        <f>'Necesidades Trimestrales'!G30</f>
        <v>15</v>
      </c>
    </row>
    <row r="33" spans="1:11" ht="20.25" customHeight="1" thickBot="1" x14ac:dyDescent="0.25">
      <c r="A33" s="8">
        <v>22</v>
      </c>
      <c r="B33" s="66">
        <f>'Necesidades Trimestrales'!B31</f>
        <v>0</v>
      </c>
      <c r="C33" s="97" t="str">
        <f>'Necesidades Trimestrales'!E31</f>
        <v>COFIAS PLIZADAS CON AJUSTE ELASTIZADO</v>
      </c>
      <c r="D33" s="97"/>
      <c r="E33" s="97"/>
      <c r="F33" s="97"/>
      <c r="G33" s="97"/>
      <c r="H33" s="67" t="s">
        <v>56</v>
      </c>
      <c r="I33" s="68" t="str">
        <f>'Necesidades Trimestrales'!F31</f>
        <v>UNIDAD</v>
      </c>
      <c r="J33" s="69">
        <f>'Necesidades Trimestrales'!H31</f>
        <v>6.1</v>
      </c>
      <c r="K33" s="70">
        <f>'Necesidades Trimestrales'!G31</f>
        <v>6000</v>
      </c>
    </row>
    <row r="34" spans="1:11" ht="36" customHeight="1" thickBot="1" x14ac:dyDescent="0.25">
      <c r="A34" s="8">
        <v>23</v>
      </c>
      <c r="B34" s="66">
        <f>'Necesidades Trimestrales'!B32</f>
        <v>0</v>
      </c>
      <c r="C34" s="97" t="str">
        <f>'Necesidades Trimestrales'!E32</f>
        <v>DETERGENTE TRIENZIMATICO  ( LIPASA, AMILASA,PROTEASA ) Concentración: 3 a 5 ml/litro. Libre de fenoles, Atoxico. Bidón por 5 litros. Aprobación PM ANMAT  TIPO DM3 PLUS ADOX</v>
      </c>
      <c r="D34" s="97"/>
      <c r="E34" s="97"/>
      <c r="F34" s="97"/>
      <c r="G34" s="97"/>
      <c r="H34" s="67" t="s">
        <v>56</v>
      </c>
      <c r="I34" s="68" t="str">
        <f>'Necesidades Trimestrales'!F32</f>
        <v>BIDON</v>
      </c>
      <c r="J34" s="69">
        <f>'Necesidades Trimestrales'!H32</f>
        <v>4222</v>
      </c>
      <c r="K34" s="70">
        <f>'Necesidades Trimestrales'!G32</f>
        <v>10</v>
      </c>
    </row>
    <row r="35" spans="1:11" ht="20.25" customHeight="1" thickBot="1" x14ac:dyDescent="0.25">
      <c r="A35" s="8">
        <v>24</v>
      </c>
      <c r="B35" s="66">
        <f>'Necesidades Trimestrales'!B33</f>
        <v>0</v>
      </c>
      <c r="C35" s="97" t="str">
        <f>'Necesidades Trimestrales'!E33</f>
        <v>DRENAJE DE SILICONA ESTERIL TIPO DRENAJE BLAKE</v>
      </c>
      <c r="D35" s="97"/>
      <c r="E35" s="97"/>
      <c r="F35" s="97"/>
      <c r="G35" s="97"/>
      <c r="H35" s="67" t="s">
        <v>56</v>
      </c>
      <c r="I35" s="68" t="str">
        <f>'Necesidades Trimestrales'!F33</f>
        <v>UNIDAD</v>
      </c>
      <c r="J35" s="69">
        <f>'Necesidades Trimestrales'!H33</f>
        <v>1100</v>
      </c>
      <c r="K35" s="70">
        <f>'Necesidades Trimestrales'!G33</f>
        <v>300</v>
      </c>
    </row>
    <row r="36" spans="1:11" ht="20.25" customHeight="1" thickBot="1" x14ac:dyDescent="0.25">
      <c r="A36" s="8">
        <v>25</v>
      </c>
      <c r="B36" s="66">
        <f>'Necesidades Trimestrales'!B34</f>
        <v>0</v>
      </c>
      <c r="C36" s="97" t="str">
        <f>'Necesidades Trimestrales'!E34</f>
        <v xml:space="preserve">Envoltorio para esterilización de Tela no tejida 100% a base de Polipropileno SMS. Gramaje 45 gr/m2 Bobina x 200 metros </v>
      </c>
      <c r="D36" s="97"/>
      <c r="E36" s="97"/>
      <c r="F36" s="97"/>
      <c r="G36" s="97"/>
      <c r="H36" s="67" t="s">
        <v>56</v>
      </c>
      <c r="I36" s="68" t="str">
        <f>'Necesidades Trimestrales'!F34</f>
        <v xml:space="preserve">UNIDAD </v>
      </c>
      <c r="J36" s="69">
        <f>'Necesidades Trimestrales'!H34</f>
        <v>23410</v>
      </c>
      <c r="K36" s="70">
        <f>'Necesidades Trimestrales'!G34</f>
        <v>1</v>
      </c>
    </row>
    <row r="37" spans="1:11" ht="20.25" customHeight="1" thickBot="1" x14ac:dyDescent="0.25">
      <c r="A37" s="8">
        <v>26</v>
      </c>
      <c r="B37" s="66">
        <f>'Necesidades Trimestrales'!B35</f>
        <v>0</v>
      </c>
      <c r="C37" s="97" t="str">
        <f>'Necesidades Trimestrales'!E35</f>
        <v xml:space="preserve">FILTRO HME ADULTO HIGROBAC INTERCAMBIADOR CALOR/HUMEDAD </v>
      </c>
      <c r="D37" s="97"/>
      <c r="E37" s="97"/>
      <c r="F37" s="97"/>
      <c r="G37" s="97"/>
      <c r="H37" s="67" t="s">
        <v>56</v>
      </c>
      <c r="I37" s="68" t="str">
        <f>'Necesidades Trimestrales'!F35</f>
        <v>UNIDAD</v>
      </c>
      <c r="J37" s="69">
        <f>'Necesidades Trimestrales'!H35</f>
        <v>368</v>
      </c>
      <c r="K37" s="70">
        <f>'Necesidades Trimestrales'!G35</f>
        <v>1000</v>
      </c>
    </row>
    <row r="38" spans="1:11" ht="20.25" customHeight="1" thickBot="1" x14ac:dyDescent="0.25">
      <c r="A38" s="8">
        <v>27</v>
      </c>
      <c r="B38" s="66">
        <f>'Necesidades Trimestrales'!B36</f>
        <v>0</v>
      </c>
      <c r="C38" s="97" t="str">
        <f>'Necesidades Trimestrales'!E36</f>
        <v>FILTRO HME BACTERIAL VIRAL PARA CIRCUITO RESPIRADOR</v>
      </c>
      <c r="D38" s="97"/>
      <c r="E38" s="97"/>
      <c r="F38" s="97"/>
      <c r="G38" s="97"/>
      <c r="H38" s="67" t="s">
        <v>56</v>
      </c>
      <c r="I38" s="68" t="str">
        <f>'Necesidades Trimestrales'!F36</f>
        <v>UNIDAD</v>
      </c>
      <c r="J38" s="69">
        <f>'Necesidades Trimestrales'!H36</f>
        <v>238</v>
      </c>
      <c r="K38" s="70">
        <f>'Necesidades Trimestrales'!G36</f>
        <v>500</v>
      </c>
    </row>
    <row r="39" spans="1:11" ht="20.25" customHeight="1" thickBot="1" x14ac:dyDescent="0.25">
      <c r="A39" s="8">
        <v>28</v>
      </c>
      <c r="B39" s="66">
        <f>'Necesidades Trimestrales'!B37</f>
        <v>0</v>
      </c>
      <c r="C39" s="97" t="str">
        <f>'Necesidades Trimestrales'!E37</f>
        <v>FILTRO PARA HEMODIALISIS 1,9 m2 HF</v>
      </c>
      <c r="D39" s="97"/>
      <c r="E39" s="97"/>
      <c r="F39" s="97"/>
      <c r="G39" s="97"/>
      <c r="H39" s="67" t="s">
        <v>56</v>
      </c>
      <c r="I39" s="68" t="str">
        <f>'Necesidades Trimestrales'!F37</f>
        <v>UNIDAD</v>
      </c>
      <c r="J39" s="69">
        <f>'Necesidades Trimestrales'!H37</f>
        <v>1820</v>
      </c>
      <c r="K39" s="70">
        <f>'Necesidades Trimestrales'!G37</f>
        <v>300</v>
      </c>
    </row>
    <row r="40" spans="1:11" ht="20.25" customHeight="1" thickBot="1" x14ac:dyDescent="0.25">
      <c r="A40" s="8">
        <v>29</v>
      </c>
      <c r="B40" s="66">
        <f>'Necesidades Trimestrales'!B38</f>
        <v>0</v>
      </c>
      <c r="C40" s="97" t="str">
        <f>'Necesidades Trimestrales'!E38</f>
        <v>FILTRO PARA HEMODIALISIS 2.1 m2 HF</v>
      </c>
      <c r="D40" s="97"/>
      <c r="E40" s="97"/>
      <c r="F40" s="97"/>
      <c r="G40" s="97"/>
      <c r="H40" s="67" t="s">
        <v>56</v>
      </c>
      <c r="I40" s="68" t="str">
        <f>'Necesidades Trimestrales'!F38</f>
        <v>UNIDAD</v>
      </c>
      <c r="J40" s="69">
        <f>'Necesidades Trimestrales'!H38</f>
        <v>1820</v>
      </c>
      <c r="K40" s="70">
        <f>'Necesidades Trimestrales'!G38</f>
        <v>100</v>
      </c>
    </row>
    <row r="41" spans="1:11" ht="20.25" customHeight="1" thickBot="1" x14ac:dyDescent="0.25">
      <c r="A41" s="8">
        <v>30</v>
      </c>
      <c r="B41" s="66">
        <f>'Necesidades Trimestrales'!B39</f>
        <v>0</v>
      </c>
      <c r="C41" s="97" t="str">
        <f>'Necesidades Trimestrales'!E39</f>
        <v>FORMOL 40% ENVASE X 1 LITRO</v>
      </c>
      <c r="D41" s="97"/>
      <c r="E41" s="97"/>
      <c r="F41" s="97"/>
      <c r="G41" s="97"/>
      <c r="H41" s="67" t="s">
        <v>56</v>
      </c>
      <c r="I41" s="68" t="str">
        <f>'Necesidades Trimestrales'!F39</f>
        <v>BOTELLA</v>
      </c>
      <c r="J41" s="69">
        <f>'Necesidades Trimestrales'!H39</f>
        <v>527</v>
      </c>
      <c r="K41" s="70">
        <f>'Necesidades Trimestrales'!G39</f>
        <v>20</v>
      </c>
    </row>
    <row r="42" spans="1:11" ht="20.25" customHeight="1" thickBot="1" x14ac:dyDescent="0.25">
      <c r="A42" s="8">
        <v>31</v>
      </c>
      <c r="B42" s="66">
        <f>'Necesidades Trimestrales'!B40</f>
        <v>0</v>
      </c>
      <c r="C42" s="97" t="str">
        <f>'Necesidades Trimestrales'!E40</f>
        <v>FRASCO PARA DRENAJE TORACICO x 2500 ML</v>
      </c>
      <c r="D42" s="97"/>
      <c r="E42" s="97"/>
      <c r="F42" s="97"/>
      <c r="G42" s="97"/>
      <c r="H42" s="67" t="s">
        <v>56</v>
      </c>
      <c r="I42" s="68" t="str">
        <f>'Necesidades Trimestrales'!F40</f>
        <v>UNIDAD</v>
      </c>
      <c r="J42" s="69">
        <f>'Necesidades Trimestrales'!H40</f>
        <v>850</v>
      </c>
      <c r="K42" s="70">
        <f>'Necesidades Trimestrales'!G40</f>
        <v>30</v>
      </c>
    </row>
    <row r="43" spans="1:11" ht="20.25" customHeight="1" thickBot="1" x14ac:dyDescent="0.25">
      <c r="A43" s="8">
        <v>32</v>
      </c>
      <c r="B43" s="66">
        <f>'Necesidades Trimestrales'!B41</f>
        <v>0</v>
      </c>
      <c r="C43" s="97" t="str">
        <f>'Necesidades Trimestrales'!E41</f>
        <v>FRASCO PARA DRENAJE TORACICO x 750 ML</v>
      </c>
      <c r="D43" s="97"/>
      <c r="E43" s="97"/>
      <c r="F43" s="97"/>
      <c r="G43" s="97"/>
      <c r="H43" s="67" t="s">
        <v>56</v>
      </c>
      <c r="I43" s="68" t="str">
        <f>'Necesidades Trimestrales'!F41</f>
        <v>UNIDAD</v>
      </c>
      <c r="J43" s="69">
        <f>'Necesidades Trimestrales'!H41</f>
        <v>210</v>
      </c>
      <c r="K43" s="70">
        <f>'Necesidades Trimestrales'!G41</f>
        <v>30</v>
      </c>
    </row>
    <row r="44" spans="1:11" ht="20.25" customHeight="1" thickBot="1" x14ac:dyDescent="0.25">
      <c r="A44" s="8">
        <v>33</v>
      </c>
      <c r="B44" s="66">
        <f>'Necesidades Trimestrales'!B42</f>
        <v>0</v>
      </c>
      <c r="C44" s="97" t="str">
        <f>'Necesidades Trimestrales'!E42</f>
        <v>GLUTARALDEHIDO 2% CON SURFACTANTE BIDON X 4 LITROS</v>
      </c>
      <c r="D44" s="97"/>
      <c r="E44" s="97"/>
      <c r="F44" s="97"/>
      <c r="G44" s="97"/>
      <c r="H44" s="67" t="s">
        <v>56</v>
      </c>
      <c r="I44" s="68" t="str">
        <f>'Necesidades Trimestrales'!F42</f>
        <v>BIDON</v>
      </c>
      <c r="J44" s="69">
        <f>'Necesidades Trimestrales'!H42</f>
        <v>1120</v>
      </c>
      <c r="K44" s="70">
        <f>'Necesidades Trimestrales'!G42</f>
        <v>150</v>
      </c>
    </row>
    <row r="45" spans="1:11" ht="20.25" customHeight="1" thickBot="1" x14ac:dyDescent="0.25">
      <c r="A45" s="8">
        <v>34</v>
      </c>
      <c r="B45" s="66">
        <f>'Necesidades Trimestrales'!B43</f>
        <v>0</v>
      </c>
      <c r="C45" s="97" t="str">
        <f>'Necesidades Trimestrales'!E43</f>
        <v>GUIA ARTERIAL CON GUIA HEPARINA Y TRANSDUCTOR DE PRESION P 0.8 TIPO NIPRO</v>
      </c>
      <c r="D45" s="97"/>
      <c r="E45" s="97"/>
      <c r="F45" s="97"/>
      <c r="G45" s="97"/>
      <c r="H45" s="67" t="s">
        <v>56</v>
      </c>
      <c r="I45" s="68" t="str">
        <f>'Necesidades Trimestrales'!F43</f>
        <v>UNIDAD</v>
      </c>
      <c r="J45" s="69">
        <f>'Necesidades Trimestrales'!H43</f>
        <v>215</v>
      </c>
      <c r="K45" s="70">
        <f>'Necesidades Trimestrales'!G43</f>
        <v>2400</v>
      </c>
    </row>
    <row r="46" spans="1:11" ht="20.25" customHeight="1" thickBot="1" x14ac:dyDescent="0.25">
      <c r="A46" s="8">
        <v>35</v>
      </c>
      <c r="B46" s="66">
        <f>'Necesidades Trimestrales'!B44</f>
        <v>0</v>
      </c>
      <c r="C46" s="97" t="str">
        <f>'Necesidades Trimestrales'!E44</f>
        <v>GUIA VENOSA Y TRANSDUCTOR DE PRESION P 0.8 TIPO NIPRO</v>
      </c>
      <c r="D46" s="97"/>
      <c r="E46" s="97"/>
      <c r="F46" s="97"/>
      <c r="G46" s="97"/>
      <c r="H46" s="67" t="s">
        <v>56</v>
      </c>
      <c r="I46" s="68" t="str">
        <f>'Necesidades Trimestrales'!F44</f>
        <v>UNIDAD</v>
      </c>
      <c r="J46" s="69">
        <f>'Necesidades Trimestrales'!H44</f>
        <v>215</v>
      </c>
      <c r="K46" s="70">
        <f>'Necesidades Trimestrales'!G44</f>
        <v>2400</v>
      </c>
    </row>
    <row r="47" spans="1:11" ht="20.25" customHeight="1" thickBot="1" x14ac:dyDescent="0.25">
      <c r="A47" s="8">
        <v>36</v>
      </c>
      <c r="B47" s="66">
        <f>'Necesidades Trimestrales'!B45</f>
        <v>0</v>
      </c>
      <c r="C47" s="97" t="str">
        <f>'Necesidades Trimestrales'!E45</f>
        <v>INDICADORES DE ESTERILIZACION,CALOR SECO,TIRAS INTEGRADORAS CLASE 5  CAJA X 100</v>
      </c>
      <c r="D47" s="97"/>
      <c r="E47" s="97"/>
      <c r="F47" s="97"/>
      <c r="G47" s="97"/>
      <c r="H47" s="67" t="s">
        <v>56</v>
      </c>
      <c r="I47" s="68" t="str">
        <f>'Necesidades Trimestrales'!F45</f>
        <v xml:space="preserve">CAJA </v>
      </c>
      <c r="J47" s="69">
        <f>'Necesidades Trimestrales'!H45</f>
        <v>2130</v>
      </c>
      <c r="K47" s="70">
        <f>'Necesidades Trimestrales'!G45</f>
        <v>8</v>
      </c>
    </row>
    <row r="48" spans="1:11" ht="20.25" customHeight="1" thickBot="1" x14ac:dyDescent="0.25">
      <c r="A48" s="8">
        <v>37</v>
      </c>
      <c r="B48" s="66">
        <f>'Necesidades Trimestrales'!B46</f>
        <v>0</v>
      </c>
      <c r="C48" s="97" t="str">
        <f>'Necesidades Trimestrales'!E46</f>
        <v xml:space="preserve">IODOPOVIDONA 5% JABON X 1 LITRO CON VALVULA ATOMIZADORA </v>
      </c>
      <c r="D48" s="97"/>
      <c r="E48" s="97"/>
      <c r="F48" s="97"/>
      <c r="G48" s="97"/>
      <c r="H48" s="67" t="s">
        <v>56</v>
      </c>
      <c r="I48" s="68" t="str">
        <f>'Necesidades Trimestrales'!F46</f>
        <v>BOTELLA</v>
      </c>
      <c r="J48" s="69">
        <f>'Necesidades Trimestrales'!H46</f>
        <v>420</v>
      </c>
      <c r="K48" s="70">
        <f>'Necesidades Trimestrales'!G46</f>
        <v>50</v>
      </c>
    </row>
    <row r="49" spans="1:11" ht="20.25" customHeight="1" thickBot="1" x14ac:dyDescent="0.25">
      <c r="A49" s="8">
        <v>38</v>
      </c>
      <c r="B49" s="66">
        <f>'Necesidades Trimestrales'!B47</f>
        <v>0</v>
      </c>
      <c r="C49" s="97" t="str">
        <f>'Necesidades Trimestrales'!E47</f>
        <v xml:space="preserve">JABON LIQUIDO HIPOALERGENICO CON EMOLIENTE  X 800 ML   TIPO ADOX  JL4  Envase BAG IN BOX </v>
      </c>
      <c r="D49" s="97"/>
      <c r="E49" s="97"/>
      <c r="F49" s="97"/>
      <c r="G49" s="97"/>
      <c r="H49" s="67" t="s">
        <v>56</v>
      </c>
      <c r="I49" s="68" t="str">
        <f>'Necesidades Trimestrales'!F47</f>
        <v>BAG IN BOX</v>
      </c>
      <c r="J49" s="69">
        <f>'Necesidades Trimestrales'!H47</f>
        <v>1089</v>
      </c>
      <c r="K49" s="70">
        <f>'Necesidades Trimestrales'!G47</f>
        <v>60</v>
      </c>
    </row>
    <row r="50" spans="1:11" ht="20.25" customHeight="1" thickBot="1" x14ac:dyDescent="0.25">
      <c r="A50" s="8">
        <v>39</v>
      </c>
      <c r="B50" s="66">
        <f>'Necesidades Trimestrales'!B48</f>
        <v>0</v>
      </c>
      <c r="C50" s="97" t="str">
        <f>'Necesidades Trimestrales'!E48</f>
        <v>LIGACLIP LT 300</v>
      </c>
      <c r="D50" s="97"/>
      <c r="E50" s="97"/>
      <c r="F50" s="97"/>
      <c r="G50" s="97"/>
      <c r="H50" s="67" t="s">
        <v>56</v>
      </c>
      <c r="I50" s="68" t="str">
        <f>'Necesidades Trimestrales'!F48</f>
        <v>UNIDAD</v>
      </c>
      <c r="J50" s="69">
        <f>'Necesidades Trimestrales'!H48</f>
        <v>1500</v>
      </c>
      <c r="K50" s="70">
        <f>'Necesidades Trimestrales'!G48</f>
        <v>750</v>
      </c>
    </row>
    <row r="51" spans="1:11" ht="20.25" customHeight="1" thickBot="1" x14ac:dyDescent="0.25">
      <c r="A51" s="8">
        <v>40</v>
      </c>
      <c r="B51" s="66">
        <f>'Necesidades Trimestrales'!B49</f>
        <v>0</v>
      </c>
      <c r="C51" s="97" t="str">
        <f>'Necesidades Trimestrales'!E49</f>
        <v>LIGACLIP LT 400</v>
      </c>
      <c r="D51" s="97"/>
      <c r="E51" s="97"/>
      <c r="F51" s="97"/>
      <c r="G51" s="97"/>
      <c r="H51" s="67" t="s">
        <v>56</v>
      </c>
      <c r="I51" s="68" t="str">
        <f>'Necesidades Trimestrales'!F49</f>
        <v>UNIDAD</v>
      </c>
      <c r="J51" s="69">
        <f>'Necesidades Trimestrales'!H49</f>
        <v>1500</v>
      </c>
      <c r="K51" s="70">
        <f>'Necesidades Trimestrales'!G49</f>
        <v>360</v>
      </c>
    </row>
    <row r="52" spans="1:11" ht="45" customHeight="1" thickBot="1" x14ac:dyDescent="0.25">
      <c r="A52" s="8">
        <v>41</v>
      </c>
      <c r="B52" s="66">
        <f>'Necesidades Trimestrales'!B50</f>
        <v>0</v>
      </c>
      <c r="C52" s="97" t="str">
        <f>'Necesidades Trimestrales'!E50</f>
        <v>LIMPIADOR DESINFECTANTE PARA AREAS CRITICAS  EN BASE A PEROXOSULFATO ACIDO DE POTASIO (0,46% activo por litro) .SOBRE POR 20 GRS . Estabilidad: 15 días desde su preparación. Aprobación PM ANMAT.</v>
      </c>
      <c r="D52" s="97"/>
      <c r="E52" s="97"/>
      <c r="F52" s="97"/>
      <c r="G52" s="97"/>
      <c r="H52" s="67" t="s">
        <v>56</v>
      </c>
      <c r="I52" s="68" t="str">
        <f>'Necesidades Trimestrales'!F50</f>
        <v>SOBRE</v>
      </c>
      <c r="J52" s="69">
        <f>'Necesidades Trimestrales'!H50</f>
        <v>181.5</v>
      </c>
      <c r="K52" s="70">
        <f>'Necesidades Trimestrales'!G50</f>
        <v>3000</v>
      </c>
    </row>
    <row r="53" spans="1:11" ht="34.5" customHeight="1" thickBot="1" x14ac:dyDescent="0.25">
      <c r="A53" s="8">
        <v>42</v>
      </c>
      <c r="B53" s="66">
        <f>'Necesidades Trimestrales'!B51</f>
        <v>0</v>
      </c>
      <c r="C53" s="97" t="str">
        <f>'Necesidades Trimestrales'!E51</f>
        <v>LOCION ALCOHOLICA BACTERICIDA CON CLORHEXIDINA + EMOLIENTES  X 800 ML  TIPO ADOX  L9   Envase BAG IN BOX</v>
      </c>
      <c r="D53" s="97"/>
      <c r="E53" s="97"/>
      <c r="F53" s="97"/>
      <c r="G53" s="97"/>
      <c r="H53" s="67" t="s">
        <v>56</v>
      </c>
      <c r="I53" s="68" t="str">
        <f>'Necesidades Trimestrales'!F51</f>
        <v>BAG IN BOX</v>
      </c>
      <c r="J53" s="69">
        <f>'Necesidades Trimestrales'!H51</f>
        <v>1161</v>
      </c>
      <c r="K53" s="70">
        <f>'Necesidades Trimestrales'!G51</f>
        <v>60</v>
      </c>
    </row>
    <row r="54" spans="1:11" ht="42" customHeight="1" thickBot="1" x14ac:dyDescent="0.25">
      <c r="A54" s="8">
        <v>43</v>
      </c>
      <c r="B54" s="66">
        <f>'Necesidades Trimestrales'!B52</f>
        <v>0</v>
      </c>
      <c r="C54" s="97" t="str">
        <f>'Necesidades Trimestrales'!E52</f>
        <v>LUPAS; POTENCIA: 75 Diop, DIAMETRO: 65 mm, MATERIAL LENTE: VIDRIO, ACCESORIO: C/LUZ, ARMAZON: PLASTICO, ESTRUCTURA: PLASTICO</v>
      </c>
      <c r="D54" s="97"/>
      <c r="E54" s="97"/>
      <c r="F54" s="97"/>
      <c r="G54" s="97"/>
      <c r="H54" s="67" t="s">
        <v>56</v>
      </c>
      <c r="I54" s="68" t="str">
        <f>'Necesidades Trimestrales'!F52</f>
        <v xml:space="preserve">UNIDAD </v>
      </c>
      <c r="J54" s="69">
        <f>'Necesidades Trimestrales'!H52</f>
        <v>8000</v>
      </c>
      <c r="K54" s="70">
        <f>'Necesidades Trimestrales'!G52</f>
        <v>2</v>
      </c>
    </row>
    <row r="55" spans="1:11" ht="42" customHeight="1" thickBot="1" x14ac:dyDescent="0.25">
      <c r="A55" s="8">
        <v>44</v>
      </c>
      <c r="B55" s="66">
        <f>'Necesidades Trimestrales'!B53</f>
        <v>0</v>
      </c>
      <c r="C55" s="97" t="str">
        <f>'Necesidades Trimestrales'!E53</f>
        <v>MASCARA PROTECTORA FACIAL  DE POLICARBONATO TRASPARENTE   REBATIBLE CON ARNES REFORZADO</v>
      </c>
      <c r="D55" s="97"/>
      <c r="E55" s="97"/>
      <c r="F55" s="97"/>
      <c r="G55" s="97"/>
      <c r="H55" s="67" t="s">
        <v>56</v>
      </c>
      <c r="I55" s="68" t="str">
        <f>'Necesidades Trimestrales'!F53</f>
        <v xml:space="preserve">UNIDAD </v>
      </c>
      <c r="J55" s="69">
        <f>'Necesidades Trimestrales'!H53</f>
        <v>1275</v>
      </c>
      <c r="K55" s="70">
        <f>'Necesidades Trimestrales'!G53</f>
        <v>50</v>
      </c>
    </row>
    <row r="56" spans="1:11" ht="20.25" customHeight="1" thickBot="1" x14ac:dyDescent="0.25">
      <c r="A56" s="8">
        <v>45</v>
      </c>
      <c r="B56" s="66">
        <f>'Necesidades Trimestrales'!B54</f>
        <v>0</v>
      </c>
      <c r="C56" s="97" t="str">
        <f>'Necesidades Trimestrales'!E54</f>
        <v>NITROFURAZONA X 1 LITRO</v>
      </c>
      <c r="D56" s="97"/>
      <c r="E56" s="97"/>
      <c r="F56" s="97"/>
      <c r="G56" s="97"/>
      <c r="H56" s="67" t="s">
        <v>56</v>
      </c>
      <c r="I56" s="68" t="str">
        <f>'Necesidades Trimestrales'!F54</f>
        <v>BOTELLA</v>
      </c>
      <c r="J56" s="69">
        <f>'Necesidades Trimestrales'!H54</f>
        <v>1200</v>
      </c>
      <c r="K56" s="70">
        <f>'Necesidades Trimestrales'!G54</f>
        <v>100</v>
      </c>
    </row>
    <row r="57" spans="1:11" ht="20.25" customHeight="1" thickBot="1" x14ac:dyDescent="0.25">
      <c r="A57" s="8">
        <v>46</v>
      </c>
      <c r="B57" s="66">
        <f>'Necesidades Trimestrales'!B55</f>
        <v>0</v>
      </c>
      <c r="C57" s="97" t="str">
        <f>'Necesidades Trimestrales'!E55</f>
        <v>PAPEL GRADO MEDICO 120 CM X 100 MTS</v>
      </c>
      <c r="D57" s="97"/>
      <c r="E57" s="97"/>
      <c r="F57" s="97"/>
      <c r="G57" s="97"/>
      <c r="H57" s="67" t="s">
        <v>56</v>
      </c>
      <c r="I57" s="68" t="str">
        <f>'Necesidades Trimestrales'!F55</f>
        <v xml:space="preserve">BOBINA </v>
      </c>
      <c r="J57" s="69">
        <f>'Necesidades Trimestrales'!H55</f>
        <v>1940</v>
      </c>
      <c r="K57" s="70">
        <f>'Necesidades Trimestrales'!G55</f>
        <v>40</v>
      </c>
    </row>
    <row r="58" spans="1:11" ht="20.25" customHeight="1" thickBot="1" x14ac:dyDescent="0.25">
      <c r="A58" s="8">
        <v>47</v>
      </c>
      <c r="B58" s="66">
        <f>'Necesidades Trimestrales'!B56</f>
        <v>0</v>
      </c>
      <c r="C58" s="97" t="str">
        <f>'Necesidades Trimestrales'!E56</f>
        <v>PAPEL GRADO MEDICO 60 GR ANCHO 60 CM X 100 MTS</v>
      </c>
      <c r="D58" s="97"/>
      <c r="E58" s="97"/>
      <c r="F58" s="97"/>
      <c r="G58" s="97"/>
      <c r="H58" s="67" t="s">
        <v>56</v>
      </c>
      <c r="I58" s="68" t="str">
        <f>'Necesidades Trimestrales'!F56</f>
        <v xml:space="preserve">BOBINA </v>
      </c>
      <c r="J58" s="69">
        <f>'Necesidades Trimestrales'!H56</f>
        <v>2100</v>
      </c>
      <c r="K58" s="70">
        <f>'Necesidades Trimestrales'!G56</f>
        <v>30</v>
      </c>
    </row>
    <row r="59" spans="1:11" ht="20.25" customHeight="1" thickBot="1" x14ac:dyDescent="0.25">
      <c r="A59" s="8">
        <v>48</v>
      </c>
      <c r="B59" s="66">
        <f>'Necesidades Trimestrales'!B57</f>
        <v>0</v>
      </c>
      <c r="C59" s="97" t="str">
        <f>'Necesidades Trimestrales'!E57</f>
        <v>SET DE NEFROSTOMIA 16 FRENCH TIPO COOK</v>
      </c>
      <c r="D59" s="97"/>
      <c r="E59" s="97"/>
      <c r="F59" s="97"/>
      <c r="G59" s="97"/>
      <c r="H59" s="67" t="s">
        <v>56</v>
      </c>
      <c r="I59" s="68" t="str">
        <f>'Necesidades Trimestrales'!F57</f>
        <v>UNIDAD</v>
      </c>
      <c r="J59" s="69">
        <f>'Necesidades Trimestrales'!H57</f>
        <v>112000</v>
      </c>
      <c r="K59" s="70">
        <f>'Necesidades Trimestrales'!G57</f>
        <v>3</v>
      </c>
    </row>
    <row r="60" spans="1:11" ht="20.25" customHeight="1" thickBot="1" x14ac:dyDescent="0.25">
      <c r="A60" s="8">
        <v>49</v>
      </c>
      <c r="B60" s="66">
        <f>'Necesidades Trimestrales'!B58</f>
        <v>0</v>
      </c>
      <c r="C60" s="97" t="str">
        <f>'Necesidades Trimestrales'!E58</f>
        <v>SONDA FOLEY TRIPLE VIA HEMATURICA Nº 20</v>
      </c>
      <c r="D60" s="97"/>
      <c r="E60" s="97"/>
      <c r="F60" s="97"/>
      <c r="G60" s="97"/>
      <c r="H60" s="67" t="s">
        <v>56</v>
      </c>
      <c r="I60" s="68" t="str">
        <f>'Necesidades Trimestrales'!F58</f>
        <v>UNIDAD</v>
      </c>
      <c r="J60" s="69">
        <f>'Necesidades Trimestrales'!H58</f>
        <v>1950</v>
      </c>
      <c r="K60" s="70">
        <f>'Necesidades Trimestrales'!G58</f>
        <v>10</v>
      </c>
    </row>
    <row r="61" spans="1:11" ht="20.25" customHeight="1" thickBot="1" x14ac:dyDescent="0.25">
      <c r="A61" s="8">
        <v>50</v>
      </c>
      <c r="B61" s="66">
        <f>'Necesidades Trimestrales'!B59</f>
        <v>0</v>
      </c>
      <c r="C61" s="97" t="str">
        <f>'Necesidades Trimestrales'!E59</f>
        <v>SONDA FOLEY TRIPLE VIA HEMATURICA Nº 22</v>
      </c>
      <c r="D61" s="97"/>
      <c r="E61" s="97"/>
      <c r="F61" s="97"/>
      <c r="G61" s="97"/>
      <c r="H61" s="67" t="s">
        <v>56</v>
      </c>
      <c r="I61" s="68" t="str">
        <f>'Necesidades Trimestrales'!F59</f>
        <v>UNIDAD</v>
      </c>
      <c r="J61" s="69">
        <f>'Necesidades Trimestrales'!H59</f>
        <v>1950</v>
      </c>
      <c r="K61" s="70">
        <f>'Necesidades Trimestrales'!G59</f>
        <v>10</v>
      </c>
    </row>
    <row r="62" spans="1:11" ht="20.25" customHeight="1" thickBot="1" x14ac:dyDescent="0.25">
      <c r="A62" s="8">
        <v>51</v>
      </c>
      <c r="B62" s="66">
        <f>'Necesidades Trimestrales'!B60</f>
        <v>0</v>
      </c>
      <c r="C62" s="97" t="str">
        <f>'Necesidades Trimestrales'!E60</f>
        <v>SONDA FOLEY TRIPLE VIA HEMATURICA Nº18</v>
      </c>
      <c r="D62" s="97"/>
      <c r="E62" s="97"/>
      <c r="F62" s="97"/>
      <c r="G62" s="97"/>
      <c r="H62" s="67" t="s">
        <v>56</v>
      </c>
      <c r="I62" s="68" t="str">
        <f>'Necesidades Trimestrales'!F60</f>
        <v>UNIDAD</v>
      </c>
      <c r="J62" s="69">
        <f>'Necesidades Trimestrales'!H60</f>
        <v>1950</v>
      </c>
      <c r="K62" s="70">
        <f>'Necesidades Trimestrales'!G60</f>
        <v>10</v>
      </c>
    </row>
    <row r="63" spans="1:11" ht="20.25" customHeight="1" thickBot="1" x14ac:dyDescent="0.25">
      <c r="A63" s="8">
        <v>52</v>
      </c>
      <c r="B63" s="66">
        <f>'Necesidades Trimestrales'!B61</f>
        <v>0</v>
      </c>
      <c r="C63" s="97" t="str">
        <f>'Necesidades Trimestrales'!E61</f>
        <v xml:space="preserve">SONDA PARA DRENAJE TORACICO SILICONADO 150/28 TIPO SILMAG </v>
      </c>
      <c r="D63" s="97"/>
      <c r="E63" s="97"/>
      <c r="F63" s="97"/>
      <c r="G63" s="97"/>
      <c r="H63" s="67" t="s">
        <v>56</v>
      </c>
      <c r="I63" s="68" t="str">
        <f>'Necesidades Trimestrales'!F61</f>
        <v>UNIDAD</v>
      </c>
      <c r="J63" s="69">
        <f>'Necesidades Trimestrales'!H61</f>
        <v>2862</v>
      </c>
      <c r="K63" s="70">
        <f>'Necesidades Trimestrales'!G61</f>
        <v>50</v>
      </c>
    </row>
    <row r="64" spans="1:11" ht="20.25" customHeight="1" thickBot="1" x14ac:dyDescent="0.25">
      <c r="A64" s="8">
        <v>53</v>
      </c>
      <c r="B64" s="66">
        <f>'Necesidades Trimestrales'!B62</f>
        <v>0</v>
      </c>
      <c r="C64" s="97" t="str">
        <f>'Necesidades Trimestrales'!E62</f>
        <v>SONDA PARA NUTRICION ENTERAL TIPO K108 DE RIVERO</v>
      </c>
      <c r="D64" s="97"/>
      <c r="E64" s="97"/>
      <c r="F64" s="97"/>
      <c r="G64" s="97"/>
      <c r="H64" s="67" t="s">
        <v>56</v>
      </c>
      <c r="I64" s="68" t="str">
        <f>'Necesidades Trimestrales'!F62</f>
        <v>UNIDAD</v>
      </c>
      <c r="J64" s="69">
        <f>'Necesidades Trimestrales'!H62</f>
        <v>4500</v>
      </c>
      <c r="K64" s="70">
        <f>'Necesidades Trimestrales'!G62</f>
        <v>50</v>
      </c>
    </row>
    <row r="65" spans="1:1024" ht="20.25" customHeight="1" thickBot="1" x14ac:dyDescent="0.25">
      <c r="A65" s="8">
        <v>54</v>
      </c>
      <c r="B65" s="66">
        <f>'Necesidades Trimestrales'!B63</f>
        <v>0</v>
      </c>
      <c r="C65" s="97" t="str">
        <f>'Necesidades Trimestrales'!E63</f>
        <v>SURGICEL 7 x 5 CM SOBRE</v>
      </c>
      <c r="D65" s="97"/>
      <c r="E65" s="97"/>
      <c r="F65" s="97"/>
      <c r="G65" s="97"/>
      <c r="H65" s="67" t="s">
        <v>56</v>
      </c>
      <c r="I65" s="68" t="str">
        <f>'Necesidades Trimestrales'!F63</f>
        <v>UNIDAD</v>
      </c>
      <c r="J65" s="69">
        <f>'Necesidades Trimestrales'!H63</f>
        <v>1150</v>
      </c>
      <c r="K65" s="70">
        <f>'Necesidades Trimestrales'!G63</f>
        <v>48</v>
      </c>
    </row>
    <row r="66" spans="1:1024" ht="20.25" customHeight="1" thickBot="1" x14ac:dyDescent="0.25">
      <c r="A66" s="8">
        <v>55</v>
      </c>
      <c r="B66" s="66">
        <f>'Necesidades Trimestrales'!B64</f>
        <v>0</v>
      </c>
      <c r="C66" s="97" t="str">
        <f>'Necesidades Trimestrales'!E64</f>
        <v>TUBO DE INTUBACION SELECTIVA DERECHO CH 35</v>
      </c>
      <c r="D66" s="97"/>
      <c r="E66" s="97"/>
      <c r="F66" s="97"/>
      <c r="G66" s="97"/>
      <c r="H66" s="67" t="s">
        <v>56</v>
      </c>
      <c r="I66" s="68" t="str">
        <f>'Necesidades Trimestrales'!F64</f>
        <v>UNIDAD</v>
      </c>
      <c r="J66" s="69">
        <f>'Necesidades Trimestrales'!H64</f>
        <v>5800</v>
      </c>
      <c r="K66" s="70">
        <f>'Necesidades Trimestrales'!G64</f>
        <v>2</v>
      </c>
    </row>
    <row r="67" spans="1:1024" ht="20.25" customHeight="1" thickBot="1" x14ac:dyDescent="0.25">
      <c r="A67" s="8">
        <v>56</v>
      </c>
      <c r="B67" s="66">
        <f>'Necesidades Trimestrales'!B65</f>
        <v>0</v>
      </c>
      <c r="C67" s="97" t="str">
        <f>'Necesidades Trimestrales'!E65</f>
        <v>TUBO DE INTUBACION SELECTIVA DERECHO CH 37</v>
      </c>
      <c r="D67" s="97"/>
      <c r="E67" s="97"/>
      <c r="F67" s="97"/>
      <c r="G67" s="97"/>
      <c r="H67" s="67" t="s">
        <v>56</v>
      </c>
      <c r="I67" s="68" t="str">
        <f>'Necesidades Trimestrales'!F65</f>
        <v>UNIDAD</v>
      </c>
      <c r="J67" s="69">
        <f>'Necesidades Trimestrales'!H65</f>
        <v>5800</v>
      </c>
      <c r="K67" s="70">
        <f>'Necesidades Trimestrales'!G65</f>
        <v>2</v>
      </c>
    </row>
    <row r="68" spans="1:1024" ht="20.25" customHeight="1" thickBot="1" x14ac:dyDescent="0.25">
      <c r="A68" s="8">
        <v>57</v>
      </c>
      <c r="B68" s="66">
        <f>'Necesidades Trimestrales'!B66</f>
        <v>0</v>
      </c>
      <c r="C68" s="97" t="str">
        <f>'Necesidades Trimestrales'!E66</f>
        <v>TUBO DE INTUBACION SELECTIVA IZQUIERDO CH 35</v>
      </c>
      <c r="D68" s="97"/>
      <c r="E68" s="97"/>
      <c r="F68" s="97"/>
      <c r="G68" s="97"/>
      <c r="H68" s="67" t="s">
        <v>56</v>
      </c>
      <c r="I68" s="68" t="str">
        <f>'Necesidades Trimestrales'!F66</f>
        <v>UNIDAD</v>
      </c>
      <c r="J68" s="69">
        <f>'Necesidades Trimestrales'!H66</f>
        <v>5800</v>
      </c>
      <c r="K68" s="70">
        <f>'Necesidades Trimestrales'!G66</f>
        <v>2</v>
      </c>
    </row>
    <row r="69" spans="1:1024" ht="20.25" customHeight="1" thickBot="1" x14ac:dyDescent="0.25">
      <c r="A69" s="8">
        <v>58</v>
      </c>
      <c r="B69" s="66">
        <f>'Necesidades Trimestrales'!B67</f>
        <v>0</v>
      </c>
      <c r="C69" s="97" t="str">
        <f>'Necesidades Trimestrales'!E67</f>
        <v>TUBO DE INTUBACION SELECTIVA IZQUIERDO CH 37</v>
      </c>
      <c r="D69" s="97"/>
      <c r="E69" s="97"/>
      <c r="F69" s="97"/>
      <c r="G69" s="97"/>
      <c r="H69" s="67" t="s">
        <v>56</v>
      </c>
      <c r="I69" s="68" t="str">
        <f>'Necesidades Trimestrales'!F67</f>
        <v>UNIDAD</v>
      </c>
      <c r="J69" s="69">
        <f>'Necesidades Trimestrales'!H67</f>
        <v>5800</v>
      </c>
      <c r="K69" s="70">
        <f>'Necesidades Trimestrales'!G67</f>
        <v>2</v>
      </c>
    </row>
    <row r="70" spans="1:1024" ht="20.25" customHeight="1" thickBot="1" x14ac:dyDescent="0.25">
      <c r="A70" s="8">
        <v>59</v>
      </c>
      <c r="B70" s="66">
        <f>'Necesidades Trimestrales'!B68</f>
        <v>0</v>
      </c>
      <c r="C70" s="97" t="str">
        <f>'Necesidades Trimestrales'!E68</f>
        <v>TUBO ENDOTRAQUEAL CON BALON Nº 7</v>
      </c>
      <c r="D70" s="97"/>
      <c r="E70" s="97"/>
      <c r="F70" s="97"/>
      <c r="G70" s="97"/>
      <c r="H70" s="67" t="s">
        <v>56</v>
      </c>
      <c r="I70" s="68" t="str">
        <f>'Necesidades Trimestrales'!F68</f>
        <v>UNIDAD</v>
      </c>
      <c r="J70" s="69">
        <f>'Necesidades Trimestrales'!H68</f>
        <v>70</v>
      </c>
      <c r="K70" s="70">
        <f>'Necesidades Trimestrales'!G68</f>
        <v>300</v>
      </c>
    </row>
    <row r="71" spans="1:1024" ht="20.25" customHeight="1" thickBot="1" x14ac:dyDescent="0.25">
      <c r="A71" s="8">
        <v>60</v>
      </c>
      <c r="B71" s="66">
        <f>'Necesidades Trimestrales'!B69</f>
        <v>0</v>
      </c>
      <c r="C71" s="97" t="str">
        <f>'Necesidades Trimestrales'!E69</f>
        <v>TUBO P/DRENAJE 110-12-SILMAG</v>
      </c>
      <c r="D71" s="97"/>
      <c r="E71" s="97"/>
      <c r="F71" s="97"/>
      <c r="G71" s="97"/>
      <c r="H71" s="67" t="s">
        <v>56</v>
      </c>
      <c r="I71" s="68" t="str">
        <f>'Necesidades Trimestrales'!F69</f>
        <v>UNIDAD</v>
      </c>
      <c r="J71" s="69">
        <f>'Necesidades Trimestrales'!H69</f>
        <v>2980</v>
      </c>
      <c r="K71" s="70">
        <f>'Necesidades Trimestrales'!G69</f>
        <v>4</v>
      </c>
    </row>
    <row r="72" spans="1:1024" ht="20.25" customHeight="1" thickBot="1" x14ac:dyDescent="0.25">
      <c r="A72" s="95" t="s">
        <v>155</v>
      </c>
      <c r="B72" s="95"/>
      <c r="C72" s="95"/>
      <c r="D72" s="95"/>
      <c r="E72" s="95"/>
      <c r="F72" s="95"/>
      <c r="G72" s="95"/>
      <c r="H72" s="95"/>
      <c r="I72" s="95"/>
      <c r="J72" s="96">
        <f>SUMPRODUCT(J12:J71,K12:K71)</f>
        <v>8216029.3399999999</v>
      </c>
      <c r="K72" s="96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</sheetData>
  <mergeCells count="82">
    <mergeCell ref="C66:G66"/>
    <mergeCell ref="C67:G67"/>
    <mergeCell ref="C68:G68"/>
    <mergeCell ref="C69:G69"/>
    <mergeCell ref="C70:G70"/>
    <mergeCell ref="C71:G71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A72:I72"/>
    <mergeCell ref="J72:K7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6" zoomScale="130" zoomScaleNormal="130" workbookViewId="0">
      <selection activeCell="P33" sqref="P3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8" t="s">
        <v>3</v>
      </c>
      <c r="B1" s="98"/>
      <c r="C1" s="98"/>
      <c r="D1" s="99">
        <f>'Necesidades Trimestrales'!C6</f>
        <v>2021</v>
      </c>
      <c r="E1" s="99"/>
      <c r="F1" s="10"/>
      <c r="G1" s="10"/>
      <c r="H1" s="11"/>
      <c r="I1" s="11"/>
      <c r="J1" s="11"/>
      <c r="K1" s="11"/>
      <c r="L1" s="11"/>
      <c r="M1" s="11"/>
      <c r="N1" s="11"/>
      <c r="P1" s="100" t="s">
        <v>30</v>
      </c>
      <c r="Q1" s="10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0"/>
      <c r="Q2" s="100"/>
    </row>
    <row r="4" spans="1:17" s="12" customFormat="1" ht="18" customHeight="1" thickBot="1" x14ac:dyDescent="0.25">
      <c r="A4" s="101" t="s">
        <v>31</v>
      </c>
      <c r="B4" s="101"/>
      <c r="C4" s="101"/>
      <c r="D4" s="101"/>
      <c r="E4" s="101"/>
      <c r="F4" s="101"/>
      <c r="G4" s="102" t="str">
        <f>NotaPedido!D3</f>
        <v>40 - Ministerio de Salud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s="12" customFormat="1" ht="18" customHeight="1" thickBot="1" x14ac:dyDescent="0.25">
      <c r="A5" s="103" t="s">
        <v>54</v>
      </c>
      <c r="B5" s="104"/>
      <c r="C5" s="104"/>
      <c r="D5" s="104"/>
      <c r="E5" s="104"/>
      <c r="F5" s="105"/>
      <c r="G5" s="102" t="str">
        <f>NotaPedido!D4</f>
        <v>23 - Hospital Interzonal San Juan Bautista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s="12" customFormat="1" ht="18" customHeight="1" thickBot="1" x14ac:dyDescent="0.25">
      <c r="A6" s="103" t="s">
        <v>32</v>
      </c>
      <c r="B6" s="104"/>
      <c r="C6" s="104"/>
      <c r="D6" s="104"/>
      <c r="E6" s="104"/>
      <c r="F6" s="105"/>
      <c r="G6" s="102" t="str">
        <f>NotaPedido!D5</f>
        <v>168 - Direccion Asistencial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s="12" customFormat="1" ht="18" customHeight="1" thickBot="1" x14ac:dyDescent="0.25">
      <c r="A7" s="103" t="s">
        <v>55</v>
      </c>
      <c r="B7" s="104"/>
      <c r="C7" s="104"/>
      <c r="D7" s="104"/>
      <c r="E7" s="104"/>
      <c r="F7" s="105"/>
      <c r="G7" s="102" t="str">
        <f>NotaPedido!D6</f>
        <v>Servicio de Farmacia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thickBot="1" x14ac:dyDescent="0.25">
      <c r="A8" s="106" t="s">
        <v>33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34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13"/>
    </row>
    <row r="10" spans="1:17" ht="54.75" customHeight="1" x14ac:dyDescent="0.2">
      <c r="A10" s="10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087 - 2021,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9" t="s">
        <v>35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x14ac:dyDescent="0.2">
      <c r="A13" s="110" t="s">
        <v>36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37</v>
      </c>
      <c r="P13" s="111"/>
      <c r="Q13" s="112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1"/>
      <c r="P14" s="111"/>
      <c r="Q14" s="112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65</v>
      </c>
      <c r="I15" s="76">
        <v>2</v>
      </c>
      <c r="J15" s="76">
        <v>5</v>
      </c>
      <c r="K15" s="76">
        <v>1</v>
      </c>
      <c r="L15" s="74"/>
      <c r="M15" s="77">
        <v>1</v>
      </c>
      <c r="N15" s="75" t="s">
        <v>66</v>
      </c>
      <c r="O15" s="113" t="s">
        <v>61</v>
      </c>
      <c r="P15" s="113"/>
      <c r="Q15" s="23">
        <v>866800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71" t="s">
        <v>65</v>
      </c>
      <c r="I16" s="25">
        <v>2</v>
      </c>
      <c r="J16" s="25">
        <v>5</v>
      </c>
      <c r="K16" s="25">
        <v>2</v>
      </c>
      <c r="L16" s="25"/>
      <c r="M16" s="26">
        <v>1</v>
      </c>
      <c r="N16" s="72" t="s">
        <v>66</v>
      </c>
      <c r="O16" s="170" t="s">
        <v>62</v>
      </c>
      <c r="P16" s="170"/>
      <c r="Q16" s="28">
        <v>396240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71" t="s">
        <v>65</v>
      </c>
      <c r="I17" s="25">
        <v>2</v>
      </c>
      <c r="J17" s="25">
        <v>5</v>
      </c>
      <c r="K17" s="25">
        <v>9</v>
      </c>
      <c r="L17" s="25"/>
      <c r="M17" s="26">
        <v>1</v>
      </c>
      <c r="N17" s="72" t="s">
        <v>66</v>
      </c>
      <c r="O17" s="114" t="s">
        <v>64</v>
      </c>
      <c r="P17" s="114"/>
      <c r="Q17" s="28">
        <v>140600</v>
      </c>
      <c r="S17" s="78"/>
    </row>
    <row r="18" spans="1:19" ht="17.25" customHeight="1" x14ac:dyDescent="0.2">
      <c r="A18" s="24">
        <v>33</v>
      </c>
      <c r="B18" s="25"/>
      <c r="C18" s="25"/>
      <c r="D18" s="25">
        <v>2</v>
      </c>
      <c r="E18" s="25"/>
      <c r="F18" s="25">
        <v>4901</v>
      </c>
      <c r="G18" s="25">
        <v>3</v>
      </c>
      <c r="H18" s="71" t="s">
        <v>65</v>
      </c>
      <c r="I18" s="25">
        <v>2</v>
      </c>
      <c r="J18" s="25">
        <v>9</v>
      </c>
      <c r="K18" s="25">
        <v>5</v>
      </c>
      <c r="L18" s="25"/>
      <c r="M18" s="26">
        <v>1</v>
      </c>
      <c r="N18" s="72" t="s">
        <v>66</v>
      </c>
      <c r="O18" s="114" t="s">
        <v>67</v>
      </c>
      <c r="P18" s="114"/>
      <c r="Q18" s="28">
        <v>6812389.3399999999</v>
      </c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5"/>
      <c r="P19" s="11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5"/>
      <c r="P20" s="11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1"/>
      <c r="P21" s="121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2"/>
      <c r="P22" s="122"/>
      <c r="Q22" s="37"/>
    </row>
    <row r="23" spans="1:19" ht="20.25" customHeight="1" x14ac:dyDescent="0.2">
      <c r="A23" s="171" t="s">
        <v>156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38">
        <f>SUM(Q15:Q22)</f>
        <v>8216029.3399999999</v>
      </c>
    </row>
    <row r="24" spans="1:19" ht="18" customHeight="1" thickBo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9" ht="17.25" customHeight="1" thickBot="1" x14ac:dyDescent="0.25">
      <c r="A25" s="116" t="s">
        <v>52</v>
      </c>
      <c r="B25" s="117"/>
      <c r="C25" s="117"/>
      <c r="D25" s="117"/>
      <c r="E25" s="117"/>
      <c r="F25" s="118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9" ht="18" customHeight="1" thickBot="1" x14ac:dyDescent="0.25">
      <c r="A26" s="120" t="str">
        <f>"Para la "&amp; NotaPedido!D8 &amp;" para ser destinados al " &amp; NotaPedido!D6 &amp;"  del HISJB del Ministerio de Salud."</f>
        <v>Para la Adquisición de Descartables para Farmacia  para ser destinados al Servicio de Farmacia  del HISJB del Ministerio de Salud.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</row>
    <row r="27" spans="1:19" ht="15" customHeight="1" x14ac:dyDescent="0.2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2021-11-23T12:56:56Z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