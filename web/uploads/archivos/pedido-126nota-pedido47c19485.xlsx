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3F5A3233-8955-490E-96DF-600F7DA83BE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 (2)" sheetId="3" r:id="rId1"/>
    <sheet name="NP" sheetId="5" r:id="rId2"/>
    <sheet name="APG" sheetId="4" r:id="rId3"/>
  </sheets>
  <definedNames>
    <definedName name="_xlnm._FilterDatabase" localSheetId="0" hidden="1">'Necesidades Trimestrales (2)'!$A$9:$AU$15</definedName>
  </definedNames>
  <calcPr calcId="181029"/>
</workbook>
</file>

<file path=xl/calcChain.xml><?xml version="1.0" encoding="utf-8"?>
<calcChain xmlns="http://schemas.openxmlformats.org/spreadsheetml/2006/main">
  <c r="G4" i="4" l="1"/>
  <c r="G5" i="4"/>
  <c r="A26" i="4" l="1"/>
  <c r="G7" i="4"/>
  <c r="G6" i="4"/>
  <c r="J16" i="5"/>
  <c r="J15" i="5"/>
  <c r="J14" i="5"/>
  <c r="J13" i="5"/>
  <c r="J12" i="5"/>
  <c r="I16" i="5"/>
  <c r="I15" i="5"/>
  <c r="I14" i="5"/>
  <c r="I13" i="5"/>
  <c r="I12" i="5"/>
  <c r="C16" i="5"/>
  <c r="C15" i="5"/>
  <c r="C14" i="5"/>
  <c r="C13" i="5"/>
  <c r="C12" i="5"/>
  <c r="T10" i="3" l="1"/>
  <c r="T14" i="3"/>
  <c r="T13" i="3"/>
  <c r="T12" i="3"/>
  <c r="T11" i="3"/>
  <c r="AS10" i="3"/>
  <c r="AS14" i="3"/>
  <c r="AS13" i="3"/>
  <c r="AS12" i="3"/>
  <c r="AS11" i="3"/>
  <c r="AU10" i="3" l="1"/>
  <c r="K12" i="5"/>
  <c r="M12" i="5" s="1"/>
  <c r="AU11" i="3"/>
  <c r="K13" i="5"/>
  <c r="M13" i="5" s="1"/>
  <c r="AU12" i="3"/>
  <c r="K14" i="5"/>
  <c r="M14" i="5" s="1"/>
  <c r="AU13" i="3"/>
  <c r="K15" i="5"/>
  <c r="M15" i="5" s="1"/>
  <c r="AU14" i="3"/>
  <c r="K16" i="5"/>
  <c r="M16" i="5" s="1"/>
  <c r="AU15" i="3" l="1"/>
  <c r="M18" i="5"/>
  <c r="J18" i="5" l="1"/>
  <c r="Q15" i="4"/>
  <c r="Q23" i="4" s="1"/>
</calcChain>
</file>

<file path=xl/sharedStrings.xml><?xml version="1.0" encoding="utf-8"?>
<sst xmlns="http://schemas.openxmlformats.org/spreadsheetml/2006/main" count="140" uniqueCount="122">
  <si>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</si>
  <si>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</si>
  <si>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</si>
  <si>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</si>
  <si>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</si>
  <si>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</si>
  <si>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</si>
  <si>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</si>
  <si>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</si>
  <si>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</si>
  <si>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</si>
  <si>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</si>
  <si>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UNIDAD</t>
  </si>
  <si>
    <t>40 - MINISTERIO DE SALUD</t>
  </si>
  <si>
    <t>Pedido de Necesidades Trimestrales</t>
  </si>
  <si>
    <t>CANTIDAD TOTAL</t>
  </si>
  <si>
    <t>DIR. LAB. CENTRAL</t>
  </si>
  <si>
    <t>TOTAL DE LAB CENTRAL</t>
  </si>
  <si>
    <t xml:space="preserve">BCO DE SANGRE </t>
  </si>
  <si>
    <t xml:space="preserve">TOTAL BANCO DE SANGRE 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</si>
  <si>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</si>
  <si>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</si>
  <si>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</si>
  <si>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</si>
  <si>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</si>
  <si>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</si>
  <si>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</si>
  <si>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</si>
  <si>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</si>
  <si>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</si>
  <si>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</si>
  <si>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</si>
  <si>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</si>
  <si>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</si>
  <si>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</si>
  <si>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</si>
  <si>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</si>
  <si>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</si>
  <si>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</si>
  <si>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</si>
  <si>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</si>
  <si>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</si>
  <si>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</si>
  <si>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</si>
  <si>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PLANIFICACION</t>
  </si>
  <si>
    <t>TOTAL PLANIFICA</t>
  </si>
  <si>
    <t>SALUD MENTAL</t>
  </si>
  <si>
    <t>TOTAL SALUD MENTAL</t>
  </si>
  <si>
    <t>AREAS Y DPAS</t>
  </si>
  <si>
    <t>TOTAL DPAS</t>
  </si>
  <si>
    <t>PROD. MEDICO/FARMACEUTICOS/LAB</t>
  </si>
  <si>
    <t>AGUA DESTILADA EN AMPOLLAS</t>
  </si>
  <si>
    <t>SOLUCION DEXTROSA AL 10% SACHET DE 500 ML</t>
  </si>
  <si>
    <t>SOLUCION DEXTROSA AL 5 % SACHET DE 500 ML</t>
  </si>
  <si>
    <t>SOLUCION FISIOLOGICA 0,9 % SACHET X 500 ML</t>
  </si>
  <si>
    <t>SOLUCION FISIOLOGICA 0,9% SACHET X 100 ML</t>
  </si>
  <si>
    <t xml:space="preserve">TOTAL DE NUTRICION Y SOLUCION </t>
  </si>
  <si>
    <t>SEC PREV</t>
  </si>
  <si>
    <t>TOTAL SEC PREVEN</t>
  </si>
  <si>
    <t>DIR DE ADM</t>
  </si>
  <si>
    <t>TOTAL DIR ADM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</si>
  <si>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</si>
  <si>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</si>
  <si>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</si>
  <si>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</si>
  <si>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</si>
  <si>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</si>
  <si>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</si>
  <si>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</si>
  <si>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</si>
  <si>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</si>
  <si>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</si>
  <si>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</si>
  <si>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</si>
  <si>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</si>
  <si>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</si>
  <si>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</si>
  <si>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</si>
  <si>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</si>
  <si>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</si>
  <si>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</si>
  <si>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</si>
  <si>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</si>
  <si>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</si>
  <si>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</si>
  <si>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</si>
  <si>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</si>
  <si>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</si>
  <si>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</si>
  <si>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</si>
  <si>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</si>
  <si>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</si>
  <si>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</si>
  <si>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</si>
  <si>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</si>
  <si>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</si>
  <si>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</si>
  <si>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</si>
  <si>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</si>
  <si>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</si>
  <si>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Productos Farmacéuticos y Medicinales</t>
  </si>
  <si>
    <t>JUSTIFICACIÓN:</t>
  </si>
  <si>
    <t>11 - DIRECCION PROVINCIAL DE ADMINISTRACION - MINISTERIO DE SALUD</t>
  </si>
  <si>
    <t>469 - DIRECCION PROVINCIAL DE FARMACIA E INSUMOS</t>
  </si>
  <si>
    <t>Autorizo la realización de los  trámites correspondientes, a fin de proveer a  este Organismo los bienes que se detallan en Nota de pedido y Entrega N° 38/2021,  afectando la erogación resultante a los créditos presupuestarios aprobados a favor de esta Unidad Ejecutora, conforme al siguiente detalle:</t>
  </si>
  <si>
    <t>_38/21</t>
  </si>
  <si>
    <t>3° TRIMESTRE 2021</t>
  </si>
  <si>
    <t>Adquisicion del  Rubro NUTRICION Y SOLUCIONES QUE AFECTAN EL EQUILIBRIO HIDROELECTROLITICO Y
SOLUCIONES PARA DIALISIS</t>
  </si>
  <si>
    <t>TERCER TRIMESTRE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</si>
  <si>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</si>
  <si>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</si>
  <si>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</si>
  <si>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veinte (20) dias corridos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</si>
  <si>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</si>
  <si>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</si>
  <si>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</si>
  <si>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</si>
  <si>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</si>
  <si>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 xml:space="preserve">NO </t>
  </si>
  <si>
    <t>Costo total estimado: TRES MILLONES TRESCIENTOS OCHENTA Y CUATRO MIL NOVECIENTOS CUARENTA con 00/100</t>
  </si>
  <si>
    <t>TOTAL DE PESOS: TRES MILLONES TRESCIENTOS OCHENTA Y CUATRO MIL NOVECIENTOS CUARENTA con 00/100</t>
  </si>
  <si>
    <t>TRES MILLONES TRESCIENTOS OCHENTA Y CUATRO MIL NOVECIENTOS CUARENTA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</si>
</sst>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* #,##0.00&quot; €&quot;_-;\-* #,##0.00&quot; €&quot;_-;_-* \-??&quot; €&quot;_-;_-@_-"/>
    <numFmt numFmtId="166" formatCode="_-[$$-2C0A]\ * #,##0.00_-;\-[$$-2C0A]\ * #,##0.00_-;_-[$$-2C0A]\ * &quot;-&quot;??_-;_-@_-"/>
    <numFmt numFmtId="167" formatCode="[$$-2C0A]\ #,##0.00;[$$-2C0A]&quot; -&quot;#,##0.00"/>
    <numFmt numFmtId="168" formatCode="[$$-2C0A]\ #,##0.00"/>
    <numFmt numFmtId="169" formatCode="&quot;$&quot;\ #,##0.00"/>
    <numFmt numFmtId="170" formatCode="dd\-mm\-yy;@"/>
    <numFmt numFmtId="171" formatCode="_(\$* #,##0.00_);_(\$* \(#,##0.00\);_(\$* \-??_);_(@_)"/>
  </numFmts>
  <fonts count="3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2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color theme="0"/>
      <name val="Arial"/>
      <family val="2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name val="Arial"/>
      <family val="2"/>
      <charset val="1"/>
    </font>
    <font>
      <sz val="11"/>
      <name val="Calibri"/>
      <family val="2"/>
      <scheme val="minor"/>
    </font>
    <font>
      <sz val="11"/>
      <name val="Times New Roman"/>
      <family val="1"/>
      <charset val="1"/>
    </font>
    <font>
      <b/>
      <sz val="10"/>
      <name val="Arial"/>
      <family val="2"/>
    </font>
    <font>
      <b/>
      <sz val="10"/>
      <name val="Times New Roman"/>
      <family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</borders>
  <cellStyleXfs count="26">
    <xf numFmtId="0" fontId="0" fillId="0" borderId="0"/>
    <xf numFmtId="165" fontId="6" fillId="0" borderId="0" applyBorder="0" applyProtection="0"/>
    <xf numFmtId="0" fontId="4" fillId="0" borderId="1" applyProtection="0"/>
    <xf numFmtId="0" fontId="5" fillId="2" borderId="0" applyBorder="0" applyProtection="0"/>
    <xf numFmtId="0" fontId="12" fillId="0" borderId="0"/>
    <xf numFmtId="164" fontId="12" fillId="0" borderId="0" applyBorder="0" applyAlignment="0" applyProtection="0"/>
    <xf numFmtId="0" fontId="12" fillId="0" borderId="0"/>
    <xf numFmtId="0" fontId="12" fillId="0" borderId="0"/>
    <xf numFmtId="0" fontId="12" fillId="0" borderId="0"/>
    <xf numFmtId="0" fontId="3" fillId="0" borderId="0"/>
    <xf numFmtId="0" fontId="6" fillId="0" borderId="0"/>
    <xf numFmtId="165" fontId="6" fillId="0" borderId="0" applyBorder="0" applyProtection="0"/>
    <xf numFmtId="0" fontId="4" fillId="0" borderId="1" applyProtection="0"/>
    <xf numFmtId="0" fontId="6" fillId="0" borderId="0"/>
    <xf numFmtId="164" fontId="6" fillId="0" borderId="0" applyBorder="0" applyAlignment="0" applyProtection="0"/>
    <xf numFmtId="0" fontId="6" fillId="0" borderId="0"/>
    <xf numFmtId="0" fontId="6" fillId="0" borderId="0"/>
    <xf numFmtId="0" fontId="6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65" fontId="6" fillId="0" borderId="0" applyBorder="0" applyProtection="0"/>
    <xf numFmtId="0" fontId="2" fillId="0" borderId="0"/>
    <xf numFmtId="0" fontId="2" fillId="0" borderId="0"/>
    <xf numFmtId="0" fontId="1" fillId="0" borderId="0"/>
    <xf numFmtId="171" fontId="28" fillId="0" borderId="0" applyBorder="0" applyProtection="0"/>
  </cellStyleXfs>
  <cellXfs count="195">
    <xf numFmtId="0" fontId="0" fillId="0" borderId="0" xfId="0"/>
    <xf numFmtId="0" fontId="7" fillId="0" borderId="0" xfId="0" applyFont="1"/>
    <xf numFmtId="0" fontId="9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3" fontId="13" fillId="4" borderId="2" xfId="0" applyNumberFormat="1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vertical="center"/>
    </xf>
    <xf numFmtId="0" fontId="15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5" fillId="0" borderId="4" xfId="0" applyFont="1" applyBorder="1" applyAlignment="1">
      <alignment horizontal="center" wrapText="1"/>
    </xf>
    <xf numFmtId="168" fontId="7" fillId="0" borderId="0" xfId="0" applyNumberFormat="1" applyFont="1" applyAlignment="1">
      <alignment horizontal="center"/>
    </xf>
    <xf numFmtId="0" fontId="15" fillId="0" borderId="4" xfId="0" applyFont="1" applyBorder="1" applyAlignment="1">
      <alignment horizontal="center" vertical="center"/>
    </xf>
    <xf numFmtId="0" fontId="15" fillId="4" borderId="4" xfId="0" applyFont="1" applyFill="1" applyBorder="1" applyAlignment="1">
      <alignment horizontal="center"/>
    </xf>
    <xf numFmtId="0" fontId="15" fillId="0" borderId="4" xfId="0" applyFont="1" applyBorder="1" applyAlignment="1">
      <alignment horizontal="center"/>
    </xf>
    <xf numFmtId="3" fontId="15" fillId="0" borderId="4" xfId="0" applyNumberFormat="1" applyFont="1" applyBorder="1" applyAlignment="1">
      <alignment horizontal="center" vertical="center"/>
    </xf>
    <xf numFmtId="166" fontId="15" fillId="0" borderId="4" xfId="0" applyNumberFormat="1" applyFont="1" applyBorder="1" applyAlignment="1">
      <alignment vertical="center"/>
    </xf>
    <xf numFmtId="3" fontId="18" fillId="4" borderId="4" xfId="0" applyNumberFormat="1" applyFont="1" applyFill="1" applyBorder="1" applyAlignment="1">
      <alignment horizontal="center" vertical="center"/>
    </xf>
    <xf numFmtId="0" fontId="18" fillId="4" borderId="4" xfId="0" applyFont="1" applyFill="1" applyBorder="1" applyAlignment="1">
      <alignment horizontal="left" vertical="center" wrapText="1"/>
    </xf>
    <xf numFmtId="3" fontId="15" fillId="0" borderId="4" xfId="0" applyNumberFormat="1" applyFont="1" applyBorder="1" applyAlignment="1">
      <alignment horizontal="center"/>
    </xf>
    <xf numFmtId="169" fontId="15" fillId="0" borderId="4" xfId="0" applyNumberFormat="1" applyFont="1" applyBorder="1" applyAlignment="1">
      <alignment horizontal="center"/>
    </xf>
    <xf numFmtId="0" fontId="15" fillId="4" borderId="4" xfId="0" applyFont="1" applyFill="1" applyBorder="1" applyAlignment="1">
      <alignment horizontal="left" vertical="center" wrapText="1"/>
    </xf>
    <xf numFmtId="166" fontId="20" fillId="0" borderId="4" xfId="0" applyNumberFormat="1" applyFont="1" applyBorder="1" applyAlignment="1">
      <alignment vertical="center"/>
    </xf>
    <xf numFmtId="168" fontId="15" fillId="0" borderId="4" xfId="0" applyNumberFormat="1" applyFont="1" applyBorder="1" applyAlignment="1">
      <alignment horizontal="center"/>
    </xf>
    <xf numFmtId="1" fontId="15" fillId="0" borderId="4" xfId="0" applyNumberFormat="1" applyFont="1" applyBorder="1" applyAlignment="1">
      <alignment horizontal="center"/>
    </xf>
    <xf numFmtId="3" fontId="15" fillId="4" borderId="4" xfId="0" applyNumberFormat="1" applyFont="1" applyFill="1" applyBorder="1" applyAlignment="1">
      <alignment horizontal="center" vertical="center" wrapText="1"/>
    </xf>
    <xf numFmtId="3" fontId="18" fillId="4" borderId="4" xfId="0" applyNumberFormat="1" applyFont="1" applyFill="1" applyBorder="1" applyAlignment="1">
      <alignment horizontal="center" vertical="center" wrapText="1"/>
    </xf>
    <xf numFmtId="3" fontId="21" fillId="0" borderId="4" xfId="0" applyNumberFormat="1" applyFont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 wrapText="1"/>
    </xf>
    <xf numFmtId="0" fontId="15" fillId="4" borderId="4" xfId="17" applyFont="1" applyFill="1" applyBorder="1" applyAlignment="1">
      <alignment horizontal="left" vertical="center" wrapText="1"/>
    </xf>
    <xf numFmtId="3" fontId="15" fillId="4" borderId="4" xfId="17" applyNumberFormat="1" applyFont="1" applyFill="1" applyBorder="1" applyAlignment="1">
      <alignment horizontal="center" vertical="center" wrapText="1"/>
    </xf>
    <xf numFmtId="168" fontId="9" fillId="0" borderId="0" xfId="0" applyNumberFormat="1" applyFont="1" applyAlignment="1">
      <alignment horizontal="center" wrapText="1"/>
    </xf>
    <xf numFmtId="0" fontId="19" fillId="0" borderId="0" xfId="0" applyFont="1" applyAlignment="1">
      <alignment wrapText="1"/>
    </xf>
    <xf numFmtId="0" fontId="15" fillId="0" borderId="0" xfId="0" applyFont="1"/>
    <xf numFmtId="0" fontId="19" fillId="0" borderId="0" xfId="0" applyFont="1"/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 wrapText="1"/>
    </xf>
    <xf numFmtId="169" fontId="8" fillId="0" borderId="4" xfId="0" applyNumberFormat="1" applyFont="1" applyBorder="1" applyAlignment="1">
      <alignment horizontal="center" vertical="center" wrapText="1"/>
    </xf>
    <xf numFmtId="3" fontId="8" fillId="0" borderId="4" xfId="0" applyNumberFormat="1" applyFont="1" applyBorder="1" applyAlignment="1">
      <alignment horizontal="center" vertical="center" wrapText="1"/>
    </xf>
    <xf numFmtId="168" fontId="8" fillId="0" borderId="4" xfId="0" applyNumberFormat="1" applyFont="1" applyBorder="1" applyAlignment="1">
      <alignment horizontal="center" vertical="center" wrapText="1"/>
    </xf>
    <xf numFmtId="3" fontId="8" fillId="5" borderId="4" xfId="0" applyNumberFormat="1" applyFont="1" applyFill="1" applyBorder="1" applyAlignment="1">
      <alignment horizontal="center" vertical="center" wrapText="1"/>
    </xf>
    <xf numFmtId="166" fontId="8" fillId="0" borderId="4" xfId="0" applyNumberFormat="1" applyFont="1" applyBorder="1" applyAlignment="1">
      <alignment vertical="center" wrapText="1"/>
    </xf>
    <xf numFmtId="0" fontId="11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left" vertical="center" wrapText="1"/>
    </xf>
    <xf numFmtId="0" fontId="22" fillId="0" borderId="6" xfId="13" applyFont="1" applyBorder="1" applyAlignment="1">
      <alignment horizontal="right" vertical="center"/>
    </xf>
    <xf numFmtId="17" fontId="23" fillId="3" borderId="7" xfId="13" applyNumberFormat="1" applyFont="1" applyFill="1" applyBorder="1" applyAlignment="1">
      <alignment horizontal="center" vertical="center"/>
    </xf>
    <xf numFmtId="166" fontId="24" fillId="0" borderId="0" xfId="0" applyNumberFormat="1" applyFont="1"/>
    <xf numFmtId="0" fontId="22" fillId="0" borderId="8" xfId="13" applyFont="1" applyBorder="1" applyAlignment="1">
      <alignment vertical="center"/>
    </xf>
    <xf numFmtId="0" fontId="22" fillId="0" borderId="0" xfId="13" applyFont="1" applyBorder="1" applyAlignment="1">
      <alignment vertical="center"/>
    </xf>
    <xf numFmtId="0" fontId="23" fillId="0" borderId="10" xfId="13" applyFont="1" applyBorder="1" applyAlignment="1">
      <alignment vertical="center"/>
    </xf>
    <xf numFmtId="0" fontId="23" fillId="0" borderId="11" xfId="13" applyFont="1" applyBorder="1" applyAlignment="1">
      <alignment vertical="center"/>
    </xf>
    <xf numFmtId="0" fontId="23" fillId="0" borderId="12" xfId="13" applyFont="1" applyBorder="1" applyAlignment="1">
      <alignment vertical="center"/>
    </xf>
    <xf numFmtId="0" fontId="23" fillId="0" borderId="11" xfId="13" applyFont="1" applyBorder="1" applyAlignment="1">
      <alignment vertical="center" wrapText="1"/>
    </xf>
    <xf numFmtId="0" fontId="23" fillId="0" borderId="12" xfId="13" applyFont="1" applyBorder="1" applyAlignment="1">
      <alignment vertical="center" wrapText="1"/>
    </xf>
    <xf numFmtId="0" fontId="25" fillId="0" borderId="0" xfId="13" applyFont="1" applyBorder="1" applyAlignment="1">
      <alignment horizontal="left" vertical="center"/>
    </xf>
    <xf numFmtId="0" fontId="23" fillId="0" borderId="0" xfId="13" applyFont="1" applyBorder="1" applyAlignment="1">
      <alignment horizontal="left" vertical="center" wrapText="1" indent="1"/>
    </xf>
    <xf numFmtId="0" fontId="27" fillId="4" borderId="19" xfId="13" applyFont="1" applyFill="1" applyBorder="1" applyAlignment="1">
      <alignment horizontal="center" vertical="center"/>
    </xf>
    <xf numFmtId="0" fontId="27" fillId="4" borderId="19" xfId="13" applyFont="1" applyFill="1" applyBorder="1" applyAlignment="1">
      <alignment horizontal="left" vertical="center"/>
    </xf>
    <xf numFmtId="0" fontId="27" fillId="3" borderId="20" xfId="13" applyFont="1" applyFill="1" applyBorder="1" applyAlignment="1">
      <alignment horizontal="center" vertical="center"/>
    </xf>
    <xf numFmtId="0" fontId="6" fillId="0" borderId="19" xfId="13" applyBorder="1" applyAlignment="1">
      <alignment horizontal="center" vertical="center"/>
    </xf>
    <xf numFmtId="166" fontId="7" fillId="0" borderId="19" xfId="13" applyNumberFormat="1" applyFont="1" applyBorder="1" applyAlignment="1">
      <alignment horizontal="center" vertical="center"/>
    </xf>
    <xf numFmtId="3" fontId="6" fillId="4" borderId="19" xfId="13" applyNumberFormat="1" applyFont="1" applyFill="1" applyBorder="1" applyAlignment="1">
      <alignment horizontal="center" vertical="center"/>
    </xf>
    <xf numFmtId="0" fontId="6" fillId="4" borderId="5" xfId="13" applyFont="1" applyFill="1" applyBorder="1" applyAlignment="1">
      <alignment vertical="center"/>
    </xf>
    <xf numFmtId="0" fontId="6" fillId="4" borderId="3" xfId="13" applyFont="1" applyFill="1" applyBorder="1" applyAlignment="1">
      <alignment vertical="center"/>
    </xf>
    <xf numFmtId="0" fontId="6" fillId="4" borderId="5" xfId="13" applyFont="1" applyFill="1" applyBorder="1" applyAlignment="1">
      <alignment vertical="center" wrapText="1"/>
    </xf>
    <xf numFmtId="0" fontId="6" fillId="4" borderId="3" xfId="13" applyFont="1" applyFill="1" applyBorder="1" applyAlignment="1">
      <alignment vertical="center" wrapText="1"/>
    </xf>
    <xf numFmtId="0" fontId="30" fillId="0" borderId="22" xfId="13" applyFont="1" applyBorder="1" applyAlignment="1">
      <alignment horizontal="center" vertical="center"/>
    </xf>
    <xf numFmtId="0" fontId="30" fillId="0" borderId="22" xfId="13" applyFont="1" applyBorder="1" applyAlignment="1">
      <alignment horizontal="left" vertical="center"/>
    </xf>
    <xf numFmtId="0" fontId="6" fillId="4" borderId="23" xfId="13" applyFont="1" applyFill="1" applyBorder="1" applyAlignment="1">
      <alignment vertical="center"/>
    </xf>
    <xf numFmtId="0" fontId="6" fillId="4" borderId="24" xfId="13" applyFont="1" applyFill="1" applyBorder="1" applyAlignment="1">
      <alignment vertical="center"/>
    </xf>
    <xf numFmtId="0" fontId="6" fillId="4" borderId="25" xfId="13" applyFont="1" applyFill="1" applyBorder="1" applyAlignment="1">
      <alignment vertical="center"/>
    </xf>
    <xf numFmtId="0" fontId="27" fillId="0" borderId="26" xfId="13" applyFont="1" applyBorder="1" applyAlignment="1">
      <alignment horizontal="center" vertical="center"/>
    </xf>
    <xf numFmtId="0" fontId="27" fillId="0" borderId="22" xfId="13" applyFont="1" applyBorder="1" applyAlignment="1">
      <alignment horizontal="center" vertical="center" wrapText="1"/>
    </xf>
    <xf numFmtId="44" fontId="27" fillId="0" borderId="22" xfId="13" applyNumberFormat="1" applyFont="1" applyBorder="1" applyAlignment="1">
      <alignment horizontal="center" vertical="center" wrapText="1"/>
    </xf>
    <xf numFmtId="3" fontId="27" fillId="0" borderId="22" xfId="13" applyNumberFormat="1" applyFont="1" applyBorder="1" applyAlignment="1">
      <alignment horizontal="center" vertical="center"/>
    </xf>
    <xf numFmtId="3" fontId="33" fillId="0" borderId="0" xfId="13" applyNumberFormat="1" applyFont="1" applyBorder="1" applyAlignment="1"/>
    <xf numFmtId="170" fontId="6" fillId="0" borderId="0" xfId="13" applyNumberFormat="1" applyAlignment="1">
      <alignment horizontal="left"/>
    </xf>
    <xf numFmtId="0" fontId="6" fillId="0" borderId="0" xfId="13"/>
    <xf numFmtId="0" fontId="6" fillId="0" borderId="0" xfId="13" applyAlignment="1">
      <alignment horizontal="left"/>
    </xf>
    <xf numFmtId="0" fontId="35" fillId="4" borderId="9" xfId="13" applyFont="1" applyFill="1" applyBorder="1" applyAlignment="1">
      <alignment vertical="center"/>
    </xf>
    <xf numFmtId="0" fontId="35" fillId="4" borderId="27" xfId="13" applyFont="1" applyFill="1" applyBorder="1" applyAlignment="1">
      <alignment vertical="center"/>
    </xf>
    <xf numFmtId="0" fontId="35" fillId="4" borderId="28" xfId="13" applyFont="1" applyFill="1" applyBorder="1" applyAlignment="1">
      <alignment vertical="center"/>
    </xf>
    <xf numFmtId="0" fontId="6" fillId="0" borderId="0" xfId="13" applyBorder="1"/>
    <xf numFmtId="0" fontId="6" fillId="0" borderId="6" xfId="13" applyBorder="1"/>
    <xf numFmtId="0" fontId="6" fillId="0" borderId="30" xfId="13" applyBorder="1"/>
    <xf numFmtId="0" fontId="6" fillId="0" borderId="8" xfId="13" applyBorder="1"/>
    <xf numFmtId="0" fontId="6" fillId="0" borderId="8" xfId="13" applyBorder="1" applyAlignment="1">
      <alignment horizontal="left"/>
    </xf>
    <xf numFmtId="0" fontId="6" fillId="0" borderId="31" xfId="13" applyBorder="1"/>
    <xf numFmtId="0" fontId="37" fillId="0" borderId="34" xfId="13" applyFont="1" applyBorder="1" applyAlignment="1">
      <alignment horizontal="center" vertical="center"/>
    </xf>
    <xf numFmtId="0" fontId="37" fillId="0" borderId="35" xfId="13" applyFont="1" applyBorder="1" applyAlignment="1">
      <alignment horizontal="center" vertical="center"/>
    </xf>
    <xf numFmtId="0" fontId="37" fillId="0" borderId="35" xfId="13" applyFont="1" applyBorder="1" applyAlignment="1">
      <alignment horizontal="left" vertical="center"/>
    </xf>
    <xf numFmtId="0" fontId="37" fillId="0" borderId="36" xfId="13" applyFont="1" applyBorder="1" applyAlignment="1">
      <alignment horizontal="center" vertical="center"/>
    </xf>
    <xf numFmtId="0" fontId="37" fillId="0" borderId="37" xfId="13" applyFont="1" applyBorder="1" applyAlignment="1">
      <alignment horizontal="center" vertical="center"/>
    </xf>
    <xf numFmtId="0" fontId="6" fillId="3" borderId="38" xfId="13" applyFont="1" applyFill="1" applyBorder="1" applyAlignment="1">
      <alignment horizontal="center" vertical="center"/>
    </xf>
    <xf numFmtId="0" fontId="6" fillId="3" borderId="39" xfId="13" applyFont="1" applyFill="1" applyBorder="1" applyAlignment="1">
      <alignment horizontal="center" vertical="center"/>
    </xf>
    <xf numFmtId="0" fontId="6" fillId="0" borderId="39" xfId="13" applyFont="1" applyBorder="1" applyAlignment="1">
      <alignment horizontal="center" vertical="center"/>
    </xf>
    <xf numFmtId="0" fontId="6" fillId="3" borderId="40" xfId="13" applyFont="1" applyFill="1" applyBorder="1" applyAlignment="1">
      <alignment horizontal="center" vertical="center"/>
    </xf>
    <xf numFmtId="0" fontId="6" fillId="3" borderId="39" xfId="13" applyFill="1" applyBorder="1" applyAlignment="1">
      <alignment horizontal="center" vertical="center"/>
    </xf>
    <xf numFmtId="167" fontId="0" fillId="0" borderId="41" xfId="25" applyNumberFormat="1" applyFont="1" applyBorder="1" applyAlignment="1" applyProtection="1">
      <alignment horizontal="center" vertical="center"/>
    </xf>
    <xf numFmtId="0" fontId="6" fillId="0" borderId="42" xfId="13" applyFont="1" applyBorder="1" applyAlignment="1">
      <alignment horizontal="center" vertical="center"/>
    </xf>
    <xf numFmtId="0" fontId="6" fillId="0" borderId="43" xfId="13" applyFont="1" applyBorder="1" applyAlignment="1">
      <alignment horizontal="center" vertical="center"/>
    </xf>
    <xf numFmtId="0" fontId="6" fillId="0" borderId="44" xfId="13" applyFont="1" applyBorder="1" applyAlignment="1">
      <alignment horizontal="center" vertical="center"/>
    </xf>
    <xf numFmtId="0" fontId="6" fillId="0" borderId="45" xfId="13" applyFont="1" applyBorder="1" applyAlignment="1">
      <alignment horizontal="center" vertical="center"/>
    </xf>
    <xf numFmtId="167" fontId="0" fillId="0" borderId="46" xfId="25" applyNumberFormat="1" applyFont="1" applyBorder="1" applyAlignment="1" applyProtection="1">
      <alignment horizontal="center" vertical="center"/>
    </xf>
    <xf numFmtId="0" fontId="35" fillId="0" borderId="42" xfId="13" applyFont="1" applyBorder="1" applyAlignment="1">
      <alignment horizontal="center" vertical="center"/>
    </xf>
    <xf numFmtId="0" fontId="35" fillId="0" borderId="43" xfId="13" applyFont="1" applyBorder="1" applyAlignment="1">
      <alignment horizontal="center" vertical="center"/>
    </xf>
    <xf numFmtId="0" fontId="6" fillId="0" borderId="45" xfId="13" applyBorder="1" applyAlignment="1">
      <alignment horizontal="center" vertical="center"/>
    </xf>
    <xf numFmtId="0" fontId="35" fillId="0" borderId="44" xfId="13" applyFont="1" applyBorder="1" applyAlignment="1">
      <alignment horizontal="center" vertical="center"/>
    </xf>
    <xf numFmtId="0" fontId="35" fillId="0" borderId="45" xfId="13" applyFont="1" applyBorder="1" applyAlignment="1">
      <alignment horizontal="center" vertical="center"/>
    </xf>
    <xf numFmtId="0" fontId="6" fillId="0" borderId="47" xfId="13" applyBorder="1" applyAlignment="1">
      <alignment horizontal="center" vertical="center"/>
    </xf>
    <xf numFmtId="0" fontId="6" fillId="0" borderId="48" xfId="13" applyBorder="1" applyAlignment="1">
      <alignment horizontal="center" vertical="center"/>
    </xf>
    <xf numFmtId="0" fontId="6" fillId="0" borderId="49" xfId="13" applyBorder="1" applyAlignment="1">
      <alignment horizontal="center" vertical="center"/>
    </xf>
    <xf numFmtId="167" fontId="0" fillId="0" borderId="50" xfId="25" applyNumberFormat="1" applyFont="1" applyBorder="1" applyAlignment="1" applyProtection="1">
      <alignment horizontal="center" vertical="center"/>
    </xf>
    <xf numFmtId="167" fontId="37" fillId="0" borderId="51" xfId="13" applyNumberFormat="1" applyFont="1" applyBorder="1" applyAlignment="1">
      <alignment horizontal="center" vertical="center"/>
    </xf>
    <xf numFmtId="0" fontId="35" fillId="3" borderId="30" xfId="13" applyFont="1" applyFill="1" applyBorder="1" applyAlignment="1">
      <alignment vertical="center" wrapText="1"/>
    </xf>
    <xf numFmtId="0" fontId="35" fillId="3" borderId="8" xfId="13" applyFont="1" applyFill="1" applyBorder="1" applyAlignment="1">
      <alignment vertical="center" wrapText="1"/>
    </xf>
    <xf numFmtId="0" fontId="35" fillId="3" borderId="31" xfId="13" applyFont="1" applyFill="1" applyBorder="1" applyAlignment="1">
      <alignment vertical="center" wrapText="1"/>
    </xf>
    <xf numFmtId="166" fontId="13" fillId="0" borderId="0" xfId="1" applyNumberFormat="1" applyFont="1" applyAlignment="1">
      <alignment vertical="center"/>
    </xf>
    <xf numFmtId="166" fontId="19" fillId="0" borderId="4" xfId="1" applyNumberFormat="1" applyFont="1" applyBorder="1" applyAlignment="1">
      <alignment vertical="center" wrapText="1"/>
    </xf>
    <xf numFmtId="166" fontId="15" fillId="4" borderId="4" xfId="0" applyNumberFormat="1" applyFont="1" applyFill="1" applyBorder="1" applyAlignment="1">
      <alignment horizontal="center" vertical="center" wrapText="1"/>
    </xf>
    <xf numFmtId="166" fontId="15" fillId="4" borderId="4" xfId="0" applyNumberFormat="1" applyFont="1" applyFill="1" applyBorder="1" applyAlignment="1">
      <alignment horizontal="center"/>
    </xf>
    <xf numFmtId="166" fontId="21" fillId="0" borderId="4" xfId="1" applyNumberFormat="1" applyFont="1" applyBorder="1" applyAlignment="1">
      <alignment vertical="center"/>
    </xf>
    <xf numFmtId="0" fontId="15" fillId="0" borderId="4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/>
    </xf>
    <xf numFmtId="168" fontId="20" fillId="0" borderId="4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28" fillId="4" borderId="52" xfId="13" applyFont="1" applyFill="1" applyBorder="1" applyAlignment="1">
      <alignment vertical="center"/>
    </xf>
    <xf numFmtId="0" fontId="28" fillId="4" borderId="53" xfId="13" applyFont="1" applyFill="1" applyBorder="1" applyAlignment="1">
      <alignment vertical="center"/>
    </xf>
    <xf numFmtId="0" fontId="28" fillId="4" borderId="54" xfId="13" applyFont="1" applyFill="1" applyBorder="1" applyAlignment="1">
      <alignment vertical="center"/>
    </xf>
    <xf numFmtId="0" fontId="28" fillId="0" borderId="21" xfId="13" applyFont="1" applyBorder="1" applyAlignment="1">
      <alignment vertical="center"/>
    </xf>
    <xf numFmtId="0" fontId="29" fillId="4" borderId="5" xfId="13" applyFont="1" applyFill="1" applyBorder="1" applyAlignment="1">
      <alignment horizontal="left" vertical="center" wrapText="1"/>
    </xf>
    <xf numFmtId="0" fontId="29" fillId="4" borderId="3" xfId="13" applyFont="1" applyFill="1" applyBorder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right" vertical="center"/>
    </xf>
    <xf numFmtId="0" fontId="11" fillId="0" borderId="0" xfId="0" applyFont="1" applyFill="1" applyBorder="1" applyAlignment="1">
      <alignment horizontal="left" vertical="center" wrapText="1"/>
    </xf>
    <xf numFmtId="0" fontId="31" fillId="0" borderId="10" xfId="13" applyFont="1" applyBorder="1" applyAlignment="1">
      <alignment horizontal="left" vertical="center"/>
    </xf>
    <xf numFmtId="0" fontId="31" fillId="0" borderId="11" xfId="13" applyFont="1" applyBorder="1" applyAlignment="1">
      <alignment horizontal="left" vertical="center"/>
    </xf>
    <xf numFmtId="0" fontId="31" fillId="0" borderId="12" xfId="13" applyFont="1" applyBorder="1" applyAlignment="1">
      <alignment horizontal="left" vertical="center"/>
    </xf>
    <xf numFmtId="166" fontId="32" fillId="0" borderId="11" xfId="13" applyNumberFormat="1" applyFont="1" applyBorder="1" applyAlignment="1">
      <alignment horizontal="center" vertical="center" wrapText="1"/>
    </xf>
    <xf numFmtId="166" fontId="32" fillId="0" borderId="12" xfId="13" applyNumberFormat="1" applyFont="1" applyBorder="1" applyAlignment="1">
      <alignment horizontal="center" vertical="center" wrapText="1"/>
    </xf>
    <xf numFmtId="0" fontId="25" fillId="0" borderId="15" xfId="13" applyFont="1" applyBorder="1" applyAlignment="1">
      <alignment horizontal="left" vertical="center"/>
    </xf>
    <xf numFmtId="0" fontId="23" fillId="0" borderId="16" xfId="13" applyFont="1" applyBorder="1" applyAlignment="1">
      <alignment horizontal="left" vertical="center" wrapText="1" indent="1"/>
    </xf>
    <xf numFmtId="0" fontId="26" fillId="0" borderId="15" xfId="13" applyFont="1" applyBorder="1" applyAlignment="1">
      <alignment horizontal="center" vertical="center"/>
    </xf>
    <xf numFmtId="0" fontId="26" fillId="0" borderId="17" xfId="13" applyFont="1" applyBorder="1" applyAlignment="1">
      <alignment horizontal="center" vertical="center" wrapText="1"/>
    </xf>
    <xf numFmtId="0" fontId="26" fillId="0" borderId="18" xfId="13" applyFont="1" applyBorder="1" applyAlignment="1">
      <alignment horizontal="center" vertical="center" wrapText="1"/>
    </xf>
    <xf numFmtId="0" fontId="26" fillId="0" borderId="14" xfId="13" applyFont="1" applyBorder="1" applyAlignment="1">
      <alignment horizontal="center" vertical="center" wrapText="1"/>
    </xf>
    <xf numFmtId="0" fontId="25" fillId="0" borderId="13" xfId="13" applyFont="1" applyBorder="1" applyAlignment="1">
      <alignment horizontal="left" vertical="center" wrapText="1"/>
    </xf>
    <xf numFmtId="0" fontId="23" fillId="0" borderId="14" xfId="13" applyFont="1" applyBorder="1" applyAlignment="1">
      <alignment horizontal="left" vertical="center" wrapText="1" indent="1"/>
    </xf>
    <xf numFmtId="0" fontId="22" fillId="0" borderId="0" xfId="13" applyFont="1" applyBorder="1" applyAlignment="1">
      <alignment horizontal="center" vertical="center"/>
    </xf>
    <xf numFmtId="0" fontId="25" fillId="0" borderId="9" xfId="13" applyFont="1" applyBorder="1" applyAlignment="1">
      <alignment horizontal="left" vertical="center" wrapText="1"/>
    </xf>
    <xf numFmtId="0" fontId="35" fillId="3" borderId="29" xfId="13" applyFont="1" applyFill="1" applyBorder="1" applyAlignment="1">
      <alignment horizontal="left" vertical="center" wrapText="1"/>
    </xf>
    <xf numFmtId="0" fontId="35" fillId="3" borderId="0" xfId="13" applyFont="1" applyFill="1" applyBorder="1" applyAlignment="1">
      <alignment horizontal="left" vertical="center" wrapText="1"/>
    </xf>
    <xf numFmtId="0" fontId="35" fillId="3" borderId="6" xfId="13" applyFont="1" applyFill="1" applyBorder="1" applyAlignment="1">
      <alignment horizontal="left" vertical="center" wrapText="1"/>
    </xf>
    <xf numFmtId="0" fontId="6" fillId="0" borderId="45" xfId="13" applyBorder="1" applyAlignment="1">
      <alignment horizontal="left" vertical="center"/>
    </xf>
    <xf numFmtId="0" fontId="6" fillId="0" borderId="48" xfId="13" applyBorder="1" applyAlignment="1">
      <alignment horizontal="left" vertical="center"/>
    </xf>
    <xf numFmtId="0" fontId="33" fillId="0" borderId="51" xfId="13" applyFont="1" applyBorder="1" applyAlignment="1">
      <alignment horizontal="left" vertical="center" wrapText="1"/>
    </xf>
    <xf numFmtId="0" fontId="6" fillId="0" borderId="32" xfId="13" applyBorder="1"/>
    <xf numFmtId="0" fontId="33" fillId="0" borderId="10" xfId="13" applyFont="1" applyBorder="1" applyAlignment="1">
      <alignment vertical="center" wrapText="1"/>
    </xf>
    <xf numFmtId="0" fontId="33" fillId="0" borderId="18" xfId="13" applyFont="1" applyBorder="1" applyAlignment="1">
      <alignment vertical="center" wrapText="1"/>
    </xf>
    <xf numFmtId="0" fontId="33" fillId="0" borderId="16" xfId="13" applyFont="1" applyBorder="1" applyAlignment="1">
      <alignment vertical="center" wrapText="1"/>
    </xf>
    <xf numFmtId="0" fontId="35" fillId="0" borderId="33" xfId="13" applyFont="1" applyBorder="1" applyAlignment="1">
      <alignment vertical="center" wrapText="1"/>
    </xf>
    <xf numFmtId="0" fontId="6" fillId="0" borderId="45" xfId="13" applyFont="1" applyBorder="1" applyAlignment="1">
      <alignment horizontal="left" vertical="center"/>
    </xf>
    <xf numFmtId="0" fontId="27" fillId="0" borderId="9" xfId="13" applyFont="1" applyBorder="1" applyAlignment="1">
      <alignment horizontal="left" vertical="center" wrapText="1"/>
    </xf>
    <xf numFmtId="0" fontId="27" fillId="0" borderId="27" xfId="13" applyFont="1" applyBorder="1" applyAlignment="1">
      <alignment horizontal="left" vertical="center" wrapText="1"/>
    </xf>
    <xf numFmtId="0" fontId="27" fillId="0" borderId="28" xfId="13" applyFont="1" applyBorder="1" applyAlignment="1">
      <alignment horizontal="left" vertical="center" wrapText="1"/>
    </xf>
    <xf numFmtId="0" fontId="36" fillId="0" borderId="7" xfId="13" applyFont="1" applyBorder="1" applyAlignment="1">
      <alignment horizontal="left" vertical="center"/>
    </xf>
    <xf numFmtId="0" fontId="35" fillId="0" borderId="29" xfId="13" applyFont="1" applyBorder="1"/>
    <xf numFmtId="0" fontId="35" fillId="4" borderId="29" xfId="13" applyNumberFormat="1" applyFont="1" applyFill="1" applyBorder="1" applyAlignment="1">
      <alignment horizontal="left" vertical="justify" wrapText="1" indent="1"/>
    </xf>
    <xf numFmtId="0" fontId="35" fillId="4" borderId="0" xfId="13" applyNumberFormat="1" applyFont="1" applyFill="1" applyBorder="1" applyAlignment="1">
      <alignment horizontal="left" vertical="justify" wrapText="1" indent="1"/>
    </xf>
    <xf numFmtId="0" fontId="35" fillId="4" borderId="6" xfId="13" applyNumberFormat="1" applyFont="1" applyFill="1" applyBorder="1" applyAlignment="1">
      <alignment horizontal="left" vertical="justify" wrapText="1" indent="1"/>
    </xf>
    <xf numFmtId="0" fontId="37" fillId="0" borderId="32" xfId="13" applyFont="1" applyBorder="1" applyAlignment="1">
      <alignment horizontal="center" vertical="center"/>
    </xf>
    <xf numFmtId="0" fontId="37" fillId="0" borderId="7" xfId="13" applyFont="1" applyBorder="1" applyAlignment="1">
      <alignment horizontal="center" vertical="center"/>
    </xf>
    <xf numFmtId="0" fontId="37" fillId="0" borderId="32" xfId="13" applyFont="1" applyBorder="1" applyAlignment="1">
      <alignment horizontal="center" vertical="center" wrapText="1"/>
    </xf>
    <xf numFmtId="0" fontId="37" fillId="0" borderId="33" xfId="13" applyFont="1" applyBorder="1" applyAlignment="1">
      <alignment horizontal="center" vertical="center"/>
    </xf>
    <xf numFmtId="0" fontId="6" fillId="0" borderId="39" xfId="13" applyBorder="1" applyAlignment="1">
      <alignment horizontal="left" vertical="center" wrapText="1"/>
    </xf>
    <xf numFmtId="0" fontId="6" fillId="0" borderId="39" xfId="13" applyFont="1" applyBorder="1" applyAlignment="1">
      <alignment horizontal="left" vertical="center" wrapText="1"/>
    </xf>
    <xf numFmtId="0" fontId="6" fillId="0" borderId="10" xfId="13" applyFont="1" applyBorder="1" applyAlignment="1">
      <alignment horizontal="center"/>
    </xf>
    <xf numFmtId="0" fontId="33" fillId="0" borderId="12" xfId="13" applyNumberFormat="1" applyFont="1" applyBorder="1" applyAlignment="1">
      <alignment horizontal="center"/>
    </xf>
    <xf numFmtId="0" fontId="34" fillId="0" borderId="7" xfId="13" applyFont="1" applyBorder="1" applyAlignment="1">
      <alignment horizontal="center" vertical="center" wrapText="1"/>
    </xf>
    <xf numFmtId="0" fontId="28" fillId="0" borderId="7" xfId="13" applyFont="1" applyBorder="1" applyAlignment="1">
      <alignment vertical="center"/>
    </xf>
  </cellXfs>
  <cellStyles count="26">
    <cellStyle name="Encabezado 1" xfId="2" xr:uid="{00000000-0005-0000-0000-000000000000}"/>
    <cellStyle name="Encabezado 1 2" xfId="12" xr:uid="{00000000-0005-0000-0000-000001000000}"/>
    <cellStyle name="Millares 2" xfId="19" xr:uid="{00000000-0005-0000-0000-000002000000}"/>
    <cellStyle name="Moneda" xfId="1" builtinId="4"/>
    <cellStyle name="Moneda 2" xfId="5" xr:uid="{00000000-0005-0000-0000-000004000000}"/>
    <cellStyle name="Moneda 2 2" xfId="14" xr:uid="{00000000-0005-0000-0000-000005000000}"/>
    <cellStyle name="Moneda 3" xfId="11" xr:uid="{00000000-0005-0000-0000-000006000000}"/>
    <cellStyle name="Moneda 4" xfId="21" xr:uid="{00000000-0005-0000-0000-000007000000}"/>
    <cellStyle name="Moneda_AUTORIZACION Y NOTA DE PEDIDO" xfId="25" xr:uid="{00000000-0005-0000-0000-000008000000}"/>
    <cellStyle name="Neutral 1" xfId="3" xr:uid="{00000000-0005-0000-0000-000009000000}"/>
    <cellStyle name="Normal" xfId="0" builtinId="0"/>
    <cellStyle name="Normal 2" xfId="4" xr:uid="{00000000-0005-0000-0000-00000B000000}"/>
    <cellStyle name="Normal 2 2" xfId="13" xr:uid="{00000000-0005-0000-0000-00000C000000}"/>
    <cellStyle name="Normal 3" xfId="6" xr:uid="{00000000-0005-0000-0000-00000D000000}"/>
    <cellStyle name="Normal 3 2" xfId="7" xr:uid="{00000000-0005-0000-0000-00000E000000}"/>
    <cellStyle name="Normal 3 2 2" xfId="16" xr:uid="{00000000-0005-0000-0000-00000F000000}"/>
    <cellStyle name="Normal 3 3" xfId="15" xr:uid="{00000000-0005-0000-0000-000010000000}"/>
    <cellStyle name="Normal 3 4" xfId="22" xr:uid="{00000000-0005-0000-0000-000011000000}"/>
    <cellStyle name="Normal 4" xfId="8" xr:uid="{00000000-0005-0000-0000-000012000000}"/>
    <cellStyle name="Normal 4 2" xfId="17" xr:uid="{00000000-0005-0000-0000-000013000000}"/>
    <cellStyle name="Normal 4 3" xfId="23" xr:uid="{00000000-0005-0000-0000-000014000000}"/>
    <cellStyle name="Normal 5" xfId="9" xr:uid="{00000000-0005-0000-0000-000015000000}"/>
    <cellStyle name="Normal 5 2" xfId="20" xr:uid="{00000000-0005-0000-0000-000016000000}"/>
    <cellStyle name="Normal 5 3" xfId="24" xr:uid="{00000000-0005-0000-0000-000017000000}"/>
    <cellStyle name="Normal 6" xfId="10" xr:uid="{00000000-0005-0000-0000-000018000000}"/>
    <cellStyle name="Normal 7" xfId="18" xr:uid="{00000000-0005-0000-0000-000019000000}"/>
  </cellStyles>
  <dxfs count="12"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4"/>
  <sheetViews>
    <sheetView tabSelected="1" topLeftCell="A7" zoomScale="80" zoomScaleNormal="80" workbookViewId="0">
      <selection activeCell="AS17" sqref="AS17"/>
    </sheetView>
  </sheetViews>
  <sheetFormatPr baseColWidth="10" defaultColWidth="10.85546875" defaultRowHeight="15" x14ac:dyDescent="0.25"/>
  <cols>
    <col min="1" max="1" width="9.140625" style="15" customWidth="1"/>
    <col min="2" max="2" width="16" style="14" customWidth="1"/>
    <col min="3" max="3" width="48.28515625" style="15" customWidth="1"/>
    <col min="4" max="4" width="8.42578125" style="3" customWidth="1"/>
    <col min="5" max="5" width="40.140625" style="18" customWidth="1"/>
    <col min="6" max="6" width="11" style="3" customWidth="1"/>
    <col min="7" max="7" width="11" style="3" hidden="1" customWidth="1"/>
    <col min="8" max="8" width="14.85546875" style="3" hidden="1" customWidth="1"/>
    <col min="9" max="9" width="11" style="3" hidden="1" customWidth="1"/>
    <col min="10" max="11" width="14.85546875" style="3" hidden="1" customWidth="1"/>
    <col min="12" max="12" width="24" style="3" hidden="1" customWidth="1"/>
    <col min="13" max="13" width="12.85546875" style="6" hidden="1" customWidth="1"/>
    <col min="14" max="14" width="18.85546875" style="7" hidden="1" customWidth="1"/>
    <col min="15" max="15" width="18.85546875" style="9" hidden="1" customWidth="1"/>
    <col min="16" max="16" width="28.5703125" style="3" hidden="1" customWidth="1"/>
    <col min="17" max="17" width="18.85546875" style="6" hidden="1" customWidth="1"/>
    <col min="18" max="18" width="18.85546875" style="3" hidden="1" customWidth="1"/>
    <col min="19" max="19" width="18.85546875" style="9" hidden="1" customWidth="1"/>
    <col min="20" max="20" width="18.85546875" style="20" hidden="1" customWidth="1"/>
    <col min="21" max="21" width="18.85546875" style="6" hidden="1" customWidth="1"/>
    <col min="22" max="22" width="18.85546875" style="3" hidden="1" customWidth="1"/>
    <col min="23" max="23" width="18.85546875" style="9" hidden="1" customWidth="1"/>
    <col min="24" max="24" width="18.85546875" style="3" hidden="1" customWidth="1"/>
    <col min="25" max="25" width="18.85546875" style="9" hidden="1" customWidth="1"/>
    <col min="26" max="26" width="18.85546875" style="3" hidden="1" customWidth="1"/>
    <col min="27" max="27" width="18.85546875" style="9" hidden="1" customWidth="1"/>
    <col min="28" max="28" width="18.85546875" style="3" hidden="1" customWidth="1"/>
    <col min="29" max="29" width="18.85546875" style="9" hidden="1" customWidth="1"/>
    <col min="30" max="30" width="18.85546875" style="3" hidden="1" customWidth="1"/>
    <col min="31" max="31" width="19.85546875" style="9" hidden="1" customWidth="1"/>
    <col min="32" max="32" width="19.85546875" style="3" hidden="1" customWidth="1"/>
    <col min="33" max="33" width="19.85546875" style="9" hidden="1" customWidth="1"/>
    <col min="34" max="34" width="19.85546875" style="3" hidden="1" customWidth="1"/>
    <col min="35" max="35" width="19.85546875" style="9" hidden="1" customWidth="1"/>
    <col min="36" max="36" width="19.85546875" style="3" hidden="1" customWidth="1"/>
    <col min="37" max="37" width="18.85546875" style="9" hidden="1" customWidth="1"/>
    <col min="38" max="38" width="18.85546875" style="3" hidden="1" customWidth="1"/>
    <col min="39" max="39" width="18.85546875" style="9" hidden="1" customWidth="1"/>
    <col min="40" max="40" width="18.85546875" style="3" hidden="1" customWidth="1"/>
    <col min="41" max="41" width="18.85546875" style="9" hidden="1" customWidth="1"/>
    <col min="42" max="42" width="18.85546875" style="3" hidden="1" customWidth="1"/>
    <col min="43" max="43" width="18.85546875" style="9" hidden="1" customWidth="1"/>
    <col min="44" max="44" width="18.85546875" style="3" hidden="1" customWidth="1"/>
    <col min="45" max="45" width="16.42578125" style="11" customWidth="1"/>
    <col min="46" max="46" width="16.5703125" style="127" bestFit="1" customWidth="1"/>
    <col min="47" max="47" width="22.5703125" style="13" customWidth="1"/>
    <col min="48" max="48" width="23.5703125" style="1" customWidth="1"/>
    <col min="49" max="16384" width="10.85546875" style="1"/>
  </cols>
  <sheetData>
    <row r="1" spans="1:48" x14ac:dyDescent="0.25">
      <c r="A1" s="4">
        <v>2021</v>
      </c>
    </row>
    <row r="2" spans="1:48" ht="25.5" x14ac:dyDescent="0.35">
      <c r="B2" s="146" t="s">
        <v>14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  <c r="AJ2" s="146"/>
      <c r="AK2" s="146"/>
      <c r="AL2" s="146"/>
      <c r="AM2" s="146"/>
      <c r="AN2" s="146"/>
      <c r="AO2" s="146"/>
      <c r="AP2" s="146"/>
      <c r="AQ2" s="146"/>
      <c r="AR2" s="146"/>
      <c r="AS2" s="147"/>
      <c r="AT2" s="148"/>
    </row>
    <row r="4" spans="1:48" ht="18" customHeight="1" x14ac:dyDescent="0.2">
      <c r="A4" s="145" t="s">
        <v>0</v>
      </c>
      <c r="B4" s="145"/>
      <c r="C4" s="149" t="s">
        <v>13</v>
      </c>
      <c r="D4" s="149"/>
      <c r="E4" s="149"/>
      <c r="F4" s="2"/>
      <c r="G4" s="2"/>
      <c r="H4" s="2"/>
      <c r="I4" s="2"/>
      <c r="J4" s="2"/>
      <c r="K4" s="2"/>
      <c r="L4" s="2"/>
      <c r="M4" s="5"/>
      <c r="N4" s="8"/>
      <c r="O4" s="10"/>
      <c r="P4" s="2"/>
      <c r="Q4" s="5"/>
      <c r="R4" s="2"/>
      <c r="S4" s="10"/>
      <c r="T4" s="40"/>
      <c r="U4" s="5"/>
      <c r="V4" s="2"/>
      <c r="W4" s="10"/>
      <c r="X4" s="2"/>
      <c r="Y4" s="10"/>
      <c r="Z4" s="2"/>
      <c r="AA4" s="10"/>
      <c r="AB4" s="2"/>
      <c r="AC4" s="10"/>
      <c r="AD4" s="2"/>
      <c r="AE4" s="10"/>
      <c r="AF4" s="2"/>
      <c r="AG4" s="10"/>
      <c r="AH4" s="2"/>
      <c r="AI4" s="10"/>
      <c r="AJ4" s="2"/>
      <c r="AK4" s="10"/>
      <c r="AL4" s="2"/>
      <c r="AM4" s="10"/>
      <c r="AN4" s="2"/>
      <c r="AO4" s="10"/>
      <c r="AP4" s="2"/>
      <c r="AQ4" s="10"/>
      <c r="AR4" s="2"/>
      <c r="AS4" s="12"/>
    </row>
    <row r="5" spans="1:48" ht="18" customHeight="1" x14ac:dyDescent="0.2">
      <c r="A5" s="145" t="s">
        <v>1</v>
      </c>
      <c r="B5" s="145"/>
      <c r="C5" s="149" t="s">
        <v>102</v>
      </c>
      <c r="D5" s="149"/>
      <c r="E5" s="149"/>
      <c r="F5" s="2"/>
      <c r="G5" s="2"/>
      <c r="H5" s="2"/>
      <c r="I5" s="2"/>
      <c r="J5" s="2"/>
      <c r="K5" s="2"/>
      <c r="L5" s="2"/>
      <c r="M5" s="5"/>
      <c r="N5" s="8"/>
      <c r="O5" s="10"/>
      <c r="P5" s="2"/>
      <c r="Q5" s="5"/>
      <c r="R5" s="2"/>
      <c r="S5" s="10"/>
      <c r="T5" s="40"/>
      <c r="U5" s="5"/>
      <c r="V5" s="2"/>
      <c r="W5" s="10"/>
      <c r="X5" s="2"/>
      <c r="Y5" s="10"/>
      <c r="Z5" s="2"/>
      <c r="AA5" s="10"/>
      <c r="AB5" s="2"/>
      <c r="AC5" s="10"/>
      <c r="AD5" s="2"/>
      <c r="AE5" s="10"/>
      <c r="AF5" s="2"/>
      <c r="AG5" s="10"/>
      <c r="AH5" s="2"/>
      <c r="AI5" s="10"/>
      <c r="AJ5" s="2"/>
      <c r="AK5" s="10"/>
      <c r="AL5" s="2"/>
      <c r="AM5" s="10"/>
      <c r="AN5" s="2"/>
      <c r="AO5" s="10"/>
      <c r="AP5" s="2"/>
      <c r="AQ5" s="10"/>
      <c r="AR5" s="2"/>
      <c r="AS5" s="12"/>
    </row>
    <row r="6" spans="1:48" ht="16.5" customHeight="1" x14ac:dyDescent="0.2">
      <c r="A6" s="145" t="s">
        <v>2</v>
      </c>
      <c r="B6" s="145"/>
      <c r="C6" s="52">
        <v>2021</v>
      </c>
      <c r="D6" s="53"/>
      <c r="E6" s="53"/>
      <c r="F6" s="2"/>
      <c r="G6" s="2"/>
      <c r="H6" s="2"/>
      <c r="I6" s="2"/>
      <c r="J6" s="2"/>
      <c r="K6" s="2"/>
      <c r="L6" s="2"/>
      <c r="M6" s="5"/>
      <c r="N6" s="8"/>
      <c r="O6" s="10"/>
      <c r="P6" s="2"/>
      <c r="Q6" s="5"/>
      <c r="R6" s="2"/>
      <c r="S6" s="10"/>
      <c r="T6" s="40"/>
      <c r="U6" s="5"/>
      <c r="V6" s="2"/>
      <c r="W6" s="10"/>
      <c r="X6" s="2"/>
      <c r="Y6" s="10"/>
      <c r="Z6" s="2"/>
      <c r="AA6" s="10"/>
      <c r="AB6" s="2"/>
      <c r="AC6" s="10"/>
      <c r="AD6" s="2"/>
      <c r="AE6" s="10"/>
      <c r="AF6" s="2"/>
      <c r="AG6" s="10"/>
      <c r="AH6" s="2"/>
      <c r="AI6" s="10"/>
      <c r="AJ6" s="2"/>
      <c r="AK6" s="10"/>
      <c r="AL6" s="2"/>
      <c r="AM6" s="10"/>
      <c r="AN6" s="2"/>
      <c r="AO6" s="10"/>
      <c r="AP6" s="2"/>
      <c r="AQ6" s="10"/>
      <c r="AR6" s="2"/>
      <c r="AS6" s="12"/>
    </row>
    <row r="7" spans="1:48" ht="31.5" customHeight="1" x14ac:dyDescent="0.2">
      <c r="A7" s="145" t="s">
        <v>3</v>
      </c>
      <c r="B7" s="145"/>
      <c r="C7" s="52" t="s">
        <v>108</v>
      </c>
      <c r="D7" s="53"/>
      <c r="E7" s="53"/>
      <c r="F7" s="2"/>
      <c r="G7" s="2"/>
      <c r="H7" s="2"/>
      <c r="I7" s="2"/>
      <c r="J7" s="2"/>
      <c r="K7" s="2"/>
      <c r="L7" s="2"/>
      <c r="M7" s="5"/>
      <c r="N7" s="8"/>
      <c r="O7" s="10"/>
      <c r="P7" s="2"/>
      <c r="Q7" s="5"/>
      <c r="R7" s="2"/>
      <c r="S7" s="10"/>
      <c r="T7" s="40"/>
      <c r="U7" s="5"/>
      <c r="V7" s="2"/>
      <c r="W7" s="10"/>
      <c r="X7" s="2"/>
      <c r="Y7" s="10"/>
      <c r="Z7" s="2"/>
      <c r="AA7" s="10"/>
      <c r="AB7" s="2"/>
      <c r="AC7" s="10"/>
      <c r="AD7" s="2"/>
      <c r="AE7" s="10"/>
      <c r="AF7" s="2"/>
      <c r="AG7" s="10"/>
      <c r="AH7" s="2"/>
      <c r="AI7" s="10"/>
      <c r="AJ7" s="2"/>
      <c r="AK7" s="10"/>
      <c r="AL7" s="2"/>
      <c r="AM7" s="10"/>
      <c r="AN7" s="2"/>
      <c r="AO7" s="10"/>
      <c r="AP7" s="2"/>
      <c r="AQ7" s="10"/>
      <c r="AR7" s="2"/>
      <c r="AS7" s="12"/>
    </row>
    <row r="8" spans="1:48" ht="2.25" customHeight="1" x14ac:dyDescent="0.25">
      <c r="B8" s="16"/>
      <c r="C8" s="17"/>
      <c r="D8" s="2"/>
      <c r="E8" s="17"/>
      <c r="F8" s="2"/>
      <c r="G8" s="2"/>
      <c r="H8" s="2"/>
      <c r="I8" s="2"/>
      <c r="J8" s="2"/>
      <c r="K8" s="2"/>
      <c r="L8" s="2"/>
      <c r="M8" s="5"/>
      <c r="N8" s="8"/>
      <c r="O8" s="10"/>
      <c r="P8" s="2"/>
      <c r="Q8" s="5"/>
      <c r="R8" s="2"/>
      <c r="S8" s="10"/>
      <c r="T8" s="40"/>
      <c r="U8" s="5"/>
      <c r="V8" s="2"/>
      <c r="W8" s="10"/>
      <c r="X8" s="2"/>
      <c r="Y8" s="10"/>
      <c r="Z8" s="2"/>
      <c r="AA8" s="10"/>
      <c r="AB8" s="2"/>
      <c r="AC8" s="10"/>
      <c r="AD8" s="2"/>
      <c r="AE8" s="10"/>
      <c r="AF8" s="2"/>
      <c r="AG8" s="10"/>
      <c r="AH8" s="2"/>
      <c r="AI8" s="10"/>
      <c r="AJ8" s="2"/>
      <c r="AK8" s="10"/>
      <c r="AL8" s="2"/>
      <c r="AM8" s="10"/>
      <c r="AN8" s="2"/>
      <c r="AO8" s="10"/>
      <c r="AP8" s="2"/>
      <c r="AQ8" s="10"/>
      <c r="AR8" s="2"/>
      <c r="AS8" s="12"/>
    </row>
    <row r="9" spans="1:48" s="43" customFormat="1" ht="42.75" x14ac:dyDescent="0.2">
      <c r="A9" s="44" t="s">
        <v>4</v>
      </c>
      <c r="B9" s="44" t="s">
        <v>5</v>
      </c>
      <c r="C9" s="45" t="s">
        <v>6</v>
      </c>
      <c r="D9" s="44" t="s">
        <v>7</v>
      </c>
      <c r="E9" s="45" t="s">
        <v>8</v>
      </c>
      <c r="F9" s="45" t="s">
        <v>9</v>
      </c>
      <c r="G9" s="45" t="s">
        <v>59</v>
      </c>
      <c r="H9" s="45" t="s">
        <v>60</v>
      </c>
      <c r="I9" s="45" t="s">
        <v>57</v>
      </c>
      <c r="J9" s="45" t="s">
        <v>58</v>
      </c>
      <c r="K9" s="45" t="s">
        <v>16</v>
      </c>
      <c r="L9" s="45" t="s">
        <v>17</v>
      </c>
      <c r="M9" s="46" t="s">
        <v>18</v>
      </c>
      <c r="N9" s="47" t="s">
        <v>19</v>
      </c>
      <c r="O9" s="48" t="s">
        <v>20</v>
      </c>
      <c r="P9" s="45" t="s">
        <v>21</v>
      </c>
      <c r="Q9" s="46" t="s">
        <v>22</v>
      </c>
      <c r="R9" s="45" t="s">
        <v>23</v>
      </c>
      <c r="S9" s="48" t="s">
        <v>24</v>
      </c>
      <c r="T9" s="49" t="s">
        <v>25</v>
      </c>
      <c r="U9" s="46" t="s">
        <v>26</v>
      </c>
      <c r="V9" s="45" t="s">
        <v>27</v>
      </c>
      <c r="W9" s="48" t="s">
        <v>28</v>
      </c>
      <c r="X9" s="45" t="s">
        <v>29</v>
      </c>
      <c r="Y9" s="48" t="s">
        <v>30</v>
      </c>
      <c r="Z9" s="45" t="s">
        <v>31</v>
      </c>
      <c r="AA9" s="48" t="s">
        <v>32</v>
      </c>
      <c r="AB9" s="45" t="s">
        <v>33</v>
      </c>
      <c r="AC9" s="50" t="s">
        <v>34</v>
      </c>
      <c r="AD9" s="45" t="s">
        <v>35</v>
      </c>
      <c r="AE9" s="48" t="s">
        <v>36</v>
      </c>
      <c r="AF9" s="45" t="s">
        <v>37</v>
      </c>
      <c r="AG9" s="48" t="s">
        <v>38</v>
      </c>
      <c r="AH9" s="45" t="s">
        <v>39</v>
      </c>
      <c r="AI9" s="48" t="s">
        <v>40</v>
      </c>
      <c r="AJ9" s="45" t="s">
        <v>41</v>
      </c>
      <c r="AK9" s="48" t="s">
        <v>42</v>
      </c>
      <c r="AL9" s="45" t="s">
        <v>43</v>
      </c>
      <c r="AM9" s="50" t="s">
        <v>44</v>
      </c>
      <c r="AN9" s="45" t="s">
        <v>45</v>
      </c>
      <c r="AO9" s="48" t="s">
        <v>46</v>
      </c>
      <c r="AP9" s="45" t="s">
        <v>47</v>
      </c>
      <c r="AQ9" s="48" t="s">
        <v>48</v>
      </c>
      <c r="AR9" s="45" t="s">
        <v>49</v>
      </c>
      <c r="AS9" s="48" t="s">
        <v>15</v>
      </c>
      <c r="AT9" s="128" t="s">
        <v>10</v>
      </c>
      <c r="AU9" s="51" t="s">
        <v>11</v>
      </c>
      <c r="AV9" s="41"/>
    </row>
    <row r="10" spans="1:48" s="42" customFormat="1" ht="18.75" customHeight="1" x14ac:dyDescent="0.25">
      <c r="A10" s="21">
        <v>1</v>
      </c>
      <c r="B10" s="19"/>
      <c r="C10" s="37" t="s">
        <v>50</v>
      </c>
      <c r="D10" s="23">
        <v>252</v>
      </c>
      <c r="E10" s="27" t="s">
        <v>51</v>
      </c>
      <c r="F10" s="22" t="s">
        <v>12</v>
      </c>
      <c r="G10" s="23"/>
      <c r="H10" s="23"/>
      <c r="I10" s="23"/>
      <c r="J10" s="23"/>
      <c r="K10" s="23"/>
      <c r="L10" s="23"/>
      <c r="M10" s="33"/>
      <c r="N10" s="29"/>
      <c r="O10" s="28"/>
      <c r="P10" s="23"/>
      <c r="Q10" s="33"/>
      <c r="R10" s="23"/>
      <c r="S10" s="35">
        <v>20000</v>
      </c>
      <c r="T10" s="32">
        <f t="shared" ref="T10:T14" si="0">+S10*AT10</f>
        <v>630000</v>
      </c>
      <c r="U10" s="33"/>
      <c r="V10" s="23"/>
      <c r="W10" s="28"/>
      <c r="X10" s="23"/>
      <c r="Y10" s="28"/>
      <c r="Z10" s="23"/>
      <c r="AA10" s="28"/>
      <c r="AB10" s="23"/>
      <c r="AC10" s="28"/>
      <c r="AD10" s="23"/>
      <c r="AE10" s="28"/>
      <c r="AF10" s="23"/>
      <c r="AG10" s="28"/>
      <c r="AH10" s="23"/>
      <c r="AI10" s="28"/>
      <c r="AJ10" s="23"/>
      <c r="AK10" s="28"/>
      <c r="AL10" s="23"/>
      <c r="AM10" s="28"/>
      <c r="AN10" s="23"/>
      <c r="AO10" s="28"/>
      <c r="AP10" s="23"/>
      <c r="AQ10" s="28"/>
      <c r="AR10" s="23"/>
      <c r="AS10" s="24">
        <f t="shared" ref="AS10:AS14" si="1">+S10</f>
        <v>20000</v>
      </c>
      <c r="AT10" s="129">
        <v>31.5</v>
      </c>
      <c r="AU10" s="25">
        <f t="shared" ref="AU10:AU14" si="2">+AT10*AS10</f>
        <v>630000</v>
      </c>
    </row>
    <row r="11" spans="1:48" s="42" customFormat="1" ht="30" x14ac:dyDescent="0.25">
      <c r="A11" s="21">
        <v>2</v>
      </c>
      <c r="B11" s="19"/>
      <c r="C11" s="37" t="s">
        <v>50</v>
      </c>
      <c r="D11" s="23">
        <v>252</v>
      </c>
      <c r="E11" s="27" t="s">
        <v>55</v>
      </c>
      <c r="F11" s="22" t="s">
        <v>12</v>
      </c>
      <c r="G11" s="23"/>
      <c r="H11" s="23"/>
      <c r="I11" s="23"/>
      <c r="J11" s="23"/>
      <c r="K11" s="23"/>
      <c r="L11" s="23"/>
      <c r="M11" s="33"/>
      <c r="N11" s="29"/>
      <c r="O11" s="28"/>
      <c r="P11" s="23"/>
      <c r="Q11" s="33"/>
      <c r="R11" s="23"/>
      <c r="S11" s="26">
        <v>500</v>
      </c>
      <c r="T11" s="32">
        <f>+S11*AT11</f>
        <v>24000</v>
      </c>
      <c r="U11" s="33"/>
      <c r="V11" s="23"/>
      <c r="W11" s="28"/>
      <c r="X11" s="23"/>
      <c r="Y11" s="28"/>
      <c r="Z11" s="23"/>
      <c r="AA11" s="28"/>
      <c r="AB11" s="23"/>
      <c r="AC11" s="28"/>
      <c r="AD11" s="23"/>
      <c r="AE11" s="28"/>
      <c r="AF11" s="23"/>
      <c r="AG11" s="28"/>
      <c r="AH11" s="23"/>
      <c r="AI11" s="28"/>
      <c r="AJ11" s="23"/>
      <c r="AK11" s="28"/>
      <c r="AL11" s="23"/>
      <c r="AM11" s="28"/>
      <c r="AN11" s="23"/>
      <c r="AO11" s="28"/>
      <c r="AP11" s="23"/>
      <c r="AQ11" s="28"/>
      <c r="AR11" s="23"/>
      <c r="AS11" s="24">
        <f>+S11</f>
        <v>500</v>
      </c>
      <c r="AT11" s="130">
        <v>48</v>
      </c>
      <c r="AU11" s="25">
        <f>+AT11*AS11</f>
        <v>24000</v>
      </c>
    </row>
    <row r="12" spans="1:48" s="42" customFormat="1" ht="30" x14ac:dyDescent="0.25">
      <c r="A12" s="21">
        <v>3</v>
      </c>
      <c r="B12" s="19"/>
      <c r="C12" s="37" t="s">
        <v>50</v>
      </c>
      <c r="D12" s="23">
        <v>252</v>
      </c>
      <c r="E12" s="38" t="s">
        <v>54</v>
      </c>
      <c r="F12" s="22" t="s">
        <v>12</v>
      </c>
      <c r="G12" s="23"/>
      <c r="H12" s="23"/>
      <c r="I12" s="23"/>
      <c r="J12" s="23"/>
      <c r="K12" s="23"/>
      <c r="L12" s="23"/>
      <c r="M12" s="33"/>
      <c r="N12" s="29"/>
      <c r="O12" s="28"/>
      <c r="P12" s="23"/>
      <c r="Q12" s="33"/>
      <c r="R12" s="23"/>
      <c r="S12" s="39">
        <v>8000</v>
      </c>
      <c r="T12" s="32">
        <f>+S12*AT12</f>
        <v>409440</v>
      </c>
      <c r="U12" s="33"/>
      <c r="V12" s="23"/>
      <c r="W12" s="28"/>
      <c r="X12" s="23"/>
      <c r="Y12" s="28"/>
      <c r="Z12" s="23"/>
      <c r="AA12" s="28"/>
      <c r="AB12" s="23"/>
      <c r="AC12" s="28"/>
      <c r="AD12" s="23"/>
      <c r="AE12" s="28"/>
      <c r="AF12" s="23"/>
      <c r="AG12" s="28"/>
      <c r="AH12" s="23"/>
      <c r="AI12" s="28"/>
      <c r="AJ12" s="23"/>
      <c r="AK12" s="28"/>
      <c r="AL12" s="23"/>
      <c r="AM12" s="28"/>
      <c r="AN12" s="23"/>
      <c r="AO12" s="28"/>
      <c r="AP12" s="23"/>
      <c r="AQ12" s="28"/>
      <c r="AR12" s="23"/>
      <c r="AS12" s="24">
        <f>+S12</f>
        <v>8000</v>
      </c>
      <c r="AT12" s="129">
        <v>51.18</v>
      </c>
      <c r="AU12" s="25">
        <f>+AT12*AS12</f>
        <v>409440</v>
      </c>
    </row>
    <row r="13" spans="1:48" s="42" customFormat="1" ht="30" x14ac:dyDescent="0.25">
      <c r="A13" s="21">
        <v>4</v>
      </c>
      <c r="B13" s="19"/>
      <c r="C13" s="37" t="s">
        <v>50</v>
      </c>
      <c r="D13" s="23">
        <v>252</v>
      </c>
      <c r="E13" s="30" t="s">
        <v>53</v>
      </c>
      <c r="F13" s="22" t="s">
        <v>12</v>
      </c>
      <c r="G13" s="23"/>
      <c r="H13" s="23"/>
      <c r="I13" s="23"/>
      <c r="J13" s="23"/>
      <c r="K13" s="23"/>
      <c r="L13" s="23"/>
      <c r="M13" s="33"/>
      <c r="N13" s="29"/>
      <c r="O13" s="28"/>
      <c r="P13" s="23"/>
      <c r="Q13" s="33"/>
      <c r="R13" s="23"/>
      <c r="S13" s="34">
        <v>40000</v>
      </c>
      <c r="T13" s="32">
        <f>+S13*AT13</f>
        <v>2274000</v>
      </c>
      <c r="U13" s="33"/>
      <c r="V13" s="23"/>
      <c r="W13" s="28"/>
      <c r="X13" s="23"/>
      <c r="Y13" s="28"/>
      <c r="Z13" s="23"/>
      <c r="AA13" s="28"/>
      <c r="AB13" s="23"/>
      <c r="AC13" s="28"/>
      <c r="AD13" s="23"/>
      <c r="AE13" s="28"/>
      <c r="AF13" s="23"/>
      <c r="AG13" s="28"/>
      <c r="AH13" s="23"/>
      <c r="AI13" s="28"/>
      <c r="AJ13" s="23"/>
      <c r="AK13" s="28"/>
      <c r="AL13" s="23"/>
      <c r="AM13" s="28"/>
      <c r="AN13" s="23"/>
      <c r="AO13" s="28"/>
      <c r="AP13" s="23"/>
      <c r="AQ13" s="28"/>
      <c r="AR13" s="23"/>
      <c r="AS13" s="24">
        <f>+S13</f>
        <v>40000</v>
      </c>
      <c r="AT13" s="129">
        <v>56.85</v>
      </c>
      <c r="AU13" s="25">
        <f>+AT13*AS13</f>
        <v>2274000</v>
      </c>
    </row>
    <row r="14" spans="1:48" s="42" customFormat="1" ht="30" x14ac:dyDescent="0.25">
      <c r="A14" s="21">
        <v>5</v>
      </c>
      <c r="B14" s="19"/>
      <c r="C14" s="37" t="s">
        <v>50</v>
      </c>
      <c r="D14" s="23">
        <v>252</v>
      </c>
      <c r="E14" s="27" t="s">
        <v>52</v>
      </c>
      <c r="F14" s="22" t="s">
        <v>12</v>
      </c>
      <c r="G14" s="23"/>
      <c r="H14" s="23"/>
      <c r="I14" s="23"/>
      <c r="J14" s="23"/>
      <c r="K14" s="23"/>
      <c r="L14" s="23"/>
      <c r="M14" s="33"/>
      <c r="N14" s="29"/>
      <c r="O14" s="28"/>
      <c r="P14" s="23"/>
      <c r="Q14" s="33"/>
      <c r="R14" s="23"/>
      <c r="S14" s="35">
        <v>500</v>
      </c>
      <c r="T14" s="32">
        <f t="shared" si="0"/>
        <v>47500</v>
      </c>
      <c r="U14" s="33"/>
      <c r="V14" s="23"/>
      <c r="W14" s="28"/>
      <c r="X14" s="23"/>
      <c r="Y14" s="28"/>
      <c r="Z14" s="23"/>
      <c r="AA14" s="28"/>
      <c r="AB14" s="23"/>
      <c r="AC14" s="28"/>
      <c r="AD14" s="23"/>
      <c r="AE14" s="28"/>
      <c r="AF14" s="23"/>
      <c r="AG14" s="28"/>
      <c r="AH14" s="23"/>
      <c r="AI14" s="28"/>
      <c r="AJ14" s="23"/>
      <c r="AK14" s="28"/>
      <c r="AL14" s="23"/>
      <c r="AM14" s="28"/>
      <c r="AN14" s="23"/>
      <c r="AO14" s="28"/>
      <c r="AP14" s="23"/>
      <c r="AQ14" s="28"/>
      <c r="AR14" s="23"/>
      <c r="AS14" s="24">
        <f t="shared" si="1"/>
        <v>500</v>
      </c>
      <c r="AT14" s="129">
        <v>95</v>
      </c>
      <c r="AU14" s="25">
        <f t="shared" si="2"/>
        <v>47500</v>
      </c>
    </row>
    <row r="15" spans="1:48" s="136" customFormat="1" ht="34.5" customHeight="1" x14ac:dyDescent="0.2">
      <c r="A15" s="21"/>
      <c r="B15" s="132"/>
      <c r="C15" s="21"/>
      <c r="D15" s="21"/>
      <c r="E15" s="133" t="s">
        <v>56</v>
      </c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5"/>
      <c r="AI15" s="36"/>
      <c r="AJ15" s="135"/>
      <c r="AK15" s="36"/>
      <c r="AL15" s="135"/>
      <c r="AM15" s="36"/>
      <c r="AN15" s="135"/>
      <c r="AO15" s="36"/>
      <c r="AP15" s="135"/>
      <c r="AQ15" s="36"/>
      <c r="AR15" s="135"/>
      <c r="AS15" s="36"/>
      <c r="AT15" s="131"/>
      <c r="AU15" s="31">
        <f>SUM(AU10:AU14)</f>
        <v>3384940</v>
      </c>
    </row>
    <row r="16" spans="1:48" x14ac:dyDescent="0.25">
      <c r="C16" s="15" t="s">
        <v>121</v>
      </c>
    </row>
    <row r="17" spans="2:5" ht="128.1" customHeight="1" x14ac:dyDescent="0.2">
      <c r="B17" s="143" t="s">
        <v>109</v>
      </c>
      <c r="C17" s="144" t="s">
        <v>110</v>
      </c>
      <c r="D17" s="144"/>
      <c r="E17" s="144"/>
    </row>
    <row r="18" spans="2:5" x14ac:dyDescent="0.25">
      <c r="B18" s="14" t="s">
        <v>111</v>
      </c>
      <c r="C18" s="15" t="s">
        <v>112</v>
      </c>
    </row>
    <row r="20" spans="2:5" ht="30" x14ac:dyDescent="0.25">
      <c r="B20" s="14" t="s">
        <v>113</v>
      </c>
      <c r="C20" s="15" t="s">
        <v>114</v>
      </c>
    </row>
    <row r="22" spans="2:5" ht="30" x14ac:dyDescent="0.25">
      <c r="B22" s="14" t="s">
        <v>115</v>
      </c>
    </row>
    <row r="24" spans="2:5" x14ac:dyDescent="0.25">
      <c r="B24" s="14" t="s">
        <v>116</v>
      </c>
      <c r="C24" s="15" t="s">
        <v>117</v>
      </c>
    </row>
  </sheetData>
  <sortState xmlns:xlrd2="http://schemas.microsoft.com/office/spreadsheetml/2017/richdata2" ref="A10:AV16">
    <sortCondition ref="E10"/>
  </sortState>
  <mergeCells count="8">
    <mergeCell ref="C17:E17"/>
    <mergeCell ref="A7:B7"/>
    <mergeCell ref="A6:B6"/>
    <mergeCell ref="B2:AT2"/>
    <mergeCell ref="A4:B4"/>
    <mergeCell ref="C4:E4"/>
    <mergeCell ref="A5:B5"/>
    <mergeCell ref="C5:E5"/>
  </mergeCells>
  <conditionalFormatting sqref="B15:B1048576 B1:B9">
    <cfRule type="duplicateValues" dxfId="11" priority="12802"/>
  </conditionalFormatting>
  <conditionalFormatting sqref="E16 E1:E9 E18:E1048576">
    <cfRule type="duplicateValues" dxfId="10" priority="12806"/>
  </conditionalFormatting>
  <conditionalFormatting sqref="E16 E18:E1048576">
    <cfRule type="duplicateValues" dxfId="9" priority="12819"/>
  </conditionalFormatting>
  <conditionalFormatting sqref="E16 E1:E9 E18:E1048576">
    <cfRule type="duplicateValues" dxfId="8" priority="12831"/>
    <cfRule type="duplicateValues" dxfId="7" priority="12832"/>
  </conditionalFormatting>
  <conditionalFormatting sqref="E16 E1:E9 B1:B9 B15:B1048576 E18:E1048576">
    <cfRule type="duplicateValues" dxfId="6" priority="12833"/>
  </conditionalFormatting>
  <conditionalFormatting sqref="E16 E1:E9 B15:B1048576 B1:B9 E18:E1048576">
    <cfRule type="duplicateValues" dxfId="5" priority="12837"/>
  </conditionalFormatting>
  <conditionalFormatting sqref="B10:B14">
    <cfRule type="duplicateValues" dxfId="4" priority="12838"/>
  </conditionalFormatting>
  <conditionalFormatting sqref="E10:E14">
    <cfRule type="duplicateValues" dxfId="3" priority="12840"/>
  </conditionalFormatting>
  <conditionalFormatting sqref="E10:E14">
    <cfRule type="duplicateValues" dxfId="2" priority="12842"/>
    <cfRule type="duplicateValues" dxfId="1" priority="12843"/>
  </conditionalFormatting>
  <conditionalFormatting sqref="E10:E14 B10:B14">
    <cfRule type="duplicateValues" dxfId="0" priority="12846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"/>
  <sheetViews>
    <sheetView workbookViewId="0">
      <selection activeCell="A18" sqref="A18:I18"/>
    </sheetView>
  </sheetViews>
  <sheetFormatPr baseColWidth="10" defaultRowHeight="12.75" x14ac:dyDescent="0.2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32.42578125" customWidth="1"/>
    <col min="8" max="8" width="9.28515625" customWidth="1"/>
    <col min="9" max="9" width="14.5703125" customWidth="1"/>
    <col min="10" max="10" width="16" customWidth="1"/>
    <col min="11" max="11" width="15.5703125" customWidth="1"/>
    <col min="13" max="13" width="15.42578125" bestFit="1" customWidth="1"/>
  </cols>
  <sheetData>
    <row r="1" spans="1:13" ht="16.5" thickBot="1" x14ac:dyDescent="0.25">
      <c r="A1" s="163" t="s">
        <v>61</v>
      </c>
      <c r="B1" s="163"/>
      <c r="C1" s="163"/>
      <c r="D1" s="163"/>
      <c r="E1" s="163"/>
      <c r="F1" s="163"/>
      <c r="G1" s="163"/>
      <c r="H1" s="163"/>
      <c r="I1" s="163"/>
      <c r="J1" s="54" t="s">
        <v>62</v>
      </c>
      <c r="K1" s="55" t="s">
        <v>105</v>
      </c>
      <c r="M1" s="56"/>
    </row>
    <row r="2" spans="1:13" ht="16.5" thickBot="1" x14ac:dyDescent="0.25">
      <c r="A2" s="57"/>
      <c r="B2" s="57"/>
      <c r="C2" s="57"/>
      <c r="D2" s="58"/>
      <c r="E2" s="58"/>
      <c r="F2" s="58"/>
      <c r="G2" s="58"/>
      <c r="H2" s="58"/>
      <c r="I2" s="58"/>
      <c r="J2" s="58"/>
      <c r="K2" s="58"/>
      <c r="M2" s="56"/>
    </row>
    <row r="3" spans="1:13" ht="16.5" thickBot="1" x14ac:dyDescent="0.25">
      <c r="A3" s="164" t="s">
        <v>63</v>
      </c>
      <c r="B3" s="164"/>
      <c r="C3" s="164"/>
      <c r="D3" s="59" t="s">
        <v>64</v>
      </c>
      <c r="E3" s="60"/>
      <c r="F3" s="60"/>
      <c r="G3" s="60"/>
      <c r="H3" s="60"/>
      <c r="I3" s="60"/>
      <c r="J3" s="60"/>
      <c r="K3" s="61"/>
      <c r="M3" s="56"/>
    </row>
    <row r="4" spans="1:13" ht="16.5" thickBot="1" x14ac:dyDescent="0.25">
      <c r="A4" s="161" t="s">
        <v>65</v>
      </c>
      <c r="B4" s="161"/>
      <c r="C4" s="161"/>
      <c r="D4" s="59" t="s">
        <v>66</v>
      </c>
      <c r="E4" s="60"/>
      <c r="F4" s="60"/>
      <c r="G4" s="60"/>
      <c r="H4" s="60"/>
      <c r="I4" s="60"/>
      <c r="J4" s="60"/>
      <c r="K4" s="61"/>
      <c r="M4" s="56"/>
    </row>
    <row r="5" spans="1:13" ht="16.5" thickBot="1" x14ac:dyDescent="0.25">
      <c r="A5" s="161" t="s">
        <v>67</v>
      </c>
      <c r="B5" s="161"/>
      <c r="C5" s="161"/>
      <c r="D5" s="59" t="s">
        <v>103</v>
      </c>
      <c r="E5" s="62"/>
      <c r="F5" s="62"/>
      <c r="G5" s="62"/>
      <c r="H5" s="62"/>
      <c r="I5" s="62"/>
      <c r="J5" s="62"/>
      <c r="K5" s="63"/>
      <c r="M5" s="56"/>
    </row>
    <row r="6" spans="1:13" ht="16.5" thickBot="1" x14ac:dyDescent="0.25">
      <c r="A6" s="164" t="s">
        <v>68</v>
      </c>
      <c r="B6" s="164"/>
      <c r="C6" s="164"/>
      <c r="D6" s="59" t="s">
        <v>103</v>
      </c>
      <c r="E6" s="62"/>
      <c r="F6" s="62"/>
      <c r="G6" s="62"/>
      <c r="H6" s="62"/>
      <c r="I6" s="62"/>
      <c r="J6" s="62"/>
      <c r="K6" s="63"/>
      <c r="M6" s="56"/>
    </row>
    <row r="7" spans="1:13" ht="16.5" thickBot="1" x14ac:dyDescent="0.25">
      <c r="A7" s="161" t="s">
        <v>69</v>
      </c>
      <c r="B7" s="161"/>
      <c r="C7" s="161"/>
      <c r="D7" s="162" t="s">
        <v>106</v>
      </c>
      <c r="E7" s="162"/>
      <c r="F7" s="162"/>
      <c r="G7" s="162"/>
      <c r="H7" s="162"/>
      <c r="I7" s="162"/>
      <c r="J7" s="162"/>
      <c r="K7" s="162"/>
      <c r="M7" s="56"/>
    </row>
    <row r="8" spans="1:13" ht="37.5" customHeight="1" thickBot="1" x14ac:dyDescent="0.25">
      <c r="A8" s="155" t="s">
        <v>70</v>
      </c>
      <c r="B8" s="155"/>
      <c r="C8" s="155"/>
      <c r="D8" s="156" t="s">
        <v>107</v>
      </c>
      <c r="E8" s="156"/>
      <c r="F8" s="156"/>
      <c r="G8" s="156"/>
      <c r="H8" s="156"/>
      <c r="I8" s="156"/>
      <c r="J8" s="156"/>
      <c r="K8" s="156"/>
      <c r="M8" s="56"/>
    </row>
    <row r="9" spans="1:13" ht="16.5" thickBot="1" x14ac:dyDescent="0.25">
      <c r="A9" s="64"/>
      <c r="B9" s="64"/>
      <c r="C9" s="64"/>
      <c r="D9" s="65"/>
      <c r="E9" s="65"/>
      <c r="F9" s="65"/>
      <c r="G9" s="65"/>
      <c r="H9" s="65"/>
      <c r="I9" s="65"/>
      <c r="J9" s="65"/>
      <c r="K9" s="65"/>
      <c r="M9" s="56"/>
    </row>
    <row r="10" spans="1:13" ht="13.5" thickBot="1" x14ac:dyDescent="0.25">
      <c r="A10" s="157" t="s">
        <v>71</v>
      </c>
      <c r="B10" s="158" t="s">
        <v>72</v>
      </c>
      <c r="C10" s="158" t="s">
        <v>73</v>
      </c>
      <c r="D10" s="158"/>
      <c r="E10" s="158"/>
      <c r="F10" s="158"/>
      <c r="G10" s="158"/>
      <c r="H10" s="159" t="s">
        <v>74</v>
      </c>
      <c r="I10" s="160" t="s">
        <v>75</v>
      </c>
      <c r="J10" s="160" t="s">
        <v>76</v>
      </c>
      <c r="K10" s="160" t="s">
        <v>77</v>
      </c>
      <c r="M10" s="56"/>
    </row>
    <row r="11" spans="1:13" ht="13.5" thickBot="1" x14ac:dyDescent="0.25">
      <c r="A11" s="157"/>
      <c r="B11" s="158"/>
      <c r="C11" s="158"/>
      <c r="D11" s="158"/>
      <c r="E11" s="158"/>
      <c r="F11" s="158"/>
      <c r="G11" s="158"/>
      <c r="H11" s="159"/>
      <c r="I11" s="160"/>
      <c r="J11" s="160"/>
      <c r="K11" s="160"/>
      <c r="M11" s="56"/>
    </row>
    <row r="12" spans="1:13" x14ac:dyDescent="0.2">
      <c r="A12" s="66">
        <v>1</v>
      </c>
      <c r="B12" s="67"/>
      <c r="C12" s="137" t="str">
        <f>'Necesidades Trimestrales (2)'!E10</f>
        <v>AGUA DESTILADA EN AMPOLLAS</v>
      </c>
      <c r="D12" s="138"/>
      <c r="E12" s="138"/>
      <c r="F12" s="138"/>
      <c r="G12" s="139"/>
      <c r="H12" s="68" t="s">
        <v>118</v>
      </c>
      <c r="I12" s="69" t="str">
        <f>'Necesidades Trimestrales (2)'!F10</f>
        <v>UNIDAD</v>
      </c>
      <c r="J12" s="70">
        <f>'Necesidades Trimestrales (2)'!AT10</f>
        <v>31.5</v>
      </c>
      <c r="K12" s="71">
        <f>'Necesidades Trimestrales (2)'!AS10</f>
        <v>20000</v>
      </c>
      <c r="M12" s="56">
        <f>+J12*K12</f>
        <v>630000</v>
      </c>
    </row>
    <row r="13" spans="1:13" ht="15" x14ac:dyDescent="0.2">
      <c r="A13" s="66">
        <v>2</v>
      </c>
      <c r="B13" s="67"/>
      <c r="C13" s="140" t="str">
        <f>'Necesidades Trimestrales (2)'!E11</f>
        <v>SOLUCION FISIOLOGICA 0,9% SACHET X 100 ML</v>
      </c>
      <c r="D13" s="141"/>
      <c r="E13" s="141"/>
      <c r="F13" s="141"/>
      <c r="G13" s="142"/>
      <c r="H13" s="68" t="s">
        <v>118</v>
      </c>
      <c r="I13" s="69" t="str">
        <f>'Necesidades Trimestrales (2)'!F11</f>
        <v>UNIDAD</v>
      </c>
      <c r="J13" s="70">
        <f>'Necesidades Trimestrales (2)'!AT11</f>
        <v>48</v>
      </c>
      <c r="K13" s="71">
        <f>'Necesidades Trimestrales (2)'!AS11</f>
        <v>500</v>
      </c>
      <c r="M13" s="56">
        <f>+J13*K13</f>
        <v>24000</v>
      </c>
    </row>
    <row r="14" spans="1:13" ht="15" x14ac:dyDescent="0.2">
      <c r="A14" s="66">
        <v>3</v>
      </c>
      <c r="B14" s="67"/>
      <c r="C14" s="140" t="str">
        <f>'Necesidades Trimestrales (2)'!E12</f>
        <v>SOLUCION FISIOLOGICA 0,9 % SACHET X 500 ML</v>
      </c>
      <c r="D14" s="141"/>
      <c r="E14" s="141"/>
      <c r="F14" s="141"/>
      <c r="G14" s="142"/>
      <c r="H14" s="68" t="s">
        <v>118</v>
      </c>
      <c r="I14" s="69" t="str">
        <f>'Necesidades Trimestrales (2)'!F12</f>
        <v>UNIDAD</v>
      </c>
      <c r="J14" s="70">
        <f>'Necesidades Trimestrales (2)'!AT12</f>
        <v>51.18</v>
      </c>
      <c r="K14" s="71">
        <f>'Necesidades Trimestrales (2)'!AS12</f>
        <v>8000</v>
      </c>
      <c r="M14" s="56">
        <f>+J14*K14</f>
        <v>409440</v>
      </c>
    </row>
    <row r="15" spans="1:13" x14ac:dyDescent="0.2">
      <c r="A15" s="66">
        <v>4</v>
      </c>
      <c r="B15" s="67"/>
      <c r="C15" s="140" t="str">
        <f>'Necesidades Trimestrales (2)'!E13</f>
        <v>SOLUCION DEXTROSA AL 5 % SACHET DE 500 ML</v>
      </c>
      <c r="D15" s="74"/>
      <c r="E15" s="74"/>
      <c r="F15" s="74"/>
      <c r="G15" s="75"/>
      <c r="H15" s="68" t="s">
        <v>118</v>
      </c>
      <c r="I15" s="69" t="str">
        <f>'Necesidades Trimestrales (2)'!F13</f>
        <v>UNIDAD</v>
      </c>
      <c r="J15" s="70">
        <f>'Necesidades Trimestrales (2)'!AT13</f>
        <v>56.85</v>
      </c>
      <c r="K15" s="71">
        <f>'Necesidades Trimestrales (2)'!AS13</f>
        <v>40000</v>
      </c>
      <c r="M15" s="56">
        <f>+J15*K15</f>
        <v>2274000</v>
      </c>
    </row>
    <row r="16" spans="1:13" x14ac:dyDescent="0.2">
      <c r="A16" s="66">
        <v>5</v>
      </c>
      <c r="B16" s="67"/>
      <c r="C16" s="140" t="str">
        <f>'Necesidades Trimestrales (2)'!E14</f>
        <v>SOLUCION DEXTROSA AL 10% SACHET DE 500 ML</v>
      </c>
      <c r="D16" s="72"/>
      <c r="E16" s="72"/>
      <c r="F16" s="72"/>
      <c r="G16" s="73"/>
      <c r="H16" s="68" t="s">
        <v>118</v>
      </c>
      <c r="I16" s="69" t="str">
        <f>'Necesidades Trimestrales (2)'!F14</f>
        <v>UNIDAD</v>
      </c>
      <c r="J16" s="70">
        <f>'Necesidades Trimestrales (2)'!AT14</f>
        <v>95</v>
      </c>
      <c r="K16" s="71">
        <f>'Necesidades Trimestrales (2)'!AS14</f>
        <v>500</v>
      </c>
      <c r="M16" s="56">
        <f t="shared" ref="M16" si="0">+J16*K16</f>
        <v>47500</v>
      </c>
    </row>
    <row r="17" spans="1:13" ht="15.75" thickBot="1" x14ac:dyDescent="0.25">
      <c r="A17" s="76"/>
      <c r="B17" s="77"/>
      <c r="C17" s="78"/>
      <c r="D17" s="79"/>
      <c r="E17" s="79"/>
      <c r="F17" s="79"/>
      <c r="G17" s="80"/>
      <c r="H17" s="81"/>
      <c r="I17" s="82"/>
      <c r="J17" s="83"/>
      <c r="K17" s="84"/>
      <c r="M17" s="56"/>
    </row>
    <row r="18" spans="1:13" ht="24.75" customHeight="1" thickBot="1" x14ac:dyDescent="0.25">
      <c r="A18" s="150" t="s">
        <v>119</v>
      </c>
      <c r="B18" s="151"/>
      <c r="C18" s="151"/>
      <c r="D18" s="151"/>
      <c r="E18" s="151"/>
      <c r="F18" s="151"/>
      <c r="G18" s="151"/>
      <c r="H18" s="151"/>
      <c r="I18" s="152"/>
      <c r="J18" s="153">
        <f>+M18</f>
        <v>3384940</v>
      </c>
      <c r="K18" s="154"/>
      <c r="M18" s="56">
        <f>SUM(M12:M17)</f>
        <v>3384940</v>
      </c>
    </row>
  </sheetData>
  <mergeCells count="18">
    <mergeCell ref="A7:C7"/>
    <mergeCell ref="D7:K7"/>
    <mergeCell ref="A1:I1"/>
    <mergeCell ref="A3:C3"/>
    <mergeCell ref="A4:C4"/>
    <mergeCell ref="A5:C5"/>
    <mergeCell ref="A6:C6"/>
    <mergeCell ref="A18:I18"/>
    <mergeCell ref="J18:K18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"/>
  <sheetViews>
    <sheetView workbookViewId="0">
      <selection activeCell="A16" sqref="A16"/>
    </sheetView>
  </sheetViews>
  <sheetFormatPr baseColWidth="10" defaultRowHeight="12.75" x14ac:dyDescent="0.2"/>
  <cols>
    <col min="1" max="5" width="4.42578125" customWidth="1"/>
    <col min="6" max="6" width="5.5703125" customWidth="1"/>
    <col min="7" max="14" width="4.42578125" customWidth="1"/>
    <col min="15" max="16" width="14.85546875" customWidth="1"/>
    <col min="17" max="17" width="17.7109375" customWidth="1"/>
  </cols>
  <sheetData>
    <row r="1" spans="1:17" ht="18.75" customHeight="1" thickBot="1" x14ac:dyDescent="0.3">
      <c r="A1" s="191" t="s">
        <v>2</v>
      </c>
      <c r="B1" s="191"/>
      <c r="C1" s="191"/>
      <c r="D1" s="192">
        <v>2021</v>
      </c>
      <c r="E1" s="192"/>
      <c r="F1" s="85"/>
      <c r="G1" s="85"/>
      <c r="H1" s="86"/>
      <c r="I1" s="86"/>
      <c r="J1" s="86"/>
      <c r="K1" s="86"/>
      <c r="L1" s="86"/>
      <c r="M1" s="86"/>
      <c r="N1" s="86"/>
      <c r="O1" s="87"/>
      <c r="P1" s="193" t="s">
        <v>78</v>
      </c>
      <c r="Q1" s="193"/>
    </row>
    <row r="2" spans="1:17" ht="18.75" customHeight="1" thickBot="1" x14ac:dyDescent="0.25">
      <c r="A2" s="87"/>
      <c r="B2" s="87"/>
      <c r="C2" s="87"/>
      <c r="D2" s="87"/>
      <c r="E2" s="87"/>
      <c r="F2" s="87"/>
      <c r="G2" s="88"/>
      <c r="H2" s="86"/>
      <c r="I2" s="86"/>
      <c r="J2" s="86"/>
      <c r="K2" s="86"/>
      <c r="L2" s="86"/>
      <c r="M2" s="86"/>
      <c r="N2" s="86"/>
      <c r="O2" s="87"/>
      <c r="P2" s="193"/>
      <c r="Q2" s="193"/>
    </row>
    <row r="3" spans="1:17" ht="18.75" customHeight="1" thickBot="1" x14ac:dyDescent="0.25">
      <c r="A3" s="87"/>
      <c r="B3" s="87"/>
      <c r="C3" s="87"/>
      <c r="D3" s="87"/>
      <c r="E3" s="87"/>
      <c r="F3" s="87"/>
      <c r="G3" s="88"/>
      <c r="H3" s="87"/>
      <c r="I3" s="87"/>
      <c r="J3" s="87"/>
      <c r="K3" s="87"/>
      <c r="L3" s="87"/>
      <c r="M3" s="87"/>
      <c r="N3" s="87"/>
      <c r="O3" s="87"/>
      <c r="P3" s="87"/>
      <c r="Q3" s="87"/>
    </row>
    <row r="4" spans="1:17" ht="18.75" customHeight="1" thickBot="1" x14ac:dyDescent="0.25">
      <c r="A4" s="194" t="s">
        <v>79</v>
      </c>
      <c r="B4" s="194"/>
      <c r="C4" s="194"/>
      <c r="D4" s="194"/>
      <c r="E4" s="194"/>
      <c r="F4" s="194"/>
      <c r="G4" s="89" t="str">
        <f>NP!D3</f>
        <v>040 - Ministerio de Salud</v>
      </c>
      <c r="H4" s="90"/>
      <c r="I4" s="90"/>
      <c r="J4" s="90"/>
      <c r="K4" s="90"/>
      <c r="L4" s="90"/>
      <c r="M4" s="90"/>
      <c r="N4" s="90"/>
      <c r="O4" s="90"/>
      <c r="P4" s="90"/>
      <c r="Q4" s="91"/>
    </row>
    <row r="5" spans="1:17" ht="18.75" customHeight="1" thickBot="1" x14ac:dyDescent="0.25">
      <c r="A5" s="177" t="s">
        <v>65</v>
      </c>
      <c r="B5" s="178"/>
      <c r="C5" s="178"/>
      <c r="D5" s="178"/>
      <c r="E5" s="178"/>
      <c r="F5" s="179"/>
      <c r="G5" s="89" t="str">
        <f>NP!D4</f>
        <v>011 - Direccion Provincial de Administración - Ministerio de Salud</v>
      </c>
      <c r="H5" s="90"/>
      <c r="I5" s="90"/>
      <c r="J5" s="90"/>
      <c r="K5" s="90"/>
      <c r="L5" s="90"/>
      <c r="M5" s="90"/>
      <c r="N5" s="90"/>
      <c r="O5" s="90"/>
      <c r="P5" s="90"/>
      <c r="Q5" s="91"/>
    </row>
    <row r="6" spans="1:17" ht="18.75" customHeight="1" thickBot="1" x14ac:dyDescent="0.25">
      <c r="A6" s="177" t="s">
        <v>67</v>
      </c>
      <c r="B6" s="178"/>
      <c r="C6" s="178"/>
      <c r="D6" s="178"/>
      <c r="E6" s="178"/>
      <c r="F6" s="179"/>
      <c r="G6" s="89" t="str">
        <f>NP!D5</f>
        <v>469 - DIRECCION PROVINCIAL DE FARMACIA E INSUMOS</v>
      </c>
      <c r="H6" s="90"/>
      <c r="I6" s="90"/>
      <c r="J6" s="90"/>
      <c r="K6" s="90"/>
      <c r="L6" s="90"/>
      <c r="M6" s="90"/>
      <c r="N6" s="90"/>
      <c r="O6" s="90"/>
      <c r="P6" s="90"/>
      <c r="Q6" s="91"/>
    </row>
    <row r="7" spans="1:17" ht="18.75" customHeight="1" thickBot="1" x14ac:dyDescent="0.25">
      <c r="A7" s="177" t="s">
        <v>68</v>
      </c>
      <c r="B7" s="178"/>
      <c r="C7" s="178"/>
      <c r="D7" s="178"/>
      <c r="E7" s="178"/>
      <c r="F7" s="179"/>
      <c r="G7" s="89" t="str">
        <f>NP!D6</f>
        <v>469 - DIRECCION PROVINCIAL DE FARMACIA E INSUMOS</v>
      </c>
      <c r="H7" s="90"/>
      <c r="I7" s="90"/>
      <c r="J7" s="90"/>
      <c r="K7" s="90"/>
      <c r="L7" s="90"/>
      <c r="M7" s="90"/>
      <c r="N7" s="90"/>
      <c r="O7" s="90"/>
      <c r="P7" s="90"/>
      <c r="Q7" s="91"/>
    </row>
    <row r="8" spans="1:17" ht="18.75" customHeight="1" thickBot="1" x14ac:dyDescent="0.25">
      <c r="A8" s="180" t="s">
        <v>80</v>
      </c>
      <c r="B8" s="180"/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</row>
    <row r="9" spans="1:17" ht="18.75" customHeight="1" x14ac:dyDescent="0.2">
      <c r="A9" s="181" t="s">
        <v>81</v>
      </c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92"/>
      <c r="P9" s="92"/>
      <c r="Q9" s="93"/>
    </row>
    <row r="10" spans="1:17" ht="48.75" customHeight="1" x14ac:dyDescent="0.2">
      <c r="A10" s="182" t="s">
        <v>104</v>
      </c>
      <c r="B10" s="183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4"/>
    </row>
    <row r="11" spans="1:17" ht="18.75" customHeight="1" thickBot="1" x14ac:dyDescent="0.25">
      <c r="A11" s="94"/>
      <c r="B11" s="95"/>
      <c r="C11" s="95"/>
      <c r="D11" s="95"/>
      <c r="E11" s="95"/>
      <c r="F11" s="95"/>
      <c r="G11" s="96"/>
      <c r="H11" s="95"/>
      <c r="I11" s="95"/>
      <c r="J11" s="95"/>
      <c r="K11" s="95"/>
      <c r="L11" s="95"/>
      <c r="M11" s="95"/>
      <c r="N11" s="95"/>
      <c r="O11" s="95"/>
      <c r="P11" s="95"/>
      <c r="Q11" s="97"/>
    </row>
    <row r="12" spans="1:17" ht="18.75" customHeight="1" thickBot="1" x14ac:dyDescent="0.25">
      <c r="A12" s="185" t="s">
        <v>82</v>
      </c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5"/>
    </row>
    <row r="13" spans="1:17" ht="18.75" customHeight="1" thickBot="1" x14ac:dyDescent="0.25">
      <c r="A13" s="186" t="s">
        <v>83</v>
      </c>
      <c r="B13" s="186"/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7" t="s">
        <v>84</v>
      </c>
      <c r="P13" s="187"/>
      <c r="Q13" s="188" t="s">
        <v>85</v>
      </c>
    </row>
    <row r="14" spans="1:17" ht="18.75" customHeight="1" thickBot="1" x14ac:dyDescent="0.25">
      <c r="A14" s="98" t="s">
        <v>86</v>
      </c>
      <c r="B14" s="99" t="s">
        <v>87</v>
      </c>
      <c r="C14" s="99" t="s">
        <v>88</v>
      </c>
      <c r="D14" s="99" t="s">
        <v>89</v>
      </c>
      <c r="E14" s="99" t="s">
        <v>90</v>
      </c>
      <c r="F14" s="99" t="s">
        <v>91</v>
      </c>
      <c r="G14" s="100" t="s">
        <v>92</v>
      </c>
      <c r="H14" s="99" t="s">
        <v>93</v>
      </c>
      <c r="I14" s="99" t="s">
        <v>94</v>
      </c>
      <c r="J14" s="99" t="s">
        <v>95</v>
      </c>
      <c r="K14" s="99" t="s">
        <v>95</v>
      </c>
      <c r="L14" s="99" t="s">
        <v>96</v>
      </c>
      <c r="M14" s="101" t="s">
        <v>97</v>
      </c>
      <c r="N14" s="102" t="s">
        <v>98</v>
      </c>
      <c r="O14" s="187"/>
      <c r="P14" s="187"/>
      <c r="Q14" s="188"/>
    </row>
    <row r="15" spans="1:17" ht="37.5" customHeight="1" x14ac:dyDescent="0.2">
      <c r="A15" s="103">
        <v>30</v>
      </c>
      <c r="B15" s="104"/>
      <c r="C15" s="104"/>
      <c r="D15" s="104">
        <v>1</v>
      </c>
      <c r="E15" s="104"/>
      <c r="F15" s="104">
        <v>4901</v>
      </c>
      <c r="G15" s="104">
        <v>3</v>
      </c>
      <c r="H15" s="104">
        <v>1</v>
      </c>
      <c r="I15" s="105">
        <v>2</v>
      </c>
      <c r="J15" s="105">
        <v>5</v>
      </c>
      <c r="K15" s="105">
        <v>2</v>
      </c>
      <c r="L15" s="104"/>
      <c r="M15" s="106">
        <v>1</v>
      </c>
      <c r="N15" s="107" t="s">
        <v>99</v>
      </c>
      <c r="O15" s="189" t="s">
        <v>100</v>
      </c>
      <c r="P15" s="190"/>
      <c r="Q15" s="108">
        <f>NP!M18</f>
        <v>3384940</v>
      </c>
    </row>
    <row r="16" spans="1:17" ht="18.75" customHeight="1" x14ac:dyDescent="0.2">
      <c r="A16" s="109"/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1"/>
      <c r="N16" s="112"/>
      <c r="O16" s="168"/>
      <c r="P16" s="176"/>
      <c r="Q16" s="113"/>
    </row>
    <row r="17" spans="1:17" ht="18.75" customHeight="1" x14ac:dyDescent="0.2">
      <c r="A17" s="109"/>
      <c r="B17" s="110"/>
      <c r="C17" s="110"/>
      <c r="D17" s="110"/>
      <c r="E17" s="110"/>
      <c r="F17" s="112"/>
      <c r="G17" s="110"/>
      <c r="H17" s="110"/>
      <c r="I17" s="110"/>
      <c r="J17" s="110"/>
      <c r="K17" s="110"/>
      <c r="L17" s="110"/>
      <c r="M17" s="111"/>
      <c r="N17" s="112"/>
      <c r="O17" s="168"/>
      <c r="P17" s="176"/>
      <c r="Q17" s="113"/>
    </row>
    <row r="18" spans="1:17" ht="18.75" customHeight="1" x14ac:dyDescent="0.2">
      <c r="A18" s="109"/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1"/>
      <c r="N18" s="112"/>
      <c r="O18" s="176"/>
      <c r="P18" s="176"/>
      <c r="Q18" s="113"/>
    </row>
    <row r="19" spans="1:17" ht="18.75" customHeight="1" x14ac:dyDescent="0.2">
      <c r="A19" s="109"/>
      <c r="B19" s="110"/>
      <c r="C19" s="110"/>
      <c r="D19" s="110"/>
      <c r="E19" s="110"/>
      <c r="F19" s="112"/>
      <c r="G19" s="110"/>
      <c r="H19" s="110"/>
      <c r="I19" s="110"/>
      <c r="J19" s="110"/>
      <c r="K19" s="110"/>
      <c r="L19" s="110"/>
      <c r="M19" s="111"/>
      <c r="N19" s="112"/>
      <c r="O19" s="176"/>
      <c r="P19" s="176"/>
      <c r="Q19" s="113"/>
    </row>
    <row r="20" spans="1:17" ht="18.75" customHeight="1" x14ac:dyDescent="0.2">
      <c r="A20" s="109"/>
      <c r="B20" s="110"/>
      <c r="C20" s="110"/>
      <c r="D20" s="110"/>
      <c r="E20" s="110"/>
      <c r="F20" s="112"/>
      <c r="G20" s="110"/>
      <c r="H20" s="110"/>
      <c r="I20" s="110"/>
      <c r="J20" s="110"/>
      <c r="K20" s="110"/>
      <c r="L20" s="110"/>
      <c r="M20" s="111"/>
      <c r="N20" s="112"/>
      <c r="O20" s="176"/>
      <c r="P20" s="176"/>
      <c r="Q20" s="113"/>
    </row>
    <row r="21" spans="1:17" ht="18.75" customHeight="1" x14ac:dyDescent="0.2">
      <c r="A21" s="114"/>
      <c r="B21" s="115"/>
      <c r="C21" s="115"/>
      <c r="D21" s="115"/>
      <c r="E21" s="115"/>
      <c r="F21" s="116"/>
      <c r="G21" s="115"/>
      <c r="H21" s="115"/>
      <c r="I21" s="115"/>
      <c r="J21" s="115"/>
      <c r="K21" s="115"/>
      <c r="L21" s="115"/>
      <c r="M21" s="117"/>
      <c r="N21" s="118"/>
      <c r="O21" s="168"/>
      <c r="P21" s="168"/>
      <c r="Q21" s="113"/>
    </row>
    <row r="22" spans="1:17" ht="18.75" customHeight="1" thickBot="1" x14ac:dyDescent="0.25">
      <c r="A22" s="119"/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1"/>
      <c r="N22" s="120"/>
      <c r="O22" s="169"/>
      <c r="P22" s="169"/>
      <c r="Q22" s="122"/>
    </row>
    <row r="23" spans="1:17" ht="37.5" customHeight="1" thickBot="1" x14ac:dyDescent="0.25">
      <c r="A23" s="170" t="s">
        <v>120</v>
      </c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23">
        <f>SUM(Q15:Q22)</f>
        <v>3384940</v>
      </c>
    </row>
    <row r="24" spans="1:17" ht="18.75" customHeight="1" thickBot="1" x14ac:dyDescent="0.25">
      <c r="A24" s="171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</row>
    <row r="25" spans="1:17" ht="18.75" customHeight="1" thickBot="1" x14ac:dyDescent="0.25">
      <c r="A25" s="172" t="s">
        <v>101</v>
      </c>
      <c r="B25" s="173"/>
      <c r="C25" s="173"/>
      <c r="D25" s="173"/>
      <c r="E25" s="173"/>
      <c r="F25" s="174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</row>
    <row r="26" spans="1:17" ht="30" customHeight="1" x14ac:dyDescent="0.2">
      <c r="A26" s="165" t="str">
        <f>NP!D8</f>
        <v>Adquisicion del  Rubro NUTRICION Y SOLUCIONES QUE AFECTAN EL EQUILIBRIO HIDROELECTROLITICO Y
SOLUCIONES PARA DIALISIS</v>
      </c>
      <c r="B26" s="166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7"/>
    </row>
    <row r="27" spans="1:17" ht="18.75" customHeight="1" thickBot="1" x14ac:dyDescent="0.25">
      <c r="A27" s="124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6"/>
    </row>
  </sheetData>
  <mergeCells count="27">
    <mergeCell ref="A6:F6"/>
    <mergeCell ref="A1:C1"/>
    <mergeCell ref="D1:E1"/>
    <mergeCell ref="P1:Q2"/>
    <mergeCell ref="A4:F4"/>
    <mergeCell ref="A5:F5"/>
    <mergeCell ref="O20:P20"/>
    <mergeCell ref="A7:F7"/>
    <mergeCell ref="A8:Q8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6:Q26"/>
    <mergeCell ref="O21:P21"/>
    <mergeCell ref="O22:P22"/>
    <mergeCell ref="A23:P23"/>
    <mergeCell ref="A24:Q24"/>
    <mergeCell ref="A25:F25"/>
    <mergeCell ref="G25:Q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Necesidades Trimestrales (2)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cp:revision>2</cp:revision>
  <cp:lastPrinted>2021-02-22T15:06:37Z</cp:lastPrinted>
  <dcterms:created xsi:type="dcterms:W3CDTF">2020-07-17T23:44:49Z</dcterms:created>
  <dcterms:modified xsi:type="dcterms:W3CDTF">2021-08-12T11:41:22Z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