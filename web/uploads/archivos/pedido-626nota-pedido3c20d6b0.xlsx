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08" yWindow="-108" windowWidth="19416" windowHeight="11016" tabRatio="500" activeTab="2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NotaPedido!$A$1:$K$13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0" i="1"/>
  <c r="A26" i="3"/>
  <c r="A10"/>
  <c r="K12" i="2"/>
  <c r="J12"/>
  <c r="I12"/>
  <c r="C12"/>
  <c r="B12"/>
  <c r="I10" i="1"/>
  <c r="J13" i="2" l="1"/>
  <c r="G6" i="3" l="1"/>
  <c r="G7"/>
  <c r="D7" i="2"/>
  <c r="D3"/>
  <c r="G4" i="3" s="1"/>
  <c r="D4" i="2"/>
  <c r="G5" i="3" s="1"/>
  <c r="D1" l="1"/>
  <c r="Q23"/>
</calcChain>
</file>

<file path=xl/sharedStrings.xml><?xml version="1.0" encoding="utf-8"?>
<sst xmlns="http://schemas.openxmlformats.org/spreadsheetml/2006/main" count="81" uniqueCount="76">
  <si>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</si>
  <si>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</si>
  <si>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</si>
  <si>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</si>
  <si>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</si>
  <si>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</si>
  <si>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</si>
  <si>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</si>
  <si>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</si>
  <si>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</si>
  <si>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</si>
  <si>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</si>
  <si>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</si>
  <si>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</si>
  <si>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</si>
  <si>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</si>
  <si>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</si>
  <si>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</si>
  <si>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</si>
  <si>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</si>
  <si>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</si>
  <si>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</si>
  <si>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</si>
  <si>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</si>
  <si>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</si>
  <si>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</si>
  <si>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</si>
  <si>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</si>
  <si>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</si>
  <si>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</si>
  <si>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</si>
  <si>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</si>
  <si>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</si>
  <si>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</si>
  <si>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</si>
  <si>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</si>
  <si>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</si>
  <si>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</si>
  <si>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</si>
  <si>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</si>
  <si>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</si>
  <si>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</si>
  <si>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</si>
  <si>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</si>
  <si>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</si>
  <si>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</si>
  <si>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</si>
  <si>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</si>
  <si>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</si>
  <si>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</si>
  <si>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</si>
  <si>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</si>
  <si>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</si>
  <si>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</si>
  <si>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</si>
  <si>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</si>
  <si>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</si>
  <si>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</si>
  <si>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</si>
  <si>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</si>
  <si>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 xml:space="preserve">45 dias habiles </t>
  </si>
  <si>
    <t>3.1</t>
  </si>
  <si>
    <t>1.1</t>
  </si>
  <si>
    <t>ELECTRICIDAD Y TELEFONIA</t>
  </si>
  <si>
    <t>METRO</t>
  </si>
  <si>
    <t>Departamento Electromedicina</t>
  </si>
  <si>
    <t>237 - Direccion de Mantenimiento</t>
  </si>
  <si>
    <t>Útiles y Materiales Eléctricos</t>
  </si>
  <si>
    <t>2.9.3-1803.9</t>
  </si>
  <si>
    <t>CABLES SUBTERRANEOS; HILOS: 3+1, AISLACION: ANTIFLAMA, SECCION HILO: 3 X 50 + 1 X 25 mm, NUMERO DE HILOS: 3+1, SECCION: 3 X 50 + 1 X 25 mm</t>
  </si>
  <si>
    <t>CABLE SUBTERRANEO PARA EQUIPO DE RAYOS X</t>
  </si>
  <si>
    <t>10 dias habiles - Departamento Electromedicina del HISJB</t>
  </si>
  <si>
    <t>Costo total estimado: PESOS QUINIENTOS NOVENTA Y UN MIL DOSCIENTOS VEINTE CON 00/100</t>
  </si>
  <si>
    <t>112/21</t>
  </si>
  <si>
    <t>Adquisición de Cable para Equipo de Rayos X</t>
  </si>
  <si>
    <t>TOTAL DE PESOS: QUINIENTOS NOVENTA Y UN MIL DOSCIENTOS VEINTE CON 00/100</t>
  </si>
</sst>
</file>

<file path=xl/styles.xml><?xml version="1.0" encoding="utf-8"?>
<styleSheet xmlns="http://schemas.openxmlformats.org/spreadsheetml/2006/main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6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0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0" fillId="5" borderId="32" xfId="0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15" fillId="3" borderId="0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4" fillId="5" borderId="19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9" fillId="0" borderId="44" xfId="0" applyFont="1" applyBorder="1" applyAlignment="1">
      <alignment horizontal="left" vertical="center" wrapText="1"/>
    </xf>
    <xf numFmtId="0" fontId="0" fillId="0" borderId="22" xfId="0" applyBorder="1"/>
    <xf numFmtId="0" fontId="25" fillId="0" borderId="32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26"/>
  <sheetViews>
    <sheetView zoomScale="85" zoomScaleNormal="85" workbookViewId="0">
      <selection activeCell="H10" sqref="H10"/>
    </sheetView>
  </sheetViews>
  <sheetFormatPr baseColWidth="10" defaultColWidth="11" defaultRowHeight="13.2"/>
  <cols>
    <col min="1" max="1" width="4.5546875" style="39" customWidth="1"/>
    <col min="2" max="2" width="12.88671875" style="39" customWidth="1"/>
    <col min="3" max="3" width="32.44140625" style="39" customWidth="1"/>
    <col min="4" max="4" width="8.44140625" style="39" customWidth="1"/>
    <col min="5" max="5" width="79" style="39" customWidth="1"/>
    <col min="6" max="6" width="11" style="39"/>
    <col min="7" max="7" width="12.6640625" style="39" customWidth="1"/>
    <col min="8" max="8" width="13.88671875" style="39" customWidth="1"/>
    <col min="9" max="9" width="18.5546875" style="39" customWidth="1"/>
    <col min="10" max="16384" width="11" style="39"/>
  </cols>
  <sheetData>
    <row r="2" spans="1:9" ht="27.6">
      <c r="B2" s="88" t="s">
        <v>0</v>
      </c>
      <c r="C2" s="88"/>
      <c r="D2" s="88"/>
      <c r="E2" s="88"/>
      <c r="F2" s="88"/>
      <c r="G2" s="88"/>
      <c r="H2" s="88"/>
    </row>
    <row r="4" spans="1:9" ht="18" customHeight="1">
      <c r="A4" s="83" t="s">
        <v>1</v>
      </c>
      <c r="B4" s="83"/>
      <c r="C4" s="89" t="s">
        <v>58</v>
      </c>
      <c r="D4" s="89"/>
      <c r="E4" s="89"/>
      <c r="F4" s="40"/>
      <c r="G4" s="41"/>
      <c r="H4" s="40"/>
    </row>
    <row r="5" spans="1:9" ht="18" customHeight="1">
      <c r="A5" s="83" t="s">
        <v>2</v>
      </c>
      <c r="B5" s="83"/>
      <c r="C5" s="89" t="s">
        <v>59</v>
      </c>
      <c r="D5" s="89"/>
      <c r="E5" s="89"/>
      <c r="F5" s="40"/>
      <c r="G5" s="41"/>
      <c r="H5" s="40"/>
    </row>
    <row r="6" spans="1:9" ht="16.5" customHeight="1">
      <c r="A6" s="83" t="s">
        <v>3</v>
      </c>
      <c r="B6" s="83"/>
      <c r="C6" s="63">
        <v>2021</v>
      </c>
      <c r="D6" s="64"/>
      <c r="E6" s="64"/>
      <c r="F6" s="40"/>
      <c r="G6" s="41"/>
      <c r="H6" s="40"/>
    </row>
    <row r="7" spans="1:9" ht="16.5" customHeight="1">
      <c r="A7" s="83" t="s">
        <v>4</v>
      </c>
      <c r="B7" s="83"/>
      <c r="C7" s="63">
        <v>4</v>
      </c>
      <c r="D7" s="64"/>
      <c r="E7" s="64"/>
      <c r="F7" s="40"/>
      <c r="G7" s="41"/>
      <c r="H7" s="40"/>
    </row>
    <row r="8" spans="1:9" ht="13.8" thickBot="1">
      <c r="B8" s="40"/>
      <c r="C8" s="41"/>
      <c r="D8" s="40"/>
      <c r="E8" s="40"/>
      <c r="F8" s="40"/>
      <c r="G8" s="41"/>
      <c r="H8" s="40"/>
    </row>
    <row r="9" spans="1:9" ht="40.200000000000003" thickBot="1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50.4" customHeight="1" thickBot="1">
      <c r="A10" s="56">
        <v>1</v>
      </c>
      <c r="B10" s="60" t="s">
        <v>68</v>
      </c>
      <c r="C10" s="57" t="s">
        <v>63</v>
      </c>
      <c r="D10" s="58" t="str">
        <f>LEFT(B10,5)</f>
        <v>2.9.3</v>
      </c>
      <c r="E10" s="59" t="s">
        <v>69</v>
      </c>
      <c r="F10" s="60" t="s">
        <v>64</v>
      </c>
      <c r="G10" s="60">
        <v>140</v>
      </c>
      <c r="H10" s="61">
        <v>4223</v>
      </c>
      <c r="I10" s="62">
        <f t="shared" ref="I10" si="0">G10*H10</f>
        <v>591220</v>
      </c>
    </row>
    <row r="13" spans="1:9">
      <c r="B13" s="42" t="s">
        <v>14</v>
      </c>
      <c r="C13" s="43"/>
      <c r="D13" s="43"/>
      <c r="E13" s="44"/>
    </row>
    <row r="14" spans="1:9" ht="5.25" customHeight="1">
      <c r="B14" s="45"/>
      <c r="C14" s="46"/>
      <c r="D14" s="46"/>
      <c r="E14" s="47"/>
    </row>
    <row r="15" spans="1:9">
      <c r="B15" s="48" t="s">
        <v>15</v>
      </c>
      <c r="C15" s="46"/>
      <c r="D15" s="46"/>
      <c r="E15" s="47"/>
    </row>
    <row r="16" spans="1:9" ht="41.25" customHeight="1">
      <c r="B16" s="48"/>
      <c r="C16" s="84" t="s">
        <v>70</v>
      </c>
      <c r="D16" s="84"/>
      <c r="E16" s="85"/>
    </row>
    <row r="17" spans="2:5">
      <c r="B17" s="48" t="s">
        <v>16</v>
      </c>
      <c r="C17" s="46"/>
      <c r="D17" s="46"/>
      <c r="E17" s="47"/>
    </row>
    <row r="18" spans="2:5">
      <c r="B18" s="49"/>
      <c r="C18" s="86" t="s">
        <v>71</v>
      </c>
      <c r="D18" s="86"/>
      <c r="E18" s="86"/>
    </row>
    <row r="19" spans="2:5">
      <c r="B19" s="49"/>
      <c r="C19" s="87"/>
      <c r="D19" s="87"/>
      <c r="E19" s="87"/>
    </row>
    <row r="20" spans="2:5">
      <c r="B20" s="48" t="s">
        <v>17</v>
      </c>
      <c r="C20" s="46"/>
      <c r="D20" s="46"/>
      <c r="E20" s="47"/>
    </row>
    <row r="21" spans="2:5" ht="26.25" customHeight="1">
      <c r="B21" s="49"/>
      <c r="C21" s="80"/>
      <c r="D21" s="80"/>
      <c r="E21" s="80"/>
    </row>
    <row r="22" spans="2:5">
      <c r="B22" s="48" t="s">
        <v>18</v>
      </c>
      <c r="C22" s="50"/>
      <c r="D22" s="50"/>
      <c r="E22" s="51"/>
    </row>
    <row r="23" spans="2:5" ht="26.25" customHeight="1">
      <c r="B23" s="49"/>
      <c r="C23" s="81" t="s">
        <v>60</v>
      </c>
      <c r="D23" s="81"/>
      <c r="E23" s="81"/>
    </row>
    <row r="24" spans="2:5">
      <c r="B24" s="48" t="s">
        <v>19</v>
      </c>
      <c r="C24" s="46"/>
      <c r="D24" s="46"/>
      <c r="E24" s="47"/>
    </row>
    <row r="25" spans="2:5" ht="23.25" customHeight="1">
      <c r="B25" s="48"/>
      <c r="C25" s="82"/>
      <c r="D25" s="82"/>
      <c r="E25" s="82"/>
    </row>
    <row r="26" spans="2:5">
      <c r="B26" s="52"/>
      <c r="C26" s="53"/>
      <c r="D26" s="53"/>
      <c r="E26" s="54"/>
    </row>
  </sheetData>
  <mergeCells count="13">
    <mergeCell ref="B2:H2"/>
    <mergeCell ref="A4:B4"/>
    <mergeCell ref="C4:E4"/>
    <mergeCell ref="A5:B5"/>
    <mergeCell ref="C5:E5"/>
    <mergeCell ref="C21:E21"/>
    <mergeCell ref="C23:E23"/>
    <mergeCell ref="C25:E25"/>
    <mergeCell ref="A6:B6"/>
    <mergeCell ref="A7:B7"/>
    <mergeCell ref="C16:E16"/>
    <mergeCell ref="C18:E18"/>
    <mergeCell ref="C19:E19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J13"/>
  <sheetViews>
    <sheetView zoomScale="85" zoomScaleNormal="85" workbookViewId="0">
      <selection activeCell="K9" sqref="K9"/>
    </sheetView>
  </sheetViews>
  <sheetFormatPr baseColWidth="10" defaultColWidth="9.109375" defaultRowHeight="13.2"/>
  <cols>
    <col min="1" max="1" width="5.5546875" style="2" customWidth="1"/>
    <col min="2" max="2" width="15.109375" style="2" customWidth="1"/>
    <col min="3" max="3" width="14.109375" style="2" customWidth="1"/>
    <col min="4" max="4" width="26" style="2" customWidth="1"/>
    <col min="5" max="5" width="8" style="2" customWidth="1"/>
    <col min="6" max="6" width="7.88671875" style="2" customWidth="1"/>
    <col min="7" max="7" width="42" style="2" customWidth="1"/>
    <col min="8" max="8" width="9.33203125" style="2" customWidth="1"/>
    <col min="9" max="9" width="15.5546875" style="2" customWidth="1"/>
    <col min="10" max="10" width="14.6640625" style="2" customWidth="1"/>
    <col min="11" max="11" width="15.5546875" style="2" customWidth="1"/>
    <col min="12" max="14" width="5.88671875" style="2" customWidth="1"/>
    <col min="15" max="15" width="12.5546875" style="2" customWidth="1"/>
    <col min="16" max="1024" width="9.109375" style="2"/>
  </cols>
  <sheetData>
    <row r="1" spans="1:1024" ht="18" customHeight="1">
      <c r="A1" s="98" t="s">
        <v>20</v>
      </c>
      <c r="B1" s="98"/>
      <c r="C1" s="98"/>
      <c r="D1" s="98"/>
      <c r="E1" s="98"/>
      <c r="F1" s="98"/>
      <c r="G1" s="98"/>
      <c r="H1" s="98"/>
      <c r="I1" s="98"/>
      <c r="J1" s="3" t="s">
        <v>21</v>
      </c>
      <c r="K1" s="65" t="s">
        <v>73</v>
      </c>
    </row>
    <row r="2" spans="1:1024" ht="18.75" customHeight="1" thickBot="1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024" ht="18.75" customHeight="1" thickBot="1">
      <c r="A3" s="99" t="s">
        <v>54</v>
      </c>
      <c r="B3" s="99"/>
      <c r="C3" s="99"/>
      <c r="D3" s="100" t="str">
        <f>'Necesidades Trimestrales'!C4</f>
        <v>40 - Ministerio de Salud</v>
      </c>
      <c r="E3" s="100"/>
      <c r="F3" s="100"/>
      <c r="G3" s="100"/>
      <c r="H3" s="100"/>
      <c r="I3" s="100"/>
      <c r="J3" s="100"/>
      <c r="K3" s="100"/>
    </row>
    <row r="4" spans="1:1024" ht="18.75" customHeight="1" thickBot="1">
      <c r="A4" s="101" t="s">
        <v>55</v>
      </c>
      <c r="B4" s="101"/>
      <c r="C4" s="101"/>
      <c r="D4" s="100" t="str">
        <f>'Necesidades Trimestrales'!C5</f>
        <v>23 - Hospital Interzonal San Juan Bautista</v>
      </c>
      <c r="E4" s="100"/>
      <c r="F4" s="100"/>
      <c r="G4" s="100"/>
      <c r="H4" s="100"/>
      <c r="I4" s="100"/>
      <c r="J4" s="100"/>
      <c r="K4" s="100"/>
    </row>
    <row r="5" spans="1:1024" ht="18.75" customHeight="1" thickBot="1">
      <c r="A5" s="101" t="s">
        <v>33</v>
      </c>
      <c r="B5" s="101"/>
      <c r="C5" s="101"/>
      <c r="D5" s="100" t="s">
        <v>66</v>
      </c>
      <c r="E5" s="100"/>
      <c r="F5" s="100"/>
      <c r="G5" s="100"/>
      <c r="H5" s="100"/>
      <c r="I5" s="100"/>
      <c r="J5" s="100"/>
      <c r="K5" s="100"/>
    </row>
    <row r="6" spans="1:1024" ht="16.5" customHeight="1" thickBot="1">
      <c r="A6" s="99" t="s">
        <v>56</v>
      </c>
      <c r="B6" s="99"/>
      <c r="C6" s="99"/>
      <c r="D6" s="100" t="s">
        <v>65</v>
      </c>
      <c r="E6" s="100"/>
      <c r="F6" s="100"/>
      <c r="G6" s="100"/>
      <c r="H6" s="100"/>
      <c r="I6" s="100"/>
      <c r="J6" s="100"/>
      <c r="K6" s="100"/>
    </row>
    <row r="7" spans="1:1024" ht="16.5" customHeight="1">
      <c r="A7" s="101" t="s">
        <v>22</v>
      </c>
      <c r="B7" s="101"/>
      <c r="C7" s="101"/>
      <c r="D7" s="100" t="str">
        <f>'Necesidades Trimestrales'!C7 &amp; "° Trimestre - Año " &amp; 'Necesidades Trimestrales'!C6</f>
        <v>4° Trimestre - Año 2021</v>
      </c>
      <c r="E7" s="100"/>
      <c r="F7" s="100"/>
      <c r="G7" s="100"/>
      <c r="H7" s="100"/>
      <c r="I7" s="100"/>
      <c r="J7" s="100"/>
      <c r="K7" s="100"/>
    </row>
    <row r="8" spans="1:1024" ht="16.5" customHeight="1">
      <c r="A8" s="93" t="s">
        <v>23</v>
      </c>
      <c r="B8" s="93"/>
      <c r="C8" s="93"/>
      <c r="D8" s="94" t="s">
        <v>74</v>
      </c>
      <c r="E8" s="94"/>
      <c r="F8" s="94"/>
      <c r="G8" s="94"/>
      <c r="H8" s="94"/>
      <c r="I8" s="94"/>
      <c r="J8" s="94"/>
      <c r="K8" s="94"/>
    </row>
    <row r="9" spans="1:1024" ht="15.6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024" ht="18.75" customHeight="1">
      <c r="A10" s="95" t="s">
        <v>24</v>
      </c>
      <c r="B10" s="96" t="s">
        <v>25</v>
      </c>
      <c r="C10" s="96" t="s">
        <v>26</v>
      </c>
      <c r="D10" s="96"/>
      <c r="E10" s="96"/>
      <c r="F10" s="96"/>
      <c r="G10" s="96"/>
      <c r="H10" s="96" t="s">
        <v>27</v>
      </c>
      <c r="I10" s="96" t="s">
        <v>28</v>
      </c>
      <c r="J10" s="96" t="s">
        <v>29</v>
      </c>
      <c r="K10" s="97" t="s">
        <v>30</v>
      </c>
    </row>
    <row r="11" spans="1:1024" ht="24" customHeight="1" thickBot="1">
      <c r="A11" s="95"/>
      <c r="B11" s="96"/>
      <c r="C11" s="96"/>
      <c r="D11" s="96"/>
      <c r="E11" s="96"/>
      <c r="F11" s="96"/>
      <c r="G11" s="96"/>
      <c r="H11" s="96"/>
      <c r="I11" s="96"/>
      <c r="J11" s="96"/>
      <c r="K11" s="97"/>
    </row>
    <row r="12" spans="1:1024" ht="47.4" customHeight="1" thickBot="1">
      <c r="A12" s="8">
        <v>1</v>
      </c>
      <c r="B12" s="66" t="str">
        <f>'Necesidades Trimestrales'!B10</f>
        <v>2.9.3-1803.9</v>
      </c>
      <c r="C12" s="90" t="str">
        <f>'Necesidades Trimestrales'!E10</f>
        <v>CABLES SUBTERRANEOS; HILOS: 3+1, AISLACION: ANTIFLAMA, SECCION HILO: 3 X 50 + 1 X 25 mm, NUMERO DE HILOS: 3+1, SECCION: 3 X 50 + 1 X 25 mm</v>
      </c>
      <c r="D12" s="90"/>
      <c r="E12" s="90"/>
      <c r="F12" s="90"/>
      <c r="G12" s="90"/>
      <c r="H12" s="67" t="s">
        <v>57</v>
      </c>
      <c r="I12" s="68" t="str">
        <f>'Necesidades Trimestrales'!F10</f>
        <v>METRO</v>
      </c>
      <c r="J12" s="69">
        <f>'Necesidades Trimestrales'!H10</f>
        <v>4223</v>
      </c>
      <c r="K12" s="70">
        <f>'Necesidades Trimestrales'!G10</f>
        <v>140</v>
      </c>
    </row>
    <row r="13" spans="1:1024" ht="20.25" customHeight="1" thickBot="1">
      <c r="A13" s="91" t="s">
        <v>72</v>
      </c>
      <c r="B13" s="91"/>
      <c r="C13" s="91"/>
      <c r="D13" s="91"/>
      <c r="E13" s="91"/>
      <c r="F13" s="91"/>
      <c r="G13" s="91"/>
      <c r="H13" s="91"/>
      <c r="I13" s="91"/>
      <c r="J13" s="92">
        <f>SUMPRODUCT(J12:J12,K12:K12)</f>
        <v>591220</v>
      </c>
      <c r="K13" s="92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</row>
  </sheetData>
  <mergeCells count="23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12:G12"/>
    <mergeCell ref="A13:I13"/>
    <mergeCell ref="J13:K1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95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7"/>
  <sheetViews>
    <sheetView tabSelected="1" zoomScale="130" zoomScaleNormal="130" workbookViewId="0">
      <selection activeCell="G6" sqref="G6:Q6"/>
    </sheetView>
  </sheetViews>
  <sheetFormatPr baseColWidth="10" defaultColWidth="11" defaultRowHeight="13.2"/>
  <cols>
    <col min="1" max="4" width="4.44140625" customWidth="1"/>
    <col min="5" max="5" width="4.109375" customWidth="1"/>
    <col min="6" max="6" width="5.109375" customWidth="1"/>
    <col min="7" max="7" width="4.44140625" style="9" customWidth="1"/>
    <col min="8" max="14" width="4.44140625" customWidth="1"/>
    <col min="15" max="16" width="14.88671875" customWidth="1"/>
    <col min="17" max="17" width="14.6640625" customWidth="1"/>
    <col min="19" max="19" width="13.33203125" bestFit="1" customWidth="1"/>
  </cols>
  <sheetData>
    <row r="1" spans="1:17" ht="15.75" customHeight="1">
      <c r="A1" s="126" t="s">
        <v>3</v>
      </c>
      <c r="B1" s="126"/>
      <c r="C1" s="126"/>
      <c r="D1" s="127">
        <f>'Necesidades Trimestrales'!C6</f>
        <v>2021</v>
      </c>
      <c r="E1" s="127"/>
      <c r="F1" s="10"/>
      <c r="G1" s="10"/>
      <c r="H1" s="11"/>
      <c r="I1" s="11"/>
      <c r="J1" s="11"/>
      <c r="K1" s="11"/>
      <c r="L1" s="11"/>
      <c r="M1" s="11"/>
      <c r="N1" s="11"/>
      <c r="P1" s="128" t="s">
        <v>31</v>
      </c>
      <c r="Q1" s="128"/>
    </row>
    <row r="2" spans="1:17" ht="15.75" customHeight="1">
      <c r="H2" s="11"/>
      <c r="I2" s="11"/>
      <c r="J2" s="11"/>
      <c r="K2" s="11"/>
      <c r="L2" s="11"/>
      <c r="M2" s="11"/>
      <c r="N2" s="11"/>
      <c r="P2" s="128"/>
      <c r="Q2" s="128"/>
    </row>
    <row r="4" spans="1:17" s="12" customFormat="1" ht="18" customHeight="1" thickBot="1">
      <c r="A4" s="129" t="s">
        <v>32</v>
      </c>
      <c r="B4" s="129"/>
      <c r="C4" s="129"/>
      <c r="D4" s="129"/>
      <c r="E4" s="129"/>
      <c r="F4" s="129"/>
      <c r="G4" s="124" t="str">
        <f>NotaPedido!D3</f>
        <v>40 - Ministerio de Salud</v>
      </c>
      <c r="H4" s="124"/>
      <c r="I4" s="124"/>
      <c r="J4" s="124"/>
      <c r="K4" s="124"/>
      <c r="L4" s="124"/>
      <c r="M4" s="124"/>
      <c r="N4" s="124"/>
      <c r="O4" s="124"/>
      <c r="P4" s="124"/>
      <c r="Q4" s="124"/>
    </row>
    <row r="5" spans="1:17" s="12" customFormat="1" ht="18" customHeight="1" thickBot="1">
      <c r="A5" s="121" t="s">
        <v>55</v>
      </c>
      <c r="B5" s="122"/>
      <c r="C5" s="122"/>
      <c r="D5" s="122"/>
      <c r="E5" s="122"/>
      <c r="F5" s="123"/>
      <c r="G5" s="124" t="str">
        <f>NotaPedido!D4</f>
        <v>23 - Hospital Interzonal San Juan Bautista</v>
      </c>
      <c r="H5" s="124"/>
      <c r="I5" s="124"/>
      <c r="J5" s="124"/>
      <c r="K5" s="124"/>
      <c r="L5" s="124"/>
      <c r="M5" s="124"/>
      <c r="N5" s="124"/>
      <c r="O5" s="124"/>
      <c r="P5" s="124"/>
      <c r="Q5" s="124"/>
    </row>
    <row r="6" spans="1:17" s="12" customFormat="1" ht="18" customHeight="1" thickBot="1">
      <c r="A6" s="121" t="s">
        <v>33</v>
      </c>
      <c r="B6" s="122"/>
      <c r="C6" s="122"/>
      <c r="D6" s="122"/>
      <c r="E6" s="122"/>
      <c r="F6" s="123"/>
      <c r="G6" s="124" t="str">
        <f>NotaPedido!D5</f>
        <v>237 - Direccion de Mantenimiento</v>
      </c>
      <c r="H6" s="124"/>
      <c r="I6" s="124"/>
      <c r="J6" s="124"/>
      <c r="K6" s="124"/>
      <c r="L6" s="124"/>
      <c r="M6" s="124"/>
      <c r="N6" s="124"/>
      <c r="O6" s="124"/>
      <c r="P6" s="124"/>
      <c r="Q6" s="124"/>
    </row>
    <row r="7" spans="1:17" s="12" customFormat="1" ht="18" customHeight="1" thickBot="1">
      <c r="A7" s="121" t="s">
        <v>56</v>
      </c>
      <c r="B7" s="122"/>
      <c r="C7" s="122"/>
      <c r="D7" s="122"/>
      <c r="E7" s="122"/>
      <c r="F7" s="123"/>
      <c r="G7" s="124" t="str">
        <f>NotaPedido!D6</f>
        <v>Departamento Electromedicina</v>
      </c>
      <c r="H7" s="124"/>
      <c r="I7" s="124"/>
      <c r="J7" s="124"/>
      <c r="K7" s="124"/>
      <c r="L7" s="124"/>
      <c r="M7" s="124"/>
      <c r="N7" s="124"/>
      <c r="O7" s="124"/>
      <c r="P7" s="124"/>
      <c r="Q7" s="124"/>
    </row>
    <row r="8" spans="1:17" ht="18" customHeight="1" thickBot="1">
      <c r="A8" s="125" t="s">
        <v>34</v>
      </c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</row>
    <row r="9" spans="1:17" ht="18" customHeight="1">
      <c r="A9" s="115" t="s">
        <v>35</v>
      </c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"/>
      <c r="P9" s="1"/>
      <c r="Q9" s="13"/>
    </row>
    <row r="10" spans="1:17" ht="54.75" customHeight="1">
      <c r="A10" s="116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112/21,  afectando la erogación resultante a los créditos presupuestarios aprobados a favor de esta Unidad Ejecutora, conforme al siguiente detalle:</v>
      </c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</row>
    <row r="11" spans="1:17" ht="9" customHeight="1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>
      <c r="A12" s="117" t="s">
        <v>36</v>
      </c>
      <c r="B12" s="117"/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</row>
    <row r="13" spans="1:17" ht="15.75" customHeight="1">
      <c r="A13" s="118" t="s">
        <v>37</v>
      </c>
      <c r="B13" s="118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9" t="s">
        <v>38</v>
      </c>
      <c r="P13" s="119"/>
      <c r="Q13" s="120" t="s">
        <v>39</v>
      </c>
    </row>
    <row r="14" spans="1:17" ht="15.75" customHeight="1">
      <c r="A14" s="18" t="s">
        <v>40</v>
      </c>
      <c r="B14" s="19" t="s">
        <v>41</v>
      </c>
      <c r="C14" s="19" t="s">
        <v>42</v>
      </c>
      <c r="D14" s="19" t="s">
        <v>43</v>
      </c>
      <c r="E14" s="19" t="s">
        <v>44</v>
      </c>
      <c r="F14" s="19" t="s">
        <v>45</v>
      </c>
      <c r="G14" s="20" t="s">
        <v>46</v>
      </c>
      <c r="H14" s="19" t="s">
        <v>47</v>
      </c>
      <c r="I14" s="19" t="s">
        <v>48</v>
      </c>
      <c r="J14" s="19" t="s">
        <v>49</v>
      </c>
      <c r="K14" s="19" t="s">
        <v>49</v>
      </c>
      <c r="L14" s="19" t="s">
        <v>50</v>
      </c>
      <c r="M14" s="21" t="s">
        <v>51</v>
      </c>
      <c r="N14" s="22" t="s">
        <v>52</v>
      </c>
      <c r="O14" s="119"/>
      <c r="P14" s="119"/>
      <c r="Q14" s="120"/>
    </row>
    <row r="15" spans="1:17" ht="17.25" customHeight="1">
      <c r="A15" s="73">
        <v>33</v>
      </c>
      <c r="B15" s="74"/>
      <c r="C15" s="74"/>
      <c r="D15" s="74">
        <v>4</v>
      </c>
      <c r="E15" s="74"/>
      <c r="F15" s="74">
        <v>4901</v>
      </c>
      <c r="G15" s="74">
        <v>3</v>
      </c>
      <c r="H15" s="75" t="s">
        <v>61</v>
      </c>
      <c r="I15" s="76">
        <v>2</v>
      </c>
      <c r="J15" s="79">
        <v>9</v>
      </c>
      <c r="K15" s="76">
        <v>3</v>
      </c>
      <c r="L15" s="74"/>
      <c r="M15" s="77">
        <v>1</v>
      </c>
      <c r="N15" s="75" t="s">
        <v>62</v>
      </c>
      <c r="O15" s="112" t="s">
        <v>67</v>
      </c>
      <c r="P15" s="112"/>
      <c r="Q15" s="23">
        <v>591220</v>
      </c>
    </row>
    <row r="16" spans="1:17" ht="17.25" customHeight="1">
      <c r="A16" s="24"/>
      <c r="B16" s="25"/>
      <c r="C16" s="25"/>
      <c r="D16" s="25"/>
      <c r="E16" s="25"/>
      <c r="F16" s="25"/>
      <c r="G16" s="25"/>
      <c r="H16" s="71"/>
      <c r="I16" s="25"/>
      <c r="J16" s="25"/>
      <c r="K16" s="25"/>
      <c r="L16" s="25"/>
      <c r="M16" s="26"/>
      <c r="N16" s="72"/>
      <c r="O16" s="113"/>
      <c r="P16" s="113"/>
      <c r="Q16" s="28"/>
    </row>
    <row r="17" spans="1:19" ht="17.25" customHeight="1">
      <c r="A17" s="24"/>
      <c r="B17" s="25"/>
      <c r="C17" s="25"/>
      <c r="D17" s="25"/>
      <c r="E17" s="25"/>
      <c r="F17" s="27"/>
      <c r="G17" s="25"/>
      <c r="H17" s="71"/>
      <c r="I17" s="25"/>
      <c r="J17" s="25"/>
      <c r="K17" s="25"/>
      <c r="L17" s="25"/>
      <c r="M17" s="26"/>
      <c r="N17" s="72"/>
      <c r="O17" s="113"/>
      <c r="P17" s="113"/>
      <c r="Q17" s="28"/>
      <c r="S17" s="78"/>
    </row>
    <row r="18" spans="1:19" ht="17.25" customHeight="1">
      <c r="A18" s="24"/>
      <c r="B18" s="25"/>
      <c r="C18" s="25"/>
      <c r="D18" s="25"/>
      <c r="E18" s="25"/>
      <c r="F18" s="25"/>
      <c r="G18" s="25"/>
      <c r="H18" s="71"/>
      <c r="I18" s="25"/>
      <c r="J18" s="25"/>
      <c r="K18" s="25"/>
      <c r="L18" s="25"/>
      <c r="M18" s="26"/>
      <c r="N18" s="72"/>
      <c r="O18" s="114"/>
      <c r="P18" s="107"/>
      <c r="Q18" s="28"/>
    </row>
    <row r="19" spans="1:19" ht="17.25" customHeight="1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07"/>
      <c r="P19" s="107"/>
      <c r="Q19" s="28"/>
    </row>
    <row r="20" spans="1:19" ht="17.25" customHeight="1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07"/>
      <c r="P20" s="107"/>
      <c r="Q20" s="28"/>
    </row>
    <row r="21" spans="1:19" ht="17.25" customHeight="1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08"/>
      <c r="P21" s="108"/>
      <c r="Q21" s="28"/>
      <c r="R21" s="1"/>
    </row>
    <row r="22" spans="1:19" ht="17.25" customHeight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09"/>
      <c r="P22" s="109"/>
      <c r="Q22" s="37"/>
    </row>
    <row r="23" spans="1:19" ht="20.25" customHeight="1">
      <c r="A23" s="110" t="s">
        <v>75</v>
      </c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38">
        <f>SUM(Q15:Q22)</f>
        <v>591220</v>
      </c>
    </row>
    <row r="24" spans="1:19" ht="18" customHeight="1" thickBot="1">
      <c r="A24" s="111"/>
      <c r="B24" s="111"/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</row>
    <row r="25" spans="1:19" ht="17.25" customHeight="1" thickBot="1">
      <c r="A25" s="102" t="s">
        <v>53</v>
      </c>
      <c r="B25" s="103"/>
      <c r="C25" s="103"/>
      <c r="D25" s="103"/>
      <c r="E25" s="103"/>
      <c r="F25" s="104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</row>
    <row r="26" spans="1:19" ht="18" customHeight="1" thickBot="1">
      <c r="A26" s="106" t="str">
        <f>"Para la "&amp; NotaPedido!D8 &amp;" para ser destinados al " &amp; NotaPedido!D6 &amp;"  del HISJB del Ministerio de Salud."</f>
        <v>Para la Adquisición de Cable para Equipo de Rayos X para ser destinados al Departamento Electromedicina  del HISJB del Ministerio de Salud.</v>
      </c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</row>
    <row r="27" spans="1:19" ht="15" customHeight="1">
      <c r="A27" s="106"/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22" right="0.25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llicta6</cp:lastModifiedBy>
  <cp:revision>2</cp:revision>
  <cp:lastPrinted>2021-11-16T12:33:04Z</cp:lastPrinted>
  <dcterms:created xsi:type="dcterms:W3CDTF">2020-07-17T23:44:49Z</dcterms:created>
  <dcterms:modified xsi:type="dcterms:W3CDTF">2021-11-16T12:35:36Z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