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Trimestrales'!$A$9:$I$64</definedName>
    <definedName name="_xlnm.Print_Area" localSheetId="1">' NotaPedido'!$A$1:$K$67</definedName>
    <definedName name="_xlnm.Print_Area" localSheetId="2">'Autor Gastar'!$A$1:$Q$25</definedName>
    <definedName name="_xlnm.Print_Area" localSheetId="0">'Necesidades Trimestrales'!$E$9:$E$64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2" l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12" i="2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K42" i="2" l="1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48" i="2" l="1"/>
  <c r="C49" i="2"/>
  <c r="K32" i="2" l="1"/>
  <c r="K33" i="2"/>
  <c r="K34" i="2"/>
  <c r="K35" i="2"/>
  <c r="K36" i="2"/>
  <c r="K37" i="2"/>
  <c r="K38" i="2"/>
  <c r="K39" i="2"/>
  <c r="K40" i="2"/>
  <c r="K4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32" i="2"/>
  <c r="C13" i="2" l="1"/>
  <c r="C14" i="2" l="1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I11" i="1"/>
  <c r="I10" i="1"/>
  <c r="A10" i="3" l="1"/>
  <c r="G6" i="3" l="1"/>
  <c r="D7" i="2"/>
  <c r="D3" i="2"/>
  <c r="G4" i="3" s="1"/>
  <c r="D4" i="2"/>
  <c r="G5" i="3" s="1"/>
  <c r="D1" i="3" l="1"/>
  <c r="K12" i="2"/>
  <c r="J12" i="2"/>
  <c r="I12" i="2"/>
  <c r="C12" i="2"/>
  <c r="J67" i="2" l="1"/>
  <c r="Q21" i="3"/>
</calcChain>
</file>

<file path=xl/sharedStrings.xml><?xml version="1.0" encoding="utf-8"?>
<sst xmlns="http://schemas.openxmlformats.org/spreadsheetml/2006/main" count="362" uniqueCount="189">
  <si>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</si>
  <si>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</si>
  <si>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</si>
  <si>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</si>
  <si>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</si>
  <si>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</si>
  <si>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</si>
  <si>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</si>
  <si>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</si>
  <si>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</si>
  <si>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</si>
  <si>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</si>
  <si>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</si>
  <si>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</si>
  <si>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</si>
  <si>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</si>
  <si>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</si>
  <si>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</si>
  <si>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</si>
  <si>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</si>
  <si>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</si>
  <si>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</si>
  <si>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</si>
  <si>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</si>
  <si>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</si>
  <si>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</si>
  <si>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</si>
  <si>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</si>
  <si>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</si>
  <si>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</si>
  <si>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</si>
  <si>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</si>
  <si>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</si>
  <si>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</si>
  <si>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</si>
  <si>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</si>
  <si>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</si>
  <si>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</si>
  <si>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</si>
  <si>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</si>
  <si>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</si>
  <si>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</si>
  <si>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</si>
  <si>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</si>
  <si>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</si>
  <si>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</si>
  <si>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</si>
  <si>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</si>
  <si>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</si>
  <si>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</si>
  <si>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</si>
  <si>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</si>
  <si>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</si>
  <si>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</si>
  <si>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t xml:space="preserve"> </t>
  </si>
  <si>
    <t>UNIDAD</t>
  </si>
  <si>
    <t>UTILES MENORES MEDICO, QUIRURGICO Y DE LABORATORIO</t>
  </si>
  <si>
    <t>Plazos y lugares de entrega</t>
  </si>
  <si>
    <t>PROD. MEDICO/FARMACEUTICOS/LAB</t>
  </si>
  <si>
    <t>CAJA</t>
  </si>
  <si>
    <t>PAQUETE</t>
  </si>
  <si>
    <t>2.5.2-5525.1</t>
  </si>
  <si>
    <t>SELLADORES P/ODONTOLOGIA; USO: FOSAS Y FISURAS, PRESENTACION: ENVASE X 6 mL</t>
  </si>
  <si>
    <t>2.5.2-1883.179</t>
  </si>
  <si>
    <t>ANESTESICOS LOCALES; TIPO: ANESTESIA ODONTOLOGICA, DROGA GENERICA: CLORHIDRATO DE CARTICAINA 4%, FORMA FARMACEUTICA: ANESTUBOS, PRESENTACION: ENVASE X 25 UN</t>
  </si>
  <si>
    <t>2.9.5-4208.21</t>
  </si>
  <si>
    <t>ELEMENTOS P/RADIOLOGIA; TIPO: LIQUIDO REVELADOR P/RX, PRESENTACION: ENVASE X 500 CM3</t>
  </si>
  <si>
    <t>FRASCO</t>
  </si>
  <si>
    <t>2.9.5-4208.22</t>
  </si>
  <si>
    <t>ELEMENTOS P/RADIOLOGIA; TIPO: LIQUIDO FIJADOR P/RX, PRESENTACION: ENVASE X 500 CM3</t>
  </si>
  <si>
    <t>2.5.2-5142.6</t>
  </si>
  <si>
    <t>TOPICOS ODONTOLOGICOS; DROGA GENERICA: FORMOCRESOL, PRESENTACION: FRASCO X 20 mL, ESTADO: LIQUIDO, FORMA DE PRESENTACION: LIQUIDO</t>
  </si>
  <si>
    <t>2.5.2-1723.157</t>
  </si>
  <si>
    <t>ANTISEPTICOS LOCALES P/PERSONA; TIPO: MONODROGA, DROGA GENERICA: IODOFORMO, FORMA FARMACEUTICA: POLVO, PRESENTACION: ENVASE X 10 GR</t>
  </si>
  <si>
    <t>2.9.5-5144.251</t>
  </si>
  <si>
    <t>INSTRUMENTAL ODONTOLOGICO; TIPO: CONO GUTAPERCHA 1ªSERIE, DESCARTABLE: SI, PRESENTACION: UNIDAD</t>
  </si>
  <si>
    <t>2.5.2-5142.13</t>
  </si>
  <si>
    <t>TOPICOS ODONTOLOGICOS; DROGA GENERICA: BENZOCAINA AL 20%, PRESENTACION: ENVASE X 20 GR, FORMA DE PRESENTACION: POMADA</t>
  </si>
  <si>
    <t>2.5.2-3204.13</t>
  </si>
  <si>
    <t>ACIDO GRABADOR ODONTOLOG.; ESTADO: GEL, PRESENTACION: JERINGA X 12 GR, CAPACIDAD: 12 GR</t>
  </si>
  <si>
    <t>2.9.5-4274.3</t>
  </si>
  <si>
    <t>ESPEJOS BUCALES; PRESENTACION: CAJA X 12 UN</t>
  </si>
  <si>
    <t>2.9.5-5144.24</t>
  </si>
  <si>
    <t>INSTRUMENTAL ODONTOLOGICO; TIPO: SINDESMOTOMO CURVO, DESCARTABLE: NO, PRESENTACION: UNIDAD</t>
  </si>
  <si>
    <t>2.9.5-5144.45</t>
  </si>
  <si>
    <t>INSTRUMENTAL ODONTOLOGICO; TIPO: SINDESMOTOMO RECTO, DESCARTABLE: SIN VALOR, PRESENTACION: SIN VALOR</t>
  </si>
  <si>
    <t>2.9.5-441.429</t>
  </si>
  <si>
    <t>AGUJAS QUIRURGICAS; TIPO: ODONTOLOGICA, ESPECIFICACION: CORTA DE 21 mm, PRESENTACION: ENVASE X 100 UN</t>
  </si>
  <si>
    <t>2.9.5-441.428</t>
  </si>
  <si>
    <t>AGUJAS QUIRURGICAS; TIPO: CARPULE, ESPECIFICACION: EXTRA CORTAS, PRESENTACION: ENVASE X 100 UN</t>
  </si>
  <si>
    <t>2.9.5-5144.417</t>
  </si>
  <si>
    <t>INSTRUMENTAL ODONTOLOGICO; TIPO: EYECTOR P/SALIVA, DESCARTABLE: SI, PRESENTACION: ENVASE X 100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</si>
  <si>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ODONTOLOGIA -HOSPITAL INT. DE NIÑOS – AV. VIRGEN DEL VALLE N° 1050-CATAMARCA DE 8:00 A 12:00HS., DEBIENDO CORRER LOS GASTOS DE FLETES, ACARREO, CARGA, DESCARGA Y SEGURO A CARGO DEL ADJUDICATARIO.</t>
    </r>
  </si>
  <si>
    <t>Insumos Odontologicos</t>
  </si>
  <si>
    <t>Servicio de Odontologia</t>
  </si>
  <si>
    <t>Para la adquisición de Insumos Odontologicos destinados al Servicio de Odontologia del Hospital Interzonal de Niños Eva Peron, para el normal funcionamiento del organismo.</t>
  </si>
  <si>
    <t>PRODUCTOS FARMACEUTICOS Y MEDICINALES</t>
  </si>
  <si>
    <t>2.5.2-2322.12</t>
  </si>
  <si>
    <t>CEMENTOS QUIRURGICOS; PRESENTACION: ENVASE X 20 GR, TIPO: GROSSMAN, USO: ODONTOLOGIA</t>
  </si>
  <si>
    <t>2.5.2-2322.20</t>
  </si>
  <si>
    <t>CEMENTOS QUIRURGICOS; PRESENTACION: AVIO 13 GRS/11 GRS, TIPO: HIDROXIDO DE CALCIO FRAGUABLE, USO: ODONTOLOGIA</t>
  </si>
  <si>
    <t>2.5.2-2322.45</t>
  </si>
  <si>
    <t>CEMENTOS QUIRURGICOS; PRESENTACION: AVIO 38 GRS/15 ML, TIPO: OXIDO DE ZINC Y EUGENOL REFORZ, USO: ODONTOLOGICO</t>
  </si>
  <si>
    <t>2.5.2-5143.37</t>
  </si>
  <si>
    <t>IONOMEROS VITREOS; USO: FOTOCURADO, PRESENTACION: AVIO 10 GRS/6 ML, FORMA DE PRESENTACION: POLVO - LIQUIDO</t>
  </si>
  <si>
    <t>2.5.2-5143.19</t>
  </si>
  <si>
    <t>IONOMEROS VITREOS; USO: AUTOCURADO, ESTADO: POLVO - LIQUIDO, PRESENTACION: AVIO 30 GRS/12 ML, FORMA DE PRESENTACION: POLVO - LIQUIDO</t>
  </si>
  <si>
    <t>2.5.2-1723.92</t>
  </si>
  <si>
    <t>ANTISEPTICOS LOCALES P/PERSONA; TIPO: ANTISEPTICO, DROGA GENERICA: EUGENOL, FORMA FARMACEUTICA: LIQUIDO, PRESENTACION: FRASCO X 50 mL</t>
  </si>
  <si>
    <t>2.5.2-5142.3</t>
  </si>
  <si>
    <t>TOPICOS ODONTOLOGICOS; DROGA GENERICA: FLUORURO DIAMIN. PLATA CARIOST, ESTADO: SOLUCION, PRESENTACION: ENVASE X 5 mL, FORMA DE PRESENTACION: SOLUCION</t>
  </si>
  <si>
    <t>2.5.2-9133.2</t>
  </si>
  <si>
    <t>COMPOSITE; COLOR: A2, POLIMERIZACION: FOTOPOLIMERIZACION, TAMAÑO PARTICULA: HIBRIDO, FORMA DE PRESENTACION: JERINGA, PRESENTACION: ENVASE X 4 GR</t>
  </si>
  <si>
    <t>2.5.2-9133.3</t>
  </si>
  <si>
    <t>COMPOSITE; COLOR: A3, POLIMERIZACION: FOTOPOLIMERIZACION, TAMAÑO PARTICULA: HIBRIDO, FORMA DE PRESENTACION: JERINGA, PRESENTACION: ENVASE X 4 GR</t>
  </si>
  <si>
    <t>2.5.6-7104.529</t>
  </si>
  <si>
    <t>COMBUSTIBLES Y LUBRICANTES</t>
  </si>
  <si>
    <t>ACEITES LUBRICANTES; USO: TURBINA ODONTOLOGICA, PRESENTACION: 210 mL, NORMA: SAE 30, COMERCIALIZACION: POR LITRO</t>
  </si>
  <si>
    <t>2.5.9-4280.4</t>
  </si>
  <si>
    <t>SILICONAS; TIPO: P/ODONTOLOGIA (P/AUTOMEZCLADO), PRESENTACION: AVIO X 96 mL</t>
  </si>
  <si>
    <t>2.5.9-4280.5</t>
  </si>
  <si>
    <t>SILICONAS; TIPO: P/ODONTOLOGIA (P/ADICION), PRESENTACION: AVIO X 96 mL</t>
  </si>
  <si>
    <t>2.5.9-945.28</t>
  </si>
  <si>
    <t>PLACAS RADIOGRAFICAS; SENSIBILIDAD: AL VERDE, DIMENSION: P/ODONTOLOGIA</t>
  </si>
  <si>
    <t>2.6.5-677.31</t>
  </si>
  <si>
    <t>MATERIALES DE CONSTRUCCION</t>
  </si>
  <si>
    <t>YESO EN POLVO; PRESENTACION: BOLSA, PESO: 25 Kg, USO: ODONTOLOGICO, TIPO: PIEDRA</t>
  </si>
  <si>
    <t>2.9.5-4684.16</t>
  </si>
  <si>
    <t>PELICULAS RADIOGRAFICAS; USO: ODONTOLOGICO PERIAPICAL NIÑOS, PRESENTACION: ENVASE X 100 UN</t>
  </si>
  <si>
    <t>2.9.5-5515.1</t>
  </si>
  <si>
    <t>TIRAS P/ODONTOLOGIA; USO: PULIR, PRESENTACION: ENVASE X 100 UN</t>
  </si>
  <si>
    <t>2.9.5-5144.4</t>
  </si>
  <si>
    <t>INSTRUMENTAL ODONTOLOGICO; TIPO: TURBINA A RULEMANES, DESCARTABLE: NO, PRESENTACION: UNIDAD</t>
  </si>
  <si>
    <t>2.9.5-5144.95</t>
  </si>
  <si>
    <t>INSTRUMENTAL ODONTOLOGICO; TIPO: CONTRA-ANGULO, DESCARTABLE: NO, PRESENTACION: UNIDAD</t>
  </si>
  <si>
    <t>2.9.5-2538.143</t>
  </si>
  <si>
    <t>LIMAS P/ODONTOLOGIA; MATERIAL: CARBURO DE TUNGSTENO, NUMERO: 15 - 40, LARGO: 25 mm, TIPO: HEDSTRONG</t>
  </si>
  <si>
    <t>2.9.5-2538.161</t>
  </si>
  <si>
    <t>LIMAS P/ODONTOLOGIA; MATERIAL: CARBURO DE TUNGSTENO, NUMERO: 45/80, LARGO: 25 mm, TIPO: K</t>
  </si>
  <si>
    <t>2.9.5-5627.4</t>
  </si>
  <si>
    <t>MANGOS DE BISTURI; TIPO: MANGO DE BISTURI, USO: ODONTOLOGICO, CUERPO: 147 dBV/mPa , CAMBIAR HOJAS: SI, NUMERO: 15, MATERIAL DEL CUERPO: 147 dBV/mPa , MATERIAL: METAL</t>
  </si>
  <si>
    <t>2.9.5-5144.7</t>
  </si>
  <si>
    <t>INSTRUMENTAL ODONTOLOGICO; DESCARTABLE: NO, PRESENTACION: UNIDAD, TIPO: EXPLORADOR CURVO P/EXAMEN BUCA</t>
  </si>
  <si>
    <t>2.9.5-5144.8</t>
  </si>
  <si>
    <t>INSTRUMENTAL ODONTOLOGICO; TIPO: PINZA DE ALGODON, DESCARTABLE: NO, PRESENTACION: UNIDAD</t>
  </si>
  <si>
    <t>2.9.5-5144.9</t>
  </si>
  <si>
    <t>INSTRUMENTAL ODONTOLOGICO; TIPO: MANGO PARA ESPEJO BUCAL, PRESENTACION: UNIDAD, DESCARTABLE: NO</t>
  </si>
  <si>
    <t>2.9.5-5144.10</t>
  </si>
  <si>
    <t>INSTRUMENTAL ODONTOLOGICO; TIPO: JERINGAS TIPO CARPULE, PRESENTACION: UNIDAD, DESCARTABLE: NO</t>
  </si>
  <si>
    <t>2.9.5-5144.31</t>
  </si>
  <si>
    <t>INSTRUMENTAL ODONTOLOGICO; TIPO: ALICATE UNIVERSAL, DESCARTABLE: NO, PRESENTACION: UNIDAD</t>
  </si>
  <si>
    <t>2.9.5-5144.118</t>
  </si>
  <si>
    <t>INSTRUMENTAL ODONTOLOGICO; TIPO: BROCHITA P/PROFILAXIS, DESCARTABLE: SI, PRESENTACION: BOLSA X 100 UN</t>
  </si>
  <si>
    <t>2.9.5-5144.75</t>
  </si>
  <si>
    <t>INSTRUMENTAL ODONTOLOGICO; TIPO: TIRA P/PULIR COMPOSITE, DESCARTABLE: NO, PRESENTACION: ENVASE X 100 UN</t>
  </si>
  <si>
    <t>2.9.5-5144.82</t>
  </si>
  <si>
    <t>INSTRUMENTAL ODONTOLOGICO; TIPO: PAPEL DE ARTICULAR, DESCARTABLE: SI, PRESENTACION: BLOCK X 10</t>
  </si>
  <si>
    <t>2.9.5-5144.164</t>
  </si>
  <si>
    <t>INSTRUMENTAL ODONTOLOGICO; TIPO: CUCHARITAS DE BLACK DOBLES, PRESENTACION: UNIDAD, DESCARTABLE: NO</t>
  </si>
  <si>
    <t>2.9.5-5144.179</t>
  </si>
  <si>
    <t>INSTRUMENTAL ODONTOLOGICO; TIPO: CEPILLO LIMPIAFRESA, PRESENTACION: UNIDAD, DESCARTABLE: NO</t>
  </si>
  <si>
    <t>2.9.5-5144.252</t>
  </si>
  <si>
    <t>INSTRUMENTAL ODONTOLOGICO; TIPO: CONO GUTAPERCHA 2ªSERIE, DESCARTABLE: SI, PRESENTACION: UNIDAD</t>
  </si>
  <si>
    <t>2.9.5-5144.254</t>
  </si>
  <si>
    <t>INSTRUMENTAL ODONTOLOGICO; TIPO: CONO DE PAPEL Nº 45-80, DESCARTABLE: SI, PRESENTACION: UNIDAD</t>
  </si>
  <si>
    <t>2.9.5-5144.370</t>
  </si>
  <si>
    <t>INSTRUMENTAL ODONTOLOGICO; TIPO: PUNTA P/CAVITADOR , DESCARTABLE: SI, PRESENTACION: UNIDAD</t>
  </si>
  <si>
    <t>2.9.5-5144.456</t>
  </si>
  <si>
    <t>INSTRUMENTAL ODONTOLOGICO; TIPO: MATRIZ ACERO 6 mm, DESCARTABLE: SI, PRESENTACION: ROLLO X 3 M</t>
  </si>
  <si>
    <t>2.9.5-5144.462</t>
  </si>
  <si>
    <t>INSTRUMENTAL ODONTOLOGICO; TIPO: PINCEL MICROBRUSH, DESCARTABLE: SI, PRESENTACION: ENVASE X 100 UN</t>
  </si>
  <si>
    <t>2.9.5-5144.481</t>
  </si>
  <si>
    <t>INSTRUMENTAL ODONTOLOGICO; TIPO: CLIP P/RADIOGRAFIA, DESCARTABLE: NO, PRESENTACION: UNIDAD</t>
  </si>
  <si>
    <t>2.9.5-5144.540</t>
  </si>
  <si>
    <t>INSTRUMENTAL ODONTOLOGICO; TIPO: VASOS, DESCARTABLE: SI, PRESENTACION: CAJA X 3500 UN</t>
  </si>
  <si>
    <t>2.9.5-5144.608</t>
  </si>
  <si>
    <t>INSTRUMENTAL ODONTOLOGICO; TIPO: ESPATULA DE YESO, DESCARTABLE: NO, PRESENTACION: UNIDAD</t>
  </si>
  <si>
    <t>2.9.5-5144.654</t>
  </si>
  <si>
    <t>INSTRUMENTAL ODONTOLOGICO; TIPO: TIJERA P/ENCIAS CURVAS, DESCARTABLE: NO, PRESENTACION: UNIDAD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</si>
  <si>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</si>
  <si>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t>TOTAL DE PESOS: CUATROCIENTOS SETENTA Y UN MIL SESENTA CON 00/100.</t>
  </si>
  <si>
    <t>OTROS NO ESPECIFICADOS PRECEDENTEMENTE</t>
  </si>
  <si>
    <t>Costo total estimado: Cuatrocientos Setenta Y Un Mil Sesenta Con 00/100.</t>
  </si>
  <si>
    <t>024 - Direccion de Administracion del Hospital Interzonal de Niños</t>
  </si>
  <si>
    <t>062/2022</t>
  </si>
  <si>
    <r>
      <rPr>
        <u/>
        <sz val="10"/>
        <rFont val="Times New Roman"/>
        <family val="1"/>
      </rPr>
      <t>Forma de Pago</t>
    </r>
    <r>
      <rPr>
        <sz val="10"/>
        <rFont val="Times New Roman"/>
        <family val="1"/>
      </rPr>
      <t>: Treinta (30) dias habiles.</t>
    </r>
  </si>
  <si>
    <r>
      <t>Mantenimiento de Oferta</t>
    </r>
    <r>
      <rPr>
        <sz val="10"/>
        <rFont val="Times New Roman"/>
        <family val="1"/>
      </rPr>
      <t xml:space="preserve">: Treinta (30) dias habiles </t>
    </r>
  </si>
  <si>
    <t>Especificidades Item N° 26:</t>
  </si>
  <si>
    <r>
      <t>Descripción técnica:</t>
    </r>
    <r>
      <rPr>
        <sz val="10"/>
        <rFont val="Times New Roman"/>
        <family val="1"/>
      </rPr>
      <t xml:space="preserve"> Caja por 100 unidades.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</si>
</sst>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[$$-2C0A]#,##0.00"/>
  </numFmts>
  <fonts count="29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b/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165" fontId="16" fillId="0" borderId="0" applyBorder="0" applyProtection="0"/>
    <xf numFmtId="0" fontId="3" fillId="0" borderId="1" applyProtection="0"/>
    <xf numFmtId="164" fontId="4" fillId="0" borderId="0" applyBorder="0" applyProtection="0"/>
    <xf numFmtId="0" fontId="5" fillId="2" borderId="0" applyBorder="0" applyProtection="0"/>
    <xf numFmtId="0" fontId="16" fillId="0" borderId="0"/>
    <xf numFmtId="43" fontId="2" fillId="0" borderId="0" applyFont="0" applyFill="0" applyBorder="0" applyAlignment="0" applyProtection="0"/>
    <xf numFmtId="0" fontId="1" fillId="0" borderId="0"/>
  </cellStyleXfs>
  <cellXfs count="146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4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166" fontId="0" fillId="0" borderId="33" xfId="3" applyNumberFormat="1" applyFont="1" applyBorder="1" applyAlignment="1" applyProtection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166" fontId="15" fillId="0" borderId="38" xfId="0" applyNumberFormat="1" applyFont="1" applyBorder="1" applyAlignment="1">
      <alignment horizontal="center" vertical="center"/>
    </xf>
    <xf numFmtId="0" fontId="17" fillId="0" borderId="0" xfId="0" applyFont="1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17" fillId="0" borderId="5" xfId="0" applyFont="1" applyBorder="1"/>
    <xf numFmtId="0" fontId="17" fillId="0" borderId="6" xfId="0" applyFont="1" applyBorder="1"/>
    <xf numFmtId="166" fontId="17" fillId="0" borderId="0" xfId="0" applyNumberFormat="1" applyFont="1"/>
    <xf numFmtId="0" fontId="7" fillId="3" borderId="12" xfId="0" applyFont="1" applyFill="1" applyBorder="1" applyAlignment="1">
      <alignment horizontal="right" vertical="center"/>
    </xf>
    <xf numFmtId="0" fontId="8" fillId="4" borderId="1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0" fillId="3" borderId="0" xfId="0" applyFill="1"/>
    <xf numFmtId="0" fontId="7" fillId="3" borderId="14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 wrapText="1" indent="1"/>
    </xf>
    <xf numFmtId="0" fontId="25" fillId="4" borderId="0" xfId="0" applyFont="1" applyFill="1" applyAlignment="1">
      <alignment horizontal="left" wrapText="1" indent="1"/>
    </xf>
    <xf numFmtId="0" fontId="21" fillId="3" borderId="0" xfId="0" applyFont="1" applyFill="1" applyAlignment="1">
      <alignment horizontal="left" wrapText="1"/>
    </xf>
    <xf numFmtId="0" fontId="6" fillId="3" borderId="4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166" fontId="6" fillId="3" borderId="2" xfId="1" applyNumberFormat="1" applyFont="1" applyFill="1" applyBorder="1" applyAlignment="1" applyProtection="1">
      <alignment horizontal="right" vertical="center" wrapText="1"/>
    </xf>
    <xf numFmtId="3" fontId="6" fillId="3" borderId="3" xfId="0" applyNumberFormat="1" applyFont="1" applyFill="1" applyBorder="1" applyAlignment="1">
      <alignment horizontal="center" vertical="center"/>
    </xf>
    <xf numFmtId="167" fontId="17" fillId="0" borderId="0" xfId="0" applyNumberFormat="1" applyFont="1"/>
    <xf numFmtId="169" fontId="22" fillId="0" borderId="0" xfId="0" applyNumberFormat="1" applyFont="1"/>
    <xf numFmtId="169" fontId="23" fillId="0" borderId="0" xfId="0" applyNumberFormat="1" applyFont="1" applyAlignment="1">
      <alignment horizontal="left" wrapText="1"/>
    </xf>
    <xf numFmtId="167" fontId="4" fillId="3" borderId="0" xfId="0" applyNumberFormat="1" applyFont="1" applyFill="1" applyBorder="1" applyAlignment="1">
      <alignment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6" fillId="0" borderId="30" xfId="0" applyFont="1" applyFill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8" xfId="0" applyFont="1" applyBorder="1" applyAlignment="1">
      <alignment horizontal="left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166" fontId="0" fillId="0" borderId="53" xfId="3" applyNumberFormat="1" applyFont="1" applyBorder="1" applyAlignment="1" applyProtection="1">
      <alignment horizontal="center" vertical="center"/>
    </xf>
    <xf numFmtId="0" fontId="22" fillId="0" borderId="57" xfId="0" applyFont="1" applyBorder="1" applyAlignment="1">
      <alignment horizontal="center" vertical="center"/>
    </xf>
    <xf numFmtId="166" fontId="22" fillId="4" borderId="58" xfId="1" applyNumberFormat="1" applyFont="1" applyFill="1" applyBorder="1" applyAlignment="1" applyProtection="1">
      <alignment horizontal="right" vertical="center" wrapText="1"/>
    </xf>
    <xf numFmtId="0" fontId="23" fillId="0" borderId="56" xfId="0" applyFont="1" applyBorder="1" applyAlignment="1">
      <alignment horizontal="center" vertical="center" wrapText="1"/>
    </xf>
    <xf numFmtId="0" fontId="6" fillId="3" borderId="57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left" vertical="center"/>
    </xf>
    <xf numFmtId="3" fontId="6" fillId="3" borderId="58" xfId="0" applyNumberFormat="1" applyFont="1" applyFill="1" applyBorder="1" applyAlignment="1">
      <alignment horizontal="center" vertical="center"/>
    </xf>
    <xf numFmtId="166" fontId="6" fillId="3" borderId="56" xfId="1" applyNumberFormat="1" applyFont="1" applyFill="1" applyBorder="1" applyAlignment="1" applyProtection="1">
      <alignment horizontal="right" vertical="center" wrapText="1"/>
    </xf>
    <xf numFmtId="0" fontId="6" fillId="4" borderId="56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169" fontId="26" fillId="0" borderId="16" xfId="0" applyNumberFormat="1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166" fontId="22" fillId="4" borderId="3" xfId="1" applyNumberFormat="1" applyFont="1" applyFill="1" applyBorder="1" applyAlignment="1" applyProtection="1">
      <alignment horizontal="right" vertical="center" wrapText="1"/>
    </xf>
    <xf numFmtId="0" fontId="0" fillId="0" borderId="2" xfId="0" applyBorder="1" applyAlignment="1">
      <alignment wrapText="1"/>
    </xf>
    <xf numFmtId="0" fontId="23" fillId="4" borderId="2" xfId="0" applyFont="1" applyFill="1" applyBorder="1" applyAlignment="1">
      <alignment horizontal="center" vertical="center" wrapText="1"/>
    </xf>
    <xf numFmtId="166" fontId="22" fillId="4" borderId="2" xfId="1" applyNumberFormat="1" applyFont="1" applyFill="1" applyBorder="1" applyAlignment="1" applyProtection="1">
      <alignment horizontal="right" vertical="center" wrapText="1"/>
    </xf>
    <xf numFmtId="0" fontId="0" fillId="0" borderId="56" xfId="0" applyBorder="1" applyAlignment="1">
      <alignment wrapText="1"/>
    </xf>
    <xf numFmtId="0" fontId="23" fillId="4" borderId="56" xfId="0" applyFont="1" applyFill="1" applyBorder="1" applyAlignment="1">
      <alignment horizontal="center" vertical="center" wrapText="1"/>
    </xf>
    <xf numFmtId="166" fontId="22" fillId="4" borderId="56" xfId="1" applyNumberFormat="1" applyFont="1" applyFill="1" applyBorder="1" applyAlignment="1" applyProtection="1">
      <alignment horizontal="right" vertical="center" wrapText="1"/>
    </xf>
    <xf numFmtId="0" fontId="16" fillId="0" borderId="0" xfId="0" applyFont="1"/>
    <xf numFmtId="170" fontId="17" fillId="0" borderId="0" xfId="0" applyNumberFormat="1" applyFont="1"/>
    <xf numFmtId="0" fontId="18" fillId="0" borderId="0" xfId="0" applyFont="1" applyBorder="1" applyAlignment="1">
      <alignment horizontal="center"/>
    </xf>
    <xf numFmtId="0" fontId="19" fillId="0" borderId="0" xfId="0" applyFont="1" applyBorder="1" applyAlignment="1">
      <alignment horizontal="left" vertical="center" wrapText="1"/>
    </xf>
    <xf numFmtId="0" fontId="25" fillId="4" borderId="0" xfId="0" applyFont="1" applyFill="1" applyBorder="1" applyAlignment="1">
      <alignment horizontal="left" wrapText="1" indent="1"/>
    </xf>
    <xf numFmtId="0" fontId="17" fillId="4" borderId="7" xfId="5" applyFont="1" applyFill="1" applyBorder="1" applyAlignment="1">
      <alignment horizontal="left" wrapText="1"/>
    </xf>
    <xf numFmtId="0" fontId="17" fillId="4" borderId="0" xfId="5" applyFont="1" applyFill="1" applyBorder="1" applyAlignment="1">
      <alignment horizontal="left" wrapText="1"/>
    </xf>
    <xf numFmtId="0" fontId="17" fillId="4" borderId="8" xfId="5" applyFont="1" applyFill="1" applyBorder="1" applyAlignment="1">
      <alignment horizontal="left" wrapText="1"/>
    </xf>
    <xf numFmtId="0" fontId="8" fillId="3" borderId="16" xfId="0" applyFont="1" applyFill="1" applyBorder="1" applyAlignment="1">
      <alignment horizontal="left" vertical="center" wrapText="1" indent="1"/>
    </xf>
    <xf numFmtId="167" fontId="9" fillId="3" borderId="16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60" xfId="0" applyFont="1" applyFill="1" applyBorder="1" applyAlignment="1">
      <alignment horizontal="left" vertical="center" wrapText="1"/>
    </xf>
    <xf numFmtId="0" fontId="6" fillId="3" borderId="56" xfId="0" applyFont="1" applyFill="1" applyBorder="1" applyAlignment="1">
      <alignment horizontal="left" vertical="center" wrapText="1"/>
    </xf>
    <xf numFmtId="0" fontId="8" fillId="4" borderId="19" xfId="0" applyFont="1" applyFill="1" applyBorder="1" applyAlignment="1">
      <alignment horizontal="left" vertical="center" wrapText="1" inden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left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10" fillId="3" borderId="18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left" vertical="center" wrapText="1" indent="1"/>
    </xf>
    <xf numFmtId="0" fontId="27" fillId="0" borderId="30" xfId="0" applyFont="1" applyFill="1" applyBorder="1" applyAlignment="1">
      <alignment horizontal="left" vertical="center" wrapText="1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1" fillId="0" borderId="38" xfId="0" applyFont="1" applyBorder="1" applyAlignment="1">
      <alignment horizontal="left" vertical="center" wrapText="1"/>
    </xf>
    <xf numFmtId="0" fontId="0" fillId="0" borderId="23" xfId="0" applyBorder="1"/>
    <xf numFmtId="0" fontId="11" fillId="0" borderId="21" xfId="0" applyFont="1" applyBorder="1" applyAlignment="1">
      <alignment vertical="center" wrapText="1"/>
    </xf>
    <xf numFmtId="0" fontId="11" fillId="0" borderId="3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0" borderId="24" xfId="0" applyFont="1" applyBorder="1"/>
    <xf numFmtId="0" fontId="13" fillId="0" borderId="25" xfId="0" applyFont="1" applyBorder="1" applyAlignment="1">
      <alignment horizontal="left" vertical="center" wrapText="1" indent="1"/>
    </xf>
    <xf numFmtId="0" fontId="15" fillId="0" borderId="23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indent="1"/>
    </xf>
    <xf numFmtId="0" fontId="14" fillId="0" borderId="13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11" fillId="0" borderId="22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4" fillId="0" borderId="13" xfId="0" applyFont="1" applyBorder="1"/>
    <xf numFmtId="0" fontId="28" fillId="0" borderId="4" xfId="0" applyFont="1" applyBorder="1"/>
    <xf numFmtId="0" fontId="24" fillId="0" borderId="7" xfId="0" applyFont="1" applyBorder="1" applyAlignment="1">
      <alignment horizontal="left" wrapText="1"/>
    </xf>
    <xf numFmtId="0" fontId="24" fillId="0" borderId="0" xfId="0" applyFont="1" applyBorder="1" applyAlignment="1">
      <alignment horizontal="left" wrapText="1"/>
    </xf>
    <xf numFmtId="0" fontId="24" fillId="0" borderId="8" xfId="0" applyFont="1" applyBorder="1" applyAlignment="1">
      <alignment horizontal="left" wrapText="1"/>
    </xf>
    <xf numFmtId="0" fontId="24" fillId="0" borderId="0" xfId="0" applyFont="1" applyBorder="1" applyAlignment="1">
      <alignment horizontal="left"/>
    </xf>
    <xf numFmtId="0" fontId="24" fillId="0" borderId="7" xfId="0" applyFont="1" applyBorder="1" applyAlignment="1">
      <alignment horizontal="left"/>
    </xf>
    <xf numFmtId="0" fontId="24" fillId="0" borderId="8" xfId="0" applyFont="1" applyBorder="1" applyAlignment="1">
      <alignment horizontal="left"/>
    </xf>
    <xf numFmtId="0" fontId="17" fillId="0" borderId="9" xfId="0" applyFont="1" applyBorder="1"/>
    <xf numFmtId="0" fontId="17" fillId="0" borderId="10" xfId="0" applyFont="1" applyBorder="1"/>
    <xf numFmtId="169" fontId="22" fillId="0" borderId="10" xfId="0" applyNumberFormat="1" applyFont="1" applyBorder="1"/>
    <xf numFmtId="0" fontId="17" fillId="0" borderId="11" xfId="0" applyFont="1" applyBorder="1"/>
    <xf numFmtId="0" fontId="16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wrapText="1"/>
    </xf>
    <xf numFmtId="0" fontId="16" fillId="0" borderId="56" xfId="0" applyFont="1" applyBorder="1" applyAlignment="1">
      <alignment horizontal="left" vertical="center"/>
    </xf>
    <xf numFmtId="0" fontId="16" fillId="0" borderId="56" xfId="0" applyFont="1" applyBorder="1" applyAlignment="1">
      <alignment wrapText="1"/>
    </xf>
    <xf numFmtId="0" fontId="16" fillId="0" borderId="56" xfId="0" applyFont="1" applyBorder="1" applyAlignment="1">
      <alignment vertical="center"/>
    </xf>
    <xf numFmtId="0" fontId="16" fillId="0" borderId="59" xfId="0" applyFont="1" applyBorder="1" applyAlignment="1">
      <alignment vertical="center"/>
    </xf>
  </cellXfs>
  <cellStyles count="8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  <cellStyle name="Normal 3" xfId="7"/>
  </cellStyles>
  <dxfs count="2">
    <dxf>
      <fill>
        <patternFill>
          <fgColor theme="0"/>
          <bgColor theme="3" tint="0.79998168889431442"/>
        </patternFill>
      </fill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/>
        <horizontal/>
      </border>
    </dxf>
    <dxf>
      <fill>
        <patternFill>
          <fgColor theme="0"/>
          <bgColor theme="3" tint="0.79998168889431442"/>
        </patternFill>
      </fill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75"/>
  <sheetViews>
    <sheetView tabSelected="1" zoomScale="93" zoomScaleNormal="93" workbookViewId="0">
      <selection activeCell="I2" sqref="I2"/>
    </sheetView>
  </sheetViews>
  <sheetFormatPr baseColWidth="10" defaultColWidth="11" defaultRowHeight="12.75" x14ac:dyDescent="0.2"/>
  <cols>
    <col min="1" max="1" width="6.42578125" style="22" customWidth="1"/>
    <col min="2" max="2" width="16.7109375" style="22" customWidth="1"/>
    <col min="3" max="3" width="28.42578125" style="22" customWidth="1"/>
    <col min="4" max="4" width="8.42578125" style="22" customWidth="1"/>
    <col min="5" max="5" width="57.7109375" style="22" customWidth="1"/>
    <col min="6" max="6" width="11" style="22"/>
    <col min="7" max="7" width="10.42578125" style="22" bestFit="1" customWidth="1"/>
    <col min="8" max="8" width="13.85546875" style="45" customWidth="1"/>
    <col min="9" max="9" width="18.5703125" style="22" customWidth="1"/>
    <col min="10" max="11" width="11" style="22"/>
    <col min="12" max="12" width="13.140625" style="22" customWidth="1"/>
    <col min="13" max="16384" width="11" style="22"/>
  </cols>
  <sheetData>
    <row r="2" spans="1:12" ht="27" x14ac:dyDescent="0.35">
      <c r="B2" s="80" t="s">
        <v>0</v>
      </c>
      <c r="C2" s="80"/>
      <c r="D2" s="80"/>
      <c r="E2" s="80"/>
      <c r="F2" s="80"/>
      <c r="G2" s="80"/>
      <c r="H2" s="80"/>
    </row>
    <row r="3" spans="1:12" ht="12" customHeight="1" x14ac:dyDescent="0.2"/>
    <row r="4" spans="1:12" ht="18" customHeight="1" x14ac:dyDescent="0.25">
      <c r="A4" s="81" t="s">
        <v>1</v>
      </c>
      <c r="B4" s="81"/>
      <c r="C4" s="82" t="s">
        <v>51</v>
      </c>
      <c r="D4" s="82"/>
      <c r="E4" s="82"/>
      <c r="F4" s="23"/>
      <c r="G4" s="24"/>
      <c r="H4" s="46"/>
    </row>
    <row r="5" spans="1:12" ht="18" customHeight="1" x14ac:dyDescent="0.25">
      <c r="A5" s="81" t="s">
        <v>2</v>
      </c>
      <c r="B5" s="81"/>
      <c r="C5" s="82" t="s">
        <v>183</v>
      </c>
      <c r="D5" s="82"/>
      <c r="E5" s="82"/>
      <c r="F5" s="23"/>
      <c r="G5" s="24" t="s">
        <v>54</v>
      </c>
      <c r="H5" s="46"/>
    </row>
    <row r="6" spans="1:12" ht="16.5" customHeight="1" x14ac:dyDescent="0.25">
      <c r="A6" s="81" t="s">
        <v>3</v>
      </c>
      <c r="B6" s="81"/>
      <c r="C6" s="36">
        <v>2022</v>
      </c>
      <c r="D6" s="37"/>
      <c r="E6" s="37"/>
      <c r="F6" s="23"/>
      <c r="G6" s="24"/>
      <c r="H6" s="46"/>
    </row>
    <row r="7" spans="1:12" ht="16.5" customHeight="1" x14ac:dyDescent="0.25">
      <c r="A7" s="81" t="s">
        <v>4</v>
      </c>
      <c r="B7" s="81"/>
      <c r="C7" s="36">
        <v>3</v>
      </c>
      <c r="D7" s="37"/>
      <c r="E7" s="37"/>
      <c r="F7" s="23"/>
      <c r="G7" s="24"/>
      <c r="H7" s="46"/>
    </row>
    <row r="8" spans="1:12" ht="13.5" thickBot="1" x14ac:dyDescent="0.25">
      <c r="B8" s="23"/>
      <c r="C8" s="24"/>
      <c r="D8" s="23"/>
      <c r="E8" s="23"/>
      <c r="F8" s="23"/>
      <c r="G8" s="24"/>
      <c r="H8" s="46"/>
      <c r="J8" s="44"/>
    </row>
    <row r="9" spans="1:12" ht="36.75" thickBot="1" x14ac:dyDescent="0.25">
      <c r="A9" s="67" t="s">
        <v>5</v>
      </c>
      <c r="B9" s="67" t="s">
        <v>6</v>
      </c>
      <c r="C9" s="67" t="s">
        <v>7</v>
      </c>
      <c r="D9" s="67" t="s">
        <v>8</v>
      </c>
      <c r="E9" s="67" t="s">
        <v>9</v>
      </c>
      <c r="F9" s="67" t="s">
        <v>10</v>
      </c>
      <c r="G9" s="67" t="s">
        <v>11</v>
      </c>
      <c r="H9" s="68" t="s">
        <v>12</v>
      </c>
      <c r="I9" s="67" t="s">
        <v>13</v>
      </c>
    </row>
    <row r="10" spans="1:12" ht="38.25" x14ac:dyDescent="0.2">
      <c r="A10" s="69">
        <v>1</v>
      </c>
      <c r="B10" s="140" t="s">
        <v>97</v>
      </c>
      <c r="C10" s="72" t="s">
        <v>58</v>
      </c>
      <c r="D10" s="70">
        <v>252</v>
      </c>
      <c r="E10" s="141" t="s">
        <v>98</v>
      </c>
      <c r="F10" s="73" t="s">
        <v>55</v>
      </c>
      <c r="G10" s="73">
        <v>4</v>
      </c>
      <c r="H10" s="74">
        <v>650</v>
      </c>
      <c r="I10" s="71">
        <f>+G10*H10</f>
        <v>2600</v>
      </c>
      <c r="K10" s="27"/>
      <c r="L10" s="27"/>
    </row>
    <row r="11" spans="1:12" ht="38.25" x14ac:dyDescent="0.2">
      <c r="A11" s="58">
        <v>2</v>
      </c>
      <c r="B11" s="142" t="s">
        <v>99</v>
      </c>
      <c r="C11" s="75" t="s">
        <v>58</v>
      </c>
      <c r="D11" s="60">
        <v>252</v>
      </c>
      <c r="E11" s="143" t="s">
        <v>100</v>
      </c>
      <c r="F11" s="76" t="s">
        <v>55</v>
      </c>
      <c r="G11" s="76">
        <v>2</v>
      </c>
      <c r="H11" s="77">
        <v>1750</v>
      </c>
      <c r="I11" s="59">
        <f t="shared" ref="I11:I64" si="0">+G11*H11</f>
        <v>3500</v>
      </c>
      <c r="K11" s="27"/>
      <c r="L11" s="27"/>
    </row>
    <row r="12" spans="1:12" ht="38.25" x14ac:dyDescent="0.2">
      <c r="A12" s="58">
        <v>3</v>
      </c>
      <c r="B12" s="142" t="s">
        <v>101</v>
      </c>
      <c r="C12" s="75" t="s">
        <v>58</v>
      </c>
      <c r="D12" s="60">
        <v>252</v>
      </c>
      <c r="E12" s="143" t="s">
        <v>102</v>
      </c>
      <c r="F12" s="76" t="s">
        <v>55</v>
      </c>
      <c r="G12" s="76">
        <v>3</v>
      </c>
      <c r="H12" s="77">
        <v>3150</v>
      </c>
      <c r="I12" s="59">
        <f t="shared" si="0"/>
        <v>9450</v>
      </c>
      <c r="K12" s="27"/>
      <c r="L12" s="27"/>
    </row>
    <row r="13" spans="1:12" ht="38.25" x14ac:dyDescent="0.2">
      <c r="A13" s="58">
        <v>4</v>
      </c>
      <c r="B13" s="142" t="s">
        <v>61</v>
      </c>
      <c r="C13" s="75" t="s">
        <v>58</v>
      </c>
      <c r="D13" s="60">
        <v>252</v>
      </c>
      <c r="E13" s="143" t="s">
        <v>62</v>
      </c>
      <c r="F13" s="76" t="s">
        <v>55</v>
      </c>
      <c r="G13" s="76">
        <v>3</v>
      </c>
      <c r="H13" s="77">
        <v>1950</v>
      </c>
      <c r="I13" s="59">
        <f t="shared" si="0"/>
        <v>5850</v>
      </c>
      <c r="L13" s="79"/>
    </row>
    <row r="14" spans="1:12" ht="38.25" x14ac:dyDescent="0.2">
      <c r="A14" s="58">
        <v>5</v>
      </c>
      <c r="B14" s="142" t="s">
        <v>103</v>
      </c>
      <c r="C14" s="75" t="s">
        <v>58</v>
      </c>
      <c r="D14" s="60">
        <v>252</v>
      </c>
      <c r="E14" s="143" t="s">
        <v>104</v>
      </c>
      <c r="F14" s="76" t="s">
        <v>55</v>
      </c>
      <c r="G14" s="76">
        <v>6</v>
      </c>
      <c r="H14" s="77">
        <v>7500</v>
      </c>
      <c r="I14" s="59">
        <f t="shared" si="0"/>
        <v>45000</v>
      </c>
      <c r="L14" s="27"/>
    </row>
    <row r="15" spans="1:12" ht="38.25" x14ac:dyDescent="0.2">
      <c r="A15" s="58">
        <v>6</v>
      </c>
      <c r="B15" s="142" t="s">
        <v>105</v>
      </c>
      <c r="C15" s="75" t="s">
        <v>58</v>
      </c>
      <c r="D15" s="60">
        <v>252</v>
      </c>
      <c r="E15" s="143" t="s">
        <v>106</v>
      </c>
      <c r="F15" s="76" t="s">
        <v>55</v>
      </c>
      <c r="G15" s="76">
        <v>4</v>
      </c>
      <c r="H15" s="77">
        <v>3300</v>
      </c>
      <c r="I15" s="59">
        <f t="shared" si="0"/>
        <v>13200</v>
      </c>
    </row>
    <row r="16" spans="1:12" ht="38.25" x14ac:dyDescent="0.2">
      <c r="A16" s="58">
        <v>7</v>
      </c>
      <c r="B16" s="142" t="s">
        <v>107</v>
      </c>
      <c r="C16" s="75" t="s">
        <v>58</v>
      </c>
      <c r="D16" s="60">
        <v>252</v>
      </c>
      <c r="E16" s="143" t="s">
        <v>108</v>
      </c>
      <c r="F16" s="76" t="s">
        <v>67</v>
      </c>
      <c r="G16" s="76">
        <v>2</v>
      </c>
      <c r="H16" s="77">
        <v>950</v>
      </c>
      <c r="I16" s="59">
        <f t="shared" si="0"/>
        <v>1900</v>
      </c>
    </row>
    <row r="17" spans="1:9" ht="38.25" x14ac:dyDescent="0.2">
      <c r="A17" s="58">
        <v>8</v>
      </c>
      <c r="B17" s="142" t="s">
        <v>76</v>
      </c>
      <c r="C17" s="75" t="s">
        <v>58</v>
      </c>
      <c r="D17" s="60">
        <v>252</v>
      </c>
      <c r="E17" s="143" t="s">
        <v>77</v>
      </c>
      <c r="F17" s="76" t="s">
        <v>55</v>
      </c>
      <c r="G17" s="76">
        <v>4</v>
      </c>
      <c r="H17" s="77">
        <v>3300</v>
      </c>
      <c r="I17" s="59">
        <f t="shared" si="0"/>
        <v>13200</v>
      </c>
    </row>
    <row r="18" spans="1:9" ht="51" x14ac:dyDescent="0.2">
      <c r="A18" s="58">
        <v>9</v>
      </c>
      <c r="B18" s="142" t="s">
        <v>109</v>
      </c>
      <c r="C18" s="75" t="s">
        <v>58</v>
      </c>
      <c r="D18" s="60">
        <v>252</v>
      </c>
      <c r="E18" s="143" t="s">
        <v>110</v>
      </c>
      <c r="F18" s="76" t="s">
        <v>55</v>
      </c>
      <c r="G18" s="76">
        <v>3</v>
      </c>
      <c r="H18" s="77">
        <v>2600</v>
      </c>
      <c r="I18" s="59">
        <f t="shared" si="0"/>
        <v>7800</v>
      </c>
    </row>
    <row r="19" spans="1:9" ht="38.25" x14ac:dyDescent="0.2">
      <c r="A19" s="58">
        <v>10</v>
      </c>
      <c r="B19" s="142" t="s">
        <v>70</v>
      </c>
      <c r="C19" s="75" t="s">
        <v>58</v>
      </c>
      <c r="D19" s="60">
        <v>252</v>
      </c>
      <c r="E19" s="143" t="s">
        <v>71</v>
      </c>
      <c r="F19" s="76" t="s">
        <v>67</v>
      </c>
      <c r="G19" s="76">
        <v>3</v>
      </c>
      <c r="H19" s="77">
        <v>480</v>
      </c>
      <c r="I19" s="59">
        <f t="shared" si="0"/>
        <v>1440</v>
      </c>
    </row>
    <row r="20" spans="1:9" ht="38.25" x14ac:dyDescent="0.2">
      <c r="A20" s="58">
        <v>11</v>
      </c>
      <c r="B20" s="142" t="s">
        <v>72</v>
      </c>
      <c r="C20" s="75" t="s">
        <v>58</v>
      </c>
      <c r="D20" s="60">
        <v>252</v>
      </c>
      <c r="E20" s="143" t="s">
        <v>73</v>
      </c>
      <c r="F20" s="76" t="s">
        <v>55</v>
      </c>
      <c r="G20" s="76">
        <v>2</v>
      </c>
      <c r="H20" s="77">
        <v>1050</v>
      </c>
      <c r="I20" s="59">
        <f t="shared" si="0"/>
        <v>2100</v>
      </c>
    </row>
    <row r="21" spans="1:9" ht="51" x14ac:dyDescent="0.2">
      <c r="A21" s="58">
        <v>12</v>
      </c>
      <c r="B21" s="142" t="s">
        <v>111</v>
      </c>
      <c r="C21" s="75" t="s">
        <v>58</v>
      </c>
      <c r="D21" s="60">
        <v>252</v>
      </c>
      <c r="E21" s="143" t="s">
        <v>112</v>
      </c>
      <c r="F21" s="76" t="s">
        <v>55</v>
      </c>
      <c r="G21" s="76">
        <v>4</v>
      </c>
      <c r="H21" s="77">
        <v>1900</v>
      </c>
      <c r="I21" s="59">
        <f t="shared" si="0"/>
        <v>7600</v>
      </c>
    </row>
    <row r="22" spans="1:9" ht="51" x14ac:dyDescent="0.2">
      <c r="A22" s="58">
        <v>13</v>
      </c>
      <c r="B22" s="142" t="s">
        <v>113</v>
      </c>
      <c r="C22" s="75" t="s">
        <v>58</v>
      </c>
      <c r="D22" s="60">
        <v>252</v>
      </c>
      <c r="E22" s="143" t="s">
        <v>114</v>
      </c>
      <c r="F22" s="76" t="s">
        <v>55</v>
      </c>
      <c r="G22" s="76">
        <v>3</v>
      </c>
      <c r="H22" s="77">
        <v>1900</v>
      </c>
      <c r="I22" s="59">
        <f t="shared" si="0"/>
        <v>5700</v>
      </c>
    </row>
    <row r="23" spans="1:9" ht="38.25" x14ac:dyDescent="0.2">
      <c r="A23" s="58">
        <v>14</v>
      </c>
      <c r="B23" s="142" t="s">
        <v>115</v>
      </c>
      <c r="C23" s="75" t="s">
        <v>116</v>
      </c>
      <c r="D23" s="60">
        <v>256</v>
      </c>
      <c r="E23" s="143" t="s">
        <v>117</v>
      </c>
      <c r="F23" s="76" t="s">
        <v>55</v>
      </c>
      <c r="G23" s="76">
        <v>2</v>
      </c>
      <c r="H23" s="77">
        <v>1300</v>
      </c>
      <c r="I23" s="59">
        <f t="shared" si="0"/>
        <v>2600</v>
      </c>
    </row>
    <row r="24" spans="1:9" ht="25.5" x14ac:dyDescent="0.2">
      <c r="A24" s="58">
        <v>15</v>
      </c>
      <c r="B24" s="142" t="s">
        <v>118</v>
      </c>
      <c r="C24" s="75" t="s">
        <v>116</v>
      </c>
      <c r="D24" s="60">
        <v>259</v>
      </c>
      <c r="E24" s="143" t="s">
        <v>119</v>
      </c>
      <c r="F24" s="76" t="s">
        <v>55</v>
      </c>
      <c r="G24" s="76">
        <v>1</v>
      </c>
      <c r="H24" s="77">
        <v>12000</v>
      </c>
      <c r="I24" s="59">
        <f t="shared" si="0"/>
        <v>12000</v>
      </c>
    </row>
    <row r="25" spans="1:9" ht="25.5" x14ac:dyDescent="0.2">
      <c r="A25" s="58">
        <v>16</v>
      </c>
      <c r="B25" s="142" t="s">
        <v>120</v>
      </c>
      <c r="C25" s="75" t="s">
        <v>116</v>
      </c>
      <c r="D25" s="60">
        <v>259</v>
      </c>
      <c r="E25" s="143" t="s">
        <v>121</v>
      </c>
      <c r="F25" s="76" t="s">
        <v>55</v>
      </c>
      <c r="G25" s="76">
        <v>1</v>
      </c>
      <c r="H25" s="77">
        <v>11200</v>
      </c>
      <c r="I25" s="59">
        <f t="shared" si="0"/>
        <v>11200</v>
      </c>
    </row>
    <row r="26" spans="1:9" ht="38.25" x14ac:dyDescent="0.2">
      <c r="A26" s="58">
        <v>17</v>
      </c>
      <c r="B26" s="142" t="s">
        <v>122</v>
      </c>
      <c r="C26" s="75" t="s">
        <v>58</v>
      </c>
      <c r="D26" s="60">
        <v>259</v>
      </c>
      <c r="E26" s="143" t="s">
        <v>123</v>
      </c>
      <c r="F26" s="76" t="s">
        <v>59</v>
      </c>
      <c r="G26" s="76">
        <v>3</v>
      </c>
      <c r="H26" s="77">
        <v>9000</v>
      </c>
      <c r="I26" s="59">
        <f t="shared" si="0"/>
        <v>27000</v>
      </c>
    </row>
    <row r="27" spans="1:9" ht="25.5" x14ac:dyDescent="0.2">
      <c r="A27" s="58">
        <v>18</v>
      </c>
      <c r="B27" s="142" t="s">
        <v>124</v>
      </c>
      <c r="C27" s="75" t="s">
        <v>125</v>
      </c>
      <c r="D27" s="60">
        <v>295</v>
      </c>
      <c r="E27" s="143" t="s">
        <v>126</v>
      </c>
      <c r="F27" s="76" t="s">
        <v>55</v>
      </c>
      <c r="G27" s="76">
        <v>1</v>
      </c>
      <c r="H27" s="77">
        <v>5500</v>
      </c>
      <c r="I27" s="59">
        <f t="shared" si="0"/>
        <v>5500</v>
      </c>
    </row>
    <row r="28" spans="1:9" ht="38.25" x14ac:dyDescent="0.2">
      <c r="A28" s="58">
        <v>19</v>
      </c>
      <c r="B28" s="142" t="s">
        <v>127</v>
      </c>
      <c r="C28" s="75" t="s">
        <v>58</v>
      </c>
      <c r="D28" s="60">
        <v>295</v>
      </c>
      <c r="E28" s="143" t="s">
        <v>128</v>
      </c>
      <c r="F28" s="76" t="s">
        <v>60</v>
      </c>
      <c r="G28" s="76">
        <v>2</v>
      </c>
      <c r="H28" s="77">
        <v>11500</v>
      </c>
      <c r="I28" s="59">
        <f t="shared" si="0"/>
        <v>23000</v>
      </c>
    </row>
    <row r="29" spans="1:9" ht="38.25" x14ac:dyDescent="0.2">
      <c r="A29" s="58">
        <v>20</v>
      </c>
      <c r="B29" s="142" t="s">
        <v>129</v>
      </c>
      <c r="C29" s="75" t="s">
        <v>58</v>
      </c>
      <c r="D29" s="60">
        <v>295</v>
      </c>
      <c r="E29" s="143" t="s">
        <v>130</v>
      </c>
      <c r="F29" s="76" t="s">
        <v>60</v>
      </c>
      <c r="G29" s="76">
        <v>3</v>
      </c>
      <c r="H29" s="77">
        <v>1650</v>
      </c>
      <c r="I29" s="59">
        <f t="shared" si="0"/>
        <v>4950</v>
      </c>
    </row>
    <row r="30" spans="1:9" ht="38.25" x14ac:dyDescent="0.2">
      <c r="A30" s="58">
        <v>21</v>
      </c>
      <c r="B30" s="142" t="s">
        <v>131</v>
      </c>
      <c r="C30" s="75" t="s">
        <v>58</v>
      </c>
      <c r="D30" s="60">
        <v>295</v>
      </c>
      <c r="E30" s="143" t="s">
        <v>132</v>
      </c>
      <c r="F30" s="76" t="s">
        <v>55</v>
      </c>
      <c r="G30" s="76">
        <v>1</v>
      </c>
      <c r="H30" s="77">
        <v>16000</v>
      </c>
      <c r="I30" s="59">
        <f t="shared" si="0"/>
        <v>16000</v>
      </c>
    </row>
    <row r="31" spans="1:9" ht="38.25" x14ac:dyDescent="0.2">
      <c r="A31" s="58">
        <v>22</v>
      </c>
      <c r="B31" s="142" t="s">
        <v>133</v>
      </c>
      <c r="C31" s="75" t="s">
        <v>58</v>
      </c>
      <c r="D31" s="60">
        <v>295</v>
      </c>
      <c r="E31" s="143" t="s">
        <v>134</v>
      </c>
      <c r="F31" s="76" t="s">
        <v>55</v>
      </c>
      <c r="G31" s="76">
        <v>1</v>
      </c>
      <c r="H31" s="77">
        <v>17500</v>
      </c>
      <c r="I31" s="59">
        <f t="shared" si="0"/>
        <v>17500</v>
      </c>
    </row>
    <row r="32" spans="1:9" ht="38.25" x14ac:dyDescent="0.2">
      <c r="A32" s="58">
        <v>23</v>
      </c>
      <c r="B32" s="142" t="s">
        <v>82</v>
      </c>
      <c r="C32" s="75" t="s">
        <v>58</v>
      </c>
      <c r="D32" s="60">
        <v>295</v>
      </c>
      <c r="E32" s="143" t="s">
        <v>83</v>
      </c>
      <c r="F32" s="76" t="s">
        <v>55</v>
      </c>
      <c r="G32" s="76">
        <v>3</v>
      </c>
      <c r="H32" s="77">
        <v>450</v>
      </c>
      <c r="I32" s="59">
        <f t="shared" si="0"/>
        <v>1350</v>
      </c>
    </row>
    <row r="33" spans="1:9" ht="38.25" x14ac:dyDescent="0.2">
      <c r="A33" s="58">
        <v>24</v>
      </c>
      <c r="B33" s="142" t="s">
        <v>84</v>
      </c>
      <c r="C33" s="75" t="s">
        <v>58</v>
      </c>
      <c r="D33" s="60">
        <v>295</v>
      </c>
      <c r="E33" s="143" t="s">
        <v>85</v>
      </c>
      <c r="F33" s="76" t="s">
        <v>55</v>
      </c>
      <c r="G33" s="76">
        <v>3</v>
      </c>
      <c r="H33" s="77">
        <v>450</v>
      </c>
      <c r="I33" s="59">
        <f t="shared" si="0"/>
        <v>1350</v>
      </c>
    </row>
    <row r="34" spans="1:9" ht="38.25" x14ac:dyDescent="0.2">
      <c r="A34" s="58">
        <v>25</v>
      </c>
      <c r="B34" s="142" t="s">
        <v>135</v>
      </c>
      <c r="C34" s="75" t="s">
        <v>58</v>
      </c>
      <c r="D34" s="60">
        <v>295</v>
      </c>
      <c r="E34" s="143" t="s">
        <v>136</v>
      </c>
      <c r="F34" s="76" t="s">
        <v>55</v>
      </c>
      <c r="G34" s="76">
        <v>2</v>
      </c>
      <c r="H34" s="77">
        <v>900</v>
      </c>
      <c r="I34" s="59">
        <f t="shared" si="0"/>
        <v>1800</v>
      </c>
    </row>
    <row r="35" spans="1:9" ht="38.25" x14ac:dyDescent="0.2">
      <c r="A35" s="58">
        <v>26</v>
      </c>
      <c r="B35" s="142" t="s">
        <v>137</v>
      </c>
      <c r="C35" s="75" t="s">
        <v>58</v>
      </c>
      <c r="D35" s="60">
        <v>295</v>
      </c>
      <c r="E35" s="143" t="s">
        <v>138</v>
      </c>
      <c r="F35" s="76" t="s">
        <v>55</v>
      </c>
      <c r="G35" s="76">
        <v>2</v>
      </c>
      <c r="H35" s="77">
        <v>900</v>
      </c>
      <c r="I35" s="59">
        <f t="shared" si="0"/>
        <v>1800</v>
      </c>
    </row>
    <row r="36" spans="1:9" ht="51" x14ac:dyDescent="0.2">
      <c r="A36" s="58">
        <v>27</v>
      </c>
      <c r="B36" s="142" t="s">
        <v>139</v>
      </c>
      <c r="C36" s="75" t="s">
        <v>58</v>
      </c>
      <c r="D36" s="60">
        <v>295</v>
      </c>
      <c r="E36" s="143" t="s">
        <v>140</v>
      </c>
      <c r="F36" s="76" t="s">
        <v>55</v>
      </c>
      <c r="G36" s="76">
        <v>1</v>
      </c>
      <c r="H36" s="77">
        <v>380</v>
      </c>
      <c r="I36" s="59">
        <f t="shared" si="0"/>
        <v>380</v>
      </c>
    </row>
    <row r="37" spans="1:9" ht="38.25" x14ac:dyDescent="0.2">
      <c r="A37" s="58">
        <v>28</v>
      </c>
      <c r="B37" s="142" t="s">
        <v>141</v>
      </c>
      <c r="C37" s="75" t="s">
        <v>58</v>
      </c>
      <c r="D37" s="60">
        <v>295</v>
      </c>
      <c r="E37" s="143" t="s">
        <v>142</v>
      </c>
      <c r="F37" s="76" t="s">
        <v>55</v>
      </c>
      <c r="G37" s="76">
        <v>20</v>
      </c>
      <c r="H37" s="77">
        <v>390</v>
      </c>
      <c r="I37" s="59">
        <f t="shared" si="0"/>
        <v>7800</v>
      </c>
    </row>
    <row r="38" spans="1:9" ht="38.25" x14ac:dyDescent="0.2">
      <c r="A38" s="58">
        <v>29</v>
      </c>
      <c r="B38" s="142" t="s">
        <v>143</v>
      </c>
      <c r="C38" s="75" t="s">
        <v>58</v>
      </c>
      <c r="D38" s="60">
        <v>295</v>
      </c>
      <c r="E38" s="143" t="s">
        <v>144</v>
      </c>
      <c r="F38" s="76" t="s">
        <v>55</v>
      </c>
      <c r="G38" s="76">
        <v>20</v>
      </c>
      <c r="H38" s="77">
        <v>380</v>
      </c>
      <c r="I38" s="59">
        <f t="shared" si="0"/>
        <v>7600</v>
      </c>
    </row>
    <row r="39" spans="1:9" ht="38.25" x14ac:dyDescent="0.2">
      <c r="A39" s="58">
        <v>30</v>
      </c>
      <c r="B39" s="142" t="s">
        <v>145</v>
      </c>
      <c r="C39" s="75" t="s">
        <v>58</v>
      </c>
      <c r="D39" s="60">
        <v>295</v>
      </c>
      <c r="E39" s="143" t="s">
        <v>146</v>
      </c>
      <c r="F39" s="76" t="s">
        <v>55</v>
      </c>
      <c r="G39" s="76">
        <v>25</v>
      </c>
      <c r="H39" s="77">
        <v>300</v>
      </c>
      <c r="I39" s="59">
        <f t="shared" si="0"/>
        <v>7500</v>
      </c>
    </row>
    <row r="40" spans="1:9" ht="38.25" x14ac:dyDescent="0.2">
      <c r="A40" s="58">
        <v>31</v>
      </c>
      <c r="B40" s="142" t="s">
        <v>147</v>
      </c>
      <c r="C40" s="75" t="s">
        <v>58</v>
      </c>
      <c r="D40" s="60">
        <v>295</v>
      </c>
      <c r="E40" s="143" t="s">
        <v>148</v>
      </c>
      <c r="F40" s="76" t="s">
        <v>55</v>
      </c>
      <c r="G40" s="76">
        <v>3</v>
      </c>
      <c r="H40" s="77">
        <v>2250</v>
      </c>
      <c r="I40" s="59">
        <f t="shared" si="0"/>
        <v>6750</v>
      </c>
    </row>
    <row r="41" spans="1:9" ht="38.25" x14ac:dyDescent="0.2">
      <c r="A41" s="58">
        <v>32</v>
      </c>
      <c r="B41" s="142" t="s">
        <v>149</v>
      </c>
      <c r="C41" s="75" t="s">
        <v>58</v>
      </c>
      <c r="D41" s="60">
        <v>295</v>
      </c>
      <c r="E41" s="143" t="s">
        <v>150</v>
      </c>
      <c r="F41" s="76" t="s">
        <v>55</v>
      </c>
      <c r="G41" s="76">
        <v>1</v>
      </c>
      <c r="H41" s="77">
        <v>2400</v>
      </c>
      <c r="I41" s="59">
        <f t="shared" si="0"/>
        <v>2400</v>
      </c>
    </row>
    <row r="42" spans="1:9" ht="38.25" x14ac:dyDescent="0.2">
      <c r="A42" s="58">
        <v>33</v>
      </c>
      <c r="B42" s="142" t="s">
        <v>151</v>
      </c>
      <c r="C42" s="75" t="s">
        <v>58</v>
      </c>
      <c r="D42" s="60">
        <v>295</v>
      </c>
      <c r="E42" s="143" t="s">
        <v>152</v>
      </c>
      <c r="F42" s="76" t="s">
        <v>60</v>
      </c>
      <c r="G42" s="76">
        <v>1</v>
      </c>
      <c r="H42" s="77">
        <v>8800</v>
      </c>
      <c r="I42" s="59">
        <f t="shared" si="0"/>
        <v>8800</v>
      </c>
    </row>
    <row r="43" spans="1:9" ht="38.25" x14ac:dyDescent="0.2">
      <c r="A43" s="58">
        <v>34</v>
      </c>
      <c r="B43" s="142" t="s">
        <v>153</v>
      </c>
      <c r="C43" s="75" t="s">
        <v>58</v>
      </c>
      <c r="D43" s="60">
        <v>295</v>
      </c>
      <c r="E43" s="143" t="s">
        <v>154</v>
      </c>
      <c r="F43" s="76" t="s">
        <v>60</v>
      </c>
      <c r="G43" s="76">
        <v>1</v>
      </c>
      <c r="H43" s="77">
        <v>1800</v>
      </c>
      <c r="I43" s="59">
        <f t="shared" si="0"/>
        <v>1800</v>
      </c>
    </row>
    <row r="44" spans="1:9" ht="38.25" x14ac:dyDescent="0.2">
      <c r="A44" s="58">
        <v>35</v>
      </c>
      <c r="B44" s="142" t="s">
        <v>155</v>
      </c>
      <c r="C44" s="75" t="s">
        <v>58</v>
      </c>
      <c r="D44" s="60">
        <v>295</v>
      </c>
      <c r="E44" s="143" t="s">
        <v>156</v>
      </c>
      <c r="F44" s="76" t="s">
        <v>60</v>
      </c>
      <c r="G44" s="76">
        <v>3</v>
      </c>
      <c r="H44" s="77">
        <v>1300</v>
      </c>
      <c r="I44" s="59">
        <f t="shared" si="0"/>
        <v>3900</v>
      </c>
    </row>
    <row r="45" spans="1:9" ht="38.25" x14ac:dyDescent="0.2">
      <c r="A45" s="58">
        <v>36</v>
      </c>
      <c r="B45" s="142" t="s">
        <v>157</v>
      </c>
      <c r="C45" s="75" t="s">
        <v>58</v>
      </c>
      <c r="D45" s="60">
        <v>295</v>
      </c>
      <c r="E45" s="143" t="s">
        <v>158</v>
      </c>
      <c r="F45" s="76" t="s">
        <v>55</v>
      </c>
      <c r="G45" s="76">
        <v>5</v>
      </c>
      <c r="H45" s="77">
        <v>480</v>
      </c>
      <c r="I45" s="59">
        <f t="shared" si="0"/>
        <v>2400</v>
      </c>
    </row>
    <row r="46" spans="1:9" ht="38.25" x14ac:dyDescent="0.2">
      <c r="A46" s="58">
        <v>37</v>
      </c>
      <c r="B46" s="142" t="s">
        <v>159</v>
      </c>
      <c r="C46" s="75" t="s">
        <v>58</v>
      </c>
      <c r="D46" s="60">
        <v>295</v>
      </c>
      <c r="E46" s="143" t="s">
        <v>160</v>
      </c>
      <c r="F46" s="76" t="s">
        <v>55</v>
      </c>
      <c r="G46" s="76">
        <v>4</v>
      </c>
      <c r="H46" s="77">
        <v>400</v>
      </c>
      <c r="I46" s="59">
        <f t="shared" si="0"/>
        <v>1600</v>
      </c>
    </row>
    <row r="47" spans="1:9" ht="38.25" x14ac:dyDescent="0.2">
      <c r="A47" s="58">
        <v>38</v>
      </c>
      <c r="B47" s="142" t="s">
        <v>74</v>
      </c>
      <c r="C47" s="75" t="s">
        <v>58</v>
      </c>
      <c r="D47" s="60">
        <v>295</v>
      </c>
      <c r="E47" s="143" t="s">
        <v>75</v>
      </c>
      <c r="F47" s="76" t="s">
        <v>55</v>
      </c>
      <c r="G47" s="76">
        <v>3</v>
      </c>
      <c r="H47" s="77">
        <v>900</v>
      </c>
      <c r="I47" s="59">
        <f t="shared" si="0"/>
        <v>2700</v>
      </c>
    </row>
    <row r="48" spans="1:9" ht="38.25" x14ac:dyDescent="0.2">
      <c r="A48" s="58">
        <v>39</v>
      </c>
      <c r="B48" s="142" t="s">
        <v>161</v>
      </c>
      <c r="C48" s="75" t="s">
        <v>58</v>
      </c>
      <c r="D48" s="60">
        <v>295</v>
      </c>
      <c r="E48" s="143" t="s">
        <v>162</v>
      </c>
      <c r="F48" s="76" t="s">
        <v>55</v>
      </c>
      <c r="G48" s="76">
        <v>3</v>
      </c>
      <c r="H48" s="77">
        <v>900</v>
      </c>
      <c r="I48" s="59">
        <f t="shared" si="0"/>
        <v>2700</v>
      </c>
    </row>
    <row r="49" spans="1:9" ht="38.25" x14ac:dyDescent="0.2">
      <c r="A49" s="58">
        <v>40</v>
      </c>
      <c r="B49" s="142" t="s">
        <v>163</v>
      </c>
      <c r="C49" s="75" t="s">
        <v>58</v>
      </c>
      <c r="D49" s="60">
        <v>295</v>
      </c>
      <c r="E49" s="143" t="s">
        <v>164</v>
      </c>
      <c r="F49" s="76" t="s">
        <v>55</v>
      </c>
      <c r="G49" s="76">
        <v>3</v>
      </c>
      <c r="H49" s="77">
        <v>800</v>
      </c>
      <c r="I49" s="59">
        <f t="shared" si="0"/>
        <v>2400</v>
      </c>
    </row>
    <row r="50" spans="1:9" ht="38.25" x14ac:dyDescent="0.2">
      <c r="A50" s="58">
        <v>41</v>
      </c>
      <c r="B50" s="142" t="s">
        <v>165</v>
      </c>
      <c r="C50" s="75" t="s">
        <v>58</v>
      </c>
      <c r="D50" s="60">
        <v>295</v>
      </c>
      <c r="E50" s="143" t="s">
        <v>166</v>
      </c>
      <c r="F50" s="76" t="s">
        <v>55</v>
      </c>
      <c r="G50" s="76">
        <v>2</v>
      </c>
      <c r="H50" s="77">
        <v>5600</v>
      </c>
      <c r="I50" s="59">
        <f t="shared" si="0"/>
        <v>11200</v>
      </c>
    </row>
    <row r="51" spans="1:9" ht="38.25" x14ac:dyDescent="0.2">
      <c r="A51" s="58">
        <v>42</v>
      </c>
      <c r="B51" s="142" t="s">
        <v>167</v>
      </c>
      <c r="C51" s="75" t="s">
        <v>58</v>
      </c>
      <c r="D51" s="60">
        <v>295</v>
      </c>
      <c r="E51" s="143" t="s">
        <v>168</v>
      </c>
      <c r="F51" s="76" t="s">
        <v>55</v>
      </c>
      <c r="G51" s="76">
        <v>1</v>
      </c>
      <c r="H51" s="77">
        <v>950</v>
      </c>
      <c r="I51" s="59">
        <f t="shared" si="0"/>
        <v>950</v>
      </c>
    </row>
    <row r="52" spans="1:9" ht="38.25" x14ac:dyDescent="0.2">
      <c r="A52" s="58">
        <v>43</v>
      </c>
      <c r="B52" s="142" t="s">
        <v>169</v>
      </c>
      <c r="C52" s="75" t="s">
        <v>58</v>
      </c>
      <c r="D52" s="60">
        <v>295</v>
      </c>
      <c r="E52" s="143" t="s">
        <v>170</v>
      </c>
      <c r="F52" s="76" t="s">
        <v>60</v>
      </c>
      <c r="G52" s="76">
        <v>5</v>
      </c>
      <c r="H52" s="77">
        <v>600</v>
      </c>
      <c r="I52" s="59">
        <f t="shared" si="0"/>
        <v>3000</v>
      </c>
    </row>
    <row r="53" spans="1:9" ht="38.25" x14ac:dyDescent="0.2">
      <c r="A53" s="58">
        <v>44</v>
      </c>
      <c r="B53" s="142" t="s">
        <v>171</v>
      </c>
      <c r="C53" s="75" t="s">
        <v>58</v>
      </c>
      <c r="D53" s="60">
        <v>295</v>
      </c>
      <c r="E53" s="143" t="s">
        <v>172</v>
      </c>
      <c r="F53" s="76" t="s">
        <v>55</v>
      </c>
      <c r="G53" s="76">
        <v>5</v>
      </c>
      <c r="H53" s="77">
        <v>350</v>
      </c>
      <c r="I53" s="59">
        <f t="shared" si="0"/>
        <v>1750</v>
      </c>
    </row>
    <row r="54" spans="1:9" ht="38.25" x14ac:dyDescent="0.2">
      <c r="A54" s="58">
        <v>45</v>
      </c>
      <c r="B54" s="142" t="s">
        <v>173</v>
      </c>
      <c r="C54" s="75" t="s">
        <v>58</v>
      </c>
      <c r="D54" s="60">
        <v>295</v>
      </c>
      <c r="E54" s="143" t="s">
        <v>174</v>
      </c>
      <c r="F54" s="76" t="s">
        <v>59</v>
      </c>
      <c r="G54" s="76">
        <v>1</v>
      </c>
      <c r="H54" s="77">
        <v>19000</v>
      </c>
      <c r="I54" s="59">
        <f t="shared" si="0"/>
        <v>19000</v>
      </c>
    </row>
    <row r="55" spans="1:9" ht="38.25" x14ac:dyDescent="0.2">
      <c r="A55" s="58">
        <v>46</v>
      </c>
      <c r="B55" s="142" t="s">
        <v>175</v>
      </c>
      <c r="C55" s="75" t="s">
        <v>58</v>
      </c>
      <c r="D55" s="60">
        <v>295</v>
      </c>
      <c r="E55" s="143" t="s">
        <v>176</v>
      </c>
      <c r="F55" s="76" t="s">
        <v>55</v>
      </c>
      <c r="G55" s="76">
        <v>2</v>
      </c>
      <c r="H55" s="77">
        <v>400</v>
      </c>
      <c r="I55" s="59">
        <f t="shared" si="0"/>
        <v>800</v>
      </c>
    </row>
    <row r="56" spans="1:9" ht="38.25" x14ac:dyDescent="0.2">
      <c r="A56" s="58">
        <v>47</v>
      </c>
      <c r="B56" s="142" t="s">
        <v>177</v>
      </c>
      <c r="C56" s="75" t="s">
        <v>58</v>
      </c>
      <c r="D56" s="60">
        <v>295</v>
      </c>
      <c r="E56" s="143" t="s">
        <v>178</v>
      </c>
      <c r="F56" s="76" t="s">
        <v>55</v>
      </c>
      <c r="G56" s="76">
        <v>2</v>
      </c>
      <c r="H56" s="77">
        <v>480</v>
      </c>
      <c r="I56" s="59">
        <f t="shared" si="0"/>
        <v>960</v>
      </c>
    </row>
    <row r="57" spans="1:9" ht="51" x14ac:dyDescent="0.2">
      <c r="A57" s="58">
        <v>48</v>
      </c>
      <c r="B57" s="144" t="s">
        <v>63</v>
      </c>
      <c r="C57" s="75" t="s">
        <v>58</v>
      </c>
      <c r="D57" s="60">
        <v>252</v>
      </c>
      <c r="E57" s="143" t="s">
        <v>64</v>
      </c>
      <c r="F57" s="76" t="s">
        <v>59</v>
      </c>
      <c r="G57" s="76">
        <v>30</v>
      </c>
      <c r="H57" s="77">
        <v>3000</v>
      </c>
      <c r="I57" s="59">
        <f t="shared" si="0"/>
        <v>90000</v>
      </c>
    </row>
    <row r="58" spans="1:9" ht="38.25" x14ac:dyDescent="0.2">
      <c r="A58" s="58">
        <v>49</v>
      </c>
      <c r="B58" s="144" t="s">
        <v>65</v>
      </c>
      <c r="C58" s="75" t="s">
        <v>58</v>
      </c>
      <c r="D58" s="60">
        <v>295</v>
      </c>
      <c r="E58" s="143" t="s">
        <v>66</v>
      </c>
      <c r="F58" s="76" t="s">
        <v>67</v>
      </c>
      <c r="G58" s="76">
        <v>6</v>
      </c>
      <c r="H58" s="77">
        <v>800</v>
      </c>
      <c r="I58" s="59">
        <f t="shared" si="0"/>
        <v>4800</v>
      </c>
    </row>
    <row r="59" spans="1:9" ht="38.25" x14ac:dyDescent="0.2">
      <c r="A59" s="58">
        <v>50</v>
      </c>
      <c r="B59" s="144" t="s">
        <v>68</v>
      </c>
      <c r="C59" s="75" t="s">
        <v>58</v>
      </c>
      <c r="D59" s="60">
        <v>295</v>
      </c>
      <c r="E59" s="143" t="s">
        <v>69</v>
      </c>
      <c r="F59" s="76" t="s">
        <v>67</v>
      </c>
      <c r="G59" s="76">
        <v>6</v>
      </c>
      <c r="H59" s="77">
        <v>780</v>
      </c>
      <c r="I59" s="59">
        <f t="shared" si="0"/>
        <v>4680</v>
      </c>
    </row>
    <row r="60" spans="1:9" ht="38.25" x14ac:dyDescent="0.2">
      <c r="A60" s="58">
        <v>51</v>
      </c>
      <c r="B60" s="144" t="s">
        <v>78</v>
      </c>
      <c r="C60" s="75" t="s">
        <v>58</v>
      </c>
      <c r="D60" s="60">
        <v>252</v>
      </c>
      <c r="E60" s="143" t="s">
        <v>79</v>
      </c>
      <c r="F60" s="76" t="s">
        <v>55</v>
      </c>
      <c r="G60" s="76">
        <v>4</v>
      </c>
      <c r="H60" s="77">
        <v>1200</v>
      </c>
      <c r="I60" s="59">
        <f t="shared" si="0"/>
        <v>4800</v>
      </c>
    </row>
    <row r="61" spans="1:9" ht="38.25" x14ac:dyDescent="0.2">
      <c r="A61" s="58">
        <v>52</v>
      </c>
      <c r="B61" s="144" t="s">
        <v>80</v>
      </c>
      <c r="C61" s="75" t="s">
        <v>58</v>
      </c>
      <c r="D61" s="60">
        <v>295</v>
      </c>
      <c r="E61" s="143" t="s">
        <v>81</v>
      </c>
      <c r="F61" s="76" t="s">
        <v>59</v>
      </c>
      <c r="G61" s="76">
        <v>3</v>
      </c>
      <c r="H61" s="77">
        <v>1500</v>
      </c>
      <c r="I61" s="59">
        <f t="shared" si="0"/>
        <v>4500</v>
      </c>
    </row>
    <row r="62" spans="1:9" ht="38.25" x14ac:dyDescent="0.2">
      <c r="A62" s="58">
        <v>53</v>
      </c>
      <c r="B62" s="144" t="s">
        <v>86</v>
      </c>
      <c r="C62" s="75" t="s">
        <v>58</v>
      </c>
      <c r="D62" s="60">
        <v>295</v>
      </c>
      <c r="E62" s="143" t="s">
        <v>87</v>
      </c>
      <c r="F62" s="76" t="s">
        <v>59</v>
      </c>
      <c r="G62" s="76">
        <v>5</v>
      </c>
      <c r="H62" s="77">
        <v>1300</v>
      </c>
      <c r="I62" s="59">
        <f t="shared" si="0"/>
        <v>6500</v>
      </c>
    </row>
    <row r="63" spans="1:9" ht="38.25" x14ac:dyDescent="0.2">
      <c r="A63" s="58">
        <v>54</v>
      </c>
      <c r="B63" s="144" t="s">
        <v>88</v>
      </c>
      <c r="C63" s="75" t="s">
        <v>58</v>
      </c>
      <c r="D63" s="60">
        <v>295</v>
      </c>
      <c r="E63" s="143" t="s">
        <v>89</v>
      </c>
      <c r="F63" s="76" t="s">
        <v>59</v>
      </c>
      <c r="G63" s="76">
        <v>5</v>
      </c>
      <c r="H63" s="77">
        <v>1300</v>
      </c>
      <c r="I63" s="59">
        <f t="shared" si="0"/>
        <v>6500</v>
      </c>
    </row>
    <row r="64" spans="1:9" ht="39" thickBot="1" x14ac:dyDescent="0.25">
      <c r="A64" s="58">
        <v>55</v>
      </c>
      <c r="B64" s="145" t="s">
        <v>90</v>
      </c>
      <c r="C64" s="75" t="s">
        <v>58</v>
      </c>
      <c r="D64" s="60">
        <v>295</v>
      </c>
      <c r="E64" s="143" t="s">
        <v>91</v>
      </c>
      <c r="F64" s="76" t="s">
        <v>60</v>
      </c>
      <c r="G64" s="76">
        <v>10</v>
      </c>
      <c r="H64" s="77">
        <v>750</v>
      </c>
      <c r="I64" s="59">
        <f t="shared" si="0"/>
        <v>7500</v>
      </c>
    </row>
    <row r="65" spans="2:9" ht="13.5" thickBot="1" x14ac:dyDescent="0.25">
      <c r="I65" s="27"/>
    </row>
    <row r="66" spans="2:9" x14ac:dyDescent="0.2">
      <c r="B66" s="129" t="s">
        <v>187</v>
      </c>
      <c r="C66" s="25"/>
      <c r="D66" s="25"/>
      <c r="E66" s="25"/>
      <c r="F66" s="25"/>
      <c r="G66" s="25"/>
      <c r="H66" s="25"/>
      <c r="I66" s="26"/>
    </row>
    <row r="67" spans="2:9" x14ac:dyDescent="0.2">
      <c r="B67" s="130" t="s">
        <v>188</v>
      </c>
      <c r="C67" s="131"/>
      <c r="D67" s="131"/>
      <c r="E67" s="131"/>
      <c r="F67" s="131"/>
      <c r="G67" s="131"/>
      <c r="H67" s="131"/>
      <c r="I67" s="132"/>
    </row>
    <row r="68" spans="2:9" ht="24.75" customHeight="1" x14ac:dyDescent="0.2">
      <c r="B68" s="134" t="s">
        <v>57</v>
      </c>
      <c r="C68" s="133"/>
      <c r="D68" s="133"/>
      <c r="E68" s="133"/>
      <c r="F68" s="133"/>
      <c r="G68" s="133"/>
      <c r="H68" s="133"/>
      <c r="I68" s="135"/>
    </row>
    <row r="69" spans="2:9" ht="13.5" customHeight="1" x14ac:dyDescent="0.2">
      <c r="B69" s="83" t="s">
        <v>92</v>
      </c>
      <c r="C69" s="84"/>
      <c r="D69" s="84"/>
      <c r="E69" s="84"/>
      <c r="F69" s="84"/>
      <c r="G69" s="84"/>
      <c r="H69" s="84"/>
      <c r="I69" s="85"/>
    </row>
    <row r="70" spans="2:9" ht="15.75" customHeight="1" x14ac:dyDescent="0.2">
      <c r="B70" s="83"/>
      <c r="C70" s="84"/>
      <c r="D70" s="84"/>
      <c r="E70" s="84"/>
      <c r="F70" s="84"/>
      <c r="G70" s="84"/>
      <c r="H70" s="84"/>
      <c r="I70" s="85"/>
    </row>
    <row r="71" spans="2:9" ht="13.5" customHeight="1" x14ac:dyDescent="0.2">
      <c r="B71" s="83" t="s">
        <v>179</v>
      </c>
      <c r="C71" s="84"/>
      <c r="D71" s="84"/>
      <c r="E71" s="84"/>
      <c r="F71" s="84"/>
      <c r="G71" s="84"/>
      <c r="H71" s="84"/>
      <c r="I71" s="85"/>
    </row>
    <row r="72" spans="2:9" x14ac:dyDescent="0.2">
      <c r="B72" s="134" t="s">
        <v>186</v>
      </c>
      <c r="C72" s="133"/>
      <c r="D72" s="133"/>
      <c r="E72" s="133"/>
      <c r="F72" s="133"/>
      <c r="G72" s="133"/>
      <c r="H72" s="133"/>
      <c r="I72" s="135"/>
    </row>
    <row r="73" spans="2:9" ht="12" customHeight="1" thickBot="1" x14ac:dyDescent="0.25">
      <c r="B73" s="136" t="s">
        <v>185</v>
      </c>
      <c r="C73" s="137"/>
      <c r="D73" s="137"/>
      <c r="E73" s="137"/>
      <c r="F73" s="137"/>
      <c r="G73" s="137"/>
      <c r="H73" s="138"/>
      <c r="I73" s="139"/>
    </row>
    <row r="75" spans="2:9" x14ac:dyDescent="0.2">
      <c r="E75" s="22" t="s">
        <v>54</v>
      </c>
    </row>
  </sheetData>
  <autoFilter ref="A9:I64"/>
  <mergeCells count="12">
    <mergeCell ref="B72:I72"/>
    <mergeCell ref="A6:B6"/>
    <mergeCell ref="A7:B7"/>
    <mergeCell ref="B67:I67"/>
    <mergeCell ref="B68:I68"/>
    <mergeCell ref="B69:I70"/>
    <mergeCell ref="B71:I71"/>
    <mergeCell ref="B2:H2"/>
    <mergeCell ref="A4:B4"/>
    <mergeCell ref="C4:E4"/>
    <mergeCell ref="A5:B5"/>
    <mergeCell ref="C5:E5"/>
  </mergeCells>
  <conditionalFormatting sqref="E60">
    <cfRule type="expression" dxfId="1" priority="1">
      <formula>ROW()=CELL("fila")</formula>
    </cfRule>
  </conditionalFormatting>
  <conditionalFormatting sqref="E50:E52">
    <cfRule type="expression" dxfId="0" priority="2">
      <formula>ROW()=CELL("fila")</formula>
    </cfRule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67"/>
  <sheetViews>
    <sheetView topLeftCell="A13" zoomScale="80" zoomScaleNormal="80" workbookViewId="0">
      <selection activeCell="K2" sqref="K2"/>
    </sheetView>
  </sheetViews>
  <sheetFormatPr baseColWidth="10" defaultColWidth="9.140625" defaultRowHeight="12.75" x14ac:dyDescent="0.2"/>
  <cols>
    <col min="1" max="1" width="5.5703125" style="30" customWidth="1"/>
    <col min="2" max="2" width="15.140625" style="30" customWidth="1"/>
    <col min="3" max="3" width="14.140625" style="30" customWidth="1"/>
    <col min="4" max="4" width="26" style="30" customWidth="1"/>
    <col min="5" max="5" width="8" style="30" customWidth="1"/>
    <col min="6" max="6" width="7.85546875" style="30" customWidth="1"/>
    <col min="7" max="7" width="48.5703125" style="30" customWidth="1"/>
    <col min="8" max="8" width="9.28515625" style="30" customWidth="1"/>
    <col min="9" max="9" width="15.5703125" style="30" customWidth="1"/>
    <col min="10" max="10" width="14.7109375" style="30" customWidth="1"/>
    <col min="11" max="11" width="15.5703125" style="30" customWidth="1"/>
    <col min="12" max="13" width="5.85546875" style="30" customWidth="1"/>
    <col min="14" max="14" width="14.140625" style="30" customWidth="1"/>
    <col min="15" max="15" width="12.5703125" style="30" customWidth="1"/>
    <col min="16" max="1024" width="9.140625" style="30"/>
    <col min="1025" max="16384" width="9.140625" style="31"/>
  </cols>
  <sheetData>
    <row r="1" spans="1:11" ht="18" customHeight="1" x14ac:dyDescent="0.2">
      <c r="A1" s="95" t="s">
        <v>14</v>
      </c>
      <c r="B1" s="95"/>
      <c r="C1" s="95"/>
      <c r="D1" s="95"/>
      <c r="E1" s="95"/>
      <c r="F1" s="95"/>
      <c r="G1" s="95"/>
      <c r="H1" s="95"/>
      <c r="I1" s="95"/>
      <c r="J1" s="28" t="s">
        <v>15</v>
      </c>
      <c r="K1" s="29" t="s">
        <v>184</v>
      </c>
    </row>
    <row r="2" spans="1:11" ht="18.75" customHeight="1" thickBot="1" x14ac:dyDescent="0.25">
      <c r="A2" s="32"/>
      <c r="B2" s="32"/>
      <c r="C2" s="32"/>
      <c r="D2" s="33"/>
      <c r="E2" s="33"/>
      <c r="F2" s="33"/>
      <c r="G2" s="33"/>
      <c r="H2" s="33"/>
      <c r="I2" s="33"/>
      <c r="J2" s="33"/>
      <c r="K2" s="33"/>
    </row>
    <row r="3" spans="1:11" ht="18.75" customHeight="1" thickBot="1" x14ac:dyDescent="0.25">
      <c r="A3" s="96" t="s">
        <v>48</v>
      </c>
      <c r="B3" s="96"/>
      <c r="C3" s="96"/>
      <c r="D3" s="86" t="str">
        <f>'Necesidades Trimestrales'!C4</f>
        <v>040 - Ministerio de Salud</v>
      </c>
      <c r="E3" s="86"/>
      <c r="F3" s="86"/>
      <c r="G3" s="86"/>
      <c r="H3" s="86"/>
      <c r="I3" s="86"/>
      <c r="J3" s="86"/>
      <c r="K3" s="86"/>
    </row>
    <row r="4" spans="1:11" ht="18.75" customHeight="1" thickBot="1" x14ac:dyDescent="0.25">
      <c r="A4" s="97" t="s">
        <v>49</v>
      </c>
      <c r="B4" s="97"/>
      <c r="C4" s="97"/>
      <c r="D4" s="86" t="str">
        <f>'Necesidades Trimestrales'!C5</f>
        <v>024 - Direccion de Administracion del Hospital Interzonal de Niños</v>
      </c>
      <c r="E4" s="86"/>
      <c r="F4" s="86"/>
      <c r="G4" s="86"/>
      <c r="H4" s="86"/>
      <c r="I4" s="86"/>
      <c r="J4" s="86"/>
      <c r="K4" s="86"/>
    </row>
    <row r="5" spans="1:11" ht="18.75" customHeight="1" thickBot="1" x14ac:dyDescent="0.25">
      <c r="A5" s="97" t="s">
        <v>27</v>
      </c>
      <c r="B5" s="97"/>
      <c r="C5" s="97"/>
      <c r="D5" s="86" t="s">
        <v>183</v>
      </c>
      <c r="E5" s="86"/>
      <c r="F5" s="86"/>
      <c r="G5" s="86"/>
      <c r="H5" s="86"/>
      <c r="I5" s="86"/>
      <c r="J5" s="86"/>
      <c r="K5" s="86"/>
    </row>
    <row r="6" spans="1:11" ht="16.5" customHeight="1" thickBot="1" x14ac:dyDescent="0.25">
      <c r="A6" s="96" t="s">
        <v>50</v>
      </c>
      <c r="B6" s="96"/>
      <c r="C6" s="96"/>
      <c r="D6" s="86" t="s">
        <v>94</v>
      </c>
      <c r="E6" s="86"/>
      <c r="F6" s="86"/>
      <c r="G6" s="86"/>
      <c r="H6" s="86"/>
      <c r="I6" s="86"/>
      <c r="J6" s="86"/>
      <c r="K6" s="86"/>
    </row>
    <row r="7" spans="1:11" ht="16.5" customHeight="1" x14ac:dyDescent="0.2">
      <c r="A7" s="97" t="s">
        <v>16</v>
      </c>
      <c r="B7" s="97"/>
      <c r="C7" s="97"/>
      <c r="D7" s="86" t="str">
        <f>'Necesidades Trimestrales'!C7 &amp; "° Trimestre - Año " &amp; 'Necesidades Trimestrales'!C6</f>
        <v>3° Trimestre - Año 2022</v>
      </c>
      <c r="E7" s="86"/>
      <c r="F7" s="86"/>
      <c r="G7" s="86"/>
      <c r="H7" s="86"/>
      <c r="I7" s="86"/>
      <c r="J7" s="86"/>
      <c r="K7" s="86"/>
    </row>
    <row r="8" spans="1:11" ht="16.5" customHeight="1" x14ac:dyDescent="0.2">
      <c r="A8" s="94" t="s">
        <v>17</v>
      </c>
      <c r="B8" s="94"/>
      <c r="C8" s="94"/>
      <c r="D8" s="91" t="s">
        <v>93</v>
      </c>
      <c r="E8" s="91"/>
      <c r="F8" s="91"/>
      <c r="G8" s="91"/>
      <c r="H8" s="91"/>
      <c r="I8" s="91"/>
      <c r="J8" s="91"/>
      <c r="K8" s="91"/>
    </row>
    <row r="9" spans="1:11" ht="15.75" x14ac:dyDescent="0.2">
      <c r="A9" s="34"/>
      <c r="B9" s="34"/>
      <c r="C9" s="34"/>
      <c r="D9" s="35"/>
      <c r="E9" s="35"/>
      <c r="F9" s="35"/>
      <c r="G9" s="35"/>
      <c r="H9" s="35"/>
      <c r="I9" s="35"/>
      <c r="J9" s="35"/>
      <c r="K9" s="35"/>
    </row>
    <row r="10" spans="1:11" ht="18.75" customHeight="1" x14ac:dyDescent="0.2">
      <c r="A10" s="98" t="s">
        <v>18</v>
      </c>
      <c r="B10" s="92" t="s">
        <v>19</v>
      </c>
      <c r="C10" s="92" t="s">
        <v>20</v>
      </c>
      <c r="D10" s="92"/>
      <c r="E10" s="92"/>
      <c r="F10" s="92"/>
      <c r="G10" s="92"/>
      <c r="H10" s="92" t="s">
        <v>21</v>
      </c>
      <c r="I10" s="92" t="s">
        <v>22</v>
      </c>
      <c r="J10" s="92" t="s">
        <v>23</v>
      </c>
      <c r="K10" s="93" t="s">
        <v>24</v>
      </c>
    </row>
    <row r="11" spans="1:11" ht="24" customHeight="1" thickBot="1" x14ac:dyDescent="0.25">
      <c r="A11" s="98"/>
      <c r="B11" s="92"/>
      <c r="C11" s="92"/>
      <c r="D11" s="92"/>
      <c r="E11" s="92"/>
      <c r="F11" s="92"/>
      <c r="G11" s="92"/>
      <c r="H11" s="92"/>
      <c r="I11" s="92"/>
      <c r="J11" s="92"/>
      <c r="K11" s="93"/>
    </row>
    <row r="12" spans="1:11" ht="27.75" customHeight="1" x14ac:dyDescent="0.2">
      <c r="A12" s="38">
        <v>1</v>
      </c>
      <c r="B12" s="39" t="str">
        <f>'Necesidades Trimestrales'!B10</f>
        <v>2.5.2-2322.12</v>
      </c>
      <c r="C12" s="88" t="str">
        <f>'Necesidades Trimestrales'!E10</f>
        <v>CEMENTOS QUIRURGICOS; PRESENTACION: ENVASE X 20 GR, TIPO: GROSSMAN, USO: ODONTOLOGIA</v>
      </c>
      <c r="D12" s="88"/>
      <c r="E12" s="88"/>
      <c r="F12" s="88"/>
      <c r="G12" s="88"/>
      <c r="H12" s="40" t="s">
        <v>53</v>
      </c>
      <c r="I12" s="41" t="str">
        <f>'Necesidades Trimestrales'!F10</f>
        <v>UNIDAD</v>
      </c>
      <c r="J12" s="42">
        <f>'Necesidades Trimestrales'!H10</f>
        <v>650</v>
      </c>
      <c r="K12" s="43">
        <f>'Necesidades Trimestrales'!G10</f>
        <v>4</v>
      </c>
    </row>
    <row r="13" spans="1:11" ht="27.75" customHeight="1" x14ac:dyDescent="0.2">
      <c r="A13" s="61">
        <v>2</v>
      </c>
      <c r="B13" s="62" t="str">
        <f>'Necesidades Trimestrales'!B11</f>
        <v>2.5.2-2322.20</v>
      </c>
      <c r="C13" s="89" t="str">
        <f>'Necesidades Trimestrales'!E11</f>
        <v>CEMENTOS QUIRURGICOS; PRESENTACION: AVIO 13 GRS/11 GRS, TIPO: HIDROXIDO DE CALCIO FRAGUABLE, USO: ODONTOLOGIA</v>
      </c>
      <c r="D13" s="89"/>
      <c r="E13" s="89"/>
      <c r="F13" s="89"/>
      <c r="G13" s="89"/>
      <c r="H13" s="65" t="s">
        <v>53</v>
      </c>
      <c r="I13" s="66" t="str">
        <f>'Necesidades Trimestrales'!F11</f>
        <v>UNIDAD</v>
      </c>
      <c r="J13" s="64">
        <f>'Necesidades Trimestrales'!H11</f>
        <v>1750</v>
      </c>
      <c r="K13" s="63">
        <f>'Necesidades Trimestrales'!G11</f>
        <v>2</v>
      </c>
    </row>
    <row r="14" spans="1:11" ht="27.75" customHeight="1" x14ac:dyDescent="0.2">
      <c r="A14" s="61">
        <v>3</v>
      </c>
      <c r="B14" s="62" t="str">
        <f>'Necesidades Trimestrales'!B12</f>
        <v>2.5.2-2322.45</v>
      </c>
      <c r="C14" s="90" t="str">
        <f>'Necesidades Trimestrales'!E12</f>
        <v>CEMENTOS QUIRURGICOS; PRESENTACION: AVIO 38 GRS/15 ML, TIPO: OXIDO DE ZINC Y EUGENOL REFORZ, USO: ODONTOLOGICO</v>
      </c>
      <c r="D14" s="90"/>
      <c r="E14" s="90"/>
      <c r="F14" s="90"/>
      <c r="G14" s="90"/>
      <c r="H14" s="65" t="s">
        <v>53</v>
      </c>
      <c r="I14" s="66" t="str">
        <f>'Necesidades Trimestrales'!F12</f>
        <v>UNIDAD</v>
      </c>
      <c r="J14" s="64">
        <f>'Necesidades Trimestrales'!H12</f>
        <v>3150</v>
      </c>
      <c r="K14" s="63">
        <f>'Necesidades Trimestrales'!G12</f>
        <v>3</v>
      </c>
    </row>
    <row r="15" spans="1:11" ht="27.75" customHeight="1" x14ac:dyDescent="0.2">
      <c r="A15" s="61">
        <v>4</v>
      </c>
      <c r="B15" s="62" t="str">
        <f>'Necesidades Trimestrales'!B13</f>
        <v>2.5.2-5525.1</v>
      </c>
      <c r="C15" s="90" t="str">
        <f>'Necesidades Trimestrales'!E13</f>
        <v>SELLADORES P/ODONTOLOGIA; USO: FOSAS Y FISURAS, PRESENTACION: ENVASE X 6 mL</v>
      </c>
      <c r="D15" s="90"/>
      <c r="E15" s="90"/>
      <c r="F15" s="90"/>
      <c r="G15" s="90"/>
      <c r="H15" s="65" t="s">
        <v>53</v>
      </c>
      <c r="I15" s="66" t="str">
        <f>'Necesidades Trimestrales'!F13</f>
        <v>UNIDAD</v>
      </c>
      <c r="J15" s="64">
        <f>'Necesidades Trimestrales'!H13</f>
        <v>1950</v>
      </c>
      <c r="K15" s="63">
        <f>'Necesidades Trimestrales'!G13</f>
        <v>3</v>
      </c>
    </row>
    <row r="16" spans="1:11" ht="27.75" customHeight="1" x14ac:dyDescent="0.2">
      <c r="A16" s="61">
        <v>5</v>
      </c>
      <c r="B16" s="62" t="str">
        <f>'Necesidades Trimestrales'!B14</f>
        <v>2.5.2-5143.37</v>
      </c>
      <c r="C16" s="90" t="str">
        <f>'Necesidades Trimestrales'!E14</f>
        <v>IONOMEROS VITREOS; USO: FOTOCURADO, PRESENTACION: AVIO 10 GRS/6 ML, FORMA DE PRESENTACION: POLVO - LIQUIDO</v>
      </c>
      <c r="D16" s="90"/>
      <c r="E16" s="90"/>
      <c r="F16" s="90"/>
      <c r="G16" s="90"/>
      <c r="H16" s="65" t="s">
        <v>53</v>
      </c>
      <c r="I16" s="66" t="str">
        <f>'Necesidades Trimestrales'!F14</f>
        <v>UNIDAD</v>
      </c>
      <c r="J16" s="64">
        <f>'Necesidades Trimestrales'!H14</f>
        <v>7500</v>
      </c>
      <c r="K16" s="63">
        <f>'Necesidades Trimestrales'!G14</f>
        <v>6</v>
      </c>
    </row>
    <row r="17" spans="1:11" ht="27.75" customHeight="1" x14ac:dyDescent="0.2">
      <c r="A17" s="61">
        <v>6</v>
      </c>
      <c r="B17" s="62" t="str">
        <f>'Necesidades Trimestrales'!B15</f>
        <v>2.5.2-5143.19</v>
      </c>
      <c r="C17" s="90" t="str">
        <f>'Necesidades Trimestrales'!E15</f>
        <v>IONOMEROS VITREOS; USO: AUTOCURADO, ESTADO: POLVO - LIQUIDO, PRESENTACION: AVIO 30 GRS/12 ML, FORMA DE PRESENTACION: POLVO - LIQUIDO</v>
      </c>
      <c r="D17" s="90"/>
      <c r="E17" s="90"/>
      <c r="F17" s="90"/>
      <c r="G17" s="90"/>
      <c r="H17" s="65" t="s">
        <v>53</v>
      </c>
      <c r="I17" s="66" t="str">
        <f>'Necesidades Trimestrales'!F15</f>
        <v>UNIDAD</v>
      </c>
      <c r="J17" s="64">
        <f>'Necesidades Trimestrales'!H15</f>
        <v>3300</v>
      </c>
      <c r="K17" s="63">
        <f>'Necesidades Trimestrales'!G15</f>
        <v>4</v>
      </c>
    </row>
    <row r="18" spans="1:11" ht="27.75" customHeight="1" x14ac:dyDescent="0.2">
      <c r="A18" s="61">
        <v>7</v>
      </c>
      <c r="B18" s="62" t="str">
        <f>'Necesidades Trimestrales'!B16</f>
        <v>2.5.2-1723.92</v>
      </c>
      <c r="C18" s="90" t="str">
        <f>'Necesidades Trimestrales'!E16</f>
        <v>ANTISEPTICOS LOCALES P/PERSONA; TIPO: ANTISEPTICO, DROGA GENERICA: EUGENOL, FORMA FARMACEUTICA: LIQUIDO, PRESENTACION: FRASCO X 50 mL</v>
      </c>
      <c r="D18" s="90"/>
      <c r="E18" s="90"/>
      <c r="F18" s="90"/>
      <c r="G18" s="90"/>
      <c r="H18" s="65" t="s">
        <v>53</v>
      </c>
      <c r="I18" s="66" t="str">
        <f>'Necesidades Trimestrales'!F16</f>
        <v>FRASCO</v>
      </c>
      <c r="J18" s="64">
        <f>'Necesidades Trimestrales'!H16</f>
        <v>950</v>
      </c>
      <c r="K18" s="63">
        <f>'Necesidades Trimestrales'!G16</f>
        <v>2</v>
      </c>
    </row>
    <row r="19" spans="1:11" ht="27.75" customHeight="1" x14ac:dyDescent="0.2">
      <c r="A19" s="61">
        <v>8</v>
      </c>
      <c r="B19" s="62" t="str">
        <f>'Necesidades Trimestrales'!B17</f>
        <v>2.5.2-5142.13</v>
      </c>
      <c r="C19" s="90" t="str">
        <f>'Necesidades Trimestrales'!E17</f>
        <v>TOPICOS ODONTOLOGICOS; DROGA GENERICA: BENZOCAINA AL 20%, PRESENTACION: ENVASE X 20 GR, FORMA DE PRESENTACION: POMADA</v>
      </c>
      <c r="D19" s="90"/>
      <c r="E19" s="90"/>
      <c r="F19" s="90"/>
      <c r="G19" s="90"/>
      <c r="H19" s="65" t="s">
        <v>53</v>
      </c>
      <c r="I19" s="66" t="str">
        <f>'Necesidades Trimestrales'!F17</f>
        <v>UNIDAD</v>
      </c>
      <c r="J19" s="64">
        <f>'Necesidades Trimestrales'!H17</f>
        <v>3300</v>
      </c>
      <c r="K19" s="63">
        <f>'Necesidades Trimestrales'!G17</f>
        <v>4</v>
      </c>
    </row>
    <row r="20" spans="1:11" ht="27.75" customHeight="1" x14ac:dyDescent="0.2">
      <c r="A20" s="61">
        <v>9</v>
      </c>
      <c r="B20" s="62" t="str">
        <f>'Necesidades Trimestrales'!B18</f>
        <v>2.5.2-5142.3</v>
      </c>
      <c r="C20" s="90" t="str">
        <f>'Necesidades Trimestrales'!E18</f>
        <v>TOPICOS ODONTOLOGICOS; DROGA GENERICA: FLUORURO DIAMIN. PLATA CARIOST, ESTADO: SOLUCION, PRESENTACION: ENVASE X 5 mL, FORMA DE PRESENTACION: SOLUCION</v>
      </c>
      <c r="D20" s="90"/>
      <c r="E20" s="90"/>
      <c r="F20" s="90"/>
      <c r="G20" s="90"/>
      <c r="H20" s="65" t="s">
        <v>53</v>
      </c>
      <c r="I20" s="66" t="str">
        <f>'Necesidades Trimestrales'!F18</f>
        <v>UNIDAD</v>
      </c>
      <c r="J20" s="64">
        <f>'Necesidades Trimestrales'!H18</f>
        <v>2600</v>
      </c>
      <c r="K20" s="63">
        <f>'Necesidades Trimestrales'!G18</f>
        <v>3</v>
      </c>
    </row>
    <row r="21" spans="1:11" ht="27.75" customHeight="1" x14ac:dyDescent="0.2">
      <c r="A21" s="61">
        <v>10</v>
      </c>
      <c r="B21" s="62" t="str">
        <f>'Necesidades Trimestrales'!B19</f>
        <v>2.5.2-5142.6</v>
      </c>
      <c r="C21" s="90" t="str">
        <f>'Necesidades Trimestrales'!E19</f>
        <v>TOPICOS ODONTOLOGICOS; DROGA GENERICA: FORMOCRESOL, PRESENTACION: FRASCO X 20 mL, ESTADO: LIQUIDO, FORMA DE PRESENTACION: LIQUIDO</v>
      </c>
      <c r="D21" s="90"/>
      <c r="E21" s="90"/>
      <c r="F21" s="90"/>
      <c r="G21" s="90"/>
      <c r="H21" s="65" t="s">
        <v>53</v>
      </c>
      <c r="I21" s="66" t="str">
        <f>'Necesidades Trimestrales'!F19</f>
        <v>FRASCO</v>
      </c>
      <c r="J21" s="64">
        <f>'Necesidades Trimestrales'!H19</f>
        <v>480</v>
      </c>
      <c r="K21" s="63">
        <f>'Necesidades Trimestrales'!G19</f>
        <v>3</v>
      </c>
    </row>
    <row r="22" spans="1:11" ht="27.75" customHeight="1" x14ac:dyDescent="0.2">
      <c r="A22" s="61">
        <v>11</v>
      </c>
      <c r="B22" s="62" t="str">
        <f>'Necesidades Trimestrales'!B20</f>
        <v>2.5.2-1723.157</v>
      </c>
      <c r="C22" s="90" t="str">
        <f>'Necesidades Trimestrales'!E20</f>
        <v>ANTISEPTICOS LOCALES P/PERSONA; TIPO: MONODROGA, DROGA GENERICA: IODOFORMO, FORMA FARMACEUTICA: POLVO, PRESENTACION: ENVASE X 10 GR</v>
      </c>
      <c r="D22" s="90"/>
      <c r="E22" s="90"/>
      <c r="F22" s="90"/>
      <c r="G22" s="90"/>
      <c r="H22" s="65" t="s">
        <v>53</v>
      </c>
      <c r="I22" s="66" t="str">
        <f>'Necesidades Trimestrales'!F20</f>
        <v>UNIDAD</v>
      </c>
      <c r="J22" s="64">
        <f>'Necesidades Trimestrales'!H20</f>
        <v>1050</v>
      </c>
      <c r="K22" s="63">
        <f>'Necesidades Trimestrales'!G20</f>
        <v>2</v>
      </c>
    </row>
    <row r="23" spans="1:11" ht="27.75" customHeight="1" x14ac:dyDescent="0.2">
      <c r="A23" s="61">
        <v>12</v>
      </c>
      <c r="B23" s="62" t="str">
        <f>'Necesidades Trimestrales'!B21</f>
        <v>2.5.2-9133.2</v>
      </c>
      <c r="C23" s="90" t="str">
        <f>'Necesidades Trimestrales'!E21</f>
        <v>COMPOSITE; COLOR: A2, POLIMERIZACION: FOTOPOLIMERIZACION, TAMAÑO PARTICULA: HIBRIDO, FORMA DE PRESENTACION: JERINGA, PRESENTACION: ENVASE X 4 GR</v>
      </c>
      <c r="D23" s="90"/>
      <c r="E23" s="90"/>
      <c r="F23" s="90"/>
      <c r="G23" s="90"/>
      <c r="H23" s="65" t="s">
        <v>53</v>
      </c>
      <c r="I23" s="66" t="str">
        <f>'Necesidades Trimestrales'!F21</f>
        <v>UNIDAD</v>
      </c>
      <c r="J23" s="64">
        <f>'Necesidades Trimestrales'!H21</f>
        <v>1900</v>
      </c>
      <c r="K23" s="63">
        <f>'Necesidades Trimestrales'!G21</f>
        <v>4</v>
      </c>
    </row>
    <row r="24" spans="1:11" ht="27.75" customHeight="1" x14ac:dyDescent="0.2">
      <c r="A24" s="61">
        <v>13</v>
      </c>
      <c r="B24" s="62" t="str">
        <f>'Necesidades Trimestrales'!B22</f>
        <v>2.5.2-9133.3</v>
      </c>
      <c r="C24" s="90" t="str">
        <f>'Necesidades Trimestrales'!E22</f>
        <v>COMPOSITE; COLOR: A3, POLIMERIZACION: FOTOPOLIMERIZACION, TAMAÑO PARTICULA: HIBRIDO, FORMA DE PRESENTACION: JERINGA, PRESENTACION: ENVASE X 4 GR</v>
      </c>
      <c r="D24" s="90"/>
      <c r="E24" s="90"/>
      <c r="F24" s="90"/>
      <c r="G24" s="90"/>
      <c r="H24" s="65" t="s">
        <v>53</v>
      </c>
      <c r="I24" s="66" t="str">
        <f>'Necesidades Trimestrales'!F22</f>
        <v>UNIDAD</v>
      </c>
      <c r="J24" s="64">
        <f>'Necesidades Trimestrales'!H22</f>
        <v>1900</v>
      </c>
      <c r="K24" s="63">
        <f>'Necesidades Trimestrales'!G22</f>
        <v>3</v>
      </c>
    </row>
    <row r="25" spans="1:11" ht="27.75" customHeight="1" x14ac:dyDescent="0.2">
      <c r="A25" s="61">
        <v>14</v>
      </c>
      <c r="B25" s="62" t="str">
        <f>'Necesidades Trimestrales'!B23</f>
        <v>2.5.6-7104.529</v>
      </c>
      <c r="C25" s="90" t="str">
        <f>'Necesidades Trimestrales'!E23</f>
        <v>ACEITES LUBRICANTES; USO: TURBINA ODONTOLOGICA, PRESENTACION: 210 mL, NORMA: SAE 30, COMERCIALIZACION: POR LITRO</v>
      </c>
      <c r="D25" s="90"/>
      <c r="E25" s="90"/>
      <c r="F25" s="90"/>
      <c r="G25" s="90"/>
      <c r="H25" s="65" t="s">
        <v>53</v>
      </c>
      <c r="I25" s="66" t="str">
        <f>'Necesidades Trimestrales'!F23</f>
        <v>UNIDAD</v>
      </c>
      <c r="J25" s="64">
        <f>'Necesidades Trimestrales'!H23</f>
        <v>1300</v>
      </c>
      <c r="K25" s="63">
        <f>'Necesidades Trimestrales'!G23</f>
        <v>2</v>
      </c>
    </row>
    <row r="26" spans="1:11" ht="27.75" customHeight="1" x14ac:dyDescent="0.2">
      <c r="A26" s="61">
        <v>15</v>
      </c>
      <c r="B26" s="62" t="str">
        <f>'Necesidades Trimestrales'!B24</f>
        <v>2.5.9-4280.4</v>
      </c>
      <c r="C26" s="90" t="str">
        <f>'Necesidades Trimestrales'!E24</f>
        <v>SILICONAS; TIPO: P/ODONTOLOGIA (P/AUTOMEZCLADO), PRESENTACION: AVIO X 96 mL</v>
      </c>
      <c r="D26" s="90"/>
      <c r="E26" s="90"/>
      <c r="F26" s="90"/>
      <c r="G26" s="90"/>
      <c r="H26" s="65" t="s">
        <v>53</v>
      </c>
      <c r="I26" s="66" t="str">
        <f>'Necesidades Trimestrales'!F24</f>
        <v>UNIDAD</v>
      </c>
      <c r="J26" s="64">
        <f>'Necesidades Trimestrales'!H24</f>
        <v>12000</v>
      </c>
      <c r="K26" s="63">
        <f>'Necesidades Trimestrales'!G24</f>
        <v>1</v>
      </c>
    </row>
    <row r="27" spans="1:11" ht="27.75" customHeight="1" x14ac:dyDescent="0.2">
      <c r="A27" s="61">
        <v>16</v>
      </c>
      <c r="B27" s="62" t="str">
        <f>'Necesidades Trimestrales'!B25</f>
        <v>2.5.9-4280.5</v>
      </c>
      <c r="C27" s="90" t="str">
        <f>'Necesidades Trimestrales'!E25</f>
        <v>SILICONAS; TIPO: P/ODONTOLOGIA (P/ADICION), PRESENTACION: AVIO X 96 mL</v>
      </c>
      <c r="D27" s="90"/>
      <c r="E27" s="90"/>
      <c r="F27" s="90"/>
      <c r="G27" s="90"/>
      <c r="H27" s="65" t="s">
        <v>53</v>
      </c>
      <c r="I27" s="66" t="str">
        <f>'Necesidades Trimestrales'!F25</f>
        <v>UNIDAD</v>
      </c>
      <c r="J27" s="64">
        <f>'Necesidades Trimestrales'!H25</f>
        <v>11200</v>
      </c>
      <c r="K27" s="63">
        <f>'Necesidades Trimestrales'!G25</f>
        <v>1</v>
      </c>
    </row>
    <row r="28" spans="1:11" ht="27.75" customHeight="1" x14ac:dyDescent="0.2">
      <c r="A28" s="61">
        <v>17</v>
      </c>
      <c r="B28" s="62" t="str">
        <f>'Necesidades Trimestrales'!B26</f>
        <v>2.5.9-945.28</v>
      </c>
      <c r="C28" s="90" t="str">
        <f>'Necesidades Trimestrales'!E26</f>
        <v>PLACAS RADIOGRAFICAS; SENSIBILIDAD: AL VERDE, DIMENSION: P/ODONTOLOGIA</v>
      </c>
      <c r="D28" s="90"/>
      <c r="E28" s="90"/>
      <c r="F28" s="90"/>
      <c r="G28" s="90"/>
      <c r="H28" s="65" t="s">
        <v>53</v>
      </c>
      <c r="I28" s="66" t="str">
        <f>'Necesidades Trimestrales'!F26</f>
        <v>CAJA</v>
      </c>
      <c r="J28" s="64">
        <f>'Necesidades Trimestrales'!H26</f>
        <v>9000</v>
      </c>
      <c r="K28" s="63">
        <f>'Necesidades Trimestrales'!G26</f>
        <v>3</v>
      </c>
    </row>
    <row r="29" spans="1:11" ht="27.75" customHeight="1" x14ac:dyDescent="0.2">
      <c r="A29" s="61">
        <v>18</v>
      </c>
      <c r="B29" s="62" t="str">
        <f>'Necesidades Trimestrales'!B27</f>
        <v>2.6.5-677.31</v>
      </c>
      <c r="C29" s="90" t="str">
        <f>'Necesidades Trimestrales'!E27</f>
        <v>YESO EN POLVO; PRESENTACION: BOLSA, PESO: 25 Kg, USO: ODONTOLOGICO, TIPO: PIEDRA</v>
      </c>
      <c r="D29" s="90"/>
      <c r="E29" s="90"/>
      <c r="F29" s="90"/>
      <c r="G29" s="90"/>
      <c r="H29" s="65" t="s">
        <v>53</v>
      </c>
      <c r="I29" s="66" t="str">
        <f>'Necesidades Trimestrales'!F27</f>
        <v>UNIDAD</v>
      </c>
      <c r="J29" s="64">
        <f>'Necesidades Trimestrales'!H27</f>
        <v>5500</v>
      </c>
      <c r="K29" s="63">
        <f>'Necesidades Trimestrales'!G27</f>
        <v>1</v>
      </c>
    </row>
    <row r="30" spans="1:11" ht="27.75" customHeight="1" x14ac:dyDescent="0.2">
      <c r="A30" s="61">
        <v>19</v>
      </c>
      <c r="B30" s="62" t="str">
        <f>'Necesidades Trimestrales'!B28</f>
        <v>2.9.5-4684.16</v>
      </c>
      <c r="C30" s="90" t="str">
        <f>'Necesidades Trimestrales'!E28</f>
        <v>PELICULAS RADIOGRAFICAS; USO: ODONTOLOGICO PERIAPICAL NIÑOS, PRESENTACION: ENVASE X 100 UN</v>
      </c>
      <c r="D30" s="90"/>
      <c r="E30" s="90"/>
      <c r="F30" s="90"/>
      <c r="G30" s="90"/>
      <c r="H30" s="65" t="s">
        <v>53</v>
      </c>
      <c r="I30" s="66" t="str">
        <f>'Necesidades Trimestrales'!F28</f>
        <v>PAQUETE</v>
      </c>
      <c r="J30" s="64">
        <f>'Necesidades Trimestrales'!H28</f>
        <v>11500</v>
      </c>
      <c r="K30" s="63">
        <f>'Necesidades Trimestrales'!G28</f>
        <v>2</v>
      </c>
    </row>
    <row r="31" spans="1:11" ht="27.75" customHeight="1" x14ac:dyDescent="0.2">
      <c r="A31" s="61">
        <v>20</v>
      </c>
      <c r="B31" s="62" t="str">
        <f>'Necesidades Trimestrales'!B29</f>
        <v>2.9.5-5515.1</v>
      </c>
      <c r="C31" s="90" t="str">
        <f>'Necesidades Trimestrales'!E29</f>
        <v>TIRAS P/ODONTOLOGIA; USO: PULIR, PRESENTACION: ENVASE X 100 UN</v>
      </c>
      <c r="D31" s="90"/>
      <c r="E31" s="90"/>
      <c r="F31" s="90"/>
      <c r="G31" s="90"/>
      <c r="H31" s="65" t="s">
        <v>53</v>
      </c>
      <c r="I31" s="66" t="str">
        <f>'Necesidades Trimestrales'!F29</f>
        <v>PAQUETE</v>
      </c>
      <c r="J31" s="64">
        <f>'Necesidades Trimestrales'!H29</f>
        <v>1650</v>
      </c>
      <c r="K31" s="63">
        <f>'Necesidades Trimestrales'!G29</f>
        <v>3</v>
      </c>
    </row>
    <row r="32" spans="1:11" ht="27.75" customHeight="1" x14ac:dyDescent="0.2">
      <c r="A32" s="61">
        <v>21</v>
      </c>
      <c r="B32" s="62" t="str">
        <f>'Necesidades Trimestrales'!B30</f>
        <v>2.9.5-5144.4</v>
      </c>
      <c r="C32" s="90" t="str">
        <f>'Necesidades Trimestrales'!E30</f>
        <v>INSTRUMENTAL ODONTOLOGICO; TIPO: TURBINA A RULEMANES, DESCARTABLE: NO, PRESENTACION: UNIDAD</v>
      </c>
      <c r="D32" s="90"/>
      <c r="E32" s="90"/>
      <c r="F32" s="90"/>
      <c r="G32" s="90"/>
      <c r="H32" s="65" t="s">
        <v>53</v>
      </c>
      <c r="I32" s="66" t="str">
        <f>'Necesidades Trimestrales'!F30</f>
        <v>UNIDAD</v>
      </c>
      <c r="J32" s="64">
        <f>'Necesidades Trimestrales'!H30</f>
        <v>16000</v>
      </c>
      <c r="K32" s="63">
        <f>'Necesidades Trimestrales'!G30</f>
        <v>1</v>
      </c>
    </row>
    <row r="33" spans="1:14" ht="27.75" customHeight="1" x14ac:dyDescent="0.2">
      <c r="A33" s="61">
        <v>22</v>
      </c>
      <c r="B33" s="62" t="str">
        <f>'Necesidades Trimestrales'!B31</f>
        <v>2.9.5-5144.95</v>
      </c>
      <c r="C33" s="90" t="str">
        <f>'Necesidades Trimestrales'!E31</f>
        <v>INSTRUMENTAL ODONTOLOGICO; TIPO: CONTRA-ANGULO, DESCARTABLE: NO, PRESENTACION: UNIDAD</v>
      </c>
      <c r="D33" s="90"/>
      <c r="E33" s="90"/>
      <c r="F33" s="90"/>
      <c r="G33" s="90"/>
      <c r="H33" s="65" t="s">
        <v>53</v>
      </c>
      <c r="I33" s="66" t="str">
        <f>'Necesidades Trimestrales'!F31</f>
        <v>UNIDAD</v>
      </c>
      <c r="J33" s="64">
        <f>'Necesidades Trimestrales'!H31</f>
        <v>17500</v>
      </c>
      <c r="K33" s="63">
        <f>'Necesidades Trimestrales'!G31</f>
        <v>1</v>
      </c>
    </row>
    <row r="34" spans="1:14" ht="27.75" customHeight="1" x14ac:dyDescent="0.2">
      <c r="A34" s="61">
        <v>23</v>
      </c>
      <c r="B34" s="62" t="str">
        <f>'Necesidades Trimestrales'!B32</f>
        <v>2.9.5-5144.24</v>
      </c>
      <c r="C34" s="90" t="str">
        <f>'Necesidades Trimestrales'!E32</f>
        <v>INSTRUMENTAL ODONTOLOGICO; TIPO: SINDESMOTOMO CURVO, DESCARTABLE: NO, PRESENTACION: UNIDAD</v>
      </c>
      <c r="D34" s="90"/>
      <c r="E34" s="90"/>
      <c r="F34" s="90"/>
      <c r="G34" s="90"/>
      <c r="H34" s="65" t="s">
        <v>53</v>
      </c>
      <c r="I34" s="66" t="str">
        <f>'Necesidades Trimestrales'!F32</f>
        <v>UNIDAD</v>
      </c>
      <c r="J34" s="64">
        <f>'Necesidades Trimestrales'!H32</f>
        <v>450</v>
      </c>
      <c r="K34" s="63">
        <f>'Necesidades Trimestrales'!G32</f>
        <v>3</v>
      </c>
    </row>
    <row r="35" spans="1:14" ht="27.75" customHeight="1" x14ac:dyDescent="0.2">
      <c r="A35" s="61">
        <v>24</v>
      </c>
      <c r="B35" s="62" t="str">
        <f>'Necesidades Trimestrales'!B33</f>
        <v>2.9.5-5144.45</v>
      </c>
      <c r="C35" s="90" t="str">
        <f>'Necesidades Trimestrales'!E33</f>
        <v>INSTRUMENTAL ODONTOLOGICO; TIPO: SINDESMOTOMO RECTO, DESCARTABLE: SIN VALOR, PRESENTACION: SIN VALOR</v>
      </c>
      <c r="D35" s="90"/>
      <c r="E35" s="90"/>
      <c r="F35" s="90"/>
      <c r="G35" s="90"/>
      <c r="H35" s="65" t="s">
        <v>53</v>
      </c>
      <c r="I35" s="66" t="str">
        <f>'Necesidades Trimestrales'!F33</f>
        <v>UNIDAD</v>
      </c>
      <c r="J35" s="64">
        <f>'Necesidades Trimestrales'!H33</f>
        <v>450</v>
      </c>
      <c r="K35" s="63">
        <f>'Necesidades Trimestrales'!G33</f>
        <v>3</v>
      </c>
    </row>
    <row r="36" spans="1:14" ht="27.75" customHeight="1" x14ac:dyDescent="0.2">
      <c r="A36" s="61">
        <v>25</v>
      </c>
      <c r="B36" s="62" t="str">
        <f>'Necesidades Trimestrales'!B34</f>
        <v>2.9.5-2538.143</v>
      </c>
      <c r="C36" s="90" t="str">
        <f>'Necesidades Trimestrales'!E34</f>
        <v>LIMAS P/ODONTOLOGIA; MATERIAL: CARBURO DE TUNGSTENO, NUMERO: 15 - 40, LARGO: 25 mm, TIPO: HEDSTRONG</v>
      </c>
      <c r="D36" s="90"/>
      <c r="E36" s="90"/>
      <c r="F36" s="90"/>
      <c r="G36" s="90"/>
      <c r="H36" s="65" t="s">
        <v>53</v>
      </c>
      <c r="I36" s="66" t="str">
        <f>'Necesidades Trimestrales'!F34</f>
        <v>UNIDAD</v>
      </c>
      <c r="J36" s="64">
        <f>'Necesidades Trimestrales'!H34</f>
        <v>900</v>
      </c>
      <c r="K36" s="63">
        <f>'Necesidades Trimestrales'!G34</f>
        <v>2</v>
      </c>
    </row>
    <row r="37" spans="1:14" ht="27.75" customHeight="1" x14ac:dyDescent="0.2">
      <c r="A37" s="61">
        <v>26</v>
      </c>
      <c r="B37" s="62" t="str">
        <f>'Necesidades Trimestrales'!B35</f>
        <v>2.9.5-2538.161</v>
      </c>
      <c r="C37" s="90" t="str">
        <f>'Necesidades Trimestrales'!E35</f>
        <v>LIMAS P/ODONTOLOGIA; MATERIAL: CARBURO DE TUNGSTENO, NUMERO: 45/80, LARGO: 25 mm, TIPO: K</v>
      </c>
      <c r="D37" s="90"/>
      <c r="E37" s="90"/>
      <c r="F37" s="90"/>
      <c r="G37" s="90"/>
      <c r="H37" s="65" t="s">
        <v>53</v>
      </c>
      <c r="I37" s="66" t="str">
        <f>'Necesidades Trimestrales'!F35</f>
        <v>UNIDAD</v>
      </c>
      <c r="J37" s="64">
        <f>'Necesidades Trimestrales'!H35</f>
        <v>900</v>
      </c>
      <c r="K37" s="63">
        <f>'Necesidades Trimestrales'!G35</f>
        <v>2</v>
      </c>
    </row>
    <row r="38" spans="1:14" ht="27.75" customHeight="1" x14ac:dyDescent="0.2">
      <c r="A38" s="61">
        <v>27</v>
      </c>
      <c r="B38" s="62" t="str">
        <f>'Necesidades Trimestrales'!B36</f>
        <v>2.9.5-5627.4</v>
      </c>
      <c r="C38" s="90" t="str">
        <f>'Necesidades Trimestrales'!E36</f>
        <v>MANGOS DE BISTURI; TIPO: MANGO DE BISTURI, USO: ODONTOLOGICO, CUERPO: 147 dBV/mPa , CAMBIAR HOJAS: SI, NUMERO: 15, MATERIAL DEL CUERPO: 147 dBV/mPa , MATERIAL: METAL</v>
      </c>
      <c r="D38" s="90"/>
      <c r="E38" s="90"/>
      <c r="F38" s="90"/>
      <c r="G38" s="90"/>
      <c r="H38" s="65" t="s">
        <v>53</v>
      </c>
      <c r="I38" s="66" t="str">
        <f>'Necesidades Trimestrales'!F36</f>
        <v>UNIDAD</v>
      </c>
      <c r="J38" s="64">
        <f>'Necesidades Trimestrales'!H36</f>
        <v>380</v>
      </c>
      <c r="K38" s="63">
        <f>'Necesidades Trimestrales'!G36</f>
        <v>1</v>
      </c>
    </row>
    <row r="39" spans="1:14" ht="27.75" customHeight="1" x14ac:dyDescent="0.2">
      <c r="A39" s="61">
        <v>28</v>
      </c>
      <c r="B39" s="62" t="str">
        <f>'Necesidades Trimestrales'!B37</f>
        <v>2.9.5-5144.7</v>
      </c>
      <c r="C39" s="90" t="str">
        <f>'Necesidades Trimestrales'!E37</f>
        <v>INSTRUMENTAL ODONTOLOGICO; DESCARTABLE: NO, PRESENTACION: UNIDAD, TIPO: EXPLORADOR CURVO P/EXAMEN BUCA</v>
      </c>
      <c r="D39" s="90"/>
      <c r="E39" s="90"/>
      <c r="F39" s="90"/>
      <c r="G39" s="90"/>
      <c r="H39" s="65" t="s">
        <v>53</v>
      </c>
      <c r="I39" s="66" t="str">
        <f>'Necesidades Trimestrales'!F37</f>
        <v>UNIDAD</v>
      </c>
      <c r="J39" s="64">
        <f>'Necesidades Trimestrales'!H37</f>
        <v>390</v>
      </c>
      <c r="K39" s="63">
        <f>'Necesidades Trimestrales'!G37</f>
        <v>20</v>
      </c>
    </row>
    <row r="40" spans="1:14" ht="27.75" customHeight="1" x14ac:dyDescent="0.2">
      <c r="A40" s="61">
        <v>29</v>
      </c>
      <c r="B40" s="62" t="str">
        <f>'Necesidades Trimestrales'!B38</f>
        <v>2.9.5-5144.8</v>
      </c>
      <c r="C40" s="90" t="str">
        <f>'Necesidades Trimestrales'!E38</f>
        <v>INSTRUMENTAL ODONTOLOGICO; TIPO: PINZA DE ALGODON, DESCARTABLE: NO, PRESENTACION: UNIDAD</v>
      </c>
      <c r="D40" s="90"/>
      <c r="E40" s="90"/>
      <c r="F40" s="90"/>
      <c r="G40" s="90"/>
      <c r="H40" s="65" t="s">
        <v>53</v>
      </c>
      <c r="I40" s="66" t="str">
        <f>'Necesidades Trimestrales'!F38</f>
        <v>UNIDAD</v>
      </c>
      <c r="J40" s="64">
        <f>'Necesidades Trimestrales'!H38</f>
        <v>380</v>
      </c>
      <c r="K40" s="63">
        <f>'Necesidades Trimestrales'!G38</f>
        <v>20</v>
      </c>
    </row>
    <row r="41" spans="1:14" ht="27.75" customHeight="1" x14ac:dyDescent="0.2">
      <c r="A41" s="61">
        <v>30</v>
      </c>
      <c r="B41" s="62" t="str">
        <f>'Necesidades Trimestrales'!B39</f>
        <v>2.9.5-5144.9</v>
      </c>
      <c r="C41" s="90" t="str">
        <f>'Necesidades Trimestrales'!E39</f>
        <v>INSTRUMENTAL ODONTOLOGICO; TIPO: MANGO PARA ESPEJO BUCAL, PRESENTACION: UNIDAD, DESCARTABLE: NO</v>
      </c>
      <c r="D41" s="90"/>
      <c r="E41" s="90"/>
      <c r="F41" s="90"/>
      <c r="G41" s="90"/>
      <c r="H41" s="65" t="s">
        <v>53</v>
      </c>
      <c r="I41" s="66" t="str">
        <f>'Necesidades Trimestrales'!F39</f>
        <v>UNIDAD</v>
      </c>
      <c r="J41" s="64">
        <f>'Necesidades Trimestrales'!H39</f>
        <v>300</v>
      </c>
      <c r="K41" s="63">
        <f>'Necesidades Trimestrales'!G39</f>
        <v>25</v>
      </c>
    </row>
    <row r="42" spans="1:14" ht="27.75" customHeight="1" x14ac:dyDescent="0.2">
      <c r="A42" s="61">
        <v>31</v>
      </c>
      <c r="B42" s="62" t="str">
        <f>'Necesidades Trimestrales'!B40</f>
        <v>2.9.5-5144.10</v>
      </c>
      <c r="C42" s="90" t="str">
        <f>'Necesidades Trimestrales'!E40</f>
        <v>INSTRUMENTAL ODONTOLOGICO; TIPO: JERINGAS TIPO CARPULE, PRESENTACION: UNIDAD, DESCARTABLE: NO</v>
      </c>
      <c r="D42" s="90"/>
      <c r="E42" s="90"/>
      <c r="F42" s="90"/>
      <c r="G42" s="90"/>
      <c r="H42" s="65" t="s">
        <v>53</v>
      </c>
      <c r="I42" s="66" t="str">
        <f>'Necesidades Trimestrales'!F40</f>
        <v>UNIDAD</v>
      </c>
      <c r="J42" s="64">
        <f>'Necesidades Trimestrales'!H40</f>
        <v>2250</v>
      </c>
      <c r="K42" s="63">
        <f>'Necesidades Trimestrales'!G40</f>
        <v>3</v>
      </c>
    </row>
    <row r="43" spans="1:14" ht="27.75" customHeight="1" x14ac:dyDescent="0.2">
      <c r="A43" s="61">
        <v>32</v>
      </c>
      <c r="B43" s="62" t="str">
        <f>'Necesidades Trimestrales'!B41</f>
        <v>2.9.5-5144.31</v>
      </c>
      <c r="C43" s="90" t="str">
        <f>'Necesidades Trimestrales'!E41</f>
        <v>INSTRUMENTAL ODONTOLOGICO; TIPO: ALICATE UNIVERSAL, DESCARTABLE: NO, PRESENTACION: UNIDAD</v>
      </c>
      <c r="D43" s="90"/>
      <c r="E43" s="90"/>
      <c r="F43" s="90"/>
      <c r="G43" s="90"/>
      <c r="H43" s="65" t="s">
        <v>53</v>
      </c>
      <c r="I43" s="66" t="str">
        <f>'Necesidades Trimestrales'!F41</f>
        <v>UNIDAD</v>
      </c>
      <c r="J43" s="64">
        <f>'Necesidades Trimestrales'!H41</f>
        <v>2400</v>
      </c>
      <c r="K43" s="63">
        <f>'Necesidades Trimestrales'!G41</f>
        <v>1</v>
      </c>
    </row>
    <row r="44" spans="1:14" ht="27.75" customHeight="1" x14ac:dyDescent="0.2">
      <c r="A44" s="61">
        <v>33</v>
      </c>
      <c r="B44" s="62" t="str">
        <f>'Necesidades Trimestrales'!B42</f>
        <v>2.9.5-5144.118</v>
      </c>
      <c r="C44" s="90" t="str">
        <f>'Necesidades Trimestrales'!E42</f>
        <v>INSTRUMENTAL ODONTOLOGICO; TIPO: BROCHITA P/PROFILAXIS, DESCARTABLE: SI, PRESENTACION: BOLSA X 100 UN</v>
      </c>
      <c r="D44" s="90"/>
      <c r="E44" s="90"/>
      <c r="F44" s="90"/>
      <c r="G44" s="90"/>
      <c r="H44" s="65" t="s">
        <v>53</v>
      </c>
      <c r="I44" s="66" t="str">
        <f>'Necesidades Trimestrales'!F42</f>
        <v>PAQUETE</v>
      </c>
      <c r="J44" s="64">
        <f>'Necesidades Trimestrales'!H42</f>
        <v>8800</v>
      </c>
      <c r="K44" s="63">
        <f>'Necesidades Trimestrales'!G42</f>
        <v>1</v>
      </c>
    </row>
    <row r="45" spans="1:14" ht="27.75" customHeight="1" x14ac:dyDescent="0.2">
      <c r="A45" s="61">
        <v>34</v>
      </c>
      <c r="B45" s="62" t="str">
        <f>'Necesidades Trimestrales'!B43</f>
        <v>2.9.5-5144.75</v>
      </c>
      <c r="C45" s="90" t="str">
        <f>'Necesidades Trimestrales'!E43</f>
        <v>INSTRUMENTAL ODONTOLOGICO; TIPO: TIRA P/PULIR COMPOSITE, DESCARTABLE: NO, PRESENTACION: ENVASE X 100 UN</v>
      </c>
      <c r="D45" s="90"/>
      <c r="E45" s="90"/>
      <c r="F45" s="90"/>
      <c r="G45" s="90"/>
      <c r="H45" s="65" t="s">
        <v>53</v>
      </c>
      <c r="I45" s="66" t="str">
        <f>'Necesidades Trimestrales'!F43</f>
        <v>PAQUETE</v>
      </c>
      <c r="J45" s="64">
        <f>'Necesidades Trimestrales'!H43</f>
        <v>1800</v>
      </c>
      <c r="K45" s="63">
        <f>'Necesidades Trimestrales'!G43</f>
        <v>1</v>
      </c>
    </row>
    <row r="46" spans="1:14" ht="27.75" customHeight="1" x14ac:dyDescent="0.2">
      <c r="A46" s="61">
        <v>35</v>
      </c>
      <c r="B46" s="62" t="str">
        <f>'Necesidades Trimestrales'!B44</f>
        <v>2.9.5-5144.82</v>
      </c>
      <c r="C46" s="90" t="str">
        <f>'Necesidades Trimestrales'!E44</f>
        <v>INSTRUMENTAL ODONTOLOGICO; TIPO: PAPEL DE ARTICULAR, DESCARTABLE: SI, PRESENTACION: BLOCK X 10</v>
      </c>
      <c r="D46" s="90"/>
      <c r="E46" s="90"/>
      <c r="F46" s="90"/>
      <c r="G46" s="90"/>
      <c r="H46" s="65" t="s">
        <v>53</v>
      </c>
      <c r="I46" s="66" t="str">
        <f>'Necesidades Trimestrales'!F44</f>
        <v>PAQUETE</v>
      </c>
      <c r="J46" s="64">
        <f>'Necesidades Trimestrales'!H44</f>
        <v>1300</v>
      </c>
      <c r="K46" s="63">
        <f>'Necesidades Trimestrales'!G44</f>
        <v>3</v>
      </c>
    </row>
    <row r="47" spans="1:14" ht="27.75" customHeight="1" x14ac:dyDescent="0.2">
      <c r="A47" s="61">
        <v>36</v>
      </c>
      <c r="B47" s="62" t="str">
        <f>'Necesidades Trimestrales'!B45</f>
        <v>2.9.5-5144.164</v>
      </c>
      <c r="C47" s="90" t="str">
        <f>'Necesidades Trimestrales'!E45</f>
        <v>INSTRUMENTAL ODONTOLOGICO; TIPO: CUCHARITAS DE BLACK DOBLES, PRESENTACION: UNIDAD, DESCARTABLE: NO</v>
      </c>
      <c r="D47" s="90"/>
      <c r="E47" s="90"/>
      <c r="F47" s="90"/>
      <c r="G47" s="90"/>
      <c r="H47" s="65" t="s">
        <v>53</v>
      </c>
      <c r="I47" s="66" t="str">
        <f>'Necesidades Trimestrales'!F45</f>
        <v>UNIDAD</v>
      </c>
      <c r="J47" s="64">
        <f>'Necesidades Trimestrales'!H45</f>
        <v>480</v>
      </c>
      <c r="K47" s="63">
        <f>'Necesidades Trimestrales'!G45</f>
        <v>5</v>
      </c>
      <c r="N47" s="30" t="s">
        <v>54</v>
      </c>
    </row>
    <row r="48" spans="1:14" ht="27.75" customHeight="1" x14ac:dyDescent="0.2">
      <c r="A48" s="61">
        <v>37</v>
      </c>
      <c r="B48" s="62" t="str">
        <f>'Necesidades Trimestrales'!B46</f>
        <v>2.9.5-5144.179</v>
      </c>
      <c r="C48" s="90" t="str">
        <f>'Necesidades Trimestrales'!E46</f>
        <v>INSTRUMENTAL ODONTOLOGICO; TIPO: CEPILLO LIMPIAFRESA, PRESENTACION: UNIDAD, DESCARTABLE: NO</v>
      </c>
      <c r="D48" s="90"/>
      <c r="E48" s="90"/>
      <c r="F48" s="90"/>
      <c r="G48" s="90"/>
      <c r="H48" s="65" t="s">
        <v>53</v>
      </c>
      <c r="I48" s="66" t="str">
        <f>'Necesidades Trimestrales'!F46</f>
        <v>UNIDAD</v>
      </c>
      <c r="J48" s="64">
        <f>'Necesidades Trimestrales'!H46</f>
        <v>400</v>
      </c>
      <c r="K48" s="63">
        <f>'Necesidades Trimestrales'!G46</f>
        <v>4</v>
      </c>
    </row>
    <row r="49" spans="1:11" ht="27.75" customHeight="1" x14ac:dyDescent="0.2">
      <c r="A49" s="61">
        <v>38</v>
      </c>
      <c r="B49" s="62" t="str">
        <f>'Necesidades Trimestrales'!B47</f>
        <v>2.9.5-5144.251</v>
      </c>
      <c r="C49" s="90" t="str">
        <f>'Necesidades Trimestrales'!E47</f>
        <v>INSTRUMENTAL ODONTOLOGICO; TIPO: CONO GUTAPERCHA 1ªSERIE, DESCARTABLE: SI, PRESENTACION: UNIDAD</v>
      </c>
      <c r="D49" s="90"/>
      <c r="E49" s="90"/>
      <c r="F49" s="90"/>
      <c r="G49" s="90"/>
      <c r="H49" s="65" t="s">
        <v>53</v>
      </c>
      <c r="I49" s="66" t="str">
        <f>'Necesidades Trimestrales'!F47</f>
        <v>UNIDAD</v>
      </c>
      <c r="J49" s="64">
        <f>'Necesidades Trimestrales'!H47</f>
        <v>900</v>
      </c>
      <c r="K49" s="63">
        <f>'Necesidades Trimestrales'!G47</f>
        <v>3</v>
      </c>
    </row>
    <row r="50" spans="1:11" ht="27.75" customHeight="1" x14ac:dyDescent="0.2">
      <c r="A50" s="61">
        <v>39</v>
      </c>
      <c r="B50" s="62" t="str">
        <f>'Necesidades Trimestrales'!B48</f>
        <v>2.9.5-5144.252</v>
      </c>
      <c r="C50" s="90" t="str">
        <f>'Necesidades Trimestrales'!E48</f>
        <v>INSTRUMENTAL ODONTOLOGICO; TIPO: CONO GUTAPERCHA 2ªSERIE, DESCARTABLE: SI, PRESENTACION: UNIDAD</v>
      </c>
      <c r="D50" s="90"/>
      <c r="E50" s="90"/>
      <c r="F50" s="90"/>
      <c r="G50" s="90"/>
      <c r="H50" s="65" t="s">
        <v>53</v>
      </c>
      <c r="I50" s="66" t="str">
        <f>'Necesidades Trimestrales'!F48</f>
        <v>UNIDAD</v>
      </c>
      <c r="J50" s="64">
        <f>'Necesidades Trimestrales'!H48</f>
        <v>900</v>
      </c>
      <c r="K50" s="63">
        <f>'Necesidades Trimestrales'!G48</f>
        <v>3</v>
      </c>
    </row>
    <row r="51" spans="1:11" ht="27.75" customHeight="1" x14ac:dyDescent="0.2">
      <c r="A51" s="61">
        <v>40</v>
      </c>
      <c r="B51" s="62" t="str">
        <f>'Necesidades Trimestrales'!B49</f>
        <v>2.9.5-5144.254</v>
      </c>
      <c r="C51" s="90" t="str">
        <f>'Necesidades Trimestrales'!E49</f>
        <v>INSTRUMENTAL ODONTOLOGICO; TIPO: CONO DE PAPEL Nº 45-80, DESCARTABLE: SI, PRESENTACION: UNIDAD</v>
      </c>
      <c r="D51" s="90"/>
      <c r="E51" s="90"/>
      <c r="F51" s="90"/>
      <c r="G51" s="90"/>
      <c r="H51" s="65" t="s">
        <v>53</v>
      </c>
      <c r="I51" s="66" t="str">
        <f>'Necesidades Trimestrales'!F49</f>
        <v>UNIDAD</v>
      </c>
      <c r="J51" s="64">
        <f>'Necesidades Trimestrales'!H49</f>
        <v>800</v>
      </c>
      <c r="K51" s="63">
        <f>'Necesidades Trimestrales'!G49</f>
        <v>3</v>
      </c>
    </row>
    <row r="52" spans="1:11" ht="27.75" customHeight="1" x14ac:dyDescent="0.2">
      <c r="A52" s="61">
        <v>41</v>
      </c>
      <c r="B52" s="62" t="str">
        <f>'Necesidades Trimestrales'!B50</f>
        <v>2.9.5-5144.370</v>
      </c>
      <c r="C52" s="90" t="str">
        <f>'Necesidades Trimestrales'!E50</f>
        <v>INSTRUMENTAL ODONTOLOGICO; TIPO: PUNTA P/CAVITADOR , DESCARTABLE: SI, PRESENTACION: UNIDAD</v>
      </c>
      <c r="D52" s="90"/>
      <c r="E52" s="90"/>
      <c r="F52" s="90"/>
      <c r="G52" s="90"/>
      <c r="H52" s="65" t="s">
        <v>53</v>
      </c>
      <c r="I52" s="66" t="str">
        <f>'Necesidades Trimestrales'!F50</f>
        <v>UNIDAD</v>
      </c>
      <c r="J52" s="64">
        <f>'Necesidades Trimestrales'!H50</f>
        <v>5600</v>
      </c>
      <c r="K52" s="63">
        <f>'Necesidades Trimestrales'!G50</f>
        <v>2</v>
      </c>
    </row>
    <row r="53" spans="1:11" ht="27.75" customHeight="1" x14ac:dyDescent="0.2">
      <c r="A53" s="61">
        <v>42</v>
      </c>
      <c r="B53" s="62" t="str">
        <f>'Necesidades Trimestrales'!B51</f>
        <v>2.9.5-5144.456</v>
      </c>
      <c r="C53" s="90" t="str">
        <f>'Necesidades Trimestrales'!E51</f>
        <v>INSTRUMENTAL ODONTOLOGICO; TIPO: MATRIZ ACERO 6 mm, DESCARTABLE: SI, PRESENTACION: ROLLO X 3 M</v>
      </c>
      <c r="D53" s="90"/>
      <c r="E53" s="90"/>
      <c r="F53" s="90"/>
      <c r="G53" s="90"/>
      <c r="H53" s="65" t="s">
        <v>53</v>
      </c>
      <c r="I53" s="66" t="str">
        <f>'Necesidades Trimestrales'!F51</f>
        <v>UNIDAD</v>
      </c>
      <c r="J53" s="64">
        <f>'Necesidades Trimestrales'!H51</f>
        <v>950</v>
      </c>
      <c r="K53" s="63">
        <f>'Necesidades Trimestrales'!G51</f>
        <v>1</v>
      </c>
    </row>
    <row r="54" spans="1:11" ht="27.75" customHeight="1" x14ac:dyDescent="0.2">
      <c r="A54" s="61">
        <v>43</v>
      </c>
      <c r="B54" s="62" t="str">
        <f>'Necesidades Trimestrales'!B52</f>
        <v>2.9.5-5144.462</v>
      </c>
      <c r="C54" s="90" t="str">
        <f>'Necesidades Trimestrales'!E52</f>
        <v>INSTRUMENTAL ODONTOLOGICO; TIPO: PINCEL MICROBRUSH, DESCARTABLE: SI, PRESENTACION: ENVASE X 100 UN</v>
      </c>
      <c r="D54" s="90"/>
      <c r="E54" s="90"/>
      <c r="F54" s="90"/>
      <c r="G54" s="90"/>
      <c r="H54" s="65" t="s">
        <v>53</v>
      </c>
      <c r="I54" s="66" t="str">
        <f>'Necesidades Trimestrales'!F52</f>
        <v>PAQUETE</v>
      </c>
      <c r="J54" s="64">
        <f>'Necesidades Trimestrales'!H52</f>
        <v>600</v>
      </c>
      <c r="K54" s="63">
        <f>'Necesidades Trimestrales'!G52</f>
        <v>5</v>
      </c>
    </row>
    <row r="55" spans="1:11" ht="27.75" customHeight="1" x14ac:dyDescent="0.2">
      <c r="A55" s="61">
        <v>44</v>
      </c>
      <c r="B55" s="62" t="str">
        <f>'Necesidades Trimestrales'!B53</f>
        <v>2.9.5-5144.481</v>
      </c>
      <c r="C55" s="90" t="str">
        <f>'Necesidades Trimestrales'!E53</f>
        <v>INSTRUMENTAL ODONTOLOGICO; TIPO: CLIP P/RADIOGRAFIA, DESCARTABLE: NO, PRESENTACION: UNIDAD</v>
      </c>
      <c r="D55" s="90"/>
      <c r="E55" s="90"/>
      <c r="F55" s="90"/>
      <c r="G55" s="90"/>
      <c r="H55" s="65" t="s">
        <v>53</v>
      </c>
      <c r="I55" s="66" t="str">
        <f>'Necesidades Trimestrales'!F53</f>
        <v>UNIDAD</v>
      </c>
      <c r="J55" s="64">
        <f>'Necesidades Trimestrales'!H53</f>
        <v>350</v>
      </c>
      <c r="K55" s="63">
        <f>'Necesidades Trimestrales'!G53</f>
        <v>5</v>
      </c>
    </row>
    <row r="56" spans="1:11" ht="27.75" customHeight="1" x14ac:dyDescent="0.2">
      <c r="A56" s="61">
        <v>45</v>
      </c>
      <c r="B56" s="62" t="str">
        <f>'Necesidades Trimestrales'!B54</f>
        <v>2.9.5-5144.540</v>
      </c>
      <c r="C56" s="90" t="str">
        <f>'Necesidades Trimestrales'!E54</f>
        <v>INSTRUMENTAL ODONTOLOGICO; TIPO: VASOS, DESCARTABLE: SI, PRESENTACION: CAJA X 3500 UN</v>
      </c>
      <c r="D56" s="90"/>
      <c r="E56" s="90"/>
      <c r="F56" s="90"/>
      <c r="G56" s="90"/>
      <c r="H56" s="65" t="s">
        <v>53</v>
      </c>
      <c r="I56" s="66" t="str">
        <f>'Necesidades Trimestrales'!F54</f>
        <v>CAJA</v>
      </c>
      <c r="J56" s="64">
        <f>'Necesidades Trimestrales'!H54</f>
        <v>19000</v>
      </c>
      <c r="K56" s="63">
        <f>'Necesidades Trimestrales'!G54</f>
        <v>1</v>
      </c>
    </row>
    <row r="57" spans="1:11" ht="27.75" customHeight="1" x14ac:dyDescent="0.2">
      <c r="A57" s="61">
        <v>46</v>
      </c>
      <c r="B57" s="62" t="str">
        <f>'Necesidades Trimestrales'!B55</f>
        <v>2.9.5-5144.608</v>
      </c>
      <c r="C57" s="90" t="str">
        <f>'Necesidades Trimestrales'!E55</f>
        <v>INSTRUMENTAL ODONTOLOGICO; TIPO: ESPATULA DE YESO, DESCARTABLE: NO, PRESENTACION: UNIDAD</v>
      </c>
      <c r="D57" s="90"/>
      <c r="E57" s="90"/>
      <c r="F57" s="90"/>
      <c r="G57" s="90"/>
      <c r="H57" s="65" t="s">
        <v>53</v>
      </c>
      <c r="I57" s="66" t="str">
        <f>'Necesidades Trimestrales'!F55</f>
        <v>UNIDAD</v>
      </c>
      <c r="J57" s="64">
        <f>'Necesidades Trimestrales'!H55</f>
        <v>400</v>
      </c>
      <c r="K57" s="63">
        <f>'Necesidades Trimestrales'!G55</f>
        <v>2</v>
      </c>
    </row>
    <row r="58" spans="1:11" ht="27.75" customHeight="1" x14ac:dyDescent="0.2">
      <c r="A58" s="61">
        <v>47</v>
      </c>
      <c r="B58" s="62" t="str">
        <f>'Necesidades Trimestrales'!B56</f>
        <v>2.9.5-5144.654</v>
      </c>
      <c r="C58" s="90" t="str">
        <f>'Necesidades Trimestrales'!E56</f>
        <v>INSTRUMENTAL ODONTOLOGICO; TIPO: TIJERA P/ENCIAS CURVAS, DESCARTABLE: NO, PRESENTACION: UNIDAD</v>
      </c>
      <c r="D58" s="90"/>
      <c r="E58" s="90"/>
      <c r="F58" s="90"/>
      <c r="G58" s="90"/>
      <c r="H58" s="65" t="s">
        <v>53</v>
      </c>
      <c r="I58" s="66" t="str">
        <f>'Necesidades Trimestrales'!F56</f>
        <v>UNIDAD</v>
      </c>
      <c r="J58" s="64">
        <f>'Necesidades Trimestrales'!H56</f>
        <v>480</v>
      </c>
      <c r="K58" s="63">
        <f>'Necesidades Trimestrales'!G56</f>
        <v>2</v>
      </c>
    </row>
    <row r="59" spans="1:11" ht="27.75" customHeight="1" x14ac:dyDescent="0.2">
      <c r="A59" s="61">
        <v>48</v>
      </c>
      <c r="B59" s="62" t="str">
        <f>'Necesidades Trimestrales'!B57</f>
        <v>2.5.2-1883.179</v>
      </c>
      <c r="C59" s="90" t="str">
        <f>'Necesidades Trimestrales'!E57</f>
        <v>ANESTESICOS LOCALES; TIPO: ANESTESIA ODONTOLOGICA, DROGA GENERICA: CLORHIDRATO DE CARTICAINA 4%, FORMA FARMACEUTICA: ANESTUBOS, PRESENTACION: ENVASE X 25 UN</v>
      </c>
      <c r="D59" s="90"/>
      <c r="E59" s="90"/>
      <c r="F59" s="90"/>
      <c r="G59" s="90"/>
      <c r="H59" s="65" t="s">
        <v>53</v>
      </c>
      <c r="I59" s="66" t="str">
        <f>'Necesidades Trimestrales'!F57</f>
        <v>CAJA</v>
      </c>
      <c r="J59" s="64">
        <f>'Necesidades Trimestrales'!H57</f>
        <v>3000</v>
      </c>
      <c r="K59" s="63">
        <f>'Necesidades Trimestrales'!G57</f>
        <v>30</v>
      </c>
    </row>
    <row r="60" spans="1:11" ht="27.75" customHeight="1" x14ac:dyDescent="0.2">
      <c r="A60" s="61">
        <v>49</v>
      </c>
      <c r="B60" s="62" t="str">
        <f>'Necesidades Trimestrales'!B58</f>
        <v>2.9.5-4208.21</v>
      </c>
      <c r="C60" s="90" t="str">
        <f>'Necesidades Trimestrales'!E58</f>
        <v>ELEMENTOS P/RADIOLOGIA; TIPO: LIQUIDO REVELADOR P/RX, PRESENTACION: ENVASE X 500 CM3</v>
      </c>
      <c r="D60" s="90"/>
      <c r="E60" s="90"/>
      <c r="F60" s="90"/>
      <c r="G60" s="90"/>
      <c r="H60" s="65" t="s">
        <v>53</v>
      </c>
      <c r="I60" s="66" t="str">
        <f>'Necesidades Trimestrales'!F58</f>
        <v>FRASCO</v>
      </c>
      <c r="J60" s="64">
        <f>'Necesidades Trimestrales'!H58</f>
        <v>800</v>
      </c>
      <c r="K60" s="63">
        <f>'Necesidades Trimestrales'!G58</f>
        <v>6</v>
      </c>
    </row>
    <row r="61" spans="1:11" ht="27.75" customHeight="1" x14ac:dyDescent="0.2">
      <c r="A61" s="61">
        <v>50</v>
      </c>
      <c r="B61" s="62" t="str">
        <f>'Necesidades Trimestrales'!B59</f>
        <v>2.9.5-4208.22</v>
      </c>
      <c r="C61" s="90" t="str">
        <f>'Necesidades Trimestrales'!E59</f>
        <v>ELEMENTOS P/RADIOLOGIA; TIPO: LIQUIDO FIJADOR P/RX, PRESENTACION: ENVASE X 500 CM3</v>
      </c>
      <c r="D61" s="90"/>
      <c r="E61" s="90"/>
      <c r="F61" s="90"/>
      <c r="G61" s="90"/>
      <c r="H61" s="65" t="s">
        <v>53</v>
      </c>
      <c r="I61" s="66" t="str">
        <f>'Necesidades Trimestrales'!F59</f>
        <v>FRASCO</v>
      </c>
      <c r="J61" s="64">
        <f>'Necesidades Trimestrales'!H59</f>
        <v>780</v>
      </c>
      <c r="K61" s="63">
        <f>'Necesidades Trimestrales'!G59</f>
        <v>6</v>
      </c>
    </row>
    <row r="62" spans="1:11" ht="27.75" customHeight="1" x14ac:dyDescent="0.2">
      <c r="A62" s="61">
        <v>51</v>
      </c>
      <c r="B62" s="62" t="str">
        <f>'Necesidades Trimestrales'!B60</f>
        <v>2.5.2-3204.13</v>
      </c>
      <c r="C62" s="90" t="str">
        <f>'Necesidades Trimestrales'!E60</f>
        <v>ACIDO GRABADOR ODONTOLOG.; ESTADO: GEL, PRESENTACION: JERINGA X 12 GR, CAPACIDAD: 12 GR</v>
      </c>
      <c r="D62" s="90"/>
      <c r="E62" s="90"/>
      <c r="F62" s="90"/>
      <c r="G62" s="90"/>
      <c r="H62" s="65" t="s">
        <v>53</v>
      </c>
      <c r="I62" s="66" t="str">
        <f>'Necesidades Trimestrales'!F60</f>
        <v>UNIDAD</v>
      </c>
      <c r="J62" s="64">
        <f>'Necesidades Trimestrales'!H60</f>
        <v>1200</v>
      </c>
      <c r="K62" s="63">
        <f>'Necesidades Trimestrales'!G60</f>
        <v>4</v>
      </c>
    </row>
    <row r="63" spans="1:11" ht="27.75" customHeight="1" x14ac:dyDescent="0.2">
      <c r="A63" s="61">
        <v>52</v>
      </c>
      <c r="B63" s="62" t="str">
        <f>'Necesidades Trimestrales'!B61</f>
        <v>2.9.5-4274.3</v>
      </c>
      <c r="C63" s="90" t="str">
        <f>'Necesidades Trimestrales'!E61</f>
        <v>ESPEJOS BUCALES; PRESENTACION: CAJA X 12 UN</v>
      </c>
      <c r="D63" s="90"/>
      <c r="E63" s="90"/>
      <c r="F63" s="90"/>
      <c r="G63" s="90"/>
      <c r="H63" s="65" t="s">
        <v>53</v>
      </c>
      <c r="I63" s="66" t="str">
        <f>'Necesidades Trimestrales'!F61</f>
        <v>CAJA</v>
      </c>
      <c r="J63" s="64">
        <f>'Necesidades Trimestrales'!H61</f>
        <v>1500</v>
      </c>
      <c r="K63" s="63">
        <f>'Necesidades Trimestrales'!G61</f>
        <v>3</v>
      </c>
    </row>
    <row r="64" spans="1:11" ht="27.75" customHeight="1" x14ac:dyDescent="0.2">
      <c r="A64" s="61">
        <v>53</v>
      </c>
      <c r="B64" s="62" t="str">
        <f>'Necesidades Trimestrales'!B62</f>
        <v>2.9.5-441.429</v>
      </c>
      <c r="C64" s="90" t="str">
        <f>'Necesidades Trimestrales'!E62</f>
        <v>AGUJAS QUIRURGICAS; TIPO: ODONTOLOGICA, ESPECIFICACION: CORTA DE 21 mm, PRESENTACION: ENVASE X 100 UN</v>
      </c>
      <c r="D64" s="90"/>
      <c r="E64" s="90"/>
      <c r="F64" s="90"/>
      <c r="G64" s="90"/>
      <c r="H64" s="65" t="s">
        <v>53</v>
      </c>
      <c r="I64" s="66" t="str">
        <f>'Necesidades Trimestrales'!F62</f>
        <v>CAJA</v>
      </c>
      <c r="J64" s="64">
        <f>'Necesidades Trimestrales'!H62</f>
        <v>1300</v>
      </c>
      <c r="K64" s="63">
        <f>'Necesidades Trimestrales'!G62</f>
        <v>5</v>
      </c>
    </row>
    <row r="65" spans="1:14" ht="27.75" customHeight="1" x14ac:dyDescent="0.2">
      <c r="A65" s="61">
        <v>54</v>
      </c>
      <c r="B65" s="62" t="str">
        <f>'Necesidades Trimestrales'!B63</f>
        <v>2.9.5-441.428</v>
      </c>
      <c r="C65" s="90" t="str">
        <f>'Necesidades Trimestrales'!E63</f>
        <v>AGUJAS QUIRURGICAS; TIPO: CARPULE, ESPECIFICACION: EXTRA CORTAS, PRESENTACION: ENVASE X 100 UN</v>
      </c>
      <c r="D65" s="90"/>
      <c r="E65" s="90"/>
      <c r="F65" s="90"/>
      <c r="G65" s="90"/>
      <c r="H65" s="65" t="s">
        <v>53</v>
      </c>
      <c r="I65" s="66" t="str">
        <f>'Necesidades Trimestrales'!F63</f>
        <v>CAJA</v>
      </c>
      <c r="J65" s="64">
        <f>'Necesidades Trimestrales'!H63</f>
        <v>1300</v>
      </c>
      <c r="K65" s="63">
        <f>'Necesidades Trimestrales'!G63</f>
        <v>5</v>
      </c>
    </row>
    <row r="66" spans="1:14" ht="27.75" customHeight="1" thickBot="1" x14ac:dyDescent="0.25">
      <c r="A66" s="61">
        <v>55</v>
      </c>
      <c r="B66" s="62" t="str">
        <f>'Necesidades Trimestrales'!B64</f>
        <v>2.9.5-5144.417</v>
      </c>
      <c r="C66" s="90" t="str">
        <f>'Necesidades Trimestrales'!E64</f>
        <v>INSTRUMENTAL ODONTOLOGICO; TIPO: EYECTOR P/SALIVA, DESCARTABLE: SI, PRESENTACION: ENVASE X 100</v>
      </c>
      <c r="D66" s="90"/>
      <c r="E66" s="90"/>
      <c r="F66" s="90"/>
      <c r="G66" s="90"/>
      <c r="H66" s="65" t="s">
        <v>53</v>
      </c>
      <c r="I66" s="66" t="str">
        <f>'Necesidades Trimestrales'!F64</f>
        <v>PAQUETE</v>
      </c>
      <c r="J66" s="64">
        <f>'Necesidades Trimestrales'!H64</f>
        <v>750</v>
      </c>
      <c r="K66" s="63">
        <f>'Necesidades Trimestrales'!G64</f>
        <v>10</v>
      </c>
    </row>
    <row r="67" spans="1:14" ht="20.25" customHeight="1" thickBot="1" x14ac:dyDescent="0.25">
      <c r="A67" s="86" t="s">
        <v>182</v>
      </c>
      <c r="B67" s="86"/>
      <c r="C67" s="86"/>
      <c r="D67" s="86"/>
      <c r="E67" s="86"/>
      <c r="F67" s="86"/>
      <c r="G67" s="86"/>
      <c r="H67" s="86"/>
      <c r="I67" s="86"/>
      <c r="J67" s="87">
        <f>SUMPRODUCT(J12:J66,K12:K66)</f>
        <v>471060</v>
      </c>
      <c r="K67" s="87"/>
      <c r="N67" s="47"/>
    </row>
  </sheetData>
  <mergeCells count="77">
    <mergeCell ref="C66:G66"/>
    <mergeCell ref="C58:G58"/>
    <mergeCell ref="C59:G59"/>
    <mergeCell ref="C60:G60"/>
    <mergeCell ref="C61:G61"/>
    <mergeCell ref="C62:G62"/>
    <mergeCell ref="C63:G63"/>
    <mergeCell ref="C64:G64"/>
    <mergeCell ref="C65:G65"/>
    <mergeCell ref="C53:G53"/>
    <mergeCell ref="C54:G54"/>
    <mergeCell ref="C55:G55"/>
    <mergeCell ref="C56:G56"/>
    <mergeCell ref="C57:G57"/>
    <mergeCell ref="C48:G48"/>
    <mergeCell ref="C49:G49"/>
    <mergeCell ref="C50:G50"/>
    <mergeCell ref="C51:G51"/>
    <mergeCell ref="C52:G52"/>
    <mergeCell ref="C46:G46"/>
    <mergeCell ref="C47:G47"/>
    <mergeCell ref="C41:G41"/>
    <mergeCell ref="C42:G42"/>
    <mergeCell ref="C43:G43"/>
    <mergeCell ref="C44:G44"/>
    <mergeCell ref="C45:G45"/>
    <mergeCell ref="C29:G29"/>
    <mergeCell ref="C30:G3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0:A11"/>
    <mergeCell ref="H10:H11"/>
    <mergeCell ref="I10:I11"/>
    <mergeCell ref="C25:G25"/>
    <mergeCell ref="C27:G27"/>
    <mergeCell ref="C28:G28"/>
    <mergeCell ref="C39:G39"/>
    <mergeCell ref="C40:G40"/>
    <mergeCell ref="D8:K8"/>
    <mergeCell ref="J10:J11"/>
    <mergeCell ref="K10:K11"/>
    <mergeCell ref="C37:G37"/>
    <mergeCell ref="A8:C8"/>
    <mergeCell ref="C32:G32"/>
    <mergeCell ref="C33:G33"/>
    <mergeCell ref="C34:G34"/>
    <mergeCell ref="C35:G35"/>
    <mergeCell ref="C36:G36"/>
    <mergeCell ref="C31:G31"/>
    <mergeCell ref="C26:G26"/>
    <mergeCell ref="B10:B11"/>
    <mergeCell ref="C10:G11"/>
    <mergeCell ref="A67:I67"/>
    <mergeCell ref="J67:K67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38:G38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opLeftCell="A16" zoomScale="130" zoomScaleNormal="130" workbookViewId="0">
      <selection activeCell="A10" sqref="A10:Q10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9" ht="15.75" customHeight="1" x14ac:dyDescent="0.25">
      <c r="A1" s="125" t="s">
        <v>3</v>
      </c>
      <c r="B1" s="125"/>
      <c r="C1" s="125"/>
      <c r="D1" s="126">
        <f>'Necesidades Trimestrales'!C6</f>
        <v>2022</v>
      </c>
      <c r="E1" s="126"/>
      <c r="F1" s="3"/>
      <c r="G1" s="3"/>
      <c r="H1" s="4"/>
      <c r="I1" s="4"/>
      <c r="J1" s="4"/>
      <c r="K1" s="4"/>
      <c r="L1" s="4"/>
      <c r="M1" s="4"/>
      <c r="N1" s="4"/>
      <c r="P1" s="127" t="s">
        <v>25</v>
      </c>
      <c r="Q1" s="127"/>
    </row>
    <row r="2" spans="1:19" ht="15.75" customHeight="1" x14ac:dyDescent="0.2">
      <c r="H2" s="4"/>
      <c r="I2" s="4"/>
      <c r="J2" s="4"/>
      <c r="K2" s="4"/>
      <c r="L2" s="4"/>
      <c r="M2" s="4"/>
      <c r="N2" s="4"/>
      <c r="P2" s="127"/>
      <c r="Q2" s="127"/>
    </row>
    <row r="4" spans="1:19" s="5" customFormat="1" ht="18" customHeight="1" thickBot="1" x14ac:dyDescent="0.25">
      <c r="A4" s="128" t="s">
        <v>26</v>
      </c>
      <c r="B4" s="128"/>
      <c r="C4" s="128"/>
      <c r="D4" s="128"/>
      <c r="E4" s="128"/>
      <c r="F4" s="128"/>
      <c r="G4" s="123" t="str">
        <f>' NotaPedido'!D3</f>
        <v>040 - Ministerio de Salud</v>
      </c>
      <c r="H4" s="123"/>
      <c r="I4" s="123"/>
      <c r="J4" s="123"/>
      <c r="K4" s="123"/>
      <c r="L4" s="123"/>
      <c r="M4" s="123"/>
      <c r="N4" s="123"/>
      <c r="O4" s="123"/>
      <c r="P4" s="123"/>
      <c r="Q4" s="123"/>
    </row>
    <row r="5" spans="1:19" s="5" customFormat="1" ht="18" customHeight="1" thickBot="1" x14ac:dyDescent="0.25">
      <c r="A5" s="120" t="s">
        <v>49</v>
      </c>
      <c r="B5" s="121"/>
      <c r="C5" s="121"/>
      <c r="D5" s="121"/>
      <c r="E5" s="121"/>
      <c r="F5" s="122"/>
      <c r="G5" s="123" t="str">
        <f>' NotaPedido'!D4</f>
        <v>024 - Direccion de Administracion del Hospital Interzonal de Niños</v>
      </c>
      <c r="H5" s="123"/>
      <c r="I5" s="123"/>
      <c r="J5" s="123"/>
      <c r="K5" s="123"/>
      <c r="L5" s="123"/>
      <c r="M5" s="123"/>
      <c r="N5" s="123"/>
      <c r="O5" s="123"/>
      <c r="P5" s="123"/>
      <c r="Q5" s="123"/>
    </row>
    <row r="6" spans="1:19" s="5" customFormat="1" ht="18" customHeight="1" thickBot="1" x14ac:dyDescent="0.25">
      <c r="A6" s="120" t="s">
        <v>27</v>
      </c>
      <c r="B6" s="121"/>
      <c r="C6" s="121"/>
      <c r="D6" s="121"/>
      <c r="E6" s="121"/>
      <c r="F6" s="122"/>
      <c r="G6" s="123" t="str">
        <f>' NotaPedido'!D5</f>
        <v>024 - Direccion de Administracion del Hospital Interzonal de Niños</v>
      </c>
      <c r="H6" s="123"/>
      <c r="I6" s="123"/>
      <c r="J6" s="123"/>
      <c r="K6" s="123"/>
      <c r="L6" s="123"/>
      <c r="M6" s="123"/>
      <c r="N6" s="123"/>
      <c r="O6" s="123"/>
      <c r="P6" s="123"/>
      <c r="Q6" s="123"/>
    </row>
    <row r="7" spans="1:19" s="5" customFormat="1" ht="18" customHeight="1" thickBot="1" x14ac:dyDescent="0.25">
      <c r="A7" s="120" t="s">
        <v>50</v>
      </c>
      <c r="B7" s="121"/>
      <c r="C7" s="121"/>
      <c r="D7" s="121"/>
      <c r="E7" s="121"/>
      <c r="F7" s="122"/>
      <c r="G7" s="123" t="s">
        <v>94</v>
      </c>
      <c r="H7" s="123"/>
      <c r="I7" s="123"/>
      <c r="J7" s="123"/>
      <c r="K7" s="123"/>
      <c r="L7" s="123"/>
      <c r="M7" s="123"/>
      <c r="N7" s="123"/>
      <c r="O7" s="123"/>
      <c r="P7" s="123"/>
      <c r="Q7" s="123"/>
    </row>
    <row r="8" spans="1:19" ht="18" customHeight="1" thickBot="1" x14ac:dyDescent="0.25">
      <c r="A8" s="124" t="s">
        <v>28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</row>
    <row r="9" spans="1:19" ht="18" customHeight="1" x14ac:dyDescent="0.2">
      <c r="A9" s="109" t="s">
        <v>29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"/>
      <c r="P9" s="1"/>
      <c r="Q9" s="6"/>
    </row>
    <row r="10" spans="1:19" ht="54.75" customHeight="1" x14ac:dyDescent="0.2">
      <c r="A10" s="11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062/2022,  afectando la erogación resultante a los créditos presupuestarios aprobados a favor de esta Unidad Ejecutora, conforme al siguiente detalle: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</row>
    <row r="11" spans="1:19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thickBot="1" x14ac:dyDescent="0.25">
      <c r="A12" s="111" t="s">
        <v>30</v>
      </c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</row>
    <row r="13" spans="1:19" ht="15.75" customHeight="1" thickBot="1" x14ac:dyDescent="0.25">
      <c r="A13" s="112" t="s">
        <v>31</v>
      </c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4" t="s">
        <v>32</v>
      </c>
      <c r="P13" s="115"/>
      <c r="Q13" s="118" t="s">
        <v>33</v>
      </c>
    </row>
    <row r="14" spans="1:19" ht="15.75" customHeight="1" thickBot="1" x14ac:dyDescent="0.25">
      <c r="A14" s="52" t="s">
        <v>34</v>
      </c>
      <c r="B14" s="53" t="s">
        <v>35</v>
      </c>
      <c r="C14" s="53" t="s">
        <v>36</v>
      </c>
      <c r="D14" s="53" t="s">
        <v>37</v>
      </c>
      <c r="E14" s="53" t="s">
        <v>38</v>
      </c>
      <c r="F14" s="53" t="s">
        <v>39</v>
      </c>
      <c r="G14" s="54" t="s">
        <v>40</v>
      </c>
      <c r="H14" s="53" t="s">
        <v>41</v>
      </c>
      <c r="I14" s="53" t="s">
        <v>42</v>
      </c>
      <c r="J14" s="53" t="s">
        <v>43</v>
      </c>
      <c r="K14" s="53" t="s">
        <v>43</v>
      </c>
      <c r="L14" s="53" t="s">
        <v>44</v>
      </c>
      <c r="M14" s="55" t="s">
        <v>45</v>
      </c>
      <c r="N14" s="56" t="s">
        <v>46</v>
      </c>
      <c r="O14" s="116"/>
      <c r="P14" s="117"/>
      <c r="Q14" s="119"/>
    </row>
    <row r="15" spans="1:19" ht="26.25" customHeight="1" x14ac:dyDescent="0.2">
      <c r="A15" s="48">
        <v>36</v>
      </c>
      <c r="B15" s="49"/>
      <c r="C15" s="49"/>
      <c r="D15" s="49">
        <v>1</v>
      </c>
      <c r="E15" s="49"/>
      <c r="F15" s="49">
        <v>4901</v>
      </c>
      <c r="G15" s="49">
        <v>3</v>
      </c>
      <c r="H15" s="49">
        <v>310</v>
      </c>
      <c r="I15" s="49">
        <v>2</v>
      </c>
      <c r="J15" s="49">
        <v>5</v>
      </c>
      <c r="K15" s="49">
        <v>2</v>
      </c>
      <c r="L15" s="49"/>
      <c r="M15" s="50">
        <v>1</v>
      </c>
      <c r="N15" s="51" t="s">
        <v>52</v>
      </c>
      <c r="O15" s="100" t="s">
        <v>96</v>
      </c>
      <c r="P15" s="100"/>
      <c r="Q15" s="57">
        <v>214140</v>
      </c>
    </row>
    <row r="16" spans="1:19" ht="26.25" customHeight="1" x14ac:dyDescent="0.2">
      <c r="A16" s="48">
        <v>36</v>
      </c>
      <c r="B16" s="49"/>
      <c r="C16" s="49"/>
      <c r="D16" s="49">
        <v>1</v>
      </c>
      <c r="E16" s="49"/>
      <c r="F16" s="49">
        <v>4901</v>
      </c>
      <c r="G16" s="49">
        <v>3</v>
      </c>
      <c r="H16" s="49">
        <v>310</v>
      </c>
      <c r="I16" s="49">
        <v>2</v>
      </c>
      <c r="J16" s="49">
        <v>5</v>
      </c>
      <c r="K16" s="49">
        <v>6</v>
      </c>
      <c r="L16" s="49"/>
      <c r="M16" s="50">
        <v>1</v>
      </c>
      <c r="N16" s="51" t="s">
        <v>52</v>
      </c>
      <c r="O16" s="100" t="s">
        <v>116</v>
      </c>
      <c r="P16" s="100"/>
      <c r="Q16" s="11">
        <v>2600</v>
      </c>
      <c r="S16" s="78" t="s">
        <v>54</v>
      </c>
    </row>
    <row r="17" spans="1:19" ht="27" customHeight="1" x14ac:dyDescent="0.2">
      <c r="A17" s="48">
        <v>36</v>
      </c>
      <c r="B17" s="49"/>
      <c r="C17" s="49"/>
      <c r="D17" s="49">
        <v>1</v>
      </c>
      <c r="E17" s="49"/>
      <c r="F17" s="49">
        <v>4901</v>
      </c>
      <c r="G17" s="49">
        <v>3</v>
      </c>
      <c r="H17" s="49">
        <v>310</v>
      </c>
      <c r="I17" s="49">
        <v>2</v>
      </c>
      <c r="J17" s="49">
        <v>5</v>
      </c>
      <c r="K17" s="49">
        <v>9</v>
      </c>
      <c r="L17" s="49"/>
      <c r="M17" s="50">
        <v>1</v>
      </c>
      <c r="N17" s="51" t="s">
        <v>52</v>
      </c>
      <c r="O17" s="100" t="s">
        <v>181</v>
      </c>
      <c r="P17" s="100"/>
      <c r="Q17" s="11">
        <v>50200</v>
      </c>
      <c r="S17" s="78" t="s">
        <v>54</v>
      </c>
    </row>
    <row r="18" spans="1:19" ht="25.5" customHeight="1" x14ac:dyDescent="0.2">
      <c r="A18" s="48">
        <v>36</v>
      </c>
      <c r="B18" s="49"/>
      <c r="C18" s="49"/>
      <c r="D18" s="49">
        <v>1</v>
      </c>
      <c r="E18" s="49"/>
      <c r="F18" s="49">
        <v>4901</v>
      </c>
      <c r="G18" s="49">
        <v>3</v>
      </c>
      <c r="H18" s="49">
        <v>310</v>
      </c>
      <c r="I18" s="49">
        <v>2</v>
      </c>
      <c r="J18" s="49">
        <v>9</v>
      </c>
      <c r="K18" s="49">
        <v>5</v>
      </c>
      <c r="L18" s="49"/>
      <c r="M18" s="50">
        <v>1</v>
      </c>
      <c r="N18" s="51" t="s">
        <v>52</v>
      </c>
      <c r="O18" s="100" t="s">
        <v>56</v>
      </c>
      <c r="P18" s="100"/>
      <c r="Q18" s="11">
        <v>204120</v>
      </c>
    </row>
    <row r="19" spans="1:19" ht="17.25" customHeight="1" x14ac:dyDescent="0.2">
      <c r="A19" s="12"/>
      <c r="B19" s="13"/>
      <c r="C19" s="13"/>
      <c r="D19" s="13"/>
      <c r="E19" s="13"/>
      <c r="F19" s="14"/>
      <c r="G19" s="13"/>
      <c r="H19" s="13"/>
      <c r="I19" s="13"/>
      <c r="J19" s="13" t="s">
        <v>54</v>
      </c>
      <c r="K19" s="13"/>
      <c r="L19" s="13"/>
      <c r="M19" s="15"/>
      <c r="N19" s="16"/>
      <c r="O19" s="101"/>
      <c r="P19" s="101"/>
      <c r="Q19" s="11"/>
      <c r="R19" s="1"/>
    </row>
    <row r="20" spans="1:19" ht="17.25" customHeight="1" x14ac:dyDescent="0.2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9"/>
      <c r="N20" s="18"/>
      <c r="O20" s="102"/>
      <c r="P20" s="102"/>
      <c r="Q20" s="20"/>
    </row>
    <row r="21" spans="1:19" ht="29.25" customHeight="1" x14ac:dyDescent="0.2">
      <c r="A21" s="103" t="s">
        <v>180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21">
        <f>SUM(Q15:Q20)</f>
        <v>471060</v>
      </c>
    </row>
    <row r="22" spans="1:19" ht="18" customHeight="1" thickBot="1" x14ac:dyDescent="0.25">
      <c r="A22" s="104"/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</row>
    <row r="23" spans="1:19" ht="17.25" customHeight="1" thickBot="1" x14ac:dyDescent="0.25">
      <c r="A23" s="105" t="s">
        <v>47</v>
      </c>
      <c r="B23" s="106"/>
      <c r="C23" s="106"/>
      <c r="D23" s="106"/>
      <c r="E23" s="106"/>
      <c r="F23" s="107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</row>
    <row r="24" spans="1:19" ht="18" customHeight="1" thickBot="1" x14ac:dyDescent="0.25">
      <c r="A24" s="99" t="s">
        <v>95</v>
      </c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</row>
    <row r="25" spans="1:19" ht="26.25" customHeight="1" x14ac:dyDescent="0.2">
      <c r="A25" s="99"/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2022-03-28T12:43:35Z</cp:lastPrinted>
  <dcterms:created xsi:type="dcterms:W3CDTF">2020-07-17T23:44:49Z</dcterms:created>
  <dcterms:modified xsi:type="dcterms:W3CDTF">2022-06-28T16:37:00Z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