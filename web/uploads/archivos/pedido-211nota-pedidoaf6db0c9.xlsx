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00F35C9-C7A9-4947-AC30-E8A42A18578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Trimestrales'!$A$9:$I$35</definedName>
    <definedName name="_xlnm.Print_Area" localSheetId="2">'Autor Gastar'!$A$1:$Q$27</definedName>
    <definedName name="_xlnm.Print_Area" localSheetId="1">NotaPedido!$A$1:$K$38</definedName>
  </definedName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A26" i="3"/>
  <c r="A10" i="3"/>
  <c r="J15" i="2"/>
  <c r="K14" i="2"/>
  <c r="J14" i="2"/>
  <c r="I14" i="2"/>
  <c r="K13" i="2"/>
  <c r="J13" i="2"/>
  <c r="I13" i="2"/>
  <c r="C13" i="2"/>
  <c r="K12" i="2"/>
  <c r="J12" i="2"/>
  <c r="I12" i="2"/>
  <c r="C12" i="2"/>
  <c r="B12" i="2"/>
  <c r="I32" i="1"/>
  <c r="I24" i="1"/>
  <c r="I21" i="1"/>
  <c r="I20" i="1"/>
  <c r="I13" i="1"/>
  <c r="I12" i="1"/>
  <c r="I35" i="1"/>
  <c r="I33" i="1"/>
  <c r="I31" i="1"/>
  <c r="I25" i="1"/>
  <c r="I19" i="1"/>
  <c r="I18" i="1"/>
  <c r="I17" i="1"/>
  <c r="I16" i="1"/>
  <c r="I11" i="1"/>
  <c r="I34" i="1"/>
  <c r="I30" i="1"/>
  <c r="I29" i="1"/>
  <c r="I28" i="1"/>
  <c r="I27" i="1"/>
  <c r="I26" i="1"/>
  <c r="I23" i="1"/>
  <c r="I22" i="1"/>
  <c r="I15" i="1"/>
  <c r="I14" i="1"/>
  <c r="I10" i="1"/>
  <c r="J3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<sst xmlns="http://schemas.openxmlformats.org/spreadsheetml/2006/main" count="208" uniqueCount="103">
  <si>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</si>
  <si>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</si>
  <si>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</si>
  <si>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</si>
  <si>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</si>
  <si>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</si>
  <si>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</si>
  <si>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</si>
  <si>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</si>
  <si>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</si>
  <si>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</si>
  <si>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</si>
  <si>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</si>
  <si>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</si>
  <si>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</si>
  <si>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</si>
  <si>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</si>
  <si>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</si>
  <si>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</si>
  <si>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</si>
  <si>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</si>
  <si>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</si>
  <si>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</si>
  <si>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</si>
  <si>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</si>
  <si>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</si>
  <si>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</si>
  <si>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</si>
  <si>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</si>
  <si>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</si>
  <si>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</si>
  <si>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</si>
  <si>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</si>
  <si>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</si>
  <si>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</si>
  <si>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</si>
  <si>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</si>
  <si>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</si>
  <si>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</si>
  <si>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</si>
  <si>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</si>
  <si>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</si>
  <si>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</si>
  <si>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</si>
  <si>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</si>
  <si>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</si>
  <si>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</si>
  <si>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</si>
  <si>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</si>
  <si>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</si>
  <si>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</si>
  <si>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</si>
  <si>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</si>
  <si>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</si>
  <si>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</si>
  <si>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</si>
  <si>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</si>
  <si>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</si>
  <si>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</si>
  <si>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</si>
  <si>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</si>
  <si>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</si>
  <si>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</si>
  <si>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</si>
  <si>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</si>
  <si>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MEDICAMENTOS </t>
  </si>
  <si>
    <t>2.5.2</t>
  </si>
  <si>
    <t>ALLOPURINOL 300 MG COMPRIMIDO</t>
  </si>
  <si>
    <t>UNIDAD</t>
  </si>
  <si>
    <t>BUPIVACAINA  0,5% C/EPINEFRINA FRASCO X 20 ML</t>
  </si>
  <si>
    <t>BUPIVACAINA  0,5% S/EPINEFRINA  FRASCO X 20 ML</t>
  </si>
  <si>
    <t xml:space="preserve">DICLOFENAC 75 MG. AMPOLLA </t>
  </si>
  <si>
    <t>DIPIRONA 1GR AMPOLLA</t>
  </si>
  <si>
    <t>KETOROLAC 30 MG AMPOLLA</t>
  </si>
  <si>
    <t>LIDOCAINA 2% CON EPINEFRINA X 20 ML</t>
  </si>
  <si>
    <t>LIDOCAINA 2%SIN EPINEFRINA X 20 ML</t>
  </si>
  <si>
    <t>LIDOCAINA JALEA</t>
  </si>
  <si>
    <t>LIDOCAINA SOLUCION TOPICA</t>
  </si>
  <si>
    <t>SEVOFLUORANO X 250 ML TIPO ABBOTT</t>
  </si>
  <si>
    <t>ANFOTERICINA B LIPOSOMAL VIAL 50 MG</t>
  </si>
  <si>
    <t>CEFALEXINA 500 MG COMPRIMIDOS</t>
  </si>
  <si>
    <t>CEFALOTINA 1 GR. AMP.</t>
  </si>
  <si>
    <t>CIPROFLOXACINA 200 MG AMPOLLA</t>
  </si>
  <si>
    <t>CIPROFLOXACINA 500 MG COMP</t>
  </si>
  <si>
    <t>INMUNOGLOBULINA HUMANA INESPECIFICA 10 GRS</t>
  </si>
  <si>
    <t>PENICILINA BENZATINICA 2.400.000 FCO AMPOLLA</t>
  </si>
  <si>
    <t xml:space="preserve">RIFAMPICINA 300 MG CAPSULAS </t>
  </si>
  <si>
    <t>TIGECICLINA 50MG FCO AMPOLLA*</t>
  </si>
  <si>
    <t xml:space="preserve">PLAZO DE MANTENIMIENTO DE OFERTA: 45 DIAS HABILES </t>
  </si>
  <si>
    <t>BARIO SULFATO TIPO GASTROPAK F SUSPENSION ORAL</t>
  </si>
  <si>
    <t>BARIO SULFATO TIPO GASTROPAK F SUSPENSION PARA ENEMA</t>
  </si>
  <si>
    <t>CONTRASTE NO IONICO X 300 MG X 50 ML(IOPRAMIDA,IOVITRIDOL,IODIXANOL,IOHEXOL,IOVERSOL)</t>
  </si>
  <si>
    <t>DIATRISOATO DE DEMEGLUMINA +DIATRISOATO DE SODIO (TIPO TRIYOSOM GY/TEMISTAC) X 120 ML</t>
  </si>
  <si>
    <t>GADOPENTETATO FRASCO X 15 ML</t>
  </si>
  <si>
    <t>POLIETILENGLICOL 3350 X 4 LITROS</t>
  </si>
  <si>
    <t>063 - 2021</t>
  </si>
  <si>
    <t xml:space="preserve">Adquisición de Medicamentos p/terapia antiinfecciosa, Medios de Contraste, Analgesicos antiinflamatorios y otros </t>
  </si>
  <si>
    <t>Especificidades Item N° 1 al 26: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</si>
  <si>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12 MESES DE LA FECHA DE RECEPCION.</t>
  </si>
  <si>
    <t xml:space="preserve">PLAZO DE ENTREGA: 20 DIAS CORRIDOS EN EL SERVICIO DE FARMACIA - AVDA. ILLIA Y MARIANO MORENO </t>
  </si>
  <si>
    <t xml:space="preserve">20 dias corridos  - Servicio de Farmacia del HISJB - Avda. Illia y Mariano Moreno </t>
  </si>
  <si>
    <t>Costo total estimado: seis millones doscientos cuarenta y cuatro mil cuatrocientos cuarenta y uno con 00/100.---------</t>
  </si>
  <si>
    <t>TOTAL DE PESOS: SEIS MILLONES DOSCIENTOS CUARENTA Y CUATRO MIL CUATROCIENTOS CUARENTA Y UNO CON 00/100.------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</si>
</sst>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  <numFmt numFmtId="170" formatCode="_ * #,##0.00_ ;_ * \-#,##0.00_ ;_ * &quot;-&quot;??_ ;_ @_ 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20"/>
      <name val="Times New Roman"/>
      <family val="1"/>
    </font>
    <font>
      <sz val="9"/>
      <color theme="1"/>
      <name val="Arial"/>
      <family val="2"/>
    </font>
    <font>
      <sz val="8"/>
      <name val="Arial"/>
      <family val="2"/>
    </font>
    <font>
      <b/>
      <sz val="7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3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0" xfId="0" applyFont="1" applyBorder="1"/>
    <xf numFmtId="0" fontId="16" fillId="0" borderId="6" xfId="0" applyFont="1" applyBorder="1"/>
    <xf numFmtId="0" fontId="23" fillId="0" borderId="5" xfId="0" applyFont="1" applyBorder="1" applyAlignment="1">
      <alignment horizontal="left" indent="3"/>
    </xf>
    <xf numFmtId="0" fontId="16" fillId="0" borderId="5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horizontal="left" indent="3"/>
    </xf>
    <xf numFmtId="0" fontId="16" fillId="0" borderId="8" xfId="0" applyFont="1" applyBorder="1"/>
    <xf numFmtId="0" fontId="16" fillId="0" borderId="9" xfId="0" applyFont="1" applyBorder="1"/>
    <xf numFmtId="0" fontId="20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 wrapText="1"/>
    </xf>
    <xf numFmtId="0" fontId="25" fillId="0" borderId="14" xfId="0" applyFont="1" applyFill="1" applyBorder="1" applyAlignment="1">
      <alignment vertical="center" wrapText="1"/>
    </xf>
    <xf numFmtId="0" fontId="22" fillId="4" borderId="14" xfId="0" applyFont="1" applyFill="1" applyBorder="1" applyAlignment="1">
      <alignment horizontal="center" vertical="center" wrapText="1"/>
    </xf>
    <xf numFmtId="166" fontId="21" fillId="4" borderId="14" xfId="1" applyNumberFormat="1" applyFont="1" applyFill="1" applyBorder="1" applyAlignment="1" applyProtection="1">
      <alignment horizontal="center" vertical="center" wrapText="1"/>
    </xf>
    <xf numFmtId="166" fontId="21" fillId="4" borderId="14" xfId="1" applyNumberFormat="1" applyFont="1" applyFill="1" applyBorder="1" applyAlignment="1" applyProtection="1">
      <alignment horizontal="right" vertical="center" wrapText="1"/>
    </xf>
    <xf numFmtId="0" fontId="24" fillId="4" borderId="0" xfId="0" applyFont="1" applyFill="1" applyAlignment="1">
      <alignment horizontal="left" wrapText="1" indent="1"/>
    </xf>
    <xf numFmtId="0" fontId="20" fillId="5" borderId="0" xfId="0" applyFont="1" applyFill="1" applyAlignment="1">
      <alignment horizontal="left" wrapText="1"/>
    </xf>
    <xf numFmtId="0" fontId="7" fillId="4" borderId="1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 wrapText="1"/>
    </xf>
    <xf numFmtId="166" fontId="5" fillId="5" borderId="19" xfId="1" applyNumberFormat="1" applyFont="1" applyFill="1" applyBorder="1" applyAlignment="1" applyProtection="1">
      <alignment horizontal="right" vertical="center" wrapText="1"/>
    </xf>
    <xf numFmtId="3" fontId="5" fillId="5" borderId="19" xfId="0" applyNumberFormat="1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7" fillId="5" borderId="14" xfId="0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/>
    </xf>
    <xf numFmtId="0" fontId="27" fillId="4" borderId="14" xfId="0" applyFont="1" applyFill="1" applyBorder="1" applyAlignment="1">
      <alignment horizontal="center" vertical="center" wrapText="1"/>
    </xf>
    <xf numFmtId="1" fontId="28" fillId="5" borderId="14" xfId="0" applyNumberFormat="1" applyFont="1" applyFill="1" applyBorder="1" applyAlignment="1">
      <alignment horizontal="center" vertical="center"/>
    </xf>
    <xf numFmtId="169" fontId="15" fillId="5" borderId="14" xfId="0" applyNumberFormat="1" applyFont="1" applyFill="1" applyBorder="1" applyAlignment="1">
      <alignment vertical="center"/>
    </xf>
    <xf numFmtId="170" fontId="15" fillId="5" borderId="14" xfId="5" applyNumberFormat="1" applyFont="1" applyFill="1" applyBorder="1" applyAlignment="1">
      <alignment horizontal="left" vertical="center"/>
    </xf>
    <xf numFmtId="1" fontId="29" fillId="5" borderId="14" xfId="5" applyNumberFormat="1" applyFont="1" applyFill="1" applyBorder="1" applyAlignment="1">
      <alignment horizontal="center" vertical="center"/>
    </xf>
    <xf numFmtId="1" fontId="29" fillId="5" borderId="14" xfId="0" applyNumberFormat="1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left" vertical="center" wrapText="1"/>
    </xf>
    <xf numFmtId="1" fontId="29" fillId="5" borderId="14" xfId="0" applyNumberFormat="1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vertical="center"/>
    </xf>
    <xf numFmtId="1" fontId="30" fillId="5" borderId="14" xfId="0" applyNumberFormat="1" applyFont="1" applyFill="1" applyBorder="1" applyAlignment="1">
      <alignment horizontal="center" vertical="center"/>
    </xf>
    <xf numFmtId="1" fontId="25" fillId="5" borderId="14" xfId="0" applyNumberFormat="1" applyFont="1" applyFill="1" applyBorder="1" applyAlignment="1">
      <alignment horizontal="center" vertical="center"/>
    </xf>
    <xf numFmtId="0" fontId="31" fillId="5" borderId="14" xfId="0" applyFont="1" applyFill="1" applyBorder="1" applyAlignment="1">
      <alignment horizontal="left" vertical="center"/>
    </xf>
    <xf numFmtId="1" fontId="25" fillId="5" borderId="14" xfId="0" applyNumberFormat="1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vertical="center"/>
    </xf>
    <xf numFmtId="1" fontId="26" fillId="5" borderId="14" xfId="0" applyNumberFormat="1" applyFont="1" applyFill="1" applyBorder="1" applyAlignment="1">
      <alignment horizontal="center" vertical="center" wrapText="1"/>
    </xf>
    <xf numFmtId="169" fontId="26" fillId="5" borderId="14" xfId="0" applyNumberFormat="1" applyFont="1" applyFill="1" applyBorder="1" applyAlignment="1">
      <alignment vertical="center"/>
    </xf>
    <xf numFmtId="1" fontId="33" fillId="5" borderId="14" xfId="0" applyNumberFormat="1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vertical="center" wrapText="1"/>
    </xf>
    <xf numFmtId="0" fontId="26" fillId="5" borderId="14" xfId="0" applyFont="1" applyFill="1" applyBorder="1" applyAlignment="1">
      <alignment horizontal="left" vertical="center" wrapText="1"/>
    </xf>
    <xf numFmtId="1" fontId="26" fillId="5" borderId="14" xfId="0" applyNumberFormat="1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left" vertical="center"/>
    </xf>
    <xf numFmtId="0" fontId="16" fillId="5" borderId="0" xfId="0" applyFont="1" applyFill="1"/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wrapText="1" indent="1"/>
    </xf>
    <xf numFmtId="0" fontId="16" fillId="3" borderId="6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/>
    </xf>
    <xf numFmtId="0" fontId="16" fillId="6" borderId="48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/>
    </xf>
    <xf numFmtId="167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 wrapText="1" indent="1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2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/>
    </xf>
    <xf numFmtId="0" fontId="12" fillId="0" borderId="23" xfId="0" applyFont="1" applyBorder="1"/>
    <xf numFmtId="0" fontId="12" fillId="0" borderId="24" xfId="0" applyFont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34" fillId="0" borderId="32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/>
    </xf>
    <xf numFmtId="0" fontId="26" fillId="0" borderId="38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0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35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5"/>
  <sheetViews>
    <sheetView tabSelected="1" zoomScale="85" zoomScaleNormal="85" workbookViewId="0">
      <selection activeCell="J45" sqref="J4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31.28515625" style="39" customWidth="1"/>
    <col min="11" max="16384" width="11" style="39"/>
  </cols>
  <sheetData>
    <row r="2" spans="1:10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10" ht="18" customHeight="1" x14ac:dyDescent="0.25">
      <c r="A4" s="107" t="s">
        <v>1</v>
      </c>
      <c r="B4" s="107"/>
      <c r="C4" s="108" t="s">
        <v>57</v>
      </c>
      <c r="D4" s="108"/>
      <c r="E4" s="108"/>
      <c r="F4" s="40"/>
      <c r="G4" s="41"/>
      <c r="H4" s="40"/>
    </row>
    <row r="5" spans="1:10" ht="18" customHeight="1" x14ac:dyDescent="0.25">
      <c r="A5" s="107" t="s">
        <v>2</v>
      </c>
      <c r="B5" s="107"/>
      <c r="C5" s="108" t="s">
        <v>58</v>
      </c>
      <c r="D5" s="108"/>
      <c r="E5" s="108"/>
      <c r="F5" s="40"/>
      <c r="G5" s="41"/>
      <c r="H5" s="40"/>
    </row>
    <row r="6" spans="1:10" ht="16.5" customHeight="1" x14ac:dyDescent="0.25">
      <c r="A6" s="107" t="s">
        <v>3</v>
      </c>
      <c r="B6" s="107"/>
      <c r="C6" s="63">
        <v>2021</v>
      </c>
      <c r="D6" s="64"/>
      <c r="E6" s="64"/>
      <c r="F6" s="40"/>
      <c r="G6" s="41"/>
      <c r="H6" s="40"/>
    </row>
    <row r="7" spans="1:10" ht="16.5" customHeight="1" x14ac:dyDescent="0.25">
      <c r="A7" s="107" t="s">
        <v>4</v>
      </c>
      <c r="B7" s="107"/>
      <c r="C7" s="63">
        <v>3</v>
      </c>
      <c r="D7" s="64"/>
      <c r="E7" s="64"/>
      <c r="F7" s="40"/>
      <c r="G7" s="41"/>
      <c r="H7" s="40"/>
    </row>
    <row r="8" spans="1:10" ht="13.5" thickBot="1" x14ac:dyDescent="0.25">
      <c r="B8" s="40"/>
      <c r="C8" s="41"/>
      <c r="D8" s="40"/>
      <c r="E8" s="40"/>
      <c r="F8" s="40"/>
      <c r="G8" s="41"/>
      <c r="H8" s="40"/>
    </row>
    <row r="9" spans="1:10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0" ht="31.9" customHeight="1" thickBot="1" x14ac:dyDescent="0.25">
      <c r="A10" s="56">
        <v>1</v>
      </c>
      <c r="B10" s="60"/>
      <c r="C10" s="57" t="s">
        <v>65</v>
      </c>
      <c r="D10" s="58" t="s">
        <v>66</v>
      </c>
      <c r="E10" s="59" t="s">
        <v>67</v>
      </c>
      <c r="F10" s="60" t="s">
        <v>68</v>
      </c>
      <c r="G10" s="60">
        <v>100</v>
      </c>
      <c r="H10" s="61">
        <v>34.9</v>
      </c>
      <c r="I10" s="62">
        <f t="shared" ref="I10:I35" si="0">G10*H10</f>
        <v>3490</v>
      </c>
      <c r="J10" s="105"/>
    </row>
    <row r="11" spans="1:10" ht="31.9" customHeight="1" thickBot="1" x14ac:dyDescent="0.25">
      <c r="A11" s="56">
        <v>2</v>
      </c>
      <c r="B11" s="60"/>
      <c r="C11" s="90" t="s">
        <v>65</v>
      </c>
      <c r="D11" s="91" t="s">
        <v>66</v>
      </c>
      <c r="E11" s="92" t="s">
        <v>79</v>
      </c>
      <c r="F11" s="60" t="s">
        <v>68</v>
      </c>
      <c r="G11" s="93">
        <v>10</v>
      </c>
      <c r="H11" s="84">
        <v>20692</v>
      </c>
      <c r="I11" s="62">
        <f t="shared" si="0"/>
        <v>206920</v>
      </c>
    </row>
    <row r="12" spans="1:10" ht="31.9" customHeight="1" thickBot="1" x14ac:dyDescent="0.25">
      <c r="A12" s="56">
        <v>3</v>
      </c>
      <c r="B12" s="60"/>
      <c r="C12" s="79" t="s">
        <v>65</v>
      </c>
      <c r="D12" s="91" t="s">
        <v>66</v>
      </c>
      <c r="E12" s="97" t="s">
        <v>89</v>
      </c>
      <c r="F12" s="82" t="s">
        <v>68</v>
      </c>
      <c r="G12" s="98">
        <v>5</v>
      </c>
      <c r="H12" s="99">
        <v>4735</v>
      </c>
      <c r="I12" s="62">
        <f t="shared" si="0"/>
        <v>23675</v>
      </c>
      <c r="J12" s="105"/>
    </row>
    <row r="13" spans="1:10" ht="31.9" customHeight="1" thickBot="1" x14ac:dyDescent="0.25">
      <c r="A13" s="56">
        <v>4</v>
      </c>
      <c r="B13" s="60"/>
      <c r="C13" s="79" t="s">
        <v>65</v>
      </c>
      <c r="D13" s="91" t="s">
        <v>66</v>
      </c>
      <c r="E13" s="97" t="s">
        <v>90</v>
      </c>
      <c r="F13" s="82" t="s">
        <v>68</v>
      </c>
      <c r="G13" s="100">
        <v>5</v>
      </c>
      <c r="H13" s="99">
        <v>7332</v>
      </c>
      <c r="I13" s="62">
        <f t="shared" si="0"/>
        <v>36660</v>
      </c>
      <c r="J13" s="105"/>
    </row>
    <row r="14" spans="1:10" ht="31.9" customHeight="1" thickBot="1" x14ac:dyDescent="0.25">
      <c r="A14" s="56">
        <v>5</v>
      </c>
      <c r="B14" s="60"/>
      <c r="C14" s="79" t="s">
        <v>65</v>
      </c>
      <c r="D14" s="80" t="s">
        <v>66</v>
      </c>
      <c r="E14" s="81" t="s">
        <v>69</v>
      </c>
      <c r="F14" s="82" t="s">
        <v>68</v>
      </c>
      <c r="G14" s="83">
        <v>15</v>
      </c>
      <c r="H14" s="84">
        <v>350</v>
      </c>
      <c r="I14" s="62">
        <f t="shared" si="0"/>
        <v>5250</v>
      </c>
      <c r="J14" s="105"/>
    </row>
    <row r="15" spans="1:10" ht="31.9" customHeight="1" thickBot="1" x14ac:dyDescent="0.25">
      <c r="A15" s="56">
        <v>6</v>
      </c>
      <c r="B15" s="60"/>
      <c r="C15" s="79" t="s">
        <v>65</v>
      </c>
      <c r="D15" s="80" t="s">
        <v>66</v>
      </c>
      <c r="E15" s="81" t="s">
        <v>70</v>
      </c>
      <c r="F15" s="82" t="s">
        <v>68</v>
      </c>
      <c r="G15" s="83">
        <v>20</v>
      </c>
      <c r="H15" s="84">
        <v>197.6</v>
      </c>
      <c r="I15" s="62">
        <f t="shared" si="0"/>
        <v>3952</v>
      </c>
      <c r="J15" s="105"/>
    </row>
    <row r="16" spans="1:10" ht="31.9" customHeight="1" thickBot="1" x14ac:dyDescent="0.25">
      <c r="A16" s="56">
        <v>7</v>
      </c>
      <c r="B16" s="60"/>
      <c r="C16" s="90" t="s">
        <v>65</v>
      </c>
      <c r="D16" s="91" t="s">
        <v>66</v>
      </c>
      <c r="E16" s="81" t="s">
        <v>80</v>
      </c>
      <c r="F16" s="60" t="s">
        <v>68</v>
      </c>
      <c r="G16" s="94">
        <v>900</v>
      </c>
      <c r="H16" s="84">
        <v>20</v>
      </c>
      <c r="I16" s="62">
        <f t="shared" si="0"/>
        <v>18000</v>
      </c>
    </row>
    <row r="17" spans="1:10" ht="31.9" customHeight="1" thickBot="1" x14ac:dyDescent="0.25">
      <c r="A17" s="56">
        <v>8</v>
      </c>
      <c r="B17" s="60"/>
      <c r="C17" s="90" t="s">
        <v>65</v>
      </c>
      <c r="D17" s="91" t="s">
        <v>66</v>
      </c>
      <c r="E17" s="95" t="s">
        <v>81</v>
      </c>
      <c r="F17" s="60" t="s">
        <v>68</v>
      </c>
      <c r="G17" s="93">
        <v>3600</v>
      </c>
      <c r="H17" s="84">
        <v>218.4</v>
      </c>
      <c r="I17" s="62">
        <f t="shared" si="0"/>
        <v>786240</v>
      </c>
    </row>
    <row r="18" spans="1:10" ht="31.9" customHeight="1" thickBot="1" x14ac:dyDescent="0.25">
      <c r="A18" s="56">
        <v>9</v>
      </c>
      <c r="B18" s="60"/>
      <c r="C18" s="90" t="s">
        <v>65</v>
      </c>
      <c r="D18" s="91" t="s">
        <v>66</v>
      </c>
      <c r="E18" s="81" t="s">
        <v>82</v>
      </c>
      <c r="F18" s="60" t="s">
        <v>68</v>
      </c>
      <c r="G18" s="94">
        <v>4000</v>
      </c>
      <c r="H18" s="84">
        <v>95</v>
      </c>
      <c r="I18" s="62">
        <f t="shared" si="0"/>
        <v>380000</v>
      </c>
    </row>
    <row r="19" spans="1:10" ht="31.9" customHeight="1" thickBot="1" x14ac:dyDescent="0.25">
      <c r="A19" s="56">
        <v>10</v>
      </c>
      <c r="B19" s="60"/>
      <c r="C19" s="90" t="s">
        <v>65</v>
      </c>
      <c r="D19" s="91" t="s">
        <v>66</v>
      </c>
      <c r="E19" s="81" t="s">
        <v>83</v>
      </c>
      <c r="F19" s="60" t="s">
        <v>68</v>
      </c>
      <c r="G19" s="94">
        <v>600</v>
      </c>
      <c r="H19" s="84">
        <v>10.65</v>
      </c>
      <c r="I19" s="62">
        <f t="shared" si="0"/>
        <v>6390</v>
      </c>
    </row>
    <row r="20" spans="1:10" ht="31.9" customHeight="1" thickBot="1" x14ac:dyDescent="0.25">
      <c r="A20" s="56">
        <v>11</v>
      </c>
      <c r="B20" s="60"/>
      <c r="C20" s="79" t="s">
        <v>65</v>
      </c>
      <c r="D20" s="80" t="s">
        <v>66</v>
      </c>
      <c r="E20" s="101" t="s">
        <v>91</v>
      </c>
      <c r="F20" s="82" t="s">
        <v>68</v>
      </c>
      <c r="G20" s="100">
        <v>300</v>
      </c>
      <c r="H20" s="99">
        <v>1600</v>
      </c>
      <c r="I20" s="62">
        <f t="shared" si="0"/>
        <v>480000</v>
      </c>
    </row>
    <row r="21" spans="1:10" ht="31.9" customHeight="1" thickBot="1" x14ac:dyDescent="0.25">
      <c r="A21" s="56">
        <v>12</v>
      </c>
      <c r="B21" s="60"/>
      <c r="C21" s="79" t="s">
        <v>65</v>
      </c>
      <c r="D21" s="80" t="s">
        <v>66</v>
      </c>
      <c r="E21" s="102" t="s">
        <v>92</v>
      </c>
      <c r="F21" s="82" t="s">
        <v>68</v>
      </c>
      <c r="G21" s="103">
        <v>90</v>
      </c>
      <c r="H21" s="99">
        <v>2500</v>
      </c>
      <c r="I21" s="62">
        <f t="shared" si="0"/>
        <v>225000</v>
      </c>
      <c r="J21" s="105"/>
    </row>
    <row r="22" spans="1:10" ht="31.9" customHeight="1" thickBot="1" x14ac:dyDescent="0.25">
      <c r="A22" s="56">
        <v>13</v>
      </c>
      <c r="B22" s="60"/>
      <c r="C22" s="79" t="s">
        <v>65</v>
      </c>
      <c r="D22" s="80" t="s">
        <v>66</v>
      </c>
      <c r="E22" s="85" t="s">
        <v>71</v>
      </c>
      <c r="F22" s="82" t="s">
        <v>68</v>
      </c>
      <c r="G22" s="86">
        <v>5000</v>
      </c>
      <c r="H22" s="84">
        <v>33</v>
      </c>
      <c r="I22" s="62">
        <f t="shared" si="0"/>
        <v>165000</v>
      </c>
      <c r="J22" s="105"/>
    </row>
    <row r="23" spans="1:10" ht="31.9" customHeight="1" thickBot="1" x14ac:dyDescent="0.25">
      <c r="A23" s="56">
        <v>14</v>
      </c>
      <c r="B23" s="60"/>
      <c r="C23" s="79" t="s">
        <v>65</v>
      </c>
      <c r="D23" s="80" t="s">
        <v>66</v>
      </c>
      <c r="E23" s="81" t="s">
        <v>72</v>
      </c>
      <c r="F23" s="82" t="s">
        <v>68</v>
      </c>
      <c r="G23" s="83">
        <v>2000</v>
      </c>
      <c r="H23" s="84">
        <v>27.3</v>
      </c>
      <c r="I23" s="62">
        <f t="shared" si="0"/>
        <v>54600</v>
      </c>
      <c r="J23" s="105"/>
    </row>
    <row r="24" spans="1:10" ht="31.9" customHeight="1" thickBot="1" x14ac:dyDescent="0.25">
      <c r="A24" s="56">
        <v>15</v>
      </c>
      <c r="B24" s="60"/>
      <c r="C24" s="79" t="s">
        <v>65</v>
      </c>
      <c r="D24" s="80" t="s">
        <v>66</v>
      </c>
      <c r="E24" s="104" t="s">
        <v>93</v>
      </c>
      <c r="F24" s="82" t="s">
        <v>68</v>
      </c>
      <c r="G24" s="103">
        <v>25</v>
      </c>
      <c r="H24" s="99">
        <v>1600</v>
      </c>
      <c r="I24" s="62">
        <f t="shared" si="0"/>
        <v>40000</v>
      </c>
    </row>
    <row r="25" spans="1:10" ht="31.9" customHeight="1" thickBot="1" x14ac:dyDescent="0.25">
      <c r="A25" s="56">
        <v>16</v>
      </c>
      <c r="B25" s="60"/>
      <c r="C25" s="90" t="s">
        <v>65</v>
      </c>
      <c r="D25" s="91" t="s">
        <v>66</v>
      </c>
      <c r="E25" s="81" t="s">
        <v>84</v>
      </c>
      <c r="F25" s="60" t="s">
        <v>68</v>
      </c>
      <c r="G25" s="94">
        <v>30</v>
      </c>
      <c r="H25" s="84">
        <v>89000</v>
      </c>
      <c r="I25" s="62">
        <f t="shared" si="0"/>
        <v>2670000</v>
      </c>
    </row>
    <row r="26" spans="1:10" ht="31.9" customHeight="1" thickBot="1" x14ac:dyDescent="0.25">
      <c r="A26" s="56">
        <v>17</v>
      </c>
      <c r="B26" s="60"/>
      <c r="C26" s="79" t="s">
        <v>65</v>
      </c>
      <c r="D26" s="80" t="s">
        <v>66</v>
      </c>
      <c r="E26" s="81" t="s">
        <v>73</v>
      </c>
      <c r="F26" s="82" t="s">
        <v>68</v>
      </c>
      <c r="G26" s="87">
        <v>15000</v>
      </c>
      <c r="H26" s="84">
        <v>29.4</v>
      </c>
      <c r="I26" s="62">
        <f t="shared" si="0"/>
        <v>441000</v>
      </c>
      <c r="J26" s="105"/>
    </row>
    <row r="27" spans="1:10" ht="31.9" customHeight="1" thickBot="1" x14ac:dyDescent="0.25">
      <c r="A27" s="56">
        <v>18</v>
      </c>
      <c r="B27" s="60"/>
      <c r="C27" s="79" t="s">
        <v>65</v>
      </c>
      <c r="D27" s="80" t="s">
        <v>66</v>
      </c>
      <c r="E27" s="81" t="s">
        <v>74</v>
      </c>
      <c r="F27" s="82" t="s">
        <v>68</v>
      </c>
      <c r="G27" s="83">
        <v>50</v>
      </c>
      <c r="H27" s="84">
        <v>280</v>
      </c>
      <c r="I27" s="62">
        <f t="shared" si="0"/>
        <v>14000</v>
      </c>
      <c r="J27" s="105"/>
    </row>
    <row r="28" spans="1:10" ht="31.9" customHeight="1" thickBot="1" x14ac:dyDescent="0.25">
      <c r="A28" s="56">
        <v>19</v>
      </c>
      <c r="B28" s="60"/>
      <c r="C28" s="79" t="s">
        <v>65</v>
      </c>
      <c r="D28" s="80" t="s">
        <v>66</v>
      </c>
      <c r="E28" s="81" t="s">
        <v>75</v>
      </c>
      <c r="F28" s="82" t="s">
        <v>68</v>
      </c>
      <c r="G28" s="83">
        <v>100</v>
      </c>
      <c r="H28" s="84">
        <v>330</v>
      </c>
      <c r="I28" s="62">
        <f t="shared" si="0"/>
        <v>33000</v>
      </c>
      <c r="J28" s="105"/>
    </row>
    <row r="29" spans="1:10" ht="31.9" customHeight="1" thickBot="1" x14ac:dyDescent="0.25">
      <c r="A29" s="56">
        <v>20</v>
      </c>
      <c r="B29" s="60"/>
      <c r="C29" s="79" t="s">
        <v>65</v>
      </c>
      <c r="D29" s="80" t="s">
        <v>66</v>
      </c>
      <c r="E29" s="81" t="s">
        <v>76</v>
      </c>
      <c r="F29" s="82" t="s">
        <v>68</v>
      </c>
      <c r="G29" s="83">
        <v>400</v>
      </c>
      <c r="H29" s="84">
        <v>130</v>
      </c>
      <c r="I29" s="62">
        <f t="shared" si="0"/>
        <v>52000</v>
      </c>
      <c r="J29" s="105"/>
    </row>
    <row r="30" spans="1:10" ht="31.9" customHeight="1" thickBot="1" x14ac:dyDescent="0.25">
      <c r="A30" s="56">
        <v>21</v>
      </c>
      <c r="B30" s="60"/>
      <c r="C30" s="79" t="s">
        <v>65</v>
      </c>
      <c r="D30" s="80" t="s">
        <v>66</v>
      </c>
      <c r="E30" s="81" t="s">
        <v>77</v>
      </c>
      <c r="F30" s="82" t="s">
        <v>68</v>
      </c>
      <c r="G30" s="83">
        <v>30</v>
      </c>
      <c r="H30" s="84">
        <v>158</v>
      </c>
      <c r="I30" s="62">
        <f t="shared" si="0"/>
        <v>4740</v>
      </c>
      <c r="J30" s="105"/>
    </row>
    <row r="31" spans="1:10" ht="31.9" customHeight="1" thickBot="1" x14ac:dyDescent="0.25">
      <c r="A31" s="56">
        <v>22</v>
      </c>
      <c r="B31" s="60"/>
      <c r="C31" s="90" t="s">
        <v>65</v>
      </c>
      <c r="D31" s="91" t="s">
        <v>66</v>
      </c>
      <c r="E31" s="88" t="s">
        <v>85</v>
      </c>
      <c r="F31" s="60" t="s">
        <v>68</v>
      </c>
      <c r="G31" s="96">
        <v>50</v>
      </c>
      <c r="H31" s="84">
        <v>160</v>
      </c>
      <c r="I31" s="62">
        <f t="shared" si="0"/>
        <v>8000</v>
      </c>
    </row>
    <row r="32" spans="1:10" ht="31.9" customHeight="1" thickBot="1" x14ac:dyDescent="0.25">
      <c r="A32" s="56">
        <v>23</v>
      </c>
      <c r="B32" s="60"/>
      <c r="C32" s="79" t="s">
        <v>65</v>
      </c>
      <c r="D32" s="80" t="s">
        <v>66</v>
      </c>
      <c r="E32" s="104" t="s">
        <v>94</v>
      </c>
      <c r="F32" s="82" t="s">
        <v>68</v>
      </c>
      <c r="G32" s="103">
        <v>4</v>
      </c>
      <c r="H32" s="99">
        <v>3906</v>
      </c>
      <c r="I32" s="62">
        <f t="shared" si="0"/>
        <v>15624</v>
      </c>
    </row>
    <row r="33" spans="1:10" ht="31.9" customHeight="1" thickBot="1" x14ac:dyDescent="0.25">
      <c r="A33" s="56">
        <v>24</v>
      </c>
      <c r="B33" s="60"/>
      <c r="C33" s="90" t="s">
        <v>65</v>
      </c>
      <c r="D33" s="91" t="s">
        <v>66</v>
      </c>
      <c r="E33" s="92" t="s">
        <v>86</v>
      </c>
      <c r="F33" s="60" t="s">
        <v>68</v>
      </c>
      <c r="G33" s="93">
        <v>30</v>
      </c>
      <c r="H33" s="84">
        <v>82</v>
      </c>
      <c r="I33" s="62">
        <f t="shared" si="0"/>
        <v>2460</v>
      </c>
    </row>
    <row r="34" spans="1:10" ht="31.9" customHeight="1" thickBot="1" x14ac:dyDescent="0.25">
      <c r="A34" s="56">
        <v>25</v>
      </c>
      <c r="B34" s="60"/>
      <c r="C34" s="79" t="s">
        <v>65</v>
      </c>
      <c r="D34" s="80" t="s">
        <v>66</v>
      </c>
      <c r="E34" s="88" t="s">
        <v>78</v>
      </c>
      <c r="F34" s="82" t="s">
        <v>68</v>
      </c>
      <c r="G34" s="89">
        <v>80</v>
      </c>
      <c r="H34" s="84">
        <v>6888</v>
      </c>
      <c r="I34" s="62">
        <f t="shared" si="0"/>
        <v>551040</v>
      </c>
      <c r="J34" s="105"/>
    </row>
    <row r="35" spans="1:10" ht="31.9" customHeight="1" thickBot="1" x14ac:dyDescent="0.25">
      <c r="A35" s="56">
        <v>26</v>
      </c>
      <c r="B35" s="60"/>
      <c r="C35" s="90" t="s">
        <v>65</v>
      </c>
      <c r="D35" s="91" t="s">
        <v>66</v>
      </c>
      <c r="E35" s="92" t="s">
        <v>87</v>
      </c>
      <c r="F35" s="60" t="s">
        <v>68</v>
      </c>
      <c r="G35" s="93">
        <v>30</v>
      </c>
      <c r="H35" s="84">
        <v>580</v>
      </c>
      <c r="I35" s="62">
        <f t="shared" si="0"/>
        <v>17400</v>
      </c>
    </row>
    <row r="36" spans="1:10" ht="13.5" thickBot="1" x14ac:dyDescent="0.25"/>
    <row r="37" spans="1:10" ht="72.75" customHeight="1" thickBot="1" x14ac:dyDescent="0.25">
      <c r="C37" s="114" t="s">
        <v>98</v>
      </c>
      <c r="D37" s="115"/>
      <c r="E37" s="115"/>
    </row>
    <row r="38" spans="1:10" ht="25.5" customHeight="1" thickBot="1" x14ac:dyDescent="0.25">
      <c r="C38" s="116" t="s">
        <v>88</v>
      </c>
      <c r="D38" s="117"/>
      <c r="E38" s="118"/>
    </row>
    <row r="39" spans="1:10" ht="24.75" customHeight="1" thickBot="1" x14ac:dyDescent="0.25">
      <c r="C39" s="116" t="s">
        <v>99</v>
      </c>
      <c r="D39" s="117"/>
      <c r="E39" s="118"/>
    </row>
    <row r="41" spans="1:10" ht="13.5" thickBot="1" x14ac:dyDescent="0.25"/>
    <row r="42" spans="1:10" x14ac:dyDescent="0.2">
      <c r="B42" s="42" t="s">
        <v>97</v>
      </c>
      <c r="C42" s="43"/>
      <c r="D42" s="43"/>
      <c r="E42" s="44"/>
    </row>
    <row r="43" spans="1:10" ht="5.25" customHeight="1" x14ac:dyDescent="0.2">
      <c r="B43" s="45"/>
      <c r="C43" s="46"/>
      <c r="D43" s="46"/>
      <c r="E43" s="47"/>
    </row>
    <row r="44" spans="1:10" x14ac:dyDescent="0.2">
      <c r="B44" s="48" t="s">
        <v>14</v>
      </c>
      <c r="C44" s="46"/>
      <c r="D44" s="46"/>
      <c r="E44" s="47"/>
    </row>
    <row r="45" spans="1:10" ht="41.25" customHeight="1" x14ac:dyDescent="0.2">
      <c r="B45" s="48"/>
      <c r="C45" s="109"/>
      <c r="D45" s="109"/>
      <c r="E45" s="109"/>
    </row>
    <row r="46" spans="1:10" x14ac:dyDescent="0.2">
      <c r="B46" s="48" t="s">
        <v>15</v>
      </c>
      <c r="C46" s="46"/>
      <c r="D46" s="46"/>
      <c r="E46" s="47"/>
    </row>
    <row r="47" spans="1:10" x14ac:dyDescent="0.2">
      <c r="B47" s="49"/>
      <c r="C47" s="112" t="s">
        <v>100</v>
      </c>
      <c r="D47" s="112"/>
      <c r="E47" s="112"/>
    </row>
    <row r="48" spans="1:10" x14ac:dyDescent="0.2">
      <c r="B48" s="49"/>
      <c r="C48" s="113"/>
      <c r="D48" s="113"/>
      <c r="E48" s="113"/>
    </row>
    <row r="49" spans="2:5" x14ac:dyDescent="0.2">
      <c r="B49" s="48" t="s">
        <v>16</v>
      </c>
      <c r="C49" s="46"/>
      <c r="D49" s="46"/>
      <c r="E49" s="47"/>
    </row>
    <row r="50" spans="2:5" ht="26.25" customHeight="1" x14ac:dyDescent="0.2">
      <c r="B50" s="49"/>
      <c r="C50" s="109"/>
      <c r="D50" s="109"/>
      <c r="E50" s="109"/>
    </row>
    <row r="51" spans="2:5" x14ac:dyDescent="0.2">
      <c r="B51" s="48" t="s">
        <v>17</v>
      </c>
      <c r="C51" s="50"/>
      <c r="D51" s="50"/>
      <c r="E51" s="51"/>
    </row>
    <row r="52" spans="2:5" ht="26.25" customHeight="1" x14ac:dyDescent="0.2">
      <c r="B52" s="49"/>
      <c r="C52" s="110" t="s">
        <v>62</v>
      </c>
      <c r="D52" s="110"/>
      <c r="E52" s="110"/>
    </row>
    <row r="53" spans="2:5" x14ac:dyDescent="0.2">
      <c r="B53" s="48" t="s">
        <v>18</v>
      </c>
      <c r="C53" s="46"/>
      <c r="D53" s="46"/>
      <c r="E53" s="47"/>
    </row>
    <row r="54" spans="2:5" ht="23.25" customHeight="1" x14ac:dyDescent="0.2">
      <c r="B54" s="48"/>
      <c r="C54" s="111"/>
      <c r="D54" s="111"/>
      <c r="E54" s="111"/>
    </row>
    <row r="55" spans="2:5" x14ac:dyDescent="0.2">
      <c r="B55" s="52"/>
      <c r="C55" s="53"/>
      <c r="D55" s="53"/>
      <c r="E55" s="54"/>
    </row>
  </sheetData>
  <sortState xmlns:xlrd2="http://schemas.microsoft.com/office/spreadsheetml/2017/richdata2" ref="B10:I43">
    <sortCondition ref="E10:E43"/>
  </sortState>
  <mergeCells count="16">
    <mergeCell ref="C50:E50"/>
    <mergeCell ref="C52:E52"/>
    <mergeCell ref="C54:E54"/>
    <mergeCell ref="A6:B6"/>
    <mergeCell ref="A7:B7"/>
    <mergeCell ref="C45:E45"/>
    <mergeCell ref="C47:E47"/>
    <mergeCell ref="C48:E48"/>
    <mergeCell ref="C37:E37"/>
    <mergeCell ref="C38:E38"/>
    <mergeCell ref="C39:E3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topLeftCell="A16" zoomScale="70" zoomScaleNormal="70" workbookViewId="0">
      <selection activeCell="Q35" sqref="Q3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19</v>
      </c>
      <c r="B1" s="119"/>
      <c r="C1" s="119"/>
      <c r="D1" s="119"/>
      <c r="E1" s="119"/>
      <c r="F1" s="119"/>
      <c r="G1" s="119"/>
      <c r="H1" s="119"/>
      <c r="I1" s="119"/>
      <c r="J1" s="3" t="s">
        <v>20</v>
      </c>
      <c r="K1" s="65" t="s">
        <v>95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53</v>
      </c>
      <c r="B3" s="120"/>
      <c r="C3" s="120"/>
      <c r="D3" s="121" t="str">
        <f>'Necesidades Trimestrales'!C4</f>
        <v>40 - Ministerio de Salud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25">
      <c r="A4" s="122" t="s">
        <v>54</v>
      </c>
      <c r="B4" s="122"/>
      <c r="C4" s="122"/>
      <c r="D4" s="121" t="str">
        <f>'Necesidades Trimestrales'!C5</f>
        <v>23 - Hospital Interzonal San Juan Bautista</v>
      </c>
      <c r="E4" s="121"/>
      <c r="F4" s="121"/>
      <c r="G4" s="121"/>
      <c r="H4" s="121"/>
      <c r="I4" s="121"/>
      <c r="J4" s="121"/>
      <c r="K4" s="121"/>
    </row>
    <row r="5" spans="1:11" ht="18.75" customHeight="1" thickBot="1" x14ac:dyDescent="0.25">
      <c r="A5" s="122" t="s">
        <v>32</v>
      </c>
      <c r="B5" s="122"/>
      <c r="C5" s="122"/>
      <c r="D5" s="121" t="s">
        <v>59</v>
      </c>
      <c r="E5" s="121"/>
      <c r="F5" s="121"/>
      <c r="G5" s="121"/>
      <c r="H5" s="121"/>
      <c r="I5" s="121"/>
      <c r="J5" s="121"/>
      <c r="K5" s="121"/>
    </row>
    <row r="6" spans="1:11" ht="16.5" customHeight="1" thickBot="1" x14ac:dyDescent="0.25">
      <c r="A6" s="120" t="s">
        <v>55</v>
      </c>
      <c r="B6" s="120"/>
      <c r="C6" s="120"/>
      <c r="D6" s="121" t="s">
        <v>60</v>
      </c>
      <c r="E6" s="121"/>
      <c r="F6" s="121"/>
      <c r="G6" s="121"/>
      <c r="H6" s="121"/>
      <c r="I6" s="121"/>
      <c r="J6" s="121"/>
      <c r="K6" s="121"/>
    </row>
    <row r="7" spans="1:11" ht="16.5" customHeight="1" x14ac:dyDescent="0.2">
      <c r="A7" s="122" t="s">
        <v>21</v>
      </c>
      <c r="B7" s="122"/>
      <c r="C7" s="122"/>
      <c r="D7" s="121" t="str">
        <f>'Necesidades Trimestrales'!C7 &amp; "° Trimestre - Año " &amp; 'Necesidades Trimestrales'!C6</f>
        <v>3° Trimestre - Año 2021</v>
      </c>
      <c r="E7" s="121"/>
      <c r="F7" s="121"/>
      <c r="G7" s="121"/>
      <c r="H7" s="121"/>
      <c r="I7" s="121"/>
      <c r="J7" s="121"/>
      <c r="K7" s="121"/>
    </row>
    <row r="8" spans="1:11" ht="16.5" customHeight="1" x14ac:dyDescent="0.2">
      <c r="A8" s="124" t="s">
        <v>22</v>
      </c>
      <c r="B8" s="124"/>
      <c r="C8" s="124"/>
      <c r="D8" s="125" t="s">
        <v>96</v>
      </c>
      <c r="E8" s="125"/>
      <c r="F8" s="125"/>
      <c r="G8" s="125"/>
      <c r="H8" s="125"/>
      <c r="I8" s="125"/>
      <c r="J8" s="125"/>
      <c r="K8" s="12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6" t="s">
        <v>23</v>
      </c>
      <c r="B10" s="127" t="s">
        <v>24</v>
      </c>
      <c r="C10" s="127" t="s">
        <v>25</v>
      </c>
      <c r="D10" s="127"/>
      <c r="E10" s="127"/>
      <c r="F10" s="127"/>
      <c r="G10" s="127"/>
      <c r="H10" s="127" t="s">
        <v>26</v>
      </c>
      <c r="I10" s="127" t="s">
        <v>27</v>
      </c>
      <c r="J10" s="127" t="s">
        <v>28</v>
      </c>
      <c r="K10" s="128" t="s">
        <v>29</v>
      </c>
    </row>
    <row r="11" spans="1:11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129" t="str">
        <f>'Necesidades Trimestrales'!E10</f>
        <v>ALLOPURINOL 300 MG COMPRIMIDO</v>
      </c>
      <c r="D12" s="129"/>
      <c r="E12" s="129"/>
      <c r="F12" s="129"/>
      <c r="G12" s="129"/>
      <c r="H12" s="67" t="s">
        <v>56</v>
      </c>
      <c r="I12" s="68" t="str">
        <f>'Necesidades Trimestrales'!F10</f>
        <v>UNIDAD</v>
      </c>
      <c r="J12" s="69">
        <f>'Necesidades Trimestrales'!H10</f>
        <v>34.9</v>
      </c>
      <c r="K12" s="70">
        <f>'Necesidades Trimestrales'!G10</f>
        <v>100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129" t="str">
        <f>'Necesidades Trimestrales'!E11</f>
        <v>ANFOTERICINA B LIPOSOMAL VIAL 50 MG</v>
      </c>
      <c r="D13" s="129"/>
      <c r="E13" s="129"/>
      <c r="F13" s="129"/>
      <c r="G13" s="129"/>
      <c r="H13" s="67" t="s">
        <v>56</v>
      </c>
      <c r="I13" s="68" t="str">
        <f>'Necesidades Trimestrales'!F11</f>
        <v>UNIDAD</v>
      </c>
      <c r="J13" s="69">
        <f>'Necesidades Trimestrales'!H11</f>
        <v>20692</v>
      </c>
      <c r="K13" s="70">
        <f>'Necesidades Trimestrales'!G11</f>
        <v>10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129" t="str">
        <f>'Necesidades Trimestrales'!E12</f>
        <v>BARIO SULFATO TIPO GASTROPAK F SUSPENSION ORAL</v>
      </c>
      <c r="D14" s="129"/>
      <c r="E14" s="129"/>
      <c r="F14" s="129"/>
      <c r="G14" s="129"/>
      <c r="H14" s="67" t="s">
        <v>56</v>
      </c>
      <c r="I14" s="68" t="str">
        <f>'Necesidades Trimestrales'!F12</f>
        <v>UNIDAD</v>
      </c>
      <c r="J14" s="69">
        <f>'Necesidades Trimestrales'!H12</f>
        <v>4735</v>
      </c>
      <c r="K14" s="70">
        <f>'Necesidades Trimestrales'!G12</f>
        <v>5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129" t="str">
        <f>'Necesidades Trimestrales'!E13</f>
        <v>BARIO SULFATO TIPO GASTROPAK F SUSPENSION PARA ENEMA</v>
      </c>
      <c r="D15" s="129"/>
      <c r="E15" s="129"/>
      <c r="F15" s="129"/>
      <c r="G15" s="129"/>
      <c r="H15" s="67" t="s">
        <v>56</v>
      </c>
      <c r="I15" s="68" t="str">
        <f>'Necesidades Trimestrales'!F13</f>
        <v>UNIDAD</v>
      </c>
      <c r="J15" s="69">
        <f>'Necesidades Trimestrales'!H13</f>
        <v>7332</v>
      </c>
      <c r="K15" s="70">
        <f>'Necesidades Trimestrales'!G13</f>
        <v>5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129" t="str">
        <f>'Necesidades Trimestrales'!E14</f>
        <v>BUPIVACAINA  0,5% C/EPINEFRINA FRASCO X 20 ML</v>
      </c>
      <c r="D16" s="129"/>
      <c r="E16" s="129"/>
      <c r="F16" s="129"/>
      <c r="G16" s="129"/>
      <c r="H16" s="67" t="s">
        <v>56</v>
      </c>
      <c r="I16" s="68" t="str">
        <f>'Necesidades Trimestrales'!F14</f>
        <v>UNIDAD</v>
      </c>
      <c r="J16" s="69">
        <f>'Necesidades Trimestrales'!H14</f>
        <v>350</v>
      </c>
      <c r="K16" s="70">
        <f>'Necesidades Trimestrales'!G14</f>
        <v>15</v>
      </c>
    </row>
    <row r="17" spans="1:11" ht="20.25" customHeight="1" thickBot="1" x14ac:dyDescent="0.25">
      <c r="A17" s="8">
        <v>6</v>
      </c>
      <c r="B17" s="66">
        <f>'Necesidades Trimestrales'!B15</f>
        <v>0</v>
      </c>
      <c r="C17" s="129" t="str">
        <f>'Necesidades Trimestrales'!E15</f>
        <v>BUPIVACAINA  0,5% S/EPINEFRINA  FRASCO X 20 ML</v>
      </c>
      <c r="D17" s="129"/>
      <c r="E17" s="129"/>
      <c r="F17" s="129"/>
      <c r="G17" s="129"/>
      <c r="H17" s="67" t="s">
        <v>56</v>
      </c>
      <c r="I17" s="68" t="str">
        <f>'Necesidades Trimestrales'!F15</f>
        <v>UNIDAD</v>
      </c>
      <c r="J17" s="69">
        <f>'Necesidades Trimestrales'!H15</f>
        <v>197.6</v>
      </c>
      <c r="K17" s="70">
        <f>'Necesidades Trimestrales'!G15</f>
        <v>20</v>
      </c>
    </row>
    <row r="18" spans="1:11" ht="20.25" customHeight="1" thickBot="1" x14ac:dyDescent="0.25">
      <c r="A18" s="8">
        <v>7</v>
      </c>
      <c r="B18" s="66">
        <f>'Necesidades Trimestrales'!B16</f>
        <v>0</v>
      </c>
      <c r="C18" s="129" t="str">
        <f>'Necesidades Trimestrales'!E16</f>
        <v>CEFALEXINA 500 MG COMPRIMIDOS</v>
      </c>
      <c r="D18" s="129"/>
      <c r="E18" s="129"/>
      <c r="F18" s="129"/>
      <c r="G18" s="129"/>
      <c r="H18" s="67" t="s">
        <v>56</v>
      </c>
      <c r="I18" s="68" t="str">
        <f>'Necesidades Trimestrales'!F16</f>
        <v>UNIDAD</v>
      </c>
      <c r="J18" s="69">
        <f>'Necesidades Trimestrales'!H16</f>
        <v>20</v>
      </c>
      <c r="K18" s="70">
        <f>'Necesidades Trimestrales'!G16</f>
        <v>900</v>
      </c>
    </row>
    <row r="19" spans="1:11" ht="20.25" customHeight="1" thickBot="1" x14ac:dyDescent="0.25">
      <c r="A19" s="8">
        <v>8</v>
      </c>
      <c r="B19" s="66">
        <f>'Necesidades Trimestrales'!B17</f>
        <v>0</v>
      </c>
      <c r="C19" s="129" t="str">
        <f>'Necesidades Trimestrales'!E17</f>
        <v>CEFALOTINA 1 GR. AMP.</v>
      </c>
      <c r="D19" s="129"/>
      <c r="E19" s="129"/>
      <c r="F19" s="129"/>
      <c r="G19" s="129"/>
      <c r="H19" s="67" t="s">
        <v>56</v>
      </c>
      <c r="I19" s="68" t="str">
        <f>'Necesidades Trimestrales'!F17</f>
        <v>UNIDAD</v>
      </c>
      <c r="J19" s="69">
        <f>'Necesidades Trimestrales'!H17</f>
        <v>218.4</v>
      </c>
      <c r="K19" s="70">
        <f>'Necesidades Trimestrales'!G17</f>
        <v>3600</v>
      </c>
    </row>
    <row r="20" spans="1:11" ht="20.25" customHeight="1" thickBot="1" x14ac:dyDescent="0.25">
      <c r="A20" s="8">
        <v>9</v>
      </c>
      <c r="B20" s="66">
        <f>'Necesidades Trimestrales'!B18</f>
        <v>0</v>
      </c>
      <c r="C20" s="129" t="str">
        <f>'Necesidades Trimestrales'!E18</f>
        <v>CIPROFLOXACINA 200 MG AMPOLLA</v>
      </c>
      <c r="D20" s="129"/>
      <c r="E20" s="129"/>
      <c r="F20" s="129"/>
      <c r="G20" s="129"/>
      <c r="H20" s="67" t="s">
        <v>56</v>
      </c>
      <c r="I20" s="68" t="str">
        <f>'Necesidades Trimestrales'!F18</f>
        <v>UNIDAD</v>
      </c>
      <c r="J20" s="69">
        <f>'Necesidades Trimestrales'!H18</f>
        <v>95</v>
      </c>
      <c r="K20" s="70">
        <f>'Necesidades Trimestrales'!G18</f>
        <v>4000</v>
      </c>
    </row>
    <row r="21" spans="1:11" ht="20.25" customHeight="1" thickBot="1" x14ac:dyDescent="0.25">
      <c r="A21" s="8">
        <v>10</v>
      </c>
      <c r="B21" s="66">
        <f>'Necesidades Trimestrales'!B19</f>
        <v>0</v>
      </c>
      <c r="C21" s="129" t="str">
        <f>'Necesidades Trimestrales'!E19</f>
        <v>CIPROFLOXACINA 500 MG COMP</v>
      </c>
      <c r="D21" s="129"/>
      <c r="E21" s="129"/>
      <c r="F21" s="129"/>
      <c r="G21" s="129"/>
      <c r="H21" s="67" t="s">
        <v>56</v>
      </c>
      <c r="I21" s="68" t="str">
        <f>'Necesidades Trimestrales'!F19</f>
        <v>UNIDAD</v>
      </c>
      <c r="J21" s="69">
        <f>'Necesidades Trimestrales'!H19</f>
        <v>10.65</v>
      </c>
      <c r="K21" s="70">
        <f>'Necesidades Trimestrales'!G19</f>
        <v>600</v>
      </c>
    </row>
    <row r="22" spans="1:11" ht="20.25" customHeight="1" thickBot="1" x14ac:dyDescent="0.25">
      <c r="A22" s="8">
        <v>11</v>
      </c>
      <c r="B22" s="66">
        <f>'Necesidades Trimestrales'!B20</f>
        <v>0</v>
      </c>
      <c r="C22" s="129" t="str">
        <f>'Necesidades Trimestrales'!E20</f>
        <v>CONTRASTE NO IONICO X 300 MG X 50 ML(IOPRAMIDA,IOVITRIDOL,IODIXANOL,IOHEXOL,IOVERSOL)</v>
      </c>
      <c r="D22" s="129"/>
      <c r="E22" s="129"/>
      <c r="F22" s="129"/>
      <c r="G22" s="129"/>
      <c r="H22" s="67" t="s">
        <v>56</v>
      </c>
      <c r="I22" s="68" t="str">
        <f>'Necesidades Trimestrales'!F20</f>
        <v>UNIDAD</v>
      </c>
      <c r="J22" s="69">
        <f>'Necesidades Trimestrales'!H20</f>
        <v>1600</v>
      </c>
      <c r="K22" s="70">
        <f>'Necesidades Trimestrales'!G20</f>
        <v>300</v>
      </c>
    </row>
    <row r="23" spans="1:11" ht="20.25" customHeight="1" thickBot="1" x14ac:dyDescent="0.25">
      <c r="A23" s="8">
        <v>12</v>
      </c>
      <c r="B23" s="66">
        <f>'Necesidades Trimestrales'!B21</f>
        <v>0</v>
      </c>
      <c r="C23" s="129" t="str">
        <f>'Necesidades Trimestrales'!E21</f>
        <v>DIATRISOATO DE DEMEGLUMINA +DIATRISOATO DE SODIO (TIPO TRIYOSOM GY/TEMISTAC) X 120 ML</v>
      </c>
      <c r="D23" s="129"/>
      <c r="E23" s="129"/>
      <c r="F23" s="129"/>
      <c r="G23" s="129"/>
      <c r="H23" s="67" t="s">
        <v>56</v>
      </c>
      <c r="I23" s="68" t="str">
        <f>'Necesidades Trimestrales'!F21</f>
        <v>UNIDAD</v>
      </c>
      <c r="J23" s="69">
        <f>'Necesidades Trimestrales'!H21</f>
        <v>2500</v>
      </c>
      <c r="K23" s="70">
        <f>'Necesidades Trimestrales'!G21</f>
        <v>90</v>
      </c>
    </row>
    <row r="24" spans="1:11" ht="20.25" customHeight="1" thickBot="1" x14ac:dyDescent="0.25">
      <c r="A24" s="8">
        <v>13</v>
      </c>
      <c r="B24" s="66">
        <f>'Necesidades Trimestrales'!B22</f>
        <v>0</v>
      </c>
      <c r="C24" s="129" t="str">
        <f>'Necesidades Trimestrales'!E22</f>
        <v xml:space="preserve">DICLOFENAC 75 MG. AMPOLLA </v>
      </c>
      <c r="D24" s="129"/>
      <c r="E24" s="129"/>
      <c r="F24" s="129"/>
      <c r="G24" s="129"/>
      <c r="H24" s="67" t="s">
        <v>56</v>
      </c>
      <c r="I24" s="68" t="str">
        <f>'Necesidades Trimestrales'!F22</f>
        <v>UNIDAD</v>
      </c>
      <c r="J24" s="69">
        <f>'Necesidades Trimestrales'!H22</f>
        <v>33</v>
      </c>
      <c r="K24" s="70">
        <f>'Necesidades Trimestrales'!G22</f>
        <v>5000</v>
      </c>
    </row>
    <row r="25" spans="1:11" ht="20.25" customHeight="1" thickBot="1" x14ac:dyDescent="0.25">
      <c r="A25" s="8">
        <v>14</v>
      </c>
      <c r="B25" s="66">
        <f>'Necesidades Trimestrales'!B23</f>
        <v>0</v>
      </c>
      <c r="C25" s="129" t="str">
        <f>'Necesidades Trimestrales'!E23</f>
        <v>DIPIRONA 1GR AMPOLLA</v>
      </c>
      <c r="D25" s="129"/>
      <c r="E25" s="129"/>
      <c r="F25" s="129"/>
      <c r="G25" s="129"/>
      <c r="H25" s="67" t="s">
        <v>56</v>
      </c>
      <c r="I25" s="68" t="str">
        <f>'Necesidades Trimestrales'!F23</f>
        <v>UNIDAD</v>
      </c>
      <c r="J25" s="69">
        <f>'Necesidades Trimestrales'!H23</f>
        <v>27.3</v>
      </c>
      <c r="K25" s="70">
        <f>'Necesidades Trimestrales'!G23</f>
        <v>2000</v>
      </c>
    </row>
    <row r="26" spans="1:11" ht="20.25" customHeight="1" thickBot="1" x14ac:dyDescent="0.25">
      <c r="A26" s="8">
        <v>15</v>
      </c>
      <c r="B26" s="66">
        <f>'Necesidades Trimestrales'!B24</f>
        <v>0</v>
      </c>
      <c r="C26" s="129" t="str">
        <f>'Necesidades Trimestrales'!E24</f>
        <v>GADOPENTETATO FRASCO X 15 ML</v>
      </c>
      <c r="D26" s="129"/>
      <c r="E26" s="129"/>
      <c r="F26" s="129"/>
      <c r="G26" s="129"/>
      <c r="H26" s="67" t="s">
        <v>56</v>
      </c>
      <c r="I26" s="68" t="str">
        <f>'Necesidades Trimestrales'!F24</f>
        <v>UNIDAD</v>
      </c>
      <c r="J26" s="69">
        <f>'Necesidades Trimestrales'!H24</f>
        <v>1600</v>
      </c>
      <c r="K26" s="70">
        <f>'Necesidades Trimestrales'!G24</f>
        <v>25</v>
      </c>
    </row>
    <row r="27" spans="1:11" ht="20.25" customHeight="1" thickBot="1" x14ac:dyDescent="0.25">
      <c r="A27" s="8">
        <v>16</v>
      </c>
      <c r="B27" s="66">
        <f>'Necesidades Trimestrales'!B25</f>
        <v>0</v>
      </c>
      <c r="C27" s="129" t="str">
        <f>'Necesidades Trimestrales'!E25</f>
        <v>INMUNOGLOBULINA HUMANA INESPECIFICA 10 GRS</v>
      </c>
      <c r="D27" s="129"/>
      <c r="E27" s="129"/>
      <c r="F27" s="129"/>
      <c r="G27" s="129"/>
      <c r="H27" s="67" t="s">
        <v>56</v>
      </c>
      <c r="I27" s="68" t="str">
        <f>'Necesidades Trimestrales'!F25</f>
        <v>UNIDAD</v>
      </c>
      <c r="J27" s="69">
        <f>'Necesidades Trimestrales'!H25</f>
        <v>89000</v>
      </c>
      <c r="K27" s="70">
        <f>'Necesidades Trimestrales'!G25</f>
        <v>30</v>
      </c>
    </row>
    <row r="28" spans="1:11" ht="20.25" customHeight="1" thickBot="1" x14ac:dyDescent="0.25">
      <c r="A28" s="8">
        <v>17</v>
      </c>
      <c r="B28" s="66">
        <f>'Necesidades Trimestrales'!B26</f>
        <v>0</v>
      </c>
      <c r="C28" s="129" t="str">
        <f>'Necesidades Trimestrales'!E26</f>
        <v>KETOROLAC 30 MG AMPOLLA</v>
      </c>
      <c r="D28" s="129"/>
      <c r="E28" s="129"/>
      <c r="F28" s="129"/>
      <c r="G28" s="129"/>
      <c r="H28" s="67" t="s">
        <v>56</v>
      </c>
      <c r="I28" s="68" t="str">
        <f>'Necesidades Trimestrales'!F26</f>
        <v>UNIDAD</v>
      </c>
      <c r="J28" s="69">
        <f>'Necesidades Trimestrales'!H26</f>
        <v>29.4</v>
      </c>
      <c r="K28" s="70">
        <f>'Necesidades Trimestrales'!G26</f>
        <v>15000</v>
      </c>
    </row>
    <row r="29" spans="1:11" ht="20.25" customHeight="1" thickBot="1" x14ac:dyDescent="0.25">
      <c r="A29" s="8">
        <v>18</v>
      </c>
      <c r="B29" s="66">
        <f>'Necesidades Trimestrales'!B27</f>
        <v>0</v>
      </c>
      <c r="C29" s="129" t="str">
        <f>'Necesidades Trimestrales'!E27</f>
        <v>LIDOCAINA 2% CON EPINEFRINA X 20 ML</v>
      </c>
      <c r="D29" s="129"/>
      <c r="E29" s="129"/>
      <c r="F29" s="129"/>
      <c r="G29" s="129"/>
      <c r="H29" s="67" t="s">
        <v>56</v>
      </c>
      <c r="I29" s="68" t="str">
        <f>'Necesidades Trimestrales'!F27</f>
        <v>UNIDAD</v>
      </c>
      <c r="J29" s="69">
        <f>'Necesidades Trimestrales'!H27</f>
        <v>280</v>
      </c>
      <c r="K29" s="70">
        <f>'Necesidades Trimestrales'!G27</f>
        <v>50</v>
      </c>
    </row>
    <row r="30" spans="1:11" ht="20.25" customHeight="1" thickBot="1" x14ac:dyDescent="0.25">
      <c r="A30" s="8">
        <v>19</v>
      </c>
      <c r="B30" s="66">
        <f>'Necesidades Trimestrales'!B28</f>
        <v>0</v>
      </c>
      <c r="C30" s="129" t="str">
        <f>'Necesidades Trimestrales'!E28</f>
        <v>LIDOCAINA 2%SIN EPINEFRINA X 20 ML</v>
      </c>
      <c r="D30" s="129"/>
      <c r="E30" s="129"/>
      <c r="F30" s="129"/>
      <c r="G30" s="129"/>
      <c r="H30" s="67" t="s">
        <v>56</v>
      </c>
      <c r="I30" s="68" t="str">
        <f>'Necesidades Trimestrales'!F28</f>
        <v>UNIDAD</v>
      </c>
      <c r="J30" s="69">
        <f>'Necesidades Trimestrales'!H28</f>
        <v>330</v>
      </c>
      <c r="K30" s="70">
        <f>'Necesidades Trimestrales'!G28</f>
        <v>100</v>
      </c>
    </row>
    <row r="31" spans="1:11" ht="20.25" customHeight="1" thickBot="1" x14ac:dyDescent="0.25">
      <c r="A31" s="8">
        <v>20</v>
      </c>
      <c r="B31" s="66">
        <f>'Necesidades Trimestrales'!B29</f>
        <v>0</v>
      </c>
      <c r="C31" s="129" t="str">
        <f>'Necesidades Trimestrales'!E29</f>
        <v>LIDOCAINA JALEA</v>
      </c>
      <c r="D31" s="129"/>
      <c r="E31" s="129"/>
      <c r="F31" s="129"/>
      <c r="G31" s="129"/>
      <c r="H31" s="67" t="s">
        <v>56</v>
      </c>
      <c r="I31" s="68" t="str">
        <f>'Necesidades Trimestrales'!F29</f>
        <v>UNIDAD</v>
      </c>
      <c r="J31" s="69">
        <f>'Necesidades Trimestrales'!H29</f>
        <v>130</v>
      </c>
      <c r="K31" s="70">
        <f>'Necesidades Trimestrales'!G29</f>
        <v>400</v>
      </c>
    </row>
    <row r="32" spans="1:11" ht="20.25" customHeight="1" thickBot="1" x14ac:dyDescent="0.25">
      <c r="A32" s="8">
        <v>21</v>
      </c>
      <c r="B32" s="66">
        <f>'Necesidades Trimestrales'!B30</f>
        <v>0</v>
      </c>
      <c r="C32" s="129" t="str">
        <f>'Necesidades Trimestrales'!E30</f>
        <v>LIDOCAINA SOLUCION TOPICA</v>
      </c>
      <c r="D32" s="129"/>
      <c r="E32" s="129"/>
      <c r="F32" s="129"/>
      <c r="G32" s="129"/>
      <c r="H32" s="67" t="s">
        <v>56</v>
      </c>
      <c r="I32" s="68" t="str">
        <f>'Necesidades Trimestrales'!F30</f>
        <v>UNIDAD</v>
      </c>
      <c r="J32" s="69">
        <f>'Necesidades Trimestrales'!H30</f>
        <v>158</v>
      </c>
      <c r="K32" s="70">
        <f>'Necesidades Trimestrales'!G30</f>
        <v>30</v>
      </c>
    </row>
    <row r="33" spans="1:1024" ht="20.25" customHeight="1" thickBot="1" x14ac:dyDescent="0.25">
      <c r="A33" s="8">
        <v>22</v>
      </c>
      <c r="B33" s="66">
        <f>'Necesidades Trimestrales'!B31</f>
        <v>0</v>
      </c>
      <c r="C33" s="129" t="str">
        <f>'Necesidades Trimestrales'!E31</f>
        <v>PENICILINA BENZATINICA 2.400.000 FCO AMPOLLA</v>
      </c>
      <c r="D33" s="129"/>
      <c r="E33" s="129"/>
      <c r="F33" s="129"/>
      <c r="G33" s="129"/>
      <c r="H33" s="67" t="s">
        <v>56</v>
      </c>
      <c r="I33" s="68" t="str">
        <f>'Necesidades Trimestrales'!F31</f>
        <v>UNIDAD</v>
      </c>
      <c r="J33" s="69">
        <f>'Necesidades Trimestrales'!H31</f>
        <v>160</v>
      </c>
      <c r="K33" s="70">
        <f>'Necesidades Trimestrales'!G31</f>
        <v>50</v>
      </c>
    </row>
    <row r="34" spans="1:1024" ht="20.25" customHeight="1" thickBot="1" x14ac:dyDescent="0.25">
      <c r="A34" s="8">
        <v>23</v>
      </c>
      <c r="B34" s="66">
        <f>'Necesidades Trimestrales'!B32</f>
        <v>0</v>
      </c>
      <c r="C34" s="129" t="str">
        <f>'Necesidades Trimestrales'!E32</f>
        <v>POLIETILENGLICOL 3350 X 4 LITROS</v>
      </c>
      <c r="D34" s="129"/>
      <c r="E34" s="129"/>
      <c r="F34" s="129"/>
      <c r="G34" s="129"/>
      <c r="H34" s="67" t="s">
        <v>56</v>
      </c>
      <c r="I34" s="68" t="str">
        <f>'Necesidades Trimestrales'!F32</f>
        <v>UNIDAD</v>
      </c>
      <c r="J34" s="69">
        <f>'Necesidades Trimestrales'!H32</f>
        <v>3906</v>
      </c>
      <c r="K34" s="70">
        <f>'Necesidades Trimestrales'!G32</f>
        <v>4</v>
      </c>
    </row>
    <row r="35" spans="1:1024" ht="20.25" customHeight="1" thickBot="1" x14ac:dyDescent="0.25">
      <c r="A35" s="8">
        <v>24</v>
      </c>
      <c r="B35" s="66">
        <f>'Necesidades Trimestrales'!B33</f>
        <v>0</v>
      </c>
      <c r="C35" s="129" t="str">
        <f>'Necesidades Trimestrales'!E33</f>
        <v xml:space="preserve">RIFAMPICINA 300 MG CAPSULAS </v>
      </c>
      <c r="D35" s="129"/>
      <c r="E35" s="129"/>
      <c r="F35" s="129"/>
      <c r="G35" s="129"/>
      <c r="H35" s="67" t="s">
        <v>56</v>
      </c>
      <c r="I35" s="68" t="str">
        <f>'Necesidades Trimestrales'!F33</f>
        <v>UNIDAD</v>
      </c>
      <c r="J35" s="69">
        <f>'Necesidades Trimestrales'!H33</f>
        <v>82</v>
      </c>
      <c r="K35" s="70">
        <f>'Necesidades Trimestrales'!G33</f>
        <v>30</v>
      </c>
    </row>
    <row r="36" spans="1:1024" ht="20.25" customHeight="1" thickBot="1" x14ac:dyDescent="0.25">
      <c r="A36" s="8">
        <v>25</v>
      </c>
      <c r="B36" s="66">
        <f>'Necesidades Trimestrales'!B34</f>
        <v>0</v>
      </c>
      <c r="C36" s="129" t="str">
        <f>'Necesidades Trimestrales'!E34</f>
        <v>SEVOFLUORANO X 250 ML TIPO ABBOTT</v>
      </c>
      <c r="D36" s="129"/>
      <c r="E36" s="129"/>
      <c r="F36" s="129"/>
      <c r="G36" s="129"/>
      <c r="H36" s="67" t="s">
        <v>56</v>
      </c>
      <c r="I36" s="68" t="str">
        <f>'Necesidades Trimestrales'!F34</f>
        <v>UNIDAD</v>
      </c>
      <c r="J36" s="69">
        <f>'Necesidades Trimestrales'!H34</f>
        <v>6888</v>
      </c>
      <c r="K36" s="70">
        <f>'Necesidades Trimestrales'!G34</f>
        <v>80</v>
      </c>
    </row>
    <row r="37" spans="1:1024" ht="20.25" customHeight="1" thickBot="1" x14ac:dyDescent="0.25">
      <c r="A37" s="8">
        <v>26</v>
      </c>
      <c r="B37" s="66">
        <f>'Necesidades Trimestrales'!B35</f>
        <v>0</v>
      </c>
      <c r="C37" s="129" t="str">
        <f>'Necesidades Trimestrales'!E35</f>
        <v>TIGECICLINA 50MG FCO AMPOLLA*</v>
      </c>
      <c r="D37" s="129"/>
      <c r="E37" s="129"/>
      <c r="F37" s="129"/>
      <c r="G37" s="129"/>
      <c r="H37" s="67" t="s">
        <v>56</v>
      </c>
      <c r="I37" s="68" t="str">
        <f>'Necesidades Trimestrales'!F35</f>
        <v>UNIDAD</v>
      </c>
      <c r="J37" s="69">
        <f>'Necesidades Trimestrales'!H35</f>
        <v>580</v>
      </c>
      <c r="K37" s="70">
        <f>'Necesidades Trimestrales'!G35</f>
        <v>30</v>
      </c>
    </row>
    <row r="38" spans="1:1024" ht="20.25" customHeight="1" thickBot="1" x14ac:dyDescent="0.25">
      <c r="A38" s="121" t="s">
        <v>101</v>
      </c>
      <c r="B38" s="121"/>
      <c r="C38" s="121"/>
      <c r="D38" s="121"/>
      <c r="E38" s="121"/>
      <c r="F38" s="121"/>
      <c r="G38" s="121"/>
      <c r="H38" s="121"/>
      <c r="I38" s="121"/>
      <c r="J38" s="123">
        <f>SUMPRODUCT(J12:J37,K12:K37)</f>
        <v>6244441</v>
      </c>
      <c r="K38" s="123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</sheetData>
  <mergeCells count="48">
    <mergeCell ref="C31:G31"/>
    <mergeCell ref="C32:G32"/>
    <mergeCell ref="C33:G33"/>
    <mergeCell ref="C34:G34"/>
    <mergeCell ref="C35:G35"/>
    <mergeCell ref="C15:G15"/>
    <mergeCell ref="A38:I38"/>
    <mergeCell ref="C16:G16"/>
    <mergeCell ref="C17:G17"/>
    <mergeCell ref="C18:G18"/>
    <mergeCell ref="C19:G19"/>
    <mergeCell ref="C20:G20"/>
    <mergeCell ref="C21:G21"/>
    <mergeCell ref="C22:G22"/>
    <mergeCell ref="C36:G36"/>
    <mergeCell ref="C37:G37"/>
    <mergeCell ref="C26:G26"/>
    <mergeCell ref="C27:G27"/>
    <mergeCell ref="C28:G28"/>
    <mergeCell ref="C29:G29"/>
    <mergeCell ref="C30:G30"/>
    <mergeCell ref="J38:K3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12:G12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7" zoomScale="130" zoomScaleNormal="130" workbookViewId="0">
      <selection activeCell="S24" sqref="S2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0" t="s">
        <v>3</v>
      </c>
      <c r="B1" s="130"/>
      <c r="C1" s="130"/>
      <c r="D1" s="131">
        <f>'Necesidades Trimestrales'!C6</f>
        <v>2021</v>
      </c>
      <c r="E1" s="131"/>
      <c r="F1" s="10"/>
      <c r="G1" s="10"/>
      <c r="H1" s="11"/>
      <c r="I1" s="11"/>
      <c r="J1" s="11"/>
      <c r="K1" s="11"/>
      <c r="L1" s="11"/>
      <c r="M1" s="11"/>
      <c r="N1" s="11"/>
      <c r="P1" s="132" t="s">
        <v>30</v>
      </c>
      <c r="Q1" s="13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2"/>
      <c r="Q2" s="132"/>
    </row>
    <row r="4" spans="1:17" s="12" customFormat="1" ht="18" customHeight="1" thickBot="1" x14ac:dyDescent="0.25">
      <c r="A4" s="133" t="s">
        <v>31</v>
      </c>
      <c r="B4" s="133"/>
      <c r="C4" s="133"/>
      <c r="D4" s="133"/>
      <c r="E4" s="133"/>
      <c r="F4" s="133"/>
      <c r="G4" s="134" t="str">
        <f>NotaPedido!D3</f>
        <v>40 - Ministerio de Salud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s="12" customFormat="1" ht="18" customHeight="1" thickBot="1" x14ac:dyDescent="0.25">
      <c r="A5" s="135" t="s">
        <v>54</v>
      </c>
      <c r="B5" s="136"/>
      <c r="C5" s="136"/>
      <c r="D5" s="136"/>
      <c r="E5" s="136"/>
      <c r="F5" s="137"/>
      <c r="G5" s="134" t="str">
        <f>NotaPedido!D4</f>
        <v>23 - Hospital Interzonal San Juan Bautista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2" customFormat="1" ht="18" customHeight="1" thickBot="1" x14ac:dyDescent="0.25">
      <c r="A6" s="135" t="s">
        <v>32</v>
      </c>
      <c r="B6" s="136"/>
      <c r="C6" s="136"/>
      <c r="D6" s="136"/>
      <c r="E6" s="136"/>
      <c r="F6" s="137"/>
      <c r="G6" s="134" t="str">
        <f>NotaPedido!D5</f>
        <v>168 - Direccion Asistencial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s="12" customFormat="1" ht="18" customHeight="1" thickBot="1" x14ac:dyDescent="0.25">
      <c r="A7" s="135" t="s">
        <v>55</v>
      </c>
      <c r="B7" s="136"/>
      <c r="C7" s="136"/>
      <c r="D7" s="136"/>
      <c r="E7" s="136"/>
      <c r="F7" s="137"/>
      <c r="G7" s="134" t="str">
        <f>NotaPedido!D6</f>
        <v>Servicio de Farmacia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25">
      <c r="A8" s="138" t="s">
        <v>33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2">
      <c r="A9" s="139" t="s">
        <v>34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"/>
      <c r="P9" s="1"/>
      <c r="Q9" s="13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063 - 2021,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1" t="s">
        <v>35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36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37</v>
      </c>
      <c r="P13" s="143"/>
      <c r="Q13" s="144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3"/>
      <c r="P14" s="143"/>
      <c r="Q14" s="144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2</v>
      </c>
      <c r="J15" s="76">
        <v>5</v>
      </c>
      <c r="K15" s="76">
        <v>2</v>
      </c>
      <c r="L15" s="74"/>
      <c r="M15" s="77">
        <v>1</v>
      </c>
      <c r="N15" s="75" t="s">
        <v>64</v>
      </c>
      <c r="O15" s="145" t="s">
        <v>61</v>
      </c>
      <c r="P15" s="145"/>
      <c r="Q15" s="23">
        <v>6244441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46"/>
      <c r="P16" s="146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47"/>
      <c r="P17" s="147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48"/>
      <c r="P18" s="14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49"/>
      <c r="P19" s="14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49"/>
      <c r="P20" s="14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55"/>
      <c r="P21" s="15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56"/>
      <c r="P22" s="156"/>
      <c r="Q22" s="37"/>
    </row>
    <row r="23" spans="1:19" ht="20.25" customHeight="1" x14ac:dyDescent="0.2">
      <c r="A23" s="157" t="s">
        <v>102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38">
        <f>SUM(Q15:Q22)</f>
        <v>6244441</v>
      </c>
    </row>
    <row r="24" spans="1:19" ht="18" customHeight="1" thickBot="1" x14ac:dyDescent="0.2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19" ht="17.25" customHeight="1" thickBot="1" x14ac:dyDescent="0.25">
      <c r="A25" s="150" t="s">
        <v>52</v>
      </c>
      <c r="B25" s="151"/>
      <c r="C25" s="151"/>
      <c r="D25" s="151"/>
      <c r="E25" s="151"/>
      <c r="F25" s="152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19" ht="18" customHeight="1" thickBot="1" x14ac:dyDescent="0.25">
      <c r="A26" s="154" t="str">
        <f>"Para la "&amp; NotaPedido!D8 &amp;" para ser destinados al " &amp; NotaPedido!D6 &amp;"  del HISJB del Ministerio de Salud."</f>
        <v>Para la Adquisición de Medicamentos p/terapia antiinfecciosa, Medios de Contraste, Analgesicos antiinflamatorios y otros  para ser destinados al Servicio de Farmacia  del HISJB del Ministerio de Salud.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 spans="1:19" ht="15" customHeight="1" x14ac:dyDescent="0.2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2021-08-12T16:36:09Z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