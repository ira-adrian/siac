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6961AF3C-A991-4D4C-B8AD-7DE28941816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NotaPedido'!$A$1:$K$13</definedName>
    <definedName name="_xlnm.Print_Area" localSheetId="2">'Autor Gastar'!$A$1:$Q$20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" i="3" l="1"/>
  <c r="O15" i="3"/>
  <c r="C12" i="2"/>
  <c r="B12" i="2"/>
  <c r="A12" i="2"/>
  <c r="K12" i="2"/>
  <c r="J12" i="2"/>
  <c r="I10" i="1"/>
  <c r="A10" i="3"/>
  <c r="I11" i="1" l="1"/>
  <c r="J13" i="2" s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<sst xmlns="http://schemas.openxmlformats.org/spreadsheetml/2006/main" count="88" uniqueCount="79">
  <si>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</si>
  <si>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</si>
  <si>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</si>
  <si>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</si>
  <si>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</si>
  <si>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</si>
  <si>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</si>
  <si>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</si>
  <si>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</si>
  <si>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</si>
  <si>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</si>
  <si>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</si>
  <si>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</si>
  <si>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</si>
  <si>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</si>
  <si>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</si>
  <si>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4.3.2-2930.61</t>
  </si>
  <si>
    <t>EQUIPO DE TRANSPORTE , TRACCION Y ELEVACION.</t>
  </si>
  <si>
    <t>4.3.2</t>
  </si>
  <si>
    <t>MOTOCICLETAS; TIPO: PATRULLERA, MOTOR: NAFTERO, POTENCIA: 23 CV, AÑO: SEGUN PLIEGO, CAJA DE VELOCIDAD: 6, CILINDRADA: 249 CM3, N° DE TIEMPOS: 4</t>
  </si>
  <si>
    <t>UNIDAD</t>
  </si>
  <si>
    <t>Especificidades Item N° 1:</t>
  </si>
  <si>
    <t>Descripción</t>
  </si>
  <si>
    <t>CARACTERÍSTICAS:  Motocicleta tipo todo terreno (Patrullera), Año: 2021.  Alimentación:  Carburador de 32 mm –TIPO MOTOR: 4t refrigerado por aire, Frenos: Delanteros a disco hidráulico  y  traseros a tambor, Neumáticos delanteros: 90/90-21 M/C (54S), Neumáticos traseros: 120/80-18 M/C (62S).  Suspensión: Delantera a horquilla telescópica, s. trasera Pro-Link/242mm. Encendido: CDI.  ----
DEBERÁ CONTAR  CON: 1).Equipamiento Policial: Estructura metálica “mata perros”; Balizas para motocicletas, compuesto por luz trasera central de 6 LED sobre cola con iluminación de 360°, diámetro de 15 a 17cm, luces delanteras dos (02), distribuidas una (01) en cada lado del manillar, mínimo 6 posiciones, destello en combinación una con otra incluyendo la trasera, Sirena para uso exterior con potencia de salida de 12V mínimo 30W, deberá poseer mínimo 5 tonos y uno de pedido de paso. Comando de luces y sirenas deberá colocarse en el manillar del lado contrario del acelerador, de luces y sirenas y un pulsador para toques cortos.  Sistema electrónico y cableado de última generación deberá incluir instalación con material, porta fusible de protección, soporte de faros y sirenas. 2) Garantía de los elementos por el término mínimo de 12 meses   3). Casco de protección homologado, color negro, tipo integral, con mentonera rebatible. 4). Ploteo de acuerdo a modelo de móvil policial. Al momento de ser entregadas deberán estar PATENTADAS a nombre de “POLICIA DE CATAMARCA”, como así también tener cobertura de seguros de responsabilidad civil contra terceros y terceros transportados por el término de sesenta  (90) días contados a partir de la recepción definitiva de los móviles.------------------------------------------------------------------------------------
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90 (noventa) días, contados a partir de la recepción definitiva de los móviles. ---------------------------------------------------</t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</si>
  <si>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</si>
  <si>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</si>
  <si>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</si>
  <si>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>Que cumpla con lo solicitado.</t>
  </si>
  <si>
    <t>Mantenimiento</t>
  </si>
  <si>
    <t>30 días</t>
  </si>
  <si>
    <t>Garantia</t>
  </si>
  <si>
    <t>GARANTÍA mínima de 3 años  o 36.000 Km lo que ocurra primero, estableciendo claramente que partes mecánicas y/o electrónicas alcanzan dicha Garantía</t>
  </si>
  <si>
    <t>NOTA DE PEDIDO</t>
  </si>
  <si>
    <t>N°</t>
  </si>
  <si>
    <t>60/2021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</si>
  <si>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</si>
  <si>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</si>
  <si>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</si>
  <si>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</si>
  <si>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</si>
  <si>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G.I.M.A.R.  D.U.E.</t>
  </si>
  <si>
    <t>PERIODO UTILIZACIÓN:</t>
  </si>
  <si>
    <t>2do trimestre Año 2021.-</t>
  </si>
  <si>
    <t>OBJETO:</t>
  </si>
  <si>
    <t>Adquisición de motocicletas destinados a Div. G.I.M.A.R.  D.U.E.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</si>
  <si>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</si>
  <si>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</si>
  <si>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</si>
  <si>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</si>
  <si>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</si>
  <si>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</si>
  <si>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</si>
  <si>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VEHICULOS P/FUERZA SEGURIDAD; TIPO: MOTOCICLETA, MOTOR: NAFTA, POTENCIA: 75 CV, AÑO: 2016, CAJA DE VELOCIDAD: 6, CILINDRADA: 798 CM3</t>
  </si>
  <si>
    <t>SI</t>
  </si>
  <si>
    <t>Costo total estimado: Pesos Trece Millones Quinientos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</si>
  <si>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</si>
  <si>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</si>
  <si>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</si>
  <si>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</si>
  <si>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</si>
  <si>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</si>
  <si>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</si>
  <si>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</si>
  <si>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</si>
  <si>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</si>
  <si>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</si>
  <si>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</si>
  <si>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</si>
  <si>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</si>
  <si>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</si>
  <si>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</si>
  <si>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</si>
  <si>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</si>
  <si>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</si>
  <si>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</si>
  <si>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</si>
  <si>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</si>
  <si>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Pesos Trece Millones Quinientos Mil con 00/100.-</t>
  </si>
  <si>
    <t>JUSTIFICACIÓN: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</si>
</sst>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sz val="9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00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1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0" fontId="6" fillId="3" borderId="33" xfId="0" applyNumberFormat="1" applyFont="1" applyFill="1" applyBorder="1"/>
    <xf numFmtId="3" fontId="14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34" xfId="0" applyFont="1" applyFill="1" applyBorder="1" applyAlignment="1">
      <alignment horizontal="center" vertical="center"/>
    </xf>
    <xf numFmtId="0" fontId="5" fillId="3" borderId="34" xfId="0" applyFont="1" applyFill="1" applyBorder="1" applyAlignment="1">
      <alignment horizontal="center" vertical="center" wrapText="1"/>
    </xf>
    <xf numFmtId="169" fontId="5" fillId="3" borderId="0" xfId="0" applyNumberFormat="1" applyFont="1" applyFill="1" applyBorder="1" applyAlignment="1">
      <alignment vertical="center"/>
    </xf>
    <xf numFmtId="0" fontId="8" fillId="4" borderId="34" xfId="0" applyFont="1" applyFill="1" applyBorder="1" applyAlignment="1">
      <alignment horizontal="center" vertical="center" wrapText="1"/>
    </xf>
    <xf numFmtId="0" fontId="20" fillId="4" borderId="34" xfId="0" applyFont="1" applyFill="1" applyBorder="1" applyAlignment="1">
      <alignment horizontal="center" vertical="center" wrapText="1"/>
    </xf>
    <xf numFmtId="170" fontId="15" fillId="4" borderId="35" xfId="1" applyNumberFormat="1" applyFont="1" applyFill="1" applyBorder="1" applyAlignment="1" applyProtection="1">
      <alignment horizontal="center" vertical="center" wrapText="1"/>
    </xf>
    <xf numFmtId="170" fontId="15" fillId="4" borderId="41" xfId="1" applyNumberFormat="1" applyFont="1" applyFill="1" applyBorder="1" applyAlignment="1" applyProtection="1">
      <alignment horizontal="center" vertical="center" wrapText="1"/>
    </xf>
    <xf numFmtId="170" fontId="15" fillId="5" borderId="37" xfId="1" applyNumberFormat="1" applyFont="1" applyFill="1" applyBorder="1" applyAlignment="1" applyProtection="1">
      <alignment horizontal="center" vertical="center" wrapText="1"/>
    </xf>
    <xf numFmtId="0" fontId="5" fillId="0" borderId="34" xfId="0" applyFont="1" applyBorder="1" applyAlignment="1">
      <alignment horizontal="left" vertical="center" wrapText="1"/>
    </xf>
    <xf numFmtId="0" fontId="9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9" fillId="0" borderId="5" xfId="0" applyFont="1" applyBorder="1" applyAlignment="1">
      <alignment horizontal="left" indent="3"/>
    </xf>
    <xf numFmtId="0" fontId="5" fillId="0" borderId="5" xfId="0" applyFont="1" applyBorder="1" applyAlignment="1">
      <alignment horizontal="left" indent="3"/>
    </xf>
    <xf numFmtId="0" fontId="5" fillId="0" borderId="0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left" indent="3"/>
    </xf>
    <xf numFmtId="0" fontId="5" fillId="0" borderId="8" xfId="0" applyFont="1" applyBorder="1"/>
    <xf numFmtId="0" fontId="5" fillId="0" borderId="9" xfId="0" applyFont="1" applyBorder="1"/>
    <xf numFmtId="0" fontId="8" fillId="3" borderId="42" xfId="0" applyFont="1" applyFill="1" applyBorder="1" applyAlignment="1">
      <alignment horizontal="center" vertical="center" wrapText="1"/>
    </xf>
    <xf numFmtId="0" fontId="15" fillId="3" borderId="43" xfId="0" applyFont="1" applyFill="1" applyBorder="1" applyAlignment="1">
      <alignment horizontal="center" vertical="center"/>
    </xf>
    <xf numFmtId="0" fontId="5" fillId="0" borderId="43" xfId="0" applyFont="1" applyBorder="1" applyAlignment="1">
      <alignment vertical="center" wrapText="1"/>
    </xf>
    <xf numFmtId="0" fontId="7" fillId="3" borderId="44" xfId="0" applyFont="1" applyFill="1" applyBorder="1" applyAlignment="1">
      <alignment horizontal="center" vertical="center" wrapText="1"/>
    </xf>
    <xf numFmtId="0" fontId="7" fillId="3" borderId="45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15" fillId="5" borderId="37" xfId="1" applyNumberFormat="1" applyFont="1" applyFill="1" applyBorder="1" applyAlignment="1" applyProtection="1">
      <alignment horizontal="center" vertical="center" wrapText="1"/>
    </xf>
    <xf numFmtId="0" fontId="15" fillId="5" borderId="38" xfId="1" applyNumberFormat="1" applyFont="1" applyFill="1" applyBorder="1" applyAlignment="1" applyProtection="1">
      <alignment horizontal="center" vertical="center" wrapText="1"/>
    </xf>
    <xf numFmtId="166" fontId="5" fillId="3" borderId="14" xfId="3" applyNumberFormat="1" applyFont="1" applyFill="1" applyBorder="1" applyAlignment="1" applyProtection="1">
      <alignment horizontal="center" vertical="center"/>
    </xf>
    <xf numFmtId="166" fontId="6" fillId="3" borderId="25" xfId="0" applyNumberFormat="1" applyFont="1" applyFill="1" applyBorder="1" applyAlignment="1">
      <alignment horizontal="center" vertical="center"/>
    </xf>
    <xf numFmtId="0" fontId="5" fillId="3" borderId="49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170" fontId="15" fillId="5" borderId="38" xfId="1" applyNumberFormat="1" applyFont="1" applyFill="1" applyBorder="1" applyAlignment="1" applyProtection="1">
      <alignment horizontal="center" vertical="center" wrapText="1"/>
    </xf>
    <xf numFmtId="0" fontId="5" fillId="0" borderId="43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wrapText="1"/>
    </xf>
    <xf numFmtId="0" fontId="5" fillId="0" borderId="6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justify" vertical="top" wrapText="1"/>
    </xf>
    <xf numFmtId="0" fontId="5" fillId="0" borderId="6" xfId="0" applyFont="1" applyFill="1" applyBorder="1" applyAlignment="1">
      <alignment horizontal="justify" vertical="top" wrapText="1"/>
    </xf>
    <xf numFmtId="0" fontId="6" fillId="0" borderId="0" xfId="0" applyFont="1" applyAlignment="1">
      <alignment horizontal="justify" vertical="top" wrapText="1"/>
    </xf>
    <xf numFmtId="0" fontId="6" fillId="0" borderId="6" xfId="0" applyFont="1" applyBorder="1" applyAlignment="1">
      <alignment horizontal="justify" vertical="top" wrapText="1"/>
    </xf>
    <xf numFmtId="0" fontId="17" fillId="3" borderId="0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19" fillId="4" borderId="0" xfId="0" applyFont="1" applyFill="1" applyBorder="1" applyAlignment="1">
      <alignment horizontal="left" wrapText="1" indent="1"/>
    </xf>
    <xf numFmtId="0" fontId="12" fillId="3" borderId="33" xfId="0" applyFont="1" applyFill="1" applyBorder="1" applyAlignment="1">
      <alignment horizontal="left" vertical="center" wrapText="1" indent="1"/>
    </xf>
    <xf numFmtId="167" fontId="12" fillId="3" borderId="14" xfId="0" applyNumberFormat="1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left" vertical="center" wrapText="1" indent="1"/>
    </xf>
    <xf numFmtId="0" fontId="12" fillId="3" borderId="36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6" xfId="0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0" fontId="15" fillId="3" borderId="48" xfId="0" applyFont="1" applyFill="1" applyBorder="1" applyAlignment="1">
      <alignment horizontal="left" vertical="center" wrapText="1"/>
    </xf>
    <xf numFmtId="0" fontId="15" fillId="3" borderId="42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0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39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16" xfId="0" applyFont="1" applyFill="1" applyBorder="1" applyAlignment="1">
      <alignment horizontal="left" vertical="center" wrapText="1"/>
    </xf>
    <xf numFmtId="0" fontId="14" fillId="3" borderId="18" xfId="0" applyFont="1" applyFill="1" applyBorder="1" applyAlignment="1">
      <alignment horizontal="left" vertical="center" wrapText="1"/>
    </xf>
    <xf numFmtId="0" fontId="14" fillId="3" borderId="17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1" xfId="0" applyFont="1" applyFill="1" applyBorder="1" applyAlignment="1">
      <alignment horizontal="left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tabSelected="1" zoomScale="90" zoomScaleNormal="90" workbookViewId="0">
      <selection activeCell="C11" sqref="C11"/>
    </sheetView>
  </sheetViews>
  <sheetFormatPr baseColWidth="10" defaultColWidth="11" defaultRowHeight="13.5" x14ac:dyDescent="0.2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4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77" t="s">
        <v>0</v>
      </c>
      <c r="C2" s="77"/>
      <c r="D2" s="77"/>
      <c r="E2" s="77"/>
      <c r="F2" s="77"/>
      <c r="G2" s="77"/>
      <c r="H2" s="77"/>
    </row>
    <row r="4" spans="1:9" ht="18" customHeight="1" x14ac:dyDescent="0.25">
      <c r="A4" s="76" t="s">
        <v>1</v>
      </c>
      <c r="B4" s="76"/>
      <c r="C4" s="78" t="s">
        <v>2</v>
      </c>
      <c r="D4" s="78"/>
      <c r="E4" s="78"/>
      <c r="F4" s="2"/>
      <c r="G4" s="5"/>
      <c r="H4" s="2"/>
    </row>
    <row r="5" spans="1:9" ht="18" customHeight="1" x14ac:dyDescent="0.25">
      <c r="A5" s="76" t="s">
        <v>3</v>
      </c>
      <c r="B5" s="76"/>
      <c r="C5" s="78" t="s">
        <v>4</v>
      </c>
      <c r="D5" s="78"/>
      <c r="E5" s="78"/>
      <c r="F5" s="2"/>
      <c r="G5" s="5"/>
      <c r="H5" s="2"/>
    </row>
    <row r="6" spans="1:9" ht="16.5" customHeight="1" x14ac:dyDescent="0.25">
      <c r="A6" s="76" t="s">
        <v>5</v>
      </c>
      <c r="B6" s="76"/>
      <c r="C6" s="6">
        <v>2021</v>
      </c>
      <c r="D6" s="7"/>
      <c r="E6" s="7"/>
      <c r="F6" s="2"/>
      <c r="G6" s="5"/>
      <c r="H6" s="2"/>
    </row>
    <row r="7" spans="1:9" ht="16.5" customHeight="1" x14ac:dyDescent="0.25">
      <c r="A7" s="76" t="s">
        <v>6</v>
      </c>
      <c r="B7" s="76"/>
      <c r="C7" s="6">
        <v>4</v>
      </c>
      <c r="D7" s="7"/>
      <c r="E7" s="7"/>
      <c r="F7" s="2"/>
      <c r="G7" s="5"/>
      <c r="H7" s="2"/>
    </row>
    <row r="8" spans="1:9" ht="14.25" thickBot="1" x14ac:dyDescent="0.3">
      <c r="B8" s="2"/>
      <c r="C8" s="5"/>
      <c r="D8" s="2"/>
      <c r="E8" s="2"/>
      <c r="F8" s="2"/>
      <c r="G8" s="5"/>
      <c r="H8" s="2"/>
    </row>
    <row r="9" spans="1:9" ht="39" thickBot="1" x14ac:dyDescent="0.3">
      <c r="A9" s="53" t="s">
        <v>7</v>
      </c>
      <c r="B9" s="54" t="s">
        <v>8</v>
      </c>
      <c r="C9" s="54" t="s">
        <v>9</v>
      </c>
      <c r="D9" s="54" t="s">
        <v>10</v>
      </c>
      <c r="E9" s="54" t="s">
        <v>11</v>
      </c>
      <c r="F9" s="54" t="s">
        <v>12</v>
      </c>
      <c r="G9" s="54" t="s">
        <v>13</v>
      </c>
      <c r="H9" s="54" t="s">
        <v>14</v>
      </c>
      <c r="I9" s="55" t="s">
        <v>15</v>
      </c>
    </row>
    <row r="10" spans="1:9" ht="33" customHeight="1" x14ac:dyDescent="0.25">
      <c r="A10" s="51">
        <v>1</v>
      </c>
      <c r="B10" s="64" t="s">
        <v>16</v>
      </c>
      <c r="C10" s="52" t="s">
        <v>17</v>
      </c>
      <c r="D10" s="50" t="s">
        <v>18</v>
      </c>
      <c r="E10" s="36" t="s">
        <v>19</v>
      </c>
      <c r="F10" s="31" t="s">
        <v>20</v>
      </c>
      <c r="G10" s="32">
        <v>5</v>
      </c>
      <c r="H10" s="33">
        <v>1089742</v>
      </c>
      <c r="I10" s="34">
        <f>H10*G10</f>
        <v>5448710</v>
      </c>
    </row>
    <row r="11" spans="1:9" ht="18.75" customHeight="1" thickBot="1" x14ac:dyDescent="0.3">
      <c r="I11" s="8">
        <f>SUM(I10:I10)</f>
        <v>5448710</v>
      </c>
    </row>
    <row r="12" spans="1:9" ht="78.75" customHeight="1" thickBot="1" x14ac:dyDescent="0.3"/>
    <row r="13" spans="1:9" x14ac:dyDescent="0.25">
      <c r="B13" s="37" t="s">
        <v>21</v>
      </c>
      <c r="C13" s="38"/>
      <c r="D13" s="38"/>
      <c r="E13" s="39"/>
    </row>
    <row r="14" spans="1:9" x14ac:dyDescent="0.25">
      <c r="B14" s="40"/>
      <c r="C14" s="41"/>
      <c r="D14" s="41"/>
      <c r="E14" s="42"/>
    </row>
    <row r="15" spans="1:9" x14ac:dyDescent="0.25">
      <c r="B15" s="43" t="s">
        <v>22</v>
      </c>
      <c r="C15" s="41"/>
      <c r="D15" s="41"/>
      <c r="E15" s="42"/>
    </row>
    <row r="16" spans="1:9" ht="327" customHeight="1" x14ac:dyDescent="0.25">
      <c r="B16" s="43"/>
      <c r="C16" s="74" t="s">
        <v>23</v>
      </c>
      <c r="D16" s="74"/>
      <c r="E16" s="75"/>
    </row>
    <row r="17" spans="2:5" x14ac:dyDescent="0.25">
      <c r="B17" s="43" t="s">
        <v>24</v>
      </c>
      <c r="C17" s="41"/>
      <c r="D17" s="41"/>
      <c r="E17" s="42"/>
    </row>
    <row r="18" spans="2:5" ht="99" customHeight="1" x14ac:dyDescent="0.25">
      <c r="B18" s="44"/>
      <c r="C18" s="65" t="s">
        <v>25</v>
      </c>
      <c r="D18" s="65"/>
      <c r="E18" s="66"/>
    </row>
    <row r="19" spans="2:5" x14ac:dyDescent="0.25">
      <c r="B19" s="44"/>
      <c r="C19" s="67"/>
      <c r="D19" s="67"/>
      <c r="E19" s="67"/>
    </row>
    <row r="20" spans="2:5" x14ac:dyDescent="0.25">
      <c r="B20" s="43" t="s">
        <v>26</v>
      </c>
      <c r="C20" s="41"/>
      <c r="D20" s="41"/>
      <c r="E20" s="42"/>
    </row>
    <row r="21" spans="2:5" ht="19.5" customHeight="1" x14ac:dyDescent="0.25">
      <c r="B21" s="44"/>
      <c r="C21" s="68" t="s">
        <v>27</v>
      </c>
      <c r="D21" s="68"/>
      <c r="E21" s="69"/>
    </row>
    <row r="22" spans="2:5" x14ac:dyDescent="0.25">
      <c r="B22" s="43" t="s">
        <v>28</v>
      </c>
      <c r="C22" s="45"/>
      <c r="D22" s="45"/>
      <c r="E22" s="46"/>
    </row>
    <row r="23" spans="2:5" x14ac:dyDescent="0.25">
      <c r="B23" s="44"/>
      <c r="C23" s="70" t="s">
        <v>29</v>
      </c>
      <c r="D23" s="70"/>
      <c r="E23" s="71"/>
    </row>
    <row r="24" spans="2:5" x14ac:dyDescent="0.25">
      <c r="B24" s="43" t="s">
        <v>30</v>
      </c>
      <c r="C24" s="41"/>
      <c r="D24" s="41"/>
      <c r="E24" s="42"/>
    </row>
    <row r="25" spans="2:5" ht="30.75" customHeight="1" x14ac:dyDescent="0.25">
      <c r="B25" s="43"/>
      <c r="C25" s="72" t="s">
        <v>31</v>
      </c>
      <c r="D25" s="72"/>
      <c r="E25" s="73"/>
    </row>
    <row r="26" spans="2:5" ht="14.25" thickBot="1" x14ac:dyDescent="0.3">
      <c r="B26" s="47"/>
      <c r="C26" s="48"/>
      <c r="D26" s="48"/>
      <c r="E26" s="49"/>
    </row>
    <row r="27" spans="2:5" x14ac:dyDescent="0.25">
      <c r="B27" s="41"/>
      <c r="C27" s="41"/>
      <c r="D27" s="41"/>
      <c r="E27" s="41"/>
    </row>
  </sheetData>
  <mergeCells count="13">
    <mergeCell ref="C16:E16"/>
    <mergeCell ref="A6:B6"/>
    <mergeCell ref="A7:B7"/>
    <mergeCell ref="B2:H2"/>
    <mergeCell ref="A4:B4"/>
    <mergeCell ref="C4:E4"/>
    <mergeCell ref="A5:B5"/>
    <mergeCell ref="C5:E5"/>
    <mergeCell ref="C18:E18"/>
    <mergeCell ref="C19:E19"/>
    <mergeCell ref="C21:E21"/>
    <mergeCell ref="C23:E23"/>
    <mergeCell ref="C25:E2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topLeftCell="A9" zoomScale="85" zoomScaleNormal="85" workbookViewId="0">
      <selection activeCell="D14" sqref="D14"/>
    </sheetView>
  </sheetViews>
  <sheetFormatPr baseColWidth="10" defaultColWidth="9.140625" defaultRowHeight="13.5" x14ac:dyDescent="0.25"/>
  <cols>
    <col min="1" max="1" width="5.42578125" style="23" customWidth="1"/>
    <col min="2" max="2" width="12.28515625" style="23" customWidth="1"/>
    <col min="3" max="3" width="14.140625" style="23" customWidth="1"/>
    <col min="4" max="4" width="26" style="23" customWidth="1"/>
    <col min="5" max="5" width="8" style="23" customWidth="1"/>
    <col min="6" max="6" width="7.85546875" style="23" customWidth="1"/>
    <col min="7" max="7" width="80.5703125" style="23" customWidth="1"/>
    <col min="8" max="8" width="8.42578125" style="23" customWidth="1"/>
    <col min="9" max="9" width="12" style="23" customWidth="1"/>
    <col min="10" max="10" width="14.28515625" style="23" customWidth="1"/>
    <col min="11" max="11" width="10.85546875" style="23" customWidth="1"/>
    <col min="12" max="14" width="5.85546875" style="23" customWidth="1"/>
    <col min="15" max="15" width="12.5703125" style="23" customWidth="1"/>
    <col min="16" max="1024" width="9.140625" style="23"/>
    <col min="1025" max="16384" width="9.140625" style="1"/>
  </cols>
  <sheetData>
    <row r="1" spans="1:1024" ht="18" customHeight="1" x14ac:dyDescent="0.25">
      <c r="A1" s="93" t="s">
        <v>32</v>
      </c>
      <c r="B1" s="93"/>
      <c r="C1" s="93"/>
      <c r="D1" s="93"/>
      <c r="E1" s="93"/>
      <c r="F1" s="93"/>
      <c r="G1" s="93"/>
      <c r="H1" s="93"/>
      <c r="I1" s="93"/>
      <c r="J1" s="21" t="s">
        <v>33</v>
      </c>
      <c r="K1" s="22" t="s">
        <v>34</v>
      </c>
    </row>
    <row r="2" spans="1:1024" ht="18.75" customHeight="1" thickBot="1" x14ac:dyDescent="0.3">
      <c r="A2" s="24"/>
      <c r="B2" s="24"/>
      <c r="C2" s="24"/>
      <c r="D2" s="25"/>
      <c r="E2" s="25"/>
      <c r="F2" s="25"/>
      <c r="G2" s="25"/>
      <c r="H2" s="25"/>
      <c r="I2" s="25"/>
      <c r="J2" s="25"/>
      <c r="K2" s="25"/>
    </row>
    <row r="3" spans="1:1024" ht="18.75" customHeight="1" thickBot="1" x14ac:dyDescent="0.3">
      <c r="A3" s="94" t="s">
        <v>35</v>
      </c>
      <c r="B3" s="94"/>
      <c r="C3" s="94"/>
      <c r="D3" s="95" t="str">
        <f>'Necesidades Trimestrales'!C4</f>
        <v>90 - Ministerio de Seguridad</v>
      </c>
      <c r="E3" s="95"/>
      <c r="F3" s="95"/>
      <c r="G3" s="95"/>
      <c r="H3" s="95"/>
      <c r="I3" s="95"/>
      <c r="J3" s="95"/>
      <c r="K3" s="95"/>
    </row>
    <row r="4" spans="1:1024" ht="18.75" customHeight="1" thickBot="1" x14ac:dyDescent="0.3">
      <c r="A4" s="96" t="s">
        <v>36</v>
      </c>
      <c r="B4" s="96"/>
      <c r="C4" s="96"/>
      <c r="D4" s="95" t="str">
        <f>'Necesidades Trimestrales'!C5</f>
        <v>7- Dirección Provincial de Administración de la Policía de la Provincia de Catamarca</v>
      </c>
      <c r="E4" s="95"/>
      <c r="F4" s="95"/>
      <c r="G4" s="95"/>
      <c r="H4" s="95"/>
      <c r="I4" s="95"/>
      <c r="J4" s="95"/>
      <c r="K4" s="95"/>
    </row>
    <row r="5" spans="1:1024" ht="18.75" customHeight="1" thickBot="1" x14ac:dyDescent="0.3">
      <c r="A5" s="96" t="s">
        <v>37</v>
      </c>
      <c r="B5" s="96"/>
      <c r="C5" s="96"/>
      <c r="D5" s="95" t="s">
        <v>38</v>
      </c>
      <c r="E5" s="95"/>
      <c r="F5" s="95"/>
      <c r="G5" s="95"/>
      <c r="H5" s="95"/>
      <c r="I5" s="95"/>
      <c r="J5" s="95"/>
      <c r="K5" s="95"/>
    </row>
    <row r="6" spans="1:1024" ht="16.5" customHeight="1" thickBot="1" x14ac:dyDescent="0.3">
      <c r="A6" s="94" t="s">
        <v>39</v>
      </c>
      <c r="B6" s="94"/>
      <c r="C6" s="94"/>
      <c r="D6" s="95" t="s">
        <v>40</v>
      </c>
      <c r="E6" s="95"/>
      <c r="F6" s="95"/>
      <c r="G6" s="95"/>
      <c r="H6" s="95"/>
      <c r="I6" s="95"/>
      <c r="J6" s="95"/>
      <c r="K6" s="95"/>
    </row>
    <row r="7" spans="1:1024" ht="16.5" customHeight="1" thickBot="1" x14ac:dyDescent="0.3">
      <c r="A7" s="96" t="s">
        <v>41</v>
      </c>
      <c r="B7" s="96"/>
      <c r="C7" s="96"/>
      <c r="D7" s="95" t="s">
        <v>42</v>
      </c>
      <c r="E7" s="95"/>
      <c r="F7" s="95"/>
      <c r="G7" s="95"/>
      <c r="H7" s="95"/>
      <c r="I7" s="95"/>
      <c r="J7" s="95"/>
      <c r="K7" s="95"/>
    </row>
    <row r="8" spans="1:1024" ht="16.5" customHeight="1" thickBot="1" x14ac:dyDescent="0.3">
      <c r="A8" s="90" t="s">
        <v>43</v>
      </c>
      <c r="B8" s="90"/>
      <c r="C8" s="90"/>
      <c r="D8" s="81" t="s">
        <v>44</v>
      </c>
      <c r="E8" s="82"/>
      <c r="F8" s="82"/>
      <c r="G8" s="82"/>
      <c r="H8" s="82"/>
      <c r="I8" s="82"/>
      <c r="J8" s="82"/>
      <c r="K8" s="83"/>
    </row>
    <row r="9" spans="1:1024" ht="18" thickBot="1" x14ac:dyDescent="0.3">
      <c r="A9" s="26"/>
      <c r="B9" s="26"/>
      <c r="C9" s="26"/>
      <c r="D9" s="27"/>
      <c r="E9" s="27"/>
      <c r="F9" s="27"/>
      <c r="G9" s="27"/>
      <c r="H9" s="27"/>
      <c r="I9" s="27"/>
      <c r="J9" s="27"/>
      <c r="K9" s="27"/>
    </row>
    <row r="10" spans="1:1024" ht="14.25" thickBot="1" x14ac:dyDescent="0.3">
      <c r="A10" s="84" t="s">
        <v>45</v>
      </c>
      <c r="B10" s="85" t="s">
        <v>46</v>
      </c>
      <c r="C10" s="86" t="s">
        <v>47</v>
      </c>
      <c r="D10" s="87"/>
      <c r="E10" s="87"/>
      <c r="F10" s="87"/>
      <c r="G10" s="88"/>
      <c r="H10" s="89" t="s">
        <v>48</v>
      </c>
      <c r="I10" s="87" t="s">
        <v>49</v>
      </c>
      <c r="J10" s="87" t="s">
        <v>50</v>
      </c>
      <c r="K10" s="88" t="s">
        <v>51</v>
      </c>
    </row>
    <row r="11" spans="1:1024" ht="14.25" thickBot="1" x14ac:dyDescent="0.3">
      <c r="A11" s="84"/>
      <c r="B11" s="85"/>
      <c r="C11" s="86"/>
      <c r="D11" s="87"/>
      <c r="E11" s="87"/>
      <c r="F11" s="87"/>
      <c r="G11" s="88"/>
      <c r="H11" s="89"/>
      <c r="I11" s="87"/>
      <c r="J11" s="87"/>
      <c r="K11" s="88"/>
    </row>
    <row r="12" spans="1:1024" ht="39" customHeight="1" x14ac:dyDescent="0.25">
      <c r="A12" s="56">
        <f>'Necesidades Trimestrales'!A10</f>
        <v>1</v>
      </c>
      <c r="B12" s="63" t="str">
        <f>'Necesidades Trimestrales'!B10</f>
        <v>4.3.2-2930.61</v>
      </c>
      <c r="C12" s="91" t="str">
        <f>'Necesidades Trimestrales'!E10</f>
        <v>MOTOCICLETAS; TIPO: PATRULLERA, MOTOR: NAFTERO, POTENCIA: 23 CV, AÑO: SEGUN PLIEGO, CAJA DE VELOCIDAD: 6, CILINDRADA: 249 CM3, N° DE TIEMPOS: 4</v>
      </c>
      <c r="D12" s="91" t="s">
        <v>52</v>
      </c>
      <c r="E12" s="91" t="s">
        <v>52</v>
      </c>
      <c r="F12" s="91" t="s">
        <v>52</v>
      </c>
      <c r="G12" s="92" t="s">
        <v>52</v>
      </c>
      <c r="H12" s="28" t="s">
        <v>53</v>
      </c>
      <c r="I12" s="29" t="s">
        <v>20</v>
      </c>
      <c r="J12" s="35">
        <f>'Necesidades Trimestrales'!H10</f>
        <v>1089742</v>
      </c>
      <c r="K12" s="57">
        <f>'Necesidades Trimestrales'!G10</f>
        <v>5</v>
      </c>
    </row>
    <row r="13" spans="1:1024" ht="15.75" thickBot="1" x14ac:dyDescent="0.3">
      <c r="A13" s="79" t="s">
        <v>54</v>
      </c>
      <c r="B13" s="79"/>
      <c r="C13" s="79"/>
      <c r="D13" s="79"/>
      <c r="E13" s="79"/>
      <c r="F13" s="79"/>
      <c r="G13" s="79"/>
      <c r="H13" s="79"/>
      <c r="I13" s="79"/>
      <c r="J13" s="80">
        <f>'Necesidades Trimestrales'!I11</f>
        <v>5448710</v>
      </c>
      <c r="K13" s="8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</row>
    <row r="14" spans="1:1024" x14ac:dyDescent="0.25">
      <c r="J14" s="30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workbookViewId="0">
      <selection activeCell="S11" sqref="S11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27" t="s">
        <v>5</v>
      </c>
      <c r="B1" s="127"/>
      <c r="C1" s="127"/>
      <c r="D1" s="128">
        <f>'Necesidades Trimestrales'!C6</f>
        <v>2021</v>
      </c>
      <c r="E1" s="128"/>
      <c r="F1" s="9"/>
      <c r="G1" s="9"/>
      <c r="H1" s="10"/>
      <c r="I1" s="10"/>
      <c r="J1" s="10"/>
      <c r="K1" s="10"/>
      <c r="L1" s="10"/>
      <c r="M1" s="10"/>
      <c r="N1" s="10"/>
      <c r="P1" s="129" t="s">
        <v>55</v>
      </c>
      <c r="Q1" s="129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29"/>
      <c r="Q2" s="129"/>
    </row>
    <row r="4" spans="1:17" ht="18" customHeight="1" thickBot="1" x14ac:dyDescent="0.35">
      <c r="A4" s="130" t="s">
        <v>56</v>
      </c>
      <c r="B4" s="130"/>
      <c r="C4" s="130"/>
      <c r="D4" s="130"/>
      <c r="E4" s="130"/>
      <c r="F4" s="130"/>
      <c r="G4" s="125" t="str">
        <f>' NotaPedido'!D3</f>
        <v>90 - Ministerio de Seguridad</v>
      </c>
      <c r="H4" s="125"/>
      <c r="I4" s="125"/>
      <c r="J4" s="125"/>
      <c r="K4" s="125"/>
      <c r="L4" s="125"/>
      <c r="M4" s="125"/>
      <c r="N4" s="125"/>
      <c r="O4" s="125"/>
      <c r="P4" s="125"/>
      <c r="Q4" s="125"/>
    </row>
    <row r="5" spans="1:17" ht="18" customHeight="1" thickBot="1" x14ac:dyDescent="0.35">
      <c r="A5" s="122" t="s">
        <v>36</v>
      </c>
      <c r="B5" s="123"/>
      <c r="C5" s="123"/>
      <c r="D5" s="123"/>
      <c r="E5" s="123"/>
      <c r="F5" s="124"/>
      <c r="G5" s="125" t="str">
        <f>' NotaPedido'!D4</f>
        <v>7- Dirección Provincial de Administración de la Policía de la Provincia de Catamarca</v>
      </c>
      <c r="H5" s="125"/>
      <c r="I5" s="125"/>
      <c r="J5" s="125"/>
      <c r="K5" s="125"/>
      <c r="L5" s="125"/>
      <c r="M5" s="125"/>
      <c r="N5" s="125"/>
      <c r="O5" s="125"/>
      <c r="P5" s="125"/>
      <c r="Q5" s="125"/>
    </row>
    <row r="6" spans="1:17" ht="18" customHeight="1" thickBot="1" x14ac:dyDescent="0.35">
      <c r="A6" s="122" t="s">
        <v>37</v>
      </c>
      <c r="B6" s="123"/>
      <c r="C6" s="123"/>
      <c r="D6" s="123"/>
      <c r="E6" s="123"/>
      <c r="F6" s="124"/>
      <c r="G6" s="125" t="str">
        <f>' NotaPedido'!D5</f>
        <v>Policía de la Provincia de Catamarca</v>
      </c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7" spans="1:17" ht="18" customHeight="1" thickBot="1" x14ac:dyDescent="0.35">
      <c r="A7" s="122" t="s">
        <v>39</v>
      </c>
      <c r="B7" s="123"/>
      <c r="C7" s="123"/>
      <c r="D7" s="123"/>
      <c r="E7" s="123"/>
      <c r="F7" s="124"/>
      <c r="G7" s="125" t="str">
        <f>' NotaPedido'!D6</f>
        <v>División G.I.M.A.R.  D.U.E.</v>
      </c>
      <c r="H7" s="125"/>
      <c r="I7" s="125"/>
      <c r="J7" s="125"/>
      <c r="K7" s="125"/>
      <c r="L7" s="125"/>
      <c r="M7" s="125"/>
      <c r="N7" s="125"/>
      <c r="O7" s="125"/>
      <c r="P7" s="125"/>
      <c r="Q7" s="125"/>
    </row>
    <row r="8" spans="1:17" ht="18" customHeight="1" thickBot="1" x14ac:dyDescent="0.3">
      <c r="A8" s="126" t="s">
        <v>57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3">
      <c r="A9" s="116" t="s">
        <v>58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3"/>
      <c r="P9" s="3"/>
      <c r="Q9" s="11"/>
    </row>
    <row r="10" spans="1:17" ht="66.75" customHeight="1" x14ac:dyDescent="0.25">
      <c r="A10" s="117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60/2021,  afectando la erogación resultante a los créditos presupuestarios aprobados a favor de esta Unidad Ejecutora, conforme al siguiente detalle: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18" t="s">
        <v>59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x14ac:dyDescent="0.25">
      <c r="A13" s="119" t="s">
        <v>60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20" t="s">
        <v>61</v>
      </c>
      <c r="P13" s="120"/>
      <c r="Q13" s="121" t="s">
        <v>62</v>
      </c>
    </row>
    <row r="14" spans="1:17" ht="15.75" customHeight="1" thickBot="1" x14ac:dyDescent="0.3">
      <c r="A14" s="16" t="s">
        <v>63</v>
      </c>
      <c r="B14" s="17" t="s">
        <v>64</v>
      </c>
      <c r="C14" s="17" t="s">
        <v>65</v>
      </c>
      <c r="D14" s="17" t="s">
        <v>66</v>
      </c>
      <c r="E14" s="17" t="s">
        <v>67</v>
      </c>
      <c r="F14" s="17" t="s">
        <v>68</v>
      </c>
      <c r="G14" s="18" t="s">
        <v>69</v>
      </c>
      <c r="H14" s="17" t="s">
        <v>70</v>
      </c>
      <c r="I14" s="17" t="s">
        <v>71</v>
      </c>
      <c r="J14" s="17" t="s">
        <v>72</v>
      </c>
      <c r="K14" s="17" t="s">
        <v>72</v>
      </c>
      <c r="L14" s="17" t="s">
        <v>73</v>
      </c>
      <c r="M14" s="19" t="s">
        <v>74</v>
      </c>
      <c r="N14" s="20" t="s">
        <v>75</v>
      </c>
      <c r="O14" s="120"/>
      <c r="P14" s="120"/>
      <c r="Q14" s="121"/>
    </row>
    <row r="15" spans="1:17" ht="34.5" customHeight="1" thickBot="1" x14ac:dyDescent="0.3">
      <c r="A15" s="60">
        <v>16</v>
      </c>
      <c r="B15" s="61">
        <v>0</v>
      </c>
      <c r="C15" s="61">
        <v>0</v>
      </c>
      <c r="D15" s="61">
        <v>1</v>
      </c>
      <c r="E15" s="61">
        <v>0</v>
      </c>
      <c r="F15" s="61">
        <v>10</v>
      </c>
      <c r="G15" s="61">
        <v>2</v>
      </c>
      <c r="H15" s="61">
        <v>1</v>
      </c>
      <c r="I15" s="61">
        <v>4</v>
      </c>
      <c r="J15" s="61">
        <v>3</v>
      </c>
      <c r="K15" s="61">
        <v>2</v>
      </c>
      <c r="L15" s="61">
        <v>0</v>
      </c>
      <c r="M15" s="62">
        <v>1</v>
      </c>
      <c r="N15" s="62" t="s">
        <v>76</v>
      </c>
      <c r="O15" s="97" t="str">
        <f>'Necesidades Trimestrales'!C10</f>
        <v>EQUIPO DE TRANSPORTE , TRACCION Y ELEVACION.</v>
      </c>
      <c r="P15" s="98"/>
      <c r="Q15" s="58">
        <f>' NotaPedido'!J13</f>
        <v>5448710</v>
      </c>
    </row>
    <row r="16" spans="1:17" ht="33" customHeight="1" thickBot="1" x14ac:dyDescent="0.3">
      <c r="A16" s="110" t="s">
        <v>77</v>
      </c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2"/>
      <c r="Q16" s="59">
        <f>Q15</f>
        <v>5448710</v>
      </c>
    </row>
    <row r="17" spans="1:17" ht="18" customHeight="1" thickBot="1" x14ac:dyDescent="0.3">
      <c r="A17" s="113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</row>
    <row r="18" spans="1:17" ht="17.25" customHeight="1" thickBot="1" x14ac:dyDescent="0.3">
      <c r="A18" s="99" t="s">
        <v>78</v>
      </c>
      <c r="B18" s="100"/>
      <c r="C18" s="100"/>
      <c r="D18" s="100"/>
      <c r="E18" s="100"/>
      <c r="F18" s="101"/>
      <c r="G18" s="102"/>
      <c r="H18" s="103"/>
      <c r="I18" s="103"/>
      <c r="J18" s="103"/>
      <c r="K18" s="103"/>
      <c r="L18" s="103"/>
      <c r="M18" s="103"/>
      <c r="N18" s="103"/>
      <c r="O18" s="103"/>
      <c r="P18" s="103"/>
      <c r="Q18" s="103"/>
    </row>
    <row r="19" spans="1:17" ht="18" customHeight="1" x14ac:dyDescent="0.25">
      <c r="A19" s="104" t="str">
        <f>' NotaPedido'!D8</f>
        <v>Adquisición de motocicletas destinados a Div. G.I.M.A.R.  D.U.E.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</row>
    <row r="20" spans="1:17" ht="15" customHeight="1" thickBo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ELIAS QUINTAR</cp:lastModifiedBy>
  <cp:revision>2</cp:revision>
  <dcterms:created xsi:type="dcterms:W3CDTF">2020-07-17T23:44:49Z</dcterms:created>
  <dcterms:modified xsi:type="dcterms:W3CDTF">2021-11-05T12:23:25Z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