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Rodolfo\Salud - combustible\"/>
    </mc:Choice>
  </mc:AlternateContent>
  <xr:revisionPtr revIDLastSave="0" documentId="13_ncr:1_{8998D939-09D5-41D2-8B16-CFF31643D0A2}" xr6:coauthVersionLast="47" xr6:coauthVersionMax="47" xr10:uidLastSave="{00000000-0000-0000-0000-000000000000}"/>
  <bookViews>
    <workbookView xWindow="5115" yWindow="3045" windowWidth="15375" windowHeight="7875" tabRatio="942" xr2:uid="{00000000-000D-0000-FFFF-FFFF00000000}"/>
  </bookViews>
  <sheets>
    <sheet name="Necesidades Trimestrales (2)" sheetId="3" r:id="rId1"/>
    <sheet name="ANEXO DE MATRICULAS Y DOMINIO" sheetId="34" r:id="rId2"/>
    <sheet name="NP DPAS" sheetId="31" r:id="rId3"/>
    <sheet name="APG DPAS" sheetId="32" r:id="rId4"/>
  </sheets>
  <definedNames>
    <definedName name="_xlnm._FilterDatabase" localSheetId="0" hidden="1">'Necesidades Trimestrales (2)'!$A$9:$AU$11</definedName>
  </definedNames>
  <calcPr calcId="181029"/>
</workbook>
</file>

<file path=xl/calcChain.xml><?xml version="1.0" encoding="utf-8"?>
<calcChain xmlns="http://schemas.openxmlformats.org/spreadsheetml/2006/main">
  <c r="J12" i="31" l="1"/>
  <c r="J13" i="31" s="1"/>
  <c r="AS11" i="3" l="1"/>
  <c r="G5" i="32" l="1"/>
  <c r="G6" i="32"/>
  <c r="G7" i="32"/>
  <c r="G4" i="32"/>
  <c r="H10" i="3" l="1"/>
  <c r="J10" i="3"/>
  <c r="Z10" i="3"/>
  <c r="AS10" i="3"/>
  <c r="AU10" i="3" s="1"/>
  <c r="A25" i="32"/>
  <c r="I12" i="31"/>
  <c r="C12" i="31"/>
  <c r="B12" i="31"/>
  <c r="P11" i="3" l="1"/>
  <c r="N11" i="3"/>
  <c r="AR11" i="3" l="1"/>
  <c r="AQ11" i="3" s="1"/>
  <c r="M13" i="31" s="1"/>
  <c r="H11" i="3" l="1"/>
  <c r="J11" i="3"/>
  <c r="Q11" i="3" l="1"/>
  <c r="X11" i="3"/>
  <c r="Z11" i="3"/>
  <c r="AB11" i="3"/>
  <c r="AD11" i="3"/>
  <c r="AF11" i="3"/>
  <c r="AH11" i="3"/>
  <c r="AL11" i="3"/>
  <c r="AN11" i="3"/>
  <c r="AP11" i="3"/>
  <c r="R11" i="3" l="1"/>
  <c r="AU11" i="3" l="1"/>
  <c r="Q15" i="32" s="1"/>
  <c r="Q22" i="32" s="1"/>
</calcChain>
</file>

<file path=xl/sharedStrings.xml><?xml version="1.0" encoding="utf-8"?>
<sst xmlns="http://schemas.openxmlformats.org/spreadsheetml/2006/main" count="671" uniqueCount="558">
  <si>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</si>
  <si>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</si>
  <si>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</si>
  <si>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</si>
  <si>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</si>
  <si>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</si>
  <si>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</si>
  <si>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</si>
  <si>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</si>
  <si>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</si>
  <si>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</si>
  <si>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</si>
  <si>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</si>
  <si>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COMBUSTIBLES Y LUBRICANTES</t>
  </si>
  <si>
    <t>40 - MINISTERIO DE SALUD</t>
  </si>
  <si>
    <t>Pedido de Necesidades Trimestrales</t>
  </si>
  <si>
    <t>CANTIDAD TOTAL</t>
  </si>
  <si>
    <t>DIR. LAB. CENTRAL</t>
  </si>
  <si>
    <t>TOTAL DE LAB CENTRAL</t>
  </si>
  <si>
    <t xml:space="preserve">BCO DE SANGRE </t>
  </si>
  <si>
    <t xml:space="preserve">TOTAL BANCO DE SANGRE </t>
  </si>
  <si>
    <t>LITROS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</si>
  <si>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</si>
  <si>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</si>
  <si>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</si>
  <si>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</si>
  <si>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</si>
  <si>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</si>
  <si>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</si>
  <si>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</si>
  <si>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</si>
  <si>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</si>
  <si>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</si>
  <si>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</si>
  <si>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</si>
  <si>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</si>
  <si>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2.5.6-798.7</t>
  </si>
  <si>
    <t xml:space="preserve">GAS EN GARRAFA, CAPACIDAD: 45 KG.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</si>
  <si>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</si>
  <si>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</si>
  <si>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</si>
  <si>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</si>
  <si>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</si>
  <si>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</si>
  <si>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</si>
  <si>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</si>
  <si>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</si>
  <si>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</si>
  <si>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</si>
  <si>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</si>
  <si>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</si>
  <si>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</si>
  <si>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2.5.6</t>
  </si>
  <si>
    <t>AREAS Y DPAS</t>
  </si>
  <si>
    <t>TOTAL DPAS</t>
  </si>
  <si>
    <t>2.5.6-793.31</t>
  </si>
  <si>
    <t>GAS OIL; PRESENTACION: POR LITRO, USO: MOTORES DIESEL,COMERCIALIZACION: GRADO 3, DESTINO: DPTO. S.F.V. DE CATAMARCA</t>
  </si>
  <si>
    <t>SEC PREV</t>
  </si>
  <si>
    <t>TOTAL SEC PREVEN</t>
  </si>
  <si>
    <t>DIR DE ADM</t>
  </si>
  <si>
    <t>TOTAL DIR ADM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</si>
  <si>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</si>
  <si>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</si>
  <si>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</si>
  <si>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</si>
  <si>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</si>
  <si>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</si>
  <si>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</si>
  <si>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</si>
  <si>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</si>
  <si>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</si>
  <si>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</si>
  <si>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</si>
  <si>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</si>
  <si>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</si>
  <si>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</si>
  <si>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</si>
  <si>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</si>
  <si>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</si>
  <si>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</si>
  <si>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</si>
  <si>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</si>
  <si>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</si>
  <si>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</si>
  <si>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</si>
  <si>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</si>
  <si>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</si>
  <si>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</si>
  <si>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</si>
  <si>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</si>
  <si>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</si>
  <si>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</si>
  <si>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</si>
  <si>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</si>
  <si>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</si>
  <si>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</si>
  <si>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</si>
  <si>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</si>
  <si>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</si>
  <si>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</si>
  <si>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</si>
  <si>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11 - DIRECCION PROVINCIAL DE ADMINISTRACION - MINISTERIO DE SALUD</t>
  </si>
  <si>
    <t>Adquisicion del  RUBRO COMBUSTIBLES</t>
  </si>
  <si>
    <t>NO</t>
  </si>
  <si>
    <t>Plazos de entrega</t>
  </si>
  <si>
    <t>Lugar de Entrega:</t>
  </si>
  <si>
    <t>Calidad Minima esperada</t>
  </si>
  <si>
    <t>Mantenimiento</t>
  </si>
  <si>
    <t>cuarenta y cinco (45) días</t>
  </si>
  <si>
    <t>476 - DIRECCION PROVINCIAL DE ASISTENCIA SANITARIA NIVEL I Y II</t>
  </si>
  <si>
    <t>DIRECCION PROVINCIAL ASISTENCIA SANITARIA NIVEL I Y II</t>
  </si>
  <si>
    <t>Area Programatica Nº1</t>
  </si>
  <si>
    <t>Vehiculo</t>
  </si>
  <si>
    <t>Dominio</t>
  </si>
  <si>
    <t>Nº de Motor</t>
  </si>
  <si>
    <t>Nº Chasis</t>
  </si>
  <si>
    <t>Año</t>
  </si>
  <si>
    <t>Renault Master - Ambulancia.-</t>
  </si>
  <si>
    <t>GEU-277</t>
  </si>
  <si>
    <t>G9UA724C030714</t>
  </si>
  <si>
    <t>93YADCUE57J787157</t>
  </si>
  <si>
    <t>Renault Master- Ambulancia.-</t>
  </si>
  <si>
    <t>GUV-922</t>
  </si>
  <si>
    <t>G9UA724C035587</t>
  </si>
  <si>
    <t>93YADCUE58J896449</t>
  </si>
  <si>
    <t>Renault Master-PH3 DCI 120 L1H2  Ambulancia.-</t>
  </si>
  <si>
    <t>KNI-753</t>
  </si>
  <si>
    <t>G9UA754C268409</t>
  </si>
  <si>
    <t>93YADCUE6CJ897389</t>
  </si>
  <si>
    <t>Ford F-100  4x2 XL PLUS 3,9 D - Ambulacia.-</t>
  </si>
  <si>
    <t>ILC-099</t>
  </si>
  <si>
    <t>9EFFF22C99B859146</t>
  </si>
  <si>
    <t>Renault Master PH3 DCI 120 L1H2 - Ambulancia.-</t>
  </si>
  <si>
    <t>LAD-136</t>
  </si>
  <si>
    <t>G9UA754C270571</t>
  </si>
  <si>
    <t>93YADCUE6CJ969873</t>
  </si>
  <si>
    <t>Fiat Ducato. Ambulancia.-</t>
  </si>
  <si>
    <t>NHW-650</t>
  </si>
  <si>
    <t>93W245G84D2112772</t>
  </si>
  <si>
    <t>Mercedez Benz Sprinter Furgon.-</t>
  </si>
  <si>
    <t>GWJ-779</t>
  </si>
  <si>
    <t>8AC90036628A984192</t>
  </si>
  <si>
    <t>Renault Master MASTER PH3 DCI 120 - Ambulancia.-</t>
  </si>
  <si>
    <t>LAD-135</t>
  </si>
  <si>
    <t>G9UA650C244170</t>
  </si>
  <si>
    <t>93YADC1E6CJ140233</t>
  </si>
  <si>
    <t>Renault Master  DCI 120 - Ambulancia.-</t>
  </si>
  <si>
    <t>GJP-880</t>
  </si>
  <si>
    <t>G9UA724C026899</t>
  </si>
  <si>
    <t>93YADCUH56J706159</t>
  </si>
  <si>
    <t>Chevrolet  S-10. Camioneta.-</t>
  </si>
  <si>
    <t>GWJ-742</t>
  </si>
  <si>
    <t>M1A304122</t>
  </si>
  <si>
    <t>9BG124AJ08C11312</t>
  </si>
  <si>
    <t>Chevrolet Zafira. Camioneta.-</t>
  </si>
  <si>
    <t>HUD-575</t>
  </si>
  <si>
    <t>1N0006130</t>
  </si>
  <si>
    <t>9BGTT75F09C131088</t>
  </si>
  <si>
    <t>Fiat Ducato Amxicargo 2,3 JTD. Ambulancia.-</t>
  </si>
  <si>
    <t>AA-842-EL</t>
  </si>
  <si>
    <t>93W245G84H2160838</t>
  </si>
  <si>
    <t>AA-842-EI</t>
  </si>
  <si>
    <t>93W245G84H2160833</t>
  </si>
  <si>
    <t>Toyota Hilux 4x4 c/s DX 2,4 TDI M/T. Ambulancia</t>
  </si>
  <si>
    <t>AA-793-NE</t>
  </si>
  <si>
    <t>2GD-0137533</t>
  </si>
  <si>
    <t>8AJFB8CB5H1550878</t>
  </si>
  <si>
    <t>AE-041-BD</t>
  </si>
  <si>
    <t>M9TB870C262154</t>
  </si>
  <si>
    <t>93YMAFESCLJ213469</t>
  </si>
  <si>
    <t>Area Programatica Nº2</t>
  </si>
  <si>
    <t>Fiat Ducato Maxi cargo 2,3 JTD Furgon. Ambulancia.-</t>
  </si>
  <si>
    <t>AA-842-EH</t>
  </si>
  <si>
    <t>93W245G84H2160832</t>
  </si>
  <si>
    <t>AA-842-EF</t>
  </si>
  <si>
    <t>93W245G84H2160831</t>
  </si>
  <si>
    <t>Fiat Ducato 2,3. Ambulancia.-</t>
  </si>
  <si>
    <t>NSE-229</t>
  </si>
  <si>
    <t>7166125</t>
  </si>
  <si>
    <t>93W245G74D2109008</t>
  </si>
  <si>
    <t xml:space="preserve">Renault Master DCI120. Ambulancia - </t>
  </si>
  <si>
    <t>GUO-325</t>
  </si>
  <si>
    <t>G9UA7240035511</t>
  </si>
  <si>
    <t>93YADCUE58J896313</t>
  </si>
  <si>
    <t>Renault Master DCI120 - Ambulancia .-</t>
  </si>
  <si>
    <t>GJS-713</t>
  </si>
  <si>
    <t>G9UA724C030282</t>
  </si>
  <si>
    <t>93YADCUE57J787718</t>
  </si>
  <si>
    <t>Fiat iveco Daily. Ambulancia.-</t>
  </si>
  <si>
    <t>S/P</t>
  </si>
  <si>
    <t>93ZC4980158318123</t>
  </si>
  <si>
    <t>Ford Ranger XLC/C  4x4 2,8. Camioneta.-</t>
  </si>
  <si>
    <t>FYK-918</t>
  </si>
  <si>
    <t>B61618215</t>
  </si>
  <si>
    <t>8AFER13FX4J326463</t>
  </si>
  <si>
    <t>Area Programatica Nº3</t>
  </si>
  <si>
    <t>Chevrolet S10  2,8 TDI - Camioneta.-</t>
  </si>
  <si>
    <t>GDD-914</t>
  </si>
  <si>
    <t>M1A282868</t>
  </si>
  <si>
    <t>9BG138AJ07C413213</t>
  </si>
  <si>
    <t>Renautl Master 2,5 D - Ambulancia.-</t>
  </si>
  <si>
    <t>GJC-299</t>
  </si>
  <si>
    <t>J9UA724C030522</t>
  </si>
  <si>
    <t>93YADCUE57J787225</t>
  </si>
  <si>
    <t>Fiat Ducato Maxi cargo 2,3. Ambulancia</t>
  </si>
  <si>
    <t>AA-702-MN</t>
  </si>
  <si>
    <t>93W245G74H2161118</t>
  </si>
  <si>
    <t>Ford Transit 2,2 L 125 T350 TA C/AA - Ambulancia.-</t>
  </si>
  <si>
    <t>MNW-258</t>
  </si>
  <si>
    <t>CYRCDTT22471</t>
  </si>
  <si>
    <t>WFOXXPTTFDTT22471</t>
  </si>
  <si>
    <t>Mercedez Benz Sprinter - Ambulancia.-</t>
  </si>
  <si>
    <t>DCA-098</t>
  </si>
  <si>
    <t>8AC690311YA537631</t>
  </si>
  <si>
    <t>Chevrolet S10  2,8 T.I- Ambulancia.-</t>
  </si>
  <si>
    <t>ESH-451</t>
  </si>
  <si>
    <t>986124AC05C410447</t>
  </si>
  <si>
    <t>Chevrolet S10 2,8 TDI SID 4x2 - Ambulancia.-</t>
  </si>
  <si>
    <t>GDD-918</t>
  </si>
  <si>
    <t>M1A282927</t>
  </si>
  <si>
    <t>9BG1384J07C413214</t>
  </si>
  <si>
    <t>Renault Master DCI 120- Ambulancia.-</t>
  </si>
  <si>
    <t>GEU-279</t>
  </si>
  <si>
    <t>G9UA724C030527</t>
  </si>
  <si>
    <t>93YADCUE7J787131</t>
  </si>
  <si>
    <t>Chevrolet S10  2,8 TDI - Ambulancia.-</t>
  </si>
  <si>
    <t>ESH-453</t>
  </si>
  <si>
    <t>9BG124ACOSC410400</t>
  </si>
  <si>
    <t>DCA-097</t>
  </si>
  <si>
    <t>632999105118976</t>
  </si>
  <si>
    <t xml:space="preserve">8AC690311 </t>
  </si>
  <si>
    <t>Ford Transit Furgon - Ambulancia.-</t>
  </si>
  <si>
    <t>MNW-259</t>
  </si>
  <si>
    <t>CYRCDTT23622</t>
  </si>
  <si>
    <t>WF0XXPTTFDTT2362</t>
  </si>
  <si>
    <t>Fiat Ducato Maxicargo 2,3 JTD. Ambulancia.-</t>
  </si>
  <si>
    <t>AA-842-EG</t>
  </si>
  <si>
    <t>93W245G84H2160827</t>
  </si>
  <si>
    <t>Renault Master. Ambulancia.-</t>
  </si>
  <si>
    <t>AD-484-QZ</t>
  </si>
  <si>
    <t>A4MH737Q004131</t>
  </si>
  <si>
    <t>8A18SRD04KL428948</t>
  </si>
  <si>
    <t>AD-939-YG</t>
  </si>
  <si>
    <t>H4MH737Q013096</t>
  </si>
  <si>
    <t>8A18SRD04LL935267</t>
  </si>
  <si>
    <t>Toyota Hilux 4x4 CS DX 2,4 TDI 6 MT- Ambulancia.-</t>
  </si>
  <si>
    <t>AE-677-LK</t>
  </si>
  <si>
    <t>2GD0900959</t>
  </si>
  <si>
    <t>8AJDB3CB5M5542258</t>
  </si>
  <si>
    <t>Area Programatica Nº5</t>
  </si>
  <si>
    <t>Fiat Ducato Ambulancia.-</t>
  </si>
  <si>
    <t>NHW-649</t>
  </si>
  <si>
    <t>93W245G84D2109862</t>
  </si>
  <si>
    <t>Ford Transit 2,2 L Ambulancia.-</t>
  </si>
  <si>
    <t>MBW-831</t>
  </si>
  <si>
    <t>CYRCCTC58021</t>
  </si>
  <si>
    <t>WF0XXPTTFCTC5802</t>
  </si>
  <si>
    <t>Toyota Hilux. Ambulancia.-</t>
  </si>
  <si>
    <t>AA-793-NF</t>
  </si>
  <si>
    <t>2GD-0106033</t>
  </si>
  <si>
    <t>8AJFB8CB2H1550532</t>
  </si>
  <si>
    <t>AA-842-EM</t>
  </si>
  <si>
    <t>93W245G84H2160779</t>
  </si>
  <si>
    <t>Iveco Daily - Ambulancia, Camion 3,5 Tn Modelo 4912-3300</t>
  </si>
  <si>
    <t>QAC-895</t>
  </si>
  <si>
    <t>37344093481</t>
  </si>
  <si>
    <t>93ZC4980158319325</t>
  </si>
  <si>
    <t>Chevrolet S10  - Ambulancia.-</t>
  </si>
  <si>
    <t>ESH-452</t>
  </si>
  <si>
    <t>40704192455</t>
  </si>
  <si>
    <t>9BG124AC05C410604</t>
  </si>
  <si>
    <t>AE-677-LJ</t>
  </si>
  <si>
    <t>2GD0875349</t>
  </si>
  <si>
    <t>8SJDB3CB2M5542069</t>
  </si>
  <si>
    <t>Area Programatica Nº6</t>
  </si>
  <si>
    <t>Renault Master 2,5 DCI Furgon corto. Ambulancia.-</t>
  </si>
  <si>
    <t>LOI-294</t>
  </si>
  <si>
    <t>69VA650C248593</t>
  </si>
  <si>
    <t>93YADCIE6DJ286241</t>
  </si>
  <si>
    <t>AA-842-EJ</t>
  </si>
  <si>
    <t>93W245G84H2160835</t>
  </si>
  <si>
    <t>AA-842-ED</t>
  </si>
  <si>
    <t>93W245G84H2160784</t>
  </si>
  <si>
    <t>Toyota Hilux 4X4 Pick-Up. Ambulancia.-</t>
  </si>
  <si>
    <t>AE-454-BB</t>
  </si>
  <si>
    <t>2GD-0753775</t>
  </si>
  <si>
    <t>8AJFB8CB9L1560130</t>
  </si>
  <si>
    <t>AE-454-BA</t>
  </si>
  <si>
    <t>2GD-0756654</t>
  </si>
  <si>
    <t>8AJFB8CB2L1560177</t>
  </si>
  <si>
    <t>Area Programatica Nº7</t>
  </si>
  <si>
    <t>Nissan Patrol - Ambulancia.-</t>
  </si>
  <si>
    <t>RD280716B</t>
  </si>
  <si>
    <t>VSKAYG260U0594208</t>
  </si>
  <si>
    <t>Ford Ranger  - Ambulancia</t>
  </si>
  <si>
    <t>MNW-255</t>
  </si>
  <si>
    <t>QW2PDJ102410</t>
  </si>
  <si>
    <t>8AFAR21J4DJ102410</t>
  </si>
  <si>
    <t>Fiat Ducato Maxi Cargo - Ambulancia</t>
  </si>
  <si>
    <t>NHW-647</t>
  </si>
  <si>
    <t>7167101</t>
  </si>
  <si>
    <t>93W245G84D1209434</t>
  </si>
  <si>
    <t>Renault Master 2,5 DCI - Ambulancia.-</t>
  </si>
  <si>
    <t>GUO-331</t>
  </si>
  <si>
    <t>G9UA724C035717</t>
  </si>
  <si>
    <t>93YADCUE58J896363</t>
  </si>
  <si>
    <t>Toyota Hilux - Ambulancia</t>
  </si>
  <si>
    <t>LBA-309</t>
  </si>
  <si>
    <t>KC5639076</t>
  </si>
  <si>
    <t>8AJCR2267C4017192</t>
  </si>
  <si>
    <t>Fiat Ducato Maxi Cargo 2,3 JPA- Ambulancia</t>
  </si>
  <si>
    <t>NYS-581</t>
  </si>
  <si>
    <t>93W245674EZ120871</t>
  </si>
  <si>
    <t>Fiat Ducato Maxi Cargo 2,3 JTD- Ambulancia</t>
  </si>
  <si>
    <t>AA-842-EB</t>
  </si>
  <si>
    <t>93W245G84H2160819</t>
  </si>
  <si>
    <t>AA-842-EC</t>
  </si>
  <si>
    <t>93W245G84H2160823</t>
  </si>
  <si>
    <t>AE-454-BC</t>
  </si>
  <si>
    <t>2GD-0754623</t>
  </si>
  <si>
    <t>8AJFB8CBXL1560170</t>
  </si>
  <si>
    <t>Peugeot Boxer Premiun 2.2 HDI 435MH 130. Ambulancia.-</t>
  </si>
  <si>
    <t>E/T</t>
  </si>
  <si>
    <t>10TRJN3381337</t>
  </si>
  <si>
    <t>VF3YDTMFBM2P20555</t>
  </si>
  <si>
    <t>Area Programatica Nº8</t>
  </si>
  <si>
    <t>Fiat Ducato Maxicargo L2B 2,3 TJ. Ambulancia.-</t>
  </si>
  <si>
    <t>NHW-648</t>
  </si>
  <si>
    <t>93W245G84D2109432</t>
  </si>
  <si>
    <t>Reanult Master  Ambulancia.-</t>
  </si>
  <si>
    <t>NXE-335</t>
  </si>
  <si>
    <t>M9TA876C016101</t>
  </si>
  <si>
    <t>93YMAFECAEJ262720</t>
  </si>
  <si>
    <t>Renault Kangoo  1,6. Camioneta-</t>
  </si>
  <si>
    <t>PEX-160</t>
  </si>
  <si>
    <t>K4MJ730Q160389</t>
  </si>
  <si>
    <t>8A1FC1315GL915416</t>
  </si>
  <si>
    <t>AA-842-EE</t>
  </si>
  <si>
    <t>7250752</t>
  </si>
  <si>
    <t>96W245G84H2160826</t>
  </si>
  <si>
    <t>Fiat Ducato Maxicargo L4H2. Ambulancia</t>
  </si>
  <si>
    <t>AD-964-PG</t>
  </si>
  <si>
    <t>F1AE3481D7279698</t>
  </si>
  <si>
    <t>3C6DFVDK9KE510986</t>
  </si>
  <si>
    <t>Area Programatica Nº9</t>
  </si>
  <si>
    <t>Ford Ranger CS 4x4 XL PLUS 2,8L D- Ambulancia.-</t>
  </si>
  <si>
    <t>FKA-420</t>
  </si>
  <si>
    <t>C35191571</t>
  </si>
  <si>
    <t>8AFER11H86J457138</t>
  </si>
  <si>
    <t>Fiat Ducato  - Ambulancia.-</t>
  </si>
  <si>
    <t>A236NZ2T16482713</t>
  </si>
  <si>
    <t>93W231F6031011212</t>
  </si>
  <si>
    <t>Fiat Ducato-Ambulancia.-</t>
  </si>
  <si>
    <t>MPH-695</t>
  </si>
  <si>
    <t>93W245G84D2102211</t>
  </si>
  <si>
    <t>Ford Transit- Ambulancia.-</t>
  </si>
  <si>
    <t>POD-622</t>
  </si>
  <si>
    <t>CY24FTD15384</t>
  </si>
  <si>
    <t>WF0BXKTTGFTD15384</t>
  </si>
  <si>
    <t>Ford Ranger  CS 4x4 XL PLUS 2,8 L D- Ambulancia.-</t>
  </si>
  <si>
    <t>FKA-417</t>
  </si>
  <si>
    <t>C35191955</t>
  </si>
  <si>
    <t>8AFER11H06J457148</t>
  </si>
  <si>
    <t>Toyota Hilux 4x4- Ambulancia.-</t>
  </si>
  <si>
    <t>AA-793-NH</t>
  </si>
  <si>
    <t>2GD0106226</t>
  </si>
  <si>
    <t>BAJFBBCB1H155</t>
  </si>
  <si>
    <t>AE-677-LI</t>
  </si>
  <si>
    <t>2GD0883798</t>
  </si>
  <si>
    <t>8AJD3CB4M5542249</t>
  </si>
  <si>
    <t>AE-414-KY</t>
  </si>
  <si>
    <t>2GD-0711512</t>
  </si>
  <si>
    <t>8AJFB8CB2L1560244</t>
  </si>
  <si>
    <t>Area Programatica Nº10</t>
  </si>
  <si>
    <t>Renault Master TDI 2,8 L1H1 - Ambulancia.-</t>
  </si>
  <si>
    <t>MPD-320</t>
  </si>
  <si>
    <t>G9UA650C26371</t>
  </si>
  <si>
    <t>93YADC1D6DJ54222</t>
  </si>
  <si>
    <t>Ford Transit 2,2 L 125 T 350. Furgon Ambulancia.-</t>
  </si>
  <si>
    <t>MBW-830</t>
  </si>
  <si>
    <t>CYRCCTC58015</t>
  </si>
  <si>
    <t>WF0XXPTTCTC58015</t>
  </si>
  <si>
    <t>M. Benz 415 CDIF3665. Ambulancia.-</t>
  </si>
  <si>
    <t>AA-683-ZG</t>
  </si>
  <si>
    <t>651955W0056914</t>
  </si>
  <si>
    <t>8ac906633ge118977</t>
  </si>
  <si>
    <t>Ford F-100  - Ambulancia.-</t>
  </si>
  <si>
    <t>5KAR20702</t>
  </si>
  <si>
    <t>8AFETNL23SJ001415</t>
  </si>
  <si>
    <t>Ford F-100  4x4. Ambulancia.-</t>
  </si>
  <si>
    <t>4025419</t>
  </si>
  <si>
    <t>9BFBTPJCXUDB0759</t>
  </si>
  <si>
    <t>Ford Ranger - Camioneta.-</t>
  </si>
  <si>
    <t>CJB-883</t>
  </si>
  <si>
    <t>C34224022</t>
  </si>
  <si>
    <t>8AFER13P97J066070</t>
  </si>
  <si>
    <t>Chevrolet S10 2,8 TL. Camioneta.-</t>
  </si>
  <si>
    <t>EHU-681</t>
  </si>
  <si>
    <t>9PGA38AC04C09415</t>
  </si>
  <si>
    <t>Renault Master L2H2 AA. Ambulancia.-</t>
  </si>
  <si>
    <t>AE-041-BC</t>
  </si>
  <si>
    <t>M9TB870C262203</t>
  </si>
  <si>
    <t>93YMAFESCLJ213466</t>
  </si>
  <si>
    <t>Area Programatica Nº11</t>
  </si>
  <si>
    <t>Toyota Hilux 4x4. Ambulancia.-</t>
  </si>
  <si>
    <t>ONU-072</t>
  </si>
  <si>
    <t>2KDA538356</t>
  </si>
  <si>
    <t>8AJDR22G7F4020209</t>
  </si>
  <si>
    <t>Ford Ranger 2 CS 4x4 XL Safety 2,2 LD. Ambulancia.-</t>
  </si>
  <si>
    <t>MBW-921</t>
  </si>
  <si>
    <t>QW2PDJ087769</t>
  </si>
  <si>
    <t>8AFAR21J5DJ087769</t>
  </si>
  <si>
    <t>Mercedez Benz Sprin 313/CDI3550 - Ambulancia.-</t>
  </si>
  <si>
    <t>HQV-792</t>
  </si>
  <si>
    <t>6119817009030</t>
  </si>
  <si>
    <t>8AC9036629E010752</t>
  </si>
  <si>
    <t>Toyota Hilux 4x2. Ambulancia.-</t>
  </si>
  <si>
    <t>OBG-976</t>
  </si>
  <si>
    <t>2KDA295631</t>
  </si>
  <si>
    <t>8AJCR3261E0017555</t>
  </si>
  <si>
    <t>FYK-920</t>
  </si>
  <si>
    <t>61198170018823</t>
  </si>
  <si>
    <t>8AC9036624A919749</t>
  </si>
  <si>
    <t>Renault Master 120 T - Ambulancia.-</t>
  </si>
  <si>
    <t>GUO-326</t>
  </si>
  <si>
    <t>G9UA724C0353</t>
  </si>
  <si>
    <t>93YADCUE58J896346</t>
  </si>
  <si>
    <t>K-009976</t>
  </si>
  <si>
    <t>LLAE17831</t>
  </si>
  <si>
    <t>KBIJLR12992</t>
  </si>
  <si>
    <t>Ford Ranger 4x4 2,8 XL Plus LD - Ambulancia.-</t>
  </si>
  <si>
    <t>FKA-416</t>
  </si>
  <si>
    <t>C35191696</t>
  </si>
  <si>
    <t>8AFER11H66J457137</t>
  </si>
  <si>
    <t>FKA-415</t>
  </si>
  <si>
    <t>FC35191569</t>
  </si>
  <si>
    <t>8AFER11H76J457146</t>
  </si>
  <si>
    <t>MBW-922</t>
  </si>
  <si>
    <t>QW2PDJ087773</t>
  </si>
  <si>
    <t>8AFAR21J7DJ087773</t>
  </si>
  <si>
    <t>K-018492</t>
  </si>
  <si>
    <t>GOAB12965</t>
  </si>
  <si>
    <t>KBIJGM04184</t>
  </si>
  <si>
    <t>8AFER11H06J457151</t>
  </si>
  <si>
    <t>9BFBTPH31/RDB43514</t>
  </si>
  <si>
    <t>Ford Ranger R Power Stoke 3,0 doble cabina. Camioneta.-</t>
  </si>
  <si>
    <t>C34263853</t>
  </si>
  <si>
    <t>8AFER13P99J198801</t>
  </si>
  <si>
    <t>AA-842-EN</t>
  </si>
  <si>
    <t>7250622</t>
  </si>
  <si>
    <t>93W245G84H2160775</t>
  </si>
  <si>
    <t>ANC-967</t>
  </si>
  <si>
    <t>RXAR188336</t>
  </si>
  <si>
    <t>8AFETNL20RJ089284</t>
  </si>
  <si>
    <t>Ford Ranger 4x4 2,8 XL doble cabina. Camioneta.-</t>
  </si>
  <si>
    <t>FYK-919</t>
  </si>
  <si>
    <t>B61617427</t>
  </si>
  <si>
    <t>8AFER13F84J325456</t>
  </si>
  <si>
    <t>Mitsubishi Doble Cabina - Camioneta.-</t>
  </si>
  <si>
    <t>4D56JB4848</t>
  </si>
  <si>
    <t>JMYJNK340WP003216</t>
  </si>
  <si>
    <t>K-009859</t>
  </si>
  <si>
    <t>RAAR16380</t>
  </si>
  <si>
    <t>KBIJHS13302</t>
  </si>
  <si>
    <t>Renault Kanggo II, Express confort 1,6 SCE. Ambulancia.-</t>
  </si>
  <si>
    <t>AC-885-QC</t>
  </si>
  <si>
    <t>H4MH737Q001009</t>
  </si>
  <si>
    <t>8A18SRD04JL333398</t>
  </si>
  <si>
    <t>AE-677-LG</t>
  </si>
  <si>
    <t>10TRJP1702135</t>
  </si>
  <si>
    <t>VF3YDTMFBM271918</t>
  </si>
  <si>
    <t>AE-262-PC</t>
  </si>
  <si>
    <t>H4MH737Q020390</t>
  </si>
  <si>
    <t>8A18SSRD04LL342980</t>
  </si>
  <si>
    <t>Area Programatica Nº12</t>
  </si>
  <si>
    <t>Toyota Hilux 4x4  - Ambulancia.-</t>
  </si>
  <si>
    <t>DCA-088</t>
  </si>
  <si>
    <t>3L4800423</t>
  </si>
  <si>
    <t>BAJ31LNA3X9102052</t>
  </si>
  <si>
    <t>Ford Ranger CS 4x4 XL 2,8 LD -Ambulancia.-</t>
  </si>
  <si>
    <t>FKA-421</t>
  </si>
  <si>
    <t>C35191968</t>
  </si>
  <si>
    <t>8AFER11H96J457147</t>
  </si>
  <si>
    <t>Ford Ranger CS 4x4 XL 2,8 LD - Ambulancia.-</t>
  </si>
  <si>
    <t>FKA-419</t>
  </si>
  <si>
    <t>C35191538</t>
  </si>
  <si>
    <t>8AFER11HX6J457139</t>
  </si>
  <si>
    <t>Renault Master R LIH2 - Ambulancia.-</t>
  </si>
  <si>
    <t>GUV-921</t>
  </si>
  <si>
    <t>G9UA724C035401</t>
  </si>
  <si>
    <t>93YADCEU58J896386</t>
  </si>
  <si>
    <t>F. Ranger DC 4x4 XL PLUS 3,0 - Camioneta.-</t>
  </si>
  <si>
    <t>JRW-547</t>
  </si>
  <si>
    <t>L1A008728</t>
  </si>
  <si>
    <t>8AFER13P3BJ390161</t>
  </si>
  <si>
    <t>NVI-344</t>
  </si>
  <si>
    <t>7163588</t>
  </si>
  <si>
    <t>93W244F74D2107660</t>
  </si>
  <si>
    <t>Fiat Ducato Maxi cargo 2,3 JTD. Ambulancia.-</t>
  </si>
  <si>
    <t>ODK-341</t>
  </si>
  <si>
    <t>7185078</t>
  </si>
  <si>
    <t>93W245G84E2119762</t>
  </si>
  <si>
    <t>Peugeot Boxer 350 MH 2,3 HDI Confort. Ambulancia.-</t>
  </si>
  <si>
    <t>OGC-878</t>
  </si>
  <si>
    <t>7196131</t>
  </si>
  <si>
    <t>936ZCXMNBE2126896</t>
  </si>
  <si>
    <t>AA-842-EA</t>
  </si>
  <si>
    <t>7252679</t>
  </si>
  <si>
    <t>93W245G84H2160841</t>
  </si>
  <si>
    <t>Toyota Hilux 4x4 C/S DX 2,4 TDI 6MT. Ambulancia</t>
  </si>
  <si>
    <t>AE-236-MM</t>
  </si>
  <si>
    <t>2GD-G153814</t>
  </si>
  <si>
    <t>8AJDB3CD7L1302720</t>
  </si>
  <si>
    <t>Fiat Ducato Maxicargo L4H2. Ambulancia.-</t>
  </si>
  <si>
    <t>AE-258-XT</t>
  </si>
  <si>
    <t>F1AE3481D7288562</t>
  </si>
  <si>
    <t>3C6DFVDK1LE129957</t>
  </si>
  <si>
    <t>AE-414-KX</t>
  </si>
  <si>
    <t>2GD-0756084</t>
  </si>
  <si>
    <t>8AJFB8CB5L1560173</t>
  </si>
  <si>
    <t>Area Programatica Nº13</t>
  </si>
  <si>
    <t>Ford F-100  4x2 ST- Ambulancia.-</t>
  </si>
  <si>
    <t>RYARL8887</t>
  </si>
  <si>
    <t>AFETNN21RJO89293</t>
  </si>
  <si>
    <t>Ford Ranger XL Plus - Ambulancia.-</t>
  </si>
  <si>
    <t>ABC-121</t>
  </si>
  <si>
    <t>C36190445</t>
  </si>
  <si>
    <t>8AFER10F56J4</t>
  </si>
  <si>
    <t>Fiat Ducato maxicargo 2,3 JTD - Ambulancia.-</t>
  </si>
  <si>
    <t>NHW-646</t>
  </si>
  <si>
    <t>93W245G84D2109591</t>
  </si>
  <si>
    <t>AA-842-EO</t>
  </si>
  <si>
    <t>93W245G84H2160825</t>
  </si>
  <si>
    <t>Area Programatica Nº14</t>
  </si>
  <si>
    <t>FKA-418</t>
  </si>
  <si>
    <t>C35191961</t>
  </si>
  <si>
    <t>Toyota Hilux 4x4 c/s. Ambulancia.-</t>
  </si>
  <si>
    <t>AA-793-NG</t>
  </si>
  <si>
    <t>2GD0137686</t>
  </si>
  <si>
    <t>8AJFB8CB3H1550880</t>
  </si>
  <si>
    <t>Ford Ranger 4x4  XL Plus 3,0 L - Ambulancia.-</t>
  </si>
  <si>
    <t>LBC-804</t>
  </si>
  <si>
    <t>L1A030321</t>
  </si>
  <si>
    <t>8AFER13P8CJ486509</t>
  </si>
  <si>
    <t>AE-414-KZ</t>
  </si>
  <si>
    <t>2GD-0711978</t>
  </si>
  <si>
    <t>8AJFB8CB0L1560257</t>
  </si>
  <si>
    <t>DIR. PROV. DE ADMINISTRACION - MS - CHACABUCO N° 169 - en el horario de 8:00hs a 12:00hs de lunes a viernes</t>
  </si>
  <si>
    <t xml:space="preserve">SE ADJUNTA ANEXO CON LOS DOMINIOS Y MATRICULA DE LOS VEHICULOS PARA LO CUAL SE SOLICITA EL COMBUSTIBLE </t>
  </si>
  <si>
    <r>
      <rPr>
        <b/>
        <sz val="11"/>
        <rFont val="Times New Roman"/>
        <family val="1"/>
      </rPr>
      <t>ITEM 1 Y 2</t>
    </r>
    <r>
      <rPr>
        <sz val="11"/>
        <rFont val="Times New Roman"/>
        <family val="1"/>
      </rPr>
      <t xml:space="preserve">    DETALLE TECNICO Y ESPECIFICACIONES</t>
    </r>
  </si>
  <si>
    <t xml:space="preserve"> 23/2021</t>
  </si>
  <si>
    <t>Autorizo la realización de los  trámites correspondientes, a fin de proveer a  este Organismo los bienes que se detallan en Nota de pedido y Entrega N° 23/2021,  afectando la erogación resultante a los créditos presupuestarios aprobados a favor de esta Unidad Ejecutora, conforme al siguiente detalle:</t>
  </si>
  <si>
    <t>4° TRIMESTRE</t>
  </si>
  <si>
    <t>Se Entregarán Fraccionado bajo la forma de vales de 2000 Lts. cada uno y cuando la cantidad adjudicada no permita la confección de dicho vale, para completar se emitirá uno por una cantidad menor hasta completar la cantidad solicitada</t>
  </si>
  <si>
    <t>CUARTO TRIMESTRE</t>
  </si>
  <si>
    <t xml:space="preserve">cinco (5) dias </t>
  </si>
  <si>
    <t>Costo total estimado: DOS MILLONES NOVECIENTOS NOVENTA Y NUEVE MIL NOVECIENTOS OCHENTA Y TRES CON 50/100.-</t>
  </si>
  <si>
    <t>TOTAL DE PESOS: DOS MILLONES NOVECIENTOS NOVENTA Y NUEVE MIL NOVECIENTOS OCHENTA Y TRES CON 50/100.-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</si>
</sst>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;[$$-2C0A]&quot; -&quot;#,##0.00"/>
    <numFmt numFmtId="168" formatCode="[$$-2C0A]\ #,##0.00"/>
    <numFmt numFmtId="169" formatCode="&quot;$&quot;\ #,##0.00"/>
    <numFmt numFmtId="170" formatCode="dd\-mm\-yy;@"/>
    <numFmt numFmtId="171" formatCode="_(\$* #,##0.00_);_(\$* \(#,##0.00\);_(\$* \-??_);_(@_)"/>
  </numFmts>
  <fonts count="3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color theme="0"/>
      <name val="Arial"/>
      <family val="2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4"/>
      <color indexed="8"/>
      <name val="Calibri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7">
    <xf numFmtId="0" fontId="0" fillId="0" borderId="0"/>
    <xf numFmtId="165" fontId="7" fillId="0" borderId="0" applyBorder="0" applyProtection="0"/>
    <xf numFmtId="0" fontId="5" fillId="0" borderId="1" applyProtection="0"/>
    <xf numFmtId="0" fontId="6" fillId="2" borderId="0" applyBorder="0" applyProtection="0"/>
    <xf numFmtId="0" fontId="13" fillId="0" borderId="0"/>
    <xf numFmtId="164" fontId="13" fillId="0" borderId="0" applyBorder="0" applyAlignment="0" applyProtection="0"/>
    <xf numFmtId="0" fontId="13" fillId="0" borderId="0"/>
    <xf numFmtId="0" fontId="13" fillId="0" borderId="0"/>
    <xf numFmtId="0" fontId="13" fillId="0" borderId="0"/>
    <xf numFmtId="0" fontId="4" fillId="0" borderId="0"/>
    <xf numFmtId="0" fontId="7" fillId="0" borderId="0"/>
    <xf numFmtId="165" fontId="7" fillId="0" borderId="0" applyBorder="0" applyProtection="0"/>
    <xf numFmtId="0" fontId="5" fillId="0" borderId="1" applyProtection="0"/>
    <xf numFmtId="0" fontId="7" fillId="0" borderId="0"/>
    <xf numFmtId="164" fontId="7" fillId="0" borderId="0" applyBorder="0" applyAlignment="0" applyProtection="0"/>
    <xf numFmtId="0" fontId="7" fillId="0" borderId="0"/>
    <xf numFmtId="0" fontId="7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5" fontId="7" fillId="0" borderId="0" applyBorder="0" applyProtection="0"/>
    <xf numFmtId="0" fontId="3" fillId="0" borderId="0"/>
    <xf numFmtId="0" fontId="3" fillId="0" borderId="0"/>
    <xf numFmtId="0" fontId="2" fillId="0" borderId="0"/>
    <xf numFmtId="171" fontId="26" fillId="0" borderId="0" applyBorder="0" applyProtection="0"/>
    <xf numFmtId="0" fontId="1" fillId="0" borderId="0"/>
  </cellStyleXfs>
  <cellXfs count="358">
    <xf numFmtId="0" fontId="0" fillId="0" borderId="0" xfId="0"/>
    <xf numFmtId="0" fontId="8" fillId="0" borderId="0" xfId="0" applyFont="1"/>
    <xf numFmtId="0" fontId="10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3" fontId="14" fillId="4" borderId="2" xfId="0" applyNumberFormat="1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wrapText="1"/>
    </xf>
    <xf numFmtId="1" fontId="8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 wrapText="1"/>
    </xf>
    <xf numFmtId="3" fontId="8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 wrapText="1"/>
    </xf>
    <xf numFmtId="3" fontId="8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vertical="center"/>
    </xf>
    <xf numFmtId="0" fontId="16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8" fontId="16" fillId="4" borderId="7" xfId="0" applyNumberFormat="1" applyFont="1" applyFill="1" applyBorder="1" applyAlignment="1">
      <alignment horizontal="center" vertical="center" wrapText="1"/>
    </xf>
    <xf numFmtId="168" fontId="8" fillId="0" borderId="0" xfId="0" applyNumberFormat="1" applyFont="1" applyAlignment="1">
      <alignment horizontal="center"/>
    </xf>
    <xf numFmtId="0" fontId="17" fillId="0" borderId="7" xfId="0" applyFont="1" applyBorder="1" applyAlignment="1">
      <alignment horizontal="center" vertical="center" wrapText="1"/>
    </xf>
    <xf numFmtId="168" fontId="16" fillId="0" borderId="7" xfId="4" applyNumberFormat="1" applyFont="1" applyBorder="1" applyAlignment="1">
      <alignment horizontal="center" vertical="center" wrapText="1"/>
    </xf>
    <xf numFmtId="3" fontId="16" fillId="0" borderId="7" xfId="4" applyNumberFormat="1" applyFont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3" fontId="16" fillId="0" borderId="7" xfId="9" applyNumberFormat="1" applyFont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 wrapText="1"/>
    </xf>
    <xf numFmtId="0" fontId="18" fillId="4" borderId="7" xfId="9" applyFont="1" applyFill="1" applyBorder="1" applyAlignment="1">
      <alignment horizontal="center" vertical="center"/>
    </xf>
    <xf numFmtId="0" fontId="18" fillId="4" borderId="7" xfId="9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/>
    </xf>
    <xf numFmtId="169" fontId="16" fillId="4" borderId="7" xfId="0" applyNumberFormat="1" applyFont="1" applyFill="1" applyBorder="1" applyAlignment="1">
      <alignment horizontal="center" vertical="center" wrapText="1"/>
    </xf>
    <xf numFmtId="1" fontId="16" fillId="4" borderId="7" xfId="0" applyNumberFormat="1" applyFont="1" applyFill="1" applyBorder="1" applyAlignment="1">
      <alignment horizontal="center" vertical="center" wrapText="1"/>
    </xf>
    <xf numFmtId="3" fontId="16" fillId="4" borderId="7" xfId="0" applyNumberFormat="1" applyFont="1" applyFill="1" applyBorder="1" applyAlignment="1">
      <alignment horizontal="center" vertical="center" wrapText="1"/>
    </xf>
    <xf numFmtId="3" fontId="16" fillId="5" borderId="7" xfId="0" applyNumberFormat="1" applyFont="1" applyFill="1" applyBorder="1" applyAlignment="1">
      <alignment horizontal="center" vertical="center" wrapText="1"/>
    </xf>
    <xf numFmtId="168" fontId="10" fillId="0" borderId="0" xfId="0" applyNumberFormat="1" applyFont="1" applyAlignment="1">
      <alignment horizontal="center" wrapText="1"/>
    </xf>
    <xf numFmtId="0" fontId="16" fillId="4" borderId="0" xfId="0" applyFont="1" applyFill="1"/>
    <xf numFmtId="0" fontId="19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169" fontId="9" fillId="0" borderId="7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68" fontId="9" fillId="0" borderId="7" xfId="0" applyNumberFormat="1" applyFont="1" applyBorder="1" applyAlignment="1">
      <alignment horizontal="center" vertical="center" wrapText="1"/>
    </xf>
    <xf numFmtId="3" fontId="9" fillId="5" borderId="7" xfId="0" applyNumberFormat="1" applyFont="1" applyFill="1" applyBorder="1" applyAlignment="1">
      <alignment horizontal="center" vertical="center" wrapText="1"/>
    </xf>
    <xf numFmtId="166" fontId="9" fillId="0" borderId="7" xfId="0" applyNumberFormat="1" applyFont="1" applyBorder="1" applyAlignment="1">
      <alignment vertical="center" wrapText="1"/>
    </xf>
    <xf numFmtId="0" fontId="14" fillId="5" borderId="7" xfId="13" applyFont="1" applyFill="1" applyBorder="1" applyAlignment="1">
      <alignment horizontal="center" vertical="center" wrapText="1"/>
    </xf>
    <xf numFmtId="0" fontId="14" fillId="5" borderId="7" xfId="13" applyFont="1" applyFill="1" applyBorder="1" applyAlignment="1">
      <alignment horizontal="center" vertical="center" wrapText="1"/>
    </xf>
    <xf numFmtId="3" fontId="14" fillId="5" borderId="7" xfId="0" applyNumberFormat="1" applyFont="1" applyFill="1" applyBorder="1" applyAlignment="1">
      <alignment horizontal="center" vertical="center" wrapText="1"/>
    </xf>
    <xf numFmtId="3" fontId="14" fillId="5" borderId="7" xfId="13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0" fontId="20" fillId="0" borderId="9" xfId="13" applyFont="1" applyBorder="1" applyAlignment="1">
      <alignment horizontal="right" vertical="center"/>
    </xf>
    <xf numFmtId="17" fontId="21" fillId="3" borderId="10" xfId="13" applyNumberFormat="1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11" xfId="13" applyFont="1" applyBorder="1" applyAlignment="1">
      <alignment vertical="center"/>
    </xf>
    <xf numFmtId="0" fontId="20" fillId="0" borderId="0" xfId="13" applyFont="1" applyBorder="1" applyAlignment="1">
      <alignment vertical="center"/>
    </xf>
    <xf numFmtId="0" fontId="21" fillId="0" borderId="13" xfId="13" applyFont="1" applyBorder="1" applyAlignment="1">
      <alignment vertical="center"/>
    </xf>
    <xf numFmtId="0" fontId="21" fillId="0" borderId="14" xfId="13" applyFont="1" applyBorder="1" applyAlignment="1">
      <alignment vertical="center"/>
    </xf>
    <xf numFmtId="0" fontId="21" fillId="0" borderId="15" xfId="13" applyFont="1" applyBorder="1" applyAlignment="1">
      <alignment vertical="center"/>
    </xf>
    <xf numFmtId="0" fontId="21" fillId="0" borderId="14" xfId="13" applyFont="1" applyBorder="1" applyAlignment="1">
      <alignment vertical="center" wrapText="1"/>
    </xf>
    <xf numFmtId="0" fontId="21" fillId="0" borderId="15" xfId="13" applyFont="1" applyBorder="1" applyAlignment="1">
      <alignment vertical="center" wrapText="1"/>
    </xf>
    <xf numFmtId="0" fontId="23" fillId="0" borderId="0" xfId="13" applyFont="1" applyBorder="1" applyAlignment="1">
      <alignment horizontal="left" vertical="center"/>
    </xf>
    <xf numFmtId="0" fontId="21" fillId="0" borderId="0" xfId="13" applyFont="1" applyBorder="1" applyAlignment="1">
      <alignment horizontal="left" vertical="center" wrapText="1" indent="1"/>
    </xf>
    <xf numFmtId="3" fontId="7" fillId="4" borderId="22" xfId="13" applyNumberFormat="1" applyFont="1" applyFill="1" applyBorder="1" applyAlignment="1">
      <alignment horizontal="center" vertical="center"/>
    </xf>
    <xf numFmtId="3" fontId="29" fillId="0" borderId="0" xfId="13" applyNumberFormat="1" applyFont="1" applyBorder="1" applyAlignment="1"/>
    <xf numFmtId="170" fontId="7" fillId="0" borderId="0" xfId="13" applyNumberFormat="1" applyAlignment="1">
      <alignment horizontal="left"/>
    </xf>
    <xf numFmtId="0" fontId="7" fillId="0" borderId="0" xfId="13"/>
    <xf numFmtId="0" fontId="7" fillId="0" borderId="0" xfId="13" applyAlignment="1">
      <alignment horizontal="left"/>
    </xf>
    <xf numFmtId="0" fontId="31" fillId="4" borderId="12" xfId="13" applyFont="1" applyFill="1" applyBorder="1" applyAlignment="1">
      <alignment vertical="center"/>
    </xf>
    <xf numFmtId="0" fontId="31" fillId="4" borderId="31" xfId="13" applyFont="1" applyFill="1" applyBorder="1" applyAlignment="1">
      <alignment vertical="center"/>
    </xf>
    <xf numFmtId="0" fontId="31" fillId="4" borderId="32" xfId="13" applyFont="1" applyFill="1" applyBorder="1" applyAlignment="1">
      <alignment vertical="center"/>
    </xf>
    <xf numFmtId="0" fontId="7" fillId="0" borderId="0" xfId="13" applyBorder="1"/>
    <xf numFmtId="0" fontId="7" fillId="0" borderId="9" xfId="13" applyBorder="1"/>
    <xf numFmtId="0" fontId="7" fillId="0" borderId="34" xfId="13" applyBorder="1"/>
    <xf numFmtId="0" fontId="7" fillId="0" borderId="11" xfId="13" applyBorder="1"/>
    <xf numFmtId="0" fontId="7" fillId="0" borderId="11" xfId="13" applyBorder="1" applyAlignment="1">
      <alignment horizontal="left"/>
    </xf>
    <xf numFmtId="0" fontId="7" fillId="0" borderId="35" xfId="13" applyBorder="1"/>
    <xf numFmtId="0" fontId="33" fillId="0" borderId="38" xfId="13" applyFont="1" applyBorder="1" applyAlignment="1">
      <alignment horizontal="center" vertical="center"/>
    </xf>
    <xf numFmtId="0" fontId="33" fillId="0" borderId="39" xfId="13" applyFont="1" applyBorder="1" applyAlignment="1">
      <alignment horizontal="center" vertical="center"/>
    </xf>
    <xf numFmtId="0" fontId="33" fillId="0" borderId="39" xfId="13" applyFont="1" applyBorder="1" applyAlignment="1">
      <alignment horizontal="left" vertical="center"/>
    </xf>
    <xf numFmtId="0" fontId="33" fillId="0" borderId="40" xfId="13" applyFont="1" applyBorder="1" applyAlignment="1">
      <alignment horizontal="center" vertical="center"/>
    </xf>
    <xf numFmtId="0" fontId="33" fillId="0" borderId="41" xfId="13" applyFont="1" applyBorder="1" applyAlignment="1">
      <alignment horizontal="center" vertical="center"/>
    </xf>
    <xf numFmtId="0" fontId="7" fillId="3" borderId="42" xfId="13" applyFont="1" applyFill="1" applyBorder="1" applyAlignment="1">
      <alignment horizontal="center" vertical="center"/>
    </xf>
    <xf numFmtId="0" fontId="7" fillId="3" borderId="43" xfId="13" applyFont="1" applyFill="1" applyBorder="1" applyAlignment="1">
      <alignment horizontal="center" vertical="center"/>
    </xf>
    <xf numFmtId="0" fontId="7" fillId="0" borderId="43" xfId="13" applyFont="1" applyBorder="1" applyAlignment="1">
      <alignment horizontal="center" vertical="center"/>
    </xf>
    <xf numFmtId="0" fontId="7" fillId="3" borderId="44" xfId="13" applyFont="1" applyFill="1" applyBorder="1" applyAlignment="1">
      <alignment horizontal="center" vertical="center"/>
    </xf>
    <xf numFmtId="0" fontId="7" fillId="3" borderId="43" xfId="13" applyFill="1" applyBorder="1" applyAlignment="1">
      <alignment horizontal="center" vertical="center"/>
    </xf>
    <xf numFmtId="167" fontId="0" fillId="0" borderId="45" xfId="25" applyNumberFormat="1" applyFont="1" applyBorder="1" applyAlignment="1" applyProtection="1">
      <alignment horizontal="center" vertical="center"/>
    </xf>
    <xf numFmtId="0" fontId="7" fillId="0" borderId="46" xfId="13" applyFont="1" applyBorder="1" applyAlignment="1">
      <alignment horizontal="center" vertical="center"/>
    </xf>
    <xf numFmtId="0" fontId="7" fillId="0" borderId="47" xfId="13" applyFont="1" applyBorder="1" applyAlignment="1">
      <alignment horizontal="center" vertical="center"/>
    </xf>
    <xf numFmtId="0" fontId="7" fillId="0" borderId="48" xfId="13" applyFont="1" applyBorder="1" applyAlignment="1">
      <alignment horizontal="center" vertical="center"/>
    </xf>
    <xf numFmtId="0" fontId="7" fillId="0" borderId="49" xfId="13" applyFont="1" applyBorder="1" applyAlignment="1">
      <alignment horizontal="center" vertical="center"/>
    </xf>
    <xf numFmtId="167" fontId="0" fillId="0" borderId="50" xfId="25" applyNumberFormat="1" applyFont="1" applyBorder="1" applyAlignment="1" applyProtection="1">
      <alignment horizontal="center" vertical="center"/>
    </xf>
    <xf numFmtId="0" fontId="31" fillId="0" borderId="46" xfId="13" applyFont="1" applyBorder="1" applyAlignment="1">
      <alignment horizontal="center" vertical="center"/>
    </xf>
    <xf numFmtId="0" fontId="31" fillId="0" borderId="47" xfId="13" applyFont="1" applyBorder="1" applyAlignment="1">
      <alignment horizontal="center" vertical="center"/>
    </xf>
    <xf numFmtId="0" fontId="7" fillId="0" borderId="49" xfId="13" applyBorder="1" applyAlignment="1">
      <alignment horizontal="center" vertical="center"/>
    </xf>
    <xf numFmtId="0" fontId="31" fillId="0" borderId="48" xfId="13" applyFont="1" applyBorder="1" applyAlignment="1">
      <alignment horizontal="center" vertical="center"/>
    </xf>
    <xf numFmtId="0" fontId="31" fillId="0" borderId="49" xfId="13" applyFont="1" applyBorder="1" applyAlignment="1">
      <alignment horizontal="center" vertical="center"/>
    </xf>
    <xf numFmtId="0" fontId="7" fillId="0" borderId="51" xfId="13" applyBorder="1" applyAlignment="1">
      <alignment horizontal="center" vertical="center"/>
    </xf>
    <xf numFmtId="0" fontId="7" fillId="0" borderId="52" xfId="13" applyBorder="1" applyAlignment="1">
      <alignment horizontal="center" vertical="center"/>
    </xf>
    <xf numFmtId="0" fontId="7" fillId="0" borderId="53" xfId="13" applyBorder="1" applyAlignment="1">
      <alignment horizontal="center" vertical="center"/>
    </xf>
    <xf numFmtId="167" fontId="0" fillId="0" borderId="54" xfId="25" applyNumberFormat="1" applyFont="1" applyBorder="1" applyAlignment="1" applyProtection="1">
      <alignment horizontal="center" vertical="center"/>
    </xf>
    <xf numFmtId="167" fontId="33" fillId="0" borderId="55" xfId="13" applyNumberFormat="1" applyFont="1" applyBorder="1" applyAlignment="1">
      <alignment horizontal="center" vertical="center"/>
    </xf>
    <xf numFmtId="0" fontId="31" fillId="3" borderId="33" xfId="13" applyFont="1" applyFill="1" applyBorder="1" applyAlignment="1">
      <alignment vertical="center"/>
    </xf>
    <xf numFmtId="0" fontId="31" fillId="3" borderId="0" xfId="13" applyFont="1" applyFill="1" applyBorder="1" applyAlignment="1">
      <alignment vertical="center" wrapText="1"/>
    </xf>
    <xf numFmtId="0" fontId="31" fillId="3" borderId="9" xfId="13" applyFont="1" applyFill="1" applyBorder="1" applyAlignment="1">
      <alignment vertical="center" wrapText="1"/>
    </xf>
    <xf numFmtId="0" fontId="31" fillId="3" borderId="34" xfId="13" applyFont="1" applyFill="1" applyBorder="1" applyAlignment="1">
      <alignment vertical="center" wrapText="1"/>
    </xf>
    <xf numFmtId="0" fontId="31" fillId="3" borderId="11" xfId="13" applyFont="1" applyFill="1" applyBorder="1" applyAlignment="1">
      <alignment vertical="center" wrapText="1"/>
    </xf>
    <xf numFmtId="0" fontId="31" fillId="3" borderId="35" xfId="13" applyFont="1" applyFill="1" applyBorder="1" applyAlignment="1">
      <alignment vertical="center" wrapText="1"/>
    </xf>
    <xf numFmtId="166" fontId="14" fillId="0" borderId="0" xfId="1" applyNumberFormat="1" applyFont="1" applyAlignment="1">
      <alignment vertical="center"/>
    </xf>
    <xf numFmtId="166" fontId="19" fillId="0" borderId="7" xfId="1" applyNumberFormat="1" applyFont="1" applyBorder="1" applyAlignment="1">
      <alignment vertical="center" wrapText="1"/>
    </xf>
    <xf numFmtId="166" fontId="18" fillId="4" borderId="7" xfId="1" applyNumberFormat="1" applyFont="1" applyFill="1" applyBorder="1" applyAlignment="1">
      <alignment vertical="center" wrapText="1"/>
    </xf>
    <xf numFmtId="166" fontId="16" fillId="4" borderId="7" xfId="0" applyNumberFormat="1" applyFont="1" applyFill="1" applyBorder="1" applyAlignment="1">
      <alignment vertical="center" wrapText="1"/>
    </xf>
    <xf numFmtId="166" fontId="18" fillId="0" borderId="7" xfId="1" applyNumberFormat="1" applyFont="1" applyBorder="1" applyAlignment="1">
      <alignment vertical="center" wrapText="1"/>
    </xf>
    <xf numFmtId="0" fontId="7" fillId="4" borderId="22" xfId="13" applyFont="1" applyFill="1" applyBorder="1" applyAlignment="1">
      <alignment horizontal="center" vertical="center"/>
    </xf>
    <xf numFmtId="0" fontId="7" fillId="0" borderId="0" xfId="13" applyFont="1" applyBorder="1" applyAlignment="1">
      <alignment vertical="center"/>
    </xf>
    <xf numFmtId="0" fontId="7" fillId="3" borderId="23" xfId="13" applyFont="1" applyFill="1" applyBorder="1" applyAlignment="1">
      <alignment horizontal="center" vertical="center"/>
    </xf>
    <xf numFmtId="0" fontId="7" fillId="0" borderId="22" xfId="13" applyFont="1" applyBorder="1" applyAlignment="1">
      <alignment horizontal="center" vertical="center"/>
    </xf>
    <xf numFmtId="166" fontId="7" fillId="0" borderId="22" xfId="13" applyNumberFormat="1" applyFont="1" applyBorder="1" applyAlignment="1">
      <alignment horizontal="center" vertical="center"/>
    </xf>
    <xf numFmtId="0" fontId="16" fillId="0" borderId="56" xfId="13" applyFont="1" applyFill="1" applyBorder="1" applyAlignment="1">
      <alignment horizontal="center" vertical="center" wrapText="1"/>
    </xf>
    <xf numFmtId="0" fontId="16" fillId="0" borderId="59" xfId="13" applyFont="1" applyFill="1" applyBorder="1" applyAlignment="1">
      <alignment horizontal="center" wrapText="1"/>
    </xf>
    <xf numFmtId="0" fontId="8" fillId="0" borderId="0" xfId="13" applyFont="1" applyFill="1" applyBorder="1" applyAlignment="1">
      <alignment horizontal="left" vertical="center"/>
    </xf>
    <xf numFmtId="0" fontId="8" fillId="0" borderId="0" xfId="13" applyFont="1" applyFill="1" applyBorder="1" applyAlignment="1">
      <alignment horizontal="center"/>
    </xf>
    <xf numFmtId="0" fontId="8" fillId="0" borderId="0" xfId="13" applyFont="1" applyFill="1" applyBorder="1" applyAlignment="1">
      <alignment horizontal="center" vertical="center" wrapText="1"/>
    </xf>
    <xf numFmtId="0" fontId="8" fillId="0" borderId="4" xfId="13" applyFont="1" applyFill="1" applyBorder="1" applyAlignment="1">
      <alignment horizontal="center"/>
    </xf>
    <xf numFmtId="0" fontId="8" fillId="0" borderId="0" xfId="13" applyFont="1" applyFill="1" applyBorder="1" applyAlignment="1">
      <alignment horizontal="center" vertical="center"/>
    </xf>
    <xf numFmtId="0" fontId="16" fillId="0" borderId="59" xfId="13" applyFont="1" applyBorder="1" applyAlignment="1">
      <alignment horizontal="center" wrapText="1"/>
    </xf>
    <xf numFmtId="0" fontId="8" fillId="0" borderId="0" xfId="13" applyFont="1" applyBorder="1" applyAlignment="1">
      <alignment horizontal="center" vertical="center"/>
    </xf>
    <xf numFmtId="0" fontId="8" fillId="0" borderId="0" xfId="13" applyFont="1" applyBorder="1" applyAlignment="1">
      <alignment horizontal="center"/>
    </xf>
    <xf numFmtId="0" fontId="8" fillId="0" borderId="0" xfId="13" applyFont="1" applyBorder="1" applyAlignment="1">
      <alignment horizontal="center" vertical="center" wrapText="1"/>
    </xf>
    <xf numFmtId="0" fontId="8" fillId="0" borderId="4" xfId="13" applyFont="1" applyBorder="1" applyAlignment="1">
      <alignment horizontal="center"/>
    </xf>
    <xf numFmtId="0" fontId="16" fillId="0" borderId="60" xfId="13" applyFont="1" applyBorder="1" applyAlignment="1">
      <alignment horizontal="center" wrapText="1"/>
    </xf>
    <xf numFmtId="0" fontId="8" fillId="0" borderId="3" xfId="13" applyFont="1" applyBorder="1" applyAlignment="1">
      <alignment horizontal="left" vertical="center"/>
    </xf>
    <xf numFmtId="0" fontId="8" fillId="0" borderId="3" xfId="13" applyFont="1" applyBorder="1" applyAlignment="1">
      <alignment horizontal="center"/>
    </xf>
    <xf numFmtId="0" fontId="8" fillId="0" borderId="3" xfId="13" applyFont="1" applyBorder="1" applyAlignment="1">
      <alignment horizontal="center" vertical="center" wrapText="1"/>
    </xf>
    <xf numFmtId="0" fontId="8" fillId="0" borderId="61" xfId="13" applyFont="1" applyBorder="1" applyAlignment="1">
      <alignment horizontal="center"/>
    </xf>
    <xf numFmtId="0" fontId="16" fillId="0" borderId="59" xfId="13" applyFont="1" applyFill="1" applyBorder="1" applyAlignment="1">
      <alignment horizontal="center" vertical="center" wrapText="1"/>
    </xf>
    <xf numFmtId="0" fontId="8" fillId="0" borderId="0" xfId="13" applyFont="1" applyFill="1" applyBorder="1" applyAlignment="1">
      <alignment horizontal="left" vertical="center" wrapText="1"/>
    </xf>
    <xf numFmtId="0" fontId="8" fillId="0" borderId="4" xfId="13" applyFont="1" applyFill="1" applyBorder="1" applyAlignment="1">
      <alignment horizontal="left" vertical="center" wrapText="1"/>
    </xf>
    <xf numFmtId="0" fontId="21" fillId="0" borderId="21" xfId="13" applyFont="1" applyBorder="1" applyAlignment="1">
      <alignment vertical="center"/>
    </xf>
    <xf numFmtId="167" fontId="0" fillId="0" borderId="0" xfId="0" applyNumberFormat="1"/>
    <xf numFmtId="166" fontId="0" fillId="0" borderId="0" xfId="0" applyNumberFormat="1"/>
    <xf numFmtId="166" fontId="0" fillId="4" borderId="0" xfId="0" applyNumberFormat="1" applyFill="1"/>
    <xf numFmtId="0" fontId="34" fillId="0" borderId="0" xfId="13" applyFont="1" applyFill="1" applyBorder="1" applyAlignment="1"/>
    <xf numFmtId="0" fontId="35" fillId="0" borderId="0" xfId="13" applyFont="1" applyFill="1"/>
    <xf numFmtId="0" fontId="36" fillId="0" borderId="17" xfId="13" applyFont="1" applyFill="1" applyBorder="1" applyAlignment="1">
      <alignment horizontal="center" vertical="center" wrapText="1"/>
    </xf>
    <xf numFmtId="0" fontId="35" fillId="0" borderId="22" xfId="13" applyFont="1" applyFill="1" applyBorder="1" applyAlignment="1">
      <alignment vertical="center"/>
    </xf>
    <xf numFmtId="0" fontId="35" fillId="0" borderId="62" xfId="13" applyFont="1" applyFill="1" applyBorder="1" applyAlignment="1">
      <alignment horizontal="center" vertical="center"/>
    </xf>
    <xf numFmtId="1" fontId="35" fillId="0" borderId="23" xfId="13" applyNumberFormat="1" applyFont="1" applyFill="1" applyBorder="1" applyAlignment="1">
      <alignment horizontal="center" vertical="center"/>
    </xf>
    <xf numFmtId="0" fontId="35" fillId="0" borderId="59" xfId="13" applyFont="1" applyFill="1" applyBorder="1" applyAlignment="1">
      <alignment horizontal="center" vertical="center"/>
    </xf>
    <xf numFmtId="0" fontId="35" fillId="0" borderId="22" xfId="13" applyFont="1" applyFill="1" applyBorder="1" applyAlignment="1">
      <alignment horizontal="center" vertical="center"/>
    </xf>
    <xf numFmtId="0" fontId="35" fillId="0" borderId="23" xfId="13" applyFont="1" applyFill="1" applyBorder="1" applyAlignment="1">
      <alignment horizontal="center" vertical="center"/>
    </xf>
    <xf numFmtId="0" fontId="35" fillId="0" borderId="63" xfId="13" applyFont="1" applyFill="1" applyBorder="1" applyAlignment="1">
      <alignment horizontal="left" vertical="center" wrapText="1"/>
    </xf>
    <xf numFmtId="0" fontId="35" fillId="0" borderId="5" xfId="13" applyFont="1" applyFill="1" applyBorder="1" applyAlignment="1">
      <alignment horizontal="center" vertical="center"/>
    </xf>
    <xf numFmtId="1" fontId="35" fillId="0" borderId="59" xfId="13" applyNumberFormat="1" applyFont="1" applyFill="1" applyBorder="1" applyAlignment="1">
      <alignment horizontal="center" vertical="center"/>
    </xf>
    <xf numFmtId="0" fontId="35" fillId="0" borderId="64" xfId="13" applyFont="1" applyFill="1" applyBorder="1" applyAlignment="1">
      <alignment horizontal="center" vertical="center"/>
    </xf>
    <xf numFmtId="0" fontId="35" fillId="0" borderId="25" xfId="13" applyFont="1" applyFill="1" applyBorder="1" applyAlignment="1">
      <alignment horizontal="left" vertical="center" wrapText="1"/>
    </xf>
    <xf numFmtId="0" fontId="35" fillId="0" borderId="8" xfId="13" applyFont="1" applyFill="1" applyBorder="1" applyAlignment="1">
      <alignment horizontal="center" vertical="center"/>
    </xf>
    <xf numFmtId="1" fontId="35" fillId="0" borderId="24" xfId="13" applyNumberFormat="1" applyFont="1" applyFill="1" applyBorder="1" applyAlignment="1">
      <alignment horizontal="center" vertical="center"/>
    </xf>
    <xf numFmtId="0" fontId="35" fillId="0" borderId="24" xfId="13" applyFont="1" applyFill="1" applyBorder="1" applyAlignment="1">
      <alignment horizontal="center" vertical="center"/>
    </xf>
    <xf numFmtId="0" fontId="35" fillId="0" borderId="25" xfId="13" applyFont="1" applyFill="1" applyBorder="1" applyAlignment="1">
      <alignment horizontal="center" vertical="center"/>
    </xf>
    <xf numFmtId="0" fontId="35" fillId="0" borderId="22" xfId="13" applyFont="1" applyFill="1" applyBorder="1" applyAlignment="1">
      <alignment vertical="center" wrapText="1"/>
    </xf>
    <xf numFmtId="0" fontId="35" fillId="0" borderId="25" xfId="13" applyFont="1" applyFill="1" applyBorder="1" applyAlignment="1">
      <alignment vertical="center"/>
    </xf>
    <xf numFmtId="0" fontId="35" fillId="0" borderId="25" xfId="13" applyFont="1" applyFill="1" applyBorder="1" applyAlignment="1">
      <alignment vertical="center" wrapText="1"/>
    </xf>
    <xf numFmtId="0" fontId="35" fillId="0" borderId="64" xfId="13" applyFont="1" applyFill="1" applyBorder="1" applyAlignment="1">
      <alignment horizontal="left" vertical="center" wrapText="1"/>
    </xf>
    <xf numFmtId="0" fontId="35" fillId="0" borderId="0" xfId="13" applyFont="1" applyFill="1" applyBorder="1" applyAlignment="1">
      <alignment horizontal="center" vertical="center"/>
    </xf>
    <xf numFmtId="0" fontId="35" fillId="0" borderId="26" xfId="13" applyFont="1" applyFill="1" applyBorder="1" applyAlignment="1">
      <alignment vertical="center"/>
    </xf>
    <xf numFmtId="0" fontId="35" fillId="0" borderId="28" xfId="13" applyFont="1" applyFill="1" applyBorder="1" applyAlignment="1">
      <alignment horizontal="center" vertical="center"/>
    </xf>
    <xf numFmtId="1" fontId="35" fillId="0" borderId="27" xfId="13" applyNumberFormat="1" applyFont="1" applyFill="1" applyBorder="1" applyAlignment="1">
      <alignment horizontal="center" vertical="center"/>
    </xf>
    <xf numFmtId="0" fontId="35" fillId="0" borderId="27" xfId="13" applyFont="1" applyFill="1" applyBorder="1" applyAlignment="1">
      <alignment horizontal="center" vertical="center"/>
    </xf>
    <xf numFmtId="0" fontId="35" fillId="0" borderId="26" xfId="13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vertical="center"/>
    </xf>
    <xf numFmtId="1" fontId="35" fillId="0" borderId="0" xfId="13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 wrapText="1"/>
    </xf>
    <xf numFmtId="0" fontId="36" fillId="0" borderId="13" xfId="13" applyFont="1" applyFill="1" applyBorder="1" applyAlignment="1">
      <alignment horizontal="center" vertical="center" wrapText="1"/>
    </xf>
    <xf numFmtId="0" fontId="35" fillId="0" borderId="56" xfId="13" applyFont="1" applyFill="1" applyBorder="1" applyAlignment="1">
      <alignment horizontal="left" wrapText="1"/>
    </xf>
    <xf numFmtId="0" fontId="35" fillId="0" borderId="65" xfId="13" applyFont="1" applyFill="1" applyBorder="1" applyAlignment="1">
      <alignment horizontal="center" vertical="center"/>
    </xf>
    <xf numFmtId="0" fontId="35" fillId="0" borderId="57" xfId="13" applyFont="1" applyFill="1" applyBorder="1" applyAlignment="1">
      <alignment horizontal="center" vertical="center"/>
    </xf>
    <xf numFmtId="0" fontId="35" fillId="0" borderId="25" xfId="13" applyFont="1" applyFill="1" applyBorder="1" applyAlignment="1">
      <alignment horizontal="left" wrapText="1"/>
    </xf>
    <xf numFmtId="0" fontId="35" fillId="0" borderId="23" xfId="13" applyFont="1" applyFill="1" applyBorder="1" applyAlignment="1">
      <alignment horizontal="left" vertical="center" wrapText="1"/>
    </xf>
    <xf numFmtId="49" fontId="35" fillId="0" borderId="62" xfId="13" applyNumberFormat="1" applyFont="1" applyFill="1" applyBorder="1" applyAlignment="1">
      <alignment horizontal="center" vertical="center" wrapText="1"/>
    </xf>
    <xf numFmtId="0" fontId="35" fillId="0" borderId="66" xfId="13" applyFont="1" applyFill="1" applyBorder="1" applyAlignment="1">
      <alignment horizontal="center" vertical="center" wrapText="1"/>
    </xf>
    <xf numFmtId="0" fontId="35" fillId="0" borderId="24" xfId="13" applyFont="1" applyFill="1" applyBorder="1" applyAlignment="1">
      <alignment vertical="center"/>
    </xf>
    <xf numFmtId="49" fontId="35" fillId="0" borderId="8" xfId="13" applyNumberFormat="1" applyFont="1" applyFill="1" applyBorder="1" applyAlignment="1">
      <alignment horizontal="center" vertical="center"/>
    </xf>
    <xf numFmtId="49" fontId="35" fillId="0" borderId="25" xfId="13" applyNumberFormat="1" applyFont="1" applyFill="1" applyBorder="1" applyAlignment="1">
      <alignment horizontal="center" vertical="center"/>
    </xf>
    <xf numFmtId="0" fontId="35" fillId="0" borderId="6" xfId="13" applyFont="1" applyFill="1" applyBorder="1" applyAlignment="1">
      <alignment horizontal="center" vertical="center"/>
    </xf>
    <xf numFmtId="0" fontId="35" fillId="0" borderId="27" xfId="13" applyFont="1" applyFill="1" applyBorder="1" applyAlignment="1">
      <alignment vertical="center"/>
    </xf>
    <xf numFmtId="49" fontId="35" fillId="0" borderId="28" xfId="13" applyNumberFormat="1" applyFont="1" applyFill="1" applyBorder="1" applyAlignment="1">
      <alignment horizontal="center" vertical="center"/>
    </xf>
    <xf numFmtId="49" fontId="35" fillId="0" borderId="26" xfId="13" applyNumberFormat="1" applyFont="1" applyFill="1" applyBorder="1" applyAlignment="1">
      <alignment horizontal="center" vertical="center"/>
    </xf>
    <xf numFmtId="0" fontId="35" fillId="0" borderId="29" xfId="13" applyFont="1" applyFill="1" applyBorder="1" applyAlignment="1">
      <alignment horizontal="center" vertical="center"/>
    </xf>
    <xf numFmtId="0" fontId="35" fillId="0" borderId="0" xfId="13" applyFont="1" applyFill="1" applyAlignment="1">
      <alignment horizontal="center"/>
    </xf>
    <xf numFmtId="0" fontId="36" fillId="0" borderId="65" xfId="13" applyFont="1" applyFill="1" applyBorder="1" applyAlignment="1">
      <alignment horizontal="center" vertical="center" wrapText="1"/>
    </xf>
    <xf numFmtId="0" fontId="35" fillId="0" borderId="67" xfId="13" applyFont="1" applyFill="1" applyBorder="1" applyAlignment="1">
      <alignment vertical="center"/>
    </xf>
    <xf numFmtId="0" fontId="35" fillId="0" borderId="67" xfId="13" applyFont="1" applyFill="1" applyBorder="1" applyAlignment="1">
      <alignment horizontal="center" vertical="center"/>
    </xf>
    <xf numFmtId="1" fontId="35" fillId="0" borderId="67" xfId="13" applyNumberFormat="1" applyFont="1" applyFill="1" applyBorder="1" applyAlignment="1">
      <alignment horizontal="center" vertical="center"/>
    </xf>
    <xf numFmtId="0" fontId="35" fillId="0" borderId="63" xfId="13" applyFont="1" applyFill="1" applyBorder="1" applyAlignment="1">
      <alignment vertical="center"/>
    </xf>
    <xf numFmtId="0" fontId="35" fillId="0" borderId="63" xfId="13" applyFont="1" applyFill="1" applyBorder="1" applyAlignment="1">
      <alignment horizontal="center" vertical="center"/>
    </xf>
    <xf numFmtId="1" fontId="35" fillId="0" borderId="63" xfId="13" applyNumberFormat="1" applyFont="1" applyFill="1" applyBorder="1" applyAlignment="1">
      <alignment horizontal="center" vertical="center"/>
    </xf>
    <xf numFmtId="1" fontId="35" fillId="0" borderId="25" xfId="13" applyNumberFormat="1" applyFont="1" applyFill="1" applyBorder="1" applyAlignment="1">
      <alignment horizontal="center" vertical="center"/>
    </xf>
    <xf numFmtId="0" fontId="35" fillId="0" borderId="65" xfId="13" applyFont="1" applyFill="1" applyBorder="1" applyAlignment="1">
      <alignment vertical="center" wrapText="1"/>
    </xf>
    <xf numFmtId="49" fontId="35" fillId="0" borderId="63" xfId="13" applyNumberFormat="1" applyFont="1" applyFill="1" applyBorder="1" applyAlignment="1">
      <alignment horizontal="center" vertical="center"/>
    </xf>
    <xf numFmtId="0" fontId="35" fillId="0" borderId="63" xfId="13" applyFont="1" applyFill="1" applyBorder="1" applyAlignment="1">
      <alignment vertical="center" wrapText="1"/>
    </xf>
    <xf numFmtId="0" fontId="35" fillId="0" borderId="28" xfId="13" applyFont="1" applyFill="1" applyBorder="1" applyAlignment="1">
      <alignment horizontal="left" wrapText="1"/>
    </xf>
    <xf numFmtId="0" fontId="35" fillId="0" borderId="0" xfId="13" applyFont="1" applyFill="1" applyBorder="1" applyAlignment="1">
      <alignment horizontal="left" vertical="center" wrapText="1"/>
    </xf>
    <xf numFmtId="0" fontId="35" fillId="0" borderId="65" xfId="13" applyFont="1" applyFill="1" applyBorder="1" applyAlignment="1">
      <alignment vertical="center"/>
    </xf>
    <xf numFmtId="0" fontId="35" fillId="0" borderId="58" xfId="13" applyFont="1" applyFill="1" applyBorder="1" applyAlignment="1">
      <alignment horizontal="center" vertical="center"/>
    </xf>
    <xf numFmtId="0" fontId="35" fillId="0" borderId="6" xfId="13" applyFont="1" applyFill="1" applyBorder="1" applyAlignment="1">
      <alignment horizontal="center" vertical="center" wrapText="1"/>
    </xf>
    <xf numFmtId="49" fontId="35" fillId="0" borderId="25" xfId="13" applyNumberFormat="1" applyFont="1" applyFill="1" applyBorder="1" applyAlignment="1">
      <alignment horizontal="center" vertical="center" wrapText="1"/>
    </xf>
    <xf numFmtId="49" fontId="35" fillId="0" borderId="6" xfId="13" applyNumberFormat="1" applyFont="1" applyFill="1" applyBorder="1" applyAlignment="1">
      <alignment horizontal="center" vertical="center" wrapText="1"/>
    </xf>
    <xf numFmtId="0" fontId="35" fillId="0" borderId="25" xfId="13" applyFont="1" applyFill="1" applyBorder="1" applyAlignment="1">
      <alignment horizontal="center" vertical="center" wrapText="1"/>
    </xf>
    <xf numFmtId="0" fontId="35" fillId="0" borderId="25" xfId="13" applyFont="1" applyFill="1" applyBorder="1"/>
    <xf numFmtId="0" fontId="35" fillId="0" borderId="6" xfId="13" applyFont="1" applyFill="1" applyBorder="1" applyAlignment="1">
      <alignment horizontal="center"/>
    </xf>
    <xf numFmtId="0" fontId="35" fillId="0" borderId="25" xfId="13" applyFont="1" applyFill="1" applyBorder="1" applyAlignment="1">
      <alignment horizontal="center"/>
    </xf>
    <xf numFmtId="0" fontId="35" fillId="0" borderId="6" xfId="13" applyFont="1" applyFill="1" applyBorder="1"/>
    <xf numFmtId="0" fontId="35" fillId="0" borderId="64" xfId="13" applyFont="1" applyFill="1" applyBorder="1"/>
    <xf numFmtId="0" fontId="35" fillId="0" borderId="4" xfId="13" applyFont="1" applyFill="1" applyBorder="1" applyAlignment="1">
      <alignment horizontal="center"/>
    </xf>
    <xf numFmtId="0" fontId="35" fillId="0" borderId="64" xfId="13" applyFont="1" applyFill="1" applyBorder="1" applyAlignment="1">
      <alignment horizontal="center"/>
    </xf>
    <xf numFmtId="0" fontId="35" fillId="0" borderId="4" xfId="13" applyFont="1" applyFill="1" applyBorder="1"/>
    <xf numFmtId="49" fontId="35" fillId="0" borderId="6" xfId="13" applyNumberFormat="1" applyFont="1" applyFill="1" applyBorder="1" applyAlignment="1">
      <alignment horizontal="center" vertical="center"/>
    </xf>
    <xf numFmtId="0" fontId="35" fillId="0" borderId="68" xfId="13" applyFont="1" applyFill="1" applyBorder="1" applyAlignment="1">
      <alignment horizontal="center" vertical="center" wrapText="1"/>
    </xf>
    <xf numFmtId="49" fontId="35" fillId="0" borderId="63" xfId="13" applyNumberFormat="1" applyFont="1" applyFill="1" applyBorder="1" applyAlignment="1">
      <alignment horizontal="center" vertical="center" wrapText="1"/>
    </xf>
    <xf numFmtId="49" fontId="35" fillId="0" borderId="68" xfId="13" applyNumberFormat="1" applyFont="1" applyFill="1" applyBorder="1" applyAlignment="1">
      <alignment horizontal="center" vertical="center" wrapText="1"/>
    </xf>
    <xf numFmtId="0" fontId="35" fillId="0" borderId="63" xfId="13" applyFont="1" applyFill="1" applyBorder="1" applyAlignment="1">
      <alignment horizontal="center" vertical="center" wrapText="1"/>
    </xf>
    <xf numFmtId="0" fontId="35" fillId="0" borderId="26" xfId="13" applyFont="1" applyFill="1" applyBorder="1" applyAlignment="1">
      <alignment horizontal="left" wrapText="1"/>
    </xf>
    <xf numFmtId="0" fontId="35" fillId="0" borderId="29" xfId="13" applyFont="1" applyFill="1" applyBorder="1" applyAlignment="1">
      <alignment horizontal="center" vertical="center" wrapText="1"/>
    </xf>
    <xf numFmtId="49" fontId="35" fillId="0" borderId="26" xfId="13" applyNumberFormat="1" applyFont="1" applyFill="1" applyBorder="1" applyAlignment="1">
      <alignment horizontal="center" vertical="center" wrapText="1"/>
    </xf>
    <xf numFmtId="49" fontId="35" fillId="0" borderId="29" xfId="13" applyNumberFormat="1" applyFont="1" applyFill="1" applyBorder="1" applyAlignment="1">
      <alignment horizontal="center" vertical="center" wrapText="1"/>
    </xf>
    <xf numFmtId="0" fontId="35" fillId="0" borderId="26" xfId="13" applyFont="1" applyFill="1" applyBorder="1" applyAlignment="1">
      <alignment horizontal="center" vertical="center" wrapText="1"/>
    </xf>
    <xf numFmtId="0" fontId="35" fillId="0" borderId="8" xfId="13" applyFont="1" applyFill="1" applyBorder="1" applyAlignment="1">
      <alignment horizontal="center"/>
    </xf>
    <xf numFmtId="0" fontId="35" fillId="0" borderId="30" xfId="13" applyFont="1" applyFill="1" applyBorder="1" applyAlignment="1">
      <alignment vertical="center"/>
    </xf>
    <xf numFmtId="0" fontId="35" fillId="0" borderId="63" xfId="13" applyFont="1" applyFill="1" applyBorder="1" applyAlignment="1">
      <alignment horizontal="center"/>
    </xf>
    <xf numFmtId="0" fontId="35" fillId="0" borderId="5" xfId="13" applyFont="1" applyFill="1" applyBorder="1" applyAlignment="1">
      <alignment horizontal="center"/>
    </xf>
    <xf numFmtId="0" fontId="35" fillId="0" borderId="69" xfId="13" applyFont="1" applyFill="1" applyBorder="1" applyAlignment="1">
      <alignment horizontal="center"/>
    </xf>
    <xf numFmtId="0" fontId="35" fillId="0" borderId="3" xfId="13" applyFont="1" applyFill="1" applyBorder="1" applyAlignment="1">
      <alignment horizontal="center"/>
    </xf>
    <xf numFmtId="0" fontId="35" fillId="0" borderId="69" xfId="13" applyFont="1" applyFill="1" applyBorder="1" applyAlignment="1">
      <alignment horizontal="center" vertical="center"/>
    </xf>
    <xf numFmtId="0" fontId="35" fillId="0" borderId="70" xfId="13" applyFont="1" applyFill="1" applyBorder="1" applyAlignment="1">
      <alignment horizontal="left" vertical="center" wrapText="1"/>
    </xf>
    <xf numFmtId="0" fontId="35" fillId="0" borderId="67" xfId="13" applyFont="1" applyFill="1" applyBorder="1" applyAlignment="1">
      <alignment horizontal="center" vertical="center" wrapText="1"/>
    </xf>
    <xf numFmtId="49" fontId="35" fillId="0" borderId="71" xfId="13" applyNumberFormat="1" applyFont="1" applyFill="1" applyBorder="1" applyAlignment="1">
      <alignment horizontal="center" vertical="center" wrapText="1"/>
    </xf>
    <xf numFmtId="49" fontId="35" fillId="0" borderId="67" xfId="13" applyNumberFormat="1" applyFont="1" applyFill="1" applyBorder="1" applyAlignment="1">
      <alignment horizontal="center" vertical="center" wrapText="1"/>
    </xf>
    <xf numFmtId="0" fontId="35" fillId="0" borderId="6" xfId="13" applyFont="1" applyFill="1" applyBorder="1" applyAlignment="1">
      <alignment horizontal="left" vertical="center" wrapText="1"/>
    </xf>
    <xf numFmtId="49" fontId="35" fillId="0" borderId="8" xfId="13" applyNumberFormat="1" applyFont="1" applyFill="1" applyBorder="1" applyAlignment="1">
      <alignment horizontal="center" vertical="center" wrapText="1"/>
    </xf>
    <xf numFmtId="0" fontId="35" fillId="0" borderId="68" xfId="13" applyFont="1" applyFill="1" applyBorder="1" applyAlignment="1">
      <alignment horizontal="left" vertical="center" wrapText="1"/>
    </xf>
    <xf numFmtId="49" fontId="35" fillId="0" borderId="5" xfId="13" applyNumberFormat="1" applyFont="1" applyFill="1" applyBorder="1" applyAlignment="1">
      <alignment horizontal="center" vertical="center" wrapText="1"/>
    </xf>
    <xf numFmtId="0" fontId="35" fillId="0" borderId="4" xfId="13" applyFont="1" applyFill="1" applyBorder="1" applyAlignment="1">
      <alignment horizontal="left" vertical="center" wrapText="1"/>
    </xf>
    <xf numFmtId="0" fontId="35" fillId="0" borderId="64" xfId="13" applyFont="1" applyFill="1" applyBorder="1" applyAlignment="1">
      <alignment horizontal="center" vertical="center" wrapText="1"/>
    </xf>
    <xf numFmtId="0" fontId="35" fillId="0" borderId="72" xfId="13" applyFont="1" applyFill="1" applyBorder="1" applyAlignment="1">
      <alignment horizontal="left" vertical="center" wrapText="1"/>
    </xf>
    <xf numFmtId="0" fontId="35" fillId="0" borderId="72" xfId="13" applyFont="1" applyFill="1" applyBorder="1" applyAlignment="1">
      <alignment horizontal="center" vertical="center"/>
    </xf>
    <xf numFmtId="0" fontId="35" fillId="0" borderId="67" xfId="13" applyFont="1" applyFill="1" applyBorder="1" applyAlignment="1">
      <alignment horizontal="left" vertical="center" wrapText="1"/>
    </xf>
    <xf numFmtId="0" fontId="35" fillId="0" borderId="71" xfId="13" applyFont="1" applyFill="1" applyBorder="1" applyAlignment="1">
      <alignment horizontal="center" vertical="center"/>
    </xf>
    <xf numFmtId="49" fontId="35" fillId="0" borderId="5" xfId="13" applyNumberFormat="1" applyFont="1" applyFill="1" applyBorder="1" applyAlignment="1">
      <alignment horizontal="center" vertical="center"/>
    </xf>
    <xf numFmtId="0" fontId="35" fillId="0" borderId="63" xfId="13" applyFont="1" applyFill="1" applyBorder="1" applyAlignment="1">
      <alignment horizontal="left" wrapText="1"/>
    </xf>
    <xf numFmtId="0" fontId="35" fillId="0" borderId="26" xfId="13" applyFont="1" applyFill="1" applyBorder="1" applyAlignment="1">
      <alignment horizontal="left" vertical="center" wrapText="1"/>
    </xf>
    <xf numFmtId="0" fontId="35" fillId="0" borderId="0" xfId="13" applyFont="1" applyFill="1" applyBorder="1"/>
    <xf numFmtId="0" fontId="35" fillId="0" borderId="0" xfId="13" applyFont="1" applyFill="1" applyBorder="1" applyAlignment="1">
      <alignment horizontal="center"/>
    </xf>
    <xf numFmtId="49" fontId="35" fillId="0" borderId="0" xfId="13" applyNumberFormat="1" applyFont="1" applyFill="1" applyBorder="1" applyAlignment="1">
      <alignment horizontal="center"/>
    </xf>
    <xf numFmtId="0" fontId="35" fillId="0" borderId="71" xfId="13" applyFont="1" applyFill="1" applyBorder="1" applyAlignment="1">
      <alignment wrapText="1"/>
    </xf>
    <xf numFmtId="0" fontId="35" fillId="0" borderId="8" xfId="13" applyFont="1" applyFill="1" applyBorder="1" applyAlignment="1">
      <alignment horizontal="left" wrapText="1"/>
    </xf>
    <xf numFmtId="0" fontId="35" fillId="0" borderId="0" xfId="13" applyFont="1" applyFill="1" applyBorder="1" applyAlignment="1">
      <alignment horizontal="left" wrapText="1"/>
    </xf>
    <xf numFmtId="0" fontId="35" fillId="0" borderId="5" xfId="13" applyFont="1" applyFill="1" applyBorder="1" applyAlignment="1">
      <alignment horizontal="left" wrapText="1"/>
    </xf>
    <xf numFmtId="0" fontId="35" fillId="0" borderId="26" xfId="13" applyFont="1" applyFill="1" applyBorder="1" applyAlignment="1">
      <alignment horizontal="center"/>
    </xf>
    <xf numFmtId="0" fontId="35" fillId="0" borderId="28" xfId="13" applyFont="1" applyFill="1" applyBorder="1" applyAlignment="1">
      <alignment horizontal="center"/>
    </xf>
    <xf numFmtId="0" fontId="35" fillId="0" borderId="65" xfId="13" applyFont="1" applyFill="1" applyBorder="1" applyAlignment="1">
      <alignment horizontal="left" vertical="center" wrapText="1"/>
    </xf>
    <xf numFmtId="0" fontId="35" fillId="0" borderId="70" xfId="13" applyNumberFormat="1" applyFont="1" applyFill="1" applyBorder="1" applyAlignment="1">
      <alignment horizontal="center" vertical="center"/>
    </xf>
    <xf numFmtId="49" fontId="35" fillId="0" borderId="73" xfId="13" applyNumberFormat="1" applyFont="1" applyFill="1" applyBorder="1" applyAlignment="1">
      <alignment horizontal="center" vertical="center"/>
    </xf>
    <xf numFmtId="49" fontId="35" fillId="0" borderId="24" xfId="13" applyNumberFormat="1" applyFont="1" applyFill="1" applyBorder="1" applyAlignment="1">
      <alignment horizontal="center" vertical="center"/>
    </xf>
    <xf numFmtId="1" fontId="35" fillId="0" borderId="68" xfId="13" applyNumberFormat="1" applyFont="1" applyFill="1" applyBorder="1" applyAlignment="1">
      <alignment horizontal="center" vertical="center"/>
    </xf>
    <xf numFmtId="0" fontId="35" fillId="0" borderId="30" xfId="13" applyFont="1" applyFill="1" applyBorder="1" applyAlignment="1">
      <alignment horizontal="center" vertical="center"/>
    </xf>
    <xf numFmtId="49" fontId="35" fillId="0" borderId="68" xfId="13" applyNumberFormat="1" applyFont="1" applyFill="1" applyBorder="1" applyAlignment="1">
      <alignment horizontal="center" vertical="center"/>
    </xf>
    <xf numFmtId="49" fontId="35" fillId="0" borderId="30" xfId="13" applyNumberFormat="1" applyFont="1" applyFill="1" applyBorder="1" applyAlignment="1">
      <alignment horizontal="center" vertical="center"/>
    </xf>
    <xf numFmtId="0" fontId="35" fillId="0" borderId="66" xfId="13" applyNumberFormat="1" applyFont="1" applyFill="1" applyBorder="1" applyAlignment="1">
      <alignment horizontal="center" vertical="center"/>
    </xf>
    <xf numFmtId="49" fontId="35" fillId="0" borderId="23" xfId="13" applyNumberFormat="1" applyFont="1" applyFill="1" applyBorder="1" applyAlignment="1">
      <alignment horizontal="center" vertical="center"/>
    </xf>
    <xf numFmtId="0" fontId="35" fillId="0" borderId="68" xfId="13" applyFont="1" applyFill="1" applyBorder="1" applyAlignment="1">
      <alignment horizontal="center" vertical="center"/>
    </xf>
    <xf numFmtId="49" fontId="35" fillId="0" borderId="29" xfId="13" applyNumberFormat="1" applyFont="1" applyFill="1" applyBorder="1" applyAlignment="1">
      <alignment horizontal="center" vertical="center"/>
    </xf>
    <xf numFmtId="49" fontId="35" fillId="0" borderId="0" xfId="13" applyNumberFormat="1" applyFont="1" applyFill="1" applyBorder="1" applyAlignment="1">
      <alignment horizontal="center" vertical="center"/>
    </xf>
    <xf numFmtId="0" fontId="35" fillId="0" borderId="8" xfId="13" applyFont="1" applyFill="1" applyBorder="1" applyAlignment="1">
      <alignment horizontal="center" vertical="center" wrapText="1"/>
    </xf>
    <xf numFmtId="49" fontId="35" fillId="0" borderId="22" xfId="13" applyNumberFormat="1" applyFont="1" applyFill="1" applyBorder="1" applyAlignment="1">
      <alignment horizontal="center" vertical="center"/>
    </xf>
    <xf numFmtId="49" fontId="35" fillId="0" borderId="62" xfId="13" applyNumberFormat="1" applyFont="1" applyFill="1" applyBorder="1" applyAlignment="1">
      <alignment horizontal="center" vertical="center"/>
    </xf>
    <xf numFmtId="0" fontId="35" fillId="0" borderId="63" xfId="13" applyFont="1" applyFill="1" applyBorder="1" applyAlignment="1">
      <alignment horizontal="left"/>
    </xf>
    <xf numFmtId="49" fontId="35" fillId="0" borderId="63" xfId="13" applyNumberFormat="1" applyFont="1" applyFill="1" applyBorder="1" applyAlignment="1">
      <alignment horizontal="center"/>
    </xf>
    <xf numFmtId="49" fontId="35" fillId="0" borderId="5" xfId="13" applyNumberFormat="1" applyFont="1" applyFill="1" applyBorder="1" applyAlignment="1">
      <alignment horizontal="center"/>
    </xf>
    <xf numFmtId="0" fontId="35" fillId="0" borderId="5" xfId="13" applyFont="1" applyFill="1" applyBorder="1" applyAlignment="1">
      <alignment horizontal="center" vertical="center" wrapText="1"/>
    </xf>
    <xf numFmtId="0" fontId="35" fillId="0" borderId="28" xfId="13" applyFont="1" applyFill="1" applyBorder="1" applyAlignment="1">
      <alignment horizontal="center" vertical="center" wrapText="1"/>
    </xf>
    <xf numFmtId="49" fontId="35" fillId="0" borderId="28" xfId="13" applyNumberFormat="1" applyFont="1" applyFill="1" applyBorder="1" applyAlignment="1">
      <alignment horizontal="center" vertical="center" wrapText="1"/>
    </xf>
    <xf numFmtId="0" fontId="35" fillId="0" borderId="63" xfId="13" applyNumberFormat="1" applyFont="1" applyFill="1" applyBorder="1" applyAlignment="1">
      <alignment horizontal="center" vertical="center"/>
    </xf>
    <xf numFmtId="0" fontId="35" fillId="0" borderId="63" xfId="13" applyFont="1" applyFill="1" applyBorder="1" applyAlignment="1">
      <alignment horizontal="left" vertical="center"/>
    </xf>
    <xf numFmtId="0" fontId="35" fillId="0" borderId="30" xfId="13" applyFont="1" applyFill="1" applyBorder="1" applyAlignment="1">
      <alignment horizontal="left" vertical="center"/>
    </xf>
    <xf numFmtId="0" fontId="35" fillId="0" borderId="0" xfId="13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 wrapText="1"/>
    </xf>
    <xf numFmtId="0" fontId="35" fillId="0" borderId="70" xfId="13" applyFont="1" applyFill="1" applyBorder="1" applyAlignment="1">
      <alignment horizontal="center" vertical="center"/>
    </xf>
    <xf numFmtId="49" fontId="35" fillId="0" borderId="70" xfId="13" applyNumberFormat="1" applyFont="1" applyFill="1" applyBorder="1" applyAlignment="1">
      <alignment horizontal="center" vertical="center"/>
    </xf>
    <xf numFmtId="0" fontId="35" fillId="0" borderId="24" xfId="13" applyFont="1" applyFill="1" applyBorder="1" applyAlignment="1">
      <alignment horizontal="left" vertical="center" wrapText="1"/>
    </xf>
    <xf numFmtId="0" fontId="35" fillId="0" borderId="27" xfId="13" applyFont="1" applyFill="1" applyBorder="1" applyAlignment="1">
      <alignment horizontal="left" vertical="center" wrapText="1"/>
    </xf>
    <xf numFmtId="0" fontId="35" fillId="0" borderId="3" xfId="13" applyFont="1" applyFill="1" applyBorder="1" applyAlignment="1">
      <alignment horizontal="center" vertical="center"/>
    </xf>
    <xf numFmtId="49" fontId="35" fillId="0" borderId="65" xfId="13" applyNumberFormat="1" applyFont="1" applyFill="1" applyBorder="1" applyAlignment="1">
      <alignment horizontal="center" vertical="center"/>
    </xf>
    <xf numFmtId="49" fontId="35" fillId="0" borderId="64" xfId="13" applyNumberFormat="1" applyFont="1" applyFill="1" applyBorder="1" applyAlignment="1">
      <alignment horizontal="center" vertical="center"/>
    </xf>
    <xf numFmtId="166" fontId="37" fillId="0" borderId="0" xfId="0" applyNumberFormat="1" applyFont="1"/>
    <xf numFmtId="0" fontId="8" fillId="0" borderId="57" xfId="13" applyFont="1" applyFill="1" applyBorder="1" applyAlignment="1">
      <alignment horizontal="left" vertical="center" wrapText="1"/>
    </xf>
    <xf numFmtId="0" fontId="8" fillId="0" borderId="58" xfId="13" applyFont="1" applyFill="1" applyBorder="1" applyAlignment="1">
      <alignment horizontal="left" vertical="center" wrapText="1"/>
    </xf>
    <xf numFmtId="0" fontId="8" fillId="0" borderId="0" xfId="13" applyFont="1" applyFill="1" applyBorder="1" applyAlignment="1">
      <alignment horizontal="left" vertical="center"/>
    </xf>
    <xf numFmtId="0" fontId="8" fillId="0" borderId="4" xfId="13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 wrapText="1"/>
    </xf>
    <xf numFmtId="0" fontId="16" fillId="0" borderId="59" xfId="13" applyFont="1" applyFill="1" applyBorder="1" applyAlignment="1">
      <alignment horizontal="center" vertical="center" wrapText="1"/>
    </xf>
    <xf numFmtId="0" fontId="16" fillId="0" borderId="0" xfId="13" applyFont="1" applyFill="1" applyBorder="1" applyAlignment="1">
      <alignment horizontal="center" vertical="center" wrapText="1"/>
    </xf>
    <xf numFmtId="0" fontId="16" fillId="0" borderId="4" xfId="13" applyFont="1" applyFill="1" applyBorder="1" applyAlignment="1">
      <alignment horizontal="center" vertical="center" wrapText="1"/>
    </xf>
    <xf numFmtId="0" fontId="36" fillId="0" borderId="13" xfId="13" applyFont="1" applyFill="1" applyBorder="1" applyAlignment="1">
      <alignment horizontal="center" vertical="center"/>
    </xf>
    <xf numFmtId="0" fontId="36" fillId="0" borderId="14" xfId="13" applyFont="1" applyFill="1" applyBorder="1" applyAlignment="1">
      <alignment horizontal="center" vertical="center"/>
    </xf>
    <xf numFmtId="0" fontId="36" fillId="0" borderId="15" xfId="13" applyFont="1" applyFill="1" applyBorder="1" applyAlignment="1">
      <alignment horizontal="center" vertical="center"/>
    </xf>
    <xf numFmtId="0" fontId="34" fillId="0" borderId="3" xfId="13" applyFont="1" applyFill="1" applyBorder="1" applyAlignment="1">
      <alignment horizontal="center" wrapText="1"/>
    </xf>
    <xf numFmtId="0" fontId="34" fillId="0" borderId="61" xfId="13" applyFont="1" applyFill="1" applyBorder="1" applyAlignment="1">
      <alignment horizontal="center" wrapText="1"/>
    </xf>
    <xf numFmtId="0" fontId="35" fillId="0" borderId="0" xfId="13" applyFont="1" applyFill="1" applyAlignment="1">
      <alignment horizontal="center"/>
    </xf>
    <xf numFmtId="0" fontId="36" fillId="0" borderId="13" xfId="13" applyFont="1" applyFill="1" applyBorder="1" applyAlignment="1">
      <alignment horizontal="center" vertical="center" wrapText="1"/>
    </xf>
    <xf numFmtId="0" fontId="36" fillId="0" borderId="14" xfId="13" applyFont="1" applyFill="1" applyBorder="1" applyAlignment="1">
      <alignment horizontal="center" vertical="center" wrapText="1"/>
    </xf>
    <xf numFmtId="0" fontId="36" fillId="0" borderId="15" xfId="13" applyFont="1" applyFill="1" applyBorder="1" applyAlignment="1">
      <alignment horizontal="center" vertical="center" wrapText="1"/>
    </xf>
    <xf numFmtId="0" fontId="23" fillId="0" borderId="16" xfId="13" applyFont="1" applyBorder="1" applyAlignment="1">
      <alignment horizontal="left" vertical="center" wrapText="1"/>
    </xf>
    <xf numFmtId="0" fontId="21" fillId="0" borderId="17" xfId="13" applyFont="1" applyBorder="1" applyAlignment="1">
      <alignment horizontal="left" vertical="center" wrapText="1" indent="1"/>
    </xf>
    <xf numFmtId="0" fontId="20" fillId="0" borderId="0" xfId="13" applyFont="1" applyBorder="1" applyAlignment="1">
      <alignment horizontal="center" vertical="center"/>
    </xf>
    <xf numFmtId="0" fontId="23" fillId="0" borderId="12" xfId="13" applyFont="1" applyBorder="1" applyAlignment="1">
      <alignment horizontal="left" vertical="center" wrapText="1"/>
    </xf>
    <xf numFmtId="0" fontId="24" fillId="0" borderId="17" xfId="13" applyFont="1" applyBorder="1" applyAlignment="1">
      <alignment horizontal="center" vertical="center" wrapText="1"/>
    </xf>
    <xf numFmtId="0" fontId="27" fillId="0" borderId="13" xfId="13" applyFont="1" applyBorder="1" applyAlignment="1">
      <alignment horizontal="left" vertical="center"/>
    </xf>
    <xf numFmtId="0" fontId="27" fillId="0" borderId="14" xfId="13" applyFont="1" applyBorder="1" applyAlignment="1">
      <alignment horizontal="left" vertical="center"/>
    </xf>
    <xf numFmtId="0" fontId="27" fillId="0" borderId="15" xfId="13" applyFont="1" applyBorder="1" applyAlignment="1">
      <alignment horizontal="left" vertical="center"/>
    </xf>
    <xf numFmtId="166" fontId="28" fillId="0" borderId="14" xfId="13" applyNumberFormat="1" applyFont="1" applyBorder="1" applyAlignment="1">
      <alignment horizontal="center" vertical="center" wrapText="1"/>
    </xf>
    <xf numFmtId="166" fontId="28" fillId="0" borderId="15" xfId="13" applyNumberFormat="1" applyFont="1" applyBorder="1" applyAlignment="1">
      <alignment horizontal="center" vertical="center" wrapText="1"/>
    </xf>
    <xf numFmtId="0" fontId="23" fillId="0" borderId="18" xfId="13" applyFont="1" applyBorder="1" applyAlignment="1">
      <alignment horizontal="left" vertical="center"/>
    </xf>
    <xf numFmtId="0" fontId="24" fillId="0" borderId="18" xfId="13" applyFont="1" applyBorder="1" applyAlignment="1">
      <alignment horizontal="center" vertical="center"/>
    </xf>
    <xf numFmtId="0" fontId="24" fillId="0" borderId="20" xfId="13" applyFont="1" applyBorder="1" applyAlignment="1">
      <alignment horizontal="center" vertical="center" wrapText="1"/>
    </xf>
    <xf numFmtId="0" fontId="24" fillId="0" borderId="21" xfId="13" applyFont="1" applyBorder="1" applyAlignment="1">
      <alignment horizontal="center" vertical="center" wrapText="1"/>
    </xf>
    <xf numFmtId="0" fontId="33" fillId="0" borderId="10" xfId="13" applyFont="1" applyBorder="1" applyAlignment="1">
      <alignment horizontal="center" vertical="center"/>
    </xf>
    <xf numFmtId="0" fontId="33" fillId="0" borderId="36" xfId="13" applyFont="1" applyBorder="1" applyAlignment="1">
      <alignment horizontal="center" vertical="center" wrapText="1"/>
    </xf>
    <xf numFmtId="0" fontId="33" fillId="0" borderId="37" xfId="13" applyFont="1" applyBorder="1" applyAlignment="1">
      <alignment horizontal="center" vertical="center"/>
    </xf>
    <xf numFmtId="0" fontId="7" fillId="0" borderId="13" xfId="13" applyFont="1" applyBorder="1" applyAlignment="1">
      <alignment horizontal="center"/>
    </xf>
    <xf numFmtId="0" fontId="29" fillId="0" borderId="15" xfId="13" applyNumberFormat="1" applyFont="1" applyBorder="1" applyAlignment="1">
      <alignment horizontal="center"/>
    </xf>
    <xf numFmtId="0" fontId="30" fillId="0" borderId="10" xfId="13" applyFont="1" applyBorder="1" applyAlignment="1">
      <alignment horizontal="center" vertical="center" wrapText="1"/>
    </xf>
    <xf numFmtId="0" fontId="26" fillId="0" borderId="10" xfId="13" applyFont="1" applyBorder="1" applyAlignment="1">
      <alignment vertical="center"/>
    </xf>
    <xf numFmtId="0" fontId="25" fillId="0" borderId="12" xfId="13" applyFont="1" applyBorder="1" applyAlignment="1">
      <alignment horizontal="left" vertical="center" wrapText="1"/>
    </xf>
    <xf numFmtId="0" fontId="25" fillId="0" borderId="31" xfId="13" applyFont="1" applyBorder="1" applyAlignment="1">
      <alignment horizontal="left" vertical="center" wrapText="1"/>
    </xf>
    <xf numFmtId="0" fontId="25" fillId="0" borderId="32" xfId="13" applyFont="1" applyBorder="1" applyAlignment="1">
      <alignment horizontal="left" vertical="center" wrapText="1"/>
    </xf>
    <xf numFmtId="0" fontId="32" fillId="0" borderId="10" xfId="13" applyFont="1" applyBorder="1" applyAlignment="1">
      <alignment horizontal="left" vertical="center"/>
    </xf>
    <xf numFmtId="0" fontId="31" fillId="0" borderId="33" xfId="13" applyFont="1" applyBorder="1"/>
    <xf numFmtId="0" fontId="31" fillId="4" borderId="33" xfId="13" applyNumberFormat="1" applyFont="1" applyFill="1" applyBorder="1" applyAlignment="1">
      <alignment horizontal="left" vertical="justify" wrapText="1" indent="1"/>
    </xf>
    <xf numFmtId="0" fontId="31" fillId="4" borderId="0" xfId="13" applyNumberFormat="1" applyFont="1" applyFill="1" applyBorder="1" applyAlignment="1">
      <alignment horizontal="left" vertical="justify" wrapText="1" indent="1"/>
    </xf>
    <xf numFmtId="0" fontId="31" fillId="4" borderId="9" xfId="13" applyNumberFormat="1" applyFont="1" applyFill="1" applyBorder="1" applyAlignment="1">
      <alignment horizontal="left" vertical="justify" wrapText="1" indent="1"/>
    </xf>
    <xf numFmtId="0" fontId="33" fillId="0" borderId="36" xfId="13" applyFont="1" applyBorder="1" applyAlignment="1">
      <alignment horizontal="center" vertical="center"/>
    </xf>
    <xf numFmtId="0" fontId="7" fillId="0" borderId="43" xfId="13" applyBorder="1" applyAlignment="1">
      <alignment horizontal="left" vertical="center" wrapText="1"/>
    </xf>
    <xf numFmtId="0" fontId="7" fillId="0" borderId="43" xfId="13" applyFont="1" applyBorder="1" applyAlignment="1">
      <alignment horizontal="left" vertical="center" wrapText="1"/>
    </xf>
    <xf numFmtId="0" fontId="7" fillId="0" borderId="49" xfId="13" applyBorder="1" applyAlignment="1">
      <alignment horizontal="left" vertical="center"/>
    </xf>
    <xf numFmtId="0" fontId="7" fillId="0" borderId="49" xfId="13" applyFont="1" applyBorder="1" applyAlignment="1">
      <alignment horizontal="left" vertical="center"/>
    </xf>
    <xf numFmtId="0" fontId="7" fillId="0" borderId="52" xfId="13" applyBorder="1" applyAlignment="1">
      <alignment horizontal="left" vertical="center"/>
    </xf>
    <xf numFmtId="0" fontId="29" fillId="0" borderId="55" xfId="13" applyFont="1" applyBorder="1" applyAlignment="1">
      <alignment horizontal="left" vertical="center" wrapText="1"/>
    </xf>
    <xf numFmtId="0" fontId="7" fillId="0" borderId="36" xfId="13" applyBorder="1"/>
    <xf numFmtId="0" fontId="29" fillId="0" borderId="13" xfId="13" applyFont="1" applyBorder="1" applyAlignment="1">
      <alignment vertical="center" wrapText="1"/>
    </xf>
    <xf numFmtId="0" fontId="29" fillId="0" borderId="21" xfId="13" applyFont="1" applyBorder="1" applyAlignment="1">
      <alignment vertical="center" wrapText="1"/>
    </xf>
    <xf numFmtId="0" fontId="29" fillId="0" borderId="19" xfId="13" applyFont="1" applyBorder="1" applyAlignment="1">
      <alignment vertical="center" wrapText="1"/>
    </xf>
    <xf numFmtId="0" fontId="31" fillId="0" borderId="37" xfId="13" applyFont="1" applyBorder="1" applyAlignment="1">
      <alignment vertical="center" wrapText="1"/>
    </xf>
  </cellXfs>
  <cellStyles count="27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1" xr:uid="{00000000-0005-0000-0000-000007000000}"/>
    <cellStyle name="Moneda_AUTORIZACION Y NOTA DE PEDIDO" xfId="25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2" xr:uid="{00000000-0005-0000-0000-000011000000}"/>
    <cellStyle name="Normal 4" xfId="8" xr:uid="{00000000-0005-0000-0000-000012000000}"/>
    <cellStyle name="Normal 4 2" xfId="17" xr:uid="{00000000-0005-0000-0000-000013000000}"/>
    <cellStyle name="Normal 4 3" xfId="23" xr:uid="{00000000-0005-0000-0000-000014000000}"/>
    <cellStyle name="Normal 5" xfId="9" xr:uid="{00000000-0005-0000-0000-000015000000}"/>
    <cellStyle name="Normal 5 2" xfId="20" xr:uid="{00000000-0005-0000-0000-000016000000}"/>
    <cellStyle name="Normal 5 3" xfId="24" xr:uid="{00000000-0005-0000-0000-000017000000}"/>
    <cellStyle name="Normal 6" xfId="10" xr:uid="{00000000-0005-0000-0000-000018000000}"/>
    <cellStyle name="Normal 7" xfId="18" xr:uid="{00000000-0005-0000-0000-000019000000}"/>
    <cellStyle name="Normal 8" xfId="26" xr:uid="{00000000-0005-0000-0000-00001A000000}"/>
  </cellStyles>
  <dxfs count="17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3"/>
  <sheetViews>
    <sheetView tabSelected="1" topLeftCell="D8" zoomScale="80" zoomScaleNormal="80" workbookViewId="0">
      <selection activeCell="AU13" sqref="AU13"/>
    </sheetView>
  </sheetViews>
  <sheetFormatPr baseColWidth="10" defaultRowHeight="15" x14ac:dyDescent="0.25"/>
  <cols>
    <col min="1" max="1" width="9.140625" style="15" customWidth="1"/>
    <col min="2" max="2" width="21.5703125" style="14" customWidth="1"/>
    <col min="3" max="3" width="37.7109375" style="15" customWidth="1"/>
    <col min="4" max="4" width="8.42578125" style="3" customWidth="1"/>
    <col min="5" max="5" width="43" style="18" customWidth="1"/>
    <col min="6" max="6" width="20.140625" style="3" customWidth="1"/>
    <col min="7" max="7" width="16.42578125" style="3" hidden="1" customWidth="1"/>
    <col min="8" max="8" width="15.140625" style="3" hidden="1" customWidth="1"/>
    <col min="9" max="9" width="29.85546875" style="3" hidden="1" customWidth="1"/>
    <col min="10" max="10" width="22.85546875" style="3" hidden="1" customWidth="1"/>
    <col min="11" max="11" width="22.7109375" style="3" hidden="1" customWidth="1"/>
    <col min="12" max="12" width="21.140625" style="3" hidden="1" customWidth="1"/>
    <col min="13" max="13" width="20.7109375" style="6" hidden="1" customWidth="1"/>
    <col min="14" max="14" width="21.42578125" style="7" hidden="1" customWidth="1"/>
    <col min="15" max="15" width="24.140625" style="9" hidden="1" customWidth="1"/>
    <col min="16" max="16" width="24.28515625" style="3" hidden="1" customWidth="1"/>
    <col min="17" max="17" width="24.28515625" style="6" hidden="1" customWidth="1"/>
    <col min="18" max="18" width="24.42578125" style="3" hidden="1" customWidth="1"/>
    <col min="19" max="19" width="17.5703125" style="9" hidden="1" customWidth="1"/>
    <col min="20" max="20" width="21.85546875" style="20" hidden="1" customWidth="1"/>
    <col min="21" max="21" width="19.140625" style="6" hidden="1" customWidth="1"/>
    <col min="22" max="22" width="26.42578125" style="3" hidden="1" customWidth="1"/>
    <col min="23" max="23" width="25.42578125" style="9" hidden="1" customWidth="1"/>
    <col min="24" max="24" width="23" style="3" hidden="1" customWidth="1"/>
    <col min="25" max="25" width="23" style="9" hidden="1" customWidth="1"/>
    <col min="26" max="26" width="20.5703125" style="3" hidden="1" customWidth="1"/>
    <col min="27" max="27" width="15.42578125" style="9" hidden="1" customWidth="1"/>
    <col min="28" max="28" width="14.7109375" style="3" hidden="1" customWidth="1"/>
    <col min="29" max="29" width="14.28515625" style="9" hidden="1" customWidth="1"/>
    <col min="30" max="30" width="19.28515625" style="3" hidden="1" customWidth="1"/>
    <col min="31" max="31" width="16.28515625" style="9" hidden="1" customWidth="1"/>
    <col min="32" max="32" width="15" style="3" hidden="1" customWidth="1"/>
    <col min="33" max="33" width="17.7109375" style="9" hidden="1" customWidth="1"/>
    <col min="34" max="34" width="14.42578125" style="3" hidden="1" customWidth="1"/>
    <col min="35" max="35" width="16.28515625" style="9" hidden="1" customWidth="1"/>
    <col min="36" max="36" width="14.7109375" style="3" hidden="1" customWidth="1"/>
    <col min="37" max="37" width="19.140625" style="9" hidden="1" customWidth="1"/>
    <col min="38" max="38" width="24.140625" style="3" hidden="1" customWidth="1"/>
    <col min="39" max="39" width="15.5703125" style="9" hidden="1" customWidth="1"/>
    <col min="40" max="40" width="20.140625" style="3" hidden="1" customWidth="1"/>
    <col min="41" max="41" width="16.42578125" style="9" hidden="1" customWidth="1"/>
    <col min="42" max="42" width="26.85546875" style="3" hidden="1" customWidth="1"/>
    <col min="43" max="43" width="18.28515625" style="9" hidden="1" customWidth="1"/>
    <col min="44" max="44" width="28.7109375" style="3" hidden="1" customWidth="1"/>
    <col min="45" max="45" width="16.42578125" style="11" customWidth="1"/>
    <col min="46" max="46" width="16.5703125" style="109" bestFit="1" customWidth="1"/>
    <col min="47" max="47" width="27.7109375" style="13" customWidth="1"/>
    <col min="48" max="16384" width="11.42578125" style="1"/>
  </cols>
  <sheetData>
    <row r="1" spans="1:47" x14ac:dyDescent="0.25">
      <c r="A1" s="4">
        <v>2021</v>
      </c>
    </row>
    <row r="2" spans="1:47" ht="25.5" x14ac:dyDescent="0.35">
      <c r="B2" s="301" t="s">
        <v>15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2"/>
      <c r="AT2" s="303"/>
    </row>
    <row r="4" spans="1:47" ht="18" customHeight="1" x14ac:dyDescent="0.2">
      <c r="A4" s="300" t="s">
        <v>0</v>
      </c>
      <c r="B4" s="300"/>
      <c r="C4" s="304" t="s">
        <v>14</v>
      </c>
      <c r="D4" s="304"/>
      <c r="E4" s="304"/>
      <c r="F4" s="2"/>
      <c r="G4" s="2"/>
      <c r="H4" s="2"/>
      <c r="I4" s="2"/>
      <c r="J4" s="2"/>
      <c r="K4" s="2"/>
      <c r="L4" s="2"/>
      <c r="M4" s="5"/>
      <c r="N4" s="8"/>
      <c r="O4" s="10"/>
      <c r="P4" s="2"/>
      <c r="Q4" s="5"/>
      <c r="R4" s="2"/>
      <c r="S4" s="10"/>
      <c r="T4" s="34"/>
      <c r="U4" s="5"/>
      <c r="V4" s="2"/>
      <c r="W4" s="10"/>
      <c r="X4" s="2"/>
      <c r="Y4" s="10"/>
      <c r="Z4" s="2"/>
      <c r="AA4" s="10"/>
      <c r="AB4" s="2"/>
      <c r="AC4" s="10"/>
      <c r="AD4" s="2"/>
      <c r="AE4" s="10"/>
      <c r="AF4" s="2"/>
      <c r="AG4" s="10"/>
      <c r="AH4" s="2"/>
      <c r="AI4" s="10"/>
      <c r="AJ4" s="2"/>
      <c r="AK4" s="10"/>
      <c r="AL4" s="2"/>
      <c r="AM4" s="10"/>
      <c r="AN4" s="2"/>
      <c r="AO4" s="10"/>
      <c r="AP4" s="2"/>
      <c r="AQ4" s="10"/>
      <c r="AR4" s="2"/>
      <c r="AS4" s="12"/>
    </row>
    <row r="5" spans="1:47" ht="18" customHeight="1" x14ac:dyDescent="0.2">
      <c r="A5" s="300" t="s">
        <v>1</v>
      </c>
      <c r="B5" s="300"/>
      <c r="C5" s="304" t="s">
        <v>101</v>
      </c>
      <c r="D5" s="304"/>
      <c r="E5" s="304"/>
      <c r="F5" s="2"/>
      <c r="G5" s="2"/>
      <c r="H5" s="2"/>
      <c r="I5" s="2"/>
      <c r="J5" s="2"/>
      <c r="K5" s="2"/>
      <c r="L5" s="2"/>
      <c r="M5" s="5"/>
      <c r="N5" s="8"/>
      <c r="O5" s="10"/>
      <c r="P5" s="2"/>
      <c r="Q5" s="5"/>
      <c r="R5" s="2"/>
      <c r="S5" s="10"/>
      <c r="T5" s="34"/>
      <c r="U5" s="5"/>
      <c r="V5" s="2"/>
      <c r="W5" s="10"/>
      <c r="X5" s="2"/>
      <c r="Y5" s="10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2"/>
      <c r="AQ5" s="10"/>
      <c r="AR5" s="2"/>
      <c r="AS5" s="12"/>
    </row>
    <row r="6" spans="1:47" ht="16.5" customHeight="1" x14ac:dyDescent="0.2">
      <c r="A6" s="300" t="s">
        <v>2</v>
      </c>
      <c r="B6" s="300"/>
      <c r="C6" s="49">
        <v>2021</v>
      </c>
      <c r="D6" s="50"/>
      <c r="E6" s="50"/>
      <c r="F6" s="2"/>
      <c r="G6" s="2"/>
      <c r="H6" s="2"/>
      <c r="I6" s="2"/>
      <c r="J6" s="2"/>
      <c r="K6" s="2"/>
      <c r="L6" s="2"/>
      <c r="M6" s="5"/>
      <c r="N6" s="8"/>
      <c r="O6" s="10"/>
      <c r="P6" s="2"/>
      <c r="Q6" s="5"/>
      <c r="R6" s="2"/>
      <c r="S6" s="10"/>
      <c r="T6" s="34"/>
      <c r="U6" s="5"/>
      <c r="V6" s="2"/>
      <c r="W6" s="10"/>
      <c r="X6" s="2"/>
      <c r="Y6" s="10"/>
      <c r="Z6" s="2"/>
      <c r="AA6" s="10"/>
      <c r="AB6" s="2"/>
      <c r="AC6" s="10"/>
      <c r="AD6" s="2"/>
      <c r="AE6" s="10"/>
      <c r="AF6" s="2"/>
      <c r="AG6" s="10"/>
      <c r="AH6" s="2"/>
      <c r="AI6" s="10"/>
      <c r="AJ6" s="2"/>
      <c r="AK6" s="10"/>
      <c r="AL6" s="2"/>
      <c r="AM6" s="10"/>
      <c r="AN6" s="2"/>
      <c r="AO6" s="10"/>
      <c r="AP6" s="2"/>
      <c r="AQ6" s="10"/>
      <c r="AR6" s="2"/>
      <c r="AS6" s="12"/>
    </row>
    <row r="7" spans="1:47" ht="31.5" customHeight="1" x14ac:dyDescent="0.2">
      <c r="A7" s="300" t="s">
        <v>3</v>
      </c>
      <c r="B7" s="300"/>
      <c r="C7" s="49" t="s">
        <v>554</v>
      </c>
      <c r="D7" s="50"/>
      <c r="E7" s="50"/>
      <c r="F7" s="2"/>
      <c r="G7" s="2"/>
      <c r="H7" s="2"/>
      <c r="I7" s="2"/>
      <c r="J7" s="2"/>
      <c r="K7" s="2"/>
      <c r="L7" s="2"/>
      <c r="M7" s="5"/>
      <c r="N7" s="8"/>
      <c r="O7" s="10"/>
      <c r="P7" s="2"/>
      <c r="Q7" s="5"/>
      <c r="R7" s="2"/>
      <c r="S7" s="10"/>
      <c r="T7" s="34"/>
      <c r="U7" s="5"/>
      <c r="V7" s="2"/>
      <c r="W7" s="10"/>
      <c r="X7" s="2"/>
      <c r="Y7" s="10"/>
      <c r="Z7" s="2"/>
      <c r="AA7" s="10"/>
      <c r="AB7" s="2"/>
      <c r="AC7" s="10"/>
      <c r="AD7" s="2"/>
      <c r="AE7" s="10"/>
      <c r="AF7" s="2"/>
      <c r="AG7" s="10"/>
      <c r="AH7" s="2"/>
      <c r="AI7" s="10"/>
      <c r="AJ7" s="2"/>
      <c r="AK7" s="10"/>
      <c r="AL7" s="2"/>
      <c r="AM7" s="10"/>
      <c r="AN7" s="2"/>
      <c r="AO7" s="10"/>
      <c r="AP7" s="2"/>
      <c r="AQ7" s="10"/>
      <c r="AR7" s="2"/>
      <c r="AS7" s="12"/>
    </row>
    <row r="8" spans="1:47" ht="2.25" customHeight="1" x14ac:dyDescent="0.25">
      <c r="B8" s="16"/>
      <c r="C8" s="17"/>
      <c r="D8" s="2"/>
      <c r="E8" s="17"/>
      <c r="F8" s="2"/>
      <c r="G8" s="2"/>
      <c r="H8" s="2"/>
      <c r="I8" s="2"/>
      <c r="J8" s="2"/>
      <c r="K8" s="2"/>
      <c r="L8" s="2"/>
      <c r="M8" s="5"/>
      <c r="N8" s="8"/>
      <c r="O8" s="10"/>
      <c r="P8" s="2"/>
      <c r="Q8" s="5"/>
      <c r="R8" s="2"/>
      <c r="S8" s="10"/>
      <c r="T8" s="34"/>
      <c r="U8" s="5"/>
      <c r="V8" s="2"/>
      <c r="W8" s="10"/>
      <c r="X8" s="2"/>
      <c r="Y8" s="10"/>
      <c r="Z8" s="2"/>
      <c r="AA8" s="10"/>
      <c r="AB8" s="2"/>
      <c r="AC8" s="10"/>
      <c r="AD8" s="2"/>
      <c r="AE8" s="10"/>
      <c r="AF8" s="2"/>
      <c r="AG8" s="10"/>
      <c r="AH8" s="2"/>
      <c r="AI8" s="10"/>
      <c r="AJ8" s="2"/>
      <c r="AK8" s="10"/>
      <c r="AL8" s="2"/>
      <c r="AM8" s="10"/>
      <c r="AN8" s="2"/>
      <c r="AO8" s="10"/>
      <c r="AP8" s="2"/>
      <c r="AQ8" s="10"/>
      <c r="AR8" s="2"/>
      <c r="AS8" s="12"/>
    </row>
    <row r="9" spans="1:47" s="36" customFormat="1" ht="57" x14ac:dyDescent="0.2">
      <c r="A9" s="37" t="s">
        <v>4</v>
      </c>
      <c r="B9" s="37" t="s">
        <v>5</v>
      </c>
      <c r="C9" s="38" t="s">
        <v>6</v>
      </c>
      <c r="D9" s="37" t="s">
        <v>7</v>
      </c>
      <c r="E9" s="38" t="s">
        <v>8</v>
      </c>
      <c r="F9" s="38" t="s">
        <v>9</v>
      </c>
      <c r="G9" s="38" t="s">
        <v>59</v>
      </c>
      <c r="H9" s="38" t="s">
        <v>60</v>
      </c>
      <c r="I9" s="38" t="s">
        <v>57</v>
      </c>
      <c r="J9" s="38" t="s">
        <v>58</v>
      </c>
      <c r="K9" s="38" t="s">
        <v>17</v>
      </c>
      <c r="L9" s="38" t="s">
        <v>18</v>
      </c>
      <c r="M9" s="39" t="s">
        <v>19</v>
      </c>
      <c r="N9" s="40" t="s">
        <v>20</v>
      </c>
      <c r="O9" s="41" t="s">
        <v>22</v>
      </c>
      <c r="P9" s="38" t="s">
        <v>23</v>
      </c>
      <c r="Q9" s="39" t="s">
        <v>24</v>
      </c>
      <c r="R9" s="38" t="s">
        <v>25</v>
      </c>
      <c r="S9" s="41" t="s">
        <v>26</v>
      </c>
      <c r="T9" s="42" t="s">
        <v>27</v>
      </c>
      <c r="U9" s="39" t="s">
        <v>28</v>
      </c>
      <c r="V9" s="38" t="s">
        <v>29</v>
      </c>
      <c r="W9" s="41" t="s">
        <v>30</v>
      </c>
      <c r="X9" s="38" t="s">
        <v>31</v>
      </c>
      <c r="Y9" s="41" t="s">
        <v>32</v>
      </c>
      <c r="Z9" s="38" t="s">
        <v>33</v>
      </c>
      <c r="AA9" s="41" t="s">
        <v>34</v>
      </c>
      <c r="AB9" s="38" t="s">
        <v>35</v>
      </c>
      <c r="AC9" s="43" t="s">
        <v>38</v>
      </c>
      <c r="AD9" s="38" t="s">
        <v>39</v>
      </c>
      <c r="AE9" s="41" t="s">
        <v>40</v>
      </c>
      <c r="AF9" s="38" t="s">
        <v>41</v>
      </c>
      <c r="AG9" s="41" t="s">
        <v>42</v>
      </c>
      <c r="AH9" s="38" t="s">
        <v>43</v>
      </c>
      <c r="AI9" s="41" t="s">
        <v>44</v>
      </c>
      <c r="AJ9" s="38" t="s">
        <v>45</v>
      </c>
      <c r="AK9" s="41" t="s">
        <v>46</v>
      </c>
      <c r="AL9" s="38" t="s">
        <v>47</v>
      </c>
      <c r="AM9" s="43" t="s">
        <v>48</v>
      </c>
      <c r="AN9" s="38" t="s">
        <v>49</v>
      </c>
      <c r="AO9" s="41" t="s">
        <v>50</v>
      </c>
      <c r="AP9" s="38" t="s">
        <v>51</v>
      </c>
      <c r="AQ9" s="41" t="s">
        <v>53</v>
      </c>
      <c r="AR9" s="38" t="s">
        <v>54</v>
      </c>
      <c r="AS9" s="41" t="s">
        <v>16</v>
      </c>
      <c r="AT9" s="110" t="s">
        <v>10</v>
      </c>
      <c r="AU9" s="44" t="s">
        <v>11</v>
      </c>
    </row>
    <row r="10" spans="1:47" s="35" customFormat="1" ht="33.75" hidden="1" customHeight="1" x14ac:dyDescent="0.25">
      <c r="A10" s="26">
        <v>1</v>
      </c>
      <c r="B10" s="27" t="s">
        <v>36</v>
      </c>
      <c r="C10" s="26" t="s">
        <v>13</v>
      </c>
      <c r="D10" s="21" t="s">
        <v>52</v>
      </c>
      <c r="E10" s="28" t="s">
        <v>37</v>
      </c>
      <c r="F10" s="29" t="s">
        <v>12</v>
      </c>
      <c r="G10" s="45"/>
      <c r="H10" s="22">
        <f>+G10*AR10</f>
        <v>0</v>
      </c>
      <c r="I10" s="46">
        <v>0</v>
      </c>
      <c r="J10" s="22">
        <f>+I10*AT10</f>
        <v>0</v>
      </c>
      <c r="K10" s="24"/>
      <c r="L10" s="30"/>
      <c r="M10" s="31"/>
      <c r="N10" s="30"/>
      <c r="O10" s="32"/>
      <c r="P10" s="30"/>
      <c r="Q10" s="31"/>
      <c r="R10" s="30"/>
      <c r="S10" s="32"/>
      <c r="T10" s="19"/>
      <c r="U10" s="31"/>
      <c r="V10" s="30"/>
      <c r="W10" s="25"/>
      <c r="X10" s="30"/>
      <c r="Y10" s="32">
        <v>400</v>
      </c>
      <c r="Z10" s="30">
        <f>+Y10*AT10</f>
        <v>2400000</v>
      </c>
      <c r="AA10" s="32"/>
      <c r="AB10" s="30"/>
      <c r="AC10" s="48"/>
      <c r="AD10" s="30"/>
      <c r="AE10" s="32"/>
      <c r="AF10" s="30"/>
      <c r="AG10" s="32"/>
      <c r="AH10" s="30"/>
      <c r="AI10" s="32"/>
      <c r="AJ10" s="30"/>
      <c r="AK10" s="32"/>
      <c r="AL10" s="30"/>
      <c r="AM10" s="47"/>
      <c r="AN10" s="30"/>
      <c r="AO10" s="33"/>
      <c r="AP10" s="30"/>
      <c r="AQ10" s="32"/>
      <c r="AR10" s="30"/>
      <c r="AS10" s="23">
        <f>+AQ10+AO10+AM10+AK10+AI10+AG10+AE10+AC10+AA10+Y10+W10+U10+S10+Q10+O10+M10+K10+I10</f>
        <v>400</v>
      </c>
      <c r="AT10" s="113">
        <v>6000</v>
      </c>
      <c r="AU10" s="112">
        <f>+AS10*AT10</f>
        <v>2400000</v>
      </c>
    </row>
    <row r="11" spans="1:47" s="35" customFormat="1" ht="103.5" customHeight="1" x14ac:dyDescent="0.25">
      <c r="A11" s="26">
        <v>1</v>
      </c>
      <c r="B11" s="28" t="s">
        <v>55</v>
      </c>
      <c r="C11" s="26" t="s">
        <v>13</v>
      </c>
      <c r="D11" s="21" t="s">
        <v>52</v>
      </c>
      <c r="E11" s="28" t="s">
        <v>56</v>
      </c>
      <c r="F11" s="29" t="s">
        <v>21</v>
      </c>
      <c r="G11" s="45"/>
      <c r="H11" s="22">
        <f>+G11*AR11</f>
        <v>0</v>
      </c>
      <c r="I11" s="46">
        <v>2500</v>
      </c>
      <c r="J11" s="22">
        <f>+I11*AT11</f>
        <v>269250</v>
      </c>
      <c r="K11" s="24"/>
      <c r="L11" s="30"/>
      <c r="M11" s="31">
        <v>200</v>
      </c>
      <c r="N11" s="30">
        <f>+M11*AT11</f>
        <v>21540</v>
      </c>
      <c r="O11" s="32">
        <v>1112</v>
      </c>
      <c r="P11" s="30">
        <f>+O11*AT11</f>
        <v>119762.40000000001</v>
      </c>
      <c r="Q11" s="31">
        <f>99000/AT11</f>
        <v>919.22005571030638</v>
      </c>
      <c r="R11" s="30">
        <f>+Q11*AT11</f>
        <v>99000</v>
      </c>
      <c r="S11" s="32"/>
      <c r="T11" s="19"/>
      <c r="U11" s="31"/>
      <c r="V11" s="30"/>
      <c r="W11" s="32">
        <v>15837</v>
      </c>
      <c r="X11" s="30">
        <f>+W11*AT11</f>
        <v>1705644.9000000001</v>
      </c>
      <c r="Y11" s="32">
        <v>1000</v>
      </c>
      <c r="Z11" s="30">
        <f>+Y11*AT11</f>
        <v>107700</v>
      </c>
      <c r="AA11" s="32">
        <v>3650</v>
      </c>
      <c r="AB11" s="30">
        <f>+AA11*AT11</f>
        <v>393105</v>
      </c>
      <c r="AC11" s="48">
        <v>2200</v>
      </c>
      <c r="AD11" s="30">
        <f>+AC11*AT11</f>
        <v>236940</v>
      </c>
      <c r="AE11" s="32">
        <v>5275</v>
      </c>
      <c r="AF11" s="30">
        <f>+AE11*AT11</f>
        <v>568117.5</v>
      </c>
      <c r="AG11" s="32">
        <v>2534</v>
      </c>
      <c r="AH11" s="30">
        <f>+AG11*AT11</f>
        <v>272911.8</v>
      </c>
      <c r="AI11" s="32"/>
      <c r="AJ11" s="30"/>
      <c r="AK11" s="32">
        <v>2500</v>
      </c>
      <c r="AL11" s="30">
        <f>+AK11*AT11</f>
        <v>269250</v>
      </c>
      <c r="AM11" s="47"/>
      <c r="AN11" s="30">
        <f>+AM11*AT11</f>
        <v>0</v>
      </c>
      <c r="AO11" s="33">
        <v>900</v>
      </c>
      <c r="AP11" s="30">
        <f>+AO11*AT11</f>
        <v>96930</v>
      </c>
      <c r="AQ11" s="32">
        <f>+AR11/AT11</f>
        <v>101280.40854224698</v>
      </c>
      <c r="AR11" s="30">
        <f>900000+900000+400000+500000+380000+500000+600000+500000+866900+1537000+900000+1764000+600000+200000+360000</f>
        <v>10907900</v>
      </c>
      <c r="AS11" s="23">
        <f>+'NP DPAS'!K12</f>
        <v>27855</v>
      </c>
      <c r="AT11" s="111">
        <v>107.7</v>
      </c>
      <c r="AU11" s="112">
        <f>+AS11*AT11</f>
        <v>2999983.5</v>
      </c>
    </row>
    <row r="13" spans="1:47" ht="15.75" thickBot="1" x14ac:dyDescent="0.3"/>
    <row r="14" spans="1:47" ht="75" customHeight="1" x14ac:dyDescent="0.2">
      <c r="B14" s="119" t="s">
        <v>549</v>
      </c>
      <c r="C14" s="296" t="s">
        <v>553</v>
      </c>
      <c r="D14" s="296"/>
      <c r="E14" s="296"/>
      <c r="F14" s="297"/>
    </row>
    <row r="15" spans="1:47" ht="22.5" customHeight="1" x14ac:dyDescent="0.2">
      <c r="B15" s="305" t="s">
        <v>548</v>
      </c>
      <c r="C15" s="306"/>
      <c r="D15" s="306"/>
      <c r="E15" s="306"/>
      <c r="F15" s="307"/>
    </row>
    <row r="16" spans="1:47" ht="18.75" customHeight="1" x14ac:dyDescent="0.2">
      <c r="B16" s="136"/>
      <c r="C16" s="137"/>
      <c r="D16" s="137"/>
      <c r="E16" s="137"/>
      <c r="F16" s="138"/>
    </row>
    <row r="17" spans="2:6" ht="18.75" customHeight="1" x14ac:dyDescent="0.25">
      <c r="B17" s="120" t="s">
        <v>104</v>
      </c>
      <c r="C17" s="121" t="s">
        <v>555</v>
      </c>
      <c r="D17" s="122"/>
      <c r="E17" s="123"/>
      <c r="F17" s="124"/>
    </row>
    <row r="18" spans="2:6" ht="18.75" customHeight="1" x14ac:dyDescent="0.25">
      <c r="B18" s="120"/>
      <c r="C18" s="125"/>
      <c r="D18" s="122"/>
      <c r="E18" s="123"/>
      <c r="F18" s="124"/>
    </row>
    <row r="19" spans="2:6" ht="18.75" customHeight="1" x14ac:dyDescent="0.25">
      <c r="B19" s="120" t="s">
        <v>105</v>
      </c>
      <c r="C19" s="298" t="s">
        <v>547</v>
      </c>
      <c r="D19" s="298"/>
      <c r="E19" s="298"/>
      <c r="F19" s="299"/>
    </row>
    <row r="20" spans="2:6" ht="18.75" customHeight="1" x14ac:dyDescent="0.25">
      <c r="B20" s="120"/>
      <c r="C20" s="298"/>
      <c r="D20" s="298"/>
      <c r="E20" s="298"/>
      <c r="F20" s="299"/>
    </row>
    <row r="21" spans="2:6" ht="36" customHeight="1" x14ac:dyDescent="0.25">
      <c r="B21" s="126" t="s">
        <v>106</v>
      </c>
      <c r="C21" s="127"/>
      <c r="D21" s="128"/>
      <c r="E21" s="129"/>
      <c r="F21" s="130"/>
    </row>
    <row r="22" spans="2:6" ht="18.75" customHeight="1" x14ac:dyDescent="0.25">
      <c r="B22" s="126"/>
      <c r="C22" s="127"/>
      <c r="D22" s="128"/>
      <c r="E22" s="129"/>
      <c r="F22" s="130"/>
    </row>
    <row r="23" spans="2:6" ht="18.75" customHeight="1" thickBot="1" x14ac:dyDescent="0.3">
      <c r="B23" s="131" t="s">
        <v>107</v>
      </c>
      <c r="C23" s="132" t="s">
        <v>108</v>
      </c>
      <c r="D23" s="133"/>
      <c r="E23" s="134"/>
      <c r="F23" s="135"/>
    </row>
  </sheetData>
  <sortState xmlns:xlrd2="http://schemas.microsoft.com/office/spreadsheetml/2017/richdata2" ref="A10:AV12">
    <sortCondition ref="E10"/>
  </sortState>
  <mergeCells count="11">
    <mergeCell ref="C14:F14"/>
    <mergeCell ref="C19:F19"/>
    <mergeCell ref="C20:F20"/>
    <mergeCell ref="A6:B6"/>
    <mergeCell ref="B2:AT2"/>
    <mergeCell ref="A4:B4"/>
    <mergeCell ref="C4:E4"/>
    <mergeCell ref="A5:B5"/>
    <mergeCell ref="C5:E5"/>
    <mergeCell ref="A7:B7"/>
    <mergeCell ref="B15:F15"/>
  </mergeCells>
  <conditionalFormatting sqref="B10">
    <cfRule type="duplicateValues" dxfId="16" priority="108"/>
  </conditionalFormatting>
  <conditionalFormatting sqref="E10">
    <cfRule type="duplicateValues" dxfId="15" priority="107"/>
  </conditionalFormatting>
  <conditionalFormatting sqref="E10">
    <cfRule type="duplicateValues" dxfId="14" priority="109"/>
    <cfRule type="duplicateValues" dxfId="13" priority="110"/>
  </conditionalFormatting>
  <conditionalFormatting sqref="B10 E10">
    <cfRule type="duplicateValues" dxfId="12" priority="111"/>
  </conditionalFormatting>
  <conditionalFormatting sqref="B10">
    <cfRule type="duplicateValues" dxfId="11" priority="112"/>
  </conditionalFormatting>
  <conditionalFormatting sqref="B11">
    <cfRule type="duplicateValues" dxfId="10" priority="102"/>
  </conditionalFormatting>
  <conditionalFormatting sqref="E11">
    <cfRule type="duplicateValues" dxfId="9" priority="101"/>
  </conditionalFormatting>
  <conditionalFormatting sqref="E11">
    <cfRule type="duplicateValues" dxfId="8" priority="103"/>
    <cfRule type="duplicateValues" dxfId="7" priority="104"/>
  </conditionalFormatting>
  <conditionalFormatting sqref="B11 E11">
    <cfRule type="duplicateValues" dxfId="6" priority="105"/>
  </conditionalFormatting>
  <conditionalFormatting sqref="B11">
    <cfRule type="duplicateValues" dxfId="5" priority="106"/>
  </conditionalFormatting>
  <conditionalFormatting sqref="B1:B9 B12:B1048576">
    <cfRule type="duplicateValues" dxfId="4" priority="13047"/>
  </conditionalFormatting>
  <conditionalFormatting sqref="E16:E1048576 E1:E9 E12:E14">
    <cfRule type="duplicateValues" dxfId="3" priority="13051"/>
  </conditionalFormatting>
  <conditionalFormatting sqref="E16:E1048576 E1:E9 E12:E14">
    <cfRule type="duplicateValues" dxfId="2" priority="13088"/>
    <cfRule type="duplicateValues" dxfId="1" priority="13089"/>
  </conditionalFormatting>
  <conditionalFormatting sqref="E16:E1048576 B1:B9 E1:E9 E12:E14 B12:B1048576">
    <cfRule type="duplicateValues" dxfId="0" priority="13090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9"/>
  <sheetViews>
    <sheetView workbookViewId="0">
      <selection activeCell="A190" sqref="A190:XFD274"/>
    </sheetView>
  </sheetViews>
  <sheetFormatPr baseColWidth="10" defaultRowHeight="12.75" x14ac:dyDescent="0.2"/>
  <cols>
    <col min="1" max="1" width="46.5703125" style="66" bestFit="1" customWidth="1"/>
    <col min="2" max="2" width="11.7109375" style="66" bestFit="1" customWidth="1"/>
    <col min="3" max="3" width="19.28515625" style="66" bestFit="1" customWidth="1"/>
    <col min="4" max="4" width="20.85546875" style="66" bestFit="1" customWidth="1"/>
    <col min="5" max="6" width="11.42578125" style="66"/>
    <col min="7" max="7" width="20.140625" style="66" bestFit="1" customWidth="1"/>
    <col min="8" max="16384" width="11.42578125" style="66"/>
  </cols>
  <sheetData>
    <row r="1" spans="1:13" ht="19.5" thickBot="1" x14ac:dyDescent="0.35">
      <c r="A1" s="311" t="s">
        <v>110</v>
      </c>
      <c r="B1" s="311"/>
      <c r="C1" s="311"/>
      <c r="D1" s="311"/>
      <c r="E1" s="311"/>
      <c r="F1" s="311"/>
      <c r="G1" s="312"/>
      <c r="H1" s="143"/>
      <c r="I1" s="144"/>
      <c r="J1" s="144"/>
      <c r="K1" s="144"/>
      <c r="L1" s="144"/>
      <c r="M1" s="144"/>
    </row>
    <row r="2" spans="1:13" ht="13.5" thickBot="1" x14ac:dyDescent="0.25">
      <c r="A2" s="313"/>
      <c r="B2" s="313"/>
      <c r="C2" s="313"/>
      <c r="D2" s="144"/>
      <c r="E2" s="144"/>
      <c r="F2" s="144"/>
      <c r="G2" s="144"/>
      <c r="H2" s="144"/>
      <c r="I2" s="144"/>
      <c r="J2" s="144"/>
      <c r="K2" s="144"/>
      <c r="L2" s="144"/>
      <c r="M2" s="144"/>
    </row>
    <row r="3" spans="1:13" ht="13.5" thickBot="1" x14ac:dyDescent="0.25">
      <c r="A3" s="314" t="s">
        <v>111</v>
      </c>
      <c r="B3" s="315"/>
      <c r="C3" s="315"/>
      <c r="D3" s="315"/>
      <c r="E3" s="316"/>
      <c r="F3" s="144"/>
      <c r="G3" s="144"/>
      <c r="H3" s="144"/>
      <c r="I3" s="144"/>
      <c r="J3" s="144"/>
      <c r="K3" s="144"/>
      <c r="L3" s="144"/>
      <c r="M3" s="144"/>
    </row>
    <row r="4" spans="1:13" ht="13.5" thickBot="1" x14ac:dyDescent="0.25">
      <c r="A4" s="144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</row>
    <row r="5" spans="1:13" ht="13.5" thickBot="1" x14ac:dyDescent="0.25">
      <c r="A5" s="145" t="s">
        <v>112</v>
      </c>
      <c r="B5" s="145" t="s">
        <v>113</v>
      </c>
      <c r="C5" s="145" t="s">
        <v>114</v>
      </c>
      <c r="D5" s="145" t="s">
        <v>115</v>
      </c>
      <c r="E5" s="145" t="s">
        <v>116</v>
      </c>
      <c r="F5" s="144"/>
      <c r="G5" s="144"/>
      <c r="H5" s="144"/>
      <c r="I5" s="144"/>
      <c r="J5" s="144"/>
      <c r="K5" s="144"/>
      <c r="L5" s="144"/>
      <c r="M5" s="144"/>
    </row>
    <row r="6" spans="1:13" x14ac:dyDescent="0.2">
      <c r="A6" s="146" t="s">
        <v>117</v>
      </c>
      <c r="B6" s="147" t="s">
        <v>118</v>
      </c>
      <c r="C6" s="148" t="s">
        <v>119</v>
      </c>
      <c r="D6" s="149" t="s">
        <v>120</v>
      </c>
      <c r="E6" s="150">
        <v>2007</v>
      </c>
      <c r="F6" s="144"/>
      <c r="G6" s="144"/>
      <c r="H6" s="144"/>
      <c r="I6" s="144"/>
      <c r="J6" s="144"/>
      <c r="K6" s="144"/>
      <c r="L6" s="144"/>
      <c r="M6" s="144"/>
    </row>
    <row r="7" spans="1:13" x14ac:dyDescent="0.2">
      <c r="A7" s="146" t="s">
        <v>121</v>
      </c>
      <c r="B7" s="147" t="s">
        <v>122</v>
      </c>
      <c r="C7" s="151" t="s">
        <v>123</v>
      </c>
      <c r="D7" s="151" t="s">
        <v>124</v>
      </c>
      <c r="E7" s="150">
        <v>2008</v>
      </c>
      <c r="F7" s="144"/>
      <c r="G7" s="144"/>
      <c r="H7" s="144"/>
      <c r="I7" s="144"/>
      <c r="J7" s="144"/>
      <c r="K7" s="144"/>
      <c r="L7" s="144"/>
      <c r="M7" s="144"/>
    </row>
    <row r="8" spans="1:13" x14ac:dyDescent="0.2">
      <c r="A8" s="152" t="s">
        <v>125</v>
      </c>
      <c r="B8" s="153" t="s">
        <v>126</v>
      </c>
      <c r="C8" s="154" t="s">
        <v>127</v>
      </c>
      <c r="D8" s="149" t="s">
        <v>128</v>
      </c>
      <c r="E8" s="155">
        <v>2011</v>
      </c>
      <c r="F8" s="144"/>
      <c r="G8" s="144"/>
      <c r="H8" s="144"/>
      <c r="I8" s="144"/>
      <c r="J8" s="144"/>
      <c r="K8" s="144"/>
      <c r="L8" s="144"/>
      <c r="M8" s="144"/>
    </row>
    <row r="9" spans="1:13" x14ac:dyDescent="0.2">
      <c r="A9" s="156" t="s">
        <v>129</v>
      </c>
      <c r="B9" s="157" t="s">
        <v>130</v>
      </c>
      <c r="C9" s="158">
        <v>36071580</v>
      </c>
      <c r="D9" s="159" t="s">
        <v>131</v>
      </c>
      <c r="E9" s="160">
        <v>2010</v>
      </c>
      <c r="F9" s="144"/>
      <c r="G9" s="144"/>
      <c r="H9" s="144"/>
      <c r="I9" s="144"/>
      <c r="J9" s="144"/>
      <c r="K9" s="144"/>
      <c r="L9" s="144"/>
      <c r="M9" s="144"/>
    </row>
    <row r="10" spans="1:13" x14ac:dyDescent="0.2">
      <c r="A10" s="161" t="s">
        <v>132</v>
      </c>
      <c r="B10" s="157" t="s">
        <v>133</v>
      </c>
      <c r="C10" s="158" t="s">
        <v>134</v>
      </c>
      <c r="D10" s="159" t="s">
        <v>135</v>
      </c>
      <c r="E10" s="160">
        <v>2012</v>
      </c>
      <c r="F10" s="144"/>
      <c r="G10" s="144"/>
      <c r="H10" s="144"/>
      <c r="I10" s="144"/>
      <c r="J10" s="144"/>
      <c r="K10" s="144"/>
      <c r="L10" s="144"/>
      <c r="M10" s="144"/>
    </row>
    <row r="11" spans="1:13" x14ac:dyDescent="0.2">
      <c r="A11" s="162" t="s">
        <v>136</v>
      </c>
      <c r="B11" s="157" t="s">
        <v>137</v>
      </c>
      <c r="C11" s="158">
        <v>7173538</v>
      </c>
      <c r="D11" s="159" t="s">
        <v>138</v>
      </c>
      <c r="E11" s="160">
        <v>2013</v>
      </c>
      <c r="F11" s="144"/>
      <c r="G11" s="144"/>
      <c r="H11" s="144"/>
      <c r="I11" s="144"/>
      <c r="J11" s="144"/>
      <c r="K11" s="144"/>
      <c r="L11" s="144"/>
      <c r="M11" s="144"/>
    </row>
    <row r="12" spans="1:13" x14ac:dyDescent="0.2">
      <c r="A12" s="162" t="s">
        <v>139</v>
      </c>
      <c r="B12" s="157" t="s">
        <v>140</v>
      </c>
      <c r="C12" s="158">
        <v>61198170074458</v>
      </c>
      <c r="D12" s="159" t="s">
        <v>141</v>
      </c>
      <c r="E12" s="160">
        <v>2008</v>
      </c>
      <c r="F12" s="144"/>
      <c r="G12" s="144"/>
      <c r="H12" s="144"/>
      <c r="I12" s="144"/>
      <c r="J12" s="144"/>
      <c r="K12" s="144"/>
      <c r="L12" s="144"/>
      <c r="M12" s="144"/>
    </row>
    <row r="13" spans="1:13" x14ac:dyDescent="0.2">
      <c r="A13" s="163" t="s">
        <v>142</v>
      </c>
      <c r="B13" s="157" t="s">
        <v>143</v>
      </c>
      <c r="C13" s="158" t="s">
        <v>144</v>
      </c>
      <c r="D13" s="159" t="s">
        <v>145</v>
      </c>
      <c r="E13" s="160">
        <v>2012</v>
      </c>
      <c r="F13" s="144"/>
      <c r="G13" s="144"/>
      <c r="H13" s="144"/>
      <c r="I13" s="144"/>
      <c r="J13" s="144"/>
      <c r="K13" s="144"/>
      <c r="L13" s="144"/>
      <c r="M13" s="144"/>
    </row>
    <row r="14" spans="1:13" x14ac:dyDescent="0.2">
      <c r="A14" s="161" t="s">
        <v>146</v>
      </c>
      <c r="B14" s="157" t="s">
        <v>147</v>
      </c>
      <c r="C14" s="159" t="s">
        <v>148</v>
      </c>
      <c r="D14" s="159" t="s">
        <v>149</v>
      </c>
      <c r="E14" s="160">
        <v>2007</v>
      </c>
      <c r="F14" s="144"/>
      <c r="G14" s="144"/>
      <c r="H14" s="144"/>
      <c r="I14" s="144"/>
      <c r="J14" s="144"/>
      <c r="K14" s="144"/>
      <c r="L14" s="144"/>
      <c r="M14" s="144"/>
    </row>
    <row r="15" spans="1:13" x14ac:dyDescent="0.2">
      <c r="A15" s="162" t="s">
        <v>150</v>
      </c>
      <c r="B15" s="157" t="s">
        <v>151</v>
      </c>
      <c r="C15" s="158" t="s">
        <v>152</v>
      </c>
      <c r="D15" s="159" t="s">
        <v>153</v>
      </c>
      <c r="E15" s="160">
        <v>2008</v>
      </c>
      <c r="F15" s="144"/>
      <c r="G15" s="144"/>
      <c r="H15" s="144"/>
      <c r="I15" s="144"/>
      <c r="J15" s="144"/>
      <c r="K15" s="144"/>
      <c r="L15" s="144"/>
      <c r="M15" s="144"/>
    </row>
    <row r="16" spans="1:13" x14ac:dyDescent="0.2">
      <c r="A16" s="162" t="s">
        <v>154</v>
      </c>
      <c r="B16" s="157" t="s">
        <v>155</v>
      </c>
      <c r="C16" s="158" t="s">
        <v>156</v>
      </c>
      <c r="D16" s="159" t="s">
        <v>157</v>
      </c>
      <c r="E16" s="160">
        <v>2008</v>
      </c>
      <c r="F16" s="144"/>
      <c r="G16" s="144"/>
      <c r="H16" s="144"/>
      <c r="I16" s="144"/>
      <c r="J16" s="144"/>
      <c r="K16" s="144"/>
      <c r="L16" s="144"/>
      <c r="M16" s="144"/>
    </row>
    <row r="17" spans="1:13" x14ac:dyDescent="0.2">
      <c r="A17" s="156" t="s">
        <v>158</v>
      </c>
      <c r="B17" s="157" t="s">
        <v>159</v>
      </c>
      <c r="C17" s="158">
        <v>7250765</v>
      </c>
      <c r="D17" s="159" t="s">
        <v>160</v>
      </c>
      <c r="E17" s="160">
        <v>2016</v>
      </c>
      <c r="F17" s="144"/>
      <c r="G17" s="144"/>
      <c r="H17" s="144"/>
      <c r="I17" s="144"/>
      <c r="J17" s="144"/>
      <c r="K17" s="144"/>
      <c r="L17" s="144"/>
      <c r="M17" s="144"/>
    </row>
    <row r="18" spans="1:13" x14ac:dyDescent="0.2">
      <c r="A18" s="164" t="s">
        <v>158</v>
      </c>
      <c r="B18" s="165" t="s">
        <v>161</v>
      </c>
      <c r="C18" s="154">
        <v>7250728</v>
      </c>
      <c r="D18" s="149" t="s">
        <v>162</v>
      </c>
      <c r="E18" s="155">
        <v>2016</v>
      </c>
      <c r="F18" s="144"/>
      <c r="G18" s="144"/>
      <c r="H18" s="144"/>
      <c r="I18" s="144"/>
      <c r="J18" s="144"/>
      <c r="K18" s="144"/>
      <c r="L18" s="144"/>
      <c r="M18" s="144"/>
    </row>
    <row r="19" spans="1:13" x14ac:dyDescent="0.2">
      <c r="A19" s="156" t="s">
        <v>163</v>
      </c>
      <c r="B19" s="157" t="s">
        <v>164</v>
      </c>
      <c r="C19" s="158" t="s">
        <v>165</v>
      </c>
      <c r="D19" s="159" t="s">
        <v>166</v>
      </c>
      <c r="E19" s="160">
        <v>2017</v>
      </c>
      <c r="F19" s="144"/>
      <c r="G19" s="144"/>
      <c r="H19" s="144"/>
      <c r="I19" s="144"/>
      <c r="J19" s="144"/>
      <c r="K19" s="144"/>
      <c r="L19" s="144"/>
      <c r="M19" s="144"/>
    </row>
    <row r="20" spans="1:13" ht="13.5" thickBot="1" x14ac:dyDescent="0.25">
      <c r="A20" s="166" t="s">
        <v>121</v>
      </c>
      <c r="B20" s="167" t="s">
        <v>167</v>
      </c>
      <c r="C20" s="168" t="s">
        <v>168</v>
      </c>
      <c r="D20" s="169" t="s">
        <v>169</v>
      </c>
      <c r="E20" s="170">
        <v>2020</v>
      </c>
      <c r="F20" s="144"/>
      <c r="G20" s="144"/>
      <c r="H20" s="144"/>
      <c r="I20" s="144"/>
      <c r="J20" s="144"/>
      <c r="K20" s="144"/>
      <c r="L20" s="144"/>
      <c r="M20" s="144"/>
    </row>
    <row r="21" spans="1:13" ht="13.5" thickBot="1" x14ac:dyDescent="0.25">
      <c r="A21" s="171"/>
      <c r="B21" s="165"/>
      <c r="C21" s="172"/>
      <c r="D21" s="165"/>
      <c r="E21" s="165"/>
      <c r="F21" s="144"/>
      <c r="G21" s="144"/>
      <c r="H21" s="144"/>
      <c r="I21" s="144"/>
      <c r="J21" s="144"/>
      <c r="K21" s="144"/>
      <c r="L21" s="144"/>
      <c r="M21" s="144"/>
    </row>
    <row r="22" spans="1:13" ht="13.5" thickBot="1" x14ac:dyDescent="0.25">
      <c r="A22" s="314" t="s">
        <v>170</v>
      </c>
      <c r="B22" s="315"/>
      <c r="C22" s="315"/>
      <c r="D22" s="315"/>
      <c r="E22" s="316"/>
      <c r="F22" s="144"/>
      <c r="G22" s="144"/>
      <c r="H22" s="144"/>
      <c r="I22" s="144"/>
      <c r="J22" s="144"/>
      <c r="K22" s="144"/>
      <c r="L22" s="144"/>
      <c r="M22" s="144"/>
    </row>
    <row r="23" spans="1:13" ht="13.5" thickBot="1" x14ac:dyDescent="0.25">
      <c r="A23" s="144"/>
      <c r="B23" s="144"/>
      <c r="C23" s="173"/>
      <c r="D23" s="173"/>
      <c r="E23" s="144"/>
      <c r="F23" s="144"/>
      <c r="G23" s="144"/>
      <c r="H23" s="144"/>
      <c r="I23" s="144"/>
      <c r="J23" s="144"/>
      <c r="K23" s="144"/>
      <c r="L23" s="144"/>
      <c r="M23" s="144"/>
    </row>
    <row r="24" spans="1:13" ht="13.5" thickBot="1" x14ac:dyDescent="0.25">
      <c r="A24" s="145" t="s">
        <v>112</v>
      </c>
      <c r="B24" s="145" t="s">
        <v>113</v>
      </c>
      <c r="C24" s="145" t="s">
        <v>114</v>
      </c>
      <c r="D24" s="174" t="s">
        <v>115</v>
      </c>
      <c r="E24" s="145" t="s">
        <v>116</v>
      </c>
      <c r="F24" s="144"/>
      <c r="G24" s="144"/>
      <c r="H24" s="144"/>
      <c r="I24" s="144"/>
      <c r="J24" s="144"/>
      <c r="K24" s="144"/>
      <c r="L24" s="144"/>
      <c r="M24" s="144"/>
    </row>
    <row r="25" spans="1:13" x14ac:dyDescent="0.2">
      <c r="A25" s="175" t="s">
        <v>171</v>
      </c>
      <c r="B25" s="176" t="s">
        <v>172</v>
      </c>
      <c r="C25" s="177">
        <v>7250726</v>
      </c>
      <c r="D25" s="176" t="s">
        <v>173</v>
      </c>
      <c r="E25" s="176">
        <v>2016</v>
      </c>
      <c r="F25" s="144"/>
      <c r="G25" s="144"/>
      <c r="H25" s="144"/>
      <c r="I25" s="144"/>
      <c r="J25" s="144"/>
      <c r="K25" s="144"/>
      <c r="L25" s="144"/>
      <c r="M25" s="144"/>
    </row>
    <row r="26" spans="1:13" x14ac:dyDescent="0.2">
      <c r="A26" s="178" t="s">
        <v>171</v>
      </c>
      <c r="B26" s="160" t="s">
        <v>174</v>
      </c>
      <c r="C26" s="159">
        <v>7250640</v>
      </c>
      <c r="D26" s="160" t="s">
        <v>175</v>
      </c>
      <c r="E26" s="160">
        <v>2016</v>
      </c>
      <c r="F26" s="144"/>
      <c r="G26" s="144"/>
      <c r="H26" s="144"/>
      <c r="I26" s="144"/>
      <c r="J26" s="144"/>
      <c r="K26" s="144"/>
      <c r="L26" s="144"/>
      <c r="M26" s="144"/>
    </row>
    <row r="27" spans="1:13" x14ac:dyDescent="0.2">
      <c r="A27" s="179" t="s">
        <v>176</v>
      </c>
      <c r="B27" s="150" t="s">
        <v>177</v>
      </c>
      <c r="C27" s="180" t="s">
        <v>178</v>
      </c>
      <c r="D27" s="150" t="s">
        <v>179</v>
      </c>
      <c r="E27" s="181">
        <v>2014</v>
      </c>
      <c r="F27" s="144"/>
      <c r="G27" s="144"/>
      <c r="H27" s="144"/>
      <c r="I27" s="144"/>
      <c r="J27" s="144"/>
      <c r="K27" s="144"/>
      <c r="L27" s="144"/>
      <c r="M27" s="144"/>
    </row>
    <row r="28" spans="1:13" x14ac:dyDescent="0.2">
      <c r="A28" s="182" t="s">
        <v>180</v>
      </c>
      <c r="B28" s="160" t="s">
        <v>181</v>
      </c>
      <c r="C28" s="183" t="s">
        <v>182</v>
      </c>
      <c r="D28" s="184" t="s">
        <v>183</v>
      </c>
      <c r="E28" s="185">
        <v>2007</v>
      </c>
      <c r="F28" s="144"/>
      <c r="G28" s="144"/>
      <c r="H28" s="144"/>
      <c r="I28" s="144"/>
      <c r="J28" s="144"/>
      <c r="K28" s="144"/>
      <c r="L28" s="144"/>
      <c r="M28" s="144"/>
    </row>
    <row r="29" spans="1:13" x14ac:dyDescent="0.2">
      <c r="A29" s="182" t="s">
        <v>184</v>
      </c>
      <c r="B29" s="160" t="s">
        <v>185</v>
      </c>
      <c r="C29" s="183" t="s">
        <v>186</v>
      </c>
      <c r="D29" s="184" t="s">
        <v>187</v>
      </c>
      <c r="E29" s="185">
        <v>2007</v>
      </c>
      <c r="F29" s="144"/>
      <c r="G29" s="144"/>
      <c r="H29" s="144"/>
      <c r="I29" s="144"/>
      <c r="J29" s="144"/>
      <c r="K29" s="144"/>
      <c r="L29" s="144"/>
      <c r="M29" s="144"/>
    </row>
    <row r="30" spans="1:13" x14ac:dyDescent="0.2">
      <c r="A30" s="182" t="s">
        <v>188</v>
      </c>
      <c r="B30" s="160" t="s">
        <v>189</v>
      </c>
      <c r="C30" s="157">
        <v>37344067044</v>
      </c>
      <c r="D30" s="184" t="s">
        <v>190</v>
      </c>
      <c r="E30" s="185">
        <v>2005</v>
      </c>
      <c r="F30" s="144"/>
      <c r="G30" s="144"/>
      <c r="H30" s="144"/>
      <c r="I30" s="144"/>
      <c r="J30" s="144"/>
      <c r="K30" s="144"/>
      <c r="L30" s="144"/>
      <c r="M30" s="144"/>
    </row>
    <row r="31" spans="1:13" ht="13.5" thickBot="1" x14ac:dyDescent="0.25">
      <c r="A31" s="186" t="s">
        <v>191</v>
      </c>
      <c r="B31" s="170" t="s">
        <v>192</v>
      </c>
      <c r="C31" s="187" t="s">
        <v>193</v>
      </c>
      <c r="D31" s="188" t="s">
        <v>194</v>
      </c>
      <c r="E31" s="189">
        <v>2007</v>
      </c>
      <c r="F31" s="144"/>
      <c r="G31" s="144"/>
      <c r="H31" s="144"/>
      <c r="I31" s="144"/>
      <c r="J31" s="144"/>
      <c r="K31" s="144"/>
      <c r="L31" s="144"/>
      <c r="M31" s="144"/>
    </row>
    <row r="32" spans="1:13" ht="13.5" thickBot="1" x14ac:dyDescent="0.25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</row>
    <row r="33" spans="1:13" ht="13.5" thickBot="1" x14ac:dyDescent="0.25">
      <c r="A33" s="314" t="s">
        <v>195</v>
      </c>
      <c r="B33" s="315"/>
      <c r="C33" s="315"/>
      <c r="D33" s="315"/>
      <c r="E33" s="316"/>
      <c r="F33" s="144"/>
      <c r="G33" s="144"/>
      <c r="H33" s="144"/>
      <c r="I33" s="144"/>
      <c r="J33" s="144"/>
      <c r="K33" s="144"/>
      <c r="L33" s="144"/>
      <c r="M33" s="144"/>
    </row>
    <row r="34" spans="1:13" ht="13.5" thickBot="1" x14ac:dyDescent="0.25">
      <c r="A34" s="144"/>
      <c r="B34" s="190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3" ht="13.5" thickBot="1" x14ac:dyDescent="0.25">
      <c r="A35" s="191" t="s">
        <v>112</v>
      </c>
      <c r="B35" s="191" t="s">
        <v>113</v>
      </c>
      <c r="C35" s="191" t="s">
        <v>114</v>
      </c>
      <c r="D35" s="191" t="s">
        <v>115</v>
      </c>
      <c r="E35" s="191" t="s">
        <v>116</v>
      </c>
      <c r="F35" s="144"/>
      <c r="G35" s="144"/>
      <c r="H35" s="144"/>
      <c r="I35" s="144"/>
      <c r="J35" s="144"/>
      <c r="K35" s="144"/>
      <c r="L35" s="144"/>
      <c r="M35" s="144"/>
    </row>
    <row r="36" spans="1:13" x14ac:dyDescent="0.2">
      <c r="A36" s="192" t="s">
        <v>196</v>
      </c>
      <c r="B36" s="193" t="s">
        <v>197</v>
      </c>
      <c r="C36" s="194" t="s">
        <v>198</v>
      </c>
      <c r="D36" s="193" t="s">
        <v>199</v>
      </c>
      <c r="E36" s="193">
        <v>2007</v>
      </c>
      <c r="F36" s="144"/>
      <c r="G36" s="144"/>
      <c r="H36" s="144"/>
      <c r="I36" s="144"/>
      <c r="J36" s="144"/>
      <c r="K36" s="144"/>
      <c r="L36" s="144"/>
      <c r="M36" s="144"/>
    </row>
    <row r="37" spans="1:13" x14ac:dyDescent="0.2">
      <c r="A37" s="195" t="s">
        <v>200</v>
      </c>
      <c r="B37" s="196" t="s">
        <v>201</v>
      </c>
      <c r="C37" s="197" t="s">
        <v>202</v>
      </c>
      <c r="D37" s="196" t="s">
        <v>203</v>
      </c>
      <c r="E37" s="196">
        <v>2007</v>
      </c>
      <c r="F37" s="144"/>
      <c r="G37" s="144"/>
      <c r="H37" s="144"/>
      <c r="I37" s="144"/>
      <c r="J37" s="144"/>
      <c r="K37" s="144"/>
      <c r="L37" s="144"/>
      <c r="M37" s="144"/>
    </row>
    <row r="38" spans="1:13" x14ac:dyDescent="0.2">
      <c r="A38" s="163" t="s">
        <v>204</v>
      </c>
      <c r="B38" s="160" t="s">
        <v>205</v>
      </c>
      <c r="C38" s="160">
        <v>7251288</v>
      </c>
      <c r="D38" s="198" t="s">
        <v>206</v>
      </c>
      <c r="E38" s="160">
        <v>2016</v>
      </c>
      <c r="F38" s="144"/>
      <c r="G38" s="144"/>
      <c r="H38" s="144"/>
      <c r="I38" s="144"/>
      <c r="J38" s="144"/>
      <c r="K38" s="144"/>
      <c r="L38" s="144"/>
      <c r="M38" s="144"/>
    </row>
    <row r="39" spans="1:13" x14ac:dyDescent="0.2">
      <c r="A39" s="163" t="s">
        <v>207</v>
      </c>
      <c r="B39" s="160" t="s">
        <v>208</v>
      </c>
      <c r="C39" s="160" t="s">
        <v>209</v>
      </c>
      <c r="D39" s="198" t="s">
        <v>210</v>
      </c>
      <c r="E39" s="160">
        <v>2013</v>
      </c>
      <c r="F39" s="144"/>
      <c r="G39" s="144"/>
      <c r="H39" s="144"/>
      <c r="I39" s="144"/>
      <c r="J39" s="144"/>
      <c r="K39" s="144"/>
      <c r="L39" s="144"/>
      <c r="M39" s="144"/>
    </row>
    <row r="40" spans="1:13" x14ac:dyDescent="0.2">
      <c r="A40" s="195" t="s">
        <v>211</v>
      </c>
      <c r="B40" s="196" t="s">
        <v>212</v>
      </c>
      <c r="C40" s="196">
        <v>10520880</v>
      </c>
      <c r="D40" s="197" t="s">
        <v>213</v>
      </c>
      <c r="E40" s="196">
        <v>1998</v>
      </c>
      <c r="F40" s="144"/>
      <c r="G40" s="144"/>
      <c r="H40" s="144"/>
      <c r="I40" s="144"/>
      <c r="J40" s="144"/>
      <c r="K40" s="144"/>
      <c r="L40" s="144"/>
      <c r="M40" s="144"/>
    </row>
    <row r="41" spans="1:13" ht="13.5" thickBot="1" x14ac:dyDescent="0.25">
      <c r="A41" s="166" t="s">
        <v>214</v>
      </c>
      <c r="B41" s="170" t="s">
        <v>215</v>
      </c>
      <c r="C41" s="170">
        <v>40704192268</v>
      </c>
      <c r="D41" s="170" t="s">
        <v>216</v>
      </c>
      <c r="E41" s="170">
        <v>2014</v>
      </c>
      <c r="F41" s="144"/>
      <c r="G41" s="144"/>
      <c r="H41" s="144"/>
      <c r="I41" s="144"/>
      <c r="J41" s="144"/>
      <c r="K41" s="144"/>
      <c r="L41" s="144"/>
      <c r="M41" s="144"/>
    </row>
    <row r="42" spans="1:13" x14ac:dyDescent="0.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</row>
    <row r="43" spans="1:13" ht="13.5" thickBot="1" x14ac:dyDescent="0.25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</row>
    <row r="44" spans="1:13" ht="13.5" thickBot="1" x14ac:dyDescent="0.25">
      <c r="A44" s="309"/>
      <c r="B44" s="309"/>
      <c r="C44" s="309"/>
      <c r="D44" s="309"/>
      <c r="E44" s="310"/>
      <c r="F44" s="144"/>
      <c r="G44" s="144"/>
      <c r="H44" s="144"/>
      <c r="I44" s="144"/>
      <c r="J44" s="144"/>
      <c r="K44" s="144"/>
      <c r="L44" s="144"/>
      <c r="M44" s="144"/>
    </row>
    <row r="45" spans="1:13" ht="13.5" thickBot="1" x14ac:dyDescent="0.2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</row>
    <row r="46" spans="1:13" ht="13.5" thickBot="1" x14ac:dyDescent="0.25">
      <c r="A46" s="191" t="s">
        <v>112</v>
      </c>
      <c r="B46" s="191" t="s">
        <v>113</v>
      </c>
      <c r="C46" s="191" t="s">
        <v>114</v>
      </c>
      <c r="D46" s="191" t="s">
        <v>115</v>
      </c>
      <c r="E46" s="191" t="s">
        <v>116</v>
      </c>
      <c r="F46" s="144"/>
      <c r="G46" s="144"/>
      <c r="H46" s="144"/>
      <c r="I46" s="144"/>
      <c r="J46" s="144"/>
      <c r="K46" s="144"/>
      <c r="L46" s="144"/>
      <c r="M46" s="144"/>
    </row>
    <row r="47" spans="1:13" x14ac:dyDescent="0.2">
      <c r="A47" s="199" t="s">
        <v>217</v>
      </c>
      <c r="B47" s="176" t="s">
        <v>218</v>
      </c>
      <c r="C47" s="176" t="s">
        <v>219</v>
      </c>
      <c r="D47" s="176" t="s">
        <v>220</v>
      </c>
      <c r="E47" s="176">
        <v>2007</v>
      </c>
      <c r="F47" s="144"/>
      <c r="G47" s="144"/>
      <c r="H47" s="144"/>
      <c r="I47" s="144"/>
      <c r="J47" s="144"/>
      <c r="K47" s="144"/>
      <c r="L47" s="144"/>
      <c r="M47" s="144"/>
    </row>
    <row r="48" spans="1:13" x14ac:dyDescent="0.2">
      <c r="A48" s="156" t="s">
        <v>221</v>
      </c>
      <c r="B48" s="160" t="s">
        <v>222</v>
      </c>
      <c r="C48" s="160" t="s">
        <v>223</v>
      </c>
      <c r="D48" s="160" t="s">
        <v>224</v>
      </c>
      <c r="E48" s="160">
        <v>2007</v>
      </c>
      <c r="F48" s="144"/>
      <c r="G48" s="144"/>
      <c r="H48" s="144"/>
      <c r="I48" s="144"/>
      <c r="J48" s="144"/>
      <c r="K48" s="144"/>
      <c r="L48" s="144"/>
      <c r="M48" s="144"/>
    </row>
    <row r="49" spans="1:13" x14ac:dyDescent="0.2">
      <c r="A49" s="156" t="s">
        <v>225</v>
      </c>
      <c r="B49" s="160" t="s">
        <v>226</v>
      </c>
      <c r="C49" s="160">
        <v>40704192255</v>
      </c>
      <c r="D49" s="160" t="s">
        <v>227</v>
      </c>
      <c r="E49" s="160">
        <v>1999</v>
      </c>
      <c r="F49" s="144"/>
      <c r="G49" s="144"/>
      <c r="H49" s="144"/>
      <c r="I49" s="144"/>
      <c r="J49" s="144"/>
      <c r="K49" s="144"/>
      <c r="L49" s="144"/>
      <c r="M49" s="144"/>
    </row>
    <row r="50" spans="1:13" x14ac:dyDescent="0.2">
      <c r="A50" s="152" t="s">
        <v>211</v>
      </c>
      <c r="B50" s="196" t="s">
        <v>228</v>
      </c>
      <c r="C50" s="200" t="s">
        <v>229</v>
      </c>
      <c r="D50" s="196" t="s">
        <v>230</v>
      </c>
      <c r="E50" s="196">
        <v>2000</v>
      </c>
      <c r="F50" s="144"/>
      <c r="G50" s="144"/>
      <c r="H50" s="144"/>
      <c r="I50" s="144"/>
      <c r="J50" s="144"/>
      <c r="K50" s="144"/>
      <c r="L50" s="144"/>
      <c r="M50" s="144"/>
    </row>
    <row r="51" spans="1:13" x14ac:dyDescent="0.2">
      <c r="A51" s="201" t="s">
        <v>231</v>
      </c>
      <c r="B51" s="196" t="s">
        <v>232</v>
      </c>
      <c r="C51" s="196" t="s">
        <v>233</v>
      </c>
      <c r="D51" s="196" t="s">
        <v>234</v>
      </c>
      <c r="E51" s="196">
        <v>2013</v>
      </c>
      <c r="F51" s="144"/>
      <c r="G51" s="144"/>
      <c r="H51" s="144"/>
      <c r="I51" s="144"/>
      <c r="J51" s="144"/>
      <c r="K51" s="144"/>
      <c r="L51" s="144"/>
      <c r="M51" s="144"/>
    </row>
    <row r="52" spans="1:13" x14ac:dyDescent="0.2">
      <c r="A52" s="152" t="s">
        <v>235</v>
      </c>
      <c r="B52" s="196" t="s">
        <v>236</v>
      </c>
      <c r="C52" s="196">
        <v>7250638</v>
      </c>
      <c r="D52" s="196" t="s">
        <v>237</v>
      </c>
      <c r="E52" s="196">
        <v>2016</v>
      </c>
      <c r="F52" s="144"/>
      <c r="G52" s="144"/>
      <c r="H52" s="144"/>
      <c r="I52" s="144"/>
      <c r="J52" s="144"/>
      <c r="K52" s="144"/>
      <c r="L52" s="144"/>
      <c r="M52" s="144"/>
    </row>
    <row r="53" spans="1:13" x14ac:dyDescent="0.2">
      <c r="A53" s="152" t="s">
        <v>238</v>
      </c>
      <c r="B53" s="196" t="s">
        <v>239</v>
      </c>
      <c r="C53" s="196" t="s">
        <v>240</v>
      </c>
      <c r="D53" s="196" t="s">
        <v>241</v>
      </c>
      <c r="E53" s="196">
        <v>2018</v>
      </c>
      <c r="F53" s="144"/>
      <c r="G53" s="144"/>
      <c r="H53" s="144"/>
      <c r="I53" s="144"/>
      <c r="J53" s="144"/>
      <c r="K53" s="144"/>
      <c r="L53" s="144"/>
      <c r="M53" s="144"/>
    </row>
    <row r="54" spans="1:13" x14ac:dyDescent="0.2">
      <c r="A54" s="152" t="s">
        <v>238</v>
      </c>
      <c r="B54" s="196" t="s">
        <v>242</v>
      </c>
      <c r="C54" s="196" t="s">
        <v>243</v>
      </c>
      <c r="D54" s="196" t="s">
        <v>244</v>
      </c>
      <c r="E54" s="196">
        <v>2018</v>
      </c>
      <c r="F54" s="144"/>
      <c r="G54" s="144"/>
      <c r="H54" s="144"/>
      <c r="I54" s="144"/>
      <c r="J54" s="144"/>
      <c r="K54" s="144"/>
      <c r="L54" s="144"/>
      <c r="M54" s="144"/>
    </row>
    <row r="55" spans="1:13" ht="13.5" thickBot="1" x14ac:dyDescent="0.25">
      <c r="A55" s="202" t="s">
        <v>245</v>
      </c>
      <c r="B55" s="170" t="s">
        <v>246</v>
      </c>
      <c r="C55" s="167" t="s">
        <v>247</v>
      </c>
      <c r="D55" s="170" t="s">
        <v>248</v>
      </c>
      <c r="E55" s="170">
        <v>2021</v>
      </c>
      <c r="F55" s="144"/>
      <c r="G55" s="144"/>
      <c r="H55" s="144"/>
      <c r="I55" s="144"/>
      <c r="J55" s="144"/>
      <c r="K55" s="144"/>
      <c r="L55" s="144"/>
      <c r="M55" s="144"/>
    </row>
    <row r="56" spans="1:13" x14ac:dyDescent="0.2">
      <c r="A56" s="203"/>
      <c r="B56" s="165"/>
      <c r="C56" s="165"/>
      <c r="D56" s="165"/>
      <c r="E56" s="165"/>
      <c r="F56" s="144"/>
      <c r="G56" s="144"/>
      <c r="H56" s="144"/>
      <c r="I56" s="144"/>
      <c r="J56" s="144"/>
      <c r="K56" s="144"/>
      <c r="L56" s="144"/>
      <c r="M56" s="144"/>
    </row>
    <row r="57" spans="1:13" ht="13.5" thickBot="1" x14ac:dyDescent="0.25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</row>
    <row r="58" spans="1:13" ht="13.5" thickBot="1" x14ac:dyDescent="0.25">
      <c r="A58" s="308" t="s">
        <v>249</v>
      </c>
      <c r="B58" s="309"/>
      <c r="C58" s="309"/>
      <c r="D58" s="309"/>
      <c r="E58" s="310"/>
      <c r="F58" s="144"/>
      <c r="G58" s="144"/>
      <c r="H58" s="144"/>
      <c r="I58" s="144"/>
      <c r="J58" s="144"/>
      <c r="K58" s="144"/>
      <c r="L58" s="144"/>
      <c r="M58" s="144"/>
    </row>
    <row r="59" spans="1:13" ht="13.5" thickBot="1" x14ac:dyDescent="0.25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</row>
    <row r="60" spans="1:13" ht="13.5" thickBot="1" x14ac:dyDescent="0.25">
      <c r="A60" s="145" t="s">
        <v>112</v>
      </c>
      <c r="B60" s="145" t="s">
        <v>113</v>
      </c>
      <c r="C60" s="145" t="s">
        <v>114</v>
      </c>
      <c r="D60" s="145" t="s">
        <v>115</v>
      </c>
      <c r="E60" s="145" t="s">
        <v>116</v>
      </c>
      <c r="F60" s="144"/>
      <c r="G60" s="144"/>
      <c r="H60" s="144"/>
      <c r="I60" s="144"/>
      <c r="J60" s="144"/>
      <c r="K60" s="144"/>
      <c r="L60" s="144"/>
      <c r="M60" s="144"/>
    </row>
    <row r="61" spans="1:13" x14ac:dyDescent="0.2">
      <c r="A61" s="204" t="s">
        <v>250</v>
      </c>
      <c r="B61" s="205" t="s">
        <v>251</v>
      </c>
      <c r="C61" s="176">
        <v>7167190</v>
      </c>
      <c r="D61" s="205" t="s">
        <v>252</v>
      </c>
      <c r="E61" s="176">
        <v>2013</v>
      </c>
      <c r="F61" s="144"/>
      <c r="G61" s="144"/>
      <c r="H61" s="144"/>
      <c r="I61" s="144"/>
      <c r="J61" s="144"/>
      <c r="K61" s="144"/>
      <c r="L61" s="144"/>
      <c r="M61" s="144"/>
    </row>
    <row r="62" spans="1:13" x14ac:dyDescent="0.2">
      <c r="A62" s="156" t="s">
        <v>253</v>
      </c>
      <c r="B62" s="206" t="s">
        <v>254</v>
      </c>
      <c r="C62" s="207" t="s">
        <v>255</v>
      </c>
      <c r="D62" s="208" t="s">
        <v>256</v>
      </c>
      <c r="E62" s="209">
        <v>2013</v>
      </c>
      <c r="F62" s="144"/>
      <c r="G62" s="144"/>
      <c r="H62" s="144"/>
      <c r="I62" s="144"/>
      <c r="J62" s="144"/>
      <c r="K62" s="144"/>
      <c r="L62" s="144"/>
      <c r="M62" s="144"/>
    </row>
    <row r="63" spans="1:13" x14ac:dyDescent="0.2">
      <c r="A63" s="210" t="s">
        <v>257</v>
      </c>
      <c r="B63" s="211" t="s">
        <v>258</v>
      </c>
      <c r="C63" s="212" t="s">
        <v>259</v>
      </c>
      <c r="D63" s="213" t="s">
        <v>260</v>
      </c>
      <c r="E63" s="212">
        <v>2016</v>
      </c>
      <c r="F63" s="144"/>
      <c r="G63" s="144"/>
      <c r="H63" s="144"/>
      <c r="I63" s="144"/>
      <c r="J63" s="144"/>
      <c r="K63" s="144"/>
      <c r="L63" s="144"/>
      <c r="M63" s="144"/>
    </row>
    <row r="64" spans="1:13" x14ac:dyDescent="0.2">
      <c r="A64" s="214" t="s">
        <v>250</v>
      </c>
      <c r="B64" s="215" t="s">
        <v>261</v>
      </c>
      <c r="C64" s="216">
        <v>7250657</v>
      </c>
      <c r="D64" s="217" t="s">
        <v>262</v>
      </c>
      <c r="E64" s="216">
        <v>2016</v>
      </c>
      <c r="F64" s="144"/>
      <c r="G64" s="144"/>
      <c r="H64" s="144"/>
      <c r="I64" s="144"/>
      <c r="J64" s="144"/>
      <c r="K64" s="144"/>
      <c r="L64" s="144"/>
      <c r="M64" s="144"/>
    </row>
    <row r="65" spans="1:13" ht="25.5" x14ac:dyDescent="0.2">
      <c r="A65" s="156" t="s">
        <v>263</v>
      </c>
      <c r="B65" s="185" t="s">
        <v>264</v>
      </c>
      <c r="C65" s="184" t="s">
        <v>265</v>
      </c>
      <c r="D65" s="218" t="s">
        <v>266</v>
      </c>
      <c r="E65" s="160">
        <v>2006</v>
      </c>
      <c r="F65" s="144"/>
      <c r="G65" s="144"/>
      <c r="H65" s="144"/>
      <c r="I65" s="144"/>
      <c r="J65" s="144"/>
      <c r="K65" s="144"/>
      <c r="L65" s="144"/>
      <c r="M65" s="144"/>
    </row>
    <row r="66" spans="1:13" x14ac:dyDescent="0.2">
      <c r="A66" s="152" t="s">
        <v>267</v>
      </c>
      <c r="B66" s="219" t="s">
        <v>268</v>
      </c>
      <c r="C66" s="220" t="s">
        <v>269</v>
      </c>
      <c r="D66" s="221" t="s">
        <v>270</v>
      </c>
      <c r="E66" s="222">
        <v>2004</v>
      </c>
      <c r="F66" s="144"/>
      <c r="G66" s="144"/>
      <c r="H66" s="144"/>
      <c r="I66" s="144"/>
      <c r="J66" s="144"/>
      <c r="K66" s="144"/>
      <c r="L66" s="144"/>
      <c r="M66" s="144"/>
    </row>
    <row r="67" spans="1:13" ht="13.5" thickBot="1" x14ac:dyDescent="0.25">
      <c r="A67" s="223" t="s">
        <v>245</v>
      </c>
      <c r="B67" s="224" t="s">
        <v>271</v>
      </c>
      <c r="C67" s="225" t="s">
        <v>272</v>
      </c>
      <c r="D67" s="226" t="s">
        <v>273</v>
      </c>
      <c r="E67" s="227">
        <v>2021</v>
      </c>
      <c r="F67" s="144"/>
      <c r="G67" s="144"/>
      <c r="H67" s="144"/>
      <c r="I67" s="144"/>
      <c r="J67" s="144"/>
      <c r="K67" s="144"/>
      <c r="L67" s="144"/>
      <c r="M67" s="144"/>
    </row>
    <row r="68" spans="1:13" x14ac:dyDescent="0.2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</row>
    <row r="69" spans="1:13" ht="13.5" thickBot="1" x14ac:dyDescent="0.2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</row>
    <row r="70" spans="1:13" ht="13.5" thickBot="1" x14ac:dyDescent="0.25">
      <c r="A70" s="308" t="s">
        <v>274</v>
      </c>
      <c r="B70" s="309"/>
      <c r="C70" s="309"/>
      <c r="D70" s="309"/>
      <c r="E70" s="310"/>
      <c r="F70" s="144"/>
      <c r="G70" s="144"/>
      <c r="H70" s="144"/>
      <c r="I70" s="144"/>
      <c r="J70" s="144"/>
      <c r="K70" s="144"/>
      <c r="L70" s="144"/>
      <c r="M70" s="144"/>
    </row>
    <row r="71" spans="1:13" ht="13.5" thickBot="1" x14ac:dyDescent="0.25">
      <c r="A71" s="144"/>
      <c r="B71" s="190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</row>
    <row r="72" spans="1:13" ht="13.5" thickBot="1" x14ac:dyDescent="0.25">
      <c r="A72" s="145" t="s">
        <v>112</v>
      </c>
      <c r="B72" s="145" t="s">
        <v>113</v>
      </c>
      <c r="C72" s="145" t="s">
        <v>114</v>
      </c>
      <c r="D72" s="145" t="s">
        <v>115</v>
      </c>
      <c r="E72" s="145" t="s">
        <v>116</v>
      </c>
      <c r="F72" s="144"/>
      <c r="G72" s="144"/>
      <c r="H72" s="144"/>
      <c r="I72" s="144"/>
      <c r="J72" s="144"/>
      <c r="K72" s="144"/>
      <c r="L72" s="144"/>
      <c r="M72" s="144"/>
    </row>
    <row r="73" spans="1:13" x14ac:dyDescent="0.2">
      <c r="A73" s="179" t="s">
        <v>275</v>
      </c>
      <c r="B73" s="150" t="s">
        <v>276</v>
      </c>
      <c r="C73" s="147" t="s">
        <v>277</v>
      </c>
      <c r="D73" s="150" t="s">
        <v>278</v>
      </c>
      <c r="E73" s="150">
        <v>2012</v>
      </c>
      <c r="F73" s="144"/>
      <c r="G73" s="144"/>
      <c r="H73" s="144"/>
      <c r="I73" s="144"/>
      <c r="J73" s="144"/>
      <c r="K73" s="144"/>
      <c r="L73" s="144"/>
      <c r="M73" s="144"/>
    </row>
    <row r="74" spans="1:13" x14ac:dyDescent="0.2">
      <c r="A74" s="182" t="s">
        <v>235</v>
      </c>
      <c r="B74" s="212" t="s">
        <v>279</v>
      </c>
      <c r="C74" s="228">
        <v>7250764</v>
      </c>
      <c r="D74" s="160" t="s">
        <v>280</v>
      </c>
      <c r="E74" s="160">
        <v>2016</v>
      </c>
      <c r="F74" s="144"/>
      <c r="G74" s="144"/>
      <c r="H74" s="144"/>
      <c r="I74" s="144"/>
      <c r="J74" s="144"/>
      <c r="K74" s="144"/>
      <c r="L74" s="144"/>
      <c r="M74" s="144"/>
    </row>
    <row r="75" spans="1:13" x14ac:dyDescent="0.2">
      <c r="A75" s="229" t="s">
        <v>235</v>
      </c>
      <c r="B75" s="230" t="s">
        <v>281</v>
      </c>
      <c r="C75" s="231">
        <v>7250709</v>
      </c>
      <c r="D75" s="196" t="s">
        <v>282</v>
      </c>
      <c r="E75" s="196">
        <v>2016</v>
      </c>
      <c r="F75" s="144"/>
      <c r="G75" s="144"/>
      <c r="H75" s="144"/>
      <c r="I75" s="144"/>
      <c r="J75" s="144"/>
      <c r="K75" s="144"/>
      <c r="L75" s="144"/>
      <c r="M75" s="144"/>
    </row>
    <row r="76" spans="1:13" x14ac:dyDescent="0.2">
      <c r="A76" s="182" t="s">
        <v>283</v>
      </c>
      <c r="B76" s="212" t="s">
        <v>284</v>
      </c>
      <c r="C76" s="228" t="s">
        <v>285</v>
      </c>
      <c r="D76" s="160" t="s">
        <v>286</v>
      </c>
      <c r="E76" s="160">
        <v>2020</v>
      </c>
      <c r="F76" s="144"/>
      <c r="G76" s="144"/>
      <c r="H76" s="144"/>
      <c r="I76" s="144"/>
      <c r="J76" s="144"/>
      <c r="K76" s="144"/>
      <c r="L76" s="144"/>
      <c r="M76" s="144"/>
    </row>
    <row r="77" spans="1:13" ht="13.5" thickBot="1" x14ac:dyDescent="0.25">
      <c r="A77" s="166" t="s">
        <v>283</v>
      </c>
      <c r="B77" s="232" t="s">
        <v>287</v>
      </c>
      <c r="C77" s="233" t="s">
        <v>288</v>
      </c>
      <c r="D77" s="234" t="s">
        <v>289</v>
      </c>
      <c r="E77" s="234">
        <v>2020</v>
      </c>
      <c r="F77" s="144"/>
      <c r="G77" s="144"/>
      <c r="H77" s="144"/>
      <c r="I77" s="144"/>
      <c r="J77" s="144"/>
      <c r="K77" s="144"/>
      <c r="L77" s="144"/>
      <c r="M77" s="144"/>
    </row>
    <row r="78" spans="1:13" x14ac:dyDescent="0.2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</row>
    <row r="79" spans="1:13" ht="13.5" thickBot="1" x14ac:dyDescent="0.25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</row>
    <row r="80" spans="1:13" ht="13.5" thickBot="1" x14ac:dyDescent="0.25">
      <c r="A80" s="308" t="s">
        <v>290</v>
      </c>
      <c r="B80" s="309"/>
      <c r="C80" s="309"/>
      <c r="D80" s="309"/>
      <c r="E80" s="310"/>
      <c r="F80" s="144"/>
      <c r="G80" s="144"/>
      <c r="H80" s="144"/>
      <c r="I80" s="144"/>
      <c r="J80" s="144"/>
      <c r="K80" s="144"/>
      <c r="L80" s="144"/>
      <c r="M80" s="144"/>
    </row>
    <row r="81" spans="1:13" ht="13.5" thickBot="1" x14ac:dyDescent="0.25">
      <c r="A81" s="144"/>
      <c r="B81" s="144"/>
      <c r="C81" s="190"/>
      <c r="D81" s="144"/>
      <c r="E81" s="144"/>
      <c r="F81" s="144"/>
      <c r="G81" s="144"/>
      <c r="H81" s="144"/>
      <c r="I81" s="144"/>
      <c r="J81" s="144"/>
      <c r="K81" s="144"/>
      <c r="L81" s="144"/>
      <c r="M81" s="144"/>
    </row>
    <row r="82" spans="1:13" ht="13.5" thickBot="1" x14ac:dyDescent="0.25">
      <c r="A82" s="191" t="s">
        <v>112</v>
      </c>
      <c r="B82" s="191" t="s">
        <v>113</v>
      </c>
      <c r="C82" s="191" t="s">
        <v>114</v>
      </c>
      <c r="D82" s="191" t="s">
        <v>115</v>
      </c>
      <c r="E82" s="191" t="s">
        <v>116</v>
      </c>
      <c r="F82" s="144"/>
      <c r="G82" s="144"/>
      <c r="H82" s="144"/>
      <c r="I82" s="144"/>
      <c r="J82" s="144"/>
      <c r="K82" s="144"/>
      <c r="L82" s="144"/>
      <c r="M82" s="144"/>
    </row>
    <row r="83" spans="1:13" x14ac:dyDescent="0.2">
      <c r="A83" s="235" t="s">
        <v>291</v>
      </c>
      <c r="B83" s="236" t="s">
        <v>189</v>
      </c>
      <c r="C83" s="237" t="s">
        <v>292</v>
      </c>
      <c r="D83" s="238" t="s">
        <v>293</v>
      </c>
      <c r="E83" s="236">
        <v>1997</v>
      </c>
      <c r="F83" s="144"/>
      <c r="G83" s="144"/>
      <c r="H83" s="144"/>
      <c r="I83" s="144"/>
      <c r="J83" s="144"/>
      <c r="K83" s="144"/>
      <c r="L83" s="144"/>
      <c r="M83" s="144"/>
    </row>
    <row r="84" spans="1:13" x14ac:dyDescent="0.2">
      <c r="A84" s="239" t="s">
        <v>294</v>
      </c>
      <c r="B84" s="209" t="s">
        <v>295</v>
      </c>
      <c r="C84" s="240" t="s">
        <v>296</v>
      </c>
      <c r="D84" s="207" t="s">
        <v>297</v>
      </c>
      <c r="E84" s="209">
        <v>2013</v>
      </c>
      <c r="F84" s="144"/>
      <c r="G84" s="144"/>
      <c r="H84" s="144"/>
      <c r="I84" s="144"/>
      <c r="J84" s="144"/>
      <c r="K84" s="144"/>
      <c r="L84" s="144"/>
      <c r="M84" s="144"/>
    </row>
    <row r="85" spans="1:13" x14ac:dyDescent="0.2">
      <c r="A85" s="241" t="s">
        <v>298</v>
      </c>
      <c r="B85" s="222" t="s">
        <v>299</v>
      </c>
      <c r="C85" s="242" t="s">
        <v>300</v>
      </c>
      <c r="D85" s="220" t="s">
        <v>301</v>
      </c>
      <c r="E85" s="222">
        <v>2013</v>
      </c>
      <c r="F85" s="144"/>
      <c r="G85" s="144"/>
      <c r="H85" s="144"/>
      <c r="I85" s="144"/>
      <c r="J85" s="144"/>
      <c r="K85" s="144"/>
      <c r="L85" s="144"/>
      <c r="M85" s="144"/>
    </row>
    <row r="86" spans="1:13" x14ac:dyDescent="0.2">
      <c r="A86" s="241" t="s">
        <v>302</v>
      </c>
      <c r="B86" s="222" t="s">
        <v>303</v>
      </c>
      <c r="C86" s="242" t="s">
        <v>304</v>
      </c>
      <c r="D86" s="220" t="s">
        <v>305</v>
      </c>
      <c r="E86" s="222">
        <v>2007</v>
      </c>
      <c r="F86" s="144"/>
      <c r="G86" s="144"/>
      <c r="H86" s="144"/>
      <c r="I86" s="144"/>
      <c r="J86" s="144"/>
      <c r="K86" s="144"/>
      <c r="L86" s="144"/>
      <c r="M86" s="144"/>
    </row>
    <row r="87" spans="1:13" x14ac:dyDescent="0.2">
      <c r="A87" s="239" t="s">
        <v>306</v>
      </c>
      <c r="B87" s="209" t="s">
        <v>307</v>
      </c>
      <c r="C87" s="240" t="s">
        <v>308</v>
      </c>
      <c r="D87" s="207" t="s">
        <v>309</v>
      </c>
      <c r="E87" s="209">
        <v>2012</v>
      </c>
      <c r="F87" s="144"/>
      <c r="G87" s="144"/>
      <c r="H87" s="144"/>
      <c r="I87" s="144"/>
      <c r="J87" s="144"/>
      <c r="K87" s="144"/>
      <c r="L87" s="144"/>
      <c r="M87" s="144"/>
    </row>
    <row r="88" spans="1:13" x14ac:dyDescent="0.2">
      <c r="A88" s="241" t="s">
        <v>310</v>
      </c>
      <c r="B88" s="222" t="s">
        <v>311</v>
      </c>
      <c r="C88" s="153">
        <v>7187302</v>
      </c>
      <c r="D88" s="220" t="s">
        <v>312</v>
      </c>
      <c r="E88" s="222">
        <v>2014</v>
      </c>
      <c r="F88" s="144"/>
      <c r="G88" s="144"/>
      <c r="H88" s="144"/>
      <c r="I88" s="144"/>
      <c r="J88" s="144"/>
      <c r="K88" s="144"/>
      <c r="L88" s="144"/>
      <c r="M88" s="144"/>
    </row>
    <row r="89" spans="1:13" x14ac:dyDescent="0.2">
      <c r="A89" s="239" t="s">
        <v>313</v>
      </c>
      <c r="B89" s="209" t="s">
        <v>314</v>
      </c>
      <c r="C89" s="157">
        <v>7250706</v>
      </c>
      <c r="D89" s="207" t="s">
        <v>315</v>
      </c>
      <c r="E89" s="209">
        <v>2016</v>
      </c>
      <c r="F89" s="144"/>
      <c r="G89" s="144"/>
      <c r="H89" s="144"/>
      <c r="I89" s="144"/>
      <c r="J89" s="144"/>
      <c r="K89" s="144"/>
      <c r="L89" s="144"/>
      <c r="M89" s="144"/>
    </row>
    <row r="90" spans="1:13" x14ac:dyDescent="0.2">
      <c r="A90" s="243" t="s">
        <v>313</v>
      </c>
      <c r="B90" s="244" t="s">
        <v>316</v>
      </c>
      <c r="C90" s="165">
        <v>7250703</v>
      </c>
      <c r="D90" s="220" t="s">
        <v>317</v>
      </c>
      <c r="E90" s="244">
        <v>2016</v>
      </c>
      <c r="F90" s="144"/>
      <c r="G90" s="144"/>
      <c r="H90" s="144"/>
      <c r="I90" s="144"/>
      <c r="J90" s="144"/>
      <c r="K90" s="144"/>
      <c r="L90" s="144"/>
      <c r="M90" s="144"/>
    </row>
    <row r="91" spans="1:13" x14ac:dyDescent="0.2">
      <c r="A91" s="182" t="s">
        <v>283</v>
      </c>
      <c r="B91" s="230" t="s">
        <v>318</v>
      </c>
      <c r="C91" s="231" t="s">
        <v>319</v>
      </c>
      <c r="D91" s="196" t="s">
        <v>320</v>
      </c>
      <c r="E91" s="196">
        <v>2020</v>
      </c>
      <c r="F91" s="144"/>
      <c r="G91" s="144"/>
      <c r="H91" s="144"/>
      <c r="I91" s="144"/>
      <c r="J91" s="144"/>
      <c r="K91" s="144"/>
      <c r="L91" s="144"/>
      <c r="M91" s="144"/>
    </row>
    <row r="92" spans="1:13" ht="26.25" thickBot="1" x14ac:dyDescent="0.25">
      <c r="A92" s="245" t="s">
        <v>321</v>
      </c>
      <c r="B92" s="227" t="s">
        <v>322</v>
      </c>
      <c r="C92" s="246" t="s">
        <v>323</v>
      </c>
      <c r="D92" s="225" t="s">
        <v>324</v>
      </c>
      <c r="E92" s="227">
        <v>2020</v>
      </c>
      <c r="F92" s="144"/>
      <c r="G92" s="144"/>
      <c r="H92" s="144"/>
      <c r="I92" s="144"/>
      <c r="J92" s="144"/>
      <c r="K92" s="144"/>
      <c r="L92" s="144"/>
      <c r="M92" s="144"/>
    </row>
    <row r="93" spans="1:13" x14ac:dyDescent="0.2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</row>
    <row r="94" spans="1:13" ht="13.5" thickBot="1" x14ac:dyDescent="0.25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</row>
    <row r="95" spans="1:13" ht="13.5" thickBot="1" x14ac:dyDescent="0.25">
      <c r="A95" s="308" t="s">
        <v>325</v>
      </c>
      <c r="B95" s="309"/>
      <c r="C95" s="309"/>
      <c r="D95" s="309"/>
      <c r="E95" s="310"/>
      <c r="F95" s="144"/>
      <c r="G95" s="144"/>
      <c r="H95" s="144"/>
      <c r="I95" s="144"/>
      <c r="J95" s="144"/>
      <c r="K95" s="144"/>
      <c r="L95" s="144"/>
      <c r="M95" s="144"/>
    </row>
    <row r="96" spans="1:13" ht="13.5" thickBot="1" x14ac:dyDescent="0.25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</row>
    <row r="97" spans="1:13" ht="13.5" thickBot="1" x14ac:dyDescent="0.25">
      <c r="A97" s="145" t="s">
        <v>112</v>
      </c>
      <c r="B97" s="145" t="s">
        <v>113</v>
      </c>
      <c r="C97" s="145" t="s">
        <v>114</v>
      </c>
      <c r="D97" s="145" t="s">
        <v>115</v>
      </c>
      <c r="E97" s="145" t="s">
        <v>116</v>
      </c>
      <c r="F97" s="144"/>
      <c r="G97" s="144"/>
      <c r="H97" s="144"/>
      <c r="I97" s="144"/>
      <c r="J97" s="144"/>
      <c r="K97" s="144"/>
      <c r="L97" s="144"/>
      <c r="M97" s="144"/>
    </row>
    <row r="98" spans="1:13" x14ac:dyDescent="0.2">
      <c r="A98" s="247" t="s">
        <v>326</v>
      </c>
      <c r="B98" s="248" t="s">
        <v>327</v>
      </c>
      <c r="C98" s="193">
        <v>7167125</v>
      </c>
      <c r="D98" s="248" t="s">
        <v>328</v>
      </c>
      <c r="E98" s="193">
        <v>2014</v>
      </c>
      <c r="F98" s="144"/>
      <c r="G98" s="144"/>
      <c r="H98" s="144"/>
      <c r="I98" s="144"/>
      <c r="J98" s="144"/>
      <c r="K98" s="144"/>
      <c r="L98" s="144"/>
      <c r="M98" s="144"/>
    </row>
    <row r="99" spans="1:13" x14ac:dyDescent="0.2">
      <c r="A99" s="152" t="s">
        <v>329</v>
      </c>
      <c r="B99" s="153" t="s">
        <v>330</v>
      </c>
      <c r="C99" s="200" t="s">
        <v>331</v>
      </c>
      <c r="D99" s="249" t="s">
        <v>332</v>
      </c>
      <c r="E99" s="196">
        <v>2014</v>
      </c>
      <c r="F99" s="144"/>
      <c r="G99" s="144"/>
      <c r="H99" s="144"/>
      <c r="I99" s="144"/>
      <c r="J99" s="144"/>
      <c r="K99" s="144"/>
      <c r="L99" s="144"/>
      <c r="M99" s="144"/>
    </row>
    <row r="100" spans="1:13" x14ac:dyDescent="0.2">
      <c r="A100" s="156" t="s">
        <v>333</v>
      </c>
      <c r="B100" s="157" t="s">
        <v>334</v>
      </c>
      <c r="C100" s="184" t="s">
        <v>335</v>
      </c>
      <c r="D100" s="157" t="s">
        <v>336</v>
      </c>
      <c r="E100" s="160">
        <v>2015</v>
      </c>
      <c r="F100" s="144"/>
      <c r="G100" s="144"/>
      <c r="H100" s="144"/>
      <c r="I100" s="144"/>
      <c r="J100" s="144"/>
      <c r="K100" s="144"/>
      <c r="L100" s="144"/>
      <c r="M100" s="144"/>
    </row>
    <row r="101" spans="1:13" x14ac:dyDescent="0.2">
      <c r="A101" s="250" t="s">
        <v>326</v>
      </c>
      <c r="B101" s="153" t="s">
        <v>337</v>
      </c>
      <c r="C101" s="200" t="s">
        <v>338</v>
      </c>
      <c r="D101" s="249" t="s">
        <v>339</v>
      </c>
      <c r="E101" s="196">
        <v>2016</v>
      </c>
      <c r="F101" s="144"/>
      <c r="G101" s="144"/>
      <c r="H101" s="144"/>
      <c r="I101" s="144"/>
      <c r="J101" s="144"/>
      <c r="K101" s="144"/>
      <c r="L101" s="144"/>
      <c r="M101" s="144"/>
    </row>
    <row r="102" spans="1:13" ht="13.5" thickBot="1" x14ac:dyDescent="0.25">
      <c r="A102" s="251" t="s">
        <v>340</v>
      </c>
      <c r="B102" s="167" t="s">
        <v>341</v>
      </c>
      <c r="C102" s="188" t="s">
        <v>342</v>
      </c>
      <c r="D102" s="187" t="s">
        <v>343</v>
      </c>
      <c r="E102" s="170">
        <v>2019</v>
      </c>
      <c r="F102" s="144"/>
      <c r="G102" s="144"/>
      <c r="H102" s="144"/>
      <c r="I102" s="144"/>
      <c r="J102" s="144"/>
      <c r="K102" s="144"/>
      <c r="L102" s="144"/>
      <c r="M102" s="144"/>
    </row>
    <row r="103" spans="1:13" x14ac:dyDescent="0.2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</row>
    <row r="104" spans="1:13" ht="13.5" thickBot="1" x14ac:dyDescent="0.25">
      <c r="A104" s="252"/>
      <c r="B104" s="253"/>
      <c r="C104" s="254"/>
      <c r="D104" s="254"/>
      <c r="E104" s="253"/>
      <c r="F104" s="144"/>
      <c r="G104" s="144"/>
      <c r="H104" s="144"/>
      <c r="I104" s="144"/>
      <c r="J104" s="144"/>
      <c r="K104" s="144"/>
      <c r="L104" s="144"/>
      <c r="M104" s="144"/>
    </row>
    <row r="105" spans="1:13" ht="13.5" thickBot="1" x14ac:dyDescent="0.25">
      <c r="A105" s="308" t="s">
        <v>344</v>
      </c>
      <c r="B105" s="309"/>
      <c r="C105" s="309"/>
      <c r="D105" s="309"/>
      <c r="E105" s="310"/>
      <c r="F105" s="144"/>
      <c r="G105" s="144"/>
      <c r="H105" s="144"/>
      <c r="I105" s="144"/>
      <c r="J105" s="144"/>
      <c r="K105" s="144"/>
      <c r="L105" s="144"/>
      <c r="M105" s="144"/>
    </row>
    <row r="106" spans="1:13" ht="13.5" thickBot="1" x14ac:dyDescent="0.25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</row>
    <row r="107" spans="1:13" ht="13.5" thickBot="1" x14ac:dyDescent="0.25">
      <c r="A107" s="145" t="s">
        <v>112</v>
      </c>
      <c r="B107" s="145" t="s">
        <v>113</v>
      </c>
      <c r="C107" s="145" t="s">
        <v>114</v>
      </c>
      <c r="D107" s="145" t="s">
        <v>115</v>
      </c>
      <c r="E107" s="145" t="s">
        <v>116</v>
      </c>
      <c r="F107" s="144"/>
      <c r="G107" s="144"/>
      <c r="H107" s="144"/>
      <c r="I107" s="144"/>
      <c r="J107" s="144"/>
      <c r="K107" s="144"/>
      <c r="L107" s="144"/>
      <c r="M107" s="144"/>
    </row>
    <row r="108" spans="1:13" x14ac:dyDescent="0.2">
      <c r="A108" s="255" t="s">
        <v>345</v>
      </c>
      <c r="B108" s="193" t="s">
        <v>346</v>
      </c>
      <c r="C108" s="248" t="s">
        <v>347</v>
      </c>
      <c r="D108" s="193" t="s">
        <v>348</v>
      </c>
      <c r="E108" s="193">
        <v>2007</v>
      </c>
      <c r="F108" s="144"/>
      <c r="G108" s="144"/>
      <c r="H108" s="144"/>
      <c r="I108" s="144"/>
      <c r="J108" s="144"/>
      <c r="K108" s="144"/>
      <c r="L108" s="144"/>
      <c r="M108" s="144"/>
    </row>
    <row r="109" spans="1:13" x14ac:dyDescent="0.2">
      <c r="A109" s="256" t="s">
        <v>349</v>
      </c>
      <c r="B109" s="160" t="s">
        <v>322</v>
      </c>
      <c r="C109" s="157" t="s">
        <v>350</v>
      </c>
      <c r="D109" s="160" t="s">
        <v>351</v>
      </c>
      <c r="E109" s="160">
        <v>2003</v>
      </c>
      <c r="F109" s="144"/>
      <c r="G109" s="144"/>
      <c r="H109" s="144"/>
      <c r="I109" s="144"/>
      <c r="J109" s="144"/>
      <c r="K109" s="144"/>
      <c r="L109" s="144"/>
      <c r="M109" s="144"/>
    </row>
    <row r="110" spans="1:13" x14ac:dyDescent="0.2">
      <c r="A110" s="257" t="s">
        <v>352</v>
      </c>
      <c r="B110" s="155" t="s">
        <v>353</v>
      </c>
      <c r="C110" s="253">
        <v>7155140</v>
      </c>
      <c r="D110" s="214" t="s">
        <v>354</v>
      </c>
      <c r="E110" s="155">
        <v>2013</v>
      </c>
      <c r="F110" s="144"/>
      <c r="G110" s="144"/>
      <c r="H110" s="144"/>
      <c r="I110" s="144"/>
      <c r="J110" s="144"/>
      <c r="K110" s="144"/>
      <c r="L110" s="144"/>
      <c r="M110" s="144"/>
    </row>
    <row r="111" spans="1:13" x14ac:dyDescent="0.2">
      <c r="A111" s="256" t="s">
        <v>355</v>
      </c>
      <c r="B111" s="160" t="s">
        <v>356</v>
      </c>
      <c r="C111" s="228" t="s">
        <v>357</v>
      </c>
      <c r="D111" s="210" t="s">
        <v>358</v>
      </c>
      <c r="E111" s="160">
        <v>2016</v>
      </c>
      <c r="F111" s="144"/>
      <c r="G111" s="144"/>
      <c r="H111" s="144"/>
      <c r="I111" s="144"/>
      <c r="J111" s="144"/>
      <c r="K111" s="144"/>
      <c r="L111" s="144"/>
      <c r="M111" s="144"/>
    </row>
    <row r="112" spans="1:13" x14ac:dyDescent="0.2">
      <c r="A112" s="256" t="s">
        <v>359</v>
      </c>
      <c r="B112" s="160" t="s">
        <v>360</v>
      </c>
      <c r="C112" s="157" t="s">
        <v>361</v>
      </c>
      <c r="D112" s="160" t="s">
        <v>362</v>
      </c>
      <c r="E112" s="160">
        <v>2006</v>
      </c>
      <c r="F112" s="144"/>
      <c r="G112" s="144"/>
      <c r="H112" s="144"/>
      <c r="I112" s="144"/>
      <c r="J112" s="144"/>
      <c r="K112" s="144"/>
      <c r="L112" s="144"/>
      <c r="M112" s="144"/>
    </row>
    <row r="113" spans="1:13" x14ac:dyDescent="0.2">
      <c r="A113" s="258" t="s">
        <v>363</v>
      </c>
      <c r="B113" s="196" t="s">
        <v>364</v>
      </c>
      <c r="C113" s="231" t="s">
        <v>365</v>
      </c>
      <c r="D113" s="230" t="s">
        <v>366</v>
      </c>
      <c r="E113" s="196">
        <v>2017</v>
      </c>
      <c r="F113" s="144"/>
      <c r="G113" s="144"/>
      <c r="H113" s="144"/>
      <c r="I113" s="144"/>
      <c r="J113" s="144"/>
      <c r="K113" s="144"/>
      <c r="L113" s="144"/>
      <c r="M113" s="144"/>
    </row>
    <row r="114" spans="1:13" x14ac:dyDescent="0.2">
      <c r="A114" s="258" t="s">
        <v>245</v>
      </c>
      <c r="B114" s="196" t="s">
        <v>367</v>
      </c>
      <c r="C114" s="153" t="s">
        <v>368</v>
      </c>
      <c r="D114" s="196" t="s">
        <v>369</v>
      </c>
      <c r="E114" s="196">
        <v>2021</v>
      </c>
      <c r="F114" s="144"/>
      <c r="G114" s="144"/>
      <c r="H114" s="144"/>
      <c r="I114" s="144"/>
      <c r="J114" s="144"/>
      <c r="K114" s="144"/>
      <c r="L114" s="144"/>
      <c r="M114" s="144"/>
    </row>
    <row r="115" spans="1:13" ht="13.5" thickBot="1" x14ac:dyDescent="0.25">
      <c r="A115" s="166" t="s">
        <v>283</v>
      </c>
      <c r="B115" s="259" t="s">
        <v>370</v>
      </c>
      <c r="C115" s="260" t="s">
        <v>371</v>
      </c>
      <c r="D115" s="170" t="s">
        <v>372</v>
      </c>
      <c r="E115" s="170">
        <v>2020</v>
      </c>
      <c r="F115" s="144"/>
      <c r="G115" s="144"/>
      <c r="H115" s="144"/>
      <c r="I115" s="144"/>
      <c r="J115" s="144"/>
      <c r="K115" s="144"/>
      <c r="L115" s="144"/>
      <c r="M115" s="144"/>
    </row>
    <row r="116" spans="1:13" ht="13.5" thickBot="1" x14ac:dyDescent="0.25">
      <c r="A116" s="257"/>
      <c r="B116" s="165"/>
      <c r="C116" s="165"/>
      <c r="D116" s="165"/>
      <c r="E116" s="165"/>
      <c r="F116" s="144"/>
      <c r="G116" s="144"/>
      <c r="H116" s="144"/>
      <c r="I116" s="144"/>
      <c r="J116" s="144"/>
      <c r="K116" s="144"/>
      <c r="L116" s="144"/>
      <c r="M116" s="144"/>
    </row>
    <row r="117" spans="1:13" ht="13.5" thickBot="1" x14ac:dyDescent="0.25">
      <c r="A117" s="308" t="s">
        <v>373</v>
      </c>
      <c r="B117" s="309"/>
      <c r="C117" s="309"/>
      <c r="D117" s="309"/>
      <c r="E117" s="310"/>
      <c r="F117" s="144"/>
      <c r="G117" s="144"/>
      <c r="H117" s="144"/>
      <c r="I117" s="144"/>
      <c r="J117" s="144"/>
      <c r="K117" s="144"/>
      <c r="L117" s="144"/>
      <c r="M117" s="144"/>
    </row>
    <row r="118" spans="1:13" ht="13.5" thickBot="1" x14ac:dyDescent="0.25">
      <c r="A118" s="144"/>
      <c r="B118" s="144"/>
      <c r="C118" s="190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</row>
    <row r="119" spans="1:13" ht="13.5" thickBot="1" x14ac:dyDescent="0.25">
      <c r="A119" s="145" t="s">
        <v>112</v>
      </c>
      <c r="B119" s="145" t="s">
        <v>113</v>
      </c>
      <c r="C119" s="145" t="s">
        <v>114</v>
      </c>
      <c r="D119" s="145" t="s">
        <v>115</v>
      </c>
      <c r="E119" s="145" t="s">
        <v>116</v>
      </c>
      <c r="F119" s="144"/>
      <c r="G119" s="144"/>
      <c r="H119" s="144"/>
      <c r="I119" s="144"/>
      <c r="J119" s="144"/>
      <c r="K119" s="144"/>
      <c r="L119" s="144"/>
      <c r="M119" s="144"/>
    </row>
    <row r="120" spans="1:13" x14ac:dyDescent="0.2">
      <c r="A120" s="261" t="s">
        <v>374</v>
      </c>
      <c r="B120" s="193" t="s">
        <v>375</v>
      </c>
      <c r="C120" s="262" t="s">
        <v>376</v>
      </c>
      <c r="D120" s="263" t="s">
        <v>377</v>
      </c>
      <c r="E120" s="193">
        <v>2013</v>
      </c>
      <c r="F120" s="144"/>
      <c r="G120" s="144"/>
      <c r="H120" s="144"/>
      <c r="I120" s="144"/>
      <c r="J120" s="144"/>
      <c r="K120" s="144"/>
      <c r="L120" s="144"/>
      <c r="M120" s="144"/>
    </row>
    <row r="121" spans="1:13" x14ac:dyDescent="0.2">
      <c r="A121" s="156" t="s">
        <v>378</v>
      </c>
      <c r="B121" s="160" t="s">
        <v>379</v>
      </c>
      <c r="C121" s="218" t="s">
        <v>380</v>
      </c>
      <c r="D121" s="264" t="s">
        <v>381</v>
      </c>
      <c r="E121" s="160">
        <v>2013</v>
      </c>
      <c r="F121" s="144"/>
      <c r="G121" s="144"/>
      <c r="H121" s="144"/>
      <c r="I121" s="144"/>
      <c r="J121" s="144"/>
      <c r="K121" s="144"/>
      <c r="L121" s="144"/>
      <c r="M121" s="144"/>
    </row>
    <row r="122" spans="1:13" x14ac:dyDescent="0.2">
      <c r="A122" s="152" t="s">
        <v>382</v>
      </c>
      <c r="B122" s="196" t="s">
        <v>383</v>
      </c>
      <c r="C122" s="265" t="s">
        <v>384</v>
      </c>
      <c r="D122" s="266" t="s">
        <v>385</v>
      </c>
      <c r="E122" s="196">
        <v>2016</v>
      </c>
      <c r="F122" s="144"/>
      <c r="G122" s="144"/>
      <c r="H122" s="144"/>
      <c r="I122" s="144"/>
      <c r="J122" s="144"/>
      <c r="K122" s="144"/>
      <c r="L122" s="144"/>
      <c r="M122" s="144"/>
    </row>
    <row r="123" spans="1:13" x14ac:dyDescent="0.2">
      <c r="A123" s="195" t="s">
        <v>386</v>
      </c>
      <c r="B123" s="196" t="s">
        <v>322</v>
      </c>
      <c r="C123" s="267" t="s">
        <v>387</v>
      </c>
      <c r="D123" s="268" t="s">
        <v>388</v>
      </c>
      <c r="E123" s="196">
        <v>1995</v>
      </c>
      <c r="F123" s="144"/>
      <c r="G123" s="144"/>
      <c r="H123" s="144"/>
      <c r="I123" s="144"/>
      <c r="J123" s="144"/>
      <c r="K123" s="144"/>
      <c r="L123" s="144"/>
      <c r="M123" s="144"/>
    </row>
    <row r="124" spans="1:13" x14ac:dyDescent="0.2">
      <c r="A124" s="162" t="s">
        <v>389</v>
      </c>
      <c r="B124" s="196" t="s">
        <v>322</v>
      </c>
      <c r="C124" s="184" t="s">
        <v>390</v>
      </c>
      <c r="D124" s="264" t="s">
        <v>391</v>
      </c>
      <c r="E124" s="160">
        <v>1997</v>
      </c>
      <c r="F124" s="144"/>
      <c r="G124" s="144"/>
      <c r="H124" s="144"/>
      <c r="I124" s="144"/>
      <c r="J124" s="144"/>
      <c r="K124" s="144"/>
      <c r="L124" s="144"/>
      <c r="M124" s="144"/>
    </row>
    <row r="125" spans="1:13" x14ac:dyDescent="0.2">
      <c r="A125" s="146" t="s">
        <v>392</v>
      </c>
      <c r="B125" s="160" t="s">
        <v>393</v>
      </c>
      <c r="C125" s="269" t="s">
        <v>394</v>
      </c>
      <c r="D125" s="270" t="s">
        <v>395</v>
      </c>
      <c r="E125" s="150">
        <v>2007</v>
      </c>
      <c r="F125" s="144"/>
      <c r="G125" s="144"/>
      <c r="H125" s="144"/>
      <c r="I125" s="144"/>
      <c r="J125" s="144"/>
      <c r="K125" s="144"/>
      <c r="L125" s="144"/>
      <c r="M125" s="144"/>
    </row>
    <row r="126" spans="1:13" x14ac:dyDescent="0.2">
      <c r="A126" s="195" t="s">
        <v>396</v>
      </c>
      <c r="B126" s="196" t="s">
        <v>397</v>
      </c>
      <c r="C126" s="271">
        <v>40704149219</v>
      </c>
      <c r="D126" s="268" t="s">
        <v>398</v>
      </c>
      <c r="E126" s="196">
        <v>2006</v>
      </c>
      <c r="F126" s="144"/>
      <c r="G126" s="144"/>
      <c r="H126" s="144"/>
      <c r="I126" s="144"/>
      <c r="J126" s="144"/>
      <c r="K126" s="144"/>
      <c r="L126" s="144"/>
      <c r="M126" s="144"/>
    </row>
    <row r="127" spans="1:13" ht="13.5" thickBot="1" x14ac:dyDescent="0.25">
      <c r="A127" s="166" t="s">
        <v>399</v>
      </c>
      <c r="B127" s="170" t="s">
        <v>400</v>
      </c>
      <c r="C127" s="272" t="s">
        <v>401</v>
      </c>
      <c r="D127" s="187" t="s">
        <v>402</v>
      </c>
      <c r="E127" s="170">
        <v>2020</v>
      </c>
      <c r="F127" s="144"/>
      <c r="G127" s="144"/>
      <c r="H127" s="144"/>
      <c r="I127" s="144"/>
      <c r="J127" s="144"/>
      <c r="K127" s="144"/>
      <c r="L127" s="144"/>
      <c r="M127" s="144"/>
    </row>
    <row r="128" spans="1:13" x14ac:dyDescent="0.2">
      <c r="A128" s="257"/>
      <c r="B128" s="165"/>
      <c r="C128" s="165"/>
      <c r="D128" s="165"/>
      <c r="E128" s="165"/>
      <c r="F128" s="144"/>
      <c r="G128" s="144"/>
      <c r="H128" s="144"/>
      <c r="I128" s="144"/>
      <c r="J128" s="144"/>
      <c r="K128" s="144"/>
      <c r="L128" s="144"/>
      <c r="M128" s="144"/>
    </row>
    <row r="129" spans="1:13" ht="13.5" thickBot="1" x14ac:dyDescent="0.25">
      <c r="A129" s="257"/>
      <c r="B129" s="165"/>
      <c r="C129" s="165"/>
      <c r="D129" s="165"/>
      <c r="E129" s="165"/>
      <c r="F129" s="144"/>
      <c r="G129" s="144"/>
      <c r="H129" s="144"/>
      <c r="I129" s="144"/>
      <c r="J129" s="144"/>
      <c r="K129" s="144"/>
      <c r="L129" s="144"/>
      <c r="M129" s="144"/>
    </row>
    <row r="130" spans="1:13" ht="13.5" thickBot="1" x14ac:dyDescent="0.25">
      <c r="A130" s="308" t="s">
        <v>403</v>
      </c>
      <c r="B130" s="309"/>
      <c r="C130" s="309"/>
      <c r="D130" s="309"/>
      <c r="E130" s="310"/>
      <c r="F130" s="144"/>
      <c r="G130" s="144"/>
      <c r="H130" s="144"/>
      <c r="I130" s="144"/>
      <c r="J130" s="144"/>
      <c r="K130" s="144"/>
      <c r="L130" s="144"/>
      <c r="M130" s="144"/>
    </row>
    <row r="131" spans="1:13" ht="13.5" thickBot="1" x14ac:dyDescent="0.25">
      <c r="A131" s="171"/>
      <c r="B131" s="171"/>
      <c r="C131" s="165"/>
      <c r="D131" s="273"/>
      <c r="E131" s="273"/>
      <c r="F131" s="144"/>
      <c r="G131" s="144"/>
      <c r="H131" s="144"/>
      <c r="I131" s="144"/>
      <c r="J131" s="144"/>
      <c r="K131" s="144"/>
      <c r="L131" s="144"/>
      <c r="M131" s="144"/>
    </row>
    <row r="132" spans="1:13" x14ac:dyDescent="0.2">
      <c r="A132" s="204" t="s">
        <v>404</v>
      </c>
      <c r="B132" s="177" t="s">
        <v>405</v>
      </c>
      <c r="C132" s="176" t="s">
        <v>406</v>
      </c>
      <c r="D132" s="177" t="s">
        <v>407</v>
      </c>
      <c r="E132" s="176">
        <v>2015</v>
      </c>
      <c r="F132" s="144"/>
      <c r="G132" s="144"/>
      <c r="H132" s="144"/>
      <c r="I132" s="144"/>
      <c r="J132" s="144"/>
      <c r="K132" s="144"/>
      <c r="L132" s="144"/>
      <c r="M132" s="144"/>
    </row>
    <row r="133" spans="1:13" x14ac:dyDescent="0.2">
      <c r="A133" s="195" t="s">
        <v>408</v>
      </c>
      <c r="B133" s="153" t="s">
        <v>409</v>
      </c>
      <c r="C133" s="200" t="s">
        <v>410</v>
      </c>
      <c r="D133" s="249" t="s">
        <v>411</v>
      </c>
      <c r="E133" s="196">
        <v>2013</v>
      </c>
      <c r="F133" s="144"/>
      <c r="G133" s="144"/>
      <c r="H133" s="144"/>
      <c r="I133" s="144"/>
      <c r="J133" s="144"/>
      <c r="K133" s="144"/>
      <c r="L133" s="144"/>
      <c r="M133" s="144"/>
    </row>
    <row r="134" spans="1:13" x14ac:dyDescent="0.2">
      <c r="A134" s="152" t="s">
        <v>412</v>
      </c>
      <c r="B134" s="153" t="s">
        <v>413</v>
      </c>
      <c r="C134" s="200" t="s">
        <v>414</v>
      </c>
      <c r="D134" s="249" t="s">
        <v>415</v>
      </c>
      <c r="E134" s="196">
        <v>2008</v>
      </c>
      <c r="F134" s="144"/>
      <c r="G134" s="144"/>
      <c r="H134" s="144"/>
      <c r="I134" s="144"/>
      <c r="J134" s="144"/>
      <c r="K134" s="144"/>
      <c r="L134" s="144"/>
      <c r="M134" s="144"/>
    </row>
    <row r="135" spans="1:13" x14ac:dyDescent="0.2">
      <c r="A135" s="156" t="s">
        <v>416</v>
      </c>
      <c r="B135" s="274" t="s">
        <v>417</v>
      </c>
      <c r="C135" s="209" t="s">
        <v>418</v>
      </c>
      <c r="D135" s="274" t="s">
        <v>419</v>
      </c>
      <c r="E135" s="209">
        <v>2014</v>
      </c>
      <c r="F135" s="144"/>
      <c r="G135" s="144"/>
      <c r="H135" s="144"/>
      <c r="I135" s="144"/>
      <c r="J135" s="144"/>
      <c r="K135" s="144"/>
      <c r="L135" s="144"/>
      <c r="M135" s="144"/>
    </row>
    <row r="136" spans="1:13" x14ac:dyDescent="0.2">
      <c r="A136" s="156" t="s">
        <v>412</v>
      </c>
      <c r="B136" s="157" t="s">
        <v>420</v>
      </c>
      <c r="C136" s="184" t="s">
        <v>421</v>
      </c>
      <c r="D136" s="183" t="s">
        <v>422</v>
      </c>
      <c r="E136" s="160">
        <v>2004</v>
      </c>
      <c r="F136" s="144"/>
      <c r="G136" s="144"/>
      <c r="H136" s="144"/>
      <c r="I136" s="144"/>
      <c r="J136" s="144"/>
      <c r="K136" s="144"/>
      <c r="L136" s="144"/>
      <c r="M136" s="144"/>
    </row>
    <row r="137" spans="1:13" x14ac:dyDescent="0.2">
      <c r="A137" s="162" t="s">
        <v>423</v>
      </c>
      <c r="B137" s="157" t="s">
        <v>424</v>
      </c>
      <c r="C137" s="184" t="s">
        <v>425</v>
      </c>
      <c r="D137" s="183" t="s">
        <v>426</v>
      </c>
      <c r="E137" s="160">
        <v>2008</v>
      </c>
      <c r="F137" s="144"/>
      <c r="G137" s="144"/>
      <c r="H137" s="144"/>
      <c r="I137" s="144"/>
      <c r="J137" s="144"/>
      <c r="K137" s="144"/>
      <c r="L137" s="144"/>
      <c r="M137" s="144"/>
    </row>
    <row r="138" spans="1:13" x14ac:dyDescent="0.2">
      <c r="A138" s="162" t="s">
        <v>386</v>
      </c>
      <c r="B138" s="157" t="s">
        <v>427</v>
      </c>
      <c r="C138" s="184" t="s">
        <v>428</v>
      </c>
      <c r="D138" s="183" t="s">
        <v>429</v>
      </c>
      <c r="E138" s="160">
        <v>1990</v>
      </c>
      <c r="F138" s="144"/>
      <c r="G138" s="144"/>
      <c r="H138" s="144"/>
      <c r="I138" s="144"/>
      <c r="J138" s="144"/>
      <c r="K138" s="144"/>
      <c r="L138" s="144"/>
      <c r="M138" s="144"/>
    </row>
    <row r="139" spans="1:13" x14ac:dyDescent="0.2">
      <c r="A139" s="152" t="s">
        <v>430</v>
      </c>
      <c r="B139" s="153" t="s">
        <v>431</v>
      </c>
      <c r="C139" s="200" t="s">
        <v>432</v>
      </c>
      <c r="D139" s="249" t="s">
        <v>433</v>
      </c>
      <c r="E139" s="196">
        <v>2005</v>
      </c>
      <c r="F139" s="144"/>
      <c r="G139" s="144"/>
      <c r="H139" s="144"/>
      <c r="I139" s="144"/>
      <c r="J139" s="144"/>
      <c r="K139" s="144"/>
      <c r="L139" s="144"/>
      <c r="M139" s="144"/>
    </row>
    <row r="140" spans="1:13" x14ac:dyDescent="0.2">
      <c r="A140" s="156" t="s">
        <v>430</v>
      </c>
      <c r="B140" s="157" t="s">
        <v>434</v>
      </c>
      <c r="C140" s="184" t="s">
        <v>435</v>
      </c>
      <c r="D140" s="183" t="s">
        <v>436</v>
      </c>
      <c r="E140" s="160">
        <v>2005</v>
      </c>
      <c r="F140" s="144"/>
      <c r="G140" s="144"/>
      <c r="H140" s="144"/>
      <c r="I140" s="144"/>
      <c r="J140" s="144"/>
      <c r="K140" s="144"/>
      <c r="L140" s="144"/>
      <c r="M140" s="144"/>
    </row>
    <row r="141" spans="1:13" x14ac:dyDescent="0.2">
      <c r="A141" s="195" t="s">
        <v>408</v>
      </c>
      <c r="B141" s="153" t="s">
        <v>437</v>
      </c>
      <c r="C141" s="200" t="s">
        <v>438</v>
      </c>
      <c r="D141" s="249" t="s">
        <v>439</v>
      </c>
      <c r="E141" s="196">
        <v>2013</v>
      </c>
      <c r="F141" s="144"/>
      <c r="G141" s="144"/>
      <c r="H141" s="144"/>
      <c r="I141" s="144"/>
      <c r="J141" s="144"/>
      <c r="K141" s="144"/>
      <c r="L141" s="144"/>
      <c r="M141" s="144"/>
    </row>
    <row r="142" spans="1:13" x14ac:dyDescent="0.2">
      <c r="A142" s="162" t="s">
        <v>386</v>
      </c>
      <c r="B142" s="157" t="s">
        <v>440</v>
      </c>
      <c r="C142" s="184" t="s">
        <v>441</v>
      </c>
      <c r="D142" s="183" t="s">
        <v>442</v>
      </c>
      <c r="E142" s="160">
        <v>1985</v>
      </c>
      <c r="F142" s="144"/>
      <c r="G142" s="144"/>
      <c r="H142" s="144"/>
      <c r="I142" s="144"/>
      <c r="J142" s="144"/>
      <c r="K142" s="144"/>
      <c r="L142" s="144"/>
      <c r="M142" s="144"/>
    </row>
    <row r="143" spans="1:13" x14ac:dyDescent="0.2">
      <c r="A143" s="146" t="s">
        <v>386</v>
      </c>
      <c r="B143" s="147" t="s">
        <v>322</v>
      </c>
      <c r="C143" s="275" t="s">
        <v>443</v>
      </c>
      <c r="D143" s="276" t="s">
        <v>444</v>
      </c>
      <c r="E143" s="150">
        <v>1994</v>
      </c>
      <c r="F143" s="144"/>
      <c r="G143" s="144"/>
      <c r="H143" s="144"/>
      <c r="I143" s="144"/>
      <c r="J143" s="144"/>
      <c r="K143" s="144"/>
      <c r="L143" s="144"/>
      <c r="M143" s="144"/>
    </row>
    <row r="144" spans="1:13" ht="25.5" x14ac:dyDescent="0.2">
      <c r="A144" s="163" t="s">
        <v>445</v>
      </c>
      <c r="B144" s="157" t="s">
        <v>322</v>
      </c>
      <c r="C144" s="184" t="s">
        <v>446</v>
      </c>
      <c r="D144" s="183" t="s">
        <v>447</v>
      </c>
      <c r="E144" s="160">
        <v>2008</v>
      </c>
      <c r="F144" s="144"/>
      <c r="G144" s="144"/>
      <c r="H144" s="144"/>
      <c r="I144" s="144"/>
      <c r="J144" s="144"/>
      <c r="K144" s="144"/>
      <c r="L144" s="144"/>
      <c r="M144" s="144"/>
    </row>
    <row r="145" spans="1:13" x14ac:dyDescent="0.2">
      <c r="A145" s="277" t="s">
        <v>326</v>
      </c>
      <c r="B145" s="231" t="s">
        <v>448</v>
      </c>
      <c r="C145" s="278" t="s">
        <v>449</v>
      </c>
      <c r="D145" s="279" t="s">
        <v>450</v>
      </c>
      <c r="E145" s="230">
        <v>2016</v>
      </c>
      <c r="F145" s="144"/>
      <c r="G145" s="144"/>
      <c r="H145" s="144"/>
      <c r="I145" s="144"/>
      <c r="J145" s="144"/>
      <c r="K145" s="144"/>
      <c r="L145" s="144"/>
      <c r="M145" s="144"/>
    </row>
    <row r="146" spans="1:13" x14ac:dyDescent="0.2">
      <c r="A146" s="195" t="s">
        <v>386</v>
      </c>
      <c r="B146" s="153" t="s">
        <v>451</v>
      </c>
      <c r="C146" s="200" t="s">
        <v>452</v>
      </c>
      <c r="D146" s="249" t="s">
        <v>453</v>
      </c>
      <c r="E146" s="196">
        <v>1995</v>
      </c>
      <c r="F146" s="144"/>
      <c r="G146" s="144"/>
      <c r="H146" s="144"/>
      <c r="I146" s="144"/>
      <c r="J146" s="144"/>
      <c r="K146" s="144"/>
      <c r="L146" s="144"/>
      <c r="M146" s="144"/>
    </row>
    <row r="147" spans="1:13" x14ac:dyDescent="0.2">
      <c r="A147" s="162" t="s">
        <v>454</v>
      </c>
      <c r="B147" s="157" t="s">
        <v>455</v>
      </c>
      <c r="C147" s="184" t="s">
        <v>456</v>
      </c>
      <c r="D147" s="183" t="s">
        <v>457</v>
      </c>
      <c r="E147" s="160">
        <v>2003</v>
      </c>
      <c r="F147" s="144"/>
      <c r="G147" s="144"/>
      <c r="H147" s="144"/>
      <c r="I147" s="144"/>
      <c r="J147" s="144"/>
      <c r="K147" s="144"/>
      <c r="L147" s="144"/>
      <c r="M147" s="144"/>
    </row>
    <row r="148" spans="1:13" x14ac:dyDescent="0.2">
      <c r="A148" s="162" t="s">
        <v>458</v>
      </c>
      <c r="B148" s="157" t="s">
        <v>322</v>
      </c>
      <c r="C148" s="184" t="s">
        <v>459</v>
      </c>
      <c r="D148" s="183" t="s">
        <v>460</v>
      </c>
      <c r="E148" s="160">
        <v>1998</v>
      </c>
      <c r="F148" s="144"/>
      <c r="G148" s="144"/>
      <c r="H148" s="144"/>
      <c r="I148" s="144"/>
      <c r="J148" s="144"/>
      <c r="K148" s="144"/>
      <c r="L148" s="144"/>
      <c r="M148" s="144"/>
    </row>
    <row r="149" spans="1:13" x14ac:dyDescent="0.2">
      <c r="A149" s="195" t="s">
        <v>386</v>
      </c>
      <c r="B149" s="153" t="s">
        <v>461</v>
      </c>
      <c r="C149" s="200" t="s">
        <v>462</v>
      </c>
      <c r="D149" s="249" t="s">
        <v>463</v>
      </c>
      <c r="E149" s="196">
        <v>1989</v>
      </c>
      <c r="F149" s="144"/>
      <c r="G149" s="144"/>
      <c r="H149" s="144"/>
      <c r="I149" s="144"/>
      <c r="J149" s="144"/>
      <c r="K149" s="144"/>
      <c r="L149" s="144"/>
      <c r="M149" s="144"/>
    </row>
    <row r="150" spans="1:13" ht="25.5" x14ac:dyDescent="0.2">
      <c r="A150" s="156" t="s">
        <v>464</v>
      </c>
      <c r="B150" s="153" t="s">
        <v>465</v>
      </c>
      <c r="C150" s="200" t="s">
        <v>466</v>
      </c>
      <c r="D150" s="249" t="s">
        <v>467</v>
      </c>
      <c r="E150" s="196">
        <v>2017</v>
      </c>
      <c r="F150" s="144"/>
      <c r="G150" s="144"/>
      <c r="H150" s="144"/>
      <c r="I150" s="144"/>
      <c r="J150" s="144"/>
      <c r="K150" s="144"/>
      <c r="L150" s="144"/>
      <c r="M150" s="144"/>
    </row>
    <row r="151" spans="1:13" ht="25.5" x14ac:dyDescent="0.2">
      <c r="A151" s="164" t="s">
        <v>321</v>
      </c>
      <c r="B151" s="280" t="s">
        <v>468</v>
      </c>
      <c r="C151" s="196" t="s">
        <v>469</v>
      </c>
      <c r="D151" s="242" t="s">
        <v>470</v>
      </c>
      <c r="E151" s="222">
        <v>2021</v>
      </c>
      <c r="F151" s="144"/>
      <c r="G151" s="144"/>
      <c r="H151" s="144"/>
      <c r="I151" s="144"/>
      <c r="J151" s="144"/>
      <c r="K151" s="144"/>
      <c r="L151" s="144"/>
      <c r="M151" s="144"/>
    </row>
    <row r="152" spans="1:13" ht="26.25" thickBot="1" x14ac:dyDescent="0.25">
      <c r="A152" s="251" t="s">
        <v>464</v>
      </c>
      <c r="B152" s="281" t="s">
        <v>471</v>
      </c>
      <c r="C152" s="170" t="s">
        <v>472</v>
      </c>
      <c r="D152" s="282" t="s">
        <v>473</v>
      </c>
      <c r="E152" s="227">
        <v>2020</v>
      </c>
      <c r="F152" s="144"/>
      <c r="G152" s="144"/>
      <c r="H152" s="144"/>
      <c r="I152" s="144"/>
      <c r="J152" s="144"/>
      <c r="K152" s="144"/>
      <c r="L152" s="144"/>
      <c r="M152" s="144"/>
    </row>
    <row r="153" spans="1:13" ht="13.5" thickBot="1" x14ac:dyDescent="0.25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</row>
    <row r="154" spans="1:13" ht="13.5" thickBot="1" x14ac:dyDescent="0.25">
      <c r="A154" s="308" t="s">
        <v>474</v>
      </c>
      <c r="B154" s="309"/>
      <c r="C154" s="309"/>
      <c r="D154" s="309"/>
      <c r="E154" s="310"/>
      <c r="F154" s="144"/>
      <c r="G154" s="144"/>
      <c r="H154" s="144"/>
      <c r="I154" s="144"/>
      <c r="J154" s="144"/>
      <c r="K154" s="144"/>
      <c r="L154" s="144"/>
      <c r="M154" s="144"/>
    </row>
    <row r="155" spans="1:13" ht="13.5" thickBot="1" x14ac:dyDescent="0.2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</row>
    <row r="156" spans="1:13" ht="13.5" thickBot="1" x14ac:dyDescent="0.25">
      <c r="A156" s="145" t="s">
        <v>112</v>
      </c>
      <c r="B156" s="145" t="s">
        <v>113</v>
      </c>
      <c r="C156" s="145" t="s">
        <v>114</v>
      </c>
      <c r="D156" s="145" t="s">
        <v>115</v>
      </c>
      <c r="E156" s="145" t="s">
        <v>116</v>
      </c>
      <c r="F156" s="144"/>
      <c r="G156" s="144"/>
      <c r="H156" s="144"/>
      <c r="I156" s="144"/>
      <c r="J156" s="144"/>
      <c r="K156" s="144"/>
      <c r="L156" s="144"/>
      <c r="M156" s="144"/>
    </row>
    <row r="157" spans="1:13" x14ac:dyDescent="0.2">
      <c r="A157" s="152" t="s">
        <v>475</v>
      </c>
      <c r="B157" s="280" t="s">
        <v>476</v>
      </c>
      <c r="C157" s="220" t="s">
        <v>477</v>
      </c>
      <c r="D157" s="242" t="s">
        <v>478</v>
      </c>
      <c r="E157" s="222">
        <v>2000</v>
      </c>
      <c r="F157" s="144"/>
      <c r="G157" s="144"/>
      <c r="H157" s="144"/>
      <c r="I157" s="144"/>
      <c r="J157" s="144"/>
      <c r="K157" s="144"/>
      <c r="L157" s="144"/>
      <c r="M157" s="144"/>
    </row>
    <row r="158" spans="1:13" x14ac:dyDescent="0.2">
      <c r="A158" s="156" t="s">
        <v>479</v>
      </c>
      <c r="B158" s="274" t="s">
        <v>480</v>
      </c>
      <c r="C158" s="209" t="s">
        <v>481</v>
      </c>
      <c r="D158" s="274" t="s">
        <v>482</v>
      </c>
      <c r="E158" s="209">
        <v>2006</v>
      </c>
      <c r="F158" s="144"/>
      <c r="G158" s="144"/>
      <c r="H158" s="144"/>
      <c r="I158" s="144"/>
      <c r="J158" s="144"/>
      <c r="K158" s="144"/>
      <c r="L158" s="144"/>
      <c r="M158" s="144"/>
    </row>
    <row r="159" spans="1:13" x14ac:dyDescent="0.2">
      <c r="A159" s="195" t="s">
        <v>483</v>
      </c>
      <c r="B159" s="153" t="s">
        <v>484</v>
      </c>
      <c r="C159" s="283" t="s">
        <v>485</v>
      </c>
      <c r="D159" s="249" t="s">
        <v>486</v>
      </c>
      <c r="E159" s="196">
        <v>2006</v>
      </c>
      <c r="F159" s="144"/>
      <c r="G159" s="144"/>
      <c r="H159" s="144"/>
      <c r="I159" s="144"/>
      <c r="J159" s="144"/>
      <c r="K159" s="144"/>
      <c r="L159" s="144"/>
      <c r="M159" s="144"/>
    </row>
    <row r="160" spans="1:13" x14ac:dyDescent="0.2">
      <c r="A160" s="156" t="s">
        <v>487</v>
      </c>
      <c r="B160" s="274" t="s">
        <v>488</v>
      </c>
      <c r="C160" s="209" t="s">
        <v>489</v>
      </c>
      <c r="D160" s="274" t="s">
        <v>490</v>
      </c>
      <c r="E160" s="209">
        <v>2007</v>
      </c>
      <c r="F160" s="144"/>
      <c r="G160" s="144"/>
      <c r="H160" s="144"/>
      <c r="I160" s="144"/>
      <c r="J160" s="144"/>
      <c r="K160" s="144"/>
      <c r="L160" s="144"/>
      <c r="M160" s="144"/>
    </row>
    <row r="161" spans="1:13" x14ac:dyDescent="0.2">
      <c r="A161" s="152" t="s">
        <v>491</v>
      </c>
      <c r="B161" s="153" t="s">
        <v>492</v>
      </c>
      <c r="C161" s="196" t="s">
        <v>493</v>
      </c>
      <c r="D161" s="153" t="s">
        <v>494</v>
      </c>
      <c r="E161" s="196">
        <v>2011</v>
      </c>
      <c r="F161" s="144"/>
      <c r="G161" s="144"/>
      <c r="H161" s="144"/>
      <c r="I161" s="144"/>
      <c r="J161" s="144"/>
      <c r="K161" s="144"/>
      <c r="L161" s="144"/>
      <c r="M161" s="144"/>
    </row>
    <row r="162" spans="1:13" x14ac:dyDescent="0.2">
      <c r="A162" s="152" t="s">
        <v>176</v>
      </c>
      <c r="B162" s="280" t="s">
        <v>495</v>
      </c>
      <c r="C162" s="220" t="s">
        <v>496</v>
      </c>
      <c r="D162" s="242" t="s">
        <v>497</v>
      </c>
      <c r="E162" s="222">
        <v>2013</v>
      </c>
      <c r="F162" s="144"/>
      <c r="G162" s="144"/>
      <c r="H162" s="144"/>
      <c r="I162" s="144"/>
      <c r="J162" s="144"/>
      <c r="K162" s="144"/>
      <c r="L162" s="144"/>
      <c r="M162" s="144"/>
    </row>
    <row r="163" spans="1:13" x14ac:dyDescent="0.2">
      <c r="A163" s="156" t="s">
        <v>498</v>
      </c>
      <c r="B163" s="274" t="s">
        <v>499</v>
      </c>
      <c r="C163" s="207" t="s">
        <v>500</v>
      </c>
      <c r="D163" s="240" t="s">
        <v>501</v>
      </c>
      <c r="E163" s="209">
        <v>2014</v>
      </c>
      <c r="F163" s="144"/>
      <c r="G163" s="144"/>
      <c r="H163" s="144"/>
      <c r="I163" s="144"/>
      <c r="J163" s="144"/>
      <c r="K163" s="144"/>
      <c r="L163" s="144"/>
      <c r="M163" s="144"/>
    </row>
    <row r="164" spans="1:13" x14ac:dyDescent="0.2">
      <c r="A164" s="152" t="s">
        <v>502</v>
      </c>
      <c r="B164" s="280" t="s">
        <v>503</v>
      </c>
      <c r="C164" s="220" t="s">
        <v>504</v>
      </c>
      <c r="D164" s="242" t="s">
        <v>505</v>
      </c>
      <c r="E164" s="222">
        <v>2014</v>
      </c>
      <c r="F164" s="144"/>
      <c r="G164" s="144"/>
      <c r="H164" s="144"/>
      <c r="I164" s="144"/>
      <c r="J164" s="144"/>
      <c r="K164" s="144"/>
      <c r="L164" s="144"/>
      <c r="M164" s="144"/>
    </row>
    <row r="165" spans="1:13" x14ac:dyDescent="0.2">
      <c r="A165" s="284" t="s">
        <v>326</v>
      </c>
      <c r="B165" s="196" t="s">
        <v>506</v>
      </c>
      <c r="C165" s="200" t="s">
        <v>507</v>
      </c>
      <c r="D165" s="200" t="s">
        <v>508</v>
      </c>
      <c r="E165" s="196">
        <v>2016</v>
      </c>
      <c r="F165" s="144"/>
      <c r="G165" s="144"/>
      <c r="H165" s="144"/>
      <c r="I165" s="144"/>
      <c r="J165" s="144"/>
      <c r="K165" s="144"/>
      <c r="L165" s="144"/>
      <c r="M165" s="144"/>
    </row>
    <row r="166" spans="1:13" x14ac:dyDescent="0.2">
      <c r="A166" s="285" t="s">
        <v>509</v>
      </c>
      <c r="B166" s="196" t="s">
        <v>510</v>
      </c>
      <c r="C166" s="249" t="s">
        <v>511</v>
      </c>
      <c r="D166" s="200" t="s">
        <v>512</v>
      </c>
      <c r="E166" s="196">
        <v>2020</v>
      </c>
      <c r="F166" s="144"/>
      <c r="G166" s="144"/>
      <c r="H166" s="144"/>
      <c r="I166" s="144"/>
      <c r="J166" s="144"/>
      <c r="K166" s="144"/>
      <c r="L166" s="144"/>
      <c r="M166" s="144"/>
    </row>
    <row r="167" spans="1:13" x14ac:dyDescent="0.2">
      <c r="A167" s="285" t="s">
        <v>513</v>
      </c>
      <c r="B167" s="196" t="s">
        <v>514</v>
      </c>
      <c r="C167" s="249" t="s">
        <v>515</v>
      </c>
      <c r="D167" s="200" t="s">
        <v>516</v>
      </c>
      <c r="E167" s="196">
        <v>2020</v>
      </c>
      <c r="F167" s="144"/>
      <c r="G167" s="144"/>
      <c r="H167" s="144"/>
      <c r="I167" s="144"/>
      <c r="J167" s="144"/>
      <c r="K167" s="144"/>
      <c r="L167" s="144"/>
      <c r="M167" s="144"/>
    </row>
    <row r="168" spans="1:13" ht="13.5" thickBot="1" x14ac:dyDescent="0.25">
      <c r="A168" s="166" t="s">
        <v>283</v>
      </c>
      <c r="B168" s="259" t="s">
        <v>517</v>
      </c>
      <c r="C168" s="260" t="s">
        <v>518</v>
      </c>
      <c r="D168" s="170" t="s">
        <v>519</v>
      </c>
      <c r="E168" s="170">
        <v>2020</v>
      </c>
      <c r="F168" s="144"/>
      <c r="G168" s="144"/>
      <c r="H168" s="144"/>
      <c r="I168" s="144"/>
      <c r="J168" s="144"/>
      <c r="K168" s="144"/>
      <c r="L168" s="144"/>
      <c r="M168" s="144"/>
    </row>
    <row r="169" spans="1:13" x14ac:dyDescent="0.2">
      <c r="A169" s="203"/>
      <c r="B169" s="165"/>
      <c r="C169" s="286"/>
      <c r="D169" s="287"/>
      <c r="E169" s="165"/>
      <c r="F169" s="144"/>
      <c r="G169" s="144"/>
      <c r="H169" s="144"/>
      <c r="I169" s="144"/>
      <c r="J169" s="144"/>
      <c r="K169" s="144"/>
      <c r="L169" s="144"/>
      <c r="M169" s="144"/>
    </row>
    <row r="170" spans="1:13" x14ac:dyDescent="0.2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</row>
    <row r="171" spans="1:13" x14ac:dyDescent="0.2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</row>
    <row r="172" spans="1:13" ht="13.5" thickBot="1" x14ac:dyDescent="0.25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</row>
    <row r="173" spans="1:13" ht="13.5" thickBot="1" x14ac:dyDescent="0.25">
      <c r="A173" s="308" t="s">
        <v>520</v>
      </c>
      <c r="B173" s="309"/>
      <c r="C173" s="309"/>
      <c r="D173" s="309"/>
      <c r="E173" s="310"/>
      <c r="F173" s="144"/>
      <c r="G173" s="144"/>
      <c r="H173" s="144"/>
      <c r="I173" s="144"/>
      <c r="J173" s="144"/>
      <c r="K173" s="144"/>
      <c r="L173" s="144"/>
      <c r="M173" s="144"/>
    </row>
    <row r="174" spans="1:13" ht="13.5" thickBot="1" x14ac:dyDescent="0.25">
      <c r="A174" s="144"/>
      <c r="B174" s="144"/>
      <c r="C174" s="190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</row>
    <row r="175" spans="1:13" ht="13.5" thickBot="1" x14ac:dyDescent="0.25">
      <c r="A175" s="145" t="s">
        <v>112</v>
      </c>
      <c r="B175" s="145" t="s">
        <v>113</v>
      </c>
      <c r="C175" s="145" t="s">
        <v>114</v>
      </c>
      <c r="D175" s="145" t="s">
        <v>115</v>
      </c>
      <c r="E175" s="145" t="s">
        <v>116</v>
      </c>
      <c r="F175" s="144"/>
      <c r="G175" s="144"/>
      <c r="H175" s="144"/>
      <c r="I175" s="144"/>
      <c r="J175" s="144"/>
      <c r="K175" s="144"/>
      <c r="L175" s="144"/>
      <c r="M175" s="144"/>
    </row>
    <row r="176" spans="1:13" x14ac:dyDescent="0.2">
      <c r="A176" s="192" t="s">
        <v>521</v>
      </c>
      <c r="B176" s="288" t="s">
        <v>189</v>
      </c>
      <c r="C176" s="289" t="s">
        <v>522</v>
      </c>
      <c r="D176" s="193" t="s">
        <v>523</v>
      </c>
      <c r="E176" s="193">
        <v>1995</v>
      </c>
      <c r="F176" s="144"/>
      <c r="G176" s="144"/>
      <c r="H176" s="144"/>
      <c r="I176" s="144"/>
      <c r="J176" s="144"/>
      <c r="K176" s="144"/>
      <c r="L176" s="144"/>
      <c r="M176" s="144"/>
    </row>
    <row r="177" spans="1:13" x14ac:dyDescent="0.2">
      <c r="A177" s="290" t="s">
        <v>524</v>
      </c>
      <c r="B177" s="160" t="s">
        <v>525</v>
      </c>
      <c r="C177" s="185" t="s">
        <v>526</v>
      </c>
      <c r="D177" s="160" t="s">
        <v>527</v>
      </c>
      <c r="E177" s="160">
        <v>2005</v>
      </c>
      <c r="F177" s="144"/>
      <c r="G177" s="144"/>
      <c r="H177" s="144"/>
      <c r="I177" s="144"/>
      <c r="J177" s="144"/>
      <c r="K177" s="144"/>
      <c r="L177" s="144"/>
      <c r="M177" s="144"/>
    </row>
    <row r="178" spans="1:13" x14ac:dyDescent="0.2">
      <c r="A178" s="290" t="s">
        <v>528</v>
      </c>
      <c r="B178" s="160" t="s">
        <v>529</v>
      </c>
      <c r="C178" s="157">
        <v>7167242</v>
      </c>
      <c r="D178" s="160" t="s">
        <v>530</v>
      </c>
      <c r="E178" s="160">
        <v>2013</v>
      </c>
      <c r="F178" s="144"/>
      <c r="G178" s="144"/>
      <c r="H178" s="144"/>
      <c r="I178" s="144"/>
      <c r="J178" s="144"/>
      <c r="K178" s="144"/>
      <c r="L178" s="144"/>
      <c r="M178" s="144"/>
    </row>
    <row r="179" spans="1:13" ht="13.5" thickBot="1" x14ac:dyDescent="0.25">
      <c r="A179" s="291" t="s">
        <v>528</v>
      </c>
      <c r="B179" s="234" t="s">
        <v>531</v>
      </c>
      <c r="C179" s="292">
        <v>7250753</v>
      </c>
      <c r="D179" s="234" t="s">
        <v>532</v>
      </c>
      <c r="E179" s="234">
        <v>2016</v>
      </c>
      <c r="F179" s="144"/>
      <c r="G179" s="144"/>
      <c r="H179" s="144"/>
      <c r="I179" s="144"/>
      <c r="J179" s="144"/>
      <c r="K179" s="144"/>
      <c r="L179" s="144"/>
      <c r="M179" s="144"/>
    </row>
    <row r="180" spans="1:13" ht="13.5" thickBot="1" x14ac:dyDescent="0.25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</row>
    <row r="181" spans="1:13" ht="13.5" thickBot="1" x14ac:dyDescent="0.25">
      <c r="A181" s="308" t="s">
        <v>533</v>
      </c>
      <c r="B181" s="309"/>
      <c r="C181" s="309"/>
      <c r="D181" s="309"/>
      <c r="E181" s="310"/>
      <c r="F181" s="144"/>
      <c r="G181" s="144"/>
      <c r="H181" s="144"/>
      <c r="I181" s="144"/>
      <c r="J181" s="144"/>
      <c r="K181" s="144"/>
      <c r="L181" s="144"/>
      <c r="M181" s="144"/>
    </row>
    <row r="182" spans="1:13" ht="13.5" thickBot="1" x14ac:dyDescent="0.25">
      <c r="A182" s="171"/>
      <c r="B182" s="171"/>
      <c r="C182" s="165"/>
      <c r="D182" s="273"/>
      <c r="E182" s="273"/>
      <c r="F182" s="144"/>
      <c r="G182" s="144"/>
      <c r="H182" s="144"/>
      <c r="I182" s="144"/>
      <c r="J182" s="144"/>
      <c r="K182" s="144"/>
      <c r="L182" s="144"/>
      <c r="M182" s="144"/>
    </row>
    <row r="183" spans="1:13" ht="13.5" thickBot="1" x14ac:dyDescent="0.25">
      <c r="A183" s="145" t="s">
        <v>112</v>
      </c>
      <c r="B183" s="145" t="s">
        <v>113</v>
      </c>
      <c r="C183" s="145" t="s">
        <v>114</v>
      </c>
      <c r="D183" s="145" t="s">
        <v>115</v>
      </c>
      <c r="E183" s="145" t="s">
        <v>116</v>
      </c>
      <c r="F183" s="144"/>
      <c r="G183" s="144"/>
      <c r="H183" s="144"/>
      <c r="I183" s="144"/>
      <c r="J183" s="144"/>
      <c r="K183" s="144"/>
      <c r="L183" s="144"/>
      <c r="M183" s="144"/>
    </row>
    <row r="184" spans="1:13" x14ac:dyDescent="0.2">
      <c r="A184" s="261" t="s">
        <v>430</v>
      </c>
      <c r="B184" s="176" t="s">
        <v>534</v>
      </c>
      <c r="C184" s="293" t="s">
        <v>535</v>
      </c>
      <c r="D184" s="293" t="s">
        <v>443</v>
      </c>
      <c r="E184" s="176">
        <v>2006</v>
      </c>
      <c r="F184" s="144"/>
      <c r="G184" s="144"/>
      <c r="H184" s="144"/>
      <c r="I184" s="144"/>
      <c r="J184" s="144"/>
      <c r="K184" s="144"/>
      <c r="L184" s="144"/>
      <c r="M184" s="144"/>
    </row>
    <row r="185" spans="1:13" x14ac:dyDescent="0.2">
      <c r="A185" s="156" t="s">
        <v>536</v>
      </c>
      <c r="B185" s="160" t="s">
        <v>537</v>
      </c>
      <c r="C185" s="184" t="s">
        <v>538</v>
      </c>
      <c r="D185" s="184" t="s">
        <v>539</v>
      </c>
      <c r="E185" s="160">
        <v>2016</v>
      </c>
      <c r="F185" s="144"/>
      <c r="G185" s="144"/>
      <c r="H185" s="144"/>
      <c r="I185" s="144"/>
      <c r="J185" s="144"/>
      <c r="K185" s="144"/>
      <c r="L185" s="144"/>
      <c r="M185" s="144"/>
    </row>
    <row r="186" spans="1:13" x14ac:dyDescent="0.2">
      <c r="A186" s="164" t="s">
        <v>540</v>
      </c>
      <c r="B186" s="155" t="s">
        <v>541</v>
      </c>
      <c r="C186" s="294" t="s">
        <v>542</v>
      </c>
      <c r="D186" s="294" t="s">
        <v>543</v>
      </c>
      <c r="E186" s="155">
        <v>2012</v>
      </c>
      <c r="F186" s="144"/>
      <c r="G186" s="144"/>
      <c r="H186" s="144"/>
      <c r="I186" s="144"/>
      <c r="J186" s="144"/>
      <c r="K186" s="144"/>
      <c r="L186" s="144"/>
      <c r="M186" s="144"/>
    </row>
    <row r="187" spans="1:13" x14ac:dyDescent="0.2">
      <c r="A187" s="152" t="s">
        <v>313</v>
      </c>
      <c r="B187" s="222" t="s">
        <v>316</v>
      </c>
      <c r="C187" s="153">
        <v>7250703</v>
      </c>
      <c r="D187" s="220" t="s">
        <v>317</v>
      </c>
      <c r="E187" s="222">
        <v>2016</v>
      </c>
      <c r="F187" s="144"/>
      <c r="G187" s="144"/>
      <c r="H187" s="144"/>
      <c r="I187" s="144"/>
      <c r="J187" s="144"/>
      <c r="K187" s="144"/>
      <c r="L187" s="144"/>
      <c r="M187" s="144"/>
    </row>
    <row r="188" spans="1:13" ht="13.5" thickBot="1" x14ac:dyDescent="0.25">
      <c r="A188" s="166" t="s">
        <v>283</v>
      </c>
      <c r="B188" s="259" t="s">
        <v>544</v>
      </c>
      <c r="C188" s="260" t="s">
        <v>545</v>
      </c>
      <c r="D188" s="170" t="s">
        <v>546</v>
      </c>
      <c r="E188" s="170">
        <v>2020</v>
      </c>
      <c r="F188" s="144"/>
      <c r="G188" s="144"/>
      <c r="H188" s="144"/>
      <c r="I188" s="144"/>
      <c r="J188" s="144"/>
      <c r="K188" s="144"/>
      <c r="L188" s="144"/>
      <c r="M188" s="144"/>
    </row>
    <row r="189" spans="1:13" x14ac:dyDescent="0.2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</row>
  </sheetData>
  <mergeCells count="16">
    <mergeCell ref="A44:E44"/>
    <mergeCell ref="A1:G1"/>
    <mergeCell ref="A2:C2"/>
    <mergeCell ref="A3:E3"/>
    <mergeCell ref="A22:E22"/>
    <mergeCell ref="A33:E33"/>
    <mergeCell ref="A130:E130"/>
    <mergeCell ref="A154:E154"/>
    <mergeCell ref="A173:E173"/>
    <mergeCell ref="A181:E181"/>
    <mergeCell ref="A58:E58"/>
    <mergeCell ref="A70:E70"/>
    <mergeCell ref="A80:E80"/>
    <mergeCell ref="A95:E95"/>
    <mergeCell ref="A105:E105"/>
    <mergeCell ref="A117:E1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topLeftCell="G7" zoomScale="80" zoomScaleNormal="80" workbookViewId="0">
      <selection activeCell="M16" sqref="M16"/>
    </sheetView>
  </sheetViews>
  <sheetFormatPr baseColWidth="10" defaultRowHeight="12.75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8.42578125" customWidth="1"/>
    <col min="8" max="8" width="9.28515625" customWidth="1"/>
    <col min="9" max="9" width="14.5703125" customWidth="1"/>
    <col min="10" max="10" width="16" customWidth="1"/>
    <col min="11" max="11" width="15.5703125" customWidth="1"/>
    <col min="13" max="13" width="15.42578125" bestFit="1" customWidth="1"/>
  </cols>
  <sheetData>
    <row r="1" spans="1:13" ht="16.5" thickBot="1" x14ac:dyDescent="0.25">
      <c r="A1" s="319" t="s">
        <v>61</v>
      </c>
      <c r="B1" s="319"/>
      <c r="C1" s="319"/>
      <c r="D1" s="319"/>
      <c r="E1" s="319"/>
      <c r="F1" s="319"/>
      <c r="G1" s="319"/>
      <c r="H1" s="319"/>
      <c r="I1" s="319"/>
      <c r="J1" s="51" t="s">
        <v>62</v>
      </c>
      <c r="K1" s="52" t="s">
        <v>550</v>
      </c>
      <c r="M1" s="53"/>
    </row>
    <row r="2" spans="1:13" ht="16.5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  <c r="M2" s="53"/>
    </row>
    <row r="3" spans="1:13" ht="16.5" thickBot="1" x14ac:dyDescent="0.25">
      <c r="A3" s="320" t="s">
        <v>63</v>
      </c>
      <c r="B3" s="320"/>
      <c r="C3" s="320"/>
      <c r="D3" s="56" t="s">
        <v>64</v>
      </c>
      <c r="E3" s="57"/>
      <c r="F3" s="57"/>
      <c r="G3" s="57"/>
      <c r="H3" s="57"/>
      <c r="I3" s="57"/>
      <c r="J3" s="57"/>
      <c r="K3" s="58"/>
      <c r="M3" s="53"/>
    </row>
    <row r="4" spans="1:13" ht="16.5" thickBot="1" x14ac:dyDescent="0.25">
      <c r="A4" s="317" t="s">
        <v>65</v>
      </c>
      <c r="B4" s="317"/>
      <c r="C4" s="317"/>
      <c r="D4" s="56" t="s">
        <v>66</v>
      </c>
      <c r="E4" s="57"/>
      <c r="F4" s="57"/>
      <c r="G4" s="57"/>
      <c r="H4" s="57"/>
      <c r="I4" s="57"/>
      <c r="J4" s="57"/>
      <c r="K4" s="58"/>
      <c r="M4" s="53"/>
    </row>
    <row r="5" spans="1:13" ht="16.5" thickBot="1" x14ac:dyDescent="0.25">
      <c r="A5" s="317" t="s">
        <v>67</v>
      </c>
      <c r="B5" s="317"/>
      <c r="C5" s="317"/>
      <c r="D5" s="56" t="s">
        <v>109</v>
      </c>
      <c r="E5" s="59"/>
      <c r="F5" s="59"/>
      <c r="G5" s="59"/>
      <c r="H5" s="59"/>
      <c r="I5" s="59"/>
      <c r="J5" s="59"/>
      <c r="K5" s="60"/>
      <c r="M5" s="53"/>
    </row>
    <row r="6" spans="1:13" ht="16.5" thickBot="1" x14ac:dyDescent="0.25">
      <c r="A6" s="320" t="s">
        <v>68</v>
      </c>
      <c r="B6" s="320"/>
      <c r="C6" s="320"/>
      <c r="D6" s="56" t="s">
        <v>109</v>
      </c>
      <c r="E6" s="59"/>
      <c r="F6" s="59"/>
      <c r="G6" s="59"/>
      <c r="H6" s="59"/>
      <c r="I6" s="59"/>
      <c r="J6" s="59"/>
      <c r="K6" s="60"/>
      <c r="M6" s="53"/>
    </row>
    <row r="7" spans="1:13" ht="16.5" thickBot="1" x14ac:dyDescent="0.25">
      <c r="A7" s="317" t="s">
        <v>69</v>
      </c>
      <c r="B7" s="317"/>
      <c r="C7" s="317"/>
      <c r="D7" s="318" t="s">
        <v>552</v>
      </c>
      <c r="E7" s="318"/>
      <c r="F7" s="318"/>
      <c r="G7" s="318"/>
      <c r="H7" s="318"/>
      <c r="I7" s="318"/>
      <c r="J7" s="318"/>
      <c r="K7" s="318"/>
      <c r="M7" s="53"/>
    </row>
    <row r="8" spans="1:13" ht="16.5" customHeight="1" thickBot="1" x14ac:dyDescent="0.25">
      <c r="A8" s="327" t="s">
        <v>70</v>
      </c>
      <c r="B8" s="327"/>
      <c r="C8" s="327"/>
      <c r="D8" s="139" t="s">
        <v>102</v>
      </c>
      <c r="E8" s="57"/>
      <c r="F8" s="57"/>
      <c r="G8" s="57"/>
      <c r="H8" s="57"/>
      <c r="I8" s="57"/>
      <c r="J8" s="57"/>
      <c r="K8" s="58"/>
      <c r="M8" s="53"/>
    </row>
    <row r="9" spans="1:13" ht="16.5" thickBot="1" x14ac:dyDescent="0.25">
      <c r="A9" s="61"/>
      <c r="B9" s="61"/>
      <c r="C9" s="61"/>
      <c r="D9" s="62"/>
      <c r="E9" s="62"/>
      <c r="F9" s="62"/>
      <c r="G9" s="62"/>
      <c r="H9" s="62"/>
      <c r="I9" s="62"/>
      <c r="J9" s="62"/>
      <c r="K9" s="62"/>
      <c r="M9" s="53"/>
    </row>
    <row r="10" spans="1:13" ht="13.5" thickBot="1" x14ac:dyDescent="0.25">
      <c r="A10" s="328" t="s">
        <v>71</v>
      </c>
      <c r="B10" s="329" t="s">
        <v>72</v>
      </c>
      <c r="C10" s="329" t="s">
        <v>73</v>
      </c>
      <c r="D10" s="329"/>
      <c r="E10" s="329"/>
      <c r="F10" s="329"/>
      <c r="G10" s="329"/>
      <c r="H10" s="330" t="s">
        <v>74</v>
      </c>
      <c r="I10" s="321" t="s">
        <v>75</v>
      </c>
      <c r="J10" s="321" t="s">
        <v>76</v>
      </c>
      <c r="K10" s="321" t="s">
        <v>77</v>
      </c>
      <c r="M10" s="53"/>
    </row>
    <row r="11" spans="1:13" ht="13.5" thickBot="1" x14ac:dyDescent="0.25">
      <c r="A11" s="328"/>
      <c r="B11" s="329"/>
      <c r="C11" s="329"/>
      <c r="D11" s="329"/>
      <c r="E11" s="329"/>
      <c r="F11" s="329"/>
      <c r="G11" s="329"/>
      <c r="H11" s="330"/>
      <c r="I11" s="321"/>
      <c r="J11" s="321"/>
      <c r="K11" s="321"/>
      <c r="M11" s="53"/>
    </row>
    <row r="12" spans="1:13" ht="18.75" customHeight="1" thickBot="1" x14ac:dyDescent="0.25">
      <c r="A12" s="114">
        <v>1</v>
      </c>
      <c r="B12" s="114" t="str">
        <f>'Necesidades Trimestrales (2)'!B11</f>
        <v>2.5.6-793.31</v>
      </c>
      <c r="C12" s="115" t="str">
        <f>'Necesidades Trimestrales (2)'!E11</f>
        <v>GAS OIL; PRESENTACION: POR LITRO, USO: MOTORES DIESEL,COMERCIALIZACION: GRADO 3, DESTINO: DPTO. S.F.V. DE CATAMARCA</v>
      </c>
      <c r="D12" s="115"/>
      <c r="E12" s="115"/>
      <c r="F12" s="115"/>
      <c r="G12" s="115"/>
      <c r="H12" s="116" t="s">
        <v>103</v>
      </c>
      <c r="I12" s="117" t="str">
        <f>'Necesidades Trimestrales (2)'!F11</f>
        <v>LITROS</v>
      </c>
      <c r="J12" s="118">
        <f>+'Necesidades Trimestrales (2)'!AT11</f>
        <v>107.7</v>
      </c>
      <c r="K12" s="63">
        <v>27855</v>
      </c>
      <c r="M12" s="295"/>
    </row>
    <row r="13" spans="1:13" ht="18.75" customHeight="1" thickBot="1" x14ac:dyDescent="0.25">
      <c r="A13" s="322" t="s">
        <v>556</v>
      </c>
      <c r="B13" s="323"/>
      <c r="C13" s="323"/>
      <c r="D13" s="323"/>
      <c r="E13" s="323"/>
      <c r="F13" s="323"/>
      <c r="G13" s="323"/>
      <c r="H13" s="323"/>
      <c r="I13" s="324"/>
      <c r="J13" s="325">
        <f>+K12*J12</f>
        <v>2999983.5</v>
      </c>
      <c r="K13" s="326"/>
      <c r="M13" s="53">
        <f>SUM(M12:M12)</f>
        <v>0</v>
      </c>
    </row>
    <row r="15" spans="1:13" x14ac:dyDescent="0.2">
      <c r="K15" s="141"/>
    </row>
    <row r="17" spans="11:11" x14ac:dyDescent="0.2">
      <c r="K17" s="142"/>
    </row>
  </sheetData>
  <mergeCells count="17">
    <mergeCell ref="J10:J11"/>
    <mergeCell ref="K10:K11"/>
    <mergeCell ref="A13:I13"/>
    <mergeCell ref="J13:K13"/>
    <mergeCell ref="A8:C8"/>
    <mergeCell ref="A10:A11"/>
    <mergeCell ref="B10:B11"/>
    <mergeCell ref="C10:G11"/>
    <mergeCell ref="H10:H11"/>
    <mergeCell ref="I10:I11"/>
    <mergeCell ref="A7:C7"/>
    <mergeCell ref="D7:K7"/>
    <mergeCell ref="A1:I1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6"/>
  <sheetViews>
    <sheetView topLeftCell="A13" workbookViewId="0">
      <selection activeCell="Q16" sqref="Q16"/>
    </sheetView>
  </sheetViews>
  <sheetFormatPr baseColWidth="10" defaultRowHeight="12.75" x14ac:dyDescent="0.2"/>
  <cols>
    <col min="1" max="5" width="4.42578125" customWidth="1"/>
    <col min="6" max="6" width="5.5703125" customWidth="1"/>
    <col min="7" max="7" width="4.7109375" customWidth="1"/>
    <col min="8" max="11" width="4.42578125" customWidth="1"/>
    <col min="12" max="12" width="6.5703125" customWidth="1"/>
    <col min="13" max="14" width="4.42578125" customWidth="1"/>
    <col min="15" max="16" width="14.85546875" customWidth="1"/>
    <col min="17" max="17" width="19" customWidth="1"/>
  </cols>
  <sheetData>
    <row r="1" spans="1:17" ht="18.75" customHeight="1" thickBot="1" x14ac:dyDescent="0.3">
      <c r="A1" s="334" t="s">
        <v>2</v>
      </c>
      <c r="B1" s="334"/>
      <c r="C1" s="334"/>
      <c r="D1" s="335">
        <v>2021</v>
      </c>
      <c r="E1" s="335"/>
      <c r="F1" s="64"/>
      <c r="G1" s="64"/>
      <c r="H1" s="65"/>
      <c r="I1" s="65"/>
      <c r="J1" s="65"/>
      <c r="K1" s="65"/>
      <c r="L1" s="65"/>
      <c r="M1" s="65"/>
      <c r="N1" s="65"/>
      <c r="O1" s="66"/>
      <c r="P1" s="336" t="s">
        <v>78</v>
      </c>
      <c r="Q1" s="336"/>
    </row>
    <row r="2" spans="1:17" ht="18.75" customHeight="1" thickBot="1" x14ac:dyDescent="0.25">
      <c r="A2" s="66"/>
      <c r="B2" s="66"/>
      <c r="C2" s="66"/>
      <c r="D2" s="66"/>
      <c r="E2" s="66"/>
      <c r="F2" s="66"/>
      <c r="G2" s="67"/>
      <c r="H2" s="65"/>
      <c r="I2" s="65"/>
      <c r="J2" s="65"/>
      <c r="K2" s="65"/>
      <c r="L2" s="65"/>
      <c r="M2" s="65"/>
      <c r="N2" s="65"/>
      <c r="O2" s="66"/>
      <c r="P2" s="336"/>
      <c r="Q2" s="336"/>
    </row>
    <row r="3" spans="1:17" ht="18.75" customHeight="1" thickBot="1" x14ac:dyDescent="0.25">
      <c r="A3" s="66"/>
      <c r="B3" s="66"/>
      <c r="C3" s="66"/>
      <c r="D3" s="66"/>
      <c r="E3" s="66"/>
      <c r="F3" s="66"/>
      <c r="G3" s="67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7" ht="18.75" customHeight="1" thickBot="1" x14ac:dyDescent="0.25">
      <c r="A4" s="337" t="s">
        <v>79</v>
      </c>
      <c r="B4" s="337"/>
      <c r="C4" s="337"/>
      <c r="D4" s="337"/>
      <c r="E4" s="337"/>
      <c r="F4" s="337"/>
      <c r="G4" s="68" t="str">
        <f>'NP DPAS'!D3</f>
        <v>040 - Ministerio de Salud</v>
      </c>
      <c r="H4" s="69"/>
      <c r="I4" s="69"/>
      <c r="J4" s="69"/>
      <c r="K4" s="69"/>
      <c r="L4" s="69"/>
      <c r="M4" s="69"/>
      <c r="N4" s="69"/>
      <c r="O4" s="69"/>
      <c r="P4" s="69"/>
      <c r="Q4" s="70"/>
    </row>
    <row r="5" spans="1:17" ht="18.75" customHeight="1" thickBot="1" x14ac:dyDescent="0.25">
      <c r="A5" s="338" t="s">
        <v>65</v>
      </c>
      <c r="B5" s="339"/>
      <c r="C5" s="339"/>
      <c r="D5" s="339"/>
      <c r="E5" s="339"/>
      <c r="F5" s="340"/>
      <c r="G5" s="68" t="str">
        <f>'NP DPAS'!D4</f>
        <v>011 - Direccion Provincial de Administración - Ministerio de Salud</v>
      </c>
      <c r="H5" s="69"/>
      <c r="I5" s="69"/>
      <c r="J5" s="69"/>
      <c r="K5" s="69"/>
      <c r="L5" s="69"/>
      <c r="M5" s="69"/>
      <c r="N5" s="69"/>
      <c r="O5" s="69"/>
      <c r="P5" s="69"/>
      <c r="Q5" s="70"/>
    </row>
    <row r="6" spans="1:17" ht="18.75" customHeight="1" thickBot="1" x14ac:dyDescent="0.25">
      <c r="A6" s="338" t="s">
        <v>67</v>
      </c>
      <c r="B6" s="339"/>
      <c r="C6" s="339"/>
      <c r="D6" s="339"/>
      <c r="E6" s="339"/>
      <c r="F6" s="340"/>
      <c r="G6" s="68" t="str">
        <f>'NP DPAS'!D5</f>
        <v>476 - DIRECCION PROVINCIAL DE ASISTENCIA SANITARIA NIVEL I Y II</v>
      </c>
      <c r="H6" s="69"/>
      <c r="I6" s="69"/>
      <c r="J6" s="69"/>
      <c r="K6" s="69"/>
      <c r="L6" s="69"/>
      <c r="M6" s="69"/>
      <c r="N6" s="69"/>
      <c r="O6" s="69"/>
      <c r="P6" s="69"/>
      <c r="Q6" s="70"/>
    </row>
    <row r="7" spans="1:17" ht="18.75" customHeight="1" thickBot="1" x14ac:dyDescent="0.25">
      <c r="A7" s="338" t="s">
        <v>68</v>
      </c>
      <c r="B7" s="339"/>
      <c r="C7" s="339"/>
      <c r="D7" s="339"/>
      <c r="E7" s="339"/>
      <c r="F7" s="340"/>
      <c r="G7" s="68" t="str">
        <f>'NP DPAS'!D6</f>
        <v>476 - DIRECCION PROVINCIAL DE ASISTENCIA SANITARIA NIVEL I Y II</v>
      </c>
      <c r="H7" s="69"/>
      <c r="I7" s="69"/>
      <c r="J7" s="69"/>
      <c r="K7" s="69"/>
      <c r="L7" s="69"/>
      <c r="M7" s="69"/>
      <c r="N7" s="69"/>
      <c r="O7" s="69"/>
      <c r="P7" s="69"/>
      <c r="Q7" s="70"/>
    </row>
    <row r="8" spans="1:17" ht="18.75" customHeight="1" thickBot="1" x14ac:dyDescent="0.25">
      <c r="A8" s="341" t="s">
        <v>80</v>
      </c>
      <c r="B8" s="341"/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  <c r="N8" s="341"/>
      <c r="O8" s="341"/>
      <c r="P8" s="341"/>
      <c r="Q8" s="341"/>
    </row>
    <row r="9" spans="1:17" ht="18.75" customHeight="1" x14ac:dyDescent="0.2">
      <c r="A9" s="342" t="s">
        <v>81</v>
      </c>
      <c r="B9" s="342"/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342"/>
      <c r="N9" s="342"/>
      <c r="O9" s="71"/>
      <c r="P9" s="71"/>
      <c r="Q9" s="72"/>
    </row>
    <row r="10" spans="1:17" ht="48.75" customHeight="1" x14ac:dyDescent="0.2">
      <c r="A10" s="343" t="s">
        <v>551</v>
      </c>
      <c r="B10" s="344"/>
      <c r="C10" s="344"/>
      <c r="D10" s="344"/>
      <c r="E10" s="344"/>
      <c r="F10" s="344"/>
      <c r="G10" s="344"/>
      <c r="H10" s="344"/>
      <c r="I10" s="344"/>
      <c r="J10" s="344"/>
      <c r="K10" s="344"/>
      <c r="L10" s="344"/>
      <c r="M10" s="344"/>
      <c r="N10" s="344"/>
      <c r="O10" s="344"/>
      <c r="P10" s="344"/>
      <c r="Q10" s="345"/>
    </row>
    <row r="11" spans="1:17" ht="18.75" customHeight="1" thickBot="1" x14ac:dyDescent="0.25">
      <c r="A11" s="73"/>
      <c r="B11" s="74"/>
      <c r="C11" s="74"/>
      <c r="D11" s="74"/>
      <c r="E11" s="74"/>
      <c r="F11" s="74"/>
      <c r="G11" s="75"/>
      <c r="H11" s="74"/>
      <c r="I11" s="74"/>
      <c r="J11" s="74"/>
      <c r="K11" s="74"/>
      <c r="L11" s="74"/>
      <c r="M11" s="74"/>
      <c r="N11" s="74"/>
      <c r="O11" s="74"/>
      <c r="P11" s="74"/>
      <c r="Q11" s="76"/>
    </row>
    <row r="12" spans="1:17" ht="18.75" customHeight="1" thickBot="1" x14ac:dyDescent="0.25">
      <c r="A12" s="346" t="s">
        <v>82</v>
      </c>
      <c r="B12" s="346"/>
      <c r="C12" s="346"/>
      <c r="D12" s="346"/>
      <c r="E12" s="346"/>
      <c r="F12" s="346"/>
      <c r="G12" s="346"/>
      <c r="H12" s="346"/>
      <c r="I12" s="346"/>
      <c r="J12" s="346"/>
      <c r="K12" s="346"/>
      <c r="L12" s="346"/>
      <c r="M12" s="346"/>
      <c r="N12" s="346"/>
      <c r="O12" s="346"/>
      <c r="P12" s="346"/>
      <c r="Q12" s="346"/>
    </row>
    <row r="13" spans="1:17" ht="18.75" customHeight="1" thickBot="1" x14ac:dyDescent="0.25">
      <c r="A13" s="331" t="s">
        <v>83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2" t="s">
        <v>84</v>
      </c>
      <c r="P13" s="332"/>
      <c r="Q13" s="333" t="s">
        <v>85</v>
      </c>
    </row>
    <row r="14" spans="1:17" ht="18.75" customHeight="1" thickBot="1" x14ac:dyDescent="0.25">
      <c r="A14" s="77" t="s">
        <v>86</v>
      </c>
      <c r="B14" s="78" t="s">
        <v>87</v>
      </c>
      <c r="C14" s="78" t="s">
        <v>88</v>
      </c>
      <c r="D14" s="78" t="s">
        <v>89</v>
      </c>
      <c r="E14" s="78" t="s">
        <v>90</v>
      </c>
      <c r="F14" s="78" t="s">
        <v>91</v>
      </c>
      <c r="G14" s="79" t="s">
        <v>92</v>
      </c>
      <c r="H14" s="78" t="s">
        <v>93</v>
      </c>
      <c r="I14" s="78" t="s">
        <v>94</v>
      </c>
      <c r="J14" s="78" t="s">
        <v>95</v>
      </c>
      <c r="K14" s="78" t="s">
        <v>95</v>
      </c>
      <c r="L14" s="78" t="s">
        <v>96</v>
      </c>
      <c r="M14" s="80" t="s">
        <v>97</v>
      </c>
      <c r="N14" s="81" t="s">
        <v>98</v>
      </c>
      <c r="O14" s="332"/>
      <c r="P14" s="332"/>
      <c r="Q14" s="333"/>
    </row>
    <row r="15" spans="1:17" ht="37.5" customHeight="1" x14ac:dyDescent="0.2">
      <c r="A15" s="82">
        <v>21</v>
      </c>
      <c r="B15" s="83"/>
      <c r="C15" s="83"/>
      <c r="D15" s="83">
        <v>1</v>
      </c>
      <c r="E15" s="83"/>
      <c r="F15" s="83">
        <v>4901</v>
      </c>
      <c r="G15" s="83">
        <v>3</v>
      </c>
      <c r="H15" s="83">
        <v>1</v>
      </c>
      <c r="I15" s="84">
        <v>2</v>
      </c>
      <c r="J15" s="84">
        <v>5</v>
      </c>
      <c r="K15" s="84">
        <v>6</v>
      </c>
      <c r="L15" s="83"/>
      <c r="M15" s="85">
        <v>1</v>
      </c>
      <c r="N15" s="86" t="s">
        <v>99</v>
      </c>
      <c r="O15" s="347" t="s">
        <v>13</v>
      </c>
      <c r="P15" s="348"/>
      <c r="Q15" s="87" t="e">
        <f>+'Necesidades Trimestrales (2)'!#REF!</f>
        <v>#REF!</v>
      </c>
    </row>
    <row r="16" spans="1:17" ht="18.75" customHeight="1" x14ac:dyDescent="0.2">
      <c r="A16" s="88"/>
      <c r="B16" s="89"/>
      <c r="C16" s="89"/>
      <c r="D16" s="89"/>
      <c r="E16" s="89"/>
      <c r="F16" s="91"/>
      <c r="G16" s="89"/>
      <c r="H16" s="89"/>
      <c r="I16" s="89"/>
      <c r="J16" s="89"/>
      <c r="K16" s="89"/>
      <c r="L16" s="89"/>
      <c r="M16" s="90"/>
      <c r="N16" s="91"/>
      <c r="O16" s="349"/>
      <c r="P16" s="350"/>
      <c r="Q16" s="92"/>
    </row>
    <row r="17" spans="1:21" ht="18.75" customHeight="1" x14ac:dyDescent="0.2">
      <c r="A17" s="88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90"/>
      <c r="N17" s="91"/>
      <c r="O17" s="350"/>
      <c r="P17" s="350"/>
      <c r="Q17" s="92"/>
    </row>
    <row r="18" spans="1:21" ht="18.75" customHeight="1" x14ac:dyDescent="0.2">
      <c r="A18" s="88"/>
      <c r="B18" s="89"/>
      <c r="C18" s="89"/>
      <c r="D18" s="89"/>
      <c r="E18" s="89"/>
      <c r="F18" s="91"/>
      <c r="G18" s="89"/>
      <c r="H18" s="89"/>
      <c r="I18" s="89"/>
      <c r="J18" s="89"/>
      <c r="K18" s="89"/>
      <c r="L18" s="89"/>
      <c r="M18" s="90"/>
      <c r="N18" s="91"/>
      <c r="O18" s="350"/>
      <c r="P18" s="350"/>
      <c r="Q18" s="92"/>
    </row>
    <row r="19" spans="1:21" ht="18.75" customHeight="1" x14ac:dyDescent="0.2">
      <c r="A19" s="88"/>
      <c r="B19" s="89"/>
      <c r="C19" s="89"/>
      <c r="D19" s="89"/>
      <c r="E19" s="89"/>
      <c r="F19" s="91"/>
      <c r="G19" s="89"/>
      <c r="H19" s="89"/>
      <c r="I19" s="89"/>
      <c r="J19" s="89"/>
      <c r="K19" s="89"/>
      <c r="L19" s="89"/>
      <c r="M19" s="90"/>
      <c r="N19" s="91"/>
      <c r="O19" s="350"/>
      <c r="P19" s="350"/>
      <c r="Q19" s="92"/>
    </row>
    <row r="20" spans="1:21" ht="18.75" customHeight="1" x14ac:dyDescent="0.2">
      <c r="A20" s="93"/>
      <c r="B20" s="94"/>
      <c r="C20" s="94"/>
      <c r="D20" s="94"/>
      <c r="E20" s="94"/>
      <c r="F20" s="95"/>
      <c r="G20" s="94"/>
      <c r="H20" s="94"/>
      <c r="I20" s="94"/>
      <c r="J20" s="94"/>
      <c r="K20" s="94"/>
      <c r="L20" s="94"/>
      <c r="M20" s="96"/>
      <c r="N20" s="97"/>
      <c r="O20" s="349"/>
      <c r="P20" s="349"/>
      <c r="Q20" s="92"/>
    </row>
    <row r="21" spans="1:21" ht="18.75" customHeight="1" thickBot="1" x14ac:dyDescent="0.25">
      <c r="A21" s="98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100"/>
      <c r="N21" s="99"/>
      <c r="O21" s="351"/>
      <c r="P21" s="351"/>
      <c r="Q21" s="101"/>
    </row>
    <row r="22" spans="1:21" ht="37.5" customHeight="1" thickBot="1" x14ac:dyDescent="0.25">
      <c r="A22" s="352" t="s">
        <v>557</v>
      </c>
      <c r="B22" s="352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102" t="e">
        <f>SUM(Q15:Q21)</f>
        <v>#REF!</v>
      </c>
      <c r="U22" s="140"/>
    </row>
    <row r="23" spans="1:21" ht="18.75" customHeight="1" thickBot="1" x14ac:dyDescent="0.25">
      <c r="A23" s="353"/>
      <c r="B23" s="353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3"/>
      <c r="O23" s="353"/>
      <c r="P23" s="353"/>
      <c r="Q23" s="353"/>
    </row>
    <row r="24" spans="1:21" ht="18.75" customHeight="1" thickBot="1" x14ac:dyDescent="0.25">
      <c r="A24" s="354" t="s">
        <v>100</v>
      </c>
      <c r="B24" s="355"/>
      <c r="C24" s="355"/>
      <c r="D24" s="355"/>
      <c r="E24" s="355"/>
      <c r="F24" s="356"/>
      <c r="G24" s="357"/>
      <c r="H24" s="357"/>
      <c r="I24" s="357"/>
      <c r="J24" s="357"/>
      <c r="K24" s="357"/>
      <c r="L24" s="357"/>
      <c r="M24" s="357"/>
      <c r="N24" s="357"/>
      <c r="O24" s="357"/>
      <c r="P24" s="357"/>
      <c r="Q24" s="357"/>
    </row>
    <row r="25" spans="1:21" ht="18.75" customHeight="1" x14ac:dyDescent="0.2">
      <c r="A25" s="103" t="str">
        <f>'NP DPAS'!D8</f>
        <v>Adquisicion del  RUBRO COMBUSTIBLES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5"/>
    </row>
    <row r="26" spans="1:21" ht="18.75" customHeight="1" thickBot="1" x14ac:dyDescent="0.25">
      <c r="A26" s="106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8"/>
    </row>
  </sheetData>
  <mergeCells count="25">
    <mergeCell ref="O20:P20"/>
    <mergeCell ref="O21:P21"/>
    <mergeCell ref="A22:P22"/>
    <mergeCell ref="A23:Q23"/>
    <mergeCell ref="A24:F24"/>
    <mergeCell ref="G24:Q24"/>
    <mergeCell ref="O15:P15"/>
    <mergeCell ref="O16:P16"/>
    <mergeCell ref="O17:P17"/>
    <mergeCell ref="O18:P18"/>
    <mergeCell ref="O19:P19"/>
    <mergeCell ref="A13:N13"/>
    <mergeCell ref="O13:P14"/>
    <mergeCell ref="Q13:Q14"/>
    <mergeCell ref="A1:C1"/>
    <mergeCell ref="D1:E1"/>
    <mergeCell ref="P1:Q2"/>
    <mergeCell ref="A4:F4"/>
    <mergeCell ref="A5:F5"/>
    <mergeCell ref="A6:F6"/>
    <mergeCell ref="A7:F7"/>
    <mergeCell ref="A8:Q8"/>
    <mergeCell ref="A9:N9"/>
    <mergeCell ref="A10:Q10"/>
    <mergeCell ref="A12:Q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Necesidades Trimestrales (2)</vt:lpstr>
      <vt:lpstr>ANEXO DE MATRICULAS Y DOMINIO</vt:lpstr>
      <vt:lpstr>NP DPAS</vt:lpstr>
      <vt:lpstr>APG DPAS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RODOLFO SARTOR</cp:lastModifiedBy>
  <cp:revision>2</cp:revision>
  <cp:lastPrinted>2021-02-22T15:06:37Z</cp:lastPrinted>
  <dcterms:created xsi:type="dcterms:W3CDTF">2020-07-17T23:44:49Z</dcterms:created>
  <dcterms:modified xsi:type="dcterms:W3CDTF">2021-11-11T14:09:15Z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