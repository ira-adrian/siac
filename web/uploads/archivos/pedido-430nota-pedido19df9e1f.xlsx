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0\Pedidos por cierre de FP SCA\Farmacia\Pedido Rectificado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 301-20" sheetId="2" r:id="rId2"/>
    <sheet name="Autor Gastar" sheetId="3" r:id="rId3"/>
  </sheets>
  <definedNames>
    <definedName name="_xlnm._FilterDatabase" localSheetId="0" hidden="1">'Necesidades Trimestrales'!$A$9:$I$75</definedName>
    <definedName name="_xlnm.Print_Area" localSheetId="1">' NotaPedido 301-20'!$A$1:$K$78</definedName>
    <definedName name="_xlnm.Print_Area" localSheetId="2">'Autor Gastar'!$A$1:$Q$22</definedName>
  </definedNames>
  <calcPr calcId="152511" iterateDelta="1E-4"/>
</workbook>
</file>

<file path=xl/calcChain.xml><?xml version="1.0" encoding="utf-8"?>
<calcChain xmlns="http://schemas.openxmlformats.org/spreadsheetml/2006/main">
  <c r="I77" i="2" l="1"/>
  <c r="J77" i="2"/>
  <c r="K77" i="2"/>
  <c r="A77" i="2"/>
  <c r="B77" i="2"/>
  <c r="C77" i="2"/>
  <c r="I75" i="1"/>
  <c r="I74" i="1" l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D7" i="2" l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12" i="2"/>
  <c r="K12" i="2"/>
  <c r="I12" i="2"/>
  <c r="J12" i="2"/>
  <c r="J78" i="2" s="1"/>
  <c r="C12" i="2"/>
  <c r="B12" i="2"/>
  <c r="A1" i="1" l="1"/>
  <c r="A10" i="3" l="1"/>
  <c r="G6" i="3" l="1"/>
  <c r="G7" i="3"/>
  <c r="D3" i="2"/>
  <c r="G4" i="3" s="1"/>
  <c r="D4" i="2"/>
  <c r="G5" i="3" s="1"/>
  <c r="D1" i="3" l="1"/>
  <c r="Q18" i="3"/>
</calcChain>
</file>

<file path=xl/sharedStrings.xml><?xml version="1.0" encoding="utf-8"?>
<sst xmlns="http://schemas.openxmlformats.org/spreadsheetml/2006/main" count="447" uniqueCount="154">
  <si>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</si>
  <si>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</si>
  <si>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</si>
  <si>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</si>
  <si>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</si>
  <si>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</si>
  <si>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</si>
  <si>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</si>
  <si>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</si>
  <si>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</si>
  <si>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</si>
  <si>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</si>
  <si>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</si>
  <si>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</si>
  <si>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</si>
  <si>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</si>
  <si>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</si>
  <si>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</si>
  <si>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</si>
  <si>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</si>
  <si>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</si>
  <si>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</si>
  <si>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</si>
  <si>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</si>
  <si>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</si>
  <si>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</si>
  <si>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</si>
  <si>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</si>
  <si>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</si>
  <si>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</si>
  <si>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</si>
  <si>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</si>
  <si>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</si>
  <si>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</si>
  <si>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</si>
  <si>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</si>
  <si>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</si>
  <si>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</si>
  <si>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</si>
  <si>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</si>
  <si>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</si>
  <si>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</si>
  <si>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</si>
  <si>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</si>
  <si>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</si>
  <si>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</si>
  <si>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</si>
  <si>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</si>
  <si>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</si>
  <si>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</si>
  <si>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</si>
  <si>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</si>
  <si>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</si>
  <si>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</si>
  <si>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</si>
  <si>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</si>
  <si>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>1.1</t>
  </si>
  <si>
    <t>PROD. MEDICO/FARMACEUTICOS/LAB</t>
  </si>
  <si>
    <t xml:space="preserve">NO </t>
  </si>
  <si>
    <t>Utiles Menores Medico, Quirurgico y de Laboratorio</t>
  </si>
  <si>
    <t>OBJETO:</t>
  </si>
  <si>
    <t xml:space="preserve">169- Direccion Asistencial </t>
  </si>
  <si>
    <t>Productos Farmaceuticos y medicinales</t>
  </si>
  <si>
    <t>Especificidades Item N° 13:</t>
  </si>
  <si>
    <t>Especificidades Item N° 62:</t>
  </si>
  <si>
    <t>2.9.5</t>
  </si>
  <si>
    <t>2.5.2</t>
  </si>
  <si>
    <t>UNIDAD</t>
  </si>
  <si>
    <t>BUPIBACAIHNA CLORIDRATO HIPERBARICA 5MG/ML AMP-KIT CON AGUJA INTRODUCTORA 27 GX3 1/2 TIPO CASARA SCOTT</t>
  </si>
  <si>
    <t>IMIPENEM FRASCO FRASCO/AMPOLLA X 500 MG</t>
  </si>
  <si>
    <t>AGUJA DESCARTABLE 16/5</t>
  </si>
  <si>
    <t>AGUJA DESCARTABLE 25/8</t>
  </si>
  <si>
    <t>AGUJA DESCARTABLE 40/12</t>
  </si>
  <si>
    <t>AGUJA DESCARTABLE 40/8</t>
  </si>
  <si>
    <t>AGUJA DESCARTABLE 50/8</t>
  </si>
  <si>
    <t>ALGODÓN  x 500 GRS.TIPO DONCELLA</t>
  </si>
  <si>
    <t>BAJALENGUA X 100 UNIDADES</t>
  </si>
  <si>
    <t>BOTAS ALTAS DESCARTABLES DE 30 GRAMOS CON TIRA EL PAR</t>
  </si>
  <si>
    <t>CAMISOLINES DES. SMS CON MANGAS Y PUÑO DE 1,40 MTS. DE LARGO, 30 GRS. COLOR AZUL</t>
  </si>
  <si>
    <t>CATETER INTRAVENOSO Nº 22 TIPO HOSPIRA/BD</t>
  </si>
  <si>
    <t>CATETER INTRAVENOSO Nº 24 TIPO HOSPIRA/BD</t>
  </si>
  <si>
    <t>CATETER INTRAVENOSO Nº 26 TIPO HOSPIRA/BD</t>
  </si>
  <si>
    <t>CANULAS NASALES PARA OXIGENOTERAPIA - NEONATALES</t>
  </si>
  <si>
    <t>CANULAS NASALES PARA OXIGENOTERAPIA -  ADULTOS</t>
  </si>
  <si>
    <t>CLORHEXIDINA 2 % SOLUCION x 250 ml.</t>
  </si>
  <si>
    <t>CLORHEXIDINA 4% JABON x 500 ML CON VALVULA DISPENSADORA TIPO NOVARA</t>
  </si>
  <si>
    <t>ELECTRODOS DESCARTABLES ADULTO TIPO 3M</t>
  </si>
  <si>
    <t xml:space="preserve">EQUIPO PARA ADM. SOLUC. MICROGOTERO TIPO V-17c/ ROLLER  </t>
  </si>
  <si>
    <t>EQUIPO PARA ADMINISTRACION DE SOLUCIONES  MACROGOTERO TIPO V-14 CON ROLLER</t>
  </si>
  <si>
    <t>GEL BASE PARA ECOGRAFIA  x 1kg</t>
  </si>
  <si>
    <t>GUANTES DE CIRUGIA ESTERIL Nº 6 1/2  ANATOMICOS , CAÑA LARGA SIN TALCO</t>
  </si>
  <si>
    <t>GUANTES DE CIRUGIA ESTERIL Nº 7   ANATOMICOS , CAÑA LARGA SIN TALCO</t>
  </si>
  <si>
    <t>GUANTES DE CIRUGIA ESTERIL Nº 7 1/2  ANATOMICOS , CAÑA LARGA SIN TALCO</t>
  </si>
  <si>
    <t>GUANTES DE CIRUGIA ESTERIL Nº 8   ANATOMICOS , CAÑA LARGA SIN TALCO</t>
  </si>
  <si>
    <t>GUANTES DE LATEX  EXAMINACION X 100 UNIDADES, TALLE S</t>
  </si>
  <si>
    <t>GUANTES DE LATEX  EXAMINACION X 100 UNIDADES, TALLE M</t>
  </si>
  <si>
    <t>GUANTES DE LATEX  EXAMINACION X 100 UNIDADES, TALLE L</t>
  </si>
  <si>
    <t>HOJA DE BISTURI N° 24</t>
  </si>
  <si>
    <t>HOJA DE BISTURI Nº 11</t>
  </si>
  <si>
    <t>HOJA DE BISTURI Nº 15 X 100</t>
  </si>
  <si>
    <t>JERINGA DESCARTABLE DE 10 CC S/AGUJA</t>
  </si>
  <si>
    <t>JERINGA DESCARTABLE DE 5 CC S/AGUJA</t>
  </si>
  <si>
    <t>JERINGA P/INSULINA 100 UI CON AGUJA TIPO TERUMO</t>
  </si>
  <si>
    <t>JERINGA TUBERCULINA 1 CC. S/ AGUJA</t>
  </si>
  <si>
    <t>JERINGAS DE 20CC  S/AGUJA</t>
  </si>
  <si>
    <t>LLAVE 3 VIAS ESTERIL 360° LUERLOCK C/PROLONG. 15CM</t>
  </si>
  <si>
    <t>LLAVE 3 VIAS ESTERIL 360° LUERLOCK C/PROLONG. 30 CM</t>
  </si>
  <si>
    <t>LLAVE 3 VIAS ESTERIL 360° LUERLOCK C/PROLONG.50 CM</t>
  </si>
  <si>
    <t>LLAVE DE TRES VIA</t>
  </si>
  <si>
    <t>SET PARA NEBULIZAR COMPLETO PIPETA+ MASCARA + TUBULADURA</t>
  </si>
  <si>
    <t>MASCARA CON BOLSA RESERVORIO</t>
  </si>
  <si>
    <t>PROLONGADOR PVC ESTERIL 2.6MM X1.5M</t>
  </si>
  <si>
    <t>SONDA INTUB.GASTRICA K 9</t>
  </si>
  <si>
    <t>SONDA INTUB.GASTRICA K10</t>
  </si>
  <si>
    <t>SONDA INTUB.GASTRICA K11</t>
  </si>
  <si>
    <t>SONDA K32 CON REGULADOR</t>
  </si>
  <si>
    <t>SONDA NASOGASTRICA  K31</t>
  </si>
  <si>
    <t>SONDA NASOGASTRICA K 33</t>
  </si>
  <si>
    <t>SONDA NASOGASTRICA K 35</t>
  </si>
  <si>
    <t>SONDA NELATON PVC N° 12 T/K93</t>
  </si>
  <si>
    <t>SONDA P/ASPIRACION MUCUS K33P C/REGULADOR</t>
  </si>
  <si>
    <t>SONDA P/ASPIRACION MUCUS T/K31P C/REG.</t>
  </si>
  <si>
    <t>SONDA P/ASPIRACION MUCUS T/K35P C/REGULADOR</t>
  </si>
  <si>
    <t>SET DE VIA CENTRAL DOBLE LUMEN  7 FRENCH TIPO ARROW</t>
  </si>
  <si>
    <t>SET DE VIA CENTRAL SIMPLE LUMEN VIA 7 FRENCH TIPO ARROW</t>
  </si>
  <si>
    <t>SET DE VIA CENTRAL DOBLE LUMEN 4  FRENCH  /13 CM 22/22 G TIPO ARROW</t>
  </si>
  <si>
    <t>SET DE VIA CENTRAL DOBLE LUMEN 4  FRENCH  /30 CM 22/22 G TIPO ARROW</t>
  </si>
  <si>
    <t>TAPON INTERMITENTE TIPO BRAUN in stopper</t>
  </si>
  <si>
    <t>TELA ADHESIVA 2,5 MM X 9,00 MTS TIPO ADHESUR</t>
  </si>
  <si>
    <t>TELA ADHESIVA 5 MM X 9,00 MTS TIPO ADHESUR</t>
  </si>
  <si>
    <t>TELA ADHESIVA HIPOALERGENICA MICROPORE 2,5 CM TIPO 3 M</t>
  </si>
  <si>
    <t>TELA ADHESIVA HIPOALERGENICA TRANSPORE 2,5 CM TIPO 3 M</t>
  </si>
  <si>
    <t>HILO DE SUTURA N1 CON AGUJA TIPO VICRYL CODIGO J341</t>
  </si>
  <si>
    <t xml:space="preserve">4° </t>
  </si>
  <si>
    <t>CATETER INTRAVENOSO 24 de calidad tipo HOSPIRA O BD ya que si no cumplen con esta calidad al momento de la canalización se producen hematomas flebitis e infecciones que revierten mayor gravedad en los NEONATOS.</t>
  </si>
  <si>
    <t>MATERNIDAD PROVINCIAL 25 DE MAYO- H. DE PEDRAZA 1.650</t>
  </si>
  <si>
    <t>Especificidades Item N° 59:</t>
  </si>
  <si>
    <t>Las vías centrales deben ser de una calidad adecuada ya que son utilizadas en neonatos. Se recomienda tipo ARROW</t>
  </si>
  <si>
    <t>es necesaria para fijación de catéteres y tubos, por experiencia en el uso de los profesionales de esta institución se recomienda el tipo ADHESUR ya que sino el consumo es mayor y no se logra la técnica adecuada.</t>
  </si>
  <si>
    <t>tipo ARROW</t>
  </si>
  <si>
    <t>tipo HOSPIRA O BD</t>
  </si>
  <si>
    <t>tipo ADHESUR</t>
  </si>
  <si>
    <t>Especificidades Item N° 58:</t>
  </si>
  <si>
    <t>Especificidades Item N° 61:</t>
  </si>
  <si>
    <t>Servicio de Farmacia</t>
  </si>
  <si>
    <t>303/2020</t>
  </si>
  <si>
    <t xml:space="preserve">ADQUISICION DE ANESTESICOS Y DESCARTABLES </t>
  </si>
  <si>
    <t>Para la adquisición de anestesicos y descartables, para ser destinados al Servico de Farmacia de Maternidad Provincial 25 de Mayo.</t>
  </si>
  <si>
    <t>2.5.1</t>
  </si>
  <si>
    <t xml:space="preserve">Compuestos Quimicos </t>
  </si>
  <si>
    <t xml:space="preserve">IMPORTE TOTAL ESTIMADO </t>
  </si>
  <si>
    <t>MISOPROSTOL 200 MG COMPRIMIDOS VAGINALES RAM X 12</t>
  </si>
  <si>
    <t>Costo total estimado: CINCO MILLONES TRESCIENTOS SEIS MIL DOSCIENTOS VEINTE CON 30/100</t>
  </si>
  <si>
    <t>TOTAL DE PESOS: CINCO MILLONES TRESCIENTOS SEIS MIL DOSCIENTOS VEINTE CON 30/100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</si>
</sst>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\ #,##0.00;[Red]\-[$$-2C0A]\ #,##0.00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8"/>
      <name val="Arial"/>
      <family val="2"/>
      <charset val="1"/>
    </font>
    <font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9"/>
      <name val="Times New Roman"/>
      <family val="1"/>
      <charset val="1"/>
    </font>
    <font>
      <b/>
      <sz val="10"/>
      <name val="Times New Roman"/>
      <family val="1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5" fontId="13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8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166" fontId="12" fillId="0" borderId="29" xfId="0" applyNumberFormat="1" applyFont="1" applyBorder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8" fillId="0" borderId="2" xfId="0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0" xfId="0" applyFont="1" applyBorder="1"/>
    <xf numFmtId="0" fontId="14" fillId="0" borderId="10" xfId="0" applyFont="1" applyBorder="1"/>
    <xf numFmtId="0" fontId="18" fillId="0" borderId="0" xfId="0" applyFont="1" applyFill="1" applyAlignment="1">
      <alignment horizontal="left" wrapText="1"/>
    </xf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166" fontId="0" fillId="0" borderId="0" xfId="0" applyNumberFormat="1"/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8" xfId="0" applyFont="1" applyFill="1" applyBorder="1" applyAlignment="1">
      <alignment vertical="center"/>
    </xf>
    <xf numFmtId="0" fontId="14" fillId="0" borderId="8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/>
    </xf>
    <xf numFmtId="0" fontId="20" fillId="0" borderId="0" xfId="0" applyFont="1" applyFill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26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6" fillId="0" borderId="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6" fillId="0" borderId="0" xfId="0" applyFont="1" applyBorder="1" applyAlignment="1">
      <alignment wrapText="1"/>
    </xf>
    <xf numFmtId="0" fontId="26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70" fontId="18" fillId="0" borderId="3" xfId="0" applyNumberFormat="1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170" fontId="18" fillId="0" borderId="39" xfId="0" applyNumberFormat="1" applyFont="1" applyBorder="1" applyAlignment="1">
      <alignment horizontal="center" vertical="center" wrapText="1"/>
    </xf>
    <xf numFmtId="170" fontId="18" fillId="0" borderId="40" xfId="0" applyNumberFormat="1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0" borderId="39" xfId="0" applyFont="1" applyFill="1" applyBorder="1" applyAlignment="1">
      <alignment horizontal="left" vertical="center"/>
    </xf>
    <xf numFmtId="0" fontId="28" fillId="0" borderId="41" xfId="0" applyFont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8" fillId="0" borderId="0" xfId="0" applyFont="1" applyBorder="1" applyAlignment="1">
      <alignment horizontal="center" vertical="center" wrapText="1"/>
    </xf>
    <xf numFmtId="170" fontId="26" fillId="0" borderId="0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9" fontId="13" fillId="0" borderId="34" xfId="0" applyNumberFormat="1" applyFont="1" applyBorder="1" applyAlignment="1">
      <alignment wrapText="1"/>
    </xf>
    <xf numFmtId="0" fontId="4" fillId="0" borderId="39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 wrapText="1"/>
    </xf>
    <xf numFmtId="166" fontId="4" fillId="0" borderId="39" xfId="1" applyNumberFormat="1" applyFont="1" applyFill="1" applyBorder="1" applyAlignment="1" applyProtection="1">
      <alignment horizontal="right" vertical="center" wrapText="1"/>
    </xf>
    <xf numFmtId="3" fontId="4" fillId="0" borderId="40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166" fontId="4" fillId="0" borderId="3" xfId="1" applyNumberFormat="1" applyFont="1" applyFill="1" applyBorder="1" applyAlignment="1" applyProtection="1">
      <alignment horizontal="right" vertical="center" wrapText="1"/>
    </xf>
    <xf numFmtId="3" fontId="4" fillId="0" borderId="42" xfId="0" applyNumberFormat="1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39" xfId="0" applyFont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wrapText="1"/>
    </xf>
    <xf numFmtId="0" fontId="13" fillId="0" borderId="3" xfId="0" applyFont="1" applyBorder="1" applyAlignment="1">
      <alignment vertical="center"/>
    </xf>
    <xf numFmtId="0" fontId="28" fillId="0" borderId="7" xfId="0" applyFont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wrapText="1"/>
    </xf>
    <xf numFmtId="0" fontId="14" fillId="0" borderId="8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14" fillId="0" borderId="8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left" vertical="top" wrapText="1"/>
    </xf>
    <xf numFmtId="0" fontId="14" fillId="0" borderId="8" xfId="0" applyFont="1" applyFill="1" applyBorder="1" applyAlignment="1">
      <alignment horizontal="left" vertical="top" wrapText="1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 indent="1"/>
    </xf>
    <xf numFmtId="0" fontId="4" fillId="0" borderId="3" xfId="0" applyFont="1" applyFill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 indent="1"/>
    </xf>
    <xf numFmtId="167" fontId="29" fillId="0" borderId="1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24" fillId="0" borderId="16" xfId="0" applyFont="1" applyFill="1" applyBorder="1" applyAlignment="1">
      <alignment horizontal="left" vertical="center" wrapText="1" indent="1"/>
    </xf>
    <xf numFmtId="0" fontId="22" fillId="0" borderId="21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27" fillId="0" borderId="18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8" fillId="0" borderId="21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Fill="1" applyBorder="1" applyAlignment="1">
      <alignment horizontal="left" vertical="center" wrapText="1" indent="1"/>
    </xf>
    <xf numFmtId="0" fontId="21" fillId="0" borderId="29" xfId="0" applyFont="1" applyBorder="1" applyAlignment="1">
      <alignment horizontal="left" vertical="center"/>
    </xf>
    <xf numFmtId="0" fontId="0" fillId="0" borderId="23" xfId="0" applyBorder="1" applyAlignment="1">
      <alignment wrapText="1"/>
    </xf>
    <xf numFmtId="0" fontId="13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0" fillId="0" borderId="24" xfId="0" applyFont="1" applyBorder="1"/>
    <xf numFmtId="0" fontId="10" fillId="0" borderId="25" xfId="0" applyFont="1" applyBorder="1" applyAlignment="1">
      <alignment horizontal="left" vertical="center" wrapText="1" indent="1"/>
    </xf>
    <xf numFmtId="0" fontId="12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indent="1"/>
    </xf>
    <xf numFmtId="0" fontId="11" fillId="0" borderId="13" xfId="0" applyFont="1" applyBorder="1" applyAlignment="1">
      <alignment horizontal="left"/>
    </xf>
    <xf numFmtId="0" fontId="25" fillId="0" borderId="15" xfId="0" applyFont="1" applyBorder="1" applyAlignment="1">
      <alignment horizontal="left" vertical="center" wrapText="1"/>
    </xf>
    <xf numFmtId="0" fontId="25" fillId="0" borderId="31" xfId="0" applyFont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8" fillId="0" borderId="2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7"/>
  <sheetViews>
    <sheetView tabSelected="1" zoomScale="90" zoomScaleNormal="90" zoomScaleSheetLayoutView="50" workbookViewId="0">
      <selection activeCell="E17" sqref="E17"/>
    </sheetView>
  </sheetViews>
  <sheetFormatPr baseColWidth="10" defaultColWidth="11" defaultRowHeight="12.75" x14ac:dyDescent="0.2"/>
  <cols>
    <col min="1" max="1" width="4.5703125" style="38" customWidth="1"/>
    <col min="2" max="2" width="21" style="38" customWidth="1"/>
    <col min="3" max="3" width="38.28515625" style="37" customWidth="1"/>
    <col min="4" max="4" width="14.7109375" style="18" customWidth="1"/>
    <col min="5" max="5" width="89" style="37" customWidth="1"/>
    <col min="6" max="6" width="11" style="18"/>
    <col min="7" max="7" width="12.7109375" style="57" customWidth="1"/>
    <col min="8" max="8" width="17.140625" style="59" customWidth="1"/>
    <col min="9" max="9" width="18.5703125" style="18" customWidth="1"/>
    <col min="10" max="16384" width="11" style="18"/>
  </cols>
  <sheetData>
    <row r="1" spans="1:9" x14ac:dyDescent="0.2">
      <c r="A1" s="38">
        <f>ROW(A1)</f>
        <v>1</v>
      </c>
    </row>
    <row r="2" spans="1:9" ht="27" x14ac:dyDescent="0.35">
      <c r="B2" s="117" t="s">
        <v>0</v>
      </c>
      <c r="C2" s="117"/>
      <c r="D2" s="117"/>
      <c r="E2" s="117"/>
      <c r="F2" s="117"/>
      <c r="G2" s="117"/>
      <c r="H2" s="117"/>
    </row>
    <row r="4" spans="1:9" ht="18" customHeight="1" x14ac:dyDescent="0.25">
      <c r="A4" s="118" t="s">
        <v>1</v>
      </c>
      <c r="B4" s="118"/>
      <c r="C4" s="119" t="s">
        <v>54</v>
      </c>
      <c r="D4" s="119"/>
      <c r="E4" s="119"/>
      <c r="F4" s="19"/>
      <c r="G4" s="55"/>
      <c r="H4" s="58"/>
    </row>
    <row r="5" spans="1:9" ht="18" customHeight="1" x14ac:dyDescent="0.25">
      <c r="A5" s="118" t="s">
        <v>2</v>
      </c>
      <c r="B5" s="118"/>
      <c r="C5" s="119" t="s">
        <v>55</v>
      </c>
      <c r="D5" s="119"/>
      <c r="E5" s="119"/>
      <c r="F5" s="19"/>
      <c r="G5" s="55"/>
      <c r="H5" s="58"/>
    </row>
    <row r="6" spans="1:9" ht="16.5" customHeight="1" x14ac:dyDescent="0.2">
      <c r="A6" s="118" t="s">
        <v>3</v>
      </c>
      <c r="B6" s="118"/>
      <c r="C6" s="46">
        <v>2020</v>
      </c>
      <c r="D6" s="24"/>
      <c r="E6" s="39"/>
      <c r="F6" s="19"/>
      <c r="G6" s="55"/>
      <c r="H6" s="58"/>
    </row>
    <row r="7" spans="1:9" ht="16.5" customHeight="1" x14ac:dyDescent="0.2">
      <c r="A7" s="118" t="s">
        <v>4</v>
      </c>
      <c r="B7" s="118"/>
      <c r="C7" s="46" t="s">
        <v>133</v>
      </c>
      <c r="D7" s="24"/>
      <c r="E7" s="39"/>
      <c r="F7" s="19"/>
      <c r="G7" s="55"/>
      <c r="H7" s="58"/>
    </row>
    <row r="8" spans="1:9" ht="13.5" thickBot="1" x14ac:dyDescent="0.25">
      <c r="B8" s="47"/>
      <c r="C8" s="47"/>
      <c r="D8" s="19"/>
      <c r="E8" s="40"/>
      <c r="F8" s="19"/>
      <c r="G8" s="55"/>
      <c r="H8" s="58"/>
    </row>
    <row r="9" spans="1:9" ht="42.75" customHeight="1" thickTop="1" thickBot="1" x14ac:dyDescent="0.25">
      <c r="A9" s="20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0" t="s">
        <v>150</v>
      </c>
    </row>
    <row r="10" spans="1:9" ht="28.5" customHeight="1" thickBot="1" x14ac:dyDescent="0.25">
      <c r="A10" s="75">
        <v>1</v>
      </c>
      <c r="B10" s="76"/>
      <c r="C10" s="102" t="s">
        <v>57</v>
      </c>
      <c r="D10" s="77" t="s">
        <v>66</v>
      </c>
      <c r="E10" s="103" t="s">
        <v>68</v>
      </c>
      <c r="F10" s="77" t="s">
        <v>67</v>
      </c>
      <c r="G10" s="77">
        <v>500</v>
      </c>
      <c r="H10" s="78">
        <v>800</v>
      </c>
      <c r="I10" s="79">
        <f>G10*H10</f>
        <v>400000</v>
      </c>
    </row>
    <row r="11" spans="1:9" ht="20.100000000000001" customHeight="1" thickBot="1" x14ac:dyDescent="0.25">
      <c r="A11" s="80">
        <v>2</v>
      </c>
      <c r="B11" s="52"/>
      <c r="C11" s="104" t="s">
        <v>57</v>
      </c>
      <c r="D11" s="27" t="s">
        <v>66</v>
      </c>
      <c r="E11" s="105" t="s">
        <v>69</v>
      </c>
      <c r="F11" s="27" t="s">
        <v>67</v>
      </c>
      <c r="G11" s="27">
        <v>150</v>
      </c>
      <c r="H11" s="74">
        <v>700</v>
      </c>
      <c r="I11" s="79">
        <f t="shared" ref="I11:I74" si="0">G11*H11</f>
        <v>105000</v>
      </c>
    </row>
    <row r="12" spans="1:9" ht="20.100000000000001" customHeight="1" thickBot="1" x14ac:dyDescent="0.25">
      <c r="A12" s="80">
        <v>3</v>
      </c>
      <c r="B12" s="53"/>
      <c r="C12" s="104" t="s">
        <v>57</v>
      </c>
      <c r="D12" s="27" t="s">
        <v>65</v>
      </c>
      <c r="E12" s="106" t="s">
        <v>70</v>
      </c>
      <c r="F12" s="27" t="s">
        <v>67</v>
      </c>
      <c r="G12" s="27">
        <v>2500</v>
      </c>
      <c r="H12" s="74">
        <v>1.18</v>
      </c>
      <c r="I12" s="79">
        <f t="shared" si="0"/>
        <v>2950</v>
      </c>
    </row>
    <row r="13" spans="1:9" ht="20.100000000000001" customHeight="1" thickBot="1" x14ac:dyDescent="0.25">
      <c r="A13" s="80">
        <v>4</v>
      </c>
      <c r="B13" s="53"/>
      <c r="C13" s="104" t="s">
        <v>57</v>
      </c>
      <c r="D13" s="27" t="s">
        <v>65</v>
      </c>
      <c r="E13" s="106" t="s">
        <v>71</v>
      </c>
      <c r="F13" s="27" t="s">
        <v>67</v>
      </c>
      <c r="G13" s="27">
        <v>22500</v>
      </c>
      <c r="H13" s="74">
        <v>1.18</v>
      </c>
      <c r="I13" s="79">
        <f t="shared" si="0"/>
        <v>26550</v>
      </c>
    </row>
    <row r="14" spans="1:9" ht="20.100000000000001" customHeight="1" thickBot="1" x14ac:dyDescent="0.25">
      <c r="A14" s="80">
        <v>5</v>
      </c>
      <c r="B14" s="53"/>
      <c r="C14" s="104" t="s">
        <v>57</v>
      </c>
      <c r="D14" s="27" t="s">
        <v>65</v>
      </c>
      <c r="E14" s="106" t="s">
        <v>72</v>
      </c>
      <c r="F14" s="27" t="s">
        <v>67</v>
      </c>
      <c r="G14" s="27">
        <v>500</v>
      </c>
      <c r="H14" s="74">
        <v>1.53</v>
      </c>
      <c r="I14" s="79">
        <f t="shared" si="0"/>
        <v>765</v>
      </c>
    </row>
    <row r="15" spans="1:9" ht="20.100000000000001" customHeight="1" thickBot="1" x14ac:dyDescent="0.25">
      <c r="A15" s="75">
        <v>6</v>
      </c>
      <c r="B15" s="53"/>
      <c r="C15" s="104" t="s">
        <v>57</v>
      </c>
      <c r="D15" s="27" t="s">
        <v>65</v>
      </c>
      <c r="E15" s="106" t="s">
        <v>73</v>
      </c>
      <c r="F15" s="27" t="s">
        <v>67</v>
      </c>
      <c r="G15" s="27">
        <v>18000</v>
      </c>
      <c r="H15" s="74">
        <v>1.18</v>
      </c>
      <c r="I15" s="79">
        <f t="shared" si="0"/>
        <v>21240</v>
      </c>
    </row>
    <row r="16" spans="1:9" ht="20.100000000000001" customHeight="1" thickBot="1" x14ac:dyDescent="0.25">
      <c r="A16" s="80">
        <v>7</v>
      </c>
      <c r="B16" s="53"/>
      <c r="C16" s="104" t="s">
        <v>57</v>
      </c>
      <c r="D16" s="27" t="s">
        <v>65</v>
      </c>
      <c r="E16" s="106" t="s">
        <v>74</v>
      </c>
      <c r="F16" s="27" t="s">
        <v>67</v>
      </c>
      <c r="G16" s="27">
        <v>500</v>
      </c>
      <c r="H16" s="74">
        <v>1.53</v>
      </c>
      <c r="I16" s="79">
        <f t="shared" si="0"/>
        <v>765</v>
      </c>
    </row>
    <row r="17" spans="1:9" ht="20.100000000000001" customHeight="1" thickBot="1" x14ac:dyDescent="0.25">
      <c r="A17" s="75">
        <v>8</v>
      </c>
      <c r="B17" s="53"/>
      <c r="C17" s="104" t="s">
        <v>57</v>
      </c>
      <c r="D17" s="27" t="s">
        <v>65</v>
      </c>
      <c r="E17" s="106" t="s">
        <v>75</v>
      </c>
      <c r="F17" s="27" t="s">
        <v>67</v>
      </c>
      <c r="G17" s="27">
        <v>900</v>
      </c>
      <c r="H17" s="74">
        <v>228</v>
      </c>
      <c r="I17" s="79">
        <f t="shared" si="0"/>
        <v>205200</v>
      </c>
    </row>
    <row r="18" spans="1:9" ht="20.100000000000001" customHeight="1" thickBot="1" x14ac:dyDescent="0.25">
      <c r="A18" s="80">
        <v>9</v>
      </c>
      <c r="B18" s="53"/>
      <c r="C18" s="104" t="s">
        <v>57</v>
      </c>
      <c r="D18" s="27" t="s">
        <v>65</v>
      </c>
      <c r="E18" s="106" t="s">
        <v>76</v>
      </c>
      <c r="F18" s="27" t="s">
        <v>67</v>
      </c>
      <c r="G18" s="27">
        <v>20</v>
      </c>
      <c r="H18" s="74">
        <v>103</v>
      </c>
      <c r="I18" s="79">
        <f t="shared" si="0"/>
        <v>2060</v>
      </c>
    </row>
    <row r="19" spans="1:9" ht="20.100000000000001" customHeight="1" thickBot="1" x14ac:dyDescent="0.25">
      <c r="A19" s="80">
        <v>10</v>
      </c>
      <c r="B19" s="53"/>
      <c r="C19" s="104" t="s">
        <v>57</v>
      </c>
      <c r="D19" s="27" t="s">
        <v>65</v>
      </c>
      <c r="E19" s="106" t="s">
        <v>77</v>
      </c>
      <c r="F19" s="27" t="s">
        <v>67</v>
      </c>
      <c r="G19" s="27">
        <v>5000</v>
      </c>
      <c r="H19" s="74">
        <v>15.6</v>
      </c>
      <c r="I19" s="79">
        <f t="shared" si="0"/>
        <v>78000</v>
      </c>
    </row>
    <row r="20" spans="1:9" ht="20.100000000000001" customHeight="1" thickBot="1" x14ac:dyDescent="0.25">
      <c r="A20" s="80">
        <v>11</v>
      </c>
      <c r="B20" s="53"/>
      <c r="C20" s="104" t="s">
        <v>57</v>
      </c>
      <c r="D20" s="27" t="s">
        <v>65</v>
      </c>
      <c r="E20" s="106" t="s">
        <v>78</v>
      </c>
      <c r="F20" s="27" t="s">
        <v>67</v>
      </c>
      <c r="G20" s="27">
        <v>4000</v>
      </c>
      <c r="H20" s="74">
        <v>76.2</v>
      </c>
      <c r="I20" s="79">
        <f t="shared" si="0"/>
        <v>304800</v>
      </c>
    </row>
    <row r="21" spans="1:9" ht="20.100000000000001" customHeight="1" thickBot="1" x14ac:dyDescent="0.25">
      <c r="A21" s="80">
        <v>12</v>
      </c>
      <c r="B21" s="60"/>
      <c r="C21" s="104" t="s">
        <v>57</v>
      </c>
      <c r="D21" s="27" t="s">
        <v>65</v>
      </c>
      <c r="E21" s="107" t="s">
        <v>79</v>
      </c>
      <c r="F21" s="27" t="s">
        <v>67</v>
      </c>
      <c r="G21" s="27">
        <v>50</v>
      </c>
      <c r="H21" s="74">
        <v>17.72</v>
      </c>
      <c r="I21" s="79">
        <f t="shared" si="0"/>
        <v>886</v>
      </c>
    </row>
    <row r="22" spans="1:9" ht="20.100000000000001" customHeight="1" thickBot="1" x14ac:dyDescent="0.25">
      <c r="A22" s="75">
        <v>13</v>
      </c>
      <c r="B22" s="53"/>
      <c r="C22" s="104" t="s">
        <v>57</v>
      </c>
      <c r="D22" s="27" t="s">
        <v>65</v>
      </c>
      <c r="E22" s="106" t="s">
        <v>80</v>
      </c>
      <c r="F22" s="27" t="s">
        <v>67</v>
      </c>
      <c r="G22" s="27">
        <v>3000</v>
      </c>
      <c r="H22" s="74">
        <v>17.72</v>
      </c>
      <c r="I22" s="79">
        <f t="shared" si="0"/>
        <v>53160</v>
      </c>
    </row>
    <row r="23" spans="1:9" ht="20.100000000000001" customHeight="1" thickBot="1" x14ac:dyDescent="0.25">
      <c r="A23" s="80">
        <v>14</v>
      </c>
      <c r="B23" s="53"/>
      <c r="C23" s="104" t="s">
        <v>57</v>
      </c>
      <c r="D23" s="27" t="s">
        <v>65</v>
      </c>
      <c r="E23" s="106" t="s">
        <v>81</v>
      </c>
      <c r="F23" s="27" t="s">
        <v>67</v>
      </c>
      <c r="G23" s="27">
        <v>1000</v>
      </c>
      <c r="H23" s="74">
        <v>419</v>
      </c>
      <c r="I23" s="79">
        <f t="shared" si="0"/>
        <v>419000</v>
      </c>
    </row>
    <row r="24" spans="1:9" ht="20.100000000000001" customHeight="1" thickBot="1" x14ac:dyDescent="0.25">
      <c r="A24" s="75">
        <v>15</v>
      </c>
      <c r="B24" s="53"/>
      <c r="C24" s="104" t="s">
        <v>57</v>
      </c>
      <c r="D24" s="27" t="s">
        <v>65</v>
      </c>
      <c r="E24" s="106" t="s">
        <v>82</v>
      </c>
      <c r="F24" s="27" t="s">
        <v>67</v>
      </c>
      <c r="G24" s="27">
        <v>150</v>
      </c>
      <c r="H24" s="74">
        <v>64.84</v>
      </c>
      <c r="I24" s="79">
        <f t="shared" si="0"/>
        <v>9726</v>
      </c>
    </row>
    <row r="25" spans="1:9" ht="20.100000000000001" customHeight="1" thickBot="1" x14ac:dyDescent="0.25">
      <c r="A25" s="80">
        <v>16</v>
      </c>
      <c r="B25" s="53"/>
      <c r="C25" s="104" t="s">
        <v>57</v>
      </c>
      <c r="D25" s="27" t="s">
        <v>65</v>
      </c>
      <c r="E25" s="106" t="s">
        <v>83</v>
      </c>
      <c r="F25" s="27" t="s">
        <v>67</v>
      </c>
      <c r="G25" s="27">
        <v>150</v>
      </c>
      <c r="H25" s="74">
        <v>64.84</v>
      </c>
      <c r="I25" s="79">
        <f t="shared" si="0"/>
        <v>9726</v>
      </c>
    </row>
    <row r="26" spans="1:9" ht="20.100000000000001" customHeight="1" thickBot="1" x14ac:dyDescent="0.25">
      <c r="A26" s="80">
        <v>17</v>
      </c>
      <c r="B26" s="53"/>
      <c r="C26" s="104" t="s">
        <v>57</v>
      </c>
      <c r="D26" s="27" t="s">
        <v>148</v>
      </c>
      <c r="E26" s="106" t="s">
        <v>84</v>
      </c>
      <c r="F26" s="27" t="s">
        <v>67</v>
      </c>
      <c r="G26" s="27">
        <v>360</v>
      </c>
      <c r="H26" s="74">
        <v>313</v>
      </c>
      <c r="I26" s="79">
        <f t="shared" si="0"/>
        <v>112680</v>
      </c>
    </row>
    <row r="27" spans="1:9" ht="20.100000000000001" customHeight="1" thickBot="1" x14ac:dyDescent="0.25">
      <c r="A27" s="80">
        <v>18</v>
      </c>
      <c r="B27" s="53"/>
      <c r="C27" s="104" t="s">
        <v>57</v>
      </c>
      <c r="D27" s="27" t="s">
        <v>148</v>
      </c>
      <c r="E27" s="106" t="s">
        <v>85</v>
      </c>
      <c r="F27" s="27" t="s">
        <v>67</v>
      </c>
      <c r="G27" s="27">
        <v>800</v>
      </c>
      <c r="H27" s="74">
        <v>513</v>
      </c>
      <c r="I27" s="79">
        <f t="shared" si="0"/>
        <v>410400</v>
      </c>
    </row>
    <row r="28" spans="1:9" ht="20.100000000000001" customHeight="1" thickBot="1" x14ac:dyDescent="0.25">
      <c r="A28" s="80">
        <v>19</v>
      </c>
      <c r="B28" s="53"/>
      <c r="C28" s="104" t="s">
        <v>57</v>
      </c>
      <c r="D28" s="27" t="s">
        <v>65</v>
      </c>
      <c r="E28" s="106" t="s">
        <v>86</v>
      </c>
      <c r="F28" s="27" t="s">
        <v>67</v>
      </c>
      <c r="G28" s="27">
        <v>2500</v>
      </c>
      <c r="H28" s="74">
        <v>12.5</v>
      </c>
      <c r="I28" s="79">
        <f t="shared" si="0"/>
        <v>31250</v>
      </c>
    </row>
    <row r="29" spans="1:9" ht="20.100000000000001" customHeight="1" thickBot="1" x14ac:dyDescent="0.25">
      <c r="A29" s="75">
        <v>20</v>
      </c>
      <c r="B29" s="53"/>
      <c r="C29" s="104" t="s">
        <v>57</v>
      </c>
      <c r="D29" s="27" t="s">
        <v>65</v>
      </c>
      <c r="E29" s="106" t="s">
        <v>87</v>
      </c>
      <c r="F29" s="27" t="s">
        <v>67</v>
      </c>
      <c r="G29" s="27">
        <v>400</v>
      </c>
      <c r="H29" s="74">
        <v>21.42</v>
      </c>
      <c r="I29" s="79">
        <f t="shared" si="0"/>
        <v>8568</v>
      </c>
    </row>
    <row r="30" spans="1:9" ht="20.100000000000001" customHeight="1" thickBot="1" x14ac:dyDescent="0.25">
      <c r="A30" s="80">
        <v>21</v>
      </c>
      <c r="B30" s="53"/>
      <c r="C30" s="104" t="s">
        <v>57</v>
      </c>
      <c r="D30" s="27" t="s">
        <v>65</v>
      </c>
      <c r="E30" s="106" t="s">
        <v>88</v>
      </c>
      <c r="F30" s="27" t="s">
        <v>67</v>
      </c>
      <c r="G30" s="27">
        <v>3500</v>
      </c>
      <c r="H30" s="74">
        <v>18.45</v>
      </c>
      <c r="I30" s="79">
        <f t="shared" si="0"/>
        <v>64575</v>
      </c>
    </row>
    <row r="31" spans="1:9" ht="20.100000000000001" customHeight="1" thickBot="1" x14ac:dyDescent="0.25">
      <c r="A31" s="75">
        <v>22</v>
      </c>
      <c r="B31" s="53"/>
      <c r="C31" s="104" t="s">
        <v>57</v>
      </c>
      <c r="D31" s="27" t="s">
        <v>66</v>
      </c>
      <c r="E31" s="106" t="s">
        <v>89</v>
      </c>
      <c r="F31" s="27" t="s">
        <v>67</v>
      </c>
      <c r="G31" s="27">
        <v>90</v>
      </c>
      <c r="H31" s="74">
        <v>215</v>
      </c>
      <c r="I31" s="79">
        <f t="shared" si="0"/>
        <v>19350</v>
      </c>
    </row>
    <row r="32" spans="1:9" ht="20.100000000000001" customHeight="1" thickBot="1" x14ac:dyDescent="0.25">
      <c r="A32" s="80">
        <v>23</v>
      </c>
      <c r="B32" s="53"/>
      <c r="C32" s="104" t="s">
        <v>57</v>
      </c>
      <c r="D32" s="27" t="s">
        <v>65</v>
      </c>
      <c r="E32" s="106" t="s">
        <v>90</v>
      </c>
      <c r="F32" s="27" t="s">
        <v>67</v>
      </c>
      <c r="G32" s="27">
        <v>600</v>
      </c>
      <c r="H32" s="74">
        <v>28.8</v>
      </c>
      <c r="I32" s="79">
        <f t="shared" si="0"/>
        <v>17280</v>
      </c>
    </row>
    <row r="33" spans="1:9" ht="20.100000000000001" customHeight="1" thickBot="1" x14ac:dyDescent="0.25">
      <c r="A33" s="80">
        <v>24</v>
      </c>
      <c r="B33" s="53"/>
      <c r="C33" s="104" t="s">
        <v>57</v>
      </c>
      <c r="D33" s="27" t="s">
        <v>65</v>
      </c>
      <c r="E33" s="106" t="s">
        <v>91</v>
      </c>
      <c r="F33" s="27" t="s">
        <v>67</v>
      </c>
      <c r="G33" s="27">
        <v>4000</v>
      </c>
      <c r="H33" s="74">
        <v>28.8</v>
      </c>
      <c r="I33" s="79">
        <f t="shared" si="0"/>
        <v>115200</v>
      </c>
    </row>
    <row r="34" spans="1:9" ht="20.100000000000001" customHeight="1" thickBot="1" x14ac:dyDescent="0.25">
      <c r="A34" s="80">
        <v>25</v>
      </c>
      <c r="B34" s="53"/>
      <c r="C34" s="104" t="s">
        <v>57</v>
      </c>
      <c r="D34" s="27" t="s">
        <v>65</v>
      </c>
      <c r="E34" s="106" t="s">
        <v>92</v>
      </c>
      <c r="F34" s="27" t="s">
        <v>67</v>
      </c>
      <c r="G34" s="27">
        <v>4000</v>
      </c>
      <c r="H34" s="74">
        <v>28.8</v>
      </c>
      <c r="I34" s="79">
        <f t="shared" si="0"/>
        <v>115200</v>
      </c>
    </row>
    <row r="35" spans="1:9" ht="20.100000000000001" customHeight="1" thickBot="1" x14ac:dyDescent="0.25">
      <c r="A35" s="80">
        <v>26</v>
      </c>
      <c r="B35" s="53"/>
      <c r="C35" s="104" t="s">
        <v>57</v>
      </c>
      <c r="D35" s="27" t="s">
        <v>65</v>
      </c>
      <c r="E35" s="106" t="s">
        <v>93</v>
      </c>
      <c r="F35" s="27" t="s">
        <v>67</v>
      </c>
      <c r="G35" s="27">
        <v>1750</v>
      </c>
      <c r="H35" s="74">
        <v>28.8</v>
      </c>
      <c r="I35" s="79">
        <f t="shared" si="0"/>
        <v>50400</v>
      </c>
    </row>
    <row r="36" spans="1:9" ht="20.100000000000001" customHeight="1" thickBot="1" x14ac:dyDescent="0.25">
      <c r="A36" s="75">
        <v>27</v>
      </c>
      <c r="B36" s="53"/>
      <c r="C36" s="104" t="s">
        <v>57</v>
      </c>
      <c r="D36" s="27" t="s">
        <v>65</v>
      </c>
      <c r="E36" s="106" t="s">
        <v>94</v>
      </c>
      <c r="F36" s="27" t="s">
        <v>67</v>
      </c>
      <c r="G36" s="27">
        <v>500</v>
      </c>
      <c r="H36" s="74">
        <v>833</v>
      </c>
      <c r="I36" s="79">
        <f t="shared" si="0"/>
        <v>416500</v>
      </c>
    </row>
    <row r="37" spans="1:9" ht="20.100000000000001" customHeight="1" thickBot="1" x14ac:dyDescent="0.25">
      <c r="A37" s="80">
        <v>28</v>
      </c>
      <c r="B37" s="53"/>
      <c r="C37" s="104" t="s">
        <v>57</v>
      </c>
      <c r="D37" s="27" t="s">
        <v>65</v>
      </c>
      <c r="E37" s="106" t="s">
        <v>95</v>
      </c>
      <c r="F37" s="27" t="s">
        <v>67</v>
      </c>
      <c r="G37" s="27">
        <v>1000</v>
      </c>
      <c r="H37" s="74">
        <v>833</v>
      </c>
      <c r="I37" s="79">
        <f t="shared" si="0"/>
        <v>833000</v>
      </c>
    </row>
    <row r="38" spans="1:9" ht="20.100000000000001" customHeight="1" thickBot="1" x14ac:dyDescent="0.25">
      <c r="A38" s="75">
        <v>29</v>
      </c>
      <c r="B38" s="53"/>
      <c r="C38" s="104" t="s">
        <v>57</v>
      </c>
      <c r="D38" s="27" t="s">
        <v>65</v>
      </c>
      <c r="E38" s="106" t="s">
        <v>96</v>
      </c>
      <c r="F38" s="27" t="s">
        <v>67</v>
      </c>
      <c r="G38" s="27">
        <v>25</v>
      </c>
      <c r="H38" s="74">
        <v>833</v>
      </c>
      <c r="I38" s="79">
        <f t="shared" si="0"/>
        <v>20825</v>
      </c>
    </row>
    <row r="39" spans="1:9" ht="20.100000000000001" customHeight="1" thickBot="1" x14ac:dyDescent="0.25">
      <c r="A39" s="80">
        <v>30</v>
      </c>
      <c r="B39" s="53"/>
      <c r="C39" s="104" t="s">
        <v>57</v>
      </c>
      <c r="D39" s="27" t="s">
        <v>65</v>
      </c>
      <c r="E39" s="106" t="s">
        <v>97</v>
      </c>
      <c r="F39" s="27" t="s">
        <v>67</v>
      </c>
      <c r="G39" s="27">
        <v>3000</v>
      </c>
      <c r="H39" s="74">
        <v>4.55</v>
      </c>
      <c r="I39" s="79">
        <f t="shared" si="0"/>
        <v>13650</v>
      </c>
    </row>
    <row r="40" spans="1:9" ht="20.100000000000001" customHeight="1" thickBot="1" x14ac:dyDescent="0.25">
      <c r="A40" s="80">
        <v>31</v>
      </c>
      <c r="B40" s="53"/>
      <c r="C40" s="104" t="s">
        <v>57</v>
      </c>
      <c r="D40" s="27" t="s">
        <v>65</v>
      </c>
      <c r="E40" s="106" t="s">
        <v>98</v>
      </c>
      <c r="F40" s="27" t="s">
        <v>67</v>
      </c>
      <c r="G40" s="27">
        <v>2000</v>
      </c>
      <c r="H40" s="74">
        <v>4.55</v>
      </c>
      <c r="I40" s="79">
        <f t="shared" si="0"/>
        <v>9100</v>
      </c>
    </row>
    <row r="41" spans="1:9" ht="20.100000000000001" customHeight="1" thickBot="1" x14ac:dyDescent="0.25">
      <c r="A41" s="80">
        <v>32</v>
      </c>
      <c r="B41" s="53"/>
      <c r="C41" s="104" t="s">
        <v>57</v>
      </c>
      <c r="D41" s="27" t="s">
        <v>65</v>
      </c>
      <c r="E41" s="106" t="s">
        <v>99</v>
      </c>
      <c r="F41" s="27" t="s">
        <v>67</v>
      </c>
      <c r="G41" s="27">
        <v>2000</v>
      </c>
      <c r="H41" s="74">
        <v>4.55</v>
      </c>
      <c r="I41" s="79">
        <f t="shared" si="0"/>
        <v>9100</v>
      </c>
    </row>
    <row r="42" spans="1:9" ht="20.100000000000001" customHeight="1" thickBot="1" x14ac:dyDescent="0.25">
      <c r="A42" s="80">
        <v>33</v>
      </c>
      <c r="B42" s="53"/>
      <c r="C42" s="104" t="s">
        <v>57</v>
      </c>
      <c r="D42" s="27" t="s">
        <v>65</v>
      </c>
      <c r="E42" s="106" t="s">
        <v>100</v>
      </c>
      <c r="F42" s="27" t="s">
        <v>67</v>
      </c>
      <c r="G42" s="27">
        <v>27000</v>
      </c>
      <c r="H42" s="74">
        <v>6.05</v>
      </c>
      <c r="I42" s="79">
        <f t="shared" si="0"/>
        <v>163350</v>
      </c>
    </row>
    <row r="43" spans="1:9" ht="20.100000000000001" customHeight="1" thickBot="1" x14ac:dyDescent="0.25">
      <c r="A43" s="75">
        <v>34</v>
      </c>
      <c r="B43" s="53"/>
      <c r="C43" s="104" t="s">
        <v>57</v>
      </c>
      <c r="D43" s="27" t="s">
        <v>65</v>
      </c>
      <c r="E43" s="106" t="s">
        <v>101</v>
      </c>
      <c r="F43" s="27" t="s">
        <v>67</v>
      </c>
      <c r="G43" s="27">
        <v>27000</v>
      </c>
      <c r="H43" s="74">
        <v>4.05</v>
      </c>
      <c r="I43" s="79">
        <f t="shared" si="0"/>
        <v>109350</v>
      </c>
    </row>
    <row r="44" spans="1:9" ht="20.100000000000001" customHeight="1" thickBot="1" x14ac:dyDescent="0.25">
      <c r="A44" s="80">
        <v>35</v>
      </c>
      <c r="B44" s="53"/>
      <c r="C44" s="104" t="s">
        <v>57</v>
      </c>
      <c r="D44" s="27" t="s">
        <v>65</v>
      </c>
      <c r="E44" s="106" t="s">
        <v>102</v>
      </c>
      <c r="F44" s="27" t="s">
        <v>67</v>
      </c>
      <c r="G44" s="27">
        <v>3000</v>
      </c>
      <c r="H44" s="74">
        <v>4.25</v>
      </c>
      <c r="I44" s="79">
        <f t="shared" si="0"/>
        <v>12750</v>
      </c>
    </row>
    <row r="45" spans="1:9" ht="20.100000000000001" customHeight="1" thickBot="1" x14ac:dyDescent="0.25">
      <c r="A45" s="75">
        <v>36</v>
      </c>
      <c r="B45" s="53"/>
      <c r="C45" s="104" t="s">
        <v>57</v>
      </c>
      <c r="D45" s="27" t="s">
        <v>65</v>
      </c>
      <c r="E45" s="106" t="s">
        <v>103</v>
      </c>
      <c r="F45" s="27" t="s">
        <v>67</v>
      </c>
      <c r="G45" s="27">
        <v>10000</v>
      </c>
      <c r="H45" s="74">
        <v>3.95</v>
      </c>
      <c r="I45" s="79">
        <f t="shared" si="0"/>
        <v>39500</v>
      </c>
    </row>
    <row r="46" spans="1:9" ht="20.100000000000001" customHeight="1" thickBot="1" x14ac:dyDescent="0.25">
      <c r="A46" s="80">
        <v>37</v>
      </c>
      <c r="B46" s="53"/>
      <c r="C46" s="104" t="s">
        <v>57</v>
      </c>
      <c r="D46" s="27" t="s">
        <v>65</v>
      </c>
      <c r="E46" s="106" t="s">
        <v>104</v>
      </c>
      <c r="F46" s="27" t="s">
        <v>67</v>
      </c>
      <c r="G46" s="27">
        <v>4000</v>
      </c>
      <c r="H46" s="74">
        <v>9.6</v>
      </c>
      <c r="I46" s="79">
        <f t="shared" si="0"/>
        <v>38400</v>
      </c>
    </row>
    <row r="47" spans="1:9" ht="20.100000000000001" customHeight="1" thickBot="1" x14ac:dyDescent="0.25">
      <c r="A47" s="80">
        <v>38</v>
      </c>
      <c r="B47" s="53"/>
      <c r="C47" s="104" t="s">
        <v>57</v>
      </c>
      <c r="D47" s="27" t="s">
        <v>65</v>
      </c>
      <c r="E47" s="106" t="s">
        <v>105</v>
      </c>
      <c r="F47" s="27" t="s">
        <v>67</v>
      </c>
      <c r="G47" s="27">
        <v>500</v>
      </c>
      <c r="H47" s="74">
        <v>45.42</v>
      </c>
      <c r="I47" s="79">
        <f t="shared" si="0"/>
        <v>22710</v>
      </c>
    </row>
    <row r="48" spans="1:9" ht="20.100000000000001" customHeight="1" thickBot="1" x14ac:dyDescent="0.25">
      <c r="A48" s="80">
        <v>39</v>
      </c>
      <c r="B48" s="53"/>
      <c r="C48" s="104" t="s">
        <v>57</v>
      </c>
      <c r="D48" s="27" t="s">
        <v>65</v>
      </c>
      <c r="E48" s="106" t="s">
        <v>106</v>
      </c>
      <c r="F48" s="27" t="s">
        <v>67</v>
      </c>
      <c r="G48" s="27">
        <v>200</v>
      </c>
      <c r="H48" s="74">
        <v>48.99</v>
      </c>
      <c r="I48" s="79">
        <f t="shared" si="0"/>
        <v>9798</v>
      </c>
    </row>
    <row r="49" spans="1:9" ht="20.100000000000001" customHeight="1" thickBot="1" x14ac:dyDescent="0.25">
      <c r="A49" s="80">
        <v>40</v>
      </c>
      <c r="B49" s="53"/>
      <c r="C49" s="104" t="s">
        <v>57</v>
      </c>
      <c r="D49" s="27" t="s">
        <v>65</v>
      </c>
      <c r="E49" s="106" t="s">
        <v>107</v>
      </c>
      <c r="F49" s="27" t="s">
        <v>67</v>
      </c>
      <c r="G49" s="27">
        <v>200</v>
      </c>
      <c r="H49" s="74">
        <v>52.66</v>
      </c>
      <c r="I49" s="79">
        <f t="shared" si="0"/>
        <v>10532</v>
      </c>
    </row>
    <row r="50" spans="1:9" ht="20.100000000000001" customHeight="1" thickBot="1" x14ac:dyDescent="0.25">
      <c r="A50" s="75">
        <v>41</v>
      </c>
      <c r="B50" s="53"/>
      <c r="C50" s="104" t="s">
        <v>57</v>
      </c>
      <c r="D50" s="27" t="s">
        <v>65</v>
      </c>
      <c r="E50" s="106" t="s">
        <v>108</v>
      </c>
      <c r="F50" s="27" t="s">
        <v>67</v>
      </c>
      <c r="G50" s="27">
        <v>750</v>
      </c>
      <c r="H50" s="74">
        <v>17.22</v>
      </c>
      <c r="I50" s="79">
        <f t="shared" si="0"/>
        <v>12915</v>
      </c>
    </row>
    <row r="51" spans="1:9" ht="20.100000000000001" customHeight="1" thickBot="1" x14ac:dyDescent="0.25">
      <c r="A51" s="80">
        <v>42</v>
      </c>
      <c r="B51" s="53"/>
      <c r="C51" s="104" t="s">
        <v>57</v>
      </c>
      <c r="D51" s="27" t="s">
        <v>65</v>
      </c>
      <c r="E51" s="106" t="s">
        <v>109</v>
      </c>
      <c r="F51" s="27" t="s">
        <v>67</v>
      </c>
      <c r="G51" s="27">
        <v>50</v>
      </c>
      <c r="H51" s="74">
        <v>113.7</v>
      </c>
      <c r="I51" s="79">
        <f t="shared" si="0"/>
        <v>5685</v>
      </c>
    </row>
    <row r="52" spans="1:9" ht="20.100000000000001" customHeight="1" thickBot="1" x14ac:dyDescent="0.25">
      <c r="A52" s="75">
        <v>43</v>
      </c>
      <c r="B52" s="53"/>
      <c r="C52" s="104" t="s">
        <v>57</v>
      </c>
      <c r="D52" s="27" t="s">
        <v>65</v>
      </c>
      <c r="E52" s="106" t="s">
        <v>110</v>
      </c>
      <c r="F52" s="27" t="s">
        <v>67</v>
      </c>
      <c r="G52" s="27">
        <v>250</v>
      </c>
      <c r="H52" s="74">
        <v>174.5</v>
      </c>
      <c r="I52" s="79">
        <f t="shared" si="0"/>
        <v>43625</v>
      </c>
    </row>
    <row r="53" spans="1:9" ht="20.100000000000001" customHeight="1" thickBot="1" x14ac:dyDescent="0.25">
      <c r="A53" s="80">
        <v>44</v>
      </c>
      <c r="B53" s="53"/>
      <c r="C53" s="104" t="s">
        <v>57</v>
      </c>
      <c r="D53" s="27" t="s">
        <v>65</v>
      </c>
      <c r="E53" s="106" t="s">
        <v>111</v>
      </c>
      <c r="F53" s="27" t="s">
        <v>67</v>
      </c>
      <c r="G53" s="27">
        <v>5000</v>
      </c>
      <c r="H53" s="74">
        <v>32.4</v>
      </c>
      <c r="I53" s="79">
        <f t="shared" si="0"/>
        <v>162000</v>
      </c>
    </row>
    <row r="54" spans="1:9" ht="20.100000000000001" customHeight="1" thickBot="1" x14ac:dyDescent="0.25">
      <c r="A54" s="80">
        <v>45</v>
      </c>
      <c r="B54" s="53"/>
      <c r="C54" s="104" t="s">
        <v>57</v>
      </c>
      <c r="D54" s="27" t="s">
        <v>65</v>
      </c>
      <c r="E54" s="106" t="s">
        <v>112</v>
      </c>
      <c r="F54" s="27" t="s">
        <v>67</v>
      </c>
      <c r="G54" s="27">
        <v>25</v>
      </c>
      <c r="H54" s="74">
        <v>33.93</v>
      </c>
      <c r="I54" s="79">
        <f t="shared" si="0"/>
        <v>848.25</v>
      </c>
    </row>
    <row r="55" spans="1:9" ht="20.100000000000001" customHeight="1" thickBot="1" x14ac:dyDescent="0.25">
      <c r="A55" s="80">
        <v>46</v>
      </c>
      <c r="B55" s="53"/>
      <c r="C55" s="104" t="s">
        <v>57</v>
      </c>
      <c r="D55" s="27" t="s">
        <v>65</v>
      </c>
      <c r="E55" s="106" t="s">
        <v>113</v>
      </c>
      <c r="F55" s="27" t="s">
        <v>67</v>
      </c>
      <c r="G55" s="27">
        <v>25</v>
      </c>
      <c r="H55" s="74">
        <v>39.020000000000003</v>
      </c>
      <c r="I55" s="79">
        <f t="shared" si="0"/>
        <v>975.50000000000011</v>
      </c>
    </row>
    <row r="56" spans="1:9" ht="20.100000000000001" customHeight="1" thickBot="1" x14ac:dyDescent="0.25">
      <c r="A56" s="80">
        <v>47</v>
      </c>
      <c r="B56" s="53"/>
      <c r="C56" s="104" t="s">
        <v>57</v>
      </c>
      <c r="D56" s="27" t="s">
        <v>65</v>
      </c>
      <c r="E56" s="106" t="s">
        <v>114</v>
      </c>
      <c r="F56" s="27" t="s">
        <v>67</v>
      </c>
      <c r="G56" s="27">
        <v>25</v>
      </c>
      <c r="H56" s="74">
        <v>43.19</v>
      </c>
      <c r="I56" s="79">
        <f t="shared" si="0"/>
        <v>1079.75</v>
      </c>
    </row>
    <row r="57" spans="1:9" ht="20.100000000000001" customHeight="1" thickBot="1" x14ac:dyDescent="0.25">
      <c r="A57" s="75">
        <v>48</v>
      </c>
      <c r="B57" s="53"/>
      <c r="C57" s="104" t="s">
        <v>57</v>
      </c>
      <c r="D57" s="27" t="s">
        <v>65</v>
      </c>
      <c r="E57" s="106" t="s">
        <v>115</v>
      </c>
      <c r="F57" s="27" t="s">
        <v>67</v>
      </c>
      <c r="G57" s="27">
        <v>100</v>
      </c>
      <c r="H57" s="74">
        <v>30.68</v>
      </c>
      <c r="I57" s="79">
        <f t="shared" si="0"/>
        <v>3068</v>
      </c>
    </row>
    <row r="58" spans="1:9" ht="20.100000000000001" customHeight="1" thickBot="1" x14ac:dyDescent="0.25">
      <c r="A58" s="80">
        <v>49</v>
      </c>
      <c r="B58" s="53"/>
      <c r="C58" s="104" t="s">
        <v>57</v>
      </c>
      <c r="D58" s="27" t="s">
        <v>65</v>
      </c>
      <c r="E58" s="106" t="s">
        <v>116</v>
      </c>
      <c r="F58" s="27" t="s">
        <v>67</v>
      </c>
      <c r="G58" s="27">
        <v>400</v>
      </c>
      <c r="H58" s="74">
        <v>22.46</v>
      </c>
      <c r="I58" s="79">
        <f t="shared" si="0"/>
        <v>8984</v>
      </c>
    </row>
    <row r="59" spans="1:9" ht="20.100000000000001" customHeight="1" thickBot="1" x14ac:dyDescent="0.25">
      <c r="A59" s="75">
        <v>50</v>
      </c>
      <c r="B59" s="54"/>
      <c r="C59" s="104" t="s">
        <v>57</v>
      </c>
      <c r="D59" s="27" t="s">
        <v>65</v>
      </c>
      <c r="E59" s="108" t="s">
        <v>117</v>
      </c>
      <c r="F59" s="27" t="s">
        <v>67</v>
      </c>
      <c r="G59" s="27">
        <v>2700</v>
      </c>
      <c r="H59" s="74">
        <v>17.829999999999998</v>
      </c>
      <c r="I59" s="79">
        <f t="shared" si="0"/>
        <v>48140.999999999993</v>
      </c>
    </row>
    <row r="60" spans="1:9" ht="20.100000000000001" customHeight="1" thickBot="1" x14ac:dyDescent="0.25">
      <c r="A60" s="80">
        <v>51</v>
      </c>
      <c r="B60" s="54"/>
      <c r="C60" s="104" t="s">
        <v>57</v>
      </c>
      <c r="D60" s="27" t="s">
        <v>65</v>
      </c>
      <c r="E60" s="108" t="s">
        <v>118</v>
      </c>
      <c r="F60" s="27" t="s">
        <v>67</v>
      </c>
      <c r="G60" s="27">
        <v>2250</v>
      </c>
      <c r="H60" s="74">
        <v>20.66</v>
      </c>
      <c r="I60" s="79">
        <f t="shared" si="0"/>
        <v>46485</v>
      </c>
    </row>
    <row r="61" spans="1:9" ht="20.100000000000001" customHeight="1" thickBot="1" x14ac:dyDescent="0.25">
      <c r="A61" s="80">
        <v>52</v>
      </c>
      <c r="B61" s="53"/>
      <c r="C61" s="104" t="s">
        <v>57</v>
      </c>
      <c r="D61" s="27" t="s">
        <v>65</v>
      </c>
      <c r="E61" s="106" t="s">
        <v>119</v>
      </c>
      <c r="F61" s="27" t="s">
        <v>67</v>
      </c>
      <c r="G61" s="27">
        <v>1000</v>
      </c>
      <c r="H61" s="74">
        <v>21.43</v>
      </c>
      <c r="I61" s="79">
        <f t="shared" si="0"/>
        <v>21430</v>
      </c>
    </row>
    <row r="62" spans="1:9" ht="20.100000000000001" customHeight="1" thickBot="1" x14ac:dyDescent="0.25">
      <c r="A62" s="80">
        <v>53</v>
      </c>
      <c r="B62" s="53"/>
      <c r="C62" s="104" t="s">
        <v>57</v>
      </c>
      <c r="D62" s="27" t="s">
        <v>65</v>
      </c>
      <c r="E62" s="106" t="s">
        <v>120</v>
      </c>
      <c r="F62" s="27" t="s">
        <v>67</v>
      </c>
      <c r="G62" s="27">
        <v>2700</v>
      </c>
      <c r="H62" s="74">
        <v>20.38</v>
      </c>
      <c r="I62" s="79">
        <f t="shared" si="0"/>
        <v>55026</v>
      </c>
    </row>
    <row r="63" spans="1:9" ht="20.100000000000001" customHeight="1" thickBot="1" x14ac:dyDescent="0.25">
      <c r="A63" s="80">
        <v>54</v>
      </c>
      <c r="B63" s="53"/>
      <c r="C63" s="104" t="s">
        <v>57</v>
      </c>
      <c r="D63" s="27" t="s">
        <v>65</v>
      </c>
      <c r="E63" s="106" t="s">
        <v>121</v>
      </c>
      <c r="F63" s="27" t="s">
        <v>67</v>
      </c>
      <c r="G63" s="27">
        <v>1000</v>
      </c>
      <c r="H63" s="74">
        <v>20.38</v>
      </c>
      <c r="I63" s="79">
        <f t="shared" si="0"/>
        <v>20380</v>
      </c>
    </row>
    <row r="64" spans="1:9" ht="20.100000000000001" customHeight="1" thickBot="1" x14ac:dyDescent="0.25">
      <c r="A64" s="75">
        <v>55</v>
      </c>
      <c r="B64" s="53"/>
      <c r="C64" s="104" t="s">
        <v>57</v>
      </c>
      <c r="D64" s="27" t="s">
        <v>65</v>
      </c>
      <c r="E64" s="106" t="s">
        <v>122</v>
      </c>
      <c r="F64" s="27" t="s">
        <v>67</v>
      </c>
      <c r="G64" s="27">
        <v>1000</v>
      </c>
      <c r="H64" s="74">
        <v>20.38</v>
      </c>
      <c r="I64" s="79">
        <f t="shared" si="0"/>
        <v>20380</v>
      </c>
    </row>
    <row r="65" spans="1:9" ht="20.100000000000001" customHeight="1" thickBot="1" x14ac:dyDescent="0.25">
      <c r="A65" s="80">
        <v>56</v>
      </c>
      <c r="B65" s="54"/>
      <c r="C65" s="104" t="s">
        <v>57</v>
      </c>
      <c r="D65" s="27" t="s">
        <v>65</v>
      </c>
      <c r="E65" s="105" t="s">
        <v>123</v>
      </c>
      <c r="F65" s="27" t="s">
        <v>67</v>
      </c>
      <c r="G65" s="27">
        <v>5</v>
      </c>
      <c r="H65" s="74">
        <v>2172</v>
      </c>
      <c r="I65" s="79">
        <f t="shared" si="0"/>
        <v>10860</v>
      </c>
    </row>
    <row r="66" spans="1:9" ht="20.100000000000001" customHeight="1" thickBot="1" x14ac:dyDescent="0.25">
      <c r="A66" s="75">
        <v>57</v>
      </c>
      <c r="B66" s="53"/>
      <c r="C66" s="104" t="s">
        <v>57</v>
      </c>
      <c r="D66" s="27" t="s">
        <v>65</v>
      </c>
      <c r="E66" s="106" t="s">
        <v>124</v>
      </c>
      <c r="F66" s="27" t="s">
        <v>67</v>
      </c>
      <c r="G66" s="27">
        <v>30</v>
      </c>
      <c r="H66" s="74">
        <v>1712</v>
      </c>
      <c r="I66" s="79">
        <f t="shared" si="0"/>
        <v>51360</v>
      </c>
    </row>
    <row r="67" spans="1:9" ht="20.100000000000001" customHeight="1" thickBot="1" x14ac:dyDescent="0.25">
      <c r="A67" s="80">
        <v>58</v>
      </c>
      <c r="B67" s="53"/>
      <c r="C67" s="104" t="s">
        <v>57</v>
      </c>
      <c r="D67" s="27" t="s">
        <v>65</v>
      </c>
      <c r="E67" s="106" t="s">
        <v>125</v>
      </c>
      <c r="F67" s="27" t="s">
        <v>67</v>
      </c>
      <c r="G67" s="27">
        <v>2.5</v>
      </c>
      <c r="H67" s="74">
        <v>2362</v>
      </c>
      <c r="I67" s="79">
        <f t="shared" si="0"/>
        <v>5905</v>
      </c>
    </row>
    <row r="68" spans="1:9" ht="20.100000000000001" customHeight="1" thickBot="1" x14ac:dyDescent="0.25">
      <c r="A68" s="80">
        <v>59</v>
      </c>
      <c r="B68" s="53"/>
      <c r="C68" s="104" t="s">
        <v>57</v>
      </c>
      <c r="D68" s="27" t="s">
        <v>65</v>
      </c>
      <c r="E68" s="106" t="s">
        <v>126</v>
      </c>
      <c r="F68" s="27" t="s">
        <v>67</v>
      </c>
      <c r="G68" s="27">
        <v>2.5</v>
      </c>
      <c r="H68" s="74">
        <v>2362</v>
      </c>
      <c r="I68" s="79">
        <f t="shared" si="0"/>
        <v>5905</v>
      </c>
    </row>
    <row r="69" spans="1:9" ht="20.100000000000001" customHeight="1" thickBot="1" x14ac:dyDescent="0.25">
      <c r="A69" s="80">
        <v>60</v>
      </c>
      <c r="B69" s="53"/>
      <c r="C69" s="104" t="s">
        <v>57</v>
      </c>
      <c r="D69" s="27" t="s">
        <v>65</v>
      </c>
      <c r="E69" s="106" t="s">
        <v>127</v>
      </c>
      <c r="F69" s="27" t="s">
        <v>67</v>
      </c>
      <c r="G69" s="27">
        <v>1000</v>
      </c>
      <c r="H69" s="74">
        <v>9.85</v>
      </c>
      <c r="I69" s="79">
        <f t="shared" si="0"/>
        <v>9850</v>
      </c>
    </row>
    <row r="70" spans="1:9" ht="20.100000000000001" customHeight="1" thickBot="1" x14ac:dyDescent="0.25">
      <c r="A70" s="80">
        <v>61</v>
      </c>
      <c r="B70" s="53"/>
      <c r="C70" s="104" t="s">
        <v>57</v>
      </c>
      <c r="D70" s="27" t="s">
        <v>65</v>
      </c>
      <c r="E70" s="106" t="s">
        <v>128</v>
      </c>
      <c r="F70" s="27" t="s">
        <v>67</v>
      </c>
      <c r="G70" s="27">
        <v>900</v>
      </c>
      <c r="H70" s="74">
        <v>74.319999999999993</v>
      </c>
      <c r="I70" s="79">
        <f t="shared" si="0"/>
        <v>66888</v>
      </c>
    </row>
    <row r="71" spans="1:9" ht="20.100000000000001" customHeight="1" thickBot="1" x14ac:dyDescent="0.25">
      <c r="A71" s="75">
        <v>62</v>
      </c>
      <c r="B71" s="53"/>
      <c r="C71" s="104" t="s">
        <v>57</v>
      </c>
      <c r="D71" s="27" t="s">
        <v>65</v>
      </c>
      <c r="E71" s="106" t="s">
        <v>129</v>
      </c>
      <c r="F71" s="27" t="s">
        <v>67</v>
      </c>
      <c r="G71" s="27">
        <v>120</v>
      </c>
      <c r="H71" s="74">
        <v>148.63999999999999</v>
      </c>
      <c r="I71" s="79">
        <f t="shared" si="0"/>
        <v>17836.8</v>
      </c>
    </row>
    <row r="72" spans="1:9" ht="20.100000000000001" customHeight="1" thickBot="1" x14ac:dyDescent="0.25">
      <c r="A72" s="80">
        <v>63</v>
      </c>
      <c r="B72" s="53"/>
      <c r="C72" s="104" t="s">
        <v>57</v>
      </c>
      <c r="D72" s="27" t="s">
        <v>65</v>
      </c>
      <c r="E72" s="106" t="s">
        <v>130</v>
      </c>
      <c r="F72" s="27" t="s">
        <v>67</v>
      </c>
      <c r="G72" s="27">
        <v>120</v>
      </c>
      <c r="H72" s="74">
        <v>35.43</v>
      </c>
      <c r="I72" s="79">
        <f t="shared" si="0"/>
        <v>4251.6000000000004</v>
      </c>
    </row>
    <row r="73" spans="1:9" ht="20.100000000000001" customHeight="1" thickBot="1" x14ac:dyDescent="0.25">
      <c r="A73" s="75">
        <v>64</v>
      </c>
      <c r="B73" s="53"/>
      <c r="C73" s="104" t="s">
        <v>57</v>
      </c>
      <c r="D73" s="27" t="s">
        <v>65</v>
      </c>
      <c r="E73" s="106" t="s">
        <v>131</v>
      </c>
      <c r="F73" s="27" t="s">
        <v>67</v>
      </c>
      <c r="G73" s="27">
        <v>180</v>
      </c>
      <c r="H73" s="74">
        <v>52.52</v>
      </c>
      <c r="I73" s="79">
        <f t="shared" si="0"/>
        <v>9453.6</v>
      </c>
    </row>
    <row r="74" spans="1:9" ht="20.100000000000001" customHeight="1" thickBot="1" x14ac:dyDescent="0.25">
      <c r="A74" s="80">
        <v>65</v>
      </c>
      <c r="B74" s="53"/>
      <c r="C74" s="104" t="s">
        <v>57</v>
      </c>
      <c r="D74" s="27" t="s">
        <v>65</v>
      </c>
      <c r="E74" s="106" t="s">
        <v>132</v>
      </c>
      <c r="F74" s="27" t="s">
        <v>67</v>
      </c>
      <c r="G74" s="27">
        <v>126</v>
      </c>
      <c r="H74" s="74">
        <v>116</v>
      </c>
      <c r="I74" s="79">
        <f t="shared" si="0"/>
        <v>14616</v>
      </c>
    </row>
    <row r="75" spans="1:9" ht="12.75" customHeight="1" x14ac:dyDescent="0.2">
      <c r="A75" s="80">
        <v>66</v>
      </c>
      <c r="B75" s="53"/>
      <c r="C75" s="104" t="s">
        <v>57</v>
      </c>
      <c r="D75" s="27" t="s">
        <v>66</v>
      </c>
      <c r="E75" s="106" t="s">
        <v>151</v>
      </c>
      <c r="F75" s="27" t="s">
        <v>67</v>
      </c>
      <c r="G75" s="27">
        <v>60</v>
      </c>
      <c r="H75" s="74">
        <v>6082.93</v>
      </c>
      <c r="I75" s="79">
        <f t="shared" ref="I75" si="1">G75*H75</f>
        <v>364975.80000000005</v>
      </c>
    </row>
    <row r="76" spans="1:9" ht="12.75" customHeight="1" x14ac:dyDescent="0.2">
      <c r="A76" s="85"/>
      <c r="B76" s="91"/>
      <c r="C76" s="92"/>
      <c r="D76" s="62"/>
      <c r="E76" s="86"/>
      <c r="F76" s="87"/>
      <c r="G76" s="62"/>
      <c r="H76" s="88"/>
      <c r="I76" s="88"/>
    </row>
    <row r="77" spans="1:9" ht="12.75" customHeight="1" x14ac:dyDescent="0.2">
      <c r="A77" s="85"/>
      <c r="B77" s="91"/>
      <c r="C77" s="92"/>
      <c r="D77" s="62"/>
      <c r="E77" s="86"/>
      <c r="F77" s="87"/>
      <c r="G77" s="62"/>
      <c r="H77" s="88"/>
      <c r="I77" s="88"/>
    </row>
    <row r="78" spans="1:9" ht="12.75" customHeight="1" thickBot="1" x14ac:dyDescent="0.25">
      <c r="B78" s="67"/>
      <c r="C78" s="64"/>
      <c r="D78" s="1"/>
      <c r="E78" s="61"/>
      <c r="F78" s="22"/>
      <c r="G78" s="62"/>
      <c r="H78" s="62"/>
    </row>
    <row r="79" spans="1:9" ht="12.75" customHeight="1" x14ac:dyDescent="0.2">
      <c r="A79" s="63"/>
      <c r="B79" s="68" t="s">
        <v>63</v>
      </c>
      <c r="C79" s="36"/>
      <c r="D79" s="21"/>
      <c r="E79" s="41"/>
      <c r="F79" s="22"/>
      <c r="G79" s="65"/>
      <c r="H79" s="66"/>
    </row>
    <row r="80" spans="1:9" ht="12.75" customHeight="1" x14ac:dyDescent="0.2">
      <c r="B80" s="69"/>
      <c r="C80" s="36"/>
      <c r="D80" s="22"/>
      <c r="E80" s="42"/>
      <c r="F80" s="22"/>
      <c r="G80" s="65"/>
      <c r="H80" s="66"/>
    </row>
    <row r="81" spans="1:8" ht="12.75" customHeight="1" x14ac:dyDescent="0.2">
      <c r="B81" s="70" t="s">
        <v>13</v>
      </c>
      <c r="C81" s="36"/>
      <c r="D81" s="22"/>
      <c r="E81" s="42"/>
      <c r="G81" s="65"/>
      <c r="H81" s="66"/>
    </row>
    <row r="82" spans="1:8" ht="28.5" customHeight="1" x14ac:dyDescent="0.2">
      <c r="B82" s="70"/>
      <c r="C82" s="115" t="s">
        <v>134</v>
      </c>
      <c r="D82" s="115"/>
      <c r="E82" s="116"/>
      <c r="G82" s="65"/>
      <c r="H82" s="66"/>
    </row>
    <row r="83" spans="1:8" ht="12.75" customHeight="1" x14ac:dyDescent="0.2">
      <c r="A83" s="90"/>
      <c r="B83" s="89" t="s">
        <v>14</v>
      </c>
      <c r="C83" s="49"/>
      <c r="D83" s="25"/>
      <c r="E83" s="43"/>
    </row>
    <row r="84" spans="1:8" ht="12.75" customHeight="1" x14ac:dyDescent="0.2">
      <c r="B84" s="69"/>
      <c r="C84" s="113" t="s">
        <v>135</v>
      </c>
      <c r="D84" s="113"/>
      <c r="E84" s="114"/>
    </row>
    <row r="85" spans="1:8" ht="12.75" customHeight="1" x14ac:dyDescent="0.2">
      <c r="B85" s="69"/>
      <c r="C85" s="113"/>
      <c r="D85" s="113"/>
      <c r="E85" s="114"/>
    </row>
    <row r="86" spans="1:8" ht="12.75" customHeight="1" x14ac:dyDescent="0.2">
      <c r="B86" s="70" t="s">
        <v>15</v>
      </c>
      <c r="C86" s="49"/>
      <c r="D86" s="25"/>
      <c r="E86" s="43"/>
    </row>
    <row r="87" spans="1:8" ht="12.75" customHeight="1" x14ac:dyDescent="0.2">
      <c r="B87" s="69"/>
      <c r="C87" s="111" t="s">
        <v>140</v>
      </c>
      <c r="D87" s="111"/>
      <c r="E87" s="112"/>
    </row>
    <row r="88" spans="1:8" ht="12.75" customHeight="1" x14ac:dyDescent="0.2">
      <c r="B88" s="70" t="s">
        <v>16</v>
      </c>
      <c r="C88" s="50"/>
      <c r="D88" s="26"/>
      <c r="E88" s="44"/>
    </row>
    <row r="89" spans="1:8" ht="12.75" customHeight="1" x14ac:dyDescent="0.2">
      <c r="B89" s="69"/>
      <c r="C89" s="111"/>
      <c r="D89" s="111"/>
      <c r="E89" s="112"/>
    </row>
    <row r="90" spans="1:8" ht="12.75" customHeight="1" x14ac:dyDescent="0.2">
      <c r="B90" s="70" t="s">
        <v>17</v>
      </c>
      <c r="C90" s="49"/>
      <c r="D90" s="25"/>
      <c r="E90" s="43"/>
    </row>
    <row r="91" spans="1:8" ht="12.75" customHeight="1" x14ac:dyDescent="0.2">
      <c r="B91" s="70"/>
      <c r="C91" s="113"/>
      <c r="D91" s="113"/>
      <c r="E91" s="114"/>
    </row>
    <row r="92" spans="1:8" ht="12.75" customHeight="1" thickBot="1" x14ac:dyDescent="0.25">
      <c r="B92" s="71"/>
      <c r="C92" s="51"/>
      <c r="D92" s="23"/>
      <c r="E92" s="45"/>
    </row>
    <row r="93" spans="1:8" ht="12.75" customHeight="1" thickBot="1" x14ac:dyDescent="0.25"/>
    <row r="94" spans="1:8" ht="12.75" customHeight="1" x14ac:dyDescent="0.2">
      <c r="B94" s="72" t="s">
        <v>142</v>
      </c>
      <c r="C94" s="48"/>
      <c r="D94" s="21"/>
      <c r="E94" s="41"/>
    </row>
    <row r="95" spans="1:8" ht="12.75" customHeight="1" x14ac:dyDescent="0.2">
      <c r="B95" s="69"/>
      <c r="C95" s="36"/>
      <c r="D95" s="22"/>
      <c r="E95" s="42"/>
    </row>
    <row r="96" spans="1:8" ht="12.75" customHeight="1" x14ac:dyDescent="0.2">
      <c r="B96" s="70" t="s">
        <v>13</v>
      </c>
      <c r="C96" s="36"/>
      <c r="D96" s="22"/>
      <c r="E96" s="42"/>
    </row>
    <row r="97" spans="2:5" ht="12.75" customHeight="1" x14ac:dyDescent="0.2">
      <c r="B97" s="70"/>
      <c r="C97" s="115" t="s">
        <v>137</v>
      </c>
      <c r="D97" s="115"/>
      <c r="E97" s="116"/>
    </row>
    <row r="98" spans="2:5" x14ac:dyDescent="0.2">
      <c r="B98" s="70" t="s">
        <v>14</v>
      </c>
      <c r="C98" s="49"/>
      <c r="D98" s="25"/>
      <c r="E98" s="43"/>
    </row>
    <row r="99" spans="2:5" x14ac:dyDescent="0.2">
      <c r="B99" s="69"/>
      <c r="C99" s="113" t="s">
        <v>135</v>
      </c>
      <c r="D99" s="113"/>
      <c r="E99" s="114"/>
    </row>
    <row r="100" spans="2:5" x14ac:dyDescent="0.2">
      <c r="B100" s="69"/>
      <c r="C100" s="113"/>
      <c r="D100" s="113"/>
      <c r="E100" s="114"/>
    </row>
    <row r="101" spans="2:5" x14ac:dyDescent="0.2">
      <c r="B101" s="70" t="s">
        <v>15</v>
      </c>
      <c r="C101" s="49"/>
      <c r="D101" s="25"/>
      <c r="E101" s="43"/>
    </row>
    <row r="102" spans="2:5" x14ac:dyDescent="0.2">
      <c r="B102" s="69"/>
      <c r="C102" s="111" t="s">
        <v>139</v>
      </c>
      <c r="D102" s="111"/>
      <c r="E102" s="112"/>
    </row>
    <row r="103" spans="2:5" x14ac:dyDescent="0.2">
      <c r="B103" s="70" t="s">
        <v>16</v>
      </c>
      <c r="C103" s="50"/>
      <c r="D103" s="26"/>
      <c r="E103" s="44"/>
    </row>
    <row r="104" spans="2:5" x14ac:dyDescent="0.2">
      <c r="B104" s="69"/>
      <c r="C104" s="111"/>
      <c r="D104" s="111"/>
      <c r="E104" s="112"/>
    </row>
    <row r="105" spans="2:5" x14ac:dyDescent="0.2">
      <c r="B105" s="70" t="s">
        <v>17</v>
      </c>
      <c r="C105" s="49"/>
      <c r="D105" s="25"/>
      <c r="E105" s="43"/>
    </row>
    <row r="106" spans="2:5" x14ac:dyDescent="0.2">
      <c r="B106" s="70"/>
      <c r="C106" s="113"/>
      <c r="D106" s="113"/>
      <c r="E106" s="114"/>
    </row>
    <row r="107" spans="2:5" ht="13.5" thickBot="1" x14ac:dyDescent="0.25">
      <c r="B107" s="71"/>
      <c r="C107" s="51"/>
      <c r="D107" s="23"/>
      <c r="E107" s="45"/>
    </row>
    <row r="108" spans="2:5" ht="13.5" thickBot="1" x14ac:dyDescent="0.25"/>
    <row r="109" spans="2:5" x14ac:dyDescent="0.2">
      <c r="B109" s="72" t="s">
        <v>136</v>
      </c>
      <c r="C109" s="48"/>
      <c r="D109" s="21"/>
      <c r="E109" s="41"/>
    </row>
    <row r="110" spans="2:5" x14ac:dyDescent="0.2">
      <c r="B110" s="69"/>
      <c r="C110" s="36"/>
      <c r="D110" s="22"/>
      <c r="E110" s="42"/>
    </row>
    <row r="111" spans="2:5" x14ac:dyDescent="0.2">
      <c r="B111" s="70" t="s">
        <v>13</v>
      </c>
      <c r="C111" s="36"/>
      <c r="D111" s="22"/>
      <c r="E111" s="42"/>
    </row>
    <row r="112" spans="2:5" x14ac:dyDescent="0.2">
      <c r="B112" s="70"/>
      <c r="C112" s="115" t="s">
        <v>137</v>
      </c>
      <c r="D112" s="115"/>
      <c r="E112" s="116"/>
    </row>
    <row r="113" spans="2:5" x14ac:dyDescent="0.2">
      <c r="B113" s="70" t="s">
        <v>14</v>
      </c>
      <c r="C113" s="49"/>
      <c r="D113" s="25"/>
      <c r="E113" s="43"/>
    </row>
    <row r="114" spans="2:5" x14ac:dyDescent="0.2">
      <c r="B114" s="69"/>
      <c r="C114" s="113" t="s">
        <v>135</v>
      </c>
      <c r="D114" s="113"/>
      <c r="E114" s="114"/>
    </row>
    <row r="115" spans="2:5" x14ac:dyDescent="0.2">
      <c r="B115" s="69"/>
      <c r="C115" s="113"/>
      <c r="D115" s="113"/>
      <c r="E115" s="114"/>
    </row>
    <row r="116" spans="2:5" x14ac:dyDescent="0.2">
      <c r="B116" s="70" t="s">
        <v>15</v>
      </c>
      <c r="C116" s="49"/>
      <c r="D116" s="25"/>
      <c r="E116" s="43"/>
    </row>
    <row r="117" spans="2:5" x14ac:dyDescent="0.2">
      <c r="B117" s="69"/>
      <c r="C117" s="111" t="s">
        <v>139</v>
      </c>
      <c r="D117" s="111"/>
      <c r="E117" s="112"/>
    </row>
    <row r="118" spans="2:5" x14ac:dyDescent="0.2">
      <c r="B118" s="70" t="s">
        <v>16</v>
      </c>
      <c r="C118" s="50"/>
      <c r="D118" s="26"/>
      <c r="E118" s="44"/>
    </row>
    <row r="119" spans="2:5" x14ac:dyDescent="0.2">
      <c r="B119" s="69"/>
      <c r="C119" s="111"/>
      <c r="D119" s="111"/>
      <c r="E119" s="112"/>
    </row>
    <row r="120" spans="2:5" x14ac:dyDescent="0.2">
      <c r="B120" s="70" t="s">
        <v>17</v>
      </c>
      <c r="C120" s="49"/>
      <c r="D120" s="25"/>
      <c r="E120" s="43"/>
    </row>
    <row r="121" spans="2:5" x14ac:dyDescent="0.2">
      <c r="B121" s="70"/>
      <c r="C121" s="113"/>
      <c r="D121" s="113"/>
      <c r="E121" s="114"/>
    </row>
    <row r="122" spans="2:5" ht="13.5" thickBot="1" x14ac:dyDescent="0.25">
      <c r="B122" s="71"/>
      <c r="C122" s="51"/>
      <c r="D122" s="23"/>
      <c r="E122" s="45"/>
    </row>
    <row r="123" spans="2:5" ht="12.75" customHeight="1" thickBot="1" x14ac:dyDescent="0.25"/>
    <row r="124" spans="2:5" x14ac:dyDescent="0.2">
      <c r="B124" s="72" t="s">
        <v>143</v>
      </c>
      <c r="C124" s="48"/>
      <c r="D124" s="21"/>
      <c r="E124" s="41"/>
    </row>
    <row r="125" spans="2:5" x14ac:dyDescent="0.2">
      <c r="B125" s="69"/>
      <c r="C125" s="36"/>
      <c r="D125" s="22"/>
      <c r="E125" s="42"/>
    </row>
    <row r="126" spans="2:5" x14ac:dyDescent="0.2">
      <c r="B126" s="70" t="s">
        <v>13</v>
      </c>
      <c r="C126" s="36"/>
      <c r="D126" s="22"/>
      <c r="E126" s="42"/>
    </row>
    <row r="127" spans="2:5" ht="24" customHeight="1" x14ac:dyDescent="0.2">
      <c r="B127" s="70"/>
      <c r="C127" s="115" t="s">
        <v>138</v>
      </c>
      <c r="D127" s="115"/>
      <c r="E127" s="116"/>
    </row>
    <row r="128" spans="2:5" x14ac:dyDescent="0.2">
      <c r="B128" s="70" t="s">
        <v>14</v>
      </c>
      <c r="C128" s="49"/>
      <c r="D128" s="25"/>
      <c r="E128" s="43"/>
    </row>
    <row r="129" spans="2:5" x14ac:dyDescent="0.2">
      <c r="B129" s="69"/>
      <c r="C129" s="113" t="s">
        <v>135</v>
      </c>
      <c r="D129" s="113"/>
      <c r="E129" s="113"/>
    </row>
    <row r="130" spans="2:5" x14ac:dyDescent="0.2">
      <c r="B130" s="69"/>
      <c r="C130" s="113"/>
      <c r="D130" s="113"/>
      <c r="E130" s="114"/>
    </row>
    <row r="131" spans="2:5" x14ac:dyDescent="0.2">
      <c r="B131" s="70" t="s">
        <v>15</v>
      </c>
      <c r="C131" s="49"/>
      <c r="D131" s="25"/>
      <c r="E131" s="43"/>
    </row>
    <row r="132" spans="2:5" x14ac:dyDescent="0.2">
      <c r="B132" s="69"/>
      <c r="C132" s="111" t="s">
        <v>141</v>
      </c>
      <c r="D132" s="111"/>
      <c r="E132" s="112"/>
    </row>
    <row r="133" spans="2:5" x14ac:dyDescent="0.2">
      <c r="B133" s="70" t="s">
        <v>16</v>
      </c>
      <c r="C133" s="50"/>
      <c r="D133" s="56"/>
      <c r="E133" s="44"/>
    </row>
    <row r="134" spans="2:5" x14ac:dyDescent="0.2">
      <c r="B134" s="69"/>
      <c r="C134" s="111"/>
      <c r="D134" s="111"/>
      <c r="E134" s="112"/>
    </row>
    <row r="135" spans="2:5" x14ac:dyDescent="0.2">
      <c r="B135" s="70" t="s">
        <v>17</v>
      </c>
      <c r="C135" s="49"/>
      <c r="D135" s="25"/>
      <c r="E135" s="43"/>
    </row>
    <row r="136" spans="2:5" x14ac:dyDescent="0.2">
      <c r="B136" s="70"/>
      <c r="C136" s="113"/>
      <c r="D136" s="113"/>
      <c r="E136" s="114"/>
    </row>
    <row r="137" spans="2:5" ht="13.5" thickBot="1" x14ac:dyDescent="0.25">
      <c r="B137" s="71"/>
      <c r="C137" s="51"/>
      <c r="D137" s="23"/>
      <c r="E137" s="45"/>
    </row>
    <row r="138" spans="2:5" ht="12.75" customHeight="1" thickBot="1" x14ac:dyDescent="0.25"/>
    <row r="139" spans="2:5" x14ac:dyDescent="0.2">
      <c r="B139" s="72" t="s">
        <v>64</v>
      </c>
      <c r="C139" s="48"/>
      <c r="D139" s="21"/>
      <c r="E139" s="41"/>
    </row>
    <row r="140" spans="2:5" x14ac:dyDescent="0.2">
      <c r="B140" s="69"/>
      <c r="C140" s="36"/>
      <c r="D140" s="22"/>
      <c r="E140" s="42"/>
    </row>
    <row r="141" spans="2:5" x14ac:dyDescent="0.2">
      <c r="B141" s="70" t="s">
        <v>13</v>
      </c>
      <c r="C141" s="36"/>
      <c r="D141" s="22"/>
      <c r="E141" s="42"/>
    </row>
    <row r="142" spans="2:5" ht="29.25" customHeight="1" x14ac:dyDescent="0.2">
      <c r="B142" s="70"/>
      <c r="C142" s="115" t="s">
        <v>138</v>
      </c>
      <c r="D142" s="115"/>
      <c r="E142" s="116"/>
    </row>
    <row r="143" spans="2:5" x14ac:dyDescent="0.2">
      <c r="B143" s="70" t="s">
        <v>14</v>
      </c>
      <c r="C143" s="49"/>
      <c r="D143" s="25"/>
      <c r="E143" s="43"/>
    </row>
    <row r="144" spans="2:5" x14ac:dyDescent="0.2">
      <c r="B144" s="69"/>
      <c r="C144" s="113" t="s">
        <v>135</v>
      </c>
      <c r="D144" s="113"/>
      <c r="E144" s="114"/>
    </row>
    <row r="145" spans="1:8" x14ac:dyDescent="0.2">
      <c r="B145" s="69"/>
      <c r="C145" s="113"/>
      <c r="D145" s="113"/>
      <c r="E145" s="114"/>
    </row>
    <row r="146" spans="1:8" x14ac:dyDescent="0.2">
      <c r="B146" s="70" t="s">
        <v>15</v>
      </c>
      <c r="C146" s="49"/>
      <c r="D146" s="25"/>
      <c r="E146" s="43"/>
    </row>
    <row r="147" spans="1:8" x14ac:dyDescent="0.2">
      <c r="B147" s="69"/>
      <c r="C147" s="111" t="s">
        <v>141</v>
      </c>
      <c r="D147" s="111"/>
      <c r="E147" s="112"/>
    </row>
    <row r="148" spans="1:8" ht="12.75" customHeight="1" x14ac:dyDescent="0.2">
      <c r="B148" s="70" t="s">
        <v>16</v>
      </c>
      <c r="C148" s="50"/>
      <c r="D148" s="26"/>
      <c r="E148" s="44"/>
    </row>
    <row r="149" spans="1:8" x14ac:dyDescent="0.2">
      <c r="B149" s="69"/>
      <c r="C149" s="111"/>
      <c r="D149" s="111"/>
      <c r="E149" s="112"/>
    </row>
    <row r="150" spans="1:8" x14ac:dyDescent="0.2">
      <c r="B150" s="70" t="s">
        <v>17</v>
      </c>
      <c r="C150" s="49"/>
      <c r="D150" s="25"/>
      <c r="E150" s="43"/>
    </row>
    <row r="151" spans="1:8" x14ac:dyDescent="0.2">
      <c r="B151" s="70"/>
      <c r="C151" s="113"/>
      <c r="D151" s="113"/>
      <c r="E151" s="114"/>
    </row>
    <row r="152" spans="1:8" ht="13.5" thickBot="1" x14ac:dyDescent="0.25">
      <c r="B152" s="71"/>
      <c r="C152" s="51"/>
      <c r="D152" s="23"/>
      <c r="E152" s="45"/>
    </row>
    <row r="154" spans="1:8" x14ac:dyDescent="0.2">
      <c r="A154" s="18"/>
      <c r="B154" s="73"/>
      <c r="C154" s="59"/>
      <c r="E154" s="18"/>
      <c r="G154" s="18"/>
      <c r="H154" s="18"/>
    </row>
    <row r="155" spans="1:8" x14ac:dyDescent="0.2">
      <c r="A155" s="18"/>
      <c r="B155" s="73"/>
      <c r="C155" s="59"/>
      <c r="E155" s="18"/>
      <c r="G155" s="18"/>
      <c r="H155" s="18"/>
    </row>
    <row r="156" spans="1:8" x14ac:dyDescent="0.2">
      <c r="A156" s="18"/>
      <c r="B156" s="73"/>
      <c r="C156" s="59"/>
      <c r="E156" s="18"/>
      <c r="G156" s="18"/>
      <c r="H156" s="18"/>
    </row>
    <row r="157" spans="1:8" x14ac:dyDescent="0.2">
      <c r="A157" s="18"/>
      <c r="B157" s="73"/>
      <c r="C157" s="59"/>
      <c r="E157" s="18"/>
      <c r="G157" s="18"/>
      <c r="H157" s="18"/>
    </row>
    <row r="158" spans="1:8" x14ac:dyDescent="0.2">
      <c r="A158" s="18"/>
      <c r="B158" s="73"/>
      <c r="C158" s="59"/>
      <c r="E158" s="18"/>
      <c r="G158" s="18"/>
      <c r="H158" s="18"/>
    </row>
    <row r="159" spans="1:8" x14ac:dyDescent="0.2">
      <c r="A159" s="18"/>
      <c r="B159" s="73"/>
      <c r="C159" s="59"/>
      <c r="E159" s="18"/>
      <c r="G159" s="18"/>
      <c r="H159" s="18"/>
    </row>
    <row r="160" spans="1:8" x14ac:dyDescent="0.2">
      <c r="A160" s="18"/>
      <c r="B160" s="73"/>
      <c r="C160" s="59"/>
      <c r="E160" s="18"/>
      <c r="G160" s="18"/>
      <c r="H160" s="18"/>
    </row>
    <row r="161" spans="1:8" x14ac:dyDescent="0.2">
      <c r="A161" s="18"/>
      <c r="B161" s="73"/>
      <c r="C161" s="59"/>
      <c r="E161" s="18"/>
      <c r="G161" s="18"/>
      <c r="H161" s="18"/>
    </row>
    <row r="162" spans="1:8" x14ac:dyDescent="0.2">
      <c r="A162" s="18"/>
      <c r="B162" s="73"/>
      <c r="C162" s="59"/>
      <c r="E162" s="18"/>
      <c r="G162" s="18"/>
      <c r="H162" s="18"/>
    </row>
    <row r="163" spans="1:8" x14ac:dyDescent="0.2">
      <c r="A163" s="18"/>
      <c r="B163" s="73"/>
      <c r="C163" s="59"/>
      <c r="E163" s="18"/>
      <c r="G163" s="18"/>
      <c r="H163" s="18"/>
    </row>
    <row r="164" spans="1:8" x14ac:dyDescent="0.2">
      <c r="A164" s="18"/>
      <c r="B164" s="73"/>
      <c r="C164" s="59"/>
      <c r="E164" s="18"/>
      <c r="G164" s="18"/>
      <c r="H164" s="18"/>
    </row>
    <row r="165" spans="1:8" x14ac:dyDescent="0.2">
      <c r="A165" s="18"/>
      <c r="B165" s="73"/>
      <c r="C165" s="59"/>
      <c r="E165" s="18"/>
      <c r="G165" s="18"/>
      <c r="H165" s="18"/>
    </row>
    <row r="166" spans="1:8" x14ac:dyDescent="0.2">
      <c r="A166" s="18"/>
      <c r="B166" s="73"/>
      <c r="C166" s="59"/>
      <c r="E166" s="18"/>
      <c r="G166" s="18"/>
      <c r="H166" s="18"/>
    </row>
    <row r="167" spans="1:8" x14ac:dyDescent="0.2">
      <c r="A167" s="18"/>
      <c r="B167" s="73"/>
      <c r="C167" s="59"/>
      <c r="E167" s="18"/>
      <c r="G167" s="18"/>
      <c r="H167" s="18"/>
    </row>
    <row r="168" spans="1:8" x14ac:dyDescent="0.2">
      <c r="A168" s="18"/>
      <c r="B168" s="73"/>
      <c r="C168" s="59"/>
      <c r="E168" s="18"/>
      <c r="G168" s="18"/>
      <c r="H168" s="18"/>
    </row>
    <row r="169" spans="1:8" x14ac:dyDescent="0.2">
      <c r="A169" s="18"/>
      <c r="B169" s="73"/>
      <c r="C169" s="59"/>
      <c r="E169" s="18"/>
      <c r="G169" s="18"/>
      <c r="H169" s="18"/>
    </row>
    <row r="170" spans="1:8" x14ac:dyDescent="0.2">
      <c r="A170" s="18"/>
      <c r="B170" s="73"/>
      <c r="C170" s="59"/>
      <c r="E170" s="18"/>
      <c r="G170" s="18"/>
      <c r="H170" s="18"/>
    </row>
    <row r="171" spans="1:8" x14ac:dyDescent="0.2">
      <c r="A171" s="18"/>
      <c r="B171" s="73"/>
      <c r="C171" s="59"/>
      <c r="E171" s="18"/>
      <c r="G171" s="18"/>
      <c r="H171" s="18"/>
    </row>
    <row r="172" spans="1:8" x14ac:dyDescent="0.2">
      <c r="A172" s="18"/>
      <c r="B172" s="73"/>
      <c r="C172" s="59"/>
      <c r="E172" s="18"/>
      <c r="G172" s="18"/>
      <c r="H172" s="18"/>
    </row>
    <row r="173" spans="1:8" x14ac:dyDescent="0.2">
      <c r="A173" s="18"/>
      <c r="B173" s="73"/>
      <c r="C173" s="59"/>
      <c r="E173" s="18"/>
      <c r="G173" s="18"/>
      <c r="H173" s="18"/>
    </row>
    <row r="174" spans="1:8" x14ac:dyDescent="0.2">
      <c r="A174" s="18"/>
      <c r="B174" s="73"/>
      <c r="C174" s="59"/>
      <c r="E174" s="18"/>
      <c r="G174" s="18"/>
      <c r="H174" s="18"/>
    </row>
    <row r="175" spans="1:8" x14ac:dyDescent="0.2">
      <c r="A175" s="18"/>
      <c r="B175" s="73"/>
      <c r="C175" s="59"/>
      <c r="E175" s="18"/>
      <c r="G175" s="18"/>
      <c r="H175" s="18"/>
    </row>
    <row r="176" spans="1:8" x14ac:dyDescent="0.2">
      <c r="A176" s="18"/>
      <c r="B176" s="73"/>
      <c r="C176" s="59"/>
      <c r="E176" s="18"/>
      <c r="G176" s="18"/>
      <c r="H176" s="18"/>
    </row>
    <row r="177" spans="1:8" x14ac:dyDescent="0.2">
      <c r="A177" s="18"/>
      <c r="B177" s="73"/>
      <c r="C177" s="59"/>
      <c r="E177" s="18"/>
      <c r="G177" s="18"/>
      <c r="H177" s="18"/>
    </row>
    <row r="178" spans="1:8" x14ac:dyDescent="0.2">
      <c r="A178" s="18"/>
      <c r="B178" s="73"/>
      <c r="C178" s="59"/>
      <c r="E178" s="18"/>
      <c r="G178" s="18"/>
      <c r="H178" s="18"/>
    </row>
    <row r="179" spans="1:8" x14ac:dyDescent="0.2">
      <c r="A179" s="18"/>
      <c r="B179" s="73"/>
      <c r="C179" s="59"/>
      <c r="E179" s="18"/>
      <c r="G179" s="18"/>
      <c r="H179" s="18"/>
    </row>
    <row r="180" spans="1:8" x14ac:dyDescent="0.2">
      <c r="A180" s="18"/>
      <c r="B180" s="73"/>
      <c r="C180" s="59"/>
      <c r="E180" s="18"/>
      <c r="G180" s="18"/>
      <c r="H180" s="18"/>
    </row>
    <row r="181" spans="1:8" x14ac:dyDescent="0.2">
      <c r="A181" s="18"/>
      <c r="B181" s="73"/>
      <c r="C181" s="59"/>
      <c r="E181" s="18"/>
      <c r="G181" s="18"/>
      <c r="H181" s="18"/>
    </row>
    <row r="182" spans="1:8" x14ac:dyDescent="0.2">
      <c r="A182" s="18"/>
      <c r="B182" s="73"/>
      <c r="C182" s="59"/>
      <c r="E182" s="18"/>
      <c r="G182" s="18"/>
      <c r="H182" s="18"/>
    </row>
    <row r="183" spans="1:8" x14ac:dyDescent="0.2">
      <c r="A183" s="18"/>
      <c r="B183" s="73"/>
      <c r="C183" s="59"/>
      <c r="E183" s="18"/>
      <c r="G183" s="18"/>
      <c r="H183" s="18"/>
    </row>
    <row r="184" spans="1:8" x14ac:dyDescent="0.2">
      <c r="A184" s="18"/>
      <c r="B184" s="73"/>
      <c r="C184" s="59"/>
      <c r="E184" s="18"/>
      <c r="G184" s="18"/>
      <c r="H184" s="18"/>
    </row>
    <row r="185" spans="1:8" x14ac:dyDescent="0.2">
      <c r="A185" s="18"/>
      <c r="B185" s="73"/>
      <c r="C185" s="59"/>
      <c r="E185" s="18"/>
      <c r="G185" s="18"/>
      <c r="H185" s="18"/>
    </row>
    <row r="186" spans="1:8" x14ac:dyDescent="0.2">
      <c r="A186" s="18"/>
      <c r="B186" s="73"/>
      <c r="C186" s="59"/>
      <c r="E186" s="18"/>
      <c r="G186" s="18"/>
      <c r="H186" s="18"/>
    </row>
    <row r="187" spans="1:8" x14ac:dyDescent="0.2">
      <c r="A187" s="18"/>
      <c r="B187" s="73"/>
      <c r="C187" s="59"/>
      <c r="E187" s="18"/>
      <c r="G187" s="18"/>
      <c r="H187" s="18"/>
    </row>
    <row r="188" spans="1:8" x14ac:dyDescent="0.2">
      <c r="A188" s="18"/>
      <c r="B188" s="73"/>
      <c r="C188" s="59"/>
      <c r="E188" s="18"/>
      <c r="G188" s="18"/>
      <c r="H188" s="18"/>
    </row>
    <row r="189" spans="1:8" x14ac:dyDescent="0.2">
      <c r="A189" s="18"/>
      <c r="B189" s="73"/>
      <c r="C189" s="59"/>
      <c r="E189" s="18"/>
      <c r="G189" s="18"/>
      <c r="H189" s="18"/>
    </row>
    <row r="190" spans="1:8" x14ac:dyDescent="0.2">
      <c r="A190" s="18"/>
      <c r="B190" s="73"/>
      <c r="C190" s="59"/>
      <c r="E190" s="18"/>
      <c r="G190" s="18"/>
      <c r="H190" s="18"/>
    </row>
    <row r="191" spans="1:8" x14ac:dyDescent="0.2">
      <c r="A191" s="18"/>
      <c r="B191" s="73"/>
      <c r="C191" s="59"/>
      <c r="E191" s="18"/>
      <c r="G191" s="18"/>
      <c r="H191" s="18"/>
    </row>
    <row r="192" spans="1:8" x14ac:dyDescent="0.2">
      <c r="A192" s="18"/>
      <c r="B192" s="73"/>
      <c r="C192" s="59"/>
      <c r="E192" s="18"/>
      <c r="G192" s="18"/>
      <c r="H192" s="18"/>
    </row>
    <row r="193" spans="1:8" x14ac:dyDescent="0.2">
      <c r="A193" s="18"/>
      <c r="B193" s="73"/>
      <c r="C193" s="59"/>
      <c r="E193" s="18"/>
      <c r="G193" s="18"/>
      <c r="H193" s="18"/>
    </row>
    <row r="194" spans="1:8" x14ac:dyDescent="0.2">
      <c r="A194" s="18"/>
      <c r="B194" s="73"/>
      <c r="C194" s="59"/>
      <c r="E194" s="18"/>
      <c r="G194" s="18"/>
      <c r="H194" s="18"/>
    </row>
    <row r="195" spans="1:8" x14ac:dyDescent="0.2">
      <c r="A195" s="18"/>
      <c r="B195" s="73"/>
      <c r="C195" s="59"/>
      <c r="E195" s="18"/>
      <c r="G195" s="18"/>
      <c r="H195" s="18"/>
    </row>
    <row r="196" spans="1:8" x14ac:dyDescent="0.2">
      <c r="A196" s="18"/>
      <c r="B196" s="73"/>
      <c r="C196" s="59"/>
      <c r="E196" s="18"/>
      <c r="G196" s="18"/>
      <c r="H196" s="18"/>
    </row>
    <row r="197" spans="1:8" x14ac:dyDescent="0.2">
      <c r="A197" s="18"/>
      <c r="B197" s="73"/>
      <c r="C197" s="59"/>
      <c r="E197" s="18"/>
      <c r="G197" s="18"/>
      <c r="H197" s="18"/>
    </row>
    <row r="198" spans="1:8" x14ac:dyDescent="0.2">
      <c r="A198" s="18"/>
      <c r="B198" s="73"/>
      <c r="C198" s="59"/>
      <c r="E198" s="18"/>
      <c r="G198" s="18"/>
      <c r="H198" s="18"/>
    </row>
    <row r="199" spans="1:8" x14ac:dyDescent="0.2">
      <c r="A199" s="18"/>
      <c r="B199" s="73"/>
      <c r="C199" s="59"/>
      <c r="E199" s="18"/>
      <c r="G199" s="18"/>
      <c r="H199" s="18"/>
    </row>
    <row r="200" spans="1:8" x14ac:dyDescent="0.2">
      <c r="A200" s="18"/>
      <c r="B200" s="73"/>
      <c r="C200" s="59"/>
      <c r="E200" s="18"/>
      <c r="G200" s="18"/>
      <c r="H200" s="18"/>
    </row>
    <row r="201" spans="1:8" x14ac:dyDescent="0.2">
      <c r="A201" s="18"/>
      <c r="B201" s="73"/>
      <c r="C201" s="59"/>
      <c r="E201" s="18"/>
      <c r="G201" s="18"/>
      <c r="H201" s="18"/>
    </row>
    <row r="202" spans="1:8" x14ac:dyDescent="0.2">
      <c r="A202" s="18"/>
      <c r="B202" s="73"/>
      <c r="C202" s="59"/>
      <c r="E202" s="18"/>
      <c r="G202" s="18"/>
      <c r="H202" s="18"/>
    </row>
    <row r="203" spans="1:8" x14ac:dyDescent="0.2">
      <c r="A203" s="18"/>
      <c r="B203" s="73"/>
      <c r="C203" s="59"/>
      <c r="E203" s="18"/>
      <c r="G203" s="18"/>
      <c r="H203" s="18"/>
    </row>
    <row r="204" spans="1:8" x14ac:dyDescent="0.2">
      <c r="A204" s="18"/>
      <c r="B204" s="73"/>
      <c r="C204" s="59"/>
      <c r="E204" s="18"/>
      <c r="G204" s="18"/>
      <c r="H204" s="18"/>
    </row>
    <row r="205" spans="1:8" x14ac:dyDescent="0.2">
      <c r="A205" s="18"/>
      <c r="B205" s="73"/>
      <c r="C205" s="59"/>
      <c r="E205" s="18"/>
      <c r="G205" s="18"/>
      <c r="H205" s="18"/>
    </row>
    <row r="206" spans="1:8" x14ac:dyDescent="0.2">
      <c r="A206" s="18"/>
      <c r="B206" s="73"/>
      <c r="C206" s="59"/>
      <c r="E206" s="18"/>
      <c r="G206" s="18"/>
      <c r="H206" s="18"/>
    </row>
    <row r="207" spans="1:8" x14ac:dyDescent="0.2">
      <c r="A207" s="18"/>
      <c r="B207" s="73"/>
      <c r="C207" s="59"/>
      <c r="E207" s="18"/>
      <c r="G207" s="18"/>
      <c r="H207" s="18"/>
    </row>
    <row r="208" spans="1:8" x14ac:dyDescent="0.2">
      <c r="A208" s="18"/>
      <c r="B208" s="73"/>
      <c r="C208" s="59"/>
      <c r="E208" s="18"/>
      <c r="G208" s="18"/>
      <c r="H208" s="18"/>
    </row>
    <row r="209" spans="1:8" x14ac:dyDescent="0.2">
      <c r="A209" s="18"/>
      <c r="B209" s="73"/>
      <c r="C209" s="59"/>
      <c r="E209" s="18"/>
      <c r="G209" s="18"/>
      <c r="H209" s="18"/>
    </row>
    <row r="210" spans="1:8" x14ac:dyDescent="0.2">
      <c r="A210" s="18"/>
      <c r="B210" s="73"/>
      <c r="C210" s="59"/>
      <c r="E210" s="18"/>
      <c r="G210" s="18"/>
      <c r="H210" s="18"/>
    </row>
    <row r="211" spans="1:8" x14ac:dyDescent="0.2">
      <c r="A211" s="18"/>
      <c r="B211" s="73"/>
      <c r="C211" s="59"/>
      <c r="E211" s="18"/>
      <c r="G211" s="18"/>
      <c r="H211" s="18"/>
    </row>
    <row r="212" spans="1:8" x14ac:dyDescent="0.2">
      <c r="A212" s="18"/>
      <c r="B212" s="73"/>
      <c r="C212" s="59"/>
      <c r="E212" s="18"/>
      <c r="G212" s="18"/>
      <c r="H212" s="18"/>
    </row>
    <row r="213" spans="1:8" x14ac:dyDescent="0.2">
      <c r="A213" s="18"/>
      <c r="B213" s="73"/>
      <c r="C213" s="59"/>
      <c r="E213" s="18"/>
      <c r="G213" s="18"/>
      <c r="H213" s="18"/>
    </row>
    <row r="214" spans="1:8" x14ac:dyDescent="0.2">
      <c r="A214" s="18"/>
      <c r="B214" s="73"/>
      <c r="C214" s="59"/>
      <c r="E214" s="18"/>
      <c r="G214" s="18"/>
      <c r="H214" s="18"/>
    </row>
    <row r="215" spans="1:8" x14ac:dyDescent="0.2">
      <c r="A215" s="18"/>
      <c r="B215" s="73"/>
      <c r="C215" s="59"/>
      <c r="E215" s="18"/>
      <c r="G215" s="18"/>
      <c r="H215" s="18"/>
    </row>
    <row r="216" spans="1:8" x14ac:dyDescent="0.2">
      <c r="A216" s="18"/>
      <c r="B216" s="73"/>
      <c r="C216" s="59"/>
      <c r="E216" s="18"/>
      <c r="G216" s="18"/>
      <c r="H216" s="18"/>
    </row>
    <row r="217" spans="1:8" x14ac:dyDescent="0.2">
      <c r="A217" s="18"/>
      <c r="B217" s="73"/>
      <c r="C217" s="59"/>
      <c r="E217" s="18"/>
      <c r="G217" s="18"/>
      <c r="H217" s="18"/>
    </row>
    <row r="218" spans="1:8" x14ac:dyDescent="0.2">
      <c r="A218" s="18"/>
      <c r="B218" s="73"/>
      <c r="C218" s="59"/>
      <c r="E218" s="18"/>
      <c r="G218" s="18"/>
      <c r="H218" s="18"/>
    </row>
    <row r="219" spans="1:8" x14ac:dyDescent="0.2">
      <c r="A219" s="18"/>
      <c r="B219" s="73"/>
      <c r="C219" s="59"/>
      <c r="E219" s="18"/>
      <c r="G219" s="18"/>
      <c r="H219" s="18"/>
    </row>
    <row r="220" spans="1:8" x14ac:dyDescent="0.2">
      <c r="A220" s="18"/>
      <c r="B220" s="73"/>
      <c r="C220" s="59"/>
      <c r="E220" s="18"/>
      <c r="G220" s="18"/>
      <c r="H220" s="18"/>
    </row>
    <row r="221" spans="1:8" x14ac:dyDescent="0.2">
      <c r="A221" s="18"/>
      <c r="B221" s="73"/>
      <c r="C221" s="59"/>
      <c r="E221" s="18"/>
      <c r="G221" s="18"/>
      <c r="H221" s="18"/>
    </row>
    <row r="222" spans="1:8" x14ac:dyDescent="0.2">
      <c r="A222" s="18"/>
      <c r="B222" s="73"/>
      <c r="C222" s="59"/>
      <c r="E222" s="18"/>
      <c r="G222" s="18"/>
      <c r="H222" s="18"/>
    </row>
    <row r="223" spans="1:8" x14ac:dyDescent="0.2">
      <c r="A223" s="18"/>
      <c r="B223" s="73"/>
      <c r="C223" s="59"/>
      <c r="E223" s="18"/>
      <c r="G223" s="18"/>
      <c r="H223" s="18"/>
    </row>
    <row r="224" spans="1:8" x14ac:dyDescent="0.2">
      <c r="A224" s="18"/>
      <c r="B224" s="73"/>
      <c r="C224" s="59"/>
      <c r="E224" s="18"/>
      <c r="G224" s="18"/>
      <c r="H224" s="18"/>
    </row>
    <row r="225" spans="1:8" x14ac:dyDescent="0.2">
      <c r="A225" s="18"/>
      <c r="B225" s="73"/>
      <c r="C225" s="59"/>
      <c r="E225" s="18"/>
      <c r="G225" s="18"/>
      <c r="H225" s="18"/>
    </row>
    <row r="226" spans="1:8" x14ac:dyDescent="0.2">
      <c r="A226" s="18"/>
      <c r="B226" s="73"/>
      <c r="C226" s="59"/>
      <c r="E226" s="18"/>
      <c r="G226" s="18"/>
      <c r="H226" s="18"/>
    </row>
    <row r="227" spans="1:8" x14ac:dyDescent="0.2">
      <c r="A227" s="18"/>
      <c r="B227" s="73"/>
      <c r="C227" s="59"/>
      <c r="E227" s="18"/>
      <c r="G227" s="18"/>
      <c r="H227" s="18"/>
    </row>
    <row r="228" spans="1:8" x14ac:dyDescent="0.2">
      <c r="A228" s="18"/>
      <c r="B228" s="73"/>
      <c r="C228" s="59"/>
      <c r="E228" s="18"/>
      <c r="G228" s="18"/>
      <c r="H228" s="18"/>
    </row>
    <row r="229" spans="1:8" x14ac:dyDescent="0.2">
      <c r="A229" s="18"/>
      <c r="B229" s="73"/>
      <c r="C229" s="59"/>
      <c r="E229" s="18"/>
      <c r="G229" s="18"/>
      <c r="H229" s="18"/>
    </row>
    <row r="230" spans="1:8" x14ac:dyDescent="0.2">
      <c r="A230" s="18"/>
      <c r="B230" s="73"/>
      <c r="C230" s="59"/>
      <c r="E230" s="18"/>
      <c r="G230" s="18"/>
      <c r="H230" s="18"/>
    </row>
    <row r="231" spans="1:8" x14ac:dyDescent="0.2">
      <c r="A231" s="18"/>
      <c r="B231" s="73"/>
      <c r="C231" s="59"/>
      <c r="E231" s="18"/>
      <c r="G231" s="18"/>
      <c r="H231" s="18"/>
    </row>
    <row r="232" spans="1:8" x14ac:dyDescent="0.2">
      <c r="A232" s="18"/>
      <c r="B232" s="73"/>
      <c r="C232" s="59"/>
      <c r="E232" s="18"/>
      <c r="G232" s="18"/>
      <c r="H232" s="18"/>
    </row>
    <row r="233" spans="1:8" x14ac:dyDescent="0.2">
      <c r="A233" s="18"/>
      <c r="B233" s="73"/>
      <c r="C233" s="59"/>
      <c r="E233" s="18"/>
      <c r="G233" s="18"/>
      <c r="H233" s="18"/>
    </row>
    <row r="234" spans="1:8" x14ac:dyDescent="0.2">
      <c r="A234" s="18"/>
      <c r="B234" s="73"/>
      <c r="C234" s="59"/>
      <c r="E234" s="18"/>
      <c r="G234" s="18"/>
      <c r="H234" s="18"/>
    </row>
    <row r="235" spans="1:8" x14ac:dyDescent="0.2">
      <c r="A235" s="18"/>
      <c r="B235" s="73"/>
      <c r="C235" s="59"/>
      <c r="E235" s="18"/>
      <c r="G235" s="18"/>
      <c r="H235" s="18"/>
    </row>
    <row r="236" spans="1:8" x14ac:dyDescent="0.2">
      <c r="A236" s="18"/>
      <c r="B236" s="73"/>
      <c r="C236" s="59"/>
      <c r="E236" s="18"/>
      <c r="G236" s="18"/>
      <c r="H236" s="18"/>
    </row>
    <row r="237" spans="1:8" x14ac:dyDescent="0.2">
      <c r="A237" s="18"/>
      <c r="B237" s="73"/>
      <c r="C237" s="59"/>
      <c r="E237" s="18"/>
      <c r="G237" s="18"/>
      <c r="H237" s="18"/>
    </row>
    <row r="238" spans="1:8" x14ac:dyDescent="0.2">
      <c r="A238" s="18"/>
      <c r="B238" s="73"/>
      <c r="C238" s="59"/>
      <c r="E238" s="18"/>
      <c r="G238" s="18"/>
      <c r="H238" s="18"/>
    </row>
    <row r="239" spans="1:8" x14ac:dyDescent="0.2">
      <c r="A239" s="18"/>
      <c r="B239" s="73"/>
      <c r="C239" s="59"/>
      <c r="E239" s="18"/>
      <c r="G239" s="18"/>
      <c r="H239" s="18"/>
    </row>
    <row r="240" spans="1:8" x14ac:dyDescent="0.2">
      <c r="A240" s="18"/>
      <c r="B240" s="73"/>
      <c r="C240" s="59"/>
      <c r="E240" s="18"/>
      <c r="G240" s="18"/>
      <c r="H240" s="18"/>
    </row>
    <row r="241" spans="1:8" x14ac:dyDescent="0.2">
      <c r="A241" s="18"/>
      <c r="B241" s="73"/>
      <c r="C241" s="59"/>
      <c r="E241" s="18"/>
      <c r="G241" s="18"/>
      <c r="H241" s="18"/>
    </row>
    <row r="242" spans="1:8" x14ac:dyDescent="0.2">
      <c r="A242" s="18"/>
      <c r="B242" s="73"/>
      <c r="C242" s="59"/>
      <c r="E242" s="18"/>
      <c r="G242" s="18"/>
      <c r="H242" s="18"/>
    </row>
    <row r="243" spans="1:8" x14ac:dyDescent="0.2">
      <c r="A243" s="18"/>
      <c r="B243" s="73"/>
      <c r="C243" s="59"/>
      <c r="E243" s="18"/>
      <c r="G243" s="18"/>
      <c r="H243" s="18"/>
    </row>
    <row r="244" spans="1:8" x14ac:dyDescent="0.2">
      <c r="A244" s="18"/>
      <c r="B244" s="73"/>
      <c r="C244" s="59"/>
      <c r="E244" s="18"/>
      <c r="G244" s="18"/>
      <c r="H244" s="18"/>
    </row>
    <row r="245" spans="1:8" x14ac:dyDescent="0.2">
      <c r="A245" s="18"/>
      <c r="B245" s="73"/>
      <c r="C245" s="59"/>
      <c r="E245" s="18"/>
      <c r="G245" s="18"/>
      <c r="H245" s="18"/>
    </row>
    <row r="246" spans="1:8" x14ac:dyDescent="0.2">
      <c r="A246" s="18"/>
      <c r="B246" s="73"/>
      <c r="C246" s="59"/>
      <c r="E246" s="18"/>
      <c r="G246" s="18"/>
      <c r="H246" s="18"/>
    </row>
    <row r="247" spans="1:8" x14ac:dyDescent="0.2">
      <c r="A247" s="18"/>
      <c r="B247" s="73"/>
      <c r="C247" s="59"/>
      <c r="E247" s="18"/>
      <c r="G247" s="18"/>
      <c r="H247" s="18"/>
    </row>
    <row r="248" spans="1:8" x14ac:dyDescent="0.2">
      <c r="A248" s="18"/>
      <c r="B248" s="73"/>
      <c r="C248" s="59"/>
      <c r="E248" s="18"/>
      <c r="G248" s="18"/>
      <c r="H248" s="18"/>
    </row>
    <row r="249" spans="1:8" x14ac:dyDescent="0.2">
      <c r="A249" s="18"/>
      <c r="B249" s="73"/>
      <c r="C249" s="59"/>
      <c r="E249" s="18"/>
      <c r="G249" s="18"/>
      <c r="H249" s="18"/>
    </row>
    <row r="250" spans="1:8" x14ac:dyDescent="0.2">
      <c r="A250" s="18"/>
      <c r="B250" s="73"/>
      <c r="C250" s="59"/>
      <c r="E250" s="18"/>
      <c r="G250" s="18"/>
      <c r="H250" s="18"/>
    </row>
    <row r="251" spans="1:8" x14ac:dyDescent="0.2">
      <c r="A251" s="18"/>
      <c r="B251" s="73"/>
      <c r="C251" s="59"/>
      <c r="E251" s="18"/>
      <c r="G251" s="18"/>
      <c r="H251" s="18"/>
    </row>
    <row r="252" spans="1:8" x14ac:dyDescent="0.2">
      <c r="A252" s="18"/>
      <c r="B252" s="73"/>
      <c r="C252" s="59"/>
      <c r="E252" s="18"/>
      <c r="G252" s="18"/>
      <c r="H252" s="18"/>
    </row>
    <row r="253" spans="1:8" x14ac:dyDescent="0.2">
      <c r="A253" s="18"/>
      <c r="B253" s="73"/>
      <c r="C253" s="59"/>
      <c r="E253" s="18"/>
      <c r="G253" s="18"/>
      <c r="H253" s="18"/>
    </row>
    <row r="254" spans="1:8" x14ac:dyDescent="0.2">
      <c r="A254" s="18"/>
      <c r="B254" s="73"/>
      <c r="C254" s="59"/>
      <c r="E254" s="18"/>
      <c r="G254" s="18"/>
      <c r="H254" s="18"/>
    </row>
    <row r="255" spans="1:8" x14ac:dyDescent="0.2">
      <c r="A255" s="18"/>
      <c r="B255" s="73"/>
      <c r="C255" s="59"/>
      <c r="E255" s="18"/>
      <c r="G255" s="18"/>
      <c r="H255" s="18"/>
    </row>
    <row r="256" spans="1:8" x14ac:dyDescent="0.2">
      <c r="A256" s="18"/>
      <c r="B256" s="73"/>
      <c r="C256" s="59"/>
      <c r="E256" s="18"/>
      <c r="G256" s="18"/>
      <c r="H256" s="18"/>
    </row>
    <row r="257" spans="1:8" x14ac:dyDescent="0.2">
      <c r="A257" s="18"/>
      <c r="B257" s="73"/>
      <c r="C257" s="59"/>
      <c r="E257" s="18"/>
      <c r="G257" s="18"/>
      <c r="H257" s="18"/>
    </row>
    <row r="258" spans="1:8" x14ac:dyDescent="0.2">
      <c r="A258" s="18"/>
      <c r="B258" s="73"/>
      <c r="C258" s="59"/>
      <c r="E258" s="18"/>
      <c r="G258" s="18"/>
      <c r="H258" s="18"/>
    </row>
    <row r="259" spans="1:8" x14ac:dyDescent="0.2">
      <c r="A259" s="18"/>
      <c r="B259" s="73"/>
      <c r="C259" s="59"/>
      <c r="E259" s="18"/>
      <c r="G259" s="18"/>
      <c r="H259" s="18"/>
    </row>
    <row r="260" spans="1:8" x14ac:dyDescent="0.2">
      <c r="A260" s="18"/>
      <c r="B260" s="73"/>
      <c r="C260" s="59"/>
      <c r="E260" s="18"/>
      <c r="G260" s="18"/>
      <c r="H260" s="18"/>
    </row>
    <row r="261" spans="1:8" x14ac:dyDescent="0.2">
      <c r="A261" s="18"/>
      <c r="B261" s="73"/>
      <c r="C261" s="59"/>
      <c r="E261" s="18"/>
      <c r="G261" s="18"/>
      <c r="H261" s="18"/>
    </row>
    <row r="262" spans="1:8" x14ac:dyDescent="0.2">
      <c r="A262" s="18"/>
      <c r="B262" s="73"/>
      <c r="C262" s="59"/>
      <c r="E262" s="18"/>
      <c r="G262" s="18"/>
      <c r="H262" s="18"/>
    </row>
    <row r="263" spans="1:8" x14ac:dyDescent="0.2">
      <c r="A263" s="18"/>
      <c r="B263" s="73"/>
      <c r="C263" s="59"/>
      <c r="E263" s="18"/>
      <c r="G263" s="18"/>
      <c r="H263" s="18"/>
    </row>
    <row r="264" spans="1:8" x14ac:dyDescent="0.2">
      <c r="A264" s="18"/>
      <c r="B264" s="73"/>
      <c r="C264" s="59"/>
      <c r="E264" s="18"/>
      <c r="G264" s="18"/>
      <c r="H264" s="18"/>
    </row>
    <row r="265" spans="1:8" x14ac:dyDescent="0.2">
      <c r="A265" s="18"/>
      <c r="B265" s="73"/>
      <c r="C265" s="59"/>
      <c r="E265" s="18"/>
      <c r="G265" s="18"/>
      <c r="H265" s="18"/>
    </row>
    <row r="266" spans="1:8" x14ac:dyDescent="0.2">
      <c r="A266" s="18"/>
      <c r="B266" s="73"/>
      <c r="C266" s="59"/>
      <c r="E266" s="18"/>
      <c r="G266" s="18"/>
      <c r="H266" s="18"/>
    </row>
    <row r="267" spans="1:8" x14ac:dyDescent="0.2">
      <c r="A267" s="18"/>
      <c r="B267" s="73"/>
      <c r="C267" s="59"/>
      <c r="E267" s="18"/>
      <c r="G267" s="18"/>
      <c r="H267" s="18"/>
    </row>
    <row r="268" spans="1:8" x14ac:dyDescent="0.2">
      <c r="A268" s="18"/>
      <c r="B268" s="73"/>
      <c r="C268" s="59"/>
      <c r="E268" s="18"/>
      <c r="G268" s="18"/>
      <c r="H268" s="18"/>
    </row>
    <row r="269" spans="1:8" x14ac:dyDescent="0.2">
      <c r="A269" s="18"/>
      <c r="B269" s="73"/>
      <c r="C269" s="59"/>
      <c r="E269" s="18"/>
      <c r="G269" s="18"/>
      <c r="H269" s="18"/>
    </row>
    <row r="270" spans="1:8" x14ac:dyDescent="0.2">
      <c r="A270" s="18"/>
      <c r="B270" s="73"/>
      <c r="C270" s="59"/>
      <c r="E270" s="18"/>
      <c r="G270" s="18"/>
      <c r="H270" s="18"/>
    </row>
    <row r="271" spans="1:8" x14ac:dyDescent="0.2">
      <c r="A271" s="18"/>
      <c r="B271" s="73"/>
      <c r="C271" s="59"/>
      <c r="E271" s="18"/>
      <c r="G271" s="18"/>
      <c r="H271" s="18"/>
    </row>
    <row r="272" spans="1:8" x14ac:dyDescent="0.2">
      <c r="A272" s="18"/>
      <c r="B272" s="73"/>
      <c r="C272" s="59"/>
      <c r="E272" s="18"/>
      <c r="G272" s="18"/>
      <c r="H272" s="18"/>
    </row>
    <row r="273" spans="1:8" x14ac:dyDescent="0.2">
      <c r="A273" s="18"/>
      <c r="B273" s="73"/>
      <c r="C273" s="59"/>
      <c r="E273" s="18"/>
      <c r="G273" s="18"/>
      <c r="H273" s="18"/>
    </row>
    <row r="274" spans="1:8" x14ac:dyDescent="0.2">
      <c r="A274" s="18"/>
      <c r="B274" s="73"/>
      <c r="C274" s="59"/>
      <c r="E274" s="18"/>
      <c r="G274" s="18"/>
      <c r="H274" s="18"/>
    </row>
    <row r="275" spans="1:8" x14ac:dyDescent="0.2">
      <c r="A275" s="18"/>
      <c r="B275" s="73"/>
      <c r="C275" s="59"/>
      <c r="E275" s="18"/>
      <c r="G275" s="18"/>
      <c r="H275" s="18"/>
    </row>
    <row r="276" spans="1:8" x14ac:dyDescent="0.2">
      <c r="A276" s="18"/>
      <c r="B276" s="73"/>
      <c r="C276" s="59"/>
      <c r="E276" s="18"/>
      <c r="G276" s="18"/>
      <c r="H276" s="18"/>
    </row>
    <row r="277" spans="1:8" x14ac:dyDescent="0.2">
      <c r="A277" s="18"/>
      <c r="B277" s="73"/>
      <c r="C277" s="59"/>
      <c r="E277" s="18"/>
      <c r="G277" s="18"/>
      <c r="H277" s="18"/>
    </row>
    <row r="278" spans="1:8" x14ac:dyDescent="0.2">
      <c r="A278" s="18"/>
      <c r="B278" s="73"/>
      <c r="C278" s="59"/>
      <c r="E278" s="18"/>
      <c r="G278" s="18"/>
      <c r="H278" s="18"/>
    </row>
    <row r="279" spans="1:8" x14ac:dyDescent="0.2">
      <c r="A279" s="18"/>
      <c r="B279" s="73"/>
      <c r="C279" s="59"/>
      <c r="E279" s="18"/>
      <c r="G279" s="18"/>
      <c r="H279" s="18"/>
    </row>
    <row r="280" spans="1:8" x14ac:dyDescent="0.2">
      <c r="A280" s="18"/>
      <c r="B280" s="73"/>
      <c r="C280" s="59"/>
      <c r="E280" s="18"/>
      <c r="G280" s="18"/>
      <c r="H280" s="18"/>
    </row>
    <row r="281" spans="1:8" x14ac:dyDescent="0.2">
      <c r="A281" s="18"/>
      <c r="B281" s="73"/>
      <c r="C281" s="59"/>
      <c r="E281" s="18"/>
      <c r="G281" s="18"/>
      <c r="H281" s="18"/>
    </row>
    <row r="282" spans="1:8" x14ac:dyDescent="0.2">
      <c r="A282" s="18"/>
      <c r="B282" s="73"/>
      <c r="C282" s="59"/>
      <c r="E282" s="18"/>
      <c r="G282" s="18"/>
      <c r="H282" s="18"/>
    </row>
    <row r="283" spans="1:8" x14ac:dyDescent="0.2">
      <c r="A283" s="18"/>
      <c r="B283" s="73"/>
      <c r="C283" s="59"/>
      <c r="E283" s="18"/>
      <c r="G283" s="18"/>
      <c r="H283" s="18"/>
    </row>
    <row r="284" spans="1:8" x14ac:dyDescent="0.2">
      <c r="A284" s="18"/>
      <c r="B284" s="73"/>
      <c r="C284" s="59"/>
      <c r="E284" s="18"/>
      <c r="G284" s="18"/>
      <c r="H284" s="18"/>
    </row>
    <row r="285" spans="1:8" x14ac:dyDescent="0.2">
      <c r="A285" s="18"/>
      <c r="B285" s="73"/>
      <c r="C285" s="59"/>
      <c r="E285" s="18"/>
      <c r="G285" s="18"/>
      <c r="H285" s="18"/>
    </row>
    <row r="286" spans="1:8" x14ac:dyDescent="0.2">
      <c r="A286" s="18"/>
      <c r="B286" s="73"/>
      <c r="C286" s="59"/>
      <c r="E286" s="18"/>
      <c r="G286" s="18"/>
      <c r="H286" s="18"/>
    </row>
    <row r="287" spans="1:8" x14ac:dyDescent="0.2">
      <c r="A287" s="18"/>
      <c r="B287" s="73"/>
      <c r="C287" s="59"/>
      <c r="E287" s="18"/>
      <c r="G287" s="18"/>
      <c r="H287" s="18"/>
    </row>
  </sheetData>
  <autoFilter ref="A9:I75"/>
  <mergeCells count="37">
    <mergeCell ref="C142:E142"/>
    <mergeCell ref="C144:E144"/>
    <mergeCell ref="B2:H2"/>
    <mergeCell ref="A4:B4"/>
    <mergeCell ref="C4:E4"/>
    <mergeCell ref="A5:B5"/>
    <mergeCell ref="C5:E5"/>
    <mergeCell ref="C127:E127"/>
    <mergeCell ref="C130:E130"/>
    <mergeCell ref="C132:E132"/>
    <mergeCell ref="C134:E134"/>
    <mergeCell ref="C136:E136"/>
    <mergeCell ref="A6:B6"/>
    <mergeCell ref="A7:B7"/>
    <mergeCell ref="C82:E82"/>
    <mergeCell ref="C84:E84"/>
    <mergeCell ref="C99:E99"/>
    <mergeCell ref="C89:E89"/>
    <mergeCell ref="C91:E91"/>
    <mergeCell ref="C97:E97"/>
    <mergeCell ref="C85:E85"/>
    <mergeCell ref="C147:E147"/>
    <mergeCell ref="C149:E149"/>
    <mergeCell ref="C151:E151"/>
    <mergeCell ref="C145:E145"/>
    <mergeCell ref="C87:E87"/>
    <mergeCell ref="C129:E129"/>
    <mergeCell ref="C100:E100"/>
    <mergeCell ref="C102:E102"/>
    <mergeCell ref="C104:E104"/>
    <mergeCell ref="C106:E106"/>
    <mergeCell ref="C112:E112"/>
    <mergeCell ref="C114:E114"/>
    <mergeCell ref="C115:E115"/>
    <mergeCell ref="C117:E117"/>
    <mergeCell ref="C119:E119"/>
    <mergeCell ref="C121:E121"/>
  </mergeCells>
  <pageMargins left="0.7" right="0.7" top="0.75" bottom="0.75" header="0.51180555555555496" footer="0.51180555555555496"/>
  <pageSetup paperSize="5" scale="55" firstPageNumber="0" orientation="portrait" horizontalDpi="4294967293" verticalDpi="4294967293" r:id="rId1"/>
  <colBreaks count="1" manualBreakCount="1">
    <brk id="5" max="51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8"/>
  <sheetViews>
    <sheetView topLeftCell="A59" zoomScale="75" zoomScaleNormal="75" workbookViewId="0">
      <selection activeCell="A78" sqref="A78:I78"/>
    </sheetView>
  </sheetViews>
  <sheetFormatPr baseColWidth="10" defaultColWidth="9.140625" defaultRowHeight="12.75" x14ac:dyDescent="0.2"/>
  <cols>
    <col min="1" max="1" width="5.5703125" style="2" customWidth="1"/>
    <col min="2" max="2" width="22.5703125" style="2" bestFit="1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5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3" t="s">
        <v>18</v>
      </c>
      <c r="B1" s="123"/>
      <c r="C1" s="123"/>
      <c r="D1" s="123"/>
      <c r="E1" s="123"/>
      <c r="F1" s="123"/>
      <c r="G1" s="123"/>
      <c r="H1" s="123"/>
      <c r="I1" s="123"/>
      <c r="J1" s="3" t="s">
        <v>19</v>
      </c>
      <c r="K1" s="28" t="s">
        <v>145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4" t="s">
        <v>51</v>
      </c>
      <c r="B3" s="124"/>
      <c r="C3" s="124"/>
      <c r="D3" s="125" t="str">
        <f>'Necesidades Trimestrales'!C4</f>
        <v>42-Ministerio de Salud</v>
      </c>
      <c r="E3" s="125"/>
      <c r="F3" s="125"/>
      <c r="G3" s="125"/>
      <c r="H3" s="125"/>
      <c r="I3" s="125"/>
      <c r="J3" s="125"/>
      <c r="K3" s="125"/>
    </row>
    <row r="4" spans="1:11" ht="18.75" customHeight="1" thickBot="1" x14ac:dyDescent="0.25">
      <c r="A4" s="126" t="s">
        <v>52</v>
      </c>
      <c r="B4" s="126"/>
      <c r="C4" s="126"/>
      <c r="D4" s="125" t="str">
        <f>'Necesidades Trimestrales'!C5</f>
        <v>28- Maternidad Provincial 25 de Mayo</v>
      </c>
      <c r="E4" s="125"/>
      <c r="F4" s="125"/>
      <c r="G4" s="125"/>
      <c r="H4" s="125"/>
      <c r="I4" s="125"/>
      <c r="J4" s="125"/>
      <c r="K4" s="125"/>
    </row>
    <row r="5" spans="1:11" ht="18.75" customHeight="1" thickBot="1" x14ac:dyDescent="0.25">
      <c r="A5" s="126" t="s">
        <v>30</v>
      </c>
      <c r="B5" s="126"/>
      <c r="C5" s="126"/>
      <c r="D5" s="125" t="s">
        <v>61</v>
      </c>
      <c r="E5" s="125"/>
      <c r="F5" s="125"/>
      <c r="G5" s="125"/>
      <c r="H5" s="125"/>
      <c r="I5" s="125"/>
      <c r="J5" s="125"/>
      <c r="K5" s="125"/>
    </row>
    <row r="6" spans="1:11" ht="16.5" customHeight="1" thickBot="1" x14ac:dyDescent="0.25">
      <c r="A6" s="124" t="s">
        <v>53</v>
      </c>
      <c r="B6" s="124"/>
      <c r="C6" s="124"/>
      <c r="D6" s="125" t="s">
        <v>144</v>
      </c>
      <c r="E6" s="125"/>
      <c r="F6" s="125"/>
      <c r="G6" s="125"/>
      <c r="H6" s="125"/>
      <c r="I6" s="125"/>
      <c r="J6" s="125"/>
      <c r="K6" s="125"/>
    </row>
    <row r="7" spans="1:11" ht="16.5" customHeight="1" thickBot="1" x14ac:dyDescent="0.25">
      <c r="A7" s="126" t="s">
        <v>20</v>
      </c>
      <c r="B7" s="126"/>
      <c r="C7" s="126"/>
      <c r="D7" s="127" t="str">
        <f>'Necesidades Trimestrales'!C7 &amp; " - Año " &amp; 'Necesidades Trimestrales'!C6</f>
        <v>4°  - Año 2020</v>
      </c>
      <c r="E7" s="127"/>
      <c r="F7" s="127"/>
      <c r="G7" s="127"/>
      <c r="H7" s="127"/>
      <c r="I7" s="127"/>
      <c r="J7" s="127"/>
      <c r="K7" s="127"/>
    </row>
    <row r="8" spans="1:11" ht="33.75" customHeight="1" thickBot="1" x14ac:dyDescent="0.25">
      <c r="A8" s="128" t="s">
        <v>60</v>
      </c>
      <c r="B8" s="129"/>
      <c r="C8" s="130"/>
      <c r="D8" s="131" t="s">
        <v>146</v>
      </c>
      <c r="E8" s="132"/>
      <c r="F8" s="132"/>
      <c r="G8" s="132"/>
      <c r="H8" s="132"/>
      <c r="I8" s="132"/>
      <c r="J8" s="132"/>
      <c r="K8" s="133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27.75" customHeight="1" thickBot="1" x14ac:dyDescent="0.25">
      <c r="A10" s="134" t="s">
        <v>21</v>
      </c>
      <c r="B10" s="136" t="s">
        <v>22</v>
      </c>
      <c r="C10" s="136" t="s">
        <v>23</v>
      </c>
      <c r="D10" s="136"/>
      <c r="E10" s="136"/>
      <c r="F10" s="136"/>
      <c r="G10" s="136"/>
      <c r="H10" s="136" t="s">
        <v>24</v>
      </c>
      <c r="I10" s="136" t="s">
        <v>25</v>
      </c>
      <c r="J10" s="136" t="s">
        <v>26</v>
      </c>
      <c r="K10" s="138" t="s">
        <v>27</v>
      </c>
    </row>
    <row r="11" spans="1:11" ht="24" customHeight="1" thickBot="1" x14ac:dyDescent="0.25">
      <c r="A11" s="135"/>
      <c r="B11" s="137"/>
      <c r="C11" s="137"/>
      <c r="D11" s="137"/>
      <c r="E11" s="137"/>
      <c r="F11" s="137"/>
      <c r="G11" s="137"/>
      <c r="H11" s="137"/>
      <c r="I11" s="137"/>
      <c r="J11" s="137"/>
      <c r="K11" s="139"/>
    </row>
    <row r="12" spans="1:11" ht="18.75" x14ac:dyDescent="0.2">
      <c r="A12" s="81">
        <f>'Necesidades Trimestrales'!A10</f>
        <v>1</v>
      </c>
      <c r="B12" s="82">
        <f>'Necesidades Trimestrales'!B10</f>
        <v>0</v>
      </c>
      <c r="C12" s="140" t="str">
        <f>'Necesidades Trimestrales'!E10</f>
        <v>BUPIBACAIHNA CLORIDRATO HIPERBARICA 5MG/ML AMP-KIT CON AGUJA INTRODUCTORA 27 GX3 1/2 TIPO CASARA SCOTT</v>
      </c>
      <c r="D12" s="140"/>
      <c r="E12" s="140"/>
      <c r="F12" s="140"/>
      <c r="G12" s="140"/>
      <c r="H12" s="94" t="s">
        <v>58</v>
      </c>
      <c r="I12" s="95" t="str">
        <f>'Necesidades Trimestrales'!F10</f>
        <v>UNIDAD</v>
      </c>
      <c r="J12" s="96">
        <f>'Necesidades Trimestrales'!H10</f>
        <v>800</v>
      </c>
      <c r="K12" s="97">
        <f>'Necesidades Trimestrales'!G10</f>
        <v>500</v>
      </c>
    </row>
    <row r="13" spans="1:11" ht="18.75" x14ac:dyDescent="0.2">
      <c r="A13" s="83">
        <f>'Necesidades Trimestrales'!A11</f>
        <v>2</v>
      </c>
      <c r="B13" s="84">
        <f>'Necesidades Trimestrales'!B11</f>
        <v>0</v>
      </c>
      <c r="C13" s="120" t="str">
        <f>'Necesidades Trimestrales'!E11</f>
        <v>IMIPENEM FRASCO FRASCO/AMPOLLA X 500 MG</v>
      </c>
      <c r="D13" s="120"/>
      <c r="E13" s="120"/>
      <c r="F13" s="120"/>
      <c r="G13" s="120"/>
      <c r="H13" s="98" t="s">
        <v>58</v>
      </c>
      <c r="I13" s="99" t="str">
        <f>'Necesidades Trimestrales'!F11</f>
        <v>UNIDAD</v>
      </c>
      <c r="J13" s="100">
        <f>'Necesidades Trimestrales'!H11</f>
        <v>700</v>
      </c>
      <c r="K13" s="101">
        <f>'Necesidades Trimestrales'!G11</f>
        <v>150</v>
      </c>
    </row>
    <row r="14" spans="1:11" ht="18.75" x14ac:dyDescent="0.2">
      <c r="A14" s="83">
        <f>'Necesidades Trimestrales'!A12</f>
        <v>3</v>
      </c>
      <c r="B14" s="84">
        <f>'Necesidades Trimestrales'!B12</f>
        <v>0</v>
      </c>
      <c r="C14" s="120" t="str">
        <f>'Necesidades Trimestrales'!E12</f>
        <v>AGUJA DESCARTABLE 16/5</v>
      </c>
      <c r="D14" s="120"/>
      <c r="E14" s="120"/>
      <c r="F14" s="120"/>
      <c r="G14" s="120"/>
      <c r="H14" s="98" t="s">
        <v>58</v>
      </c>
      <c r="I14" s="99" t="str">
        <f>'Necesidades Trimestrales'!F12</f>
        <v>UNIDAD</v>
      </c>
      <c r="J14" s="100">
        <f>'Necesidades Trimestrales'!H12</f>
        <v>1.18</v>
      </c>
      <c r="K14" s="101">
        <f>'Necesidades Trimestrales'!G12</f>
        <v>2500</v>
      </c>
    </row>
    <row r="15" spans="1:11" ht="18.75" x14ac:dyDescent="0.2">
      <c r="A15" s="83">
        <f>'Necesidades Trimestrales'!A13</f>
        <v>4</v>
      </c>
      <c r="B15" s="84">
        <f>'Necesidades Trimestrales'!B13</f>
        <v>0</v>
      </c>
      <c r="C15" s="120" t="str">
        <f>'Necesidades Trimestrales'!E13</f>
        <v>AGUJA DESCARTABLE 25/8</v>
      </c>
      <c r="D15" s="120"/>
      <c r="E15" s="120"/>
      <c r="F15" s="120"/>
      <c r="G15" s="120"/>
      <c r="H15" s="98" t="s">
        <v>58</v>
      </c>
      <c r="I15" s="99" t="str">
        <f>'Necesidades Trimestrales'!F13</f>
        <v>UNIDAD</v>
      </c>
      <c r="J15" s="100">
        <f>'Necesidades Trimestrales'!H13</f>
        <v>1.18</v>
      </c>
      <c r="K15" s="101">
        <f>'Necesidades Trimestrales'!G13</f>
        <v>22500</v>
      </c>
    </row>
    <row r="16" spans="1:11" ht="18.75" x14ac:dyDescent="0.2">
      <c r="A16" s="83">
        <f>'Necesidades Trimestrales'!A14</f>
        <v>5</v>
      </c>
      <c r="B16" s="84">
        <f>'Necesidades Trimestrales'!B14</f>
        <v>0</v>
      </c>
      <c r="C16" s="120" t="str">
        <f>'Necesidades Trimestrales'!E14</f>
        <v>AGUJA DESCARTABLE 40/12</v>
      </c>
      <c r="D16" s="120"/>
      <c r="E16" s="120"/>
      <c r="F16" s="120"/>
      <c r="G16" s="120"/>
      <c r="H16" s="98" t="s">
        <v>58</v>
      </c>
      <c r="I16" s="99" t="str">
        <f>'Necesidades Trimestrales'!F14</f>
        <v>UNIDAD</v>
      </c>
      <c r="J16" s="100">
        <f>'Necesidades Trimestrales'!H14</f>
        <v>1.53</v>
      </c>
      <c r="K16" s="101">
        <f>'Necesidades Trimestrales'!G14</f>
        <v>500</v>
      </c>
    </row>
    <row r="17" spans="1:11" ht="18.75" x14ac:dyDescent="0.2">
      <c r="A17" s="83">
        <f>'Necesidades Trimestrales'!A15</f>
        <v>6</v>
      </c>
      <c r="B17" s="84">
        <f>'Necesidades Trimestrales'!B15</f>
        <v>0</v>
      </c>
      <c r="C17" s="120" t="str">
        <f>'Necesidades Trimestrales'!E15</f>
        <v>AGUJA DESCARTABLE 40/8</v>
      </c>
      <c r="D17" s="120"/>
      <c r="E17" s="120"/>
      <c r="F17" s="120"/>
      <c r="G17" s="120"/>
      <c r="H17" s="98" t="s">
        <v>58</v>
      </c>
      <c r="I17" s="99" t="str">
        <f>'Necesidades Trimestrales'!F15</f>
        <v>UNIDAD</v>
      </c>
      <c r="J17" s="100">
        <f>'Necesidades Trimestrales'!H15</f>
        <v>1.18</v>
      </c>
      <c r="K17" s="101">
        <f>'Necesidades Trimestrales'!G15</f>
        <v>18000</v>
      </c>
    </row>
    <row r="18" spans="1:11" ht="18.75" x14ac:dyDescent="0.2">
      <c r="A18" s="83">
        <f>'Necesidades Trimestrales'!A16</f>
        <v>7</v>
      </c>
      <c r="B18" s="84">
        <f>'Necesidades Trimestrales'!B16</f>
        <v>0</v>
      </c>
      <c r="C18" s="120" t="str">
        <f>'Necesidades Trimestrales'!E16</f>
        <v>AGUJA DESCARTABLE 50/8</v>
      </c>
      <c r="D18" s="120"/>
      <c r="E18" s="120"/>
      <c r="F18" s="120"/>
      <c r="G18" s="120"/>
      <c r="H18" s="98" t="s">
        <v>58</v>
      </c>
      <c r="I18" s="99" t="str">
        <f>'Necesidades Trimestrales'!F16</f>
        <v>UNIDAD</v>
      </c>
      <c r="J18" s="100">
        <f>'Necesidades Trimestrales'!H16</f>
        <v>1.53</v>
      </c>
      <c r="K18" s="101">
        <f>'Necesidades Trimestrales'!G16</f>
        <v>500</v>
      </c>
    </row>
    <row r="19" spans="1:11" ht="18.75" x14ac:dyDescent="0.2">
      <c r="A19" s="83">
        <f>'Necesidades Trimestrales'!A17</f>
        <v>8</v>
      </c>
      <c r="B19" s="84">
        <f>'Necesidades Trimestrales'!B17</f>
        <v>0</v>
      </c>
      <c r="C19" s="120" t="str">
        <f>'Necesidades Trimestrales'!E17</f>
        <v>ALGODÓN  x 500 GRS.TIPO DONCELLA</v>
      </c>
      <c r="D19" s="120"/>
      <c r="E19" s="120"/>
      <c r="F19" s="120"/>
      <c r="G19" s="120"/>
      <c r="H19" s="98" t="s">
        <v>58</v>
      </c>
      <c r="I19" s="99" t="str">
        <f>'Necesidades Trimestrales'!F17</f>
        <v>UNIDAD</v>
      </c>
      <c r="J19" s="100">
        <f>'Necesidades Trimestrales'!H17</f>
        <v>228</v>
      </c>
      <c r="K19" s="101">
        <f>'Necesidades Trimestrales'!G17</f>
        <v>900</v>
      </c>
    </row>
    <row r="20" spans="1:11" ht="18.75" x14ac:dyDescent="0.2">
      <c r="A20" s="83">
        <f>'Necesidades Trimestrales'!A18</f>
        <v>9</v>
      </c>
      <c r="B20" s="84">
        <f>'Necesidades Trimestrales'!B18</f>
        <v>0</v>
      </c>
      <c r="C20" s="120" t="str">
        <f>'Necesidades Trimestrales'!E18</f>
        <v>BAJALENGUA X 100 UNIDADES</v>
      </c>
      <c r="D20" s="120"/>
      <c r="E20" s="120"/>
      <c r="F20" s="120"/>
      <c r="G20" s="120"/>
      <c r="H20" s="98" t="s">
        <v>58</v>
      </c>
      <c r="I20" s="99" t="str">
        <f>'Necesidades Trimestrales'!F18</f>
        <v>UNIDAD</v>
      </c>
      <c r="J20" s="100">
        <f>'Necesidades Trimestrales'!H18</f>
        <v>103</v>
      </c>
      <c r="K20" s="101">
        <f>'Necesidades Trimestrales'!G18</f>
        <v>20</v>
      </c>
    </row>
    <row r="21" spans="1:11" ht="18.75" x14ac:dyDescent="0.2">
      <c r="A21" s="83">
        <f>'Necesidades Trimestrales'!A19</f>
        <v>10</v>
      </c>
      <c r="B21" s="84">
        <f>'Necesidades Trimestrales'!B19</f>
        <v>0</v>
      </c>
      <c r="C21" s="120" t="str">
        <f>'Necesidades Trimestrales'!E19</f>
        <v>BOTAS ALTAS DESCARTABLES DE 30 GRAMOS CON TIRA EL PAR</v>
      </c>
      <c r="D21" s="120"/>
      <c r="E21" s="120"/>
      <c r="F21" s="120"/>
      <c r="G21" s="120"/>
      <c r="H21" s="98" t="s">
        <v>58</v>
      </c>
      <c r="I21" s="99" t="str">
        <f>'Necesidades Trimestrales'!F19</f>
        <v>UNIDAD</v>
      </c>
      <c r="J21" s="100">
        <f>'Necesidades Trimestrales'!H19</f>
        <v>15.6</v>
      </c>
      <c r="K21" s="101">
        <f>'Necesidades Trimestrales'!G19</f>
        <v>5000</v>
      </c>
    </row>
    <row r="22" spans="1:11" ht="18.75" x14ac:dyDescent="0.2">
      <c r="A22" s="83">
        <f>'Necesidades Trimestrales'!A20</f>
        <v>11</v>
      </c>
      <c r="B22" s="84">
        <f>'Necesidades Trimestrales'!B20</f>
        <v>0</v>
      </c>
      <c r="C22" s="120" t="str">
        <f>'Necesidades Trimestrales'!E20</f>
        <v>CAMISOLINES DES. SMS CON MANGAS Y PUÑO DE 1,40 MTS. DE LARGO, 30 GRS. COLOR AZUL</v>
      </c>
      <c r="D22" s="120"/>
      <c r="E22" s="120"/>
      <c r="F22" s="120"/>
      <c r="G22" s="120"/>
      <c r="H22" s="98" t="s">
        <v>58</v>
      </c>
      <c r="I22" s="99" t="str">
        <f>'Necesidades Trimestrales'!F20</f>
        <v>UNIDAD</v>
      </c>
      <c r="J22" s="100">
        <f>'Necesidades Trimestrales'!H20</f>
        <v>76.2</v>
      </c>
      <c r="K22" s="101">
        <f>'Necesidades Trimestrales'!G20</f>
        <v>4000</v>
      </c>
    </row>
    <row r="23" spans="1:11" ht="18.75" x14ac:dyDescent="0.2">
      <c r="A23" s="83">
        <f>'Necesidades Trimestrales'!A21</f>
        <v>12</v>
      </c>
      <c r="B23" s="84">
        <f>'Necesidades Trimestrales'!B21</f>
        <v>0</v>
      </c>
      <c r="C23" s="120" t="str">
        <f>'Necesidades Trimestrales'!E21</f>
        <v>CATETER INTRAVENOSO Nº 22 TIPO HOSPIRA/BD</v>
      </c>
      <c r="D23" s="120"/>
      <c r="E23" s="120"/>
      <c r="F23" s="120"/>
      <c r="G23" s="120"/>
      <c r="H23" s="98" t="s">
        <v>58</v>
      </c>
      <c r="I23" s="99" t="str">
        <f>'Necesidades Trimestrales'!F21</f>
        <v>UNIDAD</v>
      </c>
      <c r="J23" s="100">
        <f>'Necesidades Trimestrales'!H21</f>
        <v>17.72</v>
      </c>
      <c r="K23" s="101">
        <f>'Necesidades Trimestrales'!G21</f>
        <v>50</v>
      </c>
    </row>
    <row r="24" spans="1:11" ht="18.75" x14ac:dyDescent="0.2">
      <c r="A24" s="83">
        <f>'Necesidades Trimestrales'!A22</f>
        <v>13</v>
      </c>
      <c r="B24" s="84">
        <f>'Necesidades Trimestrales'!B22</f>
        <v>0</v>
      </c>
      <c r="C24" s="120" t="str">
        <f>'Necesidades Trimestrales'!E22</f>
        <v>CATETER INTRAVENOSO Nº 24 TIPO HOSPIRA/BD</v>
      </c>
      <c r="D24" s="120"/>
      <c r="E24" s="120"/>
      <c r="F24" s="120"/>
      <c r="G24" s="120"/>
      <c r="H24" s="98" t="s">
        <v>58</v>
      </c>
      <c r="I24" s="99" t="str">
        <f>'Necesidades Trimestrales'!F22</f>
        <v>UNIDAD</v>
      </c>
      <c r="J24" s="100">
        <f>'Necesidades Trimestrales'!H22</f>
        <v>17.72</v>
      </c>
      <c r="K24" s="101">
        <f>'Necesidades Trimestrales'!G22</f>
        <v>3000</v>
      </c>
    </row>
    <row r="25" spans="1:11" ht="18.75" x14ac:dyDescent="0.2">
      <c r="A25" s="83">
        <f>'Necesidades Trimestrales'!A23</f>
        <v>14</v>
      </c>
      <c r="B25" s="84">
        <f>'Necesidades Trimestrales'!B23</f>
        <v>0</v>
      </c>
      <c r="C25" s="120" t="str">
        <f>'Necesidades Trimestrales'!E23</f>
        <v>CATETER INTRAVENOSO Nº 26 TIPO HOSPIRA/BD</v>
      </c>
      <c r="D25" s="120"/>
      <c r="E25" s="120"/>
      <c r="F25" s="120"/>
      <c r="G25" s="120"/>
      <c r="H25" s="98" t="s">
        <v>58</v>
      </c>
      <c r="I25" s="99" t="str">
        <f>'Necesidades Trimestrales'!F23</f>
        <v>UNIDAD</v>
      </c>
      <c r="J25" s="100">
        <f>'Necesidades Trimestrales'!H23</f>
        <v>419</v>
      </c>
      <c r="K25" s="101">
        <f>'Necesidades Trimestrales'!G23</f>
        <v>1000</v>
      </c>
    </row>
    <row r="26" spans="1:11" ht="18.75" x14ac:dyDescent="0.2">
      <c r="A26" s="83">
        <f>'Necesidades Trimestrales'!A24</f>
        <v>15</v>
      </c>
      <c r="B26" s="84">
        <f>'Necesidades Trimestrales'!B24</f>
        <v>0</v>
      </c>
      <c r="C26" s="120" t="str">
        <f>'Necesidades Trimestrales'!E24</f>
        <v>CANULAS NASALES PARA OXIGENOTERAPIA - NEONATALES</v>
      </c>
      <c r="D26" s="120"/>
      <c r="E26" s="120"/>
      <c r="F26" s="120"/>
      <c r="G26" s="120"/>
      <c r="H26" s="98" t="s">
        <v>58</v>
      </c>
      <c r="I26" s="99" t="str">
        <f>'Necesidades Trimestrales'!F24</f>
        <v>UNIDAD</v>
      </c>
      <c r="J26" s="100">
        <f>'Necesidades Trimestrales'!H24</f>
        <v>64.84</v>
      </c>
      <c r="K26" s="101">
        <f>'Necesidades Trimestrales'!G24</f>
        <v>150</v>
      </c>
    </row>
    <row r="27" spans="1:11" ht="18.75" x14ac:dyDescent="0.2">
      <c r="A27" s="83">
        <f>'Necesidades Trimestrales'!A25</f>
        <v>16</v>
      </c>
      <c r="B27" s="84">
        <f>'Necesidades Trimestrales'!B25</f>
        <v>0</v>
      </c>
      <c r="C27" s="120" t="str">
        <f>'Necesidades Trimestrales'!E25</f>
        <v>CANULAS NASALES PARA OXIGENOTERAPIA -  ADULTOS</v>
      </c>
      <c r="D27" s="120"/>
      <c r="E27" s="120"/>
      <c r="F27" s="120"/>
      <c r="G27" s="120"/>
      <c r="H27" s="98" t="s">
        <v>58</v>
      </c>
      <c r="I27" s="99" t="str">
        <f>'Necesidades Trimestrales'!F25</f>
        <v>UNIDAD</v>
      </c>
      <c r="J27" s="100">
        <f>'Necesidades Trimestrales'!H25</f>
        <v>64.84</v>
      </c>
      <c r="K27" s="101">
        <f>'Necesidades Trimestrales'!G25</f>
        <v>150</v>
      </c>
    </row>
    <row r="28" spans="1:11" ht="18.75" x14ac:dyDescent="0.2">
      <c r="A28" s="83">
        <f>'Necesidades Trimestrales'!A26</f>
        <v>17</v>
      </c>
      <c r="B28" s="84">
        <f>'Necesidades Trimestrales'!B26</f>
        <v>0</v>
      </c>
      <c r="C28" s="120" t="str">
        <f>'Necesidades Trimestrales'!E26</f>
        <v>CLORHEXIDINA 2 % SOLUCION x 250 ml.</v>
      </c>
      <c r="D28" s="120"/>
      <c r="E28" s="120"/>
      <c r="F28" s="120"/>
      <c r="G28" s="120"/>
      <c r="H28" s="98" t="s">
        <v>58</v>
      </c>
      <c r="I28" s="99" t="str">
        <f>'Necesidades Trimestrales'!F26</f>
        <v>UNIDAD</v>
      </c>
      <c r="J28" s="100">
        <f>'Necesidades Trimestrales'!H26</f>
        <v>313</v>
      </c>
      <c r="K28" s="101">
        <f>'Necesidades Trimestrales'!G26</f>
        <v>360</v>
      </c>
    </row>
    <row r="29" spans="1:11" ht="18.75" x14ac:dyDescent="0.2">
      <c r="A29" s="83">
        <f>'Necesidades Trimestrales'!A27</f>
        <v>18</v>
      </c>
      <c r="B29" s="84">
        <f>'Necesidades Trimestrales'!B27</f>
        <v>0</v>
      </c>
      <c r="C29" s="120" t="str">
        <f>'Necesidades Trimestrales'!E27</f>
        <v>CLORHEXIDINA 4% JABON x 500 ML CON VALVULA DISPENSADORA TIPO NOVARA</v>
      </c>
      <c r="D29" s="120"/>
      <c r="E29" s="120"/>
      <c r="F29" s="120"/>
      <c r="G29" s="120"/>
      <c r="H29" s="98" t="s">
        <v>58</v>
      </c>
      <c r="I29" s="99" t="str">
        <f>'Necesidades Trimestrales'!F27</f>
        <v>UNIDAD</v>
      </c>
      <c r="J29" s="100">
        <f>'Necesidades Trimestrales'!H27</f>
        <v>513</v>
      </c>
      <c r="K29" s="101">
        <f>'Necesidades Trimestrales'!G27</f>
        <v>800</v>
      </c>
    </row>
    <row r="30" spans="1:11" ht="18.75" x14ac:dyDescent="0.2">
      <c r="A30" s="83">
        <f>'Necesidades Trimestrales'!A28</f>
        <v>19</v>
      </c>
      <c r="B30" s="84">
        <f>'Necesidades Trimestrales'!B28</f>
        <v>0</v>
      </c>
      <c r="C30" s="120" t="str">
        <f>'Necesidades Trimestrales'!E28</f>
        <v>ELECTRODOS DESCARTABLES ADULTO TIPO 3M</v>
      </c>
      <c r="D30" s="120"/>
      <c r="E30" s="120"/>
      <c r="F30" s="120"/>
      <c r="G30" s="120"/>
      <c r="H30" s="98" t="s">
        <v>58</v>
      </c>
      <c r="I30" s="99" t="str">
        <f>'Necesidades Trimestrales'!F28</f>
        <v>UNIDAD</v>
      </c>
      <c r="J30" s="100">
        <f>'Necesidades Trimestrales'!H28</f>
        <v>12.5</v>
      </c>
      <c r="K30" s="101">
        <f>'Necesidades Trimestrales'!G28</f>
        <v>2500</v>
      </c>
    </row>
    <row r="31" spans="1:11" ht="18.75" x14ac:dyDescent="0.2">
      <c r="A31" s="83">
        <f>'Necesidades Trimestrales'!A29</f>
        <v>20</v>
      </c>
      <c r="B31" s="84">
        <f>'Necesidades Trimestrales'!B29</f>
        <v>0</v>
      </c>
      <c r="C31" s="120" t="str">
        <f>'Necesidades Trimestrales'!E29</f>
        <v xml:space="preserve">EQUIPO PARA ADM. SOLUC. MICROGOTERO TIPO V-17c/ ROLLER  </v>
      </c>
      <c r="D31" s="120"/>
      <c r="E31" s="120"/>
      <c r="F31" s="120"/>
      <c r="G31" s="120"/>
      <c r="H31" s="98" t="s">
        <v>58</v>
      </c>
      <c r="I31" s="99" t="str">
        <f>'Necesidades Trimestrales'!F29</f>
        <v>UNIDAD</v>
      </c>
      <c r="J31" s="100">
        <f>'Necesidades Trimestrales'!H29</f>
        <v>21.42</v>
      </c>
      <c r="K31" s="101">
        <f>'Necesidades Trimestrales'!G29</f>
        <v>400</v>
      </c>
    </row>
    <row r="32" spans="1:11" ht="18.75" x14ac:dyDescent="0.2">
      <c r="A32" s="83">
        <f>'Necesidades Trimestrales'!A30</f>
        <v>21</v>
      </c>
      <c r="B32" s="84">
        <f>'Necesidades Trimestrales'!B30</f>
        <v>0</v>
      </c>
      <c r="C32" s="120" t="str">
        <f>'Necesidades Trimestrales'!E30</f>
        <v>EQUIPO PARA ADMINISTRACION DE SOLUCIONES  MACROGOTERO TIPO V-14 CON ROLLER</v>
      </c>
      <c r="D32" s="120"/>
      <c r="E32" s="120"/>
      <c r="F32" s="120"/>
      <c r="G32" s="120"/>
      <c r="H32" s="98" t="s">
        <v>58</v>
      </c>
      <c r="I32" s="99" t="str">
        <f>'Necesidades Trimestrales'!F30</f>
        <v>UNIDAD</v>
      </c>
      <c r="J32" s="100">
        <f>'Necesidades Trimestrales'!H30</f>
        <v>18.45</v>
      </c>
      <c r="K32" s="101">
        <f>'Necesidades Trimestrales'!G30</f>
        <v>3500</v>
      </c>
    </row>
    <row r="33" spans="1:11" ht="18.75" x14ac:dyDescent="0.2">
      <c r="A33" s="83">
        <f>'Necesidades Trimestrales'!A31</f>
        <v>22</v>
      </c>
      <c r="B33" s="84">
        <f>'Necesidades Trimestrales'!B31</f>
        <v>0</v>
      </c>
      <c r="C33" s="120" t="str">
        <f>'Necesidades Trimestrales'!E31</f>
        <v>GEL BASE PARA ECOGRAFIA  x 1kg</v>
      </c>
      <c r="D33" s="120"/>
      <c r="E33" s="120"/>
      <c r="F33" s="120"/>
      <c r="G33" s="120"/>
      <c r="H33" s="98" t="s">
        <v>58</v>
      </c>
      <c r="I33" s="99" t="str">
        <f>'Necesidades Trimestrales'!F31</f>
        <v>UNIDAD</v>
      </c>
      <c r="J33" s="100">
        <f>'Necesidades Trimestrales'!H31</f>
        <v>215</v>
      </c>
      <c r="K33" s="101">
        <f>'Necesidades Trimestrales'!G31</f>
        <v>90</v>
      </c>
    </row>
    <row r="34" spans="1:11" ht="18.75" x14ac:dyDescent="0.2">
      <c r="A34" s="83">
        <f>'Necesidades Trimestrales'!A32</f>
        <v>23</v>
      </c>
      <c r="B34" s="84">
        <f>'Necesidades Trimestrales'!B32</f>
        <v>0</v>
      </c>
      <c r="C34" s="120" t="str">
        <f>'Necesidades Trimestrales'!E32</f>
        <v>GUANTES DE CIRUGIA ESTERIL Nº 6 1/2  ANATOMICOS , CAÑA LARGA SIN TALCO</v>
      </c>
      <c r="D34" s="120"/>
      <c r="E34" s="120"/>
      <c r="F34" s="120"/>
      <c r="G34" s="120"/>
      <c r="H34" s="98" t="s">
        <v>58</v>
      </c>
      <c r="I34" s="99" t="str">
        <f>'Necesidades Trimestrales'!F32</f>
        <v>UNIDAD</v>
      </c>
      <c r="J34" s="100">
        <f>'Necesidades Trimestrales'!H32</f>
        <v>28.8</v>
      </c>
      <c r="K34" s="101">
        <f>'Necesidades Trimestrales'!G32</f>
        <v>600</v>
      </c>
    </row>
    <row r="35" spans="1:11" ht="18.75" x14ac:dyDescent="0.2">
      <c r="A35" s="83">
        <f>'Necesidades Trimestrales'!A33</f>
        <v>24</v>
      </c>
      <c r="B35" s="84">
        <f>'Necesidades Trimestrales'!B33</f>
        <v>0</v>
      </c>
      <c r="C35" s="120" t="str">
        <f>'Necesidades Trimestrales'!E33</f>
        <v>GUANTES DE CIRUGIA ESTERIL Nº 7   ANATOMICOS , CAÑA LARGA SIN TALCO</v>
      </c>
      <c r="D35" s="120"/>
      <c r="E35" s="120"/>
      <c r="F35" s="120"/>
      <c r="G35" s="120"/>
      <c r="H35" s="98" t="s">
        <v>58</v>
      </c>
      <c r="I35" s="99" t="str">
        <f>'Necesidades Trimestrales'!F33</f>
        <v>UNIDAD</v>
      </c>
      <c r="J35" s="100">
        <f>'Necesidades Trimestrales'!H33</f>
        <v>28.8</v>
      </c>
      <c r="K35" s="101">
        <f>'Necesidades Trimestrales'!G33</f>
        <v>4000</v>
      </c>
    </row>
    <row r="36" spans="1:11" ht="18.75" x14ac:dyDescent="0.2">
      <c r="A36" s="83">
        <f>'Necesidades Trimestrales'!A34</f>
        <v>25</v>
      </c>
      <c r="B36" s="84">
        <f>'Necesidades Trimestrales'!B34</f>
        <v>0</v>
      </c>
      <c r="C36" s="120" t="str">
        <f>'Necesidades Trimestrales'!E34</f>
        <v>GUANTES DE CIRUGIA ESTERIL Nº 7 1/2  ANATOMICOS , CAÑA LARGA SIN TALCO</v>
      </c>
      <c r="D36" s="120"/>
      <c r="E36" s="120"/>
      <c r="F36" s="120"/>
      <c r="G36" s="120"/>
      <c r="H36" s="98" t="s">
        <v>58</v>
      </c>
      <c r="I36" s="99" t="str">
        <f>'Necesidades Trimestrales'!F34</f>
        <v>UNIDAD</v>
      </c>
      <c r="J36" s="100">
        <f>'Necesidades Trimestrales'!H34</f>
        <v>28.8</v>
      </c>
      <c r="K36" s="101">
        <f>'Necesidades Trimestrales'!G34</f>
        <v>4000</v>
      </c>
    </row>
    <row r="37" spans="1:11" ht="18.75" x14ac:dyDescent="0.2">
      <c r="A37" s="83">
        <f>'Necesidades Trimestrales'!A35</f>
        <v>26</v>
      </c>
      <c r="B37" s="84">
        <f>'Necesidades Trimestrales'!B35</f>
        <v>0</v>
      </c>
      <c r="C37" s="120" t="str">
        <f>'Necesidades Trimestrales'!E35</f>
        <v>GUANTES DE CIRUGIA ESTERIL Nº 8   ANATOMICOS , CAÑA LARGA SIN TALCO</v>
      </c>
      <c r="D37" s="120"/>
      <c r="E37" s="120"/>
      <c r="F37" s="120"/>
      <c r="G37" s="120"/>
      <c r="H37" s="98" t="s">
        <v>58</v>
      </c>
      <c r="I37" s="99" t="str">
        <f>'Necesidades Trimestrales'!F35</f>
        <v>UNIDAD</v>
      </c>
      <c r="J37" s="100">
        <f>'Necesidades Trimestrales'!H35</f>
        <v>28.8</v>
      </c>
      <c r="K37" s="101">
        <f>'Necesidades Trimestrales'!G35</f>
        <v>1750</v>
      </c>
    </row>
    <row r="38" spans="1:11" ht="18.75" x14ac:dyDescent="0.2">
      <c r="A38" s="83">
        <f>'Necesidades Trimestrales'!A36</f>
        <v>27</v>
      </c>
      <c r="B38" s="84">
        <f>'Necesidades Trimestrales'!B36</f>
        <v>0</v>
      </c>
      <c r="C38" s="120" t="str">
        <f>'Necesidades Trimestrales'!E36</f>
        <v>GUANTES DE LATEX  EXAMINACION X 100 UNIDADES, TALLE S</v>
      </c>
      <c r="D38" s="120"/>
      <c r="E38" s="120"/>
      <c r="F38" s="120"/>
      <c r="G38" s="120"/>
      <c r="H38" s="98" t="s">
        <v>58</v>
      </c>
      <c r="I38" s="99" t="str">
        <f>'Necesidades Trimestrales'!F36</f>
        <v>UNIDAD</v>
      </c>
      <c r="J38" s="100">
        <f>'Necesidades Trimestrales'!H36</f>
        <v>833</v>
      </c>
      <c r="K38" s="101">
        <f>'Necesidades Trimestrales'!G36</f>
        <v>500</v>
      </c>
    </row>
    <row r="39" spans="1:11" ht="18.75" x14ac:dyDescent="0.2">
      <c r="A39" s="83">
        <f>'Necesidades Trimestrales'!A37</f>
        <v>28</v>
      </c>
      <c r="B39" s="84">
        <f>'Necesidades Trimestrales'!B37</f>
        <v>0</v>
      </c>
      <c r="C39" s="120" t="str">
        <f>'Necesidades Trimestrales'!E37</f>
        <v>GUANTES DE LATEX  EXAMINACION X 100 UNIDADES, TALLE M</v>
      </c>
      <c r="D39" s="120"/>
      <c r="E39" s="120"/>
      <c r="F39" s="120"/>
      <c r="G39" s="120"/>
      <c r="H39" s="98" t="s">
        <v>58</v>
      </c>
      <c r="I39" s="99" t="str">
        <f>'Necesidades Trimestrales'!F37</f>
        <v>UNIDAD</v>
      </c>
      <c r="J39" s="100">
        <f>'Necesidades Trimestrales'!H37</f>
        <v>833</v>
      </c>
      <c r="K39" s="101">
        <f>'Necesidades Trimestrales'!G37</f>
        <v>1000</v>
      </c>
    </row>
    <row r="40" spans="1:11" ht="18.75" x14ac:dyDescent="0.2">
      <c r="A40" s="83">
        <f>'Necesidades Trimestrales'!A38</f>
        <v>29</v>
      </c>
      <c r="B40" s="84">
        <f>'Necesidades Trimestrales'!B38</f>
        <v>0</v>
      </c>
      <c r="C40" s="120" t="str">
        <f>'Necesidades Trimestrales'!E38</f>
        <v>GUANTES DE LATEX  EXAMINACION X 100 UNIDADES, TALLE L</v>
      </c>
      <c r="D40" s="120"/>
      <c r="E40" s="120"/>
      <c r="F40" s="120"/>
      <c r="G40" s="120"/>
      <c r="H40" s="98" t="s">
        <v>58</v>
      </c>
      <c r="I40" s="99" t="str">
        <f>'Necesidades Trimestrales'!F38</f>
        <v>UNIDAD</v>
      </c>
      <c r="J40" s="100">
        <f>'Necesidades Trimestrales'!H38</f>
        <v>833</v>
      </c>
      <c r="K40" s="101">
        <f>'Necesidades Trimestrales'!G38</f>
        <v>25</v>
      </c>
    </row>
    <row r="41" spans="1:11" ht="18.75" x14ac:dyDescent="0.2">
      <c r="A41" s="83">
        <f>'Necesidades Trimestrales'!A39</f>
        <v>30</v>
      </c>
      <c r="B41" s="84">
        <f>'Necesidades Trimestrales'!B39</f>
        <v>0</v>
      </c>
      <c r="C41" s="120" t="str">
        <f>'Necesidades Trimestrales'!E39</f>
        <v>HOJA DE BISTURI N° 24</v>
      </c>
      <c r="D41" s="120"/>
      <c r="E41" s="120"/>
      <c r="F41" s="120"/>
      <c r="G41" s="120"/>
      <c r="H41" s="98" t="s">
        <v>58</v>
      </c>
      <c r="I41" s="99" t="str">
        <f>'Necesidades Trimestrales'!F39</f>
        <v>UNIDAD</v>
      </c>
      <c r="J41" s="100">
        <f>'Necesidades Trimestrales'!H39</f>
        <v>4.55</v>
      </c>
      <c r="K41" s="101">
        <f>'Necesidades Trimestrales'!G39</f>
        <v>3000</v>
      </c>
    </row>
    <row r="42" spans="1:11" ht="18.75" x14ac:dyDescent="0.2">
      <c r="A42" s="83">
        <f>'Necesidades Trimestrales'!A40</f>
        <v>31</v>
      </c>
      <c r="B42" s="84">
        <f>'Necesidades Trimestrales'!B40</f>
        <v>0</v>
      </c>
      <c r="C42" s="120" t="str">
        <f>'Necesidades Trimestrales'!E40</f>
        <v>HOJA DE BISTURI Nº 11</v>
      </c>
      <c r="D42" s="120"/>
      <c r="E42" s="120"/>
      <c r="F42" s="120"/>
      <c r="G42" s="120"/>
      <c r="H42" s="98" t="s">
        <v>58</v>
      </c>
      <c r="I42" s="99" t="str">
        <f>'Necesidades Trimestrales'!F40</f>
        <v>UNIDAD</v>
      </c>
      <c r="J42" s="100">
        <f>'Necesidades Trimestrales'!H40</f>
        <v>4.55</v>
      </c>
      <c r="K42" s="101">
        <f>'Necesidades Trimestrales'!G40</f>
        <v>2000</v>
      </c>
    </row>
    <row r="43" spans="1:11" ht="18.75" x14ac:dyDescent="0.2">
      <c r="A43" s="83">
        <f>'Necesidades Trimestrales'!A41</f>
        <v>32</v>
      </c>
      <c r="B43" s="84">
        <f>'Necesidades Trimestrales'!B41</f>
        <v>0</v>
      </c>
      <c r="C43" s="120" t="str">
        <f>'Necesidades Trimestrales'!E41</f>
        <v>HOJA DE BISTURI Nº 15 X 100</v>
      </c>
      <c r="D43" s="120"/>
      <c r="E43" s="120"/>
      <c r="F43" s="120"/>
      <c r="G43" s="120"/>
      <c r="H43" s="98" t="s">
        <v>58</v>
      </c>
      <c r="I43" s="99" t="str">
        <f>'Necesidades Trimestrales'!F41</f>
        <v>UNIDAD</v>
      </c>
      <c r="J43" s="100">
        <f>'Necesidades Trimestrales'!H41</f>
        <v>4.55</v>
      </c>
      <c r="K43" s="101">
        <f>'Necesidades Trimestrales'!G41</f>
        <v>2000</v>
      </c>
    </row>
    <row r="44" spans="1:11" ht="18.75" x14ac:dyDescent="0.2">
      <c r="A44" s="83">
        <f>'Necesidades Trimestrales'!A42</f>
        <v>33</v>
      </c>
      <c r="B44" s="84">
        <f>'Necesidades Trimestrales'!B42</f>
        <v>0</v>
      </c>
      <c r="C44" s="120" t="str">
        <f>'Necesidades Trimestrales'!E42</f>
        <v>JERINGA DESCARTABLE DE 10 CC S/AGUJA</v>
      </c>
      <c r="D44" s="120"/>
      <c r="E44" s="120"/>
      <c r="F44" s="120"/>
      <c r="G44" s="120"/>
      <c r="H44" s="98" t="s">
        <v>58</v>
      </c>
      <c r="I44" s="99" t="str">
        <f>'Necesidades Trimestrales'!F42</f>
        <v>UNIDAD</v>
      </c>
      <c r="J44" s="100">
        <f>'Necesidades Trimestrales'!H42</f>
        <v>6.05</v>
      </c>
      <c r="K44" s="101">
        <f>'Necesidades Trimestrales'!G42</f>
        <v>27000</v>
      </c>
    </row>
    <row r="45" spans="1:11" ht="18.75" x14ac:dyDescent="0.2">
      <c r="A45" s="83">
        <f>'Necesidades Trimestrales'!A43</f>
        <v>34</v>
      </c>
      <c r="B45" s="84">
        <f>'Necesidades Trimestrales'!B43</f>
        <v>0</v>
      </c>
      <c r="C45" s="120" t="str">
        <f>'Necesidades Trimestrales'!E43</f>
        <v>JERINGA DESCARTABLE DE 5 CC S/AGUJA</v>
      </c>
      <c r="D45" s="120"/>
      <c r="E45" s="120"/>
      <c r="F45" s="120"/>
      <c r="G45" s="120"/>
      <c r="H45" s="98" t="s">
        <v>58</v>
      </c>
      <c r="I45" s="99" t="str">
        <f>'Necesidades Trimestrales'!F43</f>
        <v>UNIDAD</v>
      </c>
      <c r="J45" s="100">
        <f>'Necesidades Trimestrales'!H43</f>
        <v>4.05</v>
      </c>
      <c r="K45" s="101">
        <f>'Necesidades Trimestrales'!G43</f>
        <v>27000</v>
      </c>
    </row>
    <row r="46" spans="1:11" ht="18.75" x14ac:dyDescent="0.2">
      <c r="A46" s="83">
        <f>'Necesidades Trimestrales'!A44</f>
        <v>35</v>
      </c>
      <c r="B46" s="84">
        <f>'Necesidades Trimestrales'!B44</f>
        <v>0</v>
      </c>
      <c r="C46" s="120" t="str">
        <f>'Necesidades Trimestrales'!E44</f>
        <v>JERINGA P/INSULINA 100 UI CON AGUJA TIPO TERUMO</v>
      </c>
      <c r="D46" s="120"/>
      <c r="E46" s="120"/>
      <c r="F46" s="120"/>
      <c r="G46" s="120"/>
      <c r="H46" s="98" t="s">
        <v>58</v>
      </c>
      <c r="I46" s="99" t="str">
        <f>'Necesidades Trimestrales'!F44</f>
        <v>UNIDAD</v>
      </c>
      <c r="J46" s="100">
        <f>'Necesidades Trimestrales'!H44</f>
        <v>4.25</v>
      </c>
      <c r="K46" s="101">
        <f>'Necesidades Trimestrales'!G44</f>
        <v>3000</v>
      </c>
    </row>
    <row r="47" spans="1:11" ht="18.75" x14ac:dyDescent="0.2">
      <c r="A47" s="83">
        <f>'Necesidades Trimestrales'!A45</f>
        <v>36</v>
      </c>
      <c r="B47" s="84">
        <f>'Necesidades Trimestrales'!B45</f>
        <v>0</v>
      </c>
      <c r="C47" s="120" t="str">
        <f>'Necesidades Trimestrales'!E45</f>
        <v>JERINGA TUBERCULINA 1 CC. S/ AGUJA</v>
      </c>
      <c r="D47" s="120"/>
      <c r="E47" s="120"/>
      <c r="F47" s="120"/>
      <c r="G47" s="120"/>
      <c r="H47" s="98" t="s">
        <v>58</v>
      </c>
      <c r="I47" s="99" t="str">
        <f>'Necesidades Trimestrales'!F45</f>
        <v>UNIDAD</v>
      </c>
      <c r="J47" s="100">
        <f>'Necesidades Trimestrales'!H45</f>
        <v>3.95</v>
      </c>
      <c r="K47" s="101">
        <f>'Necesidades Trimestrales'!G45</f>
        <v>10000</v>
      </c>
    </row>
    <row r="48" spans="1:11" ht="18.75" x14ac:dyDescent="0.2">
      <c r="A48" s="83">
        <f>'Necesidades Trimestrales'!A46</f>
        <v>37</v>
      </c>
      <c r="B48" s="84">
        <f>'Necesidades Trimestrales'!B46</f>
        <v>0</v>
      </c>
      <c r="C48" s="120" t="str">
        <f>'Necesidades Trimestrales'!E46</f>
        <v>JERINGAS DE 20CC  S/AGUJA</v>
      </c>
      <c r="D48" s="120"/>
      <c r="E48" s="120"/>
      <c r="F48" s="120"/>
      <c r="G48" s="120"/>
      <c r="H48" s="98" t="s">
        <v>58</v>
      </c>
      <c r="I48" s="99" t="str">
        <f>'Necesidades Trimestrales'!F46</f>
        <v>UNIDAD</v>
      </c>
      <c r="J48" s="100">
        <f>'Necesidades Trimestrales'!H46</f>
        <v>9.6</v>
      </c>
      <c r="K48" s="101">
        <f>'Necesidades Trimestrales'!G46</f>
        <v>4000</v>
      </c>
    </row>
    <row r="49" spans="1:11" ht="18.75" x14ac:dyDescent="0.2">
      <c r="A49" s="83">
        <f>'Necesidades Trimestrales'!A47</f>
        <v>38</v>
      </c>
      <c r="B49" s="84">
        <f>'Necesidades Trimestrales'!B47</f>
        <v>0</v>
      </c>
      <c r="C49" s="120" t="str">
        <f>'Necesidades Trimestrales'!E47</f>
        <v>LLAVE 3 VIAS ESTERIL 360° LUERLOCK C/PROLONG. 15CM</v>
      </c>
      <c r="D49" s="120"/>
      <c r="E49" s="120"/>
      <c r="F49" s="120"/>
      <c r="G49" s="120"/>
      <c r="H49" s="98" t="s">
        <v>58</v>
      </c>
      <c r="I49" s="99" t="str">
        <f>'Necesidades Trimestrales'!F47</f>
        <v>UNIDAD</v>
      </c>
      <c r="J49" s="100">
        <f>'Necesidades Trimestrales'!H47</f>
        <v>45.42</v>
      </c>
      <c r="K49" s="101">
        <f>'Necesidades Trimestrales'!G47</f>
        <v>500</v>
      </c>
    </row>
    <row r="50" spans="1:11" ht="18.75" x14ac:dyDescent="0.2">
      <c r="A50" s="83">
        <f>'Necesidades Trimestrales'!A48</f>
        <v>39</v>
      </c>
      <c r="B50" s="84">
        <f>'Necesidades Trimestrales'!B48</f>
        <v>0</v>
      </c>
      <c r="C50" s="120" t="str">
        <f>'Necesidades Trimestrales'!E48</f>
        <v>LLAVE 3 VIAS ESTERIL 360° LUERLOCK C/PROLONG. 30 CM</v>
      </c>
      <c r="D50" s="120"/>
      <c r="E50" s="120"/>
      <c r="F50" s="120"/>
      <c r="G50" s="120"/>
      <c r="H50" s="98" t="s">
        <v>58</v>
      </c>
      <c r="I50" s="99" t="str">
        <f>'Necesidades Trimestrales'!F48</f>
        <v>UNIDAD</v>
      </c>
      <c r="J50" s="100">
        <f>'Necesidades Trimestrales'!H48</f>
        <v>48.99</v>
      </c>
      <c r="K50" s="101">
        <f>'Necesidades Trimestrales'!G48</f>
        <v>200</v>
      </c>
    </row>
    <row r="51" spans="1:11" ht="18.75" x14ac:dyDescent="0.2">
      <c r="A51" s="83">
        <f>'Necesidades Trimestrales'!A49</f>
        <v>40</v>
      </c>
      <c r="B51" s="84">
        <f>'Necesidades Trimestrales'!B49</f>
        <v>0</v>
      </c>
      <c r="C51" s="120" t="str">
        <f>'Necesidades Trimestrales'!E49</f>
        <v>LLAVE 3 VIAS ESTERIL 360° LUERLOCK C/PROLONG.50 CM</v>
      </c>
      <c r="D51" s="120"/>
      <c r="E51" s="120"/>
      <c r="F51" s="120"/>
      <c r="G51" s="120"/>
      <c r="H51" s="98" t="s">
        <v>58</v>
      </c>
      <c r="I51" s="99" t="str">
        <f>'Necesidades Trimestrales'!F49</f>
        <v>UNIDAD</v>
      </c>
      <c r="J51" s="100">
        <f>'Necesidades Trimestrales'!H49</f>
        <v>52.66</v>
      </c>
      <c r="K51" s="101">
        <f>'Necesidades Trimestrales'!G49</f>
        <v>200</v>
      </c>
    </row>
    <row r="52" spans="1:11" ht="18.75" x14ac:dyDescent="0.2">
      <c r="A52" s="83">
        <f>'Necesidades Trimestrales'!A50</f>
        <v>41</v>
      </c>
      <c r="B52" s="84">
        <f>'Necesidades Trimestrales'!B50</f>
        <v>0</v>
      </c>
      <c r="C52" s="120" t="str">
        <f>'Necesidades Trimestrales'!E50</f>
        <v>LLAVE DE TRES VIA</v>
      </c>
      <c r="D52" s="120"/>
      <c r="E52" s="120"/>
      <c r="F52" s="120"/>
      <c r="G52" s="120"/>
      <c r="H52" s="98" t="s">
        <v>58</v>
      </c>
      <c r="I52" s="99" t="str">
        <f>'Necesidades Trimestrales'!F50</f>
        <v>UNIDAD</v>
      </c>
      <c r="J52" s="100">
        <f>'Necesidades Trimestrales'!H50</f>
        <v>17.22</v>
      </c>
      <c r="K52" s="101">
        <f>'Necesidades Trimestrales'!G50</f>
        <v>750</v>
      </c>
    </row>
    <row r="53" spans="1:11" ht="18.75" x14ac:dyDescent="0.2">
      <c r="A53" s="83">
        <f>'Necesidades Trimestrales'!A51</f>
        <v>42</v>
      </c>
      <c r="B53" s="84">
        <f>'Necesidades Trimestrales'!B51</f>
        <v>0</v>
      </c>
      <c r="C53" s="120" t="str">
        <f>'Necesidades Trimestrales'!E51</f>
        <v>SET PARA NEBULIZAR COMPLETO PIPETA+ MASCARA + TUBULADURA</v>
      </c>
      <c r="D53" s="120"/>
      <c r="E53" s="120"/>
      <c r="F53" s="120"/>
      <c r="G53" s="120"/>
      <c r="H53" s="98" t="s">
        <v>58</v>
      </c>
      <c r="I53" s="99" t="str">
        <f>'Necesidades Trimestrales'!F51</f>
        <v>UNIDAD</v>
      </c>
      <c r="J53" s="100">
        <f>'Necesidades Trimestrales'!H51</f>
        <v>113.7</v>
      </c>
      <c r="K53" s="101">
        <f>'Necesidades Trimestrales'!G51</f>
        <v>50</v>
      </c>
    </row>
    <row r="54" spans="1:11" ht="18.75" x14ac:dyDescent="0.2">
      <c r="A54" s="83">
        <f>'Necesidades Trimestrales'!A52</f>
        <v>43</v>
      </c>
      <c r="B54" s="84">
        <f>'Necesidades Trimestrales'!B52</f>
        <v>0</v>
      </c>
      <c r="C54" s="120" t="str">
        <f>'Necesidades Trimestrales'!E52</f>
        <v>MASCARA CON BOLSA RESERVORIO</v>
      </c>
      <c r="D54" s="120"/>
      <c r="E54" s="120"/>
      <c r="F54" s="120"/>
      <c r="G54" s="120"/>
      <c r="H54" s="98" t="s">
        <v>58</v>
      </c>
      <c r="I54" s="99" t="str">
        <f>'Necesidades Trimestrales'!F52</f>
        <v>UNIDAD</v>
      </c>
      <c r="J54" s="100">
        <f>'Necesidades Trimestrales'!H52</f>
        <v>174.5</v>
      </c>
      <c r="K54" s="101">
        <f>'Necesidades Trimestrales'!G52</f>
        <v>250</v>
      </c>
    </row>
    <row r="55" spans="1:11" ht="18.75" x14ac:dyDescent="0.2">
      <c r="A55" s="83">
        <f>'Necesidades Trimestrales'!A53</f>
        <v>44</v>
      </c>
      <c r="B55" s="84">
        <f>'Necesidades Trimestrales'!B53</f>
        <v>0</v>
      </c>
      <c r="C55" s="120" t="str">
        <f>'Necesidades Trimestrales'!E53</f>
        <v>PROLONGADOR PVC ESTERIL 2.6MM X1.5M</v>
      </c>
      <c r="D55" s="120"/>
      <c r="E55" s="120"/>
      <c r="F55" s="120"/>
      <c r="G55" s="120"/>
      <c r="H55" s="98" t="s">
        <v>58</v>
      </c>
      <c r="I55" s="99" t="str">
        <f>'Necesidades Trimestrales'!F53</f>
        <v>UNIDAD</v>
      </c>
      <c r="J55" s="100">
        <f>'Necesidades Trimestrales'!H53</f>
        <v>32.4</v>
      </c>
      <c r="K55" s="101">
        <f>'Necesidades Trimestrales'!G53</f>
        <v>5000</v>
      </c>
    </row>
    <row r="56" spans="1:11" ht="18.75" x14ac:dyDescent="0.2">
      <c r="A56" s="83">
        <f>'Necesidades Trimestrales'!A54</f>
        <v>45</v>
      </c>
      <c r="B56" s="84">
        <f>'Necesidades Trimestrales'!B54</f>
        <v>0</v>
      </c>
      <c r="C56" s="120" t="str">
        <f>'Necesidades Trimestrales'!E54</f>
        <v>SONDA INTUB.GASTRICA K 9</v>
      </c>
      <c r="D56" s="120"/>
      <c r="E56" s="120"/>
      <c r="F56" s="120"/>
      <c r="G56" s="120"/>
      <c r="H56" s="98" t="s">
        <v>58</v>
      </c>
      <c r="I56" s="99" t="str">
        <f>'Necesidades Trimestrales'!F54</f>
        <v>UNIDAD</v>
      </c>
      <c r="J56" s="100">
        <f>'Necesidades Trimestrales'!H54</f>
        <v>33.93</v>
      </c>
      <c r="K56" s="101">
        <f>'Necesidades Trimestrales'!G54</f>
        <v>25</v>
      </c>
    </row>
    <row r="57" spans="1:11" ht="18.75" x14ac:dyDescent="0.2">
      <c r="A57" s="83">
        <f>'Necesidades Trimestrales'!A55</f>
        <v>46</v>
      </c>
      <c r="B57" s="84">
        <f>'Necesidades Trimestrales'!B55</f>
        <v>0</v>
      </c>
      <c r="C57" s="120" t="str">
        <f>'Necesidades Trimestrales'!E55</f>
        <v>SONDA INTUB.GASTRICA K10</v>
      </c>
      <c r="D57" s="120"/>
      <c r="E57" s="120"/>
      <c r="F57" s="120"/>
      <c r="G57" s="120"/>
      <c r="H57" s="98" t="s">
        <v>58</v>
      </c>
      <c r="I57" s="99" t="str">
        <f>'Necesidades Trimestrales'!F55</f>
        <v>UNIDAD</v>
      </c>
      <c r="J57" s="100">
        <f>'Necesidades Trimestrales'!H55</f>
        <v>39.020000000000003</v>
      </c>
      <c r="K57" s="101">
        <f>'Necesidades Trimestrales'!G55</f>
        <v>25</v>
      </c>
    </row>
    <row r="58" spans="1:11" ht="18.75" x14ac:dyDescent="0.2">
      <c r="A58" s="83">
        <f>'Necesidades Trimestrales'!A56</f>
        <v>47</v>
      </c>
      <c r="B58" s="84">
        <f>'Necesidades Trimestrales'!B56</f>
        <v>0</v>
      </c>
      <c r="C58" s="120" t="str">
        <f>'Necesidades Trimestrales'!E56</f>
        <v>SONDA INTUB.GASTRICA K11</v>
      </c>
      <c r="D58" s="120"/>
      <c r="E58" s="120"/>
      <c r="F58" s="120"/>
      <c r="G58" s="120"/>
      <c r="H58" s="98" t="s">
        <v>58</v>
      </c>
      <c r="I58" s="99" t="str">
        <f>'Necesidades Trimestrales'!F56</f>
        <v>UNIDAD</v>
      </c>
      <c r="J58" s="100">
        <f>'Necesidades Trimestrales'!H56</f>
        <v>43.19</v>
      </c>
      <c r="K58" s="101">
        <f>'Necesidades Trimestrales'!G56</f>
        <v>25</v>
      </c>
    </row>
    <row r="59" spans="1:11" ht="18.75" x14ac:dyDescent="0.2">
      <c r="A59" s="83">
        <f>'Necesidades Trimestrales'!A57</f>
        <v>48</v>
      </c>
      <c r="B59" s="84">
        <f>'Necesidades Trimestrales'!B57</f>
        <v>0</v>
      </c>
      <c r="C59" s="120" t="str">
        <f>'Necesidades Trimestrales'!E57</f>
        <v>SONDA K32 CON REGULADOR</v>
      </c>
      <c r="D59" s="120"/>
      <c r="E59" s="120"/>
      <c r="F59" s="120"/>
      <c r="G59" s="120"/>
      <c r="H59" s="98" t="s">
        <v>58</v>
      </c>
      <c r="I59" s="99" t="str">
        <f>'Necesidades Trimestrales'!F57</f>
        <v>UNIDAD</v>
      </c>
      <c r="J59" s="100">
        <f>'Necesidades Trimestrales'!H57</f>
        <v>30.68</v>
      </c>
      <c r="K59" s="101">
        <f>'Necesidades Trimestrales'!G57</f>
        <v>100</v>
      </c>
    </row>
    <row r="60" spans="1:11" ht="18.75" x14ac:dyDescent="0.2">
      <c r="A60" s="83">
        <f>'Necesidades Trimestrales'!A58</f>
        <v>49</v>
      </c>
      <c r="B60" s="84">
        <f>'Necesidades Trimestrales'!B58</f>
        <v>0</v>
      </c>
      <c r="C60" s="120" t="str">
        <f>'Necesidades Trimestrales'!E58</f>
        <v>SONDA NASOGASTRICA  K31</v>
      </c>
      <c r="D60" s="120"/>
      <c r="E60" s="120"/>
      <c r="F60" s="120"/>
      <c r="G60" s="120"/>
      <c r="H60" s="98" t="s">
        <v>58</v>
      </c>
      <c r="I60" s="99" t="str">
        <f>'Necesidades Trimestrales'!F58</f>
        <v>UNIDAD</v>
      </c>
      <c r="J60" s="100">
        <f>'Necesidades Trimestrales'!H58</f>
        <v>22.46</v>
      </c>
      <c r="K60" s="101">
        <f>'Necesidades Trimestrales'!G58</f>
        <v>400</v>
      </c>
    </row>
    <row r="61" spans="1:11" ht="18.75" x14ac:dyDescent="0.2">
      <c r="A61" s="83">
        <f>'Necesidades Trimestrales'!A59</f>
        <v>50</v>
      </c>
      <c r="B61" s="84">
        <f>'Necesidades Trimestrales'!B59</f>
        <v>0</v>
      </c>
      <c r="C61" s="120" t="str">
        <f>'Necesidades Trimestrales'!E59</f>
        <v>SONDA NASOGASTRICA K 33</v>
      </c>
      <c r="D61" s="120"/>
      <c r="E61" s="120"/>
      <c r="F61" s="120"/>
      <c r="G61" s="120"/>
      <c r="H61" s="98" t="s">
        <v>58</v>
      </c>
      <c r="I61" s="99" t="str">
        <f>'Necesidades Trimestrales'!F59</f>
        <v>UNIDAD</v>
      </c>
      <c r="J61" s="100">
        <f>'Necesidades Trimestrales'!H59</f>
        <v>17.829999999999998</v>
      </c>
      <c r="K61" s="101">
        <f>'Necesidades Trimestrales'!G59</f>
        <v>2700</v>
      </c>
    </row>
    <row r="62" spans="1:11" ht="18.75" x14ac:dyDescent="0.2">
      <c r="A62" s="83">
        <f>'Necesidades Trimestrales'!A60</f>
        <v>51</v>
      </c>
      <c r="B62" s="84">
        <f>'Necesidades Trimestrales'!B60</f>
        <v>0</v>
      </c>
      <c r="C62" s="120" t="str">
        <f>'Necesidades Trimestrales'!E60</f>
        <v>SONDA NASOGASTRICA K 35</v>
      </c>
      <c r="D62" s="120"/>
      <c r="E62" s="120"/>
      <c r="F62" s="120"/>
      <c r="G62" s="120"/>
      <c r="H62" s="98" t="s">
        <v>58</v>
      </c>
      <c r="I62" s="99" t="str">
        <f>'Necesidades Trimestrales'!F60</f>
        <v>UNIDAD</v>
      </c>
      <c r="J62" s="100">
        <f>'Necesidades Trimestrales'!H60</f>
        <v>20.66</v>
      </c>
      <c r="K62" s="101">
        <f>'Necesidades Trimestrales'!G60</f>
        <v>2250</v>
      </c>
    </row>
    <row r="63" spans="1:11" ht="18.75" x14ac:dyDescent="0.2">
      <c r="A63" s="83">
        <f>'Necesidades Trimestrales'!A61</f>
        <v>52</v>
      </c>
      <c r="B63" s="84">
        <f>'Necesidades Trimestrales'!B61</f>
        <v>0</v>
      </c>
      <c r="C63" s="120" t="str">
        <f>'Necesidades Trimestrales'!E61</f>
        <v>SONDA NELATON PVC N° 12 T/K93</v>
      </c>
      <c r="D63" s="120"/>
      <c r="E63" s="120"/>
      <c r="F63" s="120"/>
      <c r="G63" s="120"/>
      <c r="H63" s="98" t="s">
        <v>58</v>
      </c>
      <c r="I63" s="99" t="str">
        <f>'Necesidades Trimestrales'!F61</f>
        <v>UNIDAD</v>
      </c>
      <c r="J63" s="100">
        <f>'Necesidades Trimestrales'!H61</f>
        <v>21.43</v>
      </c>
      <c r="K63" s="101">
        <f>'Necesidades Trimestrales'!G61</f>
        <v>1000</v>
      </c>
    </row>
    <row r="64" spans="1:11" ht="18.75" x14ac:dyDescent="0.2">
      <c r="A64" s="83">
        <f>'Necesidades Trimestrales'!A62</f>
        <v>53</v>
      </c>
      <c r="B64" s="84">
        <f>'Necesidades Trimestrales'!B62</f>
        <v>0</v>
      </c>
      <c r="C64" s="120" t="str">
        <f>'Necesidades Trimestrales'!E62</f>
        <v>SONDA P/ASPIRACION MUCUS K33P C/REGULADOR</v>
      </c>
      <c r="D64" s="120"/>
      <c r="E64" s="120"/>
      <c r="F64" s="120"/>
      <c r="G64" s="120"/>
      <c r="H64" s="98" t="s">
        <v>58</v>
      </c>
      <c r="I64" s="99" t="str">
        <f>'Necesidades Trimestrales'!F62</f>
        <v>UNIDAD</v>
      </c>
      <c r="J64" s="100">
        <f>'Necesidades Trimestrales'!H62</f>
        <v>20.38</v>
      </c>
      <c r="K64" s="101">
        <f>'Necesidades Trimestrales'!G62</f>
        <v>2700</v>
      </c>
    </row>
    <row r="65" spans="1:11" ht="18.75" x14ac:dyDescent="0.2">
      <c r="A65" s="83">
        <f>'Necesidades Trimestrales'!A63</f>
        <v>54</v>
      </c>
      <c r="B65" s="84">
        <f>'Necesidades Trimestrales'!B63</f>
        <v>0</v>
      </c>
      <c r="C65" s="120" t="str">
        <f>'Necesidades Trimestrales'!E63</f>
        <v>SONDA P/ASPIRACION MUCUS T/K31P C/REG.</v>
      </c>
      <c r="D65" s="120"/>
      <c r="E65" s="120"/>
      <c r="F65" s="120"/>
      <c r="G65" s="120"/>
      <c r="H65" s="98" t="s">
        <v>58</v>
      </c>
      <c r="I65" s="99" t="str">
        <f>'Necesidades Trimestrales'!F63</f>
        <v>UNIDAD</v>
      </c>
      <c r="J65" s="100">
        <f>'Necesidades Trimestrales'!H63</f>
        <v>20.38</v>
      </c>
      <c r="K65" s="101">
        <f>'Necesidades Trimestrales'!G63</f>
        <v>1000</v>
      </c>
    </row>
    <row r="66" spans="1:11" ht="18.75" x14ac:dyDescent="0.2">
      <c r="A66" s="83">
        <f>'Necesidades Trimestrales'!A64</f>
        <v>55</v>
      </c>
      <c r="B66" s="84">
        <f>'Necesidades Trimestrales'!B64</f>
        <v>0</v>
      </c>
      <c r="C66" s="120" t="str">
        <f>'Necesidades Trimestrales'!E64</f>
        <v>SONDA P/ASPIRACION MUCUS T/K35P C/REGULADOR</v>
      </c>
      <c r="D66" s="120"/>
      <c r="E66" s="120"/>
      <c r="F66" s="120"/>
      <c r="G66" s="120"/>
      <c r="H66" s="98" t="s">
        <v>58</v>
      </c>
      <c r="I66" s="99" t="str">
        <f>'Necesidades Trimestrales'!F64</f>
        <v>UNIDAD</v>
      </c>
      <c r="J66" s="100">
        <f>'Necesidades Trimestrales'!H64</f>
        <v>20.38</v>
      </c>
      <c r="K66" s="101">
        <f>'Necesidades Trimestrales'!G64</f>
        <v>1000</v>
      </c>
    </row>
    <row r="67" spans="1:11" ht="18.75" x14ac:dyDescent="0.2">
      <c r="A67" s="83">
        <f>'Necesidades Trimestrales'!A65</f>
        <v>56</v>
      </c>
      <c r="B67" s="84">
        <f>'Necesidades Trimestrales'!B65</f>
        <v>0</v>
      </c>
      <c r="C67" s="120" t="str">
        <f>'Necesidades Trimestrales'!E65</f>
        <v>SET DE VIA CENTRAL DOBLE LUMEN  7 FRENCH TIPO ARROW</v>
      </c>
      <c r="D67" s="120"/>
      <c r="E67" s="120"/>
      <c r="F67" s="120"/>
      <c r="G67" s="120"/>
      <c r="H67" s="98" t="s">
        <v>58</v>
      </c>
      <c r="I67" s="99" t="str">
        <f>'Necesidades Trimestrales'!F65</f>
        <v>UNIDAD</v>
      </c>
      <c r="J67" s="100">
        <f>'Necesidades Trimestrales'!H65</f>
        <v>2172</v>
      </c>
      <c r="K67" s="101">
        <f>'Necesidades Trimestrales'!G65</f>
        <v>5</v>
      </c>
    </row>
    <row r="68" spans="1:11" ht="18.75" x14ac:dyDescent="0.2">
      <c r="A68" s="83">
        <f>'Necesidades Trimestrales'!A66</f>
        <v>57</v>
      </c>
      <c r="B68" s="84">
        <f>'Necesidades Trimestrales'!B66</f>
        <v>0</v>
      </c>
      <c r="C68" s="120" t="str">
        <f>'Necesidades Trimestrales'!E66</f>
        <v>SET DE VIA CENTRAL SIMPLE LUMEN VIA 7 FRENCH TIPO ARROW</v>
      </c>
      <c r="D68" s="120"/>
      <c r="E68" s="120"/>
      <c r="F68" s="120"/>
      <c r="G68" s="120"/>
      <c r="H68" s="98" t="s">
        <v>58</v>
      </c>
      <c r="I68" s="99" t="str">
        <f>'Necesidades Trimestrales'!F66</f>
        <v>UNIDAD</v>
      </c>
      <c r="J68" s="100">
        <f>'Necesidades Trimestrales'!H66</f>
        <v>1712</v>
      </c>
      <c r="K68" s="101">
        <f>'Necesidades Trimestrales'!G66</f>
        <v>30</v>
      </c>
    </row>
    <row r="69" spans="1:11" ht="18.75" x14ac:dyDescent="0.2">
      <c r="A69" s="83">
        <f>'Necesidades Trimestrales'!A67</f>
        <v>58</v>
      </c>
      <c r="B69" s="84">
        <f>'Necesidades Trimestrales'!B67</f>
        <v>0</v>
      </c>
      <c r="C69" s="120" t="str">
        <f>'Necesidades Trimestrales'!E67</f>
        <v>SET DE VIA CENTRAL DOBLE LUMEN 4  FRENCH  /13 CM 22/22 G TIPO ARROW</v>
      </c>
      <c r="D69" s="120"/>
      <c r="E69" s="120"/>
      <c r="F69" s="120"/>
      <c r="G69" s="120"/>
      <c r="H69" s="98" t="s">
        <v>58</v>
      </c>
      <c r="I69" s="99" t="str">
        <f>'Necesidades Trimestrales'!F67</f>
        <v>UNIDAD</v>
      </c>
      <c r="J69" s="100">
        <f>'Necesidades Trimestrales'!H67</f>
        <v>2362</v>
      </c>
      <c r="K69" s="101">
        <f>'Necesidades Trimestrales'!G67</f>
        <v>2.5</v>
      </c>
    </row>
    <row r="70" spans="1:11" ht="18.75" x14ac:dyDescent="0.2">
      <c r="A70" s="83">
        <f>'Necesidades Trimestrales'!A68</f>
        <v>59</v>
      </c>
      <c r="B70" s="84">
        <f>'Necesidades Trimestrales'!B68</f>
        <v>0</v>
      </c>
      <c r="C70" s="120" t="str">
        <f>'Necesidades Trimestrales'!E68</f>
        <v>SET DE VIA CENTRAL DOBLE LUMEN 4  FRENCH  /30 CM 22/22 G TIPO ARROW</v>
      </c>
      <c r="D70" s="120"/>
      <c r="E70" s="120"/>
      <c r="F70" s="120"/>
      <c r="G70" s="120"/>
      <c r="H70" s="98" t="s">
        <v>58</v>
      </c>
      <c r="I70" s="99" t="str">
        <f>'Necesidades Trimestrales'!F68</f>
        <v>UNIDAD</v>
      </c>
      <c r="J70" s="100">
        <f>'Necesidades Trimestrales'!H68</f>
        <v>2362</v>
      </c>
      <c r="K70" s="101">
        <f>'Necesidades Trimestrales'!G68</f>
        <v>2.5</v>
      </c>
    </row>
    <row r="71" spans="1:11" ht="18.75" x14ac:dyDescent="0.2">
      <c r="A71" s="83">
        <f>'Necesidades Trimestrales'!A69</f>
        <v>60</v>
      </c>
      <c r="B71" s="84">
        <f>'Necesidades Trimestrales'!B69</f>
        <v>0</v>
      </c>
      <c r="C71" s="120" t="str">
        <f>'Necesidades Trimestrales'!E69</f>
        <v>TAPON INTERMITENTE TIPO BRAUN in stopper</v>
      </c>
      <c r="D71" s="120"/>
      <c r="E71" s="120"/>
      <c r="F71" s="120"/>
      <c r="G71" s="120"/>
      <c r="H71" s="98" t="s">
        <v>58</v>
      </c>
      <c r="I71" s="99" t="str">
        <f>'Necesidades Trimestrales'!F69</f>
        <v>UNIDAD</v>
      </c>
      <c r="J71" s="100">
        <f>'Necesidades Trimestrales'!H69</f>
        <v>9.85</v>
      </c>
      <c r="K71" s="101">
        <f>'Necesidades Trimestrales'!G69</f>
        <v>1000</v>
      </c>
    </row>
    <row r="72" spans="1:11" ht="18.75" x14ac:dyDescent="0.2">
      <c r="A72" s="83">
        <f>'Necesidades Trimestrales'!A70</f>
        <v>61</v>
      </c>
      <c r="B72" s="84">
        <f>'Necesidades Trimestrales'!B70</f>
        <v>0</v>
      </c>
      <c r="C72" s="120" t="str">
        <f>'Necesidades Trimestrales'!E70</f>
        <v>TELA ADHESIVA 2,5 MM X 9,00 MTS TIPO ADHESUR</v>
      </c>
      <c r="D72" s="120"/>
      <c r="E72" s="120"/>
      <c r="F72" s="120"/>
      <c r="G72" s="120"/>
      <c r="H72" s="98" t="s">
        <v>58</v>
      </c>
      <c r="I72" s="99" t="str">
        <f>'Necesidades Trimestrales'!F70</f>
        <v>UNIDAD</v>
      </c>
      <c r="J72" s="100">
        <f>'Necesidades Trimestrales'!H70</f>
        <v>74.319999999999993</v>
      </c>
      <c r="K72" s="101">
        <f>'Necesidades Trimestrales'!G70</f>
        <v>900</v>
      </c>
    </row>
    <row r="73" spans="1:11" ht="18.75" x14ac:dyDescent="0.2">
      <c r="A73" s="83">
        <f>'Necesidades Trimestrales'!A71</f>
        <v>62</v>
      </c>
      <c r="B73" s="84">
        <f>'Necesidades Trimestrales'!B71</f>
        <v>0</v>
      </c>
      <c r="C73" s="120" t="str">
        <f>'Necesidades Trimestrales'!E71</f>
        <v>TELA ADHESIVA 5 MM X 9,00 MTS TIPO ADHESUR</v>
      </c>
      <c r="D73" s="120"/>
      <c r="E73" s="120"/>
      <c r="F73" s="120"/>
      <c r="G73" s="120"/>
      <c r="H73" s="98" t="s">
        <v>58</v>
      </c>
      <c r="I73" s="99" t="str">
        <f>'Necesidades Trimestrales'!F71</f>
        <v>UNIDAD</v>
      </c>
      <c r="J73" s="100">
        <f>'Necesidades Trimestrales'!H71</f>
        <v>148.63999999999999</v>
      </c>
      <c r="K73" s="101">
        <f>'Necesidades Trimestrales'!G71</f>
        <v>120</v>
      </c>
    </row>
    <row r="74" spans="1:11" ht="18.75" x14ac:dyDescent="0.2">
      <c r="A74" s="83">
        <f>'Necesidades Trimestrales'!A72</f>
        <v>63</v>
      </c>
      <c r="B74" s="84">
        <f>'Necesidades Trimestrales'!B72</f>
        <v>0</v>
      </c>
      <c r="C74" s="120" t="str">
        <f>'Necesidades Trimestrales'!E72</f>
        <v>TELA ADHESIVA HIPOALERGENICA MICROPORE 2,5 CM TIPO 3 M</v>
      </c>
      <c r="D74" s="120"/>
      <c r="E74" s="120"/>
      <c r="F74" s="120"/>
      <c r="G74" s="120"/>
      <c r="H74" s="98" t="s">
        <v>58</v>
      </c>
      <c r="I74" s="99" t="str">
        <f>'Necesidades Trimestrales'!F72</f>
        <v>UNIDAD</v>
      </c>
      <c r="J74" s="100">
        <f>'Necesidades Trimestrales'!H72</f>
        <v>35.43</v>
      </c>
      <c r="K74" s="101">
        <f>'Necesidades Trimestrales'!G72</f>
        <v>120</v>
      </c>
    </row>
    <row r="75" spans="1:11" ht="18.75" x14ac:dyDescent="0.2">
      <c r="A75" s="83">
        <f>'Necesidades Trimestrales'!A73</f>
        <v>64</v>
      </c>
      <c r="B75" s="84">
        <f>'Necesidades Trimestrales'!B73</f>
        <v>0</v>
      </c>
      <c r="C75" s="120" t="str">
        <f>'Necesidades Trimestrales'!E73</f>
        <v>TELA ADHESIVA HIPOALERGENICA TRANSPORE 2,5 CM TIPO 3 M</v>
      </c>
      <c r="D75" s="120"/>
      <c r="E75" s="120"/>
      <c r="F75" s="120"/>
      <c r="G75" s="120"/>
      <c r="H75" s="98" t="s">
        <v>58</v>
      </c>
      <c r="I75" s="99" t="str">
        <f>'Necesidades Trimestrales'!F73</f>
        <v>UNIDAD</v>
      </c>
      <c r="J75" s="100">
        <f>'Necesidades Trimestrales'!H73</f>
        <v>52.52</v>
      </c>
      <c r="K75" s="101">
        <f>'Necesidades Trimestrales'!G73</f>
        <v>180</v>
      </c>
    </row>
    <row r="76" spans="1:11" ht="18.75" x14ac:dyDescent="0.2">
      <c r="A76" s="83">
        <f>'Necesidades Trimestrales'!A74</f>
        <v>65</v>
      </c>
      <c r="B76" s="84">
        <f>'Necesidades Trimestrales'!B74</f>
        <v>0</v>
      </c>
      <c r="C76" s="120" t="str">
        <f>'Necesidades Trimestrales'!E74</f>
        <v>HILO DE SUTURA N1 CON AGUJA TIPO VICRYL CODIGO J341</v>
      </c>
      <c r="D76" s="120"/>
      <c r="E76" s="120"/>
      <c r="F76" s="120"/>
      <c r="G76" s="120"/>
      <c r="H76" s="98" t="s">
        <v>58</v>
      </c>
      <c r="I76" s="99" t="str">
        <f>'Necesidades Trimestrales'!F74</f>
        <v>UNIDAD</v>
      </c>
      <c r="J76" s="100">
        <f>'Necesidades Trimestrales'!H74</f>
        <v>116</v>
      </c>
      <c r="K76" s="101">
        <f>'Necesidades Trimestrales'!G74</f>
        <v>126</v>
      </c>
    </row>
    <row r="77" spans="1:11" ht="24.75" customHeight="1" thickBot="1" x14ac:dyDescent="0.25">
      <c r="A77" s="109">
        <f>'Necesidades Trimestrales'!A75</f>
        <v>66</v>
      </c>
      <c r="B77" s="110">
        <f>'Necesidades Trimestrales'!B75</f>
        <v>0</v>
      </c>
      <c r="C77" s="120" t="str">
        <f>'Necesidades Trimestrales'!E75</f>
        <v>MISOPROSTOL 200 MG COMPRIMIDOS VAGINALES RAM X 12</v>
      </c>
      <c r="D77" s="120"/>
      <c r="E77" s="120"/>
      <c r="F77" s="120"/>
      <c r="G77" s="120"/>
      <c r="H77" s="98" t="s">
        <v>58</v>
      </c>
      <c r="I77" s="99" t="str">
        <f>'Necesidades Trimestrales'!F75</f>
        <v>UNIDAD</v>
      </c>
      <c r="J77" s="100">
        <f>'Necesidades Trimestrales'!H75</f>
        <v>6082.93</v>
      </c>
      <c r="K77" s="101">
        <f>'Necesidades Trimestrales'!G75</f>
        <v>60</v>
      </c>
    </row>
    <row r="78" spans="1:11" ht="21" thickBot="1" x14ac:dyDescent="0.25">
      <c r="A78" s="121" t="s">
        <v>152</v>
      </c>
      <c r="B78" s="121"/>
      <c r="C78" s="121"/>
      <c r="D78" s="121"/>
      <c r="E78" s="121"/>
      <c r="F78" s="121"/>
      <c r="G78" s="121"/>
      <c r="H78" s="121"/>
      <c r="I78" s="121"/>
      <c r="J78" s="122">
        <f>SUMPRODUCT(J12:J77,K12:K77)</f>
        <v>5306220.2999999989</v>
      </c>
      <c r="K78" s="122"/>
    </row>
  </sheetData>
  <mergeCells count="88">
    <mergeCell ref="C76:G7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66:G66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43:G43"/>
    <mergeCell ref="C44:G44"/>
    <mergeCell ref="C63:G63"/>
    <mergeCell ref="C64:G64"/>
    <mergeCell ref="C65:G65"/>
    <mergeCell ref="C45:G45"/>
    <mergeCell ref="C46:G46"/>
    <mergeCell ref="C47:G47"/>
    <mergeCell ref="C48:G48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77:G77"/>
    <mergeCell ref="C17:G17"/>
    <mergeCell ref="A78:I78"/>
    <mergeCell ref="J78:K78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zoomScale="110" zoomScaleNormal="11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20" max="20" width="13.42578125" bestFit="1" customWidth="1"/>
  </cols>
  <sheetData>
    <row r="1" spans="1:20" ht="15.75" customHeight="1" x14ac:dyDescent="0.25">
      <c r="A1" s="167" t="s">
        <v>3</v>
      </c>
      <c r="B1" s="167"/>
      <c r="C1" s="167"/>
      <c r="D1" s="168">
        <f>'Necesidades Trimestrales'!C6</f>
        <v>2020</v>
      </c>
      <c r="E1" s="168"/>
      <c r="F1" s="9"/>
      <c r="G1" s="9"/>
      <c r="H1" s="10"/>
      <c r="I1" s="10"/>
      <c r="J1" s="10"/>
      <c r="K1" s="10"/>
      <c r="L1" s="10"/>
      <c r="M1" s="10"/>
      <c r="N1" s="10"/>
      <c r="P1" s="169" t="s">
        <v>28</v>
      </c>
      <c r="Q1" s="169"/>
    </row>
    <row r="2" spans="1:20" ht="15.75" customHeight="1" x14ac:dyDescent="0.2">
      <c r="H2" s="10"/>
      <c r="I2" s="10"/>
      <c r="J2" s="10"/>
      <c r="K2" s="10"/>
      <c r="L2" s="10"/>
      <c r="M2" s="10"/>
      <c r="N2" s="10"/>
      <c r="P2" s="169"/>
      <c r="Q2" s="169"/>
    </row>
    <row r="4" spans="1:20" s="11" customFormat="1" ht="18" customHeight="1" thickBot="1" x14ac:dyDescent="0.25">
      <c r="A4" s="170" t="s">
        <v>29</v>
      </c>
      <c r="B4" s="170"/>
      <c r="C4" s="170"/>
      <c r="D4" s="170"/>
      <c r="E4" s="170"/>
      <c r="F4" s="170"/>
      <c r="G4" s="162" t="str">
        <f>' NotaPedido 301-20'!D3</f>
        <v>42-Ministerio de Salud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20" s="11" customFormat="1" ht="18" customHeight="1" thickBot="1" x14ac:dyDescent="0.25">
      <c r="A5" s="159" t="s">
        <v>52</v>
      </c>
      <c r="B5" s="160"/>
      <c r="C5" s="160"/>
      <c r="D5" s="160"/>
      <c r="E5" s="160"/>
      <c r="F5" s="161"/>
      <c r="G5" s="162" t="str">
        <f>' NotaPedido 301-20'!D4</f>
        <v>28- Maternidad Provincial 25 de Mayo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20" s="11" customFormat="1" ht="18" customHeight="1" thickBot="1" x14ac:dyDescent="0.25">
      <c r="A6" s="159" t="s">
        <v>30</v>
      </c>
      <c r="B6" s="160"/>
      <c r="C6" s="160"/>
      <c r="D6" s="160"/>
      <c r="E6" s="160"/>
      <c r="F6" s="161"/>
      <c r="G6" s="162" t="str">
        <f>' NotaPedido 301-20'!D5</f>
        <v xml:space="preserve">169- Direccion Asistencial 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20" s="11" customFormat="1" ht="18" customHeight="1" thickBot="1" x14ac:dyDescent="0.25">
      <c r="A7" s="164" t="s">
        <v>53</v>
      </c>
      <c r="B7" s="165"/>
      <c r="C7" s="165"/>
      <c r="D7" s="165"/>
      <c r="E7" s="165"/>
      <c r="F7" s="166"/>
      <c r="G7" s="162" t="str">
        <f>' NotaPedido 301-20'!D6</f>
        <v>Servicio de Farmacia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20" ht="18" customHeight="1" thickBot="1" x14ac:dyDescent="0.25">
      <c r="A8" s="163" t="s">
        <v>31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</row>
    <row r="9" spans="1:20" ht="18" customHeight="1" x14ac:dyDescent="0.2">
      <c r="A9" s="152" t="s">
        <v>32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"/>
      <c r="P9" s="1"/>
      <c r="Q9" s="12"/>
    </row>
    <row r="10" spans="1:20" ht="54.75" customHeight="1" x14ac:dyDescent="0.2">
      <c r="A10" s="153" t="str">
        <f>"Autorizo la realización de los  trámites correspondientes, a fin de proveer a  este Organismo los bienes y/o servicios que se detallan en Nota  de Pedido N° " &amp; ' NotaPedido 301-20'!K1&amp;",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303/2020,  afectando la erogación resultante a los créditos presupuestarios aprobados a favor de esta Unidad Ejecutora, conforme al siguiente detalle: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20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20" ht="15.75" customHeight="1" thickBot="1" x14ac:dyDescent="0.25">
      <c r="A12" s="154" t="s">
        <v>33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20" ht="15.75" customHeight="1" thickBot="1" x14ac:dyDescent="0.25">
      <c r="A13" s="154" t="s">
        <v>34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35</v>
      </c>
      <c r="P13" s="156"/>
      <c r="Q13" s="158" t="s">
        <v>36</v>
      </c>
    </row>
    <row r="14" spans="1:20" ht="15.75" customHeight="1" x14ac:dyDescent="0.2">
      <c r="A14" s="33" t="s">
        <v>37</v>
      </c>
      <c r="B14" s="33" t="s">
        <v>38</v>
      </c>
      <c r="C14" s="33" t="s">
        <v>39</v>
      </c>
      <c r="D14" s="33" t="s">
        <v>40</v>
      </c>
      <c r="E14" s="33" t="s">
        <v>41</v>
      </c>
      <c r="F14" s="33" t="s">
        <v>42</v>
      </c>
      <c r="G14" s="34" t="s">
        <v>43</v>
      </c>
      <c r="H14" s="33" t="s">
        <v>44</v>
      </c>
      <c r="I14" s="33" t="s">
        <v>45</v>
      </c>
      <c r="J14" s="33" t="s">
        <v>46</v>
      </c>
      <c r="K14" s="33" t="s">
        <v>46</v>
      </c>
      <c r="L14" s="33" t="s">
        <v>47</v>
      </c>
      <c r="M14" s="33" t="s">
        <v>48</v>
      </c>
      <c r="N14" s="33" t="s">
        <v>49</v>
      </c>
      <c r="O14" s="157"/>
      <c r="P14" s="156"/>
      <c r="Q14" s="158"/>
    </row>
    <row r="15" spans="1:20" ht="27.75" customHeight="1" x14ac:dyDescent="0.2">
      <c r="A15" s="30">
        <v>42</v>
      </c>
      <c r="B15" s="30"/>
      <c r="C15" s="30"/>
      <c r="D15" s="30">
        <v>2</v>
      </c>
      <c r="E15" s="30"/>
      <c r="F15" s="30">
        <v>4901</v>
      </c>
      <c r="G15" s="30">
        <v>3</v>
      </c>
      <c r="H15" s="30">
        <v>1</v>
      </c>
      <c r="I15" s="30">
        <v>2</v>
      </c>
      <c r="J15" s="30">
        <v>5</v>
      </c>
      <c r="K15" s="30">
        <v>2</v>
      </c>
      <c r="L15" s="30"/>
      <c r="M15" s="31">
        <v>1</v>
      </c>
      <c r="N15" s="32" t="s">
        <v>56</v>
      </c>
      <c r="O15" s="150" t="s">
        <v>62</v>
      </c>
      <c r="P15" s="151"/>
      <c r="Q15" s="93">
        <v>889325.8</v>
      </c>
    </row>
    <row r="16" spans="1:20" ht="29.25" customHeight="1" x14ac:dyDescent="0.2">
      <c r="A16" s="30">
        <v>42</v>
      </c>
      <c r="B16" s="30"/>
      <c r="C16" s="30"/>
      <c r="D16" s="30">
        <v>2</v>
      </c>
      <c r="E16" s="30"/>
      <c r="F16" s="30">
        <v>4901</v>
      </c>
      <c r="G16" s="30">
        <v>3</v>
      </c>
      <c r="H16" s="30">
        <v>1</v>
      </c>
      <c r="I16" s="30">
        <v>2</v>
      </c>
      <c r="J16" s="30">
        <v>9</v>
      </c>
      <c r="K16" s="30">
        <v>5</v>
      </c>
      <c r="L16" s="30"/>
      <c r="M16" s="31">
        <v>1</v>
      </c>
      <c r="N16" s="32" t="s">
        <v>56</v>
      </c>
      <c r="O16" s="151" t="s">
        <v>59</v>
      </c>
      <c r="P16" s="151"/>
      <c r="Q16" s="29">
        <v>3893814.5</v>
      </c>
      <c r="T16" s="35"/>
    </row>
    <row r="17" spans="1:17" ht="29.25" customHeight="1" x14ac:dyDescent="0.2">
      <c r="A17" s="30">
        <v>42</v>
      </c>
      <c r="B17" s="30"/>
      <c r="C17" s="30"/>
      <c r="D17" s="30">
        <v>2</v>
      </c>
      <c r="E17" s="30"/>
      <c r="F17" s="30">
        <v>4901</v>
      </c>
      <c r="G17" s="30">
        <v>3</v>
      </c>
      <c r="H17" s="30">
        <v>1</v>
      </c>
      <c r="I17" s="30">
        <v>2</v>
      </c>
      <c r="J17" s="30">
        <v>5</v>
      </c>
      <c r="K17" s="30">
        <v>1</v>
      </c>
      <c r="L17" s="30"/>
      <c r="M17" s="31">
        <v>1</v>
      </c>
      <c r="N17" s="32" t="s">
        <v>56</v>
      </c>
      <c r="O17" s="141" t="s">
        <v>149</v>
      </c>
      <c r="P17" s="142"/>
      <c r="Q17" s="29">
        <v>523080</v>
      </c>
    </row>
    <row r="18" spans="1:17" ht="20.25" customHeight="1" thickBot="1" x14ac:dyDescent="0.25">
      <c r="A18" s="148" t="s">
        <v>153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7">
        <f>SUM(Q15:Q17)</f>
        <v>5306220.3</v>
      </c>
    </row>
    <row r="19" spans="1:17" ht="18" customHeight="1" thickBot="1" x14ac:dyDescent="0.25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</row>
    <row r="20" spans="1:17" ht="17.25" customHeight="1" thickBot="1" x14ac:dyDescent="0.25">
      <c r="A20" s="143" t="s">
        <v>50</v>
      </c>
      <c r="B20" s="144"/>
      <c r="C20" s="144"/>
      <c r="D20" s="144"/>
      <c r="E20" s="144"/>
      <c r="F20" s="145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</row>
    <row r="21" spans="1:17" ht="18" customHeight="1" thickBot="1" x14ac:dyDescent="0.25">
      <c r="A21" s="147" t="s">
        <v>147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</row>
    <row r="22" spans="1:17" ht="15" customHeight="1" x14ac:dyDescent="0.2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</row>
  </sheetData>
  <mergeCells count="26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9:N9"/>
    <mergeCell ref="A10:Q10"/>
    <mergeCell ref="A12:Q12"/>
    <mergeCell ref="A13:N13"/>
    <mergeCell ref="O13:P14"/>
    <mergeCell ref="Q13:Q14"/>
    <mergeCell ref="O17:P17"/>
    <mergeCell ref="A20:F20"/>
    <mergeCell ref="G20:Q20"/>
    <mergeCell ref="A21:Q22"/>
    <mergeCell ref="A18:P18"/>
    <mergeCell ref="A19:Q19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 301-20</vt:lpstr>
      <vt:lpstr>Autor Gastar</vt:lpstr>
      <vt:lpstr>' NotaPedido 301-20'!Área_de_impresión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2020-11-16T12:50:43Z</cp:lastPrinted>
  <dcterms:created xsi:type="dcterms:W3CDTF">2020-07-17T23:44:49Z</dcterms:created>
  <dcterms:modified xsi:type="dcterms:W3CDTF">2020-12-14T15:38:51Z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