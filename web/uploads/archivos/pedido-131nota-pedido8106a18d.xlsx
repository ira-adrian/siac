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B73D197-65C5-47A7-B7FC-4CB06D4A9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EM. LIMPIEZA" sheetId="1" r:id="rId1"/>
    <sheet name="Autor Gastar" sheetId="2" r:id="rId2"/>
  </sheets>
  <externalReferences>
    <externalReference r:id="rId3"/>
    <externalReference r:id="rId4"/>
  </externalReferences>
  <definedNames>
    <definedName name="_xlnm._FilterDatabase" localSheetId="0" hidden="1">'ELEM. LIMPIEZA'!$A$9:$I$53</definedName>
    <definedName name="_xlcn.WorksheetConnection_RelevamientodeHardMinisteriodeTrabajoyRRHH20base.xlsxTabla11" hidden="1">[1]!Tabla1[#Data]</definedName>
    <definedName name="_xlnm.Print_Area" localSheetId="1">'Autor Gastar'!$A$1:$Q$28</definedName>
    <definedName name="ORGANIGRAMA">#REF!</definedName>
    <definedName name="toner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6" i="1" l="1"/>
  <c r="G7" i="2" l="1"/>
  <c r="C77" i="1" l="1"/>
  <c r="I52" i="1"/>
  <c r="I51" i="1"/>
  <c r="I50" i="1"/>
  <c r="D50" i="1"/>
  <c r="I49" i="1"/>
  <c r="D49" i="1"/>
  <c r="I48" i="1"/>
  <c r="D48" i="1"/>
  <c r="I47" i="1"/>
  <c r="D47" i="1"/>
  <c r="I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Q17" i="2" s="1"/>
  <c r="D15" i="1"/>
  <c r="I14" i="1"/>
  <c r="D14" i="1"/>
  <c r="I13" i="1"/>
  <c r="D13" i="1"/>
  <c r="I12" i="1"/>
  <c r="D12" i="1"/>
  <c r="I11" i="1"/>
  <c r="D11" i="1"/>
  <c r="I10" i="1"/>
  <c r="Q23" i="2" s="1"/>
  <c r="Q18" i="2" l="1"/>
  <c r="Q24" i="2" s="1"/>
  <c r="Q19" i="2"/>
  <c r="I53" i="1"/>
</calcChain>
</file>

<file path=xl/sharedStrings.xml><?xml version="1.0" encoding="utf-8"?>
<sst xmlns="http://schemas.openxmlformats.org/spreadsheetml/2006/main" count="261" uniqueCount="169">
  <si>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</si>
  <si>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</si>
  <si>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</si>
  <si>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</si>
  <si>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</si>
  <si>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</si>
  <si>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</si>
  <si>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</si>
  <si>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</si>
  <si>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</si>
  <si>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</si>
  <si>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</si>
  <si>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</si>
  <si>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</si>
  <si>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2.2.2-1629.172</t>
  </si>
  <si>
    <t>INDUMENT TEXTIL Y CONFECCIONES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</si>
  <si>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>; PROTECCION: SIN VALOR, MATERIAL: LATEX, TIPO:</t>
    </r>
    <r>
      <rPr>
        <b/>
        <sz val="11"/>
        <rFont val="Times New Roman"/>
        <family val="1"/>
      </rPr>
      <t xml:space="preserve"> EXAMINACION</t>
    </r>
    <r>
      <rPr>
        <sz val="11"/>
        <rFont val="Times New Roman"/>
        <family val="1"/>
      </rPr>
      <t>, INTERIOR: LATEX, LARGO: HASTA MUÑECA, CIERRE: ELASTICO, MATERIAL INTERNO: LATEX</t>
    </r>
  </si>
  <si>
    <t>CAJA</t>
  </si>
  <si>
    <t>2.3.4-5442.13</t>
  </si>
  <si>
    <t>BAZAR Y MENAJE</t>
  </si>
  <si>
    <r>
      <rPr>
        <b/>
        <sz val="11"/>
        <rFont val="Times New Roman"/>
        <family val="1"/>
      </rPr>
      <t>ROLLOS P/COCINA</t>
    </r>
    <r>
      <rPr>
        <sz val="11"/>
        <rFont val="Times New Roman"/>
        <family val="1"/>
      </rPr>
      <t>; DIMENSION: 21 X 20 Cm, PRESENTACION: ENVASE X 3 UN</t>
    </r>
  </si>
  <si>
    <t>PAQUETE</t>
  </si>
  <si>
    <t>2.3.4-783.43</t>
  </si>
  <si>
    <t>ELEMENTOS DE LIMPIEZA</t>
  </si>
  <si>
    <r>
      <rPr>
        <b/>
        <sz val="11"/>
        <rFont val="Times New Roman"/>
        <family val="1"/>
      </rPr>
      <t>TOALLAS DE PAPEL</t>
    </r>
    <r>
      <rPr>
        <sz val="11"/>
        <rFont val="Times New Roman"/>
        <family val="1"/>
      </rPr>
      <t>; MATERIAL: FIBRA CELULOSICA, GRAMAJE: 55/60 GR/M2, DIMENSION: 24 X 20,5 Cm, COLOR: BLANCO, PRESENTACION: CAJA X 2500 UN</t>
    </r>
  </si>
  <si>
    <t>2.3.4-783.66</t>
  </si>
  <si>
    <r>
      <rPr>
        <b/>
        <sz val="11"/>
        <rFont val="Times New Roman"/>
        <family val="1"/>
      </rPr>
      <t>TOALLAS DE PAPEL</t>
    </r>
    <r>
      <rPr>
        <sz val="11"/>
        <rFont val="Times New Roman"/>
        <family val="1"/>
      </rPr>
      <t xml:space="preserve">; MATERIAL: PAPEL GOFRADO, GRAMAJE: SIN VALOR, DIMENSION: ANCHO 20 Cm, PRESENTACION: </t>
    </r>
    <r>
      <rPr>
        <b/>
        <sz val="11"/>
        <rFont val="Times New Roman"/>
        <family val="1"/>
      </rPr>
      <t>ROLLO X 304 M</t>
    </r>
  </si>
  <si>
    <t>ROLLO</t>
  </si>
  <si>
    <t>2.3.4-786.80</t>
  </si>
  <si>
    <r>
      <rPr>
        <b/>
        <sz val="11"/>
        <rFont val="Times New Roman"/>
        <family val="1"/>
      </rPr>
      <t>PAPEL HIGIENICO</t>
    </r>
    <r>
      <rPr>
        <sz val="11"/>
        <rFont val="Times New Roman"/>
        <family val="1"/>
      </rPr>
      <t>; PRESENTACION: PAQUETE X 4, TIPO: ROLLO, ANCHO: 10 Cm, LARGO: 90 M, TIPO DE HOJA: DOBLE</t>
    </r>
  </si>
  <si>
    <t>2.4.3-2335.2</t>
  </si>
  <si>
    <t>FERRETERIA</t>
  </si>
  <si>
    <r>
      <rPr>
        <b/>
        <sz val="11"/>
        <rFont val="Times New Roman"/>
        <family val="1"/>
      </rPr>
      <t>SOPAPAS DE GOMA</t>
    </r>
    <r>
      <rPr>
        <sz val="11"/>
        <rFont val="Times New Roman"/>
        <family val="1"/>
      </rPr>
      <t>; TIPO: REFORZADA</t>
    </r>
  </si>
  <si>
    <t>UNIDAD</t>
  </si>
  <si>
    <t>2.5.4-505.73</t>
  </si>
  <si>
    <r>
      <t xml:space="preserve">DESINFECTANTES; PRINCIPIO ACTIVO: 2-FENILFENOL, CONTROL: </t>
    </r>
    <r>
      <rPr>
        <b/>
        <sz val="11"/>
        <rFont val="Times New Roman"/>
        <family val="1"/>
      </rPr>
      <t>BACTERIAS, HONGOS Y VIRUS</t>
    </r>
    <r>
      <rPr>
        <sz val="11"/>
        <rFont val="Times New Roman"/>
        <family val="1"/>
      </rPr>
      <t>, PRESENTACION: ENVASE X 360 CM3</t>
    </r>
  </si>
  <si>
    <t>2.5.4-506.192</t>
  </si>
  <si>
    <r>
      <t>INSECTICIDAS; PRINCIPIO ACTIVO: TETRAMETRINA,</t>
    </r>
    <r>
      <rPr>
        <b/>
        <sz val="11"/>
        <rFont val="Times New Roman"/>
        <family val="1"/>
      </rPr>
      <t xml:space="preserve"> CONTROL: CUCARACHA, </t>
    </r>
    <r>
      <rPr>
        <sz val="11"/>
        <rFont val="Times New Roman"/>
        <family val="1"/>
      </rPr>
      <t>ACCION: CONTROL, PRESENTACION: AEROSOL X 360 CM3</t>
    </r>
  </si>
  <si>
    <t>2.5.4-506.194</t>
  </si>
  <si>
    <r>
      <t xml:space="preserve">INSECTICIDAS; PRINCIPIO ACTIVO: TETRAMETRINA, </t>
    </r>
    <r>
      <rPr>
        <b/>
        <sz val="11"/>
        <rFont val="Times New Roman"/>
        <family val="1"/>
      </rPr>
      <t>CONTROL: HORMIGAS</t>
    </r>
    <r>
      <rPr>
        <sz val="11"/>
        <rFont val="Times New Roman"/>
        <family val="1"/>
      </rPr>
      <t>, ACCION: VOLTEO Y RESIDUAL, PRESENTACION: ENVASE X 360 CM3</t>
    </r>
  </si>
  <si>
    <t>2.5.4-506.209</t>
  </si>
  <si>
    <t>2.5.4-506.200</t>
  </si>
  <si>
    <r>
      <t xml:space="preserve">INSECTICIDAS; PRINCIPIO ACTIVO: D-FENOTRINA, D-TETRA, PRAL, CONTROL: </t>
    </r>
    <r>
      <rPr>
        <b/>
        <sz val="11"/>
        <rFont val="Times New Roman"/>
        <family val="1"/>
      </rPr>
      <t>MOSCAS Y MOSQUITOS</t>
    </r>
    <r>
      <rPr>
        <sz val="11"/>
        <rFont val="Times New Roman"/>
        <family val="1"/>
      </rPr>
      <t>, ACCION: INSECTICIDA, PRESENTACION: ENVASE X 360 CM3</t>
    </r>
  </si>
  <si>
    <t>2.9.1-1156.1</t>
  </si>
  <si>
    <r>
      <rPr>
        <b/>
        <sz val="11"/>
        <rFont val="Times New Roman"/>
        <family val="1"/>
      </rPr>
      <t>PLUMEROS</t>
    </r>
    <r>
      <rPr>
        <sz val="11"/>
        <rFont val="Times New Roman"/>
        <family val="1"/>
      </rPr>
      <t>; PLUMA: SINTETICA, CLASE: SUAVE, MATERIAL MANGO: MADERA, LARGO MANGO: 60 Cm, Nº VUELTAS PENACHO: 6, TIPO: SUAVE</t>
    </r>
  </si>
  <si>
    <t>2.9.1-1164.18</t>
  </si>
  <si>
    <r>
      <rPr>
        <b/>
        <sz val="11"/>
        <rFont val="Times New Roman"/>
        <family val="1"/>
      </rPr>
      <t>ESPONJAS; MATERIAL: METAL</t>
    </r>
    <r>
      <rPr>
        <sz val="11"/>
        <rFont val="Times New Roman"/>
        <family val="1"/>
      </rPr>
      <t>, USO: PARA COCINA, ADITAMENTO: SIN VALOR, FORMA: REDONDA, LARGO X ANCHO X ESP: ROLLO X 30 GR, COLOR: DORADO</t>
    </r>
  </si>
  <si>
    <t>2.9.1-1164.35</t>
  </si>
  <si>
    <r>
      <rPr>
        <b/>
        <sz val="11"/>
        <rFont val="Times New Roman"/>
        <family val="1"/>
      </rPr>
      <t>ESPONJAS; MATERIAL: FIBRA</t>
    </r>
    <r>
      <rPr>
        <sz val="11"/>
        <rFont val="Times New Roman"/>
        <family val="1"/>
      </rPr>
      <t>, USO: DOMESTICO, ADITAMENTO: FIBRA, FORMA: RECTANGULAR, LARGO X ANCHO X ESP: 10 X 6 X 4 Cm</t>
    </r>
  </si>
  <si>
    <t>2.9.1-2425.2</t>
  </si>
  <si>
    <r>
      <rPr>
        <b/>
        <sz val="11"/>
        <rFont val="Times New Roman"/>
        <family val="1"/>
      </rPr>
      <t>LAMPAZOS</t>
    </r>
    <r>
      <rPr>
        <sz val="11"/>
        <rFont val="Times New Roman"/>
        <family val="1"/>
      </rPr>
      <t>; MATERIAL: HILO, MANGO: MADERA</t>
    </r>
  </si>
  <si>
    <t>2.9.1-2661.20</t>
  </si>
  <si>
    <r>
      <rPr>
        <b/>
        <sz val="11"/>
        <rFont val="Times New Roman"/>
        <family val="1"/>
      </rPr>
      <t>TACHOS DE RESIDUOS</t>
    </r>
    <r>
      <rPr>
        <sz val="11"/>
        <rFont val="Times New Roman"/>
        <family val="1"/>
      </rPr>
      <t>; MATERIAL: PLASTICO, SECCION: CIRCULAR, DIMENSION: 12 L, TAPA: CON</t>
    </r>
  </si>
  <si>
    <t>2.9.1-4784.37</t>
  </si>
  <si>
    <r>
      <rPr>
        <b/>
        <sz val="11"/>
        <rFont val="Times New Roman"/>
        <family val="1"/>
      </rPr>
      <t>LIMPIADORES MULTIUSO;</t>
    </r>
    <r>
      <rPr>
        <sz val="11"/>
        <rFont val="Times New Roman"/>
        <family val="1"/>
      </rPr>
      <t xml:space="preserve"> TIPO: P/</t>
    </r>
    <r>
      <rPr>
        <b/>
        <sz val="11"/>
        <rFont val="Times New Roman"/>
        <family val="1"/>
      </rPr>
      <t>LAMPAZO</t>
    </r>
    <r>
      <rPr>
        <sz val="11"/>
        <rFont val="Times New Roman"/>
        <family val="1"/>
      </rPr>
      <t>, PRESENTACION: ENVASE X 5 L</t>
    </r>
  </si>
  <si>
    <t>2.9.1-544.82</t>
  </si>
  <si>
    <t>2.9.1-564.18</t>
  </si>
  <si>
    <r>
      <rPr>
        <b/>
        <sz val="11"/>
        <rFont val="Times New Roman"/>
        <family val="1"/>
      </rPr>
      <t>BALDES DE PLASTICO</t>
    </r>
    <r>
      <rPr>
        <sz val="11"/>
        <rFont val="Times New Roman"/>
        <family val="1"/>
      </rPr>
      <t>; CAPACIDAD: 14 L</t>
    </r>
  </si>
  <si>
    <t>2.9.1-646.6</t>
  </si>
  <si>
    <r>
      <rPr>
        <b/>
        <sz val="11"/>
        <rFont val="Times New Roman"/>
        <family val="1"/>
      </rPr>
      <t>BOLSAS DE RESIDUOS; DIMENSION: 45 X 60</t>
    </r>
    <r>
      <rPr>
        <sz val="11"/>
        <rFont val="Times New Roman"/>
        <family val="1"/>
      </rPr>
      <t xml:space="preserve"> Cm, PRESENTACION: BOLSA X 10, COLOR: SIN VALOR, ESPESOR: SIN VALOR</t>
    </r>
  </si>
  <si>
    <t>2.9.1-646.56</t>
  </si>
  <si>
    <r>
      <rPr>
        <b/>
        <sz val="11"/>
        <rFont val="Times New Roman"/>
        <family val="1"/>
      </rPr>
      <t xml:space="preserve">BOLSAS DE RESIDUOS; DIMENSION: 100 X 80 </t>
    </r>
    <r>
      <rPr>
        <sz val="11"/>
        <rFont val="Times New Roman"/>
        <family val="1"/>
      </rPr>
      <t>Cm, PRESENTACION: BOLSA X 10 UN, ESPESOR: 80 Mn, COLOR: NEGRO</t>
    </r>
  </si>
  <si>
    <t>2.9.1-678.1</t>
  </si>
  <si>
    <r>
      <rPr>
        <b/>
        <sz val="11"/>
        <rFont val="Times New Roman"/>
        <family val="1"/>
      </rPr>
      <t>TRAPOS REJILLA</t>
    </r>
    <r>
      <rPr>
        <sz val="11"/>
        <rFont val="Times New Roman"/>
        <family val="1"/>
      </rPr>
      <t>; DIMENSION: 38 X 42 Cm, MATERIAL: PURO ALGODON, COLOR: BLANCO</t>
    </r>
  </si>
  <si>
    <t>2.9.1-683.6</t>
  </si>
  <si>
    <r>
      <rPr>
        <b/>
        <sz val="11"/>
        <rFont val="Times New Roman"/>
        <family val="1"/>
      </rPr>
      <t>SECADORES DE GOMA</t>
    </r>
    <r>
      <rPr>
        <sz val="11"/>
        <rFont val="Times New Roman"/>
        <family val="1"/>
      </rPr>
      <t>; COLOR: NEGRO, LARGO: 50 Cm</t>
    </r>
  </si>
  <si>
    <t>2.9.1-683.7</t>
  </si>
  <si>
    <t>SECADORES DE GOMA; COLOR: BLANCO, LARGO: 40 Cm</t>
  </si>
  <si>
    <t>2.9.1-6950.30</t>
  </si>
  <si>
    <r>
      <rPr>
        <b/>
        <sz val="11"/>
        <rFont val="Times New Roman"/>
        <family val="1"/>
      </rPr>
      <t>LUSTRADORES</t>
    </r>
    <r>
      <rPr>
        <sz val="11"/>
        <rFont val="Times New Roman"/>
        <family val="1"/>
      </rPr>
      <t>; TIPO: LUSTRAMUEBLES, PRESENTACION: AEROSOL X 360 CM3</t>
    </r>
  </si>
  <si>
    <t>2.9.1-6951.12</t>
  </si>
  <si>
    <r>
      <t xml:space="preserve">LIMPIADORES; PRESENTACION: ENVASE X 5 L, TIPO: </t>
    </r>
    <r>
      <rPr>
        <b/>
        <sz val="11"/>
        <rFont val="Times New Roman"/>
        <family val="1"/>
      </rPr>
      <t>DETERGENTE</t>
    </r>
  </si>
  <si>
    <t>2.9.1-6951.137</t>
  </si>
  <si>
    <r>
      <t xml:space="preserve">LIMPIADORES; TIPO: </t>
    </r>
    <r>
      <rPr>
        <b/>
        <sz val="11"/>
        <rFont val="Times New Roman"/>
        <family val="1"/>
      </rPr>
      <t>QUITASARRO</t>
    </r>
    <r>
      <rPr>
        <sz val="11"/>
        <rFont val="Times New Roman"/>
        <family val="1"/>
      </rPr>
      <t>, PRESENTACION: ENVASE X 5 L</t>
    </r>
  </si>
  <si>
    <t>2.9.1-6951.116</t>
  </si>
  <si>
    <r>
      <t xml:space="preserve">LIMPIADORES; TIPO: </t>
    </r>
    <r>
      <rPr>
        <b/>
        <sz val="11"/>
        <rFont val="Times New Roman"/>
        <family val="1"/>
      </rPr>
      <t>LIMPIAVIDRIOS</t>
    </r>
    <r>
      <rPr>
        <sz val="11"/>
        <rFont val="Times New Roman"/>
        <family val="1"/>
      </rPr>
      <t>, PRESENTACION: ENVASE X 5 L</t>
    </r>
  </si>
  <si>
    <t>2.9.1-6951.30</t>
  </si>
  <si>
    <r>
      <t>LIMPIADORES; TIPO:</t>
    </r>
    <r>
      <rPr>
        <b/>
        <sz val="11"/>
        <rFont val="Times New Roman"/>
        <family val="1"/>
      </rPr>
      <t xml:space="preserve"> LAVANDINA</t>
    </r>
    <r>
      <rPr>
        <sz val="11"/>
        <rFont val="Times New Roman"/>
        <family val="1"/>
      </rPr>
      <t>, PRESENTACION: ENVASE X 5 L</t>
    </r>
  </si>
  <si>
    <t>2.9.1-6951.41</t>
  </si>
  <si>
    <r>
      <t xml:space="preserve">LIMPIADORES; TIPO: </t>
    </r>
    <r>
      <rPr>
        <b/>
        <sz val="11"/>
        <rFont val="Times New Roman"/>
        <family val="1"/>
      </rPr>
      <t>DESINFECTANTE P/PISO,</t>
    </r>
    <r>
      <rPr>
        <sz val="11"/>
        <rFont val="Times New Roman"/>
        <family val="1"/>
      </rPr>
      <t xml:space="preserve"> PRESENTACION: ENVASE X 5 L</t>
    </r>
  </si>
  <si>
    <t>2.9.1-6951.98</t>
  </si>
  <si>
    <r>
      <t>LIMPIADORES; TIPO:</t>
    </r>
    <r>
      <rPr>
        <b/>
        <sz val="11"/>
        <rFont val="Times New Roman"/>
        <family val="1"/>
      </rPr>
      <t xml:space="preserve"> LIMPIA ALFOMBRAS</t>
    </r>
    <r>
      <rPr>
        <sz val="11"/>
        <rFont val="Times New Roman"/>
        <family val="1"/>
      </rPr>
      <t>, PRESENTACION: ENVASE X 5 L</t>
    </r>
  </si>
  <si>
    <t>2.9.1-6952.29</t>
  </si>
  <si>
    <r>
      <t>CEPILLOS; TIPO:</t>
    </r>
    <r>
      <rPr>
        <b/>
        <sz val="11"/>
        <rFont val="Times New Roman"/>
        <family val="1"/>
      </rPr>
      <t xml:space="preserve"> ESCOBILLA LIMPIA INODORO</t>
    </r>
    <r>
      <rPr>
        <sz val="11"/>
        <rFont val="Times New Roman"/>
        <family val="1"/>
      </rPr>
      <t>, MATERIAL: PLASTICO</t>
    </r>
  </si>
  <si>
    <t>2.9.1-6952.45</t>
  </si>
  <si>
    <r>
      <t xml:space="preserve">CEPILLOS; TIPO: </t>
    </r>
    <r>
      <rPr>
        <b/>
        <sz val="11"/>
        <rFont val="Times New Roman"/>
        <family val="1"/>
      </rPr>
      <t xml:space="preserve">ESCOBILLA LIMPIAVIDRIOS, </t>
    </r>
    <r>
      <rPr>
        <sz val="11"/>
        <rFont val="Times New Roman"/>
        <family val="1"/>
      </rPr>
      <t>MATERIAL: PLASTICO Y GOMA</t>
    </r>
  </si>
  <si>
    <t>2.9.1-6952.87</t>
  </si>
  <si>
    <r>
      <t>CEPILLOS; TIPO:</t>
    </r>
    <r>
      <rPr>
        <b/>
        <sz val="11"/>
        <rFont val="Times New Roman"/>
        <family val="1"/>
      </rPr>
      <t xml:space="preserve"> ESCOBA</t>
    </r>
    <r>
      <rPr>
        <sz val="11"/>
        <rFont val="Times New Roman"/>
        <family val="1"/>
      </rPr>
      <t>, MATERIAL: PLASTICO</t>
    </r>
  </si>
  <si>
    <t>2.9.1-6956.73</t>
  </si>
  <si>
    <t>2.9.1-6961.9</t>
  </si>
  <si>
    <r>
      <t xml:space="preserve">ELEM. P/LIMPIEZA SANITARIOS; TIPO: </t>
    </r>
    <r>
      <rPr>
        <b/>
        <sz val="11"/>
        <rFont val="Times New Roman"/>
        <family val="1"/>
      </rPr>
      <t xml:space="preserve">PASTILLA DESODORANTE, </t>
    </r>
    <r>
      <rPr>
        <sz val="11"/>
        <rFont val="Times New Roman"/>
        <family val="1"/>
      </rPr>
      <t>PRESENTACION: CAJA X 24 UN</t>
    </r>
  </si>
  <si>
    <t>2.9.1-6963.15</t>
  </si>
  <si>
    <r>
      <t xml:space="preserve">UTENSILLOS P/HIGIENE PERSONAL; TIPO: </t>
    </r>
    <r>
      <rPr>
        <b/>
        <sz val="11"/>
        <rFont val="Times New Roman"/>
        <family val="1"/>
      </rPr>
      <t>ALCOHOL EN GEL</t>
    </r>
    <r>
      <rPr>
        <sz val="11"/>
        <rFont val="Times New Roman"/>
        <family val="1"/>
      </rPr>
      <t>, PRESENTACION: ENVASE X 5 L</t>
    </r>
  </si>
  <si>
    <t>2.9.1-713.19</t>
  </si>
  <si>
    <r>
      <rPr>
        <b/>
        <sz val="11"/>
        <rFont val="Times New Roman"/>
        <family val="1"/>
      </rPr>
      <t>TRAPOS DE PISO</t>
    </r>
    <r>
      <rPr>
        <sz val="11"/>
        <rFont val="Times New Roman"/>
        <family val="1"/>
      </rPr>
      <t>; DIMENSION: 40 X 60 Cm, RECICLADO: SIN VALOR</t>
    </r>
  </si>
  <si>
    <t>2.9.1-714.2</t>
  </si>
  <si>
    <r>
      <rPr>
        <b/>
        <sz val="11"/>
        <rFont val="Times New Roman"/>
        <family val="1"/>
      </rPr>
      <t>FRANELAS</t>
    </r>
    <r>
      <rPr>
        <sz val="11"/>
        <rFont val="Times New Roman"/>
        <family val="1"/>
      </rPr>
      <t>; DIMENSION: 50 X 50 Cm</t>
    </r>
  </si>
  <si>
    <t>2.9.1-761.2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</si>
  <si>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 xml:space="preserve"> P/LIMPIEZA; MATERIAL: LATEX, TAMAÑO: MEDIANO</t>
    </r>
  </si>
  <si>
    <t>2.9.1-8853.3</t>
  </si>
  <si>
    <r>
      <rPr>
        <b/>
        <sz val="11"/>
        <rFont val="Times New Roman"/>
        <family val="1"/>
      </rPr>
      <t>MOPAS</t>
    </r>
    <r>
      <rPr>
        <sz val="11"/>
        <rFont val="Times New Roman"/>
        <family val="1"/>
      </rPr>
      <t>; LARGO MANGO: 1 M, MATERIAL: ALGODON</t>
    </r>
  </si>
  <si>
    <t>2.5.2-711.49</t>
  </si>
  <si>
    <t>PROD. MEDICO /FARMACEUTICOS/LAB</t>
  </si>
  <si>
    <t>2.5.2</t>
  </si>
  <si>
    <r>
      <rPr>
        <b/>
        <sz val="11"/>
        <rFont val="Times New Roman"/>
        <family val="1"/>
      </rPr>
      <t>ALCOHOL USO MEDICINAL; PUREZA: 70 %</t>
    </r>
    <r>
      <rPr>
        <sz val="11"/>
        <rFont val="Times New Roman"/>
        <family val="1"/>
      </rPr>
      <t>, PRESENTACIÓN: SEGÚN PLIEGO, CANTIDAD: SEGÚN PLIEGO</t>
    </r>
  </si>
  <si>
    <t>2.5.4-505.13</t>
  </si>
  <si>
    <t>2.5.4</t>
  </si>
  <si>
    <r>
      <rPr>
        <b/>
        <sz val="11"/>
        <rFont val="Times New Roman"/>
        <family val="1"/>
      </rPr>
      <t>DESINFECTANTES</t>
    </r>
    <r>
      <rPr>
        <sz val="11"/>
        <rFont val="Times New Roman"/>
        <family val="1"/>
      </rPr>
      <t xml:space="preserve">; CAPACIDAD: 5 L, USO P/CONTROL: BACTERIAS, PRINCIPIO ACTIVO: SAL </t>
    </r>
    <r>
      <rPr>
        <b/>
        <sz val="11"/>
        <rFont val="Times New Roman"/>
        <family val="1"/>
      </rPr>
      <t>AMONIO CUATERNARIO,</t>
    </r>
    <r>
      <rPr>
        <sz val="11"/>
        <rFont val="Times New Roman"/>
        <family val="1"/>
      </rPr>
      <t xml:space="preserve"> PRESENTACION: ENVASE X 5 L, CONTROL: BACTERIAS</t>
    </r>
  </si>
  <si>
    <t>Especificidades Item N° 1:</t>
  </si>
  <si>
    <r>
      <t xml:space="preserve">GUANTES; PROTECCION: SIN VALOR, MATERIAL: LATEX, TIPO: EXAMINACION, INTERIOR: LATEX, LARGO: HASTA MUÑECA, CIERRE: ELASTICO, MATERIAL INTERNO: LATEX </t>
    </r>
    <r>
      <rPr>
        <b/>
        <sz val="14"/>
        <rFont val="Times New Roman"/>
        <family val="1"/>
      </rPr>
      <t xml:space="preserve">: </t>
    </r>
    <r>
      <rPr>
        <b/>
        <sz val="12"/>
        <rFont val="Times New Roman"/>
        <family val="1"/>
      </rPr>
      <t>PRESENTACION POR 100 UNIDADES</t>
    </r>
  </si>
  <si>
    <t>Especificidades Item N° 6:</t>
  </si>
  <si>
    <r>
      <t xml:space="preserve">SOPAPAS DE GOMA; TIPO: REFORZADA -  </t>
    </r>
    <r>
      <rPr>
        <b/>
        <u/>
        <sz val="10"/>
        <rFont val="Times New Roman"/>
        <family val="1"/>
      </rPr>
      <t>PRESENTACION</t>
    </r>
    <r>
      <rPr>
        <b/>
        <sz val="10"/>
        <rFont val="Times New Roman"/>
        <family val="1"/>
      </rPr>
      <t xml:space="preserve">: </t>
    </r>
    <r>
      <rPr>
        <b/>
        <sz val="12"/>
        <rFont val="Times New Roman"/>
        <family val="1"/>
      </rPr>
      <t>CON CABO</t>
    </r>
  </si>
  <si>
    <t>Especificidades Item N° 32:</t>
  </si>
  <si>
    <r>
      <t>CEPILLOS; TIPO: ESCOBILLA LIMPIA INODORO, MATERIAL: PLASTICO -</t>
    </r>
    <r>
      <rPr>
        <b/>
        <sz val="12"/>
        <rFont val="Times New Roman"/>
        <family val="1"/>
      </rPr>
      <t xml:space="preserve"> CON BASE </t>
    </r>
  </si>
  <si>
    <t>Especificidades Item N° 33:</t>
  </si>
  <si>
    <r>
      <t xml:space="preserve">ARTICULOS DE HIGIENE PERSONAL; TIPO: JABON LIQUIDO - </t>
    </r>
    <r>
      <rPr>
        <b/>
        <sz val="12"/>
        <rFont val="Times New Roman"/>
        <family val="1"/>
      </rPr>
      <t xml:space="preserve"> PARA MANOS,</t>
    </r>
    <r>
      <rPr>
        <sz val="10"/>
        <rFont val="Times New Roman"/>
        <family val="1"/>
      </rPr>
      <t xml:space="preserve"> PRESENTACION: ENVASE X 5 L</t>
    </r>
  </si>
  <si>
    <t>Especificidades Item N° 41:</t>
  </si>
  <si>
    <r>
      <t xml:space="preserve">MOPAS; LARGO MANGO: 1 M, MATERIAL: ALGODÓN - </t>
    </r>
    <r>
      <rPr>
        <b/>
        <sz val="12"/>
        <rFont val="Times New Roman"/>
        <family val="1"/>
      </rPr>
      <t>MOPAS PLANAS INDUSTRIAL 100% ALGODÓN DE 1 MTS X 15 CM</t>
    </r>
  </si>
  <si>
    <t>Especificidades Item N° 42:</t>
  </si>
  <si>
    <r>
      <t xml:space="preserve">ALCOHOL USO MEDICINAL; PUREZA: 70 %, PRESENTACIÓN: </t>
    </r>
    <r>
      <rPr>
        <b/>
        <sz val="12"/>
        <rFont val="Times New Roman"/>
        <family val="1"/>
      </rPr>
      <t>BIDON POR 5 LITROS,</t>
    </r>
    <r>
      <rPr>
        <sz val="10"/>
        <rFont val="Times New Roman"/>
        <family val="1"/>
      </rPr>
      <t xml:space="preserve"> CANTIDAD: 5 LITROS</t>
    </r>
  </si>
  <si>
    <t>Descripción técnica</t>
  </si>
  <si>
    <t>Plazos y lugares de entrega</t>
  </si>
  <si>
    <t>Calidad Minima esperada</t>
  </si>
  <si>
    <t>Que cumpla íntegramente con lo solicitado</t>
  </si>
  <si>
    <t>Mantenimiento</t>
  </si>
  <si>
    <t>30 (treinta) días</t>
  </si>
  <si>
    <t>Garantia</t>
  </si>
  <si>
    <t>AUTORIZACION PARA GASTAR</t>
  </si>
  <si>
    <t>JURISDICCIÓN:</t>
  </si>
  <si>
    <t>SAF:</t>
  </si>
  <si>
    <t>UNIDAD EJECUTORA: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</si>
  <si>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</si>
  <si>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</si>
  <si>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</si>
  <si>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</si>
  <si>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</si>
  <si>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</si>
  <si>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</si>
  <si>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</si>
  <si>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</si>
  <si>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</si>
  <si>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</si>
  <si>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</si>
  <si>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</si>
  <si>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</si>
  <si>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</si>
  <si>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</si>
  <si>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</si>
  <si>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</si>
  <si>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</si>
  <si>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</si>
  <si>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</si>
  <si>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de Papel y Cartón</t>
  </si>
  <si>
    <t>Productos Farmacéuticos y Medicinales</t>
  </si>
  <si>
    <t>Insecticidas, Fumigantes y Otros</t>
  </si>
  <si>
    <t>Elementos de Limpieza</t>
  </si>
  <si>
    <t>Útiles Menores Médico, Quirúrgico y de Laboratorio</t>
  </si>
  <si>
    <t>JUSTIFICACIÓN:</t>
  </si>
  <si>
    <t>Adquisición de ELEMENTOS DE LIMPIEZA para las distintas dependencias de este Ministerio.</t>
  </si>
  <si>
    <t>12 -Ministerio de Trabajo, Planificacion y Recursos Humanos</t>
  </si>
  <si>
    <t>22 - Subsecretaria de Administracion Financiera del Ministerio de Trabajo, Planificacion y Recursos Humanos</t>
  </si>
  <si>
    <t>2.9.5</t>
  </si>
  <si>
    <t>Artículos de Caucho</t>
  </si>
  <si>
    <t>Ministerio de Trabajo, Planificacion y Reursos Humanos</t>
  </si>
  <si>
    <r>
      <rPr>
        <b/>
        <sz val="11"/>
        <rFont val="Times New Roman"/>
        <family val="1"/>
      </rPr>
      <t xml:space="preserve">INSECTICIDAS; </t>
    </r>
    <r>
      <rPr>
        <sz val="11"/>
        <rFont val="Times New Roman"/>
        <family val="1"/>
      </rPr>
      <t xml:space="preserve">PRINCIPIO ACTIVO: DIFETHIALONE 0.0025 %, </t>
    </r>
    <r>
      <rPr>
        <b/>
        <sz val="11"/>
        <rFont val="Times New Roman"/>
        <family val="1"/>
      </rPr>
      <t>CONTROL: ROEDORES</t>
    </r>
    <r>
      <rPr>
        <sz val="11"/>
        <rFont val="Times New Roman"/>
        <family val="1"/>
      </rPr>
      <t>, ACCION: ELIMINACION DE PLAGAS, PRESENTACION: CEBO X 1 Kg</t>
    </r>
  </si>
  <si>
    <r>
      <rPr>
        <b/>
        <sz val="11"/>
        <rFont val="Times New Roman"/>
        <family val="1"/>
      </rPr>
      <t>DESODORANTES DE AMBIENTE</t>
    </r>
    <r>
      <rPr>
        <sz val="11"/>
        <rFont val="Times New Roman"/>
        <family val="1"/>
      </rPr>
      <t>; FORMATO: AEROSOL, FRAGANCIA: ORIGINAL, PRESENTACION: ENVASE X 360 CM3, LIBRE DE CFC: SI</t>
    </r>
  </si>
  <si>
    <r>
      <t xml:space="preserve">ARTICULOS DE TOCADOR; TIPO: </t>
    </r>
    <r>
      <rPr>
        <b/>
        <sz val="11"/>
        <rFont val="Times New Roman"/>
        <family val="1"/>
      </rPr>
      <t>JABON LIQUIDO</t>
    </r>
    <r>
      <rPr>
        <sz val="11"/>
        <rFont val="Times New Roman"/>
        <family val="1"/>
      </rPr>
      <t>, PRESENTACION: ENVASE X 5 L</t>
    </r>
  </si>
  <si>
    <t>Autorizo la realización de los  trámites correspondientes, a fin de proveer a  este Organismo los bienes y/o servicios que se detallan en el FORMULARIO Necesidad Trimestral ,  afectando la erogación resultante a los créditos presupuestarios aprobados a favor de esta Unidad Ejecutora, conforme al siguiente detalle:"</t>
  </si>
  <si>
    <t>COSTO TOTAL ESTIMADO: UN MILLON CIENTO QUINCE MIL SEISCIENTOS SETENTA Y SIETE CON 50/100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</si>
</sst>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&quot; €&quot;_-;\-* #,##0.00&quot; €&quot;_-;_-* \-??&quot; €&quot;_-;_-@_-"/>
    <numFmt numFmtId="165" formatCode="[$$-2C0A]\ #,##0.00;[$$-2C0A]&quot; -&quot;#,##0.00"/>
    <numFmt numFmtId="166" formatCode="dd\-mm\-yy;@"/>
    <numFmt numFmtId="167" formatCode="_(\$* #,##0.00_);_(\$* \(#,##0.00\);_(\$* \-??_);_(@_)"/>
    <numFmt numFmtId="168" formatCode="[$$-2C0A]\ #,##0.00"/>
    <numFmt numFmtId="169" formatCode="_-[$$-2C0A]\ * #,##0.00_-;\-[$$-2C0A]\ * #,##0.00_-;_-[$$-2C0A]\ * &quot;-&quot;??_-;_-@_-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164" fontId="10" fillId="0" borderId="0" applyBorder="0" applyProtection="0"/>
    <xf numFmtId="0" fontId="16" fillId="0" borderId="24" applyProtection="0"/>
    <xf numFmtId="0" fontId="17" fillId="2" borderId="0" applyBorder="0" applyProtection="0"/>
    <xf numFmtId="0" fontId="1" fillId="0" borderId="0"/>
    <xf numFmtId="0" fontId="1" fillId="0" borderId="0"/>
    <xf numFmtId="167" fontId="24" fillId="0" borderId="0" applyBorder="0" applyProtection="0"/>
  </cellStyleXfs>
  <cellXfs count="16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165" fontId="8" fillId="0" borderId="8" xfId="1" applyNumberFormat="1" applyFont="1" applyFill="1" applyBorder="1" applyAlignment="1" applyProtection="1">
      <alignment horizontal="right" vertical="center" wrapText="1"/>
    </xf>
    <xf numFmtId="165" fontId="8" fillId="0" borderId="9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165" fontId="8" fillId="0" borderId="11" xfId="1" applyNumberFormat="1" applyFont="1" applyFill="1" applyBorder="1" applyAlignment="1" applyProtection="1">
      <alignment horizontal="right" vertical="center" wrapText="1"/>
    </xf>
    <xf numFmtId="165" fontId="8" fillId="0" borderId="12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8" fillId="0" borderId="13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 wrapText="1"/>
    </xf>
    <xf numFmtId="165" fontId="8" fillId="0" borderId="13" xfId="1" applyNumberFormat="1" applyFont="1" applyFill="1" applyBorder="1" applyAlignment="1" applyProtection="1">
      <alignment horizontal="right" vertical="center" wrapText="1"/>
    </xf>
    <xf numFmtId="165" fontId="8" fillId="0" borderId="14" xfId="1" applyNumberFormat="1" applyFont="1" applyFill="1" applyBorder="1" applyAlignment="1" applyProtection="1">
      <alignment horizontal="right" vertical="center" wrapText="1"/>
    </xf>
    <xf numFmtId="165" fontId="11" fillId="0" borderId="15" xfId="0" applyNumberFormat="1" applyFont="1" applyBorder="1"/>
    <xf numFmtId="0" fontId="12" fillId="0" borderId="16" xfId="0" applyFont="1" applyBorder="1"/>
    <xf numFmtId="0" fontId="2" fillId="0" borderId="17" xfId="0" applyFont="1" applyBorder="1"/>
    <xf numFmtId="0" fontId="2" fillId="0" borderId="18" xfId="0" applyFont="1" applyBorder="1" applyAlignment="1">
      <alignment wrapText="1"/>
    </xf>
    <xf numFmtId="0" fontId="2" fillId="0" borderId="19" xfId="0" applyFont="1" applyBorder="1"/>
    <xf numFmtId="0" fontId="2" fillId="0" borderId="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6" xfId="0" applyFont="1" applyBorder="1"/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2" fillId="0" borderId="19" xfId="0" applyFont="1" applyBorder="1"/>
    <xf numFmtId="0" fontId="2" fillId="0" borderId="0" xfId="0" applyFont="1" applyBorder="1"/>
    <xf numFmtId="0" fontId="2" fillId="0" borderId="20" xfId="0" applyFont="1" applyBorder="1" applyAlignment="1">
      <alignment wrapText="1"/>
    </xf>
    <xf numFmtId="0" fontId="2" fillId="0" borderId="21" xfId="0" applyFont="1" applyBorder="1"/>
    <xf numFmtId="0" fontId="12" fillId="0" borderId="19" xfId="0" applyFont="1" applyBorder="1" applyAlignment="1">
      <alignment horizontal="left" indent="3"/>
    </xf>
    <xf numFmtId="0" fontId="2" fillId="0" borderId="0" xfId="0" applyNumberFormat="1" applyFont="1" applyFill="1" applyBorder="1" applyAlignment="1">
      <alignment horizontal="justify" wrapText="1"/>
    </xf>
    <xf numFmtId="0" fontId="2" fillId="0" borderId="20" xfId="0" applyNumberFormat="1" applyFont="1" applyFill="1" applyBorder="1" applyAlignment="1">
      <alignment horizontal="justify" wrapText="1"/>
    </xf>
    <xf numFmtId="0" fontId="2" fillId="0" borderId="19" xfId="0" applyFont="1" applyBorder="1" applyAlignment="1">
      <alignment horizontal="left" indent="3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0" fontId="2" fillId="0" borderId="20" xfId="0" applyFont="1" applyFill="1" applyBorder="1" applyAlignment="1">
      <alignment horizontal="left" wrapText="1"/>
    </xf>
    <xf numFmtId="0" fontId="2" fillId="0" borderId="21" xfId="0" applyFont="1" applyBorder="1" applyAlignment="1">
      <alignment horizontal="left" indent="3"/>
    </xf>
    <xf numFmtId="0" fontId="2" fillId="0" borderId="22" xfId="0" applyFont="1" applyBorder="1"/>
    <xf numFmtId="0" fontId="2" fillId="0" borderId="23" xfId="0" applyFont="1" applyBorder="1" applyAlignment="1">
      <alignment wrapText="1"/>
    </xf>
    <xf numFmtId="3" fontId="19" fillId="0" borderId="0" xfId="0" applyNumberFormat="1" applyFont="1" applyBorder="1" applyAlignment="1"/>
    <xf numFmtId="166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Border="1"/>
    <xf numFmtId="0" fontId="18" fillId="0" borderId="36" xfId="0" applyFont="1" applyBorder="1"/>
    <xf numFmtId="0" fontId="18" fillId="0" borderId="30" xfId="0" applyFont="1" applyBorder="1"/>
    <xf numFmtId="0" fontId="18" fillId="0" borderId="38" xfId="0" applyFont="1" applyBorder="1"/>
    <xf numFmtId="0" fontId="18" fillId="0" borderId="38" xfId="0" applyFont="1" applyBorder="1" applyAlignment="1">
      <alignment horizontal="left"/>
    </xf>
    <xf numFmtId="0" fontId="18" fillId="0" borderId="31" xfId="0" applyFont="1" applyBorder="1"/>
    <xf numFmtId="0" fontId="23" fillId="0" borderId="45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168" fontId="18" fillId="0" borderId="0" xfId="0" applyNumberFormat="1" applyFont="1"/>
    <xf numFmtId="165" fontId="23" fillId="0" borderId="48" xfId="0" applyNumberFormat="1" applyFont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/>
    </xf>
    <xf numFmtId="165" fontId="18" fillId="0" borderId="0" xfId="6" applyNumberFormat="1" applyFont="1" applyFill="1" applyBorder="1" applyAlignment="1" applyProtection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left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169" fontId="10" fillId="0" borderId="0" xfId="1" applyNumberFormat="1"/>
    <xf numFmtId="0" fontId="18" fillId="0" borderId="55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169" fontId="18" fillId="0" borderId="12" xfId="6" applyNumberFormat="1" applyFont="1" applyFill="1" applyBorder="1" applyAlignment="1" applyProtection="1">
      <alignment horizontal="center" vertical="center"/>
    </xf>
    <xf numFmtId="169" fontId="18" fillId="0" borderId="14" xfId="6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2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8" fillId="0" borderId="37" xfId="0" applyFont="1" applyBorder="1"/>
    <xf numFmtId="0" fontId="18" fillId="0" borderId="0" xfId="0" applyFont="1" applyBorder="1"/>
    <xf numFmtId="0" fontId="18" fillId="0" borderId="36" xfId="0" applyFont="1" applyBorder="1"/>
    <xf numFmtId="0" fontId="19" fillId="0" borderId="25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21" fillId="0" borderId="49" xfId="0" applyFont="1" applyBorder="1" applyAlignment="1">
      <alignment vertical="center" wrapText="1"/>
    </xf>
    <xf numFmtId="0" fontId="21" fillId="0" borderId="35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0" borderId="37" xfId="0" applyFont="1" applyFill="1" applyBorder="1" applyAlignment="1">
      <alignment horizontal="left" vertical="center" wrapText="1" indent="1"/>
    </xf>
    <xf numFmtId="0" fontId="21" fillId="0" borderId="0" xfId="0" applyFont="1" applyFill="1" applyBorder="1" applyAlignment="1">
      <alignment horizontal="left" vertical="center" wrapText="1" indent="1"/>
    </xf>
    <xf numFmtId="0" fontId="21" fillId="0" borderId="36" xfId="0" applyFont="1" applyFill="1" applyBorder="1" applyAlignment="1">
      <alignment horizontal="left" vertical="center" wrapText="1" indent="1"/>
    </xf>
    <xf numFmtId="0" fontId="21" fillId="0" borderId="30" xfId="0" applyFont="1" applyFill="1" applyBorder="1" applyAlignment="1">
      <alignment horizontal="left" vertical="center" wrapText="1" indent="1"/>
    </xf>
    <xf numFmtId="0" fontId="21" fillId="0" borderId="38" xfId="0" applyFont="1" applyFill="1" applyBorder="1" applyAlignment="1">
      <alignment horizontal="left" vertical="center" wrapText="1" indent="1"/>
    </xf>
    <xf numFmtId="0" fontId="21" fillId="0" borderId="31" xfId="0" applyFont="1" applyFill="1" applyBorder="1" applyAlignment="1">
      <alignment horizontal="left" vertical="center" wrapText="1" indent="1"/>
    </xf>
    <xf numFmtId="0" fontId="18" fillId="0" borderId="13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left" vertical="center" wrapText="1" indent="1"/>
    </xf>
    <xf numFmtId="0" fontId="21" fillId="0" borderId="0" xfId="0" applyFont="1" applyBorder="1" applyAlignment="1">
      <alignment horizontal="left" vertical="center" wrapText="1" indent="1"/>
    </xf>
    <xf numFmtId="0" fontId="21" fillId="0" borderId="36" xfId="0" applyFont="1" applyBorder="1" applyAlignment="1">
      <alignment horizontal="left" vertical="center" wrapText="1" indent="1"/>
    </xf>
    <xf numFmtId="0" fontId="23" fillId="0" borderId="2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8" fillId="0" borderId="46" xfId="0" applyFont="1" applyFill="1" applyBorder="1" applyAlignment="1">
      <alignment horizontal="center" vertical="center" wrapText="1"/>
    </xf>
    <xf numFmtId="0" fontId="18" fillId="0" borderId="47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21" fillId="0" borderId="28" xfId="0" applyFont="1" applyBorder="1" applyAlignment="1">
      <alignment wrapText="1"/>
    </xf>
    <xf numFmtId="0" fontId="21" fillId="0" borderId="35" xfId="0" applyFont="1" applyBorder="1" applyAlignment="1">
      <alignment wrapText="1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3" fontId="19" fillId="0" borderId="26" xfId="0" applyNumberFormat="1" applyFont="1" applyBorder="1" applyAlignment="1">
      <alignment horizontal="center"/>
    </xf>
    <xf numFmtId="3" fontId="19" fillId="0" borderId="27" xfId="0" applyNumberFormat="1" applyFont="1" applyBorder="1" applyAlignment="1">
      <alignment horizontal="center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8" fillId="0" borderId="32" xfId="0" applyFont="1" applyBorder="1"/>
    <xf numFmtId="0" fontId="18" fillId="0" borderId="33" xfId="0" applyFont="1" applyBorder="1"/>
    <xf numFmtId="0" fontId="18" fillId="0" borderId="34" xfId="0" applyFont="1" applyBorder="1"/>
    <xf numFmtId="49" fontId="21" fillId="0" borderId="32" xfId="0" applyNumberFormat="1" applyFont="1" applyBorder="1" applyAlignment="1">
      <alignment horizontal="left"/>
    </xf>
    <xf numFmtId="49" fontId="21" fillId="0" borderId="33" xfId="0" applyNumberFormat="1" applyFont="1" applyBorder="1" applyAlignment="1">
      <alignment horizontal="left"/>
    </xf>
    <xf numFmtId="49" fontId="21" fillId="0" borderId="34" xfId="0" applyNumberFormat="1" applyFont="1" applyBorder="1" applyAlignment="1">
      <alignment horizontal="left"/>
    </xf>
    <xf numFmtId="0" fontId="18" fillId="0" borderId="32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 wrapText="1"/>
    </xf>
    <xf numFmtId="0" fontId="21" fillId="0" borderId="33" xfId="0" applyFont="1" applyBorder="1" applyAlignment="1">
      <alignment horizontal="left" wrapText="1"/>
    </xf>
    <xf numFmtId="0" fontId="21" fillId="0" borderId="34" xfId="0" applyFont="1" applyBorder="1" applyAlignment="1">
      <alignment horizontal="left" wrapText="1"/>
    </xf>
    <xf numFmtId="0" fontId="21" fillId="0" borderId="32" xfId="0" applyFont="1" applyBorder="1" applyAlignment="1">
      <alignment horizontal="left" indent="1"/>
    </xf>
    <xf numFmtId="0" fontId="21" fillId="0" borderId="33" xfId="0" applyFont="1" applyBorder="1" applyAlignment="1">
      <alignment horizontal="left" indent="1"/>
    </xf>
    <xf numFmtId="0" fontId="21" fillId="0" borderId="34" xfId="0" applyFont="1" applyBorder="1" applyAlignment="1">
      <alignment horizontal="left" indent="1"/>
    </xf>
    <xf numFmtId="0" fontId="22" fillId="0" borderId="32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2" fillId="0" borderId="34" xfId="0" applyFont="1" applyBorder="1" applyAlignment="1">
      <alignment horizontal="left"/>
    </xf>
  </cellXfs>
  <cellStyles count="7">
    <cellStyle name="Encabezado 1" xfId="2" xr:uid="{00000000-0005-0000-0000-000000000000}"/>
    <cellStyle name="Moneda" xfId="1" builtinId="4"/>
    <cellStyle name="Moneda_AUTORIZACION Y NOTA DE PEDIDO" xfId="6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NECESIDADES%201ER%20TRIMESTRE%202022%20SAF%20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ER"/>
      <sheetName val="COMBUSTIBLE"/>
      <sheetName val="BIDONES DE AGUA"/>
      <sheetName val="Hoja1"/>
      <sheetName val="Utiles de Escritorio"/>
      <sheetName val="ELEM. LIMPIEZA"/>
      <sheetName val="SEGURO DE VIDA"/>
      <sheetName val="ALQUILER DE INMUEBLE"/>
      <sheetName val="MODELOS DE IMPRESORAS Y TONER"/>
      <sheetName val="PARQUE AUTOMOTOR"/>
      <sheetName val="TONER PLANIFICACION"/>
    </sheetNames>
    <sheetDataSet>
      <sheetData sheetId="0">
        <row r="190">
          <cell r="C190" t="str">
            <v>a) LUGAR DE ENTREGA:  Oficina Central del Ministerio de Trabajo, Planificacion y Recursos Humanos, sito en Av. Colon Nº 960 -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zoomScale="90" zoomScaleNormal="90" workbookViewId="0">
      <selection activeCell="E45" sqref="E45"/>
    </sheetView>
  </sheetViews>
  <sheetFormatPr baseColWidth="10" defaultColWidth="11" defaultRowHeight="12.75" x14ac:dyDescent="0.2"/>
  <cols>
    <col min="1" max="1" width="4.5703125" style="1" customWidth="1"/>
    <col min="2" max="2" width="14.140625" style="1" customWidth="1"/>
    <col min="3" max="3" width="26.28515625" style="1" customWidth="1"/>
    <col min="4" max="4" width="8.42578125" style="1" customWidth="1"/>
    <col min="5" max="5" width="79" style="2" customWidth="1"/>
    <col min="6" max="6" width="11" style="3"/>
    <col min="7" max="7" width="12.7109375" style="1" customWidth="1"/>
    <col min="8" max="8" width="14.28515625" style="1" customWidth="1"/>
    <col min="9" max="9" width="18.5703125" style="1" customWidth="1"/>
    <col min="10" max="16384" width="11" style="1"/>
  </cols>
  <sheetData>
    <row r="1" spans="1:9" ht="37.5" customHeight="1" x14ac:dyDescent="0.2"/>
    <row r="2" spans="1:9" ht="27" x14ac:dyDescent="0.35">
      <c r="B2" s="88" t="s">
        <v>0</v>
      </c>
      <c r="C2" s="88"/>
      <c r="D2" s="88"/>
      <c r="E2" s="88"/>
      <c r="F2" s="88"/>
      <c r="G2" s="88"/>
      <c r="H2" s="88"/>
      <c r="I2" s="88"/>
    </row>
    <row r="4" spans="1:9" ht="15.75" x14ac:dyDescent="0.25">
      <c r="A4" s="87" t="s">
        <v>1</v>
      </c>
      <c r="B4" s="87"/>
      <c r="C4" s="89" t="s">
        <v>159</v>
      </c>
      <c r="D4" s="89"/>
      <c r="E4" s="89"/>
      <c r="F4" s="4"/>
      <c r="G4" s="5"/>
      <c r="H4" s="6"/>
    </row>
    <row r="5" spans="1:9" ht="15.75" x14ac:dyDescent="0.25">
      <c r="A5" s="87" t="s">
        <v>2</v>
      </c>
      <c r="B5" s="87"/>
      <c r="C5" s="89" t="s">
        <v>160</v>
      </c>
      <c r="D5" s="89"/>
      <c r="E5" s="89"/>
      <c r="F5" s="4"/>
      <c r="G5" s="5"/>
      <c r="H5" s="6"/>
    </row>
    <row r="6" spans="1:9" ht="15.75" x14ac:dyDescent="0.25">
      <c r="A6" s="87" t="s">
        <v>3</v>
      </c>
      <c r="B6" s="87"/>
      <c r="C6" s="7">
        <v>2022</v>
      </c>
      <c r="D6" s="8"/>
      <c r="E6" s="8"/>
      <c r="F6" s="4"/>
      <c r="G6" s="5"/>
      <c r="H6" s="6"/>
    </row>
    <row r="7" spans="1:9" ht="15.75" x14ac:dyDescent="0.25">
      <c r="A7" s="87" t="s">
        <v>4</v>
      </c>
      <c r="B7" s="87"/>
      <c r="C7" s="7">
        <v>1</v>
      </c>
      <c r="D7" s="8"/>
      <c r="E7" s="8"/>
      <c r="F7" s="4"/>
      <c r="G7" s="5"/>
      <c r="H7" s="6"/>
    </row>
    <row r="8" spans="1:9" ht="13.5" thickBot="1" x14ac:dyDescent="0.25">
      <c r="B8" s="6"/>
      <c r="C8" s="5"/>
      <c r="D8" s="6"/>
      <c r="E8" s="6"/>
      <c r="F8" s="4"/>
      <c r="G8" s="5"/>
      <c r="H8" s="6"/>
    </row>
    <row r="9" spans="1:9" ht="39.75" thickTop="1" thickBot="1" x14ac:dyDescent="0.25">
      <c r="A9" s="9" t="s">
        <v>5</v>
      </c>
      <c r="B9" s="10" t="s">
        <v>6</v>
      </c>
      <c r="C9" s="11" t="s">
        <v>7</v>
      </c>
      <c r="D9" s="12" t="s">
        <v>8</v>
      </c>
      <c r="E9" s="11" t="s">
        <v>9</v>
      </c>
      <c r="F9" s="13" t="s">
        <v>10</v>
      </c>
      <c r="G9" s="14" t="s">
        <v>11</v>
      </c>
      <c r="H9" s="14" t="s">
        <v>12</v>
      </c>
      <c r="I9" s="14" t="s">
        <v>13</v>
      </c>
    </row>
    <row r="10" spans="1:9" s="21" customFormat="1" ht="45.75" thickBot="1" x14ac:dyDescent="0.25">
      <c r="A10" s="15">
        <v>1</v>
      </c>
      <c r="B10" s="16" t="s">
        <v>14</v>
      </c>
      <c r="C10" s="17" t="s">
        <v>15</v>
      </c>
      <c r="D10" s="18" t="s">
        <v>161</v>
      </c>
      <c r="E10" s="17" t="s">
        <v>16</v>
      </c>
      <c r="F10" s="18" t="s">
        <v>17</v>
      </c>
      <c r="G10" s="18">
        <v>40</v>
      </c>
      <c r="H10" s="19">
        <v>1077</v>
      </c>
      <c r="I10" s="20">
        <f t="shared" ref="I10:I52" si="0">+H10*G10</f>
        <v>43080</v>
      </c>
    </row>
    <row r="11" spans="1:9" s="21" customFormat="1" ht="30" x14ac:dyDescent="0.2">
      <c r="A11" s="22">
        <v>2</v>
      </c>
      <c r="B11" s="23" t="s">
        <v>18</v>
      </c>
      <c r="C11" s="23" t="s">
        <v>19</v>
      </c>
      <c r="D11" s="24" t="str">
        <f>+LEFT(B11,5)</f>
        <v>2.3.4</v>
      </c>
      <c r="E11" s="25" t="s">
        <v>20</v>
      </c>
      <c r="F11" s="24" t="s">
        <v>21</v>
      </c>
      <c r="G11" s="24">
        <v>50</v>
      </c>
      <c r="H11" s="26">
        <v>136</v>
      </c>
      <c r="I11" s="20">
        <f t="shared" si="0"/>
        <v>6800</v>
      </c>
    </row>
    <row r="12" spans="1:9" s="21" customFormat="1" ht="45" x14ac:dyDescent="0.2">
      <c r="A12" s="22">
        <v>3</v>
      </c>
      <c r="B12" s="23" t="s">
        <v>22</v>
      </c>
      <c r="C12" s="23" t="s">
        <v>23</v>
      </c>
      <c r="D12" s="24" t="str">
        <f t="shared" ref="D12:D50" si="1">+LEFT(B12,5)</f>
        <v>2.3.4</v>
      </c>
      <c r="E12" s="25" t="s">
        <v>24</v>
      </c>
      <c r="F12" s="24" t="s">
        <v>17</v>
      </c>
      <c r="G12" s="24">
        <v>15</v>
      </c>
      <c r="H12" s="26">
        <v>2042</v>
      </c>
      <c r="I12" s="27">
        <f t="shared" si="0"/>
        <v>30630</v>
      </c>
    </row>
    <row r="13" spans="1:9" s="21" customFormat="1" ht="30" x14ac:dyDescent="0.2">
      <c r="A13" s="22">
        <v>4</v>
      </c>
      <c r="B13" s="23" t="s">
        <v>25</v>
      </c>
      <c r="C13" s="23" t="s">
        <v>23</v>
      </c>
      <c r="D13" s="24" t="str">
        <f t="shared" si="1"/>
        <v>2.3.4</v>
      </c>
      <c r="E13" s="25" t="s">
        <v>26</v>
      </c>
      <c r="F13" s="24" t="s">
        <v>27</v>
      </c>
      <c r="G13" s="24">
        <v>15</v>
      </c>
      <c r="H13" s="26">
        <v>531.5</v>
      </c>
      <c r="I13" s="27">
        <f t="shared" si="0"/>
        <v>7972.5</v>
      </c>
    </row>
    <row r="14" spans="1:9" s="21" customFormat="1" ht="30" x14ac:dyDescent="0.2">
      <c r="A14" s="22">
        <v>5</v>
      </c>
      <c r="B14" s="23" t="s">
        <v>28</v>
      </c>
      <c r="C14" s="23" t="s">
        <v>23</v>
      </c>
      <c r="D14" s="24" t="str">
        <f t="shared" si="1"/>
        <v>2.3.4</v>
      </c>
      <c r="E14" s="25" t="s">
        <v>29</v>
      </c>
      <c r="F14" s="24" t="s">
        <v>21</v>
      </c>
      <c r="G14" s="28">
        <v>300</v>
      </c>
      <c r="H14" s="26">
        <v>292</v>
      </c>
      <c r="I14" s="27">
        <f t="shared" si="0"/>
        <v>87600</v>
      </c>
    </row>
    <row r="15" spans="1:9" s="21" customFormat="1" ht="15" x14ac:dyDescent="0.2">
      <c r="A15" s="22">
        <v>6</v>
      </c>
      <c r="B15" s="23" t="s">
        <v>30</v>
      </c>
      <c r="C15" s="23" t="s">
        <v>31</v>
      </c>
      <c r="D15" s="24" t="str">
        <f t="shared" si="1"/>
        <v>2.4.3</v>
      </c>
      <c r="E15" s="25" t="s">
        <v>32</v>
      </c>
      <c r="F15" s="24" t="s">
        <v>33</v>
      </c>
      <c r="G15" s="24">
        <v>15</v>
      </c>
      <c r="H15" s="26">
        <v>170</v>
      </c>
      <c r="I15" s="27">
        <f t="shared" si="0"/>
        <v>2550</v>
      </c>
    </row>
    <row r="16" spans="1:9" s="21" customFormat="1" ht="30" x14ac:dyDescent="0.2">
      <c r="A16" s="22">
        <v>7</v>
      </c>
      <c r="B16" s="23" t="s">
        <v>34</v>
      </c>
      <c r="C16" s="23" t="s">
        <v>23</v>
      </c>
      <c r="D16" s="24" t="str">
        <f t="shared" si="1"/>
        <v>2.5.4</v>
      </c>
      <c r="E16" s="25" t="s">
        <v>35</v>
      </c>
      <c r="F16" s="24" t="s">
        <v>33</v>
      </c>
      <c r="G16" s="24">
        <v>250</v>
      </c>
      <c r="H16" s="26">
        <v>175</v>
      </c>
      <c r="I16" s="27">
        <f t="shared" si="0"/>
        <v>43750</v>
      </c>
    </row>
    <row r="17" spans="1:9" s="21" customFormat="1" ht="30" x14ac:dyDescent="0.2">
      <c r="A17" s="22">
        <v>8</v>
      </c>
      <c r="B17" s="23" t="s">
        <v>36</v>
      </c>
      <c r="C17" s="23" t="s">
        <v>23</v>
      </c>
      <c r="D17" s="24" t="str">
        <f t="shared" si="1"/>
        <v>2.5.4</v>
      </c>
      <c r="E17" s="25" t="s">
        <v>37</v>
      </c>
      <c r="F17" s="24" t="s">
        <v>33</v>
      </c>
      <c r="G17" s="24">
        <v>40</v>
      </c>
      <c r="H17" s="26">
        <v>350</v>
      </c>
      <c r="I17" s="27">
        <f t="shared" si="0"/>
        <v>14000</v>
      </c>
    </row>
    <row r="18" spans="1:9" s="21" customFormat="1" ht="45" x14ac:dyDescent="0.2">
      <c r="A18" s="22">
        <v>9</v>
      </c>
      <c r="B18" s="23" t="s">
        <v>38</v>
      </c>
      <c r="C18" s="23" t="s">
        <v>23</v>
      </c>
      <c r="D18" s="24" t="str">
        <f t="shared" si="1"/>
        <v>2.5.4</v>
      </c>
      <c r="E18" s="25" t="s">
        <v>39</v>
      </c>
      <c r="F18" s="24" t="s">
        <v>33</v>
      </c>
      <c r="G18" s="24">
        <v>40</v>
      </c>
      <c r="H18" s="26">
        <v>317</v>
      </c>
      <c r="I18" s="27">
        <f t="shared" si="0"/>
        <v>12680</v>
      </c>
    </row>
    <row r="19" spans="1:9" s="29" customFormat="1" ht="45" x14ac:dyDescent="0.2">
      <c r="A19" s="22">
        <v>10</v>
      </c>
      <c r="B19" s="23" t="s">
        <v>40</v>
      </c>
      <c r="C19" s="23" t="s">
        <v>23</v>
      </c>
      <c r="D19" s="24" t="str">
        <f t="shared" si="1"/>
        <v>2.5.4</v>
      </c>
      <c r="E19" s="25" t="s">
        <v>164</v>
      </c>
      <c r="F19" s="24" t="s">
        <v>33</v>
      </c>
      <c r="G19" s="24">
        <v>15</v>
      </c>
      <c r="H19" s="26">
        <v>1350</v>
      </c>
      <c r="I19" s="27">
        <f t="shared" si="0"/>
        <v>20250</v>
      </c>
    </row>
    <row r="20" spans="1:9" s="21" customFormat="1" ht="45" x14ac:dyDescent="0.2">
      <c r="A20" s="22">
        <v>11</v>
      </c>
      <c r="B20" s="23" t="s">
        <v>41</v>
      </c>
      <c r="C20" s="23" t="s">
        <v>23</v>
      </c>
      <c r="D20" s="24" t="str">
        <f t="shared" si="1"/>
        <v>2.5.4</v>
      </c>
      <c r="E20" s="25" t="s">
        <v>42</v>
      </c>
      <c r="F20" s="24" t="s">
        <v>33</v>
      </c>
      <c r="G20" s="24">
        <v>100</v>
      </c>
      <c r="H20" s="26">
        <v>367</v>
      </c>
      <c r="I20" s="27">
        <f t="shared" si="0"/>
        <v>36700</v>
      </c>
    </row>
    <row r="21" spans="1:9" s="21" customFormat="1" ht="30" x14ac:dyDescent="0.2">
      <c r="A21" s="22">
        <v>12</v>
      </c>
      <c r="B21" s="23" t="s">
        <v>43</v>
      </c>
      <c r="C21" s="23" t="s">
        <v>23</v>
      </c>
      <c r="D21" s="24" t="str">
        <f t="shared" si="1"/>
        <v>2.9.1</v>
      </c>
      <c r="E21" s="25" t="s">
        <v>44</v>
      </c>
      <c r="F21" s="24" t="s">
        <v>33</v>
      </c>
      <c r="G21" s="24">
        <v>15</v>
      </c>
      <c r="H21" s="26">
        <v>782</v>
      </c>
      <c r="I21" s="27">
        <f t="shared" si="0"/>
        <v>11730</v>
      </c>
    </row>
    <row r="22" spans="1:9" s="21" customFormat="1" ht="45" x14ac:dyDescent="0.2">
      <c r="A22" s="22">
        <v>13</v>
      </c>
      <c r="B22" s="23" t="s">
        <v>45</v>
      </c>
      <c r="C22" s="23" t="s">
        <v>23</v>
      </c>
      <c r="D22" s="24" t="str">
        <f t="shared" si="1"/>
        <v>2.9.1</v>
      </c>
      <c r="E22" s="25" t="s">
        <v>46</v>
      </c>
      <c r="F22" s="24" t="s">
        <v>33</v>
      </c>
      <c r="G22" s="24">
        <v>50</v>
      </c>
      <c r="H22" s="26">
        <v>96</v>
      </c>
      <c r="I22" s="27">
        <f t="shared" si="0"/>
        <v>4800</v>
      </c>
    </row>
    <row r="23" spans="1:9" s="21" customFormat="1" ht="30" x14ac:dyDescent="0.2">
      <c r="A23" s="22">
        <v>14</v>
      </c>
      <c r="B23" s="23" t="s">
        <v>47</v>
      </c>
      <c r="C23" s="23" t="s">
        <v>23</v>
      </c>
      <c r="D23" s="24" t="str">
        <f t="shared" si="1"/>
        <v>2.9.1</v>
      </c>
      <c r="E23" s="25" t="s">
        <v>48</v>
      </c>
      <c r="F23" s="24" t="s">
        <v>33</v>
      </c>
      <c r="G23" s="24">
        <v>50</v>
      </c>
      <c r="H23" s="26">
        <v>40</v>
      </c>
      <c r="I23" s="27">
        <f t="shared" si="0"/>
        <v>2000</v>
      </c>
    </row>
    <row r="24" spans="1:9" s="21" customFormat="1" ht="15" x14ac:dyDescent="0.2">
      <c r="A24" s="22">
        <v>15</v>
      </c>
      <c r="B24" s="23" t="s">
        <v>49</v>
      </c>
      <c r="C24" s="23" t="s">
        <v>23</v>
      </c>
      <c r="D24" s="24" t="str">
        <f t="shared" si="1"/>
        <v>2.9.1</v>
      </c>
      <c r="E24" s="25" t="s">
        <v>50</v>
      </c>
      <c r="F24" s="24" t="s">
        <v>33</v>
      </c>
      <c r="G24" s="24">
        <v>15</v>
      </c>
      <c r="H24" s="26">
        <v>376</v>
      </c>
      <c r="I24" s="27">
        <f t="shared" si="0"/>
        <v>5640</v>
      </c>
    </row>
    <row r="25" spans="1:9" s="21" customFormat="1" ht="30" x14ac:dyDescent="0.2">
      <c r="A25" s="22">
        <v>16</v>
      </c>
      <c r="B25" s="23" t="s">
        <v>51</v>
      </c>
      <c r="C25" s="23" t="s">
        <v>23</v>
      </c>
      <c r="D25" s="24" t="str">
        <f t="shared" si="1"/>
        <v>2.9.1</v>
      </c>
      <c r="E25" s="25" t="s">
        <v>52</v>
      </c>
      <c r="F25" s="24" t="s">
        <v>33</v>
      </c>
      <c r="G25" s="24">
        <v>20</v>
      </c>
      <c r="H25" s="26">
        <v>991</v>
      </c>
      <c r="I25" s="27">
        <f t="shared" si="0"/>
        <v>19820</v>
      </c>
    </row>
    <row r="26" spans="1:9" s="21" customFormat="1" ht="30" x14ac:dyDescent="0.2">
      <c r="A26" s="22">
        <v>17</v>
      </c>
      <c r="B26" s="23" t="s">
        <v>53</v>
      </c>
      <c r="C26" s="23" t="s">
        <v>23</v>
      </c>
      <c r="D26" s="24" t="str">
        <f t="shared" si="1"/>
        <v>2.9.1</v>
      </c>
      <c r="E26" s="25" t="s">
        <v>54</v>
      </c>
      <c r="F26" s="24" t="s">
        <v>33</v>
      </c>
      <c r="G26" s="24">
        <v>15</v>
      </c>
      <c r="H26" s="26">
        <v>305</v>
      </c>
      <c r="I26" s="27">
        <f t="shared" si="0"/>
        <v>4575</v>
      </c>
    </row>
    <row r="27" spans="1:9" s="21" customFormat="1" ht="30" x14ac:dyDescent="0.2">
      <c r="A27" s="22">
        <v>18</v>
      </c>
      <c r="B27" s="23" t="s">
        <v>55</v>
      </c>
      <c r="C27" s="23" t="s">
        <v>23</v>
      </c>
      <c r="D27" s="24" t="str">
        <f t="shared" si="1"/>
        <v>2.9.1</v>
      </c>
      <c r="E27" s="25" t="s">
        <v>165</v>
      </c>
      <c r="F27" s="24" t="s">
        <v>33</v>
      </c>
      <c r="G27" s="24">
        <v>150</v>
      </c>
      <c r="H27" s="26">
        <v>181</v>
      </c>
      <c r="I27" s="27">
        <f t="shared" si="0"/>
        <v>27150</v>
      </c>
    </row>
    <row r="28" spans="1:9" s="21" customFormat="1" ht="15" x14ac:dyDescent="0.2">
      <c r="A28" s="22">
        <v>19</v>
      </c>
      <c r="B28" s="23" t="s">
        <v>56</v>
      </c>
      <c r="C28" s="23" t="s">
        <v>23</v>
      </c>
      <c r="D28" s="24" t="str">
        <f t="shared" si="1"/>
        <v>2.9.1</v>
      </c>
      <c r="E28" s="25" t="s">
        <v>57</v>
      </c>
      <c r="F28" s="24" t="s">
        <v>33</v>
      </c>
      <c r="G28" s="24">
        <v>20</v>
      </c>
      <c r="H28" s="26">
        <v>543</v>
      </c>
      <c r="I28" s="27">
        <f t="shared" si="0"/>
        <v>10860</v>
      </c>
    </row>
    <row r="29" spans="1:9" s="21" customFormat="1" ht="30" x14ac:dyDescent="0.2">
      <c r="A29" s="22">
        <v>20</v>
      </c>
      <c r="B29" s="23" t="s">
        <v>58</v>
      </c>
      <c r="C29" s="23" t="s">
        <v>23</v>
      </c>
      <c r="D29" s="24" t="str">
        <f t="shared" si="1"/>
        <v>2.9.1</v>
      </c>
      <c r="E29" s="25" t="s">
        <v>59</v>
      </c>
      <c r="F29" s="24" t="s">
        <v>21</v>
      </c>
      <c r="G29" s="24">
        <v>250</v>
      </c>
      <c r="H29" s="26">
        <v>150</v>
      </c>
      <c r="I29" s="27">
        <f t="shared" si="0"/>
        <v>37500</v>
      </c>
    </row>
    <row r="30" spans="1:9" s="21" customFormat="1" ht="30" x14ac:dyDescent="0.2">
      <c r="A30" s="22">
        <v>21</v>
      </c>
      <c r="B30" s="23" t="s">
        <v>60</v>
      </c>
      <c r="C30" s="23" t="s">
        <v>23</v>
      </c>
      <c r="D30" s="24" t="str">
        <f t="shared" si="1"/>
        <v>2.9.1</v>
      </c>
      <c r="E30" s="25" t="s">
        <v>61</v>
      </c>
      <c r="F30" s="24" t="s">
        <v>21</v>
      </c>
      <c r="G30" s="24">
        <v>100</v>
      </c>
      <c r="H30" s="26">
        <v>614</v>
      </c>
      <c r="I30" s="27">
        <f t="shared" si="0"/>
        <v>61400</v>
      </c>
    </row>
    <row r="31" spans="1:9" s="21" customFormat="1" ht="30" x14ac:dyDescent="0.2">
      <c r="A31" s="22">
        <v>22</v>
      </c>
      <c r="B31" s="23" t="s">
        <v>62</v>
      </c>
      <c r="C31" s="23" t="s">
        <v>23</v>
      </c>
      <c r="D31" s="24" t="str">
        <f t="shared" si="1"/>
        <v>2.9.1</v>
      </c>
      <c r="E31" s="25" t="s">
        <v>63</v>
      </c>
      <c r="F31" s="24" t="s">
        <v>33</v>
      </c>
      <c r="G31" s="24">
        <v>80</v>
      </c>
      <c r="H31" s="26">
        <v>85</v>
      </c>
      <c r="I31" s="27">
        <f t="shared" si="0"/>
        <v>6800</v>
      </c>
    </row>
    <row r="32" spans="1:9" s="21" customFormat="1" ht="15" x14ac:dyDescent="0.2">
      <c r="A32" s="22">
        <v>23</v>
      </c>
      <c r="B32" s="23" t="s">
        <v>64</v>
      </c>
      <c r="C32" s="23" t="s">
        <v>23</v>
      </c>
      <c r="D32" s="24" t="str">
        <f t="shared" si="1"/>
        <v>2.9.1</v>
      </c>
      <c r="E32" s="25" t="s">
        <v>65</v>
      </c>
      <c r="F32" s="24" t="s">
        <v>33</v>
      </c>
      <c r="G32" s="24">
        <v>20</v>
      </c>
      <c r="H32" s="26">
        <v>217</v>
      </c>
      <c r="I32" s="27">
        <f t="shared" si="0"/>
        <v>4340</v>
      </c>
    </row>
    <row r="33" spans="1:9" s="21" customFormat="1" ht="15" x14ac:dyDescent="0.2">
      <c r="A33" s="22">
        <v>24</v>
      </c>
      <c r="B33" s="23" t="s">
        <v>66</v>
      </c>
      <c r="C33" s="23" t="s">
        <v>23</v>
      </c>
      <c r="D33" s="24" t="str">
        <f t="shared" si="1"/>
        <v>2.9.1</v>
      </c>
      <c r="E33" s="25" t="s">
        <v>67</v>
      </c>
      <c r="F33" s="24" t="s">
        <v>33</v>
      </c>
      <c r="G33" s="24">
        <v>20</v>
      </c>
      <c r="H33" s="26">
        <v>217</v>
      </c>
      <c r="I33" s="27">
        <f t="shared" si="0"/>
        <v>4340</v>
      </c>
    </row>
    <row r="34" spans="1:9" s="21" customFormat="1" ht="30" x14ac:dyDescent="0.2">
      <c r="A34" s="22">
        <v>25</v>
      </c>
      <c r="B34" s="23" t="s">
        <v>68</v>
      </c>
      <c r="C34" s="23" t="s">
        <v>23</v>
      </c>
      <c r="D34" s="24" t="str">
        <f t="shared" si="1"/>
        <v>2.9.1</v>
      </c>
      <c r="E34" s="25" t="s">
        <v>69</v>
      </c>
      <c r="F34" s="24" t="s">
        <v>33</v>
      </c>
      <c r="G34" s="24">
        <v>70</v>
      </c>
      <c r="H34" s="26">
        <v>270</v>
      </c>
      <c r="I34" s="27">
        <f t="shared" si="0"/>
        <v>18900</v>
      </c>
    </row>
    <row r="35" spans="1:9" s="21" customFormat="1" ht="15" x14ac:dyDescent="0.2">
      <c r="A35" s="22">
        <v>26</v>
      </c>
      <c r="B35" s="23" t="s">
        <v>70</v>
      </c>
      <c r="C35" s="23" t="s">
        <v>23</v>
      </c>
      <c r="D35" s="24" t="str">
        <f t="shared" si="1"/>
        <v>2.9.1</v>
      </c>
      <c r="E35" s="25" t="s">
        <v>71</v>
      </c>
      <c r="F35" s="24" t="s">
        <v>33</v>
      </c>
      <c r="G35" s="24">
        <v>20</v>
      </c>
      <c r="H35" s="26">
        <v>1757</v>
      </c>
      <c r="I35" s="27">
        <f t="shared" si="0"/>
        <v>35140</v>
      </c>
    </row>
    <row r="36" spans="1:9" s="21" customFormat="1" ht="15" x14ac:dyDescent="0.2">
      <c r="A36" s="22">
        <v>27</v>
      </c>
      <c r="B36" s="23" t="s">
        <v>72</v>
      </c>
      <c r="C36" s="23" t="s">
        <v>23</v>
      </c>
      <c r="D36" s="24" t="str">
        <f t="shared" si="1"/>
        <v>2.9.1</v>
      </c>
      <c r="E36" s="25" t="s">
        <v>73</v>
      </c>
      <c r="F36" s="24" t="s">
        <v>33</v>
      </c>
      <c r="G36" s="24">
        <v>15</v>
      </c>
      <c r="H36" s="26">
        <v>917</v>
      </c>
      <c r="I36" s="27">
        <f t="shared" si="0"/>
        <v>13755</v>
      </c>
    </row>
    <row r="37" spans="1:9" s="21" customFormat="1" ht="15" x14ac:dyDescent="0.2">
      <c r="A37" s="22">
        <v>28</v>
      </c>
      <c r="B37" s="23" t="s">
        <v>74</v>
      </c>
      <c r="C37" s="23" t="s">
        <v>23</v>
      </c>
      <c r="D37" s="24" t="str">
        <f t="shared" si="1"/>
        <v>2.9.1</v>
      </c>
      <c r="E37" s="25" t="s">
        <v>75</v>
      </c>
      <c r="F37" s="24" t="s">
        <v>33</v>
      </c>
      <c r="G37" s="24">
        <v>10</v>
      </c>
      <c r="H37" s="26">
        <v>854</v>
      </c>
      <c r="I37" s="27">
        <f t="shared" si="0"/>
        <v>8540</v>
      </c>
    </row>
    <row r="38" spans="1:9" s="21" customFormat="1" ht="15" x14ac:dyDescent="0.2">
      <c r="A38" s="22">
        <v>29</v>
      </c>
      <c r="B38" s="23" t="s">
        <v>76</v>
      </c>
      <c r="C38" s="23" t="s">
        <v>23</v>
      </c>
      <c r="D38" s="24" t="str">
        <f t="shared" si="1"/>
        <v>2.9.1</v>
      </c>
      <c r="E38" s="25" t="s">
        <v>77</v>
      </c>
      <c r="F38" s="24" t="s">
        <v>33</v>
      </c>
      <c r="G38" s="24">
        <v>100</v>
      </c>
      <c r="H38" s="26">
        <v>388</v>
      </c>
      <c r="I38" s="27">
        <f t="shared" si="0"/>
        <v>38800</v>
      </c>
    </row>
    <row r="39" spans="1:9" s="21" customFormat="1" ht="30" x14ac:dyDescent="0.2">
      <c r="A39" s="22">
        <v>30</v>
      </c>
      <c r="B39" s="23" t="s">
        <v>78</v>
      </c>
      <c r="C39" s="23" t="s">
        <v>23</v>
      </c>
      <c r="D39" s="24" t="str">
        <f t="shared" si="1"/>
        <v>2.9.1</v>
      </c>
      <c r="E39" s="25" t="s">
        <v>79</v>
      </c>
      <c r="F39" s="24" t="s">
        <v>33</v>
      </c>
      <c r="G39" s="24">
        <v>100</v>
      </c>
      <c r="H39" s="26">
        <v>1699</v>
      </c>
      <c r="I39" s="27">
        <f t="shared" si="0"/>
        <v>169900</v>
      </c>
    </row>
    <row r="40" spans="1:9" s="21" customFormat="1" ht="15" x14ac:dyDescent="0.2">
      <c r="A40" s="22">
        <v>31</v>
      </c>
      <c r="B40" s="23" t="s">
        <v>80</v>
      </c>
      <c r="C40" s="23" t="s">
        <v>23</v>
      </c>
      <c r="D40" s="24" t="str">
        <f t="shared" si="1"/>
        <v>2.9.1</v>
      </c>
      <c r="E40" s="25" t="s">
        <v>81</v>
      </c>
      <c r="F40" s="24" t="s">
        <v>33</v>
      </c>
      <c r="G40" s="24">
        <v>5</v>
      </c>
      <c r="H40" s="26">
        <v>1199</v>
      </c>
      <c r="I40" s="27">
        <f t="shared" si="0"/>
        <v>5995</v>
      </c>
    </row>
    <row r="41" spans="1:9" s="21" customFormat="1" ht="15" x14ac:dyDescent="0.2">
      <c r="A41" s="22">
        <v>32</v>
      </c>
      <c r="B41" s="23" t="s">
        <v>82</v>
      </c>
      <c r="C41" s="23" t="s">
        <v>23</v>
      </c>
      <c r="D41" s="24" t="str">
        <f t="shared" si="1"/>
        <v>2.9.1</v>
      </c>
      <c r="E41" s="25" t="s">
        <v>83</v>
      </c>
      <c r="F41" s="24" t="s">
        <v>33</v>
      </c>
      <c r="G41" s="24">
        <v>20</v>
      </c>
      <c r="H41" s="26">
        <v>250</v>
      </c>
      <c r="I41" s="27">
        <f t="shared" si="0"/>
        <v>5000</v>
      </c>
    </row>
    <row r="42" spans="1:9" s="21" customFormat="1" ht="30" x14ac:dyDescent="0.2">
      <c r="A42" s="22">
        <v>33</v>
      </c>
      <c r="B42" s="23" t="s">
        <v>84</v>
      </c>
      <c r="C42" s="23" t="s">
        <v>23</v>
      </c>
      <c r="D42" s="24" t="str">
        <f t="shared" si="1"/>
        <v>2.9.1</v>
      </c>
      <c r="E42" s="25" t="s">
        <v>85</v>
      </c>
      <c r="F42" s="24" t="s">
        <v>33</v>
      </c>
      <c r="G42" s="24">
        <v>30</v>
      </c>
      <c r="H42" s="26">
        <v>235</v>
      </c>
      <c r="I42" s="27">
        <f t="shared" si="0"/>
        <v>7050</v>
      </c>
    </row>
    <row r="43" spans="1:9" s="21" customFormat="1" ht="15" x14ac:dyDescent="0.2">
      <c r="A43" s="22">
        <v>34</v>
      </c>
      <c r="B43" s="23" t="s">
        <v>86</v>
      </c>
      <c r="C43" s="23" t="s">
        <v>23</v>
      </c>
      <c r="D43" s="24" t="str">
        <f t="shared" si="1"/>
        <v>2.9.1</v>
      </c>
      <c r="E43" s="25" t="s">
        <v>87</v>
      </c>
      <c r="F43" s="24" t="s">
        <v>33</v>
      </c>
      <c r="G43" s="24">
        <v>20</v>
      </c>
      <c r="H43" s="26">
        <v>469</v>
      </c>
      <c r="I43" s="27">
        <f t="shared" si="0"/>
        <v>9380</v>
      </c>
    </row>
    <row r="44" spans="1:9" s="21" customFormat="1" ht="30" x14ac:dyDescent="0.2">
      <c r="A44" s="22">
        <v>35</v>
      </c>
      <c r="B44" s="23" t="s">
        <v>88</v>
      </c>
      <c r="C44" s="23" t="s">
        <v>23</v>
      </c>
      <c r="D44" s="24" t="str">
        <f t="shared" si="1"/>
        <v>2.9.1</v>
      </c>
      <c r="E44" s="25" t="s">
        <v>166</v>
      </c>
      <c r="F44" s="24" t="s">
        <v>33</v>
      </c>
      <c r="G44" s="24">
        <v>30</v>
      </c>
      <c r="H44" s="26">
        <v>940</v>
      </c>
      <c r="I44" s="27">
        <f t="shared" si="0"/>
        <v>28200</v>
      </c>
    </row>
    <row r="45" spans="1:9" s="21" customFormat="1" ht="30" x14ac:dyDescent="0.2">
      <c r="A45" s="22">
        <v>36</v>
      </c>
      <c r="B45" s="23" t="s">
        <v>89</v>
      </c>
      <c r="C45" s="23" t="s">
        <v>23</v>
      </c>
      <c r="D45" s="24" t="str">
        <f t="shared" si="1"/>
        <v>2.9.1</v>
      </c>
      <c r="E45" s="25" t="s">
        <v>90</v>
      </c>
      <c r="F45" s="24" t="s">
        <v>17</v>
      </c>
      <c r="G45" s="24">
        <v>20</v>
      </c>
      <c r="H45" s="26">
        <v>3032</v>
      </c>
      <c r="I45" s="27">
        <f t="shared" si="0"/>
        <v>60640</v>
      </c>
    </row>
    <row r="46" spans="1:9" s="21" customFormat="1" ht="30" x14ac:dyDescent="0.2">
      <c r="A46" s="22">
        <v>37</v>
      </c>
      <c r="B46" s="23" t="s">
        <v>91</v>
      </c>
      <c r="C46" s="23" t="s">
        <v>23</v>
      </c>
      <c r="D46" s="24" t="str">
        <f>+D51</f>
        <v>2.5.2</v>
      </c>
      <c r="E46" s="25" t="s">
        <v>92</v>
      </c>
      <c r="F46" s="24" t="s">
        <v>33</v>
      </c>
      <c r="G46" s="24">
        <v>15</v>
      </c>
      <c r="H46" s="26">
        <v>1260</v>
      </c>
      <c r="I46" s="27">
        <f t="shared" si="0"/>
        <v>18900</v>
      </c>
    </row>
    <row r="47" spans="1:9" s="21" customFormat="1" ht="15" x14ac:dyDescent="0.2">
      <c r="A47" s="22">
        <v>38</v>
      </c>
      <c r="B47" s="23" t="s">
        <v>93</v>
      </c>
      <c r="C47" s="23" t="s">
        <v>23</v>
      </c>
      <c r="D47" s="24" t="str">
        <f t="shared" si="1"/>
        <v>2.9.1</v>
      </c>
      <c r="E47" s="25" t="s">
        <v>94</v>
      </c>
      <c r="F47" s="24" t="s">
        <v>33</v>
      </c>
      <c r="G47" s="24">
        <v>80</v>
      </c>
      <c r="H47" s="26">
        <v>120</v>
      </c>
      <c r="I47" s="27">
        <f t="shared" si="0"/>
        <v>9600</v>
      </c>
    </row>
    <row r="48" spans="1:9" s="21" customFormat="1" ht="15" x14ac:dyDescent="0.2">
      <c r="A48" s="22">
        <v>39</v>
      </c>
      <c r="B48" s="23" t="s">
        <v>95</v>
      </c>
      <c r="C48" s="23" t="s">
        <v>23</v>
      </c>
      <c r="D48" s="24" t="str">
        <f t="shared" si="1"/>
        <v>2.9.1</v>
      </c>
      <c r="E48" s="25" t="s">
        <v>96</v>
      </c>
      <c r="F48" s="24" t="s">
        <v>33</v>
      </c>
      <c r="G48" s="24">
        <v>80</v>
      </c>
      <c r="H48" s="26">
        <v>350</v>
      </c>
      <c r="I48" s="27">
        <f t="shared" si="0"/>
        <v>28000</v>
      </c>
    </row>
    <row r="49" spans="1:9" s="21" customFormat="1" ht="15" x14ac:dyDescent="0.2">
      <c r="A49" s="22">
        <v>40</v>
      </c>
      <c r="B49" s="23" t="s">
        <v>97</v>
      </c>
      <c r="C49" s="23" t="s">
        <v>23</v>
      </c>
      <c r="D49" s="24" t="str">
        <f t="shared" si="1"/>
        <v>2.9.1</v>
      </c>
      <c r="E49" s="25" t="s">
        <v>98</v>
      </c>
      <c r="F49" s="24" t="s">
        <v>33</v>
      </c>
      <c r="G49" s="24">
        <v>70</v>
      </c>
      <c r="H49" s="26">
        <v>245</v>
      </c>
      <c r="I49" s="27">
        <f t="shared" si="0"/>
        <v>17150</v>
      </c>
    </row>
    <row r="50" spans="1:9" s="21" customFormat="1" ht="15" x14ac:dyDescent="0.2">
      <c r="A50" s="22">
        <v>41</v>
      </c>
      <c r="B50" s="23" t="s">
        <v>99</v>
      </c>
      <c r="C50" s="23" t="s">
        <v>23</v>
      </c>
      <c r="D50" s="24" t="str">
        <f t="shared" si="1"/>
        <v>2.9.1</v>
      </c>
      <c r="E50" s="25" t="s">
        <v>100</v>
      </c>
      <c r="F50" s="24" t="s">
        <v>33</v>
      </c>
      <c r="G50" s="24">
        <v>15</v>
      </c>
      <c r="H50" s="26">
        <v>1500</v>
      </c>
      <c r="I50" s="27">
        <f t="shared" si="0"/>
        <v>22500</v>
      </c>
    </row>
    <row r="51" spans="1:9" s="21" customFormat="1" ht="30" x14ac:dyDescent="0.2">
      <c r="A51" s="22">
        <v>42</v>
      </c>
      <c r="B51" s="23" t="s">
        <v>101</v>
      </c>
      <c r="C51" s="23" t="s">
        <v>102</v>
      </c>
      <c r="D51" s="24" t="s">
        <v>103</v>
      </c>
      <c r="E51" s="25" t="s">
        <v>104</v>
      </c>
      <c r="F51" s="24" t="s">
        <v>33</v>
      </c>
      <c r="G51" s="24">
        <v>70</v>
      </c>
      <c r="H51" s="26">
        <v>1100</v>
      </c>
      <c r="I51" s="27">
        <f t="shared" si="0"/>
        <v>77000</v>
      </c>
    </row>
    <row r="52" spans="1:9" s="21" customFormat="1" ht="42.75" customHeight="1" thickBot="1" x14ac:dyDescent="0.25">
      <c r="A52" s="22">
        <v>43</v>
      </c>
      <c r="B52" s="30" t="s">
        <v>105</v>
      </c>
      <c r="C52" s="30" t="s">
        <v>23</v>
      </c>
      <c r="D52" s="31" t="s">
        <v>106</v>
      </c>
      <c r="E52" s="32" t="s">
        <v>107</v>
      </c>
      <c r="F52" s="31" t="s">
        <v>33</v>
      </c>
      <c r="G52" s="31">
        <v>30</v>
      </c>
      <c r="H52" s="33">
        <v>1142</v>
      </c>
      <c r="I52" s="34">
        <f t="shared" si="0"/>
        <v>34260</v>
      </c>
    </row>
    <row r="53" spans="1:9" ht="13.5" thickBot="1" x14ac:dyDescent="0.25">
      <c r="I53" s="35">
        <f>SUM(I10:I52)</f>
        <v>1115677.5</v>
      </c>
    </row>
    <row r="54" spans="1:9" ht="13.5" thickBot="1" x14ac:dyDescent="0.25"/>
    <row r="55" spans="1:9" x14ac:dyDescent="0.2">
      <c r="B55" s="36" t="s">
        <v>108</v>
      </c>
      <c r="C55" s="37"/>
      <c r="D55" s="37"/>
      <c r="E55" s="38"/>
    </row>
    <row r="56" spans="1:9" ht="48" customHeight="1" x14ac:dyDescent="0.2">
      <c r="B56" s="39"/>
      <c r="C56" s="96" t="s">
        <v>109</v>
      </c>
      <c r="D56" s="96"/>
      <c r="E56" s="97"/>
    </row>
    <row r="57" spans="1:9" ht="13.5" customHeight="1" thickBot="1" x14ac:dyDescent="0.25">
      <c r="B57" s="39"/>
      <c r="C57" s="40"/>
      <c r="D57" s="40"/>
      <c r="E57" s="41"/>
    </row>
    <row r="58" spans="1:9" ht="13.5" customHeight="1" x14ac:dyDescent="0.2">
      <c r="B58" s="42"/>
      <c r="C58" s="43"/>
      <c r="D58" s="43"/>
      <c r="E58" s="44"/>
    </row>
    <row r="59" spans="1:9" x14ac:dyDescent="0.2">
      <c r="B59" s="45" t="s">
        <v>110</v>
      </c>
      <c r="C59" s="46"/>
      <c r="D59" s="46"/>
      <c r="E59" s="47"/>
    </row>
    <row r="60" spans="1:9" ht="43.5" customHeight="1" thickBot="1" x14ac:dyDescent="0.25">
      <c r="B60" s="48"/>
      <c r="C60" s="90" t="s">
        <v>111</v>
      </c>
      <c r="D60" s="90"/>
      <c r="E60" s="91"/>
    </row>
    <row r="61" spans="1:9" ht="13.5" customHeight="1" x14ac:dyDescent="0.2">
      <c r="B61" s="39"/>
      <c r="C61" s="40"/>
      <c r="D61" s="40"/>
      <c r="E61" s="41"/>
    </row>
    <row r="62" spans="1:9" x14ac:dyDescent="0.2">
      <c r="B62" s="45" t="s">
        <v>112</v>
      </c>
      <c r="C62" s="46"/>
      <c r="D62" s="46"/>
      <c r="E62" s="47"/>
    </row>
    <row r="63" spans="1:9" ht="43.5" customHeight="1" thickBot="1" x14ac:dyDescent="0.25">
      <c r="B63" s="48"/>
      <c r="C63" s="90" t="s">
        <v>113</v>
      </c>
      <c r="D63" s="90"/>
      <c r="E63" s="91"/>
    </row>
    <row r="64" spans="1:9" ht="13.5" customHeight="1" x14ac:dyDescent="0.2">
      <c r="B64" s="39"/>
      <c r="C64" s="40"/>
      <c r="D64" s="40"/>
      <c r="E64" s="41"/>
    </row>
    <row r="65" spans="2:5" x14ac:dyDescent="0.2">
      <c r="B65" s="45" t="s">
        <v>114</v>
      </c>
      <c r="C65" s="46"/>
      <c r="D65" s="46"/>
      <c r="E65" s="47"/>
    </row>
    <row r="66" spans="2:5" ht="43.5" customHeight="1" thickBot="1" x14ac:dyDescent="0.25">
      <c r="B66" s="48"/>
      <c r="C66" s="90" t="s">
        <v>115</v>
      </c>
      <c r="D66" s="90"/>
      <c r="E66" s="91"/>
    </row>
    <row r="67" spans="2:5" ht="13.5" customHeight="1" x14ac:dyDescent="0.2">
      <c r="B67" s="39"/>
      <c r="C67" s="40"/>
      <c r="D67" s="40"/>
      <c r="E67" s="41"/>
    </row>
    <row r="68" spans="2:5" x14ac:dyDescent="0.2">
      <c r="B68" s="45" t="s">
        <v>116</v>
      </c>
      <c r="C68" s="46"/>
      <c r="D68" s="46"/>
      <c r="E68" s="47"/>
    </row>
    <row r="69" spans="2:5" ht="43.5" customHeight="1" thickBot="1" x14ac:dyDescent="0.25">
      <c r="B69" s="48"/>
      <c r="C69" s="90" t="s">
        <v>117</v>
      </c>
      <c r="D69" s="90"/>
      <c r="E69" s="91"/>
    </row>
    <row r="70" spans="2:5" ht="13.5" customHeight="1" x14ac:dyDescent="0.2">
      <c r="B70" s="39"/>
      <c r="C70" s="40"/>
      <c r="D70" s="40"/>
      <c r="E70" s="41"/>
    </row>
    <row r="71" spans="2:5" x14ac:dyDescent="0.2">
      <c r="B71" s="45" t="s">
        <v>118</v>
      </c>
      <c r="C71" s="46"/>
      <c r="D71" s="46"/>
      <c r="E71" s="47"/>
    </row>
    <row r="72" spans="2:5" ht="43.5" customHeight="1" thickBot="1" x14ac:dyDescent="0.25">
      <c r="B72" s="48"/>
      <c r="C72" s="90" t="s">
        <v>119</v>
      </c>
      <c r="D72" s="90"/>
      <c r="E72" s="91"/>
    </row>
    <row r="73" spans="2:5" ht="22.5" customHeight="1" x14ac:dyDescent="0.2">
      <c r="B73" s="39"/>
      <c r="C73" s="40"/>
      <c r="D73" s="40"/>
      <c r="E73" s="41"/>
    </row>
    <row r="74" spans="2:5" x14ac:dyDescent="0.2">
      <c r="B74" s="49" t="s">
        <v>120</v>
      </c>
      <c r="C74" s="46"/>
      <c r="D74" s="46"/>
      <c r="E74" s="47"/>
    </row>
    <row r="75" spans="2:5" x14ac:dyDescent="0.2">
      <c r="B75" s="49"/>
      <c r="C75" s="50"/>
      <c r="D75" s="50"/>
      <c r="E75" s="51"/>
    </row>
    <row r="76" spans="2:5" x14ac:dyDescent="0.2">
      <c r="B76" s="49" t="s">
        <v>121</v>
      </c>
      <c r="C76" s="46"/>
      <c r="D76" s="46"/>
      <c r="E76" s="47"/>
    </row>
    <row r="77" spans="2:5" ht="118.5" customHeight="1" x14ac:dyDescent="0.2">
      <c r="B77" s="52"/>
      <c r="C77" s="92" t="str">
        <f>+[2]TONER!C190</f>
        <v>a) LUGAR DE ENTREGA:  Oficina Central del Ministerio de Trabajo, Planificacion y Recursos Humanos, sito en Av. Colon Nº 960 -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v>
      </c>
      <c r="D77" s="92"/>
      <c r="E77" s="93"/>
    </row>
    <row r="78" spans="2:5" x14ac:dyDescent="0.2">
      <c r="B78" s="52"/>
      <c r="C78" s="53"/>
      <c r="D78" s="53"/>
      <c r="E78" s="53"/>
    </row>
    <row r="79" spans="2:5" x14ac:dyDescent="0.2">
      <c r="B79" s="49" t="s">
        <v>122</v>
      </c>
      <c r="C79" s="46"/>
      <c r="D79" s="46"/>
      <c r="E79" s="47"/>
    </row>
    <row r="80" spans="2:5" ht="25.5" customHeight="1" x14ac:dyDescent="0.2">
      <c r="B80" s="52"/>
      <c r="C80" s="94" t="s">
        <v>123</v>
      </c>
      <c r="D80" s="94"/>
      <c r="E80" s="95"/>
    </row>
    <row r="81" spans="2:5" x14ac:dyDescent="0.2">
      <c r="B81" s="49" t="s">
        <v>124</v>
      </c>
      <c r="C81" s="54"/>
      <c r="D81" s="54"/>
      <c r="E81" s="55"/>
    </row>
    <row r="82" spans="2:5" x14ac:dyDescent="0.2">
      <c r="B82" s="52"/>
      <c r="C82" s="56" t="s">
        <v>125</v>
      </c>
      <c r="D82" s="56"/>
      <c r="E82" s="57"/>
    </row>
    <row r="83" spans="2:5" x14ac:dyDescent="0.2">
      <c r="B83" s="49" t="s">
        <v>126</v>
      </c>
      <c r="C83" s="46"/>
      <c r="D83" s="46"/>
      <c r="E83" s="47"/>
    </row>
    <row r="84" spans="2:5" x14ac:dyDescent="0.2">
      <c r="B84" s="49"/>
      <c r="C84" s="53"/>
      <c r="D84" s="53"/>
      <c r="E84" s="53"/>
    </row>
    <row r="85" spans="2:5" ht="13.5" thickBot="1" x14ac:dyDescent="0.25">
      <c r="B85" s="58"/>
      <c r="C85" s="59"/>
      <c r="D85" s="59"/>
      <c r="E85" s="60"/>
    </row>
  </sheetData>
  <autoFilter ref="A9:I53" xr:uid="{00000000-0009-0000-0000-000000000000}"/>
  <mergeCells count="15">
    <mergeCell ref="C72:E72"/>
    <mergeCell ref="C77:E77"/>
    <mergeCell ref="C80:E80"/>
    <mergeCell ref="A7:B7"/>
    <mergeCell ref="C56:E56"/>
    <mergeCell ref="C60:E60"/>
    <mergeCell ref="C63:E63"/>
    <mergeCell ref="C66:E66"/>
    <mergeCell ref="C69:E69"/>
    <mergeCell ref="A6:B6"/>
    <mergeCell ref="B2:I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zoomScale="90" zoomScaleNormal="90" workbookViewId="0">
      <selection activeCell="T17" sqref="T17"/>
    </sheetView>
  </sheetViews>
  <sheetFormatPr baseColWidth="10" defaultColWidth="11" defaultRowHeight="13.5" x14ac:dyDescent="0.25"/>
  <cols>
    <col min="1" max="5" width="4.42578125" style="63" customWidth="1"/>
    <col min="6" max="6" width="5.85546875" style="63" customWidth="1"/>
    <col min="7" max="7" width="4.42578125" style="64" customWidth="1"/>
    <col min="8" max="14" width="4.42578125" style="63" customWidth="1"/>
    <col min="15" max="15" width="14.85546875" style="63" customWidth="1"/>
    <col min="16" max="16" width="17" style="63" customWidth="1"/>
    <col min="17" max="17" width="14.7109375" style="63" customWidth="1"/>
    <col min="18" max="18" width="16.42578125" style="63" customWidth="1"/>
    <col min="19" max="16384" width="11" style="63"/>
  </cols>
  <sheetData>
    <row r="1" spans="1:18" ht="15.75" customHeight="1" thickBot="1" x14ac:dyDescent="0.3">
      <c r="A1" s="137" t="s">
        <v>3</v>
      </c>
      <c r="B1" s="138"/>
      <c r="C1" s="138"/>
      <c r="D1" s="139">
        <v>2022</v>
      </c>
      <c r="E1" s="140"/>
      <c r="F1" s="61"/>
      <c r="G1" s="61"/>
      <c r="H1" s="62"/>
      <c r="I1" s="62"/>
      <c r="J1" s="62"/>
      <c r="K1" s="62"/>
      <c r="L1" s="62"/>
      <c r="M1" s="62"/>
      <c r="N1" s="62"/>
      <c r="P1" s="141" t="s">
        <v>127</v>
      </c>
      <c r="Q1" s="142"/>
    </row>
    <row r="2" spans="1:18" ht="15.75" customHeight="1" thickBot="1" x14ac:dyDescent="0.3">
      <c r="H2" s="62"/>
      <c r="I2" s="62"/>
      <c r="J2" s="62"/>
      <c r="K2" s="62"/>
      <c r="L2" s="62"/>
      <c r="M2" s="62"/>
      <c r="N2" s="62"/>
      <c r="P2" s="143"/>
      <c r="Q2" s="144"/>
    </row>
    <row r="3" spans="1:18" ht="14.25" thickBot="1" x14ac:dyDescent="0.3"/>
    <row r="4" spans="1:18" ht="18" customHeight="1" thickBot="1" x14ac:dyDescent="0.35">
      <c r="A4" s="145" t="s">
        <v>128</v>
      </c>
      <c r="B4" s="146"/>
      <c r="C4" s="146"/>
      <c r="D4" s="146"/>
      <c r="E4" s="146"/>
      <c r="F4" s="147"/>
      <c r="G4" s="148" t="s">
        <v>159</v>
      </c>
      <c r="H4" s="149"/>
      <c r="I4" s="149"/>
      <c r="J4" s="149"/>
      <c r="K4" s="149"/>
      <c r="L4" s="149"/>
      <c r="M4" s="149"/>
      <c r="N4" s="149"/>
      <c r="O4" s="149"/>
      <c r="P4" s="149"/>
      <c r="Q4" s="150"/>
    </row>
    <row r="5" spans="1:18" ht="34.5" customHeight="1" thickBot="1" x14ac:dyDescent="0.35">
      <c r="A5" s="151" t="s">
        <v>129</v>
      </c>
      <c r="B5" s="152"/>
      <c r="C5" s="152"/>
      <c r="D5" s="152"/>
      <c r="E5" s="152"/>
      <c r="F5" s="153"/>
      <c r="G5" s="154" t="s">
        <v>160</v>
      </c>
      <c r="H5" s="155"/>
      <c r="I5" s="155"/>
      <c r="J5" s="155"/>
      <c r="K5" s="155"/>
      <c r="L5" s="155"/>
      <c r="M5" s="155"/>
      <c r="N5" s="155"/>
      <c r="O5" s="155"/>
      <c r="P5" s="155"/>
      <c r="Q5" s="156"/>
    </row>
    <row r="6" spans="1:18" ht="18" customHeight="1" thickBot="1" x14ac:dyDescent="0.35">
      <c r="A6" s="151" t="s">
        <v>130</v>
      </c>
      <c r="B6" s="152"/>
      <c r="C6" s="152"/>
      <c r="D6" s="152"/>
      <c r="E6" s="152"/>
      <c r="F6" s="153"/>
      <c r="G6" s="157" t="s">
        <v>163</v>
      </c>
      <c r="H6" s="158"/>
      <c r="I6" s="158"/>
      <c r="J6" s="158"/>
      <c r="K6" s="158"/>
      <c r="L6" s="158"/>
      <c r="M6" s="158"/>
      <c r="N6" s="158"/>
      <c r="O6" s="158"/>
      <c r="P6" s="158"/>
      <c r="Q6" s="159"/>
    </row>
    <row r="7" spans="1:18" ht="18" customHeight="1" thickBot="1" x14ac:dyDescent="0.35">
      <c r="A7" s="151" t="s">
        <v>131</v>
      </c>
      <c r="B7" s="152"/>
      <c r="C7" s="152"/>
      <c r="D7" s="152"/>
      <c r="E7" s="152"/>
      <c r="F7" s="153"/>
      <c r="G7" s="157" t="str">
        <f>+G6</f>
        <v>Ministerio de Trabajo, Planificacion y Reursos Humanos</v>
      </c>
      <c r="H7" s="158"/>
      <c r="I7" s="158"/>
      <c r="J7" s="158"/>
      <c r="K7" s="158"/>
      <c r="L7" s="158"/>
      <c r="M7" s="158"/>
      <c r="N7" s="158"/>
      <c r="O7" s="158"/>
      <c r="P7" s="158"/>
      <c r="Q7" s="159"/>
    </row>
    <row r="8" spans="1:18" ht="18" customHeight="1" thickBot="1" x14ac:dyDescent="0.3">
      <c r="A8" s="160" t="s">
        <v>132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</row>
    <row r="9" spans="1:18" ht="18" customHeight="1" x14ac:dyDescent="0.3">
      <c r="A9" s="135" t="s">
        <v>133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65"/>
      <c r="P9" s="65"/>
      <c r="Q9" s="66"/>
    </row>
    <row r="10" spans="1:18" ht="65.25" customHeight="1" x14ac:dyDescent="0.25">
      <c r="A10" s="114" t="s">
        <v>167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8" ht="9" customHeight="1" thickBot="1" x14ac:dyDescent="0.3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8" ht="15.75" customHeight="1" thickBot="1" x14ac:dyDescent="0.3">
      <c r="A12" s="117" t="s">
        <v>134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</row>
    <row r="13" spans="1:18" ht="15.75" customHeight="1" thickBot="1" x14ac:dyDescent="0.3">
      <c r="A13" s="120" t="s">
        <v>135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2"/>
      <c r="O13" s="123" t="s">
        <v>136</v>
      </c>
      <c r="P13" s="124"/>
      <c r="Q13" s="127" t="s">
        <v>137</v>
      </c>
    </row>
    <row r="14" spans="1:18" ht="15.75" customHeight="1" thickBot="1" x14ac:dyDescent="0.3">
      <c r="A14" s="71" t="s">
        <v>138</v>
      </c>
      <c r="B14" s="78" t="s">
        <v>139</v>
      </c>
      <c r="C14" s="78" t="s">
        <v>140</v>
      </c>
      <c r="D14" s="78" t="s">
        <v>141</v>
      </c>
      <c r="E14" s="78" t="s">
        <v>142</v>
      </c>
      <c r="F14" s="78" t="s">
        <v>143</v>
      </c>
      <c r="G14" s="79" t="s">
        <v>144</v>
      </c>
      <c r="H14" s="78" t="s">
        <v>145</v>
      </c>
      <c r="I14" s="78" t="s">
        <v>146</v>
      </c>
      <c r="J14" s="78" t="s">
        <v>147</v>
      </c>
      <c r="K14" s="78" t="s">
        <v>147</v>
      </c>
      <c r="L14" s="78" t="s">
        <v>148</v>
      </c>
      <c r="M14" s="80" t="s">
        <v>149</v>
      </c>
      <c r="N14" s="81" t="s">
        <v>150</v>
      </c>
      <c r="O14" s="125"/>
      <c r="P14" s="126"/>
      <c r="Q14" s="128"/>
    </row>
    <row r="15" spans="1:18" ht="17.25" customHeight="1" x14ac:dyDescent="0.25">
      <c r="A15" s="76">
        <v>7</v>
      </c>
      <c r="B15" s="73">
        <v>0</v>
      </c>
      <c r="C15" s="73">
        <v>0</v>
      </c>
      <c r="D15" s="73">
        <v>1</v>
      </c>
      <c r="E15" s="73">
        <v>0</v>
      </c>
      <c r="F15" s="73">
        <v>4901</v>
      </c>
      <c r="G15" s="73">
        <v>1</v>
      </c>
      <c r="H15" s="73">
        <v>3</v>
      </c>
      <c r="I15" s="73">
        <v>2</v>
      </c>
      <c r="J15" s="73">
        <v>3</v>
      </c>
      <c r="K15" s="73">
        <v>4</v>
      </c>
      <c r="L15" s="73">
        <v>0</v>
      </c>
      <c r="M15" s="73">
        <v>1</v>
      </c>
      <c r="N15" s="73" t="s">
        <v>151</v>
      </c>
      <c r="O15" s="131" t="s">
        <v>152</v>
      </c>
      <c r="P15" s="131"/>
      <c r="Q15" s="85">
        <v>106002.5</v>
      </c>
      <c r="R15" s="77"/>
    </row>
    <row r="16" spans="1:18" ht="17.25" customHeight="1" x14ac:dyDescent="0.25">
      <c r="A16" s="76">
        <v>8</v>
      </c>
      <c r="B16" s="73">
        <v>0</v>
      </c>
      <c r="C16" s="73">
        <v>0</v>
      </c>
      <c r="D16" s="73">
        <v>1</v>
      </c>
      <c r="E16" s="73">
        <v>0</v>
      </c>
      <c r="F16" s="73">
        <v>4901</v>
      </c>
      <c r="G16" s="73">
        <v>3</v>
      </c>
      <c r="H16" s="73">
        <v>6</v>
      </c>
      <c r="I16" s="73">
        <v>2</v>
      </c>
      <c r="J16" s="73">
        <v>3</v>
      </c>
      <c r="K16" s="73">
        <v>4</v>
      </c>
      <c r="L16" s="73">
        <v>0</v>
      </c>
      <c r="M16" s="73">
        <v>1</v>
      </c>
      <c r="N16" s="73" t="s">
        <v>151</v>
      </c>
      <c r="O16" s="131" t="s">
        <v>152</v>
      </c>
      <c r="P16" s="131"/>
      <c r="Q16" s="85">
        <v>27000</v>
      </c>
      <c r="R16" s="77"/>
    </row>
    <row r="17" spans="1:18" ht="17.25" customHeight="1" x14ac:dyDescent="0.25">
      <c r="A17" s="76">
        <v>1</v>
      </c>
      <c r="B17" s="73">
        <v>0</v>
      </c>
      <c r="C17" s="73">
        <v>0</v>
      </c>
      <c r="D17" s="73">
        <v>1</v>
      </c>
      <c r="E17" s="73">
        <v>0</v>
      </c>
      <c r="F17" s="73">
        <v>4901</v>
      </c>
      <c r="G17" s="73">
        <v>3</v>
      </c>
      <c r="H17" s="73">
        <v>6</v>
      </c>
      <c r="I17" s="73">
        <v>2</v>
      </c>
      <c r="J17" s="73">
        <v>4</v>
      </c>
      <c r="K17" s="73">
        <v>3</v>
      </c>
      <c r="L17" s="73">
        <v>0</v>
      </c>
      <c r="M17" s="73">
        <v>1</v>
      </c>
      <c r="N17" s="73" t="s">
        <v>151</v>
      </c>
      <c r="O17" s="129" t="s">
        <v>162</v>
      </c>
      <c r="P17" s="130"/>
      <c r="Q17" s="85">
        <f>+'ELEM. LIMPIEZA'!I15</f>
        <v>2550</v>
      </c>
      <c r="R17" s="77"/>
    </row>
    <row r="18" spans="1:18" ht="27.75" customHeight="1" x14ac:dyDescent="0.25">
      <c r="A18" s="72">
        <v>4</v>
      </c>
      <c r="B18" s="73">
        <v>0</v>
      </c>
      <c r="C18" s="73">
        <v>0</v>
      </c>
      <c r="D18" s="73">
        <v>1</v>
      </c>
      <c r="E18" s="73">
        <v>0</v>
      </c>
      <c r="F18" s="73">
        <v>4901</v>
      </c>
      <c r="G18" s="73">
        <v>3</v>
      </c>
      <c r="H18" s="73">
        <v>4</v>
      </c>
      <c r="I18" s="73">
        <v>2</v>
      </c>
      <c r="J18" s="73">
        <v>5</v>
      </c>
      <c r="K18" s="73">
        <v>2</v>
      </c>
      <c r="L18" s="73">
        <v>0</v>
      </c>
      <c r="M18" s="73">
        <v>1</v>
      </c>
      <c r="N18" s="73" t="s">
        <v>151</v>
      </c>
      <c r="O18" s="129" t="s">
        <v>153</v>
      </c>
      <c r="P18" s="130"/>
      <c r="Q18" s="85">
        <f>+'ELEM. LIMPIEZA'!I46+'ELEM. LIMPIEZA'!I51</f>
        <v>95900</v>
      </c>
    </row>
    <row r="19" spans="1:18" ht="17.25" customHeight="1" x14ac:dyDescent="0.25">
      <c r="A19" s="72">
        <v>1</v>
      </c>
      <c r="B19" s="73">
        <v>0</v>
      </c>
      <c r="C19" s="73">
        <v>0</v>
      </c>
      <c r="D19" s="73">
        <v>1</v>
      </c>
      <c r="E19" s="73">
        <v>0</v>
      </c>
      <c r="F19" s="73">
        <v>4901</v>
      </c>
      <c r="G19" s="73">
        <v>3</v>
      </c>
      <c r="H19" s="73">
        <v>6</v>
      </c>
      <c r="I19" s="73">
        <v>2</v>
      </c>
      <c r="J19" s="73">
        <v>5</v>
      </c>
      <c r="K19" s="73">
        <v>4</v>
      </c>
      <c r="L19" s="73">
        <v>0</v>
      </c>
      <c r="M19" s="73">
        <v>1</v>
      </c>
      <c r="N19" s="73" t="s">
        <v>151</v>
      </c>
      <c r="O19" s="131" t="s">
        <v>154</v>
      </c>
      <c r="P19" s="131"/>
      <c r="Q19" s="85">
        <f>+'ELEM. LIMPIEZA'!I16+'ELEM. LIMPIEZA'!I17+'ELEM. LIMPIEZA'!I18+'ELEM. LIMPIEZA'!I19+'ELEM. LIMPIEZA'!I20+'ELEM. LIMPIEZA'!I52</f>
        <v>161640</v>
      </c>
      <c r="R19" s="74"/>
    </row>
    <row r="20" spans="1:18" ht="21" customHeight="1" x14ac:dyDescent="0.25">
      <c r="A20" s="72">
        <v>1</v>
      </c>
      <c r="B20" s="73">
        <v>0</v>
      </c>
      <c r="C20" s="73">
        <v>0</v>
      </c>
      <c r="D20" s="73">
        <v>1</v>
      </c>
      <c r="E20" s="73">
        <v>0</v>
      </c>
      <c r="F20" s="73">
        <v>4901</v>
      </c>
      <c r="G20" s="73">
        <v>3</v>
      </c>
      <c r="H20" s="73">
        <v>6</v>
      </c>
      <c r="I20" s="73">
        <v>2</v>
      </c>
      <c r="J20" s="73">
        <v>9</v>
      </c>
      <c r="K20" s="73">
        <v>1</v>
      </c>
      <c r="L20" s="73">
        <v>0</v>
      </c>
      <c r="M20" s="73">
        <v>1</v>
      </c>
      <c r="N20" s="73" t="s">
        <v>151</v>
      </c>
      <c r="O20" s="131" t="s">
        <v>155</v>
      </c>
      <c r="P20" s="131"/>
      <c r="Q20" s="85">
        <v>300000</v>
      </c>
      <c r="R20" s="82"/>
    </row>
    <row r="21" spans="1:18" ht="17.25" customHeight="1" x14ac:dyDescent="0.25">
      <c r="A21" s="72">
        <v>3</v>
      </c>
      <c r="B21" s="73">
        <v>0</v>
      </c>
      <c r="C21" s="73">
        <v>0</v>
      </c>
      <c r="D21" s="73">
        <v>1</v>
      </c>
      <c r="E21" s="73">
        <v>0</v>
      </c>
      <c r="F21" s="73">
        <v>4901</v>
      </c>
      <c r="G21" s="73">
        <v>1</v>
      </c>
      <c r="H21" s="73">
        <v>3</v>
      </c>
      <c r="I21" s="73">
        <v>2</v>
      </c>
      <c r="J21" s="73">
        <v>9</v>
      </c>
      <c r="K21" s="73">
        <v>1</v>
      </c>
      <c r="L21" s="73">
        <v>0</v>
      </c>
      <c r="M21" s="73">
        <v>1</v>
      </c>
      <c r="N21" s="73" t="s">
        <v>151</v>
      </c>
      <c r="O21" s="131" t="s">
        <v>155</v>
      </c>
      <c r="P21" s="131"/>
      <c r="Q21" s="85">
        <v>200000</v>
      </c>
      <c r="R21" s="74"/>
    </row>
    <row r="22" spans="1:18" ht="17.25" customHeight="1" x14ac:dyDescent="0.25">
      <c r="A22" s="72">
        <v>6</v>
      </c>
      <c r="B22" s="73">
        <v>0</v>
      </c>
      <c r="C22" s="73">
        <v>0</v>
      </c>
      <c r="D22" s="73">
        <v>1</v>
      </c>
      <c r="E22" s="73">
        <v>0</v>
      </c>
      <c r="F22" s="73">
        <v>4901</v>
      </c>
      <c r="G22" s="73">
        <v>1</v>
      </c>
      <c r="H22" s="73">
        <v>3</v>
      </c>
      <c r="I22" s="73">
        <v>2</v>
      </c>
      <c r="J22" s="73">
        <v>9</v>
      </c>
      <c r="K22" s="73">
        <v>1</v>
      </c>
      <c r="L22" s="73">
        <v>0</v>
      </c>
      <c r="M22" s="73">
        <v>1</v>
      </c>
      <c r="N22" s="73" t="s">
        <v>151</v>
      </c>
      <c r="O22" s="131" t="s">
        <v>155</v>
      </c>
      <c r="P22" s="131"/>
      <c r="Q22" s="85">
        <v>179505</v>
      </c>
      <c r="R22" s="74"/>
    </row>
    <row r="23" spans="1:18" ht="28.5" customHeight="1" thickBot="1" x14ac:dyDescent="0.3">
      <c r="A23" s="83">
        <v>5</v>
      </c>
      <c r="B23" s="84">
        <v>0</v>
      </c>
      <c r="C23" s="84">
        <v>0</v>
      </c>
      <c r="D23" s="84">
        <v>1</v>
      </c>
      <c r="E23" s="84">
        <v>0</v>
      </c>
      <c r="F23" s="84">
        <v>4901</v>
      </c>
      <c r="G23" s="84">
        <v>3</v>
      </c>
      <c r="H23" s="84">
        <v>6</v>
      </c>
      <c r="I23" s="84">
        <v>2</v>
      </c>
      <c r="J23" s="84">
        <v>9</v>
      </c>
      <c r="K23" s="84">
        <v>5</v>
      </c>
      <c r="L23" s="84">
        <v>0</v>
      </c>
      <c r="M23" s="84">
        <v>1</v>
      </c>
      <c r="N23" s="84" t="s">
        <v>151</v>
      </c>
      <c r="O23" s="113" t="s">
        <v>156</v>
      </c>
      <c r="P23" s="113"/>
      <c r="Q23" s="86">
        <f>+'ELEM. LIMPIEZA'!I10</f>
        <v>43080</v>
      </c>
    </row>
    <row r="24" spans="1:18" ht="28.5" customHeight="1" thickBot="1" x14ac:dyDescent="0.3">
      <c r="A24" s="132" t="s">
        <v>168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Q24" s="75">
        <f>SUM(Q15:Q23)</f>
        <v>1115677.5</v>
      </c>
      <c r="R24" s="74"/>
    </row>
    <row r="25" spans="1:18" ht="18" customHeight="1" thickBot="1" x14ac:dyDescent="0.3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100"/>
    </row>
    <row r="26" spans="1:18" ht="17.25" customHeight="1" thickBot="1" x14ac:dyDescent="0.3">
      <c r="A26" s="101" t="s">
        <v>157</v>
      </c>
      <c r="B26" s="102"/>
      <c r="C26" s="102"/>
      <c r="D26" s="102"/>
      <c r="E26" s="102"/>
      <c r="F26" s="103"/>
      <c r="G26" s="104"/>
      <c r="H26" s="105"/>
      <c r="I26" s="105"/>
      <c r="J26" s="105"/>
      <c r="K26" s="105"/>
      <c r="L26" s="105"/>
      <c r="M26" s="105"/>
      <c r="N26" s="105"/>
      <c r="O26" s="105"/>
      <c r="P26" s="105"/>
      <c r="Q26" s="106"/>
    </row>
    <row r="27" spans="1:18" ht="18" customHeight="1" x14ac:dyDescent="0.25">
      <c r="A27" s="107" t="s">
        <v>158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9"/>
    </row>
    <row r="28" spans="1:18" ht="4.5" customHeight="1" thickBot="1" x14ac:dyDescent="0.3">
      <c r="A28" s="110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2"/>
    </row>
  </sheetData>
  <mergeCells count="32">
    <mergeCell ref="A8:Q8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O15:P15"/>
    <mergeCell ref="O17:P17"/>
    <mergeCell ref="O22:P22"/>
    <mergeCell ref="A24:P24"/>
    <mergeCell ref="A9:N9"/>
    <mergeCell ref="O18:P18"/>
    <mergeCell ref="O19:P19"/>
    <mergeCell ref="O20:P20"/>
    <mergeCell ref="O21:P21"/>
    <mergeCell ref="O16:P16"/>
    <mergeCell ref="A10:Q10"/>
    <mergeCell ref="A12:Q12"/>
    <mergeCell ref="A13:N13"/>
    <mergeCell ref="O13:P14"/>
    <mergeCell ref="Q13:Q14"/>
    <mergeCell ref="A25:Q25"/>
    <mergeCell ref="A26:F26"/>
    <mergeCell ref="G26:Q26"/>
    <mergeCell ref="A27:Q28"/>
    <mergeCell ref="O23:P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ELEM. LIMPIEZA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ELIAS QUINTAR</cp:lastModifiedBy>
  <dcterms:created xsi:type="dcterms:W3CDTF">2022-02-08T12:50:23Z</dcterms:created>
  <dcterms:modified xsi:type="dcterms:W3CDTF">2022-03-07T11:34:57Z</dcterms:modified>
</cp:coreProperties>
</file>