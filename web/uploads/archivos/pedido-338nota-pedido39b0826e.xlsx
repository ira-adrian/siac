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heckCompatibility="1" defaultThemeVersion="124226"/>
  <bookViews>
    <workbookView xWindow="-105" yWindow="15" windowWidth="20640" windowHeight="11640" tabRatio="500" activeTab="2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NotaPedido'!$A$1:$K$14</definedName>
    <definedName name="_xlnm.Print_Area" localSheetId="2">'Autor Gastar'!$A$1:$Q$27</definedName>
    <definedName name="_xlnm.Print_Area" localSheetId="0">'Necesidades Trimestrales'!$A$2:$I$28</definedName>
  </definedNames>
  <calcPr calcId="144525"/>
</workbook>
</file>

<file path=xl/calcChain.xml><?xml version="1.0" encoding="utf-8"?>
<calcChain xmlns="http://schemas.openxmlformats.org/spreadsheetml/2006/main">
  <c r="J13" i="2" l="1"/>
  <c r="K12" i="2"/>
  <c r="I10" i="1"/>
  <c r="H10" i="1"/>
  <c r="A10" i="3" l="1"/>
  <c r="G6" i="3" l="1"/>
  <c r="G7" i="3"/>
  <c r="D7" i="2"/>
  <c r="D3" i="2"/>
  <c r="G4" i="3" s="1"/>
  <c r="D4" i="2"/>
  <c r="G5" i="3" s="1"/>
  <c r="D1" i="3" l="1"/>
  <c r="J12" i="2"/>
  <c r="I12" i="2"/>
  <c r="C12" i="2"/>
  <c r="B12" i="2"/>
  <c r="I15" i="3"/>
  <c r="Q23" i="3" l="1"/>
  <c r="K15" i="3"/>
</calcChain>
</file>

<file path=xl/sharedStrings.xml><?xml version="1.0" encoding="utf-8"?>
<sst xmlns="http://schemas.openxmlformats.org/spreadsheetml/2006/main" count="84" uniqueCount="78">
  <si>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</si>
  <si>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</si>
  <si>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</si>
  <si>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</si>
  <si>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</si>
  <si>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</si>
  <si>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</si>
  <si>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</si>
  <si>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</si>
  <si>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</si>
  <si>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</si>
  <si>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</si>
  <si>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</si>
  <si>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</si>
  <si>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</si>
  <si>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</si>
  <si>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</si>
  <si>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</si>
  <si>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</si>
  <si>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</si>
  <si>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</si>
  <si>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</si>
  <si>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</si>
  <si>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</si>
  <si>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</si>
  <si>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</si>
  <si>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</si>
  <si>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</si>
  <si>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</si>
  <si>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</si>
  <si>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</si>
  <si>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</si>
  <si>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</si>
  <si>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</si>
  <si>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</si>
  <si>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</si>
  <si>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</si>
  <si>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</si>
  <si>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</si>
  <si>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</si>
  <si>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</si>
  <si>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</si>
  <si>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</si>
  <si>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</si>
  <si>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</si>
  <si>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</si>
  <si>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</si>
  <si>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</si>
  <si>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</si>
  <si>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</si>
  <si>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</si>
  <si>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</si>
  <si>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</si>
  <si>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</si>
  <si>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</si>
  <si>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</si>
  <si>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>Especificidades Item N° 1:</t>
  </si>
  <si>
    <t>Mantenimiento de Oferta</t>
  </si>
  <si>
    <t xml:space="preserve">Treinta (30) dias. </t>
  </si>
  <si>
    <t>Direccion de Mantemiento</t>
  </si>
  <si>
    <t>Forma de Pago</t>
  </si>
  <si>
    <t>Mensual.</t>
  </si>
  <si>
    <t>3.9.3</t>
  </si>
  <si>
    <t xml:space="preserve">SERVICIO DE VIGILANCIA </t>
  </si>
  <si>
    <t>3.9.3.1387.1</t>
  </si>
  <si>
    <t>VIGILANCIA Y SEGURIDAD</t>
  </si>
  <si>
    <t>VIGILANCIA Y CUSTODIA; AREAS DE EDIFICIOS: VIGILANCIA Y CUSTODIA, DESCRIPCION: VIGILANCIA Y CUSTODIA</t>
  </si>
  <si>
    <t>Adquisición del Servicio de Seguridad y Vigilancia</t>
  </si>
  <si>
    <t>Para la adquisición del servicio de SEGURIDAD Y VIGILANCIA en el Hospital Interzonal de Niños Eva Peron, para el normal funcionamiento del organismo.</t>
  </si>
  <si>
    <t>039/2021</t>
  </si>
  <si>
    <t>Con OPCION A PRORROGA por igual Servicio, por igual periodo.-</t>
  </si>
  <si>
    <t xml:space="preserve">Observaciones: </t>
  </si>
  <si>
    <t>Costo total estimado: SEISCIENTOS CUATRO MIL OCHOCIENTOS con 00/100.</t>
  </si>
  <si>
    <t>TOTAL DE PESOS: SEISCIENTOS CUATRO MIL OCHOCIENTOS CON 00/100.</t>
  </si>
  <si>
    <t>DIAS</t>
  </si>
  <si>
    <t>SI</t>
  </si>
  <si>
    <r>
      <t xml:space="preserve">El servicio se realizara todos los dias (de Lunes a Domingo) en dos (2) puestos fijos para cubrir las distintas areas del Hospital Interzonal de Niños Eva Peron en tres turnos de ocho (8) hs. cada uno: TURNO MAÑANA de 06 a 14 Hs., TURNO TARDE de 14 a 22 Hs. y TURNO NOCHE de 22 a 6 Hs.; con la siguiente dotacion de personal: 
</t>
    </r>
    <r>
      <rPr>
        <b/>
        <sz val="10"/>
        <rFont val="Times New Roman"/>
        <family val="1"/>
      </rPr>
      <t>PUESTO 1</t>
    </r>
    <r>
      <rPr>
        <sz val="10"/>
        <rFont val="Times New Roman"/>
        <family val="1"/>
      </rPr>
      <t xml:space="preserve">  SECTOR DE GUARDIA:Turno Mañana una (1) persona, Turno Tarde una (1) persona y Turno Noche una (1) persona; 
</t>
    </r>
    <r>
      <rPr>
        <b/>
        <sz val="10"/>
        <rFont val="Times New Roman"/>
        <family val="1"/>
      </rPr>
      <t>PUESTO 2</t>
    </r>
    <r>
      <rPr>
        <sz val="10"/>
        <rFont val="Times New Roman"/>
        <family val="1"/>
      </rPr>
      <t xml:space="preserve">  PLANTA BAJA Y PRIMER PISO:Turno Mañana una (1) persona, Turno Tarde una (1) persona y Turno Noche una (1) persona. 
El personal debera contar con su propia indumentaria de proteccion personal.
Los accesos a ser atendidos y demas organizacion interna podran ser estipulados por la empresa y el (organismo solicitante) sin restricciones siempre y cuando se cumplan los horarios establecidos y cuenten con las condiciones necesarias para que el personal desempeñe su tarea.
Seguro de riesgo de trabajo: Los seguros del personal que destaque la empresa adjudicataria para la realización del servicio aludido, serán cubiertos por la misma en un todo de acuerdo a la Ley Nº 24557 (Riesgo de Trabajo) y se consideraran incluidos en la Oferta. Para el caso de personal perteneciente a una cooperativa de trabajo y que sea socio de la misma, aquel deberá presentar su respectiva Póliza de Accidente Personal. 
Los Pagos del seguro de vida y  A.R.T. de cada empleado deberan estar al dia durante la prestacion del servicio.
El personal debera contar con su correspondiente Alta Temprana en A.F.I.P.</t>
    </r>
  </si>
  <si>
    <t>Plazo de entrega: al quinto (5°) día de Notificada la Orden de Compra                                                                                                                                                                                                                Durante el periodo de noventa (90) dias.  En los distintos puestos ( 1 y 2) del Hospital Interzonal de Niños Eva Peron- AV. VIRGEN DEL VALLE N° 1050-CATAMARCA.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</si>
</sst>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5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Arial"/>
      <family val="2"/>
    </font>
    <font>
      <b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5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</borders>
  <cellStyleXfs count="7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  <xf numFmtId="0" fontId="14" fillId="0" borderId="0"/>
  </cellStyleXfs>
  <cellXfs count="147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3" xfId="0" applyBorder="1"/>
    <xf numFmtId="0" fontId="0" fillId="0" borderId="27" xfId="0" applyBorder="1"/>
    <xf numFmtId="0" fontId="0" fillId="0" borderId="15" xfId="0" applyBorder="1"/>
    <xf numFmtId="0" fontId="0" fillId="0" borderId="15" xfId="0" applyBorder="1" applyAlignment="1">
      <alignment horizontal="left"/>
    </xf>
    <xf numFmtId="0" fontId="0" fillId="0" borderId="28" xfId="0" applyBorder="1"/>
    <xf numFmtId="0" fontId="13" fillId="0" borderId="30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1" xfId="0" applyFont="1" applyBorder="1" applyAlignment="1">
      <alignment horizontal="left" vertical="center"/>
    </xf>
    <xf numFmtId="0" fontId="13" fillId="0" borderId="32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166" fontId="0" fillId="0" borderId="35" xfId="3" applyNumberFormat="1" applyFont="1" applyBorder="1" applyAlignment="1" applyProtection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166" fontId="0" fillId="0" borderId="40" xfId="3" applyNumberFormat="1" applyFont="1" applyBorder="1" applyAlignment="1" applyProtection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66" fontId="0" fillId="0" borderId="44" xfId="3" applyNumberFormat="1" applyFont="1" applyBorder="1" applyAlignment="1" applyProtection="1">
      <alignment horizontal="center" vertical="center"/>
    </xf>
    <xf numFmtId="166" fontId="13" fillId="0" borderId="45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0" fontId="21" fillId="0" borderId="5" xfId="0" applyFont="1" applyBorder="1"/>
    <xf numFmtId="0" fontId="15" fillId="0" borderId="6" xfId="0" applyFont="1" applyBorder="1"/>
    <xf numFmtId="0" fontId="15" fillId="0" borderId="7" xfId="0" applyFont="1" applyBorder="1"/>
    <xf numFmtId="0" fontId="15" fillId="0" borderId="8" xfId="0" applyFont="1" applyBorder="1"/>
    <xf numFmtId="0" fontId="15" fillId="0" borderId="0" xfId="0" applyFont="1" applyBorder="1"/>
    <xf numFmtId="0" fontId="15" fillId="0" borderId="9" xfId="0" applyFont="1" applyBorder="1"/>
    <xf numFmtId="0" fontId="15" fillId="0" borderId="8" xfId="0" applyFont="1" applyBorder="1" applyAlignment="1">
      <alignment horizontal="left" indent="3"/>
    </xf>
    <xf numFmtId="0" fontId="15" fillId="0" borderId="11" xfId="0" applyFont="1" applyBorder="1"/>
    <xf numFmtId="0" fontId="15" fillId="0" borderId="12" xfId="0" applyFont="1" applyBorder="1"/>
    <xf numFmtId="166" fontId="15" fillId="0" borderId="0" xfId="0" applyNumberFormat="1" applyFont="1"/>
    <xf numFmtId="0" fontId="19" fillId="0" borderId="49" xfId="0" applyFont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right" vertical="center"/>
    </xf>
    <xf numFmtId="0" fontId="6" fillId="4" borderId="14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vertical="center"/>
    </xf>
    <xf numFmtId="0" fontId="0" fillId="3" borderId="0" xfId="0" applyFill="1"/>
    <xf numFmtId="0" fontId="5" fillId="3" borderId="15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 wrapText="1" indent="1"/>
    </xf>
    <xf numFmtId="0" fontId="4" fillId="3" borderId="50" xfId="0" applyFont="1" applyFill="1" applyBorder="1" applyAlignment="1">
      <alignment horizontal="center" vertical="center"/>
    </xf>
    <xf numFmtId="0" fontId="4" fillId="3" borderId="50" xfId="0" applyFont="1" applyFill="1" applyBorder="1" applyAlignment="1">
      <alignment horizontal="left" vertical="center"/>
    </xf>
    <xf numFmtId="0" fontId="4" fillId="4" borderId="50" xfId="0" applyFont="1" applyFill="1" applyBorder="1" applyAlignment="1">
      <alignment horizontal="center" vertical="center"/>
    </xf>
    <xf numFmtId="0" fontId="4" fillId="3" borderId="50" xfId="0" applyFont="1" applyFill="1" applyBorder="1" applyAlignment="1">
      <alignment horizontal="center" vertical="center" wrapText="1"/>
    </xf>
    <xf numFmtId="166" fontId="4" fillId="3" borderId="50" xfId="1" applyNumberFormat="1" applyFont="1" applyFill="1" applyBorder="1" applyAlignment="1" applyProtection="1">
      <alignment horizontal="right" vertical="center" wrapText="1"/>
    </xf>
    <xf numFmtId="3" fontId="4" fillId="3" borderId="50" xfId="0" applyNumberFormat="1" applyFont="1" applyFill="1" applyBorder="1" applyAlignment="1">
      <alignment horizontal="center" vertical="center"/>
    </xf>
    <xf numFmtId="0" fontId="22" fillId="4" borderId="0" xfId="0" applyFont="1" applyFill="1" applyAlignment="1">
      <alignment horizontal="left" wrapText="1" indent="1"/>
    </xf>
    <xf numFmtId="0" fontId="19" fillId="3" borderId="0" xfId="0" applyFont="1" applyFill="1" applyAlignment="1">
      <alignment horizontal="left" wrapText="1"/>
    </xf>
    <xf numFmtId="166" fontId="20" fillId="4" borderId="3" xfId="1" applyNumberFormat="1" applyFont="1" applyFill="1" applyBorder="1" applyAlignment="1" applyProtection="1">
      <alignment horizontal="right" vertical="center" wrapText="1"/>
    </xf>
    <xf numFmtId="166" fontId="20" fillId="4" borderId="4" xfId="1" applyNumberFormat="1" applyFont="1" applyFill="1" applyBorder="1" applyAlignment="1" applyProtection="1">
      <alignment horizontal="right" vertical="center" wrapText="1"/>
    </xf>
    <xf numFmtId="0" fontId="0" fillId="4" borderId="33" xfId="0" applyFont="1" applyFill="1" applyBorder="1" applyAlignment="1">
      <alignment horizontal="center" vertical="center"/>
    </xf>
    <xf numFmtId="0" fontId="0" fillId="4" borderId="34" xfId="0" applyFont="1" applyFill="1" applyBorder="1" applyAlignment="1">
      <alignment horizontal="center" vertical="center"/>
    </xf>
    <xf numFmtId="0" fontId="14" fillId="4" borderId="34" xfId="0" applyFont="1" applyFill="1" applyBorder="1" applyAlignment="1">
      <alignment horizontal="center" vertical="center"/>
    </xf>
    <xf numFmtId="0" fontId="14" fillId="0" borderId="51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 wrapText="1"/>
    </xf>
    <xf numFmtId="0" fontId="23" fillId="4" borderId="3" xfId="0" applyFont="1" applyFill="1" applyBorder="1" applyAlignment="1">
      <alignment horizontal="center" vertical="center" wrapText="1"/>
    </xf>
    <xf numFmtId="0" fontId="0" fillId="4" borderId="52" xfId="0" applyFont="1" applyFill="1" applyBorder="1" applyAlignment="1">
      <alignment horizontal="center" vertical="center"/>
    </xf>
    <xf numFmtId="0" fontId="0" fillId="4" borderId="39" xfId="0" applyFont="1" applyFill="1" applyBorder="1" applyAlignment="1">
      <alignment horizontal="center" vertical="center"/>
    </xf>
    <xf numFmtId="0" fontId="14" fillId="4" borderId="39" xfId="0" applyFont="1" applyFill="1" applyBorder="1" applyAlignment="1">
      <alignment horizontal="center" vertical="center"/>
    </xf>
    <xf numFmtId="0" fontId="0" fillId="3" borderId="39" xfId="0" applyFont="1" applyFill="1" applyBorder="1" applyAlignment="1">
      <alignment horizontal="center" vertical="center"/>
    </xf>
    <xf numFmtId="0" fontId="0" fillId="4" borderId="37" xfId="0" applyFont="1" applyFill="1" applyBorder="1" applyAlignment="1">
      <alignment horizontal="center" vertical="center"/>
    </xf>
    <xf numFmtId="0" fontId="0" fillId="4" borderId="53" xfId="0" applyFont="1" applyFill="1" applyBorder="1" applyAlignment="1">
      <alignment horizontal="center" vertical="center"/>
    </xf>
    <xf numFmtId="0" fontId="0" fillId="3" borderId="37" xfId="0" applyFont="1" applyFill="1" applyBorder="1" applyAlignment="1">
      <alignment horizontal="center" vertical="center"/>
    </xf>
    <xf numFmtId="0" fontId="0" fillId="3" borderId="53" xfId="0" applyFont="1" applyFill="1" applyBorder="1" applyAlignment="1">
      <alignment horizontal="center" vertical="center"/>
    </xf>
    <xf numFmtId="0" fontId="19" fillId="0" borderId="56" xfId="0" applyFont="1" applyBorder="1" applyAlignment="1">
      <alignment horizontal="center" vertical="center" wrapText="1"/>
    </xf>
    <xf numFmtId="0" fontId="19" fillId="0" borderId="57" xfId="0" applyFont="1" applyBorder="1" applyAlignment="1">
      <alignment horizontal="center" vertical="center" wrapText="1"/>
    </xf>
    <xf numFmtId="0" fontId="14" fillId="0" borderId="3" xfId="0" applyFont="1" applyBorder="1"/>
    <xf numFmtId="0" fontId="14" fillId="0" borderId="3" xfId="0" applyFont="1" applyBorder="1" applyAlignment="1">
      <alignment wrapText="1"/>
    </xf>
    <xf numFmtId="0" fontId="15" fillId="0" borderId="10" xfId="0" applyFont="1" applyBorder="1"/>
    <xf numFmtId="0" fontId="21" fillId="0" borderId="8" xfId="0" applyFont="1" applyBorder="1"/>
    <xf numFmtId="0" fontId="15" fillId="0" borderId="0" xfId="0" applyFont="1" applyAlignment="1"/>
    <xf numFmtId="0" fontId="15" fillId="0" borderId="8" xfId="0" applyFont="1" applyFill="1" applyBorder="1" applyAlignment="1">
      <alignment horizontal="left"/>
    </xf>
    <xf numFmtId="0" fontId="15" fillId="0" borderId="0" xfId="0" applyFont="1" applyFill="1" applyBorder="1" applyAlignment="1">
      <alignment horizontal="left"/>
    </xf>
    <xf numFmtId="0" fontId="15" fillId="0" borderId="9" xfId="0" applyFont="1" applyFill="1" applyBorder="1" applyAlignment="1">
      <alignment horizontal="left"/>
    </xf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2" fillId="4" borderId="0" xfId="0" applyFont="1" applyFill="1" applyBorder="1" applyAlignment="1">
      <alignment horizontal="left" wrapText="1" indent="1"/>
    </xf>
    <xf numFmtId="0" fontId="15" fillId="4" borderId="8" xfId="0" applyFont="1" applyFill="1" applyBorder="1" applyAlignment="1">
      <alignment horizontal="left" wrapText="1"/>
    </xf>
    <xf numFmtId="0" fontId="15" fillId="4" borderId="0" xfId="0" applyFont="1" applyFill="1" applyBorder="1" applyAlignment="1">
      <alignment horizontal="left" wrapText="1"/>
    </xf>
    <xf numFmtId="0" fontId="15" fillId="4" borderId="9" xfId="0" applyFont="1" applyFill="1" applyBorder="1" applyAlignment="1">
      <alignment horizontal="left" wrapText="1"/>
    </xf>
    <xf numFmtId="0" fontId="21" fillId="0" borderId="8" xfId="0" applyFont="1" applyBorder="1" applyAlignment="1">
      <alignment horizontal="left" vertical="center"/>
    </xf>
    <xf numFmtId="0" fontId="21" fillId="0" borderId="0" xfId="0" applyFont="1" applyBorder="1" applyAlignment="1">
      <alignment horizontal="left" vertical="center"/>
    </xf>
    <xf numFmtId="0" fontId="21" fillId="0" borderId="9" xfId="0" applyFont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 wrapText="1"/>
    </xf>
    <xf numFmtId="0" fontId="15" fillId="0" borderId="0" xfId="0" applyFont="1" applyFill="1" applyBorder="1" applyAlignment="1">
      <alignment horizontal="left" vertical="center" wrapText="1"/>
    </xf>
    <xf numFmtId="0" fontId="15" fillId="0" borderId="9" xfId="0" applyFont="1" applyFill="1" applyBorder="1" applyAlignment="1">
      <alignment horizontal="left" vertical="center" wrapText="1"/>
    </xf>
    <xf numFmtId="0" fontId="21" fillId="0" borderId="8" xfId="0" applyFont="1" applyBorder="1" applyAlignment="1">
      <alignment horizontal="left"/>
    </xf>
    <xf numFmtId="0" fontId="21" fillId="0" borderId="0" xfId="0" applyFont="1" applyBorder="1" applyAlignment="1">
      <alignment horizontal="left"/>
    </xf>
    <xf numFmtId="0" fontId="21" fillId="0" borderId="9" xfId="0" applyFont="1" applyBorder="1" applyAlignment="1">
      <alignment horizontal="left"/>
    </xf>
    <xf numFmtId="0" fontId="15" fillId="0" borderId="8" xfId="0" applyFont="1" applyFill="1" applyBorder="1" applyAlignment="1">
      <alignment horizontal="left" wrapText="1"/>
    </xf>
    <xf numFmtId="0" fontId="15" fillId="0" borderId="0" xfId="0" applyFont="1" applyFill="1" applyBorder="1" applyAlignment="1">
      <alignment horizontal="left" wrapText="1"/>
    </xf>
    <xf numFmtId="0" fontId="15" fillId="0" borderId="9" xfId="0" applyFont="1" applyFill="1" applyBorder="1" applyAlignment="1">
      <alignment horizontal="left" wrapText="1"/>
    </xf>
    <xf numFmtId="0" fontId="5" fillId="3" borderId="0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left" vertical="center" wrapText="1"/>
    </xf>
    <xf numFmtId="0" fontId="6" fillId="3" borderId="17" xfId="0" applyFont="1" applyFill="1" applyBorder="1" applyAlignment="1">
      <alignment horizontal="left" vertical="center" wrapText="1" indent="1"/>
    </xf>
    <xf numFmtId="0" fontId="7" fillId="3" borderId="18" xfId="0" applyFont="1" applyFill="1" applyBorder="1" applyAlignment="1">
      <alignment horizontal="left" vertical="center" wrapText="1"/>
    </xf>
    <xf numFmtId="167" fontId="7" fillId="3" borderId="17" xfId="0" applyNumberFormat="1" applyFont="1" applyFill="1" applyBorder="1" applyAlignment="1">
      <alignment horizontal="center" vertical="center"/>
    </xf>
    <xf numFmtId="0" fontId="4" fillId="3" borderId="50" xfId="0" applyFont="1" applyFill="1" applyBorder="1" applyAlignment="1">
      <alignment horizontal="left" vertical="center" wrapText="1"/>
    </xf>
    <xf numFmtId="0" fontId="7" fillId="3" borderId="19" xfId="0" applyFont="1" applyFill="1" applyBorder="1" applyAlignment="1">
      <alignment horizontal="left" vertical="center"/>
    </xf>
    <xf numFmtId="0" fontId="6" fillId="4" borderId="20" xfId="0" applyFont="1" applyFill="1" applyBorder="1" applyAlignment="1">
      <alignment horizontal="left" vertical="center" wrapText="1" indent="1"/>
    </xf>
    <xf numFmtId="0" fontId="8" fillId="3" borderId="19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center" vertical="center" wrapText="1"/>
    </xf>
    <xf numFmtId="0" fontId="0" fillId="0" borderId="22" xfId="0" applyFont="1" applyBorder="1" applyAlignment="1">
      <alignment horizontal="center"/>
    </xf>
    <xf numFmtId="3" fontId="9" fillId="0" borderId="23" xfId="0" applyNumberFormat="1" applyFont="1" applyBorder="1" applyAlignment="1">
      <alignment horizontal="center"/>
    </xf>
    <xf numFmtId="0" fontId="10" fillId="0" borderId="14" xfId="0" applyFont="1" applyBorder="1" applyAlignment="1">
      <alignment horizontal="center" vertical="center" wrapText="1"/>
    </xf>
    <xf numFmtId="0" fontId="2" fillId="0" borderId="14" xfId="0" applyFont="1" applyBorder="1"/>
    <xf numFmtId="0" fontId="11" fillId="0" borderId="14" xfId="0" applyFont="1" applyBorder="1" applyAlignment="1">
      <alignment horizontal="left" indent="1"/>
    </xf>
    <xf numFmtId="0" fontId="4" fillId="0" borderId="1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4" fillId="0" borderId="48" xfId="0" applyFont="1" applyBorder="1" applyAlignment="1">
      <alignment horizontal="left" vertical="center" wrapText="1"/>
    </xf>
    <xf numFmtId="0" fontId="12" fillId="0" borderId="14" xfId="0" applyFont="1" applyBorder="1" applyAlignment="1">
      <alignment horizontal="left"/>
    </xf>
    <xf numFmtId="0" fontId="11" fillId="0" borderId="25" xfId="0" applyFont="1" applyBorder="1"/>
    <xf numFmtId="0" fontId="11" fillId="0" borderId="26" xfId="0" applyFont="1" applyBorder="1" applyAlignment="1">
      <alignment horizontal="left" vertical="center" wrapText="1" indent="1"/>
    </xf>
    <xf numFmtId="0" fontId="13" fillId="0" borderId="2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/>
    </xf>
    <xf numFmtId="0" fontId="14" fillId="0" borderId="34" xfId="0" applyFont="1" applyBorder="1" applyAlignment="1">
      <alignment horizontal="left" vertical="center" wrapText="1"/>
    </xf>
    <xf numFmtId="0" fontId="0" fillId="0" borderId="34" xfId="0" applyFont="1" applyBorder="1" applyAlignment="1">
      <alignment horizontal="left" vertical="center" wrapText="1"/>
    </xf>
    <xf numFmtId="0" fontId="0" fillId="0" borderId="39" xfId="0" applyFont="1" applyBorder="1" applyAlignment="1">
      <alignment horizontal="left" vertical="center"/>
    </xf>
    <xf numFmtId="0" fontId="0" fillId="0" borderId="54" xfId="0" applyFont="1" applyBorder="1" applyAlignment="1">
      <alignment horizontal="left" vertical="center" wrapText="1"/>
    </xf>
    <xf numFmtId="0" fontId="0" fillId="0" borderId="55" xfId="0" applyFont="1" applyBorder="1" applyAlignment="1">
      <alignment horizontal="left" vertical="center" wrapText="1"/>
    </xf>
    <xf numFmtId="0" fontId="9" fillId="0" borderId="22" xfId="0" applyFont="1" applyBorder="1" applyAlignment="1">
      <alignment vertical="center" wrapText="1"/>
    </xf>
    <xf numFmtId="0" fontId="9" fillId="0" borderId="46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11" fillId="0" borderId="29" xfId="0" applyFont="1" applyBorder="1" applyAlignment="1">
      <alignment vertical="center" wrapText="1"/>
    </xf>
    <xf numFmtId="0" fontId="11" fillId="4" borderId="45" xfId="0" applyFont="1" applyFill="1" applyBorder="1" applyAlignment="1">
      <alignment horizontal="left" vertical="center" wrapText="1" indent="1"/>
    </xf>
    <xf numFmtId="0" fontId="0" fillId="0" borderId="39" xfId="0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9" fillId="0" borderId="45" xfId="0" applyFont="1" applyBorder="1" applyAlignment="1">
      <alignment horizontal="left" vertical="center" wrapText="1"/>
    </xf>
    <xf numFmtId="0" fontId="0" fillId="0" borderId="24" xfId="0" applyBorder="1"/>
  </cellXfs>
  <cellStyles count="7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2" xfId="6"/>
    <cellStyle name="Normal 3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35"/>
  <sheetViews>
    <sheetView zoomScale="73" zoomScaleNormal="73" workbookViewId="0">
      <selection activeCell="G17" sqref="G17"/>
    </sheetView>
  </sheetViews>
  <sheetFormatPr baseColWidth="10" defaultRowHeight="12.75" x14ac:dyDescent="0.2"/>
  <cols>
    <col min="1" max="1" width="4.5703125" style="32" customWidth="1"/>
    <col min="2" max="2" width="14" style="32" customWidth="1"/>
    <col min="3" max="3" width="24.85546875" style="32" customWidth="1"/>
    <col min="4" max="4" width="8.42578125" style="32" customWidth="1"/>
    <col min="5" max="5" width="95.7109375" style="32" customWidth="1"/>
    <col min="6" max="6" width="11" style="32"/>
    <col min="7" max="7" width="10.42578125" style="32" bestFit="1" customWidth="1"/>
    <col min="8" max="8" width="13.85546875" style="32" customWidth="1"/>
    <col min="9" max="9" width="18.5703125" style="32" customWidth="1"/>
    <col min="10" max="10" width="11" style="32"/>
    <col min="11" max="11" width="14.7109375" style="32" customWidth="1"/>
    <col min="12" max="16384" width="11.42578125" style="32"/>
  </cols>
  <sheetData>
    <row r="2" spans="1:11" ht="27" x14ac:dyDescent="0.35">
      <c r="B2" s="89" t="s">
        <v>0</v>
      </c>
      <c r="C2" s="89"/>
      <c r="D2" s="89"/>
      <c r="E2" s="89"/>
      <c r="F2" s="89"/>
      <c r="G2" s="89"/>
      <c r="H2" s="89"/>
    </row>
    <row r="3" spans="1:11" ht="12" customHeight="1" x14ac:dyDescent="0.2"/>
    <row r="4" spans="1:11" ht="18" customHeight="1" x14ac:dyDescent="0.25">
      <c r="A4" s="90" t="s">
        <v>1</v>
      </c>
      <c r="B4" s="90"/>
      <c r="C4" s="91" t="s">
        <v>54</v>
      </c>
      <c r="D4" s="91"/>
      <c r="E4" s="91"/>
      <c r="F4" s="33"/>
      <c r="G4" s="34"/>
      <c r="H4" s="33"/>
    </row>
    <row r="5" spans="1:11" ht="18" customHeight="1" x14ac:dyDescent="0.25">
      <c r="A5" s="90" t="s">
        <v>2</v>
      </c>
      <c r="B5" s="90"/>
      <c r="C5" s="91" t="s">
        <v>53</v>
      </c>
      <c r="D5" s="91"/>
      <c r="E5" s="91"/>
      <c r="F5" s="33"/>
      <c r="G5" s="34"/>
      <c r="H5" s="33"/>
    </row>
    <row r="6" spans="1:11" ht="16.5" customHeight="1" x14ac:dyDescent="0.25">
      <c r="A6" s="90" t="s">
        <v>3</v>
      </c>
      <c r="B6" s="90"/>
      <c r="C6" s="61">
        <v>2021</v>
      </c>
      <c r="D6" s="62"/>
      <c r="E6" s="62"/>
      <c r="F6" s="33"/>
      <c r="G6" s="34"/>
      <c r="H6" s="33"/>
    </row>
    <row r="7" spans="1:11" ht="16.5" customHeight="1" x14ac:dyDescent="0.25">
      <c r="A7" s="90" t="s">
        <v>4</v>
      </c>
      <c r="B7" s="90"/>
      <c r="C7" s="61">
        <v>2</v>
      </c>
      <c r="D7" s="62"/>
      <c r="E7" s="62"/>
      <c r="F7" s="33"/>
      <c r="G7" s="34"/>
      <c r="H7" s="33"/>
    </row>
    <row r="8" spans="1:11" ht="13.5" thickBot="1" x14ac:dyDescent="0.25">
      <c r="B8" s="33"/>
      <c r="C8" s="34"/>
      <c r="D8" s="33"/>
      <c r="E8" s="33"/>
      <c r="F8" s="33"/>
      <c r="G8" s="34"/>
      <c r="H8" s="33"/>
    </row>
    <row r="9" spans="1:11" ht="39.75" thickTop="1" thickBot="1" x14ac:dyDescent="0.25">
      <c r="A9" s="35" t="s">
        <v>5</v>
      </c>
      <c r="B9" s="35" t="s">
        <v>6</v>
      </c>
      <c r="C9" s="35" t="s">
        <v>7</v>
      </c>
      <c r="D9" s="79" t="s">
        <v>8</v>
      </c>
      <c r="E9" s="80" t="s">
        <v>9</v>
      </c>
      <c r="F9" s="46" t="s">
        <v>10</v>
      </c>
      <c r="G9" s="35" t="s">
        <v>11</v>
      </c>
      <c r="H9" s="35" t="s">
        <v>12</v>
      </c>
      <c r="I9" s="35" t="s">
        <v>13</v>
      </c>
    </row>
    <row r="10" spans="1:11" ht="25.5" x14ac:dyDescent="0.2">
      <c r="A10" s="68">
        <v>1</v>
      </c>
      <c r="B10" s="81" t="s">
        <v>64</v>
      </c>
      <c r="C10" s="81" t="s">
        <v>65</v>
      </c>
      <c r="D10" s="69" t="s">
        <v>62</v>
      </c>
      <c r="E10" s="82" t="s">
        <v>66</v>
      </c>
      <c r="F10" s="70" t="s">
        <v>74</v>
      </c>
      <c r="G10" s="70">
        <v>90</v>
      </c>
      <c r="H10" s="63">
        <f>201600/30</f>
        <v>6720</v>
      </c>
      <c r="I10" s="64">
        <f>G10*H10</f>
        <v>604800</v>
      </c>
      <c r="K10" s="45"/>
    </row>
    <row r="11" spans="1:11" x14ac:dyDescent="0.2">
      <c r="I11" s="45"/>
    </row>
    <row r="13" spans="1:11" ht="13.5" thickBot="1" x14ac:dyDescent="0.25"/>
    <row r="14" spans="1:11" x14ac:dyDescent="0.2">
      <c r="B14" s="36" t="s">
        <v>56</v>
      </c>
      <c r="C14" s="37"/>
      <c r="D14" s="37"/>
      <c r="E14" s="38"/>
    </row>
    <row r="15" spans="1:11" ht="9.75" customHeight="1" x14ac:dyDescent="0.2">
      <c r="B15" s="39"/>
      <c r="C15" s="40"/>
      <c r="D15" s="40"/>
      <c r="E15" s="41"/>
    </row>
    <row r="16" spans="1:11" ht="17.25" customHeight="1" x14ac:dyDescent="0.2">
      <c r="B16" s="95" t="s">
        <v>14</v>
      </c>
      <c r="C16" s="96"/>
      <c r="D16" s="96"/>
      <c r="E16" s="97"/>
    </row>
    <row r="17" spans="2:8" ht="165" customHeight="1" x14ac:dyDescent="0.2">
      <c r="B17" s="92" t="s">
        <v>76</v>
      </c>
      <c r="C17" s="93"/>
      <c r="D17" s="93"/>
      <c r="E17" s="94"/>
    </row>
    <row r="18" spans="2:8" ht="26.25" customHeight="1" x14ac:dyDescent="0.2">
      <c r="B18" s="101" t="s">
        <v>15</v>
      </c>
      <c r="C18" s="102"/>
      <c r="D18" s="102"/>
      <c r="E18" s="103"/>
    </row>
    <row r="19" spans="2:8" ht="31.5" customHeight="1" x14ac:dyDescent="0.2">
      <c r="B19" s="98" t="s">
        <v>77</v>
      </c>
      <c r="C19" s="99"/>
      <c r="D19" s="99"/>
      <c r="E19" s="100"/>
    </row>
    <row r="20" spans="2:8" x14ac:dyDescent="0.2">
      <c r="B20" s="98"/>
      <c r="C20" s="99"/>
      <c r="D20" s="99"/>
      <c r="E20" s="100"/>
    </row>
    <row r="21" spans="2:8" x14ac:dyDescent="0.2">
      <c r="B21" s="101" t="s">
        <v>57</v>
      </c>
      <c r="C21" s="102"/>
      <c r="D21" s="102"/>
      <c r="E21" s="103"/>
    </row>
    <row r="22" spans="2:8" x14ac:dyDescent="0.2">
      <c r="B22" s="104" t="s">
        <v>58</v>
      </c>
      <c r="C22" s="105"/>
      <c r="D22" s="105"/>
      <c r="E22" s="106"/>
    </row>
    <row r="23" spans="2:8" x14ac:dyDescent="0.2">
      <c r="B23" s="101" t="s">
        <v>60</v>
      </c>
      <c r="C23" s="102"/>
      <c r="D23" s="102"/>
      <c r="E23" s="103"/>
    </row>
    <row r="24" spans="2:8" x14ac:dyDescent="0.2">
      <c r="B24" s="86" t="s">
        <v>61</v>
      </c>
      <c r="C24" s="87"/>
      <c r="D24" s="87"/>
      <c r="E24" s="88"/>
    </row>
    <row r="25" spans="2:8" ht="3" customHeight="1" x14ac:dyDescent="0.2">
      <c r="B25" s="42"/>
      <c r="C25" s="40"/>
      <c r="D25" s="40"/>
      <c r="E25" s="41"/>
    </row>
    <row r="26" spans="2:8" ht="14.25" customHeight="1" x14ac:dyDescent="0.2">
      <c r="B26" s="84" t="s">
        <v>71</v>
      </c>
      <c r="C26" s="40"/>
      <c r="D26" s="40"/>
      <c r="E26" s="41"/>
    </row>
    <row r="27" spans="2:8" x14ac:dyDescent="0.2">
      <c r="B27" s="39" t="s">
        <v>70</v>
      </c>
      <c r="C27" s="40"/>
      <c r="D27" s="40"/>
      <c r="E27" s="41"/>
    </row>
    <row r="28" spans="2:8" ht="13.5" thickBot="1" x14ac:dyDescent="0.25">
      <c r="B28" s="83"/>
      <c r="C28" s="43"/>
      <c r="D28" s="43"/>
      <c r="E28" s="44"/>
    </row>
    <row r="32" spans="2:8" x14ac:dyDescent="0.2">
      <c r="E32" s="85"/>
      <c r="F32" s="85"/>
      <c r="G32" s="85"/>
      <c r="H32" s="85"/>
    </row>
    <row r="33" spans="5:8" x14ac:dyDescent="0.2">
      <c r="E33" s="85"/>
      <c r="F33" s="85"/>
      <c r="G33" s="85"/>
      <c r="H33" s="85"/>
    </row>
    <row r="34" spans="5:8" x14ac:dyDescent="0.2">
      <c r="E34" s="85"/>
      <c r="F34" s="85"/>
      <c r="G34" s="85"/>
      <c r="H34" s="85"/>
    </row>
    <row r="35" spans="5:8" x14ac:dyDescent="0.2">
      <c r="E35" s="85"/>
      <c r="F35" s="85"/>
      <c r="G35" s="85"/>
      <c r="H35" s="85"/>
    </row>
  </sheetData>
  <mergeCells count="15">
    <mergeCell ref="B24:E24"/>
    <mergeCell ref="B2:H2"/>
    <mergeCell ref="A4:B4"/>
    <mergeCell ref="C4:E4"/>
    <mergeCell ref="A5:B5"/>
    <mergeCell ref="C5:E5"/>
    <mergeCell ref="A6:B6"/>
    <mergeCell ref="A7:B7"/>
    <mergeCell ref="B17:E17"/>
    <mergeCell ref="B16:E16"/>
    <mergeCell ref="B19:E20"/>
    <mergeCell ref="B18:E18"/>
    <mergeCell ref="B21:E21"/>
    <mergeCell ref="B22:E22"/>
    <mergeCell ref="B23:E23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3"/>
  <sheetViews>
    <sheetView topLeftCell="C1" zoomScale="110" zoomScaleNormal="110" workbookViewId="0">
      <selection activeCell="C12" sqref="C12:G12"/>
    </sheetView>
  </sheetViews>
  <sheetFormatPr baseColWidth="10" defaultColWidth="9.140625" defaultRowHeight="12.75" x14ac:dyDescent="0.2"/>
  <cols>
    <col min="1" max="1" width="5.5703125" style="49" customWidth="1"/>
    <col min="2" max="2" width="15.140625" style="49" customWidth="1"/>
    <col min="3" max="3" width="14.140625" style="49" customWidth="1"/>
    <col min="4" max="4" width="26" style="49" customWidth="1"/>
    <col min="5" max="5" width="8" style="49" customWidth="1"/>
    <col min="6" max="6" width="7.85546875" style="49" customWidth="1"/>
    <col min="7" max="7" width="48.5703125" style="49" customWidth="1"/>
    <col min="8" max="8" width="9.28515625" style="49" customWidth="1"/>
    <col min="9" max="9" width="15.5703125" style="49" customWidth="1"/>
    <col min="10" max="10" width="14.7109375" style="49" customWidth="1"/>
    <col min="11" max="11" width="15.5703125" style="49" customWidth="1"/>
    <col min="12" max="14" width="5.85546875" style="49" customWidth="1"/>
    <col min="15" max="15" width="12.5703125" style="49" customWidth="1"/>
    <col min="16" max="1024" width="9.140625" style="49"/>
    <col min="1025" max="16384" width="9.140625" style="50"/>
  </cols>
  <sheetData>
    <row r="1" spans="1:11" ht="18" customHeight="1" x14ac:dyDescent="0.2">
      <c r="A1" s="107" t="s">
        <v>16</v>
      </c>
      <c r="B1" s="107"/>
      <c r="C1" s="107"/>
      <c r="D1" s="107"/>
      <c r="E1" s="107"/>
      <c r="F1" s="107"/>
      <c r="G1" s="107"/>
      <c r="H1" s="107"/>
      <c r="I1" s="107"/>
      <c r="J1" s="47" t="s">
        <v>17</v>
      </c>
      <c r="K1" s="48" t="s">
        <v>69</v>
      </c>
    </row>
    <row r="2" spans="1:11" ht="18.75" customHeight="1" thickBot="1" x14ac:dyDescent="0.25">
      <c r="A2" s="51"/>
      <c r="B2" s="51"/>
      <c r="C2" s="51"/>
      <c r="D2" s="52"/>
      <c r="E2" s="52"/>
      <c r="F2" s="52"/>
      <c r="G2" s="52"/>
      <c r="H2" s="52"/>
      <c r="I2" s="52"/>
      <c r="J2" s="52"/>
      <c r="K2" s="52"/>
    </row>
    <row r="3" spans="1:11" ht="18.75" customHeight="1" thickBot="1" x14ac:dyDescent="0.25">
      <c r="A3" s="108" t="s">
        <v>50</v>
      </c>
      <c r="B3" s="108"/>
      <c r="C3" s="108"/>
      <c r="D3" s="109" t="str">
        <f>'Necesidades Trimestrales'!C4</f>
        <v>040 - Ministerio de Salud</v>
      </c>
      <c r="E3" s="109"/>
      <c r="F3" s="109"/>
      <c r="G3" s="109"/>
      <c r="H3" s="109"/>
      <c r="I3" s="109"/>
      <c r="J3" s="109"/>
      <c r="K3" s="109"/>
    </row>
    <row r="4" spans="1:11" ht="18.75" customHeight="1" thickBot="1" x14ac:dyDescent="0.25">
      <c r="A4" s="110" t="s">
        <v>51</v>
      </c>
      <c r="B4" s="110"/>
      <c r="C4" s="110"/>
      <c r="D4" s="109" t="str">
        <f>'Necesidades Trimestrales'!C5</f>
        <v>024 - Hospital Interzonal de Niños</v>
      </c>
      <c r="E4" s="109"/>
      <c r="F4" s="109"/>
      <c r="G4" s="109"/>
      <c r="H4" s="109"/>
      <c r="I4" s="109"/>
      <c r="J4" s="109"/>
      <c r="K4" s="109"/>
    </row>
    <row r="5" spans="1:11" ht="18.75" customHeight="1" thickBot="1" x14ac:dyDescent="0.25">
      <c r="A5" s="110" t="s">
        <v>29</v>
      </c>
      <c r="B5" s="110"/>
      <c r="C5" s="110"/>
      <c r="D5" s="109" t="s">
        <v>53</v>
      </c>
      <c r="E5" s="109"/>
      <c r="F5" s="109"/>
      <c r="G5" s="109"/>
      <c r="H5" s="109"/>
      <c r="I5" s="109"/>
      <c r="J5" s="109"/>
      <c r="K5" s="109"/>
    </row>
    <row r="6" spans="1:11" ht="16.5" customHeight="1" thickBot="1" x14ac:dyDescent="0.25">
      <c r="A6" s="108" t="s">
        <v>52</v>
      </c>
      <c r="B6" s="108"/>
      <c r="C6" s="108"/>
      <c r="D6" s="109" t="s">
        <v>59</v>
      </c>
      <c r="E6" s="109"/>
      <c r="F6" s="109"/>
      <c r="G6" s="109"/>
      <c r="H6" s="109"/>
      <c r="I6" s="109"/>
      <c r="J6" s="109"/>
      <c r="K6" s="109"/>
    </row>
    <row r="7" spans="1:11" ht="16.5" customHeight="1" x14ac:dyDescent="0.2">
      <c r="A7" s="110" t="s">
        <v>18</v>
      </c>
      <c r="B7" s="110"/>
      <c r="C7" s="110"/>
      <c r="D7" s="109" t="str">
        <f>'Necesidades Trimestrales'!C7 &amp; "° Trimestre - Año " &amp; 'Necesidades Trimestrales'!C6</f>
        <v>2° Trimestre - Año 2021</v>
      </c>
      <c r="E7" s="109"/>
      <c r="F7" s="109"/>
      <c r="G7" s="109"/>
      <c r="H7" s="109"/>
      <c r="I7" s="109"/>
      <c r="J7" s="109"/>
      <c r="K7" s="109"/>
    </row>
    <row r="8" spans="1:11" ht="16.5" customHeight="1" x14ac:dyDescent="0.2">
      <c r="A8" s="113" t="s">
        <v>19</v>
      </c>
      <c r="B8" s="113"/>
      <c r="C8" s="113"/>
      <c r="D8" s="114" t="s">
        <v>67</v>
      </c>
      <c r="E8" s="114"/>
      <c r="F8" s="114"/>
      <c r="G8" s="114"/>
      <c r="H8" s="114"/>
      <c r="I8" s="114"/>
      <c r="J8" s="114"/>
      <c r="K8" s="114"/>
    </row>
    <row r="9" spans="1:11" ht="15.75" x14ac:dyDescent="0.2">
      <c r="A9" s="53"/>
      <c r="B9" s="53"/>
      <c r="C9" s="53"/>
      <c r="D9" s="54"/>
      <c r="E9" s="54"/>
      <c r="F9" s="54"/>
      <c r="G9" s="54"/>
      <c r="H9" s="54"/>
      <c r="I9" s="54"/>
      <c r="J9" s="54"/>
      <c r="K9" s="54"/>
    </row>
    <row r="10" spans="1:11" ht="18.75" customHeight="1" x14ac:dyDescent="0.2">
      <c r="A10" s="115" t="s">
        <v>20</v>
      </c>
      <c r="B10" s="116" t="s">
        <v>21</v>
      </c>
      <c r="C10" s="116" t="s">
        <v>22</v>
      </c>
      <c r="D10" s="116"/>
      <c r="E10" s="116"/>
      <c r="F10" s="116"/>
      <c r="G10" s="116"/>
      <c r="H10" s="116" t="s">
        <v>23</v>
      </c>
      <c r="I10" s="116" t="s">
        <v>24</v>
      </c>
      <c r="J10" s="116" t="s">
        <v>25</v>
      </c>
      <c r="K10" s="117" t="s">
        <v>26</v>
      </c>
    </row>
    <row r="11" spans="1:11" ht="24" customHeight="1" x14ac:dyDescent="0.2">
      <c r="A11" s="115"/>
      <c r="B11" s="116"/>
      <c r="C11" s="116"/>
      <c r="D11" s="116"/>
      <c r="E11" s="116"/>
      <c r="F11" s="116"/>
      <c r="G11" s="116"/>
      <c r="H11" s="116"/>
      <c r="I11" s="116"/>
      <c r="J11" s="116"/>
      <c r="K11" s="117"/>
    </row>
    <row r="12" spans="1:11" ht="27.75" customHeight="1" thickBot="1" x14ac:dyDescent="0.25">
      <c r="A12" s="55">
        <v>1</v>
      </c>
      <c r="B12" s="56" t="str">
        <f>'Necesidades Trimestrales'!B10</f>
        <v>3.9.3.1387.1</v>
      </c>
      <c r="C12" s="112" t="str">
        <f>'Necesidades Trimestrales'!E10</f>
        <v>VIGILANCIA Y CUSTODIA; AREAS DE EDIFICIOS: VIGILANCIA Y CUSTODIA, DESCRIPCION: VIGILANCIA Y CUSTODIA</v>
      </c>
      <c r="D12" s="112"/>
      <c r="E12" s="112"/>
      <c r="F12" s="112"/>
      <c r="G12" s="112"/>
      <c r="H12" s="57" t="s">
        <v>75</v>
      </c>
      <c r="I12" s="58" t="str">
        <f>'Necesidades Trimestrales'!F10</f>
        <v>DIAS</v>
      </c>
      <c r="J12" s="59">
        <f>'Necesidades Trimestrales'!H10</f>
        <v>6720</v>
      </c>
      <c r="K12" s="60">
        <f>'Necesidades Trimestrales'!G10</f>
        <v>90</v>
      </c>
    </row>
    <row r="13" spans="1:11" ht="20.25" customHeight="1" thickBot="1" x14ac:dyDescent="0.25">
      <c r="A13" s="109" t="s">
        <v>72</v>
      </c>
      <c r="B13" s="109"/>
      <c r="C13" s="109"/>
      <c r="D13" s="109"/>
      <c r="E13" s="109"/>
      <c r="F13" s="109"/>
      <c r="G13" s="109"/>
      <c r="H13" s="109"/>
      <c r="I13" s="109"/>
      <c r="J13" s="111">
        <f>J12*K12</f>
        <v>604800</v>
      </c>
      <c r="K13" s="111"/>
    </row>
  </sheetData>
  <mergeCells count="23">
    <mergeCell ref="A13:I13"/>
    <mergeCell ref="J13:K13"/>
    <mergeCell ref="C12:G12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abSelected="1" zoomScale="130" zoomScaleNormal="130" workbookViewId="0">
      <selection activeCell="R19" sqref="R19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18" t="s">
        <v>3</v>
      </c>
      <c r="B1" s="118"/>
      <c r="C1" s="118"/>
      <c r="D1" s="119">
        <f>'Necesidades Trimestrales'!C6</f>
        <v>2021</v>
      </c>
      <c r="E1" s="119"/>
      <c r="F1" s="3"/>
      <c r="G1" s="3"/>
      <c r="H1" s="4"/>
      <c r="I1" s="4"/>
      <c r="J1" s="4"/>
      <c r="K1" s="4"/>
      <c r="L1" s="4"/>
      <c r="M1" s="4"/>
      <c r="N1" s="4"/>
      <c r="P1" s="120" t="s">
        <v>27</v>
      </c>
      <c r="Q1" s="120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20"/>
      <c r="Q2" s="120"/>
    </row>
    <row r="4" spans="1:17" s="5" customFormat="1" ht="18" customHeight="1" thickBot="1" x14ac:dyDescent="0.25">
      <c r="A4" s="121" t="s">
        <v>28</v>
      </c>
      <c r="B4" s="121"/>
      <c r="C4" s="121"/>
      <c r="D4" s="121"/>
      <c r="E4" s="121"/>
      <c r="F4" s="121"/>
      <c r="G4" s="122" t="str">
        <f>' NotaPedido'!D3</f>
        <v>040 - Ministerio de Salud</v>
      </c>
      <c r="H4" s="122"/>
      <c r="I4" s="122"/>
      <c r="J4" s="122"/>
      <c r="K4" s="122"/>
      <c r="L4" s="122"/>
      <c r="M4" s="122"/>
      <c r="N4" s="122"/>
      <c r="O4" s="122"/>
      <c r="P4" s="122"/>
      <c r="Q4" s="122"/>
    </row>
    <row r="5" spans="1:17" s="5" customFormat="1" ht="18" customHeight="1" thickBot="1" x14ac:dyDescent="0.25">
      <c r="A5" s="123" t="s">
        <v>51</v>
      </c>
      <c r="B5" s="124"/>
      <c r="C5" s="124"/>
      <c r="D5" s="124"/>
      <c r="E5" s="124"/>
      <c r="F5" s="125"/>
      <c r="G5" s="122" t="str">
        <f>' NotaPedido'!D4</f>
        <v>024 - Hospital Interzonal de Niños</v>
      </c>
      <c r="H5" s="122"/>
      <c r="I5" s="122"/>
      <c r="J5" s="122"/>
      <c r="K5" s="122"/>
      <c r="L5" s="122"/>
      <c r="M5" s="122"/>
      <c r="N5" s="122"/>
      <c r="O5" s="122"/>
      <c r="P5" s="122"/>
      <c r="Q5" s="122"/>
    </row>
    <row r="6" spans="1:17" s="5" customFormat="1" ht="18" customHeight="1" thickBot="1" x14ac:dyDescent="0.25">
      <c r="A6" s="123" t="s">
        <v>29</v>
      </c>
      <c r="B6" s="124"/>
      <c r="C6" s="124"/>
      <c r="D6" s="124"/>
      <c r="E6" s="124"/>
      <c r="F6" s="125"/>
      <c r="G6" s="122" t="str">
        <f>' NotaPedido'!D5</f>
        <v>024 - Hospital Interzonal de Niños</v>
      </c>
      <c r="H6" s="122"/>
      <c r="I6" s="122"/>
      <c r="J6" s="122"/>
      <c r="K6" s="122"/>
      <c r="L6" s="122"/>
      <c r="M6" s="122"/>
      <c r="N6" s="122"/>
      <c r="O6" s="122"/>
      <c r="P6" s="122"/>
      <c r="Q6" s="122"/>
    </row>
    <row r="7" spans="1:17" s="5" customFormat="1" ht="18" customHeight="1" thickBot="1" x14ac:dyDescent="0.25">
      <c r="A7" s="123" t="s">
        <v>52</v>
      </c>
      <c r="B7" s="124"/>
      <c r="C7" s="124"/>
      <c r="D7" s="124"/>
      <c r="E7" s="124"/>
      <c r="F7" s="125"/>
      <c r="G7" s="122" t="str">
        <f>' NotaPedido'!D6</f>
        <v>Direccion de Mantemiento</v>
      </c>
      <c r="H7" s="122"/>
      <c r="I7" s="122"/>
      <c r="J7" s="122"/>
      <c r="K7" s="122"/>
      <c r="L7" s="122"/>
      <c r="M7" s="122"/>
      <c r="N7" s="122"/>
      <c r="O7" s="122"/>
      <c r="P7" s="122"/>
      <c r="Q7" s="122"/>
    </row>
    <row r="8" spans="1:17" ht="18" customHeight="1" thickBot="1" x14ac:dyDescent="0.25">
      <c r="A8" s="126" t="s">
        <v>30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</row>
    <row r="9" spans="1:17" ht="18" customHeight="1" x14ac:dyDescent="0.2">
      <c r="A9" s="127" t="s">
        <v>31</v>
      </c>
      <c r="B9" s="127"/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"/>
      <c r="P9" s="1"/>
      <c r="Q9" s="6"/>
    </row>
    <row r="10" spans="1:17" ht="54.75" customHeight="1" x14ac:dyDescent="0.2">
      <c r="A10" s="128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039/2021,  afectando la erogación resultante a los créditos presupuestarios aprobados a favor de esta Unidad Ejecutora, conforme al siguiente detalle:</v>
      </c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x14ac:dyDescent="0.2">
      <c r="A12" s="129" t="s">
        <v>32</v>
      </c>
      <c r="B12" s="129"/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29"/>
      <c r="Q12" s="129"/>
    </row>
    <row r="13" spans="1:17" ht="15.75" customHeight="1" x14ac:dyDescent="0.2">
      <c r="A13" s="130" t="s">
        <v>33</v>
      </c>
      <c r="B13" s="130"/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1" t="s">
        <v>34</v>
      </c>
      <c r="P13" s="131"/>
      <c r="Q13" s="132" t="s">
        <v>35</v>
      </c>
    </row>
    <row r="14" spans="1:17" ht="15.75" customHeight="1" thickBot="1" x14ac:dyDescent="0.25">
      <c r="A14" s="11" t="s">
        <v>36</v>
      </c>
      <c r="B14" s="12" t="s">
        <v>37</v>
      </c>
      <c r="C14" s="12" t="s">
        <v>38</v>
      </c>
      <c r="D14" s="12" t="s">
        <v>39</v>
      </c>
      <c r="E14" s="12" t="s">
        <v>40</v>
      </c>
      <c r="F14" s="12" t="s">
        <v>41</v>
      </c>
      <c r="G14" s="13" t="s">
        <v>42</v>
      </c>
      <c r="H14" s="12" t="s">
        <v>43</v>
      </c>
      <c r="I14" s="12" t="s">
        <v>44</v>
      </c>
      <c r="J14" s="12" t="s">
        <v>45</v>
      </c>
      <c r="K14" s="12" t="s">
        <v>45</v>
      </c>
      <c r="L14" s="12" t="s">
        <v>46</v>
      </c>
      <c r="M14" s="14" t="s">
        <v>47</v>
      </c>
      <c r="N14" s="15" t="s">
        <v>48</v>
      </c>
      <c r="O14" s="131"/>
      <c r="P14" s="131"/>
      <c r="Q14" s="132"/>
    </row>
    <row r="15" spans="1:17" ht="17.25" customHeight="1" x14ac:dyDescent="0.2">
      <c r="A15" s="65">
        <v>36</v>
      </c>
      <c r="B15" s="76"/>
      <c r="C15" s="76"/>
      <c r="D15" s="76">
        <v>1</v>
      </c>
      <c r="E15" s="76"/>
      <c r="F15" s="76">
        <v>4901</v>
      </c>
      <c r="G15" s="76">
        <v>3</v>
      </c>
      <c r="H15" s="76">
        <v>310</v>
      </c>
      <c r="I15" s="78" t="str">
        <f>LEFT('Necesidades Trimestrales'!D10,1)</f>
        <v>3</v>
      </c>
      <c r="J15" s="78">
        <v>9</v>
      </c>
      <c r="K15" s="78" t="str">
        <f>RIGHT('Necesidades Trimestrales'!D10,1)</f>
        <v>3</v>
      </c>
      <c r="L15" s="76"/>
      <c r="M15" s="66">
        <v>1</v>
      </c>
      <c r="N15" s="67" t="s">
        <v>55</v>
      </c>
      <c r="O15" s="133" t="s">
        <v>63</v>
      </c>
      <c r="P15" s="134"/>
      <c r="Q15" s="16">
        <v>604800</v>
      </c>
    </row>
    <row r="16" spans="1:17" ht="17.25" customHeight="1" x14ac:dyDescent="0.2">
      <c r="A16" s="71"/>
      <c r="B16" s="75"/>
      <c r="C16" s="75"/>
      <c r="D16" s="75"/>
      <c r="E16" s="75"/>
      <c r="F16" s="75"/>
      <c r="G16" s="75"/>
      <c r="H16" s="75"/>
      <c r="I16" s="77"/>
      <c r="J16" s="77"/>
      <c r="K16" s="77"/>
      <c r="L16" s="75"/>
      <c r="M16" s="72"/>
      <c r="N16" s="73"/>
      <c r="O16" s="135"/>
      <c r="P16" s="135"/>
      <c r="Q16" s="21"/>
    </row>
    <row r="17" spans="1:18" ht="23.25" customHeight="1" x14ac:dyDescent="0.2">
      <c r="A17" s="71"/>
      <c r="B17" s="72"/>
      <c r="C17" s="72"/>
      <c r="D17" s="72"/>
      <c r="E17" s="72"/>
      <c r="F17" s="72"/>
      <c r="G17" s="72"/>
      <c r="H17" s="72"/>
      <c r="I17" s="74"/>
      <c r="J17" s="74"/>
      <c r="K17" s="74"/>
      <c r="L17" s="72"/>
      <c r="M17" s="72"/>
      <c r="N17" s="73"/>
      <c r="O17" s="136"/>
      <c r="P17" s="137"/>
      <c r="Q17" s="21"/>
    </row>
    <row r="18" spans="1:18" ht="17.25" customHeight="1" x14ac:dyDescent="0.2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9"/>
      <c r="N18" s="20"/>
      <c r="O18" s="135"/>
      <c r="P18" s="135"/>
      <c r="Q18" s="21"/>
    </row>
    <row r="19" spans="1:18" ht="17.25" customHeight="1" x14ac:dyDescent="0.2">
      <c r="A19" s="17"/>
      <c r="B19" s="18"/>
      <c r="C19" s="18"/>
      <c r="D19" s="18"/>
      <c r="E19" s="18"/>
      <c r="F19" s="20"/>
      <c r="G19" s="18"/>
      <c r="H19" s="18"/>
      <c r="I19" s="18"/>
      <c r="J19" s="18"/>
      <c r="K19" s="18"/>
      <c r="L19" s="18"/>
      <c r="M19" s="19"/>
      <c r="N19" s="20"/>
      <c r="O19" s="135"/>
      <c r="P19" s="135"/>
      <c r="Q19" s="21"/>
    </row>
    <row r="20" spans="1:18" ht="17.25" customHeight="1" x14ac:dyDescent="0.2">
      <c r="A20" s="17"/>
      <c r="B20" s="18"/>
      <c r="C20" s="18"/>
      <c r="D20" s="18"/>
      <c r="E20" s="18"/>
      <c r="F20" s="20"/>
      <c r="G20" s="18"/>
      <c r="H20" s="18"/>
      <c r="I20" s="18"/>
      <c r="J20" s="18"/>
      <c r="K20" s="18"/>
      <c r="L20" s="18"/>
      <c r="M20" s="19"/>
      <c r="N20" s="20"/>
      <c r="O20" s="135"/>
      <c r="P20" s="135"/>
      <c r="Q20" s="21"/>
    </row>
    <row r="21" spans="1:18" ht="17.25" customHeight="1" x14ac:dyDescent="0.2">
      <c r="A21" s="22"/>
      <c r="B21" s="23"/>
      <c r="C21" s="23"/>
      <c r="D21" s="23"/>
      <c r="E21" s="23"/>
      <c r="F21" s="24"/>
      <c r="G21" s="23"/>
      <c r="H21" s="23"/>
      <c r="I21" s="23"/>
      <c r="J21" s="23"/>
      <c r="K21" s="23"/>
      <c r="L21" s="23"/>
      <c r="M21" s="25"/>
      <c r="N21" s="26"/>
      <c r="O21" s="143"/>
      <c r="P21" s="143"/>
      <c r="Q21" s="21"/>
      <c r="R21" s="1"/>
    </row>
    <row r="22" spans="1:18" ht="17.25" customHeight="1" x14ac:dyDescent="0.2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28"/>
      <c r="O22" s="144"/>
      <c r="P22" s="144"/>
      <c r="Q22" s="30"/>
    </row>
    <row r="23" spans="1:18" ht="29.25" customHeight="1" x14ac:dyDescent="0.2">
      <c r="A23" s="145" t="s">
        <v>73</v>
      </c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31">
        <f>SUM(Q15:Q22)</f>
        <v>604800</v>
      </c>
    </row>
    <row r="24" spans="1:18" ht="18" customHeight="1" thickBot="1" x14ac:dyDescent="0.25">
      <c r="A24" s="146"/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</row>
    <row r="25" spans="1:18" ht="17.25" customHeight="1" thickBot="1" x14ac:dyDescent="0.25">
      <c r="A25" s="138" t="s">
        <v>49</v>
      </c>
      <c r="B25" s="139"/>
      <c r="C25" s="139"/>
      <c r="D25" s="139"/>
      <c r="E25" s="139"/>
      <c r="F25" s="140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</row>
    <row r="26" spans="1:18" ht="18" customHeight="1" thickBot="1" x14ac:dyDescent="0.25">
      <c r="A26" s="142" t="s">
        <v>68</v>
      </c>
      <c r="B26" s="142"/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2"/>
    </row>
    <row r="27" spans="1:18" ht="15" customHeight="1" x14ac:dyDescent="0.2">
      <c r="A27" s="142"/>
      <c r="B27" s="142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2"/>
      <c r="N27" s="142"/>
      <c r="O27" s="142"/>
      <c r="P27" s="142"/>
      <c r="Q27" s="142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2021-03-12T14:02:35Z</cp:lastPrinted>
  <dcterms:created xsi:type="dcterms:W3CDTF">2020-07-17T23:44:49Z</dcterms:created>
  <dcterms:modified xsi:type="dcterms:W3CDTF">2021-03-29T12:28:57Z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