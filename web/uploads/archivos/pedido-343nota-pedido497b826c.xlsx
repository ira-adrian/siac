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60" windowWidth="20730" windowHeight="11760" activeTab="2"/>
  </bookViews>
  <sheets>
    <sheet name="COMBUSTIBLE" sheetId="1" r:id="rId1"/>
    <sheet name="PARQUE AUTOMOTOR" sheetId="2" r:id="rId2"/>
    <sheet name="Autor Gastar" sheetId="3" r:id="rId3"/>
  </sheets>
  <externalReferences>
    <externalReference r:id="rId4"/>
    <externalReference r:id="rId5"/>
    <externalReference r:id="rId6"/>
  </externalReferences>
  <definedNames>
    <definedName name="_xlcn.WorksheetConnection_RelevamientodeHardMinisteriodeTrabajoyRRHH20base.xlsxTabla11" localSheetId="2" hidden="1">[1]!Tabla1[#Data]</definedName>
    <definedName name="_xlcn.WorksheetConnection_RelevamientodeHardMinisteriodeTrabajoyRRHH20base.xlsxTabla11" hidden="1">[2]!Tabla1[#Data]</definedName>
    <definedName name="_xlnm.Print_Area" localSheetId="2">'Autor Gastar'!$A$1:$Q$26</definedName>
    <definedName name="ORGANIGRAMA" localSheetId="2">#REF!</definedName>
    <definedName name="ORGANIGRAMA">#REF!</definedName>
    <definedName name="toners" localSheetId="2">#REF!</definedName>
    <definedName name="toners">#REF!</definedName>
  </definedNames>
  <calcPr calcId="145621"/>
</workbook>
</file>

<file path=xl/calcChain.xml><?xml version="1.0" encoding="utf-8"?>
<calcChain xmlns="http://schemas.openxmlformats.org/spreadsheetml/2006/main">
  <c r="Q22" i="3" l="1"/>
  <c r="A25" i="3" l="1"/>
  <c r="G7" i="3"/>
  <c r="I10" i="1" l="1"/>
  <c r="I11" i="1"/>
  <c r="I12" i="1" l="1"/>
</calcChain>
</file>

<file path=xl/sharedStrings.xml><?xml version="1.0" encoding="utf-8"?>
<sst xmlns="http://schemas.openxmlformats.org/spreadsheetml/2006/main" count="190" uniqueCount="137">
  <si>
    <t>Garantia</t>
  </si>
  <si>
    <t>30 (treinta) días</t>
  </si>
  <si>
    <t>Mantenimiento</t>
  </si>
  <si>
    <r>
      <t xml:space="preserve">Que Cumpla con lo Solicitado de Forma Integra. </t>
    </r>
    <r>
      <rPr>
        <b/>
        <u/>
        <sz val="10"/>
        <rFont val="Times New Roman"/>
        <family val="1"/>
      </rPr>
      <t/>
    </r>
  </si>
  <si>
    <t>Calidad Minima esperada</t>
  </si>
  <si>
    <t>Plazos y lugares de entrega</t>
  </si>
  <si>
    <t xml:space="preserve">LITROS </t>
  </si>
  <si>
    <t>GAS OIL; PRESENTACION: POR LITRO, USO: MOTORES DIESEL, COMERCIALIZACION: GRADO 3,  DESTINO: DPTO. S.F.V. DE CATAMARCA</t>
  </si>
  <si>
    <t>2.5.6</t>
  </si>
  <si>
    <t>COMBUSTIBLES Y LUBRICANTES</t>
  </si>
  <si>
    <t>2.5.6-793.31</t>
  </si>
  <si>
    <t>NAFTA SUPER; TIPO: SUPER, OCTANO: 95, PRESENTACION: POR LITRO, DESTINO: DPTO. S.F.V. DE CATAMARCA</t>
  </si>
  <si>
    <t>2.5.6-797.39</t>
  </si>
  <si>
    <t xml:space="preserve">IMPORTE TOTAL ESTIMADO </t>
  </si>
  <si>
    <t>PRECIO UNITARIO ESTIMADO</t>
  </si>
  <si>
    <t>CANTIDAD</t>
  </si>
  <si>
    <t>UNIDAD DE MEDIDA</t>
  </si>
  <si>
    <t>DESCRIPCION</t>
  </si>
  <si>
    <t xml:space="preserve">I.P.P. </t>
  </si>
  <si>
    <t>RUBRO DE COMPRA</t>
  </si>
  <si>
    <t>CODIGO ITEM</t>
  </si>
  <si>
    <t>ID</t>
  </si>
  <si>
    <t>TRIMESTRE:</t>
  </si>
  <si>
    <t>EJERCICIO:</t>
  </si>
  <si>
    <t>22 - Subsecretaria de Administracion Financiera del Ministerio de Trabajo, Planificacion y Recursos Humanos</t>
  </si>
  <si>
    <t xml:space="preserve">SAF N°: </t>
  </si>
  <si>
    <t>12 -Ministerio de Trabajo, Planificacion y Recursos Humanos</t>
  </si>
  <si>
    <t>JURISDICCION:</t>
  </si>
  <si>
    <t>Pedido de Necesidades Trimestrales</t>
  </si>
  <si>
    <t>NO</t>
  </si>
  <si>
    <t>8BCMFWJZF9G504304</t>
  </si>
  <si>
    <t>10DXBE0049694</t>
  </si>
  <si>
    <t>CITROEN BERLINGO DIESEL</t>
  </si>
  <si>
    <t>HLD-925</t>
  </si>
  <si>
    <t xml:space="preserve">CAMIONETA </t>
  </si>
  <si>
    <t>8BCMFWJZF9G504303</t>
  </si>
  <si>
    <t>10DXBE0049668</t>
  </si>
  <si>
    <t>HLD-924</t>
  </si>
  <si>
    <t>9BG138AJ08C404715</t>
  </si>
  <si>
    <t>M1A298318</t>
  </si>
  <si>
    <t>CHEVROLET-S10 DIESEL</t>
  </si>
  <si>
    <t>GTG-156</t>
  </si>
  <si>
    <t>9C2HA07605R020770</t>
  </si>
  <si>
    <t>HA7E65020770</t>
  </si>
  <si>
    <t>HONDA - WAVE-C 105-BIZ</t>
  </si>
  <si>
    <t>384-CUR</t>
  </si>
  <si>
    <t>MOTOCICLETA</t>
  </si>
  <si>
    <t>9BRB29BTXJ2165115</t>
  </si>
  <si>
    <t>2NR4114042</t>
  </si>
  <si>
    <t>TOYOTA ETIOS X 1.5 6M/T</t>
  </si>
  <si>
    <t>AB-498-RA</t>
  </si>
  <si>
    <t>AUTOMOVIL</t>
  </si>
  <si>
    <t>1BG116AC05C38143</t>
  </si>
  <si>
    <t>M1T229703</t>
  </si>
  <si>
    <t>CHEVROLET BLAZER 2,8 DLX T</t>
  </si>
  <si>
    <t>FEC-331</t>
  </si>
  <si>
    <t>8AD6J9HJCF504939</t>
  </si>
  <si>
    <t>10JBED0036144</t>
  </si>
  <si>
    <t>PEUGEOT PARTNER 1.6 HDI</t>
  </si>
  <si>
    <t>OFJ-200</t>
  </si>
  <si>
    <t>8ADEJ9HCF650B343</t>
  </si>
  <si>
    <t>10JBED0037046</t>
  </si>
  <si>
    <t>OBO-158</t>
  </si>
  <si>
    <t>8AFAR23J8CJ053112</t>
  </si>
  <si>
    <t>QW2PCJO53112</t>
  </si>
  <si>
    <t>FORD RANGER 2.2L 4x4</t>
  </si>
  <si>
    <t>LXO-037</t>
  </si>
  <si>
    <t>9BG138AJOBC417207</t>
  </si>
  <si>
    <t>M1A373734</t>
  </si>
  <si>
    <t>CHEVROLET S10 2.8 TDI 4x2</t>
  </si>
  <si>
    <t>JIY-081</t>
  </si>
  <si>
    <t>9BG138AC05C439524</t>
  </si>
  <si>
    <t>M1T231241</t>
  </si>
  <si>
    <t>FEG-624</t>
  </si>
  <si>
    <t>8BCMFWJZFAG502519</t>
  </si>
  <si>
    <t>10DXBE0058968</t>
  </si>
  <si>
    <t xml:space="preserve">CINTROEN BERLINGO 1.9 </t>
  </si>
  <si>
    <t>IIL-806</t>
  </si>
  <si>
    <t>8AJEB32G9E1013932</t>
  </si>
  <si>
    <t>1KD-A276503</t>
  </si>
  <si>
    <t>TOYOTA HILUX 3.0 DTI  - 4x2</t>
  </si>
  <si>
    <t>NIK-372</t>
  </si>
  <si>
    <t>9G148DH0CC402973</t>
  </si>
  <si>
    <t>VLA007432</t>
  </si>
  <si>
    <t>CHEVROLET S10 2.8 TDI 4x4</t>
  </si>
  <si>
    <t>MBW-894</t>
  </si>
  <si>
    <t>8AJEZ32G7E1014114</t>
  </si>
  <si>
    <t>1KD-A302624</t>
  </si>
  <si>
    <t>NIK-381</t>
  </si>
  <si>
    <t>BAJCB3DD0L3900131</t>
  </si>
  <si>
    <t>2GB-0700815</t>
  </si>
  <si>
    <t>TOYOTA HILUX 2.4D  - 4x2</t>
  </si>
  <si>
    <t>AE215IO</t>
  </si>
  <si>
    <t>8AJDB8CD1K1400864</t>
  </si>
  <si>
    <t>2GD-4476742</t>
  </si>
  <si>
    <t>TOYOTA HILUX 2.4D  - 4x4</t>
  </si>
  <si>
    <t>AD770MB</t>
  </si>
  <si>
    <t>MODELO</t>
  </si>
  <si>
    <t xml:space="preserve">G N C </t>
  </si>
  <si>
    <t>CHASIS</t>
  </si>
  <si>
    <t>MOTOR</t>
  </si>
  <si>
    <t>MARCA</t>
  </si>
  <si>
    <t xml:space="preserve">DOMINIO </t>
  </si>
  <si>
    <t>VEHÍCULO</t>
  </si>
  <si>
    <t>ITEMNº</t>
  </si>
  <si>
    <r>
      <rPr>
        <b/>
        <sz val="11"/>
        <color theme="1"/>
        <rFont val="Calibri"/>
        <family val="2"/>
        <scheme val="minor"/>
      </rPr>
      <t xml:space="preserve">PARQUE AUTOMOTOR - MINISTERIO DE TRABAJO Y RECURSOS HUMANOS </t>
    </r>
    <r>
      <rPr>
        <sz val="10"/>
        <rFont val="Arial"/>
        <family val="2"/>
      </rPr>
      <t xml:space="preserve">
</t>
    </r>
    <r>
      <rPr>
        <sz val="10"/>
        <rFont val="Arial"/>
        <family val="2"/>
      </rPr>
      <t xml:space="preserve">
</t>
    </r>
  </si>
  <si>
    <t>AUTORIZACION PARA GASTAR</t>
  </si>
  <si>
    <t>JURISDICCIÓN:</t>
  </si>
  <si>
    <t>12 - Ministerio de Trabajo, Planificacion y Recursos Humanos</t>
  </si>
  <si>
    <t>SAF:</t>
  </si>
  <si>
    <t>UNIDAD EJECUTORA:</t>
  </si>
  <si>
    <t>Ministerio de Trabajo, Planificacion y Reursos Humanos</t>
  </si>
  <si>
    <t xml:space="preserve">DEPENDENCIA SOLICITANTE: </t>
  </si>
  <si>
    <r>
      <t>AUTORIZACIÓN</t>
    </r>
    <r>
      <rPr>
        <b/>
        <sz val="10"/>
        <rFont val="Century Gothic"/>
        <family val="2"/>
      </rPr>
      <t>:</t>
    </r>
  </si>
  <si>
    <t>Señor Jefe de Servicio Administrativo Financiero:</t>
  </si>
  <si>
    <t>Autorizo la realización de los  trámites correspondientes, a fin de proveer a  este Organismo los bienes y/o servicios que se detallan en Necesidad Trimestral,  afectando la erogación resultante a los créditos presupuestarios aprobados a favor de esta Unidad Ejecutora, conforme al siguiente detalle:"</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</si>
  <si>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</si>
  <si>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</si>
  <si>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</si>
  <si>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</si>
  <si>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</si>
  <si>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</si>
  <si>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</si>
  <si>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</si>
  <si>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</si>
  <si>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</si>
  <si>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</si>
  <si>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</si>
  <si>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</si>
  <si>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</si>
  <si>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</si>
  <si>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</si>
  <si>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</si>
  <si>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</si>
  <si>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</si>
  <si>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COSTO ESTIMADO: UN MILLON CUATROCIENTOS NOVENTA Y DOS MIL SEISCIENTOS OCHENTA CON 00/100.-</t>
  </si>
  <si>
    <r>
      <t xml:space="preserve">Plazo de entrega </t>
    </r>
    <r>
      <rPr>
        <b/>
        <u/>
        <sz val="11"/>
        <rFont val="Times New Roman"/>
        <family val="1"/>
      </rPr>
      <t>tres 3 días hábiles</t>
    </r>
    <r>
      <rPr>
        <sz val="11"/>
        <rFont val="Times New Roman"/>
        <family val="1"/>
      </rPr>
      <t xml:space="preserve">. Periodo de utilización tres meses. ENTREGA en VALES,  LUGAR DE ENTREGA:  Direccio de Contrataciones -Oficina Central del Ministerio de Trabajo, Planificacion y Recursos Humanos, sito en Av. Colon Nº 960 - Capital - De 08 a 12 horas. 
El COMBUSTIBLE en la boca de expendio.
LAS ENTREGAS de combustibles (Nafta Súper y Gasoil grado 3), se efectuarán en función de las necesidades de la Repartición, en las bocas de expendio de la firma oferente contra la presentación de la respectiva autorización de la Subsecretaria de Administración Financiera del Ministerio de Trabajo, Planificación  y Recurso Humanos, otorgada bajo la forma de VALES provistos por la firma Adjudicataria; en la siguiente forma:
a) Para la Nafta súper, Gasoil grado 3, proporcionalmente en vales de VEINTE (20), QUINCE (15) y DIEZ (10) litros;
b) Cuando la cantidad adjudicada </t>
    </r>
    <r>
      <rPr>
        <u/>
        <sz val="11"/>
        <rFont val="Times New Roman"/>
        <family val="1"/>
      </rPr>
      <t xml:space="preserve">no permita la confección de alguno de los vales precitados, </t>
    </r>
    <r>
      <rPr>
        <sz val="11"/>
        <rFont val="Times New Roman"/>
        <family val="1"/>
      </rPr>
      <t xml:space="preserve">para completar, se emitirá uno por una cantidad menor, en el tipo de combustible (que fuere necesario). 
La entrega de VALES se efectuará en la Dirección de Contrataciones  dependiente de la Subsecretaria de Administración Financiera del Ministerio de Trabajo, planificación y Recurso Humanos, de Provincia de Catamarca, sito en Av. Colon Nº 960 - San Fernando del Valle de Catamarca. De 08 a 12 horas.
</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</si>
</sst>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2C0A]\ * #,##0.00_ ;_ [$$-2C0A]\ * \-#,##0.00_ ;_ [$$-2C0A]\ * &quot;-&quot;??_ ;_ @_ "/>
    <numFmt numFmtId="165" formatCode="_-* #,##0.00&quot; €&quot;_-;\-* #,##0.00&quot; €&quot;_-;_-* \-??&quot; €&quot;_-;_-@_-"/>
    <numFmt numFmtId="166" formatCode="dd\-mm\-yy;@"/>
    <numFmt numFmtId="167" formatCode="_-[$$-2C0A]\ * #,##0.00_-;\-[$$-2C0A]\ * #,##0.00_-;_-[$$-2C0A]\ * &quot;-&quot;??_-;_-@_-"/>
    <numFmt numFmtId="168" formatCode="_(\$* #,##0.00_);_(\$* \(#,##0.00\);_(\$* \-??_);_(@_)"/>
    <numFmt numFmtId="169" formatCode="[$$-2C0A]\ #,##0.00"/>
    <numFmt numFmtId="170" formatCode="[$$-2C0A]\ #,##0.00;[$$-2C0A]&quot; -&quot;#,##0.00"/>
  </numFmts>
  <fonts count="29" x14ac:knownFonts="1">
    <font>
      <sz val="10"/>
      <name val="Arial"/>
      <charset val="1"/>
    </font>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u/>
      <sz val="10"/>
      <name val="Times New Roman"/>
      <family val="1"/>
    </font>
    <font>
      <b/>
      <u/>
      <sz val="10"/>
      <name val="Times New Roman"/>
      <family val="1"/>
    </font>
    <font>
      <sz val="10"/>
      <color rgb="FF000000"/>
      <name val="Times New Roman"/>
      <family val="1"/>
    </font>
    <font>
      <sz val="11"/>
      <color rgb="FF000000"/>
      <name val="Times New Roman"/>
      <family val="1"/>
    </font>
    <font>
      <sz val="9"/>
      <color rgb="FF000000"/>
      <name val="Times New Roman"/>
      <family val="1"/>
    </font>
    <font>
      <sz val="9"/>
      <name val="Times New Roman"/>
      <family val="1"/>
    </font>
    <font>
      <sz val="10"/>
      <name val="Arial"/>
      <family val="2"/>
    </font>
    <font>
      <sz val="11"/>
      <name val="Times New Roman"/>
      <family val="1"/>
    </font>
    <font>
      <b/>
      <sz val="10"/>
      <color rgb="FF000000"/>
      <name val="Times New Roman"/>
      <family val="1"/>
    </font>
    <font>
      <b/>
      <sz val="12"/>
      <color rgb="FF000000"/>
      <name val="Times New Roman"/>
      <family val="1"/>
    </font>
    <font>
      <b/>
      <sz val="11"/>
      <color rgb="FF000000"/>
      <name val="Times New Roman"/>
      <family val="1"/>
    </font>
    <font>
      <b/>
      <sz val="22"/>
      <name val="Times New Roman"/>
      <family val="1"/>
    </font>
    <font>
      <b/>
      <sz val="15"/>
      <color rgb="FF666699"/>
      <name val="Calibri"/>
      <family val="2"/>
      <charset val="1"/>
    </font>
    <font>
      <sz val="11"/>
      <color rgb="FF993300"/>
      <name val="Calibri"/>
      <family val="2"/>
      <charset val="1"/>
    </font>
    <font>
      <sz val="11"/>
      <name val="Calibri"/>
      <family val="2"/>
      <scheme val="minor"/>
    </font>
    <font>
      <sz val="10"/>
      <name val="Century Gothic"/>
      <family val="2"/>
    </font>
    <font>
      <b/>
      <sz val="11"/>
      <name val="Century Gothic"/>
      <family val="2"/>
    </font>
    <font>
      <b/>
      <sz val="12"/>
      <name val="Century Gothic"/>
      <family val="2"/>
    </font>
    <font>
      <sz val="11"/>
      <name val="Century Gothic"/>
      <family val="2"/>
    </font>
    <font>
      <b/>
      <u/>
      <sz val="10"/>
      <name val="Century Gothic"/>
      <family val="2"/>
    </font>
    <font>
      <b/>
      <sz val="10"/>
      <name val="Century Gothic"/>
      <family val="2"/>
    </font>
    <font>
      <sz val="10"/>
      <name val="Arial"/>
      <family val="2"/>
      <charset val="1"/>
    </font>
    <font>
      <b/>
      <u/>
      <sz val="11"/>
      <name val="Times New Roman"/>
      <family val="1"/>
    </font>
    <font>
      <u/>
      <sz val="11"/>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6" tint="0.79998168889431442"/>
        <bgColor indexed="64"/>
      </patternFill>
    </fill>
  </fills>
  <borders count="52">
    <border>
      <left/>
      <right/>
      <top/>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top/>
      <bottom/>
      <diagonal/>
    </border>
    <border>
      <left/>
      <right style="medium">
        <color auto="1"/>
      </right>
      <top style="medium">
        <color auto="1"/>
      </top>
      <bottom/>
      <diagonal/>
    </border>
    <border>
      <left/>
      <right/>
      <top style="medium">
        <color auto="1"/>
      </top>
      <bottom/>
      <diagonal/>
    </border>
    <border>
      <left style="medium">
        <color auto="1"/>
      </left>
      <right/>
      <top style="medium">
        <color auto="1"/>
      </top>
      <bottom/>
      <diagonal/>
    </border>
    <border>
      <left style="medium">
        <color indexed="64"/>
      </left>
      <right style="medium">
        <color indexed="64"/>
      </right>
      <top style="medium">
        <color indexed="64"/>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ck">
        <color auto="1"/>
      </left>
      <right style="thick">
        <color auto="1"/>
      </right>
      <top style="thick">
        <color auto="1"/>
      </top>
      <bottom/>
      <diagonal/>
    </border>
    <border>
      <left/>
      <right style="thick">
        <color auto="1"/>
      </right>
      <top style="thick">
        <color auto="1"/>
      </top>
      <bottom/>
      <diagonal/>
    </border>
    <border>
      <left style="thick">
        <color auto="1"/>
      </left>
      <right style="medium">
        <color indexed="64"/>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medium">
        <color indexed="64"/>
      </left>
      <right style="thick">
        <color auto="1"/>
      </right>
      <top style="medium">
        <color indexed="64"/>
      </top>
      <bottom style="medium">
        <color indexed="64"/>
      </bottom>
      <diagonal/>
    </border>
    <border>
      <left/>
      <right/>
      <top/>
      <bottom style="thick">
        <color rgb="FF33CCCC"/>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right style="medium">
        <color rgb="FF3D3D3D"/>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indexed="64"/>
      </left>
      <right style="thin">
        <color rgb="FF3D3D3D"/>
      </right>
      <top style="medium">
        <color indexed="64"/>
      </top>
      <bottom style="medium">
        <color indexed="64"/>
      </bottom>
      <diagonal/>
    </border>
    <border>
      <left style="thin">
        <color rgb="FF3D3D3D"/>
      </left>
      <right style="thin">
        <color rgb="FF3D3D3D"/>
      </right>
      <top style="medium">
        <color indexed="64"/>
      </top>
      <bottom style="medium">
        <color indexed="64"/>
      </bottom>
      <diagonal/>
    </border>
    <border>
      <left style="thin">
        <color rgb="FF3D3D3D"/>
      </left>
      <right/>
      <top style="medium">
        <color indexed="64"/>
      </top>
      <bottom style="medium">
        <color indexed="64"/>
      </bottom>
      <diagonal/>
    </border>
    <border>
      <left style="medium">
        <color rgb="FF3D3D3D"/>
      </left>
      <right style="medium">
        <color auto="1"/>
      </right>
      <top style="medium">
        <color auto="1"/>
      </top>
      <bottom style="medium">
        <color auto="1"/>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medium">
        <color auto="1"/>
      </right>
      <top style="medium">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s>
  <cellStyleXfs count="9">
    <xf numFmtId="0" fontId="0" fillId="0" borderId="0"/>
    <xf numFmtId="165" fontId="11" fillId="0" borderId="0" applyBorder="0" applyProtection="0"/>
    <xf numFmtId="0" fontId="17" fillId="0" borderId="21" applyProtection="0"/>
    <xf numFmtId="0" fontId="18" fillId="2" borderId="0" applyBorder="0" applyProtection="0"/>
    <xf numFmtId="0" fontId="2" fillId="0" borderId="0"/>
    <xf numFmtId="0" fontId="2" fillId="0" borderId="0"/>
    <xf numFmtId="0" fontId="11" fillId="0" borderId="0"/>
    <xf numFmtId="168" fontId="26" fillId="0" borderId="0" applyBorder="0" applyProtection="0"/>
    <xf numFmtId="0" fontId="1" fillId="0" borderId="0"/>
  </cellStyleXfs>
  <cellXfs count="121">
    <xf numFmtId="0" fontId="0" fillId="0" borderId="0" xfId="0"/>
    <xf numFmtId="0" fontId="4" fillId="0" borderId="0" xfId="0" applyFont="1"/>
    <xf numFmtId="0" fontId="4" fillId="0" borderId="1" xfId="0" applyFont="1" applyBorder="1"/>
    <xf numFmtId="0" fontId="4" fillId="0" borderId="2" xfId="0" applyFont="1" applyBorder="1"/>
    <xf numFmtId="0" fontId="4" fillId="0" borderId="3" xfId="0" applyFont="1" applyBorder="1" applyAlignment="1">
      <alignment horizontal="left" indent="3"/>
    </xf>
    <xf numFmtId="0" fontId="5" fillId="0" borderId="5" xfId="0" applyFont="1" applyBorder="1" applyAlignment="1">
      <alignment horizontal="left" indent="3"/>
    </xf>
    <xf numFmtId="0" fontId="4" fillId="0" borderId="4" xfId="0" applyFont="1" applyBorder="1"/>
    <xf numFmtId="0" fontId="4" fillId="0" borderId="0" xfId="0" applyFont="1" applyBorder="1"/>
    <xf numFmtId="0" fontId="4" fillId="0" borderId="5" xfId="0" applyFont="1" applyBorder="1" applyAlignment="1">
      <alignment horizontal="left" indent="3"/>
    </xf>
    <xf numFmtId="0" fontId="4" fillId="0" borderId="4" xfId="0" applyFont="1" applyBorder="1" applyAlignment="1">
      <alignment horizontal="center" wrapText="1"/>
    </xf>
    <xf numFmtId="0" fontId="4" fillId="0" borderId="0" xfId="0" applyFont="1" applyBorder="1" applyAlignment="1">
      <alignment horizontal="center" wrapText="1"/>
    </xf>
    <xf numFmtId="0" fontId="5" fillId="0" borderId="5" xfId="0" applyFont="1" applyBorder="1" applyAlignment="1">
      <alignment horizontal="left" vertical="center" indent="3"/>
    </xf>
    <xf numFmtId="0" fontId="4" fillId="0" borderId="6" xfId="0" applyFont="1" applyBorder="1"/>
    <xf numFmtId="0" fontId="4" fillId="0" borderId="7" xfId="0" applyFont="1" applyBorder="1"/>
    <xf numFmtId="0" fontId="5" fillId="0" borderId="8" xfId="0" applyFont="1" applyBorder="1" applyAlignment="1">
      <alignment horizontal="left" indent="3"/>
    </xf>
    <xf numFmtId="164" fontId="4" fillId="0" borderId="9" xfId="0" applyNumberFormat="1" applyFont="1" applyBorder="1"/>
    <xf numFmtId="164" fontId="7" fillId="0" borderId="10" xfId="0" applyNumberFormat="1" applyFont="1" applyBorder="1" applyAlignment="1">
      <alignment horizontal="right" wrapText="1"/>
    </xf>
    <xf numFmtId="164" fontId="7" fillId="0" borderId="11" xfId="0" applyNumberFormat="1" applyFont="1" applyBorder="1" applyAlignment="1">
      <alignment horizontal="center" wrapText="1"/>
    </xf>
    <xf numFmtId="1" fontId="8" fillId="0" borderId="11" xfId="0" applyNumberFormat="1" applyFont="1" applyBorder="1" applyAlignment="1">
      <alignment horizontal="center" wrapText="1"/>
    </xf>
    <xf numFmtId="0" fontId="7" fillId="0" borderId="11" xfId="0" applyFont="1" applyBorder="1" applyAlignment="1">
      <alignment horizontal="center" wrapText="1"/>
    </xf>
    <xf numFmtId="0" fontId="4" fillId="0" borderId="11" xfId="0" applyFont="1" applyBorder="1" applyAlignment="1">
      <alignment wrapText="1"/>
    </xf>
    <xf numFmtId="0" fontId="9" fillId="0" borderId="11" xfId="0" applyFont="1" applyBorder="1" applyAlignment="1">
      <alignment horizontal="center" vertical="center" wrapText="1"/>
    </xf>
    <xf numFmtId="0" fontId="4" fillId="0" borderId="11" xfId="0" applyFont="1" applyBorder="1"/>
    <xf numFmtId="0" fontId="10" fillId="0" borderId="12" xfId="0" applyFont="1" applyBorder="1" applyAlignment="1">
      <alignment horizontal="center" vertical="center"/>
    </xf>
    <xf numFmtId="164" fontId="10" fillId="0" borderId="13" xfId="1" applyNumberFormat="1" applyFont="1" applyFill="1" applyBorder="1" applyAlignment="1" applyProtection="1">
      <alignment horizontal="right" vertical="center" wrapText="1"/>
    </xf>
    <xf numFmtId="164" fontId="10" fillId="0" borderId="14" xfId="1" applyNumberFormat="1" applyFont="1" applyFill="1" applyBorder="1" applyAlignment="1" applyProtection="1">
      <alignment horizontal="right" vertical="center" wrapText="1"/>
    </xf>
    <xf numFmtId="1" fontId="12" fillId="0" borderId="14" xfId="0" applyNumberFormat="1" applyFont="1" applyFill="1" applyBorder="1" applyAlignment="1">
      <alignment horizontal="center" vertical="center" wrapText="1"/>
    </xf>
    <xf numFmtId="0" fontId="7" fillId="0" borderId="14" xfId="0" applyFont="1" applyFill="1" applyBorder="1" applyAlignment="1">
      <alignment horizontal="center" vertical="center" wrapText="1"/>
    </xf>
    <xf numFmtId="0" fontId="4" fillId="0" borderId="14" xfId="0" applyFont="1" applyBorder="1" applyAlignment="1">
      <alignment wrapText="1"/>
    </xf>
    <xf numFmtId="0" fontId="9" fillId="0" borderId="14" xfId="0" applyFont="1" applyBorder="1" applyAlignment="1">
      <alignment horizontal="center" vertical="center" wrapText="1"/>
    </xf>
    <xf numFmtId="0" fontId="4" fillId="0" borderId="14" xfId="0" applyFont="1" applyBorder="1"/>
    <xf numFmtId="0" fontId="10" fillId="0" borderId="15" xfId="0" applyFont="1" applyBorder="1" applyAlignment="1">
      <alignment horizontal="center" vertical="center"/>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7" fillId="0" borderId="0" xfId="0" applyFont="1" applyAlignment="1">
      <alignment horizontal="left" wrapText="1"/>
    </xf>
    <xf numFmtId="0" fontId="7" fillId="0" borderId="0" xfId="0" applyFont="1" applyAlignment="1">
      <alignment horizontal="center" wrapText="1"/>
    </xf>
    <xf numFmtId="0" fontId="13" fillId="0" borderId="0" xfId="0" applyFont="1" applyFill="1" applyAlignment="1">
      <alignment horizontal="left" wrapText="1"/>
    </xf>
    <xf numFmtId="0" fontId="14" fillId="0" borderId="0" xfId="0" applyFont="1" applyFill="1" applyAlignment="1">
      <alignment horizontal="left" wrapText="1" indent="1"/>
    </xf>
    <xf numFmtId="0" fontId="2" fillId="0" borderId="0" xfId="4"/>
    <xf numFmtId="0" fontId="2" fillId="0" borderId="0" xfId="4" applyAlignment="1">
      <alignment horizontal="center" vertical="center"/>
    </xf>
    <xf numFmtId="3" fontId="2" fillId="0" borderId="22" xfId="4" applyNumberFormat="1" applyBorder="1" applyAlignment="1">
      <alignment horizontal="center" vertical="center"/>
    </xf>
    <xf numFmtId="0" fontId="2" fillId="0" borderId="22" xfId="4" applyBorder="1" applyAlignment="1">
      <alignment horizontal="center" vertical="center"/>
    </xf>
    <xf numFmtId="0" fontId="19" fillId="0" borderId="22" xfId="4" applyFont="1" applyFill="1" applyBorder="1" applyAlignment="1">
      <alignment horizontal="center" vertical="center"/>
    </xf>
    <xf numFmtId="3" fontId="19" fillId="0" borderId="22" xfId="4" applyNumberFormat="1" applyFont="1" applyBorder="1" applyAlignment="1">
      <alignment horizontal="center" vertical="center"/>
    </xf>
    <xf numFmtId="0" fontId="19" fillId="3" borderId="22" xfId="4" applyFont="1" applyFill="1" applyBorder="1" applyAlignment="1">
      <alignment horizontal="center" vertical="center"/>
    </xf>
    <xf numFmtId="0" fontId="19" fillId="0" borderId="22" xfId="4" applyFont="1" applyBorder="1" applyAlignment="1">
      <alignment horizontal="center" vertical="center"/>
    </xf>
    <xf numFmtId="0" fontId="2" fillId="0" borderId="0" xfId="4" applyAlignment="1">
      <alignment vertical="center"/>
    </xf>
    <xf numFmtId="3" fontId="19" fillId="3" borderId="22" xfId="4" applyNumberFormat="1" applyFont="1" applyFill="1" applyBorder="1" applyAlignment="1">
      <alignment horizontal="center" vertical="center"/>
    </xf>
    <xf numFmtId="3" fontId="21" fillId="0" borderId="0" xfId="0" applyNumberFormat="1" applyFont="1" applyBorder="1" applyAlignment="1"/>
    <xf numFmtId="166" fontId="20" fillId="0" borderId="0" xfId="0" applyNumberFormat="1" applyFont="1" applyAlignment="1">
      <alignment horizontal="left"/>
    </xf>
    <xf numFmtId="0" fontId="20" fillId="0" borderId="0" xfId="0" applyFont="1"/>
    <xf numFmtId="0" fontId="20" fillId="0" borderId="0" xfId="0" applyFont="1" applyAlignment="1">
      <alignment horizontal="left"/>
    </xf>
    <xf numFmtId="0" fontId="20" fillId="0" borderId="0" xfId="0" applyFont="1" applyBorder="1"/>
    <xf numFmtId="0" fontId="20" fillId="0" borderId="30" xfId="0" applyFont="1" applyBorder="1"/>
    <xf numFmtId="0" fontId="20" fillId="0" borderId="32" xfId="0" applyFont="1" applyBorder="1"/>
    <xf numFmtId="0" fontId="20" fillId="0" borderId="33" xfId="0" applyFont="1" applyBorder="1"/>
    <xf numFmtId="0" fontId="20" fillId="0" borderId="33" xfId="0" applyFont="1" applyBorder="1" applyAlignment="1">
      <alignment horizontal="left"/>
    </xf>
    <xf numFmtId="0" fontId="20" fillId="0" borderId="34" xfId="0" applyFont="1" applyBorder="1"/>
    <xf numFmtId="0" fontId="25" fillId="0" borderId="37" xfId="0" applyFont="1" applyBorder="1" applyAlignment="1">
      <alignment horizontal="center" vertical="center"/>
    </xf>
    <xf numFmtId="0" fontId="25" fillId="0" borderId="38" xfId="0" applyFont="1" applyBorder="1" applyAlignment="1">
      <alignment horizontal="center" vertical="center"/>
    </xf>
    <xf numFmtId="0" fontId="25" fillId="0" borderId="38" xfId="0" applyFont="1" applyBorder="1" applyAlignment="1">
      <alignment horizontal="left" vertical="center"/>
    </xf>
    <xf numFmtId="0" fontId="25" fillId="0" borderId="39" xfId="0" applyFont="1" applyBorder="1" applyAlignment="1">
      <alignment horizontal="center" vertical="center"/>
    </xf>
    <xf numFmtId="0" fontId="25" fillId="0" borderId="40" xfId="0" applyFont="1" applyBorder="1" applyAlignment="1">
      <alignment horizontal="center" vertical="center"/>
    </xf>
    <xf numFmtId="0" fontId="20" fillId="0" borderId="41" xfId="0" applyFont="1" applyBorder="1" applyAlignment="1">
      <alignment horizontal="center" vertical="center"/>
    </xf>
    <xf numFmtId="0" fontId="20" fillId="0" borderId="42" xfId="0" applyFont="1" applyBorder="1" applyAlignment="1">
      <alignment horizontal="center" vertical="center"/>
    </xf>
    <xf numFmtId="0" fontId="20" fillId="0" borderId="43" xfId="0" applyFont="1" applyBorder="1" applyAlignment="1">
      <alignment horizontal="center" vertical="center"/>
    </xf>
    <xf numFmtId="0" fontId="20" fillId="0" borderId="0" xfId="0" applyFont="1" applyBorder="1" applyAlignment="1">
      <alignment horizontal="center" vertical="center"/>
    </xf>
    <xf numFmtId="167" fontId="20" fillId="0" borderId="9" xfId="0" applyNumberFormat="1" applyFont="1" applyBorder="1" applyAlignment="1">
      <alignment horizontal="center" vertical="center"/>
    </xf>
    <xf numFmtId="0" fontId="20" fillId="0" borderId="0" xfId="0" applyFont="1" applyAlignment="1">
      <alignment horizontal="center"/>
    </xf>
    <xf numFmtId="0" fontId="20" fillId="0" borderId="46" xfId="0" applyFont="1" applyFill="1" applyBorder="1" applyAlignment="1">
      <alignment horizontal="center" vertical="center"/>
    </xf>
    <xf numFmtId="0" fontId="20" fillId="0" borderId="47" xfId="0" applyFont="1" applyFill="1" applyBorder="1" applyAlignment="1">
      <alignment horizontal="center" vertical="center"/>
    </xf>
    <xf numFmtId="0" fontId="20" fillId="0" borderId="48" xfId="0" applyFont="1" applyFill="1" applyBorder="1" applyAlignment="1">
      <alignment horizontal="center" vertical="center"/>
    </xf>
    <xf numFmtId="167" fontId="20" fillId="0" borderId="9" xfId="7" applyNumberFormat="1" applyFont="1" applyFill="1" applyBorder="1" applyAlignment="1" applyProtection="1">
      <alignment horizontal="center" vertical="center"/>
    </xf>
    <xf numFmtId="169" fontId="20" fillId="0" borderId="0" xfId="0" applyNumberFormat="1" applyFont="1" applyAlignment="1">
      <alignment horizontal="center"/>
    </xf>
    <xf numFmtId="170" fontId="20" fillId="0" borderId="0" xfId="0" applyNumberFormat="1" applyFont="1"/>
    <xf numFmtId="170" fontId="25" fillId="0" borderId="50" xfId="0" applyNumberFormat="1" applyFont="1" applyBorder="1" applyAlignment="1">
      <alignment horizontal="center" vertical="center"/>
    </xf>
    <xf numFmtId="0" fontId="4" fillId="0" borderId="4" xfId="0" applyFont="1" applyFill="1" applyBorder="1" applyAlignment="1">
      <alignment horizontal="center"/>
    </xf>
    <xf numFmtId="0" fontId="15" fillId="0" borderId="0" xfId="0" applyFont="1" applyBorder="1" applyAlignment="1">
      <alignment horizontal="left" vertical="center" wrapText="1"/>
    </xf>
    <xf numFmtId="0" fontId="4" fillId="0" borderId="0" xfId="0" applyFont="1" applyFill="1" applyBorder="1" applyAlignment="1">
      <alignment horizontal="left" vertical="center" wrapText="1"/>
    </xf>
    <xf numFmtId="0" fontId="4" fillId="0" borderId="4" xfId="0" applyFont="1" applyFill="1" applyBorder="1" applyAlignment="1">
      <alignment horizontal="left" vertical="center" wrapText="1"/>
    </xf>
    <xf numFmtId="0" fontId="12" fillId="0" borderId="0" xfId="0" applyFont="1" applyFill="1" applyBorder="1" applyAlignment="1">
      <alignment horizontal="left" vertical="center" wrapText="1"/>
    </xf>
    <xf numFmtId="0" fontId="12" fillId="0" borderId="0" xfId="0" applyFont="1" applyFill="1" applyBorder="1" applyAlignment="1">
      <alignment horizontal="left" vertical="center"/>
    </xf>
    <xf numFmtId="0" fontId="12" fillId="0" borderId="4" xfId="0" applyFont="1" applyFill="1" applyBorder="1" applyAlignment="1">
      <alignment horizontal="left" vertical="center"/>
    </xf>
    <xf numFmtId="0" fontId="16" fillId="0" borderId="0" xfId="0" applyFont="1" applyBorder="1" applyAlignment="1">
      <alignment horizontal="center"/>
    </xf>
    <xf numFmtId="0" fontId="14" fillId="0" borderId="0" xfId="0" applyFont="1" applyFill="1" applyBorder="1" applyAlignment="1">
      <alignment horizontal="left" wrapText="1" indent="1"/>
    </xf>
    <xf numFmtId="0" fontId="14" fillId="0" borderId="0" xfId="0" applyFont="1" applyFill="1" applyBorder="1" applyAlignment="1">
      <alignment horizontal="left" vertical="center" wrapText="1" indent="1"/>
    </xf>
    <xf numFmtId="0" fontId="2" fillId="4" borderId="22" xfId="4" applyFill="1" applyBorder="1" applyAlignment="1">
      <alignment horizontal="center" vertical="center" wrapText="1"/>
    </xf>
    <xf numFmtId="0" fontId="23" fillId="0" borderId="50" xfId="0" applyFont="1" applyFill="1" applyBorder="1" applyAlignment="1">
      <alignment horizontal="left" vertical="center" wrapText="1" indent="1"/>
    </xf>
    <xf numFmtId="0" fontId="20" fillId="0" borderId="44" xfId="0" applyFont="1" applyFill="1" applyBorder="1" applyAlignment="1">
      <alignment horizontal="left" vertical="center" wrapText="1"/>
    </xf>
    <xf numFmtId="0" fontId="20" fillId="0" borderId="45" xfId="0" applyFont="1" applyFill="1" applyBorder="1" applyAlignment="1">
      <alignment horizontal="left" vertical="center" wrapText="1"/>
    </xf>
    <xf numFmtId="0" fontId="20" fillId="0" borderId="48" xfId="0" applyFont="1" applyFill="1" applyBorder="1" applyAlignment="1">
      <alignment horizontal="left" vertical="center" wrapText="1"/>
    </xf>
    <xf numFmtId="0" fontId="20" fillId="0" borderId="49" xfId="0" applyFont="1" applyFill="1" applyBorder="1" applyAlignment="1">
      <alignment horizontal="left" vertical="center" wrapText="1"/>
    </xf>
    <xf numFmtId="0" fontId="21" fillId="0" borderId="50" xfId="0" applyFont="1" applyBorder="1" applyAlignment="1">
      <alignment horizontal="left" vertical="center" wrapText="1"/>
    </xf>
    <xf numFmtId="0" fontId="20" fillId="0" borderId="35" xfId="0" applyFont="1" applyBorder="1"/>
    <xf numFmtId="0" fontId="21" fillId="0" borderId="23" xfId="0" applyFont="1" applyBorder="1" applyAlignment="1">
      <alignment vertical="center" wrapText="1"/>
    </xf>
    <xf numFmtId="0" fontId="21" fillId="0" borderId="51" xfId="0" applyFont="1" applyBorder="1" applyAlignment="1">
      <alignment vertical="center" wrapText="1"/>
    </xf>
    <xf numFmtId="0" fontId="21" fillId="0" borderId="40" xfId="0" applyFont="1" applyBorder="1" applyAlignment="1">
      <alignment vertical="center" wrapText="1"/>
    </xf>
    <xf numFmtId="0" fontId="23" fillId="0" borderId="36" xfId="0" applyFont="1" applyBorder="1" applyAlignment="1">
      <alignment vertical="center" wrapText="1"/>
    </xf>
    <xf numFmtId="0" fontId="20" fillId="0" borderId="44" xfId="0" applyFont="1" applyFill="1" applyBorder="1" applyAlignment="1">
      <alignment horizontal="center" vertical="center" wrapText="1"/>
    </xf>
    <xf numFmtId="0" fontId="20" fillId="0" borderId="45" xfId="0" applyFont="1" applyFill="1" applyBorder="1" applyAlignment="1">
      <alignment horizontal="center" vertical="center" wrapText="1"/>
    </xf>
    <xf numFmtId="0" fontId="20" fillId="0" borderId="26" xfId="0" applyFont="1" applyBorder="1" applyAlignment="1">
      <alignment horizontal="left" vertical="center" wrapText="1"/>
    </xf>
    <xf numFmtId="0" fontId="20" fillId="0" borderId="27" xfId="0" applyFont="1" applyBorder="1" applyAlignment="1">
      <alignment horizontal="left" vertical="center" wrapText="1"/>
    </xf>
    <xf numFmtId="0" fontId="20" fillId="0" borderId="28" xfId="0" applyFont="1" applyBorder="1" applyAlignment="1">
      <alignment horizontal="left" vertical="center" wrapText="1"/>
    </xf>
    <xf numFmtId="0" fontId="23" fillId="0" borderId="25" xfId="0" applyFont="1" applyBorder="1" applyAlignment="1">
      <alignment horizontal="left" indent="1"/>
    </xf>
    <xf numFmtId="0" fontId="24" fillId="0" borderId="25" xfId="0" applyFont="1" applyBorder="1" applyAlignment="1">
      <alignment horizontal="left"/>
    </xf>
    <xf numFmtId="0" fontId="23" fillId="0" borderId="29" xfId="0" applyFont="1" applyBorder="1"/>
    <xf numFmtId="0" fontId="23" fillId="0" borderId="31" xfId="0" applyFont="1" applyBorder="1" applyAlignment="1">
      <alignment horizontal="left" vertical="center" wrapText="1" indent="1"/>
    </xf>
    <xf numFmtId="0" fontId="25" fillId="0" borderId="35" xfId="0" applyFont="1" applyBorder="1" applyAlignment="1">
      <alignment horizontal="center" vertical="center"/>
    </xf>
    <xf numFmtId="0" fontId="25" fillId="0" borderId="35" xfId="0" applyFont="1" applyBorder="1" applyAlignment="1">
      <alignment horizontal="center" vertical="center" wrapText="1"/>
    </xf>
    <xf numFmtId="0" fontId="25" fillId="0" borderId="36" xfId="0" applyFont="1" applyBorder="1" applyAlignment="1">
      <alignment horizontal="center" vertical="center" wrapText="1"/>
    </xf>
    <xf numFmtId="0" fontId="25" fillId="0" borderId="36" xfId="0" applyFont="1" applyBorder="1" applyAlignment="1">
      <alignment horizontal="center" vertical="center"/>
    </xf>
    <xf numFmtId="0" fontId="23" fillId="0" borderId="26" xfId="0" applyFont="1" applyBorder="1" applyAlignment="1">
      <alignment horizontal="left" wrapText="1" indent="1"/>
    </xf>
    <xf numFmtId="0" fontId="23" fillId="0" borderId="27" xfId="0" applyFont="1" applyBorder="1" applyAlignment="1">
      <alignment horizontal="left" wrapText="1" indent="1"/>
    </xf>
    <xf numFmtId="0" fontId="23" fillId="0" borderId="28" xfId="0" applyFont="1" applyBorder="1" applyAlignment="1">
      <alignment horizontal="left" wrapText="1" indent="1"/>
    </xf>
    <xf numFmtId="0" fontId="20" fillId="0" borderId="23" xfId="0" applyFont="1" applyBorder="1" applyAlignment="1">
      <alignment horizontal="center"/>
    </xf>
    <xf numFmtId="3" fontId="21" fillId="0" borderId="24" xfId="0" applyNumberFormat="1" applyFont="1" applyBorder="1" applyAlignment="1">
      <alignment horizontal="center"/>
    </xf>
    <xf numFmtId="0" fontId="22" fillId="0" borderId="25" xfId="0" applyFont="1" applyBorder="1" applyAlignment="1">
      <alignment horizontal="center" vertical="center" wrapText="1"/>
    </xf>
    <xf numFmtId="0" fontId="20" fillId="0" borderId="25" xfId="0" applyFont="1" applyBorder="1"/>
  </cellXfs>
  <cellStyles count="9">
    <cellStyle name="Encabezado 1" xfId="2"/>
    <cellStyle name="Moneda" xfId="1" builtinId="4"/>
    <cellStyle name="Moneda_AUTORIZACION Y NOTA DE PEDIDO" xfId="7"/>
    <cellStyle name="Neutral 1" xfId="3"/>
    <cellStyle name="Normal" xfId="0" builtinId="0"/>
    <cellStyle name="Normal 2" xfId="4"/>
    <cellStyle name="Normal 2 2" xfId="8"/>
    <cellStyle name="Normal 3" xfId="5"/>
    <cellStyle name="Normal 4"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xmlns="" id="{00000000-0008-0000-0200-000002000000}"/>
            </a:ext>
          </a:extLst>
        </xdr:cNvPr>
        <xdr:cNvSpPr/>
      </xdr:nvSpPr>
      <xdr:spPr>
        <a:xfrm>
          <a:off x="694362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xmlns="" id="{00000000-0008-0000-0200-000003000000}"/>
            </a:ext>
          </a:extLst>
        </xdr:cNvPr>
        <xdr:cNvSpPr/>
      </xdr:nvSpPr>
      <xdr:spPr>
        <a:xfrm>
          <a:off x="694362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xmlns="" id="{00000000-0008-0000-0200-000004000000}"/>
            </a:ext>
          </a:extLst>
        </xdr:cNvPr>
        <xdr:cNvSpPr/>
      </xdr:nvSpPr>
      <xdr:spPr>
        <a:xfrm>
          <a:off x="694362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xmlns="" id="{00000000-0008-0000-0200-000005000000}"/>
            </a:ext>
          </a:extLst>
        </xdr:cNvPr>
        <xdr:cNvSpPr/>
      </xdr:nvSpPr>
      <xdr:spPr>
        <a:xfrm>
          <a:off x="694362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ompr/Dropbox/SAF%20022/SAF%2022%20-%20PLANIFICACION/PAC%202022/1RO%202022/Detalle%20Relevamiento%20de%20Hardware%20Ministerio%20de%20Trabajo%20y%20RRHH%20Fin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ompr/Dropbox/SAF%2022%20-%20OTROS/PAC%202022/3RO%202022/Detalle%20Relevamiento%20de%20Hardware%20Ministerio%20de%20Trabajo%20y%20RRHH%20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mpr/Dropbox/SAF%20022/2021/COMPRAS/2DO%20TRIMESTRE%20SECRET%20DE%20COMPRAS/COMBUSTIBLE%20X%20SEC.%20DE%20COMPRAS/5%20-%20NP%20-APG%20-%20SAF%20022-%20COMBUSTI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por reparticion"/>
      <sheetName val="DETALLE CPUS ESTADO CRITICO"/>
      <sheetName val="NECESIDADES"/>
      <sheetName val="Necesidades a considerar"/>
      <sheetName val="PROCESADORES"/>
      <sheetName val="MODELOS DE IMPRESORAS Y TONER"/>
      <sheetName val="DETALLE RELEVAMIENTO"/>
      <sheetName val="Hoja2"/>
      <sheetName val="necesidades SRRHHD"/>
      <sheetName val="Detalle Relevamiento de Hardwar"/>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por reparticion"/>
      <sheetName val="DETALLE CPUS ESTADO CRITICO"/>
      <sheetName val="NECESIDADES"/>
      <sheetName val="Necesidades a considerar"/>
      <sheetName val="PROCESADORES"/>
      <sheetName val="MODELOS DE IMPRESORAS Y TONER"/>
      <sheetName val="DETALLE RELEVAMIENTO"/>
      <sheetName val="Hoja2"/>
      <sheetName val="necesidades SRRHHD"/>
      <sheetName val="Detalle Relevamiento de Hardwar"/>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 NotaPedido"/>
      <sheetName val="Autor Gastar"/>
      <sheetName val="PARQUE AUTOMOTOR"/>
    </sheetNames>
    <sheetDataSet>
      <sheetData sheetId="0">
        <row r="6">
          <cell r="C6">
            <v>2021</v>
          </cell>
        </row>
      </sheetData>
      <sheetData sheetId="1">
        <row r="1">
          <cell r="K1" t="str">
            <v>005/2021</v>
          </cell>
        </row>
        <row r="8">
          <cell r="D8" t="str">
            <v>Adquisición de combustible para el parque automotor de este Ministerio.</v>
          </cell>
        </row>
      </sheetData>
      <sheetData sheetId="2"/>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3"/>
  <sheetViews>
    <sheetView zoomScale="85" zoomScaleNormal="85" workbookViewId="0">
      <selection activeCell="H16" sqref="H16"/>
    </sheetView>
  </sheetViews>
  <sheetFormatPr baseColWidth="10" defaultColWidth="11" defaultRowHeight="12.75" x14ac:dyDescent="0.2"/>
  <cols>
    <col min="1" max="1" width="4.5703125" style="1" customWidth="1"/>
    <col min="2" max="2" width="12.85546875" style="1" customWidth="1"/>
    <col min="3" max="3" width="32.42578125" style="1" customWidth="1"/>
    <col min="4" max="4" width="8.42578125" style="1" customWidth="1"/>
    <col min="5" max="5" width="82.28515625" style="1" customWidth="1"/>
    <col min="6" max="6" width="11" style="1"/>
    <col min="7" max="7" width="12.7109375" style="1" customWidth="1"/>
    <col min="8" max="8" width="13.85546875" style="1" customWidth="1"/>
    <col min="9" max="9" width="18.5703125" style="1" customWidth="1"/>
    <col min="10" max="16384" width="11" style="1"/>
  </cols>
  <sheetData>
    <row r="2" spans="1:9" ht="27" x14ac:dyDescent="0.35">
      <c r="B2" s="86" t="s">
        <v>28</v>
      </c>
      <c r="C2" s="86"/>
      <c r="D2" s="86"/>
      <c r="E2" s="86"/>
      <c r="F2" s="86"/>
      <c r="G2" s="86"/>
      <c r="H2" s="86"/>
    </row>
    <row r="4" spans="1:9" ht="18" customHeight="1" x14ac:dyDescent="0.25">
      <c r="A4" s="80" t="s">
        <v>27</v>
      </c>
      <c r="B4" s="80"/>
      <c r="C4" s="87" t="s">
        <v>26</v>
      </c>
      <c r="D4" s="87"/>
      <c r="E4" s="87"/>
      <c r="F4" s="37"/>
      <c r="G4" s="38"/>
      <c r="H4" s="37"/>
    </row>
    <row r="5" spans="1:9" ht="27" customHeight="1" x14ac:dyDescent="0.2">
      <c r="A5" s="80" t="s">
        <v>25</v>
      </c>
      <c r="B5" s="80"/>
      <c r="C5" s="88" t="s">
        <v>24</v>
      </c>
      <c r="D5" s="88"/>
      <c r="E5" s="88"/>
      <c r="F5" s="37"/>
      <c r="G5" s="38"/>
      <c r="H5" s="37"/>
    </row>
    <row r="6" spans="1:9" ht="16.5" customHeight="1" x14ac:dyDescent="0.25">
      <c r="A6" s="80" t="s">
        <v>23</v>
      </c>
      <c r="B6" s="80"/>
      <c r="C6" s="40">
        <v>2022</v>
      </c>
      <c r="D6" s="39"/>
      <c r="E6" s="39"/>
      <c r="F6" s="37"/>
      <c r="G6" s="38"/>
      <c r="H6" s="37"/>
    </row>
    <row r="7" spans="1:9" ht="16.5" customHeight="1" x14ac:dyDescent="0.25">
      <c r="A7" s="80" t="s">
        <v>22</v>
      </c>
      <c r="B7" s="80"/>
      <c r="C7" s="40">
        <v>3</v>
      </c>
      <c r="D7" s="39"/>
      <c r="E7" s="39"/>
      <c r="F7" s="37"/>
      <c r="G7" s="38"/>
      <c r="H7" s="37"/>
    </row>
    <row r="8" spans="1:9" ht="13.5" thickBot="1" x14ac:dyDescent="0.25">
      <c r="B8" s="37"/>
      <c r="C8" s="38"/>
      <c r="D8" s="37"/>
      <c r="E8" s="37"/>
      <c r="F8" s="37"/>
      <c r="G8" s="38"/>
      <c r="H8" s="37"/>
    </row>
    <row r="9" spans="1:9" ht="39.75" thickTop="1" thickBot="1" x14ac:dyDescent="0.25">
      <c r="A9" s="36" t="s">
        <v>21</v>
      </c>
      <c r="B9" s="35" t="s">
        <v>20</v>
      </c>
      <c r="C9" s="35" t="s">
        <v>19</v>
      </c>
      <c r="D9" s="35" t="s">
        <v>18</v>
      </c>
      <c r="E9" s="34" t="s">
        <v>17</v>
      </c>
      <c r="F9" s="33" t="s">
        <v>16</v>
      </c>
      <c r="G9" s="32" t="s">
        <v>15</v>
      </c>
      <c r="H9" s="32" t="s">
        <v>14</v>
      </c>
      <c r="I9" s="32" t="s">
        <v>13</v>
      </c>
    </row>
    <row r="10" spans="1:9" ht="25.5" x14ac:dyDescent="0.2">
      <c r="A10" s="31">
        <v>1</v>
      </c>
      <c r="B10" s="30" t="s">
        <v>12</v>
      </c>
      <c r="C10" s="30" t="s">
        <v>9</v>
      </c>
      <c r="D10" s="29" t="s">
        <v>8</v>
      </c>
      <c r="E10" s="28" t="s">
        <v>11</v>
      </c>
      <c r="F10" s="27" t="s">
        <v>6</v>
      </c>
      <c r="G10" s="26">
        <v>4200</v>
      </c>
      <c r="H10" s="25">
        <v>125.9</v>
      </c>
      <c r="I10" s="24">
        <f>G10*H10</f>
        <v>528780</v>
      </c>
    </row>
    <row r="11" spans="1:9" ht="27" thickBot="1" x14ac:dyDescent="0.3">
      <c r="A11" s="23">
        <v>2</v>
      </c>
      <c r="B11" s="22" t="s">
        <v>10</v>
      </c>
      <c r="C11" s="22" t="s">
        <v>9</v>
      </c>
      <c r="D11" s="21" t="s">
        <v>8</v>
      </c>
      <c r="E11" s="20" t="s">
        <v>7</v>
      </c>
      <c r="F11" s="19" t="s">
        <v>6</v>
      </c>
      <c r="G11" s="18">
        <v>5100</v>
      </c>
      <c r="H11" s="17">
        <v>189</v>
      </c>
      <c r="I11" s="16">
        <f>G11*H11</f>
        <v>963900</v>
      </c>
    </row>
    <row r="12" spans="1:9" ht="23.25" customHeight="1" thickBot="1" x14ac:dyDescent="0.25">
      <c r="I12" s="15">
        <f>SUM(I10:I11)</f>
        <v>1492680</v>
      </c>
    </row>
    <row r="13" spans="1:9" ht="45" customHeight="1" thickBot="1" x14ac:dyDescent="0.25"/>
    <row r="14" spans="1:9" ht="31.5" customHeight="1" x14ac:dyDescent="0.2">
      <c r="B14" s="14" t="s">
        <v>5</v>
      </c>
      <c r="C14" s="13"/>
      <c r="D14" s="13"/>
      <c r="E14" s="12"/>
    </row>
    <row r="15" spans="1:9" x14ac:dyDescent="0.2">
      <c r="B15" s="8"/>
      <c r="C15" s="83" t="s">
        <v>136</v>
      </c>
      <c r="D15" s="84"/>
      <c r="E15" s="85"/>
    </row>
    <row r="16" spans="1:9" ht="212.25" customHeight="1" x14ac:dyDescent="0.2">
      <c r="B16" s="8"/>
      <c r="C16" s="84"/>
      <c r="D16" s="84"/>
      <c r="E16" s="85"/>
    </row>
    <row r="17" spans="2:5" ht="18" customHeight="1" x14ac:dyDescent="0.2">
      <c r="B17" s="11" t="s">
        <v>4</v>
      </c>
      <c r="C17" s="7"/>
      <c r="D17" s="7"/>
      <c r="E17" s="6"/>
    </row>
    <row r="18" spans="2:5" ht="32.25" customHeight="1" x14ac:dyDescent="0.2">
      <c r="B18" s="8"/>
      <c r="C18" s="81" t="s">
        <v>3</v>
      </c>
      <c r="D18" s="81"/>
      <c r="E18" s="82"/>
    </row>
    <row r="19" spans="2:5" ht="36.75" customHeight="1" x14ac:dyDescent="0.2">
      <c r="B19" s="5" t="s">
        <v>2</v>
      </c>
      <c r="C19" s="10"/>
      <c r="D19" s="10"/>
      <c r="E19" s="9"/>
    </row>
    <row r="20" spans="2:5" ht="26.25" customHeight="1" x14ac:dyDescent="0.2">
      <c r="B20" s="8"/>
      <c r="C20" s="81" t="s">
        <v>1</v>
      </c>
      <c r="D20" s="81"/>
      <c r="E20" s="82"/>
    </row>
    <row r="21" spans="2:5" ht="17.25" customHeight="1" x14ac:dyDescent="0.2">
      <c r="B21" s="5" t="s">
        <v>0</v>
      </c>
      <c r="C21" s="7"/>
      <c r="D21" s="7"/>
      <c r="E21" s="6"/>
    </row>
    <row r="22" spans="2:5" ht="23.25" customHeight="1" x14ac:dyDescent="0.2">
      <c r="B22" s="5"/>
      <c r="C22" s="79"/>
      <c r="D22" s="79"/>
      <c r="E22" s="79"/>
    </row>
    <row r="23" spans="2:5" ht="13.5" thickBot="1" x14ac:dyDescent="0.25">
      <c r="B23" s="4"/>
      <c r="C23" s="3"/>
      <c r="D23" s="3"/>
      <c r="E23" s="2"/>
    </row>
  </sheetData>
  <mergeCells count="11">
    <mergeCell ref="B2:H2"/>
    <mergeCell ref="A4:B4"/>
    <mergeCell ref="C4:E4"/>
    <mergeCell ref="A5:B5"/>
    <mergeCell ref="C5:E5"/>
    <mergeCell ref="C22:E22"/>
    <mergeCell ref="A7:B7"/>
    <mergeCell ref="C18:E18"/>
    <mergeCell ref="C20:E20"/>
    <mergeCell ref="A6:B6"/>
    <mergeCell ref="C15:E16"/>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workbookViewId="0">
      <selection activeCell="E32" sqref="E32"/>
    </sheetView>
  </sheetViews>
  <sheetFormatPr baseColWidth="10" defaultRowHeight="15" x14ac:dyDescent="0.25"/>
  <cols>
    <col min="1" max="1" width="7.42578125" style="42" customWidth="1"/>
    <col min="2" max="2" width="17.7109375" style="42" customWidth="1"/>
    <col min="3" max="3" width="11.42578125" style="42"/>
    <col min="4" max="4" width="25" style="42" customWidth="1"/>
    <col min="5" max="5" width="15.7109375" style="42" customWidth="1"/>
    <col min="6" max="6" width="20" style="42" customWidth="1"/>
    <col min="7" max="7" width="6.5703125" style="42" customWidth="1"/>
    <col min="8" max="8" width="8.7109375" style="42" customWidth="1"/>
    <col min="9" max="16384" width="11.42578125" style="41"/>
  </cols>
  <sheetData>
    <row r="1" spans="1:8" ht="52.5" customHeight="1" x14ac:dyDescent="0.25">
      <c r="A1" s="89" t="s">
        <v>105</v>
      </c>
      <c r="B1" s="89"/>
      <c r="C1" s="89"/>
      <c r="D1" s="89"/>
      <c r="E1" s="89"/>
      <c r="F1" s="89"/>
      <c r="G1" s="89"/>
      <c r="H1" s="89"/>
    </row>
    <row r="2" spans="1:8" ht="30" customHeight="1" x14ac:dyDescent="0.25">
      <c r="A2" s="48" t="s">
        <v>104</v>
      </c>
      <c r="B2" s="48" t="s">
        <v>103</v>
      </c>
      <c r="C2" s="48" t="s">
        <v>102</v>
      </c>
      <c r="D2" s="48" t="s">
        <v>101</v>
      </c>
      <c r="E2" s="48" t="s">
        <v>100</v>
      </c>
      <c r="F2" s="48" t="s">
        <v>99</v>
      </c>
      <c r="G2" s="48" t="s">
        <v>98</v>
      </c>
      <c r="H2" s="48" t="s">
        <v>97</v>
      </c>
    </row>
    <row r="3" spans="1:8" s="49" customFormat="1" x14ac:dyDescent="0.2">
      <c r="A3" s="47">
        <v>1</v>
      </c>
      <c r="B3" s="47" t="s">
        <v>34</v>
      </c>
      <c r="C3" s="47" t="s">
        <v>96</v>
      </c>
      <c r="D3" s="47" t="s">
        <v>95</v>
      </c>
      <c r="E3" s="47" t="s">
        <v>94</v>
      </c>
      <c r="F3" s="47" t="s">
        <v>93</v>
      </c>
      <c r="G3" s="47" t="s">
        <v>29</v>
      </c>
      <c r="H3" s="50">
        <v>2019</v>
      </c>
    </row>
    <row r="4" spans="1:8" x14ac:dyDescent="0.25">
      <c r="A4" s="48">
        <v>2</v>
      </c>
      <c r="B4" s="48" t="s">
        <v>34</v>
      </c>
      <c r="C4" s="48" t="s">
        <v>92</v>
      </c>
      <c r="D4" s="47" t="s">
        <v>91</v>
      </c>
      <c r="E4" s="48" t="s">
        <v>90</v>
      </c>
      <c r="F4" s="48" t="s">
        <v>89</v>
      </c>
      <c r="G4" s="48" t="s">
        <v>29</v>
      </c>
      <c r="H4" s="46">
        <v>2020</v>
      </c>
    </row>
    <row r="5" spans="1:8" x14ac:dyDescent="0.25">
      <c r="A5" s="48">
        <v>3</v>
      </c>
      <c r="B5" s="48" t="s">
        <v>34</v>
      </c>
      <c r="C5" s="48" t="s">
        <v>88</v>
      </c>
      <c r="D5" s="47" t="s">
        <v>80</v>
      </c>
      <c r="E5" s="48" t="s">
        <v>87</v>
      </c>
      <c r="F5" s="48" t="s">
        <v>86</v>
      </c>
      <c r="G5" s="48" t="s">
        <v>29</v>
      </c>
      <c r="H5" s="46">
        <v>2013</v>
      </c>
    </row>
    <row r="6" spans="1:8" x14ac:dyDescent="0.25">
      <c r="A6" s="45">
        <v>4</v>
      </c>
      <c r="B6" s="48" t="s">
        <v>34</v>
      </c>
      <c r="C6" s="45" t="s">
        <v>85</v>
      </c>
      <c r="D6" s="47" t="s">
        <v>84</v>
      </c>
      <c r="E6" s="45" t="s">
        <v>83</v>
      </c>
      <c r="F6" s="45" t="s">
        <v>82</v>
      </c>
      <c r="G6" s="45" t="s">
        <v>29</v>
      </c>
      <c r="H6" s="46">
        <v>2013</v>
      </c>
    </row>
    <row r="7" spans="1:8" x14ac:dyDescent="0.25">
      <c r="A7" s="45">
        <v>5</v>
      </c>
      <c r="B7" s="48" t="s">
        <v>34</v>
      </c>
      <c r="C7" s="48" t="s">
        <v>81</v>
      </c>
      <c r="D7" s="47" t="s">
        <v>80</v>
      </c>
      <c r="E7" s="45" t="s">
        <v>79</v>
      </c>
      <c r="F7" s="45" t="s">
        <v>78</v>
      </c>
      <c r="G7" s="45" t="s">
        <v>29</v>
      </c>
      <c r="H7" s="46">
        <v>2013</v>
      </c>
    </row>
    <row r="8" spans="1:8" x14ac:dyDescent="0.25">
      <c r="A8" s="45">
        <v>6</v>
      </c>
      <c r="B8" s="48" t="s">
        <v>34</v>
      </c>
      <c r="C8" s="45" t="s">
        <v>77</v>
      </c>
      <c r="D8" s="47" t="s">
        <v>76</v>
      </c>
      <c r="E8" s="45" t="s">
        <v>75</v>
      </c>
      <c r="F8" s="45" t="s">
        <v>74</v>
      </c>
      <c r="G8" s="45" t="s">
        <v>29</v>
      </c>
      <c r="H8" s="46">
        <v>2009</v>
      </c>
    </row>
    <row r="9" spans="1:8" x14ac:dyDescent="0.25">
      <c r="A9" s="45">
        <v>7</v>
      </c>
      <c r="B9" s="48" t="s">
        <v>34</v>
      </c>
      <c r="C9" s="45" t="s">
        <v>73</v>
      </c>
      <c r="D9" s="47" t="s">
        <v>69</v>
      </c>
      <c r="E9" s="45" t="s">
        <v>72</v>
      </c>
      <c r="F9" s="45" t="s">
        <v>71</v>
      </c>
      <c r="G9" s="45" t="s">
        <v>29</v>
      </c>
      <c r="H9" s="46">
        <v>2005</v>
      </c>
    </row>
    <row r="10" spans="1:8" x14ac:dyDescent="0.25">
      <c r="A10" s="45">
        <v>8</v>
      </c>
      <c r="B10" s="48" t="s">
        <v>34</v>
      </c>
      <c r="C10" s="45" t="s">
        <v>70</v>
      </c>
      <c r="D10" s="47" t="s">
        <v>69</v>
      </c>
      <c r="E10" s="45" t="s">
        <v>68</v>
      </c>
      <c r="F10" s="45" t="s">
        <v>67</v>
      </c>
      <c r="G10" s="45" t="s">
        <v>29</v>
      </c>
      <c r="H10" s="46">
        <v>2010</v>
      </c>
    </row>
    <row r="11" spans="1:8" x14ac:dyDescent="0.25">
      <c r="A11" s="45">
        <v>9</v>
      </c>
      <c r="B11" s="48" t="s">
        <v>34</v>
      </c>
      <c r="C11" s="45" t="s">
        <v>66</v>
      </c>
      <c r="D11" s="47" t="s">
        <v>65</v>
      </c>
      <c r="E11" s="45" t="s">
        <v>64</v>
      </c>
      <c r="F11" s="45" t="s">
        <v>63</v>
      </c>
      <c r="G11" s="45" t="s">
        <v>29</v>
      </c>
      <c r="H11" s="46">
        <v>2013</v>
      </c>
    </row>
    <row r="12" spans="1:8" x14ac:dyDescent="0.25">
      <c r="A12" s="45">
        <v>10</v>
      </c>
      <c r="B12" s="48" t="s">
        <v>34</v>
      </c>
      <c r="C12" s="45" t="s">
        <v>62</v>
      </c>
      <c r="D12" s="47" t="s">
        <v>58</v>
      </c>
      <c r="E12" s="45" t="s">
        <v>61</v>
      </c>
      <c r="F12" s="45" t="s">
        <v>60</v>
      </c>
      <c r="G12" s="45" t="s">
        <v>29</v>
      </c>
      <c r="H12" s="46">
        <v>2014</v>
      </c>
    </row>
    <row r="13" spans="1:8" x14ac:dyDescent="0.25">
      <c r="A13" s="45">
        <v>11</v>
      </c>
      <c r="B13" s="48" t="s">
        <v>34</v>
      </c>
      <c r="C13" s="45" t="s">
        <v>59</v>
      </c>
      <c r="D13" s="47" t="s">
        <v>58</v>
      </c>
      <c r="E13" s="45" t="s">
        <v>57</v>
      </c>
      <c r="F13" s="45" t="s">
        <v>56</v>
      </c>
      <c r="G13" s="45" t="s">
        <v>29</v>
      </c>
      <c r="H13" s="46">
        <v>2014</v>
      </c>
    </row>
    <row r="14" spans="1:8" x14ac:dyDescent="0.25">
      <c r="A14" s="44">
        <v>12</v>
      </c>
      <c r="B14" s="44" t="s">
        <v>34</v>
      </c>
      <c r="C14" s="44" t="s">
        <v>55</v>
      </c>
      <c r="D14" s="44" t="s">
        <v>54</v>
      </c>
      <c r="E14" s="44" t="s">
        <v>53</v>
      </c>
      <c r="F14" s="44" t="s">
        <v>52</v>
      </c>
      <c r="G14" s="44" t="s">
        <v>29</v>
      </c>
      <c r="H14" s="44">
        <v>2005</v>
      </c>
    </row>
    <row r="15" spans="1:8" x14ac:dyDescent="0.25">
      <c r="A15" s="44">
        <v>13</v>
      </c>
      <c r="B15" s="44" t="s">
        <v>51</v>
      </c>
      <c r="C15" s="44" t="s">
        <v>50</v>
      </c>
      <c r="D15" s="44" t="s">
        <v>49</v>
      </c>
      <c r="E15" s="44" t="s">
        <v>48</v>
      </c>
      <c r="F15" s="44" t="s">
        <v>47</v>
      </c>
      <c r="G15" s="44" t="s">
        <v>29</v>
      </c>
      <c r="H15" s="44">
        <v>2018</v>
      </c>
    </row>
    <row r="16" spans="1:8" x14ac:dyDescent="0.25">
      <c r="A16" s="45">
        <v>14</v>
      </c>
      <c r="B16" s="44" t="s">
        <v>46</v>
      </c>
      <c r="C16" s="44" t="s">
        <v>45</v>
      </c>
      <c r="D16" s="44" t="s">
        <v>44</v>
      </c>
      <c r="E16" s="44" t="s">
        <v>43</v>
      </c>
      <c r="F16" s="44" t="s">
        <v>42</v>
      </c>
      <c r="G16" s="44" t="s">
        <v>29</v>
      </c>
      <c r="H16" s="43">
        <v>2006</v>
      </c>
    </row>
    <row r="17" spans="1:8" x14ac:dyDescent="0.25">
      <c r="A17" s="44">
        <v>15</v>
      </c>
      <c r="B17" s="44" t="s">
        <v>34</v>
      </c>
      <c r="C17" s="44" t="s">
        <v>41</v>
      </c>
      <c r="D17" s="44" t="s">
        <v>40</v>
      </c>
      <c r="E17" s="44" t="s">
        <v>39</v>
      </c>
      <c r="F17" s="44" t="s">
        <v>38</v>
      </c>
      <c r="G17" s="44" t="s">
        <v>29</v>
      </c>
      <c r="H17" s="43">
        <v>2007</v>
      </c>
    </row>
    <row r="18" spans="1:8" x14ac:dyDescent="0.25">
      <c r="A18" s="44">
        <v>16</v>
      </c>
      <c r="B18" s="44" t="s">
        <v>34</v>
      </c>
      <c r="C18" s="44" t="s">
        <v>37</v>
      </c>
      <c r="D18" s="44" t="s">
        <v>32</v>
      </c>
      <c r="E18" s="44" t="s">
        <v>36</v>
      </c>
      <c r="F18" s="44" t="s">
        <v>35</v>
      </c>
      <c r="G18" s="44" t="s">
        <v>29</v>
      </c>
      <c r="H18" s="43">
        <v>2008</v>
      </c>
    </row>
    <row r="19" spans="1:8" x14ac:dyDescent="0.25">
      <c r="A19" s="45">
        <v>17</v>
      </c>
      <c r="B19" s="44" t="s">
        <v>34</v>
      </c>
      <c r="C19" s="44" t="s">
        <v>33</v>
      </c>
      <c r="D19" s="44" t="s">
        <v>32</v>
      </c>
      <c r="E19" s="44" t="s">
        <v>31</v>
      </c>
      <c r="F19" s="44" t="s">
        <v>30</v>
      </c>
      <c r="G19" s="44" t="s">
        <v>29</v>
      </c>
      <c r="H19" s="43">
        <v>2008</v>
      </c>
    </row>
  </sheetData>
  <mergeCells count="1">
    <mergeCell ref="A1:H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6"/>
  <sheetViews>
    <sheetView tabSelected="1" topLeftCell="A13" zoomScale="115" zoomScaleNormal="115" workbookViewId="0">
      <selection activeCell="H21" sqref="H21"/>
    </sheetView>
  </sheetViews>
  <sheetFormatPr baseColWidth="10" defaultColWidth="11" defaultRowHeight="13.5" x14ac:dyDescent="0.25"/>
  <cols>
    <col min="1" max="5" width="4.42578125" style="53" customWidth="1"/>
    <col min="6" max="6" width="5.85546875" style="53" customWidth="1"/>
    <col min="7" max="7" width="4.42578125" style="54" customWidth="1"/>
    <col min="8" max="14" width="4.42578125" style="53" customWidth="1"/>
    <col min="15" max="16" width="14.85546875" style="53" customWidth="1"/>
    <col min="17" max="17" width="14.7109375" style="53" customWidth="1"/>
    <col min="18" max="18" width="11" style="53"/>
    <col min="19" max="19" width="11.7109375" style="53" bestFit="1" customWidth="1"/>
    <col min="20" max="16384" width="11" style="53"/>
  </cols>
  <sheetData>
    <row r="1" spans="1:19" ht="15.75" customHeight="1" thickBot="1" x14ac:dyDescent="0.3">
      <c r="A1" s="117" t="s">
        <v>23</v>
      </c>
      <c r="B1" s="117"/>
      <c r="C1" s="117"/>
      <c r="D1" s="118">
        <v>2022</v>
      </c>
      <c r="E1" s="118"/>
      <c r="F1" s="51"/>
      <c r="G1" s="51"/>
      <c r="H1" s="52"/>
      <c r="I1" s="52"/>
      <c r="J1" s="52"/>
      <c r="K1" s="52"/>
      <c r="L1" s="52"/>
      <c r="M1" s="52"/>
      <c r="N1" s="52"/>
      <c r="P1" s="119" t="s">
        <v>106</v>
      </c>
      <c r="Q1" s="119"/>
    </row>
    <row r="2" spans="1:19" ht="15.75" customHeight="1" thickBot="1" x14ac:dyDescent="0.3">
      <c r="H2" s="52"/>
      <c r="I2" s="52"/>
      <c r="J2" s="52"/>
      <c r="K2" s="52"/>
      <c r="L2" s="52"/>
      <c r="M2" s="52"/>
      <c r="N2" s="52"/>
      <c r="P2" s="119"/>
      <c r="Q2" s="119"/>
    </row>
    <row r="4" spans="1:19" ht="18" customHeight="1" thickBot="1" x14ac:dyDescent="0.35">
      <c r="A4" s="120" t="s">
        <v>107</v>
      </c>
      <c r="B4" s="120"/>
      <c r="C4" s="120"/>
      <c r="D4" s="120"/>
      <c r="E4" s="120"/>
      <c r="F4" s="120"/>
      <c r="G4" s="106" t="s">
        <v>108</v>
      </c>
      <c r="H4" s="106"/>
      <c r="I4" s="106"/>
      <c r="J4" s="106"/>
      <c r="K4" s="106"/>
      <c r="L4" s="106"/>
      <c r="M4" s="106"/>
      <c r="N4" s="106"/>
      <c r="O4" s="106"/>
      <c r="P4" s="106"/>
      <c r="Q4" s="106"/>
    </row>
    <row r="5" spans="1:19" ht="35.25" customHeight="1" thickBot="1" x14ac:dyDescent="0.35">
      <c r="A5" s="103" t="s">
        <v>109</v>
      </c>
      <c r="B5" s="104"/>
      <c r="C5" s="104"/>
      <c r="D5" s="104"/>
      <c r="E5" s="104"/>
      <c r="F5" s="105"/>
      <c r="G5" s="114" t="s">
        <v>24</v>
      </c>
      <c r="H5" s="115"/>
      <c r="I5" s="115"/>
      <c r="J5" s="115"/>
      <c r="K5" s="115"/>
      <c r="L5" s="115"/>
      <c r="M5" s="115"/>
      <c r="N5" s="115"/>
      <c r="O5" s="115"/>
      <c r="P5" s="115"/>
      <c r="Q5" s="116"/>
    </row>
    <row r="6" spans="1:19" ht="18" customHeight="1" thickBot="1" x14ac:dyDescent="0.35">
      <c r="A6" s="103" t="s">
        <v>110</v>
      </c>
      <c r="B6" s="104"/>
      <c r="C6" s="104"/>
      <c r="D6" s="104"/>
      <c r="E6" s="104"/>
      <c r="F6" s="105"/>
      <c r="G6" s="106" t="s">
        <v>111</v>
      </c>
      <c r="H6" s="106"/>
      <c r="I6" s="106"/>
      <c r="J6" s="106"/>
      <c r="K6" s="106"/>
      <c r="L6" s="106"/>
      <c r="M6" s="106"/>
      <c r="N6" s="106"/>
      <c r="O6" s="106"/>
      <c r="P6" s="106"/>
      <c r="Q6" s="106"/>
    </row>
    <row r="7" spans="1:19" ht="18" customHeight="1" thickBot="1" x14ac:dyDescent="0.35">
      <c r="A7" s="103" t="s">
        <v>112</v>
      </c>
      <c r="B7" s="104"/>
      <c r="C7" s="104"/>
      <c r="D7" s="104"/>
      <c r="E7" s="104"/>
      <c r="F7" s="105"/>
      <c r="G7" s="106" t="str">
        <f>+G6</f>
        <v>Ministerio de Trabajo, Planificacion y Reursos Humanos</v>
      </c>
      <c r="H7" s="106"/>
      <c r="I7" s="106"/>
      <c r="J7" s="106"/>
      <c r="K7" s="106"/>
      <c r="L7" s="106"/>
      <c r="M7" s="106"/>
      <c r="N7" s="106"/>
      <c r="O7" s="106"/>
      <c r="P7" s="106"/>
      <c r="Q7" s="106"/>
    </row>
    <row r="8" spans="1:19" ht="18" customHeight="1" thickBot="1" x14ac:dyDescent="0.3">
      <c r="A8" s="107" t="s">
        <v>113</v>
      </c>
      <c r="B8" s="107"/>
      <c r="C8" s="107"/>
      <c r="D8" s="107"/>
      <c r="E8" s="107"/>
      <c r="F8" s="107"/>
      <c r="G8" s="107"/>
      <c r="H8" s="107"/>
      <c r="I8" s="107"/>
      <c r="J8" s="107"/>
      <c r="K8" s="107"/>
      <c r="L8" s="107"/>
      <c r="M8" s="107"/>
      <c r="N8" s="107"/>
      <c r="O8" s="107"/>
      <c r="P8" s="107"/>
      <c r="Q8" s="107"/>
    </row>
    <row r="9" spans="1:19" ht="18" customHeight="1" x14ac:dyDescent="0.3">
      <c r="A9" s="108" t="s">
        <v>114</v>
      </c>
      <c r="B9" s="108"/>
      <c r="C9" s="108"/>
      <c r="D9" s="108"/>
      <c r="E9" s="108"/>
      <c r="F9" s="108"/>
      <c r="G9" s="108"/>
      <c r="H9" s="108"/>
      <c r="I9" s="108"/>
      <c r="J9" s="108"/>
      <c r="K9" s="108"/>
      <c r="L9" s="108"/>
      <c r="M9" s="108"/>
      <c r="N9" s="108"/>
      <c r="O9" s="55"/>
      <c r="P9" s="55"/>
      <c r="Q9" s="56"/>
    </row>
    <row r="10" spans="1:19" ht="65.25" customHeight="1" x14ac:dyDescent="0.25">
      <c r="A10" s="109" t="s">
        <v>115</v>
      </c>
      <c r="B10" s="109"/>
      <c r="C10" s="109"/>
      <c r="D10" s="109"/>
      <c r="E10" s="109"/>
      <c r="F10" s="109"/>
      <c r="G10" s="109"/>
      <c r="H10" s="109"/>
      <c r="I10" s="109"/>
      <c r="J10" s="109"/>
      <c r="K10" s="109"/>
      <c r="L10" s="109"/>
      <c r="M10" s="109"/>
      <c r="N10" s="109"/>
      <c r="O10" s="109"/>
      <c r="P10" s="109"/>
      <c r="Q10" s="109"/>
    </row>
    <row r="11" spans="1:19" ht="9" customHeight="1" thickBot="1" x14ac:dyDescent="0.3">
      <c r="A11" s="57"/>
      <c r="B11" s="58"/>
      <c r="C11" s="58"/>
      <c r="D11" s="58"/>
      <c r="E11" s="58"/>
      <c r="F11" s="58"/>
      <c r="G11" s="59"/>
      <c r="H11" s="58"/>
      <c r="I11" s="58"/>
      <c r="J11" s="58"/>
      <c r="K11" s="58"/>
      <c r="L11" s="58"/>
      <c r="M11" s="58"/>
      <c r="N11" s="58"/>
      <c r="O11" s="58"/>
      <c r="P11" s="58"/>
      <c r="Q11" s="60"/>
    </row>
    <row r="12" spans="1:19" ht="15.75" customHeight="1" thickBot="1" x14ac:dyDescent="0.3">
      <c r="A12" s="110" t="s">
        <v>116</v>
      </c>
      <c r="B12" s="110"/>
      <c r="C12" s="110"/>
      <c r="D12" s="110"/>
      <c r="E12" s="110"/>
      <c r="F12" s="110"/>
      <c r="G12" s="110"/>
      <c r="H12" s="110"/>
      <c r="I12" s="110"/>
      <c r="J12" s="110"/>
      <c r="K12" s="110"/>
      <c r="L12" s="110"/>
      <c r="M12" s="110"/>
      <c r="N12" s="110"/>
      <c r="O12" s="110"/>
      <c r="P12" s="110"/>
      <c r="Q12" s="110"/>
    </row>
    <row r="13" spans="1:19" ht="15.75" customHeight="1" thickBot="1" x14ac:dyDescent="0.3">
      <c r="A13" s="110" t="s">
        <v>117</v>
      </c>
      <c r="B13" s="110"/>
      <c r="C13" s="110"/>
      <c r="D13" s="110"/>
      <c r="E13" s="110"/>
      <c r="F13" s="110"/>
      <c r="G13" s="110"/>
      <c r="H13" s="110"/>
      <c r="I13" s="110"/>
      <c r="J13" s="110"/>
      <c r="K13" s="110"/>
      <c r="L13" s="110"/>
      <c r="M13" s="110"/>
      <c r="N13" s="110"/>
      <c r="O13" s="111" t="s">
        <v>118</v>
      </c>
      <c r="P13" s="111"/>
      <c r="Q13" s="113" t="s">
        <v>119</v>
      </c>
    </row>
    <row r="14" spans="1:19" ht="15.75" customHeight="1" thickBot="1" x14ac:dyDescent="0.3">
      <c r="A14" s="61" t="s">
        <v>120</v>
      </c>
      <c r="B14" s="62" t="s">
        <v>121</v>
      </c>
      <c r="C14" s="62" t="s">
        <v>122</v>
      </c>
      <c r="D14" s="62" t="s">
        <v>123</v>
      </c>
      <c r="E14" s="62" t="s">
        <v>124</v>
      </c>
      <c r="F14" s="62" t="s">
        <v>125</v>
      </c>
      <c r="G14" s="63" t="s">
        <v>126</v>
      </c>
      <c r="H14" s="62" t="s">
        <v>127</v>
      </c>
      <c r="I14" s="62" t="s">
        <v>128</v>
      </c>
      <c r="J14" s="62" t="s">
        <v>129</v>
      </c>
      <c r="K14" s="62" t="s">
        <v>129</v>
      </c>
      <c r="L14" s="62" t="s">
        <v>130</v>
      </c>
      <c r="M14" s="64" t="s">
        <v>131</v>
      </c>
      <c r="N14" s="65" t="s">
        <v>132</v>
      </c>
      <c r="O14" s="112"/>
      <c r="P14" s="111"/>
      <c r="Q14" s="113"/>
    </row>
    <row r="15" spans="1:19" s="71" customFormat="1" ht="15.75" customHeight="1" thickBot="1" x14ac:dyDescent="0.3">
      <c r="A15" s="66">
        <v>1</v>
      </c>
      <c r="B15" s="67">
        <v>0</v>
      </c>
      <c r="C15" s="67">
        <v>0</v>
      </c>
      <c r="D15" s="67">
        <v>1</v>
      </c>
      <c r="E15" s="67">
        <v>0</v>
      </c>
      <c r="F15" s="67">
        <v>4901</v>
      </c>
      <c r="G15" s="67">
        <v>3</v>
      </c>
      <c r="H15" s="67">
        <v>6</v>
      </c>
      <c r="I15" s="67">
        <v>2</v>
      </c>
      <c r="J15" s="67">
        <v>5</v>
      </c>
      <c r="K15" s="67">
        <v>6</v>
      </c>
      <c r="L15" s="67">
        <v>0</v>
      </c>
      <c r="M15" s="68">
        <v>1</v>
      </c>
      <c r="N15" s="69" t="s">
        <v>133</v>
      </c>
      <c r="O15" s="101" t="s">
        <v>9</v>
      </c>
      <c r="P15" s="102"/>
      <c r="Q15" s="70">
        <v>41360</v>
      </c>
    </row>
    <row r="16" spans="1:19" s="71" customFormat="1" ht="17.25" customHeight="1" thickBot="1" x14ac:dyDescent="0.3">
      <c r="A16" s="72">
        <v>5</v>
      </c>
      <c r="B16" s="73">
        <v>0</v>
      </c>
      <c r="C16" s="73">
        <v>0</v>
      </c>
      <c r="D16" s="73">
        <v>1</v>
      </c>
      <c r="E16" s="73">
        <v>0</v>
      </c>
      <c r="F16" s="73">
        <v>4901</v>
      </c>
      <c r="G16" s="73">
        <v>3</v>
      </c>
      <c r="H16" s="73">
        <v>6</v>
      </c>
      <c r="I16" s="73">
        <v>2</v>
      </c>
      <c r="J16" s="73">
        <v>5</v>
      </c>
      <c r="K16" s="73">
        <v>6</v>
      </c>
      <c r="L16" s="73">
        <v>0</v>
      </c>
      <c r="M16" s="74">
        <v>1</v>
      </c>
      <c r="N16" s="73" t="s">
        <v>133</v>
      </c>
      <c r="O16" s="91" t="s">
        <v>9</v>
      </c>
      <c r="P16" s="92"/>
      <c r="Q16" s="75">
        <v>118980</v>
      </c>
      <c r="S16" s="76"/>
    </row>
    <row r="17" spans="1:20" ht="17.25" customHeight="1" thickBot="1" x14ac:dyDescent="0.3">
      <c r="A17" s="72">
        <v>7</v>
      </c>
      <c r="B17" s="73">
        <v>0</v>
      </c>
      <c r="C17" s="73">
        <v>0</v>
      </c>
      <c r="D17" s="73">
        <v>1</v>
      </c>
      <c r="E17" s="73">
        <v>0</v>
      </c>
      <c r="F17" s="73">
        <v>4901</v>
      </c>
      <c r="G17" s="73">
        <v>1</v>
      </c>
      <c r="H17" s="73">
        <v>3</v>
      </c>
      <c r="I17" s="73">
        <v>2</v>
      </c>
      <c r="J17" s="73">
        <v>5</v>
      </c>
      <c r="K17" s="73">
        <v>6</v>
      </c>
      <c r="L17" s="73">
        <v>0</v>
      </c>
      <c r="M17" s="74">
        <v>1</v>
      </c>
      <c r="N17" s="73" t="s">
        <v>133</v>
      </c>
      <c r="O17" s="91" t="s">
        <v>9</v>
      </c>
      <c r="P17" s="92"/>
      <c r="Q17" s="75">
        <v>53108</v>
      </c>
    </row>
    <row r="18" spans="1:20" ht="17.25" customHeight="1" thickBot="1" x14ac:dyDescent="0.3">
      <c r="A18" s="72">
        <v>8</v>
      </c>
      <c r="B18" s="73">
        <v>0</v>
      </c>
      <c r="C18" s="73">
        <v>0</v>
      </c>
      <c r="D18" s="73">
        <v>1</v>
      </c>
      <c r="E18" s="73">
        <v>0</v>
      </c>
      <c r="F18" s="73">
        <v>4901</v>
      </c>
      <c r="G18" s="73">
        <v>3</v>
      </c>
      <c r="H18" s="73">
        <v>6</v>
      </c>
      <c r="I18" s="73">
        <v>2</v>
      </c>
      <c r="J18" s="73">
        <v>5</v>
      </c>
      <c r="K18" s="73">
        <v>6</v>
      </c>
      <c r="L18" s="73">
        <v>0</v>
      </c>
      <c r="M18" s="74">
        <v>1</v>
      </c>
      <c r="N18" s="73" t="s">
        <v>133</v>
      </c>
      <c r="O18" s="93" t="s">
        <v>9</v>
      </c>
      <c r="P18" s="94"/>
      <c r="Q18" s="75">
        <v>12373</v>
      </c>
    </row>
    <row r="19" spans="1:20" ht="17.25" customHeight="1" thickBot="1" x14ac:dyDescent="0.3">
      <c r="A19" s="72">
        <v>9</v>
      </c>
      <c r="B19" s="73">
        <v>0</v>
      </c>
      <c r="C19" s="73">
        <v>0</v>
      </c>
      <c r="D19" s="73">
        <v>1</v>
      </c>
      <c r="E19" s="73">
        <v>0</v>
      </c>
      <c r="F19" s="73">
        <v>4901</v>
      </c>
      <c r="G19" s="73">
        <v>1</v>
      </c>
      <c r="H19" s="73">
        <v>3</v>
      </c>
      <c r="I19" s="73">
        <v>2</v>
      </c>
      <c r="J19" s="73">
        <v>5</v>
      </c>
      <c r="K19" s="73">
        <v>6</v>
      </c>
      <c r="L19" s="73">
        <v>0</v>
      </c>
      <c r="M19" s="74">
        <v>1</v>
      </c>
      <c r="N19" s="73" t="s">
        <v>133</v>
      </c>
      <c r="O19" s="91" t="s">
        <v>9</v>
      </c>
      <c r="P19" s="92"/>
      <c r="Q19" s="75">
        <v>500000</v>
      </c>
    </row>
    <row r="20" spans="1:20" ht="17.25" customHeight="1" thickBot="1" x14ac:dyDescent="0.3">
      <c r="A20" s="72">
        <v>13</v>
      </c>
      <c r="B20" s="73">
        <v>0</v>
      </c>
      <c r="C20" s="73">
        <v>0</v>
      </c>
      <c r="D20" s="73">
        <v>2</v>
      </c>
      <c r="E20" s="73">
        <v>0</v>
      </c>
      <c r="F20" s="73">
        <v>4901</v>
      </c>
      <c r="G20" s="73">
        <v>1</v>
      </c>
      <c r="H20" s="73">
        <v>3</v>
      </c>
      <c r="I20" s="73">
        <v>2</v>
      </c>
      <c r="J20" s="73">
        <v>5</v>
      </c>
      <c r="K20" s="73">
        <v>6</v>
      </c>
      <c r="L20" s="73">
        <v>0</v>
      </c>
      <c r="M20" s="74">
        <v>1</v>
      </c>
      <c r="N20" s="73" t="s">
        <v>133</v>
      </c>
      <c r="O20" s="91" t="s">
        <v>9</v>
      </c>
      <c r="P20" s="92"/>
      <c r="Q20" s="75">
        <v>500000</v>
      </c>
    </row>
    <row r="21" spans="1:20" ht="17.25" customHeight="1" thickBot="1" x14ac:dyDescent="0.3">
      <c r="A21" s="72">
        <v>14</v>
      </c>
      <c r="B21" s="73">
        <v>0</v>
      </c>
      <c r="C21" s="73">
        <v>0</v>
      </c>
      <c r="D21" s="73">
        <v>1</v>
      </c>
      <c r="E21" s="73">
        <v>0</v>
      </c>
      <c r="F21" s="73">
        <v>4901</v>
      </c>
      <c r="G21" s="73">
        <v>3</v>
      </c>
      <c r="H21" s="73">
        <v>6</v>
      </c>
      <c r="I21" s="73">
        <v>2</v>
      </c>
      <c r="J21" s="73">
        <v>5</v>
      </c>
      <c r="K21" s="73">
        <v>6</v>
      </c>
      <c r="L21" s="73">
        <v>0</v>
      </c>
      <c r="M21" s="74">
        <v>1</v>
      </c>
      <c r="N21" s="73" t="s">
        <v>133</v>
      </c>
      <c r="O21" s="91" t="s">
        <v>9</v>
      </c>
      <c r="P21" s="92"/>
      <c r="Q21" s="75">
        <v>266859</v>
      </c>
    </row>
    <row r="22" spans="1:20" ht="28.5" customHeight="1" thickBot="1" x14ac:dyDescent="0.3">
      <c r="A22" s="95" t="s">
        <v>135</v>
      </c>
      <c r="B22" s="95"/>
      <c r="C22" s="95"/>
      <c r="D22" s="95"/>
      <c r="E22" s="95"/>
      <c r="F22" s="95"/>
      <c r="G22" s="95"/>
      <c r="H22" s="95"/>
      <c r="I22" s="95"/>
      <c r="J22" s="95"/>
      <c r="K22" s="95"/>
      <c r="L22" s="95"/>
      <c r="M22" s="95"/>
      <c r="N22" s="95"/>
      <c r="O22" s="95"/>
      <c r="P22" s="95"/>
      <c r="Q22" s="78">
        <f>+Q21+Q20+Q19+Q18++Q17+Q16+Q15</f>
        <v>1492680</v>
      </c>
      <c r="S22" s="77"/>
      <c r="T22" s="77"/>
    </row>
    <row r="23" spans="1:20" ht="18" customHeight="1" thickBot="1" x14ac:dyDescent="0.3">
      <c r="A23" s="96"/>
      <c r="B23" s="96"/>
      <c r="C23" s="96"/>
      <c r="D23" s="96"/>
      <c r="E23" s="96"/>
      <c r="F23" s="96"/>
      <c r="G23" s="96"/>
      <c r="H23" s="96"/>
      <c r="I23" s="96"/>
      <c r="J23" s="96"/>
      <c r="K23" s="96"/>
      <c r="L23" s="96"/>
      <c r="M23" s="96"/>
      <c r="N23" s="96"/>
      <c r="O23" s="96"/>
      <c r="P23" s="96"/>
      <c r="Q23" s="96"/>
    </row>
    <row r="24" spans="1:20" ht="17.25" customHeight="1" thickBot="1" x14ac:dyDescent="0.3">
      <c r="A24" s="97" t="s">
        <v>134</v>
      </c>
      <c r="B24" s="98"/>
      <c r="C24" s="98"/>
      <c r="D24" s="98"/>
      <c r="E24" s="98"/>
      <c r="F24" s="99"/>
      <c r="G24" s="100"/>
      <c r="H24" s="100"/>
      <c r="I24" s="100"/>
      <c r="J24" s="100"/>
      <c r="K24" s="100"/>
      <c r="L24" s="100"/>
      <c r="M24" s="100"/>
      <c r="N24" s="100"/>
      <c r="O24" s="100"/>
      <c r="P24" s="100"/>
      <c r="Q24" s="100"/>
    </row>
    <row r="25" spans="1:20" ht="18" customHeight="1" thickBot="1" x14ac:dyDescent="0.3">
      <c r="A25" s="90" t="str">
        <f>'[3] NotaPedido'!D8</f>
        <v>Adquisición de combustible para el parque automotor de este Ministerio.</v>
      </c>
      <c r="B25" s="90"/>
      <c r="C25" s="90"/>
      <c r="D25" s="90"/>
      <c r="E25" s="90"/>
      <c r="F25" s="90"/>
      <c r="G25" s="90"/>
      <c r="H25" s="90"/>
      <c r="I25" s="90"/>
      <c r="J25" s="90"/>
      <c r="K25" s="90"/>
      <c r="L25" s="90"/>
      <c r="M25" s="90"/>
      <c r="N25" s="90"/>
      <c r="O25" s="90"/>
      <c r="P25" s="90"/>
      <c r="Q25" s="90"/>
    </row>
    <row r="26" spans="1:20" ht="14.25" customHeight="1" thickBot="1" x14ac:dyDescent="0.3">
      <c r="A26" s="90"/>
      <c r="B26" s="90"/>
      <c r="C26" s="90"/>
      <c r="D26" s="90"/>
      <c r="E26" s="90"/>
      <c r="F26" s="90"/>
      <c r="G26" s="90"/>
      <c r="H26" s="90"/>
      <c r="I26" s="90"/>
      <c r="J26" s="90"/>
      <c r="K26" s="90"/>
      <c r="L26" s="90"/>
      <c r="M26" s="90"/>
      <c r="N26" s="90"/>
      <c r="O26" s="90"/>
      <c r="P26" s="90"/>
      <c r="Q26" s="90"/>
    </row>
  </sheetData>
  <mergeCells count="30">
    <mergeCell ref="A5:F5"/>
    <mergeCell ref="G5:Q5"/>
    <mergeCell ref="A1:C1"/>
    <mergeCell ref="D1:E1"/>
    <mergeCell ref="P1:Q2"/>
    <mergeCell ref="A4:F4"/>
    <mergeCell ref="G4:Q4"/>
    <mergeCell ref="O15:P15"/>
    <mergeCell ref="A6:F6"/>
    <mergeCell ref="G6:Q6"/>
    <mergeCell ref="A7:F7"/>
    <mergeCell ref="G7:Q7"/>
    <mergeCell ref="A8:Q8"/>
    <mergeCell ref="A9:N9"/>
    <mergeCell ref="A10:Q10"/>
    <mergeCell ref="A12:Q12"/>
    <mergeCell ref="A13:N13"/>
    <mergeCell ref="O13:P14"/>
    <mergeCell ref="Q13:Q14"/>
    <mergeCell ref="A25:Q26"/>
    <mergeCell ref="O16:P16"/>
    <mergeCell ref="O17:P17"/>
    <mergeCell ref="O18:P18"/>
    <mergeCell ref="O19:P19"/>
    <mergeCell ref="O20:P20"/>
    <mergeCell ref="O21:P21"/>
    <mergeCell ref="A22:P22"/>
    <mergeCell ref="A23:Q23"/>
    <mergeCell ref="A24:F24"/>
    <mergeCell ref="G24:Q2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COMBUSTIBLE</vt:lpstr>
      <vt:lpstr>PARQUE AUTOMOTOR</vt:lpstr>
      <vt:lpstr>Autor Gastar</vt:lpstr>
      <vt:lpstr>'Autor Gastar'!Área_de_impresión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compras_rrhh@autolock.com</dc:creator>
  <cp:lastModifiedBy>secadmtrabajo</cp:lastModifiedBy>
  <dcterms:created xsi:type="dcterms:W3CDTF">2022-06-23T12:01:14Z</dcterms:created>
  <dcterms:modified xsi:type="dcterms:W3CDTF">2022-07-01T15:11:07Z</dcterms:modified>
</cp:coreProperties>
</file>