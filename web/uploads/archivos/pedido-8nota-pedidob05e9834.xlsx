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defaultThemeVersion="124226"/>
  <mc:AlternateContent xmlns:mc="http://schemas.openxmlformats.org/markup-compatibility/2006">
    <mc:Choice Requires="x15">
      <x15ac:absPath xmlns:x15ac="http://schemas.microsoft.com/office/spreadsheetml/2010/11/ac" url="C:\Users\USUARIO\Documents\"/>
    </mc:Choice>
  </mc:AlternateContent>
  <xr:revisionPtr revIDLastSave="0" documentId="8_{21CA65EC-6B86-4F53-ABBA-9C78B07283C7}" xr6:coauthVersionLast="47" xr6:coauthVersionMax="47" xr10:uidLastSave="{00000000-0000-0000-0000-000000000000}"/>
  <bookViews>
    <workbookView xWindow="-120" yWindow="-120" windowWidth="20640" windowHeight="11160" tabRatio="500" activeTab="1" xr2:uid="{00000000-000D-0000-FFFF-FFFF00000000}"/>
  </bookViews>
  <sheets>
    <sheet name="Necesidades Trimestrales" sheetId="1" r:id="rId1"/>
    <sheet name=" NotaPedido" sheetId="2" r:id="rId2"/>
    <sheet name="Autor Gastar" sheetId="3" r:id="rId3"/>
  </sheets>
  <definedNames>
    <definedName name="_xlnm.Print_Area" localSheetId="1">' NotaPedido'!$A$1:$K$14</definedName>
    <definedName name="_xlnm.Print_Area" localSheetId="2">'Autor Gastar'!$A$1:$Q$30</definedName>
    <definedName name="_xlnm.Print_Area" localSheetId="0">'Necesidades Trimestrales'!$A$1:$I$76</definedName>
  </definedNames>
  <calcPr calcId="191029"/>
</workbook>
</file>

<file path=xl/calcChain.xml><?xml version="1.0" encoding="utf-8"?>
<calcChain xmlns="http://schemas.openxmlformats.org/spreadsheetml/2006/main">
  <c r="I12" i="1" l="1"/>
  <c r="K13" i="2"/>
  <c r="K12" i="2"/>
  <c r="J13" i="2"/>
  <c r="J12" i="2"/>
  <c r="J14" i="2"/>
  <c r="D10" i="1" l="1"/>
  <c r="Q23" i="3" l="1"/>
  <c r="I10" i="1" l="1"/>
  <c r="I11" i="1"/>
  <c r="D11" i="1" l="1"/>
  <c r="G4" i="3" l="1"/>
  <c r="G6" i="3" l="1"/>
  <c r="G7" i="3"/>
  <c r="G5" i="3"/>
  <c r="A10" i="3" l="1"/>
  <c r="D1" i="3"/>
</calcChain>
</file>

<file path=xl/sharedStrings.xml><?xml version="1.0" encoding="utf-8"?>
<sst xmlns="http://schemas.openxmlformats.org/spreadsheetml/2006/main" count="104" uniqueCount="81">
  <si>
    <t>Pedido de Necesidades Trimestrales</t>
  </si>
  <si>
    <t>JURISDICCION:</t>
  </si>
  <si>
    <t xml:space="preserve">SAF N°: </t>
  </si>
  <si>
    <t>EJERCICIO:</t>
  </si>
  <si>
    <t>TRIMESTRE:</t>
  </si>
  <si>
    <t>ID</t>
  </si>
  <si>
    <t>CODIGO ITEM</t>
  </si>
  <si>
    <t>RUBRO DE COMPRA</t>
  </si>
  <si>
    <t xml:space="preserve">I.P.P. </t>
  </si>
  <si>
    <t>DESCRIPCION</t>
  </si>
  <si>
    <t>UNIDAD DE MEDIDA</t>
  </si>
  <si>
    <t>CANTIDAD</t>
  </si>
  <si>
    <t>PRECIO UNITARIO ESTIMADO</t>
  </si>
  <si>
    <t xml:space="preserve">IMPORTE TOTAL ESTIMADO </t>
  </si>
  <si>
    <t>UNIDAD</t>
  </si>
  <si>
    <t>Especificidades Item N° 1:</t>
  </si>
  <si>
    <t>Descripción técnica</t>
  </si>
  <si>
    <t>Plazos y lugares de entrega</t>
  </si>
  <si>
    <t>Calidad Minima esperada</t>
  </si>
  <si>
    <t>Garantia</t>
  </si>
  <si>
    <t>Especificidades Item N° 2:</t>
  </si>
  <si>
    <t>NOTA DE PEDIDO</t>
  </si>
  <si>
    <t>N°</t>
  </si>
  <si>
    <t>PERIODO UTILIZACIÓN:</t>
  </si>
  <si>
    <t>OBJETO:</t>
  </si>
  <si>
    <t>Ítem</t>
  </si>
  <si>
    <t>Codigo Item</t>
  </si>
  <si>
    <t>DESCRIPCIÓN</t>
  </si>
  <si>
    <t>Adjunta Detalle Técnico</t>
  </si>
  <si>
    <t>Unidad Medida</t>
  </si>
  <si>
    <t>Precio Unitario Estimado</t>
  </si>
  <si>
    <t>Cantidad Solicitada</t>
  </si>
  <si>
    <t>SI</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</si>
  <si>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</si>
  <si>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</si>
  <si>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</si>
  <si>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</si>
  <si>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</si>
  <si>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</si>
  <si>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</si>
  <si>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</si>
  <si>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</si>
  <si>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</si>
  <si>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</si>
  <si>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</si>
  <si>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</si>
  <si>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</si>
  <si>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</si>
  <si>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</si>
  <si>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</si>
  <si>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</si>
  <si>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</si>
  <si>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</si>
  <si>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</si>
  <si>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</si>
  <si>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</si>
  <si>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</si>
  <si>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</si>
  <si>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</si>
  <si>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70 - MINISTERIO DE CIENCIA E INNOVACION TECNOLOGICA</t>
  </si>
  <si>
    <t>20 - MINISTERIO DE CIENCIA E INNOVACION TECNOLOGICA</t>
  </si>
  <si>
    <t>1.1</t>
  </si>
  <si>
    <t>Equipo Educacional y Recreativo</t>
  </si>
  <si>
    <t>4.3.5-9163.90</t>
  </si>
  <si>
    <t>EQUIPOS DIDACTICOS TECNICOS; NOMBRE: KIT EXPERIMENTAL, TIPO: SEGÚN PLIEGO</t>
  </si>
  <si>
    <t>EQUIPOS</t>
  </si>
  <si>
    <t>Garantía del fabricante minima de seis (6) meses.</t>
  </si>
  <si>
    <r>
      <t xml:space="preserve">Mantenimiento: </t>
    </r>
    <r>
      <rPr>
        <sz val="10"/>
        <rFont val="Times New Roman"/>
        <family val="1"/>
      </rPr>
      <t>treinta (30) dias corridos</t>
    </r>
  </si>
  <si>
    <r>
      <t>Mantenimiento:</t>
    </r>
    <r>
      <rPr>
        <sz val="10"/>
        <rFont val="Times New Roman"/>
        <family val="1"/>
      </rPr>
      <t xml:space="preserve"> treinta (30) dias corridos</t>
    </r>
  </si>
  <si>
    <t>17/2021</t>
  </si>
  <si>
    <t>2 TRIMESTRE 2021</t>
  </si>
  <si>
    <t>DIRECCION PROVINCIAL DE GESTION ADMINISTRATIVA RECURSOS HUMANOS</t>
  </si>
  <si>
    <r>
      <rPr>
        <b/>
        <sz val="10"/>
        <rFont val="Times New Roman"/>
        <family val="1"/>
      </rPr>
      <t>Súper Kit de la robótica educativa.</t>
    </r>
    <r>
      <rPr>
        <sz val="10"/>
        <rFont val="Times New Roman"/>
        <family val="1"/>
      </rPr>
      <t xml:space="preserve">
# 800 componentes estructurales y de movimiento.
# 4 motores inteligentes, 7 sensores (2 de contacto, 1 de distancia, 1 giroscopio, 1 de color, 2 touch LED).
# 1 cerebro del robot, control remoto y baterías incluidas.
# Caja contenedora y bandeja de almacenamiento incluidas para el almacenamiento organizado de todas las piezas.
</t>
    </r>
  </si>
  <si>
    <r>
      <rPr>
        <b/>
        <sz val="10"/>
        <rFont val="Times New Roman"/>
        <family val="1"/>
      </rPr>
      <t>Kit áulico + competencia</t>
    </r>
    <r>
      <rPr>
        <sz val="10"/>
        <rFont val="Times New Roman"/>
        <family val="1"/>
      </rPr>
      <t xml:space="preserve">
# Kit de robot Clawbot con 4 motores.
# Paquete de sistema VEXnet.
# Motor adicional de 2 hilos 393.
# Batería de robot NiMH 3000mAh.
# Baterías de control remoto (joystick) y cargadores.
</t>
    </r>
  </si>
  <si>
    <t>Costo total estimado:  PESOS UN MILLON SEISCIENTOS OCHENTA Y UN MIL DOSCIENTOS NOVENTA Y CINCO CON 00/100.-</t>
  </si>
  <si>
    <t>PESOS: UN MILLON SEISCIENTOS OCHENTA Y UN MIL DOSCIENTOS NOVENTA Y CINCO CON 00/100.-</t>
  </si>
  <si>
    <t xml:space="preserve"> SECRETARIA DE CIENCIA Y TECNOLOGIA</t>
  </si>
  <si>
    <t xml:space="preserve">ADQUISICIÓN DE  KIT DE ROBOTICA DESTINADO  A LA SECRETARIA Y TECNNOLOGIA  DE CIENCIA DEPENDIENTE DEL MINISTERIO DE CIENCIA E INNOVACIÓN TECNOLOGICA.- </t>
  </si>
  <si>
    <t xml:space="preserve">ADQUISICIÓN DE  KIT DE  ROBOTICA DESTINADO  A LA SECRETARIA DE CIENCIA Y TECNOLOGIA DEPENDIENTE DEL MINISTERIO DE CIENCIA E INNOVACIÓN TECNOLOGICA.- </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</si>
  <si>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</si>
  <si>
    <t>El plazo de entrega  no podrá ser superior a los diez (10) días hábiles a partir de la fecha de recepción de la respectiva Orden de Compra en el domicilio especial electrónico constituido, en virtud del método de contratación. La entrega de dichos bienes se realizará en  el Ministerio de Ciencia e Innovación Tecnologica, sito en Avenida  Belgrano N° 1494 - CAPE- Pabellón N° 26 San Fernando del Valle de Catamarca.  Se presentará Remito que deberá cumplimentar lo dispuesto por la R.G. AFIP  1415/03, sin excepción.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</si>
</sst>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_);_(@_)"/>
    <numFmt numFmtId="165" formatCode="_-* #,##0.00&quot; €&quot;_-;\-* #,##0.00&quot; €&quot;_-;_-* \-??&quot; €&quot;_-;_-@_-"/>
    <numFmt numFmtId="166" formatCode="[$$-2C0A]\ #,##0.00;[$$-2C0A]&quot; -&quot;#,##0.00"/>
    <numFmt numFmtId="167" formatCode="[$$-2C0A]\ #,##0.00"/>
    <numFmt numFmtId="168" formatCode="dd\-mm\-yy;@"/>
  </numFmts>
  <fonts count="26" x14ac:knownFonts="1">
    <font>
      <sz val="10"/>
      <name val="Arial"/>
      <charset val="1"/>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0"/>
      <name val="Times New Roman"/>
      <family val="1"/>
    </font>
  </fonts>
  <fills count="5">
    <fill>
      <patternFill patternType="none"/>
    </fill>
    <fill>
      <patternFill patternType="gray125"/>
    </fill>
    <fill>
      <patternFill patternType="solid">
        <fgColor rgb="FFFFFF99"/>
        <bgColor rgb="FFFFFFCC"/>
      </patternFill>
    </fill>
    <fill>
      <patternFill patternType="solid">
        <fgColor theme="0"/>
        <bgColor indexed="64"/>
      </patternFill>
    </fill>
    <fill>
      <patternFill patternType="solid">
        <fgColor theme="0"/>
        <bgColor rgb="FFFFFF00"/>
      </patternFill>
    </fill>
  </fills>
  <borders count="61">
    <border>
      <left/>
      <right/>
      <top/>
      <bottom/>
      <diagonal/>
    </border>
    <border>
      <left/>
      <right/>
      <top/>
      <bottom style="thick">
        <color rgb="FF33CCCC"/>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style="thick">
        <color auto="1"/>
      </right>
      <top style="thick">
        <color auto="1"/>
      </top>
      <bottom style="thin">
        <color indexed="64"/>
      </bottom>
      <diagonal/>
    </border>
    <border>
      <left style="thin">
        <color auto="1"/>
      </left>
      <right style="medium">
        <color auto="1"/>
      </right>
      <top/>
      <bottom style="thin">
        <color auto="1"/>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auto="1"/>
      </left>
      <right style="medium">
        <color auto="1"/>
      </right>
      <top/>
      <bottom style="medium">
        <color auto="1"/>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165" fontId="15" fillId="0" borderId="0" applyBorder="0" applyProtection="0"/>
    <xf numFmtId="0" fontId="1" fillId="0" borderId="1" applyProtection="0"/>
    <xf numFmtId="164" fontId="2" fillId="0" borderId="0" applyBorder="0" applyProtection="0"/>
    <xf numFmtId="0" fontId="3" fillId="2" borderId="0" applyBorder="0" applyProtection="0"/>
  </cellStyleXfs>
  <cellXfs count="145">
    <xf numFmtId="0" fontId="0" fillId="0" borderId="0" xfId="0"/>
    <xf numFmtId="0" fontId="0" fillId="0" borderId="0" xfId="0" applyBorder="1"/>
    <xf numFmtId="0" fontId="2" fillId="0" borderId="0" xfId="0" applyFont="1" applyBorder="1" applyAlignment="1">
      <alignment vertical="center"/>
    </xf>
    <xf numFmtId="0" fontId="5" fillId="0" borderId="12" xfId="0" applyFont="1" applyBorder="1" applyAlignment="1">
      <alignment horizontal="right" vertical="center"/>
    </xf>
    <xf numFmtId="0" fontId="5" fillId="0" borderId="14" xfId="0" applyFont="1" applyBorder="1" applyAlignment="1">
      <alignment vertical="center"/>
    </xf>
    <xf numFmtId="0" fontId="5" fillId="0" borderId="0" xfId="0" applyFont="1" applyBorder="1" applyAlignment="1">
      <alignment vertical="center"/>
    </xf>
    <xf numFmtId="0" fontId="7" fillId="0" borderId="0" xfId="0" applyFont="1" applyBorder="1" applyAlignment="1">
      <alignment horizontal="left" vertical="center"/>
    </xf>
    <xf numFmtId="0" fontId="6" fillId="0" borderId="0" xfId="0" applyFont="1" applyBorder="1" applyAlignment="1">
      <alignment horizontal="left" vertical="center" wrapText="1" indent="1"/>
    </xf>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2" fillId="0" borderId="0" xfId="0" applyFont="1"/>
    <xf numFmtId="0" fontId="0" fillId="0" borderId="12" xfId="0" applyBorder="1"/>
    <xf numFmtId="0" fontId="0" fillId="0" borderId="26" xfId="0" applyBorder="1"/>
    <xf numFmtId="0" fontId="0" fillId="0" borderId="14" xfId="0" applyBorder="1"/>
    <xf numFmtId="0" fontId="0" fillId="0" borderId="14" xfId="0" applyBorder="1" applyAlignment="1">
      <alignment horizontal="left"/>
    </xf>
    <xf numFmtId="0" fontId="0" fillId="0" borderId="27" xfId="0" applyBorder="1"/>
    <xf numFmtId="0" fontId="14" fillId="0" borderId="29" xfId="0" applyFont="1" applyBorder="1" applyAlignment="1">
      <alignment horizontal="center" vertical="center"/>
    </xf>
    <xf numFmtId="0" fontId="14" fillId="0" borderId="30" xfId="0" applyFont="1" applyBorder="1" applyAlignment="1">
      <alignment horizontal="center" vertical="center"/>
    </xf>
    <xf numFmtId="0" fontId="14" fillId="0" borderId="30" xfId="0" applyFont="1" applyBorder="1" applyAlignment="1">
      <alignment horizontal="left" vertical="center"/>
    </xf>
    <xf numFmtId="0" fontId="14" fillId="0" borderId="31" xfId="0" applyFont="1" applyBorder="1" applyAlignment="1">
      <alignment horizontal="center" vertical="center"/>
    </xf>
    <xf numFmtId="0" fontId="14" fillId="0" borderId="25" xfId="0" applyFont="1" applyBorder="1" applyAlignment="1">
      <alignment horizontal="center" vertical="center"/>
    </xf>
    <xf numFmtId="0" fontId="0" fillId="0" borderId="33" xfId="0" applyFont="1" applyBorder="1" applyAlignment="1">
      <alignment horizontal="center" vertical="center"/>
    </xf>
    <xf numFmtId="0" fontId="0" fillId="0" borderId="36" xfId="0" applyFont="1" applyBorder="1" applyAlignment="1">
      <alignment horizontal="center" vertical="center"/>
    </xf>
    <xf numFmtId="0" fontId="0" fillId="0" borderId="37" xfId="0" applyFont="1" applyBorder="1" applyAlignment="1">
      <alignment horizontal="center" vertical="center"/>
    </xf>
    <xf numFmtId="0" fontId="0" fillId="0" borderId="38" xfId="0" applyFont="1" applyBorder="1" applyAlignment="1">
      <alignment horizontal="center" vertical="center"/>
    </xf>
    <xf numFmtId="0" fontId="0" fillId="0" borderId="39" xfId="0" applyFont="1" applyBorder="1" applyAlignment="1">
      <alignment horizontal="center" vertical="center"/>
    </xf>
    <xf numFmtId="166" fontId="0" fillId="0" borderId="40" xfId="3" applyNumberFormat="1" applyFont="1" applyBorder="1" applyAlignment="1" applyProtection="1">
      <alignment horizontal="center" vertical="center"/>
    </xf>
    <xf numFmtId="0" fontId="12" fillId="0" borderId="36" xfId="0" applyFont="1" applyBorder="1" applyAlignment="1">
      <alignment horizontal="center" vertical="center"/>
    </xf>
    <xf numFmtId="0" fontId="12" fillId="0" borderId="37" xfId="0" applyFont="1" applyBorder="1" applyAlignment="1">
      <alignment horizontal="center" vertical="center"/>
    </xf>
    <xf numFmtId="0" fontId="0" fillId="0" borderId="39" xfId="0" applyBorder="1" applyAlignment="1">
      <alignment horizontal="center" vertical="center"/>
    </xf>
    <xf numFmtId="0" fontId="12" fillId="0" borderId="38" xfId="0" applyFont="1" applyBorder="1" applyAlignment="1">
      <alignment horizontal="center" vertical="center"/>
    </xf>
    <xf numFmtId="0" fontId="12" fillId="0" borderId="39" xfId="0" applyFont="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0" fillId="0" borderId="43" xfId="0" applyBorder="1" applyAlignment="1">
      <alignment horizontal="center" vertical="center"/>
    </xf>
    <xf numFmtId="166" fontId="0" fillId="0" borderId="44" xfId="3" applyNumberFormat="1" applyFont="1" applyBorder="1" applyAlignment="1" applyProtection="1">
      <alignment horizontal="center" vertical="center"/>
    </xf>
    <xf numFmtId="0" fontId="16" fillId="0" borderId="0" xfId="0" applyFont="1"/>
    <xf numFmtId="0" fontId="19" fillId="0" borderId="0" xfId="0" applyFont="1" applyAlignment="1">
      <alignment horizontal="left" wrapText="1"/>
    </xf>
    <xf numFmtId="0" fontId="19" fillId="0" borderId="0" xfId="0" applyFont="1" applyAlignment="1">
      <alignment horizontal="center" wrapText="1"/>
    </xf>
    <xf numFmtId="0" fontId="22" fillId="0" borderId="2" xfId="0" applyFont="1" applyBorder="1" applyAlignment="1">
      <alignment horizontal="left" vertical="center" wrapText="1"/>
    </xf>
    <xf numFmtId="0" fontId="22" fillId="0" borderId="2" xfId="0" applyFont="1" applyBorder="1" applyAlignment="1">
      <alignment horizontal="center" vertical="center" wrapText="1"/>
    </xf>
    <xf numFmtId="0" fontId="23" fillId="0" borderId="4" xfId="0" applyFont="1" applyBorder="1"/>
    <xf numFmtId="0" fontId="16" fillId="0" borderId="5" xfId="0" applyFont="1" applyBorder="1"/>
    <xf numFmtId="0" fontId="16" fillId="0" borderId="6" xfId="0" applyFont="1" applyBorder="1"/>
    <xf numFmtId="0" fontId="16" fillId="0" borderId="7" xfId="0" applyFont="1" applyBorder="1"/>
    <xf numFmtId="0" fontId="16" fillId="0" borderId="0" xfId="0" applyFont="1" applyBorder="1"/>
    <xf numFmtId="0" fontId="16" fillId="0" borderId="8" xfId="0" applyFont="1" applyBorder="1"/>
    <xf numFmtId="0" fontId="23" fillId="0" borderId="7" xfId="0" applyFont="1" applyBorder="1" applyAlignment="1">
      <alignment horizontal="left" indent="3"/>
    </xf>
    <xf numFmtId="0" fontId="16" fillId="0" borderId="7" xfId="0" applyFont="1" applyBorder="1" applyAlignment="1">
      <alignment horizontal="left" indent="3"/>
    </xf>
    <xf numFmtId="0" fontId="16" fillId="0" borderId="0" xfId="0" applyFont="1" applyBorder="1" applyAlignment="1">
      <alignment horizontal="center" wrapText="1"/>
    </xf>
    <xf numFmtId="0" fontId="16" fillId="0" borderId="8" xfId="0" applyFont="1" applyBorder="1" applyAlignment="1">
      <alignment horizontal="center" wrapText="1"/>
    </xf>
    <xf numFmtId="0" fontId="16" fillId="0" borderId="9" xfId="0" applyFont="1" applyBorder="1" applyAlignment="1">
      <alignment horizontal="left" indent="3"/>
    </xf>
    <xf numFmtId="0" fontId="16" fillId="0" borderId="10" xfId="0" applyFont="1" applyBorder="1"/>
    <xf numFmtId="0" fontId="16" fillId="0" borderId="11" xfId="0" applyFont="1" applyBorder="1"/>
    <xf numFmtId="0" fontId="6" fillId="4" borderId="13" xfId="0" applyFont="1" applyFill="1" applyBorder="1" applyAlignment="1">
      <alignment horizontal="center" vertical="center"/>
    </xf>
    <xf numFmtId="0" fontId="0" fillId="4" borderId="32" xfId="0" applyFont="1" applyFill="1" applyBorder="1" applyAlignment="1">
      <alignment horizontal="center" vertical="center"/>
    </xf>
    <xf numFmtId="0" fontId="0" fillId="4" borderId="33" xfId="0" applyFont="1" applyFill="1" applyBorder="1" applyAlignment="1">
      <alignment horizontal="center" vertical="center"/>
    </xf>
    <xf numFmtId="0" fontId="0" fillId="4" borderId="34" xfId="0" applyFont="1" applyFill="1" applyBorder="1" applyAlignment="1">
      <alignment horizontal="center" vertical="center"/>
    </xf>
    <xf numFmtId="0" fontId="15" fillId="0" borderId="0" xfId="0" applyFont="1"/>
    <xf numFmtId="0" fontId="22" fillId="4" borderId="2" xfId="0" applyFont="1" applyFill="1" applyBorder="1" applyAlignment="1">
      <alignment horizontal="center" vertical="center" wrapText="1"/>
    </xf>
    <xf numFmtId="0" fontId="24" fillId="4" borderId="0" xfId="0" applyFont="1" applyFill="1" applyAlignment="1">
      <alignment horizontal="left" wrapText="1" indent="1"/>
    </xf>
    <xf numFmtId="0" fontId="20" fillId="3" borderId="0" xfId="0" applyFont="1" applyFill="1" applyAlignment="1">
      <alignment horizontal="left" wrapText="1"/>
    </xf>
    <xf numFmtId="0" fontId="21" fillId="0" borderId="49" xfId="0" applyFont="1" applyBorder="1" applyAlignment="1">
      <alignment horizontal="center" vertical="center"/>
    </xf>
    <xf numFmtId="0" fontId="22" fillId="4" borderId="50" xfId="0" applyFont="1" applyFill="1" applyBorder="1" applyAlignment="1">
      <alignment horizontal="center" vertical="center" wrapText="1"/>
    </xf>
    <xf numFmtId="0" fontId="22" fillId="0" borderId="50" xfId="0" applyFont="1" applyBorder="1" applyAlignment="1">
      <alignment horizontal="left" vertical="center" wrapText="1"/>
    </xf>
    <xf numFmtId="0" fontId="22" fillId="0" borderId="50" xfId="0" applyFont="1" applyBorder="1" applyAlignment="1">
      <alignment horizontal="center" vertical="center" wrapText="1"/>
    </xf>
    <xf numFmtId="0" fontId="20" fillId="0" borderId="51" xfId="0" applyFont="1" applyBorder="1" applyAlignment="1">
      <alignment horizontal="center" vertical="center" wrapText="1"/>
    </xf>
    <xf numFmtId="167" fontId="2" fillId="0" borderId="0" xfId="0" applyNumberFormat="1" applyFont="1" applyBorder="1" applyAlignment="1">
      <alignment vertical="center"/>
    </xf>
    <xf numFmtId="0" fontId="16" fillId="0" borderId="0" xfId="0" applyFont="1" applyAlignment="1">
      <alignment horizontal="left" vertical="center"/>
    </xf>
    <xf numFmtId="166" fontId="16" fillId="0" borderId="0" xfId="0" applyNumberFormat="1" applyFont="1"/>
    <xf numFmtId="166" fontId="21" fillId="4" borderId="50" xfId="1" applyNumberFormat="1" applyFont="1" applyFill="1" applyBorder="1" applyAlignment="1" applyProtection="1">
      <alignment horizontal="right" vertical="center" wrapText="1"/>
    </xf>
    <xf numFmtId="166" fontId="21" fillId="4" borderId="52" xfId="1" applyNumberFormat="1" applyFont="1" applyFill="1" applyBorder="1" applyAlignment="1" applyProtection="1">
      <alignment horizontal="right" vertical="center" wrapText="1"/>
    </xf>
    <xf numFmtId="166" fontId="21" fillId="4" borderId="2" xfId="1" applyNumberFormat="1" applyFont="1" applyFill="1" applyBorder="1" applyAlignment="1" applyProtection="1">
      <alignment horizontal="right" vertical="center" wrapText="1"/>
    </xf>
    <xf numFmtId="166" fontId="21" fillId="4" borderId="3" xfId="1" applyNumberFormat="1" applyFont="1" applyFill="1" applyBorder="1" applyAlignment="1" applyProtection="1">
      <alignment horizontal="right" vertical="center" wrapText="1"/>
    </xf>
    <xf numFmtId="166" fontId="0" fillId="3" borderId="35" xfId="3" applyNumberFormat="1" applyFont="1" applyFill="1" applyBorder="1" applyAlignment="1" applyProtection="1">
      <alignment horizontal="center" vertical="center"/>
    </xf>
    <xf numFmtId="166" fontId="14" fillId="3" borderId="45" xfId="0" applyNumberFormat="1" applyFont="1" applyFill="1" applyBorder="1" applyAlignment="1">
      <alignment horizontal="center" vertical="center"/>
    </xf>
    <xf numFmtId="0" fontId="16" fillId="4" borderId="0" xfId="0" applyFont="1" applyFill="1" applyBorder="1" applyAlignment="1">
      <alignment horizontal="left" wrapText="1"/>
    </xf>
    <xf numFmtId="0" fontId="16" fillId="4" borderId="8" xfId="0" applyFont="1" applyFill="1" applyBorder="1" applyAlignment="1">
      <alignment horizontal="left" wrapText="1"/>
    </xf>
    <xf numFmtId="0" fontId="16" fillId="4" borderId="0" xfId="0" applyFont="1" applyFill="1" applyBorder="1" applyAlignment="1">
      <alignment horizontal="left"/>
    </xf>
    <xf numFmtId="0" fontId="16" fillId="4" borderId="8" xfId="0" applyFont="1" applyFill="1" applyBorder="1" applyAlignment="1">
      <alignment horizontal="left"/>
    </xf>
    <xf numFmtId="0" fontId="16" fillId="4" borderId="0" xfId="0" applyFont="1" applyFill="1" applyBorder="1" applyAlignment="1">
      <alignment horizontal="left" vertical="center" wrapText="1"/>
    </xf>
    <xf numFmtId="0" fontId="0" fillId="0" borderId="0" xfId="0" applyAlignment="1">
      <alignment vertical="center"/>
    </xf>
    <xf numFmtId="0" fontId="0" fillId="0" borderId="8" xfId="0" applyBorder="1" applyAlignment="1">
      <alignment vertical="center"/>
    </xf>
    <xf numFmtId="0" fontId="16" fillId="4" borderId="8" xfId="0" applyFont="1" applyFill="1" applyBorder="1" applyAlignment="1">
      <alignment horizontal="left" vertical="center" wrapText="1"/>
    </xf>
    <xf numFmtId="0" fontId="18" fillId="0" borderId="0" xfId="0" applyFont="1" applyBorder="1" applyAlignment="1">
      <alignment horizontal="left" vertical="center" wrapText="1"/>
    </xf>
    <xf numFmtId="0" fontId="17" fillId="0" borderId="0" xfId="0" applyFont="1" applyBorder="1" applyAlignment="1">
      <alignment horizontal="center"/>
    </xf>
    <xf numFmtId="0" fontId="24" fillId="4" borderId="0" xfId="0" applyFont="1" applyFill="1" applyBorder="1" applyAlignment="1">
      <alignment horizontal="left" wrapText="1" indent="1"/>
    </xf>
    <xf numFmtId="0" fontId="7" fillId="0" borderId="18" xfId="0" applyFont="1" applyBorder="1" applyAlignment="1">
      <alignment horizontal="left" vertical="center"/>
    </xf>
    <xf numFmtId="0" fontId="16" fillId="4" borderId="19" xfId="0" applyFont="1" applyFill="1" applyBorder="1" applyAlignment="1">
      <alignment horizontal="left" vertical="center" wrapText="1" indent="1"/>
    </xf>
    <xf numFmtId="0" fontId="8" fillId="0" borderId="18" xfId="0" applyFont="1" applyBorder="1" applyAlignment="1">
      <alignment horizontal="center" vertical="center"/>
    </xf>
    <xf numFmtId="0" fontId="8" fillId="0" borderId="20" xfId="0" applyFont="1" applyBorder="1" applyAlignment="1">
      <alignment horizontal="center" vertical="center" wrapText="1"/>
    </xf>
    <xf numFmtId="0" fontId="8" fillId="0" borderId="19" xfId="0" applyFont="1" applyBorder="1" applyAlignment="1">
      <alignment horizontal="center" vertical="center" wrapText="1"/>
    </xf>
    <xf numFmtId="0" fontId="5" fillId="0" borderId="0" xfId="0" applyFont="1" applyBorder="1" applyAlignment="1">
      <alignment horizontal="center" vertical="center"/>
    </xf>
    <xf numFmtId="0" fontId="7" fillId="0" borderId="15" xfId="0" applyFont="1" applyBorder="1" applyAlignment="1">
      <alignment horizontal="left" vertical="center" wrapText="1"/>
    </xf>
    <xf numFmtId="0" fontId="6" fillId="3" borderId="16" xfId="0" applyFont="1" applyFill="1" applyBorder="1" applyAlignment="1">
      <alignment horizontal="left" vertical="center" wrapText="1" indent="1"/>
    </xf>
    <xf numFmtId="0" fontId="7" fillId="0" borderId="17" xfId="0" applyFont="1" applyBorder="1" applyAlignment="1">
      <alignment horizontal="left" vertical="center" wrapText="1"/>
    </xf>
    <xf numFmtId="0" fontId="10" fillId="0" borderId="21" xfId="0" applyFont="1" applyBorder="1" applyAlignment="1">
      <alignment vertical="center" wrapText="1"/>
    </xf>
    <xf numFmtId="0" fontId="10" fillId="0" borderId="46" xfId="0" applyFont="1" applyBorder="1" applyAlignment="1">
      <alignment vertical="center" wrapText="1"/>
    </xf>
    <xf numFmtId="0" fontId="10" fillId="0" borderId="19" xfId="0" applyFont="1" applyBorder="1" applyAlignment="1">
      <alignment vertical="center" wrapText="1"/>
    </xf>
    <xf numFmtId="0" fontId="12" fillId="0" borderId="28" xfId="0" applyFont="1" applyBorder="1" applyAlignment="1">
      <alignment vertical="center" wrapText="1"/>
    </xf>
    <xf numFmtId="0" fontId="15" fillId="4" borderId="45" xfId="0" applyFont="1" applyFill="1" applyBorder="1" applyAlignment="1">
      <alignment horizontal="left" vertical="center" wrapText="1" indent="1"/>
    </xf>
    <xf numFmtId="0" fontId="2" fillId="4" borderId="45" xfId="0" applyFont="1" applyFill="1" applyBorder="1" applyAlignment="1">
      <alignment horizontal="left" vertical="center" wrapText="1" indent="1"/>
    </xf>
    <xf numFmtId="0" fontId="0" fillId="0" borderId="39" xfId="0" applyFont="1" applyBorder="1" applyAlignment="1">
      <alignment horizontal="left" vertical="center"/>
    </xf>
    <xf numFmtId="0" fontId="0" fillId="0" borderId="39" xfId="0" applyBorder="1" applyAlignment="1">
      <alignment horizontal="left" vertical="center"/>
    </xf>
    <xf numFmtId="0" fontId="0" fillId="0" borderId="42" xfId="0" applyBorder="1" applyAlignment="1">
      <alignment horizontal="left" vertical="center"/>
    </xf>
    <xf numFmtId="0" fontId="10" fillId="3" borderId="45" xfId="0" applyFont="1" applyFill="1" applyBorder="1" applyAlignment="1">
      <alignment horizontal="left" vertical="center" wrapText="1"/>
    </xf>
    <xf numFmtId="0" fontId="0" fillId="0" borderId="23" xfId="0" applyBorder="1"/>
    <xf numFmtId="0" fontId="15" fillId="0" borderId="33" xfId="0" applyFont="1" applyBorder="1" applyAlignment="1">
      <alignment horizontal="left" vertical="center" wrapText="1"/>
    </xf>
    <xf numFmtId="0" fontId="0" fillId="0" borderId="33" xfId="0" applyFont="1" applyBorder="1" applyAlignment="1">
      <alignment horizontal="left" vertical="center" wrapText="1"/>
    </xf>
    <xf numFmtId="0" fontId="12" fillId="0" borderId="24" xfId="0" applyFont="1" applyBorder="1"/>
    <xf numFmtId="0" fontId="12" fillId="0" borderId="25" xfId="0" applyFont="1" applyBorder="1" applyAlignment="1">
      <alignment horizontal="left" vertical="center" wrapText="1" indent="1"/>
    </xf>
    <xf numFmtId="0" fontId="14" fillId="0" borderId="23" xfId="0" applyFont="1" applyBorder="1" applyAlignment="1">
      <alignment horizontal="center" vertical="center"/>
    </xf>
    <xf numFmtId="0" fontId="14" fillId="0" borderId="13" xfId="0" applyFont="1" applyBorder="1" applyAlignment="1">
      <alignment horizontal="center" vertical="center"/>
    </xf>
    <xf numFmtId="0" fontId="14" fillId="0" borderId="23" xfId="0" applyFont="1" applyBorder="1" applyAlignment="1">
      <alignment horizontal="center" vertical="center" wrapText="1"/>
    </xf>
    <xf numFmtId="0" fontId="14" fillId="0" borderId="28" xfId="0" applyFont="1" applyBorder="1" applyAlignment="1">
      <alignment horizontal="center" vertical="center"/>
    </xf>
    <xf numFmtId="0" fontId="4" fillId="0" borderId="15" xfId="0" applyFont="1" applyBorder="1" applyAlignment="1">
      <alignment horizontal="left" vertical="center" wrapText="1"/>
    </xf>
    <xf numFmtId="0" fontId="4" fillId="0" borderId="47" xfId="0" applyFont="1" applyBorder="1" applyAlignment="1">
      <alignment horizontal="left" vertical="center" wrapText="1"/>
    </xf>
    <xf numFmtId="0" fontId="4" fillId="0" borderId="48" xfId="0" applyFont="1" applyBorder="1" applyAlignment="1">
      <alignment horizontal="left" vertical="center" wrapText="1"/>
    </xf>
    <xf numFmtId="0" fontId="12" fillId="0" borderId="13" xfId="0" applyFont="1" applyBorder="1" applyAlignment="1">
      <alignment horizontal="left" indent="1"/>
    </xf>
    <xf numFmtId="0" fontId="13" fillId="0" borderId="13" xfId="0" applyFont="1" applyBorder="1" applyAlignment="1">
      <alignment horizontal="left"/>
    </xf>
    <xf numFmtId="0" fontId="2" fillId="0" borderId="13" xfId="0" applyFont="1" applyBorder="1" applyAlignment="1">
      <alignment horizontal="left" indent="1"/>
    </xf>
    <xf numFmtId="0" fontId="0" fillId="0" borderId="21" xfId="0" applyFont="1" applyBorder="1" applyAlignment="1">
      <alignment horizontal="center"/>
    </xf>
    <xf numFmtId="3" fontId="10" fillId="0" borderId="22" xfId="0" applyNumberFormat="1" applyFont="1" applyBorder="1" applyAlignment="1">
      <alignment horizontal="center"/>
    </xf>
    <xf numFmtId="0" fontId="11" fillId="0" borderId="13" xfId="0" applyFont="1" applyBorder="1" applyAlignment="1">
      <alignment horizontal="center" vertical="center" wrapText="1"/>
    </xf>
    <xf numFmtId="0" fontId="2" fillId="0" borderId="13" xfId="0" applyFont="1" applyBorder="1"/>
    <xf numFmtId="0" fontId="8" fillId="0" borderId="53" xfId="0" applyFont="1" applyBorder="1" applyAlignment="1">
      <alignment horizontal="center" vertical="center"/>
    </xf>
    <xf numFmtId="0" fontId="8" fillId="0" borderId="54" xfId="0" applyFont="1" applyBorder="1" applyAlignment="1">
      <alignment horizontal="center" vertical="center" wrapText="1"/>
    </xf>
    <xf numFmtId="0" fontId="8" fillId="0" borderId="55" xfId="0" applyFont="1" applyBorder="1" applyAlignment="1">
      <alignment horizontal="center" vertical="center" wrapText="1"/>
    </xf>
    <xf numFmtId="0" fontId="8" fillId="3" borderId="56" xfId="0" applyFont="1" applyFill="1" applyBorder="1" applyAlignment="1">
      <alignment horizontal="left" vertical="center" wrapText="1" indent="1"/>
    </xf>
    <xf numFmtId="167" fontId="7" fillId="3" borderId="56" xfId="0" applyNumberFormat="1" applyFont="1" applyFill="1" applyBorder="1" applyAlignment="1">
      <alignment horizontal="center" vertical="center"/>
    </xf>
    <xf numFmtId="0" fontId="9" fillId="0" borderId="57" xfId="0" applyFont="1" applyBorder="1" applyAlignment="1">
      <alignment horizontal="center" vertical="center"/>
    </xf>
    <xf numFmtId="0" fontId="9" fillId="0" borderId="2" xfId="0" applyFont="1" applyBorder="1" applyAlignment="1">
      <alignment horizontal="left" vertical="center"/>
    </xf>
    <xf numFmtId="0" fontId="4" fillId="0" borderId="2" xfId="0" applyFont="1" applyBorder="1" applyAlignment="1">
      <alignment horizontal="left" vertical="center" wrapText="1"/>
    </xf>
    <xf numFmtId="0" fontId="4" fillId="4" borderId="2" xfId="0" applyFont="1" applyFill="1" applyBorder="1" applyAlignment="1">
      <alignment horizontal="center" vertical="center"/>
    </xf>
    <xf numFmtId="0" fontId="4" fillId="3" borderId="2" xfId="0" applyFont="1" applyFill="1" applyBorder="1" applyAlignment="1">
      <alignment horizontal="center" vertical="center" wrapText="1"/>
    </xf>
    <xf numFmtId="166" fontId="4" fillId="3" borderId="2" xfId="1" applyNumberFormat="1" applyFont="1" applyFill="1" applyBorder="1" applyAlignment="1" applyProtection="1">
      <alignment horizontal="right" vertical="center" wrapText="1"/>
    </xf>
    <xf numFmtId="3" fontId="4" fillId="3" borderId="3" xfId="0" applyNumberFormat="1" applyFont="1" applyFill="1" applyBorder="1" applyAlignment="1">
      <alignment horizontal="center" vertical="center"/>
    </xf>
    <xf numFmtId="0" fontId="9" fillId="0" borderId="58" xfId="0" applyFont="1" applyBorder="1" applyAlignment="1">
      <alignment horizontal="center" vertical="center"/>
    </xf>
    <xf numFmtId="0" fontId="9" fillId="0" borderId="59" xfId="0" applyFont="1" applyBorder="1" applyAlignment="1">
      <alignment horizontal="left" vertical="center"/>
    </xf>
    <xf numFmtId="0" fontId="4" fillId="0" borderId="59" xfId="0" applyFont="1" applyBorder="1" applyAlignment="1">
      <alignment horizontal="left" vertical="center" wrapText="1"/>
    </xf>
    <xf numFmtId="0" fontId="4" fillId="4" borderId="59" xfId="0" applyFont="1" applyFill="1" applyBorder="1" applyAlignment="1">
      <alignment horizontal="center" vertical="center"/>
    </xf>
    <xf numFmtId="0" fontId="4" fillId="3" borderId="59" xfId="0" applyFont="1" applyFill="1" applyBorder="1" applyAlignment="1">
      <alignment horizontal="center" vertical="center" wrapText="1"/>
    </xf>
    <xf numFmtId="166" fontId="4" fillId="3" borderId="59" xfId="1" applyNumberFormat="1" applyFont="1" applyFill="1" applyBorder="1" applyAlignment="1" applyProtection="1">
      <alignment horizontal="right" vertical="center" wrapText="1"/>
    </xf>
    <xf numFmtId="3" fontId="4" fillId="3" borderId="60" xfId="0" applyNumberFormat="1" applyFont="1" applyFill="1" applyBorder="1" applyAlignment="1">
      <alignment horizontal="center" vertical="center"/>
    </xf>
  </cellXfs>
  <cellStyles count="5">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I100"/>
  <sheetViews>
    <sheetView topLeftCell="A7" zoomScale="130" zoomScaleNormal="130" workbookViewId="0">
      <selection activeCell="E22" sqref="E22"/>
    </sheetView>
  </sheetViews>
  <sheetFormatPr baseColWidth="10" defaultColWidth="11" defaultRowHeight="12.75" x14ac:dyDescent="0.2"/>
  <cols>
    <col min="1" max="1" width="4.5703125" style="37" customWidth="1"/>
    <col min="2" max="2" width="12.5703125" style="37" customWidth="1"/>
    <col min="3" max="3" width="19.7109375" style="37" customWidth="1"/>
    <col min="4" max="4" width="7.140625" style="37" customWidth="1"/>
    <col min="5" max="5" width="59.42578125" style="37" customWidth="1"/>
    <col min="6" max="6" width="11" style="37"/>
    <col min="7" max="7" width="10.85546875" style="37" customWidth="1"/>
    <col min="8" max="8" width="11.85546875" style="37" customWidth="1"/>
    <col min="9" max="9" width="13.42578125" style="37" customWidth="1"/>
    <col min="10" max="16384" width="11" style="37"/>
  </cols>
  <sheetData>
    <row r="2" spans="1:9" ht="27" x14ac:dyDescent="0.35">
      <c r="B2" s="86" t="s">
        <v>0</v>
      </c>
      <c r="C2" s="86"/>
      <c r="D2" s="86"/>
      <c r="E2" s="86"/>
      <c r="F2" s="86"/>
      <c r="G2" s="86"/>
      <c r="H2" s="86"/>
    </row>
    <row r="3" spans="1:9" ht="8.25" customHeight="1" x14ac:dyDescent="0.2"/>
    <row r="4" spans="1:9" ht="27.75" customHeight="1" x14ac:dyDescent="0.25">
      <c r="A4" s="85" t="s">
        <v>1</v>
      </c>
      <c r="B4" s="85"/>
      <c r="C4" s="87" t="s">
        <v>59</v>
      </c>
      <c r="D4" s="87"/>
      <c r="E4" s="87"/>
      <c r="F4" s="38"/>
      <c r="G4" s="39"/>
      <c r="H4" s="38"/>
    </row>
    <row r="5" spans="1:9" ht="18" customHeight="1" x14ac:dyDescent="0.25">
      <c r="A5" s="85" t="s">
        <v>2</v>
      </c>
      <c r="B5" s="85"/>
      <c r="C5" s="87" t="s">
        <v>60</v>
      </c>
      <c r="D5" s="87"/>
      <c r="E5" s="87"/>
      <c r="F5" s="38"/>
      <c r="G5" s="39"/>
      <c r="H5" s="38"/>
    </row>
    <row r="6" spans="1:9" ht="16.5" customHeight="1" x14ac:dyDescent="0.25">
      <c r="A6" s="85" t="s">
        <v>3</v>
      </c>
      <c r="B6" s="85"/>
      <c r="C6" s="61">
        <v>2021</v>
      </c>
      <c r="D6" s="62"/>
      <c r="E6" s="62"/>
      <c r="F6" s="38"/>
      <c r="G6" s="39"/>
      <c r="H6" s="38"/>
    </row>
    <row r="7" spans="1:9" ht="16.5" customHeight="1" x14ac:dyDescent="0.25">
      <c r="A7" s="85" t="s">
        <v>4</v>
      </c>
      <c r="B7" s="85"/>
      <c r="C7" s="61">
        <v>2</v>
      </c>
      <c r="D7" s="62"/>
      <c r="E7" s="62"/>
      <c r="F7" s="38"/>
      <c r="G7" s="39"/>
      <c r="H7" s="38"/>
    </row>
    <row r="8" spans="1:9" x14ac:dyDescent="0.2">
      <c r="B8" s="38"/>
      <c r="C8" s="39"/>
      <c r="D8" s="38"/>
      <c r="E8" s="38"/>
      <c r="F8" s="38"/>
      <c r="G8" s="39"/>
      <c r="H8" s="38"/>
    </row>
    <row r="9" spans="1:9" ht="39" thickTop="1" x14ac:dyDescent="0.2">
      <c r="A9" s="67" t="s">
        <v>5</v>
      </c>
      <c r="B9" s="67" t="s">
        <v>6</v>
      </c>
      <c r="C9" s="67" t="s">
        <v>7</v>
      </c>
      <c r="D9" s="67" t="s">
        <v>8</v>
      </c>
      <c r="E9" s="67" t="s">
        <v>9</v>
      </c>
      <c r="F9" s="67" t="s">
        <v>10</v>
      </c>
      <c r="G9" s="67" t="s">
        <v>11</v>
      </c>
      <c r="H9" s="67" t="s">
        <v>12</v>
      </c>
      <c r="I9" s="67" t="s">
        <v>13</v>
      </c>
    </row>
    <row r="10" spans="1:9" ht="51" customHeight="1" thickBot="1" x14ac:dyDescent="0.25">
      <c r="A10" s="63">
        <v>1</v>
      </c>
      <c r="B10" s="64" t="s">
        <v>63</v>
      </c>
      <c r="C10" s="65" t="s">
        <v>65</v>
      </c>
      <c r="D10" s="66" t="str">
        <f>LEFT(B10,5)</f>
        <v>4.3.5</v>
      </c>
      <c r="E10" s="65" t="s">
        <v>64</v>
      </c>
      <c r="F10" s="64" t="s">
        <v>14</v>
      </c>
      <c r="G10" s="64">
        <v>4</v>
      </c>
      <c r="H10" s="71">
        <v>96074</v>
      </c>
      <c r="I10" s="72">
        <f t="shared" ref="I10:I11" si="0">G10*H10</f>
        <v>384296</v>
      </c>
    </row>
    <row r="11" spans="1:9" ht="45.75" customHeight="1" x14ac:dyDescent="0.2">
      <c r="A11" s="63">
        <v>2</v>
      </c>
      <c r="B11" s="64" t="s">
        <v>63</v>
      </c>
      <c r="C11" s="40" t="s">
        <v>65</v>
      </c>
      <c r="D11" s="41" t="str">
        <f>LEFT(B11,5)</f>
        <v>4.3.5</v>
      </c>
      <c r="E11" s="65" t="s">
        <v>64</v>
      </c>
      <c r="F11" s="60" t="s">
        <v>14</v>
      </c>
      <c r="G11" s="64">
        <v>4</v>
      </c>
      <c r="H11" s="73">
        <v>324249.75</v>
      </c>
      <c r="I11" s="74">
        <f t="shared" si="0"/>
        <v>1296999</v>
      </c>
    </row>
    <row r="12" spans="1:9" ht="13.5" thickBot="1" x14ac:dyDescent="0.25">
      <c r="I12" s="70">
        <f>SUM(I10:I11)</f>
        <v>1681295</v>
      </c>
    </row>
    <row r="13" spans="1:9" x14ac:dyDescent="0.2">
      <c r="B13" s="42" t="s">
        <v>15</v>
      </c>
      <c r="C13" s="43"/>
      <c r="D13" s="43"/>
      <c r="E13" s="44"/>
    </row>
    <row r="14" spans="1:9" ht="7.5" customHeight="1" x14ac:dyDescent="0.2">
      <c r="B14" s="45"/>
      <c r="C14" s="46"/>
      <c r="D14" s="46"/>
      <c r="E14" s="47"/>
    </row>
    <row r="15" spans="1:9" x14ac:dyDescent="0.2">
      <c r="B15" s="48" t="s">
        <v>16</v>
      </c>
      <c r="C15" s="46"/>
      <c r="D15" s="46"/>
      <c r="E15" s="47"/>
    </row>
    <row r="16" spans="1:9" ht="105.75" customHeight="1" x14ac:dyDescent="0.2">
      <c r="B16" s="48"/>
      <c r="C16" s="81" t="s">
        <v>72</v>
      </c>
      <c r="D16" s="82"/>
      <c r="E16" s="83"/>
    </row>
    <row r="17" spans="2:5" x14ac:dyDescent="0.2">
      <c r="B17" s="48" t="s">
        <v>17</v>
      </c>
      <c r="C17" s="46"/>
      <c r="D17" s="46"/>
      <c r="E17" s="47"/>
    </row>
    <row r="18" spans="2:5" x14ac:dyDescent="0.2">
      <c r="B18" s="49"/>
      <c r="C18" s="81" t="s">
        <v>80</v>
      </c>
      <c r="D18" s="81"/>
      <c r="E18" s="84"/>
    </row>
    <row r="19" spans="2:5" ht="63" customHeight="1" x14ac:dyDescent="0.2">
      <c r="B19" s="49"/>
      <c r="C19" s="81"/>
      <c r="D19" s="81"/>
      <c r="E19" s="84"/>
    </row>
    <row r="20" spans="2:5" x14ac:dyDescent="0.2">
      <c r="B20" s="48" t="s">
        <v>18</v>
      </c>
      <c r="C20" s="46"/>
      <c r="D20" s="46"/>
      <c r="E20" s="47"/>
    </row>
    <row r="21" spans="2:5" ht="6" customHeight="1" x14ac:dyDescent="0.2">
      <c r="B21" s="49"/>
      <c r="C21" s="77"/>
      <c r="D21" s="77"/>
      <c r="E21" s="78"/>
    </row>
    <row r="22" spans="2:5" x14ac:dyDescent="0.2">
      <c r="B22" s="48" t="s">
        <v>67</v>
      </c>
      <c r="C22" s="50"/>
      <c r="D22" s="50"/>
      <c r="E22" s="51"/>
    </row>
    <row r="23" spans="2:5" ht="7.5" customHeight="1" x14ac:dyDescent="0.2">
      <c r="B23" s="49"/>
      <c r="C23" s="77"/>
      <c r="D23" s="77"/>
      <c r="E23" s="78"/>
    </row>
    <row r="24" spans="2:5" x14ac:dyDescent="0.2">
      <c r="B24" s="48" t="s">
        <v>19</v>
      </c>
      <c r="C24" s="46"/>
      <c r="D24" s="46"/>
      <c r="E24" s="47"/>
    </row>
    <row r="25" spans="2:5" ht="15" customHeight="1" x14ac:dyDescent="0.2">
      <c r="B25" s="48"/>
      <c r="C25" s="77" t="s">
        <v>66</v>
      </c>
      <c r="D25" s="79"/>
      <c r="E25" s="80"/>
    </row>
    <row r="26" spans="2:5" ht="13.5" thickBot="1" x14ac:dyDescent="0.25">
      <c r="B26" s="52"/>
      <c r="C26" s="53"/>
      <c r="D26" s="53"/>
      <c r="E26" s="54"/>
    </row>
    <row r="27" spans="2:5" ht="13.5" thickBot="1" x14ac:dyDescent="0.25"/>
    <row r="28" spans="2:5" x14ac:dyDescent="0.2">
      <c r="B28" s="42" t="s">
        <v>20</v>
      </c>
      <c r="C28" s="43"/>
      <c r="D28" s="43"/>
      <c r="E28" s="44"/>
    </row>
    <row r="29" spans="2:5" ht="6.75" customHeight="1" x14ac:dyDescent="0.2">
      <c r="B29" s="45"/>
      <c r="C29" s="46"/>
      <c r="D29" s="46"/>
      <c r="E29" s="47"/>
    </row>
    <row r="30" spans="2:5" x14ac:dyDescent="0.2">
      <c r="B30" s="48" t="s">
        <v>16</v>
      </c>
      <c r="C30" s="46"/>
      <c r="D30" s="46"/>
      <c r="E30" s="47"/>
    </row>
    <row r="31" spans="2:5" ht="120" customHeight="1" x14ac:dyDescent="0.2">
      <c r="B31" s="48"/>
      <c r="C31" s="81" t="s">
        <v>73</v>
      </c>
      <c r="D31" s="81"/>
      <c r="E31" s="84"/>
    </row>
    <row r="32" spans="2:5" x14ac:dyDescent="0.2">
      <c r="B32" s="48" t="s">
        <v>17</v>
      </c>
      <c r="C32" s="46"/>
      <c r="D32" s="46"/>
      <c r="E32" s="47"/>
    </row>
    <row r="33" spans="2:5" ht="24" customHeight="1" x14ac:dyDescent="0.2">
      <c r="B33" s="49"/>
      <c r="C33" s="81" t="s">
        <v>79</v>
      </c>
      <c r="D33" s="81"/>
      <c r="E33" s="84"/>
    </row>
    <row r="34" spans="2:5" ht="50.25" customHeight="1" x14ac:dyDescent="0.2">
      <c r="B34" s="49"/>
      <c r="C34" s="81"/>
      <c r="D34" s="81"/>
      <c r="E34" s="84"/>
    </row>
    <row r="35" spans="2:5" x14ac:dyDescent="0.2">
      <c r="B35" s="48" t="s">
        <v>18</v>
      </c>
      <c r="C35" s="46"/>
      <c r="D35" s="46"/>
      <c r="E35" s="47"/>
    </row>
    <row r="36" spans="2:5" ht="4.5" customHeight="1" x14ac:dyDescent="0.2">
      <c r="B36" s="49"/>
      <c r="C36" s="77"/>
      <c r="D36" s="77"/>
      <c r="E36" s="78"/>
    </row>
    <row r="37" spans="2:5" x14ac:dyDescent="0.2">
      <c r="B37" s="48" t="s">
        <v>68</v>
      </c>
      <c r="C37" s="50"/>
      <c r="D37" s="50"/>
      <c r="E37" s="51"/>
    </row>
    <row r="38" spans="2:5" ht="7.5" customHeight="1" x14ac:dyDescent="0.2">
      <c r="B38" s="49"/>
      <c r="C38" s="77"/>
      <c r="D38" s="77"/>
      <c r="E38" s="78"/>
    </row>
    <row r="39" spans="2:5" x14ac:dyDescent="0.2">
      <c r="B39" s="48" t="s">
        <v>19</v>
      </c>
      <c r="C39" s="46"/>
      <c r="D39" s="46"/>
      <c r="E39" s="47"/>
    </row>
    <row r="40" spans="2:5" x14ac:dyDescent="0.2">
      <c r="B40" s="48"/>
      <c r="C40" s="77" t="s">
        <v>66</v>
      </c>
      <c r="D40" s="79"/>
      <c r="E40" s="80"/>
    </row>
    <row r="41" spans="2:5" ht="2.25" customHeight="1" thickBot="1" x14ac:dyDescent="0.25">
      <c r="B41" s="52"/>
      <c r="C41" s="53"/>
      <c r="D41" s="53"/>
      <c r="E41" s="54"/>
    </row>
    <row r="44" spans="2:5" ht="12.75" customHeight="1" x14ac:dyDescent="0.2"/>
    <row r="45" spans="2:5" ht="12.75" customHeight="1" x14ac:dyDescent="0.2"/>
    <row r="46" spans="2:5" ht="12.75" customHeight="1" x14ac:dyDescent="0.2"/>
    <row r="47" spans="2:5" s="69" customFormat="1" ht="111.75" customHeight="1" x14ac:dyDescent="0.2"/>
    <row r="50" ht="51.75" customHeight="1" x14ac:dyDescent="0.2"/>
    <row r="52" ht="12.75" customHeight="1" x14ac:dyDescent="0.2"/>
    <row r="58" ht="20.25" customHeight="1" x14ac:dyDescent="0.2"/>
    <row r="61" ht="3.75" customHeight="1" x14ac:dyDescent="0.2"/>
    <row r="62" ht="13.5" customHeight="1" x14ac:dyDescent="0.2"/>
    <row r="63" ht="99" customHeight="1" x14ac:dyDescent="0.2"/>
    <row r="66" ht="52.5" customHeight="1" x14ac:dyDescent="0.2"/>
    <row r="74" ht="4.5" customHeight="1" x14ac:dyDescent="0.2"/>
    <row r="75" ht="7.5" customHeight="1" x14ac:dyDescent="0.2"/>
    <row r="76" ht="12.75" customHeight="1" x14ac:dyDescent="0.2"/>
    <row r="78" ht="3.75" customHeight="1" x14ac:dyDescent="0.2"/>
    <row r="80" ht="191.25" customHeight="1" x14ac:dyDescent="0.2"/>
    <row r="83" ht="52.5" customHeight="1" x14ac:dyDescent="0.2"/>
    <row r="91" ht="4.5" customHeight="1" x14ac:dyDescent="0.2"/>
    <row r="95" ht="3.75" customHeight="1" x14ac:dyDescent="0.2"/>
    <row r="97" ht="132.75" customHeight="1" x14ac:dyDescent="0.2"/>
    <row r="100" ht="57.75" customHeight="1" x14ac:dyDescent="0.2"/>
  </sheetData>
  <mergeCells count="17">
    <mergeCell ref="C31:E31"/>
    <mergeCell ref="C33:E34"/>
    <mergeCell ref="C36:E36"/>
    <mergeCell ref="C38:E38"/>
    <mergeCell ref="C40:E40"/>
    <mergeCell ref="A6:B6"/>
    <mergeCell ref="A7:B7"/>
    <mergeCell ref="B2:H2"/>
    <mergeCell ref="A4:B4"/>
    <mergeCell ref="C4:E4"/>
    <mergeCell ref="A5:B5"/>
    <mergeCell ref="C5:E5"/>
    <mergeCell ref="C21:E21"/>
    <mergeCell ref="C23:E23"/>
    <mergeCell ref="C25:E25"/>
    <mergeCell ref="C16:E16"/>
    <mergeCell ref="C18:E19"/>
  </mergeCells>
  <pageMargins left="0.70866141732283472" right="0.70866141732283472" top="0.74803149606299213" bottom="0.74803149606299213" header="0.51181102362204722" footer="0.51181102362204722"/>
  <pageSetup paperSize="5" firstPageNumber="0" fitToHeight="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MJ14"/>
  <sheetViews>
    <sheetView tabSelected="1" zoomScale="80" zoomScaleNormal="80" workbookViewId="0">
      <selection activeCell="D3" sqref="D3:K3"/>
    </sheetView>
  </sheetViews>
  <sheetFormatPr baseColWidth="10" defaultColWidth="9.140625" defaultRowHeight="12.75" x14ac:dyDescent="0.2"/>
  <cols>
    <col min="1" max="1" width="5.5703125" style="2" customWidth="1"/>
    <col min="2" max="2" width="18.85546875" style="2" customWidth="1"/>
    <col min="3" max="3" width="14.140625" style="2" customWidth="1"/>
    <col min="4" max="4" width="26" style="2" customWidth="1"/>
    <col min="5" max="5" width="8" style="2" customWidth="1"/>
    <col min="6" max="6" width="7.85546875" style="2" customWidth="1"/>
    <col min="7" max="7" width="23.28515625" style="2" customWidth="1"/>
    <col min="8" max="8" width="9.28515625" style="2" customWidth="1"/>
    <col min="9" max="9" width="15.5703125" style="2" customWidth="1"/>
    <col min="10" max="10" width="14.7109375" style="2" customWidth="1"/>
    <col min="11" max="11" width="15.5703125" style="2" customWidth="1"/>
    <col min="12" max="12" width="12.28515625" style="2" customWidth="1"/>
    <col min="13" max="14" width="5.85546875" style="2" customWidth="1"/>
    <col min="15" max="15" width="12.5703125" style="2" customWidth="1"/>
    <col min="16" max="1024" width="9.140625" style="2"/>
  </cols>
  <sheetData>
    <row r="1" spans="1:12" ht="18" customHeight="1" x14ac:dyDescent="0.2">
      <c r="A1" s="93" t="s">
        <v>21</v>
      </c>
      <c r="B1" s="93"/>
      <c r="C1" s="93"/>
      <c r="D1" s="93"/>
      <c r="E1" s="93"/>
      <c r="F1" s="93"/>
      <c r="G1" s="93"/>
      <c r="H1" s="93"/>
      <c r="I1" s="93"/>
      <c r="J1" s="3" t="s">
        <v>22</v>
      </c>
      <c r="K1" s="55" t="s">
        <v>69</v>
      </c>
    </row>
    <row r="2" spans="1:12" ht="18.75" customHeight="1" thickBot="1" x14ac:dyDescent="0.25">
      <c r="A2" s="4"/>
      <c r="B2" s="4"/>
      <c r="C2" s="4"/>
      <c r="D2" s="5"/>
      <c r="E2" s="5"/>
      <c r="F2" s="5"/>
      <c r="G2" s="5"/>
      <c r="H2" s="5"/>
      <c r="I2" s="5"/>
      <c r="J2" s="5"/>
      <c r="K2" s="5"/>
    </row>
    <row r="3" spans="1:12" ht="18.75" customHeight="1" thickBot="1" x14ac:dyDescent="0.25">
      <c r="A3" s="94" t="s">
        <v>56</v>
      </c>
      <c r="B3" s="94"/>
      <c r="C3" s="94"/>
      <c r="D3" s="95" t="s">
        <v>59</v>
      </c>
      <c r="E3" s="95"/>
      <c r="F3" s="95"/>
      <c r="G3" s="95"/>
      <c r="H3" s="95"/>
      <c r="I3" s="95"/>
      <c r="J3" s="95"/>
      <c r="K3" s="95"/>
    </row>
    <row r="4" spans="1:12" ht="18.75" customHeight="1" thickBot="1" x14ac:dyDescent="0.25">
      <c r="A4" s="96" t="s">
        <v>57</v>
      </c>
      <c r="B4" s="96"/>
      <c r="C4" s="96"/>
      <c r="D4" s="95" t="s">
        <v>60</v>
      </c>
      <c r="E4" s="95"/>
      <c r="F4" s="95"/>
      <c r="G4" s="95"/>
      <c r="H4" s="95"/>
      <c r="I4" s="95"/>
      <c r="J4" s="95"/>
      <c r="K4" s="95"/>
    </row>
    <row r="5" spans="1:12" ht="18.75" customHeight="1" thickBot="1" x14ac:dyDescent="0.25">
      <c r="A5" s="96" t="s">
        <v>35</v>
      </c>
      <c r="B5" s="96"/>
      <c r="C5" s="96"/>
      <c r="D5" s="95" t="s">
        <v>76</v>
      </c>
      <c r="E5" s="95"/>
      <c r="F5" s="95"/>
      <c r="G5" s="95"/>
      <c r="H5" s="95"/>
      <c r="I5" s="95"/>
      <c r="J5" s="95"/>
      <c r="K5" s="95"/>
    </row>
    <row r="6" spans="1:12" ht="17.25" customHeight="1" thickBot="1" x14ac:dyDescent="0.25">
      <c r="A6" s="94" t="s">
        <v>58</v>
      </c>
      <c r="B6" s="94"/>
      <c r="C6" s="94"/>
      <c r="D6" s="95" t="s">
        <v>71</v>
      </c>
      <c r="E6" s="95"/>
      <c r="F6" s="95"/>
      <c r="G6" s="95"/>
      <c r="H6" s="95"/>
      <c r="I6" s="95"/>
      <c r="J6" s="95"/>
      <c r="K6" s="95"/>
    </row>
    <row r="7" spans="1:12" ht="20.25" customHeight="1" x14ac:dyDescent="0.2">
      <c r="A7" s="96" t="s">
        <v>23</v>
      </c>
      <c r="B7" s="96"/>
      <c r="C7" s="96"/>
      <c r="D7" s="95" t="s">
        <v>70</v>
      </c>
      <c r="E7" s="95"/>
      <c r="F7" s="95"/>
      <c r="G7" s="95"/>
      <c r="H7" s="95"/>
      <c r="I7" s="95"/>
      <c r="J7" s="95"/>
      <c r="K7" s="95"/>
    </row>
    <row r="8" spans="1:12" ht="40.5" customHeight="1" x14ac:dyDescent="0.2">
      <c r="A8" s="88" t="s">
        <v>24</v>
      </c>
      <c r="B8" s="88"/>
      <c r="C8" s="88"/>
      <c r="D8" s="89" t="s">
        <v>77</v>
      </c>
      <c r="E8" s="89"/>
      <c r="F8" s="89"/>
      <c r="G8" s="89"/>
      <c r="H8" s="89"/>
      <c r="I8" s="89"/>
      <c r="J8" s="89"/>
      <c r="K8" s="89"/>
    </row>
    <row r="9" spans="1:12" ht="15.75" x14ac:dyDescent="0.2">
      <c r="A9" s="6"/>
      <c r="B9" s="6"/>
      <c r="C9" s="6"/>
      <c r="D9" s="7"/>
      <c r="E9" s="7"/>
      <c r="F9" s="7"/>
      <c r="G9" s="7"/>
      <c r="H9" s="7"/>
      <c r="I9" s="7"/>
      <c r="J9" s="7"/>
      <c r="K9" s="7"/>
    </row>
    <row r="10" spans="1:12" ht="18.75" customHeight="1" thickBot="1" x14ac:dyDescent="0.25">
      <c r="A10" s="90" t="s">
        <v>25</v>
      </c>
      <c r="B10" s="91" t="s">
        <v>26</v>
      </c>
      <c r="C10" s="91" t="s">
        <v>27</v>
      </c>
      <c r="D10" s="91"/>
      <c r="E10" s="91"/>
      <c r="F10" s="91"/>
      <c r="G10" s="91"/>
      <c r="H10" s="91" t="s">
        <v>28</v>
      </c>
      <c r="I10" s="91" t="s">
        <v>29</v>
      </c>
      <c r="J10" s="91" t="s">
        <v>30</v>
      </c>
      <c r="K10" s="92" t="s">
        <v>31</v>
      </c>
    </row>
    <row r="11" spans="1:12" ht="24" customHeight="1" thickBot="1" x14ac:dyDescent="0.25">
      <c r="A11" s="126"/>
      <c r="B11" s="127"/>
      <c r="C11" s="127"/>
      <c r="D11" s="127"/>
      <c r="E11" s="127"/>
      <c r="F11" s="127"/>
      <c r="G11" s="127"/>
      <c r="H11" s="127"/>
      <c r="I11" s="127"/>
      <c r="J11" s="127"/>
      <c r="K11" s="128"/>
    </row>
    <row r="12" spans="1:12" ht="35.25" customHeight="1" x14ac:dyDescent="0.2">
      <c r="A12" s="131">
        <v>1</v>
      </c>
      <c r="B12" s="132" t="s">
        <v>63</v>
      </c>
      <c r="C12" s="133" t="s">
        <v>64</v>
      </c>
      <c r="D12" s="133"/>
      <c r="E12" s="133"/>
      <c r="F12" s="133"/>
      <c r="G12" s="133"/>
      <c r="H12" s="134" t="s">
        <v>32</v>
      </c>
      <c r="I12" s="135" t="s">
        <v>14</v>
      </c>
      <c r="J12" s="136">
        <f>'Necesidades Trimestrales'!H10</f>
        <v>96074</v>
      </c>
      <c r="K12" s="137">
        <f>'Necesidades Trimestrales'!G10</f>
        <v>4</v>
      </c>
      <c r="L12" s="68"/>
    </row>
    <row r="13" spans="1:12" ht="36.75" customHeight="1" thickBot="1" x14ac:dyDescent="0.25">
      <c r="A13" s="138">
        <v>2</v>
      </c>
      <c r="B13" s="139" t="s">
        <v>63</v>
      </c>
      <c r="C13" s="140" t="s">
        <v>64</v>
      </c>
      <c r="D13" s="140"/>
      <c r="E13" s="140"/>
      <c r="F13" s="140"/>
      <c r="G13" s="140"/>
      <c r="H13" s="141" t="s">
        <v>32</v>
      </c>
      <c r="I13" s="142" t="s">
        <v>14</v>
      </c>
      <c r="J13" s="143">
        <f>'Necesidades Trimestrales'!H11</f>
        <v>324249.75</v>
      </c>
      <c r="K13" s="144">
        <f>'Necesidades Trimestrales'!G11</f>
        <v>4</v>
      </c>
      <c r="L13" s="68"/>
    </row>
    <row r="14" spans="1:12" ht="38.25" customHeight="1" thickBot="1" x14ac:dyDescent="0.25">
      <c r="A14" s="129" t="s">
        <v>74</v>
      </c>
      <c r="B14" s="129"/>
      <c r="C14" s="129"/>
      <c r="D14" s="129"/>
      <c r="E14" s="129"/>
      <c r="F14" s="129"/>
      <c r="G14" s="129"/>
      <c r="H14" s="129"/>
      <c r="I14" s="129"/>
      <c r="J14" s="130">
        <f>SUMPRODUCT(J12:J13,K12:K13)</f>
        <v>1681295</v>
      </c>
      <c r="K14" s="130"/>
      <c r="L14" s="68"/>
    </row>
  </sheetData>
  <mergeCells count="24">
    <mergeCell ref="A1:I1"/>
    <mergeCell ref="A6:C6"/>
    <mergeCell ref="D6:K6"/>
    <mergeCell ref="A7:C7"/>
    <mergeCell ref="D7:K7"/>
    <mergeCell ref="A3:C3"/>
    <mergeCell ref="D3:K3"/>
    <mergeCell ref="A4:C4"/>
    <mergeCell ref="D4:K4"/>
    <mergeCell ref="A5:C5"/>
    <mergeCell ref="D5:K5"/>
    <mergeCell ref="A14:I14"/>
    <mergeCell ref="J14:K14"/>
    <mergeCell ref="C12:G12"/>
    <mergeCell ref="C13:G13"/>
    <mergeCell ref="A8:C8"/>
    <mergeCell ref="D8:K8"/>
    <mergeCell ref="A10:A11"/>
    <mergeCell ref="B10:B11"/>
    <mergeCell ref="C10:G11"/>
    <mergeCell ref="H10:H11"/>
    <mergeCell ref="I10:I11"/>
    <mergeCell ref="J10:J11"/>
    <mergeCell ref="K10:K11"/>
  </mergeCells>
  <printOptions horizontalCentered="1"/>
  <pageMargins left="0.196527777777778" right="0.196527777777778" top="0.98402777777777795" bottom="0.98402777777777795" header="0.51180555555555496" footer="0.51180555555555496"/>
  <pageSetup paperSize="5" scale="85" firstPageNumber="0" orientation="landscape"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0"/>
  <sheetViews>
    <sheetView topLeftCell="A16" zoomScale="130" zoomScaleNormal="130" workbookViewId="0">
      <selection activeCell="A26" sqref="A26:Q27"/>
    </sheetView>
  </sheetViews>
  <sheetFormatPr baseColWidth="10" defaultColWidth="11" defaultRowHeight="12.75" x14ac:dyDescent="0.2"/>
  <cols>
    <col min="1" max="4" width="4.42578125" customWidth="1"/>
    <col min="5" max="5" width="4.140625" customWidth="1"/>
    <col min="6" max="6" width="5.42578125" customWidth="1"/>
    <col min="7" max="7" width="4.42578125" style="8" customWidth="1"/>
    <col min="8" max="14" width="4.42578125" customWidth="1"/>
    <col min="15" max="15" width="14.85546875" customWidth="1"/>
    <col min="16" max="16" width="14" customWidth="1"/>
    <col min="17" max="17" width="14.7109375" customWidth="1"/>
  </cols>
  <sheetData>
    <row r="1" spans="1:17" ht="15.75" customHeight="1" x14ac:dyDescent="0.25">
      <c r="A1" s="122" t="s">
        <v>3</v>
      </c>
      <c r="B1" s="122"/>
      <c r="C1" s="122"/>
      <c r="D1" s="123">
        <f>'Necesidades Trimestrales'!C6</f>
        <v>2021</v>
      </c>
      <c r="E1" s="123"/>
      <c r="F1" s="9"/>
      <c r="G1" s="9"/>
      <c r="H1" s="10"/>
      <c r="I1" s="10"/>
      <c r="J1" s="10"/>
      <c r="K1" s="10"/>
      <c r="L1" s="10"/>
      <c r="M1" s="10"/>
      <c r="N1" s="10"/>
      <c r="P1" s="124" t="s">
        <v>33</v>
      </c>
      <c r="Q1" s="124"/>
    </row>
    <row r="2" spans="1:17" ht="15.75" customHeight="1" x14ac:dyDescent="0.2">
      <c r="H2" s="10"/>
      <c r="I2" s="10"/>
      <c r="J2" s="10"/>
      <c r="K2" s="10"/>
      <c r="L2" s="10"/>
      <c r="M2" s="10"/>
      <c r="N2" s="10"/>
      <c r="P2" s="124"/>
      <c r="Q2" s="124"/>
    </row>
    <row r="4" spans="1:17" s="11" customFormat="1" ht="18" customHeight="1" thickBot="1" x14ac:dyDescent="0.25">
      <c r="A4" s="125" t="s">
        <v>34</v>
      </c>
      <c r="B4" s="125"/>
      <c r="C4" s="125"/>
      <c r="D4" s="125"/>
      <c r="E4" s="125"/>
      <c r="F4" s="125"/>
      <c r="G4" s="119" t="str">
        <f>' NotaPedido'!D3</f>
        <v>70 - MINISTERIO DE CIENCIA E INNOVACION TECNOLOGICA</v>
      </c>
      <c r="H4" s="119"/>
      <c r="I4" s="119"/>
      <c r="J4" s="119"/>
      <c r="K4" s="119"/>
      <c r="L4" s="119"/>
      <c r="M4" s="119"/>
      <c r="N4" s="119"/>
      <c r="O4" s="119"/>
      <c r="P4" s="119"/>
      <c r="Q4" s="119"/>
    </row>
    <row r="5" spans="1:17" s="11" customFormat="1" ht="18" customHeight="1" thickBot="1" x14ac:dyDescent="0.25">
      <c r="A5" s="116" t="s">
        <v>57</v>
      </c>
      <c r="B5" s="117"/>
      <c r="C5" s="117"/>
      <c r="D5" s="117"/>
      <c r="E5" s="117"/>
      <c r="F5" s="118"/>
      <c r="G5" s="119" t="str">
        <f>' NotaPedido'!D4</f>
        <v>20 - MINISTERIO DE CIENCIA E INNOVACION TECNOLOGICA</v>
      </c>
      <c r="H5" s="119"/>
      <c r="I5" s="119"/>
      <c r="J5" s="119"/>
      <c r="K5" s="119"/>
      <c r="L5" s="119"/>
      <c r="M5" s="119"/>
      <c r="N5" s="119"/>
      <c r="O5" s="119"/>
      <c r="P5" s="119"/>
      <c r="Q5" s="119"/>
    </row>
    <row r="6" spans="1:17" s="11" customFormat="1" ht="18" customHeight="1" thickBot="1" x14ac:dyDescent="0.25">
      <c r="A6" s="116" t="s">
        <v>35</v>
      </c>
      <c r="B6" s="117"/>
      <c r="C6" s="117"/>
      <c r="D6" s="117"/>
      <c r="E6" s="117"/>
      <c r="F6" s="118"/>
      <c r="G6" s="119" t="str">
        <f>' NotaPedido'!D5</f>
        <v xml:space="preserve"> SECRETARIA DE CIENCIA Y TECNOLOGIA</v>
      </c>
      <c r="H6" s="119"/>
      <c r="I6" s="119"/>
      <c r="J6" s="119"/>
      <c r="K6" s="119"/>
      <c r="L6" s="119"/>
      <c r="M6" s="119"/>
      <c r="N6" s="119"/>
      <c r="O6" s="119"/>
      <c r="P6" s="119"/>
      <c r="Q6" s="119"/>
    </row>
    <row r="7" spans="1:17" s="11" customFormat="1" ht="18" customHeight="1" thickBot="1" x14ac:dyDescent="0.25">
      <c r="A7" s="116" t="s">
        <v>58</v>
      </c>
      <c r="B7" s="117"/>
      <c r="C7" s="117"/>
      <c r="D7" s="117"/>
      <c r="E7" s="117"/>
      <c r="F7" s="118"/>
      <c r="G7" s="121" t="str">
        <f>' NotaPedido'!D6</f>
        <v>DIRECCION PROVINCIAL DE GESTION ADMINISTRATIVA RECURSOS HUMANOS</v>
      </c>
      <c r="H7" s="121"/>
      <c r="I7" s="121"/>
      <c r="J7" s="121"/>
      <c r="K7" s="121"/>
      <c r="L7" s="121"/>
      <c r="M7" s="121"/>
      <c r="N7" s="121"/>
      <c r="O7" s="121"/>
      <c r="P7" s="121"/>
      <c r="Q7" s="121"/>
    </row>
    <row r="8" spans="1:17" ht="18" customHeight="1" thickBot="1" x14ac:dyDescent="0.25">
      <c r="A8" s="120" t="s">
        <v>36</v>
      </c>
      <c r="B8" s="120"/>
      <c r="C8" s="120"/>
      <c r="D8" s="120"/>
      <c r="E8" s="120"/>
      <c r="F8" s="120"/>
      <c r="G8" s="120"/>
      <c r="H8" s="120"/>
      <c r="I8" s="120"/>
      <c r="J8" s="120"/>
      <c r="K8" s="120"/>
      <c r="L8" s="120"/>
      <c r="M8" s="120"/>
      <c r="N8" s="120"/>
      <c r="O8" s="120"/>
      <c r="P8" s="120"/>
      <c r="Q8" s="120"/>
    </row>
    <row r="9" spans="1:17" ht="18" customHeight="1" x14ac:dyDescent="0.2">
      <c r="A9" s="110" t="s">
        <v>37</v>
      </c>
      <c r="B9" s="110"/>
      <c r="C9" s="110"/>
      <c r="D9" s="110"/>
      <c r="E9" s="110"/>
      <c r="F9" s="110"/>
      <c r="G9" s="110"/>
      <c r="H9" s="110"/>
      <c r="I9" s="110"/>
      <c r="J9" s="110"/>
      <c r="K9" s="110"/>
      <c r="L9" s="110"/>
      <c r="M9" s="110"/>
      <c r="N9" s="110"/>
      <c r="O9" s="1"/>
      <c r="P9" s="1"/>
      <c r="Q9" s="12"/>
    </row>
    <row r="10" spans="1:17" ht="54.75" customHeight="1" x14ac:dyDescent="0.2">
      <c r="A10" s="111"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17/2021,  afectando la erogación resultante a los créditos presupuestarios aprobados a favor de esta Unidad Ejecutora, conforme al siguiente detalle:</v>
      </c>
      <c r="B10" s="111"/>
      <c r="C10" s="111"/>
      <c r="D10" s="111"/>
      <c r="E10" s="111"/>
      <c r="F10" s="111"/>
      <c r="G10" s="111"/>
      <c r="H10" s="111"/>
      <c r="I10" s="111"/>
      <c r="J10" s="111"/>
      <c r="K10" s="111"/>
      <c r="L10" s="111"/>
      <c r="M10" s="111"/>
      <c r="N10" s="111"/>
      <c r="O10" s="111"/>
      <c r="P10" s="111"/>
      <c r="Q10" s="111"/>
    </row>
    <row r="11" spans="1:17" ht="9" customHeight="1" x14ac:dyDescent="0.2">
      <c r="A11" s="13"/>
      <c r="B11" s="14"/>
      <c r="C11" s="14"/>
      <c r="D11" s="14"/>
      <c r="E11" s="14"/>
      <c r="F11" s="14"/>
      <c r="G11" s="15"/>
      <c r="H11" s="14"/>
      <c r="I11" s="14"/>
      <c r="J11" s="14"/>
      <c r="K11" s="14"/>
      <c r="L11" s="14"/>
      <c r="M11" s="14"/>
      <c r="N11" s="14"/>
      <c r="O11" s="14"/>
      <c r="P11" s="14"/>
      <c r="Q11" s="16"/>
    </row>
    <row r="12" spans="1:17" ht="15.75" customHeight="1" x14ac:dyDescent="0.2">
      <c r="A12" s="112" t="s">
        <v>38</v>
      </c>
      <c r="B12" s="112"/>
      <c r="C12" s="112"/>
      <c r="D12" s="112"/>
      <c r="E12" s="112"/>
      <c r="F12" s="112"/>
      <c r="G12" s="112"/>
      <c r="H12" s="112"/>
      <c r="I12" s="112"/>
      <c r="J12" s="112"/>
      <c r="K12" s="112"/>
      <c r="L12" s="112"/>
      <c r="M12" s="112"/>
      <c r="N12" s="112"/>
      <c r="O12" s="112"/>
      <c r="P12" s="112"/>
      <c r="Q12" s="112"/>
    </row>
    <row r="13" spans="1:17" ht="15.75" customHeight="1" x14ac:dyDescent="0.2">
      <c r="A13" s="113" t="s">
        <v>39</v>
      </c>
      <c r="B13" s="113"/>
      <c r="C13" s="113"/>
      <c r="D13" s="113"/>
      <c r="E13" s="113"/>
      <c r="F13" s="113"/>
      <c r="G13" s="113"/>
      <c r="H13" s="113"/>
      <c r="I13" s="113"/>
      <c r="J13" s="113"/>
      <c r="K13" s="113"/>
      <c r="L13" s="113"/>
      <c r="M13" s="113"/>
      <c r="N13" s="113"/>
      <c r="O13" s="114" t="s">
        <v>40</v>
      </c>
      <c r="P13" s="114"/>
      <c r="Q13" s="115" t="s">
        <v>41</v>
      </c>
    </row>
    <row r="14" spans="1:17" ht="15.75" customHeight="1" x14ac:dyDescent="0.2">
      <c r="A14" s="17" t="s">
        <v>42</v>
      </c>
      <c r="B14" s="18" t="s">
        <v>43</v>
      </c>
      <c r="C14" s="18" t="s">
        <v>44</v>
      </c>
      <c r="D14" s="18" t="s">
        <v>45</v>
      </c>
      <c r="E14" s="18" t="s">
        <v>46</v>
      </c>
      <c r="F14" s="18" t="s">
        <v>47</v>
      </c>
      <c r="G14" s="19" t="s">
        <v>48</v>
      </c>
      <c r="H14" s="18" t="s">
        <v>49</v>
      </c>
      <c r="I14" s="18" t="s">
        <v>50</v>
      </c>
      <c r="J14" s="18" t="s">
        <v>51</v>
      </c>
      <c r="K14" s="18" t="s">
        <v>51</v>
      </c>
      <c r="L14" s="18" t="s">
        <v>52</v>
      </c>
      <c r="M14" s="20" t="s">
        <v>53</v>
      </c>
      <c r="N14" s="21" t="s">
        <v>54</v>
      </c>
      <c r="O14" s="114"/>
      <c r="P14" s="114"/>
      <c r="Q14" s="115"/>
    </row>
    <row r="15" spans="1:17" ht="22.5" customHeight="1" x14ac:dyDescent="0.2">
      <c r="A15" s="56">
        <v>2</v>
      </c>
      <c r="B15" s="57">
        <v>0</v>
      </c>
      <c r="C15" s="57">
        <v>0</v>
      </c>
      <c r="D15" s="57">
        <v>1</v>
      </c>
      <c r="E15" s="57">
        <v>0</v>
      </c>
      <c r="F15" s="57">
        <v>4901</v>
      </c>
      <c r="G15" s="57">
        <v>3</v>
      </c>
      <c r="H15" s="57">
        <v>5</v>
      </c>
      <c r="I15" s="22">
        <v>4</v>
      </c>
      <c r="J15" s="22">
        <v>3</v>
      </c>
      <c r="K15" s="22">
        <v>5</v>
      </c>
      <c r="L15" s="57">
        <v>0</v>
      </c>
      <c r="M15" s="58">
        <v>1</v>
      </c>
      <c r="N15" s="57" t="s">
        <v>61</v>
      </c>
      <c r="O15" s="108" t="s">
        <v>62</v>
      </c>
      <c r="P15" s="109"/>
      <c r="Q15" s="75">
        <v>1681295</v>
      </c>
    </row>
    <row r="16" spans="1:17" ht="17.25" customHeight="1" x14ac:dyDescent="0.2">
      <c r="A16" s="23"/>
      <c r="B16" s="24"/>
      <c r="C16" s="24"/>
      <c r="D16" s="24"/>
      <c r="E16" s="24"/>
      <c r="F16" s="24"/>
      <c r="G16" s="24"/>
      <c r="H16" s="24"/>
      <c r="I16" s="24"/>
      <c r="J16" s="24"/>
      <c r="K16" s="24"/>
      <c r="L16" s="24"/>
      <c r="M16" s="25"/>
      <c r="N16" s="26"/>
      <c r="O16" s="103"/>
      <c r="P16" s="103"/>
      <c r="Q16" s="27"/>
    </row>
    <row r="17" spans="1:18" ht="17.25" customHeight="1" x14ac:dyDescent="0.2">
      <c r="A17" s="23"/>
      <c r="B17" s="24"/>
      <c r="C17" s="24"/>
      <c r="D17" s="24"/>
      <c r="E17" s="24"/>
      <c r="F17" s="26"/>
      <c r="G17" s="24"/>
      <c r="H17" s="24"/>
      <c r="I17" s="24"/>
      <c r="J17" s="24"/>
      <c r="K17" s="24"/>
      <c r="L17" s="24"/>
      <c r="M17" s="25"/>
      <c r="N17" s="26"/>
      <c r="O17" s="103"/>
      <c r="P17" s="103"/>
      <c r="Q17" s="27"/>
    </row>
    <row r="18" spans="1:18" ht="17.25" customHeight="1" x14ac:dyDescent="0.2">
      <c r="A18" s="23"/>
      <c r="B18" s="24"/>
      <c r="C18" s="24"/>
      <c r="D18" s="24"/>
      <c r="E18" s="24"/>
      <c r="F18" s="24"/>
      <c r="G18" s="24"/>
      <c r="H18" s="24"/>
      <c r="I18" s="24"/>
      <c r="J18" s="24"/>
      <c r="K18" s="24"/>
      <c r="L18" s="24"/>
      <c r="M18" s="25"/>
      <c r="N18" s="26"/>
      <c r="O18" s="103"/>
      <c r="P18" s="103"/>
      <c r="Q18" s="27"/>
    </row>
    <row r="19" spans="1:18" ht="17.25" customHeight="1" x14ac:dyDescent="0.2">
      <c r="A19" s="23"/>
      <c r="B19" s="24"/>
      <c r="C19" s="24"/>
      <c r="D19" s="24"/>
      <c r="E19" s="24"/>
      <c r="F19" s="26"/>
      <c r="G19" s="24"/>
      <c r="H19" s="24"/>
      <c r="I19" s="24"/>
      <c r="J19" s="24"/>
      <c r="K19" s="24"/>
      <c r="L19" s="24"/>
      <c r="M19" s="25"/>
      <c r="N19" s="26"/>
      <c r="O19" s="103"/>
      <c r="P19" s="103"/>
      <c r="Q19" s="27"/>
    </row>
    <row r="20" spans="1:18" ht="17.25" customHeight="1" x14ac:dyDescent="0.2">
      <c r="A20" s="23"/>
      <c r="B20" s="24"/>
      <c r="C20" s="24"/>
      <c r="D20" s="24"/>
      <c r="E20" s="24"/>
      <c r="F20" s="26"/>
      <c r="G20" s="24"/>
      <c r="H20" s="24"/>
      <c r="I20" s="24"/>
      <c r="J20" s="24"/>
      <c r="K20" s="24"/>
      <c r="L20" s="24"/>
      <c r="M20" s="25"/>
      <c r="N20" s="26"/>
      <c r="O20" s="103"/>
      <c r="P20" s="103"/>
      <c r="Q20" s="27"/>
    </row>
    <row r="21" spans="1:18" ht="8.25" customHeight="1" x14ac:dyDescent="0.2">
      <c r="A21" s="28"/>
      <c r="B21" s="29"/>
      <c r="C21" s="29"/>
      <c r="D21" s="29"/>
      <c r="E21" s="29"/>
      <c r="F21" s="30"/>
      <c r="G21" s="29"/>
      <c r="H21" s="29"/>
      <c r="I21" s="29"/>
      <c r="J21" s="29"/>
      <c r="K21" s="29"/>
      <c r="L21" s="29"/>
      <c r="M21" s="31"/>
      <c r="N21" s="32"/>
      <c r="O21" s="104"/>
      <c r="P21" s="104"/>
      <c r="Q21" s="27"/>
      <c r="R21" s="1"/>
    </row>
    <row r="22" spans="1:18" ht="17.25" customHeight="1" x14ac:dyDescent="0.2">
      <c r="A22" s="33"/>
      <c r="B22" s="34"/>
      <c r="C22" s="34"/>
      <c r="D22" s="34"/>
      <c r="E22" s="34"/>
      <c r="F22" s="34"/>
      <c r="G22" s="34"/>
      <c r="H22" s="34"/>
      <c r="I22" s="34"/>
      <c r="J22" s="34"/>
      <c r="K22" s="34"/>
      <c r="L22" s="34"/>
      <c r="M22" s="35"/>
      <c r="N22" s="34"/>
      <c r="O22" s="105"/>
      <c r="P22" s="105"/>
      <c r="Q22" s="36"/>
    </row>
    <row r="23" spans="1:18" ht="32.25" customHeight="1" x14ac:dyDescent="0.2">
      <c r="A23" s="106" t="s">
        <v>75</v>
      </c>
      <c r="B23" s="106"/>
      <c r="C23" s="106"/>
      <c r="D23" s="106"/>
      <c r="E23" s="106"/>
      <c r="F23" s="106"/>
      <c r="G23" s="106"/>
      <c r="H23" s="106"/>
      <c r="I23" s="106"/>
      <c r="J23" s="106"/>
      <c r="K23" s="106"/>
      <c r="L23" s="106"/>
      <c r="M23" s="106"/>
      <c r="N23" s="106"/>
      <c r="O23" s="106"/>
      <c r="P23" s="106"/>
      <c r="Q23" s="76">
        <f>SUM(Q15:Q22)</f>
        <v>1681295</v>
      </c>
    </row>
    <row r="24" spans="1:18" ht="18" customHeight="1" thickBot="1" x14ac:dyDescent="0.25">
      <c r="A24" s="107"/>
      <c r="B24" s="107"/>
      <c r="C24" s="107"/>
      <c r="D24" s="107"/>
      <c r="E24" s="107"/>
      <c r="F24" s="107"/>
      <c r="G24" s="107"/>
      <c r="H24" s="107"/>
      <c r="I24" s="107"/>
      <c r="J24" s="107"/>
      <c r="K24" s="107"/>
      <c r="L24" s="107"/>
      <c r="M24" s="107"/>
      <c r="N24" s="107"/>
      <c r="O24" s="107"/>
      <c r="P24" s="107"/>
      <c r="Q24" s="107"/>
    </row>
    <row r="25" spans="1:18" ht="17.25" customHeight="1" thickBot="1" x14ac:dyDescent="0.25">
      <c r="A25" s="97" t="s">
        <v>55</v>
      </c>
      <c r="B25" s="98"/>
      <c r="C25" s="98"/>
      <c r="D25" s="98"/>
      <c r="E25" s="98"/>
      <c r="F25" s="99"/>
      <c r="G25" s="100"/>
      <c r="H25" s="100"/>
      <c r="I25" s="100"/>
      <c r="J25" s="100"/>
      <c r="K25" s="100"/>
      <c r="L25" s="100"/>
      <c r="M25" s="100"/>
      <c r="N25" s="100"/>
      <c r="O25" s="100"/>
      <c r="P25" s="100"/>
      <c r="Q25" s="100"/>
    </row>
    <row r="26" spans="1:18" ht="18" customHeight="1" thickBot="1" x14ac:dyDescent="0.25">
      <c r="A26" s="101" t="s">
        <v>78</v>
      </c>
      <c r="B26" s="102"/>
      <c r="C26" s="102"/>
      <c r="D26" s="102"/>
      <c r="E26" s="102"/>
      <c r="F26" s="102"/>
      <c r="G26" s="102"/>
      <c r="H26" s="102"/>
      <c r="I26" s="102"/>
      <c r="J26" s="102"/>
      <c r="K26" s="102"/>
      <c r="L26" s="102"/>
      <c r="M26" s="102"/>
      <c r="N26" s="102"/>
      <c r="O26" s="102"/>
      <c r="P26" s="102"/>
      <c r="Q26" s="102"/>
    </row>
    <row r="27" spans="1:18" ht="21.75" customHeight="1" x14ac:dyDescent="0.2">
      <c r="A27" s="102"/>
      <c r="B27" s="102"/>
      <c r="C27" s="102"/>
      <c r="D27" s="102"/>
      <c r="E27" s="102"/>
      <c r="F27" s="102"/>
      <c r="G27" s="102"/>
      <c r="H27" s="102"/>
      <c r="I27" s="102"/>
      <c r="J27" s="102"/>
      <c r="K27" s="102"/>
      <c r="L27" s="102"/>
      <c r="M27" s="102"/>
      <c r="N27" s="102"/>
      <c r="O27" s="102"/>
      <c r="P27" s="102"/>
      <c r="Q27" s="102"/>
    </row>
    <row r="30" spans="1:18" x14ac:dyDescent="0.2">
      <c r="A30" s="59"/>
    </row>
  </sheetData>
  <mergeCells count="31">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O15:P15"/>
    <mergeCell ref="O16:P16"/>
    <mergeCell ref="O17:P17"/>
    <mergeCell ref="O18:P18"/>
    <mergeCell ref="O19:P19"/>
    <mergeCell ref="A25:F25"/>
    <mergeCell ref="G25:Q25"/>
    <mergeCell ref="A26:Q27"/>
    <mergeCell ref="O20:P20"/>
    <mergeCell ref="O21:P21"/>
    <mergeCell ref="O22:P22"/>
    <mergeCell ref="A23:P23"/>
    <mergeCell ref="A24:Q24"/>
  </mergeCells>
  <printOptions horizontalCentered="1"/>
  <pageMargins left="0.39374999999999999" right="0.39374999999999999" top="0.98402777777777795" bottom="0.98402777777777795" header="0.51180555555555496" footer="0.51180555555555496"/>
  <pageSetup paperSize="5"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Necesidades Trimestrales</vt:lpstr>
      <vt:lpstr> NotaPedido</vt:lpstr>
      <vt:lpstr>Autor Gastar</vt:lpstr>
      <vt:lpstr>' NotaPedido'!Área_de_impresión</vt:lpstr>
      <vt:lpstr>'Autor Gastar'!Área_de_impresión</vt:lpstr>
      <vt:lpstr>'Necesidades Trimestrales'!Área_de_impresión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Jessi</dc:creator>
  <cp:lastModifiedBy>USUARIO</cp:lastModifiedBy>
  <cp:revision>2</cp:revision>
  <cp:lastPrinted>2020-11-16T14:26:52Z</cp:lastPrinted>
  <dcterms:created xsi:type="dcterms:W3CDTF">2020-07-17T23:44:49Z</dcterms:created>
  <dcterms:modified xsi:type="dcterms:W3CDTF">2021-06-23T23:12:02Z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