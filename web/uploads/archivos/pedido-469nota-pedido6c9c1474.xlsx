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3 TRIMESTRE 2022\CONSOLIDADOS\bombas\corregido\MP 25 DE MAYO\"/>
    </mc:Choice>
  </mc:AlternateContent>
  <xr:revisionPtr revIDLastSave="0" documentId="8_{928E24DE-5A9E-484A-BC7F-902D67CCEBBF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D11" i="1" l="1"/>
  <c r="D12" i="1"/>
  <c r="I11" i="1"/>
  <c r="I12" i="1"/>
</calcChain>
</file>

<file path=xl/sharedStrings.xml><?xml version="1.0" encoding="utf-8"?>
<sst xmlns="http://schemas.openxmlformats.org/spreadsheetml/2006/main" count="33" uniqueCount="31">
  <si>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</si>
  <si>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</si>
  <si>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</si>
  <si>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</si>
  <si>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</si>
  <si>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</si>
  <si>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</si>
  <si>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</si>
  <si>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</si>
  <si>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</si>
  <si>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</si>
  <si>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</si>
  <si>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</si>
  <si>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</si>
  <si>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 xml:space="preserve">                                                                                 </t>
  </si>
  <si>
    <t>UNIDAD</t>
  </si>
  <si>
    <t>Treinta (30) días habiles.</t>
  </si>
  <si>
    <t>PROD. MEDICO/FARMACEUTICOS/LAB</t>
  </si>
  <si>
    <t>2.9.5</t>
  </si>
  <si>
    <t>2.9.5-3474.17</t>
  </si>
  <si>
    <t>SET P/BOMBA DE INFUSION; MARCA EQUIPO: ICUMEDICAL, MODELO EQUIPO: PLUM 360 - DOBLE CANAL</t>
  </si>
  <si>
    <t xml:space="preserve">2  ( SEMESTRAL ) </t>
  </si>
  <si>
    <t>Especificidades Item N° 1 :</t>
  </si>
  <si>
    <t>Plazo de Mantenimiento de oferta:</t>
  </si>
  <si>
    <t>:Plazos y lugares de entrega:</t>
  </si>
  <si>
    <t>Ver ANEXO I</t>
  </si>
  <si>
    <t xml:space="preserve"> SET DE BOMBA PARA INFUSION ENDOVENOSA.</t>
  </si>
  <si>
    <r>
      <rPr>
        <u/>
        <sz val="10"/>
        <rFont val="Times New Roman"/>
        <family val="1"/>
      </rPr>
      <t>Condiciones  de calidad:</t>
    </r>
    <r>
      <rPr>
        <sz val="10"/>
        <rFont val="Times New Roman"/>
        <family val="1"/>
      </rPr>
      <t xml:space="preserve"> </t>
    </r>
  </si>
  <si>
    <t xml:space="preserve">28-MATERNIDAD PROVINCIAL 25 DE MAYO </t>
  </si>
  <si>
    <t>40 - MINISTERIO DE SALUD</t>
  </si>
  <si>
    <t>Diez (10) dias habiles.  MATERNIDAD PROVINCIAL 25 DE MAYO-Servio de Farmacia - HERNANDO. DE PEDRAZA 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</si>
</sst>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&quot;$&quot;#,##0.00"/>
    <numFmt numFmtId="165" formatCode="&quot;$&quot;\ #,##0.00"/>
  </numFmts>
  <fonts count="1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3" fillId="0" borderId="0" applyFont="0" applyFill="0" applyBorder="0" applyAlignment="0" applyProtection="0"/>
  </cellStyleXfs>
  <cellXfs count="49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0" xfId="0" applyFont="1" applyBorder="1"/>
    <xf numFmtId="0" fontId="4" fillId="0" borderId="5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1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2" xfId="0" applyFont="1" applyBorder="1"/>
    <xf numFmtId="0" fontId="3" fillId="0" borderId="11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14" fillId="0" borderId="0" xfId="0" applyFont="1"/>
    <xf numFmtId="0" fontId="9" fillId="0" borderId="12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44" fontId="14" fillId="0" borderId="0" xfId="3" applyFont="1"/>
    <xf numFmtId="44" fontId="15" fillId="0" borderId="10" xfId="3" applyFont="1" applyBorder="1" applyAlignment="1">
      <alignment horizontal="center" vertical="center"/>
    </xf>
    <xf numFmtId="44" fontId="15" fillId="0" borderId="13" xfId="3" applyFont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15" xfId="0" applyFill="1" applyBorder="1" applyAlignment="1">
      <alignment horizontal="left" vertical="center" wrapText="1"/>
    </xf>
    <xf numFmtId="0" fontId="13" fillId="0" borderId="15" xfId="0" applyFont="1" applyBorder="1" applyAlignment="1">
      <alignment vertical="center" wrapText="1"/>
    </xf>
    <xf numFmtId="164" fontId="8" fillId="3" borderId="15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indent="3"/>
    </xf>
    <xf numFmtId="0" fontId="4" fillId="0" borderId="8" xfId="0" applyFont="1" applyFill="1" applyBorder="1" applyAlignment="1">
      <alignment vertical="center" wrapText="1"/>
    </xf>
    <xf numFmtId="165" fontId="8" fillId="3" borderId="15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8" xfId="0" applyFont="1" applyFill="1" applyBorder="1" applyAlignment="1">
      <alignment wrapText="1"/>
    </xf>
    <xf numFmtId="0" fontId="4" fillId="0" borderId="9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/>
    </xf>
    <xf numFmtId="0" fontId="4" fillId="0" borderId="6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</cellXfs>
  <cellStyles count="4">
    <cellStyle name="Encabezado 1" xfId="1" xr:uid="{00000000-0005-0000-0000-000000000000}"/>
    <cellStyle name="Moneda" xfId="3" builtinId="4"/>
    <cellStyle name="Neutral 1" xfId="2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SheetLayoutView="80" workbookViewId="0">
      <selection activeCell="E29" sqref="E29"/>
    </sheetView>
  </sheetViews>
  <sheetFormatPr baseColWidth="10" defaultColWidth="11" defaultRowHeight="12.75" x14ac:dyDescent="0.2"/>
  <cols>
    <col min="1" max="1" width="4.5703125" style="1" customWidth="1"/>
    <col min="2" max="3" width="28.28515625" style="1" customWidth="1"/>
    <col min="4" max="4" width="8.42578125" style="1" customWidth="1"/>
    <col min="5" max="5" width="92" style="1" customWidth="1"/>
    <col min="6" max="6" width="17.42578125" style="1" customWidth="1"/>
    <col min="7" max="7" width="15" style="1" customWidth="1"/>
    <col min="8" max="8" width="16.5703125" style="1" customWidth="1"/>
    <col min="9" max="9" width="14.42578125" style="1" customWidth="1"/>
    <col min="10" max="10" width="0.42578125" style="10" customWidth="1"/>
    <col min="11" max="12" width="11" style="10"/>
    <col min="13" max="16384" width="11" style="1"/>
  </cols>
  <sheetData>
    <row r="1" spans="1:9" ht="6" customHeight="1" x14ac:dyDescent="0.2"/>
    <row r="2" spans="1:9" ht="20.25" customHeight="1" x14ac:dyDescent="0.35">
      <c r="B2" s="34" t="s">
        <v>0</v>
      </c>
      <c r="C2" s="34"/>
      <c r="D2" s="34"/>
      <c r="E2" s="34"/>
      <c r="F2" s="34"/>
      <c r="G2" s="34"/>
      <c r="H2" s="34"/>
    </row>
    <row r="4" spans="1:9" ht="18" customHeight="1" x14ac:dyDescent="0.25">
      <c r="A4" s="33" t="s">
        <v>1</v>
      </c>
      <c r="B4" s="33"/>
      <c r="C4" s="35" t="s">
        <v>29</v>
      </c>
      <c r="D4" s="35"/>
      <c r="E4" s="35"/>
      <c r="F4" s="2"/>
      <c r="G4" s="3"/>
      <c r="H4" s="2"/>
    </row>
    <row r="5" spans="1:9" ht="18" customHeight="1" x14ac:dyDescent="0.25">
      <c r="A5" s="33" t="s">
        <v>2</v>
      </c>
      <c r="B5" s="33"/>
      <c r="C5" s="35" t="s">
        <v>28</v>
      </c>
      <c r="D5" s="35"/>
      <c r="E5" s="35"/>
      <c r="F5" s="2"/>
      <c r="G5" s="3"/>
      <c r="H5" s="2"/>
    </row>
    <row r="6" spans="1:9" ht="16.5" customHeight="1" x14ac:dyDescent="0.25">
      <c r="A6" s="33" t="s">
        <v>3</v>
      </c>
      <c r="B6" s="33"/>
      <c r="C6" s="7">
        <v>2022</v>
      </c>
      <c r="D6" s="6"/>
      <c r="E6" s="6"/>
      <c r="F6" s="2"/>
      <c r="G6" s="3"/>
      <c r="H6" s="2"/>
    </row>
    <row r="7" spans="1:9" ht="16.5" customHeight="1" x14ac:dyDescent="0.25">
      <c r="A7" s="33" t="s">
        <v>4</v>
      </c>
      <c r="B7" s="33"/>
      <c r="C7" s="7" t="s">
        <v>21</v>
      </c>
      <c r="D7" s="6"/>
      <c r="E7" s="6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44.25" customHeight="1" x14ac:dyDescent="0.2">
      <c r="A9" s="24" t="s">
        <v>5</v>
      </c>
      <c r="B9" s="24" t="s">
        <v>6</v>
      </c>
      <c r="C9" s="24" t="s">
        <v>7</v>
      </c>
      <c r="D9" s="24" t="s">
        <v>8</v>
      </c>
      <c r="E9" s="24" t="s">
        <v>9</v>
      </c>
      <c r="F9" s="24" t="s">
        <v>10</v>
      </c>
      <c r="G9" s="24" t="s">
        <v>11</v>
      </c>
      <c r="H9" s="24" t="s">
        <v>12</v>
      </c>
      <c r="I9" s="24" t="s">
        <v>13</v>
      </c>
    </row>
    <row r="10" spans="1:9" ht="46.5" customHeight="1" x14ac:dyDescent="0.2">
      <c r="A10" s="25">
        <v>1</v>
      </c>
      <c r="B10" s="26" t="s">
        <v>19</v>
      </c>
      <c r="C10" s="27" t="s">
        <v>17</v>
      </c>
      <c r="D10" s="25" t="s">
        <v>18</v>
      </c>
      <c r="E10" s="28" t="s">
        <v>20</v>
      </c>
      <c r="F10" s="25" t="s">
        <v>15</v>
      </c>
      <c r="G10" s="25">
        <v>1440</v>
      </c>
      <c r="H10" s="29">
        <v>1391</v>
      </c>
      <c r="I10" s="32">
        <f>G10*H10</f>
        <v>2003040</v>
      </c>
    </row>
    <row r="11" spans="1:9" ht="15.75" hidden="1" thickBot="1" x14ac:dyDescent="0.3">
      <c r="B11" s="5"/>
      <c r="C11" s="12"/>
      <c r="D11" s="23" t="str">
        <f t="shared" ref="D11:D12" si="0">LEFT(B11,5)</f>
        <v/>
      </c>
      <c r="E11" s="13"/>
      <c r="F11" s="15" t="s">
        <v>15</v>
      </c>
      <c r="G11" s="17"/>
      <c r="H11" s="20"/>
      <c r="I11" s="21">
        <f t="shared" ref="I11:I12" si="1">H11*G11</f>
        <v>0</v>
      </c>
    </row>
    <row r="12" spans="1:9" ht="15.75" hidden="1" thickBot="1" x14ac:dyDescent="0.3">
      <c r="B12" s="5"/>
      <c r="C12" s="8"/>
      <c r="D12" s="18" t="str">
        <f t="shared" si="0"/>
        <v/>
      </c>
      <c r="E12" s="9"/>
      <c r="F12" s="15" t="s">
        <v>15</v>
      </c>
      <c r="G12" s="17"/>
      <c r="H12" s="20"/>
      <c r="I12" s="22">
        <f t="shared" si="1"/>
        <v>0</v>
      </c>
    </row>
    <row r="14" spans="1:9" ht="13.5" thickBot="1" x14ac:dyDescent="0.25">
      <c r="F14" s="4"/>
      <c r="G14" s="4"/>
      <c r="H14" s="4"/>
      <c r="I14" s="4"/>
    </row>
    <row r="15" spans="1:9" x14ac:dyDescent="0.2">
      <c r="B15" s="14" t="s">
        <v>22</v>
      </c>
      <c r="C15" s="45" t="s">
        <v>26</v>
      </c>
      <c r="D15" s="45"/>
      <c r="E15" s="46"/>
      <c r="F15" s="4"/>
      <c r="G15" s="4"/>
      <c r="H15" s="4"/>
      <c r="I15" s="4"/>
    </row>
    <row r="16" spans="1:9" x14ac:dyDescent="0.2">
      <c r="B16" s="36"/>
      <c r="C16" s="37"/>
      <c r="D16" s="37"/>
      <c r="E16" s="38"/>
      <c r="F16" s="4"/>
      <c r="G16" s="4"/>
      <c r="H16" s="4"/>
      <c r="I16" s="4"/>
    </row>
    <row r="17" spans="2:9" x14ac:dyDescent="0.2">
      <c r="B17" s="11" t="s">
        <v>24</v>
      </c>
      <c r="C17" s="43" t="s">
        <v>30</v>
      </c>
      <c r="D17" s="43"/>
      <c r="E17" s="44"/>
      <c r="F17" s="4"/>
      <c r="G17" s="4"/>
      <c r="H17" s="4"/>
      <c r="I17" s="4"/>
    </row>
    <row r="18" spans="2:9" x14ac:dyDescent="0.2">
      <c r="B18" s="11"/>
      <c r="C18" s="8"/>
      <c r="D18" s="8"/>
      <c r="E18" s="9"/>
      <c r="F18" s="4"/>
      <c r="G18" s="4"/>
      <c r="H18" s="4"/>
      <c r="I18" s="4"/>
    </row>
    <row r="19" spans="2:9" ht="12.75" customHeight="1" x14ac:dyDescent="0.2">
      <c r="B19" s="11" t="s">
        <v>23</v>
      </c>
      <c r="C19" s="47" t="s">
        <v>16</v>
      </c>
      <c r="D19" s="47"/>
      <c r="E19" s="48"/>
      <c r="F19" s="4"/>
      <c r="G19" s="4"/>
      <c r="H19" s="4"/>
      <c r="I19" s="4"/>
    </row>
    <row r="20" spans="2:9" ht="11.25" customHeight="1" x14ac:dyDescent="0.2">
      <c r="B20" s="11"/>
      <c r="C20" s="16"/>
      <c r="D20" s="39"/>
      <c r="E20" s="40"/>
      <c r="F20" s="4"/>
      <c r="G20" s="4"/>
      <c r="H20" s="4"/>
      <c r="I20" s="4"/>
    </row>
    <row r="21" spans="2:9" ht="12.75" customHeight="1" x14ac:dyDescent="0.2">
      <c r="B21" s="19" t="s">
        <v>27</v>
      </c>
      <c r="C21" s="47" t="s">
        <v>25</v>
      </c>
      <c r="D21" s="47"/>
      <c r="E21" s="48"/>
      <c r="F21" s="4"/>
      <c r="G21" s="4"/>
      <c r="H21" s="4"/>
      <c r="I21" s="4"/>
    </row>
    <row r="22" spans="2:9" ht="13.5" customHeight="1" thickBot="1" x14ac:dyDescent="0.25">
      <c r="B22" s="30"/>
      <c r="C22" s="31" t="s">
        <v>14</v>
      </c>
      <c r="D22" s="41"/>
      <c r="E22" s="42"/>
      <c r="F22" s="4"/>
      <c r="G22" s="4"/>
      <c r="H22" s="4"/>
      <c r="I22" s="4"/>
    </row>
    <row r="23" spans="2:9" x14ac:dyDescent="0.2">
      <c r="B23" s="4"/>
      <c r="C23" s="4"/>
      <c r="D23" s="4"/>
      <c r="E23" s="4"/>
      <c r="F23" s="4"/>
      <c r="G23" s="4"/>
      <c r="H23" s="4"/>
      <c r="I23" s="4"/>
    </row>
    <row r="24" spans="2:9" x14ac:dyDescent="0.2">
      <c r="B24" s="4"/>
      <c r="C24" s="4"/>
      <c r="D24" s="4"/>
      <c r="E24" s="4"/>
      <c r="F24" s="4"/>
      <c r="G24" s="4"/>
      <c r="H24" s="4"/>
      <c r="I24" s="4"/>
    </row>
  </sheetData>
  <mergeCells count="14">
    <mergeCell ref="B16:E16"/>
    <mergeCell ref="D20:E20"/>
    <mergeCell ref="D22:E22"/>
    <mergeCell ref="C17:E17"/>
    <mergeCell ref="C15:E15"/>
    <mergeCell ref="C19:E19"/>
    <mergeCell ref="C21:E21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35433070866141736" bottom="0.35433070866141736" header="0.51181102362204722" footer="0.51181102362204722"/>
  <pageSetup paperSize="9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2022-06-14T13:21:56Z</cp:lastPrinted>
  <dcterms:created xsi:type="dcterms:W3CDTF">2020-07-17T23:44:49Z</dcterms:created>
  <dcterms:modified xsi:type="dcterms:W3CDTF">2022-08-29T15:45:33Z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