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CD4C8C21-3A9B-4C7E-A848-6817F3A79A8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1" sheetId="1" r:id="rId1"/>
    <sheet name="ANEXO I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7" i="2" l="1"/>
  <c r="B42" i="2"/>
  <c r="E41" i="2" s="1"/>
  <c r="E38" i="2"/>
  <c r="B21" i="2"/>
  <c r="E20" i="2" s="1"/>
  <c r="E17" i="2"/>
  <c r="I12" i="1"/>
  <c r="I11" i="1"/>
  <c r="I10" i="1"/>
  <c r="I13" i="1" l="1"/>
</calcChain>
</file>

<file path=xl/sharedStrings.xml><?xml version="1.0" encoding="utf-8"?>
<sst xmlns="http://schemas.openxmlformats.org/spreadsheetml/2006/main" count="79" uniqueCount="60">
  <si>
    <t>Pedido de Necesidades Trimestrales</t>
  </si>
  <si>
    <t>JURISDICCION:</t>
  </si>
  <si>
    <t>90 - MINISTERIO DE SEGURIDAD</t>
  </si>
  <si>
    <t xml:space="preserve">SAF N°: </t>
  </si>
  <si>
    <t>08 -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</si>
  <si>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</si>
  <si>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</si>
  <si>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</si>
  <si>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</si>
  <si>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</si>
  <si>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</si>
  <si>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</si>
  <si>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</si>
  <si>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</si>
  <si>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</si>
  <si>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</si>
  <si>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2.2.2-6738.157</t>
  </si>
  <si>
    <t>INDUMENT TEXTIL Y CONFECCIONES</t>
  </si>
  <si>
    <t>2.2.2</t>
  </si>
  <si>
    <t>PANTALONES; TIPO: P/FUERZA DE SEGURIDAD, TELA: ANTIDESGARRO, SEXO: UNISEX</t>
  </si>
  <si>
    <t>UNIDAD</t>
  </si>
  <si>
    <t>2.2.2-6731.151</t>
  </si>
  <si>
    <t>CAMISAS; TIPO: P/FUERZA DE SEGURIDAD, TELA: ALGODON/POLIESTER, MANGA: LARGA, COSTURA: OVERLOCK, BOLSILLO: 2</t>
  </si>
  <si>
    <t>2.2.2-2859.23</t>
  </si>
  <si>
    <t>REMERAS; MATERIAL PIQUE - MANGA CORTA</t>
  </si>
  <si>
    <t>Especificidades Items:</t>
  </si>
  <si>
    <t>Descripción técnica:</t>
  </si>
  <si>
    <t>Plazos y lugares de entrega</t>
  </si>
  <si>
    <r>
      <rPr>
        <b/>
        <u/>
        <sz val="10"/>
        <rFont val="Times New Roman"/>
        <family val="1"/>
        <charset val="1"/>
      </rPr>
      <t>Plazo de Entrega:</t>
    </r>
    <r>
      <rPr>
        <sz val="10"/>
        <rFont val="Times New Roman"/>
        <family val="1"/>
        <charset val="1"/>
      </rPr>
      <t xml:space="preserve"> 10 dias habiles de recibida la Orden de Compras
</t>
    </r>
    <r>
      <rPr>
        <b/>
        <u/>
        <sz val="10"/>
        <rFont val="Times New Roman"/>
        <family val="1"/>
        <charset val="1"/>
      </rPr>
      <t>Lugar de Entrega:</t>
    </r>
    <r>
      <rPr>
        <sz val="10"/>
        <rFont val="Times New Roman"/>
        <family val="1"/>
        <charset val="1"/>
      </rPr>
      <t xml:space="preserve"> RN 38, km 558, Colonia del Valle, Capayan, Catamarca-Servicio Penitenciario.</t>
    </r>
  </si>
  <si>
    <t>Forma de Pago:</t>
  </si>
  <si>
    <t>Pago único, dentro de los 30 días desde la Recepción definitiva de los bienes.</t>
  </si>
  <si>
    <t>Calidad Minima esperada</t>
  </si>
  <si>
    <t>Primera Calidad-Productos Nuevos</t>
  </si>
  <si>
    <t>Mantenimiento de Oferta:</t>
  </si>
  <si>
    <t>30 Días.</t>
  </si>
  <si>
    <t>Garantia</t>
  </si>
  <si>
    <t xml:space="preserve">ANEXO I: TALLES UNIFORME SERVICIO PENITENCIARIO PROVINCIAL </t>
  </si>
  <si>
    <r>
      <rPr>
        <b/>
        <u/>
        <sz val="11"/>
        <color rgb="FF000000"/>
        <rFont val="Calibri"/>
        <family val="2"/>
        <charset val="1"/>
      </rPr>
      <t>ITEM N°1:</t>
    </r>
    <r>
      <rPr>
        <sz val="11"/>
        <color rgb="FF000000"/>
        <rFont val="Calibri"/>
        <family val="2"/>
        <charset val="1"/>
      </rPr>
      <t xml:space="preserve"> PANTALONES; TIPO: P/FUERZA DE SEGURIDAD, TELA: ANTIDESGARRO, SEXO: UNISEX</t>
    </r>
  </si>
  <si>
    <t>PANTALONES COLOR GRIS TOPO</t>
  </si>
  <si>
    <t>PANTALONES COLOR NEGRO</t>
  </si>
  <si>
    <t>TALLE</t>
  </si>
  <si>
    <t>TOTAL 2</t>
  </si>
  <si>
    <t>TOTAL 3</t>
  </si>
  <si>
    <t>TOTAL 1</t>
  </si>
  <si>
    <r>
      <rPr>
        <b/>
        <u/>
        <sz val="11"/>
        <color rgb="FF000000"/>
        <rFont val="Calibri"/>
        <family val="2"/>
        <charset val="1"/>
      </rPr>
      <t>ITEM N°2:</t>
    </r>
    <r>
      <rPr>
        <sz val="11"/>
        <color rgb="FF000000"/>
        <rFont val="Calibri"/>
        <family val="2"/>
        <charset val="1"/>
      </rPr>
      <t xml:space="preserve"> CAMISAS; TIPO: P/FUERZA DE SEGURIDAD, TELA: ALGODON/POLIESTER, MANGA: LARGA, COSTURA: OVERLOCK, BOLSILLO: 2</t>
    </r>
  </si>
  <si>
    <t>CAMISAS COLOR CELESTE</t>
  </si>
  <si>
    <t>CAMISAS COLOR NEGRO</t>
  </si>
  <si>
    <r>
      <rPr>
        <b/>
        <u/>
        <sz val="11"/>
        <color rgb="FF000000"/>
        <rFont val="Calibri"/>
        <family val="2"/>
        <charset val="1"/>
      </rPr>
      <t>ITEM N°3:</t>
    </r>
    <r>
      <rPr>
        <sz val="11"/>
        <color rgb="FF000000"/>
        <rFont val="Calibri"/>
        <family val="2"/>
        <charset val="1"/>
      </rPr>
      <t xml:space="preserve"> REMERAS; MATERIAL PIQUE - MANGA CORTA.</t>
    </r>
  </si>
  <si>
    <t>REMERAS COLOR NEGRO</t>
  </si>
  <si>
    <t>XS</t>
  </si>
  <si>
    <t>S</t>
  </si>
  <si>
    <t>M</t>
  </si>
  <si>
    <t>L</t>
  </si>
  <si>
    <t>XL</t>
  </si>
  <si>
    <t>XXL</t>
  </si>
  <si>
    <t>XXXL</t>
  </si>
  <si>
    <t>XXXXL</t>
  </si>
  <si>
    <t>XXXXXL</t>
  </si>
  <si>
    <t>TOTAL</t>
  </si>
  <si>
    <r>
      <t>Item N° 1</t>
    </r>
    <r>
      <rPr>
        <sz val="10"/>
        <rFont val="Times New Roman"/>
        <family val="1"/>
        <charset val="1"/>
      </rPr>
      <t xml:space="preserve"> - Pantalones: 410 pantalones color Gris Topo y 50 Pantalones color Negro. CARACTERISTICAS: Tipo bombacha de combate, con refuerzos, corte unisex según tabla de talles de ANEXO I.
</t>
    </r>
    <r>
      <rPr>
        <b/>
        <u/>
        <sz val="10"/>
        <rFont val="Times New Roman"/>
        <family val="1"/>
        <charset val="1"/>
      </rPr>
      <t>Item N° 2</t>
    </r>
    <r>
      <rPr>
        <sz val="10"/>
        <rFont val="Times New Roman"/>
        <family val="1"/>
        <charset val="1"/>
      </rPr>
      <t xml:space="preserve"> - Camisas: 410 camisas color celeste y 50 camisas color negro. Composicion: 70 % Algodón, 30 % Poliester según tabla de talles de ANEXO I.
</t>
    </r>
    <r>
      <rPr>
        <b/>
        <u/>
        <sz val="10"/>
        <color theme="1"/>
        <rFont val="Times New Roman"/>
        <family val="1"/>
      </rPr>
      <t>I</t>
    </r>
    <r>
      <rPr>
        <b/>
        <u/>
        <sz val="10"/>
        <rFont val="Times New Roman"/>
        <family val="1"/>
        <charset val="1"/>
      </rPr>
      <t>tem N° 3</t>
    </r>
    <r>
      <rPr>
        <sz val="10"/>
        <rFont val="Times New Roman"/>
        <family val="1"/>
        <charset val="1"/>
      </rPr>
      <t xml:space="preserve"> - Remeras: CON CIERRE COLOR NEGRO, SEXO UNISEX según tabla de talles de ANEXO I.
</t>
    </r>
    <r>
      <rPr>
        <b/>
        <u/>
        <sz val="10"/>
        <rFont val="Times New Roman"/>
        <family val="1"/>
        <charset val="1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</si>
</sst>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 &quot;* #,##0.00_-;&quot;-$ &quot;* #,##0.00_-;_-&quot;$ &quot;* \-??_-;_-@_-"/>
    <numFmt numFmtId="165" formatCode="_-[$$-2C0A]\ * #,##0.00_-;\-[$$-2C0A]\ * #,##0.00_-;_-[$$-2C0A]\ * \-??_-;_-@_-"/>
  </numFmts>
  <fonts count="21" x14ac:knownFonts="1">
    <font>
      <sz val="11"/>
      <color rgb="FF000000"/>
      <name val="Calibri"/>
      <family val="2"/>
      <charset val="1"/>
    </font>
    <font>
      <sz val="10"/>
      <name val="Times New Roman"/>
      <family val="1"/>
      <charset val="1"/>
    </font>
    <font>
      <b/>
      <sz val="22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u/>
      <sz val="14"/>
      <name val="Times New Roman"/>
      <family val="1"/>
      <charset val="1"/>
    </font>
    <font>
      <b/>
      <u/>
      <sz val="11"/>
      <name val="Times New Roman"/>
      <family val="1"/>
      <charset val="1"/>
    </font>
    <font>
      <b/>
      <u/>
      <sz val="10"/>
      <name val="Times New Roman"/>
      <family val="1"/>
      <charset val="1"/>
    </font>
    <font>
      <u/>
      <sz val="11"/>
      <name val="Times New Roman"/>
      <family val="1"/>
      <charset val="1"/>
    </font>
    <font>
      <b/>
      <u/>
      <sz val="14"/>
      <color rgb="FF00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1"/>
      <color rgb="FFFFE699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u/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BF7"/>
        <bgColor rgb="FFCCFFFF"/>
      </patternFill>
    </fill>
    <fill>
      <patternFill patternType="solid">
        <fgColor rgb="FFAFABAB"/>
        <bgColor rgb="FF969696"/>
      </patternFill>
    </fill>
    <fill>
      <patternFill patternType="solid">
        <fgColor rgb="FF3B3838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4B183"/>
        <bgColor rgb="FFFF99CC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4" fontId="19" fillId="0" borderId="0" applyBorder="0" applyProtection="0"/>
  </cellStyleXfs>
  <cellXfs count="77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2" borderId="8" xfId="0" applyFont="1" applyFill="1" applyBorder="1" applyAlignment="1">
      <alignment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164" fontId="8" fillId="0" borderId="10" xfId="1" applyFont="1" applyBorder="1" applyAlignment="1" applyProtection="1">
      <alignment horizontal="right" vertical="center" wrapText="1"/>
    </xf>
    <xf numFmtId="164" fontId="8" fillId="0" borderId="5" xfId="1" applyFont="1" applyBorder="1" applyAlignment="1" applyProtection="1">
      <alignment horizontal="right" vertical="center" wrapText="1"/>
    </xf>
    <xf numFmtId="0" fontId="8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164" fontId="8" fillId="0" borderId="12" xfId="1" applyFont="1" applyBorder="1" applyAlignment="1" applyProtection="1">
      <alignment horizontal="right" vertical="center" wrapText="1"/>
    </xf>
    <xf numFmtId="164" fontId="8" fillId="0" borderId="11" xfId="1" applyFont="1" applyBorder="1" applyAlignment="1" applyProtection="1">
      <alignment horizontal="right" vertical="center" wrapText="1"/>
    </xf>
    <xf numFmtId="0" fontId="8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164" fontId="8" fillId="0" borderId="16" xfId="1" applyFont="1" applyBorder="1" applyAlignment="1" applyProtection="1">
      <alignment horizontal="right" vertical="center" wrapText="1"/>
    </xf>
    <xf numFmtId="164" fontId="8" fillId="0" borderId="15" xfId="1" applyFont="1" applyBorder="1" applyAlignment="1" applyProtection="1">
      <alignment horizontal="right" vertical="center" wrapText="1"/>
    </xf>
    <xf numFmtId="165" fontId="10" fillId="3" borderId="1" xfId="0" applyNumberFormat="1" applyFont="1" applyFill="1" applyBorder="1"/>
    <xf numFmtId="0" fontId="14" fillId="0" borderId="2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2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0" fontId="10" fillId="0" borderId="25" xfId="0" applyFont="1" applyBorder="1" applyAlignment="1">
      <alignment horizontal="center" vertical="top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17" fillId="5" borderId="26" xfId="0" applyFont="1" applyFill="1" applyBorder="1" applyAlignment="1">
      <alignment horizontal="center" vertical="top" wrapText="1"/>
    </xf>
    <xf numFmtId="0" fontId="17" fillId="5" borderId="24" xfId="0" applyFont="1" applyFill="1" applyBorder="1" applyAlignment="1">
      <alignment horizontal="center" vertical="top" wrapText="1"/>
    </xf>
    <xf numFmtId="0" fontId="10" fillId="6" borderId="26" xfId="0" applyFont="1" applyFill="1" applyBorder="1" applyAlignment="1">
      <alignment horizontal="center" vertical="top" wrapText="1"/>
    </xf>
    <xf numFmtId="0" fontId="10" fillId="6" borderId="24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8" fillId="0" borderId="0" xfId="0" applyFont="1"/>
    <xf numFmtId="0" fontId="10" fillId="6" borderId="1" xfId="0" applyFont="1" applyFill="1" applyBorder="1" applyAlignment="1">
      <alignment horizontal="center" wrapText="1"/>
    </xf>
    <xf numFmtId="0" fontId="10" fillId="6" borderId="25" xfId="0" applyFont="1" applyFill="1" applyBorder="1" applyAlignment="1">
      <alignment horizontal="center" wrapText="1"/>
    </xf>
    <xf numFmtId="0" fontId="10" fillId="0" borderId="26" xfId="0" applyFont="1" applyBorder="1" applyAlignment="1">
      <alignment horizontal="center" vertical="center" wrapText="1"/>
    </xf>
    <xf numFmtId="0" fontId="17" fillId="5" borderId="27" xfId="0" applyFont="1" applyFill="1" applyBorder="1" applyAlignment="1">
      <alignment horizontal="center"/>
    </xf>
    <xf numFmtId="0" fontId="17" fillId="5" borderId="24" xfId="0" applyFont="1" applyFill="1" applyBorder="1" applyAlignment="1">
      <alignment horizontal="center" vertical="center" wrapText="1"/>
    </xf>
    <xf numFmtId="0" fontId="17" fillId="5" borderId="28" xfId="0" applyFont="1" applyFill="1" applyBorder="1" applyAlignment="1">
      <alignment horizontal="center"/>
    </xf>
    <xf numFmtId="0" fontId="17" fillId="5" borderId="29" xfId="0" applyFont="1" applyFill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wrapText="1"/>
    </xf>
    <xf numFmtId="0" fontId="13" fillId="0" borderId="22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0" fillId="3" borderId="19" xfId="0" applyFont="1" applyFill="1" applyBorder="1" applyAlignment="1">
      <alignment horizontal="right"/>
    </xf>
    <xf numFmtId="0" fontId="11" fillId="0" borderId="2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wrapText="1" indent="1"/>
    </xf>
    <xf numFmtId="0" fontId="8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28"/>
  <sheetViews>
    <sheetView tabSelected="1" zoomScale="90" zoomScaleNormal="90" workbookViewId="0">
      <selection activeCell="I13" sqref="I13"/>
    </sheetView>
  </sheetViews>
  <sheetFormatPr baseColWidth="10" defaultColWidth="9.140625" defaultRowHeight="15" x14ac:dyDescent="0.25"/>
  <cols>
    <col min="1" max="1" width="4.85546875" style="1" customWidth="1"/>
    <col min="2" max="2" width="12.85546875" style="1" customWidth="1"/>
    <col min="3" max="3" width="18.85546875" style="1" customWidth="1"/>
    <col min="4" max="4" width="6.42578125" style="1" customWidth="1"/>
    <col min="5" max="5" width="80.28515625" style="1" customWidth="1"/>
    <col min="6" max="6" width="11" style="1" customWidth="1"/>
    <col min="7" max="7" width="12.7109375" style="1" customWidth="1"/>
    <col min="8" max="8" width="13.85546875" style="1" customWidth="1"/>
    <col min="9" max="9" width="18.5703125" style="1" customWidth="1"/>
    <col min="10" max="256" width="11" style="1" customWidth="1"/>
    <col min="257" max="257" width="4.85546875" style="1" customWidth="1"/>
    <col min="258" max="258" width="12.85546875" style="1" customWidth="1"/>
    <col min="259" max="259" width="33.140625" style="1" customWidth="1"/>
    <col min="260" max="260" width="9.7109375" style="1" customWidth="1"/>
    <col min="261" max="261" width="80.28515625" style="1" customWidth="1"/>
    <col min="262" max="262" width="11" style="1" customWidth="1"/>
    <col min="263" max="263" width="12.7109375" style="1" customWidth="1"/>
    <col min="264" max="264" width="13.85546875" style="1" customWidth="1"/>
    <col min="265" max="265" width="18.5703125" style="1" customWidth="1"/>
    <col min="266" max="512" width="11" style="1" customWidth="1"/>
    <col min="513" max="513" width="4.85546875" style="1" customWidth="1"/>
    <col min="514" max="514" width="12.85546875" style="1" customWidth="1"/>
    <col min="515" max="515" width="33.140625" style="1" customWidth="1"/>
    <col min="516" max="516" width="9.7109375" style="1" customWidth="1"/>
    <col min="517" max="517" width="80.28515625" style="1" customWidth="1"/>
    <col min="518" max="518" width="11" style="1" customWidth="1"/>
    <col min="519" max="519" width="12.7109375" style="1" customWidth="1"/>
    <col min="520" max="520" width="13.85546875" style="1" customWidth="1"/>
    <col min="521" max="521" width="18.5703125" style="1" customWidth="1"/>
    <col min="522" max="768" width="11" style="1" customWidth="1"/>
    <col min="769" max="769" width="4.85546875" style="1" customWidth="1"/>
    <col min="770" max="770" width="12.85546875" style="1" customWidth="1"/>
    <col min="771" max="771" width="33.140625" style="1" customWidth="1"/>
    <col min="772" max="772" width="9.7109375" style="1" customWidth="1"/>
    <col min="773" max="773" width="80.28515625" style="1" customWidth="1"/>
    <col min="774" max="774" width="11" style="1" customWidth="1"/>
    <col min="775" max="775" width="12.7109375" style="1" customWidth="1"/>
    <col min="776" max="776" width="13.85546875" style="1" customWidth="1"/>
    <col min="777" max="777" width="18.5703125" style="1" customWidth="1"/>
    <col min="778" max="1025" width="11" style="1" customWidth="1"/>
  </cols>
  <sheetData>
    <row r="2" spans="1:9" ht="27" x14ac:dyDescent="0.35">
      <c r="B2" s="73" t="s">
        <v>0</v>
      </c>
      <c r="C2" s="73"/>
      <c r="D2" s="73"/>
      <c r="E2" s="73"/>
      <c r="F2" s="73"/>
      <c r="G2" s="73"/>
      <c r="H2" s="73"/>
    </row>
    <row r="4" spans="1:9" ht="18" customHeight="1" x14ac:dyDescent="0.25">
      <c r="A4" s="70" t="s">
        <v>1</v>
      </c>
      <c r="B4" s="70"/>
      <c r="C4" s="74" t="s">
        <v>2</v>
      </c>
      <c r="D4" s="74"/>
      <c r="E4" s="74"/>
      <c r="F4" s="2"/>
      <c r="G4" s="3"/>
      <c r="H4" s="2"/>
    </row>
    <row r="5" spans="1:9" ht="18" customHeight="1" x14ac:dyDescent="0.25">
      <c r="A5" s="70" t="s">
        <v>3</v>
      </c>
      <c r="B5" s="70"/>
      <c r="C5" s="74" t="s">
        <v>4</v>
      </c>
      <c r="D5" s="74"/>
      <c r="E5" s="74"/>
      <c r="F5" s="2"/>
      <c r="G5" s="3"/>
      <c r="H5" s="2"/>
    </row>
    <row r="6" spans="1:9" ht="16.5" customHeight="1" x14ac:dyDescent="0.25">
      <c r="A6" s="70" t="s">
        <v>5</v>
      </c>
      <c r="B6" s="70"/>
      <c r="C6" s="4">
        <v>2022</v>
      </c>
      <c r="D6" s="5"/>
      <c r="E6" s="5"/>
      <c r="F6" s="2"/>
      <c r="G6" s="3"/>
      <c r="H6" s="2"/>
    </row>
    <row r="7" spans="1:9" ht="16.5" customHeight="1" x14ac:dyDescent="0.25">
      <c r="A7" s="70" t="s">
        <v>6</v>
      </c>
      <c r="B7" s="70"/>
      <c r="C7" s="4">
        <v>1</v>
      </c>
      <c r="D7" s="5"/>
      <c r="E7" s="5"/>
      <c r="F7" s="2"/>
      <c r="G7" s="3"/>
      <c r="H7" s="2"/>
    </row>
    <row r="8" spans="1:9" x14ac:dyDescent="0.25">
      <c r="B8" s="2"/>
      <c r="C8" s="3"/>
      <c r="D8" s="2"/>
      <c r="E8" s="2"/>
      <c r="F8" s="2"/>
      <c r="G8" s="3"/>
      <c r="H8" s="2"/>
    </row>
    <row r="9" spans="1:9" ht="45" x14ac:dyDescent="0.25">
      <c r="A9" s="6" t="s">
        <v>7</v>
      </c>
      <c r="B9" s="7" t="s">
        <v>8</v>
      </c>
      <c r="C9" s="6" t="s">
        <v>9</v>
      </c>
      <c r="D9" s="7" t="s">
        <v>10</v>
      </c>
      <c r="E9" s="6" t="s">
        <v>11</v>
      </c>
      <c r="F9" s="6" t="s">
        <v>12</v>
      </c>
      <c r="G9" s="8" t="s">
        <v>13</v>
      </c>
      <c r="H9" s="9" t="s">
        <v>14</v>
      </c>
      <c r="I9" s="6" t="s">
        <v>15</v>
      </c>
    </row>
    <row r="10" spans="1:9" ht="30" x14ac:dyDescent="0.25">
      <c r="A10" s="10">
        <v>1</v>
      </c>
      <c r="B10" s="11" t="s">
        <v>16</v>
      </c>
      <c r="C10" s="12" t="s">
        <v>17</v>
      </c>
      <c r="D10" s="11" t="s">
        <v>18</v>
      </c>
      <c r="E10" s="13" t="s">
        <v>19</v>
      </c>
      <c r="F10" s="14" t="s">
        <v>20</v>
      </c>
      <c r="G10" s="15">
        <v>460</v>
      </c>
      <c r="H10" s="16">
        <v>4500</v>
      </c>
      <c r="I10" s="17">
        <f>+G10*H10</f>
        <v>2070000</v>
      </c>
    </row>
    <row r="11" spans="1:9" ht="30" x14ac:dyDescent="0.25">
      <c r="A11" s="18">
        <v>2</v>
      </c>
      <c r="B11" s="19" t="s">
        <v>21</v>
      </c>
      <c r="C11" s="20" t="s">
        <v>17</v>
      </c>
      <c r="D11" s="19" t="s">
        <v>18</v>
      </c>
      <c r="E11" s="21" t="s">
        <v>22</v>
      </c>
      <c r="F11" s="22" t="s">
        <v>20</v>
      </c>
      <c r="G11" s="23">
        <v>460</v>
      </c>
      <c r="H11" s="24">
        <v>3200</v>
      </c>
      <c r="I11" s="25">
        <f>+G11*H11</f>
        <v>1472000</v>
      </c>
    </row>
    <row r="12" spans="1:9" ht="26.25" thickBot="1" x14ac:dyDescent="0.3">
      <c r="A12" s="26">
        <v>3</v>
      </c>
      <c r="B12" s="27" t="s">
        <v>23</v>
      </c>
      <c r="C12" s="28" t="s">
        <v>17</v>
      </c>
      <c r="D12" s="27" t="s">
        <v>18</v>
      </c>
      <c r="E12" s="29" t="s">
        <v>24</v>
      </c>
      <c r="F12" s="30" t="s">
        <v>20</v>
      </c>
      <c r="G12" s="31">
        <v>460</v>
      </c>
      <c r="H12" s="32">
        <v>3700</v>
      </c>
      <c r="I12" s="33">
        <f>+G12*H12</f>
        <v>1702000</v>
      </c>
    </row>
    <row r="13" spans="1:9" ht="15.75" thickBot="1" x14ac:dyDescent="0.3">
      <c r="A13" s="71" t="s">
        <v>17</v>
      </c>
      <c r="B13" s="71"/>
      <c r="C13" s="71"/>
      <c r="D13" s="71"/>
      <c r="E13" s="71"/>
      <c r="F13" s="71"/>
      <c r="G13" s="71"/>
      <c r="H13" s="71"/>
      <c r="I13" s="34">
        <f>SUM(I10:I12)</f>
        <v>5244000</v>
      </c>
    </row>
    <row r="15" spans="1:9" ht="15" customHeight="1" x14ac:dyDescent="0.25">
      <c r="B15" s="72" t="s">
        <v>25</v>
      </c>
      <c r="C15" s="72"/>
      <c r="D15" s="72"/>
      <c r="E15" s="72"/>
    </row>
    <row r="16" spans="1:9" ht="15.6" customHeight="1" x14ac:dyDescent="0.25">
      <c r="B16" s="72"/>
      <c r="C16" s="72"/>
      <c r="D16" s="72"/>
      <c r="E16" s="72"/>
    </row>
    <row r="17" spans="2:5" ht="12.95" customHeight="1" x14ac:dyDescent="0.25">
      <c r="B17" s="64" t="s">
        <v>26</v>
      </c>
      <c r="C17" s="64"/>
      <c r="D17" s="68" t="s">
        <v>59</v>
      </c>
      <c r="E17" s="68"/>
    </row>
    <row r="18" spans="2:5" ht="18.95" customHeight="1" x14ac:dyDescent="0.25">
      <c r="B18" s="35"/>
      <c r="C18" s="36"/>
      <c r="D18" s="68"/>
      <c r="E18" s="68"/>
    </row>
    <row r="19" spans="2:5" ht="18.95" customHeight="1" x14ac:dyDescent="0.25">
      <c r="B19" s="37"/>
      <c r="C19" s="38"/>
      <c r="D19" s="68"/>
      <c r="E19" s="68"/>
    </row>
    <row r="20" spans="2:5" ht="18.95" customHeight="1" x14ac:dyDescent="0.25">
      <c r="B20" s="37"/>
      <c r="C20" s="38"/>
      <c r="D20" s="68"/>
      <c r="E20" s="68"/>
    </row>
    <row r="21" spans="2:5" ht="18.95" customHeight="1" x14ac:dyDescent="0.25">
      <c r="B21" s="37"/>
      <c r="C21" s="38"/>
      <c r="D21" s="68"/>
      <c r="E21" s="68"/>
    </row>
    <row r="22" spans="2:5" ht="18" customHeight="1" x14ac:dyDescent="0.25">
      <c r="B22" s="64" t="s">
        <v>27</v>
      </c>
      <c r="C22" s="64"/>
      <c r="D22" s="68" t="s">
        <v>28</v>
      </c>
      <c r="E22" s="68"/>
    </row>
    <row r="23" spans="2:5" ht="21.6" customHeight="1" x14ac:dyDescent="0.25">
      <c r="B23" s="64"/>
      <c r="C23" s="64"/>
      <c r="D23" s="68"/>
      <c r="E23" s="68"/>
    </row>
    <row r="24" spans="2:5" x14ac:dyDescent="0.25">
      <c r="B24" s="64"/>
      <c r="C24" s="64"/>
      <c r="D24" s="68"/>
      <c r="E24" s="68"/>
    </row>
    <row r="25" spans="2:5" x14ac:dyDescent="0.25">
      <c r="B25" s="64" t="s">
        <v>29</v>
      </c>
      <c r="C25" s="64"/>
      <c r="D25" s="69" t="s">
        <v>30</v>
      </c>
      <c r="E25" s="69"/>
    </row>
    <row r="26" spans="2:5" ht="26.25" customHeight="1" x14ac:dyDescent="0.25">
      <c r="B26" s="64" t="s">
        <v>31</v>
      </c>
      <c r="C26" s="64"/>
      <c r="D26" s="69" t="s">
        <v>32</v>
      </c>
      <c r="E26" s="69"/>
    </row>
    <row r="27" spans="2:5" ht="33.75" customHeight="1" x14ac:dyDescent="0.25">
      <c r="B27" s="64" t="s">
        <v>33</v>
      </c>
      <c r="C27" s="64"/>
      <c r="D27" s="65" t="s">
        <v>34</v>
      </c>
      <c r="E27" s="65"/>
    </row>
    <row r="28" spans="2:5" ht="26.25" customHeight="1" x14ac:dyDescent="0.25">
      <c r="B28" s="66" t="s">
        <v>35</v>
      </c>
      <c r="C28" s="66"/>
      <c r="D28" s="67"/>
      <c r="E28" s="67"/>
    </row>
  </sheetData>
  <mergeCells count="21">
    <mergeCell ref="B2:H2"/>
    <mergeCell ref="A4:B4"/>
    <mergeCell ref="C4:E4"/>
    <mergeCell ref="A5:B5"/>
    <mergeCell ref="C5:E5"/>
    <mergeCell ref="A6:B6"/>
    <mergeCell ref="A7:B7"/>
    <mergeCell ref="A13:H13"/>
    <mergeCell ref="B15:E16"/>
    <mergeCell ref="B17:C17"/>
    <mergeCell ref="D17:E21"/>
    <mergeCell ref="B27:C27"/>
    <mergeCell ref="D27:E27"/>
    <mergeCell ref="B28:C28"/>
    <mergeCell ref="D28:E28"/>
    <mergeCell ref="B22:C24"/>
    <mergeCell ref="D22:E24"/>
    <mergeCell ref="B25:C25"/>
    <mergeCell ref="D25:E25"/>
    <mergeCell ref="B26:C26"/>
    <mergeCell ref="D26:E26"/>
  </mergeCells>
  <pageMargins left="0.7" right="0.7" top="0.75" bottom="0.75" header="0.51180555555555496" footer="0.51180555555555496"/>
  <pageSetup scale="45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zoomScaleNormal="100" workbookViewId="0">
      <selection activeCell="F17" sqref="F17"/>
    </sheetView>
  </sheetViews>
  <sheetFormatPr baseColWidth="10" defaultColWidth="9.140625" defaultRowHeight="15" x14ac:dyDescent="0.25"/>
  <cols>
    <col min="1" max="1025" width="10.7109375" customWidth="1"/>
  </cols>
  <sheetData>
    <row r="1" spans="1:5" ht="18.75" x14ac:dyDescent="0.3">
      <c r="A1" s="39" t="s">
        <v>36</v>
      </c>
    </row>
    <row r="3" spans="1:5" x14ac:dyDescent="0.25">
      <c r="A3" s="40" t="s">
        <v>37</v>
      </c>
    </row>
    <row r="5" spans="1:5" ht="30" customHeight="1" x14ac:dyDescent="0.25">
      <c r="A5" s="75" t="s">
        <v>38</v>
      </c>
      <c r="B5" s="75"/>
      <c r="D5" s="76" t="s">
        <v>39</v>
      </c>
      <c r="E5" s="76"/>
    </row>
    <row r="6" spans="1:5" x14ac:dyDescent="0.25">
      <c r="A6" s="41" t="s">
        <v>40</v>
      </c>
      <c r="B6" s="42" t="s">
        <v>13</v>
      </c>
      <c r="D6" s="43" t="s">
        <v>40</v>
      </c>
      <c r="E6" s="44" t="s">
        <v>13</v>
      </c>
    </row>
    <row r="7" spans="1:5" x14ac:dyDescent="0.25">
      <c r="A7" s="45">
        <v>36</v>
      </c>
      <c r="B7" s="46">
        <v>1</v>
      </c>
      <c r="D7" s="47">
        <v>42</v>
      </c>
      <c r="E7" s="48">
        <v>6</v>
      </c>
    </row>
    <row r="8" spans="1:5" x14ac:dyDescent="0.25">
      <c r="A8" s="45">
        <v>38</v>
      </c>
      <c r="B8" s="46">
        <v>9</v>
      </c>
      <c r="D8" s="47">
        <v>44</v>
      </c>
      <c r="E8" s="48">
        <v>2</v>
      </c>
    </row>
    <row r="9" spans="1:5" x14ac:dyDescent="0.25">
      <c r="A9" s="45">
        <v>40</v>
      </c>
      <c r="B9" s="46">
        <v>20</v>
      </c>
      <c r="D9" s="47">
        <v>46</v>
      </c>
      <c r="E9" s="48">
        <v>10</v>
      </c>
    </row>
    <row r="10" spans="1:5" x14ac:dyDescent="0.25">
      <c r="A10" s="45">
        <v>42</v>
      </c>
      <c r="B10" s="46">
        <v>47</v>
      </c>
      <c r="D10" s="47">
        <v>48</v>
      </c>
      <c r="E10" s="48">
        <v>17</v>
      </c>
    </row>
    <row r="11" spans="1:5" x14ac:dyDescent="0.25">
      <c r="A11" s="45">
        <v>44</v>
      </c>
      <c r="B11" s="46">
        <v>61</v>
      </c>
      <c r="D11" s="47">
        <v>50</v>
      </c>
      <c r="E11" s="48">
        <v>5</v>
      </c>
    </row>
    <row r="12" spans="1:5" x14ac:dyDescent="0.25">
      <c r="A12" s="45">
        <v>46</v>
      </c>
      <c r="B12" s="46">
        <v>69</v>
      </c>
      <c r="D12" s="47">
        <v>52</v>
      </c>
      <c r="E12" s="48">
        <v>3</v>
      </c>
    </row>
    <row r="13" spans="1:5" x14ac:dyDescent="0.25">
      <c r="A13" s="45">
        <v>48</v>
      </c>
      <c r="B13" s="46">
        <v>86</v>
      </c>
      <c r="D13" s="47">
        <v>54</v>
      </c>
      <c r="E13" s="48">
        <v>5</v>
      </c>
    </row>
    <row r="14" spans="1:5" x14ac:dyDescent="0.25">
      <c r="A14" s="45">
        <v>50</v>
      </c>
      <c r="B14" s="46">
        <v>47</v>
      </c>
      <c r="D14" s="47">
        <v>56</v>
      </c>
      <c r="E14" s="48">
        <v>1</v>
      </c>
    </row>
    <row r="15" spans="1:5" x14ac:dyDescent="0.25">
      <c r="A15" s="45">
        <v>52</v>
      </c>
      <c r="B15" s="46">
        <v>33</v>
      </c>
      <c r="D15" s="47">
        <v>64</v>
      </c>
      <c r="E15" s="48">
        <v>1</v>
      </c>
    </row>
    <row r="16" spans="1:5" x14ac:dyDescent="0.25">
      <c r="A16" s="45">
        <v>54</v>
      </c>
      <c r="B16" s="46">
        <v>20</v>
      </c>
      <c r="D16" s="47"/>
      <c r="E16" s="48"/>
    </row>
    <row r="17" spans="1:5" x14ac:dyDescent="0.25">
      <c r="A17" s="45">
        <v>56</v>
      </c>
      <c r="B17" s="46">
        <v>11</v>
      </c>
      <c r="D17" s="49" t="s">
        <v>41</v>
      </c>
      <c r="E17" s="50">
        <f>SUM(E7:E16)</f>
        <v>50</v>
      </c>
    </row>
    <row r="18" spans="1:5" x14ac:dyDescent="0.25">
      <c r="A18" s="45">
        <v>58</v>
      </c>
      <c r="B18" s="46">
        <v>2</v>
      </c>
    </row>
    <row r="19" spans="1:5" x14ac:dyDescent="0.25">
      <c r="A19" s="45">
        <v>60</v>
      </c>
      <c r="B19" s="46">
        <v>3</v>
      </c>
    </row>
    <row r="20" spans="1:5" x14ac:dyDescent="0.25">
      <c r="A20" s="45">
        <v>64</v>
      </c>
      <c r="B20" s="46">
        <v>1</v>
      </c>
      <c r="D20" s="51" t="s">
        <v>42</v>
      </c>
      <c r="E20" s="52">
        <f>B21+E17</f>
        <v>460</v>
      </c>
    </row>
    <row r="21" spans="1:5" x14ac:dyDescent="0.25">
      <c r="A21" s="53" t="s">
        <v>43</v>
      </c>
      <c r="B21" s="54">
        <f>SUM(B7:B20)</f>
        <v>410</v>
      </c>
    </row>
    <row r="24" spans="1:5" x14ac:dyDescent="0.25">
      <c r="A24" s="40" t="s">
        <v>44</v>
      </c>
    </row>
    <row r="26" spans="1:5" ht="29.1" customHeight="1" x14ac:dyDescent="0.25">
      <c r="A26" s="75" t="s">
        <v>45</v>
      </c>
      <c r="B26" s="75"/>
      <c r="D26" s="76" t="s">
        <v>46</v>
      </c>
      <c r="E26" s="76"/>
    </row>
    <row r="27" spans="1:5" x14ac:dyDescent="0.25">
      <c r="A27" s="55" t="s">
        <v>40</v>
      </c>
      <c r="B27" s="55" t="s">
        <v>13</v>
      </c>
      <c r="D27" s="43" t="s">
        <v>40</v>
      </c>
      <c r="E27" s="44" t="s">
        <v>13</v>
      </c>
    </row>
    <row r="28" spans="1:5" x14ac:dyDescent="0.25">
      <c r="A28" s="46">
        <v>34</v>
      </c>
      <c r="B28" s="46">
        <v>1</v>
      </c>
      <c r="D28" s="47">
        <v>38</v>
      </c>
      <c r="E28" s="48">
        <v>4</v>
      </c>
    </row>
    <row r="29" spans="1:5" x14ac:dyDescent="0.25">
      <c r="A29" s="46">
        <v>36</v>
      </c>
      <c r="B29" s="46">
        <v>18</v>
      </c>
      <c r="D29" s="47">
        <v>40</v>
      </c>
      <c r="E29" s="48">
        <v>4</v>
      </c>
    </row>
    <row r="30" spans="1:5" x14ac:dyDescent="0.25">
      <c r="A30" s="46">
        <v>38</v>
      </c>
      <c r="B30" s="46">
        <v>32</v>
      </c>
      <c r="D30" s="47">
        <v>42</v>
      </c>
      <c r="E30" s="48">
        <v>4</v>
      </c>
    </row>
    <row r="31" spans="1:5" x14ac:dyDescent="0.25">
      <c r="A31" s="46">
        <v>40</v>
      </c>
      <c r="B31" s="46">
        <v>61</v>
      </c>
      <c r="D31" s="47">
        <v>44</v>
      </c>
      <c r="E31" s="48">
        <v>16</v>
      </c>
    </row>
    <row r="32" spans="1:5" x14ac:dyDescent="0.25">
      <c r="A32" s="46">
        <v>42</v>
      </c>
      <c r="B32" s="46">
        <v>66</v>
      </c>
      <c r="D32" s="47">
        <v>46</v>
      </c>
      <c r="E32" s="48">
        <v>10</v>
      </c>
    </row>
    <row r="33" spans="1:6" x14ac:dyDescent="0.25">
      <c r="A33" s="46">
        <v>44</v>
      </c>
      <c r="B33" s="46">
        <v>64</v>
      </c>
      <c r="D33" s="47">
        <v>48</v>
      </c>
      <c r="E33" s="48">
        <v>6</v>
      </c>
    </row>
    <row r="34" spans="1:6" x14ac:dyDescent="0.25">
      <c r="A34" s="46">
        <v>46</v>
      </c>
      <c r="B34" s="46">
        <v>75</v>
      </c>
      <c r="D34" s="47">
        <v>50</v>
      </c>
      <c r="E34" s="48">
        <v>3</v>
      </c>
    </row>
    <row r="35" spans="1:6" x14ac:dyDescent="0.25">
      <c r="A35" s="46">
        <v>48</v>
      </c>
      <c r="B35" s="46">
        <v>43</v>
      </c>
      <c r="D35" s="47">
        <v>52</v>
      </c>
      <c r="E35" s="48">
        <v>2</v>
      </c>
    </row>
    <row r="36" spans="1:6" x14ac:dyDescent="0.25">
      <c r="A36" s="46">
        <v>50</v>
      </c>
      <c r="B36" s="46">
        <v>22</v>
      </c>
      <c r="D36" s="47">
        <v>60</v>
      </c>
      <c r="E36" s="48">
        <v>1</v>
      </c>
    </row>
    <row r="37" spans="1:6" x14ac:dyDescent="0.25">
      <c r="A37" s="46">
        <v>52</v>
      </c>
      <c r="B37" s="46">
        <v>13</v>
      </c>
      <c r="D37" s="47"/>
      <c r="E37" s="48"/>
    </row>
    <row r="38" spans="1:6" x14ac:dyDescent="0.25">
      <c r="A38" s="46">
        <v>54</v>
      </c>
      <c r="B38" s="46">
        <v>10</v>
      </c>
      <c r="D38" s="49" t="s">
        <v>41</v>
      </c>
      <c r="E38" s="50">
        <f>SUM(E28:E37)</f>
        <v>50</v>
      </c>
      <c r="F38" s="56"/>
    </row>
    <row r="39" spans="1:6" x14ac:dyDescent="0.25">
      <c r="A39" s="46">
        <v>56</v>
      </c>
      <c r="B39" s="46">
        <v>2</v>
      </c>
    </row>
    <row r="40" spans="1:6" x14ac:dyDescent="0.25">
      <c r="A40" s="46">
        <v>60</v>
      </c>
      <c r="B40" s="46">
        <v>2</v>
      </c>
    </row>
    <row r="41" spans="1:6" x14ac:dyDescent="0.25">
      <c r="A41" s="46">
        <v>64</v>
      </c>
      <c r="B41" s="46">
        <v>1</v>
      </c>
      <c r="D41" s="51" t="s">
        <v>42</v>
      </c>
      <c r="E41" s="52">
        <f>B42+E38</f>
        <v>460</v>
      </c>
    </row>
    <row r="42" spans="1:6" x14ac:dyDescent="0.25">
      <c r="A42" s="57" t="s">
        <v>43</v>
      </c>
      <c r="B42" s="58">
        <f>SUM(B28:B41)</f>
        <v>410</v>
      </c>
    </row>
    <row r="44" spans="1:6" x14ac:dyDescent="0.25">
      <c r="A44" s="40" t="s">
        <v>47</v>
      </c>
    </row>
    <row r="46" spans="1:6" ht="23.85" customHeight="1" x14ac:dyDescent="0.25">
      <c r="A46" s="76" t="s">
        <v>48</v>
      </c>
      <c r="B46" s="76"/>
    </row>
    <row r="47" spans="1:6" x14ac:dyDescent="0.25">
      <c r="A47" s="59" t="s">
        <v>40</v>
      </c>
      <c r="B47" s="55" t="s">
        <v>13</v>
      </c>
    </row>
    <row r="48" spans="1:6" x14ac:dyDescent="0.25">
      <c r="A48" s="60" t="s">
        <v>49</v>
      </c>
      <c r="B48" s="61">
        <v>15</v>
      </c>
    </row>
    <row r="49" spans="1:2" x14ac:dyDescent="0.25">
      <c r="A49" s="62" t="s">
        <v>50</v>
      </c>
      <c r="B49" s="61">
        <v>35</v>
      </c>
    </row>
    <row r="50" spans="1:2" x14ac:dyDescent="0.25">
      <c r="A50" s="62" t="s">
        <v>51</v>
      </c>
      <c r="B50" s="61">
        <v>93</v>
      </c>
    </row>
    <row r="51" spans="1:2" x14ac:dyDescent="0.25">
      <c r="A51" s="62" t="s">
        <v>52</v>
      </c>
      <c r="B51" s="61">
        <v>94</v>
      </c>
    </row>
    <row r="52" spans="1:2" x14ac:dyDescent="0.25">
      <c r="A52" s="62" t="s">
        <v>53</v>
      </c>
      <c r="B52" s="61">
        <v>125</v>
      </c>
    </row>
    <row r="53" spans="1:2" x14ac:dyDescent="0.25">
      <c r="A53" s="63" t="s">
        <v>54</v>
      </c>
      <c r="B53" s="61">
        <v>72</v>
      </c>
    </row>
    <row r="54" spans="1:2" x14ac:dyDescent="0.25">
      <c r="A54" s="63" t="s">
        <v>55</v>
      </c>
      <c r="B54" s="61">
        <v>20</v>
      </c>
    </row>
    <row r="55" spans="1:2" x14ac:dyDescent="0.25">
      <c r="A55" s="62" t="s">
        <v>56</v>
      </c>
      <c r="B55" s="61">
        <v>4</v>
      </c>
    </row>
    <row r="56" spans="1:2" x14ac:dyDescent="0.25">
      <c r="A56" s="63" t="s">
        <v>57</v>
      </c>
      <c r="B56" s="61">
        <v>2</v>
      </c>
    </row>
    <row r="57" spans="1:2" x14ac:dyDescent="0.25">
      <c r="A57" s="57" t="s">
        <v>58</v>
      </c>
      <c r="B57" s="58">
        <f>SUM(B48:B56)</f>
        <v>460</v>
      </c>
    </row>
  </sheetData>
  <mergeCells count="5">
    <mergeCell ref="A5:B5"/>
    <mergeCell ref="D5:E5"/>
    <mergeCell ref="A26:B26"/>
    <mergeCell ref="D26:E26"/>
    <mergeCell ref="A46:B46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ANEXO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soy_gisuarez@hotmail.com</dc:creator>
  <dc:description/>
  <cp:lastModifiedBy>ELIAS QUINTAR</cp:lastModifiedBy>
  <cp:revision>4</cp:revision>
  <dcterms:created xsi:type="dcterms:W3CDTF">2021-12-02T13:01:27Z</dcterms:created>
  <dcterms:modified xsi:type="dcterms:W3CDTF">2022-03-15T12:44:47Z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