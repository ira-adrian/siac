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OMPRAS\Desktop\Alfa. Produccion\"/>
    </mc:Choice>
  </mc:AlternateContent>
  <bookViews>
    <workbookView xWindow="0" yWindow="0" windowWidth="28545" windowHeight="12300" tabRatio="500" activeTab="2"/>
  </bookViews>
  <sheets>
    <sheet name=" NotaPedido" sheetId="1" r:id="rId1"/>
    <sheet name="Autor Gastar" sheetId="2" r:id="rId2"/>
    <sheet name="Necesidades Trimestrales" sheetId="3" r:id="rId3"/>
  </sheets>
  <definedNames>
    <definedName name="_xlnm.Print_Area" localSheetId="0">' NotaPedido'!$A$1:$K$13</definedName>
    <definedName name="_xlnm.Print_Area" localSheetId="1">'Autor Gastar'!$A$1:$Q$39</definedName>
    <definedName name="_xlnm.Print_Area" localSheetId="2">'Necesidades Trimestrales'!$A$1:$I$26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" i="3" l="1"/>
  <c r="J13" i="1"/>
  <c r="Q35" i="2"/>
</calcChain>
</file>

<file path=xl/sharedStrings.xml><?xml version="1.0" encoding="utf-8"?>
<sst xmlns="http://schemas.openxmlformats.org/spreadsheetml/2006/main" count="90" uniqueCount="76">
  <si>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</si>
  <si>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</si>
  <si>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</si>
  <si>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</si>
  <si>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</si>
  <si>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</si>
  <si>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</si>
  <si>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</si>
  <si>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</si>
  <si>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</si>
  <si>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</si>
  <si>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</si>
  <si>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</si>
  <si>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</si>
  <si>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</si>
  <si>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EJERCICIO: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</si>
  <si>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</si>
  <si>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</si>
  <si>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</si>
  <si>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</si>
  <si>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</si>
  <si>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</si>
  <si>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</si>
  <si>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</si>
  <si>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</si>
  <si>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</si>
  <si>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</si>
  <si>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</si>
  <si>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</si>
  <si>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</si>
  <si>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</si>
  <si>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</si>
  <si>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</si>
  <si>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</si>
  <si>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</si>
  <si>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</si>
  <si>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</si>
  <si>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>1.1</t>
  </si>
  <si>
    <t>ID</t>
  </si>
  <si>
    <t>CODIGO ITEM</t>
  </si>
  <si>
    <t>RUBRO DE LA COMPRA</t>
  </si>
  <si>
    <t>I.P.P</t>
  </si>
  <si>
    <t>DESCRIPCION</t>
  </si>
  <si>
    <t>UNIDAD DE MEDIDA</t>
  </si>
  <si>
    <t>CANTIDAD</t>
  </si>
  <si>
    <t>PRECIO UNITARIO ESTIMADO</t>
  </si>
  <si>
    <t>Especialidades item N° 1</t>
  </si>
  <si>
    <t>Descripcion Técnica</t>
  </si>
  <si>
    <t>Plazos y lugares de entrega:</t>
  </si>
  <si>
    <t>UNIDAD</t>
  </si>
  <si>
    <t>Pedido de Necesidades Trimestrales</t>
  </si>
  <si>
    <t>IMPORTE TOTAL ESTIMADO</t>
  </si>
  <si>
    <t>30 DIAS</t>
  </si>
  <si>
    <t>Mantenimiento</t>
  </si>
  <si>
    <t xml:space="preserve">Calidad Minima esperada </t>
  </si>
  <si>
    <t>2.1.2-2888.33</t>
  </si>
  <si>
    <t>ALIMENTOS;ALIMENTOS Y FORRAJES;ALIMENTOS Y FORRAJES; TIPO: ALFALFA, PRESENTACION: ROLLO X 400 Kg, USO: GANADO EQUINO</t>
  </si>
  <si>
    <t>Alimentos para Animales</t>
  </si>
  <si>
    <t>Que Cumpla con lo Solicitado de Forma Integra , con un contenido proteico de entre el 15 y 19%, materia seca 90%</t>
  </si>
  <si>
    <t>Adquisicion de Rollos de Alfalfa destinados a implementar el plan estratégico integral en la Provincia</t>
  </si>
  <si>
    <t>SI</t>
  </si>
  <si>
    <t>2.1.2</t>
  </si>
  <si>
    <t>PG</t>
  </si>
  <si>
    <t xml:space="preserve">62- MINISTERIO DE INCLUSION DIGITAL Y SISTEMAS PRODUCTIVOS </t>
  </si>
  <si>
    <t>33- DIRECCION PROVINCIAL DE ADMINISTRACION GENERAL</t>
  </si>
  <si>
    <t xml:space="preserve">MINISTERIO DE INCLUSION DIGITAL Y SISTEMAS PRODUCTIVOS </t>
  </si>
  <si>
    <t>JURISDICCION : 62- MINISTERIO DE INCLUSION DIGITAL Y SISTEMAS PRODUCTIVOS</t>
  </si>
  <si>
    <t>EJERCICIO: 2022</t>
  </si>
  <si>
    <t>TRIMESTRE: 02</t>
  </si>
  <si>
    <t>SAF N°: 33- DIRECCION PROVINCIAL DE ADMINISTRACION GENERAL</t>
  </si>
  <si>
    <t>ALIMENTOS</t>
  </si>
  <si>
    <r>
      <t xml:space="preserve">a) </t>
    </r>
    <r>
      <rPr>
        <b/>
        <sz val="9"/>
        <rFont val="Century Gothic"/>
        <family val="2"/>
      </rPr>
      <t xml:space="preserve"> FORMA DE LA ENTREGA  ENTREGA : </t>
    </r>
    <r>
      <rPr>
        <sz val="9"/>
        <rFont val="Century Gothic"/>
        <family val="2"/>
      </rPr>
      <t xml:space="preserve">Presentar  Remito que deberá cumplimentar lo dispuesto por la R.G. AFIP 1415/03, sin excepción..
b)  </t>
    </r>
    <r>
      <rPr>
        <b/>
        <sz val="9"/>
        <rFont val="Century Gothic"/>
        <family val="2"/>
      </rPr>
      <t>PLAZO DE ENTREGA</t>
    </r>
    <r>
      <rPr>
        <sz val="9"/>
        <rFont val="Century Gothic"/>
        <family val="2"/>
      </rPr>
      <t>: El Oferente deberá establecer plazo de entrega del bien cotizado, debiendo ser expresado en días hábiles; que no podrá ser superior a</t>
    </r>
    <r>
      <rPr>
        <b/>
        <sz val="9"/>
        <rFont val="Century Gothic"/>
        <family val="2"/>
      </rPr>
      <t xml:space="preserve">  Diez</t>
    </r>
    <r>
      <rPr>
        <sz val="9"/>
        <rFont val="Century Gothic"/>
        <family val="2"/>
      </rPr>
      <t xml:space="preserve"> 10 día</t>
    </r>
    <r>
      <rPr>
        <b/>
        <sz val="9"/>
        <rFont val="Century Gothic"/>
        <family val="2"/>
      </rPr>
      <t>s</t>
    </r>
    <r>
      <rPr>
        <sz val="9"/>
        <rFont val="Century Gothic"/>
        <family val="2"/>
      </rPr>
      <t xml:space="preserve"> hábiles contados a partir de la recepción de la comunicación prevista en el Artículo 80° de del Reglamento Parcial N° 2 de la ley 4938. -  El Lugar de Entrega sera: AV. VENEZUELA S/N - C.A.P.E - PABELLON N° 28 -SAN FERNANDO DEL VALLE DE CATAMARCA- CATAMARCA</t>
    </r>
  </si>
  <si>
    <t>TOTAL DE PESOS: NUEVE MILLONES DOS MIL CUATROCIENTOS CON 00/100</t>
  </si>
  <si>
    <t>Costo total estimado: NUEVE MILLONES DOS MIL CUATROCIENTOS CON 00/100</t>
  </si>
  <si>
    <t>3 - TRIMESTRE 2022</t>
  </si>
  <si>
    <t>Autorizo la realización de los  trámites correspondientes, a fin de proveer a  este Organismo los bienes que se detallan en Nota  de Pedido N° 25 / 2022 afectando la erogación resultante a los créditos presupuestarios aprobados a favor de esta Unidad Ejecutora, conforme al siguiente detalle: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</si>
</sst>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6" formatCode="&quot;$&quot;\ #,##0;[Red]\-&quot;$&quot;\ #,##0"/>
    <numFmt numFmtId="8" formatCode="&quot;$&quot;\ #,##0.00;[Red]\-&quot;$&quot;\ #,##0.00"/>
    <numFmt numFmtId="44" formatCode="_-&quot;$&quot;\ * #,##0.00_-;\-&quot;$&quot;\ * #,##0.00_-;_-&quot;$&quot;\ * &quot;-&quot;??_-;_-@_-"/>
    <numFmt numFmtId="164" formatCode="_(\$* #,##0.00_);_(\$* \(#,##0.00\);_(\$* \-??_);_(@_)"/>
    <numFmt numFmtId="165" formatCode="dd\-mm\-yy;@"/>
    <numFmt numFmtId="166" formatCode="[$$-2C0A]\ #,##0.00;[$$-2C0A]&quot; -&quot;#,##0.00"/>
    <numFmt numFmtId="167" formatCode="&quot;$&quot;#,##0.00"/>
    <numFmt numFmtId="168" formatCode="[$$-2C0A]\ #,##0"/>
    <numFmt numFmtId="169" formatCode="[$$-2C0A]\ #,##0.00"/>
  </numFmts>
  <fonts count="33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b/>
      <u/>
      <sz val="24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4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Times New Roman"/>
      <family val="1"/>
    </font>
    <font>
      <sz val="10"/>
      <name val="Arial"/>
      <family val="2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name val="Times New Roman"/>
      <family val="1"/>
    </font>
    <font>
      <sz val="10"/>
      <name val="Century Gothic"/>
      <family val="2"/>
    </font>
    <font>
      <b/>
      <sz val="10"/>
      <name val="Century Gothic"/>
      <family val="2"/>
    </font>
    <font>
      <sz val="9"/>
      <name val="Century Gothic"/>
      <family val="2"/>
    </font>
    <font>
      <b/>
      <sz val="9"/>
      <name val="Century Gothic"/>
      <family val="2"/>
    </font>
    <font>
      <u/>
      <sz val="10"/>
      <name val="Century Gothic"/>
      <family val="2"/>
    </font>
    <font>
      <sz val="8"/>
      <name val="Century Gothic"/>
      <family val="2"/>
    </font>
    <font>
      <b/>
      <sz val="14"/>
      <name val="Century Gothic"/>
      <family val="2"/>
    </font>
    <font>
      <sz val="11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</fills>
  <borders count="60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auto="1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rgb="FF3D3D3D"/>
      </left>
      <right style="medium">
        <color auto="1"/>
      </right>
      <top/>
      <bottom style="thin">
        <color rgb="FF3D3D3D"/>
      </bottom>
      <diagonal/>
    </border>
  </borders>
  <cellStyleXfs count="6">
    <xf numFmtId="0" fontId="0" fillId="0" borderId="0"/>
    <xf numFmtId="0" fontId="2" fillId="0" borderId="1" applyProtection="0"/>
    <xf numFmtId="164" fontId="3" fillId="0" borderId="0" applyBorder="0" applyProtection="0"/>
    <xf numFmtId="0" fontId="4" fillId="2" borderId="0" applyBorder="0" applyProtection="0"/>
    <xf numFmtId="0" fontId="1" fillId="0" borderId="0"/>
    <xf numFmtId="44" fontId="22" fillId="0" borderId="0" applyFont="0" applyFill="0" applyBorder="0" applyAlignment="0" applyProtection="0"/>
  </cellStyleXfs>
  <cellXfs count="134">
    <xf numFmtId="0" fontId="0" fillId="0" borderId="0" xfId="0"/>
    <xf numFmtId="0" fontId="3" fillId="0" borderId="0" xfId="0" applyFont="1" applyBorder="1" applyAlignment="1">
      <alignment vertical="center"/>
    </xf>
    <xf numFmtId="0" fontId="6" fillId="0" borderId="3" xfId="0" applyFont="1" applyBorder="1" applyAlignment="1">
      <alignment horizontal="right" vertical="center"/>
    </xf>
    <xf numFmtId="0" fontId="7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0" fillId="0" borderId="0" xfId="0" applyAlignment="1">
      <alignment horizontal="left"/>
    </xf>
    <xf numFmtId="3" fontId="12" fillId="0" borderId="20" xfId="0" applyNumberFormat="1" applyFont="1" applyBorder="1" applyAlignment="1"/>
    <xf numFmtId="165" fontId="0" fillId="0" borderId="20" xfId="0" applyNumberFormat="1" applyBorder="1" applyAlignment="1">
      <alignment horizontal="left"/>
    </xf>
    <xf numFmtId="0" fontId="0" fillId="0" borderId="20" xfId="0" applyBorder="1"/>
    <xf numFmtId="0" fontId="0" fillId="0" borderId="13" xfId="0" applyBorder="1"/>
    <xf numFmtId="0" fontId="0" fillId="0" borderId="0" xfId="0" applyBorder="1"/>
    <xf numFmtId="0" fontId="0" fillId="0" borderId="0" xfId="0" applyBorder="1" applyAlignment="1">
      <alignment horizontal="left"/>
    </xf>
    <xf numFmtId="165" fontId="0" fillId="0" borderId="0" xfId="0" applyNumberFormat="1" applyBorder="1" applyAlignment="1">
      <alignment horizontal="left"/>
    </xf>
    <xf numFmtId="0" fontId="0" fillId="0" borderId="7" xfId="0" applyBorder="1"/>
    <xf numFmtId="0" fontId="3" fillId="0" borderId="0" xfId="0" applyFont="1"/>
    <xf numFmtId="0" fontId="0" fillId="0" borderId="5" xfId="0" applyBorder="1"/>
    <xf numFmtId="0" fontId="0" fillId="0" borderId="6" xfId="0" applyBorder="1"/>
    <xf numFmtId="0" fontId="0" fillId="0" borderId="6" xfId="0" applyBorder="1" applyAlignment="1">
      <alignment horizontal="left"/>
    </xf>
    <xf numFmtId="0" fontId="0" fillId="0" borderId="26" xfId="0" applyBorder="1"/>
    <xf numFmtId="0" fontId="16" fillId="0" borderId="29" xfId="0" applyFont="1" applyBorder="1" applyAlignment="1">
      <alignment horizontal="center" vertical="center"/>
    </xf>
    <xf numFmtId="0" fontId="16" fillId="0" borderId="30" xfId="0" applyFont="1" applyBorder="1" applyAlignment="1">
      <alignment horizontal="center" vertical="center"/>
    </xf>
    <xf numFmtId="0" fontId="16" fillId="0" borderId="30" xfId="0" applyFont="1" applyBorder="1" applyAlignment="1">
      <alignment horizontal="left" vertical="center"/>
    </xf>
    <xf numFmtId="0" fontId="16" fillId="0" borderId="31" xfId="0" applyFont="1" applyBorder="1" applyAlignment="1">
      <alignment horizontal="center" vertical="center"/>
    </xf>
    <xf numFmtId="0" fontId="16" fillId="0" borderId="32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0" fontId="0" fillId="0" borderId="39" xfId="0" applyFont="1" applyBorder="1" applyAlignment="1">
      <alignment horizontal="center" vertical="center"/>
    </xf>
    <xf numFmtId="166" fontId="0" fillId="0" borderId="40" xfId="2" applyNumberFormat="1" applyFont="1" applyBorder="1" applyAlignment="1" applyProtection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37" xfId="0" applyFon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14" fillId="0" borderId="39" xfId="0" applyFont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166" fontId="0" fillId="0" borderId="44" xfId="2" applyNumberFormat="1" applyFont="1" applyBorder="1" applyAlignment="1" applyProtection="1">
      <alignment horizontal="center" vertical="center"/>
    </xf>
    <xf numFmtId="166" fontId="16" fillId="0" borderId="46" xfId="0" applyNumberFormat="1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center"/>
    </xf>
    <xf numFmtId="0" fontId="17" fillId="0" borderId="34" xfId="0" applyFont="1" applyBorder="1" applyAlignment="1">
      <alignment horizontal="center" vertical="center"/>
    </xf>
    <xf numFmtId="0" fontId="17" fillId="0" borderId="35" xfId="0" applyFont="1" applyBorder="1" applyAlignment="1">
      <alignment horizontal="center" vertical="center"/>
    </xf>
    <xf numFmtId="0" fontId="0" fillId="0" borderId="2" xfId="0" applyBorder="1"/>
    <xf numFmtId="0" fontId="0" fillId="0" borderId="50" xfId="0" applyBorder="1"/>
    <xf numFmtId="0" fontId="0" fillId="0" borderId="0" xfId="0" applyFill="1"/>
    <xf numFmtId="167" fontId="0" fillId="0" borderId="0" xfId="0" applyNumberFormat="1"/>
    <xf numFmtId="168" fontId="0" fillId="0" borderId="59" xfId="2" applyNumberFormat="1" applyFont="1" applyBorder="1" applyAlignment="1" applyProtection="1">
      <alignment horizontal="right" vertical="center"/>
    </xf>
    <xf numFmtId="0" fontId="19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 wrapText="1"/>
    </xf>
    <xf numFmtId="169" fontId="3" fillId="0" borderId="54" xfId="0" applyNumberFormat="1" applyFont="1" applyBorder="1" applyAlignment="1">
      <alignment vertical="center"/>
    </xf>
    <xf numFmtId="8" fontId="20" fillId="0" borderId="9" xfId="0" applyNumberFormat="1" applyFont="1" applyBorder="1" applyAlignment="1">
      <alignment horizontal="center" vertical="center" wrapText="1"/>
    </xf>
    <xf numFmtId="0" fontId="29" fillId="0" borderId="13" xfId="0" applyFont="1" applyBorder="1"/>
    <xf numFmtId="0" fontId="25" fillId="0" borderId="0" xfId="0" applyFont="1" applyBorder="1"/>
    <xf numFmtId="0" fontId="25" fillId="0" borderId="7" xfId="0" applyFont="1" applyBorder="1"/>
    <xf numFmtId="0" fontId="25" fillId="0" borderId="13" xfId="0" applyFont="1" applyBorder="1"/>
    <xf numFmtId="0" fontId="29" fillId="0" borderId="0" xfId="0" applyFont="1" applyBorder="1"/>
    <xf numFmtId="0" fontId="30" fillId="0" borderId="0" xfId="0" applyFont="1" applyBorder="1"/>
    <xf numFmtId="0" fontId="25" fillId="0" borderId="51" xfId="0" applyFont="1" applyBorder="1"/>
    <xf numFmtId="0" fontId="29" fillId="0" borderId="52" xfId="0" applyFont="1" applyBorder="1"/>
    <xf numFmtId="0" fontId="25" fillId="0" borderId="52" xfId="0" applyFont="1" applyBorder="1"/>
    <xf numFmtId="0" fontId="25" fillId="0" borderId="53" xfId="0" applyFont="1" applyBorder="1"/>
    <xf numFmtId="0" fontId="29" fillId="0" borderId="0" xfId="0" applyFont="1" applyBorder="1" applyAlignment="1">
      <alignment vertical="top" wrapText="1"/>
    </xf>
    <xf numFmtId="0" fontId="25" fillId="0" borderId="0" xfId="0" applyFont="1"/>
    <xf numFmtId="0" fontId="26" fillId="0" borderId="0" xfId="0" applyFont="1"/>
    <xf numFmtId="0" fontId="26" fillId="0" borderId="56" xfId="0" applyFont="1" applyBorder="1" applyAlignment="1">
      <alignment horizontal="center" vertical="center"/>
    </xf>
    <xf numFmtId="0" fontId="26" fillId="0" borderId="57" xfId="0" applyFont="1" applyBorder="1" applyAlignment="1">
      <alignment horizontal="center" vertical="center"/>
    </xf>
    <xf numFmtId="0" fontId="26" fillId="0" borderId="55" xfId="0" applyFont="1" applyBorder="1" applyAlignment="1">
      <alignment horizontal="center" vertical="center"/>
    </xf>
    <xf numFmtId="0" fontId="26" fillId="0" borderId="55" xfId="0" applyFont="1" applyBorder="1" applyAlignment="1">
      <alignment horizontal="center" vertical="center" wrapText="1"/>
    </xf>
    <xf numFmtId="0" fontId="26" fillId="0" borderId="58" xfId="0" applyFont="1" applyBorder="1" applyAlignment="1">
      <alignment horizontal="center" vertical="center" wrapText="1"/>
    </xf>
    <xf numFmtId="0" fontId="25" fillId="0" borderId="54" xfId="0" applyFont="1" applyFill="1" applyBorder="1" applyAlignment="1">
      <alignment horizontal="center" vertical="center"/>
    </xf>
    <xf numFmtId="0" fontId="25" fillId="0" borderId="54" xfId="0" applyFont="1" applyFill="1" applyBorder="1" applyAlignment="1">
      <alignment horizontal="center" vertical="center" wrapText="1"/>
    </xf>
    <xf numFmtId="0" fontId="32" fillId="0" borderId="54" xfId="0" applyFont="1" applyFill="1" applyBorder="1" applyAlignment="1">
      <alignment vertical="center" wrapText="1"/>
    </xf>
    <xf numFmtId="3" fontId="25" fillId="0" borderId="54" xfId="0" applyNumberFormat="1" applyFont="1" applyFill="1" applyBorder="1" applyAlignment="1">
      <alignment horizontal="center" vertical="center"/>
    </xf>
    <xf numFmtId="6" fontId="25" fillId="0" borderId="54" xfId="0" applyNumberFormat="1" applyFont="1" applyBorder="1" applyAlignment="1">
      <alignment horizontal="center" vertical="center" wrapText="1"/>
    </xf>
    <xf numFmtId="167" fontId="25" fillId="0" borderId="54" xfId="0" applyNumberFormat="1" applyFont="1" applyFill="1" applyBorder="1" applyAlignment="1">
      <alignment horizontal="center" vertical="center"/>
    </xf>
    <xf numFmtId="0" fontId="11" fillId="0" borderId="17" xfId="0" applyFont="1" applyBorder="1" applyAlignment="1">
      <alignment horizontal="left" vertical="center" wrapText="1"/>
    </xf>
    <xf numFmtId="0" fontId="11" fillId="0" borderId="51" xfId="0" applyFont="1" applyBorder="1" applyAlignment="1">
      <alignment horizontal="left" vertical="center" wrapText="1"/>
    </xf>
    <xf numFmtId="44" fontId="23" fillId="0" borderId="48" xfId="5" applyFont="1" applyBorder="1" applyAlignment="1">
      <alignment horizontal="center" vertical="center"/>
    </xf>
    <xf numFmtId="44" fontId="23" fillId="0" borderId="49" xfId="5" applyFont="1" applyBorder="1" applyAlignment="1">
      <alignment horizontal="center" vertical="center"/>
    </xf>
    <xf numFmtId="0" fontId="8" fillId="0" borderId="11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 wrapText="1" indent="1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19" fillId="0" borderId="9" xfId="0" applyFont="1" applyBorder="1" applyAlignment="1">
      <alignment vertical="center" wrapText="1"/>
    </xf>
    <xf numFmtId="0" fontId="8" fillId="0" borderId="18" xfId="0" applyFont="1" applyBorder="1" applyAlignment="1">
      <alignment horizontal="center" vertical="center"/>
    </xf>
    <xf numFmtId="0" fontId="8" fillId="0" borderId="47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0" xfId="0" applyFont="1" applyBorder="1" applyAlignment="1">
      <alignment horizontal="left" vertical="center" wrapText="1"/>
    </xf>
    <xf numFmtId="0" fontId="7" fillId="0" borderId="18" xfId="0" applyFont="1" applyBorder="1" applyAlignment="1">
      <alignment horizontal="left" vertical="center" wrapText="1" indent="1"/>
    </xf>
    <xf numFmtId="0" fontId="7" fillId="0" borderId="47" xfId="0" applyFont="1" applyBorder="1" applyAlignment="1">
      <alignment horizontal="left" vertical="center" wrapText="1" indent="1"/>
    </xf>
    <xf numFmtId="0" fontId="7" fillId="0" borderId="19" xfId="0" applyFont="1" applyBorder="1" applyAlignment="1">
      <alignment horizontal="left" vertical="center" wrapText="1" indent="1"/>
    </xf>
    <xf numFmtId="0" fontId="8" fillId="0" borderId="8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 indent="1"/>
    </xf>
    <xf numFmtId="0" fontId="5" fillId="0" borderId="2" xfId="0" applyFont="1" applyBorder="1" applyAlignment="1">
      <alignment horizontal="center" vertical="center"/>
    </xf>
    <xf numFmtId="0" fontId="12" fillId="0" borderId="9" xfId="0" applyFont="1" applyBorder="1" applyAlignment="1">
      <alignment vertical="center" wrapText="1"/>
    </xf>
    <xf numFmtId="0" fontId="14" fillId="0" borderId="28" xfId="0" applyFont="1" applyBorder="1" applyAlignment="1">
      <alignment vertical="center" wrapText="1"/>
    </xf>
    <xf numFmtId="0" fontId="21" fillId="0" borderId="17" xfId="0" applyFont="1" applyBorder="1" applyAlignment="1">
      <alignment horizontal="left" vertical="center" wrapText="1" indent="1"/>
    </xf>
    <xf numFmtId="0" fontId="14" fillId="0" borderId="17" xfId="0" applyFont="1" applyBorder="1" applyAlignment="1">
      <alignment horizontal="left" vertical="center" wrapText="1" indent="1"/>
    </xf>
    <xf numFmtId="0" fontId="0" fillId="0" borderId="39" xfId="0" applyFont="1" applyBorder="1" applyAlignment="1">
      <alignment horizontal="left" vertical="center"/>
    </xf>
    <xf numFmtId="0" fontId="0" fillId="0" borderId="39" xfId="0" applyBorder="1" applyAlignment="1">
      <alignment horizontal="left" vertical="center"/>
    </xf>
    <xf numFmtId="0" fontId="0" fillId="0" borderId="42" xfId="0" applyBorder="1" applyAlignment="1">
      <alignment horizontal="left" vertical="center"/>
    </xf>
    <xf numFmtId="0" fontId="12" fillId="0" borderId="45" xfId="0" applyFont="1" applyBorder="1" applyAlignment="1">
      <alignment horizontal="left" vertical="center" wrapText="1"/>
    </xf>
    <xf numFmtId="0" fontId="0" fillId="0" borderId="24" xfId="0" applyBorder="1"/>
    <xf numFmtId="0" fontId="0" fillId="0" borderId="39" xfId="0" applyFont="1" applyBorder="1" applyAlignment="1">
      <alignment horizontal="center" vertical="center"/>
    </xf>
    <xf numFmtId="0" fontId="24" fillId="0" borderId="34" xfId="0" applyFont="1" applyBorder="1" applyAlignment="1">
      <alignment horizontal="center" vertical="center" wrapText="1"/>
    </xf>
    <xf numFmtId="0" fontId="24" fillId="0" borderId="35" xfId="0" applyFont="1" applyBorder="1" applyAlignment="1">
      <alignment horizontal="center" vertical="center" wrapText="1"/>
    </xf>
    <xf numFmtId="0" fontId="24" fillId="0" borderId="39" xfId="0" applyFont="1" applyBorder="1" applyAlignment="1">
      <alignment horizontal="center" vertical="center" wrapText="1"/>
    </xf>
    <xf numFmtId="0" fontId="15" fillId="0" borderId="23" xfId="0" applyFont="1" applyBorder="1" applyAlignment="1">
      <alignment horizontal="left"/>
    </xf>
    <xf numFmtId="0" fontId="14" fillId="0" borderId="24" xfId="0" applyFont="1" applyBorder="1" applyAlignment="1">
      <alignment horizontal="left"/>
    </xf>
    <xf numFmtId="49" fontId="14" fillId="0" borderId="25" xfId="0" applyNumberFormat="1" applyFont="1" applyBorder="1" applyAlignment="1">
      <alignment horizontal="justify" vertical="center" wrapText="1"/>
    </xf>
    <xf numFmtId="0" fontId="16" fillId="0" borderId="24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6" fillId="0" borderId="27" xfId="0" applyFont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center"/>
    </xf>
    <xf numFmtId="0" fontId="10" fillId="0" borderId="21" xfId="0" applyFont="1" applyBorder="1" applyAlignment="1">
      <alignment horizontal="left" vertical="center" wrapText="1"/>
    </xf>
    <xf numFmtId="0" fontId="17" fillId="0" borderId="22" xfId="0" applyFont="1" applyBorder="1" applyAlignment="1">
      <alignment horizontal="left" indent="1"/>
    </xf>
    <xf numFmtId="0" fontId="0" fillId="0" borderId="18" xfId="0" applyFont="1" applyBorder="1" applyAlignment="1">
      <alignment horizontal="center"/>
    </xf>
    <xf numFmtId="3" fontId="12" fillId="0" borderId="19" xfId="0" applyNumberFormat="1" applyFont="1" applyBorder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3" fillId="0" borderId="21" xfId="0" applyFont="1" applyBorder="1"/>
    <xf numFmtId="0" fontId="31" fillId="0" borderId="0" xfId="0" applyFont="1" applyAlignment="1">
      <alignment horizontal="center" vertical="center" wrapText="1"/>
    </xf>
    <xf numFmtId="0" fontId="30" fillId="0" borderId="0" xfId="0" applyFont="1" applyBorder="1" applyAlignment="1">
      <alignment horizontal="left" wrapText="1"/>
    </xf>
    <xf numFmtId="0" fontId="30" fillId="0" borderId="7" xfId="0" applyFont="1" applyBorder="1" applyAlignment="1">
      <alignment horizontal="left" wrapText="1"/>
    </xf>
    <xf numFmtId="0" fontId="27" fillId="3" borderId="0" xfId="0" applyFont="1" applyFill="1" applyBorder="1" applyAlignment="1">
      <alignment horizontal="left" vertical="top" wrapText="1"/>
    </xf>
    <xf numFmtId="0" fontId="27" fillId="3" borderId="7" xfId="0" applyFont="1" applyFill="1" applyBorder="1" applyAlignment="1">
      <alignment horizontal="left" vertical="top" wrapText="1"/>
    </xf>
    <xf numFmtId="0" fontId="30" fillId="0" borderId="0" xfId="0" applyFont="1" applyBorder="1" applyAlignment="1">
      <alignment horizontal="left" vertical="top" wrapText="1"/>
    </xf>
    <xf numFmtId="0" fontId="30" fillId="0" borderId="7" xfId="0" applyFont="1" applyBorder="1" applyAlignment="1">
      <alignment horizontal="left" vertical="top" wrapText="1"/>
    </xf>
  </cellXfs>
  <cellStyles count="6">
    <cellStyle name="Encabezado 1" xfId="1"/>
    <cellStyle name="Moneda" xfId="5" builtinId="4"/>
    <cellStyle name="Moneda_AUTORIZACION Y NOTA DE PEDIDO" xfId="2"/>
    <cellStyle name="Neutral 1" xfId="3"/>
    <cellStyle name="Normal" xfId="0" builtinId="0"/>
    <cellStyle name="Normal 2" xfId="4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13"/>
  <sheetViews>
    <sheetView zoomScaleNormal="100" workbookViewId="0">
      <selection activeCell="F17" sqref="F17"/>
    </sheetView>
  </sheetViews>
  <sheetFormatPr baseColWidth="10" defaultColWidth="9.140625" defaultRowHeight="12.75" x14ac:dyDescent="0.2"/>
  <cols>
    <col min="1" max="1" width="5.5703125" style="1" customWidth="1"/>
    <col min="2" max="2" width="15.140625" style="1" customWidth="1"/>
    <col min="3" max="3" width="14.140625" style="1" customWidth="1"/>
    <col min="4" max="4" width="26" style="1" customWidth="1"/>
    <col min="5" max="5" width="8" style="1" customWidth="1"/>
    <col min="6" max="6" width="7.85546875" style="1" customWidth="1"/>
    <col min="7" max="7" width="28.5703125" style="1" customWidth="1"/>
    <col min="8" max="8" width="9.28515625" style="1" customWidth="1"/>
    <col min="9" max="9" width="15.5703125" style="1" customWidth="1"/>
    <col min="10" max="10" width="14.7109375" style="1" customWidth="1"/>
    <col min="11" max="11" width="15.5703125" style="1" customWidth="1"/>
    <col min="12" max="12" width="14.42578125" style="1" customWidth="1"/>
    <col min="13" max="14" width="5.85546875" style="1" customWidth="1"/>
    <col min="15" max="15" width="12.5703125" style="1" customWidth="1"/>
    <col min="16" max="1024" width="9.140625" style="1"/>
  </cols>
  <sheetData>
    <row r="1" spans="1:11" ht="27" customHeight="1" x14ac:dyDescent="0.2">
      <c r="A1" s="100" t="s">
        <v>0</v>
      </c>
      <c r="B1" s="100"/>
      <c r="C1" s="100"/>
      <c r="D1" s="100"/>
      <c r="E1" s="100"/>
      <c r="F1" s="100"/>
      <c r="G1" s="100"/>
      <c r="H1" s="100"/>
      <c r="I1" s="100"/>
      <c r="J1" s="2" t="s">
        <v>1</v>
      </c>
      <c r="K1" s="3">
        <v>25</v>
      </c>
    </row>
    <row r="2" spans="1:11" ht="18.75" customHeight="1" thickBot="1" x14ac:dyDescent="0.25">
      <c r="A2" s="4"/>
      <c r="B2" s="5"/>
      <c r="C2" s="5"/>
      <c r="D2" s="6"/>
      <c r="E2" s="6"/>
      <c r="F2" s="6"/>
      <c r="G2" s="6"/>
      <c r="H2" s="6"/>
      <c r="I2" s="6"/>
      <c r="J2" s="6"/>
      <c r="K2" s="7"/>
    </row>
    <row r="3" spans="1:11" ht="18.75" customHeight="1" thickBot="1" x14ac:dyDescent="0.25">
      <c r="A3" s="98" t="s">
        <v>2</v>
      </c>
      <c r="B3" s="98"/>
      <c r="C3" s="98"/>
      <c r="D3" s="95" t="s">
        <v>63</v>
      </c>
      <c r="E3" s="96"/>
      <c r="F3" s="96"/>
      <c r="G3" s="96"/>
      <c r="H3" s="96"/>
      <c r="I3" s="96"/>
      <c r="J3" s="96"/>
      <c r="K3" s="97"/>
    </row>
    <row r="4" spans="1:11" ht="18.75" customHeight="1" thickBot="1" x14ac:dyDescent="0.25">
      <c r="A4" s="94" t="s">
        <v>3</v>
      </c>
      <c r="B4" s="94"/>
      <c r="C4" s="94"/>
      <c r="D4" s="95" t="s">
        <v>64</v>
      </c>
      <c r="E4" s="96"/>
      <c r="F4" s="96"/>
      <c r="G4" s="96"/>
      <c r="H4" s="96"/>
      <c r="I4" s="96"/>
      <c r="J4" s="96"/>
      <c r="K4" s="97"/>
    </row>
    <row r="5" spans="1:11" ht="18.75" customHeight="1" thickBot="1" x14ac:dyDescent="0.25">
      <c r="A5" s="94" t="s">
        <v>4</v>
      </c>
      <c r="B5" s="94"/>
      <c r="C5" s="94"/>
      <c r="D5" s="95" t="s">
        <v>65</v>
      </c>
      <c r="E5" s="96"/>
      <c r="F5" s="96"/>
      <c r="G5" s="96"/>
      <c r="H5" s="96"/>
      <c r="I5" s="96"/>
      <c r="J5" s="96"/>
      <c r="K5" s="97"/>
    </row>
    <row r="6" spans="1:11" ht="16.5" customHeight="1" thickBot="1" x14ac:dyDescent="0.25">
      <c r="A6" s="98" t="s">
        <v>5</v>
      </c>
      <c r="B6" s="98"/>
      <c r="C6" s="98"/>
      <c r="D6" s="95" t="s">
        <v>65</v>
      </c>
      <c r="E6" s="96"/>
      <c r="F6" s="96"/>
      <c r="G6" s="96"/>
      <c r="H6" s="96"/>
      <c r="I6" s="96"/>
      <c r="J6" s="96"/>
      <c r="K6" s="97"/>
    </row>
    <row r="7" spans="1:11" ht="16.5" customHeight="1" thickBot="1" x14ac:dyDescent="0.25">
      <c r="A7" s="94" t="s">
        <v>6</v>
      </c>
      <c r="B7" s="94"/>
      <c r="C7" s="94"/>
      <c r="D7" s="99" t="s">
        <v>74</v>
      </c>
      <c r="E7" s="99"/>
      <c r="F7" s="99"/>
      <c r="G7" s="99"/>
      <c r="H7" s="99"/>
      <c r="I7" s="99"/>
      <c r="J7" s="99"/>
      <c r="K7" s="99"/>
    </row>
    <row r="8" spans="1:11" ht="40.5" customHeight="1" thickBot="1" x14ac:dyDescent="0.25">
      <c r="A8" s="85" t="s">
        <v>7</v>
      </c>
      <c r="B8" s="85"/>
      <c r="C8" s="85"/>
      <c r="D8" s="86" t="s">
        <v>59</v>
      </c>
      <c r="E8" s="86"/>
      <c r="F8" s="86"/>
      <c r="G8" s="86"/>
      <c r="H8" s="86"/>
      <c r="I8" s="86"/>
      <c r="J8" s="86"/>
      <c r="K8" s="86"/>
    </row>
    <row r="9" spans="1:11" ht="16.5" thickBot="1" x14ac:dyDescent="0.25">
      <c r="A9" s="91"/>
      <c r="B9" s="92"/>
      <c r="C9" s="92"/>
      <c r="D9" s="92"/>
      <c r="E9" s="92"/>
      <c r="F9" s="92"/>
      <c r="G9" s="92"/>
      <c r="H9" s="92"/>
      <c r="I9" s="92"/>
      <c r="J9" s="92"/>
      <c r="K9" s="93"/>
    </row>
    <row r="10" spans="1:11" ht="18.75" customHeight="1" thickBot="1" x14ac:dyDescent="0.25">
      <c r="A10" s="87" t="s">
        <v>8</v>
      </c>
      <c r="B10" s="88" t="s">
        <v>9</v>
      </c>
      <c r="C10" s="88" t="s">
        <v>10</v>
      </c>
      <c r="D10" s="88"/>
      <c r="E10" s="88"/>
      <c r="F10" s="88"/>
      <c r="G10" s="88"/>
      <c r="H10" s="88" t="s">
        <v>11</v>
      </c>
      <c r="I10" s="88" t="s">
        <v>12</v>
      </c>
      <c r="J10" s="88" t="s">
        <v>13</v>
      </c>
      <c r="K10" s="89" t="s">
        <v>14</v>
      </c>
    </row>
    <row r="11" spans="1:11" ht="24" customHeight="1" thickBot="1" x14ac:dyDescent="0.25">
      <c r="A11" s="87"/>
      <c r="B11" s="88"/>
      <c r="C11" s="88"/>
      <c r="D11" s="88"/>
      <c r="E11" s="88"/>
      <c r="F11" s="88"/>
      <c r="G11" s="88"/>
      <c r="H11" s="88"/>
      <c r="I11" s="88"/>
      <c r="J11" s="88"/>
      <c r="K11" s="89"/>
    </row>
    <row r="12" spans="1:11" ht="51.75" customHeight="1" thickBot="1" x14ac:dyDescent="0.25">
      <c r="A12" s="50">
        <v>1</v>
      </c>
      <c r="B12" s="51" t="s">
        <v>55</v>
      </c>
      <c r="C12" s="90" t="s">
        <v>56</v>
      </c>
      <c r="D12" s="90"/>
      <c r="E12" s="90"/>
      <c r="F12" s="90"/>
      <c r="G12" s="90"/>
      <c r="H12" s="52" t="s">
        <v>60</v>
      </c>
      <c r="I12" s="53" t="s">
        <v>49</v>
      </c>
      <c r="J12" s="56">
        <v>13200</v>
      </c>
      <c r="K12" s="54">
        <v>682</v>
      </c>
    </row>
    <row r="13" spans="1:11" ht="25.5" customHeight="1" thickBot="1" x14ac:dyDescent="0.25">
      <c r="A13" s="81" t="s">
        <v>73</v>
      </c>
      <c r="B13" s="81"/>
      <c r="C13" s="81"/>
      <c r="D13" s="81"/>
      <c r="E13" s="81"/>
      <c r="F13" s="81"/>
      <c r="G13" s="81"/>
      <c r="H13" s="81"/>
      <c r="I13" s="82"/>
      <c r="J13" s="83">
        <f>K12*J12</f>
        <v>9002400</v>
      </c>
      <c r="K13" s="84"/>
    </row>
  </sheetData>
  <mergeCells count="24">
    <mergeCell ref="A1:I1"/>
    <mergeCell ref="A3:C3"/>
    <mergeCell ref="D3:K3"/>
    <mergeCell ref="A4:C4"/>
    <mergeCell ref="D4:K4"/>
    <mergeCell ref="A5:C5"/>
    <mergeCell ref="D5:K5"/>
    <mergeCell ref="A6:C6"/>
    <mergeCell ref="D6:K6"/>
    <mergeCell ref="A7:C7"/>
    <mergeCell ref="D7:K7"/>
    <mergeCell ref="A13:I13"/>
    <mergeCell ref="J13:K13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C12:G12"/>
    <mergeCell ref="A9:K9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9"/>
  <sheetViews>
    <sheetView zoomScale="110" zoomScaleNormal="110" workbookViewId="0">
      <selection activeCell="F21" sqref="F21"/>
    </sheetView>
  </sheetViews>
  <sheetFormatPr baseColWidth="10" defaultColWidth="11" defaultRowHeight="12.75" x14ac:dyDescent="0.2"/>
  <cols>
    <col min="1" max="5" width="4.42578125" customWidth="1"/>
    <col min="6" max="6" width="5.140625" bestFit="1" customWidth="1"/>
    <col min="7" max="7" width="4.42578125" style="8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23" t="s">
        <v>15</v>
      </c>
      <c r="B1" s="123"/>
      <c r="C1" s="123"/>
      <c r="D1" s="124">
        <v>2022</v>
      </c>
      <c r="E1" s="124"/>
      <c r="F1" s="9"/>
      <c r="G1" s="9"/>
      <c r="H1" s="10"/>
      <c r="I1" s="10"/>
      <c r="J1" s="10"/>
      <c r="K1" s="10"/>
      <c r="L1" s="10"/>
      <c r="M1" s="10"/>
      <c r="N1" s="10"/>
      <c r="O1" s="11"/>
      <c r="P1" s="125" t="s">
        <v>16</v>
      </c>
      <c r="Q1" s="125"/>
    </row>
    <row r="2" spans="1:17" ht="15.75" customHeight="1" x14ac:dyDescent="0.2">
      <c r="A2" s="12"/>
      <c r="B2" s="13"/>
      <c r="C2" s="13"/>
      <c r="D2" s="13"/>
      <c r="E2" s="13"/>
      <c r="F2" s="13"/>
      <c r="G2" s="14"/>
      <c r="H2" s="15"/>
      <c r="I2" s="15"/>
      <c r="J2" s="15"/>
      <c r="K2" s="15"/>
      <c r="L2" s="15"/>
      <c r="M2" s="15"/>
      <c r="N2" s="15"/>
      <c r="O2" s="13"/>
      <c r="P2" s="125"/>
      <c r="Q2" s="125"/>
    </row>
    <row r="3" spans="1:17" ht="13.5" thickBot="1" x14ac:dyDescent="0.25">
      <c r="A3" s="12"/>
      <c r="B3" s="13"/>
      <c r="C3" s="13"/>
      <c r="D3" s="13"/>
      <c r="E3" s="13"/>
      <c r="F3" s="13"/>
      <c r="G3" s="14"/>
      <c r="H3" s="13"/>
      <c r="I3" s="13"/>
      <c r="J3" s="13"/>
      <c r="K3" s="13"/>
      <c r="L3" s="13"/>
      <c r="M3" s="13"/>
      <c r="N3" s="13"/>
      <c r="O3" s="13"/>
      <c r="P3" s="13"/>
      <c r="Q3" s="16"/>
    </row>
    <row r="4" spans="1:17" s="17" customFormat="1" ht="18" customHeight="1" thickBot="1" x14ac:dyDescent="0.25">
      <c r="A4" s="126" t="s">
        <v>17</v>
      </c>
      <c r="B4" s="126"/>
      <c r="C4" s="126"/>
      <c r="D4" s="126"/>
      <c r="E4" s="126"/>
      <c r="F4" s="126"/>
      <c r="G4" s="122" t="s">
        <v>63</v>
      </c>
      <c r="H4" s="122"/>
      <c r="I4" s="122"/>
      <c r="J4" s="122"/>
      <c r="K4" s="122"/>
      <c r="L4" s="122"/>
      <c r="M4" s="122"/>
      <c r="N4" s="122"/>
      <c r="O4" s="122"/>
      <c r="P4" s="122"/>
      <c r="Q4" s="122"/>
    </row>
    <row r="5" spans="1:17" s="17" customFormat="1" ht="18" customHeight="1" thickBot="1" x14ac:dyDescent="0.25">
      <c r="A5" s="121" t="s">
        <v>3</v>
      </c>
      <c r="B5" s="121"/>
      <c r="C5" s="121"/>
      <c r="D5" s="121"/>
      <c r="E5" s="121"/>
      <c r="F5" s="121"/>
      <c r="G5" s="122" t="s">
        <v>64</v>
      </c>
      <c r="H5" s="122"/>
      <c r="I5" s="122"/>
      <c r="J5" s="122"/>
      <c r="K5" s="122"/>
      <c r="L5" s="122"/>
      <c r="M5" s="122"/>
      <c r="N5" s="122"/>
      <c r="O5" s="122"/>
      <c r="P5" s="122"/>
      <c r="Q5" s="122"/>
    </row>
    <row r="6" spans="1:17" s="17" customFormat="1" ht="18" customHeight="1" thickBot="1" x14ac:dyDescent="0.25">
      <c r="A6" s="121" t="s">
        <v>4</v>
      </c>
      <c r="B6" s="121"/>
      <c r="C6" s="121"/>
      <c r="D6" s="121"/>
      <c r="E6" s="121"/>
      <c r="F6" s="121"/>
      <c r="G6" s="122" t="s">
        <v>65</v>
      </c>
      <c r="H6" s="122"/>
      <c r="I6" s="122"/>
      <c r="J6" s="122"/>
      <c r="K6" s="122"/>
      <c r="L6" s="122"/>
      <c r="M6" s="122"/>
      <c r="N6" s="122"/>
      <c r="O6" s="122"/>
      <c r="P6" s="122"/>
      <c r="Q6" s="122"/>
    </row>
    <row r="7" spans="1:17" s="17" customFormat="1" ht="22.5" customHeight="1" thickBot="1" x14ac:dyDescent="0.25">
      <c r="A7" s="121" t="s">
        <v>5</v>
      </c>
      <c r="B7" s="121"/>
      <c r="C7" s="121"/>
      <c r="D7" s="121"/>
      <c r="E7" s="121"/>
      <c r="F7" s="121"/>
      <c r="G7" s="122" t="s">
        <v>65</v>
      </c>
      <c r="H7" s="122"/>
      <c r="I7" s="122"/>
      <c r="J7" s="122"/>
      <c r="K7" s="122"/>
      <c r="L7" s="122"/>
      <c r="M7" s="122"/>
      <c r="N7" s="122"/>
      <c r="O7" s="122"/>
      <c r="P7" s="122"/>
      <c r="Q7" s="122"/>
    </row>
    <row r="8" spans="1:17" ht="18" customHeight="1" thickBot="1" x14ac:dyDescent="0.25">
      <c r="A8" s="114" t="s">
        <v>18</v>
      </c>
      <c r="B8" s="114"/>
      <c r="C8" s="114"/>
      <c r="D8" s="114"/>
      <c r="E8" s="114"/>
      <c r="F8" s="114"/>
      <c r="G8" s="114"/>
      <c r="H8" s="114"/>
      <c r="I8" s="114"/>
      <c r="J8" s="114"/>
      <c r="K8" s="114"/>
      <c r="L8" s="114"/>
      <c r="M8" s="114"/>
      <c r="N8" s="114"/>
      <c r="O8" s="114"/>
      <c r="P8" s="114"/>
      <c r="Q8" s="114"/>
    </row>
    <row r="9" spans="1:17" ht="18" customHeight="1" x14ac:dyDescent="0.2">
      <c r="A9" s="115" t="s">
        <v>19</v>
      </c>
      <c r="B9" s="115"/>
      <c r="C9" s="115"/>
      <c r="D9" s="115"/>
      <c r="E9" s="115"/>
      <c r="F9" s="115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</row>
    <row r="10" spans="1:17" ht="66" customHeight="1" x14ac:dyDescent="0.2">
      <c r="A10" s="116" t="s">
        <v>75</v>
      </c>
      <c r="B10" s="116"/>
      <c r="C10" s="116"/>
      <c r="D10" s="116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6"/>
    </row>
    <row r="11" spans="1:17" ht="9" customHeight="1" thickBot="1" x14ac:dyDescent="0.25">
      <c r="A11" s="18"/>
      <c r="B11" s="19"/>
      <c r="C11" s="19"/>
      <c r="D11" s="19"/>
      <c r="E11" s="19"/>
      <c r="F11" s="19"/>
      <c r="G11" s="20"/>
      <c r="H11" s="19"/>
      <c r="I11" s="19"/>
      <c r="J11" s="19"/>
      <c r="K11" s="19"/>
      <c r="L11" s="19"/>
      <c r="M11" s="19"/>
      <c r="N11" s="19"/>
      <c r="O11" s="19"/>
      <c r="P11" s="19"/>
      <c r="Q11" s="21"/>
    </row>
    <row r="12" spans="1:17" ht="15.75" customHeight="1" x14ac:dyDescent="0.2">
      <c r="A12" s="117" t="s">
        <v>20</v>
      </c>
      <c r="B12" s="117"/>
      <c r="C12" s="117"/>
      <c r="D12" s="117"/>
      <c r="E12" s="117"/>
      <c r="F12" s="117"/>
      <c r="G12" s="117"/>
      <c r="H12" s="117"/>
      <c r="I12" s="117"/>
      <c r="J12" s="117"/>
      <c r="K12" s="117"/>
      <c r="L12" s="117"/>
      <c r="M12" s="117"/>
      <c r="N12" s="117"/>
      <c r="O12" s="117"/>
      <c r="P12" s="117"/>
      <c r="Q12" s="117"/>
    </row>
    <row r="13" spans="1:17" ht="15.75" customHeight="1" x14ac:dyDescent="0.2">
      <c r="A13" s="118" t="s">
        <v>21</v>
      </c>
      <c r="B13" s="118"/>
      <c r="C13" s="118"/>
      <c r="D13" s="118"/>
      <c r="E13" s="118"/>
      <c r="F13" s="118"/>
      <c r="G13" s="118"/>
      <c r="H13" s="118"/>
      <c r="I13" s="118"/>
      <c r="J13" s="118"/>
      <c r="K13" s="118"/>
      <c r="L13" s="118"/>
      <c r="M13" s="118"/>
      <c r="N13" s="118"/>
      <c r="O13" s="119" t="s">
        <v>22</v>
      </c>
      <c r="P13" s="119"/>
      <c r="Q13" s="120" t="s">
        <v>23</v>
      </c>
    </row>
    <row r="14" spans="1:17" ht="15.75" customHeight="1" thickBot="1" x14ac:dyDescent="0.25">
      <c r="A14" s="22" t="s">
        <v>24</v>
      </c>
      <c r="B14" s="23" t="s">
        <v>25</v>
      </c>
      <c r="C14" s="23" t="s">
        <v>62</v>
      </c>
      <c r="D14" s="23" t="s">
        <v>26</v>
      </c>
      <c r="E14" s="23" t="s">
        <v>27</v>
      </c>
      <c r="F14" s="23" t="s">
        <v>28</v>
      </c>
      <c r="G14" s="24" t="s">
        <v>29</v>
      </c>
      <c r="H14" s="23" t="s">
        <v>30</v>
      </c>
      <c r="I14" s="23" t="s">
        <v>31</v>
      </c>
      <c r="J14" s="23" t="s">
        <v>32</v>
      </c>
      <c r="K14" s="23" t="s">
        <v>32</v>
      </c>
      <c r="L14" s="23" t="s">
        <v>33</v>
      </c>
      <c r="M14" s="25" t="s">
        <v>34</v>
      </c>
      <c r="N14" s="26" t="s">
        <v>35</v>
      </c>
      <c r="O14" s="119"/>
      <c r="P14" s="119"/>
      <c r="Q14" s="120"/>
    </row>
    <row r="15" spans="1:17" ht="31.5" customHeight="1" thickBot="1" x14ac:dyDescent="0.25">
      <c r="A15" s="42">
        <v>1</v>
      </c>
      <c r="B15" s="43">
        <v>0</v>
      </c>
      <c r="C15" s="43">
        <v>0</v>
      </c>
      <c r="D15" s="43">
        <v>1</v>
      </c>
      <c r="E15" s="43">
        <v>0</v>
      </c>
      <c r="F15" s="43">
        <v>4901</v>
      </c>
      <c r="G15" s="43">
        <v>1</v>
      </c>
      <c r="H15" s="43">
        <v>3</v>
      </c>
      <c r="I15" s="43">
        <v>2</v>
      </c>
      <c r="J15" s="43">
        <v>1</v>
      </c>
      <c r="K15" s="43">
        <v>2</v>
      </c>
      <c r="L15" s="43">
        <v>0</v>
      </c>
      <c r="M15" s="44">
        <v>1</v>
      </c>
      <c r="N15" s="43" t="s">
        <v>37</v>
      </c>
      <c r="O15" s="111" t="s">
        <v>57</v>
      </c>
      <c r="P15" s="112"/>
      <c r="Q15" s="55">
        <v>9002400</v>
      </c>
    </row>
    <row r="16" spans="1:17" ht="28.5" customHeight="1" x14ac:dyDescent="0.2">
      <c r="A16" s="42"/>
      <c r="B16" s="43"/>
      <c r="C16" s="43"/>
      <c r="D16" s="43"/>
      <c r="E16" s="43"/>
      <c r="F16" s="43"/>
      <c r="G16" s="43"/>
      <c r="H16" s="43"/>
      <c r="I16" s="28"/>
      <c r="J16" s="28"/>
      <c r="K16" s="28"/>
      <c r="L16" s="43"/>
      <c r="M16" s="44"/>
      <c r="N16" s="43"/>
      <c r="O16" s="113"/>
      <c r="P16" s="113"/>
      <c r="Q16" s="49"/>
    </row>
    <row r="17" spans="1:17" ht="17.25" customHeight="1" x14ac:dyDescent="0.2">
      <c r="A17" s="27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9"/>
      <c r="N17" s="30"/>
      <c r="O17" s="110"/>
      <c r="P17" s="110"/>
      <c r="Q17" s="31"/>
    </row>
    <row r="18" spans="1:17" ht="17.25" customHeight="1" x14ac:dyDescent="0.2">
      <c r="A18" s="27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9"/>
      <c r="N18" s="30"/>
      <c r="O18" s="110"/>
      <c r="P18" s="110"/>
      <c r="Q18" s="31"/>
    </row>
    <row r="19" spans="1:17" ht="17.25" customHeight="1" x14ac:dyDescent="0.2">
      <c r="A19" s="27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9"/>
      <c r="N19" s="30"/>
      <c r="O19" s="110"/>
      <c r="P19" s="110"/>
      <c r="Q19" s="31"/>
    </row>
    <row r="20" spans="1:17" ht="17.25" customHeight="1" x14ac:dyDescent="0.2">
      <c r="A20" s="27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9"/>
      <c r="N20" s="30"/>
      <c r="O20" s="110"/>
      <c r="P20" s="110"/>
      <c r="Q20" s="31"/>
    </row>
    <row r="21" spans="1:17" ht="17.25" customHeight="1" x14ac:dyDescent="0.2">
      <c r="A21" s="27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9"/>
      <c r="N21" s="30"/>
      <c r="O21" s="110"/>
      <c r="P21" s="110"/>
      <c r="Q21" s="31"/>
    </row>
    <row r="22" spans="1:17" ht="17.25" customHeight="1" x14ac:dyDescent="0.2">
      <c r="A22" s="27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9"/>
      <c r="N22" s="30"/>
      <c r="O22" s="110"/>
      <c r="P22" s="110"/>
      <c r="Q22" s="31"/>
    </row>
    <row r="23" spans="1:17" ht="17.25" customHeight="1" x14ac:dyDescent="0.2">
      <c r="A23" s="27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9"/>
      <c r="N23" s="30"/>
      <c r="O23" s="110"/>
      <c r="P23" s="110"/>
      <c r="Q23" s="31"/>
    </row>
    <row r="24" spans="1:17" ht="17.25" customHeight="1" x14ac:dyDescent="0.2">
      <c r="A24" s="27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9"/>
      <c r="N24" s="30"/>
      <c r="O24" s="110"/>
      <c r="P24" s="110"/>
      <c r="Q24" s="31"/>
    </row>
    <row r="25" spans="1:17" ht="17.25" customHeight="1" x14ac:dyDescent="0.2">
      <c r="A25" s="27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9"/>
      <c r="N25" s="30"/>
      <c r="O25" s="110"/>
      <c r="P25" s="110"/>
      <c r="Q25" s="31"/>
    </row>
    <row r="26" spans="1:17" ht="17.25" customHeight="1" x14ac:dyDescent="0.2">
      <c r="A26" s="27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9"/>
      <c r="N26" s="30"/>
      <c r="O26" s="110"/>
      <c r="P26" s="110"/>
      <c r="Q26" s="31"/>
    </row>
    <row r="27" spans="1:17" ht="17.25" customHeight="1" x14ac:dyDescent="0.2">
      <c r="A27" s="27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9"/>
      <c r="N27" s="30"/>
      <c r="O27" s="110"/>
      <c r="P27" s="110"/>
      <c r="Q27" s="31"/>
    </row>
    <row r="28" spans="1:17" ht="17.25" customHeight="1" x14ac:dyDescent="0.2">
      <c r="A28" s="27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9"/>
      <c r="N28" s="30"/>
      <c r="O28" s="110"/>
      <c r="P28" s="110"/>
      <c r="Q28" s="31"/>
    </row>
    <row r="29" spans="1:17" ht="17.25" customHeight="1" x14ac:dyDescent="0.2">
      <c r="A29" s="27"/>
      <c r="B29" s="28"/>
      <c r="C29" s="28"/>
      <c r="D29" s="28"/>
      <c r="E29" s="28"/>
      <c r="F29" s="30"/>
      <c r="G29" s="28"/>
      <c r="H29" s="28"/>
      <c r="I29" s="28"/>
      <c r="J29" s="28"/>
      <c r="K29" s="28"/>
      <c r="L29" s="28"/>
      <c r="M29" s="29"/>
      <c r="N29" s="30"/>
      <c r="O29" s="105"/>
      <c r="P29" s="105"/>
      <c r="Q29" s="31"/>
    </row>
    <row r="30" spans="1:17" ht="17.25" customHeight="1" x14ac:dyDescent="0.2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9"/>
      <c r="N30" s="30"/>
      <c r="O30" s="105"/>
      <c r="P30" s="105"/>
      <c r="Q30" s="31"/>
    </row>
    <row r="31" spans="1:17" ht="17.25" customHeight="1" x14ac:dyDescent="0.2">
      <c r="A31" s="27"/>
      <c r="B31" s="28"/>
      <c r="C31" s="28"/>
      <c r="D31" s="28"/>
      <c r="E31" s="28"/>
      <c r="F31" s="30"/>
      <c r="G31" s="28"/>
      <c r="H31" s="28"/>
      <c r="I31" s="28"/>
      <c r="J31" s="28"/>
      <c r="K31" s="28"/>
      <c r="L31" s="28"/>
      <c r="M31" s="29"/>
      <c r="N31" s="30"/>
      <c r="O31" s="105"/>
      <c r="P31" s="105"/>
      <c r="Q31" s="31"/>
    </row>
    <row r="32" spans="1:17" ht="17.25" customHeight="1" x14ac:dyDescent="0.2">
      <c r="A32" s="27"/>
      <c r="B32" s="28"/>
      <c r="C32" s="28"/>
      <c r="D32" s="28"/>
      <c r="E32" s="28"/>
      <c r="F32" s="30"/>
      <c r="G32" s="28"/>
      <c r="H32" s="28"/>
      <c r="I32" s="28"/>
      <c r="J32" s="28"/>
      <c r="K32" s="28"/>
      <c r="L32" s="28"/>
      <c r="M32" s="29"/>
      <c r="N32" s="30"/>
      <c r="O32" s="105"/>
      <c r="P32" s="105"/>
      <c r="Q32" s="31"/>
    </row>
    <row r="33" spans="1:18" ht="17.25" customHeight="1" x14ac:dyDescent="0.2">
      <c r="A33" s="32"/>
      <c r="B33" s="33"/>
      <c r="C33" s="33"/>
      <c r="D33" s="33"/>
      <c r="E33" s="33"/>
      <c r="F33" s="34"/>
      <c r="G33" s="33"/>
      <c r="H33" s="33"/>
      <c r="I33" s="33"/>
      <c r="J33" s="33"/>
      <c r="K33" s="33"/>
      <c r="L33" s="33"/>
      <c r="M33" s="35"/>
      <c r="N33" s="36"/>
      <c r="O33" s="106"/>
      <c r="P33" s="106"/>
      <c r="Q33" s="31"/>
      <c r="R33" s="13"/>
    </row>
    <row r="34" spans="1:18" ht="17.25" customHeight="1" x14ac:dyDescent="0.2">
      <c r="A34" s="37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9"/>
      <c r="N34" s="38"/>
      <c r="O34" s="107"/>
      <c r="P34" s="107"/>
      <c r="Q34" s="40"/>
    </row>
    <row r="35" spans="1:18" ht="20.25" customHeight="1" x14ac:dyDescent="0.2">
      <c r="A35" s="108" t="s">
        <v>72</v>
      </c>
      <c r="B35" s="108"/>
      <c r="C35" s="108"/>
      <c r="D35" s="108"/>
      <c r="E35" s="108"/>
      <c r="F35" s="108"/>
      <c r="G35" s="108"/>
      <c r="H35" s="108"/>
      <c r="I35" s="108"/>
      <c r="J35" s="108"/>
      <c r="K35" s="108"/>
      <c r="L35" s="108"/>
      <c r="M35" s="108"/>
      <c r="N35" s="108"/>
      <c r="O35" s="108"/>
      <c r="P35" s="108"/>
      <c r="Q35" s="41">
        <f>SUM(Q15:Q34)</f>
        <v>9002400</v>
      </c>
    </row>
    <row r="36" spans="1:18" ht="18" customHeight="1" x14ac:dyDescent="0.2">
      <c r="A36" s="109"/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09"/>
      <c r="N36" s="109"/>
      <c r="O36" s="109"/>
      <c r="P36" s="109"/>
      <c r="Q36" s="109"/>
    </row>
    <row r="37" spans="1:18" ht="17.25" customHeight="1" x14ac:dyDescent="0.2">
      <c r="A37" s="101" t="s">
        <v>36</v>
      </c>
      <c r="B37" s="101"/>
      <c r="C37" s="101"/>
      <c r="D37" s="101"/>
      <c r="E37" s="101"/>
      <c r="F37" s="101"/>
      <c r="G37" s="102"/>
      <c r="H37" s="102"/>
      <c r="I37" s="102"/>
      <c r="J37" s="102"/>
      <c r="K37" s="102"/>
      <c r="L37" s="102"/>
      <c r="M37" s="102"/>
      <c r="N37" s="102"/>
      <c r="O37" s="102"/>
      <c r="P37" s="102"/>
      <c r="Q37" s="102"/>
    </row>
    <row r="38" spans="1:18" ht="18" customHeight="1" x14ac:dyDescent="0.2">
      <c r="A38" s="103" t="s">
        <v>59</v>
      </c>
      <c r="B38" s="104"/>
      <c r="C38" s="104"/>
      <c r="D38" s="104"/>
      <c r="E38" s="104"/>
      <c r="F38" s="104"/>
      <c r="G38" s="104"/>
      <c r="H38" s="104"/>
      <c r="I38" s="104"/>
      <c r="J38" s="104"/>
      <c r="K38" s="104"/>
      <c r="L38" s="104"/>
      <c r="M38" s="104"/>
      <c r="N38" s="104"/>
      <c r="O38" s="104"/>
      <c r="P38" s="104"/>
      <c r="Q38" s="104"/>
    </row>
    <row r="39" spans="1:18" ht="63.75" customHeight="1" x14ac:dyDescent="0.2">
      <c r="A39" s="104"/>
      <c r="B39" s="104"/>
      <c r="C39" s="104"/>
      <c r="D39" s="104"/>
      <c r="E39" s="104"/>
      <c r="F39" s="104"/>
      <c r="G39" s="104"/>
      <c r="H39" s="104"/>
      <c r="I39" s="104"/>
      <c r="J39" s="104"/>
      <c r="K39" s="104"/>
      <c r="L39" s="104"/>
      <c r="M39" s="104"/>
      <c r="N39" s="104"/>
      <c r="O39" s="104"/>
      <c r="P39" s="104"/>
      <c r="Q39" s="104"/>
    </row>
  </sheetData>
  <mergeCells count="43"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O15:P15"/>
    <mergeCell ref="O16:P16"/>
    <mergeCell ref="A8:Q8"/>
    <mergeCell ref="A9:Q9"/>
    <mergeCell ref="A10:Q10"/>
    <mergeCell ref="A12:Q12"/>
    <mergeCell ref="A13:N13"/>
    <mergeCell ref="O13:P14"/>
    <mergeCell ref="Q13:Q14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A37:F37"/>
    <mergeCell ref="G37:Q37"/>
    <mergeCell ref="A38:Q39"/>
    <mergeCell ref="O32:P32"/>
    <mergeCell ref="O33:P33"/>
    <mergeCell ref="O34:P34"/>
    <mergeCell ref="A35:P35"/>
    <mergeCell ref="A36:Q36"/>
  </mergeCells>
  <printOptions horizontalCentered="1"/>
  <pageMargins left="0.25" right="0.25" top="0.75" bottom="0.75" header="0.51180555555555496" footer="0.51180555555555496"/>
  <pageSetup paperSize="9" scale="90" firstPageNumber="0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5"/>
  <sheetViews>
    <sheetView tabSelected="1" workbookViewId="0">
      <selection activeCell="O17" sqref="O17"/>
    </sheetView>
  </sheetViews>
  <sheetFormatPr baseColWidth="10" defaultRowHeight="12.75" x14ac:dyDescent="0.2"/>
  <cols>
    <col min="1" max="1" width="5.5703125" customWidth="1"/>
    <col min="2" max="2" width="20.5703125" customWidth="1"/>
    <col min="3" max="3" width="22.28515625" customWidth="1"/>
    <col min="4" max="4" width="10" customWidth="1"/>
    <col min="5" max="5" width="31" customWidth="1"/>
    <col min="7" max="7" width="13.42578125" customWidth="1"/>
    <col min="8" max="8" width="11.5703125" bestFit="1" customWidth="1"/>
    <col min="9" max="9" width="13.7109375" bestFit="1" customWidth="1"/>
  </cols>
  <sheetData>
    <row r="2" spans="1:10" ht="18" x14ac:dyDescent="0.25">
      <c r="A2" s="68"/>
      <c r="B2" s="127" t="s">
        <v>50</v>
      </c>
      <c r="C2" s="127"/>
      <c r="D2" s="127"/>
      <c r="E2" s="127"/>
      <c r="F2" s="127"/>
      <c r="G2" s="127"/>
      <c r="H2" s="127"/>
      <c r="I2" s="127"/>
    </row>
    <row r="3" spans="1:10" ht="13.5" x14ac:dyDescent="0.25">
      <c r="A3" s="68"/>
      <c r="B3" s="68"/>
      <c r="C3" s="68"/>
      <c r="D3" s="68"/>
      <c r="E3" s="68"/>
      <c r="F3" s="68"/>
      <c r="G3" s="68"/>
      <c r="H3" s="68"/>
      <c r="I3" s="68"/>
    </row>
    <row r="4" spans="1:10" x14ac:dyDescent="0.2">
      <c r="A4" s="69" t="s">
        <v>66</v>
      </c>
      <c r="B4" s="69"/>
      <c r="C4" s="69"/>
      <c r="D4" s="69"/>
      <c r="E4" s="69"/>
      <c r="F4" s="69"/>
      <c r="G4" s="69"/>
      <c r="H4" s="69"/>
      <c r="I4" s="69"/>
    </row>
    <row r="5" spans="1:10" x14ac:dyDescent="0.2">
      <c r="A5" s="69" t="s">
        <v>69</v>
      </c>
      <c r="B5" s="69"/>
      <c r="C5" s="69"/>
      <c r="D5" s="69"/>
      <c r="E5" s="69"/>
      <c r="F5" s="69"/>
      <c r="G5" s="69"/>
      <c r="H5" s="69"/>
      <c r="I5" s="69"/>
    </row>
    <row r="6" spans="1:10" x14ac:dyDescent="0.2">
      <c r="A6" s="69" t="s">
        <v>67</v>
      </c>
      <c r="B6" s="69"/>
      <c r="C6" s="69"/>
      <c r="D6" s="69"/>
      <c r="E6" s="69"/>
      <c r="F6" s="69"/>
      <c r="G6" s="69"/>
      <c r="H6" s="69"/>
      <c r="I6" s="69"/>
    </row>
    <row r="7" spans="1:10" x14ac:dyDescent="0.2">
      <c r="A7" s="69" t="s">
        <v>68</v>
      </c>
      <c r="B7" s="69"/>
      <c r="C7" s="69"/>
      <c r="D7" s="69"/>
      <c r="E7" s="69"/>
      <c r="F7" s="69"/>
      <c r="G7" s="69"/>
      <c r="H7" s="69"/>
      <c r="I7" s="69"/>
    </row>
    <row r="8" spans="1:10" ht="13.5" thickBot="1" x14ac:dyDescent="0.25">
      <c r="A8" s="69"/>
      <c r="B8" s="69"/>
      <c r="C8" s="69"/>
      <c r="D8" s="69"/>
      <c r="E8" s="69"/>
      <c r="F8" s="69"/>
      <c r="G8" s="69"/>
      <c r="H8" s="69"/>
      <c r="I8" s="69"/>
    </row>
    <row r="9" spans="1:10" ht="38.25" customHeight="1" x14ac:dyDescent="0.2">
      <c r="A9" s="70" t="s">
        <v>38</v>
      </c>
      <c r="B9" s="71" t="s">
        <v>39</v>
      </c>
      <c r="C9" s="72" t="s">
        <v>40</v>
      </c>
      <c r="D9" s="72" t="s">
        <v>41</v>
      </c>
      <c r="E9" s="72" t="s">
        <v>42</v>
      </c>
      <c r="F9" s="73" t="s">
        <v>43</v>
      </c>
      <c r="G9" s="72" t="s">
        <v>44</v>
      </c>
      <c r="H9" s="73" t="s">
        <v>45</v>
      </c>
      <c r="I9" s="74" t="s">
        <v>51</v>
      </c>
    </row>
    <row r="10" spans="1:10" s="47" customFormat="1" ht="87.75" customHeight="1" x14ac:dyDescent="0.2">
      <c r="A10" s="75">
        <v>1</v>
      </c>
      <c r="B10" s="75" t="s">
        <v>55</v>
      </c>
      <c r="C10" s="76" t="s">
        <v>70</v>
      </c>
      <c r="D10" s="75" t="s">
        <v>61</v>
      </c>
      <c r="E10" s="77" t="s">
        <v>56</v>
      </c>
      <c r="F10" s="75" t="s">
        <v>49</v>
      </c>
      <c r="G10" s="78">
        <v>682</v>
      </c>
      <c r="H10" s="79">
        <v>13200</v>
      </c>
      <c r="I10" s="80">
        <f>H10*G10</f>
        <v>9002400</v>
      </c>
    </row>
    <row r="11" spans="1:10" ht="13.5" thickBot="1" x14ac:dyDescent="0.25">
      <c r="I11" s="48"/>
    </row>
    <row r="12" spans="1:10" x14ac:dyDescent="0.2">
      <c r="B12" s="45"/>
      <c r="C12" s="11"/>
      <c r="D12" s="11"/>
      <c r="E12" s="11"/>
      <c r="F12" s="11"/>
      <c r="G12" s="11"/>
      <c r="H12" s="11"/>
      <c r="I12" s="46"/>
      <c r="J12" s="13"/>
    </row>
    <row r="13" spans="1:10" ht="13.5" x14ac:dyDescent="0.25">
      <c r="B13" s="57" t="s">
        <v>46</v>
      </c>
      <c r="C13" s="58"/>
      <c r="D13" s="58"/>
      <c r="E13" s="58"/>
      <c r="F13" s="58"/>
      <c r="G13" s="58"/>
      <c r="H13" s="58"/>
      <c r="I13" s="59"/>
      <c r="J13" s="13"/>
    </row>
    <row r="14" spans="1:10" ht="13.5" x14ac:dyDescent="0.25">
      <c r="B14" s="60"/>
      <c r="C14" s="58"/>
      <c r="D14" s="58"/>
      <c r="E14" s="58"/>
      <c r="F14" s="58"/>
      <c r="G14" s="58"/>
      <c r="H14" s="58"/>
      <c r="I14" s="59"/>
      <c r="J14" s="13"/>
    </row>
    <row r="15" spans="1:10" ht="13.5" x14ac:dyDescent="0.25">
      <c r="B15" s="60"/>
      <c r="C15" s="61" t="s">
        <v>47</v>
      </c>
      <c r="D15" s="58"/>
      <c r="E15" s="58"/>
      <c r="F15" s="58"/>
      <c r="G15" s="58"/>
      <c r="H15" s="58"/>
      <c r="I15" s="59"/>
      <c r="J15" s="13"/>
    </row>
    <row r="16" spans="1:10" ht="35.25" customHeight="1" x14ac:dyDescent="0.25">
      <c r="B16" s="60"/>
      <c r="C16" s="58"/>
      <c r="D16" s="128" t="s">
        <v>56</v>
      </c>
      <c r="E16" s="128"/>
      <c r="F16" s="128"/>
      <c r="G16" s="128"/>
      <c r="H16" s="128"/>
      <c r="I16" s="129"/>
      <c r="J16" s="13"/>
    </row>
    <row r="17" spans="2:11" ht="13.5" x14ac:dyDescent="0.25">
      <c r="B17" s="60"/>
      <c r="C17" s="58"/>
      <c r="D17" s="128"/>
      <c r="E17" s="128"/>
      <c r="F17" s="128"/>
      <c r="G17" s="128"/>
      <c r="H17" s="128"/>
      <c r="I17" s="129"/>
      <c r="J17" s="13"/>
    </row>
    <row r="18" spans="2:11" ht="14.25" x14ac:dyDescent="0.3">
      <c r="B18" s="60"/>
      <c r="C18" s="58"/>
      <c r="D18" s="62"/>
      <c r="E18" s="58"/>
      <c r="F18" s="58"/>
      <c r="G18" s="58"/>
      <c r="H18" s="58"/>
      <c r="I18" s="59"/>
      <c r="J18" s="13"/>
    </row>
    <row r="19" spans="2:11" ht="13.5" x14ac:dyDescent="0.25">
      <c r="B19" s="60"/>
      <c r="C19" s="61" t="s">
        <v>48</v>
      </c>
      <c r="D19" s="58"/>
      <c r="E19" s="58"/>
      <c r="F19" s="58"/>
      <c r="G19" s="58"/>
      <c r="H19" s="58"/>
      <c r="I19" s="59"/>
      <c r="J19" s="13"/>
    </row>
    <row r="20" spans="2:11" ht="128.25" customHeight="1" x14ac:dyDescent="0.25">
      <c r="B20" s="60"/>
      <c r="C20" s="58"/>
      <c r="D20" s="130" t="s">
        <v>71</v>
      </c>
      <c r="E20" s="130"/>
      <c r="F20" s="130"/>
      <c r="G20" s="130"/>
      <c r="H20" s="130"/>
      <c r="I20" s="131"/>
      <c r="J20" s="13"/>
      <c r="K20" s="13"/>
    </row>
    <row r="21" spans="2:11" ht="14.25" x14ac:dyDescent="0.3">
      <c r="B21" s="60"/>
      <c r="C21" s="58"/>
      <c r="D21" s="62"/>
      <c r="E21" s="58"/>
      <c r="F21" s="58"/>
      <c r="G21" s="58"/>
      <c r="H21" s="58"/>
      <c r="I21" s="59"/>
      <c r="J21" s="13"/>
    </row>
    <row r="22" spans="2:11" ht="13.5" x14ac:dyDescent="0.25">
      <c r="B22" s="60"/>
      <c r="C22" s="58"/>
      <c r="D22" s="58"/>
      <c r="E22" s="58"/>
      <c r="F22" s="58"/>
      <c r="G22" s="58"/>
      <c r="H22" s="58"/>
      <c r="I22" s="59"/>
      <c r="J22" s="13"/>
    </row>
    <row r="23" spans="2:11" ht="35.25" customHeight="1" x14ac:dyDescent="0.25">
      <c r="B23" s="60"/>
      <c r="C23" s="67" t="s">
        <v>54</v>
      </c>
      <c r="D23" s="132" t="s">
        <v>58</v>
      </c>
      <c r="E23" s="132"/>
      <c r="F23" s="132"/>
      <c r="G23" s="132"/>
      <c r="H23" s="132"/>
      <c r="I23" s="133"/>
      <c r="J23" s="13"/>
    </row>
    <row r="24" spans="2:11" ht="14.25" x14ac:dyDescent="0.3">
      <c r="B24" s="60"/>
      <c r="C24" s="61" t="s">
        <v>53</v>
      </c>
      <c r="D24" s="62" t="s">
        <v>52</v>
      </c>
      <c r="E24" s="58"/>
      <c r="F24" s="58"/>
      <c r="G24" s="58"/>
      <c r="H24" s="58"/>
      <c r="I24" s="59"/>
      <c r="J24" s="13"/>
    </row>
    <row r="25" spans="2:11" ht="14.25" thickBot="1" x14ac:dyDescent="0.3">
      <c r="B25" s="63"/>
      <c r="C25" s="64"/>
      <c r="D25" s="65"/>
      <c r="E25" s="65"/>
      <c r="F25" s="65"/>
      <c r="G25" s="65"/>
      <c r="H25" s="65"/>
      <c r="I25" s="66"/>
      <c r="J25" s="13"/>
    </row>
  </sheetData>
  <mergeCells count="4">
    <mergeCell ref="B2:I2"/>
    <mergeCell ref="D16:I17"/>
    <mergeCell ref="D20:I20"/>
    <mergeCell ref="D23:I23"/>
  </mergeCells>
  <pageMargins left="0.7" right="0.7" top="0.75" bottom="0.75" header="0.3" footer="0.3"/>
  <pageSetup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 NotaPedido</vt:lpstr>
      <vt:lpstr>Autor Gastar</vt:lpstr>
      <vt:lpstr>Necesidades Trimestrales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farce</dc:creator>
  <cp:lastModifiedBy>COMPRAS</cp:lastModifiedBy>
  <cp:revision>3</cp:revision>
  <cp:lastPrinted>2022-04-06T15:59:33Z</cp:lastPrinted>
  <dcterms:created xsi:type="dcterms:W3CDTF">2020-07-17T23:44:49Z</dcterms:created>
  <dcterms:modified xsi:type="dcterms:W3CDTF">2022-06-22T15:05:37Z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