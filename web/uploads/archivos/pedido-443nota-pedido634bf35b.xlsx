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45" windowWidth="20640" windowHeight="1170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Trimestrales'!$A$9:$I$74</definedName>
    <definedName name="_xlnm.Print_Area" localSheetId="1">' NotaPedido'!$A$1:$K$77</definedName>
    <definedName name="_xlnm.Print_Area" localSheetId="2">'Autor Gastar'!$A$1:$Q$26</definedName>
    <definedName name="_xlnm.Print_Area" localSheetId="0">'Necesidades Trimestrales'!$E$9:$E$74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2" i="3" l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10" i="1"/>
  <c r="I16" i="3" l="1"/>
  <c r="C15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C13" i="2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A10" i="3" l="1"/>
  <c r="G6" i="3" l="1"/>
  <c r="G7" i="3"/>
  <c r="D7" i="2"/>
  <c r="D3" i="2"/>
  <c r="G4" i="3" s="1"/>
  <c r="D4" i="2"/>
  <c r="G5" i="3" s="1"/>
  <c r="D1" i="3" l="1"/>
  <c r="K12" i="2"/>
  <c r="J12" i="2"/>
  <c r="I12" i="2"/>
  <c r="C12" i="2"/>
  <c r="B12" i="2"/>
  <c r="I15" i="3"/>
  <c r="J77" i="2" l="1"/>
  <c r="K15" i="3"/>
</calcChain>
</file>

<file path=xl/sharedStrings.xml><?xml version="1.0" encoding="utf-8"?>
<sst xmlns="http://schemas.openxmlformats.org/spreadsheetml/2006/main" count="405" uniqueCount="210">
  <si>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</si>
  <si>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</si>
  <si>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</si>
  <si>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</si>
  <si>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</si>
  <si>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</si>
  <si>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</si>
  <si>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</si>
  <si>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</si>
  <si>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</si>
  <si>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</si>
  <si>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</si>
  <si>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</si>
  <si>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</si>
  <si>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</si>
  <si>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</si>
  <si>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</si>
  <si>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</si>
  <si>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</si>
  <si>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</si>
  <si>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</si>
  <si>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</si>
  <si>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</si>
  <si>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</si>
  <si>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</si>
  <si>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</si>
  <si>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</si>
  <si>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</si>
  <si>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</si>
  <si>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</si>
  <si>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</si>
  <si>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</si>
  <si>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</si>
  <si>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</si>
  <si>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</si>
  <si>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</si>
  <si>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</si>
  <si>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</si>
  <si>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</si>
  <si>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</si>
  <si>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</si>
  <si>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</si>
  <si>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</si>
  <si>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</si>
  <si>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</si>
  <si>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</si>
  <si>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</si>
  <si>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</si>
  <si>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</si>
  <si>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</si>
  <si>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</si>
  <si>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</si>
  <si>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</si>
  <si>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</si>
  <si>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Costo total estimado:</t>
  </si>
  <si>
    <t>PAQUETE</t>
  </si>
  <si>
    <t>CAJA</t>
  </si>
  <si>
    <t>024 - Hospital Interzonal de Niños</t>
  </si>
  <si>
    <t>040 - Ministerio de Salud</t>
  </si>
  <si>
    <t>1.1</t>
  </si>
  <si>
    <t>NO</t>
  </si>
  <si>
    <t>2.5.2-5143.14</t>
  </si>
  <si>
    <t>PROD. MEDICO/FARMACEUTICOS/LAB</t>
  </si>
  <si>
    <t>2.5.2-5143.34</t>
  </si>
  <si>
    <t>IONOMEROS VITREOS; USO: TIPO II OBTURACION, PRESENTACION: AVIO 12,5 GRS/8,5 ML, FORMA DE PRESENTACION: POLVO - LIQUIDO</t>
  </si>
  <si>
    <t>IONOMEROS VITREOS; USO: RESTAURACION, PRESENTACION: LIQUIDO X10ML - POLVO X 15 GRS, FORMA DE PRESENTACION: POLVO - LIQUIDO, ESTADO: POLVO - LIQUIDO</t>
  </si>
  <si>
    <t>2.9.5-5514.20</t>
  </si>
  <si>
    <t>PASTAS P/ODONTOLOGIA; USO: OBTURACION, TIPO: COMPOSITE MICROHIBRIDO, PRESENTACION: JERINGA X 4 GR</t>
  </si>
  <si>
    <t>2.5.2-5525.1</t>
  </si>
  <si>
    <t>SELLADORES P/ODONTOLOGIA; USO: FOSAS Y FISURAS, PRESENTACION: ENVASE X 6 mL</t>
  </si>
  <si>
    <t>2.9.5-5144.423</t>
  </si>
  <si>
    <t>INSTRUMENTAL ODONTOLOGICO; TIPO: CEPILLO BROCHITA CONTRA ANG, DESCARTABLE: NO, PRESENTACION: UNIDAD UN</t>
  </si>
  <si>
    <t>2.9.5-5514.7</t>
  </si>
  <si>
    <t>PASTAS P/ODONTOLOGIA; USO: P/LIMPIEZA, TIPO: SIN FLUOR, PRESENTACION: ENVASE X 45 GR</t>
  </si>
  <si>
    <t>HILOS DE SUTURA; PRESENTACION: UNIDAD, MATERIAL: NAILON C/AGUJA CURVA 60 MM, MEDIDA: 2/0</t>
  </si>
  <si>
    <t>2.9.5-2886.136</t>
  </si>
  <si>
    <t>2.9.5-5144.568</t>
  </si>
  <si>
    <t>INSTRUMENTAL ODONTOLOGICO; TIPO: TIRA P/PULIR. COMPOSITE-GR MED, DESCARTABLE: SI, PRESENTACION: ENVASE X 50 UN</t>
  </si>
  <si>
    <t>INSTRUMENTAL ODONTOLOGICO; TIPO: TIRA P/PULIR AMALGAMA, DESCARTABLE: SI, PRESENTACION: 2 UNIDADES</t>
  </si>
  <si>
    <t>2.9.5-5144.537</t>
  </si>
  <si>
    <t>INSTRUMENTAL ODONTOLOGICO; TIPO: TIRA DE CELULOIDE, DESCARTABLE: SI, PRESENTACION: CAJA X 100 UN</t>
  </si>
  <si>
    <t>2.9.5-5144.271</t>
  </si>
  <si>
    <t>TOPICOS ODONTOLOGICOS; DROGA GENERICA: PAPAINA, PRESENTACION: ENVASE X 3 mL, FORMA DE PRESENTACION: GEL</t>
  </si>
  <si>
    <t>2.5.2-5142.14</t>
  </si>
  <si>
    <t>INSTRUMENTAL ODONTOLOGICO; TIPO: GOMA DIQUE, DESCARTABLE: SI, PRESENTACION: ENVASE X 50 UN</t>
  </si>
  <si>
    <t>2.9.5-5144.415</t>
  </si>
  <si>
    <t>ANESTESICOS LOCALES; TIPO: ANESTESIA ODONTOLOGICA, DROGA GENERICA: CLORHIDRATO DE CARTICAINA 4%, FORMA FARMACEUTICA: ANESTUBOS, PRESENTACION: ENVASE X 25 UN</t>
  </si>
  <si>
    <t>2.5.2-1883.179</t>
  </si>
  <si>
    <t>PELICULAS RADIOGRAFICAS; USO: ODONTOLOGICO, MARCA: KODAK, PRESENTACION: CAJA X 150 UN</t>
  </si>
  <si>
    <t>2.9.5-4684.6</t>
  </si>
  <si>
    <t>FRESAS P/ODONTOLOGIA; MATERIAL: ACERO INOXIDABLE, NUMERO: 2, LARGO: 32 mm, TIPO: GATES</t>
  </si>
  <si>
    <t>FRESAS P/ODONTOLOGIA; MATERIAL: ACERO INOXIDABLE, NUMERO: 3, LARGO: 32 mm, TIPO: GATES</t>
  </si>
  <si>
    <t>2.9.5-2567.203</t>
  </si>
  <si>
    <t>2.9.5-2567.204</t>
  </si>
  <si>
    <t>LIMAS P/ODONTOLOGIA; NUMERO: 20, LARGO: 25, TIPO: MAILLEFER (P/CONDUCTO), MATERIAL: NIQUEL -TITANIO</t>
  </si>
  <si>
    <t>LIMAS P/ODONTOLOGIA; NUMERO: 25, LARGO: 25, TIPO: MAILLEFER (P/CONDUCTO), MATERIAL: NIQUEL -TITANIO</t>
  </si>
  <si>
    <t>2.9.5-2538.8</t>
  </si>
  <si>
    <t>2.9.5-2538.9</t>
  </si>
  <si>
    <t>MTWO ROTATORIO</t>
  </si>
  <si>
    <t>BLISTER</t>
  </si>
  <si>
    <t>ELEMENTOS P/RADIOLOGIA; TIPO: LIQUIDO REVELADOR P/RX, PRESENTACION: ENVASE X 500 CM3</t>
  </si>
  <si>
    <t>2.9.5-4208.21</t>
  </si>
  <si>
    <t>FRASCO</t>
  </si>
  <si>
    <t>ELEMENTOS P/RADIOLOGIA; TIPO: LIQUIDO FIJADOR P/RX, PRESENTACION: ENVASE X 500 CM3</t>
  </si>
  <si>
    <t>2.9.5-4208.22</t>
  </si>
  <si>
    <t>ANTISEPTICOS LOCALES P/PERSONA; TIPO: MONODROGA, DROGA GENERICA: EDTAC, FORMA FARMACEUTICA: SOLUCION, PRESENTACION: FRASCO X 20 mL</t>
  </si>
  <si>
    <t>2.5.2-1723.59</t>
  </si>
  <si>
    <t>ANTISEPTICOS LOCALES P/PERSONA; TIPO: MONODROGA, DROGA GENERICA: CLORHEXIDINA 20 %, FORMA FARMACEUTICA: SOLUCION, PRESENTACION: ENVASE X 500 mL</t>
  </si>
  <si>
    <t>2.5.2-1723.98</t>
  </si>
  <si>
    <t>PASTAS P/ODONTOLOGIA; USO: OBTURACION, TIPO: OXIDO DE ZINC Y EUGENOL, PRESENTACION: AVIO 38 GR/15 ML</t>
  </si>
  <si>
    <t>2.9.5-5514.23</t>
  </si>
  <si>
    <t>TOPICOS ODONTOLOGICOS; DROGA GENERICA: FORMOCRESOL, PRESENTACION: FRASCO X 20 mL, ESTADO: LIQUIDO, FORMA DE PRESENTACION: LIQUIDO</t>
  </si>
  <si>
    <t>2.5.2-5142.6</t>
  </si>
  <si>
    <t>ANTISEPTICOS LOCALES P/PERSONA; TIPO: MONODROGA, DROGA GENERICA: IODOFORMO, FORMA FARMACEUTICA: POLVO, PRESENTACION: ENVASE X 10 GR</t>
  </si>
  <si>
    <t>2.5.2-1723.157</t>
  </si>
  <si>
    <t>PASTAS P/ODONTOLOGIA; USO: OBTURACION, TIPO: GUTAPERCHA, PRESENTACION: ENVASE X 25 GR</t>
  </si>
  <si>
    <t>2.9.5-5514.22</t>
  </si>
  <si>
    <t>BARBIJOS; TIPO: ODONTOLOGIA</t>
  </si>
  <si>
    <t>2.9.5-428.11</t>
  </si>
  <si>
    <t>2.9.5-5144.330</t>
  </si>
  <si>
    <t>INSTRUMENTAL ODONTOLOGICO; TIPO: MONOMERO AUTOCURABLE, DESCARTABLE: SI, PRESENTACION: ENVASE X 1 L</t>
  </si>
  <si>
    <t>INSTRUMENTAL ODONTOLOGICO; TIPO: PIEDRA P/ACRILICO, DESCARTABLE: NO, PRESENTACION: UNIDAD</t>
  </si>
  <si>
    <t>2.9.5-5144.225</t>
  </si>
  <si>
    <t>INSTRUMENTAL ODONTOLOGICO; TIPO: GOMAS P/PULIDO, DESCARTABLE: NO, PRESENTACION: UNIDAD</t>
  </si>
  <si>
    <t>2.9.5-5144.49</t>
  </si>
  <si>
    <t>YESOS; TIPO: PIEDRA, PRESENTACION: ENVASE X 1 Kg</t>
  </si>
  <si>
    <t>2.5.2-9146.2</t>
  </si>
  <si>
    <t>CERAS ROSAS P/ODONTOLOGIA; MATERIAL: POLIETILENO, USO: IMPRESIONES DENTALES, PRESENTACION: CAJA X 200 GR</t>
  </si>
  <si>
    <t>2.9.5-4389.2</t>
  </si>
  <si>
    <t xml:space="preserve">INSTRUMENTAL ODONTOLOGICO; PRESENTACION: CAJA SISTEMA ABCD, DESCARTABLE: NO, TIPO: ESPACIADOR P/ENDODONCIA 21 </t>
  </si>
  <si>
    <t>2.9.5-5144.660</t>
  </si>
  <si>
    <t>FRESAS P/ODONTOLOGIA; MATERIAL: ACERO INOXIDABLE, Nº: 4, LARGO: CHICA, TIPO: REDONDA, NUMERO: 4</t>
  </si>
  <si>
    <t>2.9.5-2567.96</t>
  </si>
  <si>
    <t>2.9.5-2567.98</t>
  </si>
  <si>
    <t>FRESAS P/ODONTOLOGIA; MATERIAL: ACERO INOXIDABLE, Nº: 6, LARGO: MEDIANA, TIPO: REDONDA, NUMERO: 6</t>
  </si>
  <si>
    <t>FRESAS P/ODONTOLOGIA; MATERIAL: ACERO INOXIDABLE, Nº: 8, LARGO: GRANDE, TIPO: REDONDA, NUMERO: 8</t>
  </si>
  <si>
    <t>2.9.5-2567.97</t>
  </si>
  <si>
    <t>INSTRUMENTAL ODONTOLOGICO; TIPO: PIEDRA ARO AMARILLO P/PULIR, DESCARTABLE: NO, PRESENTACION: UNIDAD</t>
  </si>
  <si>
    <t>2.9.5-5144.151</t>
  </si>
  <si>
    <t>PASTAS P/IMPRESION DENTAL; DESCRIPCION: SILICONA X CONDENSACION PESADA, PRESENTACION: ENVASE X 900 mL</t>
  </si>
  <si>
    <t>PASTAS P/IMPRESION DENTAL; DESCRIPCION: SILICONA X CONDENSACION LIVIAN, PRESENTACION: TUBO X 140 mL</t>
  </si>
  <si>
    <t>PASTAS P/IMPRESION DENTAL; DESCRIPCION: CATALIZADOR P/SILICONA X COND, PRESENTACION: TUBO X 60 mL</t>
  </si>
  <si>
    <t>2.5.2-3202.22</t>
  </si>
  <si>
    <t>2.5.2-3202.23</t>
  </si>
  <si>
    <t>2.5.2-3202.24</t>
  </si>
  <si>
    <t>CONOS DE GUTAPERCHA; TIPO: F, PRESENTACION: CAJA X 100 UN</t>
  </si>
  <si>
    <t>CONOS DE GUTAPERCHA; TIPO: MF, PRESENTACION: CAJA X 100 UN</t>
  </si>
  <si>
    <t>2.9.5-5859.6</t>
  </si>
  <si>
    <t>2.9.5-5859.3</t>
  </si>
  <si>
    <t>LIMAS P/ODONTOLOGIA; MATERIAL: ACERO FLEXIBLE, NUMERO: 15 AL 40, LARGO: 25 mm, TIPO: LISA</t>
  </si>
  <si>
    <t>2.9.5-2538.177</t>
  </si>
  <si>
    <t>INSTRUMENTAL ODONTOLOGICO; TIPO: CONO GUTAPERCHA 1ªSERIE, DESCARTABLE: SI, PRESENTACION: UNIDAD</t>
  </si>
  <si>
    <t>2.9.5-5144.251</t>
  </si>
  <si>
    <t>TOPICOS ODONTOLOGICOS; DROGA GENERICA: FLUOR FOSFATO ACIDULADO TIXOTR, ESTADO: SOLUCION, PRESENTACION: ENVASE X 200 mL, FORMA DE PRESENTACION: SOLUCION</t>
  </si>
  <si>
    <t>2.5.2-5142.4</t>
  </si>
  <si>
    <t>TOPICOS ODONTOLOGICOS; DROGA GENERICA: BENZOCAINA AL 20%, PRESENTACION: ENVASE X 20 GR, FORMA DE PRESENTACION: POMADA</t>
  </si>
  <si>
    <t>2.5.2-5142.13</t>
  </si>
  <si>
    <t>ACIDO GRABADOR ODONTOLOG.; ESTADO: GEL, PRESENTACION: JERINGA X 12 GR, CAPACIDAD: 12 GR</t>
  </si>
  <si>
    <t>2.5.2-3204.13</t>
  </si>
  <si>
    <t>ADHESIVOS P/ODONTOLOGIA; TIPO: FOTOCURABLE, USO: ODONTOLOGICO, PRESENTACION: ENVASE X 5 mL</t>
  </si>
  <si>
    <t>2.5.2-5538.29</t>
  </si>
  <si>
    <t>INSTRUMENTAL ODONTOLOGICO; TIPO: TURBINA DE ALTA PRECISION, PRESENTACION: UNIDAD, DESCARTABLE: NO</t>
  </si>
  <si>
    <t>2.9.5-5144.62</t>
  </si>
  <si>
    <t>INSTRUMENTAL ODONTOLOGICO; TIPO: PIEZA CON CONTRAANGULO NEUMAT., DESCARTABLE: NO, PRESENTACION: UNIDAD</t>
  </si>
  <si>
    <t>2.9.5-5144.495</t>
  </si>
  <si>
    <t>INSTRUMENTAL ODONTOLOGICO; TIPO: FORCEPS MOLARES, DESCARTABLE: NO, PRESENTACION: UNIDAD</t>
  </si>
  <si>
    <t>2.9.5-5144.629</t>
  </si>
  <si>
    <t>MOLARES INFERIORES</t>
  </si>
  <si>
    <t>ESPEJOS BUCALES; PRESENTACION: CAJA X 12 UN</t>
  </si>
  <si>
    <t>2.9.5-4274.3</t>
  </si>
  <si>
    <t>INSTRUMENTAL ODONTOLOGICO; DESCARTABLE: NO, PRESENTACION: UNIDAD, TIPO: ESPATULA P/CEMENTO DOBLE</t>
  </si>
  <si>
    <t>2.9.5-5144.13</t>
  </si>
  <si>
    <t>INSTRUMENTAL ODONTOLOGICO; TIPO: SINDESMOTOMO CURVO, DESCARTABLE: NO, PRESENTACION: UNIDAD</t>
  </si>
  <si>
    <t>INSTRUMENTAL ODONTOLOGICO; TIPO: SINDESMOTOMO RECTO, DESCARTABLE: SIN VALOR, PRESENTACION: SIN VALOR</t>
  </si>
  <si>
    <t>2.9.5-5144.24</t>
  </si>
  <si>
    <t>2.9.5-5144.45</t>
  </si>
  <si>
    <t>INSTRUMENTAL ODONTOLOGICO; TIPO: LOSETA DE VIDRIO 15 X 8 X 1 CM, DESCARTABLE: NO, PRESENTACION: UNIDAD</t>
  </si>
  <si>
    <t>2.9.5-5144.80</t>
  </si>
  <si>
    <t>AGUJAS QUIRURGICAS; TIPO: ODONTOLOGICA, ESPECIFICACION: CORTA DE 21 mm, PRESENTACION: ENVASE X 100 UN</t>
  </si>
  <si>
    <t>2.9.5-441.429</t>
  </si>
  <si>
    <t>AGUJAS QUIRURGICAS; TIPO: CARPULE, ESPECIFICACION: EXTRA CORTAS, PRESENTACION: ENVASE X 100 UN</t>
  </si>
  <si>
    <t>2.9.5-441.428</t>
  </si>
  <si>
    <t>INSTRUMENTAL ODONTOLOGICO; TIPO: EYECTOR P/SALIVA, DESCARTABLE: SI, PRESENTACION: ENVASE X 100</t>
  </si>
  <si>
    <t>2.9.5-5144.417</t>
  </si>
  <si>
    <t>FRESAS P/ODONTOLOGIA; MATERIAL: PIEDRA DE DIAMANTE, NUMERO: SIN, LARGO: STANDAR, TIPO: CILINDRICA FG</t>
  </si>
  <si>
    <t>2.9.5-2567.239</t>
  </si>
  <si>
    <t>FRESAS P/ODONTOLOGIA; MATERIAL: PIEDRA DE DIAMANTE, NUMERO: 171, LARGO: STANDAR, TIPO: TRONCOCONICA FG</t>
  </si>
  <si>
    <t>2.9.5-2567.170</t>
  </si>
  <si>
    <t>FRESAS P/ODONTOLOGIA; MATERIAL: PIEDRA DE DIAMANTE, NUMERO: 170, LARGO: STANDAR, TIPO: TRONCOCONICA FG</t>
  </si>
  <si>
    <t>FRESAS P/ODONTOLOGIA; MATERIAL: PIEDRA DE DIAMANTE, NUMERO: 171 L, LARGO: STANDAR, TIPO: TRONCOCONICA FG</t>
  </si>
  <si>
    <t>2.9.5-2567.169</t>
  </si>
  <si>
    <t>2.9.5-2567.171</t>
  </si>
  <si>
    <t>INSTRUMENTAL ODONTOLOGICO; TIPO: PIEDRA DIAM.CILINDRICA MEDIANA, DESCARTABLE: NO, PRESENTACION: UNIDAD</t>
  </si>
  <si>
    <t>2.9.5-5144.549</t>
  </si>
  <si>
    <t>INSTRUMENTAL ODONTOLOGICO; TIPO: PIEDRA DIAMANTE REDONDA MED., DESCARTABLE: NO, PRESENTACION: UNIDAD</t>
  </si>
  <si>
    <t>2.9.5-5144.551</t>
  </si>
  <si>
    <t>Servicio de Odontologia</t>
  </si>
  <si>
    <t>Adquisición de Insumos Odontologicos</t>
  </si>
  <si>
    <t>480/2020</t>
  </si>
  <si>
    <t>Para la adquisición de Insumos Varios destinados al servico de Odontologia del Hospital Interzonal de Niños Eva Peron, para el normal funcionamiento del organismo.</t>
  </si>
  <si>
    <t>Productos Farmaceuticos y Medicinales</t>
  </si>
  <si>
    <t>Utiles Menores Medicos, Quirurgico y Laboratorio</t>
  </si>
  <si>
    <t>Especificidades Item N° 17 y 18:</t>
  </si>
  <si>
    <t>Especificidades Item N° 51:</t>
  </si>
  <si>
    <t>Plazos y lugares de entrega</t>
  </si>
  <si>
    <t>TOTAL DE PESOS: DOSCIENTOS CINCUENTA MIL QUINIENTOS CUARENTA CON 00/100.</t>
  </si>
  <si>
    <r>
      <rPr>
        <b/>
        <u/>
        <sz val="10"/>
        <rFont val="Times New Roman"/>
        <family val="1"/>
      </rPr>
      <t>Plazo Min de vencimiento</t>
    </r>
    <r>
      <rPr>
        <sz val="10"/>
        <rFont val="Times New Roman"/>
        <family val="1"/>
      </rPr>
      <t>: 1 año</t>
    </r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</si>
  <si>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ODONTOLOGIA -HOSPITAL INT. DE NIÑOS – AV. VIRGEN DEL VALLE N° 1050-CATAMARCA DE 8:00 A 12:00HS., DEBIENDO CORRER LOS GASTOS DE FLETES, ACARREO, CARGA, DESCARGA Y SEGURO A CARGO DEL ADJUDICATARIO.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</si>
  <si>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Dentro de los 10 días de notificada la Orden de Compra</t>
    </r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</si>
  <si>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30 Días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</si>
</sst>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7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166" fontId="13" fillId="0" borderId="42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2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0" xfId="0" applyFont="1" applyBorder="1"/>
    <xf numFmtId="0" fontId="15" fillId="0" borderId="9" xfId="0" applyFont="1" applyBorder="1"/>
    <xf numFmtId="0" fontId="22" fillId="0" borderId="8" xfId="0" applyFont="1" applyBorder="1" applyAlignment="1">
      <alignment horizontal="left" indent="3"/>
    </xf>
    <xf numFmtId="0" fontId="15" fillId="0" borderId="10" xfId="0" applyFont="1" applyBorder="1" applyAlignment="1">
      <alignment horizontal="left" indent="3"/>
    </xf>
    <xf numFmtId="0" fontId="15" fillId="0" borderId="11" xfId="0" applyFont="1" applyBorder="1"/>
    <xf numFmtId="0" fontId="15" fillId="0" borderId="12" xfId="0" applyFont="1" applyBorder="1"/>
    <xf numFmtId="166" fontId="15" fillId="0" borderId="0" xfId="0" applyNumberFormat="1" applyFont="1"/>
    <xf numFmtId="0" fontId="19" fillId="0" borderId="46" xfId="0" applyFont="1" applyBorder="1" applyAlignment="1">
      <alignment horizontal="center" vertical="center" wrapText="1"/>
    </xf>
    <xf numFmtId="0" fontId="0" fillId="0" borderId="47" xfId="0" applyBorder="1"/>
    <xf numFmtId="0" fontId="5" fillId="3" borderId="13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21" fillId="4" borderId="3" xfId="0" applyFont="1" applyFill="1" applyBorder="1" applyAlignment="1">
      <alignment horizontal="center" vertical="center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2" fontId="0" fillId="0" borderId="47" xfId="0" applyNumberFormat="1" applyBorder="1"/>
    <xf numFmtId="0" fontId="19" fillId="0" borderId="48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0" fillId="0" borderId="3" xfId="0" applyBorder="1"/>
    <xf numFmtId="0" fontId="21" fillId="0" borderId="3" xfId="0" applyFont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21" fillId="4" borderId="47" xfId="0" applyFont="1" applyFill="1" applyBorder="1" applyAlignment="1">
      <alignment horizontal="center" vertical="center" wrapText="1"/>
    </xf>
    <xf numFmtId="166" fontId="20" fillId="4" borderId="47" xfId="1" applyNumberFormat="1" applyFont="1" applyFill="1" applyBorder="1" applyAlignment="1" applyProtection="1">
      <alignment horizontal="right" vertical="center" wrapText="1"/>
    </xf>
    <xf numFmtId="0" fontId="0" fillId="0" borderId="52" xfId="0" applyBorder="1"/>
    <xf numFmtId="0" fontId="21" fillId="0" borderId="52" xfId="0" applyFont="1" applyBorder="1" applyAlignment="1">
      <alignment horizontal="center" vertical="center" wrapText="1"/>
    </xf>
    <xf numFmtId="0" fontId="21" fillId="4" borderId="52" xfId="0" applyFont="1" applyFill="1" applyBorder="1" applyAlignment="1">
      <alignment horizontal="center" vertical="center" wrapText="1"/>
    </xf>
    <xf numFmtId="2" fontId="0" fillId="0" borderId="52" xfId="0" applyNumberFormat="1" applyBorder="1"/>
    <xf numFmtId="0" fontId="4" fillId="3" borderId="5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66" fontId="4" fillId="3" borderId="3" xfId="1" applyNumberFormat="1" applyFont="1" applyFill="1" applyBorder="1" applyAlignment="1" applyProtection="1">
      <alignment horizontal="right" vertical="center" wrapText="1"/>
    </xf>
    <xf numFmtId="3" fontId="4" fillId="3" borderId="4" xfId="0" applyNumberFormat="1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left" vertical="center"/>
    </xf>
    <xf numFmtId="0" fontId="4" fillId="4" borderId="47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 wrapText="1"/>
    </xf>
    <xf numFmtId="166" fontId="4" fillId="3" borderId="47" xfId="1" applyNumberFormat="1" applyFont="1" applyFill="1" applyBorder="1" applyAlignment="1" applyProtection="1">
      <alignment horizontal="right" vertical="center" wrapText="1"/>
    </xf>
    <xf numFmtId="3" fontId="4" fillId="3" borderId="51" xfId="0" applyNumberFormat="1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left" vertical="center"/>
    </xf>
    <xf numFmtId="0" fontId="4" fillId="4" borderId="52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 wrapText="1"/>
    </xf>
    <xf numFmtId="166" fontId="4" fillId="3" borderId="52" xfId="1" applyNumberFormat="1" applyFont="1" applyFill="1" applyBorder="1" applyAlignment="1" applyProtection="1">
      <alignment horizontal="right" vertical="center" wrapText="1"/>
    </xf>
    <xf numFmtId="3" fontId="4" fillId="3" borderId="53" xfId="0" applyNumberFormat="1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0" fillId="4" borderId="54" xfId="0" applyFont="1" applyFill="1" applyBorder="1" applyAlignment="1">
      <alignment horizontal="center" vertical="center"/>
    </xf>
    <xf numFmtId="0" fontId="0" fillId="4" borderId="55" xfId="0" applyFont="1" applyFill="1" applyBorder="1" applyAlignment="1">
      <alignment horizontal="center" vertical="center"/>
    </xf>
    <xf numFmtId="0" fontId="0" fillId="3" borderId="55" xfId="0" applyFont="1" applyFill="1" applyBorder="1" applyAlignment="1">
      <alignment horizontal="center" vertical="center"/>
    </xf>
    <xf numFmtId="0" fontId="0" fillId="4" borderId="56" xfId="0" applyFont="1" applyFill="1" applyBorder="1" applyAlignment="1">
      <alignment horizontal="center" vertical="center"/>
    </xf>
    <xf numFmtId="0" fontId="14" fillId="4" borderId="55" xfId="0" applyFont="1" applyFill="1" applyBorder="1" applyAlignment="1">
      <alignment horizontal="center" vertical="center"/>
    </xf>
    <xf numFmtId="166" fontId="0" fillId="0" borderId="57" xfId="3" applyNumberFormat="1" applyFont="1" applyBorder="1" applyAlignment="1" applyProtection="1">
      <alignment horizontal="center" vertical="center"/>
    </xf>
    <xf numFmtId="169" fontId="15" fillId="0" borderId="0" xfId="0" applyNumberFormat="1" applyFont="1"/>
    <xf numFmtId="167" fontId="15" fillId="0" borderId="0" xfId="0" applyNumberFormat="1" applyFont="1"/>
    <xf numFmtId="166" fontId="0" fillId="0" borderId="0" xfId="0" applyNumberFormat="1"/>
    <xf numFmtId="0" fontId="24" fillId="0" borderId="0" xfId="0" applyFont="1"/>
    <xf numFmtId="0" fontId="22" fillId="0" borderId="5" xfId="0" applyFont="1" applyBorder="1" applyAlignment="1">
      <alignment horizontal="left" indent="3"/>
    </xf>
    <xf numFmtId="0" fontId="15" fillId="0" borderId="0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4" fillId="3" borderId="52" xfId="0" applyFont="1" applyFill="1" applyBorder="1" applyAlignment="1">
      <alignment horizontal="left" vertical="center" wrapText="1"/>
    </xf>
    <xf numFmtId="0" fontId="4" fillId="3" borderId="47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7" fillId="3" borderId="18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167" fontId="7" fillId="3" borderId="17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1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4" fillId="0" borderId="55" xfId="0" applyFont="1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/>
    </xf>
    <xf numFmtId="0" fontId="9" fillId="0" borderId="22" xfId="0" applyFont="1" applyBorder="1" applyAlignment="1">
      <alignment vertical="center" wrapText="1"/>
    </xf>
    <xf numFmtId="0" fontId="9" fillId="0" borderId="43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2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9" fillId="0" borderId="42" xfId="0" applyFont="1" applyBorder="1" applyAlignment="1">
      <alignment horizontal="left" vertical="center" wrapText="1"/>
    </xf>
    <xf numFmtId="0" fontId="0" fillId="0" borderId="24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98"/>
  <sheetViews>
    <sheetView tabSelected="1" zoomScale="93" zoomScaleNormal="93" workbookViewId="0">
      <selection activeCell="E17" sqref="E17"/>
    </sheetView>
  </sheetViews>
  <sheetFormatPr baseColWidth="10" defaultColWidth="11" defaultRowHeight="12.75" x14ac:dyDescent="0.2"/>
  <cols>
    <col min="1" max="1" width="4.5703125" style="31" customWidth="1"/>
    <col min="2" max="2" width="14" style="31" customWidth="1"/>
    <col min="3" max="3" width="13.28515625" style="31" customWidth="1"/>
    <col min="4" max="4" width="8.42578125" style="31" customWidth="1"/>
    <col min="5" max="5" width="131.7109375" style="31" customWidth="1"/>
    <col min="6" max="6" width="11" style="31"/>
    <col min="7" max="7" width="10.42578125" style="31" bestFit="1" customWidth="1"/>
    <col min="8" max="8" width="13.85546875" style="31" customWidth="1"/>
    <col min="9" max="9" width="18.5703125" style="31" customWidth="1"/>
    <col min="10" max="11" width="11" style="31"/>
    <col min="12" max="12" width="13.140625" style="31" customWidth="1"/>
    <col min="13" max="16384" width="11" style="31"/>
  </cols>
  <sheetData>
    <row r="2" spans="1:12" ht="27" x14ac:dyDescent="0.35">
      <c r="B2" s="109" t="s">
        <v>0</v>
      </c>
      <c r="C2" s="109"/>
      <c r="D2" s="109"/>
      <c r="E2" s="109"/>
      <c r="F2" s="109"/>
      <c r="G2" s="109"/>
      <c r="H2" s="109"/>
    </row>
    <row r="3" spans="1:12" ht="12" customHeight="1" x14ac:dyDescent="0.2"/>
    <row r="4" spans="1:12" ht="18" customHeight="1" x14ac:dyDescent="0.25">
      <c r="A4" s="108" t="s">
        <v>1</v>
      </c>
      <c r="B4" s="108"/>
      <c r="C4" s="110" t="s">
        <v>58</v>
      </c>
      <c r="D4" s="110"/>
      <c r="E4" s="110"/>
      <c r="F4" s="32"/>
      <c r="G4" s="33"/>
      <c r="H4" s="32"/>
    </row>
    <row r="5" spans="1:12" ht="18" customHeight="1" x14ac:dyDescent="0.25">
      <c r="A5" s="108" t="s">
        <v>2</v>
      </c>
      <c r="B5" s="108"/>
      <c r="C5" s="110" t="s">
        <v>57</v>
      </c>
      <c r="D5" s="110"/>
      <c r="E5" s="110"/>
      <c r="F5" s="32"/>
      <c r="G5" s="33"/>
      <c r="H5" s="32"/>
    </row>
    <row r="6" spans="1:12" ht="16.5" customHeight="1" x14ac:dyDescent="0.25">
      <c r="A6" s="108" t="s">
        <v>3</v>
      </c>
      <c r="B6" s="108"/>
      <c r="C6" s="56">
        <v>2020</v>
      </c>
      <c r="D6" s="57"/>
      <c r="E6" s="57"/>
      <c r="F6" s="32"/>
      <c r="G6" s="33"/>
      <c r="H6" s="32"/>
    </row>
    <row r="7" spans="1:12" ht="16.5" customHeight="1" x14ac:dyDescent="0.25">
      <c r="A7" s="108" t="s">
        <v>4</v>
      </c>
      <c r="B7" s="108"/>
      <c r="C7" s="56">
        <v>4</v>
      </c>
      <c r="D7" s="57"/>
      <c r="E7" s="57"/>
      <c r="F7" s="32"/>
      <c r="G7" s="33"/>
      <c r="H7" s="32"/>
    </row>
    <row r="8" spans="1:12" ht="13.5" thickBot="1" x14ac:dyDescent="0.25">
      <c r="B8" s="32"/>
      <c r="C8" s="33"/>
      <c r="D8" s="32"/>
      <c r="E8" s="32"/>
      <c r="F8" s="32"/>
      <c r="G8" s="33"/>
      <c r="H8" s="32"/>
      <c r="J8" s="102"/>
    </row>
    <row r="9" spans="1:12" ht="39.75" thickTop="1" thickBot="1" x14ac:dyDescent="0.25">
      <c r="A9" s="34" t="s">
        <v>5</v>
      </c>
      <c r="B9" s="34" t="s">
        <v>6</v>
      </c>
      <c r="C9" s="34" t="s">
        <v>7</v>
      </c>
      <c r="D9" s="62" t="s">
        <v>8</v>
      </c>
      <c r="E9" s="63" t="s">
        <v>9</v>
      </c>
      <c r="F9" s="46" t="s">
        <v>10</v>
      </c>
      <c r="G9" s="34" t="s">
        <v>11</v>
      </c>
      <c r="H9" s="34" t="s">
        <v>12</v>
      </c>
      <c r="I9" s="34" t="s">
        <v>13</v>
      </c>
    </row>
    <row r="10" spans="1:12" ht="13.5" thickBot="1" x14ac:dyDescent="0.25">
      <c r="A10" s="64">
        <v>1</v>
      </c>
      <c r="B10" s="65" t="s">
        <v>61</v>
      </c>
      <c r="C10" s="65" t="s">
        <v>62</v>
      </c>
      <c r="D10" s="66">
        <v>252</v>
      </c>
      <c r="E10" s="65" t="s">
        <v>65</v>
      </c>
      <c r="F10" s="58" t="s">
        <v>56</v>
      </c>
      <c r="G10" s="58">
        <v>6</v>
      </c>
      <c r="H10" s="59">
        <v>2150</v>
      </c>
      <c r="I10" s="60">
        <f>+G10*H10</f>
        <v>12900</v>
      </c>
    </row>
    <row r="11" spans="1:12" ht="13.5" thickBot="1" x14ac:dyDescent="0.25">
      <c r="A11" s="64">
        <v>2</v>
      </c>
      <c r="B11" s="47" t="s">
        <v>63</v>
      </c>
      <c r="C11" s="47" t="s">
        <v>62</v>
      </c>
      <c r="D11" s="67">
        <v>252</v>
      </c>
      <c r="E11" s="47" t="s">
        <v>64</v>
      </c>
      <c r="F11" s="68" t="s">
        <v>55</v>
      </c>
      <c r="G11" s="68">
        <v>4</v>
      </c>
      <c r="H11" s="69">
        <v>7400</v>
      </c>
      <c r="I11" s="60">
        <f t="shared" ref="I11:I74" si="0">+G11*H11</f>
        <v>29600</v>
      </c>
    </row>
    <row r="12" spans="1:12" ht="13.5" thickBot="1" x14ac:dyDescent="0.25">
      <c r="A12" s="64">
        <v>3</v>
      </c>
      <c r="B12" s="47" t="s">
        <v>66</v>
      </c>
      <c r="C12" s="47" t="s">
        <v>62</v>
      </c>
      <c r="D12" s="67">
        <v>295</v>
      </c>
      <c r="E12" s="47" t="s">
        <v>67</v>
      </c>
      <c r="F12" s="68" t="s">
        <v>14</v>
      </c>
      <c r="G12" s="68">
        <v>2</v>
      </c>
      <c r="H12" s="69">
        <v>380</v>
      </c>
      <c r="I12" s="60">
        <f t="shared" si="0"/>
        <v>760</v>
      </c>
    </row>
    <row r="13" spans="1:12" ht="13.5" thickBot="1" x14ac:dyDescent="0.25">
      <c r="A13" s="64">
        <v>4</v>
      </c>
      <c r="B13" s="47" t="s">
        <v>68</v>
      </c>
      <c r="C13" s="47" t="s">
        <v>62</v>
      </c>
      <c r="D13" s="67">
        <v>252</v>
      </c>
      <c r="E13" s="47" t="s">
        <v>69</v>
      </c>
      <c r="F13" s="68" t="s">
        <v>14</v>
      </c>
      <c r="G13" s="68">
        <v>3</v>
      </c>
      <c r="H13" s="69">
        <v>930</v>
      </c>
      <c r="I13" s="60">
        <f t="shared" si="0"/>
        <v>2790</v>
      </c>
    </row>
    <row r="14" spans="1:12" ht="13.5" thickBot="1" x14ac:dyDescent="0.25">
      <c r="A14" s="64">
        <v>5</v>
      </c>
      <c r="B14" s="47" t="s">
        <v>70</v>
      </c>
      <c r="C14" s="47" t="s">
        <v>62</v>
      </c>
      <c r="D14" s="67">
        <v>295</v>
      </c>
      <c r="E14" s="47" t="s">
        <v>71</v>
      </c>
      <c r="F14" s="68" t="s">
        <v>14</v>
      </c>
      <c r="G14" s="68">
        <v>10</v>
      </c>
      <c r="H14" s="69">
        <v>110</v>
      </c>
      <c r="I14" s="60">
        <f t="shared" si="0"/>
        <v>1100</v>
      </c>
    </row>
    <row r="15" spans="1:12" ht="13.5" thickBot="1" x14ac:dyDescent="0.25">
      <c r="A15" s="64">
        <v>6</v>
      </c>
      <c r="B15" s="47" t="s">
        <v>72</v>
      </c>
      <c r="C15" s="47" t="s">
        <v>62</v>
      </c>
      <c r="D15" s="67">
        <v>295</v>
      </c>
      <c r="E15" s="47" t="s">
        <v>73</v>
      </c>
      <c r="F15" s="68" t="s">
        <v>14</v>
      </c>
      <c r="G15" s="68">
        <v>1</v>
      </c>
      <c r="H15" s="69">
        <v>310</v>
      </c>
      <c r="I15" s="60">
        <f t="shared" si="0"/>
        <v>310</v>
      </c>
      <c r="L15" s="45"/>
    </row>
    <row r="16" spans="1:12" ht="13.5" thickBot="1" x14ac:dyDescent="0.25">
      <c r="A16" s="64">
        <v>7</v>
      </c>
      <c r="B16" s="47" t="s">
        <v>75</v>
      </c>
      <c r="C16" s="47" t="s">
        <v>62</v>
      </c>
      <c r="D16" s="67">
        <v>295</v>
      </c>
      <c r="E16" s="47" t="s">
        <v>74</v>
      </c>
      <c r="F16" s="68" t="s">
        <v>14</v>
      </c>
      <c r="G16" s="68">
        <v>24</v>
      </c>
      <c r="H16" s="69">
        <v>160</v>
      </c>
      <c r="I16" s="60">
        <f t="shared" si="0"/>
        <v>3840</v>
      </c>
      <c r="L16" s="101"/>
    </row>
    <row r="17" spans="1:12" ht="13.5" thickBot="1" x14ac:dyDescent="0.25">
      <c r="A17" s="64">
        <v>8</v>
      </c>
      <c r="B17" s="47" t="s">
        <v>76</v>
      </c>
      <c r="C17" s="47" t="s">
        <v>62</v>
      </c>
      <c r="D17" s="67">
        <v>295</v>
      </c>
      <c r="E17" s="47" t="s">
        <v>77</v>
      </c>
      <c r="F17" s="68" t="s">
        <v>56</v>
      </c>
      <c r="G17" s="68">
        <v>2</v>
      </c>
      <c r="H17" s="69">
        <v>505</v>
      </c>
      <c r="I17" s="60">
        <f t="shared" si="0"/>
        <v>1010</v>
      </c>
      <c r="L17" s="45"/>
    </row>
    <row r="18" spans="1:12" ht="13.5" thickBot="1" x14ac:dyDescent="0.25">
      <c r="A18" s="64">
        <v>9</v>
      </c>
      <c r="B18" s="47" t="s">
        <v>79</v>
      </c>
      <c r="C18" s="47" t="s">
        <v>62</v>
      </c>
      <c r="D18" s="67">
        <v>295</v>
      </c>
      <c r="E18" s="47" t="s">
        <v>78</v>
      </c>
      <c r="F18" s="68" t="s">
        <v>56</v>
      </c>
      <c r="G18" s="68">
        <v>6</v>
      </c>
      <c r="H18" s="69">
        <v>970</v>
      </c>
      <c r="I18" s="60">
        <f t="shared" si="0"/>
        <v>5820</v>
      </c>
      <c r="L18" s="45"/>
    </row>
    <row r="19" spans="1:12" ht="13.5" thickBot="1" x14ac:dyDescent="0.25">
      <c r="A19" s="64">
        <v>10</v>
      </c>
      <c r="B19" s="47" t="s">
        <v>81</v>
      </c>
      <c r="C19" s="47" t="s">
        <v>62</v>
      </c>
      <c r="D19" s="67">
        <v>295</v>
      </c>
      <c r="E19" s="47" t="s">
        <v>80</v>
      </c>
      <c r="F19" s="68" t="s">
        <v>56</v>
      </c>
      <c r="G19" s="68">
        <v>1</v>
      </c>
      <c r="H19" s="69">
        <v>130</v>
      </c>
      <c r="I19" s="60">
        <f t="shared" si="0"/>
        <v>130</v>
      </c>
    </row>
    <row r="20" spans="1:12" ht="13.5" thickBot="1" x14ac:dyDescent="0.25">
      <c r="A20" s="64">
        <v>11</v>
      </c>
      <c r="B20" s="47" t="s">
        <v>83</v>
      </c>
      <c r="C20" s="47" t="s">
        <v>62</v>
      </c>
      <c r="D20" s="67">
        <v>252</v>
      </c>
      <c r="E20" s="47" t="s">
        <v>82</v>
      </c>
      <c r="F20" s="68" t="s">
        <v>14</v>
      </c>
      <c r="G20" s="68">
        <v>1</v>
      </c>
      <c r="H20" s="69">
        <v>1290</v>
      </c>
      <c r="I20" s="60">
        <f t="shared" si="0"/>
        <v>1290</v>
      </c>
    </row>
    <row r="21" spans="1:12" ht="13.5" thickBot="1" x14ac:dyDescent="0.25">
      <c r="A21" s="64">
        <v>12</v>
      </c>
      <c r="B21" s="47" t="s">
        <v>85</v>
      </c>
      <c r="C21" s="47" t="s">
        <v>62</v>
      </c>
      <c r="D21" s="67">
        <v>295</v>
      </c>
      <c r="E21" s="47" t="s">
        <v>84</v>
      </c>
      <c r="F21" s="68" t="s">
        <v>56</v>
      </c>
      <c r="G21" s="68">
        <v>2</v>
      </c>
      <c r="H21" s="69">
        <v>1240</v>
      </c>
      <c r="I21" s="60">
        <f t="shared" si="0"/>
        <v>2480</v>
      </c>
    </row>
    <row r="22" spans="1:12" ht="13.5" thickBot="1" x14ac:dyDescent="0.25">
      <c r="A22" s="64">
        <v>13</v>
      </c>
      <c r="B22" s="47" t="s">
        <v>87</v>
      </c>
      <c r="C22" s="47" t="s">
        <v>62</v>
      </c>
      <c r="D22" s="67">
        <v>252</v>
      </c>
      <c r="E22" s="47" t="s">
        <v>86</v>
      </c>
      <c r="F22" s="68" t="s">
        <v>56</v>
      </c>
      <c r="G22" s="68">
        <v>30</v>
      </c>
      <c r="H22" s="69">
        <v>1185</v>
      </c>
      <c r="I22" s="60">
        <f t="shared" si="0"/>
        <v>35550</v>
      </c>
    </row>
    <row r="23" spans="1:12" ht="13.5" thickBot="1" x14ac:dyDescent="0.25">
      <c r="A23" s="64">
        <v>14</v>
      </c>
      <c r="B23" s="47" t="s">
        <v>89</v>
      </c>
      <c r="C23" s="47" t="s">
        <v>62</v>
      </c>
      <c r="D23" s="67">
        <v>295</v>
      </c>
      <c r="E23" s="47" t="s">
        <v>88</v>
      </c>
      <c r="F23" s="68" t="s">
        <v>56</v>
      </c>
      <c r="G23" s="68">
        <v>1</v>
      </c>
      <c r="H23" s="69">
        <v>3640</v>
      </c>
      <c r="I23" s="60">
        <f t="shared" si="0"/>
        <v>3640</v>
      </c>
    </row>
    <row r="24" spans="1:12" ht="13.5" thickBot="1" x14ac:dyDescent="0.25">
      <c r="A24" s="64">
        <v>15</v>
      </c>
      <c r="B24" s="47" t="s">
        <v>92</v>
      </c>
      <c r="C24" s="47" t="s">
        <v>62</v>
      </c>
      <c r="D24" s="67">
        <v>295</v>
      </c>
      <c r="E24" s="47" t="s">
        <v>90</v>
      </c>
      <c r="F24" s="68" t="s">
        <v>14</v>
      </c>
      <c r="G24" s="68">
        <v>2</v>
      </c>
      <c r="H24" s="69">
        <v>170</v>
      </c>
      <c r="I24" s="60">
        <f t="shared" si="0"/>
        <v>340</v>
      </c>
    </row>
    <row r="25" spans="1:12" ht="13.5" thickBot="1" x14ac:dyDescent="0.25">
      <c r="A25" s="64">
        <v>16</v>
      </c>
      <c r="B25" s="47" t="s">
        <v>93</v>
      </c>
      <c r="C25" s="47" t="s">
        <v>62</v>
      </c>
      <c r="D25" s="67">
        <v>295</v>
      </c>
      <c r="E25" s="47" t="s">
        <v>91</v>
      </c>
      <c r="F25" s="68" t="s">
        <v>14</v>
      </c>
      <c r="G25" s="68">
        <v>2</v>
      </c>
      <c r="H25" s="69">
        <v>170</v>
      </c>
      <c r="I25" s="60">
        <f t="shared" si="0"/>
        <v>340</v>
      </c>
    </row>
    <row r="26" spans="1:12" ht="13.5" thickBot="1" x14ac:dyDescent="0.25">
      <c r="A26" s="64">
        <v>17</v>
      </c>
      <c r="B26" s="47" t="s">
        <v>96</v>
      </c>
      <c r="C26" s="47" t="s">
        <v>62</v>
      </c>
      <c r="D26" s="67">
        <v>295</v>
      </c>
      <c r="E26" s="47" t="s">
        <v>94</v>
      </c>
      <c r="F26" s="68" t="s">
        <v>99</v>
      </c>
      <c r="G26" s="68">
        <v>2</v>
      </c>
      <c r="H26" s="69">
        <v>1250</v>
      </c>
      <c r="I26" s="60">
        <f t="shared" si="0"/>
        <v>2500</v>
      </c>
    </row>
    <row r="27" spans="1:12" ht="13.5" thickBot="1" x14ac:dyDescent="0.25">
      <c r="A27" s="64">
        <v>18</v>
      </c>
      <c r="B27" s="47" t="s">
        <v>97</v>
      </c>
      <c r="C27" s="47" t="s">
        <v>62</v>
      </c>
      <c r="D27" s="67">
        <v>295</v>
      </c>
      <c r="E27" s="47" t="s">
        <v>95</v>
      </c>
      <c r="F27" s="68" t="s">
        <v>99</v>
      </c>
      <c r="G27" s="68">
        <v>4</v>
      </c>
      <c r="H27" s="69">
        <v>1250</v>
      </c>
      <c r="I27" s="60">
        <f t="shared" si="0"/>
        <v>5000</v>
      </c>
    </row>
    <row r="28" spans="1:12" ht="13.5" thickBot="1" x14ac:dyDescent="0.25">
      <c r="A28" s="64">
        <v>19</v>
      </c>
      <c r="B28" s="47" t="s">
        <v>101</v>
      </c>
      <c r="C28" s="47" t="s">
        <v>62</v>
      </c>
      <c r="D28" s="67">
        <v>295</v>
      </c>
      <c r="E28" s="47" t="s">
        <v>100</v>
      </c>
      <c r="F28" s="68" t="s">
        <v>102</v>
      </c>
      <c r="G28" s="68">
        <v>6</v>
      </c>
      <c r="H28" s="69">
        <v>550</v>
      </c>
      <c r="I28" s="60">
        <f t="shared" si="0"/>
        <v>3300</v>
      </c>
    </row>
    <row r="29" spans="1:12" ht="13.5" thickBot="1" x14ac:dyDescent="0.25">
      <c r="A29" s="64">
        <v>20</v>
      </c>
      <c r="B29" s="47" t="s">
        <v>104</v>
      </c>
      <c r="C29" s="47" t="s">
        <v>62</v>
      </c>
      <c r="D29" s="67">
        <v>295</v>
      </c>
      <c r="E29" s="47" t="s">
        <v>103</v>
      </c>
      <c r="F29" s="68" t="s">
        <v>102</v>
      </c>
      <c r="G29" s="68">
        <v>6</v>
      </c>
      <c r="H29" s="69">
        <v>380</v>
      </c>
      <c r="I29" s="60">
        <f t="shared" si="0"/>
        <v>2280</v>
      </c>
    </row>
    <row r="30" spans="1:12" ht="13.5" thickBot="1" x14ac:dyDescent="0.25">
      <c r="A30" s="64">
        <v>21</v>
      </c>
      <c r="B30" s="47" t="s">
        <v>106</v>
      </c>
      <c r="C30" s="47" t="s">
        <v>62</v>
      </c>
      <c r="D30" s="67">
        <v>252</v>
      </c>
      <c r="E30" s="47" t="s">
        <v>105</v>
      </c>
      <c r="F30" s="68" t="s">
        <v>102</v>
      </c>
      <c r="G30" s="68">
        <v>3</v>
      </c>
      <c r="H30" s="69">
        <v>270</v>
      </c>
      <c r="I30" s="60">
        <f t="shared" si="0"/>
        <v>810</v>
      </c>
    </row>
    <row r="31" spans="1:12" ht="13.5" thickBot="1" x14ac:dyDescent="0.25">
      <c r="A31" s="64">
        <v>22</v>
      </c>
      <c r="B31" s="47" t="s">
        <v>108</v>
      </c>
      <c r="C31" s="47" t="s">
        <v>62</v>
      </c>
      <c r="D31" s="67">
        <v>252</v>
      </c>
      <c r="E31" s="47" t="s">
        <v>107</v>
      </c>
      <c r="F31" s="68" t="s">
        <v>102</v>
      </c>
      <c r="G31" s="68">
        <v>2</v>
      </c>
      <c r="H31" s="69">
        <v>1150</v>
      </c>
      <c r="I31" s="60">
        <f t="shared" si="0"/>
        <v>2300</v>
      </c>
    </row>
    <row r="32" spans="1:12" ht="13.5" thickBot="1" x14ac:dyDescent="0.25">
      <c r="A32" s="64">
        <v>23</v>
      </c>
      <c r="B32" s="47" t="s">
        <v>110</v>
      </c>
      <c r="C32" s="47" t="s">
        <v>62</v>
      </c>
      <c r="D32" s="67">
        <v>295</v>
      </c>
      <c r="E32" s="47" t="s">
        <v>109</v>
      </c>
      <c r="F32" s="68" t="s">
        <v>56</v>
      </c>
      <c r="G32" s="68">
        <v>4</v>
      </c>
      <c r="H32" s="69">
        <v>1350</v>
      </c>
      <c r="I32" s="60">
        <f t="shared" si="0"/>
        <v>5400</v>
      </c>
    </row>
    <row r="33" spans="1:9" ht="13.5" thickBot="1" x14ac:dyDescent="0.25">
      <c r="A33" s="64">
        <v>24</v>
      </c>
      <c r="B33" s="47" t="s">
        <v>112</v>
      </c>
      <c r="C33" s="47" t="s">
        <v>62</v>
      </c>
      <c r="D33" s="67">
        <v>252</v>
      </c>
      <c r="E33" s="47" t="s">
        <v>111</v>
      </c>
      <c r="F33" s="68" t="s">
        <v>102</v>
      </c>
      <c r="G33" s="68">
        <v>2</v>
      </c>
      <c r="H33" s="69">
        <v>270</v>
      </c>
      <c r="I33" s="60">
        <f t="shared" si="0"/>
        <v>540</v>
      </c>
    </row>
    <row r="34" spans="1:9" ht="13.5" thickBot="1" x14ac:dyDescent="0.25">
      <c r="A34" s="64">
        <v>25</v>
      </c>
      <c r="B34" s="47" t="s">
        <v>114</v>
      </c>
      <c r="C34" s="47" t="s">
        <v>62</v>
      </c>
      <c r="D34" s="67">
        <v>252</v>
      </c>
      <c r="E34" s="47" t="s">
        <v>113</v>
      </c>
      <c r="F34" s="68" t="s">
        <v>102</v>
      </c>
      <c r="G34" s="68">
        <v>2</v>
      </c>
      <c r="H34" s="69">
        <v>590</v>
      </c>
      <c r="I34" s="60">
        <f t="shared" si="0"/>
        <v>1180</v>
      </c>
    </row>
    <row r="35" spans="1:9" ht="13.5" thickBot="1" x14ac:dyDescent="0.25">
      <c r="A35" s="64">
        <v>26</v>
      </c>
      <c r="B35" s="47" t="s">
        <v>116</v>
      </c>
      <c r="C35" s="47" t="s">
        <v>62</v>
      </c>
      <c r="D35" s="67">
        <v>295</v>
      </c>
      <c r="E35" s="47" t="s">
        <v>115</v>
      </c>
      <c r="F35" s="68" t="s">
        <v>102</v>
      </c>
      <c r="G35" s="68">
        <v>3</v>
      </c>
      <c r="H35" s="69">
        <v>390</v>
      </c>
      <c r="I35" s="60">
        <f t="shared" si="0"/>
        <v>1170</v>
      </c>
    </row>
    <row r="36" spans="1:9" ht="13.5" thickBot="1" x14ac:dyDescent="0.25">
      <c r="A36" s="64">
        <v>27</v>
      </c>
      <c r="B36" s="47" t="s">
        <v>118</v>
      </c>
      <c r="C36" s="47" t="s">
        <v>62</v>
      </c>
      <c r="D36" s="67">
        <v>295</v>
      </c>
      <c r="E36" s="47" t="s">
        <v>117</v>
      </c>
      <c r="F36" s="68" t="s">
        <v>14</v>
      </c>
      <c r="G36" s="68">
        <v>300</v>
      </c>
      <c r="H36" s="69">
        <v>50</v>
      </c>
      <c r="I36" s="60">
        <f t="shared" si="0"/>
        <v>15000</v>
      </c>
    </row>
    <row r="37" spans="1:9" ht="13.5" thickBot="1" x14ac:dyDescent="0.25">
      <c r="A37" s="64">
        <v>28</v>
      </c>
      <c r="B37" s="47" t="s">
        <v>119</v>
      </c>
      <c r="C37" s="47" t="s">
        <v>62</v>
      </c>
      <c r="D37" s="67">
        <v>295</v>
      </c>
      <c r="E37" s="47" t="s">
        <v>120</v>
      </c>
      <c r="F37" s="68" t="s">
        <v>102</v>
      </c>
      <c r="G37" s="68">
        <v>1</v>
      </c>
      <c r="H37" s="69">
        <v>2860</v>
      </c>
      <c r="I37" s="60">
        <f t="shared" si="0"/>
        <v>2860</v>
      </c>
    </row>
    <row r="38" spans="1:9" ht="13.5" thickBot="1" x14ac:dyDescent="0.25">
      <c r="A38" s="64">
        <v>29</v>
      </c>
      <c r="B38" s="47" t="s">
        <v>122</v>
      </c>
      <c r="C38" s="47" t="s">
        <v>62</v>
      </c>
      <c r="D38" s="67">
        <v>295</v>
      </c>
      <c r="E38" s="47" t="s">
        <v>121</v>
      </c>
      <c r="F38" s="68" t="s">
        <v>14</v>
      </c>
      <c r="G38" s="68">
        <v>10</v>
      </c>
      <c r="H38" s="69">
        <v>190</v>
      </c>
      <c r="I38" s="60">
        <f t="shared" si="0"/>
        <v>1900</v>
      </c>
    </row>
    <row r="39" spans="1:9" ht="13.5" thickBot="1" x14ac:dyDescent="0.25">
      <c r="A39" s="64">
        <v>30</v>
      </c>
      <c r="B39" s="47" t="s">
        <v>124</v>
      </c>
      <c r="C39" s="47" t="s">
        <v>62</v>
      </c>
      <c r="D39" s="67">
        <v>295</v>
      </c>
      <c r="E39" s="47" t="s">
        <v>123</v>
      </c>
      <c r="F39" s="68" t="s">
        <v>14</v>
      </c>
      <c r="G39" s="68">
        <v>10</v>
      </c>
      <c r="H39" s="69">
        <v>190</v>
      </c>
      <c r="I39" s="60">
        <f t="shared" si="0"/>
        <v>1900</v>
      </c>
    </row>
    <row r="40" spans="1:9" ht="13.5" thickBot="1" x14ac:dyDescent="0.25">
      <c r="A40" s="64">
        <v>31</v>
      </c>
      <c r="B40" s="47" t="s">
        <v>126</v>
      </c>
      <c r="C40" s="47" t="s">
        <v>62</v>
      </c>
      <c r="D40" s="67">
        <v>252</v>
      </c>
      <c r="E40" s="47" t="s">
        <v>125</v>
      </c>
      <c r="F40" s="68" t="s">
        <v>14</v>
      </c>
      <c r="G40" s="68">
        <v>25</v>
      </c>
      <c r="H40" s="69">
        <v>120</v>
      </c>
      <c r="I40" s="60">
        <f t="shared" si="0"/>
        <v>3000</v>
      </c>
    </row>
    <row r="41" spans="1:9" ht="13.5" thickBot="1" x14ac:dyDescent="0.25">
      <c r="A41" s="64">
        <v>32</v>
      </c>
      <c r="B41" s="47" t="s">
        <v>128</v>
      </c>
      <c r="C41" s="47" t="s">
        <v>62</v>
      </c>
      <c r="D41" s="67">
        <v>295</v>
      </c>
      <c r="E41" s="47" t="s">
        <v>127</v>
      </c>
      <c r="F41" s="68" t="s">
        <v>56</v>
      </c>
      <c r="G41" s="68">
        <v>5</v>
      </c>
      <c r="H41" s="61">
        <v>600</v>
      </c>
      <c r="I41" s="60">
        <f t="shared" si="0"/>
        <v>3000</v>
      </c>
    </row>
    <row r="42" spans="1:9" ht="13.5" thickBot="1" x14ac:dyDescent="0.25">
      <c r="A42" s="64">
        <v>33</v>
      </c>
      <c r="B42" s="47" t="s">
        <v>130</v>
      </c>
      <c r="C42" s="47" t="s">
        <v>62</v>
      </c>
      <c r="D42" s="67">
        <v>295</v>
      </c>
      <c r="E42" s="47" t="s">
        <v>129</v>
      </c>
      <c r="F42" s="68" t="s">
        <v>56</v>
      </c>
      <c r="G42" s="68">
        <v>2</v>
      </c>
      <c r="H42" s="61">
        <v>1200</v>
      </c>
      <c r="I42" s="60">
        <f t="shared" si="0"/>
        <v>2400</v>
      </c>
    </row>
    <row r="43" spans="1:9" ht="13.5" thickBot="1" x14ac:dyDescent="0.25">
      <c r="A43" s="64">
        <v>34</v>
      </c>
      <c r="B43" s="47" t="s">
        <v>132</v>
      </c>
      <c r="C43" s="47" t="s">
        <v>62</v>
      </c>
      <c r="D43" s="67">
        <v>295</v>
      </c>
      <c r="E43" s="47" t="s">
        <v>131</v>
      </c>
      <c r="F43" s="68" t="s">
        <v>14</v>
      </c>
      <c r="G43" s="68">
        <v>10</v>
      </c>
      <c r="H43" s="61">
        <v>280</v>
      </c>
      <c r="I43" s="60">
        <f t="shared" si="0"/>
        <v>2800</v>
      </c>
    </row>
    <row r="44" spans="1:9" ht="13.5" thickBot="1" x14ac:dyDescent="0.25">
      <c r="A44" s="64">
        <v>35</v>
      </c>
      <c r="B44" s="47" t="s">
        <v>133</v>
      </c>
      <c r="C44" s="47" t="s">
        <v>62</v>
      </c>
      <c r="D44" s="67">
        <v>295</v>
      </c>
      <c r="E44" s="47" t="s">
        <v>134</v>
      </c>
      <c r="F44" s="68" t="s">
        <v>14</v>
      </c>
      <c r="G44" s="68">
        <v>10</v>
      </c>
      <c r="H44" s="61">
        <v>280</v>
      </c>
      <c r="I44" s="60">
        <f t="shared" si="0"/>
        <v>2800</v>
      </c>
    </row>
    <row r="45" spans="1:9" ht="13.5" thickBot="1" x14ac:dyDescent="0.25">
      <c r="A45" s="64">
        <v>36</v>
      </c>
      <c r="B45" s="47" t="s">
        <v>136</v>
      </c>
      <c r="C45" s="47" t="s">
        <v>62</v>
      </c>
      <c r="D45" s="67">
        <v>295</v>
      </c>
      <c r="E45" s="47" t="s">
        <v>135</v>
      </c>
      <c r="F45" s="68" t="s">
        <v>14</v>
      </c>
      <c r="G45" s="68">
        <v>10</v>
      </c>
      <c r="H45" s="61">
        <v>280</v>
      </c>
      <c r="I45" s="60">
        <f t="shared" si="0"/>
        <v>2800</v>
      </c>
    </row>
    <row r="46" spans="1:9" ht="13.5" thickBot="1" x14ac:dyDescent="0.25">
      <c r="A46" s="64">
        <v>37</v>
      </c>
      <c r="B46" s="47" t="s">
        <v>138</v>
      </c>
      <c r="C46" s="47" t="s">
        <v>62</v>
      </c>
      <c r="D46" s="67">
        <v>295</v>
      </c>
      <c r="E46" s="47" t="s">
        <v>137</v>
      </c>
      <c r="F46" s="68" t="s">
        <v>14</v>
      </c>
      <c r="G46" s="68">
        <v>10</v>
      </c>
      <c r="H46" s="61">
        <v>340</v>
      </c>
      <c r="I46" s="60">
        <f t="shared" si="0"/>
        <v>3400</v>
      </c>
    </row>
    <row r="47" spans="1:9" ht="13.5" thickBot="1" x14ac:dyDescent="0.25">
      <c r="A47" s="64">
        <v>38</v>
      </c>
      <c r="B47" s="47" t="s">
        <v>142</v>
      </c>
      <c r="C47" s="47" t="s">
        <v>62</v>
      </c>
      <c r="D47" s="67">
        <v>252</v>
      </c>
      <c r="E47" s="47" t="s">
        <v>139</v>
      </c>
      <c r="F47" s="68" t="s">
        <v>14</v>
      </c>
      <c r="G47" s="68">
        <v>1</v>
      </c>
      <c r="H47" s="61">
        <v>2400</v>
      </c>
      <c r="I47" s="60">
        <f t="shared" si="0"/>
        <v>2400</v>
      </c>
    </row>
    <row r="48" spans="1:9" ht="13.5" thickBot="1" x14ac:dyDescent="0.25">
      <c r="A48" s="64">
        <v>39</v>
      </c>
      <c r="B48" s="47" t="s">
        <v>143</v>
      </c>
      <c r="C48" s="47" t="s">
        <v>62</v>
      </c>
      <c r="D48" s="67">
        <v>252</v>
      </c>
      <c r="E48" s="47" t="s">
        <v>140</v>
      </c>
      <c r="F48" s="68" t="s">
        <v>14</v>
      </c>
      <c r="G48" s="68">
        <v>1</v>
      </c>
      <c r="H48" s="61">
        <v>1330</v>
      </c>
      <c r="I48" s="60">
        <f t="shared" si="0"/>
        <v>1330</v>
      </c>
    </row>
    <row r="49" spans="1:9" ht="13.5" thickBot="1" x14ac:dyDescent="0.25">
      <c r="A49" s="64">
        <v>40</v>
      </c>
      <c r="B49" s="47" t="s">
        <v>144</v>
      </c>
      <c r="C49" s="47" t="s">
        <v>62</v>
      </c>
      <c r="D49" s="67">
        <v>252</v>
      </c>
      <c r="E49" s="47" t="s">
        <v>141</v>
      </c>
      <c r="F49" s="68" t="s">
        <v>14</v>
      </c>
      <c r="G49" s="68">
        <v>1</v>
      </c>
      <c r="H49" s="61">
        <v>770</v>
      </c>
      <c r="I49" s="60">
        <f t="shared" si="0"/>
        <v>770</v>
      </c>
    </row>
    <row r="50" spans="1:9" ht="13.5" thickBot="1" x14ac:dyDescent="0.25">
      <c r="A50" s="64">
        <v>41</v>
      </c>
      <c r="B50" s="47" t="s">
        <v>147</v>
      </c>
      <c r="C50" s="47" t="s">
        <v>62</v>
      </c>
      <c r="D50" s="67">
        <v>295</v>
      </c>
      <c r="E50" s="47" t="s">
        <v>146</v>
      </c>
      <c r="F50" s="68" t="s">
        <v>56</v>
      </c>
      <c r="G50" s="68">
        <v>2</v>
      </c>
      <c r="H50" s="61">
        <v>630</v>
      </c>
      <c r="I50" s="60">
        <f t="shared" si="0"/>
        <v>1260</v>
      </c>
    </row>
    <row r="51" spans="1:9" ht="13.5" thickBot="1" x14ac:dyDescent="0.25">
      <c r="A51" s="64">
        <v>42</v>
      </c>
      <c r="B51" s="47" t="s">
        <v>148</v>
      </c>
      <c r="C51" s="47" t="s">
        <v>62</v>
      </c>
      <c r="D51" s="67">
        <v>295</v>
      </c>
      <c r="E51" s="47" t="s">
        <v>145</v>
      </c>
      <c r="F51" s="68" t="s">
        <v>56</v>
      </c>
      <c r="G51" s="68">
        <v>2</v>
      </c>
      <c r="H51" s="61">
        <v>630</v>
      </c>
      <c r="I51" s="60">
        <f t="shared" si="0"/>
        <v>1260</v>
      </c>
    </row>
    <row r="52" spans="1:9" ht="13.5" thickBot="1" x14ac:dyDescent="0.25">
      <c r="A52" s="64">
        <v>43</v>
      </c>
      <c r="B52" s="47" t="s">
        <v>150</v>
      </c>
      <c r="C52" s="47" t="s">
        <v>62</v>
      </c>
      <c r="D52" s="67">
        <v>295</v>
      </c>
      <c r="E52" s="47" t="s">
        <v>149</v>
      </c>
      <c r="F52" s="68" t="s">
        <v>56</v>
      </c>
      <c r="G52" s="68">
        <v>3</v>
      </c>
      <c r="H52" s="61">
        <v>1360</v>
      </c>
      <c r="I52" s="60">
        <f t="shared" si="0"/>
        <v>4080</v>
      </c>
    </row>
    <row r="53" spans="1:9" ht="13.5" thickBot="1" x14ac:dyDescent="0.25">
      <c r="A53" s="64">
        <v>44</v>
      </c>
      <c r="B53" s="47" t="s">
        <v>152</v>
      </c>
      <c r="C53" s="47" t="s">
        <v>62</v>
      </c>
      <c r="D53" s="67">
        <v>295</v>
      </c>
      <c r="E53" s="47" t="s">
        <v>151</v>
      </c>
      <c r="F53" s="68" t="s">
        <v>56</v>
      </c>
      <c r="G53" s="68">
        <v>3</v>
      </c>
      <c r="H53" s="61">
        <v>630</v>
      </c>
      <c r="I53" s="60">
        <f t="shared" si="0"/>
        <v>1890</v>
      </c>
    </row>
    <row r="54" spans="1:9" ht="13.5" thickBot="1" x14ac:dyDescent="0.25">
      <c r="A54" s="64">
        <v>45</v>
      </c>
      <c r="B54" s="47" t="s">
        <v>154</v>
      </c>
      <c r="C54" s="47" t="s">
        <v>62</v>
      </c>
      <c r="D54" s="67">
        <v>252</v>
      </c>
      <c r="E54" s="47" t="s">
        <v>153</v>
      </c>
      <c r="F54" s="68" t="s">
        <v>14</v>
      </c>
      <c r="G54" s="68">
        <v>3</v>
      </c>
      <c r="H54" s="61">
        <v>470</v>
      </c>
      <c r="I54" s="60">
        <f t="shared" si="0"/>
        <v>1410</v>
      </c>
    </row>
    <row r="55" spans="1:9" ht="13.5" thickBot="1" x14ac:dyDescent="0.25">
      <c r="A55" s="64">
        <v>46</v>
      </c>
      <c r="B55" s="47" t="s">
        <v>156</v>
      </c>
      <c r="C55" s="47" t="s">
        <v>62</v>
      </c>
      <c r="D55" s="67">
        <v>252</v>
      </c>
      <c r="E55" s="47" t="s">
        <v>155</v>
      </c>
      <c r="F55" s="68" t="s">
        <v>14</v>
      </c>
      <c r="G55" s="68">
        <v>3</v>
      </c>
      <c r="H55" s="61">
        <v>850</v>
      </c>
      <c r="I55" s="60">
        <f t="shared" si="0"/>
        <v>2550</v>
      </c>
    </row>
    <row r="56" spans="1:9" ht="13.5" thickBot="1" x14ac:dyDescent="0.25">
      <c r="A56" s="64">
        <v>47</v>
      </c>
      <c r="B56" s="47" t="s">
        <v>158</v>
      </c>
      <c r="C56" s="47" t="s">
        <v>62</v>
      </c>
      <c r="D56" s="67">
        <v>252</v>
      </c>
      <c r="E56" s="47" t="s">
        <v>157</v>
      </c>
      <c r="F56" s="68" t="s">
        <v>14</v>
      </c>
      <c r="G56" s="68">
        <v>2</v>
      </c>
      <c r="H56" s="61">
        <v>510</v>
      </c>
      <c r="I56" s="60">
        <f t="shared" si="0"/>
        <v>1020</v>
      </c>
    </row>
    <row r="57" spans="1:9" ht="13.5" thickBot="1" x14ac:dyDescent="0.25">
      <c r="A57" s="64">
        <v>48</v>
      </c>
      <c r="B57" s="47" t="s">
        <v>160</v>
      </c>
      <c r="C57" s="47" t="s">
        <v>62</v>
      </c>
      <c r="D57" s="67">
        <v>252</v>
      </c>
      <c r="E57" s="47" t="s">
        <v>159</v>
      </c>
      <c r="F57" s="68" t="s">
        <v>14</v>
      </c>
      <c r="G57" s="68">
        <v>1</v>
      </c>
      <c r="H57" s="61">
        <v>1250</v>
      </c>
      <c r="I57" s="60">
        <f t="shared" si="0"/>
        <v>1250</v>
      </c>
    </row>
    <row r="58" spans="1:9" ht="13.5" thickBot="1" x14ac:dyDescent="0.25">
      <c r="A58" s="64">
        <v>49</v>
      </c>
      <c r="B58" s="47" t="s">
        <v>162</v>
      </c>
      <c r="C58" s="47" t="s">
        <v>62</v>
      </c>
      <c r="D58" s="67">
        <v>295</v>
      </c>
      <c r="E58" s="47" t="s">
        <v>161</v>
      </c>
      <c r="F58" s="68" t="s">
        <v>14</v>
      </c>
      <c r="G58" s="68">
        <v>1</v>
      </c>
      <c r="H58" s="61">
        <v>8900</v>
      </c>
      <c r="I58" s="60">
        <f t="shared" si="0"/>
        <v>8900</v>
      </c>
    </row>
    <row r="59" spans="1:9" ht="13.5" thickBot="1" x14ac:dyDescent="0.25">
      <c r="A59" s="64">
        <v>50</v>
      </c>
      <c r="B59" s="47" t="s">
        <v>164</v>
      </c>
      <c r="C59" s="47" t="s">
        <v>62</v>
      </c>
      <c r="D59" s="67">
        <v>295</v>
      </c>
      <c r="E59" s="47" t="s">
        <v>163</v>
      </c>
      <c r="F59" s="68" t="s">
        <v>14</v>
      </c>
      <c r="G59" s="68">
        <v>1</v>
      </c>
      <c r="H59" s="61">
        <v>8550</v>
      </c>
      <c r="I59" s="60">
        <f t="shared" si="0"/>
        <v>8550</v>
      </c>
    </row>
    <row r="60" spans="1:9" ht="13.5" thickBot="1" x14ac:dyDescent="0.25">
      <c r="A60" s="64">
        <v>51</v>
      </c>
      <c r="B60" s="47" t="s">
        <v>166</v>
      </c>
      <c r="C60" s="47" t="s">
        <v>62</v>
      </c>
      <c r="D60" s="67">
        <v>295</v>
      </c>
      <c r="E60" s="47" t="s">
        <v>165</v>
      </c>
      <c r="F60" s="68" t="s">
        <v>14</v>
      </c>
      <c r="G60" s="68">
        <v>3</v>
      </c>
      <c r="H60" s="61">
        <v>650</v>
      </c>
      <c r="I60" s="60">
        <f t="shared" si="0"/>
        <v>1950</v>
      </c>
    </row>
    <row r="61" spans="1:9" ht="13.5" thickBot="1" x14ac:dyDescent="0.25">
      <c r="A61" s="64">
        <v>52</v>
      </c>
      <c r="B61" s="47" t="s">
        <v>169</v>
      </c>
      <c r="C61" s="47" t="s">
        <v>62</v>
      </c>
      <c r="D61" s="67">
        <v>295</v>
      </c>
      <c r="E61" s="47" t="s">
        <v>168</v>
      </c>
      <c r="F61" s="68" t="s">
        <v>56</v>
      </c>
      <c r="G61" s="68">
        <v>3</v>
      </c>
      <c r="H61" s="61">
        <v>1890</v>
      </c>
      <c r="I61" s="60">
        <f t="shared" si="0"/>
        <v>5670</v>
      </c>
    </row>
    <row r="62" spans="1:9" ht="13.5" thickBot="1" x14ac:dyDescent="0.25">
      <c r="A62" s="64">
        <v>53</v>
      </c>
      <c r="B62" s="47" t="s">
        <v>171</v>
      </c>
      <c r="C62" s="47" t="s">
        <v>62</v>
      </c>
      <c r="D62" s="67">
        <v>295</v>
      </c>
      <c r="E62" s="47" t="s">
        <v>170</v>
      </c>
      <c r="F62" s="68" t="s">
        <v>14</v>
      </c>
      <c r="G62" s="68">
        <v>3</v>
      </c>
      <c r="H62" s="61">
        <v>390</v>
      </c>
      <c r="I62" s="60">
        <f t="shared" si="0"/>
        <v>1170</v>
      </c>
    </row>
    <row r="63" spans="1:9" ht="13.5" thickBot="1" x14ac:dyDescent="0.25">
      <c r="A63" s="64">
        <v>54</v>
      </c>
      <c r="B63" s="47" t="s">
        <v>174</v>
      </c>
      <c r="C63" s="47" t="s">
        <v>62</v>
      </c>
      <c r="D63" s="67">
        <v>295</v>
      </c>
      <c r="E63" s="47" t="s">
        <v>172</v>
      </c>
      <c r="F63" s="68" t="s">
        <v>14</v>
      </c>
      <c r="G63" s="68">
        <v>2</v>
      </c>
      <c r="H63" s="61">
        <v>390</v>
      </c>
      <c r="I63" s="60">
        <f t="shared" si="0"/>
        <v>780</v>
      </c>
    </row>
    <row r="64" spans="1:9" ht="13.5" thickBot="1" x14ac:dyDescent="0.25">
      <c r="A64" s="64">
        <v>55</v>
      </c>
      <c r="B64" s="47" t="s">
        <v>175</v>
      </c>
      <c r="C64" s="47" t="s">
        <v>62</v>
      </c>
      <c r="D64" s="67">
        <v>295</v>
      </c>
      <c r="E64" s="47" t="s">
        <v>173</v>
      </c>
      <c r="F64" s="68" t="s">
        <v>14</v>
      </c>
      <c r="G64" s="68">
        <v>2</v>
      </c>
      <c r="H64" s="61">
        <v>390</v>
      </c>
      <c r="I64" s="60">
        <f t="shared" si="0"/>
        <v>780</v>
      </c>
    </row>
    <row r="65" spans="1:9" ht="13.5" thickBot="1" x14ac:dyDescent="0.25">
      <c r="A65" s="64">
        <v>56</v>
      </c>
      <c r="B65" s="47" t="s">
        <v>177</v>
      </c>
      <c r="C65" s="47" t="s">
        <v>62</v>
      </c>
      <c r="D65" s="67">
        <v>295</v>
      </c>
      <c r="E65" s="47" t="s">
        <v>176</v>
      </c>
      <c r="F65" s="68" t="s">
        <v>14</v>
      </c>
      <c r="G65" s="68">
        <v>4</v>
      </c>
      <c r="H65" s="61">
        <v>320</v>
      </c>
      <c r="I65" s="60">
        <f t="shared" si="0"/>
        <v>1280</v>
      </c>
    </row>
    <row r="66" spans="1:9" ht="13.5" thickBot="1" x14ac:dyDescent="0.25">
      <c r="A66" s="64">
        <v>57</v>
      </c>
      <c r="B66" s="47" t="s">
        <v>179</v>
      </c>
      <c r="C66" s="47" t="s">
        <v>62</v>
      </c>
      <c r="D66" s="67">
        <v>295</v>
      </c>
      <c r="E66" s="47" t="s">
        <v>178</v>
      </c>
      <c r="F66" s="68" t="s">
        <v>56</v>
      </c>
      <c r="G66" s="68">
        <v>5</v>
      </c>
      <c r="H66" s="61">
        <v>940</v>
      </c>
      <c r="I66" s="60">
        <f t="shared" si="0"/>
        <v>4700</v>
      </c>
    </row>
    <row r="67" spans="1:9" ht="13.5" thickBot="1" x14ac:dyDescent="0.25">
      <c r="A67" s="64">
        <v>58</v>
      </c>
      <c r="B67" s="47" t="s">
        <v>181</v>
      </c>
      <c r="C67" s="47" t="s">
        <v>62</v>
      </c>
      <c r="D67" s="67">
        <v>295</v>
      </c>
      <c r="E67" s="47" t="s">
        <v>180</v>
      </c>
      <c r="F67" s="68" t="s">
        <v>56</v>
      </c>
      <c r="G67" s="68">
        <v>5</v>
      </c>
      <c r="H67" s="61">
        <v>940</v>
      </c>
      <c r="I67" s="60">
        <f t="shared" si="0"/>
        <v>4700</v>
      </c>
    </row>
    <row r="68" spans="1:9" ht="13.5" thickBot="1" x14ac:dyDescent="0.25">
      <c r="A68" s="64">
        <v>59</v>
      </c>
      <c r="B68" s="47" t="s">
        <v>183</v>
      </c>
      <c r="C68" s="47" t="s">
        <v>62</v>
      </c>
      <c r="D68" s="67">
        <v>295</v>
      </c>
      <c r="E68" s="47" t="s">
        <v>182</v>
      </c>
      <c r="F68" s="68" t="s">
        <v>55</v>
      </c>
      <c r="G68" s="68">
        <v>10</v>
      </c>
      <c r="H68" s="61">
        <v>420</v>
      </c>
      <c r="I68" s="60">
        <f t="shared" si="0"/>
        <v>4200</v>
      </c>
    </row>
    <row r="69" spans="1:9" ht="13.5" thickBot="1" x14ac:dyDescent="0.25">
      <c r="A69" s="64">
        <v>60</v>
      </c>
      <c r="B69" s="47" t="s">
        <v>185</v>
      </c>
      <c r="C69" s="47" t="s">
        <v>62</v>
      </c>
      <c r="D69" s="67">
        <v>295</v>
      </c>
      <c r="E69" s="47" t="s">
        <v>184</v>
      </c>
      <c r="F69" s="68" t="s">
        <v>14</v>
      </c>
      <c r="G69" s="68">
        <v>10</v>
      </c>
      <c r="H69" s="61">
        <v>340</v>
      </c>
      <c r="I69" s="60">
        <f t="shared" si="0"/>
        <v>3400</v>
      </c>
    </row>
    <row r="70" spans="1:9" ht="13.5" thickBot="1" x14ac:dyDescent="0.25">
      <c r="A70" s="64">
        <v>61</v>
      </c>
      <c r="B70" s="47" t="s">
        <v>190</v>
      </c>
      <c r="C70" s="47" t="s">
        <v>62</v>
      </c>
      <c r="D70" s="67">
        <v>295</v>
      </c>
      <c r="E70" s="47" t="s">
        <v>188</v>
      </c>
      <c r="F70" s="68" t="s">
        <v>14</v>
      </c>
      <c r="G70" s="68">
        <v>10</v>
      </c>
      <c r="H70" s="61">
        <v>340</v>
      </c>
      <c r="I70" s="60">
        <f t="shared" si="0"/>
        <v>3400</v>
      </c>
    </row>
    <row r="71" spans="1:9" ht="13.5" thickBot="1" x14ac:dyDescent="0.25">
      <c r="A71" s="64">
        <v>62</v>
      </c>
      <c r="B71" s="47" t="s">
        <v>187</v>
      </c>
      <c r="C71" s="47" t="s">
        <v>62</v>
      </c>
      <c r="D71" s="67">
        <v>295</v>
      </c>
      <c r="E71" s="47" t="s">
        <v>186</v>
      </c>
      <c r="F71" s="68" t="s">
        <v>14</v>
      </c>
      <c r="G71" s="68">
        <v>10</v>
      </c>
      <c r="H71" s="61">
        <v>340</v>
      </c>
      <c r="I71" s="60">
        <f t="shared" si="0"/>
        <v>3400</v>
      </c>
    </row>
    <row r="72" spans="1:9" ht="13.5" thickBot="1" x14ac:dyDescent="0.25">
      <c r="A72" s="64">
        <v>63</v>
      </c>
      <c r="B72" s="47" t="s">
        <v>191</v>
      </c>
      <c r="C72" s="47" t="s">
        <v>62</v>
      </c>
      <c r="D72" s="67">
        <v>295</v>
      </c>
      <c r="E72" s="47" t="s">
        <v>189</v>
      </c>
      <c r="F72" s="68" t="s">
        <v>14</v>
      </c>
      <c r="G72" s="68">
        <v>10</v>
      </c>
      <c r="H72" s="61">
        <v>340</v>
      </c>
      <c r="I72" s="60">
        <f t="shared" si="0"/>
        <v>3400</v>
      </c>
    </row>
    <row r="73" spans="1:9" ht="13.5" thickBot="1" x14ac:dyDescent="0.25">
      <c r="A73" s="64">
        <v>64</v>
      </c>
      <c r="B73" s="47" t="s">
        <v>193</v>
      </c>
      <c r="C73" s="47" t="s">
        <v>62</v>
      </c>
      <c r="D73" s="67">
        <v>295</v>
      </c>
      <c r="E73" s="47" t="s">
        <v>192</v>
      </c>
      <c r="F73" s="68" t="s">
        <v>14</v>
      </c>
      <c r="G73" s="68">
        <v>10</v>
      </c>
      <c r="H73" s="61">
        <v>340</v>
      </c>
      <c r="I73" s="60">
        <f t="shared" si="0"/>
        <v>3400</v>
      </c>
    </row>
    <row r="74" spans="1:9" ht="13.5" thickBot="1" x14ac:dyDescent="0.25">
      <c r="A74" s="64">
        <v>65</v>
      </c>
      <c r="B74" s="70" t="s">
        <v>195</v>
      </c>
      <c r="C74" s="70" t="s">
        <v>62</v>
      </c>
      <c r="D74" s="71">
        <v>295</v>
      </c>
      <c r="E74" s="70" t="s">
        <v>194</v>
      </c>
      <c r="F74" s="72" t="s">
        <v>14</v>
      </c>
      <c r="G74" s="72">
        <v>10</v>
      </c>
      <c r="H74" s="73">
        <v>340</v>
      </c>
      <c r="I74" s="60">
        <f t="shared" si="0"/>
        <v>3400</v>
      </c>
    </row>
    <row r="75" spans="1:9" x14ac:dyDescent="0.2">
      <c r="I75" s="45"/>
    </row>
    <row r="76" spans="1:9" ht="13.5" thickBot="1" x14ac:dyDescent="0.25">
      <c r="C76" s="104"/>
      <c r="D76" s="104"/>
      <c r="E76" s="104"/>
      <c r="I76" s="45"/>
    </row>
    <row r="77" spans="1:9" x14ac:dyDescent="0.2">
      <c r="B77" s="105" t="s">
        <v>204</v>
      </c>
      <c r="C77" s="36"/>
      <c r="D77" s="36"/>
      <c r="E77" s="37"/>
    </row>
    <row r="78" spans="1:9" ht="12.75" customHeight="1" x14ac:dyDescent="0.2">
      <c r="B78" s="111" t="s">
        <v>207</v>
      </c>
      <c r="C78" s="112"/>
      <c r="D78" s="112"/>
      <c r="E78" s="113"/>
    </row>
    <row r="79" spans="1:9" ht="26.25" customHeight="1" x14ac:dyDescent="0.2">
      <c r="B79" s="111"/>
      <c r="C79" s="112"/>
      <c r="D79" s="112"/>
      <c r="E79" s="113"/>
    </row>
    <row r="80" spans="1:9" ht="26.25" customHeight="1" x14ac:dyDescent="0.2">
      <c r="B80" s="111" t="s">
        <v>209</v>
      </c>
      <c r="C80" s="112"/>
      <c r="D80" s="112"/>
      <c r="E80" s="113"/>
    </row>
    <row r="81" spans="2:9" ht="26.25" customHeight="1" x14ac:dyDescent="0.2">
      <c r="B81" s="111" t="s">
        <v>208</v>
      </c>
      <c r="C81" s="112"/>
      <c r="D81" s="112"/>
      <c r="E81" s="113"/>
    </row>
    <row r="82" spans="2:9" ht="12" customHeight="1" x14ac:dyDescent="0.2">
      <c r="B82" s="111" t="s">
        <v>206</v>
      </c>
      <c r="C82" s="112"/>
      <c r="D82" s="112"/>
      <c r="E82" s="113"/>
    </row>
    <row r="83" spans="2:9" ht="17.25" customHeight="1" x14ac:dyDescent="0.2">
      <c r="B83" s="111"/>
      <c r="C83" s="112"/>
      <c r="D83" s="112"/>
      <c r="E83" s="113"/>
    </row>
    <row r="84" spans="2:9" ht="13.5" thickBot="1" x14ac:dyDescent="0.25">
      <c r="B84" s="42"/>
      <c r="C84" s="43"/>
      <c r="D84" s="43"/>
      <c r="E84" s="44"/>
    </row>
    <row r="86" spans="2:9" x14ac:dyDescent="0.2">
      <c r="I86" s="45"/>
    </row>
    <row r="87" spans="2:9" ht="13.5" thickBot="1" x14ac:dyDescent="0.25"/>
    <row r="88" spans="2:9" x14ac:dyDescent="0.2">
      <c r="B88" s="35" t="s">
        <v>202</v>
      </c>
      <c r="C88" s="36"/>
      <c r="D88" s="36"/>
      <c r="E88" s="37"/>
    </row>
    <row r="89" spans="2:9" ht="5.25" customHeight="1" x14ac:dyDescent="0.2">
      <c r="B89" s="38"/>
      <c r="C89" s="39"/>
      <c r="D89" s="39"/>
      <c r="E89" s="40"/>
    </row>
    <row r="90" spans="2:9" x14ac:dyDescent="0.2">
      <c r="B90" s="41" t="s">
        <v>15</v>
      </c>
      <c r="C90" s="39"/>
      <c r="D90" s="39"/>
      <c r="E90" s="40"/>
    </row>
    <row r="91" spans="2:9" x14ac:dyDescent="0.2">
      <c r="B91" s="41"/>
      <c r="C91" s="106" t="s">
        <v>98</v>
      </c>
      <c r="D91" s="106"/>
      <c r="E91" s="107"/>
    </row>
    <row r="92" spans="2:9" ht="13.5" thickBot="1" x14ac:dyDescent="0.25">
      <c r="B92" s="42"/>
      <c r="C92" s="43"/>
      <c r="D92" s="43"/>
      <c r="E92" s="44"/>
    </row>
    <row r="94" spans="2:9" x14ac:dyDescent="0.2">
      <c r="B94" s="35" t="s">
        <v>203</v>
      </c>
      <c r="C94" s="36"/>
      <c r="D94" s="36"/>
      <c r="E94" s="37"/>
    </row>
    <row r="95" spans="2:9" ht="7.5" customHeight="1" x14ac:dyDescent="0.2">
      <c r="B95" s="38"/>
      <c r="C95" s="39"/>
      <c r="D95" s="39"/>
      <c r="E95" s="40"/>
    </row>
    <row r="96" spans="2:9" x14ac:dyDescent="0.2">
      <c r="B96" s="41" t="s">
        <v>15</v>
      </c>
      <c r="C96" s="39"/>
      <c r="D96" s="39"/>
      <c r="E96" s="40"/>
    </row>
    <row r="97" spans="2:5" x14ac:dyDescent="0.2">
      <c r="B97" s="41"/>
      <c r="C97" s="106" t="s">
        <v>167</v>
      </c>
      <c r="D97" s="106"/>
      <c r="E97" s="107"/>
    </row>
    <row r="98" spans="2:5" ht="13.5" thickBot="1" x14ac:dyDescent="0.25">
      <c r="B98" s="42"/>
      <c r="C98" s="43"/>
      <c r="D98" s="43"/>
      <c r="E98" s="44"/>
    </row>
  </sheetData>
  <autoFilter ref="A9:I74"/>
  <mergeCells count="13">
    <mergeCell ref="C97:E97"/>
    <mergeCell ref="A6:B6"/>
    <mergeCell ref="A7:B7"/>
    <mergeCell ref="C91:E91"/>
    <mergeCell ref="B2:H2"/>
    <mergeCell ref="A4:B4"/>
    <mergeCell ref="C4:E4"/>
    <mergeCell ref="A5:B5"/>
    <mergeCell ref="C5:E5"/>
    <mergeCell ref="B78:E79"/>
    <mergeCell ref="B81:E81"/>
    <mergeCell ref="B82:E83"/>
    <mergeCell ref="B80:E80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7"/>
  <sheetViews>
    <sheetView zoomScale="80" zoomScaleNormal="80" workbookViewId="0">
      <selection activeCell="C49" sqref="C49:G49"/>
    </sheetView>
  </sheetViews>
  <sheetFormatPr baseColWidth="10" defaultColWidth="9.140625" defaultRowHeight="12.75" x14ac:dyDescent="0.2"/>
  <cols>
    <col min="1" max="1" width="5.5703125" style="50" customWidth="1"/>
    <col min="2" max="2" width="15.140625" style="50" customWidth="1"/>
    <col min="3" max="3" width="14.140625" style="50" customWidth="1"/>
    <col min="4" max="4" width="26" style="50" customWidth="1"/>
    <col min="5" max="5" width="8" style="50" customWidth="1"/>
    <col min="6" max="6" width="7.85546875" style="50" customWidth="1"/>
    <col min="7" max="7" width="48.5703125" style="50" customWidth="1"/>
    <col min="8" max="8" width="9.28515625" style="50" customWidth="1"/>
    <col min="9" max="9" width="15.5703125" style="50" customWidth="1"/>
    <col min="10" max="10" width="14.7109375" style="50" customWidth="1"/>
    <col min="11" max="11" width="15.5703125" style="50" customWidth="1"/>
    <col min="12" max="14" width="5.85546875" style="50" customWidth="1"/>
    <col min="15" max="15" width="12.5703125" style="50" customWidth="1"/>
    <col min="16" max="1024" width="9.140625" style="50"/>
    <col min="1025" max="16384" width="9.140625" style="51"/>
  </cols>
  <sheetData>
    <row r="1" spans="1:11" ht="18" customHeight="1" x14ac:dyDescent="0.2">
      <c r="A1" s="116" t="s">
        <v>16</v>
      </c>
      <c r="B1" s="116"/>
      <c r="C1" s="116"/>
      <c r="D1" s="116"/>
      <c r="E1" s="116"/>
      <c r="F1" s="116"/>
      <c r="G1" s="116"/>
      <c r="H1" s="116"/>
      <c r="I1" s="116"/>
      <c r="J1" s="48" t="s">
        <v>17</v>
      </c>
      <c r="K1" s="49" t="s">
        <v>198</v>
      </c>
    </row>
    <row r="2" spans="1:11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1" ht="18.75" customHeight="1" thickBot="1" x14ac:dyDescent="0.25">
      <c r="A3" s="117" t="s">
        <v>51</v>
      </c>
      <c r="B3" s="117"/>
      <c r="C3" s="117"/>
      <c r="D3" s="118" t="str">
        <f>'Necesidades Trimestrales'!C4</f>
        <v>040 - Ministerio de Salud</v>
      </c>
      <c r="E3" s="118"/>
      <c r="F3" s="118"/>
      <c r="G3" s="118"/>
      <c r="H3" s="118"/>
      <c r="I3" s="118"/>
      <c r="J3" s="118"/>
      <c r="K3" s="118"/>
    </row>
    <row r="4" spans="1:11" ht="18.75" customHeight="1" thickBot="1" x14ac:dyDescent="0.25">
      <c r="A4" s="119" t="s">
        <v>52</v>
      </c>
      <c r="B4" s="119"/>
      <c r="C4" s="119"/>
      <c r="D4" s="118" t="str">
        <f>'Necesidades Trimestrales'!C5</f>
        <v>024 - Hospital Interzonal de Niños</v>
      </c>
      <c r="E4" s="118"/>
      <c r="F4" s="118"/>
      <c r="G4" s="118"/>
      <c r="H4" s="118"/>
      <c r="I4" s="118"/>
      <c r="J4" s="118"/>
      <c r="K4" s="118"/>
    </row>
    <row r="5" spans="1:11" ht="18.75" customHeight="1" thickBot="1" x14ac:dyDescent="0.25">
      <c r="A5" s="119" t="s">
        <v>30</v>
      </c>
      <c r="B5" s="119"/>
      <c r="C5" s="119"/>
      <c r="D5" s="118" t="s">
        <v>57</v>
      </c>
      <c r="E5" s="118"/>
      <c r="F5" s="118"/>
      <c r="G5" s="118"/>
      <c r="H5" s="118"/>
      <c r="I5" s="118"/>
      <c r="J5" s="118"/>
      <c r="K5" s="118"/>
    </row>
    <row r="6" spans="1:11" ht="16.5" customHeight="1" thickBot="1" x14ac:dyDescent="0.25">
      <c r="A6" s="117" t="s">
        <v>53</v>
      </c>
      <c r="B6" s="117"/>
      <c r="C6" s="117"/>
      <c r="D6" s="118" t="s">
        <v>196</v>
      </c>
      <c r="E6" s="118"/>
      <c r="F6" s="118"/>
      <c r="G6" s="118"/>
      <c r="H6" s="118"/>
      <c r="I6" s="118"/>
      <c r="J6" s="118"/>
      <c r="K6" s="118"/>
    </row>
    <row r="7" spans="1:11" ht="16.5" customHeight="1" x14ac:dyDescent="0.2">
      <c r="A7" s="119" t="s">
        <v>18</v>
      </c>
      <c r="B7" s="119"/>
      <c r="C7" s="119"/>
      <c r="D7" s="118" t="str">
        <f>'Necesidades Trimestrales'!C7 &amp; "° Trimestre - Año " &amp; 'Necesidades Trimestrales'!C6</f>
        <v>4° Trimestre - Año 2020</v>
      </c>
      <c r="E7" s="118"/>
      <c r="F7" s="118"/>
      <c r="G7" s="118"/>
      <c r="H7" s="118"/>
      <c r="I7" s="118"/>
      <c r="J7" s="118"/>
      <c r="K7" s="118"/>
    </row>
    <row r="8" spans="1:11" ht="16.5" customHeight="1" x14ac:dyDescent="0.2">
      <c r="A8" s="120" t="s">
        <v>19</v>
      </c>
      <c r="B8" s="120"/>
      <c r="C8" s="120"/>
      <c r="D8" s="121" t="s">
        <v>197</v>
      </c>
      <c r="E8" s="121"/>
      <c r="F8" s="121"/>
      <c r="G8" s="121"/>
      <c r="H8" s="121"/>
      <c r="I8" s="121"/>
      <c r="J8" s="121"/>
      <c r="K8" s="121"/>
    </row>
    <row r="9" spans="1:11" ht="15.75" x14ac:dyDescent="0.2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</row>
    <row r="10" spans="1:11" ht="18.75" customHeight="1" x14ac:dyDescent="0.2">
      <c r="A10" s="122" t="s">
        <v>20</v>
      </c>
      <c r="B10" s="123" t="s">
        <v>21</v>
      </c>
      <c r="C10" s="123" t="s">
        <v>22</v>
      </c>
      <c r="D10" s="123"/>
      <c r="E10" s="123"/>
      <c r="F10" s="123"/>
      <c r="G10" s="123"/>
      <c r="H10" s="123" t="s">
        <v>23</v>
      </c>
      <c r="I10" s="123" t="s">
        <v>24</v>
      </c>
      <c r="J10" s="123" t="s">
        <v>25</v>
      </c>
      <c r="K10" s="124" t="s">
        <v>26</v>
      </c>
    </row>
    <row r="11" spans="1:11" ht="24" customHeight="1" thickBot="1" x14ac:dyDescent="0.25">
      <c r="A11" s="122"/>
      <c r="B11" s="123"/>
      <c r="C11" s="123"/>
      <c r="D11" s="123"/>
      <c r="E11" s="123"/>
      <c r="F11" s="123"/>
      <c r="G11" s="123"/>
      <c r="H11" s="123"/>
      <c r="I11" s="123"/>
      <c r="J11" s="123"/>
      <c r="K11" s="124"/>
    </row>
    <row r="12" spans="1:11" ht="27.75" customHeight="1" thickBot="1" x14ac:dyDescent="0.25">
      <c r="A12" s="74">
        <v>1</v>
      </c>
      <c r="B12" s="75" t="str">
        <f>'Necesidades Trimestrales'!B10</f>
        <v>2.5.2-5143.14</v>
      </c>
      <c r="C12" s="126" t="str">
        <f>'Necesidades Trimestrales'!E10</f>
        <v>IONOMEROS VITREOS; USO: RESTAURACION, PRESENTACION: LIQUIDO X10ML - POLVO X 15 GRS, FORMA DE PRESENTACION: POLVO - LIQUIDO, ESTADO: POLVO - LIQUIDO</v>
      </c>
      <c r="D12" s="126"/>
      <c r="E12" s="126"/>
      <c r="F12" s="126"/>
      <c r="G12" s="126"/>
      <c r="H12" s="76" t="s">
        <v>60</v>
      </c>
      <c r="I12" s="77" t="str">
        <f>'Necesidades Trimestrales'!F10</f>
        <v>CAJA</v>
      </c>
      <c r="J12" s="78">
        <f>'Necesidades Trimestrales'!H10</f>
        <v>2150</v>
      </c>
      <c r="K12" s="79">
        <f>'Necesidades Trimestrales'!G10</f>
        <v>6</v>
      </c>
    </row>
    <row r="13" spans="1:11" ht="20.25" customHeight="1" thickBot="1" x14ac:dyDescent="0.25">
      <c r="A13" s="74">
        <v>2</v>
      </c>
      <c r="B13" s="80" t="str">
        <f>'Necesidades Trimestrales'!B11</f>
        <v>2.5.2-5143.34</v>
      </c>
      <c r="C13" s="115" t="str">
        <f>'Necesidades Trimestrales'!E11</f>
        <v>IONOMEROS VITREOS; USO: TIPO II OBTURACION, PRESENTACION: AVIO 12,5 GRS/8,5 ML, FORMA DE PRESENTACION: POLVO - LIQUIDO</v>
      </c>
      <c r="D13" s="115"/>
      <c r="E13" s="115"/>
      <c r="F13" s="115"/>
      <c r="G13" s="115"/>
      <c r="H13" s="81" t="s">
        <v>60</v>
      </c>
      <c r="I13" s="82" t="str">
        <f>'Necesidades Trimestrales'!F11</f>
        <v>PAQUETE</v>
      </c>
      <c r="J13" s="83">
        <f>'Necesidades Trimestrales'!H11</f>
        <v>7400</v>
      </c>
      <c r="K13" s="84">
        <f>'Necesidades Trimestrales'!G11</f>
        <v>4</v>
      </c>
    </row>
    <row r="14" spans="1:11" ht="20.25" customHeight="1" thickBot="1" x14ac:dyDescent="0.25">
      <c r="A14" s="74">
        <v>3</v>
      </c>
      <c r="B14" s="80" t="str">
        <f>'Necesidades Trimestrales'!B12</f>
        <v>2.9.5-5514.20</v>
      </c>
      <c r="C14" s="115" t="str">
        <f>'Necesidades Trimestrales'!E12</f>
        <v>PASTAS P/ODONTOLOGIA; USO: OBTURACION, TIPO: COMPOSITE MICROHIBRIDO, PRESENTACION: JERINGA X 4 GR</v>
      </c>
      <c r="D14" s="115"/>
      <c r="E14" s="115"/>
      <c r="F14" s="115"/>
      <c r="G14" s="115"/>
      <c r="H14" s="81" t="s">
        <v>60</v>
      </c>
      <c r="I14" s="82" t="str">
        <f>'Necesidades Trimestrales'!F12</f>
        <v>UNIDAD</v>
      </c>
      <c r="J14" s="83">
        <f>'Necesidades Trimestrales'!H12</f>
        <v>380</v>
      </c>
      <c r="K14" s="84">
        <f>'Necesidades Trimestrales'!G12</f>
        <v>2</v>
      </c>
    </row>
    <row r="15" spans="1:11" ht="20.25" customHeight="1" thickBot="1" x14ac:dyDescent="0.25">
      <c r="A15" s="74">
        <v>4</v>
      </c>
      <c r="B15" s="80" t="str">
        <f>'Necesidades Trimestrales'!B13</f>
        <v>2.5.2-5525.1</v>
      </c>
      <c r="C15" s="115" t="str">
        <f>'Necesidades Trimestrales'!E13</f>
        <v>SELLADORES P/ODONTOLOGIA; USO: FOSAS Y FISURAS, PRESENTACION: ENVASE X 6 mL</v>
      </c>
      <c r="D15" s="115"/>
      <c r="E15" s="115"/>
      <c r="F15" s="115"/>
      <c r="G15" s="115"/>
      <c r="H15" s="81" t="s">
        <v>60</v>
      </c>
      <c r="I15" s="82" t="str">
        <f>'Necesidades Trimestrales'!F13</f>
        <v>UNIDAD</v>
      </c>
      <c r="J15" s="83">
        <f>'Necesidades Trimestrales'!H13</f>
        <v>930</v>
      </c>
      <c r="K15" s="84">
        <f>'Necesidades Trimestrales'!G13</f>
        <v>3</v>
      </c>
    </row>
    <row r="16" spans="1:11" ht="20.25" customHeight="1" thickBot="1" x14ac:dyDescent="0.25">
      <c r="A16" s="74">
        <v>5</v>
      </c>
      <c r="B16" s="80" t="str">
        <f>'Necesidades Trimestrales'!B14</f>
        <v>2.9.5-5144.423</v>
      </c>
      <c r="C16" s="115" t="str">
        <f>'Necesidades Trimestrales'!E14</f>
        <v>INSTRUMENTAL ODONTOLOGICO; TIPO: CEPILLO BROCHITA CONTRA ANG, DESCARTABLE: NO, PRESENTACION: UNIDAD UN</v>
      </c>
      <c r="D16" s="115"/>
      <c r="E16" s="115"/>
      <c r="F16" s="115"/>
      <c r="G16" s="115"/>
      <c r="H16" s="81" t="s">
        <v>60</v>
      </c>
      <c r="I16" s="82" t="str">
        <f>'Necesidades Trimestrales'!F14</f>
        <v>UNIDAD</v>
      </c>
      <c r="J16" s="83">
        <f>'Necesidades Trimestrales'!H14</f>
        <v>110</v>
      </c>
      <c r="K16" s="84">
        <f>'Necesidades Trimestrales'!G14</f>
        <v>10</v>
      </c>
    </row>
    <row r="17" spans="1:11" ht="20.25" customHeight="1" thickBot="1" x14ac:dyDescent="0.25">
      <c r="A17" s="74">
        <v>6</v>
      </c>
      <c r="B17" s="80" t="str">
        <f>'Necesidades Trimestrales'!B15</f>
        <v>2.9.5-5514.7</v>
      </c>
      <c r="C17" s="115" t="str">
        <f>'Necesidades Trimestrales'!E15</f>
        <v>PASTAS P/ODONTOLOGIA; USO: P/LIMPIEZA, TIPO: SIN FLUOR, PRESENTACION: ENVASE X 45 GR</v>
      </c>
      <c r="D17" s="115"/>
      <c r="E17" s="115"/>
      <c r="F17" s="115"/>
      <c r="G17" s="115"/>
      <c r="H17" s="81" t="s">
        <v>60</v>
      </c>
      <c r="I17" s="82" t="str">
        <f>'Necesidades Trimestrales'!F15</f>
        <v>UNIDAD</v>
      </c>
      <c r="J17" s="83">
        <f>'Necesidades Trimestrales'!H15</f>
        <v>310</v>
      </c>
      <c r="K17" s="84">
        <f>'Necesidades Trimestrales'!G15</f>
        <v>1</v>
      </c>
    </row>
    <row r="18" spans="1:11" ht="20.25" customHeight="1" thickBot="1" x14ac:dyDescent="0.25">
      <c r="A18" s="74">
        <v>7</v>
      </c>
      <c r="B18" s="80" t="str">
        <f>'Necesidades Trimestrales'!B16</f>
        <v>2.9.5-2886.136</v>
      </c>
      <c r="C18" s="115" t="str">
        <f>'Necesidades Trimestrales'!E16</f>
        <v>HILOS DE SUTURA; PRESENTACION: UNIDAD, MATERIAL: NAILON C/AGUJA CURVA 60 MM, MEDIDA: 2/0</v>
      </c>
      <c r="D18" s="115"/>
      <c r="E18" s="115"/>
      <c r="F18" s="115"/>
      <c r="G18" s="115"/>
      <c r="H18" s="81" t="s">
        <v>60</v>
      </c>
      <c r="I18" s="82" t="str">
        <f>'Necesidades Trimestrales'!F16</f>
        <v>UNIDAD</v>
      </c>
      <c r="J18" s="83">
        <f>'Necesidades Trimestrales'!H16</f>
        <v>160</v>
      </c>
      <c r="K18" s="84">
        <f>'Necesidades Trimestrales'!G16</f>
        <v>24</v>
      </c>
    </row>
    <row r="19" spans="1:11" ht="20.25" customHeight="1" thickBot="1" x14ac:dyDescent="0.25">
      <c r="A19" s="74">
        <v>8</v>
      </c>
      <c r="B19" s="80" t="str">
        <f>'Necesidades Trimestrales'!B17</f>
        <v>2.9.5-5144.568</v>
      </c>
      <c r="C19" s="115" t="str">
        <f>'Necesidades Trimestrales'!E17</f>
        <v>INSTRUMENTAL ODONTOLOGICO; TIPO: TIRA P/PULIR. COMPOSITE-GR MED, DESCARTABLE: SI, PRESENTACION: ENVASE X 50 UN</v>
      </c>
      <c r="D19" s="115"/>
      <c r="E19" s="115"/>
      <c r="F19" s="115"/>
      <c r="G19" s="115"/>
      <c r="H19" s="81" t="s">
        <v>60</v>
      </c>
      <c r="I19" s="82" t="str">
        <f>'Necesidades Trimestrales'!F17</f>
        <v>CAJA</v>
      </c>
      <c r="J19" s="83">
        <f>'Necesidades Trimestrales'!H17</f>
        <v>505</v>
      </c>
      <c r="K19" s="84">
        <f>'Necesidades Trimestrales'!G17</f>
        <v>2</v>
      </c>
    </row>
    <row r="20" spans="1:11" ht="20.25" customHeight="1" thickBot="1" x14ac:dyDescent="0.25">
      <c r="A20" s="74">
        <v>9</v>
      </c>
      <c r="B20" s="80" t="str">
        <f>'Necesidades Trimestrales'!B18</f>
        <v>2.9.5-5144.537</v>
      </c>
      <c r="C20" s="115" t="str">
        <f>'Necesidades Trimestrales'!E18</f>
        <v>INSTRUMENTAL ODONTOLOGICO; TIPO: TIRA P/PULIR AMALGAMA, DESCARTABLE: SI, PRESENTACION: 2 UNIDADES</v>
      </c>
      <c r="D20" s="115"/>
      <c r="E20" s="115"/>
      <c r="F20" s="115"/>
      <c r="G20" s="115"/>
      <c r="H20" s="81" t="s">
        <v>60</v>
      </c>
      <c r="I20" s="82" t="str">
        <f>'Necesidades Trimestrales'!F18</f>
        <v>CAJA</v>
      </c>
      <c r="J20" s="83">
        <f>'Necesidades Trimestrales'!H18</f>
        <v>970</v>
      </c>
      <c r="K20" s="84">
        <f>'Necesidades Trimestrales'!G18</f>
        <v>6</v>
      </c>
    </row>
    <row r="21" spans="1:11" ht="20.25" customHeight="1" thickBot="1" x14ac:dyDescent="0.25">
      <c r="A21" s="74">
        <v>10</v>
      </c>
      <c r="B21" s="80" t="str">
        <f>'Necesidades Trimestrales'!B19</f>
        <v>2.9.5-5144.271</v>
      </c>
      <c r="C21" s="115" t="str">
        <f>'Necesidades Trimestrales'!E19</f>
        <v>INSTRUMENTAL ODONTOLOGICO; TIPO: TIRA DE CELULOIDE, DESCARTABLE: SI, PRESENTACION: CAJA X 100 UN</v>
      </c>
      <c r="D21" s="115"/>
      <c r="E21" s="115"/>
      <c r="F21" s="115"/>
      <c r="G21" s="115"/>
      <c r="H21" s="81" t="s">
        <v>60</v>
      </c>
      <c r="I21" s="82" t="str">
        <f>'Necesidades Trimestrales'!F19</f>
        <v>CAJA</v>
      </c>
      <c r="J21" s="83">
        <f>'Necesidades Trimestrales'!H19</f>
        <v>130</v>
      </c>
      <c r="K21" s="84">
        <f>'Necesidades Trimestrales'!G19</f>
        <v>1</v>
      </c>
    </row>
    <row r="22" spans="1:11" ht="20.25" customHeight="1" thickBot="1" x14ac:dyDescent="0.25">
      <c r="A22" s="74">
        <v>11</v>
      </c>
      <c r="B22" s="80" t="str">
        <f>'Necesidades Trimestrales'!B20</f>
        <v>2.5.2-5142.14</v>
      </c>
      <c r="C22" s="115" t="str">
        <f>'Necesidades Trimestrales'!E20</f>
        <v>TOPICOS ODONTOLOGICOS; DROGA GENERICA: PAPAINA, PRESENTACION: ENVASE X 3 mL, FORMA DE PRESENTACION: GEL</v>
      </c>
      <c r="D22" s="115"/>
      <c r="E22" s="115"/>
      <c r="F22" s="115"/>
      <c r="G22" s="115"/>
      <c r="H22" s="81" t="s">
        <v>60</v>
      </c>
      <c r="I22" s="82" t="str">
        <f>'Necesidades Trimestrales'!F20</f>
        <v>UNIDAD</v>
      </c>
      <c r="J22" s="83">
        <f>'Necesidades Trimestrales'!H20</f>
        <v>1290</v>
      </c>
      <c r="K22" s="84">
        <f>'Necesidades Trimestrales'!G20</f>
        <v>1</v>
      </c>
    </row>
    <row r="23" spans="1:11" ht="20.25" customHeight="1" thickBot="1" x14ac:dyDescent="0.25">
      <c r="A23" s="74">
        <v>12</v>
      </c>
      <c r="B23" s="80" t="str">
        <f>'Necesidades Trimestrales'!B21</f>
        <v>2.9.5-5144.415</v>
      </c>
      <c r="C23" s="115" t="str">
        <f>'Necesidades Trimestrales'!E21</f>
        <v>INSTRUMENTAL ODONTOLOGICO; TIPO: GOMA DIQUE, DESCARTABLE: SI, PRESENTACION: ENVASE X 50 UN</v>
      </c>
      <c r="D23" s="115"/>
      <c r="E23" s="115"/>
      <c r="F23" s="115"/>
      <c r="G23" s="115"/>
      <c r="H23" s="81" t="s">
        <v>60</v>
      </c>
      <c r="I23" s="82" t="str">
        <f>'Necesidades Trimestrales'!F21</f>
        <v>CAJA</v>
      </c>
      <c r="J23" s="83">
        <f>'Necesidades Trimestrales'!H21</f>
        <v>1240</v>
      </c>
      <c r="K23" s="84">
        <f>'Necesidades Trimestrales'!G21</f>
        <v>2</v>
      </c>
    </row>
    <row r="24" spans="1:11" ht="20.25" customHeight="1" thickBot="1" x14ac:dyDescent="0.25">
      <c r="A24" s="74">
        <v>13</v>
      </c>
      <c r="B24" s="80" t="str">
        <f>'Necesidades Trimestrales'!B22</f>
        <v>2.5.2-1883.179</v>
      </c>
      <c r="C24" s="115" t="str">
        <f>'Necesidades Trimestrales'!E22</f>
        <v>ANESTESICOS LOCALES; TIPO: ANESTESIA ODONTOLOGICA, DROGA GENERICA: CLORHIDRATO DE CARTICAINA 4%, FORMA FARMACEUTICA: ANESTUBOS, PRESENTACION: ENVASE X 25 UN</v>
      </c>
      <c r="D24" s="115"/>
      <c r="E24" s="115"/>
      <c r="F24" s="115"/>
      <c r="G24" s="115"/>
      <c r="H24" s="81" t="s">
        <v>60</v>
      </c>
      <c r="I24" s="82" t="str">
        <f>'Necesidades Trimestrales'!F22</f>
        <v>CAJA</v>
      </c>
      <c r="J24" s="83">
        <f>'Necesidades Trimestrales'!H22</f>
        <v>1185</v>
      </c>
      <c r="K24" s="84">
        <f>'Necesidades Trimestrales'!G22</f>
        <v>30</v>
      </c>
    </row>
    <row r="25" spans="1:11" ht="20.25" customHeight="1" thickBot="1" x14ac:dyDescent="0.25">
      <c r="A25" s="74">
        <v>14</v>
      </c>
      <c r="B25" s="80" t="str">
        <f>'Necesidades Trimestrales'!B23</f>
        <v>2.9.5-4684.6</v>
      </c>
      <c r="C25" s="115" t="str">
        <f>'Necesidades Trimestrales'!E23</f>
        <v>PELICULAS RADIOGRAFICAS; USO: ODONTOLOGICO, MARCA: KODAK, PRESENTACION: CAJA X 150 UN</v>
      </c>
      <c r="D25" s="115"/>
      <c r="E25" s="115"/>
      <c r="F25" s="115"/>
      <c r="G25" s="115"/>
      <c r="H25" s="81" t="s">
        <v>60</v>
      </c>
      <c r="I25" s="82" t="str">
        <f>'Necesidades Trimestrales'!F23</f>
        <v>CAJA</v>
      </c>
      <c r="J25" s="83">
        <f>'Necesidades Trimestrales'!H23</f>
        <v>3640</v>
      </c>
      <c r="K25" s="84">
        <f>'Necesidades Trimestrales'!G23</f>
        <v>1</v>
      </c>
    </row>
    <row r="26" spans="1:11" ht="20.25" customHeight="1" thickBot="1" x14ac:dyDescent="0.25">
      <c r="A26" s="74">
        <v>15</v>
      </c>
      <c r="B26" s="80" t="str">
        <f>'Necesidades Trimestrales'!B24</f>
        <v>2.9.5-2567.203</v>
      </c>
      <c r="C26" s="115" t="str">
        <f>'Necesidades Trimestrales'!E24</f>
        <v>FRESAS P/ODONTOLOGIA; MATERIAL: ACERO INOXIDABLE, NUMERO: 2, LARGO: 32 mm, TIPO: GATES</v>
      </c>
      <c r="D26" s="115"/>
      <c r="E26" s="115"/>
      <c r="F26" s="115"/>
      <c r="G26" s="115"/>
      <c r="H26" s="81" t="s">
        <v>60</v>
      </c>
      <c r="I26" s="82" t="str">
        <f>'Necesidades Trimestrales'!F24</f>
        <v>UNIDAD</v>
      </c>
      <c r="J26" s="83">
        <f>'Necesidades Trimestrales'!H24</f>
        <v>170</v>
      </c>
      <c r="K26" s="84">
        <f>'Necesidades Trimestrales'!G24</f>
        <v>2</v>
      </c>
    </row>
    <row r="27" spans="1:11" ht="20.25" customHeight="1" thickBot="1" x14ac:dyDescent="0.25">
      <c r="A27" s="74">
        <v>16</v>
      </c>
      <c r="B27" s="80" t="str">
        <f>'Necesidades Trimestrales'!B25</f>
        <v>2.9.5-2567.204</v>
      </c>
      <c r="C27" s="115" t="str">
        <f>'Necesidades Trimestrales'!E25</f>
        <v>FRESAS P/ODONTOLOGIA; MATERIAL: ACERO INOXIDABLE, NUMERO: 3, LARGO: 32 mm, TIPO: GATES</v>
      </c>
      <c r="D27" s="115"/>
      <c r="E27" s="115"/>
      <c r="F27" s="115"/>
      <c r="G27" s="115"/>
      <c r="H27" s="81" t="s">
        <v>60</v>
      </c>
      <c r="I27" s="82" t="str">
        <f>'Necesidades Trimestrales'!F25</f>
        <v>UNIDAD</v>
      </c>
      <c r="J27" s="83">
        <f>'Necesidades Trimestrales'!H25</f>
        <v>170</v>
      </c>
      <c r="K27" s="84">
        <f>'Necesidades Trimestrales'!G25</f>
        <v>2</v>
      </c>
    </row>
    <row r="28" spans="1:11" ht="20.25" customHeight="1" thickBot="1" x14ac:dyDescent="0.25">
      <c r="A28" s="74">
        <v>17</v>
      </c>
      <c r="B28" s="80" t="str">
        <f>'Necesidades Trimestrales'!B26</f>
        <v>2.9.5-2538.8</v>
      </c>
      <c r="C28" s="115" t="str">
        <f>'Necesidades Trimestrales'!E26</f>
        <v>LIMAS P/ODONTOLOGIA; NUMERO: 20, LARGO: 25, TIPO: MAILLEFER (P/CONDUCTO), MATERIAL: NIQUEL -TITANIO</v>
      </c>
      <c r="D28" s="115"/>
      <c r="E28" s="115"/>
      <c r="F28" s="115"/>
      <c r="G28" s="115"/>
      <c r="H28" s="81" t="s">
        <v>60</v>
      </c>
      <c r="I28" s="82" t="str">
        <f>'Necesidades Trimestrales'!F26</f>
        <v>BLISTER</v>
      </c>
      <c r="J28" s="83">
        <f>'Necesidades Trimestrales'!H26</f>
        <v>1250</v>
      </c>
      <c r="K28" s="84">
        <f>'Necesidades Trimestrales'!G26</f>
        <v>2</v>
      </c>
    </row>
    <row r="29" spans="1:11" ht="20.25" customHeight="1" thickBot="1" x14ac:dyDescent="0.25">
      <c r="A29" s="74">
        <v>18</v>
      </c>
      <c r="B29" s="80" t="str">
        <f>'Necesidades Trimestrales'!B27</f>
        <v>2.9.5-2538.9</v>
      </c>
      <c r="C29" s="115" t="str">
        <f>'Necesidades Trimestrales'!E27</f>
        <v>LIMAS P/ODONTOLOGIA; NUMERO: 25, LARGO: 25, TIPO: MAILLEFER (P/CONDUCTO), MATERIAL: NIQUEL -TITANIO</v>
      </c>
      <c r="D29" s="115"/>
      <c r="E29" s="115"/>
      <c r="F29" s="115"/>
      <c r="G29" s="115"/>
      <c r="H29" s="81" t="s">
        <v>60</v>
      </c>
      <c r="I29" s="82" t="str">
        <f>'Necesidades Trimestrales'!F27</f>
        <v>BLISTER</v>
      </c>
      <c r="J29" s="83">
        <f>'Necesidades Trimestrales'!H27</f>
        <v>1250</v>
      </c>
      <c r="K29" s="84">
        <f>'Necesidades Trimestrales'!G27</f>
        <v>4</v>
      </c>
    </row>
    <row r="30" spans="1:11" ht="20.25" customHeight="1" thickBot="1" x14ac:dyDescent="0.25">
      <c r="A30" s="74">
        <v>19</v>
      </c>
      <c r="B30" s="80" t="str">
        <f>'Necesidades Trimestrales'!B28</f>
        <v>2.9.5-4208.21</v>
      </c>
      <c r="C30" s="115" t="str">
        <f>'Necesidades Trimestrales'!E28</f>
        <v>ELEMENTOS P/RADIOLOGIA; TIPO: LIQUIDO REVELADOR P/RX, PRESENTACION: ENVASE X 500 CM3</v>
      </c>
      <c r="D30" s="115"/>
      <c r="E30" s="115"/>
      <c r="F30" s="115"/>
      <c r="G30" s="115"/>
      <c r="H30" s="81" t="s">
        <v>60</v>
      </c>
      <c r="I30" s="82" t="str">
        <f>'Necesidades Trimestrales'!F28</f>
        <v>FRASCO</v>
      </c>
      <c r="J30" s="83">
        <f>'Necesidades Trimestrales'!H28</f>
        <v>550</v>
      </c>
      <c r="K30" s="84">
        <f>'Necesidades Trimestrales'!G28</f>
        <v>6</v>
      </c>
    </row>
    <row r="31" spans="1:11" ht="20.25" customHeight="1" thickBot="1" x14ac:dyDescent="0.25">
      <c r="A31" s="74">
        <v>20</v>
      </c>
      <c r="B31" s="80" t="str">
        <f>'Necesidades Trimestrales'!B29</f>
        <v>2.9.5-4208.22</v>
      </c>
      <c r="C31" s="115" t="str">
        <f>'Necesidades Trimestrales'!E29</f>
        <v>ELEMENTOS P/RADIOLOGIA; TIPO: LIQUIDO FIJADOR P/RX, PRESENTACION: ENVASE X 500 CM3</v>
      </c>
      <c r="D31" s="115"/>
      <c r="E31" s="115"/>
      <c r="F31" s="115"/>
      <c r="G31" s="115"/>
      <c r="H31" s="81" t="s">
        <v>60</v>
      </c>
      <c r="I31" s="82" t="str">
        <f>'Necesidades Trimestrales'!F29</f>
        <v>FRASCO</v>
      </c>
      <c r="J31" s="83">
        <f>'Necesidades Trimestrales'!H29</f>
        <v>380</v>
      </c>
      <c r="K31" s="84">
        <f>'Necesidades Trimestrales'!G29</f>
        <v>6</v>
      </c>
    </row>
    <row r="32" spans="1:11" ht="20.25" customHeight="1" thickBot="1" x14ac:dyDescent="0.25">
      <c r="A32" s="74">
        <v>21</v>
      </c>
      <c r="B32" s="80" t="str">
        <f>'Necesidades Trimestrales'!B30</f>
        <v>2.5.2-1723.59</v>
      </c>
      <c r="C32" s="115" t="str">
        <f>'Necesidades Trimestrales'!E30</f>
        <v>ANTISEPTICOS LOCALES P/PERSONA; TIPO: MONODROGA, DROGA GENERICA: EDTAC, FORMA FARMACEUTICA: SOLUCION, PRESENTACION: FRASCO X 20 mL</v>
      </c>
      <c r="D32" s="115"/>
      <c r="E32" s="115"/>
      <c r="F32" s="115"/>
      <c r="G32" s="115"/>
      <c r="H32" s="81" t="s">
        <v>60</v>
      </c>
      <c r="I32" s="82" t="str">
        <f>'Necesidades Trimestrales'!F30</f>
        <v>FRASCO</v>
      </c>
      <c r="J32" s="83">
        <f>'Necesidades Trimestrales'!H30</f>
        <v>270</v>
      </c>
      <c r="K32" s="84">
        <f>'Necesidades Trimestrales'!G30</f>
        <v>3</v>
      </c>
    </row>
    <row r="33" spans="1:11" ht="20.25" customHeight="1" thickBot="1" x14ac:dyDescent="0.25">
      <c r="A33" s="74">
        <v>22</v>
      </c>
      <c r="B33" s="80" t="str">
        <f>'Necesidades Trimestrales'!B31</f>
        <v>2.5.2-1723.98</v>
      </c>
      <c r="C33" s="115" t="str">
        <f>'Necesidades Trimestrales'!E31</f>
        <v>ANTISEPTICOS LOCALES P/PERSONA; TIPO: MONODROGA, DROGA GENERICA: CLORHEXIDINA 20 %, FORMA FARMACEUTICA: SOLUCION, PRESENTACION: ENVASE X 500 mL</v>
      </c>
      <c r="D33" s="115"/>
      <c r="E33" s="115"/>
      <c r="F33" s="115"/>
      <c r="G33" s="115"/>
      <c r="H33" s="81" t="s">
        <v>60</v>
      </c>
      <c r="I33" s="82" t="str">
        <f>'Necesidades Trimestrales'!F31</f>
        <v>FRASCO</v>
      </c>
      <c r="J33" s="83">
        <f>'Necesidades Trimestrales'!H31</f>
        <v>1150</v>
      </c>
      <c r="K33" s="84">
        <f>'Necesidades Trimestrales'!G31</f>
        <v>2</v>
      </c>
    </row>
    <row r="34" spans="1:11" ht="20.25" customHeight="1" thickBot="1" x14ac:dyDescent="0.25">
      <c r="A34" s="74">
        <v>23</v>
      </c>
      <c r="B34" s="80" t="str">
        <f>'Necesidades Trimestrales'!B32</f>
        <v>2.9.5-5514.23</v>
      </c>
      <c r="C34" s="115" t="str">
        <f>'Necesidades Trimestrales'!E32</f>
        <v>PASTAS P/ODONTOLOGIA; USO: OBTURACION, TIPO: OXIDO DE ZINC Y EUGENOL, PRESENTACION: AVIO 38 GR/15 ML</v>
      </c>
      <c r="D34" s="115"/>
      <c r="E34" s="115"/>
      <c r="F34" s="115"/>
      <c r="G34" s="115"/>
      <c r="H34" s="81" t="s">
        <v>60</v>
      </c>
      <c r="I34" s="82" t="str">
        <f>'Necesidades Trimestrales'!F32</f>
        <v>CAJA</v>
      </c>
      <c r="J34" s="83">
        <f>'Necesidades Trimestrales'!H32</f>
        <v>1350</v>
      </c>
      <c r="K34" s="84">
        <f>'Necesidades Trimestrales'!G32</f>
        <v>4</v>
      </c>
    </row>
    <row r="35" spans="1:11" ht="20.25" customHeight="1" thickBot="1" x14ac:dyDescent="0.25">
      <c r="A35" s="74">
        <v>24</v>
      </c>
      <c r="B35" s="80" t="str">
        <f>'Necesidades Trimestrales'!B33</f>
        <v>2.5.2-5142.6</v>
      </c>
      <c r="C35" s="115" t="str">
        <f>'Necesidades Trimestrales'!E33</f>
        <v>TOPICOS ODONTOLOGICOS; DROGA GENERICA: FORMOCRESOL, PRESENTACION: FRASCO X 20 mL, ESTADO: LIQUIDO, FORMA DE PRESENTACION: LIQUIDO</v>
      </c>
      <c r="D35" s="115"/>
      <c r="E35" s="115"/>
      <c r="F35" s="115"/>
      <c r="G35" s="115"/>
      <c r="H35" s="81" t="s">
        <v>60</v>
      </c>
      <c r="I35" s="82" t="str">
        <f>'Necesidades Trimestrales'!F33</f>
        <v>FRASCO</v>
      </c>
      <c r="J35" s="83">
        <f>'Necesidades Trimestrales'!H33</f>
        <v>270</v>
      </c>
      <c r="K35" s="84">
        <f>'Necesidades Trimestrales'!G33</f>
        <v>2</v>
      </c>
    </row>
    <row r="36" spans="1:11" ht="20.25" customHeight="1" thickBot="1" x14ac:dyDescent="0.25">
      <c r="A36" s="74">
        <v>25</v>
      </c>
      <c r="B36" s="80" t="str">
        <f>'Necesidades Trimestrales'!B34</f>
        <v>2.5.2-1723.157</v>
      </c>
      <c r="C36" s="115" t="str">
        <f>'Necesidades Trimestrales'!E34</f>
        <v>ANTISEPTICOS LOCALES P/PERSONA; TIPO: MONODROGA, DROGA GENERICA: IODOFORMO, FORMA FARMACEUTICA: POLVO, PRESENTACION: ENVASE X 10 GR</v>
      </c>
      <c r="D36" s="115"/>
      <c r="E36" s="115"/>
      <c r="F36" s="115"/>
      <c r="G36" s="115"/>
      <c r="H36" s="81" t="s">
        <v>60</v>
      </c>
      <c r="I36" s="82" t="str">
        <f>'Necesidades Trimestrales'!F34</f>
        <v>FRASCO</v>
      </c>
      <c r="J36" s="83">
        <f>'Necesidades Trimestrales'!H34</f>
        <v>590</v>
      </c>
      <c r="K36" s="84">
        <f>'Necesidades Trimestrales'!G34</f>
        <v>2</v>
      </c>
    </row>
    <row r="37" spans="1:11" ht="20.25" customHeight="1" thickBot="1" x14ac:dyDescent="0.25">
      <c r="A37" s="74">
        <v>26</v>
      </c>
      <c r="B37" s="80" t="str">
        <f>'Necesidades Trimestrales'!B35</f>
        <v>2.9.5-5514.22</v>
      </c>
      <c r="C37" s="115" t="str">
        <f>'Necesidades Trimestrales'!E35</f>
        <v>PASTAS P/ODONTOLOGIA; USO: OBTURACION, TIPO: GUTAPERCHA, PRESENTACION: ENVASE X 25 GR</v>
      </c>
      <c r="D37" s="115"/>
      <c r="E37" s="115"/>
      <c r="F37" s="115"/>
      <c r="G37" s="115"/>
      <c r="H37" s="81" t="s">
        <v>60</v>
      </c>
      <c r="I37" s="82" t="str">
        <f>'Necesidades Trimestrales'!F35</f>
        <v>FRASCO</v>
      </c>
      <c r="J37" s="83">
        <f>'Necesidades Trimestrales'!H35</f>
        <v>390</v>
      </c>
      <c r="K37" s="84">
        <f>'Necesidades Trimestrales'!G35</f>
        <v>3</v>
      </c>
    </row>
    <row r="38" spans="1:11" ht="20.25" customHeight="1" thickBot="1" x14ac:dyDescent="0.25">
      <c r="A38" s="74">
        <v>27</v>
      </c>
      <c r="B38" s="80" t="str">
        <f>'Necesidades Trimestrales'!B36</f>
        <v>2.9.5-428.11</v>
      </c>
      <c r="C38" s="115" t="str">
        <f>'Necesidades Trimestrales'!E36</f>
        <v>BARBIJOS; TIPO: ODONTOLOGIA</v>
      </c>
      <c r="D38" s="115"/>
      <c r="E38" s="115"/>
      <c r="F38" s="115"/>
      <c r="G38" s="115"/>
      <c r="H38" s="81" t="s">
        <v>60</v>
      </c>
      <c r="I38" s="82" t="str">
        <f>'Necesidades Trimestrales'!F36</f>
        <v>UNIDAD</v>
      </c>
      <c r="J38" s="83">
        <f>'Necesidades Trimestrales'!H36</f>
        <v>50</v>
      </c>
      <c r="K38" s="84">
        <f>'Necesidades Trimestrales'!G36</f>
        <v>300</v>
      </c>
    </row>
    <row r="39" spans="1:11" ht="20.25" customHeight="1" thickBot="1" x14ac:dyDescent="0.25">
      <c r="A39" s="74">
        <v>28</v>
      </c>
      <c r="B39" s="80" t="str">
        <f>'Necesidades Trimestrales'!B37</f>
        <v>2.9.5-5144.330</v>
      </c>
      <c r="C39" s="115" t="str">
        <f>'Necesidades Trimestrales'!E37</f>
        <v>INSTRUMENTAL ODONTOLOGICO; TIPO: MONOMERO AUTOCURABLE, DESCARTABLE: SI, PRESENTACION: ENVASE X 1 L</v>
      </c>
      <c r="D39" s="115"/>
      <c r="E39" s="115"/>
      <c r="F39" s="115"/>
      <c r="G39" s="115"/>
      <c r="H39" s="81" t="s">
        <v>60</v>
      </c>
      <c r="I39" s="82" t="str">
        <f>'Necesidades Trimestrales'!F37</f>
        <v>FRASCO</v>
      </c>
      <c r="J39" s="83">
        <f>'Necesidades Trimestrales'!H37</f>
        <v>2860</v>
      </c>
      <c r="K39" s="84">
        <f>'Necesidades Trimestrales'!G37</f>
        <v>1</v>
      </c>
    </row>
    <row r="40" spans="1:11" ht="20.25" customHeight="1" thickBot="1" x14ac:dyDescent="0.25">
      <c r="A40" s="74">
        <v>29</v>
      </c>
      <c r="B40" s="80" t="str">
        <f>'Necesidades Trimestrales'!B38</f>
        <v>2.9.5-5144.225</v>
      </c>
      <c r="C40" s="115" t="str">
        <f>'Necesidades Trimestrales'!E38</f>
        <v>INSTRUMENTAL ODONTOLOGICO; TIPO: PIEDRA P/ACRILICO, DESCARTABLE: NO, PRESENTACION: UNIDAD</v>
      </c>
      <c r="D40" s="115"/>
      <c r="E40" s="115"/>
      <c r="F40" s="115"/>
      <c r="G40" s="115"/>
      <c r="H40" s="81" t="s">
        <v>60</v>
      </c>
      <c r="I40" s="82" t="str">
        <f>'Necesidades Trimestrales'!F38</f>
        <v>UNIDAD</v>
      </c>
      <c r="J40" s="83">
        <f>'Necesidades Trimestrales'!H38</f>
        <v>190</v>
      </c>
      <c r="K40" s="84">
        <f>'Necesidades Trimestrales'!G38</f>
        <v>10</v>
      </c>
    </row>
    <row r="41" spans="1:11" ht="20.25" customHeight="1" thickBot="1" x14ac:dyDescent="0.25">
      <c r="A41" s="74">
        <v>30</v>
      </c>
      <c r="B41" s="80" t="str">
        <f>'Necesidades Trimestrales'!B39</f>
        <v>2.9.5-5144.49</v>
      </c>
      <c r="C41" s="115" t="str">
        <f>'Necesidades Trimestrales'!E39</f>
        <v>INSTRUMENTAL ODONTOLOGICO; TIPO: GOMAS P/PULIDO, DESCARTABLE: NO, PRESENTACION: UNIDAD</v>
      </c>
      <c r="D41" s="115"/>
      <c r="E41" s="115"/>
      <c r="F41" s="115"/>
      <c r="G41" s="115"/>
      <c r="H41" s="81" t="s">
        <v>60</v>
      </c>
      <c r="I41" s="82" t="str">
        <f>'Necesidades Trimestrales'!F39</f>
        <v>UNIDAD</v>
      </c>
      <c r="J41" s="83">
        <f>'Necesidades Trimestrales'!H39</f>
        <v>190</v>
      </c>
      <c r="K41" s="84">
        <f>'Necesidades Trimestrales'!G39</f>
        <v>10</v>
      </c>
    </row>
    <row r="42" spans="1:11" ht="20.25" customHeight="1" thickBot="1" x14ac:dyDescent="0.25">
      <c r="A42" s="74">
        <v>31</v>
      </c>
      <c r="B42" s="80" t="str">
        <f>'Necesidades Trimestrales'!B40</f>
        <v>2.5.2-9146.2</v>
      </c>
      <c r="C42" s="115" t="str">
        <f>'Necesidades Trimestrales'!E40</f>
        <v>YESOS; TIPO: PIEDRA, PRESENTACION: ENVASE X 1 Kg</v>
      </c>
      <c r="D42" s="115"/>
      <c r="E42" s="115"/>
      <c r="F42" s="115"/>
      <c r="G42" s="115"/>
      <c r="H42" s="81" t="s">
        <v>60</v>
      </c>
      <c r="I42" s="82" t="str">
        <f>'Necesidades Trimestrales'!F40</f>
        <v>UNIDAD</v>
      </c>
      <c r="J42" s="83">
        <f>'Necesidades Trimestrales'!H40</f>
        <v>120</v>
      </c>
      <c r="K42" s="84">
        <f>'Necesidades Trimestrales'!G40</f>
        <v>25</v>
      </c>
    </row>
    <row r="43" spans="1:11" ht="20.25" customHeight="1" thickBot="1" x14ac:dyDescent="0.25">
      <c r="A43" s="74">
        <v>32</v>
      </c>
      <c r="B43" s="80" t="str">
        <f>'Necesidades Trimestrales'!B41</f>
        <v>2.9.5-4389.2</v>
      </c>
      <c r="C43" s="115" t="str">
        <f>'Necesidades Trimestrales'!E41</f>
        <v>CERAS ROSAS P/ODONTOLOGIA; MATERIAL: POLIETILENO, USO: IMPRESIONES DENTALES, PRESENTACION: CAJA X 200 GR</v>
      </c>
      <c r="D43" s="115"/>
      <c r="E43" s="115"/>
      <c r="F43" s="115"/>
      <c r="G43" s="115"/>
      <c r="H43" s="81" t="s">
        <v>60</v>
      </c>
      <c r="I43" s="82" t="str">
        <f>'Necesidades Trimestrales'!F41</f>
        <v>CAJA</v>
      </c>
      <c r="J43" s="83">
        <f>'Necesidades Trimestrales'!H41</f>
        <v>600</v>
      </c>
      <c r="K43" s="84">
        <f>'Necesidades Trimestrales'!G41</f>
        <v>5</v>
      </c>
    </row>
    <row r="44" spans="1:11" ht="20.25" customHeight="1" thickBot="1" x14ac:dyDescent="0.25">
      <c r="A44" s="74">
        <v>33</v>
      </c>
      <c r="B44" s="80" t="str">
        <f>'Necesidades Trimestrales'!B42</f>
        <v>2.9.5-5144.660</v>
      </c>
      <c r="C44" s="115" t="str">
        <f>'Necesidades Trimestrales'!E42</f>
        <v xml:space="preserve">INSTRUMENTAL ODONTOLOGICO; PRESENTACION: CAJA SISTEMA ABCD, DESCARTABLE: NO, TIPO: ESPACIADOR P/ENDODONCIA 21 </v>
      </c>
      <c r="D44" s="115"/>
      <c r="E44" s="115"/>
      <c r="F44" s="115"/>
      <c r="G44" s="115"/>
      <c r="H44" s="81" t="s">
        <v>60</v>
      </c>
      <c r="I44" s="82" t="str">
        <f>'Necesidades Trimestrales'!F42</f>
        <v>CAJA</v>
      </c>
      <c r="J44" s="83">
        <f>'Necesidades Trimestrales'!H42</f>
        <v>1200</v>
      </c>
      <c r="K44" s="84">
        <f>'Necesidades Trimestrales'!G42</f>
        <v>2</v>
      </c>
    </row>
    <row r="45" spans="1:11" ht="20.25" customHeight="1" thickBot="1" x14ac:dyDescent="0.25">
      <c r="A45" s="74">
        <v>34</v>
      </c>
      <c r="B45" s="80" t="str">
        <f>'Necesidades Trimestrales'!B43</f>
        <v>2.9.5-2567.96</v>
      </c>
      <c r="C45" s="115" t="str">
        <f>'Necesidades Trimestrales'!E43</f>
        <v>FRESAS P/ODONTOLOGIA; MATERIAL: ACERO INOXIDABLE, Nº: 4, LARGO: CHICA, TIPO: REDONDA, NUMERO: 4</v>
      </c>
      <c r="D45" s="115"/>
      <c r="E45" s="115"/>
      <c r="F45" s="115"/>
      <c r="G45" s="115"/>
      <c r="H45" s="81" t="s">
        <v>60</v>
      </c>
      <c r="I45" s="82" t="str">
        <f>'Necesidades Trimestrales'!F43</f>
        <v>UNIDAD</v>
      </c>
      <c r="J45" s="83">
        <f>'Necesidades Trimestrales'!H43</f>
        <v>280</v>
      </c>
      <c r="K45" s="84">
        <f>'Necesidades Trimestrales'!G43</f>
        <v>10</v>
      </c>
    </row>
    <row r="46" spans="1:11" ht="20.25" customHeight="1" thickBot="1" x14ac:dyDescent="0.25">
      <c r="A46" s="74">
        <v>35</v>
      </c>
      <c r="B46" s="80" t="str">
        <f>'Necesidades Trimestrales'!B44</f>
        <v>2.9.5-2567.98</v>
      </c>
      <c r="C46" s="115" t="str">
        <f>'Necesidades Trimestrales'!E44</f>
        <v>FRESAS P/ODONTOLOGIA; MATERIAL: ACERO INOXIDABLE, Nº: 6, LARGO: MEDIANA, TIPO: REDONDA, NUMERO: 6</v>
      </c>
      <c r="D46" s="115"/>
      <c r="E46" s="115"/>
      <c r="F46" s="115"/>
      <c r="G46" s="115"/>
      <c r="H46" s="81" t="s">
        <v>60</v>
      </c>
      <c r="I46" s="82" t="str">
        <f>'Necesidades Trimestrales'!F44</f>
        <v>UNIDAD</v>
      </c>
      <c r="J46" s="83">
        <f>'Necesidades Trimestrales'!H44</f>
        <v>280</v>
      </c>
      <c r="K46" s="84">
        <f>'Necesidades Trimestrales'!G44</f>
        <v>10</v>
      </c>
    </row>
    <row r="47" spans="1:11" ht="20.25" customHeight="1" thickBot="1" x14ac:dyDescent="0.25">
      <c r="A47" s="74">
        <v>36</v>
      </c>
      <c r="B47" s="80" t="str">
        <f>'Necesidades Trimestrales'!B45</f>
        <v>2.9.5-2567.97</v>
      </c>
      <c r="C47" s="115" t="str">
        <f>'Necesidades Trimestrales'!E45</f>
        <v>FRESAS P/ODONTOLOGIA; MATERIAL: ACERO INOXIDABLE, Nº: 8, LARGO: GRANDE, TIPO: REDONDA, NUMERO: 8</v>
      </c>
      <c r="D47" s="115"/>
      <c r="E47" s="115"/>
      <c r="F47" s="115"/>
      <c r="G47" s="115"/>
      <c r="H47" s="81" t="s">
        <v>60</v>
      </c>
      <c r="I47" s="82" t="str">
        <f>'Necesidades Trimestrales'!F45</f>
        <v>UNIDAD</v>
      </c>
      <c r="J47" s="83">
        <f>'Necesidades Trimestrales'!H45</f>
        <v>280</v>
      </c>
      <c r="K47" s="84">
        <f>'Necesidades Trimestrales'!G45</f>
        <v>10</v>
      </c>
    </row>
    <row r="48" spans="1:11" ht="20.25" customHeight="1" thickBot="1" x14ac:dyDescent="0.25">
      <c r="A48" s="74">
        <v>37</v>
      </c>
      <c r="B48" s="80" t="str">
        <f>'Necesidades Trimestrales'!B46</f>
        <v>2.9.5-5144.151</v>
      </c>
      <c r="C48" s="115" t="str">
        <f>'Necesidades Trimestrales'!E46</f>
        <v>INSTRUMENTAL ODONTOLOGICO; TIPO: PIEDRA ARO AMARILLO P/PULIR, DESCARTABLE: NO, PRESENTACION: UNIDAD</v>
      </c>
      <c r="D48" s="115"/>
      <c r="E48" s="115"/>
      <c r="F48" s="115"/>
      <c r="G48" s="115"/>
      <c r="H48" s="81" t="s">
        <v>60</v>
      </c>
      <c r="I48" s="82" t="str">
        <f>'Necesidades Trimestrales'!F46</f>
        <v>UNIDAD</v>
      </c>
      <c r="J48" s="83">
        <f>'Necesidades Trimestrales'!H46</f>
        <v>340</v>
      </c>
      <c r="K48" s="84">
        <f>'Necesidades Trimestrales'!G46</f>
        <v>10</v>
      </c>
    </row>
    <row r="49" spans="1:11" ht="20.25" customHeight="1" thickBot="1" x14ac:dyDescent="0.25">
      <c r="A49" s="74">
        <v>38</v>
      </c>
      <c r="B49" s="80" t="str">
        <f>'Necesidades Trimestrales'!B47</f>
        <v>2.5.2-3202.22</v>
      </c>
      <c r="C49" s="115" t="str">
        <f>'Necesidades Trimestrales'!E47</f>
        <v>PASTAS P/IMPRESION DENTAL; DESCRIPCION: SILICONA X CONDENSACION PESADA, PRESENTACION: ENVASE X 900 mL</v>
      </c>
      <c r="D49" s="115"/>
      <c r="E49" s="115"/>
      <c r="F49" s="115"/>
      <c r="G49" s="115"/>
      <c r="H49" s="81" t="s">
        <v>60</v>
      </c>
      <c r="I49" s="82" t="str">
        <f>'Necesidades Trimestrales'!F47</f>
        <v>UNIDAD</v>
      </c>
      <c r="J49" s="83">
        <f>'Necesidades Trimestrales'!H47</f>
        <v>2400</v>
      </c>
      <c r="K49" s="84">
        <f>'Necesidades Trimestrales'!G47</f>
        <v>1</v>
      </c>
    </row>
    <row r="50" spans="1:11" ht="20.25" customHeight="1" thickBot="1" x14ac:dyDescent="0.25">
      <c r="A50" s="74">
        <v>39</v>
      </c>
      <c r="B50" s="80" t="str">
        <f>'Necesidades Trimestrales'!B48</f>
        <v>2.5.2-3202.23</v>
      </c>
      <c r="C50" s="115" t="str">
        <f>'Necesidades Trimestrales'!E48</f>
        <v>PASTAS P/IMPRESION DENTAL; DESCRIPCION: SILICONA X CONDENSACION LIVIAN, PRESENTACION: TUBO X 140 mL</v>
      </c>
      <c r="D50" s="115"/>
      <c r="E50" s="115"/>
      <c r="F50" s="115"/>
      <c r="G50" s="115"/>
      <c r="H50" s="81" t="s">
        <v>60</v>
      </c>
      <c r="I50" s="82" t="str">
        <f>'Necesidades Trimestrales'!F48</f>
        <v>UNIDAD</v>
      </c>
      <c r="J50" s="83">
        <f>'Necesidades Trimestrales'!H48</f>
        <v>1330</v>
      </c>
      <c r="K50" s="84">
        <f>'Necesidades Trimestrales'!G48</f>
        <v>1</v>
      </c>
    </row>
    <row r="51" spans="1:11" ht="20.25" customHeight="1" thickBot="1" x14ac:dyDescent="0.25">
      <c r="A51" s="74">
        <v>40</v>
      </c>
      <c r="B51" s="80" t="str">
        <f>'Necesidades Trimestrales'!B49</f>
        <v>2.5.2-3202.24</v>
      </c>
      <c r="C51" s="115" t="str">
        <f>'Necesidades Trimestrales'!E49</f>
        <v>PASTAS P/IMPRESION DENTAL; DESCRIPCION: CATALIZADOR P/SILICONA X COND, PRESENTACION: TUBO X 60 mL</v>
      </c>
      <c r="D51" s="115"/>
      <c r="E51" s="115"/>
      <c r="F51" s="115"/>
      <c r="G51" s="115"/>
      <c r="H51" s="81" t="s">
        <v>60</v>
      </c>
      <c r="I51" s="82" t="str">
        <f>'Necesidades Trimestrales'!F49</f>
        <v>UNIDAD</v>
      </c>
      <c r="J51" s="83">
        <f>'Necesidades Trimestrales'!H49</f>
        <v>770</v>
      </c>
      <c r="K51" s="84">
        <f>'Necesidades Trimestrales'!G49</f>
        <v>1</v>
      </c>
    </row>
    <row r="52" spans="1:11" ht="20.25" customHeight="1" thickBot="1" x14ac:dyDescent="0.25">
      <c r="A52" s="74">
        <v>41</v>
      </c>
      <c r="B52" s="80" t="str">
        <f>'Necesidades Trimestrales'!B50</f>
        <v>2.9.5-5859.6</v>
      </c>
      <c r="C52" s="115" t="str">
        <f>'Necesidades Trimestrales'!E50</f>
        <v>CONOS DE GUTAPERCHA; TIPO: MF, PRESENTACION: CAJA X 100 UN</v>
      </c>
      <c r="D52" s="115"/>
      <c r="E52" s="115"/>
      <c r="F52" s="115"/>
      <c r="G52" s="115"/>
      <c r="H52" s="81" t="s">
        <v>60</v>
      </c>
      <c r="I52" s="82" t="str">
        <f>'Necesidades Trimestrales'!F50</f>
        <v>CAJA</v>
      </c>
      <c r="J52" s="83">
        <f>'Necesidades Trimestrales'!H50</f>
        <v>630</v>
      </c>
      <c r="K52" s="84">
        <f>'Necesidades Trimestrales'!G50</f>
        <v>2</v>
      </c>
    </row>
    <row r="53" spans="1:11" ht="20.25" customHeight="1" thickBot="1" x14ac:dyDescent="0.25">
      <c r="A53" s="74">
        <v>42</v>
      </c>
      <c r="B53" s="80" t="str">
        <f>'Necesidades Trimestrales'!B51</f>
        <v>2.9.5-5859.3</v>
      </c>
      <c r="C53" s="115" t="str">
        <f>'Necesidades Trimestrales'!E51</f>
        <v>CONOS DE GUTAPERCHA; TIPO: F, PRESENTACION: CAJA X 100 UN</v>
      </c>
      <c r="D53" s="115"/>
      <c r="E53" s="115"/>
      <c r="F53" s="115"/>
      <c r="G53" s="115"/>
      <c r="H53" s="81" t="s">
        <v>60</v>
      </c>
      <c r="I53" s="82" t="str">
        <f>'Necesidades Trimestrales'!F51</f>
        <v>CAJA</v>
      </c>
      <c r="J53" s="83">
        <f>'Necesidades Trimestrales'!H51</f>
        <v>630</v>
      </c>
      <c r="K53" s="84">
        <f>'Necesidades Trimestrales'!G51</f>
        <v>2</v>
      </c>
    </row>
    <row r="54" spans="1:11" ht="20.25" customHeight="1" thickBot="1" x14ac:dyDescent="0.25">
      <c r="A54" s="74">
        <v>43</v>
      </c>
      <c r="B54" s="80" t="str">
        <f>'Necesidades Trimestrales'!B52</f>
        <v>2.9.5-2538.177</v>
      </c>
      <c r="C54" s="115" t="str">
        <f>'Necesidades Trimestrales'!E52</f>
        <v>LIMAS P/ODONTOLOGIA; MATERIAL: ACERO FLEXIBLE, NUMERO: 15 AL 40, LARGO: 25 mm, TIPO: LISA</v>
      </c>
      <c r="D54" s="115"/>
      <c r="E54" s="115"/>
      <c r="F54" s="115"/>
      <c r="G54" s="115"/>
      <c r="H54" s="81" t="s">
        <v>60</v>
      </c>
      <c r="I54" s="82" t="str">
        <f>'Necesidades Trimestrales'!F52</f>
        <v>CAJA</v>
      </c>
      <c r="J54" s="83">
        <f>'Necesidades Trimestrales'!H52</f>
        <v>1360</v>
      </c>
      <c r="K54" s="84">
        <f>'Necesidades Trimestrales'!G52</f>
        <v>3</v>
      </c>
    </row>
    <row r="55" spans="1:11" ht="20.25" customHeight="1" thickBot="1" x14ac:dyDescent="0.25">
      <c r="A55" s="74">
        <v>44</v>
      </c>
      <c r="B55" s="80" t="str">
        <f>'Necesidades Trimestrales'!B53</f>
        <v>2.9.5-5144.251</v>
      </c>
      <c r="C55" s="115" t="str">
        <f>'Necesidades Trimestrales'!E53</f>
        <v>INSTRUMENTAL ODONTOLOGICO; TIPO: CONO GUTAPERCHA 1ªSERIE, DESCARTABLE: SI, PRESENTACION: UNIDAD</v>
      </c>
      <c r="D55" s="115"/>
      <c r="E55" s="115"/>
      <c r="F55" s="115"/>
      <c r="G55" s="115"/>
      <c r="H55" s="81" t="s">
        <v>60</v>
      </c>
      <c r="I55" s="82" t="str">
        <f>'Necesidades Trimestrales'!F53</f>
        <v>CAJA</v>
      </c>
      <c r="J55" s="83">
        <f>'Necesidades Trimestrales'!H53</f>
        <v>630</v>
      </c>
      <c r="K55" s="84">
        <f>'Necesidades Trimestrales'!G53</f>
        <v>3</v>
      </c>
    </row>
    <row r="56" spans="1:11" ht="20.25" customHeight="1" thickBot="1" x14ac:dyDescent="0.25">
      <c r="A56" s="74">
        <v>45</v>
      </c>
      <c r="B56" s="80" t="str">
        <f>'Necesidades Trimestrales'!B54</f>
        <v>2.5.2-5142.4</v>
      </c>
      <c r="C56" s="115" t="str">
        <f>'Necesidades Trimestrales'!E54</f>
        <v>TOPICOS ODONTOLOGICOS; DROGA GENERICA: FLUOR FOSFATO ACIDULADO TIXOTR, ESTADO: SOLUCION, PRESENTACION: ENVASE X 200 mL, FORMA DE PRESENTACION: SOLUCION</v>
      </c>
      <c r="D56" s="115"/>
      <c r="E56" s="115"/>
      <c r="F56" s="115"/>
      <c r="G56" s="115"/>
      <c r="H56" s="81" t="s">
        <v>60</v>
      </c>
      <c r="I56" s="82" t="str">
        <f>'Necesidades Trimestrales'!F54</f>
        <v>UNIDAD</v>
      </c>
      <c r="J56" s="83">
        <f>'Necesidades Trimestrales'!H54</f>
        <v>470</v>
      </c>
      <c r="K56" s="84">
        <f>'Necesidades Trimestrales'!G54</f>
        <v>3</v>
      </c>
    </row>
    <row r="57" spans="1:11" ht="20.25" customHeight="1" thickBot="1" x14ac:dyDescent="0.25">
      <c r="A57" s="74">
        <v>46</v>
      </c>
      <c r="B57" s="80" t="str">
        <f>'Necesidades Trimestrales'!B55</f>
        <v>2.5.2-5142.13</v>
      </c>
      <c r="C57" s="115" t="str">
        <f>'Necesidades Trimestrales'!E55</f>
        <v>TOPICOS ODONTOLOGICOS; DROGA GENERICA: BENZOCAINA AL 20%, PRESENTACION: ENVASE X 20 GR, FORMA DE PRESENTACION: POMADA</v>
      </c>
      <c r="D57" s="115"/>
      <c r="E57" s="115"/>
      <c r="F57" s="115"/>
      <c r="G57" s="115"/>
      <c r="H57" s="81" t="s">
        <v>60</v>
      </c>
      <c r="I57" s="82" t="str">
        <f>'Necesidades Trimestrales'!F55</f>
        <v>UNIDAD</v>
      </c>
      <c r="J57" s="83">
        <f>'Necesidades Trimestrales'!H55</f>
        <v>850</v>
      </c>
      <c r="K57" s="84">
        <f>'Necesidades Trimestrales'!G55</f>
        <v>3</v>
      </c>
    </row>
    <row r="58" spans="1:11" ht="20.25" customHeight="1" thickBot="1" x14ac:dyDescent="0.25">
      <c r="A58" s="74">
        <v>47</v>
      </c>
      <c r="B58" s="80" t="str">
        <f>'Necesidades Trimestrales'!B56</f>
        <v>2.5.2-3204.13</v>
      </c>
      <c r="C58" s="115" t="str">
        <f>'Necesidades Trimestrales'!E56</f>
        <v>ACIDO GRABADOR ODONTOLOG.; ESTADO: GEL, PRESENTACION: JERINGA X 12 GR, CAPACIDAD: 12 GR</v>
      </c>
      <c r="D58" s="115"/>
      <c r="E58" s="115"/>
      <c r="F58" s="115"/>
      <c r="G58" s="115"/>
      <c r="H58" s="81" t="s">
        <v>60</v>
      </c>
      <c r="I58" s="82" t="str">
        <f>'Necesidades Trimestrales'!F56</f>
        <v>UNIDAD</v>
      </c>
      <c r="J58" s="83">
        <f>'Necesidades Trimestrales'!H56</f>
        <v>510</v>
      </c>
      <c r="K58" s="84">
        <f>'Necesidades Trimestrales'!G56</f>
        <v>2</v>
      </c>
    </row>
    <row r="59" spans="1:11" ht="20.25" customHeight="1" thickBot="1" x14ac:dyDescent="0.25">
      <c r="A59" s="74">
        <v>48</v>
      </c>
      <c r="B59" s="80" t="str">
        <f>'Necesidades Trimestrales'!B57</f>
        <v>2.5.2-5538.29</v>
      </c>
      <c r="C59" s="115" t="str">
        <f>'Necesidades Trimestrales'!E57</f>
        <v>ADHESIVOS P/ODONTOLOGIA; TIPO: FOTOCURABLE, USO: ODONTOLOGICO, PRESENTACION: ENVASE X 5 mL</v>
      </c>
      <c r="D59" s="115"/>
      <c r="E59" s="115"/>
      <c r="F59" s="115"/>
      <c r="G59" s="115"/>
      <c r="H59" s="81" t="s">
        <v>27</v>
      </c>
      <c r="I59" s="82" t="str">
        <f>'Necesidades Trimestrales'!F57</f>
        <v>UNIDAD</v>
      </c>
      <c r="J59" s="83">
        <f>'Necesidades Trimestrales'!H57</f>
        <v>1250</v>
      </c>
      <c r="K59" s="84">
        <f>'Necesidades Trimestrales'!G57</f>
        <v>1</v>
      </c>
    </row>
    <row r="60" spans="1:11" ht="20.25" customHeight="1" thickBot="1" x14ac:dyDescent="0.25">
      <c r="A60" s="74">
        <v>49</v>
      </c>
      <c r="B60" s="80" t="str">
        <f>'Necesidades Trimestrales'!B58</f>
        <v>2.9.5-5144.62</v>
      </c>
      <c r="C60" s="115" t="str">
        <f>'Necesidades Trimestrales'!E58</f>
        <v>INSTRUMENTAL ODONTOLOGICO; TIPO: TURBINA DE ALTA PRECISION, PRESENTACION: UNIDAD, DESCARTABLE: NO</v>
      </c>
      <c r="D60" s="115"/>
      <c r="E60" s="115"/>
      <c r="F60" s="115"/>
      <c r="G60" s="115"/>
      <c r="H60" s="81" t="s">
        <v>60</v>
      </c>
      <c r="I60" s="82" t="str">
        <f>'Necesidades Trimestrales'!F58</f>
        <v>UNIDAD</v>
      </c>
      <c r="J60" s="83">
        <f>'Necesidades Trimestrales'!H58</f>
        <v>8900</v>
      </c>
      <c r="K60" s="84">
        <f>'Necesidades Trimestrales'!G58</f>
        <v>1</v>
      </c>
    </row>
    <row r="61" spans="1:11" ht="20.25" customHeight="1" thickBot="1" x14ac:dyDescent="0.25">
      <c r="A61" s="74">
        <v>50</v>
      </c>
      <c r="B61" s="80" t="str">
        <f>'Necesidades Trimestrales'!B59</f>
        <v>2.9.5-5144.495</v>
      </c>
      <c r="C61" s="115" t="str">
        <f>'Necesidades Trimestrales'!E59</f>
        <v>INSTRUMENTAL ODONTOLOGICO; TIPO: PIEZA CON CONTRAANGULO NEUMAT., DESCARTABLE: NO, PRESENTACION: UNIDAD</v>
      </c>
      <c r="D61" s="115"/>
      <c r="E61" s="115"/>
      <c r="F61" s="115"/>
      <c r="G61" s="115"/>
      <c r="H61" s="81" t="s">
        <v>60</v>
      </c>
      <c r="I61" s="82" t="str">
        <f>'Necesidades Trimestrales'!F59</f>
        <v>UNIDAD</v>
      </c>
      <c r="J61" s="83">
        <f>'Necesidades Trimestrales'!H59</f>
        <v>8550</v>
      </c>
      <c r="K61" s="84">
        <f>'Necesidades Trimestrales'!G59</f>
        <v>1</v>
      </c>
    </row>
    <row r="62" spans="1:11" ht="20.25" customHeight="1" thickBot="1" x14ac:dyDescent="0.25">
      <c r="A62" s="74">
        <v>51</v>
      </c>
      <c r="B62" s="80" t="str">
        <f>'Necesidades Trimestrales'!B60</f>
        <v>2.9.5-5144.629</v>
      </c>
      <c r="C62" s="115" t="str">
        <f>'Necesidades Trimestrales'!E60</f>
        <v>INSTRUMENTAL ODONTOLOGICO; TIPO: FORCEPS MOLARES, DESCARTABLE: NO, PRESENTACION: UNIDAD</v>
      </c>
      <c r="D62" s="115"/>
      <c r="E62" s="115"/>
      <c r="F62" s="115"/>
      <c r="G62" s="115"/>
      <c r="H62" s="81" t="s">
        <v>60</v>
      </c>
      <c r="I62" s="82" t="str">
        <f>'Necesidades Trimestrales'!F60</f>
        <v>UNIDAD</v>
      </c>
      <c r="J62" s="83">
        <f>'Necesidades Trimestrales'!H60</f>
        <v>650</v>
      </c>
      <c r="K62" s="84">
        <f>'Necesidades Trimestrales'!G60</f>
        <v>3</v>
      </c>
    </row>
    <row r="63" spans="1:11" ht="20.25" customHeight="1" thickBot="1" x14ac:dyDescent="0.25">
      <c r="A63" s="74">
        <v>52</v>
      </c>
      <c r="B63" s="80" t="str">
        <f>'Necesidades Trimestrales'!B61</f>
        <v>2.9.5-4274.3</v>
      </c>
      <c r="C63" s="115" t="str">
        <f>'Necesidades Trimestrales'!E61</f>
        <v>ESPEJOS BUCALES; PRESENTACION: CAJA X 12 UN</v>
      </c>
      <c r="D63" s="115"/>
      <c r="E63" s="115"/>
      <c r="F63" s="115"/>
      <c r="G63" s="115"/>
      <c r="H63" s="81" t="s">
        <v>60</v>
      </c>
      <c r="I63" s="82" t="str">
        <f>'Necesidades Trimestrales'!F61</f>
        <v>CAJA</v>
      </c>
      <c r="J63" s="83">
        <f>'Necesidades Trimestrales'!H61</f>
        <v>1890</v>
      </c>
      <c r="K63" s="84">
        <f>'Necesidades Trimestrales'!G61</f>
        <v>3</v>
      </c>
    </row>
    <row r="64" spans="1:11" ht="20.25" customHeight="1" thickBot="1" x14ac:dyDescent="0.25">
      <c r="A64" s="74">
        <v>53</v>
      </c>
      <c r="B64" s="80" t="str">
        <f>'Necesidades Trimestrales'!B62</f>
        <v>2.9.5-5144.13</v>
      </c>
      <c r="C64" s="115" t="str">
        <f>'Necesidades Trimestrales'!E62</f>
        <v>INSTRUMENTAL ODONTOLOGICO; DESCARTABLE: NO, PRESENTACION: UNIDAD, TIPO: ESPATULA P/CEMENTO DOBLE</v>
      </c>
      <c r="D64" s="115"/>
      <c r="E64" s="115"/>
      <c r="F64" s="115"/>
      <c r="G64" s="115"/>
      <c r="H64" s="81" t="s">
        <v>60</v>
      </c>
      <c r="I64" s="82" t="str">
        <f>'Necesidades Trimestrales'!F62</f>
        <v>UNIDAD</v>
      </c>
      <c r="J64" s="83">
        <f>'Necesidades Trimestrales'!H62</f>
        <v>390</v>
      </c>
      <c r="K64" s="84">
        <f>'Necesidades Trimestrales'!G62</f>
        <v>3</v>
      </c>
    </row>
    <row r="65" spans="1:11" ht="20.25" customHeight="1" thickBot="1" x14ac:dyDescent="0.25">
      <c r="A65" s="74">
        <v>54</v>
      </c>
      <c r="B65" s="80" t="str">
        <f>'Necesidades Trimestrales'!B63</f>
        <v>2.9.5-5144.24</v>
      </c>
      <c r="C65" s="115" t="str">
        <f>'Necesidades Trimestrales'!E63</f>
        <v>INSTRUMENTAL ODONTOLOGICO; TIPO: SINDESMOTOMO CURVO, DESCARTABLE: NO, PRESENTACION: UNIDAD</v>
      </c>
      <c r="D65" s="115"/>
      <c r="E65" s="115"/>
      <c r="F65" s="115"/>
      <c r="G65" s="115"/>
      <c r="H65" s="81" t="s">
        <v>60</v>
      </c>
      <c r="I65" s="82" t="str">
        <f>'Necesidades Trimestrales'!F63</f>
        <v>UNIDAD</v>
      </c>
      <c r="J65" s="83">
        <f>'Necesidades Trimestrales'!H63</f>
        <v>390</v>
      </c>
      <c r="K65" s="84">
        <f>'Necesidades Trimestrales'!G63</f>
        <v>2</v>
      </c>
    </row>
    <row r="66" spans="1:11" ht="20.25" customHeight="1" thickBot="1" x14ac:dyDescent="0.25">
      <c r="A66" s="74">
        <v>55</v>
      </c>
      <c r="B66" s="80" t="str">
        <f>'Necesidades Trimestrales'!B64</f>
        <v>2.9.5-5144.45</v>
      </c>
      <c r="C66" s="115" t="str">
        <f>'Necesidades Trimestrales'!E64</f>
        <v>INSTRUMENTAL ODONTOLOGICO; TIPO: SINDESMOTOMO RECTO, DESCARTABLE: SIN VALOR, PRESENTACION: SIN VALOR</v>
      </c>
      <c r="D66" s="115"/>
      <c r="E66" s="115"/>
      <c r="F66" s="115"/>
      <c r="G66" s="115"/>
      <c r="H66" s="81" t="s">
        <v>60</v>
      </c>
      <c r="I66" s="82" t="str">
        <f>'Necesidades Trimestrales'!F64</f>
        <v>UNIDAD</v>
      </c>
      <c r="J66" s="83">
        <f>'Necesidades Trimestrales'!H64</f>
        <v>390</v>
      </c>
      <c r="K66" s="84">
        <f>'Necesidades Trimestrales'!G64</f>
        <v>2</v>
      </c>
    </row>
    <row r="67" spans="1:11" ht="20.25" customHeight="1" thickBot="1" x14ac:dyDescent="0.25">
      <c r="A67" s="74">
        <v>56</v>
      </c>
      <c r="B67" s="80" t="str">
        <f>'Necesidades Trimestrales'!B65</f>
        <v>2.9.5-5144.80</v>
      </c>
      <c r="C67" s="115" t="str">
        <f>'Necesidades Trimestrales'!E65</f>
        <v>INSTRUMENTAL ODONTOLOGICO; TIPO: LOSETA DE VIDRIO 15 X 8 X 1 CM, DESCARTABLE: NO, PRESENTACION: UNIDAD</v>
      </c>
      <c r="D67" s="115"/>
      <c r="E67" s="115"/>
      <c r="F67" s="115"/>
      <c r="G67" s="115"/>
      <c r="H67" s="81" t="s">
        <v>60</v>
      </c>
      <c r="I67" s="82" t="str">
        <f>'Necesidades Trimestrales'!F65</f>
        <v>UNIDAD</v>
      </c>
      <c r="J67" s="83">
        <f>'Necesidades Trimestrales'!H65</f>
        <v>320</v>
      </c>
      <c r="K67" s="84">
        <f>'Necesidades Trimestrales'!G65</f>
        <v>4</v>
      </c>
    </row>
    <row r="68" spans="1:11" ht="20.25" customHeight="1" thickBot="1" x14ac:dyDescent="0.25">
      <c r="A68" s="74">
        <v>57</v>
      </c>
      <c r="B68" s="80" t="str">
        <f>'Necesidades Trimestrales'!B66</f>
        <v>2.9.5-441.429</v>
      </c>
      <c r="C68" s="115" t="str">
        <f>'Necesidades Trimestrales'!E66</f>
        <v>AGUJAS QUIRURGICAS; TIPO: ODONTOLOGICA, ESPECIFICACION: CORTA DE 21 mm, PRESENTACION: ENVASE X 100 UN</v>
      </c>
      <c r="D68" s="115"/>
      <c r="E68" s="115"/>
      <c r="F68" s="115"/>
      <c r="G68" s="115"/>
      <c r="H68" s="81" t="s">
        <v>60</v>
      </c>
      <c r="I68" s="82" t="str">
        <f>'Necesidades Trimestrales'!F66</f>
        <v>CAJA</v>
      </c>
      <c r="J68" s="83">
        <f>'Necesidades Trimestrales'!H66</f>
        <v>940</v>
      </c>
      <c r="K68" s="84">
        <f>'Necesidades Trimestrales'!G66</f>
        <v>5</v>
      </c>
    </row>
    <row r="69" spans="1:11" ht="20.25" customHeight="1" thickBot="1" x14ac:dyDescent="0.25">
      <c r="A69" s="74">
        <v>58</v>
      </c>
      <c r="B69" s="80" t="str">
        <f>'Necesidades Trimestrales'!B67</f>
        <v>2.9.5-441.428</v>
      </c>
      <c r="C69" s="115" t="str">
        <f>'Necesidades Trimestrales'!E67</f>
        <v>AGUJAS QUIRURGICAS; TIPO: CARPULE, ESPECIFICACION: EXTRA CORTAS, PRESENTACION: ENVASE X 100 UN</v>
      </c>
      <c r="D69" s="115"/>
      <c r="E69" s="115"/>
      <c r="F69" s="115"/>
      <c r="G69" s="115"/>
      <c r="H69" s="81" t="s">
        <v>60</v>
      </c>
      <c r="I69" s="82" t="str">
        <f>'Necesidades Trimestrales'!F67</f>
        <v>CAJA</v>
      </c>
      <c r="J69" s="83">
        <f>'Necesidades Trimestrales'!H67</f>
        <v>940</v>
      </c>
      <c r="K69" s="84">
        <f>'Necesidades Trimestrales'!G67</f>
        <v>5</v>
      </c>
    </row>
    <row r="70" spans="1:11" ht="20.25" customHeight="1" thickBot="1" x14ac:dyDescent="0.25">
      <c r="A70" s="74">
        <v>59</v>
      </c>
      <c r="B70" s="80" t="str">
        <f>'Necesidades Trimestrales'!B68</f>
        <v>2.9.5-5144.417</v>
      </c>
      <c r="C70" s="115" t="str">
        <f>'Necesidades Trimestrales'!E68</f>
        <v>INSTRUMENTAL ODONTOLOGICO; TIPO: EYECTOR P/SALIVA, DESCARTABLE: SI, PRESENTACION: ENVASE X 100</v>
      </c>
      <c r="D70" s="115"/>
      <c r="E70" s="115"/>
      <c r="F70" s="115"/>
      <c r="G70" s="115"/>
      <c r="H70" s="81" t="s">
        <v>60</v>
      </c>
      <c r="I70" s="82" t="str">
        <f>'Necesidades Trimestrales'!F68</f>
        <v>PAQUETE</v>
      </c>
      <c r="J70" s="83">
        <f>'Necesidades Trimestrales'!H68</f>
        <v>420</v>
      </c>
      <c r="K70" s="84">
        <f>'Necesidades Trimestrales'!G68</f>
        <v>10</v>
      </c>
    </row>
    <row r="71" spans="1:11" ht="20.25" customHeight="1" thickBot="1" x14ac:dyDescent="0.25">
      <c r="A71" s="74">
        <v>60</v>
      </c>
      <c r="B71" s="80" t="str">
        <f>'Necesidades Trimestrales'!B69</f>
        <v>2.9.5-2567.239</v>
      </c>
      <c r="C71" s="115" t="str">
        <f>'Necesidades Trimestrales'!E69</f>
        <v>FRESAS P/ODONTOLOGIA; MATERIAL: PIEDRA DE DIAMANTE, NUMERO: SIN, LARGO: STANDAR, TIPO: CILINDRICA FG</v>
      </c>
      <c r="D71" s="115"/>
      <c r="E71" s="115"/>
      <c r="F71" s="115"/>
      <c r="G71" s="115"/>
      <c r="H71" s="81" t="s">
        <v>60</v>
      </c>
      <c r="I71" s="82" t="str">
        <f>'Necesidades Trimestrales'!F69</f>
        <v>UNIDAD</v>
      </c>
      <c r="J71" s="83">
        <f>'Necesidades Trimestrales'!H69</f>
        <v>340</v>
      </c>
      <c r="K71" s="84">
        <f>'Necesidades Trimestrales'!G69</f>
        <v>10</v>
      </c>
    </row>
    <row r="72" spans="1:11" ht="20.25" customHeight="1" thickBot="1" x14ac:dyDescent="0.25">
      <c r="A72" s="74">
        <v>61</v>
      </c>
      <c r="B72" s="80" t="str">
        <f>'Necesidades Trimestrales'!B70</f>
        <v>2.9.5-2567.169</v>
      </c>
      <c r="C72" s="115" t="str">
        <f>'Necesidades Trimestrales'!E70</f>
        <v>FRESAS P/ODONTOLOGIA; MATERIAL: PIEDRA DE DIAMANTE, NUMERO: 170, LARGO: STANDAR, TIPO: TRONCOCONICA FG</v>
      </c>
      <c r="D72" s="115"/>
      <c r="E72" s="115"/>
      <c r="F72" s="115"/>
      <c r="G72" s="115"/>
      <c r="H72" s="81" t="s">
        <v>60</v>
      </c>
      <c r="I72" s="82" t="str">
        <f>'Necesidades Trimestrales'!F70</f>
        <v>UNIDAD</v>
      </c>
      <c r="J72" s="83">
        <f>'Necesidades Trimestrales'!H70</f>
        <v>340</v>
      </c>
      <c r="K72" s="84">
        <f>'Necesidades Trimestrales'!G70</f>
        <v>10</v>
      </c>
    </row>
    <row r="73" spans="1:11" ht="20.25" customHeight="1" thickBot="1" x14ac:dyDescent="0.25">
      <c r="A73" s="74">
        <v>62</v>
      </c>
      <c r="B73" s="80" t="str">
        <f>'Necesidades Trimestrales'!B71</f>
        <v>2.9.5-2567.170</v>
      </c>
      <c r="C73" s="115" t="str">
        <f>'Necesidades Trimestrales'!E71</f>
        <v>FRESAS P/ODONTOLOGIA; MATERIAL: PIEDRA DE DIAMANTE, NUMERO: 171, LARGO: STANDAR, TIPO: TRONCOCONICA FG</v>
      </c>
      <c r="D73" s="115"/>
      <c r="E73" s="115"/>
      <c r="F73" s="115"/>
      <c r="G73" s="115"/>
      <c r="H73" s="81" t="s">
        <v>60</v>
      </c>
      <c r="I73" s="82" t="str">
        <f>'Necesidades Trimestrales'!F71</f>
        <v>UNIDAD</v>
      </c>
      <c r="J73" s="83">
        <f>'Necesidades Trimestrales'!H71</f>
        <v>340</v>
      </c>
      <c r="K73" s="84">
        <f>'Necesidades Trimestrales'!G71</f>
        <v>10</v>
      </c>
    </row>
    <row r="74" spans="1:11" ht="20.25" customHeight="1" thickBot="1" x14ac:dyDescent="0.25">
      <c r="A74" s="74">
        <v>63</v>
      </c>
      <c r="B74" s="80" t="str">
        <f>'Necesidades Trimestrales'!B72</f>
        <v>2.9.5-2567.171</v>
      </c>
      <c r="C74" s="115" t="str">
        <f>'Necesidades Trimestrales'!E72</f>
        <v>FRESAS P/ODONTOLOGIA; MATERIAL: PIEDRA DE DIAMANTE, NUMERO: 171 L, LARGO: STANDAR, TIPO: TRONCOCONICA FG</v>
      </c>
      <c r="D74" s="115"/>
      <c r="E74" s="115"/>
      <c r="F74" s="115"/>
      <c r="G74" s="115"/>
      <c r="H74" s="81" t="s">
        <v>60</v>
      </c>
      <c r="I74" s="82" t="str">
        <f>'Necesidades Trimestrales'!F72</f>
        <v>UNIDAD</v>
      </c>
      <c r="J74" s="83">
        <f>'Necesidades Trimestrales'!H72</f>
        <v>340</v>
      </c>
      <c r="K74" s="84">
        <f>'Necesidades Trimestrales'!G72</f>
        <v>10</v>
      </c>
    </row>
    <row r="75" spans="1:11" ht="20.25" customHeight="1" thickBot="1" x14ac:dyDescent="0.25">
      <c r="A75" s="74">
        <v>64</v>
      </c>
      <c r="B75" s="80" t="str">
        <f>'Necesidades Trimestrales'!B73</f>
        <v>2.9.5-5144.549</v>
      </c>
      <c r="C75" s="115" t="str">
        <f>'Necesidades Trimestrales'!E73</f>
        <v>INSTRUMENTAL ODONTOLOGICO; TIPO: PIEDRA DIAM.CILINDRICA MEDIANA, DESCARTABLE: NO, PRESENTACION: UNIDAD</v>
      </c>
      <c r="D75" s="115"/>
      <c r="E75" s="115"/>
      <c r="F75" s="115"/>
      <c r="G75" s="115"/>
      <c r="H75" s="81" t="s">
        <v>60</v>
      </c>
      <c r="I75" s="82" t="str">
        <f>'Necesidades Trimestrales'!F73</f>
        <v>UNIDAD</v>
      </c>
      <c r="J75" s="83">
        <f>'Necesidades Trimestrales'!H73</f>
        <v>340</v>
      </c>
      <c r="K75" s="84">
        <f>'Necesidades Trimestrales'!G73</f>
        <v>10</v>
      </c>
    </row>
    <row r="76" spans="1:11" ht="20.25" customHeight="1" thickBot="1" x14ac:dyDescent="0.25">
      <c r="A76" s="74">
        <v>65</v>
      </c>
      <c r="B76" s="85" t="str">
        <f>'Necesidades Trimestrales'!B74</f>
        <v>2.9.5-5144.551</v>
      </c>
      <c r="C76" s="114" t="str">
        <f>'Necesidades Trimestrales'!E74</f>
        <v>INSTRUMENTAL ODONTOLOGICO; TIPO: PIEDRA DIAMANTE REDONDA MED., DESCARTABLE: NO, PRESENTACION: UNIDAD</v>
      </c>
      <c r="D76" s="114"/>
      <c r="E76" s="114"/>
      <c r="F76" s="114"/>
      <c r="G76" s="114"/>
      <c r="H76" s="86" t="s">
        <v>60</v>
      </c>
      <c r="I76" s="87" t="str">
        <f>'Necesidades Trimestrales'!F74</f>
        <v>UNIDAD</v>
      </c>
      <c r="J76" s="88">
        <f>'Necesidades Trimestrales'!H74</f>
        <v>340</v>
      </c>
      <c r="K76" s="89">
        <f>'Necesidades Trimestrales'!G74</f>
        <v>10</v>
      </c>
    </row>
    <row r="77" spans="1:11" ht="20.25" customHeight="1" thickBot="1" x14ac:dyDescent="0.25">
      <c r="A77" s="118" t="s">
        <v>54</v>
      </c>
      <c r="B77" s="118"/>
      <c r="C77" s="118"/>
      <c r="D77" s="118"/>
      <c r="E77" s="118"/>
      <c r="F77" s="118"/>
      <c r="G77" s="118"/>
      <c r="H77" s="118"/>
      <c r="I77" s="118"/>
      <c r="J77" s="125">
        <f>SUMPRODUCT(J12:J76,K12:K76)</f>
        <v>250540</v>
      </c>
      <c r="K77" s="125"/>
    </row>
  </sheetData>
  <mergeCells count="87">
    <mergeCell ref="A77:I77"/>
    <mergeCell ref="J77:K7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6:G26"/>
    <mergeCell ref="C27:G27"/>
    <mergeCell ref="C28:G28"/>
    <mergeCell ref="C29:G29"/>
    <mergeCell ref="C30:G30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6:G36"/>
    <mergeCell ref="C37:G37"/>
    <mergeCell ref="C38:G38"/>
    <mergeCell ref="C39:G39"/>
    <mergeCell ref="C40:G40"/>
    <mergeCell ref="C31:G31"/>
    <mergeCell ref="C32:G32"/>
    <mergeCell ref="C33:G33"/>
    <mergeCell ref="C34:G34"/>
    <mergeCell ref="C35:G35"/>
    <mergeCell ref="C46:G46"/>
    <mergeCell ref="C47:G47"/>
    <mergeCell ref="C48:G48"/>
    <mergeCell ref="C49:G49"/>
    <mergeCell ref="C50:G50"/>
    <mergeCell ref="C41:G41"/>
    <mergeCell ref="C42:G42"/>
    <mergeCell ref="C43:G43"/>
    <mergeCell ref="C44:G44"/>
    <mergeCell ref="C45:G4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76:G76"/>
    <mergeCell ref="C71:G71"/>
    <mergeCell ref="C72:G72"/>
    <mergeCell ref="C73:G73"/>
    <mergeCell ref="C74:G74"/>
    <mergeCell ref="C75:G7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opLeftCell="A4" zoomScale="130" zoomScaleNormal="130" workbookViewId="0">
      <selection activeCell="A12" sqref="A12:Q1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8" max="18" width="11.7109375" bestFit="1" customWidth="1"/>
  </cols>
  <sheetData>
    <row r="1" spans="1:18" ht="15.75" customHeight="1" x14ac:dyDescent="0.25">
      <c r="A1" s="127" t="s">
        <v>3</v>
      </c>
      <c r="B1" s="127"/>
      <c r="C1" s="127"/>
      <c r="D1" s="128">
        <f>'Necesidades Trimestrales'!C6</f>
        <v>2020</v>
      </c>
      <c r="E1" s="128"/>
      <c r="F1" s="3"/>
      <c r="G1" s="3"/>
      <c r="H1" s="4"/>
      <c r="I1" s="4"/>
      <c r="J1" s="4"/>
      <c r="K1" s="4"/>
      <c r="L1" s="4"/>
      <c r="M1" s="4"/>
      <c r="N1" s="4"/>
      <c r="P1" s="129" t="s">
        <v>28</v>
      </c>
      <c r="Q1" s="129"/>
    </row>
    <row r="2" spans="1:18" ht="15.75" customHeight="1" x14ac:dyDescent="0.2">
      <c r="H2" s="4"/>
      <c r="I2" s="4"/>
      <c r="J2" s="4"/>
      <c r="K2" s="4"/>
      <c r="L2" s="4"/>
      <c r="M2" s="4"/>
      <c r="N2" s="4"/>
      <c r="P2" s="129"/>
      <c r="Q2" s="129"/>
    </row>
    <row r="4" spans="1:18" s="5" customFormat="1" ht="18" customHeight="1" thickBot="1" x14ac:dyDescent="0.25">
      <c r="A4" s="130" t="s">
        <v>29</v>
      </c>
      <c r="B4" s="130"/>
      <c r="C4" s="130"/>
      <c r="D4" s="130"/>
      <c r="E4" s="130"/>
      <c r="F4" s="130"/>
      <c r="G4" s="131" t="str">
        <f>' NotaPedido'!D3</f>
        <v>040 - Ministerio de Salud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8" s="5" customFormat="1" ht="18" customHeight="1" thickBot="1" x14ac:dyDescent="0.25">
      <c r="A5" s="132" t="s">
        <v>52</v>
      </c>
      <c r="B5" s="133"/>
      <c r="C5" s="133"/>
      <c r="D5" s="133"/>
      <c r="E5" s="133"/>
      <c r="F5" s="134"/>
      <c r="G5" s="131" t="str">
        <f>' NotaPedido'!D4</f>
        <v>024 - Hospital Interzonal de Niños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8" s="5" customFormat="1" ht="18" customHeight="1" thickBot="1" x14ac:dyDescent="0.25">
      <c r="A6" s="132" t="s">
        <v>30</v>
      </c>
      <c r="B6" s="133"/>
      <c r="C6" s="133"/>
      <c r="D6" s="133"/>
      <c r="E6" s="133"/>
      <c r="F6" s="134"/>
      <c r="G6" s="131" t="str">
        <f>' NotaPedido'!D5</f>
        <v>024 - Hospital Interzonal de Niños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8" s="5" customFormat="1" ht="18" customHeight="1" thickBot="1" x14ac:dyDescent="0.25">
      <c r="A7" s="132" t="s">
        <v>53</v>
      </c>
      <c r="B7" s="133"/>
      <c r="C7" s="133"/>
      <c r="D7" s="133"/>
      <c r="E7" s="133"/>
      <c r="F7" s="134"/>
      <c r="G7" s="131" t="str">
        <f>' NotaPedido'!D6</f>
        <v>Servicio de Odontologia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spans="1:18" ht="18" customHeight="1" thickBot="1" x14ac:dyDescent="0.25">
      <c r="A8" s="135" t="s">
        <v>31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</row>
    <row r="9" spans="1:18" ht="18" customHeight="1" x14ac:dyDescent="0.2">
      <c r="A9" s="136" t="s">
        <v>32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"/>
      <c r="P9" s="1"/>
      <c r="Q9" s="6"/>
    </row>
    <row r="10" spans="1:18" ht="54.75" customHeight="1" x14ac:dyDescent="0.2">
      <c r="A10" s="13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480/2020,  afectando la erogación resultante a los créditos presupuestarios aprobados a favor de esta Unidad Ejecutora, conforme al siguiente detalle: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8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8" ht="15.75" customHeight="1" x14ac:dyDescent="0.2">
      <c r="A12" s="138" t="s">
        <v>33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8" ht="15.75" customHeight="1" x14ac:dyDescent="0.2">
      <c r="A13" s="139" t="s">
        <v>34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35</v>
      </c>
      <c r="P13" s="140"/>
      <c r="Q13" s="141" t="s">
        <v>36</v>
      </c>
    </row>
    <row r="14" spans="1:18" ht="15.75" customHeight="1" x14ac:dyDescent="0.2">
      <c r="A14" s="11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2" t="s">
        <v>42</v>
      </c>
      <c r="G14" s="13" t="s">
        <v>43</v>
      </c>
      <c r="H14" s="12" t="s">
        <v>44</v>
      </c>
      <c r="I14" s="12" t="s">
        <v>45</v>
      </c>
      <c r="J14" s="12" t="s">
        <v>46</v>
      </c>
      <c r="K14" s="12" t="s">
        <v>46</v>
      </c>
      <c r="L14" s="12" t="s">
        <v>47</v>
      </c>
      <c r="M14" s="14" t="s">
        <v>48</v>
      </c>
      <c r="N14" s="15" t="s">
        <v>49</v>
      </c>
      <c r="O14" s="140"/>
      <c r="P14" s="140"/>
      <c r="Q14" s="141"/>
    </row>
    <row r="15" spans="1:18" ht="21.75" customHeight="1" x14ac:dyDescent="0.2">
      <c r="A15" s="95">
        <v>36</v>
      </c>
      <c r="B15" s="96"/>
      <c r="C15" s="96"/>
      <c r="D15" s="96">
        <v>1</v>
      </c>
      <c r="E15" s="96"/>
      <c r="F15" s="96">
        <v>4901</v>
      </c>
      <c r="G15" s="96">
        <v>3</v>
      </c>
      <c r="H15" s="96">
        <v>310</v>
      </c>
      <c r="I15" s="97" t="str">
        <f>LEFT('Necesidades Trimestrales'!D10,1)</f>
        <v>2</v>
      </c>
      <c r="J15" s="97">
        <v>5</v>
      </c>
      <c r="K15" s="97" t="str">
        <f>RIGHT('Necesidades Trimestrales'!D10,1)</f>
        <v>2</v>
      </c>
      <c r="L15" s="96"/>
      <c r="M15" s="98">
        <v>1</v>
      </c>
      <c r="N15" s="99" t="s">
        <v>59</v>
      </c>
      <c r="O15" s="142" t="s">
        <v>200</v>
      </c>
      <c r="P15" s="143"/>
      <c r="Q15" s="100">
        <v>100690</v>
      </c>
      <c r="R15" s="103"/>
    </row>
    <row r="16" spans="1:18" ht="26.25" customHeight="1" x14ac:dyDescent="0.2">
      <c r="A16" s="90">
        <v>36</v>
      </c>
      <c r="B16" s="91"/>
      <c r="C16" s="91"/>
      <c r="D16" s="91">
        <v>1</v>
      </c>
      <c r="E16" s="91"/>
      <c r="F16" s="91">
        <v>4901</v>
      </c>
      <c r="G16" s="91">
        <v>3</v>
      </c>
      <c r="H16" s="91">
        <v>310</v>
      </c>
      <c r="I16" s="92" t="str">
        <f>LEFT('Necesidades Trimestrales'!D12,1)</f>
        <v>2</v>
      </c>
      <c r="J16" s="92">
        <v>9</v>
      </c>
      <c r="K16" s="92">
        <v>5</v>
      </c>
      <c r="L16" s="91"/>
      <c r="M16" s="93">
        <v>1</v>
      </c>
      <c r="N16" s="94" t="s">
        <v>59</v>
      </c>
      <c r="O16" s="144" t="s">
        <v>201</v>
      </c>
      <c r="P16" s="145"/>
      <c r="Q16" s="20">
        <v>149850</v>
      </c>
      <c r="R16" s="103"/>
    </row>
    <row r="17" spans="1:18" ht="17.25" customHeight="1" x14ac:dyDescent="0.2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8"/>
      <c r="N17" s="19"/>
      <c r="O17" s="146"/>
      <c r="P17" s="146"/>
      <c r="Q17" s="20"/>
    </row>
    <row r="18" spans="1:18" ht="17.25" customHeight="1" x14ac:dyDescent="0.2">
      <c r="A18" s="16"/>
      <c r="B18" s="17"/>
      <c r="C18" s="17"/>
      <c r="D18" s="17"/>
      <c r="E18" s="17"/>
      <c r="F18" s="19"/>
      <c r="G18" s="17"/>
      <c r="H18" s="17"/>
      <c r="I18" s="17"/>
      <c r="J18" s="17"/>
      <c r="K18" s="17"/>
      <c r="L18" s="17"/>
      <c r="M18" s="18"/>
      <c r="N18" s="19"/>
      <c r="O18" s="146"/>
      <c r="P18" s="146"/>
      <c r="Q18" s="20"/>
    </row>
    <row r="19" spans="1:18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46"/>
      <c r="P19" s="146"/>
      <c r="Q19" s="20"/>
    </row>
    <row r="20" spans="1:18" ht="17.25" customHeight="1" x14ac:dyDescent="0.2">
      <c r="A20" s="21"/>
      <c r="B20" s="22"/>
      <c r="C20" s="22"/>
      <c r="D20" s="22"/>
      <c r="E20" s="22"/>
      <c r="F20" s="23"/>
      <c r="G20" s="22"/>
      <c r="H20" s="22"/>
      <c r="I20" s="22"/>
      <c r="J20" s="22"/>
      <c r="K20" s="22"/>
      <c r="L20" s="22"/>
      <c r="M20" s="24"/>
      <c r="N20" s="25"/>
      <c r="O20" s="152"/>
      <c r="P20" s="152"/>
      <c r="Q20" s="20"/>
      <c r="R20" s="1"/>
    </row>
    <row r="21" spans="1:18" ht="17.2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7"/>
      <c r="O21" s="153"/>
      <c r="P21" s="153"/>
      <c r="Q21" s="29"/>
    </row>
    <row r="22" spans="1:18" ht="29.25" customHeight="1" x14ac:dyDescent="0.2">
      <c r="A22" s="154" t="s">
        <v>205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30">
        <f>SUM(Q15:Q21)</f>
        <v>250540</v>
      </c>
    </row>
    <row r="23" spans="1:18" ht="18" customHeight="1" thickBot="1" x14ac:dyDescent="0.25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</row>
    <row r="24" spans="1:18" ht="17.25" customHeight="1" thickBot="1" x14ac:dyDescent="0.25">
      <c r="A24" s="147" t="s">
        <v>50</v>
      </c>
      <c r="B24" s="148"/>
      <c r="C24" s="148"/>
      <c r="D24" s="148"/>
      <c r="E24" s="148"/>
      <c r="F24" s="149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</row>
    <row r="25" spans="1:18" ht="18" customHeight="1" thickBot="1" x14ac:dyDescent="0.25">
      <c r="A25" s="151" t="s">
        <v>199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</row>
    <row r="26" spans="1:18" ht="15" customHeight="1" x14ac:dyDescent="0.2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</row>
  </sheetData>
  <mergeCells count="30"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24:F24"/>
    <mergeCell ref="G24:Q24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2020-10-08T12:56:54Z</cp:lastPrinted>
  <dcterms:created xsi:type="dcterms:W3CDTF">2020-07-17T23:44:49Z</dcterms:created>
  <dcterms:modified xsi:type="dcterms:W3CDTF">2020-11-30T15:49:54Z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