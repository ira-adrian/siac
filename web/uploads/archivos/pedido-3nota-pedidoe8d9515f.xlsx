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NotaPedido!$A$1:$K$32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32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<sst xmlns="http://schemas.openxmlformats.org/spreadsheetml/2006/main" count="178" uniqueCount="96">
  <si>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</si>
  <si>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</si>
  <si>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</si>
  <si>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</si>
  <si>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</si>
  <si>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</si>
  <si>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</si>
  <si>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</si>
  <si>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</si>
  <si>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</si>
  <si>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</si>
  <si>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</si>
  <si>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</si>
  <si>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</si>
  <si>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</si>
  <si>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</si>
  <si>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</si>
  <si>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</si>
  <si>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</si>
  <si>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</si>
  <si>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</si>
  <si>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</si>
  <si>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</si>
  <si>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</si>
  <si>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</si>
  <si>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</si>
  <si>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</si>
  <si>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</si>
  <si>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</si>
  <si>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</si>
  <si>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</si>
  <si>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</si>
  <si>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</si>
  <si>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</si>
  <si>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</si>
  <si>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</si>
  <si>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</si>
  <si>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</si>
  <si>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</si>
  <si>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</si>
  <si>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</si>
  <si>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</si>
  <si>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</si>
  <si>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</si>
  <si>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</si>
  <si>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</si>
  <si>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</si>
  <si>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</si>
  <si>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</si>
  <si>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</si>
  <si>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</si>
  <si>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</si>
  <si>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</si>
  <si>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</si>
  <si>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</si>
  <si>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</si>
  <si>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</si>
  <si>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</si>
  <si>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</si>
  <si>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</si>
  <si>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</si>
  <si>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 xml:space="preserve">45 dias habiles </t>
  </si>
  <si>
    <t>3.1</t>
  </si>
  <si>
    <t>1.1</t>
  </si>
  <si>
    <t>Utiles Menores Med. Quir. y de Lab.</t>
  </si>
  <si>
    <t>AGUJA PERICRANEAL TIPO BUTERFLY N 19</t>
  </si>
  <si>
    <t>AGUJA PERICRANEAL TIPO BUTERFLY N 21</t>
  </si>
  <si>
    <t>CANULA PARA TRAQUEOSTOMIA Nº 7 1/2</t>
  </si>
  <si>
    <t>CATETER INTRAVENOSO Nº 18 TIPO HOSPIRA/BD</t>
  </si>
  <si>
    <t>CATETER INTRAVENOSO Nº 20 TIPO HOSPIRA/BD</t>
  </si>
  <si>
    <t>EQUIPO PARA ADMINISTRACION DE SOLUCIONES  MACROGOTERO TIPO V-14 CON ROLLER</t>
  </si>
  <si>
    <t>EQUIPO PARA ADMINISTRACION DE SOLUCIONES MICROGOTERO TIPO V-17 CON ROLLER</t>
  </si>
  <si>
    <t>EQUIPO PARA SOLUCIONES FOTOSENCIBLES CON MACROGOTERO Y AGUJA</t>
  </si>
  <si>
    <t>GUIA ALIMENTACION TIPO BIOM-14E X 1</t>
  </si>
  <si>
    <t>GUIA PARA BOMBA DE INFUSION TIPO NIPRO</t>
  </si>
  <si>
    <t>LLAVE 3 VIAS ESTERIL 360° LUERLOCK C/PROLONGADOR DE 15CM</t>
  </si>
  <si>
    <t>REGULADOR DE FLUJO MACROGOTERO CON GRADUACION DE 5 A 250 ML/HORA CON PUERTO DE INYECCION EN Y</t>
  </si>
  <si>
    <t>SONDA FOLEY DOBLE VIA DE LATEX RECUBIERTA CON SILICONA  Nº 16</t>
  </si>
  <si>
    <t>SONDA FOLEY DOBLE VIA DE LATEX RECUBIERTA CON SILICONA Nº 18</t>
  </si>
  <si>
    <t>SONDA NASOGASTRICA  K31</t>
  </si>
  <si>
    <t>SONDA NASOGASTRICA K 33</t>
  </si>
  <si>
    <t>SONDA PARA INTUBACION GASTRICA K 9</t>
  </si>
  <si>
    <t>SONDA PARA INTUBACION GASTRICA K11</t>
  </si>
  <si>
    <t>SONDA RECTAL DE PVC  ADULTO N°20</t>
  </si>
  <si>
    <t>TAPON INTERMITENTE SISTEMA CERRADO CON ROSCA LUER LOCK</t>
  </si>
  <si>
    <t>UNIDAD</t>
  </si>
  <si>
    <t>2.9.5</t>
  </si>
  <si>
    <t>Especificidades Item N° :</t>
  </si>
  <si>
    <t xml:space="preserve">15 dias habiles  - Servicio de Farmacia del HISJB - Avda. Illia y Mariano Moreno de lunes a viernes de 08 a 11 horas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</si>
  <si>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</si>
  <si>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</si>
  <si>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 xml:space="preserve">PLAZO DE ENTREGA: 15 DIAS HABILES - SERVICIO DE FARMACIA - ADVA. ILLIA Y MARIANO MORENO - DE LUNES A VIERNES DE 08:00 A 11:00 HORAS </t>
  </si>
  <si>
    <t>011 - 2022</t>
  </si>
  <si>
    <t xml:space="preserve">Adquisición de Descartables Comunes </t>
  </si>
  <si>
    <t>Costo total estimado: UN MILLON CUATROCIENTOS VEINTISIETE MIL SEISCIENTOS DIEZ CON 00/100.---</t>
  </si>
  <si>
    <t>TOTAL DE PESOS: UN MILLON CUATROCIENTOS VEINTISIETE MIL SEISCIENTOS DIEZ CON 00/100.----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</si>
</sst>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92D050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5" fillId="0" borderId="0"/>
    <xf numFmtId="0" fontId="14" fillId="0" borderId="0"/>
  </cellStyleXfs>
  <cellXfs count="14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6" fillId="6" borderId="14" xfId="5" applyFont="1" applyFill="1" applyBorder="1" applyAlignment="1">
      <alignment vertical="center"/>
    </xf>
    <xf numFmtId="0" fontId="14" fillId="5" borderId="14" xfId="0" applyFont="1" applyFill="1" applyBorder="1" applyAlignment="1">
      <alignment horizontal="center" vertical="center"/>
    </xf>
    <xf numFmtId="3" fontId="14" fillId="5" borderId="14" xfId="0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center" vertical="center"/>
    </xf>
    <xf numFmtId="0" fontId="14" fillId="7" borderId="14" xfId="5" applyFont="1" applyFill="1" applyBorder="1" applyAlignment="1">
      <alignment vertical="center"/>
    </xf>
    <xf numFmtId="0" fontId="26" fillId="8" borderId="14" xfId="5" applyFont="1" applyFill="1" applyBorder="1" applyAlignment="1">
      <alignment vertical="center"/>
    </xf>
    <xf numFmtId="0" fontId="26" fillId="8" borderId="14" xfId="5" applyFont="1" applyFill="1" applyBorder="1" applyAlignment="1">
      <alignment horizontal="left" vertical="center"/>
    </xf>
    <xf numFmtId="0" fontId="26" fillId="6" borderId="14" xfId="5" applyFont="1" applyFill="1" applyBorder="1" applyAlignment="1">
      <alignment vertical="center" wrapText="1"/>
    </xf>
    <xf numFmtId="3" fontId="14" fillId="5" borderId="14" xfId="6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right" vertical="center" indent="2"/>
    </xf>
    <xf numFmtId="3" fontId="14" fillId="5" borderId="14" xfId="1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21" fillId="9" borderId="20" xfId="0" applyFont="1" applyFill="1" applyBorder="1" applyAlignment="1">
      <alignment horizontal="center" vertical="center" wrapText="1"/>
    </xf>
    <xf numFmtId="0" fontId="21" fillId="9" borderId="48" xfId="0" applyFont="1" applyFill="1" applyBorder="1" applyAlignment="1">
      <alignment horizontal="center" vertical="center" wrapText="1"/>
    </xf>
    <xf numFmtId="0" fontId="21" fillId="9" borderId="21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/>
    </xf>
    <xf numFmtId="0" fontId="15" fillId="9" borderId="48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 wrapText="1"/>
    </xf>
    <xf numFmtId="0" fontId="15" fillId="9" borderId="48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7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 3" xfId="6"/>
    <cellStyle name="Normal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8"/>
  <sheetViews>
    <sheetView tabSelected="1" zoomScale="85" zoomScaleNormal="85" workbookViewId="0">
      <selection activeCell="C40" sqref="C40:E40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8" t="s">
        <v>0</v>
      </c>
      <c r="C2" s="88"/>
      <c r="D2" s="88"/>
      <c r="E2" s="88"/>
      <c r="F2" s="88"/>
      <c r="G2" s="88"/>
      <c r="H2" s="88"/>
    </row>
    <row r="4" spans="1:9" ht="18" customHeight="1" x14ac:dyDescent="0.25">
      <c r="A4" s="89" t="s">
        <v>1</v>
      </c>
      <c r="B4" s="89"/>
      <c r="C4" s="90" t="s">
        <v>57</v>
      </c>
      <c r="D4" s="90"/>
      <c r="E4" s="90"/>
      <c r="F4" s="40"/>
      <c r="G4" s="41"/>
      <c r="H4" s="40"/>
    </row>
    <row r="5" spans="1:9" ht="18" customHeight="1" x14ac:dyDescent="0.25">
      <c r="A5" s="89" t="s">
        <v>2</v>
      </c>
      <c r="B5" s="89"/>
      <c r="C5" s="90" t="s">
        <v>58</v>
      </c>
      <c r="D5" s="90"/>
      <c r="E5" s="90"/>
      <c r="F5" s="40"/>
      <c r="G5" s="41"/>
      <c r="H5" s="40"/>
    </row>
    <row r="6" spans="1:9" ht="16.5" customHeight="1" x14ac:dyDescent="0.25">
      <c r="A6" s="89" t="s">
        <v>3</v>
      </c>
      <c r="B6" s="89"/>
      <c r="C6" s="61">
        <v>2022</v>
      </c>
      <c r="D6" s="62"/>
      <c r="E6" s="62"/>
      <c r="F6" s="40"/>
      <c r="G6" s="41"/>
      <c r="H6" s="40"/>
    </row>
    <row r="7" spans="1:9" ht="16.5" customHeight="1" x14ac:dyDescent="0.25">
      <c r="A7" s="89" t="s">
        <v>4</v>
      </c>
      <c r="B7" s="89"/>
      <c r="C7" s="61">
        <v>1</v>
      </c>
      <c r="D7" s="62"/>
      <c r="E7" s="62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9"/>
      <c r="C10" s="57" t="s">
        <v>64</v>
      </c>
      <c r="D10" s="58" t="s">
        <v>86</v>
      </c>
      <c r="E10" s="77" t="s">
        <v>65</v>
      </c>
      <c r="F10" s="78" t="s">
        <v>85</v>
      </c>
      <c r="G10" s="79">
        <v>200</v>
      </c>
      <c r="H10" s="80">
        <v>11</v>
      </c>
      <c r="I10" s="60">
        <f t="shared" ref="I10:I29" si="0">G10*H10</f>
        <v>2200</v>
      </c>
    </row>
    <row r="11" spans="1:9" ht="31.9" customHeight="1" thickBot="1" x14ac:dyDescent="0.25">
      <c r="A11" s="56">
        <v>2</v>
      </c>
      <c r="B11" s="59"/>
      <c r="C11" s="57" t="s">
        <v>64</v>
      </c>
      <c r="D11" s="58" t="s">
        <v>86</v>
      </c>
      <c r="E11" s="77" t="s">
        <v>66</v>
      </c>
      <c r="F11" s="78" t="s">
        <v>85</v>
      </c>
      <c r="G11" s="79">
        <v>100</v>
      </c>
      <c r="H11" s="80">
        <v>11</v>
      </c>
      <c r="I11" s="60">
        <f t="shared" si="0"/>
        <v>1100</v>
      </c>
    </row>
    <row r="12" spans="1:9" ht="31.9" customHeight="1" thickBot="1" x14ac:dyDescent="0.25">
      <c r="A12" s="56">
        <v>3</v>
      </c>
      <c r="B12" s="59"/>
      <c r="C12" s="57" t="s">
        <v>64</v>
      </c>
      <c r="D12" s="58" t="s">
        <v>86</v>
      </c>
      <c r="E12" s="81" t="s">
        <v>67</v>
      </c>
      <c r="F12" s="78" t="s">
        <v>85</v>
      </c>
      <c r="G12" s="79">
        <v>30</v>
      </c>
      <c r="H12" s="80">
        <v>1150</v>
      </c>
      <c r="I12" s="60">
        <f t="shared" si="0"/>
        <v>34500</v>
      </c>
    </row>
    <row r="13" spans="1:9" ht="31.9" customHeight="1" thickBot="1" x14ac:dyDescent="0.25">
      <c r="A13" s="56">
        <v>4</v>
      </c>
      <c r="B13" s="59"/>
      <c r="C13" s="57" t="s">
        <v>64</v>
      </c>
      <c r="D13" s="58" t="s">
        <v>86</v>
      </c>
      <c r="E13" s="77" t="s">
        <v>68</v>
      </c>
      <c r="F13" s="78" t="s">
        <v>85</v>
      </c>
      <c r="G13" s="79">
        <v>6000</v>
      </c>
      <c r="H13" s="80">
        <v>58</v>
      </c>
      <c r="I13" s="60">
        <f t="shared" si="0"/>
        <v>348000</v>
      </c>
    </row>
    <row r="14" spans="1:9" ht="31.9" customHeight="1" thickBot="1" x14ac:dyDescent="0.25">
      <c r="A14" s="56">
        <v>5</v>
      </c>
      <c r="B14" s="59"/>
      <c r="C14" s="57" t="s">
        <v>64</v>
      </c>
      <c r="D14" s="58" t="s">
        <v>86</v>
      </c>
      <c r="E14" s="77" t="s">
        <v>69</v>
      </c>
      <c r="F14" s="78" t="s">
        <v>85</v>
      </c>
      <c r="G14" s="79">
        <v>6000</v>
      </c>
      <c r="H14" s="80">
        <v>58</v>
      </c>
      <c r="I14" s="60">
        <f t="shared" si="0"/>
        <v>348000</v>
      </c>
    </row>
    <row r="15" spans="1:9" ht="31.9" customHeight="1" thickBot="1" x14ac:dyDescent="0.25">
      <c r="A15" s="56">
        <v>6</v>
      </c>
      <c r="B15" s="59"/>
      <c r="C15" s="57" t="s">
        <v>64</v>
      </c>
      <c r="D15" s="58" t="s">
        <v>86</v>
      </c>
      <c r="E15" s="77" t="s">
        <v>70</v>
      </c>
      <c r="F15" s="78" t="s">
        <v>85</v>
      </c>
      <c r="G15" s="79">
        <v>7500</v>
      </c>
      <c r="H15" s="80">
        <v>25</v>
      </c>
      <c r="I15" s="60">
        <f t="shared" si="0"/>
        <v>187500</v>
      </c>
    </row>
    <row r="16" spans="1:9" ht="31.9" customHeight="1" thickBot="1" x14ac:dyDescent="0.25">
      <c r="A16" s="56">
        <v>7</v>
      </c>
      <c r="B16" s="59"/>
      <c r="C16" s="57" t="s">
        <v>64</v>
      </c>
      <c r="D16" s="58" t="s">
        <v>86</v>
      </c>
      <c r="E16" s="77" t="s">
        <v>71</v>
      </c>
      <c r="F16" s="78" t="s">
        <v>85</v>
      </c>
      <c r="G16" s="79">
        <v>100</v>
      </c>
      <c r="H16" s="80">
        <v>55</v>
      </c>
      <c r="I16" s="60">
        <f t="shared" si="0"/>
        <v>5500</v>
      </c>
    </row>
    <row r="17" spans="1:9" ht="31.9" customHeight="1" thickBot="1" x14ac:dyDescent="0.25">
      <c r="A17" s="56">
        <v>8</v>
      </c>
      <c r="B17" s="59"/>
      <c r="C17" s="57" t="s">
        <v>64</v>
      </c>
      <c r="D17" s="58" t="s">
        <v>86</v>
      </c>
      <c r="E17" s="77" t="s">
        <v>72</v>
      </c>
      <c r="F17" s="78" t="s">
        <v>85</v>
      </c>
      <c r="G17" s="79">
        <v>400</v>
      </c>
      <c r="H17" s="80">
        <v>275</v>
      </c>
      <c r="I17" s="60">
        <f t="shared" si="0"/>
        <v>110000</v>
      </c>
    </row>
    <row r="18" spans="1:9" ht="31.9" customHeight="1" thickBot="1" x14ac:dyDescent="0.25">
      <c r="A18" s="56">
        <v>9</v>
      </c>
      <c r="B18" s="59"/>
      <c r="C18" s="57" t="s">
        <v>64</v>
      </c>
      <c r="D18" s="58" t="s">
        <v>86</v>
      </c>
      <c r="E18" s="82" t="s">
        <v>73</v>
      </c>
      <c r="F18" s="78" t="s">
        <v>85</v>
      </c>
      <c r="G18" s="79">
        <v>300</v>
      </c>
      <c r="H18" s="80">
        <v>168</v>
      </c>
      <c r="I18" s="60">
        <f t="shared" si="0"/>
        <v>50400</v>
      </c>
    </row>
    <row r="19" spans="1:9" ht="31.9" customHeight="1" thickBot="1" x14ac:dyDescent="0.25">
      <c r="A19" s="56">
        <v>10</v>
      </c>
      <c r="B19" s="59"/>
      <c r="C19" s="57" t="s">
        <v>64</v>
      </c>
      <c r="D19" s="58" t="s">
        <v>86</v>
      </c>
      <c r="E19" s="83" t="s">
        <v>74</v>
      </c>
      <c r="F19" s="78" t="s">
        <v>85</v>
      </c>
      <c r="G19" s="79">
        <v>100</v>
      </c>
      <c r="H19" s="80">
        <v>120</v>
      </c>
      <c r="I19" s="60">
        <f t="shared" si="0"/>
        <v>12000</v>
      </c>
    </row>
    <row r="20" spans="1:9" ht="31.9" customHeight="1" thickBot="1" x14ac:dyDescent="0.25">
      <c r="A20" s="56">
        <v>11</v>
      </c>
      <c r="B20" s="59"/>
      <c r="C20" s="57" t="s">
        <v>64</v>
      </c>
      <c r="D20" s="58" t="s">
        <v>86</v>
      </c>
      <c r="E20" s="77" t="s">
        <v>75</v>
      </c>
      <c r="F20" s="78" t="s">
        <v>85</v>
      </c>
      <c r="G20" s="79">
        <v>120</v>
      </c>
      <c r="H20" s="80">
        <v>56</v>
      </c>
      <c r="I20" s="60">
        <f t="shared" si="0"/>
        <v>6720</v>
      </c>
    </row>
    <row r="21" spans="1:9" ht="31.9" customHeight="1" thickBot="1" x14ac:dyDescent="0.25">
      <c r="A21" s="56">
        <v>12</v>
      </c>
      <c r="B21" s="59"/>
      <c r="C21" s="57" t="s">
        <v>64</v>
      </c>
      <c r="D21" s="58" t="s">
        <v>86</v>
      </c>
      <c r="E21" s="84" t="s">
        <v>76</v>
      </c>
      <c r="F21" s="78" t="s">
        <v>85</v>
      </c>
      <c r="G21" s="79">
        <v>600</v>
      </c>
      <c r="H21" s="80">
        <v>273</v>
      </c>
      <c r="I21" s="60">
        <f t="shared" si="0"/>
        <v>163800</v>
      </c>
    </row>
    <row r="22" spans="1:9" ht="31.9" customHeight="1" thickBot="1" x14ac:dyDescent="0.25">
      <c r="A22" s="56">
        <v>13</v>
      </c>
      <c r="B22" s="59"/>
      <c r="C22" s="57" t="s">
        <v>64</v>
      </c>
      <c r="D22" s="58" t="s">
        <v>86</v>
      </c>
      <c r="E22" s="77" t="s">
        <v>77</v>
      </c>
      <c r="F22" s="78" t="s">
        <v>85</v>
      </c>
      <c r="G22" s="85">
        <v>400</v>
      </c>
      <c r="H22" s="86">
        <v>110</v>
      </c>
      <c r="I22" s="60">
        <f t="shared" si="0"/>
        <v>44000</v>
      </c>
    </row>
    <row r="23" spans="1:9" ht="31.9" customHeight="1" thickBot="1" x14ac:dyDescent="0.25">
      <c r="A23" s="56">
        <v>14</v>
      </c>
      <c r="B23" s="59"/>
      <c r="C23" s="57" t="s">
        <v>64</v>
      </c>
      <c r="D23" s="58" t="s">
        <v>86</v>
      </c>
      <c r="E23" s="77" t="s">
        <v>78</v>
      </c>
      <c r="F23" s="78" t="s">
        <v>85</v>
      </c>
      <c r="G23" s="85">
        <v>600</v>
      </c>
      <c r="H23" s="86">
        <v>110</v>
      </c>
      <c r="I23" s="60">
        <f t="shared" si="0"/>
        <v>66000</v>
      </c>
    </row>
    <row r="24" spans="1:9" ht="31.9" customHeight="1" thickBot="1" x14ac:dyDescent="0.25">
      <c r="A24" s="56">
        <v>15</v>
      </c>
      <c r="B24" s="59"/>
      <c r="C24" s="57" t="s">
        <v>64</v>
      </c>
      <c r="D24" s="58" t="s">
        <v>86</v>
      </c>
      <c r="E24" s="77" t="s">
        <v>79</v>
      </c>
      <c r="F24" s="78" t="s">
        <v>85</v>
      </c>
      <c r="G24" s="85">
        <v>50</v>
      </c>
      <c r="H24" s="86">
        <v>35</v>
      </c>
      <c r="I24" s="60">
        <f t="shared" si="0"/>
        <v>1750</v>
      </c>
    </row>
    <row r="25" spans="1:9" ht="31.9" customHeight="1" thickBot="1" x14ac:dyDescent="0.25">
      <c r="A25" s="56">
        <v>16</v>
      </c>
      <c r="B25" s="59"/>
      <c r="C25" s="57" t="s">
        <v>64</v>
      </c>
      <c r="D25" s="58" t="s">
        <v>86</v>
      </c>
      <c r="E25" s="77" t="s">
        <v>80</v>
      </c>
      <c r="F25" s="78" t="s">
        <v>85</v>
      </c>
      <c r="G25" s="85">
        <v>200</v>
      </c>
      <c r="H25" s="86">
        <v>35</v>
      </c>
      <c r="I25" s="60">
        <f t="shared" si="0"/>
        <v>7000</v>
      </c>
    </row>
    <row r="26" spans="1:9" ht="31.9" customHeight="1" thickBot="1" x14ac:dyDescent="0.25">
      <c r="A26" s="56">
        <v>17</v>
      </c>
      <c r="B26" s="59"/>
      <c r="C26" s="57" t="s">
        <v>64</v>
      </c>
      <c r="D26" s="58" t="s">
        <v>86</v>
      </c>
      <c r="E26" s="77" t="s">
        <v>81</v>
      </c>
      <c r="F26" s="78" t="s">
        <v>85</v>
      </c>
      <c r="G26" s="87">
        <v>100</v>
      </c>
      <c r="H26" s="86">
        <v>48</v>
      </c>
      <c r="I26" s="60">
        <f t="shared" si="0"/>
        <v>4800</v>
      </c>
    </row>
    <row r="27" spans="1:9" ht="31.9" customHeight="1" thickBot="1" x14ac:dyDescent="0.25">
      <c r="A27" s="56">
        <v>18</v>
      </c>
      <c r="B27" s="59"/>
      <c r="C27" s="57" t="s">
        <v>64</v>
      </c>
      <c r="D27" s="58" t="s">
        <v>86</v>
      </c>
      <c r="E27" s="77" t="s">
        <v>82</v>
      </c>
      <c r="F27" s="78" t="s">
        <v>85</v>
      </c>
      <c r="G27" s="87">
        <v>600</v>
      </c>
      <c r="H27" s="86">
        <v>48</v>
      </c>
      <c r="I27" s="60">
        <f t="shared" si="0"/>
        <v>28800</v>
      </c>
    </row>
    <row r="28" spans="1:9" ht="31.9" customHeight="1" thickBot="1" x14ac:dyDescent="0.25">
      <c r="A28" s="56">
        <v>19</v>
      </c>
      <c r="B28" s="59"/>
      <c r="C28" s="57" t="s">
        <v>64</v>
      </c>
      <c r="D28" s="58" t="s">
        <v>86</v>
      </c>
      <c r="E28" s="77" t="s">
        <v>83</v>
      </c>
      <c r="F28" s="78" t="s">
        <v>85</v>
      </c>
      <c r="G28" s="87">
        <v>12</v>
      </c>
      <c r="H28" s="86">
        <v>45</v>
      </c>
      <c r="I28" s="60">
        <f t="shared" si="0"/>
        <v>540</v>
      </c>
    </row>
    <row r="29" spans="1:9" ht="31.9" customHeight="1" thickBot="1" x14ac:dyDescent="0.25">
      <c r="A29" s="56">
        <v>20</v>
      </c>
      <c r="B29" s="59"/>
      <c r="C29" s="57" t="s">
        <v>64</v>
      </c>
      <c r="D29" s="58" t="s">
        <v>86</v>
      </c>
      <c r="E29" s="77" t="s">
        <v>84</v>
      </c>
      <c r="F29" s="78" t="s">
        <v>85</v>
      </c>
      <c r="G29" s="87">
        <v>200</v>
      </c>
      <c r="H29" s="86">
        <v>25</v>
      </c>
      <c r="I29" s="60">
        <f t="shared" si="0"/>
        <v>5000</v>
      </c>
    </row>
    <row r="30" spans="1:9" ht="13.5" thickBot="1" x14ac:dyDescent="0.25"/>
    <row r="31" spans="1:9" ht="60.75" customHeight="1" thickBot="1" x14ac:dyDescent="0.25">
      <c r="C31" s="95" t="s">
        <v>89</v>
      </c>
      <c r="D31" s="96"/>
      <c r="E31" s="97"/>
    </row>
    <row r="32" spans="1:9" ht="38.25" customHeight="1" thickBot="1" x14ac:dyDescent="0.25">
      <c r="C32" s="98" t="s">
        <v>90</v>
      </c>
      <c r="D32" s="99"/>
      <c r="E32" s="100"/>
    </row>
    <row r="33" spans="2:5" ht="51" customHeight="1" thickBot="1" x14ac:dyDescent="0.25">
      <c r="C33" s="101" t="s">
        <v>91</v>
      </c>
      <c r="D33" s="102"/>
      <c r="E33" s="103"/>
    </row>
    <row r="34" spans="2:5" ht="13.5" thickBot="1" x14ac:dyDescent="0.25"/>
    <row r="35" spans="2:5" x14ac:dyDescent="0.2">
      <c r="B35" s="42" t="s">
        <v>87</v>
      </c>
      <c r="C35" s="43"/>
      <c r="D35" s="43"/>
      <c r="E35" s="44"/>
    </row>
    <row r="36" spans="2:5" ht="5.25" customHeight="1" x14ac:dyDescent="0.2">
      <c r="B36" s="45"/>
      <c r="C36" s="46"/>
      <c r="D36" s="46"/>
      <c r="E36" s="47"/>
    </row>
    <row r="37" spans="2:5" x14ac:dyDescent="0.2">
      <c r="B37" s="48" t="s">
        <v>14</v>
      </c>
      <c r="C37" s="46"/>
      <c r="D37" s="46"/>
      <c r="E37" s="47"/>
    </row>
    <row r="38" spans="2:5" ht="41.25" customHeight="1" x14ac:dyDescent="0.2">
      <c r="B38" s="48"/>
      <c r="C38" s="91"/>
      <c r="D38" s="91"/>
      <c r="E38" s="91"/>
    </row>
    <row r="39" spans="2:5" x14ac:dyDescent="0.2">
      <c r="B39" s="48" t="s">
        <v>15</v>
      </c>
      <c r="C39" s="46"/>
      <c r="D39" s="46"/>
      <c r="E39" s="47"/>
    </row>
    <row r="40" spans="2:5" ht="18.75" customHeight="1" x14ac:dyDescent="0.2">
      <c r="B40" s="49"/>
      <c r="C40" s="92" t="s">
        <v>88</v>
      </c>
      <c r="D40" s="92"/>
      <c r="E40" s="93"/>
    </row>
    <row r="41" spans="2:5" x14ac:dyDescent="0.2">
      <c r="B41" s="49"/>
      <c r="C41" s="94"/>
      <c r="D41" s="94"/>
      <c r="E41" s="94"/>
    </row>
    <row r="42" spans="2:5" x14ac:dyDescent="0.2">
      <c r="B42" s="48" t="s">
        <v>16</v>
      </c>
      <c r="C42" s="46"/>
      <c r="D42" s="46"/>
      <c r="E42" s="47"/>
    </row>
    <row r="43" spans="2:5" ht="26.25" customHeight="1" x14ac:dyDescent="0.2">
      <c r="B43" s="49"/>
      <c r="C43" s="91"/>
      <c r="D43" s="91"/>
      <c r="E43" s="91"/>
    </row>
    <row r="44" spans="2:5" x14ac:dyDescent="0.2">
      <c r="B44" s="48" t="s">
        <v>17</v>
      </c>
      <c r="C44" s="50"/>
      <c r="D44" s="50"/>
      <c r="E44" s="51"/>
    </row>
    <row r="45" spans="2:5" ht="26.25" customHeight="1" x14ac:dyDescent="0.2">
      <c r="B45" s="49"/>
      <c r="C45" s="104" t="s">
        <v>61</v>
      </c>
      <c r="D45" s="104"/>
      <c r="E45" s="105"/>
    </row>
    <row r="46" spans="2:5" x14ac:dyDescent="0.2">
      <c r="B46" s="48" t="s">
        <v>18</v>
      </c>
      <c r="C46" s="46"/>
      <c r="D46" s="46"/>
      <c r="E46" s="47"/>
    </row>
    <row r="47" spans="2:5" ht="23.25" customHeight="1" x14ac:dyDescent="0.2">
      <c r="B47" s="48"/>
      <c r="C47" s="106"/>
      <c r="D47" s="106"/>
      <c r="E47" s="106"/>
    </row>
    <row r="48" spans="2:5" x14ac:dyDescent="0.2">
      <c r="B48" s="52"/>
      <c r="C48" s="53"/>
      <c r="D48" s="53"/>
      <c r="E48" s="54"/>
    </row>
  </sheetData>
  <mergeCells count="16">
    <mergeCell ref="C43:E43"/>
    <mergeCell ref="C45:E45"/>
    <mergeCell ref="C47:E47"/>
    <mergeCell ref="A6:B6"/>
    <mergeCell ref="A7:B7"/>
    <mergeCell ref="C38:E38"/>
    <mergeCell ref="C40:E40"/>
    <mergeCell ref="C41:E41"/>
    <mergeCell ref="C31:E31"/>
    <mergeCell ref="C32:E32"/>
    <mergeCell ref="C33:E33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"/>
  <sheetViews>
    <sheetView topLeftCell="A25" zoomScale="70" zoomScaleNormal="70" workbookViewId="0">
      <selection activeCell="G37" sqref="G3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7" t="s">
        <v>19</v>
      </c>
      <c r="B1" s="107"/>
      <c r="C1" s="107"/>
      <c r="D1" s="107"/>
      <c r="E1" s="107"/>
      <c r="F1" s="107"/>
      <c r="G1" s="107"/>
      <c r="H1" s="107"/>
      <c r="I1" s="107"/>
      <c r="J1" s="3" t="s">
        <v>20</v>
      </c>
      <c r="K1" s="63" t="s">
        <v>92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8" t="s">
        <v>53</v>
      </c>
      <c r="B3" s="108"/>
      <c r="C3" s="108"/>
      <c r="D3" s="109" t="str">
        <f>'Necesidades Trimestrales'!C4</f>
        <v>40 - Ministerio de Salud</v>
      </c>
      <c r="E3" s="109"/>
      <c r="F3" s="109"/>
      <c r="G3" s="109"/>
      <c r="H3" s="109"/>
      <c r="I3" s="109"/>
      <c r="J3" s="109"/>
      <c r="K3" s="109"/>
    </row>
    <row r="4" spans="1:11" ht="18.75" customHeight="1" thickBot="1" x14ac:dyDescent="0.25">
      <c r="A4" s="110" t="s">
        <v>54</v>
      </c>
      <c r="B4" s="110"/>
      <c r="C4" s="110"/>
      <c r="D4" s="109" t="str">
        <f>'Necesidades Trimestrales'!C5</f>
        <v>23 - Hospital Interzonal San Juan Bautista</v>
      </c>
      <c r="E4" s="109"/>
      <c r="F4" s="109"/>
      <c r="G4" s="109"/>
      <c r="H4" s="109"/>
      <c r="I4" s="109"/>
      <c r="J4" s="109"/>
      <c r="K4" s="109"/>
    </row>
    <row r="5" spans="1:11" ht="18.75" customHeight="1" thickBot="1" x14ac:dyDescent="0.25">
      <c r="A5" s="110" t="s">
        <v>32</v>
      </c>
      <c r="B5" s="110"/>
      <c r="C5" s="110"/>
      <c r="D5" s="109" t="s">
        <v>59</v>
      </c>
      <c r="E5" s="109"/>
      <c r="F5" s="109"/>
      <c r="G5" s="109"/>
      <c r="H5" s="109"/>
      <c r="I5" s="109"/>
      <c r="J5" s="109"/>
      <c r="K5" s="109"/>
    </row>
    <row r="6" spans="1:11" ht="16.5" customHeight="1" thickBot="1" x14ac:dyDescent="0.25">
      <c r="A6" s="108" t="s">
        <v>55</v>
      </c>
      <c r="B6" s="108"/>
      <c r="C6" s="108"/>
      <c r="D6" s="109" t="s">
        <v>60</v>
      </c>
      <c r="E6" s="109"/>
      <c r="F6" s="109"/>
      <c r="G6" s="109"/>
      <c r="H6" s="109"/>
      <c r="I6" s="109"/>
      <c r="J6" s="109"/>
      <c r="K6" s="109"/>
    </row>
    <row r="7" spans="1:11" ht="16.5" customHeight="1" x14ac:dyDescent="0.2">
      <c r="A7" s="110" t="s">
        <v>21</v>
      </c>
      <c r="B7" s="110"/>
      <c r="C7" s="110"/>
      <c r="D7" s="109" t="str">
        <f>'Necesidades Trimestrales'!C7 &amp; "° Trimestre - Año " &amp; 'Necesidades Trimestrales'!C6</f>
        <v>1° Trimestre - Año 2022</v>
      </c>
      <c r="E7" s="109"/>
      <c r="F7" s="109"/>
      <c r="G7" s="109"/>
      <c r="H7" s="109"/>
      <c r="I7" s="109"/>
      <c r="J7" s="109"/>
      <c r="K7" s="109"/>
    </row>
    <row r="8" spans="1:11" ht="16.5" customHeight="1" x14ac:dyDescent="0.2">
      <c r="A8" s="111" t="s">
        <v>22</v>
      </c>
      <c r="B8" s="111"/>
      <c r="C8" s="111"/>
      <c r="D8" s="112" t="s">
        <v>93</v>
      </c>
      <c r="E8" s="112"/>
      <c r="F8" s="112"/>
      <c r="G8" s="112"/>
      <c r="H8" s="112"/>
      <c r="I8" s="112"/>
      <c r="J8" s="112"/>
      <c r="K8" s="112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3" t="s">
        <v>23</v>
      </c>
      <c r="B10" s="114" t="s">
        <v>24</v>
      </c>
      <c r="C10" s="114" t="s">
        <v>25</v>
      </c>
      <c r="D10" s="114"/>
      <c r="E10" s="114"/>
      <c r="F10" s="114"/>
      <c r="G10" s="114"/>
      <c r="H10" s="114" t="s">
        <v>26</v>
      </c>
      <c r="I10" s="114" t="s">
        <v>27</v>
      </c>
      <c r="J10" s="114" t="s">
        <v>28</v>
      </c>
      <c r="K10" s="115" t="s">
        <v>29</v>
      </c>
    </row>
    <row r="11" spans="1:11" ht="24" customHeight="1" thickBot="1" x14ac:dyDescent="0.25">
      <c r="A11" s="113"/>
      <c r="B11" s="114"/>
      <c r="C11" s="114"/>
      <c r="D11" s="114"/>
      <c r="E11" s="114"/>
      <c r="F11" s="114"/>
      <c r="G11" s="114"/>
      <c r="H11" s="114"/>
      <c r="I11" s="114"/>
      <c r="J11" s="114"/>
      <c r="K11" s="115"/>
    </row>
    <row r="12" spans="1:11" ht="20.25" customHeight="1" thickBot="1" x14ac:dyDescent="0.25">
      <c r="A12" s="8">
        <v>1</v>
      </c>
      <c r="B12" s="64">
        <f>'Necesidades Trimestrales'!B10</f>
        <v>0</v>
      </c>
      <c r="C12" s="118" t="str">
        <f>'Necesidades Trimestrales'!E10</f>
        <v>AGUJA PERICRANEAL TIPO BUTERFLY N 19</v>
      </c>
      <c r="D12" s="118"/>
      <c r="E12" s="118"/>
      <c r="F12" s="118"/>
      <c r="G12" s="118"/>
      <c r="H12" s="65" t="s">
        <v>56</v>
      </c>
      <c r="I12" s="66" t="str">
        <f>'Necesidades Trimestrales'!F10</f>
        <v>UNIDAD</v>
      </c>
      <c r="J12" s="67">
        <f>'Necesidades Trimestrales'!H10</f>
        <v>11</v>
      </c>
      <c r="K12" s="68">
        <f>'Necesidades Trimestrales'!G10</f>
        <v>200</v>
      </c>
    </row>
    <row r="13" spans="1:11" ht="20.25" customHeight="1" thickBot="1" x14ac:dyDescent="0.25">
      <c r="A13" s="8">
        <v>2</v>
      </c>
      <c r="B13" s="64">
        <f>'Necesidades Trimestrales'!B11</f>
        <v>0</v>
      </c>
      <c r="C13" s="118" t="str">
        <f>'Necesidades Trimestrales'!E11</f>
        <v>AGUJA PERICRANEAL TIPO BUTERFLY N 21</v>
      </c>
      <c r="D13" s="118"/>
      <c r="E13" s="118"/>
      <c r="F13" s="118"/>
      <c r="G13" s="118"/>
      <c r="H13" s="65" t="s">
        <v>56</v>
      </c>
      <c r="I13" s="66" t="str">
        <f>'Necesidades Trimestrales'!F11</f>
        <v>UNIDAD</v>
      </c>
      <c r="J13" s="67">
        <f>'Necesidades Trimestrales'!H11</f>
        <v>11</v>
      </c>
      <c r="K13" s="68">
        <f>'Necesidades Trimestrales'!G11</f>
        <v>100</v>
      </c>
    </row>
    <row r="14" spans="1:11" ht="20.25" customHeight="1" thickBot="1" x14ac:dyDescent="0.25">
      <c r="A14" s="8">
        <v>3</v>
      </c>
      <c r="B14" s="64">
        <f>'Necesidades Trimestrales'!B12</f>
        <v>0</v>
      </c>
      <c r="C14" s="118" t="str">
        <f>'Necesidades Trimestrales'!E12</f>
        <v>CANULA PARA TRAQUEOSTOMIA Nº 7 1/2</v>
      </c>
      <c r="D14" s="118"/>
      <c r="E14" s="118"/>
      <c r="F14" s="118"/>
      <c r="G14" s="118"/>
      <c r="H14" s="65" t="s">
        <v>56</v>
      </c>
      <c r="I14" s="66" t="str">
        <f>'Necesidades Trimestrales'!F12</f>
        <v>UNIDAD</v>
      </c>
      <c r="J14" s="67">
        <f>'Necesidades Trimestrales'!H12</f>
        <v>1150</v>
      </c>
      <c r="K14" s="68">
        <f>'Necesidades Trimestrales'!G12</f>
        <v>30</v>
      </c>
    </row>
    <row r="15" spans="1:11" ht="20.25" customHeight="1" thickBot="1" x14ac:dyDescent="0.25">
      <c r="A15" s="8">
        <v>4</v>
      </c>
      <c r="B15" s="64">
        <f>'Necesidades Trimestrales'!B13</f>
        <v>0</v>
      </c>
      <c r="C15" s="118" t="str">
        <f>'Necesidades Trimestrales'!E13</f>
        <v>CATETER INTRAVENOSO Nº 18 TIPO HOSPIRA/BD</v>
      </c>
      <c r="D15" s="118"/>
      <c r="E15" s="118"/>
      <c r="F15" s="118"/>
      <c r="G15" s="118"/>
      <c r="H15" s="65" t="s">
        <v>56</v>
      </c>
      <c r="I15" s="66" t="str">
        <f>'Necesidades Trimestrales'!F13</f>
        <v>UNIDAD</v>
      </c>
      <c r="J15" s="67">
        <f>'Necesidades Trimestrales'!H13</f>
        <v>58</v>
      </c>
      <c r="K15" s="68">
        <f>'Necesidades Trimestrales'!G13</f>
        <v>6000</v>
      </c>
    </row>
    <row r="16" spans="1:11" ht="20.25" customHeight="1" thickBot="1" x14ac:dyDescent="0.25">
      <c r="A16" s="8">
        <v>5</v>
      </c>
      <c r="B16" s="64">
        <f>'Necesidades Trimestrales'!B14</f>
        <v>0</v>
      </c>
      <c r="C16" s="118" t="str">
        <f>'Necesidades Trimestrales'!E14</f>
        <v>CATETER INTRAVENOSO Nº 20 TIPO HOSPIRA/BD</v>
      </c>
      <c r="D16" s="118"/>
      <c r="E16" s="118"/>
      <c r="F16" s="118"/>
      <c r="G16" s="118"/>
      <c r="H16" s="65" t="s">
        <v>56</v>
      </c>
      <c r="I16" s="66" t="str">
        <f>'Necesidades Trimestrales'!F14</f>
        <v>UNIDAD</v>
      </c>
      <c r="J16" s="67">
        <f>'Necesidades Trimestrales'!H14</f>
        <v>58</v>
      </c>
      <c r="K16" s="68">
        <f>'Necesidades Trimestrales'!G14</f>
        <v>6000</v>
      </c>
    </row>
    <row r="17" spans="1:1024" ht="20.25" customHeight="1" thickBot="1" x14ac:dyDescent="0.25">
      <c r="A17" s="8">
        <v>6</v>
      </c>
      <c r="B17" s="64">
        <f>'Necesidades Trimestrales'!B15</f>
        <v>0</v>
      </c>
      <c r="C17" s="118" t="str">
        <f>'Necesidades Trimestrales'!E15</f>
        <v>EQUIPO PARA ADMINISTRACION DE SOLUCIONES  MACROGOTERO TIPO V-14 CON ROLLER</v>
      </c>
      <c r="D17" s="118"/>
      <c r="E17" s="118"/>
      <c r="F17" s="118"/>
      <c r="G17" s="118"/>
      <c r="H17" s="65" t="s">
        <v>56</v>
      </c>
      <c r="I17" s="66" t="str">
        <f>'Necesidades Trimestrales'!F15</f>
        <v>UNIDAD</v>
      </c>
      <c r="J17" s="67">
        <f>'Necesidades Trimestrales'!H15</f>
        <v>25</v>
      </c>
      <c r="K17" s="68">
        <f>'Necesidades Trimestrales'!G15</f>
        <v>7500</v>
      </c>
    </row>
    <row r="18" spans="1:1024" ht="20.25" customHeight="1" thickBot="1" x14ac:dyDescent="0.25">
      <c r="A18" s="8">
        <v>7</v>
      </c>
      <c r="B18" s="64">
        <f>'Necesidades Trimestrales'!B16</f>
        <v>0</v>
      </c>
      <c r="C18" s="118" t="str">
        <f>'Necesidades Trimestrales'!E16</f>
        <v>EQUIPO PARA ADMINISTRACION DE SOLUCIONES MICROGOTERO TIPO V-17 CON ROLLER</v>
      </c>
      <c r="D18" s="118"/>
      <c r="E18" s="118"/>
      <c r="F18" s="118"/>
      <c r="G18" s="118"/>
      <c r="H18" s="65" t="s">
        <v>56</v>
      </c>
      <c r="I18" s="66" t="str">
        <f>'Necesidades Trimestrales'!F16</f>
        <v>UNIDAD</v>
      </c>
      <c r="J18" s="67">
        <f>'Necesidades Trimestrales'!H16</f>
        <v>55</v>
      </c>
      <c r="K18" s="68">
        <f>'Necesidades Trimestrales'!G16</f>
        <v>100</v>
      </c>
    </row>
    <row r="19" spans="1:1024" ht="20.25" customHeight="1" thickBot="1" x14ac:dyDescent="0.25">
      <c r="A19" s="8">
        <v>8</v>
      </c>
      <c r="B19" s="64">
        <f>'Necesidades Trimestrales'!B17</f>
        <v>0</v>
      </c>
      <c r="C19" s="118" t="str">
        <f>'Necesidades Trimestrales'!E17</f>
        <v>EQUIPO PARA SOLUCIONES FOTOSENCIBLES CON MACROGOTERO Y AGUJA</v>
      </c>
      <c r="D19" s="118"/>
      <c r="E19" s="118"/>
      <c r="F19" s="118"/>
      <c r="G19" s="118"/>
      <c r="H19" s="65" t="s">
        <v>56</v>
      </c>
      <c r="I19" s="66" t="str">
        <f>'Necesidades Trimestrales'!F17</f>
        <v>UNIDAD</v>
      </c>
      <c r="J19" s="67">
        <f>'Necesidades Trimestrales'!H17</f>
        <v>275</v>
      </c>
      <c r="K19" s="68">
        <f>'Necesidades Trimestrales'!G17</f>
        <v>400</v>
      </c>
    </row>
    <row r="20" spans="1:1024" ht="20.25" customHeight="1" thickBot="1" x14ac:dyDescent="0.25">
      <c r="A20" s="8">
        <v>9</v>
      </c>
      <c r="B20" s="64">
        <f>'Necesidades Trimestrales'!B18</f>
        <v>0</v>
      </c>
      <c r="C20" s="118" t="str">
        <f>'Necesidades Trimestrales'!E18</f>
        <v>GUIA ALIMENTACION TIPO BIOM-14E X 1</v>
      </c>
      <c r="D20" s="118"/>
      <c r="E20" s="118"/>
      <c r="F20" s="118"/>
      <c r="G20" s="118"/>
      <c r="H20" s="65" t="s">
        <v>56</v>
      </c>
      <c r="I20" s="66" t="str">
        <f>'Necesidades Trimestrales'!F18</f>
        <v>UNIDAD</v>
      </c>
      <c r="J20" s="67">
        <f>'Necesidades Trimestrales'!H18</f>
        <v>168</v>
      </c>
      <c r="K20" s="68">
        <f>'Necesidades Trimestrales'!G18</f>
        <v>300</v>
      </c>
    </row>
    <row r="21" spans="1:1024" ht="20.25" customHeight="1" thickBot="1" x14ac:dyDescent="0.25">
      <c r="A21" s="8">
        <v>10</v>
      </c>
      <c r="B21" s="64">
        <f>'Necesidades Trimestrales'!B19</f>
        <v>0</v>
      </c>
      <c r="C21" s="118" t="str">
        <f>'Necesidades Trimestrales'!E19</f>
        <v>GUIA PARA BOMBA DE INFUSION TIPO NIPRO</v>
      </c>
      <c r="D21" s="118"/>
      <c r="E21" s="118"/>
      <c r="F21" s="118"/>
      <c r="G21" s="118"/>
      <c r="H21" s="65" t="s">
        <v>56</v>
      </c>
      <c r="I21" s="66" t="str">
        <f>'Necesidades Trimestrales'!F19</f>
        <v>UNIDAD</v>
      </c>
      <c r="J21" s="67">
        <f>'Necesidades Trimestrales'!H19</f>
        <v>120</v>
      </c>
      <c r="K21" s="68">
        <f>'Necesidades Trimestrales'!G19</f>
        <v>100</v>
      </c>
    </row>
    <row r="22" spans="1:1024" ht="28.5" customHeight="1" thickBot="1" x14ac:dyDescent="0.25">
      <c r="A22" s="8">
        <v>11</v>
      </c>
      <c r="B22" s="64">
        <f>'Necesidades Trimestrales'!B20</f>
        <v>0</v>
      </c>
      <c r="C22" s="118" t="str">
        <f>'Necesidades Trimestrales'!E20</f>
        <v>LLAVE 3 VIAS ESTERIL 360° LUERLOCK C/PROLONGADOR DE 15CM</v>
      </c>
      <c r="D22" s="118"/>
      <c r="E22" s="118"/>
      <c r="F22" s="118"/>
      <c r="G22" s="118"/>
      <c r="H22" s="65" t="s">
        <v>56</v>
      </c>
      <c r="I22" s="66" t="str">
        <f>'Necesidades Trimestrales'!F20</f>
        <v>UNIDAD</v>
      </c>
      <c r="J22" s="67">
        <f>'Necesidades Trimestrales'!H20</f>
        <v>56</v>
      </c>
      <c r="K22" s="68">
        <f>'Necesidades Trimestrales'!G20</f>
        <v>120</v>
      </c>
    </row>
    <row r="23" spans="1:1024" ht="39.75" customHeight="1" thickBot="1" x14ac:dyDescent="0.25">
      <c r="A23" s="8">
        <v>12</v>
      </c>
      <c r="B23" s="64">
        <f>'Necesidades Trimestrales'!B21</f>
        <v>0</v>
      </c>
      <c r="C23" s="118" t="str">
        <f>'Necesidades Trimestrales'!E21</f>
        <v>REGULADOR DE FLUJO MACROGOTERO CON GRADUACION DE 5 A 250 ML/HORA CON PUERTO DE INYECCION EN Y</v>
      </c>
      <c r="D23" s="118"/>
      <c r="E23" s="118"/>
      <c r="F23" s="118"/>
      <c r="G23" s="118"/>
      <c r="H23" s="65" t="s">
        <v>56</v>
      </c>
      <c r="I23" s="66" t="str">
        <f>'Necesidades Trimestrales'!F21</f>
        <v>UNIDAD</v>
      </c>
      <c r="J23" s="67">
        <f>'Necesidades Trimestrales'!H21</f>
        <v>273</v>
      </c>
      <c r="K23" s="68">
        <f>'Necesidades Trimestrales'!G21</f>
        <v>600</v>
      </c>
    </row>
    <row r="24" spans="1:1024" ht="20.25" customHeight="1" thickBot="1" x14ac:dyDescent="0.25">
      <c r="A24" s="8">
        <v>13</v>
      </c>
      <c r="B24" s="64">
        <f>'Necesidades Trimestrales'!B22</f>
        <v>0</v>
      </c>
      <c r="C24" s="118" t="str">
        <f>'Necesidades Trimestrales'!E22</f>
        <v>SONDA FOLEY DOBLE VIA DE LATEX RECUBIERTA CON SILICONA  Nº 16</v>
      </c>
      <c r="D24" s="118"/>
      <c r="E24" s="118"/>
      <c r="F24" s="118"/>
      <c r="G24" s="118"/>
      <c r="H24" s="65" t="s">
        <v>56</v>
      </c>
      <c r="I24" s="66" t="str">
        <f>'Necesidades Trimestrales'!F22</f>
        <v>UNIDAD</v>
      </c>
      <c r="J24" s="67">
        <f>'Necesidades Trimestrales'!H22</f>
        <v>110</v>
      </c>
      <c r="K24" s="68">
        <f>'Necesidades Trimestrales'!G22</f>
        <v>400</v>
      </c>
    </row>
    <row r="25" spans="1:1024" ht="20.25" customHeight="1" thickBot="1" x14ac:dyDescent="0.25">
      <c r="A25" s="8">
        <v>14</v>
      </c>
      <c r="B25" s="64">
        <f>'Necesidades Trimestrales'!B23</f>
        <v>0</v>
      </c>
      <c r="C25" s="118" t="str">
        <f>'Necesidades Trimestrales'!E23</f>
        <v>SONDA FOLEY DOBLE VIA DE LATEX RECUBIERTA CON SILICONA Nº 18</v>
      </c>
      <c r="D25" s="118"/>
      <c r="E25" s="118"/>
      <c r="F25" s="118"/>
      <c r="G25" s="118"/>
      <c r="H25" s="65" t="s">
        <v>56</v>
      </c>
      <c r="I25" s="66" t="str">
        <f>'Necesidades Trimestrales'!F23</f>
        <v>UNIDAD</v>
      </c>
      <c r="J25" s="67">
        <f>'Necesidades Trimestrales'!H23</f>
        <v>110</v>
      </c>
      <c r="K25" s="68">
        <f>'Necesidades Trimestrales'!G23</f>
        <v>600</v>
      </c>
    </row>
    <row r="26" spans="1:1024" ht="20.25" customHeight="1" thickBot="1" x14ac:dyDescent="0.25">
      <c r="A26" s="8">
        <v>15</v>
      </c>
      <c r="B26" s="64">
        <f>'Necesidades Trimestrales'!B24</f>
        <v>0</v>
      </c>
      <c r="C26" s="118" t="str">
        <f>'Necesidades Trimestrales'!E24</f>
        <v>SONDA NASOGASTRICA  K31</v>
      </c>
      <c r="D26" s="118"/>
      <c r="E26" s="118"/>
      <c r="F26" s="118"/>
      <c r="G26" s="118"/>
      <c r="H26" s="65" t="s">
        <v>56</v>
      </c>
      <c r="I26" s="66" t="str">
        <f>'Necesidades Trimestrales'!F24</f>
        <v>UNIDAD</v>
      </c>
      <c r="J26" s="67">
        <f>'Necesidades Trimestrales'!H24</f>
        <v>35</v>
      </c>
      <c r="K26" s="68">
        <f>'Necesidades Trimestrales'!G24</f>
        <v>50</v>
      </c>
    </row>
    <row r="27" spans="1:1024" ht="20.25" customHeight="1" thickBot="1" x14ac:dyDescent="0.25">
      <c r="A27" s="8">
        <v>16</v>
      </c>
      <c r="B27" s="64">
        <f>'Necesidades Trimestrales'!B25</f>
        <v>0</v>
      </c>
      <c r="C27" s="118" t="str">
        <f>'Necesidades Trimestrales'!E25</f>
        <v>SONDA NASOGASTRICA K 33</v>
      </c>
      <c r="D27" s="118"/>
      <c r="E27" s="118"/>
      <c r="F27" s="118"/>
      <c r="G27" s="118"/>
      <c r="H27" s="65" t="s">
        <v>56</v>
      </c>
      <c r="I27" s="66" t="str">
        <f>'Necesidades Trimestrales'!F25</f>
        <v>UNIDAD</v>
      </c>
      <c r="J27" s="67">
        <f>'Necesidades Trimestrales'!H25</f>
        <v>35</v>
      </c>
      <c r="K27" s="68">
        <f>'Necesidades Trimestrales'!G25</f>
        <v>200</v>
      </c>
    </row>
    <row r="28" spans="1:1024" ht="20.25" customHeight="1" thickBot="1" x14ac:dyDescent="0.25">
      <c r="A28" s="8">
        <v>17</v>
      </c>
      <c r="B28" s="64">
        <f>'Necesidades Trimestrales'!B26</f>
        <v>0</v>
      </c>
      <c r="C28" s="118" t="str">
        <f>'Necesidades Trimestrales'!E26</f>
        <v>SONDA PARA INTUBACION GASTRICA K 9</v>
      </c>
      <c r="D28" s="118"/>
      <c r="E28" s="118"/>
      <c r="F28" s="118"/>
      <c r="G28" s="118"/>
      <c r="H28" s="65" t="s">
        <v>56</v>
      </c>
      <c r="I28" s="66" t="str">
        <f>'Necesidades Trimestrales'!F26</f>
        <v>UNIDAD</v>
      </c>
      <c r="J28" s="67">
        <f>'Necesidades Trimestrales'!H26</f>
        <v>48</v>
      </c>
      <c r="K28" s="68">
        <f>'Necesidades Trimestrales'!G26</f>
        <v>100</v>
      </c>
    </row>
    <row r="29" spans="1:1024" ht="20.25" customHeight="1" thickBot="1" x14ac:dyDescent="0.25">
      <c r="A29" s="8">
        <v>18</v>
      </c>
      <c r="B29" s="64">
        <f>'Necesidades Trimestrales'!B27</f>
        <v>0</v>
      </c>
      <c r="C29" s="118" t="str">
        <f>'Necesidades Trimestrales'!E27</f>
        <v>SONDA PARA INTUBACION GASTRICA K11</v>
      </c>
      <c r="D29" s="118"/>
      <c r="E29" s="118"/>
      <c r="F29" s="118"/>
      <c r="G29" s="118"/>
      <c r="H29" s="65" t="s">
        <v>56</v>
      </c>
      <c r="I29" s="66" t="str">
        <f>'Necesidades Trimestrales'!F27</f>
        <v>UNIDAD</v>
      </c>
      <c r="J29" s="67">
        <f>'Necesidades Trimestrales'!H27</f>
        <v>48</v>
      </c>
      <c r="K29" s="68">
        <f>'Necesidades Trimestrales'!G27</f>
        <v>600</v>
      </c>
    </row>
    <row r="30" spans="1:1024" ht="20.25" customHeight="1" thickBot="1" x14ac:dyDescent="0.25">
      <c r="A30" s="8">
        <v>19</v>
      </c>
      <c r="B30" s="64">
        <f>'Necesidades Trimestrales'!B28</f>
        <v>0</v>
      </c>
      <c r="C30" s="118" t="str">
        <f>'Necesidades Trimestrales'!E28</f>
        <v>SONDA RECTAL DE PVC  ADULTO N°20</v>
      </c>
      <c r="D30" s="118"/>
      <c r="E30" s="118"/>
      <c r="F30" s="118"/>
      <c r="G30" s="118"/>
      <c r="H30" s="65" t="s">
        <v>56</v>
      </c>
      <c r="I30" s="66" t="str">
        <f>'Necesidades Trimestrales'!F28</f>
        <v>UNIDAD</v>
      </c>
      <c r="J30" s="67">
        <f>'Necesidades Trimestrales'!H28</f>
        <v>45</v>
      </c>
      <c r="K30" s="68">
        <f>'Necesidades Trimestrales'!G28</f>
        <v>12</v>
      </c>
    </row>
    <row r="31" spans="1:1024" ht="20.25" customHeight="1" thickBot="1" x14ac:dyDescent="0.25">
      <c r="A31" s="8">
        <v>20</v>
      </c>
      <c r="B31" s="64">
        <f>'Necesidades Trimestrales'!B29</f>
        <v>0</v>
      </c>
      <c r="C31" s="118" t="str">
        <f>'Necesidades Trimestrales'!E29</f>
        <v>TAPON INTERMITENTE SISTEMA CERRADO CON ROSCA LUER LOCK</v>
      </c>
      <c r="D31" s="118"/>
      <c r="E31" s="118"/>
      <c r="F31" s="118"/>
      <c r="G31" s="118"/>
      <c r="H31" s="65" t="s">
        <v>56</v>
      </c>
      <c r="I31" s="66" t="str">
        <f>'Necesidades Trimestrales'!F29</f>
        <v>UNIDAD</v>
      </c>
      <c r="J31" s="67">
        <f>'Necesidades Trimestrales'!H29</f>
        <v>25</v>
      </c>
      <c r="K31" s="68">
        <f>'Necesidades Trimestrales'!G29</f>
        <v>200</v>
      </c>
    </row>
    <row r="32" spans="1:1024" ht="20.25" customHeight="1" thickBot="1" x14ac:dyDescent="0.25">
      <c r="A32" s="116" t="s">
        <v>94</v>
      </c>
      <c r="B32" s="116"/>
      <c r="C32" s="116"/>
      <c r="D32" s="116"/>
      <c r="E32" s="116"/>
      <c r="F32" s="116"/>
      <c r="G32" s="116"/>
      <c r="H32" s="116"/>
      <c r="I32" s="116"/>
      <c r="J32" s="117">
        <f>SUMPRODUCT(J12:J31,K12:K31)</f>
        <v>1427610</v>
      </c>
      <c r="K32" s="117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</sheetData>
  <mergeCells count="42">
    <mergeCell ref="C31:G31"/>
    <mergeCell ref="C26:G26"/>
    <mergeCell ref="C27:G27"/>
    <mergeCell ref="C28:G28"/>
    <mergeCell ref="C29:G29"/>
    <mergeCell ref="C30:G30"/>
    <mergeCell ref="A32:I32"/>
    <mergeCell ref="J32:K3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S22" sqref="S2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9" t="s">
        <v>3</v>
      </c>
      <c r="B1" s="119"/>
      <c r="C1" s="119"/>
      <c r="D1" s="120">
        <f>'Necesidades Trimestrales'!C6</f>
        <v>2022</v>
      </c>
      <c r="E1" s="120"/>
      <c r="F1" s="10"/>
      <c r="G1" s="10"/>
      <c r="H1" s="11"/>
      <c r="I1" s="11"/>
      <c r="J1" s="11"/>
      <c r="K1" s="11"/>
      <c r="L1" s="11"/>
      <c r="M1" s="11"/>
      <c r="N1" s="11"/>
      <c r="P1" s="121" t="s">
        <v>30</v>
      </c>
      <c r="Q1" s="12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1"/>
      <c r="Q2" s="121"/>
    </row>
    <row r="4" spans="1:17" s="12" customFormat="1" ht="18" customHeight="1" thickBot="1" x14ac:dyDescent="0.25">
      <c r="A4" s="122" t="s">
        <v>31</v>
      </c>
      <c r="B4" s="122"/>
      <c r="C4" s="122"/>
      <c r="D4" s="122"/>
      <c r="E4" s="122"/>
      <c r="F4" s="122"/>
      <c r="G4" s="123" t="str">
        <f>NotaPedido!D3</f>
        <v>40 - Ministerio de Salud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7" s="12" customFormat="1" ht="18" customHeight="1" thickBot="1" x14ac:dyDescent="0.25">
      <c r="A5" s="124" t="s">
        <v>54</v>
      </c>
      <c r="B5" s="125"/>
      <c r="C5" s="125"/>
      <c r="D5" s="125"/>
      <c r="E5" s="125"/>
      <c r="F5" s="126"/>
      <c r="G5" s="123" t="str">
        <f>NotaPedido!D4</f>
        <v>23 - Hospital Interzonal San Juan Bautista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7" s="12" customFormat="1" ht="18" customHeight="1" thickBot="1" x14ac:dyDescent="0.25">
      <c r="A6" s="124" t="s">
        <v>32</v>
      </c>
      <c r="B6" s="125"/>
      <c r="C6" s="125"/>
      <c r="D6" s="125"/>
      <c r="E6" s="125"/>
      <c r="F6" s="126"/>
      <c r="G6" s="123" t="str">
        <f>NotaPedido!D5</f>
        <v>168 - Direccion Asistencial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7" s="12" customFormat="1" ht="18" customHeight="1" thickBot="1" x14ac:dyDescent="0.25">
      <c r="A7" s="124" t="s">
        <v>55</v>
      </c>
      <c r="B7" s="125"/>
      <c r="C7" s="125"/>
      <c r="D7" s="125"/>
      <c r="E7" s="125"/>
      <c r="F7" s="126"/>
      <c r="G7" s="123" t="str">
        <f>NotaPedido!D6</f>
        <v>Servicio de Farmacia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7" ht="18" customHeight="1" thickBot="1" x14ac:dyDescent="0.25">
      <c r="A8" s="127" t="s">
        <v>33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28" t="s">
        <v>34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"/>
      <c r="P9" s="1"/>
      <c r="Q9" s="13"/>
    </row>
    <row r="10" spans="1:17" ht="54.75" customHeight="1" x14ac:dyDescent="0.2">
      <c r="A10" s="12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011 - 2022,  afectando la erogación resultante a los créditos presupuestarios aprobados a favor de esta Unidad Ejecutora, conforme al siguiente detalle: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0" t="s">
        <v>35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spans="1:17" ht="15.75" customHeight="1" x14ac:dyDescent="0.2">
      <c r="A13" s="131" t="s">
        <v>36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2" t="s">
        <v>37</v>
      </c>
      <c r="P13" s="132"/>
      <c r="Q13" s="133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32"/>
      <c r="P14" s="132"/>
      <c r="Q14" s="133"/>
    </row>
    <row r="15" spans="1:17" ht="17.25" customHeight="1" x14ac:dyDescent="0.2">
      <c r="A15" s="71">
        <v>33</v>
      </c>
      <c r="B15" s="72"/>
      <c r="C15" s="72"/>
      <c r="D15" s="72">
        <v>2</v>
      </c>
      <c r="E15" s="72"/>
      <c r="F15" s="72">
        <v>4901</v>
      </c>
      <c r="G15" s="72">
        <v>3</v>
      </c>
      <c r="H15" s="73" t="s">
        <v>62</v>
      </c>
      <c r="I15" s="74">
        <v>2</v>
      </c>
      <c r="J15" s="74">
        <v>9</v>
      </c>
      <c r="K15" s="74">
        <v>5</v>
      </c>
      <c r="L15" s="72"/>
      <c r="M15" s="75">
        <v>1</v>
      </c>
      <c r="N15" s="73" t="s">
        <v>63</v>
      </c>
      <c r="O15" s="134" t="s">
        <v>64</v>
      </c>
      <c r="P15" s="134"/>
      <c r="Q15" s="23">
        <v>1427610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9"/>
      <c r="I16" s="25"/>
      <c r="J16" s="25"/>
      <c r="K16" s="25"/>
      <c r="L16" s="25"/>
      <c r="M16" s="26"/>
      <c r="N16" s="70"/>
      <c r="O16" s="135"/>
      <c r="P16" s="135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9"/>
      <c r="I17" s="25"/>
      <c r="J17" s="25"/>
      <c r="K17" s="25"/>
      <c r="L17" s="25"/>
      <c r="M17" s="26"/>
      <c r="N17" s="70"/>
      <c r="O17" s="135"/>
      <c r="P17" s="135"/>
      <c r="Q17" s="28"/>
      <c r="S17" s="76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9"/>
      <c r="I18" s="25"/>
      <c r="J18" s="25"/>
      <c r="K18" s="25"/>
      <c r="L18" s="25"/>
      <c r="M18" s="26"/>
      <c r="N18" s="70"/>
      <c r="O18" s="136"/>
      <c r="P18" s="137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7"/>
      <c r="P19" s="137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37"/>
      <c r="P20" s="137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43"/>
      <c r="P21" s="143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44"/>
      <c r="P22" s="144"/>
      <c r="Q22" s="37"/>
    </row>
    <row r="23" spans="1:19" ht="20.25" customHeight="1" x14ac:dyDescent="0.2">
      <c r="A23" s="145" t="s">
        <v>95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38">
        <f>SUM(Q15:Q22)</f>
        <v>1427610</v>
      </c>
    </row>
    <row r="24" spans="1:19" ht="18" customHeight="1" thickBot="1" x14ac:dyDescent="0.25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</row>
    <row r="25" spans="1:19" ht="17.25" customHeight="1" thickBot="1" x14ac:dyDescent="0.25">
      <c r="A25" s="138" t="s">
        <v>52</v>
      </c>
      <c r="B25" s="139"/>
      <c r="C25" s="139"/>
      <c r="D25" s="139"/>
      <c r="E25" s="139"/>
      <c r="F25" s="140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  <row r="26" spans="1:19" ht="18" customHeight="1" thickBot="1" x14ac:dyDescent="0.25">
      <c r="A26" s="142" t="str">
        <f>"Para la "&amp; NotaPedido!D8 &amp;" para ser destinados al " &amp; NotaPedido!D6 &amp;"  del HISJB del Ministerio de Salud."</f>
        <v>Para la Adquisición de Descartables Comunes  para ser destinados al Servicio de Farmacia  del HISJB del Ministerio de Salud.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</row>
    <row r="27" spans="1:19" ht="15" customHeight="1" x14ac:dyDescent="0.2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2022-01-12T11:28:01Z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