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19"/>
  <workbookPr defaultThemeVersion="124226"/>
  <xr:revisionPtr revIDLastSave="0" documentId="11_62D5769AA5CA2C26C9E9E050C005D67C7E9B912F" xr6:coauthVersionLast="48" xr6:coauthVersionMax="48" xr10:uidLastSave="{00000000-0000-0000-0000-000000000000}"/>
  <bookViews>
    <workbookView xWindow="-120" yWindow="-120" windowWidth="20640" windowHeight="1116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1" l="1"/>
  <c r="I15" i="1"/>
  <c r="I10" i="1" l="1"/>
  <c r="I29" i="1" l="1"/>
  <c r="I30" i="1"/>
  <c r="I31" i="1"/>
  <c r="I26" i="1"/>
  <c r="I22" i="1"/>
  <c r="I14" i="1"/>
  <c r="I25" i="1"/>
  <c r="I19" i="1"/>
  <c r="I27" i="1"/>
  <c r="I13" i="1"/>
  <c r="I24" i="1"/>
  <c r="I28" i="1"/>
  <c r="I23" i="1"/>
  <c r="I21" i="1"/>
  <c r="I20" i="1"/>
  <c r="I18" i="1"/>
  <c r="I17" i="1"/>
  <c r="I16" i="1"/>
  <c r="I11" i="1"/>
  <c r="I32" i="1" l="1"/>
  <c r="I13" i="2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<sst xmlns="http://schemas.openxmlformats.org/spreadsheetml/2006/main" count="205" uniqueCount="137">
  <si>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</si>
  <si>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</si>
  <si>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</si>
  <si>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</si>
  <si>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</si>
  <si>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</si>
  <si>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</si>
  <si>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</si>
  <si>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</si>
  <si>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</si>
  <si>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</si>
  <si>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</si>
  <si>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</si>
  <si>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</si>
  <si>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</si>
  <si>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</si>
  <si>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2.1.1-542.236</t>
  </si>
  <si>
    <t>ALIMENTOS</t>
  </si>
  <si>
    <t>2.1.1</t>
  </si>
  <si>
    <t>QUESOS; TIPO: CREMOSO, PRESENTACION: AL PESO, ELEM. TRANSPORTE: SIN, MATERIAL ELEM. TRANSPORTE: SIN, MATERIAL ENVASE: SIN, CERTIFICADO FORESTAL (GFS): SIN, LIBRE DE GLUTEN: A DEFINIR</t>
  </si>
  <si>
    <t>KILOGRAMOS</t>
  </si>
  <si>
    <t>2.1.1-541.176</t>
  </si>
  <si>
    <t>CARNES; TIPO: VACUNA, CORTE: CUARTO TRASERO</t>
  </si>
  <si>
    <t>2.1.1-541.7</t>
  </si>
  <si>
    <t>CARNES; ESPECIE: VACUNA, CORTE: PICADA ESPECIAL, TIPO: VACUNA</t>
  </si>
  <si>
    <t>2.1.1-621.13</t>
  </si>
  <si>
    <t>AVES; ESPECIE: POLLO, PRESENTACION: CAJON X 8 UN, EVISCERADO: SIN VALOR, TIPO: POLLO</t>
  </si>
  <si>
    <t>UNIDAD</t>
  </si>
  <si>
    <t>2.1.1-590.26</t>
  </si>
  <si>
    <t>PESCADOS Y FRUTOS CONGELADOS; TIPO: FILET DE MERLUZA, ENVASE: BANDEJA, PRESENTACION: ENVASE X 10 Kg, ELEM. TRANSPORTE: PALLET RETORNABLE, MATERIAL ELEM. TRANSPORTE: MADERA</t>
  </si>
  <si>
    <t>2.1.1-456.22</t>
  </si>
  <si>
    <t>YOGHURT; CAPACIDAD: 1 L, SABOR: FRUTILLA, TIPO: ENTERO, ENVASE: SACHET, AGREGADO: SIN VALOR, CONSISTENCIA: BEBIBLE, PRESENTACION: SACHET X 1 L</t>
  </si>
  <si>
    <t>2.1.1-6546.112</t>
  </si>
  <si>
    <t>VERDURAS Y HORTALIZAS; ESTADO: NATURAL, PESO: 25 Kg, VARIEDAD: PAPA NEGRA, PRESENTACION: BOLSA</t>
  </si>
  <si>
    <t>2.1.1-6546.236</t>
  </si>
  <si>
    <t>VERDURAS Y HORTALIZAS; VARIEDAD: CEBOLLA, ESTADO: NATURAL, PRESENTACION: BOLSA, PESO: 20 Kg</t>
  </si>
  <si>
    <t>2.1.1-6546.167</t>
  </si>
  <si>
    <t>VERDURAS Y HORTALIZAS; VARIEDAD: ZANAHORIA, PRESENTACION: BOLSA, ESTADO: NATURAL, PESO: 20 Kg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</si>
  <si>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</si>
  <si>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</si>
  <si>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2.1.1-6546.95</t>
  </si>
  <si>
    <t>VERDURAS Y HORTALIZAS; VARIEDAD: MORRON VERDE, ESTADO: NATURAL, PRESENTACION: GRANEL, PESO: SIN VALOR</t>
  </si>
  <si>
    <t>2.1.1-6546.162</t>
  </si>
  <si>
    <t>VERDURAS Y HORTALIZAS; VARIEDAD: ZAPALLO CRIOLLO, ESTADO: NATURAL, PRESENTACION: UNIDAD, PESO: SIN VALOR</t>
  </si>
  <si>
    <t>2.1.1-6546.151</t>
  </si>
  <si>
    <t>VERDURAS Y HORTALIZAS; VARIEDAD: ZAPALLITO REDONDO, ESTADO: NATURAL, PRESENTACION: CAJON, PESO: SIN VALOR</t>
  </si>
  <si>
    <t>2.1.1-6546.153</t>
  </si>
  <si>
    <t>VERDURAS Y HORTALIZAS; VARIEDAD: AJO, ESTADO: NATURAL, PRESENTACION: RISTRA, PESO: SIN VALOR</t>
  </si>
  <si>
    <t>2.1.1-6546.47</t>
  </si>
  <si>
    <t>VERDURAS Y HORTALIZAS; VARIEDAD: CEBOLLA DE VERDEO, ESTADO: NATURAL, PRESENTACION: GRANEL, PESO: SIN VALOR</t>
  </si>
  <si>
    <t>2.1.1-6546.132</t>
  </si>
  <si>
    <t>VERDURAS Y HORTALIZAS; VARIEDAD: PEREJIL, ESTADO: NATURAL, PRESENTACION: GRANEL, PESO: SIN VALOR</t>
  </si>
  <si>
    <t>2.1.1-6546.34</t>
  </si>
  <si>
    <t>VERDURAS Y HORTALIZAS; VARIEDAD: ACELGA, ESTADO: EN HOJA, PRESENTACION: ATADO, PESO: SIN VALOR</t>
  </si>
  <si>
    <t>2.1.1-483.37</t>
  </si>
  <si>
    <t>HUEVO DE GALLINA; TAMAÑO: GRANDE, COLOR: COLOR, PRESENTACION: 30 UN</t>
  </si>
  <si>
    <t>MAPLE</t>
  </si>
  <si>
    <t>2.1.1-6539.170</t>
  </si>
  <si>
    <t>FRUTAS; VARIEDAD: MANZANA RED DELICIOSA, ESTADO: NATURAL, PRESENTACION: ENVASE X 15 Kg, ELEM. TRANSPORTE: CAJON, MATERIAL ELEM. TRANSPORTE: CARTON</t>
  </si>
  <si>
    <t>2.1.1-6539.30</t>
  </si>
  <si>
    <t>FRUTAS; VARIEDAD: BANANA, PRESENTACION: CAJON, ESTADO: NATURAL, PESO: SIN VALOR</t>
  </si>
  <si>
    <t>2.1.1-6539.157</t>
  </si>
  <si>
    <t>FRUTAS; VARIEDAD: PERA, ESTADO: NATURAL, PRESENTACION: ENVASE X 20 Kg</t>
  </si>
  <si>
    <t>2.1.1-6539.8</t>
  </si>
  <si>
    <t>FRUTAS; VARIEDAD: NARANJA ESPECIAL, ESTADO: NATURAL, PRESENTACION: CAJON, PESO: SIN VALOR</t>
  </si>
  <si>
    <t>Especificidades:</t>
  </si>
  <si>
    <t>ITEM 01:                    LIBRE DE GLUTEN</t>
  </si>
  <si>
    <t>ITEM 04:                    PESO:    CAJON DE 20KG APROX.- EVISCERADO</t>
  </si>
  <si>
    <t>ITEM 11:                    PRESENTACION EN CAJON DE 10 KG. APROX.</t>
  </si>
  <si>
    <t xml:space="preserve">ITEM 12:                    PESO:   POR UNIDAD  DE  KG. 10 KG. APROX. </t>
  </si>
  <si>
    <t>ITEM 13:                    PESO:   CAJÓN DE 15 KG. APROX.</t>
  </si>
  <si>
    <t>ITEM 14:                    RISTRA DE 50 BULBOS APROX. PESO: 1,5 KG APROXIMADAMENTE</t>
  </si>
  <si>
    <t>ITEM 15:                    ATADITOS DE 200 GR. APROX.</t>
  </si>
  <si>
    <t>ITEM 16:                    ATADITOS DE 200 GR. APROX.</t>
  </si>
  <si>
    <t>ITEM 17:                    ATADITOS DE 200 GR. APROX.</t>
  </si>
  <si>
    <t>ITEM 18:                    PRESENTACION: MAPLE</t>
  </si>
  <si>
    <t>ITEM 19:                    PRESENTACION: CAJON</t>
  </si>
  <si>
    <t>ITEM 20:                    PESO:  20 KG Aprox.</t>
  </si>
  <si>
    <t>ITEM 22:                    PESO:  20 KG Aprox.</t>
  </si>
  <si>
    <t>Para los oferentes que coticen carnes, frutas y verduras deberán presentar: CERTIFICADO DE HABILITACIÓN DEL LOCAL, DESINFECCIÓN DEL MISMO emitido por el Dpto. de Bromatología y CARNET SANITARIO del personal, en copia debidamente certificada por autoridad de Aplicación o Escribano Publico. Para los  ITEMS: 02 Y 03 se  deberá constar con la rotulación del frigorífico de origen.</t>
  </si>
  <si>
    <r>
      <t xml:space="preserve">Para los distintos tipos de </t>
    </r>
    <r>
      <rPr>
        <b/>
        <u/>
        <sz val="10"/>
        <rFont val="Century Gothic"/>
        <family val="2"/>
      </rPr>
      <t>Carnes:</t>
    </r>
    <r>
      <rPr>
        <sz val="10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</si>
  <si>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</si>
  <si>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2 (Dos) dias hábiles de la firma del instrumento contractual. 2° Solic.de Provisión: Aprox.  a los 30 días de la firma del instrumento contractual; y la 3° Solic.de Provisión: Aprox. a los 30 días de emitida la anterior.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</si>
  <si>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>Calidad Minima esperada</t>
  </si>
  <si>
    <t xml:space="preserve">No sera necesario la presentacion de  muestras.- </t>
  </si>
  <si>
    <t xml:space="preserve">Condición de Calidad:
CARNES
• La carne no deberá presentar ninguna modificación esencial en sus características principales y presenta color, olor y consistencia característicos.
• La carne fresca que ingrese al establecimiento debe mantenerse a una temperatura no mayor de 5º C.
• Las carnes estarán limpias, exentas de piel y vísceras.
• La carne tiene que ser de color rojo brillante, de color oscuro no se aceptará ya que se deterioran más rápido.
AVES
• La temperatura de la carne de pollo en el momento de la recepción deberá estar entre -2º C y 2ºC para las aves enfriadas y no deberá ser mayor de -15º C para las aves congeladas. Sus caracteres organolépticos (color, olor, aspecto y consistencia), deben ser característicos.
• El envase del POLLO trozado deberá ofrecer garantías de seguridad en su cierre y cada unidad de venta será identificada adecuadamente.
• Todos los productos encuadrados en esta clasificación deben ajustarse a la definición y requisitos, de rotulado y embalaje, establecidos en los artículos 256 y 257 – Capítulo VI (“alimentos carnes y afines”) del CODIGO ALIMENTARIO ARGENTINO (C.A.A).
FRUTAS Y VERDURAS
• Las frutas y verduras que ingresen al establecimiento deben ser de 1ra calidad, frescas, limpias, enteras, en especial la papa debe venir sin exceso de tierra lo más limpia posible y conservando sus caracteres organolépticos característicos.
• Uniformidad: tamaño, forma, color y madurez característicos.
• No debe tener ningún tipo de contaminación física, química o biológica.
• Sanas, se excluyen en todos los casos los productos afectados por podredumbre o por alteraciones, que le hagan impropio para el consumo.
• Exentas de olor y/o sabor extraño.
• La lechuga y cualquier otra hortaliza de hojas debe estar verde, compacta, fresca (sin indicios de marchitez), limpia y sin tejido oxidado ni hojas dañadas por insectos u otros daños.
QUESOS, YOGURT Y HUEVOS
• El queso fresco y el yogurt deben conservarse durante el transporte hasta la recepción a una temperatura no mayor de 5º C.
• En el caso de los huevos deben conservarse a una temperatura no mayor de 6º C, la cascara debe estar integra, firme y limpia.
• Se controlará el origen del producto alimenticio (ROTULADO), la presencia de la numeración correspondiente, RNE (Registro Nacional del Establecimiento), RNPA (Registro Nacional del Producto Alimenticio) y numero de SENASA (para productos derivados de origen animal).
La fecha de elaboración y vencimiento, teniendo en cuenta que el lapso de aptitud sea lo suficientemente amplio.
</t>
  </si>
  <si>
    <t>DE CORRESPONDER PRESENTAR LA SIGUIENTE DOCUMENTACION:
• Registro de habilitación bromatológica del establecimiento.
• Habilitación bromatológica del vehículo que transporta los alimentos. Debe venir en vehículo refrigerado aprobado por Senasa. El proveedor debe presentar la documentación del vehículo habilitada.
• Certificado de desinfección.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</si>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</sst>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_ [$$-2C0A]\ * #,##0.00_ ;_ [$$-2C0A]\ * \-#,##0.00_ ;_ [$$-2C0A]\ * &quot;-&quot;??_ ;_ @_ "/>
    <numFmt numFmtId="172" formatCode="&quot;$&quot;\ #,##0.00"/>
  </numFmts>
  <fonts count="27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8"/>
      <name val="Arial"/>
      <family val="2"/>
    </font>
    <font>
      <sz val="11"/>
      <color rgb="FF333333"/>
      <name val="Arial"/>
      <family val="2"/>
    </font>
    <font>
      <sz val="10"/>
      <color rgb="FFFF0000"/>
      <name val="Century Gothic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7" fontId="4" fillId="0" borderId="0" applyBorder="0" applyProtection="0"/>
    <xf numFmtId="0" fontId="1" fillId="0" borderId="1" applyProtection="0"/>
    <xf numFmtId="166" fontId="2" fillId="0" borderId="0" applyBorder="0" applyProtection="0"/>
    <xf numFmtId="0" fontId="3" fillId="2" borderId="0" applyBorder="0" applyProtection="0"/>
    <xf numFmtId="0" fontId="4" fillId="0" borderId="0"/>
  </cellStyleXfs>
  <cellXfs count="161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2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70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8" fontId="5" fillId="3" borderId="33" xfId="3" applyNumberFormat="1" applyFont="1" applyFill="1" applyBorder="1" applyAlignment="1" applyProtection="1">
      <alignment horizontal="center" vertical="center"/>
    </xf>
    <xf numFmtId="168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1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1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168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2" fillId="0" borderId="55" xfId="0" applyFont="1" applyBorder="1" applyAlignment="1">
      <alignment wrapText="1"/>
    </xf>
    <xf numFmtId="0" fontId="24" fillId="6" borderId="56" xfId="0" applyFont="1" applyFill="1" applyBorder="1" applyAlignment="1">
      <alignment vertical="center" wrapText="1"/>
    </xf>
    <xf numFmtId="0" fontId="24" fillId="3" borderId="54" xfId="0" applyFont="1" applyFill="1" applyBorder="1" applyAlignment="1">
      <alignment vertical="center" wrapText="1"/>
    </xf>
    <xf numFmtId="49" fontId="5" fillId="0" borderId="54" xfId="0" applyNumberFormat="1" applyFont="1" applyBorder="1" applyAlignment="1">
      <alignment vertical="center"/>
    </xf>
    <xf numFmtId="0" fontId="8" fillId="3" borderId="54" xfId="0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wrapText="1"/>
    </xf>
    <xf numFmtId="164" fontId="21" fillId="0" borderId="54" xfId="1" applyNumberFormat="1" applyFont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top" wrapText="1"/>
    </xf>
    <xf numFmtId="165" fontId="5" fillId="3" borderId="0" xfId="0" applyNumberFormat="1" applyFont="1" applyFill="1"/>
    <xf numFmtId="0" fontId="25" fillId="3" borderId="0" xfId="0" applyFont="1" applyFill="1"/>
    <xf numFmtId="0" fontId="22" fillId="3" borderId="42" xfId="0" applyFont="1" applyFill="1" applyBorder="1" applyAlignment="1">
      <alignment wrapText="1"/>
    </xf>
    <xf numFmtId="0" fontId="26" fillId="0" borderId="42" xfId="0" applyFont="1" applyBorder="1" applyAlignment="1">
      <alignment wrapText="1"/>
    </xf>
    <xf numFmtId="0" fontId="5" fillId="0" borderId="42" xfId="0" applyFont="1" applyBorder="1" applyAlignment="1">
      <alignment horizontal="center" vertical="center" wrapText="1"/>
    </xf>
    <xf numFmtId="164" fontId="5" fillId="0" borderId="42" xfId="1" applyNumberFormat="1" applyFont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/>
    </xf>
    <xf numFmtId="0" fontId="9" fillId="5" borderId="5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19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5" fillId="5" borderId="2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12" fillId="3" borderId="38" xfId="0" applyFont="1" applyFill="1" applyBorder="1" applyAlignment="1">
      <alignment horizontal="left" vertical="center" wrapText="1" indent="1"/>
    </xf>
    <xf numFmtId="169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indent="1"/>
    </xf>
    <xf numFmtId="0" fontId="10" fillId="3" borderId="11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8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4"/>
  <sheetViews>
    <sheetView tabSelected="1" zoomScale="70" zoomScaleNormal="70" workbookViewId="0">
      <selection activeCell="E21" sqref="E21"/>
    </sheetView>
  </sheetViews>
  <sheetFormatPr defaultColWidth="11" defaultRowHeight="13.5"/>
  <cols>
    <col min="1" max="1" width="4.5703125" style="1" customWidth="1"/>
    <col min="2" max="2" width="17.140625" style="1" customWidth="1"/>
    <col min="3" max="3" width="25.85546875" style="1" customWidth="1"/>
    <col min="4" max="4" width="8.42578125" style="1" customWidth="1"/>
    <col min="5" max="5" width="133.7109375" style="1" bestFit="1" customWidth="1"/>
    <col min="6" max="6" width="15.140625" style="1" customWidth="1"/>
    <col min="7" max="7" width="15.7109375" style="1" customWidth="1"/>
    <col min="8" max="8" width="13.85546875" style="1" customWidth="1"/>
    <col min="9" max="9" width="18.5703125" style="1" customWidth="1"/>
    <col min="10" max="10" width="11" style="1"/>
    <col min="11" max="11" width="12" style="1" bestFit="1" customWidth="1"/>
    <col min="12" max="16384" width="11" style="1"/>
  </cols>
  <sheetData>
    <row r="2" spans="1:10" ht="28.5">
      <c r="B2" s="97" t="s">
        <v>0</v>
      </c>
      <c r="C2" s="97"/>
      <c r="D2" s="97"/>
      <c r="E2" s="97"/>
      <c r="F2" s="97"/>
      <c r="G2" s="97"/>
      <c r="H2" s="97"/>
    </row>
    <row r="4" spans="1:10" ht="18" customHeight="1">
      <c r="A4" s="96" t="s">
        <v>1</v>
      </c>
      <c r="B4" s="96"/>
      <c r="C4" s="98" t="s">
        <v>2</v>
      </c>
      <c r="D4" s="98"/>
      <c r="E4" s="98"/>
      <c r="F4" s="2"/>
      <c r="G4" s="5"/>
      <c r="H4" s="2"/>
    </row>
    <row r="5" spans="1:10" ht="18" customHeight="1">
      <c r="A5" s="96" t="s">
        <v>3</v>
      </c>
      <c r="B5" s="96"/>
      <c r="C5" s="98" t="s">
        <v>4</v>
      </c>
      <c r="D5" s="98"/>
      <c r="E5" s="98"/>
      <c r="F5" s="2"/>
      <c r="G5" s="5"/>
      <c r="H5" s="2"/>
    </row>
    <row r="6" spans="1:10" ht="16.5" customHeight="1">
      <c r="A6" s="96" t="s">
        <v>5</v>
      </c>
      <c r="B6" s="96"/>
      <c r="C6" s="6">
        <v>2022</v>
      </c>
      <c r="D6" s="7"/>
      <c r="E6" s="7"/>
      <c r="F6" s="2"/>
      <c r="G6" s="5"/>
      <c r="H6" s="2"/>
    </row>
    <row r="7" spans="1:10" ht="16.5" customHeight="1">
      <c r="A7" s="96" t="s">
        <v>6</v>
      </c>
      <c r="B7" s="96"/>
      <c r="C7" s="6">
        <v>2</v>
      </c>
      <c r="D7" s="7"/>
      <c r="E7" s="7"/>
      <c r="F7" s="2"/>
      <c r="G7" s="5"/>
      <c r="H7" s="2"/>
    </row>
    <row r="8" spans="1:10" ht="14.25" thickBot="1">
      <c r="B8" s="2"/>
      <c r="C8" s="5"/>
      <c r="D8" s="2"/>
      <c r="E8" s="2"/>
      <c r="F8" s="2"/>
      <c r="G8" s="5"/>
      <c r="H8" s="2"/>
    </row>
    <row r="9" spans="1:10" ht="39" thickBot="1">
      <c r="A9" s="74" t="s">
        <v>7</v>
      </c>
      <c r="B9" s="60" t="s">
        <v>8</v>
      </c>
      <c r="C9" s="73" t="s">
        <v>9</v>
      </c>
      <c r="D9" s="72" t="s">
        <v>10</v>
      </c>
      <c r="E9" s="72" t="s">
        <v>11</v>
      </c>
      <c r="F9" s="72" t="s">
        <v>12</v>
      </c>
      <c r="G9" s="72" t="s">
        <v>13</v>
      </c>
      <c r="H9" s="72" t="s">
        <v>14</v>
      </c>
      <c r="I9" s="71" t="s">
        <v>15</v>
      </c>
    </row>
    <row r="10" spans="1:10" ht="30">
      <c r="A10" s="70">
        <v>1</v>
      </c>
      <c r="B10" s="69" t="s">
        <v>16</v>
      </c>
      <c r="C10" s="68" t="s">
        <v>17</v>
      </c>
      <c r="D10" s="66" t="s">
        <v>18</v>
      </c>
      <c r="E10" s="67" t="s">
        <v>19</v>
      </c>
      <c r="F10" s="66" t="s">
        <v>20</v>
      </c>
      <c r="G10" s="65">
        <v>130</v>
      </c>
      <c r="H10" s="64">
        <v>950</v>
      </c>
      <c r="I10" s="63">
        <f t="shared" ref="I10:I31" si="0">(G10*H10)</f>
        <v>123500</v>
      </c>
    </row>
    <row r="11" spans="1:10" ht="15">
      <c r="A11" s="70">
        <v>2</v>
      </c>
      <c r="B11" s="69" t="s">
        <v>21</v>
      </c>
      <c r="C11" s="68" t="s">
        <v>17</v>
      </c>
      <c r="D11" s="66" t="s">
        <v>18</v>
      </c>
      <c r="E11" s="67" t="s">
        <v>22</v>
      </c>
      <c r="F11" s="66" t="s">
        <v>20</v>
      </c>
      <c r="G11" s="65">
        <v>2700</v>
      </c>
      <c r="H11" s="64">
        <v>1490</v>
      </c>
      <c r="I11" s="63">
        <f t="shared" si="0"/>
        <v>4023000</v>
      </c>
    </row>
    <row r="12" spans="1:10" ht="15">
      <c r="A12" s="70">
        <v>3</v>
      </c>
      <c r="B12" s="69" t="s">
        <v>23</v>
      </c>
      <c r="C12" s="68" t="s">
        <v>17</v>
      </c>
      <c r="D12" s="66" t="s">
        <v>18</v>
      </c>
      <c r="E12" s="67" t="s">
        <v>24</v>
      </c>
      <c r="F12" s="66" t="s">
        <v>20</v>
      </c>
      <c r="G12" s="65">
        <v>1850</v>
      </c>
      <c r="H12" s="64">
        <v>1200</v>
      </c>
      <c r="I12" s="63">
        <f>(G12*H12)</f>
        <v>2220000</v>
      </c>
    </row>
    <row r="13" spans="1:10" ht="28.5" customHeight="1">
      <c r="A13" s="70">
        <v>4</v>
      </c>
      <c r="B13" s="69" t="s">
        <v>25</v>
      </c>
      <c r="C13" s="68" t="s">
        <v>17</v>
      </c>
      <c r="D13" s="66" t="s">
        <v>18</v>
      </c>
      <c r="E13" s="75" t="s">
        <v>26</v>
      </c>
      <c r="F13" s="66" t="s">
        <v>27</v>
      </c>
      <c r="G13" s="65">
        <v>450</v>
      </c>
      <c r="H13" s="64">
        <v>6900</v>
      </c>
      <c r="I13" s="63">
        <f>(G13*H13)</f>
        <v>3105000</v>
      </c>
    </row>
    <row r="14" spans="1:10" ht="48.75" customHeight="1">
      <c r="A14" s="70">
        <v>5</v>
      </c>
      <c r="B14" s="69" t="s">
        <v>28</v>
      </c>
      <c r="C14" s="68" t="s">
        <v>17</v>
      </c>
      <c r="D14" s="66" t="s">
        <v>18</v>
      </c>
      <c r="E14" s="76" t="s">
        <v>29</v>
      </c>
      <c r="F14" s="66" t="s">
        <v>27</v>
      </c>
      <c r="G14" s="65">
        <v>220</v>
      </c>
      <c r="H14" s="64">
        <v>12000</v>
      </c>
      <c r="I14" s="63">
        <f>(G14*H14)</f>
        <v>2640000</v>
      </c>
    </row>
    <row r="15" spans="1:10" ht="36.75" customHeight="1">
      <c r="A15" s="70">
        <v>6</v>
      </c>
      <c r="B15" s="69" t="s">
        <v>30</v>
      </c>
      <c r="C15" s="68" t="s">
        <v>17</v>
      </c>
      <c r="D15" s="66" t="s">
        <v>18</v>
      </c>
      <c r="E15" s="77" t="s">
        <v>31</v>
      </c>
      <c r="F15" s="82" t="s">
        <v>27</v>
      </c>
      <c r="G15" s="65">
        <v>1900</v>
      </c>
      <c r="H15" s="64">
        <v>200</v>
      </c>
      <c r="I15" s="63">
        <f>(G15*H15)</f>
        <v>380000</v>
      </c>
    </row>
    <row r="16" spans="1:10" ht="15">
      <c r="A16" s="70">
        <v>7</v>
      </c>
      <c r="B16" s="69" t="s">
        <v>32</v>
      </c>
      <c r="C16" s="68" t="s">
        <v>17</v>
      </c>
      <c r="D16" s="66" t="s">
        <v>18</v>
      </c>
      <c r="E16" s="85" t="s">
        <v>33</v>
      </c>
      <c r="F16" s="66" t="s">
        <v>27</v>
      </c>
      <c r="G16" s="35">
        <v>520</v>
      </c>
      <c r="H16" s="64">
        <v>1100</v>
      </c>
      <c r="I16" s="63">
        <f t="shared" si="0"/>
        <v>572000</v>
      </c>
      <c r="J16" s="84"/>
    </row>
    <row r="17" spans="1:12" ht="15">
      <c r="A17" s="70">
        <v>8</v>
      </c>
      <c r="B17" s="69" t="s">
        <v>34</v>
      </c>
      <c r="C17" s="68" t="s">
        <v>17</v>
      </c>
      <c r="D17" s="66" t="s">
        <v>18</v>
      </c>
      <c r="E17" s="67" t="s">
        <v>35</v>
      </c>
      <c r="F17" s="66" t="s">
        <v>27</v>
      </c>
      <c r="G17" s="65">
        <v>280</v>
      </c>
      <c r="H17" s="64">
        <v>1300</v>
      </c>
      <c r="I17" s="63">
        <f t="shared" si="0"/>
        <v>364000</v>
      </c>
      <c r="J17" s="84"/>
    </row>
    <row r="18" spans="1:12" ht="15">
      <c r="A18" s="70">
        <v>9</v>
      </c>
      <c r="B18" s="69" t="s">
        <v>36</v>
      </c>
      <c r="C18" s="68" t="s">
        <v>17</v>
      </c>
      <c r="D18" s="66" t="s">
        <v>18</v>
      </c>
      <c r="E18" s="67" t="s">
        <v>37</v>
      </c>
      <c r="F18" s="66" t="s">
        <v>27</v>
      </c>
      <c r="G18" s="65">
        <v>280</v>
      </c>
      <c r="H18" s="64">
        <v>1200</v>
      </c>
      <c r="I18" s="63">
        <f t="shared" si="0"/>
        <v>336000</v>
      </c>
      <c r="J18" s="84"/>
    </row>
    <row r="19" spans="1:12" ht="44.25" customHeight="1">
      <c r="A19" s="70">
        <v>10</v>
      </c>
      <c r="B19" s="69" t="s">
        <v>38</v>
      </c>
      <c r="C19" s="68" t="s">
        <v>17</v>
      </c>
      <c r="D19" s="66" t="s">
        <v>18</v>
      </c>
      <c r="E19" s="86" t="s">
        <v>39</v>
      </c>
      <c r="F19" s="66" t="s">
        <v>27</v>
      </c>
      <c r="G19" s="65">
        <v>580</v>
      </c>
      <c r="H19" s="64">
        <v>3200</v>
      </c>
      <c r="I19" s="63">
        <f>(G19*H19)</f>
        <v>1856000</v>
      </c>
      <c r="J19" s="84"/>
    </row>
    <row r="20" spans="1:12" ht="25.9" customHeight="1">
      <c r="A20" s="70">
        <v>11</v>
      </c>
      <c r="B20" s="69" t="s">
        <v>40</v>
      </c>
      <c r="C20" s="68" t="s">
        <v>17</v>
      </c>
      <c r="D20" s="66" t="s">
        <v>18</v>
      </c>
      <c r="E20" s="67" t="s">
        <v>41</v>
      </c>
      <c r="F20" s="66" t="s">
        <v>27</v>
      </c>
      <c r="G20" s="87">
        <v>400</v>
      </c>
      <c r="H20" s="88">
        <v>2400</v>
      </c>
      <c r="I20" s="63">
        <f t="shared" si="0"/>
        <v>960000</v>
      </c>
      <c r="J20" s="83"/>
      <c r="K20" s="83"/>
    </row>
    <row r="21" spans="1:12" ht="15">
      <c r="A21" s="70">
        <v>12</v>
      </c>
      <c r="B21" s="69" t="s">
        <v>42</v>
      </c>
      <c r="C21" s="68" t="s">
        <v>17</v>
      </c>
      <c r="D21" s="66" t="s">
        <v>18</v>
      </c>
      <c r="E21" s="67" t="s">
        <v>43</v>
      </c>
      <c r="F21" s="66" t="s">
        <v>20</v>
      </c>
      <c r="G21" s="65">
        <v>450</v>
      </c>
      <c r="H21" s="64">
        <v>150</v>
      </c>
      <c r="I21" s="63">
        <f t="shared" si="0"/>
        <v>67500</v>
      </c>
    </row>
    <row r="22" spans="1:12" ht="32.25" customHeight="1">
      <c r="A22" s="70">
        <v>13</v>
      </c>
      <c r="B22" s="69" t="s">
        <v>44</v>
      </c>
      <c r="C22" s="68" t="s">
        <v>17</v>
      </c>
      <c r="D22" s="66" t="s">
        <v>18</v>
      </c>
      <c r="E22" s="67" t="s">
        <v>45</v>
      </c>
      <c r="F22" s="35" t="s">
        <v>27</v>
      </c>
      <c r="G22" s="87">
        <v>200</v>
      </c>
      <c r="H22" s="88">
        <v>2400</v>
      </c>
      <c r="I22" s="63">
        <f t="shared" si="0"/>
        <v>480000</v>
      </c>
      <c r="J22" s="83"/>
      <c r="K22" s="83"/>
      <c r="L22" s="84"/>
    </row>
    <row r="23" spans="1:12" ht="28.5" customHeight="1">
      <c r="A23" s="70">
        <v>14</v>
      </c>
      <c r="B23" s="69" t="s">
        <v>46</v>
      </c>
      <c r="C23" s="68" t="s">
        <v>17</v>
      </c>
      <c r="D23" s="66" t="s">
        <v>18</v>
      </c>
      <c r="E23" s="67" t="s">
        <v>47</v>
      </c>
      <c r="F23" s="66" t="s">
        <v>27</v>
      </c>
      <c r="G23" s="65">
        <v>188</v>
      </c>
      <c r="H23" s="64">
        <v>2400</v>
      </c>
      <c r="I23" s="63">
        <f t="shared" si="0"/>
        <v>451200</v>
      </c>
      <c r="J23" s="84"/>
    </row>
    <row r="24" spans="1:12" ht="28.5" customHeight="1">
      <c r="A24" s="70">
        <v>15</v>
      </c>
      <c r="B24" s="69" t="s">
        <v>48</v>
      </c>
      <c r="C24" s="68" t="s">
        <v>17</v>
      </c>
      <c r="D24" s="66" t="s">
        <v>18</v>
      </c>
      <c r="E24" s="67" t="s">
        <v>49</v>
      </c>
      <c r="F24" s="66" t="s">
        <v>27</v>
      </c>
      <c r="G24" s="65">
        <v>200</v>
      </c>
      <c r="H24" s="64">
        <v>100</v>
      </c>
      <c r="I24" s="63">
        <f>(G24*H24)</f>
        <v>20000</v>
      </c>
    </row>
    <row r="25" spans="1:12" ht="29.25" customHeight="1">
      <c r="A25" s="70">
        <v>16</v>
      </c>
      <c r="B25" s="69" t="s">
        <v>50</v>
      </c>
      <c r="C25" s="68" t="s">
        <v>17</v>
      </c>
      <c r="D25" s="66" t="s">
        <v>18</v>
      </c>
      <c r="E25" s="67" t="s">
        <v>51</v>
      </c>
      <c r="F25" s="66" t="s">
        <v>27</v>
      </c>
      <c r="G25" s="65">
        <v>200</v>
      </c>
      <c r="H25" s="64">
        <v>100</v>
      </c>
      <c r="I25" s="63">
        <f t="shared" ref="I25:I26" si="1">+H25*G25</f>
        <v>20000</v>
      </c>
    </row>
    <row r="26" spans="1:12" ht="44.25" customHeight="1">
      <c r="A26" s="70">
        <v>17</v>
      </c>
      <c r="B26" s="69" t="s">
        <v>52</v>
      </c>
      <c r="C26" s="68" t="s">
        <v>17</v>
      </c>
      <c r="D26" s="66" t="s">
        <v>18</v>
      </c>
      <c r="E26" s="67" t="s">
        <v>53</v>
      </c>
      <c r="F26" s="79" t="s">
        <v>27</v>
      </c>
      <c r="G26" s="65">
        <v>200</v>
      </c>
      <c r="H26" s="64">
        <v>100</v>
      </c>
      <c r="I26" s="63">
        <f t="shared" si="1"/>
        <v>20000</v>
      </c>
    </row>
    <row r="27" spans="1:12" ht="28.5" customHeight="1">
      <c r="A27" s="70">
        <v>18</v>
      </c>
      <c r="B27" s="69" t="s">
        <v>54</v>
      </c>
      <c r="C27" s="68" t="s">
        <v>17</v>
      </c>
      <c r="D27" s="66" t="s">
        <v>18</v>
      </c>
      <c r="E27" s="67" t="s">
        <v>55</v>
      </c>
      <c r="F27" s="66" t="s">
        <v>56</v>
      </c>
      <c r="G27" s="65">
        <v>500</v>
      </c>
      <c r="H27" s="64">
        <v>733</v>
      </c>
      <c r="I27" s="63">
        <f t="shared" ref="I27" si="2">(G27*H27)</f>
        <v>366500</v>
      </c>
    </row>
    <row r="28" spans="1:12" ht="36" customHeight="1">
      <c r="A28" s="70">
        <v>19</v>
      </c>
      <c r="B28" s="69" t="s">
        <v>57</v>
      </c>
      <c r="C28" s="68" t="s">
        <v>17</v>
      </c>
      <c r="D28" s="66" t="s">
        <v>18</v>
      </c>
      <c r="E28" s="67" t="s">
        <v>58</v>
      </c>
      <c r="F28" s="79" t="s">
        <v>27</v>
      </c>
      <c r="G28" s="65">
        <v>400</v>
      </c>
      <c r="H28" s="64">
        <v>3800</v>
      </c>
      <c r="I28" s="63">
        <f t="shared" si="0"/>
        <v>1520000</v>
      </c>
    </row>
    <row r="29" spans="1:12" ht="36" customHeight="1">
      <c r="A29" s="70">
        <v>20</v>
      </c>
      <c r="B29" s="78" t="s">
        <v>59</v>
      </c>
      <c r="C29" s="68" t="s">
        <v>17</v>
      </c>
      <c r="D29" s="66" t="s">
        <v>18</v>
      </c>
      <c r="E29" s="80" t="s">
        <v>60</v>
      </c>
      <c r="F29" s="79" t="s">
        <v>27</v>
      </c>
      <c r="G29" s="65">
        <v>400</v>
      </c>
      <c r="H29" s="64">
        <v>3400</v>
      </c>
      <c r="I29" s="63">
        <f t="shared" si="0"/>
        <v>1360000</v>
      </c>
    </row>
    <row r="30" spans="1:12" ht="36" customHeight="1">
      <c r="A30" s="70">
        <v>21</v>
      </c>
      <c r="B30" s="78" t="s">
        <v>61</v>
      </c>
      <c r="C30" s="68" t="s">
        <v>17</v>
      </c>
      <c r="D30" s="66" t="s">
        <v>18</v>
      </c>
      <c r="E30" s="80" t="s">
        <v>62</v>
      </c>
      <c r="F30" s="79" t="s">
        <v>27</v>
      </c>
      <c r="G30" s="65">
        <v>390</v>
      </c>
      <c r="H30" s="64">
        <v>3600</v>
      </c>
      <c r="I30" s="63">
        <f t="shared" si="0"/>
        <v>1404000</v>
      </c>
    </row>
    <row r="31" spans="1:12" ht="36" customHeight="1">
      <c r="A31" s="70">
        <v>22</v>
      </c>
      <c r="B31" s="78" t="s">
        <v>63</v>
      </c>
      <c r="C31" s="68" t="s">
        <v>17</v>
      </c>
      <c r="D31" s="66" t="s">
        <v>18</v>
      </c>
      <c r="E31" s="80" t="s">
        <v>64</v>
      </c>
      <c r="F31" s="79" t="s">
        <v>27</v>
      </c>
      <c r="G31" s="65">
        <v>400</v>
      </c>
      <c r="H31" s="81">
        <v>1800</v>
      </c>
      <c r="I31" s="63">
        <f t="shared" si="0"/>
        <v>720000</v>
      </c>
    </row>
    <row r="32" spans="1:12" ht="17.25" customHeight="1" thickBot="1">
      <c r="B32" s="61"/>
      <c r="I32" s="8">
        <f>SUM(I10:I31)</f>
        <v>23008700</v>
      </c>
    </row>
    <row r="33" spans="2:5" ht="17.25" customHeight="1">
      <c r="B33" s="39" t="s">
        <v>65</v>
      </c>
      <c r="C33" s="40"/>
      <c r="D33" s="40"/>
      <c r="E33" s="41"/>
    </row>
    <row r="34" spans="2:5">
      <c r="B34" s="94"/>
      <c r="C34" s="95"/>
      <c r="D34" s="42"/>
      <c r="E34" s="43"/>
    </row>
    <row r="35" spans="2:5" ht="13.5" customHeight="1">
      <c r="B35" s="91"/>
      <c r="C35" s="92" t="s">
        <v>66</v>
      </c>
      <c r="D35" s="92"/>
      <c r="E35" s="93"/>
    </row>
    <row r="36" spans="2:5" ht="13.5" customHeight="1">
      <c r="B36" s="91"/>
      <c r="C36" s="92" t="s">
        <v>67</v>
      </c>
      <c r="D36" s="92"/>
      <c r="E36" s="93"/>
    </row>
    <row r="37" spans="2:5" ht="13.5" customHeight="1">
      <c r="B37" s="91"/>
      <c r="C37" s="92" t="s">
        <v>68</v>
      </c>
      <c r="D37" s="92"/>
      <c r="E37" s="93"/>
    </row>
    <row r="38" spans="2:5" ht="13.5" customHeight="1">
      <c r="B38" s="91"/>
      <c r="C38" s="92" t="s">
        <v>69</v>
      </c>
      <c r="D38" s="92"/>
      <c r="E38" s="93"/>
    </row>
    <row r="39" spans="2:5" ht="13.5" customHeight="1">
      <c r="B39" s="91"/>
      <c r="C39" s="92" t="s">
        <v>70</v>
      </c>
      <c r="D39" s="92"/>
      <c r="E39" s="93"/>
    </row>
    <row r="40" spans="2:5" ht="13.5" customHeight="1">
      <c r="B40" s="91"/>
      <c r="C40" s="92" t="s">
        <v>71</v>
      </c>
      <c r="D40" s="92"/>
      <c r="E40" s="93"/>
    </row>
    <row r="41" spans="2:5" ht="13.5" customHeight="1">
      <c r="B41" s="91"/>
      <c r="C41" s="92" t="s">
        <v>72</v>
      </c>
      <c r="D41" s="92"/>
      <c r="E41" s="93"/>
    </row>
    <row r="42" spans="2:5" ht="13.5" customHeight="1">
      <c r="B42" s="91"/>
      <c r="C42" s="92" t="s">
        <v>73</v>
      </c>
      <c r="D42" s="92"/>
      <c r="E42" s="93"/>
    </row>
    <row r="43" spans="2:5" ht="13.5" customHeight="1">
      <c r="B43" s="91"/>
      <c r="C43" s="92" t="s">
        <v>74</v>
      </c>
      <c r="D43" s="92"/>
      <c r="E43" s="93"/>
    </row>
    <row r="44" spans="2:5" ht="13.5" customHeight="1">
      <c r="B44" s="91"/>
      <c r="C44" s="92" t="s">
        <v>75</v>
      </c>
      <c r="D44" s="92"/>
      <c r="E44" s="93"/>
    </row>
    <row r="45" spans="2:5" ht="13.5" customHeight="1">
      <c r="B45" s="91"/>
      <c r="C45" s="92" t="s">
        <v>76</v>
      </c>
      <c r="D45" s="92"/>
      <c r="E45" s="93"/>
    </row>
    <row r="46" spans="2:5" ht="13.5" customHeight="1">
      <c r="B46" s="91"/>
      <c r="C46" s="92" t="s">
        <v>77</v>
      </c>
      <c r="D46" s="92"/>
      <c r="E46" s="93"/>
    </row>
    <row r="47" spans="2:5" ht="13.5" customHeight="1">
      <c r="B47" s="91"/>
      <c r="C47" s="92" t="s">
        <v>78</v>
      </c>
      <c r="D47" s="92"/>
      <c r="E47" s="93"/>
    </row>
    <row r="48" spans="2:5">
      <c r="B48" s="91"/>
    </row>
    <row r="49" spans="2:5" ht="59.25" customHeight="1">
      <c r="B49" s="103" t="s">
        <v>79</v>
      </c>
      <c r="C49" s="104"/>
      <c r="D49" s="104"/>
      <c r="E49" s="105"/>
    </row>
    <row r="50" spans="2:5" ht="65.25" customHeight="1" thickBot="1">
      <c r="B50" s="103" t="s">
        <v>80</v>
      </c>
      <c r="C50" s="104"/>
      <c r="D50" s="104"/>
      <c r="E50" s="105"/>
    </row>
    <row r="51" spans="2:5" ht="14.25" thickBot="1">
      <c r="B51" s="44"/>
      <c r="C51" s="89"/>
      <c r="D51" s="89"/>
      <c r="E51" s="89"/>
    </row>
    <row r="52" spans="2:5">
      <c r="B52" s="45" t="s">
        <v>81</v>
      </c>
      <c r="C52" s="46"/>
      <c r="D52" s="40"/>
      <c r="E52" s="47"/>
    </row>
    <row r="53" spans="2:5" ht="108.75" customHeight="1">
      <c r="B53" s="48"/>
      <c r="C53" s="92" t="s">
        <v>82</v>
      </c>
      <c r="D53" s="92"/>
      <c r="E53" s="93"/>
    </row>
    <row r="54" spans="2:5">
      <c r="B54" s="48"/>
      <c r="C54" s="106"/>
      <c r="D54" s="106"/>
      <c r="E54" s="106"/>
    </row>
    <row r="55" spans="2:5">
      <c r="B55" s="49" t="s">
        <v>83</v>
      </c>
      <c r="C55" s="50"/>
      <c r="D55" s="42"/>
      <c r="E55" s="90"/>
    </row>
    <row r="56" spans="2:5" ht="18.75" customHeight="1">
      <c r="B56" s="48"/>
      <c r="C56" s="92" t="s">
        <v>84</v>
      </c>
      <c r="D56" s="92"/>
      <c r="E56" s="93"/>
    </row>
    <row r="57" spans="2:5" ht="372" customHeight="1">
      <c r="B57" s="48"/>
      <c r="C57" s="92" t="s">
        <v>85</v>
      </c>
      <c r="D57" s="92"/>
      <c r="E57" s="93"/>
    </row>
    <row r="58" spans="2:5" ht="69" customHeight="1" thickBot="1">
      <c r="B58" s="51"/>
      <c r="C58" s="107" t="s">
        <v>86</v>
      </c>
      <c r="D58" s="107"/>
      <c r="E58" s="108"/>
    </row>
    <row r="59" spans="2:5" ht="14.25" thickBot="1">
      <c r="B59" s="42"/>
      <c r="C59" s="42"/>
      <c r="D59" s="42"/>
      <c r="E59" s="42"/>
    </row>
    <row r="60" spans="2:5">
      <c r="B60" s="45" t="s">
        <v>87</v>
      </c>
      <c r="C60" s="54"/>
      <c r="D60" s="54"/>
      <c r="E60" s="55"/>
    </row>
    <row r="61" spans="2:5">
      <c r="B61" s="56"/>
      <c r="C61" s="99" t="s">
        <v>88</v>
      </c>
      <c r="D61" s="99"/>
      <c r="E61" s="100"/>
    </row>
    <row r="62" spans="2:5">
      <c r="B62" s="57" t="s">
        <v>89</v>
      </c>
      <c r="C62" s="42"/>
      <c r="D62" s="42"/>
      <c r="E62" s="43"/>
    </row>
    <row r="63" spans="2:5">
      <c r="B63" s="58"/>
      <c r="C63" s="101" t="s">
        <v>90</v>
      </c>
      <c r="D63" s="101"/>
      <c r="E63" s="102"/>
    </row>
    <row r="64" spans="2:5" ht="14.25" thickBot="1">
      <c r="B64" s="59"/>
      <c r="C64" s="52"/>
      <c r="D64" s="52"/>
      <c r="E64" s="53"/>
    </row>
  </sheetData>
  <mergeCells count="30">
    <mergeCell ref="C40:E40"/>
    <mergeCell ref="C41:E41"/>
    <mergeCell ref="C42:E42"/>
    <mergeCell ref="C43:E43"/>
    <mergeCell ref="C44:E44"/>
    <mergeCell ref="C61:E61"/>
    <mergeCell ref="C63:E63"/>
    <mergeCell ref="C53:E53"/>
    <mergeCell ref="B49:E49"/>
    <mergeCell ref="B50:E50"/>
    <mergeCell ref="C54:E54"/>
    <mergeCell ref="C56:E56"/>
    <mergeCell ref="C57:E57"/>
    <mergeCell ref="C58:E58"/>
    <mergeCell ref="C47:E47"/>
    <mergeCell ref="B34:C34"/>
    <mergeCell ref="A6:B6"/>
    <mergeCell ref="A7:B7"/>
    <mergeCell ref="B2:H2"/>
    <mergeCell ref="A4:B4"/>
    <mergeCell ref="C4:E4"/>
    <mergeCell ref="A5:B5"/>
    <mergeCell ref="C5:E5"/>
    <mergeCell ref="C35:E35"/>
    <mergeCell ref="C39:E39"/>
    <mergeCell ref="C36:E36"/>
    <mergeCell ref="C37:E37"/>
    <mergeCell ref="C38:E38"/>
    <mergeCell ref="C45:E45"/>
    <mergeCell ref="C46:E46"/>
  </mergeCells>
  <phoneticPr fontId="23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defaultColWidth="9.140625" defaultRowHeight="13.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>
      <c r="A1" s="124" t="s">
        <v>91</v>
      </c>
      <c r="B1" s="124"/>
      <c r="C1" s="124"/>
      <c r="D1" s="124"/>
      <c r="E1" s="124"/>
      <c r="F1" s="124"/>
      <c r="G1" s="124"/>
      <c r="H1" s="124"/>
      <c r="I1" s="124"/>
      <c r="J1" s="26" t="s">
        <v>92</v>
      </c>
      <c r="K1" s="27" t="s">
        <v>93</v>
      </c>
    </row>
    <row r="2" spans="1:1024" ht="18.75" customHeight="1" thickBot="1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>
      <c r="A3" s="125" t="s">
        <v>94</v>
      </c>
      <c r="B3" s="125"/>
      <c r="C3" s="125"/>
      <c r="D3" s="128" t="str">
        <f>'Necesidades Trimestrales'!C4</f>
        <v>90 - Ministerio de Seguridad</v>
      </c>
      <c r="E3" s="128"/>
      <c r="F3" s="128"/>
      <c r="G3" s="128"/>
      <c r="H3" s="128"/>
      <c r="I3" s="128"/>
      <c r="J3" s="128"/>
      <c r="K3" s="128"/>
    </row>
    <row r="4" spans="1:1024" ht="18.75" customHeight="1" thickBot="1">
      <c r="A4" s="127" t="s">
        <v>95</v>
      </c>
      <c r="B4" s="127"/>
      <c r="C4" s="127"/>
      <c r="D4" s="128" t="str">
        <f>'Necesidades Trimestrales'!C5</f>
        <v>7- Dirección Provincial de Administración de la Policía de la Provincia de Catamarca</v>
      </c>
      <c r="E4" s="128"/>
      <c r="F4" s="128"/>
      <c r="G4" s="128"/>
      <c r="H4" s="128"/>
      <c r="I4" s="128"/>
      <c r="J4" s="128"/>
      <c r="K4" s="128"/>
    </row>
    <row r="5" spans="1:1024" ht="18.75" customHeight="1" thickBot="1">
      <c r="A5" s="127" t="s">
        <v>96</v>
      </c>
      <c r="B5" s="127"/>
      <c r="C5" s="127"/>
      <c r="D5" s="128" t="s">
        <v>97</v>
      </c>
      <c r="E5" s="128"/>
      <c r="F5" s="128"/>
      <c r="G5" s="128"/>
      <c r="H5" s="128"/>
      <c r="I5" s="128"/>
      <c r="J5" s="128"/>
      <c r="K5" s="128"/>
    </row>
    <row r="6" spans="1:1024" ht="16.5" customHeight="1" thickBot="1">
      <c r="A6" s="125" t="s">
        <v>98</v>
      </c>
      <c r="B6" s="125"/>
      <c r="C6" s="125"/>
      <c r="D6" s="126" t="s">
        <v>99</v>
      </c>
      <c r="E6" s="112"/>
      <c r="F6" s="112"/>
      <c r="G6" s="112"/>
      <c r="H6" s="112"/>
      <c r="I6" s="112"/>
      <c r="J6" s="112"/>
      <c r="K6" s="113"/>
    </row>
    <row r="7" spans="1:1024" ht="16.5" customHeight="1" thickBot="1">
      <c r="A7" s="127" t="s">
        <v>100</v>
      </c>
      <c r="B7" s="127"/>
      <c r="C7" s="127"/>
      <c r="D7" s="128" t="s">
        <v>101</v>
      </c>
      <c r="E7" s="128"/>
      <c r="F7" s="128"/>
      <c r="G7" s="128"/>
      <c r="H7" s="128"/>
      <c r="I7" s="128"/>
      <c r="J7" s="128"/>
      <c r="K7" s="128"/>
    </row>
    <row r="8" spans="1:1024" ht="16.5" customHeight="1" thickBot="1">
      <c r="A8" s="120" t="s">
        <v>102</v>
      </c>
      <c r="B8" s="120"/>
      <c r="C8" s="120"/>
      <c r="D8" s="111" t="s">
        <v>103</v>
      </c>
      <c r="E8" s="112"/>
      <c r="F8" s="112"/>
      <c r="G8" s="112"/>
      <c r="H8" s="112"/>
      <c r="I8" s="112"/>
      <c r="J8" s="112"/>
      <c r="K8" s="113"/>
    </row>
    <row r="9" spans="1:1024" ht="18" thickBot="1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>
      <c r="A10" s="114" t="s">
        <v>104</v>
      </c>
      <c r="B10" s="115" t="s">
        <v>105</v>
      </c>
      <c r="C10" s="116" t="s">
        <v>106</v>
      </c>
      <c r="D10" s="117"/>
      <c r="E10" s="117"/>
      <c r="F10" s="117"/>
      <c r="G10" s="118"/>
      <c r="H10" s="119" t="s">
        <v>107</v>
      </c>
      <c r="I10" s="117" t="s">
        <v>108</v>
      </c>
      <c r="J10" s="117" t="s">
        <v>109</v>
      </c>
      <c r="K10" s="118" t="s">
        <v>110</v>
      </c>
    </row>
    <row r="11" spans="1:1024" ht="14.25" customHeight="1" thickBot="1">
      <c r="A11" s="114"/>
      <c r="B11" s="115"/>
      <c r="C11" s="116"/>
      <c r="D11" s="117"/>
      <c r="E11" s="117"/>
      <c r="F11" s="117"/>
      <c r="G11" s="118"/>
      <c r="H11" s="119"/>
      <c r="I11" s="117"/>
      <c r="J11" s="117"/>
      <c r="K11" s="118"/>
    </row>
    <row r="12" spans="1:1024" ht="22.5" customHeight="1" thickBot="1">
      <c r="A12" s="33">
        <v>1</v>
      </c>
      <c r="B12" s="62" t="e">
        <f>'Necesidades Trimestrales'!#REF!</f>
        <v>#REF!</v>
      </c>
      <c r="C12" s="121" t="e">
        <f>'Necesidades Trimestrales'!#REF!</f>
        <v>#REF!</v>
      </c>
      <c r="D12" s="122"/>
      <c r="E12" s="122"/>
      <c r="F12" s="122"/>
      <c r="G12" s="123"/>
      <c r="H12" s="34" t="s">
        <v>111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>
      <c r="A13" s="33"/>
      <c r="B13" s="62" t="e">
        <f>'Necesidades Trimestrales'!#REF!</f>
        <v>#REF!</v>
      </c>
      <c r="C13" s="121" t="e">
        <f>'Necesidades Trimestrales'!#REF!</f>
        <v>#REF!</v>
      </c>
      <c r="D13" s="122"/>
      <c r="E13" s="122"/>
      <c r="F13" s="122"/>
      <c r="G13" s="123"/>
      <c r="H13" s="34" t="s">
        <v>111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>
      <c r="A14" s="33">
        <v>3</v>
      </c>
      <c r="B14" s="62" t="e">
        <f>'Necesidades Trimestrales'!#REF!</f>
        <v>#REF!</v>
      </c>
      <c r="C14" s="121" t="e">
        <f>'Necesidades Trimestrales'!#REF!</f>
        <v>#REF!</v>
      </c>
      <c r="D14" s="122"/>
      <c r="E14" s="122"/>
      <c r="F14" s="122"/>
      <c r="G14" s="123"/>
      <c r="H14" s="34" t="s">
        <v>111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>
      <c r="A15" s="109" t="s">
        <v>112</v>
      </c>
      <c r="B15" s="109"/>
      <c r="C15" s="109"/>
      <c r="D15" s="109"/>
      <c r="E15" s="109"/>
      <c r="F15" s="109"/>
      <c r="G15" s="109"/>
      <c r="H15" s="109"/>
      <c r="I15" s="109"/>
      <c r="J15" s="110">
        <f>'Necesidades Trimestrales'!I18</f>
        <v>336000</v>
      </c>
      <c r="K15" s="1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>
      <c r="J16" s="38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defaultColWidth="11" defaultRowHeight="13.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>
      <c r="A1" s="157" t="s">
        <v>5</v>
      </c>
      <c r="B1" s="157"/>
      <c r="C1" s="157"/>
      <c r="D1" s="158">
        <f>'Necesidades Trimestrales'!C6</f>
        <v>2022</v>
      </c>
      <c r="E1" s="158"/>
      <c r="F1" s="9"/>
      <c r="G1" s="9"/>
      <c r="H1" s="10"/>
      <c r="I1" s="10"/>
      <c r="J1" s="10"/>
      <c r="K1" s="10"/>
      <c r="L1" s="10"/>
      <c r="M1" s="10"/>
      <c r="N1" s="10"/>
      <c r="P1" s="159" t="s">
        <v>113</v>
      </c>
      <c r="Q1" s="159"/>
    </row>
    <row r="2" spans="1:17" ht="15.75" customHeight="1">
      <c r="H2" s="10"/>
      <c r="I2" s="10"/>
      <c r="J2" s="10"/>
      <c r="K2" s="10"/>
      <c r="L2" s="10"/>
      <c r="M2" s="10"/>
      <c r="N2" s="10"/>
      <c r="P2" s="159"/>
      <c r="Q2" s="159"/>
    </row>
    <row r="4" spans="1:17" ht="18" customHeight="1" thickBot="1">
      <c r="A4" s="160" t="s">
        <v>114</v>
      </c>
      <c r="B4" s="160"/>
      <c r="C4" s="160"/>
      <c r="D4" s="160"/>
      <c r="E4" s="160"/>
      <c r="F4" s="160"/>
      <c r="G4" s="155" t="str">
        <f>' NotaPedido'!D3</f>
        <v>90 - Ministerio de Seguridad</v>
      </c>
      <c r="H4" s="155"/>
      <c r="I4" s="155"/>
      <c r="J4" s="155"/>
      <c r="K4" s="155"/>
      <c r="L4" s="155"/>
      <c r="M4" s="155"/>
      <c r="N4" s="155"/>
      <c r="O4" s="155"/>
      <c r="P4" s="155"/>
      <c r="Q4" s="155"/>
    </row>
    <row r="5" spans="1:17" ht="18" customHeight="1" thickBot="1">
      <c r="A5" s="152" t="s">
        <v>95</v>
      </c>
      <c r="B5" s="153"/>
      <c r="C5" s="153"/>
      <c r="D5" s="153"/>
      <c r="E5" s="153"/>
      <c r="F5" s="154"/>
      <c r="G5" s="155" t="str">
        <f>' NotaPedido'!D4</f>
        <v>7- Dirección Provincial de Administración de la Policía de la Provincia de Catamarca</v>
      </c>
      <c r="H5" s="155"/>
      <c r="I5" s="155"/>
      <c r="J5" s="155"/>
      <c r="K5" s="155"/>
      <c r="L5" s="155"/>
      <c r="M5" s="155"/>
      <c r="N5" s="155"/>
      <c r="O5" s="155"/>
      <c r="P5" s="155"/>
      <c r="Q5" s="155"/>
    </row>
    <row r="6" spans="1:17" ht="18" customHeight="1" thickBot="1">
      <c r="A6" s="152" t="s">
        <v>96</v>
      </c>
      <c r="B6" s="153"/>
      <c r="C6" s="153"/>
      <c r="D6" s="153"/>
      <c r="E6" s="153"/>
      <c r="F6" s="154"/>
      <c r="G6" s="155" t="str">
        <f>' NotaPedido'!D5</f>
        <v>Policía de la Provincia de Catamarca</v>
      </c>
      <c r="H6" s="155"/>
      <c r="I6" s="155"/>
      <c r="J6" s="155"/>
      <c r="K6" s="155"/>
      <c r="L6" s="155"/>
      <c r="M6" s="155"/>
      <c r="N6" s="155"/>
      <c r="O6" s="155"/>
      <c r="P6" s="155"/>
      <c r="Q6" s="155"/>
    </row>
    <row r="7" spans="1:17" ht="18" customHeight="1" thickBot="1">
      <c r="A7" s="152" t="s">
        <v>98</v>
      </c>
      <c r="B7" s="153"/>
      <c r="C7" s="153"/>
      <c r="D7" s="153"/>
      <c r="E7" s="153"/>
      <c r="F7" s="154"/>
      <c r="G7" s="155" t="str">
        <f>' NotaPedido'!D6</f>
        <v>División Intendencia, Departamento Logística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</row>
    <row r="8" spans="1:17" ht="18" customHeight="1" thickBot="1">
      <c r="A8" s="156" t="s">
        <v>115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</row>
    <row r="9" spans="1:17" ht="18" customHeight="1">
      <c r="A9" s="146" t="s">
        <v>116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3"/>
      <c r="P9" s="3"/>
      <c r="Q9" s="11"/>
    </row>
    <row r="10" spans="1:17" ht="66.75" customHeight="1">
      <c r="A10" s="147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</row>
    <row r="11" spans="1:17" ht="9" customHeight="1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>
      <c r="A12" s="148" t="s">
        <v>117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</row>
    <row r="13" spans="1:17" ht="15.75" customHeight="1">
      <c r="A13" s="149" t="s">
        <v>118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 t="s">
        <v>119</v>
      </c>
      <c r="P13" s="150"/>
      <c r="Q13" s="151" t="s">
        <v>120</v>
      </c>
    </row>
    <row r="14" spans="1:17" ht="15.75" customHeight="1" thickBot="1">
      <c r="A14" s="16" t="s">
        <v>121</v>
      </c>
      <c r="B14" s="17" t="s">
        <v>122</v>
      </c>
      <c r="C14" s="17" t="s">
        <v>123</v>
      </c>
      <c r="D14" s="17" t="s">
        <v>124</v>
      </c>
      <c r="E14" s="17" t="s">
        <v>125</v>
      </c>
      <c r="F14" s="17" t="s">
        <v>126</v>
      </c>
      <c r="G14" s="18" t="s">
        <v>127</v>
      </c>
      <c r="H14" s="17" t="s">
        <v>128</v>
      </c>
      <c r="I14" s="17" t="s">
        <v>129</v>
      </c>
      <c r="J14" s="17" t="s">
        <v>130</v>
      </c>
      <c r="K14" s="17" t="s">
        <v>130</v>
      </c>
      <c r="L14" s="17" t="s">
        <v>131</v>
      </c>
      <c r="M14" s="19" t="s">
        <v>132</v>
      </c>
      <c r="N14" s="20" t="s">
        <v>133</v>
      </c>
      <c r="O14" s="150"/>
      <c r="P14" s="150"/>
      <c r="Q14" s="151"/>
    </row>
    <row r="15" spans="1:17" ht="26.25" customHeight="1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134</v>
      </c>
      <c r="O15" s="129" t="e">
        <f>'Necesidades Trimestrales'!#REF!</f>
        <v>#REF!</v>
      </c>
      <c r="P15" s="130"/>
      <c r="Q15" s="24">
        <f>' NotaPedido'!J15</f>
        <v>336000</v>
      </c>
    </row>
    <row r="16" spans="1:17" ht="33" customHeight="1" thickBot="1">
      <c r="A16" s="142" t="s">
        <v>135</v>
      </c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25">
        <f>Q15</f>
        <v>336000</v>
      </c>
    </row>
    <row r="17" spans="1:17" ht="18" customHeight="1" thickBot="1">
      <c r="A17" s="143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5"/>
    </row>
    <row r="18" spans="1:17" ht="17.25" customHeight="1" thickBot="1">
      <c r="A18" s="131" t="s">
        <v>136</v>
      </c>
      <c r="B18" s="132"/>
      <c r="C18" s="132"/>
      <c r="D18" s="132"/>
      <c r="E18" s="132"/>
      <c r="F18" s="133"/>
      <c r="G18" s="134"/>
      <c r="H18" s="135"/>
      <c r="I18" s="135"/>
      <c r="J18" s="135"/>
      <c r="K18" s="135"/>
      <c r="L18" s="135"/>
      <c r="M18" s="135"/>
      <c r="N18" s="135"/>
      <c r="O18" s="135"/>
      <c r="P18" s="135"/>
      <c r="Q18" s="135"/>
    </row>
    <row r="19" spans="1:17" ht="18" customHeight="1">
      <c r="A19" s="136" t="str">
        <f>' NotaPedido'!D8</f>
        <v>Adquisición de Uniformes de Fajina para el personal policial.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8"/>
    </row>
    <row r="20" spans="1:17" ht="15" customHeight="1" thickBot="1">
      <c r="A20" s="139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1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Javier Ponce</cp:lastModifiedBy>
  <cp:revision>2</cp:revision>
  <dcterms:created xsi:type="dcterms:W3CDTF">2020-07-17T23:44:49Z</dcterms:created>
  <dcterms:modified xsi:type="dcterms:W3CDTF">2022-05-24T15:51:00Z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