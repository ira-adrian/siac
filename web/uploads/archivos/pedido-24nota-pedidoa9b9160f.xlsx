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680205-CAT-DPPR#MHP\"/>
    </mc:Choice>
  </mc:AlternateContent>
  <xr:revisionPtr revIDLastSave="0" documentId="8_{D54BB0C4-E4C1-4BED-BAC3-1268BBFA9E0B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Necesidades Trimestrales" sheetId="1" r:id="rId1"/>
  </sheets>
  <externalReferences>
    <externalReference r:id="rId2"/>
  </externalReferences>
  <definedNames>
    <definedName name="_xlnm.Print_Area" localSheetId="0">'Necesidades Trimestrales'!$A$2:$I$23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5" i="1" l="1"/>
  <c r="I24" i="1"/>
  <c r="E24" i="1"/>
  <c r="C24" i="1"/>
  <c r="B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26" i="1" l="1"/>
</calcChain>
</file>

<file path=xl/sharedStrings.xml><?xml version="1.0" encoding="utf-8"?>
<sst xmlns="http://schemas.openxmlformats.org/spreadsheetml/2006/main" count="273" uniqueCount="84">
  <si>
    <t>Pedido de Necesidades Trimestrales</t>
  </si>
  <si>
    <t>JURISDICCION:</t>
  </si>
  <si>
    <t>90 - MINISTERIO DE SEGURIDAD</t>
  </si>
  <si>
    <t xml:space="preserve">SAF N°: </t>
  </si>
  <si>
    <t>8 - DIRECCION GENERAL SERVICIO PENITENCIARIO PROVINCIAL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</si>
  <si>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</si>
  <si>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</si>
  <si>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</si>
  <si>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</si>
  <si>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</si>
  <si>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</si>
  <si>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</si>
  <si>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</si>
  <si>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</si>
  <si>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</si>
  <si>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</si>
  <si>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2.1.1-542.236</t>
  </si>
  <si>
    <t>ALIMENTOS</t>
  </si>
  <si>
    <t>2.1.1</t>
  </si>
  <si>
    <t>QUESOS; TIPO: CREMOSO, PRESENTACION: AL PESO, ELEM. TRANSPORTE: SIN, MATERIAL ELEM. TRANSPORTE: SIN, MATERIAL ENVASE: SIN, CERTIFICADO FORESTAL (GFS): SIN, LIBRE DE GLUTEN: A DEFINIR</t>
  </si>
  <si>
    <t>KG.</t>
  </si>
  <si>
    <t>2.1.1-542.235</t>
  </si>
  <si>
    <t>QUESOS; TIPO: PORT SALUT, PRESENTACION: AL PESO, ELEM. TRANSPORTE: SIN, MATERIAL ELEM. TRANSPORTE: SIN, MATERIAL ENVASE: SIN, CERTIFICADO FORESTAL (GFS): SIN, LIBRE DE GLUTEN: A DEFINIR</t>
  </si>
  <si>
    <t>2.1.1-541.18</t>
  </si>
  <si>
    <t>CARNES: ESPECIE: VACUNA, CORTE: ROAST BEEF, TIPO: VACUNA</t>
  </si>
  <si>
    <t>2.1.1-621.20</t>
  </si>
  <si>
    <t>AVES; TIPO: POLLO, PRESENTACION: CAJA X 22 Kg, EVISCERADO: SI, ELEM. TRANSPORTE: SIN, MATERIAL ELEM. TRANSPORTE: SIN, LIBRE DE GLUTEN: SIN VALOR</t>
  </si>
  <si>
    <t>CAJA</t>
  </si>
  <si>
    <t>2.1.1-2116.2</t>
  </si>
  <si>
    <t>LEVADURAS: TIPO: DE CERVEZA, PRESENTACION: PAQUETE, PESO: 1 KG.</t>
  </si>
  <si>
    <t>2.1.1-6546.335</t>
  </si>
  <si>
    <t>VERDURAS Y HORTALIZAS; VARIEDAD: PAPA BLANCA, ESTADO: NATURAL, PRESENTACION: BOLSA, PESO: 25 Kg</t>
  </si>
  <si>
    <t>BOLSA</t>
  </si>
  <si>
    <t>2.1.1-6546.158</t>
  </si>
  <si>
    <t>VERDURAS Y HORTALIZAS; ESTADO: NATURAL, VARIEDAD: ZAPALLO ANCO, PRESENTACION: GRANEL, PESO: SIN VALOR</t>
  </si>
  <si>
    <t>2.1.1-6546.188</t>
  </si>
  <si>
    <t>VERDURAS Y HORTALIZAS; ESTADO: NATURAL, PRESENTACION: GRANEL, PESO: SIN VALOR, VARIEDAD: ZAPALLO CRIOLLO</t>
  </si>
  <si>
    <t>2.1.1-6546.390</t>
  </si>
  <si>
    <t>VERDURAS Y HORTALIZAS; VARIEDAD: TOMATE REDONDO, ESTADO: NATURAL, PRESENTACION: CAJON, PESO: 17 A 22 Kg, ELEM. TRANSPORTE: SIN, MATERIAL ELEM. TRANSPORTE: SIN, LIBRE DE GLUTEN: SI, ORGANICO: NO</t>
  </si>
  <si>
    <t>CAJON</t>
  </si>
  <si>
    <t>2.1.1-483.33</t>
  </si>
  <si>
    <t>HUEVO DE GALLINA; TAMAÑO: MEDIANOS, COLOR: BLANCOS, PRESENTACION: 30</t>
  </si>
  <si>
    <t>CARTON</t>
  </si>
  <si>
    <t>2.1.1-6546.153</t>
  </si>
  <si>
    <t>VERDURAS Y HORTALIZAS; VARIEDAD: AJO, ESTADO: NATURAL, PRESENTACION: RISTRA, PESO: SIN VALOR</t>
  </si>
  <si>
    <t>RISTRA</t>
  </si>
  <si>
    <t>2.1.1-6546.34</t>
  </si>
  <si>
    <t>VERDURAS Y HORTALIZAS; VARIEDAD: ACELGA, ESTADO: EN HOJA, PRESENTACION: ATADO, PESO: SIN VALOR</t>
  </si>
  <si>
    <t>ATADO</t>
  </si>
  <si>
    <t>2.1.1-6546.39</t>
  </si>
  <si>
    <t>VERDURAS Y HORTALIZAS; VARIEDAD: CEBOLLA, ESTADO: NATURAL, PRESENTACION: BOLSA, PESO: 25 Kg</t>
  </si>
  <si>
    <t>2.1.1-6546.167</t>
  </si>
  <si>
    <t>VERDURAS Y HORTALIZAS; VARIEDAD: ZANAHORIA, PRESENTACION: BOLSA, ESTADO: NATURAL, PESO: 20 Kg</t>
  </si>
  <si>
    <t>Descripción técnica</t>
  </si>
  <si>
    <t>Servicio Penitenciario Provincial, Ruta Nacional 38, km 558 Colonia del Valle, Capayan</t>
  </si>
  <si>
    <t>Calidad Minima esperada</t>
  </si>
  <si>
    <t>Mantenimiento</t>
  </si>
  <si>
    <t>45 días</t>
  </si>
  <si>
    <t>Garantia</t>
  </si>
  <si>
    <t>Especificidades Item N° 12:</t>
  </si>
  <si>
    <t>Atado x 1 Kg aprox.</t>
  </si>
  <si>
    <t>Especificidades Item N° 13:</t>
  </si>
  <si>
    <t>Especificidades Item N° 15:</t>
  </si>
  <si>
    <t>2.1.1-541.59</t>
  </si>
  <si>
    <t>CARNES; ESPECIE: VACUNA, CORTE: MONDONGO, TIPO: VACUNA</t>
  </si>
  <si>
    <t>Especificidades Item N° 14:</t>
  </si>
  <si>
    <t>Especificidades Item N° 16:</t>
  </si>
  <si>
    <t>Especificidades Item N° 10:</t>
  </si>
  <si>
    <t>Especificidades Item N° 11:</t>
  </si>
  <si>
    <t>Especificidades Item N° 1:</t>
  </si>
  <si>
    <t>Especificidades Item N° 2:</t>
  </si>
  <si>
    <t>Especificidades Item N° 3:</t>
  </si>
  <si>
    <t>Especificidades Item N° 4:</t>
  </si>
  <si>
    <t>Especificidades Item N° 5:</t>
  </si>
  <si>
    <t>Especificidades Item N° 6:</t>
  </si>
  <si>
    <t>Especificidades Item N° 7:</t>
  </si>
  <si>
    <t>Especificidades Item N° 8:</t>
  </si>
  <si>
    <t>Tamaño grande cada una</t>
  </si>
  <si>
    <t>Lugar de Enttrega</t>
  </si>
  <si>
    <t>Entrega y Forma de Pago</t>
  </si>
  <si>
    <r>
      <t xml:space="preserve">Las entregas se realizarán a requerimiento de acuerdo, a las Solicitudes de Provisión que se realicen. Se estima emitir una cantidad aproximada de 3 (Tres) Solicitudes de Provisión de 1/3 aprox. de la cantidad solicitada, en un plazo de 3 (Tres) meses: </t>
    </r>
    <r>
      <rPr>
        <u/>
        <sz val="10"/>
        <rFont val="Times New Roman"/>
        <family val="1"/>
      </rPr>
      <t>1° Solic.de Provisión:</t>
    </r>
    <r>
      <rPr>
        <sz val="10"/>
        <rFont val="Times New Roman"/>
        <family val="1"/>
      </rPr>
      <t xml:space="preserve"> aprox.a los 3 (Tres) dias hábiles de la firma del instrumento contractual. </t>
    </r>
    <r>
      <rPr>
        <u/>
        <sz val="10"/>
        <rFont val="Times New Roman"/>
        <family val="1"/>
      </rPr>
      <t>2° Solic.de Provisión:</t>
    </r>
    <r>
      <rPr>
        <sz val="10"/>
        <rFont val="Times New Roman"/>
        <family val="1"/>
      </rPr>
      <t xml:space="preserve"> al mes de la firma del instrumento contractual. </t>
    </r>
    <r>
      <rPr>
        <u/>
        <sz val="10"/>
        <rFont val="Times New Roman"/>
        <family val="1"/>
      </rPr>
      <t>Y 3° Solic.de Provisión:</t>
    </r>
    <r>
      <rPr>
        <sz val="10"/>
        <rFont val="Times New Roman"/>
        <family val="1"/>
      </rPr>
      <t xml:space="preserve"> a los 2 (Dos) meses de la firma del instrumento contractual. </t>
    </r>
    <r>
      <rPr>
        <u/>
        <sz val="10"/>
        <rFont val="Times New Roman"/>
        <family val="1"/>
      </rPr>
      <t>Plazo de cumplimiento de cada Solicitud de Provisión:</t>
    </r>
    <r>
      <rPr>
        <sz val="10"/>
        <rFont val="Times New Roman"/>
        <family val="1"/>
      </rPr>
      <t xml:space="preserve"> a los 2 días hábiles de notificada la misma, según necesidades del Organismo solicitante. </t>
    </r>
    <r>
      <rPr>
        <u/>
        <sz val="10"/>
        <rFont val="Times New Roman"/>
        <family val="1"/>
      </rPr>
      <t>Forma de Pago:</t>
    </r>
    <r>
      <rPr>
        <sz val="10"/>
        <rFont val="Times New Roman"/>
        <family val="1"/>
      </rPr>
      <t xml:space="preserve"> Se solicita Pagos parciales por cada Solicitud de Provisión emitida, una vez finalizada la entrega de las cantidades contenidas en la misma.</t>
    </r>
  </si>
  <si>
    <t>Especificidades Item N° 9:</t>
  </si>
  <si>
    <t>Cajon x 20 KG</t>
  </si>
  <si>
    <t>Los productos deben ser de 1° calidad, según condiciones establecidas en 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</si>
</sst>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&quot; €&quot;_-;\-* #,##0.00&quot; €&quot;_-;_-* \-??&quot; €&quot;_-;_-@_-"/>
    <numFmt numFmtId="165" formatCode="[$$-2C0A]\ #,##0.00;[$$-2C0A]&quot; -&quot;#,##0.00"/>
  </numFmts>
  <fonts count="11" x14ac:knownFonts="1"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sz val="10"/>
      <name val="Arial"/>
      <family val="2"/>
    </font>
    <font>
      <u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164" fontId="9" fillId="0" borderId="0" applyBorder="0" applyProtection="0"/>
  </cellStyleXfs>
  <cellXfs count="45">
    <xf numFmtId="0" fontId="0" fillId="0" borderId="0" xfId="0"/>
    <xf numFmtId="0" fontId="1" fillId="0" borderId="0" xfId="0" applyFont="1"/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4" fillId="0" borderId="0" xfId="0" applyFont="1" applyFill="1" applyAlignment="1">
      <alignment horizontal="left" wrapText="1" indent="1"/>
    </xf>
    <xf numFmtId="0" fontId="6" fillId="0" borderId="0" xfId="0" applyFont="1" applyFill="1" applyAlignment="1">
      <alignment horizontal="left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left" vertical="center" wrapText="1"/>
    </xf>
    <xf numFmtId="165" fontId="7" fillId="0" borderId="4" xfId="1" applyNumberFormat="1" applyFont="1" applyFill="1" applyBorder="1" applyAlignment="1" applyProtection="1">
      <alignment horizontal="righ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 wrapText="1"/>
    </xf>
    <xf numFmtId="165" fontId="7" fillId="2" borderId="4" xfId="1" applyNumberFormat="1" applyFont="1" applyFill="1" applyBorder="1" applyAlignment="1" applyProtection="1">
      <alignment horizontal="right" vertical="center" wrapText="1"/>
    </xf>
    <xf numFmtId="0" fontId="1" fillId="0" borderId="4" xfId="0" applyFont="1" applyFill="1" applyBorder="1"/>
    <xf numFmtId="0" fontId="10" fillId="0" borderId="4" xfId="0" applyFont="1" applyFill="1" applyBorder="1" applyAlignment="1">
      <alignment horizontal="left" indent="3"/>
    </xf>
    <xf numFmtId="0" fontId="1" fillId="0" borderId="4" xfId="0" applyFont="1" applyFill="1" applyBorder="1" applyAlignment="1">
      <alignment horizontal="center"/>
    </xf>
    <xf numFmtId="0" fontId="1" fillId="0" borderId="4" xfId="0" applyFont="1" applyBorder="1"/>
    <xf numFmtId="165" fontId="1" fillId="0" borderId="4" xfId="0" applyNumberFormat="1" applyFont="1" applyBorder="1" applyAlignment="1">
      <alignment horizontal="center" vertical="center"/>
    </xf>
    <xf numFmtId="0" fontId="1" fillId="0" borderId="0" xfId="0" applyFont="1" applyBorder="1"/>
    <xf numFmtId="0" fontId="1" fillId="0" borderId="0" xfId="0" applyFont="1" applyFill="1" applyBorder="1" applyAlignment="1"/>
    <xf numFmtId="0" fontId="1" fillId="0" borderId="0" xfId="0" applyFont="1" applyBorder="1" applyAlignment="1">
      <alignment horizontal="left" indent="3"/>
    </xf>
    <xf numFmtId="0" fontId="10" fillId="0" borderId="8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0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0" fillId="0" borderId="8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left" vertical="center"/>
    </xf>
    <xf numFmtId="0" fontId="10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wrapText="1" inden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uario\Downloads\Resultados%20de%20la%20b&#250;squeda%20(5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ados de la búsqueda (5)"/>
    </sheetNames>
    <sheetDataSet>
      <sheetData sheetId="0">
        <row r="151">
          <cell r="A151" t="str">
            <v>2.1.1-6546.151</v>
          </cell>
          <cell r="B151" t="str">
            <v>ALIMENTOS</v>
          </cell>
          <cell r="D151" t="str">
            <v>VERDURAS Y HORTALIZAS; VARIEDAD: ZAPALLITO REDONDO, ESTADO: NATURAL, PRESENTACION: CAJON, PESO: SIN VALOR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62"/>
  <sheetViews>
    <sheetView tabSelected="1" zoomScale="90" zoomScaleNormal="90" workbookViewId="0">
      <selection activeCell="A22" sqref="A22"/>
    </sheetView>
  </sheetViews>
  <sheetFormatPr baseColWidth="10" defaultColWidth="11" defaultRowHeight="12.75" x14ac:dyDescent="0.2"/>
  <cols>
    <col min="1" max="1" width="4.5703125" style="1" customWidth="1"/>
    <col min="2" max="2" width="12.85546875" style="1" customWidth="1"/>
    <col min="3" max="3" width="32.425781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7" x14ac:dyDescent="0.35">
      <c r="B2" s="42" t="s">
        <v>0</v>
      </c>
      <c r="C2" s="42"/>
      <c r="D2" s="42"/>
      <c r="E2" s="42"/>
      <c r="F2" s="42"/>
      <c r="G2" s="42"/>
      <c r="H2" s="42"/>
    </row>
    <row r="4" spans="1:9" ht="18" customHeight="1" x14ac:dyDescent="0.25">
      <c r="A4" s="43" t="s">
        <v>1</v>
      </c>
      <c r="B4" s="43"/>
      <c r="C4" s="44" t="s">
        <v>2</v>
      </c>
      <c r="D4" s="44"/>
      <c r="E4" s="44"/>
      <c r="F4" s="2"/>
      <c r="G4" s="3"/>
      <c r="H4" s="2"/>
    </row>
    <row r="5" spans="1:9" ht="18" customHeight="1" x14ac:dyDescent="0.25">
      <c r="A5" s="43" t="s">
        <v>3</v>
      </c>
      <c r="B5" s="43"/>
      <c r="C5" s="44" t="s">
        <v>4</v>
      </c>
      <c r="D5" s="44"/>
      <c r="E5" s="44"/>
      <c r="F5" s="2"/>
      <c r="G5" s="3"/>
      <c r="H5" s="2"/>
    </row>
    <row r="6" spans="1:9" ht="16.5" customHeight="1" x14ac:dyDescent="0.25">
      <c r="A6" s="43" t="s">
        <v>5</v>
      </c>
      <c r="B6" s="43"/>
      <c r="C6" s="4">
        <v>2021</v>
      </c>
      <c r="D6" s="5"/>
      <c r="E6" s="5"/>
      <c r="F6" s="2"/>
      <c r="G6" s="3"/>
      <c r="H6" s="2"/>
    </row>
    <row r="7" spans="1:9" ht="16.5" customHeight="1" x14ac:dyDescent="0.25">
      <c r="A7" s="43" t="s">
        <v>6</v>
      </c>
      <c r="B7" s="43"/>
      <c r="C7" s="4">
        <v>3</v>
      </c>
      <c r="D7" s="5"/>
      <c r="E7" s="5"/>
      <c r="F7" s="2"/>
      <c r="G7" s="3"/>
      <c r="H7" s="2"/>
    </row>
    <row r="8" spans="1:9" ht="13.5" thickBot="1" x14ac:dyDescent="0.25">
      <c r="B8" s="2"/>
      <c r="C8" s="3"/>
      <c r="D8" s="2"/>
      <c r="E8" s="2"/>
      <c r="F8" s="2"/>
      <c r="G8" s="3"/>
      <c r="H8" s="2"/>
    </row>
    <row r="9" spans="1:9" ht="39" thickBot="1" x14ac:dyDescent="0.25">
      <c r="A9" s="6" t="s">
        <v>7</v>
      </c>
      <c r="B9" s="7" t="s">
        <v>8</v>
      </c>
      <c r="C9" s="7" t="s">
        <v>9</v>
      </c>
      <c r="D9" s="7" t="s">
        <v>10</v>
      </c>
      <c r="E9" s="7" t="s">
        <v>11</v>
      </c>
      <c r="F9" s="7" t="s">
        <v>12</v>
      </c>
      <c r="G9" s="7" t="s">
        <v>13</v>
      </c>
      <c r="H9" s="7" t="s">
        <v>14</v>
      </c>
      <c r="I9" s="8" t="s">
        <v>15</v>
      </c>
    </row>
    <row r="10" spans="1:9" ht="36.75" thickBot="1" x14ac:dyDescent="0.25">
      <c r="A10" s="9">
        <v>1</v>
      </c>
      <c r="B10" s="10" t="s">
        <v>16</v>
      </c>
      <c r="C10" s="11" t="s">
        <v>17</v>
      </c>
      <c r="D10" s="10" t="s">
        <v>18</v>
      </c>
      <c r="E10" s="11" t="s">
        <v>19</v>
      </c>
      <c r="F10" s="10" t="s">
        <v>20</v>
      </c>
      <c r="G10" s="10">
        <v>400</v>
      </c>
      <c r="H10" s="12">
        <v>519.75</v>
      </c>
      <c r="I10" s="12">
        <f t="shared" ref="I10:I25" si="0">H10*G10</f>
        <v>207900</v>
      </c>
    </row>
    <row r="11" spans="1:9" ht="36.75" thickBot="1" x14ac:dyDescent="0.25">
      <c r="A11" s="9">
        <v>2</v>
      </c>
      <c r="B11" s="10" t="s">
        <v>21</v>
      </c>
      <c r="C11" s="11" t="s">
        <v>17</v>
      </c>
      <c r="D11" s="10" t="s">
        <v>18</v>
      </c>
      <c r="E11" s="11" t="s">
        <v>22</v>
      </c>
      <c r="F11" s="10" t="s">
        <v>20</v>
      </c>
      <c r="G11" s="10">
        <v>300</v>
      </c>
      <c r="H11" s="12">
        <v>500</v>
      </c>
      <c r="I11" s="12">
        <f t="shared" si="0"/>
        <v>150000</v>
      </c>
    </row>
    <row r="12" spans="1:9" ht="13.5" thickBot="1" x14ac:dyDescent="0.25">
      <c r="A12" s="9">
        <v>3</v>
      </c>
      <c r="B12" s="10" t="s">
        <v>23</v>
      </c>
      <c r="C12" s="13" t="s">
        <v>17</v>
      </c>
      <c r="D12" s="14" t="s">
        <v>18</v>
      </c>
      <c r="E12" s="11" t="s">
        <v>24</v>
      </c>
      <c r="F12" s="14" t="s">
        <v>20</v>
      </c>
      <c r="G12" s="14">
        <v>4500</v>
      </c>
      <c r="H12" s="15">
        <v>660</v>
      </c>
      <c r="I12" s="12">
        <f t="shared" si="0"/>
        <v>2970000</v>
      </c>
    </row>
    <row r="13" spans="1:9" ht="24.75" thickBot="1" x14ac:dyDescent="0.25">
      <c r="A13" s="9">
        <v>4</v>
      </c>
      <c r="B13" s="10" t="s">
        <v>25</v>
      </c>
      <c r="C13" s="13" t="s">
        <v>17</v>
      </c>
      <c r="D13" s="14" t="s">
        <v>18</v>
      </c>
      <c r="E13" s="11" t="s">
        <v>26</v>
      </c>
      <c r="F13" s="14" t="s">
        <v>27</v>
      </c>
      <c r="G13" s="14">
        <v>400</v>
      </c>
      <c r="H13" s="15">
        <v>4537.5</v>
      </c>
      <c r="I13" s="12">
        <f t="shared" si="0"/>
        <v>1815000</v>
      </c>
    </row>
    <row r="14" spans="1:9" ht="13.5" thickBot="1" x14ac:dyDescent="0.25">
      <c r="A14" s="9">
        <v>5</v>
      </c>
      <c r="B14" s="10" t="s">
        <v>63</v>
      </c>
      <c r="C14" s="13" t="s">
        <v>17</v>
      </c>
      <c r="D14" s="14" t="s">
        <v>18</v>
      </c>
      <c r="E14" s="11" t="s">
        <v>64</v>
      </c>
      <c r="F14" s="14" t="s">
        <v>20</v>
      </c>
      <c r="G14" s="14">
        <v>400</v>
      </c>
      <c r="H14" s="15">
        <v>300</v>
      </c>
      <c r="I14" s="12">
        <f t="shared" si="0"/>
        <v>120000</v>
      </c>
    </row>
    <row r="15" spans="1:9" ht="13.5" thickBot="1" x14ac:dyDescent="0.25">
      <c r="A15" s="9">
        <v>6</v>
      </c>
      <c r="B15" s="10" t="s">
        <v>28</v>
      </c>
      <c r="C15" s="11" t="s">
        <v>17</v>
      </c>
      <c r="D15" s="10" t="s">
        <v>18</v>
      </c>
      <c r="E15" s="11" t="s">
        <v>29</v>
      </c>
      <c r="F15" s="10" t="s">
        <v>20</v>
      </c>
      <c r="G15" s="10">
        <v>720</v>
      </c>
      <c r="H15" s="12">
        <v>303.60000000000002</v>
      </c>
      <c r="I15" s="12">
        <f t="shared" si="0"/>
        <v>218592.00000000003</v>
      </c>
    </row>
    <row r="16" spans="1:9" ht="24.75" thickBot="1" x14ac:dyDescent="0.25">
      <c r="A16" s="9">
        <v>7</v>
      </c>
      <c r="B16" s="10" t="s">
        <v>30</v>
      </c>
      <c r="C16" s="11" t="s">
        <v>17</v>
      </c>
      <c r="D16" s="10" t="s">
        <v>18</v>
      </c>
      <c r="E16" s="11" t="s">
        <v>31</v>
      </c>
      <c r="F16" s="10" t="s">
        <v>32</v>
      </c>
      <c r="G16" s="10">
        <v>800</v>
      </c>
      <c r="H16" s="12">
        <v>825</v>
      </c>
      <c r="I16" s="12">
        <f t="shared" si="0"/>
        <v>660000</v>
      </c>
    </row>
    <row r="17" spans="1:9" ht="24.75" thickBot="1" x14ac:dyDescent="0.25">
      <c r="A17" s="9">
        <v>8</v>
      </c>
      <c r="B17" s="10" t="s">
        <v>33</v>
      </c>
      <c r="C17" s="11" t="s">
        <v>17</v>
      </c>
      <c r="D17" s="10" t="s">
        <v>18</v>
      </c>
      <c r="E17" s="11" t="s">
        <v>34</v>
      </c>
      <c r="F17" s="10" t="s">
        <v>20</v>
      </c>
      <c r="G17" s="10">
        <v>1700</v>
      </c>
      <c r="H17" s="12">
        <v>79.2</v>
      </c>
      <c r="I17" s="12">
        <f t="shared" si="0"/>
        <v>134640</v>
      </c>
    </row>
    <row r="18" spans="1:9" ht="24.75" thickBot="1" x14ac:dyDescent="0.25">
      <c r="A18" s="9">
        <v>9</v>
      </c>
      <c r="B18" s="10" t="s">
        <v>35</v>
      </c>
      <c r="C18" s="11" t="s">
        <v>17</v>
      </c>
      <c r="D18" s="10" t="s">
        <v>18</v>
      </c>
      <c r="E18" s="11" t="s">
        <v>36</v>
      </c>
      <c r="F18" s="10" t="s">
        <v>20</v>
      </c>
      <c r="G18" s="10">
        <v>2500</v>
      </c>
      <c r="H18" s="12">
        <v>140</v>
      </c>
      <c r="I18" s="12">
        <f t="shared" si="0"/>
        <v>350000</v>
      </c>
    </row>
    <row r="19" spans="1:9" ht="36.75" thickBot="1" x14ac:dyDescent="0.25">
      <c r="A19" s="9">
        <v>10</v>
      </c>
      <c r="B19" s="10" t="s">
        <v>37</v>
      </c>
      <c r="C19" s="11" t="s">
        <v>17</v>
      </c>
      <c r="D19" s="10" t="s">
        <v>18</v>
      </c>
      <c r="E19" s="11" t="s">
        <v>38</v>
      </c>
      <c r="F19" s="10" t="s">
        <v>39</v>
      </c>
      <c r="G19" s="10">
        <v>300</v>
      </c>
      <c r="H19" s="12">
        <v>1540</v>
      </c>
      <c r="I19" s="12">
        <f t="shared" si="0"/>
        <v>462000</v>
      </c>
    </row>
    <row r="20" spans="1:9" ht="19.5" customHeight="1" thickBot="1" x14ac:dyDescent="0.25">
      <c r="A20" s="9">
        <v>11</v>
      </c>
      <c r="B20" s="10" t="s">
        <v>40</v>
      </c>
      <c r="C20" s="11" t="s">
        <v>17</v>
      </c>
      <c r="D20" s="10" t="s">
        <v>18</v>
      </c>
      <c r="E20" s="11" t="s">
        <v>41</v>
      </c>
      <c r="F20" s="10" t="s">
        <v>42</v>
      </c>
      <c r="G20" s="10">
        <v>800</v>
      </c>
      <c r="H20" s="12">
        <v>264</v>
      </c>
      <c r="I20" s="12">
        <f t="shared" si="0"/>
        <v>211200</v>
      </c>
    </row>
    <row r="21" spans="1:9" ht="28.5" customHeight="1" thickBot="1" x14ac:dyDescent="0.25">
      <c r="A21" s="9">
        <v>12</v>
      </c>
      <c r="B21" s="10" t="s">
        <v>43</v>
      </c>
      <c r="C21" s="11" t="s">
        <v>17</v>
      </c>
      <c r="D21" s="10" t="s">
        <v>18</v>
      </c>
      <c r="E21" s="11" t="s">
        <v>44</v>
      </c>
      <c r="F21" s="10" t="s">
        <v>45</v>
      </c>
      <c r="G21" s="10">
        <v>30</v>
      </c>
      <c r="H21" s="12">
        <v>1375</v>
      </c>
      <c r="I21" s="12">
        <f t="shared" si="0"/>
        <v>41250</v>
      </c>
    </row>
    <row r="22" spans="1:9" ht="24.75" thickBot="1" x14ac:dyDescent="0.25">
      <c r="A22" s="9">
        <v>13</v>
      </c>
      <c r="B22" s="10" t="s">
        <v>46</v>
      </c>
      <c r="C22" s="11" t="s">
        <v>17</v>
      </c>
      <c r="D22" s="10" t="s">
        <v>18</v>
      </c>
      <c r="E22" s="11" t="s">
        <v>47</v>
      </c>
      <c r="F22" s="10" t="s">
        <v>48</v>
      </c>
      <c r="G22" s="10">
        <v>1000</v>
      </c>
      <c r="H22" s="12">
        <v>25</v>
      </c>
      <c r="I22" s="12">
        <f t="shared" si="0"/>
        <v>25000</v>
      </c>
    </row>
    <row r="23" spans="1:9" ht="21.75" customHeight="1" thickBot="1" x14ac:dyDescent="0.25">
      <c r="A23" s="9">
        <v>14</v>
      </c>
      <c r="B23" s="10" t="s">
        <v>49</v>
      </c>
      <c r="C23" s="11" t="s">
        <v>17</v>
      </c>
      <c r="D23" s="10" t="s">
        <v>18</v>
      </c>
      <c r="E23" s="11" t="s">
        <v>50</v>
      </c>
      <c r="F23" s="10" t="s">
        <v>32</v>
      </c>
      <c r="G23" s="10">
        <v>1000</v>
      </c>
      <c r="H23" s="12">
        <v>1155</v>
      </c>
      <c r="I23" s="12">
        <f t="shared" si="0"/>
        <v>1155000</v>
      </c>
    </row>
    <row r="24" spans="1:9" ht="24.75" thickBot="1" x14ac:dyDescent="0.25">
      <c r="A24" s="9">
        <v>15</v>
      </c>
      <c r="B24" s="10" t="str">
        <f>'[1]Resultados de la búsqueda (5)'!A151</f>
        <v>2.1.1-6546.151</v>
      </c>
      <c r="C24" s="11" t="str">
        <f>'[1]Resultados de la búsqueda (5)'!B151</f>
        <v>ALIMENTOS</v>
      </c>
      <c r="D24" s="10" t="s">
        <v>18</v>
      </c>
      <c r="E24" s="11" t="str">
        <f>'[1]Resultados de la búsqueda (5)'!D151</f>
        <v>VERDURAS Y HORTALIZAS; VARIEDAD: ZAPALLITO REDONDO, ESTADO: NATURAL, PRESENTACION: CAJON, PESO: SIN VALOR</v>
      </c>
      <c r="F24" s="10" t="s">
        <v>39</v>
      </c>
      <c r="G24" s="10">
        <v>300</v>
      </c>
      <c r="H24" s="15">
        <v>800</v>
      </c>
      <c r="I24" s="12">
        <f t="shared" si="0"/>
        <v>240000</v>
      </c>
    </row>
    <row r="25" spans="1:9" ht="24.75" thickBot="1" x14ac:dyDescent="0.25">
      <c r="A25" s="9">
        <v>16</v>
      </c>
      <c r="B25" s="10" t="s">
        <v>51</v>
      </c>
      <c r="C25" s="11" t="s">
        <v>17</v>
      </c>
      <c r="D25" s="10" t="s">
        <v>18</v>
      </c>
      <c r="E25" s="11" t="s">
        <v>52</v>
      </c>
      <c r="F25" s="10" t="s">
        <v>32</v>
      </c>
      <c r="G25" s="10">
        <v>800</v>
      </c>
      <c r="H25" s="15">
        <v>600</v>
      </c>
      <c r="I25" s="12">
        <f t="shared" si="0"/>
        <v>480000</v>
      </c>
    </row>
    <row r="26" spans="1:9" ht="31.5" customHeight="1" thickBot="1" x14ac:dyDescent="0.25">
      <c r="A26" s="16"/>
      <c r="B26" s="17"/>
      <c r="C26" s="16"/>
      <c r="D26" s="16"/>
      <c r="E26" s="18"/>
      <c r="F26" s="19"/>
      <c r="G26" s="19"/>
      <c r="H26" s="19"/>
      <c r="I26" s="20">
        <f>SUM(I10:I25)</f>
        <v>9240582</v>
      </c>
    </row>
    <row r="27" spans="1:9" ht="13.5" thickBot="1" x14ac:dyDescent="0.25">
      <c r="C27" s="23"/>
      <c r="D27" s="21"/>
      <c r="E27" s="21"/>
      <c r="F27" s="21"/>
    </row>
    <row r="28" spans="1:9" x14ac:dyDescent="0.2">
      <c r="C28" s="37" t="s">
        <v>69</v>
      </c>
      <c r="D28" s="38"/>
      <c r="E28" s="38"/>
      <c r="F28" s="39"/>
    </row>
    <row r="29" spans="1:9" x14ac:dyDescent="0.2">
      <c r="C29" s="24"/>
      <c r="D29" s="40"/>
      <c r="E29" s="40"/>
      <c r="F29" s="41"/>
    </row>
    <row r="30" spans="1:9" x14ac:dyDescent="0.2">
      <c r="C30" s="24" t="s">
        <v>53</v>
      </c>
      <c r="D30" s="30"/>
      <c r="E30" s="30"/>
      <c r="F30" s="31"/>
    </row>
    <row r="31" spans="1:9" x14ac:dyDescent="0.2">
      <c r="C31" s="24"/>
      <c r="D31" s="30"/>
      <c r="E31" s="30"/>
      <c r="F31" s="31"/>
    </row>
    <row r="32" spans="1:9" ht="12.75" customHeight="1" x14ac:dyDescent="0.2">
      <c r="C32" s="32" t="s">
        <v>79</v>
      </c>
      <c r="D32" s="33" t="s">
        <v>80</v>
      </c>
      <c r="E32" s="33"/>
      <c r="F32" s="34"/>
    </row>
    <row r="33" spans="3:6" x14ac:dyDescent="0.2">
      <c r="C33" s="32"/>
      <c r="D33" s="33"/>
      <c r="E33" s="33"/>
      <c r="F33" s="34"/>
    </row>
    <row r="34" spans="3:6" x14ac:dyDescent="0.2">
      <c r="C34" s="32"/>
      <c r="D34" s="33"/>
      <c r="E34" s="33"/>
      <c r="F34" s="34"/>
    </row>
    <row r="35" spans="3:6" x14ac:dyDescent="0.2">
      <c r="C35" s="32"/>
      <c r="D35" s="33"/>
      <c r="E35" s="33"/>
      <c r="F35" s="34"/>
    </row>
    <row r="36" spans="3:6" x14ac:dyDescent="0.2">
      <c r="C36" s="32"/>
      <c r="D36" s="33"/>
      <c r="E36" s="33"/>
      <c r="F36" s="34"/>
    </row>
    <row r="37" spans="3:6" x14ac:dyDescent="0.2">
      <c r="C37" s="32"/>
      <c r="D37" s="33"/>
      <c r="E37" s="33"/>
      <c r="F37" s="34"/>
    </row>
    <row r="38" spans="3:6" x14ac:dyDescent="0.2">
      <c r="C38" s="32"/>
      <c r="D38" s="33"/>
      <c r="E38" s="33"/>
      <c r="F38" s="34"/>
    </row>
    <row r="39" spans="3:6" x14ac:dyDescent="0.2">
      <c r="C39" s="32"/>
      <c r="D39" s="33"/>
      <c r="E39" s="33"/>
      <c r="F39" s="34"/>
    </row>
    <row r="40" spans="3:6" x14ac:dyDescent="0.2">
      <c r="C40" s="32" t="s">
        <v>78</v>
      </c>
      <c r="D40" s="35" t="s">
        <v>54</v>
      </c>
      <c r="E40" s="35"/>
      <c r="F40" s="36"/>
    </row>
    <row r="41" spans="3:6" x14ac:dyDescent="0.2">
      <c r="C41" s="32"/>
      <c r="D41" s="35"/>
      <c r="E41" s="35"/>
      <c r="F41" s="36"/>
    </row>
    <row r="42" spans="3:6" x14ac:dyDescent="0.2">
      <c r="C42" s="24" t="s">
        <v>55</v>
      </c>
      <c r="D42" s="26" t="s">
        <v>83</v>
      </c>
      <c r="E42" s="26"/>
      <c r="F42" s="27"/>
    </row>
    <row r="43" spans="3:6" x14ac:dyDescent="0.2">
      <c r="C43" s="24"/>
      <c r="D43" s="26"/>
      <c r="E43" s="26"/>
      <c r="F43" s="27"/>
    </row>
    <row r="44" spans="3:6" x14ac:dyDescent="0.2">
      <c r="C44" s="24" t="s">
        <v>56</v>
      </c>
      <c r="D44" s="33" t="s">
        <v>57</v>
      </c>
      <c r="E44" s="33"/>
      <c r="F44" s="34"/>
    </row>
    <row r="45" spans="3:6" x14ac:dyDescent="0.2">
      <c r="C45" s="24"/>
      <c r="D45" s="33"/>
      <c r="E45" s="33"/>
      <c r="F45" s="34"/>
    </row>
    <row r="46" spans="3:6" x14ac:dyDescent="0.2">
      <c r="C46" s="24" t="s">
        <v>58</v>
      </c>
      <c r="D46" s="26"/>
      <c r="E46" s="26"/>
      <c r="F46" s="27"/>
    </row>
    <row r="47" spans="3:6" ht="13.5" thickBot="1" x14ac:dyDescent="0.25">
      <c r="C47" s="25"/>
      <c r="D47" s="28"/>
      <c r="E47" s="28"/>
      <c r="F47" s="29"/>
    </row>
    <row r="48" spans="3:6" ht="13.5" thickBot="1" x14ac:dyDescent="0.25"/>
    <row r="49" spans="3:6" ht="12.75" customHeight="1" x14ac:dyDescent="0.2">
      <c r="C49" s="37" t="s">
        <v>70</v>
      </c>
      <c r="D49" s="38"/>
      <c r="E49" s="38"/>
      <c r="F49" s="39"/>
    </row>
    <row r="50" spans="3:6" x14ac:dyDescent="0.2">
      <c r="C50" s="24"/>
      <c r="D50" s="40"/>
      <c r="E50" s="40"/>
      <c r="F50" s="41"/>
    </row>
    <row r="51" spans="3:6" x14ac:dyDescent="0.2">
      <c r="C51" s="24" t="s">
        <v>53</v>
      </c>
      <c r="D51" s="30"/>
      <c r="E51" s="30"/>
      <c r="F51" s="31"/>
    </row>
    <row r="52" spans="3:6" x14ac:dyDescent="0.2">
      <c r="C52" s="24"/>
      <c r="D52" s="30"/>
      <c r="E52" s="30"/>
      <c r="F52" s="31"/>
    </row>
    <row r="53" spans="3:6" x14ac:dyDescent="0.2">
      <c r="C53" s="32" t="s">
        <v>79</v>
      </c>
      <c r="D53" s="33" t="s">
        <v>80</v>
      </c>
      <c r="E53" s="33"/>
      <c r="F53" s="34"/>
    </row>
    <row r="54" spans="3:6" x14ac:dyDescent="0.2">
      <c r="C54" s="32"/>
      <c r="D54" s="33"/>
      <c r="E54" s="33"/>
      <c r="F54" s="34"/>
    </row>
    <row r="55" spans="3:6" x14ac:dyDescent="0.2">
      <c r="C55" s="32"/>
      <c r="D55" s="33"/>
      <c r="E55" s="33"/>
      <c r="F55" s="34"/>
    </row>
    <row r="56" spans="3:6" x14ac:dyDescent="0.2">
      <c r="C56" s="32"/>
      <c r="D56" s="33"/>
      <c r="E56" s="33"/>
      <c r="F56" s="34"/>
    </row>
    <row r="57" spans="3:6" x14ac:dyDescent="0.2">
      <c r="C57" s="32"/>
      <c r="D57" s="33"/>
      <c r="E57" s="33"/>
      <c r="F57" s="34"/>
    </row>
    <row r="58" spans="3:6" x14ac:dyDescent="0.2">
      <c r="C58" s="32"/>
      <c r="D58" s="33"/>
      <c r="E58" s="33"/>
      <c r="F58" s="34"/>
    </row>
    <row r="59" spans="3:6" x14ac:dyDescent="0.2">
      <c r="C59" s="32"/>
      <c r="D59" s="33"/>
      <c r="E59" s="33"/>
      <c r="F59" s="34"/>
    </row>
    <row r="60" spans="3:6" x14ac:dyDescent="0.2">
      <c r="C60" s="32"/>
      <c r="D60" s="33"/>
      <c r="E60" s="33"/>
      <c r="F60" s="34"/>
    </row>
    <row r="61" spans="3:6" x14ac:dyDescent="0.2">
      <c r="C61" s="32" t="s">
        <v>78</v>
      </c>
      <c r="D61" s="35" t="s">
        <v>54</v>
      </c>
      <c r="E61" s="35"/>
      <c r="F61" s="36"/>
    </row>
    <row r="62" spans="3:6" x14ac:dyDescent="0.2">
      <c r="C62" s="32"/>
      <c r="D62" s="35"/>
      <c r="E62" s="35"/>
      <c r="F62" s="36"/>
    </row>
    <row r="63" spans="3:6" x14ac:dyDescent="0.2">
      <c r="C63" s="24" t="s">
        <v>55</v>
      </c>
      <c r="D63" s="26" t="s">
        <v>83</v>
      </c>
      <c r="E63" s="26"/>
      <c r="F63" s="27"/>
    </row>
    <row r="64" spans="3:6" x14ac:dyDescent="0.2">
      <c r="C64" s="24"/>
      <c r="D64" s="26"/>
      <c r="E64" s="26"/>
      <c r="F64" s="27"/>
    </row>
    <row r="65" spans="3:6" x14ac:dyDescent="0.2">
      <c r="C65" s="24" t="s">
        <v>56</v>
      </c>
      <c r="D65" s="33" t="s">
        <v>57</v>
      </c>
      <c r="E65" s="33"/>
      <c r="F65" s="34"/>
    </row>
    <row r="66" spans="3:6" ht="12.75" customHeight="1" x14ac:dyDescent="0.2">
      <c r="C66" s="24"/>
      <c r="D66" s="33"/>
      <c r="E66" s="33"/>
      <c r="F66" s="34"/>
    </row>
    <row r="67" spans="3:6" x14ac:dyDescent="0.2">
      <c r="C67" s="24" t="s">
        <v>58</v>
      </c>
      <c r="D67" s="26"/>
      <c r="E67" s="26"/>
      <c r="F67" s="27"/>
    </row>
    <row r="68" spans="3:6" ht="13.5" thickBot="1" x14ac:dyDescent="0.25">
      <c r="C68" s="25"/>
      <c r="D68" s="28"/>
      <c r="E68" s="28"/>
      <c r="F68" s="29"/>
    </row>
    <row r="69" spans="3:6" ht="13.5" thickBot="1" x14ac:dyDescent="0.25"/>
    <row r="70" spans="3:6" x14ac:dyDescent="0.2">
      <c r="C70" s="37" t="s">
        <v>71</v>
      </c>
      <c r="D70" s="38"/>
      <c r="E70" s="38"/>
      <c r="F70" s="39"/>
    </row>
    <row r="71" spans="3:6" x14ac:dyDescent="0.2">
      <c r="C71" s="24"/>
      <c r="D71" s="40"/>
      <c r="E71" s="40"/>
      <c r="F71" s="41"/>
    </row>
    <row r="72" spans="3:6" x14ac:dyDescent="0.2">
      <c r="C72" s="24" t="s">
        <v>53</v>
      </c>
      <c r="D72" s="30"/>
      <c r="E72" s="30"/>
      <c r="F72" s="31"/>
    </row>
    <row r="73" spans="3:6" x14ac:dyDescent="0.2">
      <c r="C73" s="24"/>
      <c r="D73" s="30"/>
      <c r="E73" s="30"/>
      <c r="F73" s="31"/>
    </row>
    <row r="74" spans="3:6" x14ac:dyDescent="0.2">
      <c r="C74" s="32" t="s">
        <v>79</v>
      </c>
      <c r="D74" s="33" t="s">
        <v>80</v>
      </c>
      <c r="E74" s="33"/>
      <c r="F74" s="34"/>
    </row>
    <row r="75" spans="3:6" x14ac:dyDescent="0.2">
      <c r="C75" s="32"/>
      <c r="D75" s="33"/>
      <c r="E75" s="33"/>
      <c r="F75" s="34"/>
    </row>
    <row r="76" spans="3:6" x14ac:dyDescent="0.2">
      <c r="C76" s="32"/>
      <c r="D76" s="33"/>
      <c r="E76" s="33"/>
      <c r="F76" s="34"/>
    </row>
    <row r="77" spans="3:6" x14ac:dyDescent="0.2">
      <c r="C77" s="32"/>
      <c r="D77" s="33"/>
      <c r="E77" s="33"/>
      <c r="F77" s="34"/>
    </row>
    <row r="78" spans="3:6" x14ac:dyDescent="0.2">
      <c r="C78" s="32"/>
      <c r="D78" s="33"/>
      <c r="E78" s="33"/>
      <c r="F78" s="34"/>
    </row>
    <row r="79" spans="3:6" x14ac:dyDescent="0.2">
      <c r="C79" s="32"/>
      <c r="D79" s="33"/>
      <c r="E79" s="33"/>
      <c r="F79" s="34"/>
    </row>
    <row r="80" spans="3:6" x14ac:dyDescent="0.2">
      <c r="C80" s="32"/>
      <c r="D80" s="33"/>
      <c r="E80" s="33"/>
      <c r="F80" s="34"/>
    </row>
    <row r="81" spans="3:6" x14ac:dyDescent="0.2">
      <c r="C81" s="32"/>
      <c r="D81" s="33"/>
      <c r="E81" s="33"/>
      <c r="F81" s="34"/>
    </row>
    <row r="82" spans="3:6" x14ac:dyDescent="0.2">
      <c r="C82" s="32" t="s">
        <v>78</v>
      </c>
      <c r="D82" s="35" t="s">
        <v>54</v>
      </c>
      <c r="E82" s="35"/>
      <c r="F82" s="36"/>
    </row>
    <row r="83" spans="3:6" ht="12.75" customHeight="1" x14ac:dyDescent="0.2">
      <c r="C83" s="32"/>
      <c r="D83" s="35"/>
      <c r="E83" s="35"/>
      <c r="F83" s="36"/>
    </row>
    <row r="84" spans="3:6" x14ac:dyDescent="0.2">
      <c r="C84" s="24" t="s">
        <v>55</v>
      </c>
      <c r="D84" s="26" t="s">
        <v>83</v>
      </c>
      <c r="E84" s="26"/>
      <c r="F84" s="27"/>
    </row>
    <row r="85" spans="3:6" x14ac:dyDescent="0.2">
      <c r="C85" s="24"/>
      <c r="D85" s="26"/>
      <c r="E85" s="26"/>
      <c r="F85" s="27"/>
    </row>
    <row r="86" spans="3:6" x14ac:dyDescent="0.2">
      <c r="C86" s="24" t="s">
        <v>56</v>
      </c>
      <c r="D86" s="33" t="s">
        <v>57</v>
      </c>
      <c r="E86" s="33"/>
      <c r="F86" s="34"/>
    </row>
    <row r="87" spans="3:6" x14ac:dyDescent="0.2">
      <c r="C87" s="24"/>
      <c r="D87" s="33"/>
      <c r="E87" s="33"/>
      <c r="F87" s="34"/>
    </row>
    <row r="88" spans="3:6" x14ac:dyDescent="0.2">
      <c r="C88" s="24" t="s">
        <v>58</v>
      </c>
      <c r="D88" s="26"/>
      <c r="E88" s="26"/>
      <c r="F88" s="27"/>
    </row>
    <row r="89" spans="3:6" ht="13.5" thickBot="1" x14ac:dyDescent="0.25">
      <c r="C89" s="25"/>
      <c r="D89" s="28"/>
      <c r="E89" s="28"/>
      <c r="F89" s="29"/>
    </row>
    <row r="90" spans="3:6" ht="13.5" thickBot="1" x14ac:dyDescent="0.25"/>
    <row r="91" spans="3:6" x14ac:dyDescent="0.2">
      <c r="C91" s="37" t="s">
        <v>72</v>
      </c>
      <c r="D91" s="38"/>
      <c r="E91" s="38"/>
      <c r="F91" s="39"/>
    </row>
    <row r="92" spans="3:6" x14ac:dyDescent="0.2">
      <c r="C92" s="24"/>
      <c r="D92" s="40"/>
      <c r="E92" s="40"/>
      <c r="F92" s="41"/>
    </row>
    <row r="93" spans="3:6" x14ac:dyDescent="0.2">
      <c r="C93" s="24" t="s">
        <v>53</v>
      </c>
      <c r="D93" s="30"/>
      <c r="E93" s="30"/>
      <c r="F93" s="31"/>
    </row>
    <row r="94" spans="3:6" x14ac:dyDescent="0.2">
      <c r="C94" s="24"/>
      <c r="D94" s="30"/>
      <c r="E94" s="30"/>
      <c r="F94" s="31"/>
    </row>
    <row r="95" spans="3:6" x14ac:dyDescent="0.2">
      <c r="C95" s="32" t="s">
        <v>79</v>
      </c>
      <c r="D95" s="33" t="s">
        <v>80</v>
      </c>
      <c r="E95" s="33"/>
      <c r="F95" s="34"/>
    </row>
    <row r="96" spans="3:6" x14ac:dyDescent="0.2">
      <c r="C96" s="32"/>
      <c r="D96" s="33"/>
      <c r="E96" s="33"/>
      <c r="F96" s="34"/>
    </row>
    <row r="97" spans="3:6" x14ac:dyDescent="0.2">
      <c r="C97" s="32"/>
      <c r="D97" s="33"/>
      <c r="E97" s="33"/>
      <c r="F97" s="34"/>
    </row>
    <row r="98" spans="3:6" x14ac:dyDescent="0.2">
      <c r="C98" s="32"/>
      <c r="D98" s="33"/>
      <c r="E98" s="33"/>
      <c r="F98" s="34"/>
    </row>
    <row r="99" spans="3:6" x14ac:dyDescent="0.2">
      <c r="C99" s="32"/>
      <c r="D99" s="33"/>
      <c r="E99" s="33"/>
      <c r="F99" s="34"/>
    </row>
    <row r="100" spans="3:6" ht="12.75" customHeight="1" x14ac:dyDescent="0.2">
      <c r="C100" s="32"/>
      <c r="D100" s="33"/>
      <c r="E100" s="33"/>
      <c r="F100" s="34"/>
    </row>
    <row r="101" spans="3:6" x14ac:dyDescent="0.2">
      <c r="C101" s="32"/>
      <c r="D101" s="33"/>
      <c r="E101" s="33"/>
      <c r="F101" s="34"/>
    </row>
    <row r="102" spans="3:6" x14ac:dyDescent="0.2">
      <c r="C102" s="32"/>
      <c r="D102" s="33"/>
      <c r="E102" s="33"/>
      <c r="F102" s="34"/>
    </row>
    <row r="103" spans="3:6" x14ac:dyDescent="0.2">
      <c r="C103" s="32" t="s">
        <v>78</v>
      </c>
      <c r="D103" s="35" t="s">
        <v>54</v>
      </c>
      <c r="E103" s="35"/>
      <c r="F103" s="36"/>
    </row>
    <row r="104" spans="3:6" x14ac:dyDescent="0.2">
      <c r="C104" s="32"/>
      <c r="D104" s="35"/>
      <c r="E104" s="35"/>
      <c r="F104" s="36"/>
    </row>
    <row r="105" spans="3:6" x14ac:dyDescent="0.2">
      <c r="C105" s="24" t="s">
        <v>55</v>
      </c>
      <c r="D105" s="26" t="s">
        <v>83</v>
      </c>
      <c r="E105" s="26"/>
      <c r="F105" s="27"/>
    </row>
    <row r="106" spans="3:6" x14ac:dyDescent="0.2">
      <c r="C106" s="24"/>
      <c r="D106" s="26"/>
      <c r="E106" s="26"/>
      <c r="F106" s="27"/>
    </row>
    <row r="107" spans="3:6" x14ac:dyDescent="0.2">
      <c r="C107" s="24" t="s">
        <v>56</v>
      </c>
      <c r="D107" s="33" t="s">
        <v>57</v>
      </c>
      <c r="E107" s="33"/>
      <c r="F107" s="34"/>
    </row>
    <row r="108" spans="3:6" x14ac:dyDescent="0.2">
      <c r="C108" s="24"/>
      <c r="D108" s="33"/>
      <c r="E108" s="33"/>
      <c r="F108" s="34"/>
    </row>
    <row r="109" spans="3:6" x14ac:dyDescent="0.2">
      <c r="C109" s="24" t="s">
        <v>58</v>
      </c>
      <c r="D109" s="26"/>
      <c r="E109" s="26"/>
      <c r="F109" s="27"/>
    </row>
    <row r="110" spans="3:6" ht="13.5" thickBot="1" x14ac:dyDescent="0.25">
      <c r="C110" s="25"/>
      <c r="D110" s="28"/>
      <c r="E110" s="28"/>
      <c r="F110" s="29"/>
    </row>
    <row r="111" spans="3:6" ht="13.5" thickBot="1" x14ac:dyDescent="0.25"/>
    <row r="112" spans="3:6" x14ac:dyDescent="0.2">
      <c r="C112" s="37" t="s">
        <v>73</v>
      </c>
      <c r="D112" s="38"/>
      <c r="E112" s="38"/>
      <c r="F112" s="39"/>
    </row>
    <row r="113" spans="3:6" x14ac:dyDescent="0.2">
      <c r="C113" s="24"/>
      <c r="D113" s="40"/>
      <c r="E113" s="40"/>
      <c r="F113" s="41"/>
    </row>
    <row r="114" spans="3:6" x14ac:dyDescent="0.2">
      <c r="C114" s="24" t="s">
        <v>53</v>
      </c>
      <c r="D114" s="30"/>
      <c r="E114" s="30"/>
      <c r="F114" s="31"/>
    </row>
    <row r="115" spans="3:6" x14ac:dyDescent="0.2">
      <c r="C115" s="24"/>
      <c r="D115" s="30"/>
      <c r="E115" s="30"/>
      <c r="F115" s="31"/>
    </row>
    <row r="116" spans="3:6" x14ac:dyDescent="0.2">
      <c r="C116" s="32" t="s">
        <v>79</v>
      </c>
      <c r="D116" s="33" t="s">
        <v>80</v>
      </c>
      <c r="E116" s="33"/>
      <c r="F116" s="34"/>
    </row>
    <row r="117" spans="3:6" ht="12.75" customHeight="1" x14ac:dyDescent="0.2">
      <c r="C117" s="32"/>
      <c r="D117" s="33"/>
      <c r="E117" s="33"/>
      <c r="F117" s="34"/>
    </row>
    <row r="118" spans="3:6" x14ac:dyDescent="0.2">
      <c r="C118" s="32"/>
      <c r="D118" s="33"/>
      <c r="E118" s="33"/>
      <c r="F118" s="34"/>
    </row>
    <row r="119" spans="3:6" x14ac:dyDescent="0.2">
      <c r="C119" s="32"/>
      <c r="D119" s="33"/>
      <c r="E119" s="33"/>
      <c r="F119" s="34"/>
    </row>
    <row r="120" spans="3:6" x14ac:dyDescent="0.2">
      <c r="C120" s="32"/>
      <c r="D120" s="33"/>
      <c r="E120" s="33"/>
      <c r="F120" s="34"/>
    </row>
    <row r="121" spans="3:6" x14ac:dyDescent="0.2">
      <c r="C121" s="32"/>
      <c r="D121" s="33"/>
      <c r="E121" s="33"/>
      <c r="F121" s="34"/>
    </row>
    <row r="122" spans="3:6" x14ac:dyDescent="0.2">
      <c r="C122" s="32"/>
      <c r="D122" s="33"/>
      <c r="E122" s="33"/>
      <c r="F122" s="34"/>
    </row>
    <row r="123" spans="3:6" x14ac:dyDescent="0.2">
      <c r="C123" s="32"/>
      <c r="D123" s="33"/>
      <c r="E123" s="33"/>
      <c r="F123" s="34"/>
    </row>
    <row r="124" spans="3:6" x14ac:dyDescent="0.2">
      <c r="C124" s="32" t="s">
        <v>78</v>
      </c>
      <c r="D124" s="35" t="s">
        <v>54</v>
      </c>
      <c r="E124" s="35"/>
      <c r="F124" s="36"/>
    </row>
    <row r="125" spans="3:6" x14ac:dyDescent="0.2">
      <c r="C125" s="32"/>
      <c r="D125" s="35"/>
      <c r="E125" s="35"/>
      <c r="F125" s="36"/>
    </row>
    <row r="126" spans="3:6" x14ac:dyDescent="0.2">
      <c r="C126" s="24" t="s">
        <v>55</v>
      </c>
      <c r="D126" s="26" t="s">
        <v>83</v>
      </c>
      <c r="E126" s="26"/>
      <c r="F126" s="27"/>
    </row>
    <row r="127" spans="3:6" x14ac:dyDescent="0.2">
      <c r="C127" s="24"/>
      <c r="D127" s="26"/>
      <c r="E127" s="26"/>
      <c r="F127" s="27"/>
    </row>
    <row r="128" spans="3:6" x14ac:dyDescent="0.2">
      <c r="C128" s="24" t="s">
        <v>56</v>
      </c>
      <c r="D128" s="33" t="s">
        <v>57</v>
      </c>
      <c r="E128" s="33"/>
      <c r="F128" s="34"/>
    </row>
    <row r="129" spans="3:6" x14ac:dyDescent="0.2">
      <c r="C129" s="24"/>
      <c r="D129" s="33"/>
      <c r="E129" s="33"/>
      <c r="F129" s="34"/>
    </row>
    <row r="130" spans="3:6" x14ac:dyDescent="0.2">
      <c r="C130" s="24" t="s">
        <v>58</v>
      </c>
      <c r="D130" s="26"/>
      <c r="E130" s="26"/>
      <c r="F130" s="27"/>
    </row>
    <row r="131" spans="3:6" ht="13.5" thickBot="1" x14ac:dyDescent="0.25">
      <c r="C131" s="25"/>
      <c r="D131" s="28"/>
      <c r="E131" s="28"/>
      <c r="F131" s="29"/>
    </row>
    <row r="132" spans="3:6" ht="13.5" thickBot="1" x14ac:dyDescent="0.25"/>
    <row r="133" spans="3:6" x14ac:dyDescent="0.2">
      <c r="C133" s="37" t="s">
        <v>74</v>
      </c>
      <c r="D133" s="38"/>
      <c r="E133" s="38"/>
      <c r="F133" s="39"/>
    </row>
    <row r="134" spans="3:6" ht="12.75" customHeight="1" x14ac:dyDescent="0.2">
      <c r="C134" s="24"/>
      <c r="D134" s="40"/>
      <c r="E134" s="40"/>
      <c r="F134" s="41"/>
    </row>
    <row r="135" spans="3:6" x14ac:dyDescent="0.2">
      <c r="C135" s="24" t="s">
        <v>53</v>
      </c>
      <c r="D135" s="30"/>
      <c r="E135" s="30"/>
      <c r="F135" s="31"/>
    </row>
    <row r="136" spans="3:6" x14ac:dyDescent="0.2">
      <c r="C136" s="24"/>
      <c r="D136" s="30"/>
      <c r="E136" s="30"/>
      <c r="F136" s="31"/>
    </row>
    <row r="137" spans="3:6" x14ac:dyDescent="0.2">
      <c r="C137" s="32" t="s">
        <v>79</v>
      </c>
      <c r="D137" s="33" t="s">
        <v>80</v>
      </c>
      <c r="E137" s="33"/>
      <c r="F137" s="34"/>
    </row>
    <row r="138" spans="3:6" x14ac:dyDescent="0.2">
      <c r="C138" s="32"/>
      <c r="D138" s="33"/>
      <c r="E138" s="33"/>
      <c r="F138" s="34"/>
    </row>
    <row r="139" spans="3:6" x14ac:dyDescent="0.2">
      <c r="C139" s="32"/>
      <c r="D139" s="33"/>
      <c r="E139" s="33"/>
      <c r="F139" s="34"/>
    </row>
    <row r="140" spans="3:6" ht="13.5" customHeight="1" x14ac:dyDescent="0.2">
      <c r="C140" s="32"/>
      <c r="D140" s="33"/>
      <c r="E140" s="33"/>
      <c r="F140" s="34"/>
    </row>
    <row r="141" spans="3:6" ht="18" customHeight="1" x14ac:dyDescent="0.2">
      <c r="C141" s="32"/>
      <c r="D141" s="33"/>
      <c r="E141" s="33"/>
      <c r="F141" s="34"/>
    </row>
    <row r="142" spans="3:6" x14ac:dyDescent="0.2">
      <c r="C142" s="32"/>
      <c r="D142" s="33"/>
      <c r="E142" s="33"/>
      <c r="F142" s="34"/>
    </row>
    <row r="143" spans="3:6" ht="17.25" customHeight="1" x14ac:dyDescent="0.2">
      <c r="C143" s="32"/>
      <c r="D143" s="33"/>
      <c r="E143" s="33"/>
      <c r="F143" s="34"/>
    </row>
    <row r="144" spans="3:6" x14ac:dyDescent="0.2">
      <c r="C144" s="32"/>
      <c r="D144" s="33"/>
      <c r="E144" s="33"/>
      <c r="F144" s="34"/>
    </row>
    <row r="145" spans="3:6" x14ac:dyDescent="0.2">
      <c r="C145" s="32" t="s">
        <v>78</v>
      </c>
      <c r="D145" s="35" t="s">
        <v>54</v>
      </c>
      <c r="E145" s="35"/>
      <c r="F145" s="36"/>
    </row>
    <row r="146" spans="3:6" x14ac:dyDescent="0.2">
      <c r="C146" s="32"/>
      <c r="D146" s="35"/>
      <c r="E146" s="35"/>
      <c r="F146" s="36"/>
    </row>
    <row r="147" spans="3:6" x14ac:dyDescent="0.2">
      <c r="C147" s="24" t="s">
        <v>55</v>
      </c>
      <c r="D147" s="26" t="s">
        <v>83</v>
      </c>
      <c r="E147" s="26"/>
      <c r="F147" s="27"/>
    </row>
    <row r="148" spans="3:6" ht="12.75" customHeight="1" x14ac:dyDescent="0.2">
      <c r="C148" s="24"/>
      <c r="D148" s="26"/>
      <c r="E148" s="26"/>
      <c r="F148" s="27"/>
    </row>
    <row r="149" spans="3:6" x14ac:dyDescent="0.2">
      <c r="C149" s="24" t="s">
        <v>56</v>
      </c>
      <c r="D149" s="33" t="s">
        <v>57</v>
      </c>
      <c r="E149" s="33"/>
      <c r="F149" s="34"/>
    </row>
    <row r="150" spans="3:6" x14ac:dyDescent="0.2">
      <c r="C150" s="24"/>
      <c r="D150" s="33"/>
      <c r="E150" s="33"/>
      <c r="F150" s="34"/>
    </row>
    <row r="151" spans="3:6" x14ac:dyDescent="0.2">
      <c r="C151" s="24" t="s">
        <v>58</v>
      </c>
      <c r="D151" s="26"/>
      <c r="E151" s="26"/>
      <c r="F151" s="27"/>
    </row>
    <row r="152" spans="3:6" ht="13.5" thickBot="1" x14ac:dyDescent="0.25">
      <c r="C152" s="25"/>
      <c r="D152" s="28"/>
      <c r="E152" s="28"/>
      <c r="F152" s="29"/>
    </row>
    <row r="153" spans="3:6" ht="13.5" thickBot="1" x14ac:dyDescent="0.25"/>
    <row r="154" spans="3:6" x14ac:dyDescent="0.2">
      <c r="C154" s="37" t="s">
        <v>75</v>
      </c>
      <c r="D154" s="38"/>
      <c r="E154" s="38"/>
      <c r="F154" s="39"/>
    </row>
    <row r="155" spans="3:6" x14ac:dyDescent="0.2">
      <c r="C155" s="24"/>
      <c r="D155" s="40"/>
      <c r="E155" s="40"/>
      <c r="F155" s="41"/>
    </row>
    <row r="156" spans="3:6" x14ac:dyDescent="0.2">
      <c r="C156" s="24" t="s">
        <v>53</v>
      </c>
      <c r="D156" s="30"/>
      <c r="E156" s="30"/>
      <c r="F156" s="31"/>
    </row>
    <row r="157" spans="3:6" x14ac:dyDescent="0.2">
      <c r="C157" s="24"/>
      <c r="D157" s="30"/>
      <c r="E157" s="30"/>
      <c r="F157" s="31"/>
    </row>
    <row r="158" spans="3:6" x14ac:dyDescent="0.2">
      <c r="C158" s="32" t="s">
        <v>79</v>
      </c>
      <c r="D158" s="33" t="s">
        <v>80</v>
      </c>
      <c r="E158" s="33"/>
      <c r="F158" s="34"/>
    </row>
    <row r="159" spans="3:6" x14ac:dyDescent="0.2">
      <c r="C159" s="32"/>
      <c r="D159" s="33"/>
      <c r="E159" s="33"/>
      <c r="F159" s="34"/>
    </row>
    <row r="160" spans="3:6" x14ac:dyDescent="0.2">
      <c r="C160" s="32"/>
      <c r="D160" s="33"/>
      <c r="E160" s="33"/>
      <c r="F160" s="34"/>
    </row>
    <row r="161" spans="3:6" x14ac:dyDescent="0.2">
      <c r="C161" s="32"/>
      <c r="D161" s="33"/>
      <c r="E161" s="33"/>
      <c r="F161" s="34"/>
    </row>
    <row r="162" spans="3:6" x14ac:dyDescent="0.2">
      <c r="C162" s="32"/>
      <c r="D162" s="33"/>
      <c r="E162" s="33"/>
      <c r="F162" s="34"/>
    </row>
    <row r="163" spans="3:6" x14ac:dyDescent="0.2">
      <c r="C163" s="32"/>
      <c r="D163" s="33"/>
      <c r="E163" s="33"/>
      <c r="F163" s="34"/>
    </row>
    <row r="164" spans="3:6" x14ac:dyDescent="0.2">
      <c r="C164" s="32"/>
      <c r="D164" s="33"/>
      <c r="E164" s="33"/>
      <c r="F164" s="34"/>
    </row>
    <row r="165" spans="3:6" x14ac:dyDescent="0.2">
      <c r="C165" s="32"/>
      <c r="D165" s="33"/>
      <c r="E165" s="33"/>
      <c r="F165" s="34"/>
    </row>
    <row r="166" spans="3:6" x14ac:dyDescent="0.2">
      <c r="C166" s="32" t="s">
        <v>78</v>
      </c>
      <c r="D166" s="35" t="s">
        <v>54</v>
      </c>
      <c r="E166" s="35"/>
      <c r="F166" s="36"/>
    </row>
    <row r="167" spans="3:6" x14ac:dyDescent="0.2">
      <c r="C167" s="32"/>
      <c r="D167" s="35"/>
      <c r="E167" s="35"/>
      <c r="F167" s="36"/>
    </row>
    <row r="168" spans="3:6" ht="12.75" customHeight="1" x14ac:dyDescent="0.2">
      <c r="C168" s="24" t="s">
        <v>55</v>
      </c>
      <c r="D168" s="26" t="s">
        <v>83</v>
      </c>
      <c r="E168" s="26"/>
      <c r="F168" s="27"/>
    </row>
    <row r="169" spans="3:6" x14ac:dyDescent="0.2">
      <c r="C169" s="24"/>
      <c r="D169" s="26"/>
      <c r="E169" s="26"/>
      <c r="F169" s="27"/>
    </row>
    <row r="170" spans="3:6" x14ac:dyDescent="0.2">
      <c r="C170" s="24" t="s">
        <v>56</v>
      </c>
      <c r="D170" s="33" t="s">
        <v>57</v>
      </c>
      <c r="E170" s="33"/>
      <c r="F170" s="34"/>
    </row>
    <row r="171" spans="3:6" x14ac:dyDescent="0.2">
      <c r="C171" s="24"/>
      <c r="D171" s="33"/>
      <c r="E171" s="33"/>
      <c r="F171" s="34"/>
    </row>
    <row r="172" spans="3:6" x14ac:dyDescent="0.2">
      <c r="C172" s="24" t="s">
        <v>58</v>
      </c>
      <c r="D172" s="26"/>
      <c r="E172" s="26"/>
      <c r="F172" s="27"/>
    </row>
    <row r="173" spans="3:6" ht="13.5" thickBot="1" x14ac:dyDescent="0.25">
      <c r="C173" s="25"/>
      <c r="D173" s="28"/>
      <c r="E173" s="28"/>
      <c r="F173" s="29"/>
    </row>
    <row r="174" spans="3:6" ht="13.5" thickBot="1" x14ac:dyDescent="0.25"/>
    <row r="175" spans="3:6" x14ac:dyDescent="0.2">
      <c r="C175" s="37" t="s">
        <v>76</v>
      </c>
      <c r="D175" s="38"/>
      <c r="E175" s="38"/>
      <c r="F175" s="39"/>
    </row>
    <row r="176" spans="3:6" x14ac:dyDescent="0.2">
      <c r="C176" s="24"/>
      <c r="D176" s="40"/>
      <c r="E176" s="40"/>
      <c r="F176" s="41"/>
    </row>
    <row r="177" spans="3:6" x14ac:dyDescent="0.2">
      <c r="C177" s="24" t="s">
        <v>53</v>
      </c>
      <c r="D177" s="30"/>
      <c r="E177" s="30"/>
      <c r="F177" s="31"/>
    </row>
    <row r="178" spans="3:6" x14ac:dyDescent="0.2">
      <c r="C178" s="24"/>
      <c r="D178" s="30"/>
      <c r="E178" s="30"/>
      <c r="F178" s="31"/>
    </row>
    <row r="179" spans="3:6" x14ac:dyDescent="0.2">
      <c r="C179" s="32" t="s">
        <v>79</v>
      </c>
      <c r="D179" s="33" t="s">
        <v>80</v>
      </c>
      <c r="E179" s="33"/>
      <c r="F179" s="34"/>
    </row>
    <row r="180" spans="3:6" x14ac:dyDescent="0.2">
      <c r="C180" s="32"/>
      <c r="D180" s="33"/>
      <c r="E180" s="33"/>
      <c r="F180" s="34"/>
    </row>
    <row r="181" spans="3:6" x14ac:dyDescent="0.2">
      <c r="C181" s="32"/>
      <c r="D181" s="33"/>
      <c r="E181" s="33"/>
      <c r="F181" s="34"/>
    </row>
    <row r="182" spans="3:6" x14ac:dyDescent="0.2">
      <c r="C182" s="32"/>
      <c r="D182" s="33"/>
      <c r="E182" s="33"/>
      <c r="F182" s="34"/>
    </row>
    <row r="183" spans="3:6" x14ac:dyDescent="0.2">
      <c r="C183" s="32"/>
      <c r="D183" s="33"/>
      <c r="E183" s="33"/>
      <c r="F183" s="34"/>
    </row>
    <row r="184" spans="3:6" x14ac:dyDescent="0.2">
      <c r="C184" s="32"/>
      <c r="D184" s="33"/>
      <c r="E184" s="33"/>
      <c r="F184" s="34"/>
    </row>
    <row r="185" spans="3:6" ht="12.75" customHeight="1" x14ac:dyDescent="0.2">
      <c r="C185" s="32"/>
      <c r="D185" s="33"/>
      <c r="E185" s="33"/>
      <c r="F185" s="34"/>
    </row>
    <row r="186" spans="3:6" x14ac:dyDescent="0.2">
      <c r="C186" s="32"/>
      <c r="D186" s="33"/>
      <c r="E186" s="33"/>
      <c r="F186" s="34"/>
    </row>
    <row r="187" spans="3:6" x14ac:dyDescent="0.2">
      <c r="C187" s="32" t="s">
        <v>78</v>
      </c>
      <c r="D187" s="35" t="s">
        <v>54</v>
      </c>
      <c r="E187" s="35"/>
      <c r="F187" s="36"/>
    </row>
    <row r="188" spans="3:6" x14ac:dyDescent="0.2">
      <c r="C188" s="32"/>
      <c r="D188" s="35"/>
      <c r="E188" s="35"/>
      <c r="F188" s="36"/>
    </row>
    <row r="189" spans="3:6" x14ac:dyDescent="0.2">
      <c r="C189" s="24" t="s">
        <v>55</v>
      </c>
      <c r="D189" s="26" t="s">
        <v>83</v>
      </c>
      <c r="E189" s="26"/>
      <c r="F189" s="27"/>
    </row>
    <row r="190" spans="3:6" x14ac:dyDescent="0.2">
      <c r="C190" s="24"/>
      <c r="D190" s="26"/>
      <c r="E190" s="26"/>
      <c r="F190" s="27"/>
    </row>
    <row r="191" spans="3:6" x14ac:dyDescent="0.2">
      <c r="C191" s="24" t="s">
        <v>56</v>
      </c>
      <c r="D191" s="33" t="s">
        <v>57</v>
      </c>
      <c r="E191" s="33"/>
      <c r="F191" s="34"/>
    </row>
    <row r="192" spans="3:6" x14ac:dyDescent="0.2">
      <c r="C192" s="24"/>
      <c r="D192" s="33"/>
      <c r="E192" s="33"/>
      <c r="F192" s="34"/>
    </row>
    <row r="193" spans="3:6" x14ac:dyDescent="0.2">
      <c r="C193" s="24" t="s">
        <v>58</v>
      </c>
      <c r="D193" s="26"/>
      <c r="E193" s="26"/>
      <c r="F193" s="27"/>
    </row>
    <row r="194" spans="3:6" ht="13.5" thickBot="1" x14ac:dyDescent="0.25">
      <c r="C194" s="25"/>
      <c r="D194" s="28"/>
      <c r="E194" s="28"/>
      <c r="F194" s="29"/>
    </row>
    <row r="195" spans="3:6" ht="12.75" customHeight="1" thickBot="1" x14ac:dyDescent="0.25"/>
    <row r="196" spans="3:6" x14ac:dyDescent="0.2">
      <c r="C196" s="37" t="s">
        <v>81</v>
      </c>
      <c r="D196" s="38"/>
      <c r="E196" s="38"/>
      <c r="F196" s="39"/>
    </row>
    <row r="197" spans="3:6" x14ac:dyDescent="0.2">
      <c r="C197" s="24"/>
      <c r="D197" s="40"/>
      <c r="E197" s="40"/>
      <c r="F197" s="41"/>
    </row>
    <row r="198" spans="3:6" x14ac:dyDescent="0.2">
      <c r="C198" s="24" t="s">
        <v>53</v>
      </c>
      <c r="D198" s="33" t="s">
        <v>82</v>
      </c>
      <c r="E198" s="33"/>
      <c r="F198" s="34"/>
    </row>
    <row r="199" spans="3:6" x14ac:dyDescent="0.2">
      <c r="C199" s="24"/>
      <c r="D199" s="33"/>
      <c r="E199" s="33"/>
      <c r="F199" s="34"/>
    </row>
    <row r="200" spans="3:6" x14ac:dyDescent="0.2">
      <c r="C200" s="32" t="s">
        <v>79</v>
      </c>
      <c r="D200" s="33" t="s">
        <v>80</v>
      </c>
      <c r="E200" s="33"/>
      <c r="F200" s="34"/>
    </row>
    <row r="201" spans="3:6" x14ac:dyDescent="0.2">
      <c r="C201" s="32"/>
      <c r="D201" s="33"/>
      <c r="E201" s="33"/>
      <c r="F201" s="34"/>
    </row>
    <row r="202" spans="3:6" x14ac:dyDescent="0.2">
      <c r="C202" s="32"/>
      <c r="D202" s="33"/>
      <c r="E202" s="33"/>
      <c r="F202" s="34"/>
    </row>
    <row r="203" spans="3:6" x14ac:dyDescent="0.2">
      <c r="C203" s="32"/>
      <c r="D203" s="33"/>
      <c r="E203" s="33"/>
      <c r="F203" s="34"/>
    </row>
    <row r="204" spans="3:6" x14ac:dyDescent="0.2">
      <c r="C204" s="32"/>
      <c r="D204" s="33"/>
      <c r="E204" s="33"/>
      <c r="F204" s="34"/>
    </row>
    <row r="205" spans="3:6" x14ac:dyDescent="0.2">
      <c r="C205" s="32"/>
      <c r="D205" s="33"/>
      <c r="E205" s="33"/>
      <c r="F205" s="34"/>
    </row>
    <row r="206" spans="3:6" x14ac:dyDescent="0.2">
      <c r="C206" s="32"/>
      <c r="D206" s="33"/>
      <c r="E206" s="33"/>
      <c r="F206" s="34"/>
    </row>
    <row r="207" spans="3:6" x14ac:dyDescent="0.2">
      <c r="C207" s="32"/>
      <c r="D207" s="33"/>
      <c r="E207" s="33"/>
      <c r="F207" s="34"/>
    </row>
    <row r="208" spans="3:6" x14ac:dyDescent="0.2">
      <c r="C208" s="32" t="s">
        <v>78</v>
      </c>
      <c r="D208" s="35" t="s">
        <v>54</v>
      </c>
      <c r="E208" s="35"/>
      <c r="F208" s="36"/>
    </row>
    <row r="209" spans="3:6" x14ac:dyDescent="0.2">
      <c r="C209" s="32"/>
      <c r="D209" s="35"/>
      <c r="E209" s="35"/>
      <c r="F209" s="36"/>
    </row>
    <row r="210" spans="3:6" x14ac:dyDescent="0.2">
      <c r="C210" s="24" t="s">
        <v>55</v>
      </c>
      <c r="D210" s="26" t="s">
        <v>83</v>
      </c>
      <c r="E210" s="26"/>
      <c r="F210" s="27"/>
    </row>
    <row r="211" spans="3:6" x14ac:dyDescent="0.2">
      <c r="C211" s="24"/>
      <c r="D211" s="26"/>
      <c r="E211" s="26"/>
      <c r="F211" s="27"/>
    </row>
    <row r="212" spans="3:6" ht="12.75" customHeight="1" x14ac:dyDescent="0.2">
      <c r="C212" s="24" t="s">
        <v>56</v>
      </c>
      <c r="D212" s="33" t="s">
        <v>57</v>
      </c>
      <c r="E212" s="33"/>
      <c r="F212" s="34"/>
    </row>
    <row r="213" spans="3:6" ht="13.5" customHeight="1" x14ac:dyDescent="0.2">
      <c r="C213" s="24"/>
      <c r="D213" s="33"/>
      <c r="E213" s="33"/>
      <c r="F213" s="34"/>
    </row>
    <row r="214" spans="3:6" x14ac:dyDescent="0.2">
      <c r="C214" s="24" t="s">
        <v>58</v>
      </c>
      <c r="D214" s="26"/>
      <c r="E214" s="26"/>
      <c r="F214" s="27"/>
    </row>
    <row r="215" spans="3:6" ht="13.5" thickBot="1" x14ac:dyDescent="0.25">
      <c r="C215" s="25"/>
      <c r="D215" s="28"/>
      <c r="E215" s="28"/>
      <c r="F215" s="29"/>
    </row>
    <row r="216" spans="3:6" ht="13.5" thickBot="1" x14ac:dyDescent="0.25"/>
    <row r="217" spans="3:6" x14ac:dyDescent="0.2">
      <c r="C217" s="37" t="s">
        <v>67</v>
      </c>
      <c r="D217" s="38"/>
      <c r="E217" s="38"/>
      <c r="F217" s="39"/>
    </row>
    <row r="218" spans="3:6" x14ac:dyDescent="0.2">
      <c r="C218" s="24"/>
      <c r="D218" s="40"/>
      <c r="E218" s="40"/>
      <c r="F218" s="41"/>
    </row>
    <row r="219" spans="3:6" x14ac:dyDescent="0.2">
      <c r="C219" s="24" t="s">
        <v>53</v>
      </c>
      <c r="D219" s="30"/>
      <c r="E219" s="30"/>
      <c r="F219" s="31"/>
    </row>
    <row r="220" spans="3:6" x14ac:dyDescent="0.2">
      <c r="C220" s="24"/>
      <c r="D220" s="30"/>
      <c r="E220" s="30"/>
      <c r="F220" s="31"/>
    </row>
    <row r="221" spans="3:6" x14ac:dyDescent="0.2">
      <c r="C221" s="32" t="s">
        <v>79</v>
      </c>
      <c r="D221" s="33" t="s">
        <v>80</v>
      </c>
      <c r="E221" s="33"/>
      <c r="F221" s="34"/>
    </row>
    <row r="222" spans="3:6" x14ac:dyDescent="0.2">
      <c r="C222" s="32"/>
      <c r="D222" s="33"/>
      <c r="E222" s="33"/>
      <c r="F222" s="34"/>
    </row>
    <row r="223" spans="3:6" x14ac:dyDescent="0.2">
      <c r="C223" s="32"/>
      <c r="D223" s="33"/>
      <c r="E223" s="33"/>
      <c r="F223" s="34"/>
    </row>
    <row r="224" spans="3:6" x14ac:dyDescent="0.2">
      <c r="C224" s="32"/>
      <c r="D224" s="33"/>
      <c r="E224" s="33"/>
      <c r="F224" s="34"/>
    </row>
    <row r="225" spans="2:6" x14ac:dyDescent="0.2">
      <c r="C225" s="32"/>
      <c r="D225" s="33"/>
      <c r="E225" s="33"/>
      <c r="F225" s="34"/>
    </row>
    <row r="226" spans="2:6" x14ac:dyDescent="0.2">
      <c r="C226" s="32"/>
      <c r="D226" s="33"/>
      <c r="E226" s="33"/>
      <c r="F226" s="34"/>
    </row>
    <row r="227" spans="2:6" x14ac:dyDescent="0.2">
      <c r="C227" s="32"/>
      <c r="D227" s="33"/>
      <c r="E227" s="33"/>
      <c r="F227" s="34"/>
    </row>
    <row r="228" spans="2:6" x14ac:dyDescent="0.2">
      <c r="C228" s="32"/>
      <c r="D228" s="33"/>
      <c r="E228" s="33"/>
      <c r="F228" s="34"/>
    </row>
    <row r="229" spans="2:6" x14ac:dyDescent="0.2">
      <c r="C229" s="32" t="s">
        <v>78</v>
      </c>
      <c r="D229" s="35" t="s">
        <v>54</v>
      </c>
      <c r="E229" s="35"/>
      <c r="F229" s="36"/>
    </row>
    <row r="230" spans="2:6" x14ac:dyDescent="0.2">
      <c r="C230" s="32"/>
      <c r="D230" s="35"/>
      <c r="E230" s="35"/>
      <c r="F230" s="36"/>
    </row>
    <row r="231" spans="2:6" x14ac:dyDescent="0.2">
      <c r="C231" s="24" t="s">
        <v>55</v>
      </c>
      <c r="D231" s="26" t="s">
        <v>83</v>
      </c>
      <c r="E231" s="26"/>
      <c r="F231" s="27"/>
    </row>
    <row r="232" spans="2:6" x14ac:dyDescent="0.2">
      <c r="C232" s="24"/>
      <c r="D232" s="26"/>
      <c r="E232" s="26"/>
      <c r="F232" s="27"/>
    </row>
    <row r="233" spans="2:6" x14ac:dyDescent="0.2">
      <c r="C233" s="24" t="s">
        <v>56</v>
      </c>
      <c r="D233" s="33" t="s">
        <v>57</v>
      </c>
      <c r="E233" s="33"/>
      <c r="F233" s="34"/>
    </row>
    <row r="234" spans="2:6" x14ac:dyDescent="0.2">
      <c r="C234" s="24"/>
      <c r="D234" s="33"/>
      <c r="E234" s="33"/>
      <c r="F234" s="34"/>
    </row>
    <row r="235" spans="2:6" x14ac:dyDescent="0.2">
      <c r="C235" s="24" t="s">
        <v>58</v>
      </c>
      <c r="D235" s="26"/>
      <c r="E235" s="26"/>
      <c r="F235" s="27"/>
    </row>
    <row r="236" spans="2:6" ht="12.75" customHeight="1" thickBot="1" x14ac:dyDescent="0.25">
      <c r="C236" s="25"/>
      <c r="D236" s="28"/>
      <c r="E236" s="28"/>
      <c r="F236" s="29"/>
    </row>
    <row r="237" spans="2:6" ht="13.5" thickBot="1" x14ac:dyDescent="0.25">
      <c r="B237" s="21"/>
    </row>
    <row r="238" spans="2:6" x14ac:dyDescent="0.2">
      <c r="B238" s="21"/>
      <c r="C238" s="37" t="s">
        <v>68</v>
      </c>
      <c r="D238" s="38"/>
      <c r="E238" s="38"/>
      <c r="F238" s="39"/>
    </row>
    <row r="239" spans="2:6" x14ac:dyDescent="0.2">
      <c r="B239" s="21"/>
      <c r="C239" s="24"/>
      <c r="D239" s="40"/>
      <c r="E239" s="40"/>
      <c r="F239" s="41"/>
    </row>
    <row r="240" spans="2:6" x14ac:dyDescent="0.2">
      <c r="B240" s="21"/>
      <c r="C240" s="24" t="s">
        <v>53</v>
      </c>
      <c r="D240" s="30"/>
      <c r="E240" s="30"/>
      <c r="F240" s="31"/>
    </row>
    <row r="241" spans="2:6" x14ac:dyDescent="0.2">
      <c r="B241" s="21"/>
      <c r="C241" s="24"/>
      <c r="D241" s="30"/>
      <c r="E241" s="30"/>
      <c r="F241" s="31"/>
    </row>
    <row r="242" spans="2:6" x14ac:dyDescent="0.2">
      <c r="B242" s="22"/>
      <c r="C242" s="32" t="s">
        <v>79</v>
      </c>
      <c r="D242" s="33" t="s">
        <v>80</v>
      </c>
      <c r="E242" s="33"/>
      <c r="F242" s="34"/>
    </row>
    <row r="243" spans="2:6" x14ac:dyDescent="0.2">
      <c r="B243" s="22"/>
      <c r="C243" s="32"/>
      <c r="D243" s="33"/>
      <c r="E243" s="33"/>
      <c r="F243" s="34"/>
    </row>
    <row r="244" spans="2:6" ht="12.75" customHeight="1" x14ac:dyDescent="0.2">
      <c r="B244" s="21"/>
      <c r="C244" s="32"/>
      <c r="D244" s="33"/>
      <c r="E244" s="33"/>
      <c r="F244" s="34"/>
    </row>
    <row r="245" spans="2:6" x14ac:dyDescent="0.2">
      <c r="B245" s="21"/>
      <c r="C245" s="32"/>
      <c r="D245" s="33"/>
      <c r="E245" s="33"/>
      <c r="F245" s="34"/>
    </row>
    <row r="246" spans="2:6" x14ac:dyDescent="0.2">
      <c r="B246" s="21"/>
      <c r="C246" s="32"/>
      <c r="D246" s="33"/>
      <c r="E246" s="33"/>
      <c r="F246" s="34"/>
    </row>
    <row r="247" spans="2:6" x14ac:dyDescent="0.2">
      <c r="B247" s="21"/>
      <c r="C247" s="32"/>
      <c r="D247" s="33"/>
      <c r="E247" s="33"/>
      <c r="F247" s="34"/>
    </row>
    <row r="248" spans="2:6" x14ac:dyDescent="0.2">
      <c r="B248" s="21"/>
      <c r="C248" s="32"/>
      <c r="D248" s="33"/>
      <c r="E248" s="33"/>
      <c r="F248" s="34"/>
    </row>
    <row r="249" spans="2:6" x14ac:dyDescent="0.2">
      <c r="B249" s="21"/>
      <c r="C249" s="32"/>
      <c r="D249" s="33"/>
      <c r="E249" s="33"/>
      <c r="F249" s="34"/>
    </row>
    <row r="250" spans="2:6" x14ac:dyDescent="0.2">
      <c r="B250" s="21"/>
      <c r="C250" s="32" t="s">
        <v>78</v>
      </c>
      <c r="D250" s="35" t="s">
        <v>54</v>
      </c>
      <c r="E250" s="35"/>
      <c r="F250" s="36"/>
    </row>
    <row r="251" spans="2:6" x14ac:dyDescent="0.2">
      <c r="C251" s="32"/>
      <c r="D251" s="35"/>
      <c r="E251" s="35"/>
      <c r="F251" s="36"/>
    </row>
    <row r="252" spans="2:6" x14ac:dyDescent="0.2">
      <c r="C252" s="24" t="s">
        <v>55</v>
      </c>
      <c r="D252" s="26" t="s">
        <v>83</v>
      </c>
      <c r="E252" s="26"/>
      <c r="F252" s="27"/>
    </row>
    <row r="253" spans="2:6" x14ac:dyDescent="0.2">
      <c r="C253" s="24"/>
      <c r="D253" s="26"/>
      <c r="E253" s="26"/>
      <c r="F253" s="27"/>
    </row>
    <row r="254" spans="2:6" x14ac:dyDescent="0.2">
      <c r="C254" s="24" t="s">
        <v>56</v>
      </c>
      <c r="D254" s="33" t="s">
        <v>57</v>
      </c>
      <c r="E254" s="33"/>
      <c r="F254" s="34"/>
    </row>
    <row r="255" spans="2:6" x14ac:dyDescent="0.2">
      <c r="C255" s="24"/>
      <c r="D255" s="33"/>
      <c r="E255" s="33"/>
      <c r="F255" s="34"/>
    </row>
    <row r="256" spans="2:6" x14ac:dyDescent="0.2">
      <c r="C256" s="24" t="s">
        <v>58</v>
      </c>
      <c r="D256" s="26"/>
      <c r="E256" s="26"/>
      <c r="F256" s="27"/>
    </row>
    <row r="257" spans="3:6" ht="13.5" thickBot="1" x14ac:dyDescent="0.25">
      <c r="C257" s="25"/>
      <c r="D257" s="28"/>
      <c r="E257" s="28"/>
      <c r="F257" s="29"/>
    </row>
    <row r="258" spans="3:6" ht="13.5" thickBot="1" x14ac:dyDescent="0.25"/>
    <row r="259" spans="3:6" x14ac:dyDescent="0.2">
      <c r="C259" s="37" t="s">
        <v>59</v>
      </c>
      <c r="D259" s="38"/>
      <c r="E259" s="38"/>
      <c r="F259" s="39"/>
    </row>
    <row r="260" spans="3:6" x14ac:dyDescent="0.2">
      <c r="C260" s="24"/>
      <c r="D260" s="40"/>
      <c r="E260" s="40"/>
      <c r="F260" s="41"/>
    </row>
    <row r="261" spans="3:6" x14ac:dyDescent="0.2">
      <c r="C261" s="24" t="s">
        <v>53</v>
      </c>
      <c r="D261" s="33" t="s">
        <v>77</v>
      </c>
      <c r="E261" s="33"/>
      <c r="F261" s="34"/>
    </row>
    <row r="262" spans="3:6" x14ac:dyDescent="0.2">
      <c r="C262" s="24"/>
      <c r="D262" s="33"/>
      <c r="E262" s="33"/>
      <c r="F262" s="34"/>
    </row>
    <row r="263" spans="3:6" x14ac:dyDescent="0.2">
      <c r="C263" s="32" t="s">
        <v>79</v>
      </c>
      <c r="D263" s="33" t="s">
        <v>80</v>
      </c>
      <c r="E263" s="33"/>
      <c r="F263" s="34"/>
    </row>
    <row r="264" spans="3:6" x14ac:dyDescent="0.2">
      <c r="C264" s="32"/>
      <c r="D264" s="33"/>
      <c r="E264" s="33"/>
      <c r="F264" s="34"/>
    </row>
    <row r="265" spans="3:6" x14ac:dyDescent="0.2">
      <c r="C265" s="32"/>
      <c r="D265" s="33"/>
      <c r="E265" s="33"/>
      <c r="F265" s="34"/>
    </row>
    <row r="266" spans="3:6" x14ac:dyDescent="0.2">
      <c r="C266" s="32"/>
      <c r="D266" s="33"/>
      <c r="E266" s="33"/>
      <c r="F266" s="34"/>
    </row>
    <row r="267" spans="3:6" x14ac:dyDescent="0.2">
      <c r="C267" s="32"/>
      <c r="D267" s="33"/>
      <c r="E267" s="33"/>
      <c r="F267" s="34"/>
    </row>
    <row r="268" spans="3:6" x14ac:dyDescent="0.2">
      <c r="C268" s="32"/>
      <c r="D268" s="33"/>
      <c r="E268" s="33"/>
      <c r="F268" s="34"/>
    </row>
    <row r="269" spans="3:6" x14ac:dyDescent="0.2">
      <c r="C269" s="32"/>
      <c r="D269" s="33"/>
      <c r="E269" s="33"/>
      <c r="F269" s="34"/>
    </row>
    <row r="270" spans="3:6" ht="12.75" customHeight="1" x14ac:dyDescent="0.2">
      <c r="C270" s="32"/>
      <c r="D270" s="33"/>
      <c r="E270" s="33"/>
      <c r="F270" s="34"/>
    </row>
    <row r="271" spans="3:6" x14ac:dyDescent="0.2">
      <c r="C271" s="32" t="s">
        <v>78</v>
      </c>
      <c r="D271" s="35" t="s">
        <v>54</v>
      </c>
      <c r="E271" s="35"/>
      <c r="F271" s="36"/>
    </row>
    <row r="272" spans="3:6" x14ac:dyDescent="0.2">
      <c r="C272" s="32"/>
      <c r="D272" s="35"/>
      <c r="E272" s="35"/>
      <c r="F272" s="36"/>
    </row>
    <row r="273" spans="3:6" x14ac:dyDescent="0.2">
      <c r="C273" s="24" t="s">
        <v>55</v>
      </c>
      <c r="D273" s="26" t="s">
        <v>83</v>
      </c>
      <c r="E273" s="26"/>
      <c r="F273" s="27"/>
    </row>
    <row r="274" spans="3:6" x14ac:dyDescent="0.2">
      <c r="C274" s="24"/>
      <c r="D274" s="26"/>
      <c r="E274" s="26"/>
      <c r="F274" s="27"/>
    </row>
    <row r="275" spans="3:6" x14ac:dyDescent="0.2">
      <c r="C275" s="24" t="s">
        <v>56</v>
      </c>
      <c r="D275" s="33" t="s">
        <v>57</v>
      </c>
      <c r="E275" s="33"/>
      <c r="F275" s="34"/>
    </row>
    <row r="276" spans="3:6" x14ac:dyDescent="0.2">
      <c r="C276" s="24"/>
      <c r="D276" s="33"/>
      <c r="E276" s="33"/>
      <c r="F276" s="34"/>
    </row>
    <row r="277" spans="3:6" x14ac:dyDescent="0.2">
      <c r="C277" s="24" t="s">
        <v>58</v>
      </c>
      <c r="D277" s="26"/>
      <c r="E277" s="26"/>
      <c r="F277" s="27"/>
    </row>
    <row r="278" spans="3:6" ht="13.5" thickBot="1" x14ac:dyDescent="0.25">
      <c r="C278" s="25"/>
      <c r="D278" s="28"/>
      <c r="E278" s="28"/>
      <c r="F278" s="29"/>
    </row>
    <row r="279" spans="3:6" ht="13.5" thickBot="1" x14ac:dyDescent="0.25"/>
    <row r="280" spans="3:6" x14ac:dyDescent="0.2">
      <c r="C280" s="37" t="s">
        <v>61</v>
      </c>
      <c r="D280" s="38"/>
      <c r="E280" s="38"/>
      <c r="F280" s="39"/>
    </row>
    <row r="281" spans="3:6" x14ac:dyDescent="0.2">
      <c r="C281" s="24"/>
      <c r="D281" s="40"/>
      <c r="E281" s="40"/>
      <c r="F281" s="41"/>
    </row>
    <row r="282" spans="3:6" x14ac:dyDescent="0.2">
      <c r="C282" s="24" t="s">
        <v>53</v>
      </c>
      <c r="D282" s="33" t="s">
        <v>60</v>
      </c>
      <c r="E282" s="33"/>
      <c r="F282" s="34"/>
    </row>
    <row r="283" spans="3:6" x14ac:dyDescent="0.2">
      <c r="C283" s="24"/>
      <c r="D283" s="33"/>
      <c r="E283" s="33"/>
      <c r="F283" s="34"/>
    </row>
    <row r="284" spans="3:6" x14ac:dyDescent="0.2">
      <c r="C284" s="32" t="s">
        <v>79</v>
      </c>
      <c r="D284" s="33" t="s">
        <v>80</v>
      </c>
      <c r="E284" s="33"/>
      <c r="F284" s="34"/>
    </row>
    <row r="285" spans="3:6" x14ac:dyDescent="0.2">
      <c r="C285" s="32"/>
      <c r="D285" s="33"/>
      <c r="E285" s="33"/>
      <c r="F285" s="34"/>
    </row>
    <row r="286" spans="3:6" x14ac:dyDescent="0.2">
      <c r="C286" s="32"/>
      <c r="D286" s="33"/>
      <c r="E286" s="33"/>
      <c r="F286" s="34"/>
    </row>
    <row r="287" spans="3:6" x14ac:dyDescent="0.2">
      <c r="C287" s="32"/>
      <c r="D287" s="33"/>
      <c r="E287" s="33"/>
      <c r="F287" s="34"/>
    </row>
    <row r="288" spans="3:6" x14ac:dyDescent="0.2">
      <c r="C288" s="32"/>
      <c r="D288" s="33"/>
      <c r="E288" s="33"/>
      <c r="F288" s="34"/>
    </row>
    <row r="289" spans="3:6" x14ac:dyDescent="0.2">
      <c r="C289" s="32"/>
      <c r="D289" s="33"/>
      <c r="E289" s="33"/>
      <c r="F289" s="34"/>
    </row>
    <row r="290" spans="3:6" x14ac:dyDescent="0.2">
      <c r="C290" s="32"/>
      <c r="D290" s="33"/>
      <c r="E290" s="33"/>
      <c r="F290" s="34"/>
    </row>
    <row r="291" spans="3:6" x14ac:dyDescent="0.2">
      <c r="C291" s="32"/>
      <c r="D291" s="33"/>
      <c r="E291" s="33"/>
      <c r="F291" s="34"/>
    </row>
    <row r="292" spans="3:6" x14ac:dyDescent="0.2">
      <c r="C292" s="32" t="s">
        <v>78</v>
      </c>
      <c r="D292" s="35" t="s">
        <v>54</v>
      </c>
      <c r="E292" s="35"/>
      <c r="F292" s="36"/>
    </row>
    <row r="293" spans="3:6" x14ac:dyDescent="0.2">
      <c r="C293" s="32"/>
      <c r="D293" s="35"/>
      <c r="E293" s="35"/>
      <c r="F293" s="36"/>
    </row>
    <row r="294" spans="3:6" x14ac:dyDescent="0.2">
      <c r="C294" s="24" t="s">
        <v>55</v>
      </c>
      <c r="D294" s="26" t="s">
        <v>83</v>
      </c>
      <c r="E294" s="26"/>
      <c r="F294" s="27"/>
    </row>
    <row r="295" spans="3:6" x14ac:dyDescent="0.2">
      <c r="C295" s="24"/>
      <c r="D295" s="26"/>
      <c r="E295" s="26"/>
      <c r="F295" s="27"/>
    </row>
    <row r="296" spans="3:6" x14ac:dyDescent="0.2">
      <c r="C296" s="24" t="s">
        <v>56</v>
      </c>
      <c r="D296" s="33" t="s">
        <v>57</v>
      </c>
      <c r="E296" s="33"/>
      <c r="F296" s="34"/>
    </row>
    <row r="297" spans="3:6" x14ac:dyDescent="0.2">
      <c r="C297" s="24"/>
      <c r="D297" s="33"/>
      <c r="E297" s="33"/>
      <c r="F297" s="34"/>
    </row>
    <row r="298" spans="3:6" x14ac:dyDescent="0.2">
      <c r="C298" s="24" t="s">
        <v>58</v>
      </c>
      <c r="D298" s="26"/>
      <c r="E298" s="26"/>
      <c r="F298" s="27"/>
    </row>
    <row r="299" spans="3:6" ht="13.5" thickBot="1" x14ac:dyDescent="0.25">
      <c r="C299" s="25"/>
      <c r="D299" s="28"/>
      <c r="E299" s="28"/>
      <c r="F299" s="29"/>
    </row>
    <row r="300" spans="3:6" ht="13.5" thickBot="1" x14ac:dyDescent="0.25"/>
    <row r="301" spans="3:6" x14ac:dyDescent="0.2">
      <c r="C301" s="37" t="s">
        <v>65</v>
      </c>
      <c r="D301" s="38"/>
      <c r="E301" s="38"/>
      <c r="F301" s="39"/>
    </row>
    <row r="302" spans="3:6" x14ac:dyDescent="0.2">
      <c r="C302" s="24"/>
      <c r="D302" s="40"/>
      <c r="E302" s="40"/>
      <c r="F302" s="41"/>
    </row>
    <row r="303" spans="3:6" x14ac:dyDescent="0.2">
      <c r="C303" s="24" t="s">
        <v>53</v>
      </c>
      <c r="D303" s="30"/>
      <c r="E303" s="30"/>
      <c r="F303" s="31"/>
    </row>
    <row r="304" spans="3:6" x14ac:dyDescent="0.2">
      <c r="C304" s="24"/>
      <c r="D304" s="30"/>
      <c r="E304" s="30"/>
      <c r="F304" s="31"/>
    </row>
    <row r="305" spans="3:6" x14ac:dyDescent="0.2">
      <c r="C305" s="32" t="s">
        <v>79</v>
      </c>
      <c r="D305" s="33" t="s">
        <v>80</v>
      </c>
      <c r="E305" s="33"/>
      <c r="F305" s="34"/>
    </row>
    <row r="306" spans="3:6" x14ac:dyDescent="0.2">
      <c r="C306" s="32"/>
      <c r="D306" s="33"/>
      <c r="E306" s="33"/>
      <c r="F306" s="34"/>
    </row>
    <row r="307" spans="3:6" x14ac:dyDescent="0.2">
      <c r="C307" s="32"/>
      <c r="D307" s="33"/>
      <c r="E307" s="33"/>
      <c r="F307" s="34"/>
    </row>
    <row r="308" spans="3:6" x14ac:dyDescent="0.2">
      <c r="C308" s="32"/>
      <c r="D308" s="33"/>
      <c r="E308" s="33"/>
      <c r="F308" s="34"/>
    </row>
    <row r="309" spans="3:6" x14ac:dyDescent="0.2">
      <c r="C309" s="32"/>
      <c r="D309" s="33"/>
      <c r="E309" s="33"/>
      <c r="F309" s="34"/>
    </row>
    <row r="310" spans="3:6" x14ac:dyDescent="0.2">
      <c r="C310" s="32"/>
      <c r="D310" s="33"/>
      <c r="E310" s="33"/>
      <c r="F310" s="34"/>
    </row>
    <row r="311" spans="3:6" x14ac:dyDescent="0.2">
      <c r="C311" s="32"/>
      <c r="D311" s="33"/>
      <c r="E311" s="33"/>
      <c r="F311" s="34"/>
    </row>
    <row r="312" spans="3:6" x14ac:dyDescent="0.2">
      <c r="C312" s="32"/>
      <c r="D312" s="33"/>
      <c r="E312" s="33"/>
      <c r="F312" s="34"/>
    </row>
    <row r="313" spans="3:6" x14ac:dyDescent="0.2">
      <c r="C313" s="32" t="s">
        <v>78</v>
      </c>
      <c r="D313" s="35" t="s">
        <v>54</v>
      </c>
      <c r="E313" s="35"/>
      <c r="F313" s="36"/>
    </row>
    <row r="314" spans="3:6" x14ac:dyDescent="0.2">
      <c r="C314" s="32"/>
      <c r="D314" s="35"/>
      <c r="E314" s="35"/>
      <c r="F314" s="36"/>
    </row>
    <row r="315" spans="3:6" x14ac:dyDescent="0.2">
      <c r="C315" s="24" t="s">
        <v>55</v>
      </c>
      <c r="D315" s="26" t="s">
        <v>83</v>
      </c>
      <c r="E315" s="26"/>
      <c r="F315" s="27"/>
    </row>
    <row r="316" spans="3:6" x14ac:dyDescent="0.2">
      <c r="C316" s="24"/>
      <c r="D316" s="26"/>
      <c r="E316" s="26"/>
      <c r="F316" s="27"/>
    </row>
    <row r="317" spans="3:6" x14ac:dyDescent="0.2">
      <c r="C317" s="24" t="s">
        <v>56</v>
      </c>
      <c r="D317" s="33" t="s">
        <v>57</v>
      </c>
      <c r="E317" s="33"/>
      <c r="F317" s="34"/>
    </row>
    <row r="318" spans="3:6" x14ac:dyDescent="0.2">
      <c r="C318" s="24"/>
      <c r="D318" s="33"/>
      <c r="E318" s="33"/>
      <c r="F318" s="34"/>
    </row>
    <row r="319" spans="3:6" x14ac:dyDescent="0.2">
      <c r="C319" s="24" t="s">
        <v>58</v>
      </c>
      <c r="D319" s="26"/>
      <c r="E319" s="26"/>
      <c r="F319" s="27"/>
    </row>
    <row r="320" spans="3:6" ht="13.5" thickBot="1" x14ac:dyDescent="0.25">
      <c r="C320" s="25"/>
      <c r="D320" s="28"/>
      <c r="E320" s="28"/>
      <c r="F320" s="29"/>
    </row>
    <row r="321" spans="3:6" ht="13.5" thickBot="1" x14ac:dyDescent="0.25"/>
    <row r="322" spans="3:6" x14ac:dyDescent="0.2">
      <c r="C322" s="37" t="s">
        <v>62</v>
      </c>
      <c r="D322" s="38"/>
      <c r="E322" s="38"/>
      <c r="F322" s="39"/>
    </row>
    <row r="323" spans="3:6" x14ac:dyDescent="0.2">
      <c r="C323" s="24"/>
      <c r="D323" s="40"/>
      <c r="E323" s="40"/>
      <c r="F323" s="41"/>
    </row>
    <row r="324" spans="3:6" x14ac:dyDescent="0.2">
      <c r="C324" s="24" t="s">
        <v>53</v>
      </c>
      <c r="D324" s="33" t="s">
        <v>82</v>
      </c>
      <c r="E324" s="33"/>
      <c r="F324" s="34"/>
    </row>
    <row r="325" spans="3:6" x14ac:dyDescent="0.2">
      <c r="C325" s="24"/>
      <c r="D325" s="33"/>
      <c r="E325" s="33"/>
      <c r="F325" s="34"/>
    </row>
    <row r="326" spans="3:6" x14ac:dyDescent="0.2">
      <c r="C326" s="32" t="s">
        <v>79</v>
      </c>
      <c r="D326" s="33" t="s">
        <v>80</v>
      </c>
      <c r="E326" s="33"/>
      <c r="F326" s="34"/>
    </row>
    <row r="327" spans="3:6" x14ac:dyDescent="0.2">
      <c r="C327" s="32"/>
      <c r="D327" s="33"/>
      <c r="E327" s="33"/>
      <c r="F327" s="34"/>
    </row>
    <row r="328" spans="3:6" x14ac:dyDescent="0.2">
      <c r="C328" s="32"/>
      <c r="D328" s="33"/>
      <c r="E328" s="33"/>
      <c r="F328" s="34"/>
    </row>
    <row r="329" spans="3:6" x14ac:dyDescent="0.2">
      <c r="C329" s="32"/>
      <c r="D329" s="33"/>
      <c r="E329" s="33"/>
      <c r="F329" s="34"/>
    </row>
    <row r="330" spans="3:6" x14ac:dyDescent="0.2">
      <c r="C330" s="32"/>
      <c r="D330" s="33"/>
      <c r="E330" s="33"/>
      <c r="F330" s="34"/>
    </row>
    <row r="331" spans="3:6" x14ac:dyDescent="0.2">
      <c r="C331" s="32"/>
      <c r="D331" s="33"/>
      <c r="E331" s="33"/>
      <c r="F331" s="34"/>
    </row>
    <row r="332" spans="3:6" x14ac:dyDescent="0.2">
      <c r="C332" s="32"/>
      <c r="D332" s="33"/>
      <c r="E332" s="33"/>
      <c r="F332" s="34"/>
    </row>
    <row r="333" spans="3:6" x14ac:dyDescent="0.2">
      <c r="C333" s="32"/>
      <c r="D333" s="33"/>
      <c r="E333" s="33"/>
      <c r="F333" s="34"/>
    </row>
    <row r="334" spans="3:6" x14ac:dyDescent="0.2">
      <c r="C334" s="32" t="s">
        <v>78</v>
      </c>
      <c r="D334" s="35" t="s">
        <v>54</v>
      </c>
      <c r="E334" s="35"/>
      <c r="F334" s="36"/>
    </row>
    <row r="335" spans="3:6" x14ac:dyDescent="0.2">
      <c r="C335" s="32"/>
      <c r="D335" s="35"/>
      <c r="E335" s="35"/>
      <c r="F335" s="36"/>
    </row>
    <row r="336" spans="3:6" x14ac:dyDescent="0.2">
      <c r="C336" s="24" t="s">
        <v>55</v>
      </c>
      <c r="D336" s="26" t="s">
        <v>83</v>
      </c>
      <c r="E336" s="26"/>
      <c r="F336" s="27"/>
    </row>
    <row r="337" spans="3:6" x14ac:dyDescent="0.2">
      <c r="C337" s="24"/>
      <c r="D337" s="26"/>
      <c r="E337" s="26"/>
      <c r="F337" s="27"/>
    </row>
    <row r="338" spans="3:6" x14ac:dyDescent="0.2">
      <c r="C338" s="24" t="s">
        <v>56</v>
      </c>
      <c r="D338" s="33" t="s">
        <v>57</v>
      </c>
      <c r="E338" s="33"/>
      <c r="F338" s="34"/>
    </row>
    <row r="339" spans="3:6" x14ac:dyDescent="0.2">
      <c r="C339" s="24"/>
      <c r="D339" s="33"/>
      <c r="E339" s="33"/>
      <c r="F339" s="34"/>
    </row>
    <row r="340" spans="3:6" x14ac:dyDescent="0.2">
      <c r="C340" s="24" t="s">
        <v>58</v>
      </c>
      <c r="D340" s="26"/>
      <c r="E340" s="26"/>
      <c r="F340" s="27"/>
    </row>
    <row r="341" spans="3:6" ht="13.5" thickBot="1" x14ac:dyDescent="0.25">
      <c r="C341" s="25"/>
      <c r="D341" s="28"/>
      <c r="E341" s="28"/>
      <c r="F341" s="29"/>
    </row>
    <row r="342" spans="3:6" ht="13.5" thickBot="1" x14ac:dyDescent="0.25"/>
    <row r="343" spans="3:6" x14ac:dyDescent="0.2">
      <c r="C343" s="37" t="s">
        <v>66</v>
      </c>
      <c r="D343" s="38"/>
      <c r="E343" s="38"/>
      <c r="F343" s="39"/>
    </row>
    <row r="344" spans="3:6" x14ac:dyDescent="0.2">
      <c r="C344" s="24"/>
      <c r="D344" s="40"/>
      <c r="E344" s="40"/>
      <c r="F344" s="41"/>
    </row>
    <row r="345" spans="3:6" x14ac:dyDescent="0.2">
      <c r="C345" s="24" t="s">
        <v>53</v>
      </c>
      <c r="D345" s="30"/>
      <c r="E345" s="30"/>
      <c r="F345" s="31"/>
    </row>
    <row r="346" spans="3:6" x14ac:dyDescent="0.2">
      <c r="C346" s="24"/>
      <c r="D346" s="30"/>
      <c r="E346" s="30"/>
      <c r="F346" s="31"/>
    </row>
    <row r="347" spans="3:6" x14ac:dyDescent="0.2">
      <c r="C347" s="32" t="s">
        <v>79</v>
      </c>
      <c r="D347" s="33" t="s">
        <v>80</v>
      </c>
      <c r="E347" s="33"/>
      <c r="F347" s="34"/>
    </row>
    <row r="348" spans="3:6" x14ac:dyDescent="0.2">
      <c r="C348" s="32"/>
      <c r="D348" s="33"/>
      <c r="E348" s="33"/>
      <c r="F348" s="34"/>
    </row>
    <row r="349" spans="3:6" x14ac:dyDescent="0.2">
      <c r="C349" s="32"/>
      <c r="D349" s="33"/>
      <c r="E349" s="33"/>
      <c r="F349" s="34"/>
    </row>
    <row r="350" spans="3:6" x14ac:dyDescent="0.2">
      <c r="C350" s="32"/>
      <c r="D350" s="33"/>
      <c r="E350" s="33"/>
      <c r="F350" s="34"/>
    </row>
    <row r="351" spans="3:6" x14ac:dyDescent="0.2">
      <c r="C351" s="32"/>
      <c r="D351" s="33"/>
      <c r="E351" s="33"/>
      <c r="F351" s="34"/>
    </row>
    <row r="352" spans="3:6" x14ac:dyDescent="0.2">
      <c r="C352" s="32"/>
      <c r="D352" s="33"/>
      <c r="E352" s="33"/>
      <c r="F352" s="34"/>
    </row>
    <row r="353" spans="3:6" x14ac:dyDescent="0.2">
      <c r="C353" s="32"/>
      <c r="D353" s="33"/>
      <c r="E353" s="33"/>
      <c r="F353" s="34"/>
    </row>
    <row r="354" spans="3:6" x14ac:dyDescent="0.2">
      <c r="C354" s="32"/>
      <c r="D354" s="33"/>
      <c r="E354" s="33"/>
      <c r="F354" s="34"/>
    </row>
    <row r="355" spans="3:6" x14ac:dyDescent="0.2">
      <c r="C355" s="32" t="s">
        <v>78</v>
      </c>
      <c r="D355" s="35" t="s">
        <v>54</v>
      </c>
      <c r="E355" s="35"/>
      <c r="F355" s="36"/>
    </row>
    <row r="356" spans="3:6" x14ac:dyDescent="0.2">
      <c r="C356" s="32"/>
      <c r="D356" s="35"/>
      <c r="E356" s="35"/>
      <c r="F356" s="36"/>
    </row>
    <row r="357" spans="3:6" x14ac:dyDescent="0.2">
      <c r="C357" s="24" t="s">
        <v>55</v>
      </c>
      <c r="D357" s="26" t="s">
        <v>83</v>
      </c>
      <c r="E357" s="26"/>
      <c r="F357" s="27"/>
    </row>
    <row r="358" spans="3:6" x14ac:dyDescent="0.2">
      <c r="C358" s="24"/>
      <c r="D358" s="26"/>
      <c r="E358" s="26"/>
      <c r="F358" s="27"/>
    </row>
    <row r="359" spans="3:6" x14ac:dyDescent="0.2">
      <c r="C359" s="24" t="s">
        <v>56</v>
      </c>
      <c r="D359" s="33" t="s">
        <v>57</v>
      </c>
      <c r="E359" s="33"/>
      <c r="F359" s="34"/>
    </row>
    <row r="360" spans="3:6" x14ac:dyDescent="0.2">
      <c r="C360" s="24"/>
      <c r="D360" s="33"/>
      <c r="E360" s="33"/>
      <c r="F360" s="34"/>
    </row>
    <row r="361" spans="3:6" x14ac:dyDescent="0.2">
      <c r="C361" s="24" t="s">
        <v>58</v>
      </c>
      <c r="D361" s="26"/>
      <c r="E361" s="26"/>
      <c r="F361" s="27"/>
    </row>
    <row r="362" spans="3:6" ht="13.5" thickBot="1" x14ac:dyDescent="0.25">
      <c r="C362" s="25"/>
      <c r="D362" s="28"/>
      <c r="E362" s="28"/>
      <c r="F362" s="29"/>
    </row>
  </sheetData>
  <mergeCells count="231">
    <mergeCell ref="C133:C134"/>
    <mergeCell ref="D133:F134"/>
    <mergeCell ref="C135:C136"/>
    <mergeCell ref="D135:F136"/>
    <mergeCell ref="D105:F106"/>
    <mergeCell ref="C107:C108"/>
    <mergeCell ref="D107:F108"/>
    <mergeCell ref="C109:C110"/>
    <mergeCell ref="D109:F110"/>
    <mergeCell ref="C112:C113"/>
    <mergeCell ref="D112:F113"/>
    <mergeCell ref="C130:C131"/>
    <mergeCell ref="D130:F131"/>
    <mergeCell ref="C235:C236"/>
    <mergeCell ref="D235:F236"/>
    <mergeCell ref="C238:C239"/>
    <mergeCell ref="D238:F239"/>
    <mergeCell ref="C240:C241"/>
    <mergeCell ref="C53:C60"/>
    <mergeCell ref="D53:F60"/>
    <mergeCell ref="C61:C62"/>
    <mergeCell ref="D61:F62"/>
    <mergeCell ref="C63:C64"/>
    <mergeCell ref="D63:F64"/>
    <mergeCell ref="C65:C66"/>
    <mergeCell ref="D65:F66"/>
    <mergeCell ref="C67:C68"/>
    <mergeCell ref="D67:F68"/>
    <mergeCell ref="C70:C71"/>
    <mergeCell ref="D70:F71"/>
    <mergeCell ref="C72:C73"/>
    <mergeCell ref="D72:F73"/>
    <mergeCell ref="C74:C81"/>
    <mergeCell ref="D74:F81"/>
    <mergeCell ref="C82:C83"/>
    <mergeCell ref="D82:F83"/>
    <mergeCell ref="C84:C85"/>
    <mergeCell ref="C30:C31"/>
    <mergeCell ref="D30:F31"/>
    <mergeCell ref="C32:C39"/>
    <mergeCell ref="D32:F39"/>
    <mergeCell ref="C40:C41"/>
    <mergeCell ref="D40:F41"/>
    <mergeCell ref="C231:C232"/>
    <mergeCell ref="D231:F232"/>
    <mergeCell ref="C233:C234"/>
    <mergeCell ref="D233:F234"/>
    <mergeCell ref="D84:F85"/>
    <mergeCell ref="C86:C87"/>
    <mergeCell ref="D86:F87"/>
    <mergeCell ref="C88:C89"/>
    <mergeCell ref="D88:F89"/>
    <mergeCell ref="C91:C92"/>
    <mergeCell ref="D91:F92"/>
    <mergeCell ref="C93:C94"/>
    <mergeCell ref="D93:F94"/>
    <mergeCell ref="C95:C102"/>
    <mergeCell ref="D95:F102"/>
    <mergeCell ref="C103:C104"/>
    <mergeCell ref="D103:F104"/>
    <mergeCell ref="C105:C106"/>
    <mergeCell ref="B2:H2"/>
    <mergeCell ref="A4:B4"/>
    <mergeCell ref="C4:E4"/>
    <mergeCell ref="A5:B5"/>
    <mergeCell ref="C5:E5"/>
    <mergeCell ref="A6:B6"/>
    <mergeCell ref="A7:B7"/>
    <mergeCell ref="C28:C29"/>
    <mergeCell ref="D28:F29"/>
    <mergeCell ref="C42:C43"/>
    <mergeCell ref="D42:F43"/>
    <mergeCell ref="C44:C45"/>
    <mergeCell ref="D44:F45"/>
    <mergeCell ref="C46:C47"/>
    <mergeCell ref="D46:F47"/>
    <mergeCell ref="C49:C50"/>
    <mergeCell ref="D49:F50"/>
    <mergeCell ref="C51:C52"/>
    <mergeCell ref="D51:F52"/>
    <mergeCell ref="C114:C115"/>
    <mergeCell ref="D114:F115"/>
    <mergeCell ref="C116:C123"/>
    <mergeCell ref="D116:F123"/>
    <mergeCell ref="C124:C125"/>
    <mergeCell ref="D124:F125"/>
    <mergeCell ref="C126:C127"/>
    <mergeCell ref="D126:F127"/>
    <mergeCell ref="C128:C129"/>
    <mergeCell ref="D128:F129"/>
    <mergeCell ref="C137:C144"/>
    <mergeCell ref="D137:F144"/>
    <mergeCell ref="C145:C146"/>
    <mergeCell ref="D145:F146"/>
    <mergeCell ref="C147:C148"/>
    <mergeCell ref="D147:F148"/>
    <mergeCell ref="C149:C150"/>
    <mergeCell ref="D149:F150"/>
    <mergeCell ref="C151:C152"/>
    <mergeCell ref="D151:F152"/>
    <mergeCell ref="C154:C155"/>
    <mergeCell ref="D154:F155"/>
    <mergeCell ref="C156:C157"/>
    <mergeCell ref="D156:F157"/>
    <mergeCell ref="C158:C165"/>
    <mergeCell ref="D158:F165"/>
    <mergeCell ref="C166:C167"/>
    <mergeCell ref="D166:F167"/>
    <mergeCell ref="C168:C169"/>
    <mergeCell ref="D168:F169"/>
    <mergeCell ref="C170:C171"/>
    <mergeCell ref="D170:F171"/>
    <mergeCell ref="C172:C173"/>
    <mergeCell ref="D172:F173"/>
    <mergeCell ref="C175:C176"/>
    <mergeCell ref="D175:F176"/>
    <mergeCell ref="C177:C178"/>
    <mergeCell ref="D177:F178"/>
    <mergeCell ref="C179:C186"/>
    <mergeCell ref="D179:F186"/>
    <mergeCell ref="C187:C188"/>
    <mergeCell ref="D187:F188"/>
    <mergeCell ref="C189:C190"/>
    <mergeCell ref="D189:F190"/>
    <mergeCell ref="C191:C192"/>
    <mergeCell ref="D191:F192"/>
    <mergeCell ref="C193:C194"/>
    <mergeCell ref="D193:F194"/>
    <mergeCell ref="C196:C197"/>
    <mergeCell ref="D196:F197"/>
    <mergeCell ref="C198:C199"/>
    <mergeCell ref="D198:F199"/>
    <mergeCell ref="C200:C207"/>
    <mergeCell ref="D200:F207"/>
    <mergeCell ref="C208:C209"/>
    <mergeCell ref="D208:F209"/>
    <mergeCell ref="C210:C211"/>
    <mergeCell ref="D210:F211"/>
    <mergeCell ref="C212:C213"/>
    <mergeCell ref="D212:F213"/>
    <mergeCell ref="C214:C215"/>
    <mergeCell ref="D214:F215"/>
    <mergeCell ref="C217:C218"/>
    <mergeCell ref="D217:F218"/>
    <mergeCell ref="C219:C220"/>
    <mergeCell ref="D219:F220"/>
    <mergeCell ref="C221:C228"/>
    <mergeCell ref="D221:F228"/>
    <mergeCell ref="C229:C230"/>
    <mergeCell ref="D229:F230"/>
    <mergeCell ref="D240:F241"/>
    <mergeCell ref="C242:C249"/>
    <mergeCell ref="D242:F249"/>
    <mergeCell ref="C250:C251"/>
    <mergeCell ref="D250:F251"/>
    <mergeCell ref="C252:C253"/>
    <mergeCell ref="D252:F253"/>
    <mergeCell ref="C254:C255"/>
    <mergeCell ref="D254:F255"/>
    <mergeCell ref="C256:C257"/>
    <mergeCell ref="D256:F257"/>
    <mergeCell ref="C259:C260"/>
    <mergeCell ref="D259:F260"/>
    <mergeCell ref="C261:C262"/>
    <mergeCell ref="D261:F262"/>
    <mergeCell ref="C263:C270"/>
    <mergeCell ref="D263:F270"/>
    <mergeCell ref="C271:C272"/>
    <mergeCell ref="D271:F272"/>
    <mergeCell ref="C273:C274"/>
    <mergeCell ref="D273:F274"/>
    <mergeCell ref="C275:C276"/>
    <mergeCell ref="D275:F276"/>
    <mergeCell ref="C277:C278"/>
    <mergeCell ref="D277:F278"/>
    <mergeCell ref="C280:C281"/>
    <mergeCell ref="D280:F281"/>
    <mergeCell ref="C282:C283"/>
    <mergeCell ref="D282:F283"/>
    <mergeCell ref="C284:C291"/>
    <mergeCell ref="D284:F291"/>
    <mergeCell ref="C292:C293"/>
    <mergeCell ref="D292:F293"/>
    <mergeCell ref="C294:C295"/>
    <mergeCell ref="D294:F295"/>
    <mergeCell ref="C296:C297"/>
    <mergeCell ref="D296:F297"/>
    <mergeCell ref="C298:C299"/>
    <mergeCell ref="D298:F299"/>
    <mergeCell ref="C301:C302"/>
    <mergeCell ref="D301:F302"/>
    <mergeCell ref="C303:C304"/>
    <mergeCell ref="D303:F304"/>
    <mergeCell ref="C305:C312"/>
    <mergeCell ref="D305:F312"/>
    <mergeCell ref="C313:C314"/>
    <mergeCell ref="D313:F314"/>
    <mergeCell ref="C315:C316"/>
    <mergeCell ref="D315:F316"/>
    <mergeCell ref="C317:C318"/>
    <mergeCell ref="D317:F318"/>
    <mergeCell ref="C319:C320"/>
    <mergeCell ref="D319:F320"/>
    <mergeCell ref="C322:C323"/>
    <mergeCell ref="D322:F323"/>
    <mergeCell ref="C324:C325"/>
    <mergeCell ref="D324:F325"/>
    <mergeCell ref="C326:C333"/>
    <mergeCell ref="D326:F333"/>
    <mergeCell ref="C334:C335"/>
    <mergeCell ref="D334:F335"/>
    <mergeCell ref="C336:C337"/>
    <mergeCell ref="D336:F337"/>
    <mergeCell ref="C338:C339"/>
    <mergeCell ref="D338:F339"/>
    <mergeCell ref="C340:C341"/>
    <mergeCell ref="D340:F341"/>
    <mergeCell ref="C343:C344"/>
    <mergeCell ref="D343:F344"/>
    <mergeCell ref="C361:C362"/>
    <mergeCell ref="D361:F362"/>
    <mergeCell ref="C345:C346"/>
    <mergeCell ref="D345:F346"/>
    <mergeCell ref="C347:C354"/>
    <mergeCell ref="D347:F354"/>
    <mergeCell ref="C355:C356"/>
    <mergeCell ref="D355:F356"/>
    <mergeCell ref="C357:C358"/>
    <mergeCell ref="D357:F358"/>
    <mergeCell ref="C359:C360"/>
    <mergeCell ref="D359:F360"/>
  </mergeCells>
  <pageMargins left="0.7" right="0.7" top="0.75" bottom="0.75" header="0.51180555555555496" footer="0.51180555555555496"/>
  <pageSetup paperSize="9" scale="46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Necesidades Trimestrales</vt:lpstr>
      <vt:lpstr>'Necesidades Trimestrales'!Área_de_impresión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soy_gisuarez@hotmail.com</dc:creator>
  <cp:lastModifiedBy>COMPRAS</cp:lastModifiedBy>
  <dcterms:created xsi:type="dcterms:W3CDTF">2021-06-03T14:07:57Z</dcterms:created>
  <dcterms:modified xsi:type="dcterms:W3CDTF">2021-08-04T14:22:46Z</dcterms:modified>
</cp:coreProperties>
</file>