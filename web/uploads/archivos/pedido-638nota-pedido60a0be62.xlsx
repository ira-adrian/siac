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52CE889F-A8AE-4634-B07A-E51BE7089E5B}" xr6:coauthVersionLast="47" xr6:coauthVersionMax="47" xr10:uidLastSave="{00000000-0000-0000-0000-000000000000}"/>
  <bookViews>
    <workbookView xWindow="-120" yWindow="-120" windowWidth="29040" windowHeight="15840" tabRatio="811" activeTab="2" xr2:uid="{00000000-000D-0000-FFFF-FFFF00000000}"/>
  </bookViews>
  <sheets>
    <sheet name="SAF 011" sheetId="1" r:id="rId1"/>
    <sheet name="NP LABORATORIO" sheetId="2" r:id="rId2"/>
    <sheet name="APG LABORATORIO" sheetId="3" r:id="rId3"/>
    <sheet name="NP BANCO DE SANGRE" sheetId="4" r:id="rId4"/>
    <sheet name="APG BANCO DE SANGRE" sheetId="5" r:id="rId5"/>
  </sheets>
  <definedNames>
    <definedName name="_xlnm._FilterDatabase" localSheetId="0" hidden="1">'SAF 011'!$A$9:$AU$69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8" i="3" l="1"/>
  <c r="AS30" i="1"/>
  <c r="AS62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3" i="1"/>
  <c r="AS64" i="1"/>
  <c r="AS65" i="1"/>
  <c r="AS66" i="1"/>
  <c r="AS67" i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A38" i="5"/>
  <c r="A41" i="5" l="1"/>
  <c r="G5" i="5"/>
  <c r="G6" i="5"/>
  <c r="G7" i="5"/>
  <c r="G4" i="5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M28" i="4" l="1"/>
  <c r="M26" i="4"/>
  <c r="M22" i="4"/>
  <c r="M17" i="4"/>
  <c r="M20" i="4"/>
  <c r="M16" i="4"/>
  <c r="M27" i="4"/>
  <c r="M23" i="4"/>
  <c r="M19" i="4"/>
  <c r="M15" i="4"/>
  <c r="M12" i="4"/>
  <c r="M25" i="4"/>
  <c r="M21" i="4"/>
  <c r="M18" i="4"/>
  <c r="M14" i="4"/>
  <c r="M24" i="4"/>
  <c r="M13" i="4"/>
  <c r="M30" i="4" l="1"/>
  <c r="Q15" i="5" s="1"/>
  <c r="Q38" i="5" s="1"/>
  <c r="G5" i="3"/>
  <c r="G6" i="3"/>
  <c r="G7" i="3"/>
  <c r="G4" i="3"/>
  <c r="A41" i="3"/>
  <c r="K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12" i="2"/>
  <c r="J30" i="4" l="1"/>
  <c r="M50" i="2"/>
  <c r="M46" i="2"/>
  <c r="M42" i="2"/>
  <c r="M30" i="2"/>
  <c r="M26" i="2"/>
  <c r="M22" i="2"/>
  <c r="M18" i="2"/>
  <c r="M36" i="2"/>
  <c r="M32" i="2"/>
  <c r="M24" i="2"/>
  <c r="M20" i="2"/>
  <c r="M16" i="2"/>
  <c r="M39" i="2"/>
  <c r="M29" i="2"/>
  <c r="M12" i="2"/>
  <c r="M51" i="2"/>
  <c r="M47" i="2"/>
  <c r="M43" i="2"/>
  <c r="M33" i="2"/>
  <c r="M31" i="2"/>
  <c r="M27" i="2"/>
  <c r="M23" i="2"/>
  <c r="M19" i="2"/>
  <c r="M15" i="2"/>
  <c r="M49" i="2"/>
  <c r="M45" i="2"/>
  <c r="M38" i="2"/>
  <c r="M35" i="2"/>
  <c r="M13" i="2"/>
  <c r="M14" i="2"/>
  <c r="M52" i="2"/>
  <c r="M48" i="2"/>
  <c r="M44" i="2"/>
  <c r="M41" i="2"/>
  <c r="M40" i="2"/>
  <c r="M37" i="2"/>
  <c r="M34" i="2"/>
  <c r="M28" i="2"/>
  <c r="M25" i="2"/>
  <c r="M21" i="2"/>
  <c r="M17" i="2"/>
  <c r="M54" i="2" l="1"/>
  <c r="J54" i="2" l="1"/>
  <c r="AU10" i="1" l="1"/>
  <c r="AU14" i="1"/>
  <c r="AU17" i="1"/>
  <c r="AU33" i="1"/>
  <c r="AU34" i="1"/>
  <c r="AU38" i="1"/>
  <c r="AU37" i="1"/>
  <c r="AU39" i="1"/>
  <c r="AU41" i="1"/>
  <c r="AU46" i="1"/>
  <c r="AU50" i="1"/>
  <c r="AU52" i="1"/>
  <c r="AU62" i="1"/>
  <c r="AU30" i="1"/>
  <c r="AU28" i="1"/>
  <c r="AU26" i="1"/>
  <c r="AU27" i="1"/>
  <c r="AU43" i="1"/>
  <c r="AU58" i="1"/>
  <c r="AU61" i="1"/>
  <c r="AU59" i="1"/>
  <c r="AU25" i="1"/>
  <c r="AU60" i="1"/>
  <c r="AU44" i="1"/>
  <c r="AU20" i="1"/>
  <c r="AU53" i="1"/>
  <c r="AU19" i="1"/>
  <c r="AU45" i="1"/>
  <c r="AU15" i="1"/>
  <c r="AU31" i="1"/>
  <c r="AU24" i="1"/>
  <c r="AU23" i="1"/>
  <c r="AU32" i="1"/>
  <c r="AU54" i="1"/>
  <c r="AU56" i="1"/>
  <c r="AU57" i="1"/>
  <c r="AU55" i="1"/>
  <c r="AU16" i="1"/>
  <c r="AU22" i="1"/>
  <c r="AU21" i="1"/>
  <c r="AU40" i="1"/>
  <c r="L17" i="1"/>
  <c r="L33" i="1"/>
  <c r="L34" i="1"/>
  <c r="L38" i="1"/>
  <c r="L37" i="1"/>
  <c r="L39" i="1"/>
  <c r="L41" i="1"/>
  <c r="L46" i="1"/>
  <c r="L50" i="1"/>
  <c r="L52" i="1"/>
  <c r="L62" i="1"/>
  <c r="L30" i="1"/>
  <c r="L28" i="1"/>
  <c r="L26" i="1"/>
  <c r="L27" i="1"/>
  <c r="L43" i="1"/>
  <c r="L58" i="1"/>
  <c r="L61" i="1"/>
  <c r="L59" i="1"/>
  <c r="L25" i="1"/>
  <c r="L60" i="1"/>
  <c r="L44" i="1"/>
  <c r="L20" i="1"/>
  <c r="L53" i="1"/>
  <c r="L19" i="1"/>
  <c r="L45" i="1"/>
  <c r="L15" i="1"/>
  <c r="L10" i="1"/>
  <c r="L31" i="1"/>
  <c r="L24" i="1"/>
  <c r="L23" i="1"/>
  <c r="Q16" i="3" s="1"/>
  <c r="Q15" i="3" s="1"/>
  <c r="Q38" i="3" s="1"/>
  <c r="L32" i="1"/>
  <c r="Q17" i="3" s="1"/>
  <c r="L54" i="1"/>
  <c r="L56" i="1"/>
  <c r="L57" i="1"/>
  <c r="L55" i="1"/>
  <c r="L16" i="1"/>
  <c r="L22" i="1"/>
  <c r="L21" i="1"/>
  <c r="L40" i="1"/>
  <c r="L14" i="1"/>
  <c r="L69" i="1" l="1"/>
  <c r="N35" i="1" l="1"/>
  <c r="AU67" i="1" l="1"/>
  <c r="N67" i="1"/>
  <c r="AU66" i="1"/>
  <c r="N66" i="1"/>
  <c r="AU65" i="1"/>
  <c r="N65" i="1"/>
  <c r="AU64" i="1"/>
  <c r="N64" i="1"/>
  <c r="AU63" i="1"/>
  <c r="N63" i="1"/>
  <c r="AU51" i="1"/>
  <c r="N51" i="1"/>
  <c r="AU48" i="1"/>
  <c r="N48" i="1"/>
  <c r="AU49" i="1"/>
  <c r="N49" i="1"/>
  <c r="AU47" i="1"/>
  <c r="N47" i="1"/>
  <c r="AU42" i="1"/>
  <c r="N42" i="1"/>
  <c r="AU35" i="1"/>
  <c r="AU36" i="1"/>
  <c r="N36" i="1"/>
  <c r="AU29" i="1"/>
  <c r="N29" i="1"/>
  <c r="AU18" i="1"/>
  <c r="N18" i="1"/>
  <c r="AU13" i="1"/>
  <c r="N13" i="1"/>
  <c r="AU12" i="1"/>
  <c r="N12" i="1"/>
  <c r="AU11" i="1"/>
  <c r="N11" i="1"/>
  <c r="N69" i="1" l="1"/>
  <c r="AU69" i="1"/>
</calcChain>
</file>

<file path=xl/sharedStrings.xml><?xml version="1.0" encoding="utf-8"?>
<sst xmlns="http://schemas.openxmlformats.org/spreadsheetml/2006/main" count="408" uniqueCount="187">
  <si>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</si>
  <si>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</si>
  <si>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</si>
  <si>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</si>
  <si>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</si>
  <si>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</si>
  <si>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</si>
  <si>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</si>
  <si>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</si>
  <si>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</si>
  <si>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</si>
  <si>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DIR. LAB. CENTRAL</t>
  </si>
  <si>
    <t>TOTAL DE LAB CENTRAL</t>
  </si>
  <si>
    <t xml:space="preserve">BCO DE SANGRE </t>
  </si>
  <si>
    <t xml:space="preserve">TOTAL BANCO DE SANGRE 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</si>
  <si>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</si>
  <si>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</si>
  <si>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</si>
  <si>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</si>
  <si>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</si>
  <si>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</si>
  <si>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</si>
  <si>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DE SAME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</si>
  <si>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</si>
  <si>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</si>
  <si>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</si>
  <si>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</si>
  <si>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</si>
  <si>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</si>
  <si>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</si>
  <si>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</si>
  <si>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</si>
  <si>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</si>
  <si>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</si>
  <si>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</si>
  <si>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</si>
  <si>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</si>
  <si>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</si>
  <si>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PROD. MEDICO/FARMACEUTICOS/LAB</t>
  </si>
  <si>
    <t>CAJA</t>
  </si>
  <si>
    <t xml:space="preserve">UNIDAD </t>
  </si>
  <si>
    <t>CEPILLO LIMPIA PIPETA DE CERDA NATURAL DE 10 MM</t>
  </si>
  <si>
    <t>UNIDAD</t>
  </si>
  <si>
    <t>DESCARTADOR PARA AGUJA P/500 AGUJAS, MODELO E-500</t>
  </si>
  <si>
    <t>Frasco de Bioseguridad Triple envase Tipo SISTEG M6</t>
  </si>
  <si>
    <t>Gradilla alambre / plastico 24 Tubos 30 MM Tipo ARGA</t>
  </si>
  <si>
    <t>Gradilla alambre / plastico 48 Tubos 30 MM Tipo ARGA</t>
  </si>
  <si>
    <t>Gradilla PP resistente 80ºC 80 Tubos Eppendorf Tipo DELTALAB</t>
  </si>
  <si>
    <t xml:space="preserve">GUIA V20 C/RUEDITA *SANGRE* </t>
  </si>
  <si>
    <t>MICROPIPETAS REGULABLES; CAPACIDAD: 10-100 µL, DIVISIONES: CADA 1 µL, MATERIAL: PLASTICO</t>
  </si>
  <si>
    <t>PLACA PARA VDRL CON POCILLO PROFUNDO 12HOYOS</t>
  </si>
  <si>
    <t>Portaobjetos borde sin pulir 50 U Tipo BREMEN</t>
  </si>
  <si>
    <t>rollo de papel para MINIVIDAS x5 unidades</t>
  </si>
  <si>
    <t>TIPS AMARILLO 5 A 200 µl,  SIN CORONA X 1000 UN TIPO DELTALAB</t>
  </si>
  <si>
    <t>BOLSA</t>
  </si>
  <si>
    <t>TIPS AMARILLO  5 A 200 µl,   CON CORONA X 1000 UN TIPO DELTALAB</t>
  </si>
  <si>
    <t>TIPS AZUL 100-1000 UL AUTOCLAVABLE - CON CORONA BOLSA POR 1000 UNIDADES TIPO DELTALAB</t>
  </si>
  <si>
    <t xml:space="preserve">Tubo con citrato tapa celeste para coagulograma 1 ml </t>
  </si>
  <si>
    <t>Tubo para suero con gel tapa Amarilla 5 ML</t>
  </si>
  <si>
    <t>TUBOS DE ENSAYO; TIPO: CONICO P/CENTRIFUGA, MATERIAL: POLIPROPILENO, DIMENSION: 0,5 A 15 mL, ACCESORIO: SIN VALOR, ACCESORIOS: SIN VALOR A ROSCA 15ML NO ETERIL, BOLSA X 100 UNID TIPO BIOLIX</t>
  </si>
  <si>
    <t>TUBOS DE HEMOLISIS; MATERIAL: VIDRIO, PRESENTACION: CAJA, DIMENSION: 100 X 13 DIAM. EXT., MEDIDAS: 100 X 13 DIAM. EXT., FORMA DE PRESENTACION: SOLIDO, ESTADO: SOLIDO</t>
  </si>
  <si>
    <t>TOTAL RUBRO DESCARTABLE PARA LABORATORIO</t>
  </si>
  <si>
    <t>011 - DIRECCION PROVINCIAL DE ADMINISTRACION - MINISTERIO DE SALUD</t>
  </si>
  <si>
    <t>040 - MINISTERIO DE SALUD</t>
  </si>
  <si>
    <t>TOTAL S.A.</t>
  </si>
  <si>
    <t>SMPyPS</t>
  </si>
  <si>
    <t>TOTAL SMPyPS</t>
  </si>
  <si>
    <t>TOTAL A.P.S.</t>
  </si>
  <si>
    <t>HPTAL MALBRAN</t>
  </si>
  <si>
    <t>TOTAL HPTAL MALBRAN</t>
  </si>
  <si>
    <t>MATERNIDAD E INFANCIA</t>
  </si>
  <si>
    <t>TOTAL MATERNIDAD E INFANCIA</t>
  </si>
  <si>
    <t>APS</t>
  </si>
  <si>
    <t>SASP</t>
  </si>
  <si>
    <t>TOTAL SASP</t>
  </si>
  <si>
    <t>SPyGS</t>
  </si>
  <si>
    <t>TOTAL SPyGS</t>
  </si>
  <si>
    <t>SECRETARIA DE ADMINISTRACION</t>
  </si>
  <si>
    <t>ESPECIFICACION TECNICA</t>
  </si>
  <si>
    <t xml:space="preserve">CUARTO </t>
  </si>
  <si>
    <t>MICROPIPETAS REGULABLES; CAPACIDAD: 100 - 1000 µL, DIVISIONES: CADA 5 µL, MATERIAL: PLASTICO</t>
  </si>
  <si>
    <t>TIP; TIPO: AMARILLO, PRESENTACION: ENVASE X 1000 UN, CAPACIDAD: 5 A 200 µl</t>
  </si>
  <si>
    <t>CUBREOBJETOS HDA 20x20 MM x 200 U Tipo KINDER</t>
  </si>
  <si>
    <t>MICROHEMATOCRITO CON HEPARINA X100</t>
  </si>
  <si>
    <t xml:space="preserve">PLACA DE VIDRIO PARA VDRL X 12 POCILLOS </t>
  </si>
  <si>
    <t>TERMOMETRO DE ALCOHOL -10 A 60°C</t>
  </si>
  <si>
    <t>TIPS AMARILLOS SIN CORONA X1000 UNIDADES</t>
  </si>
  <si>
    <t>TIPS AZULES X1000 UNIDADES</t>
  </si>
  <si>
    <t>TUBOS CONICOS PLASTICOS CON TAPA ESTERILES 15 ML</t>
  </si>
  <si>
    <t>HISOPOS NASOFARINGEOS DE DACRON O NYLON</t>
  </si>
  <si>
    <t>TUBO DE KAHN DE VIDRIO</t>
  </si>
  <si>
    <t>EPENDORF  0,5 ML BOLSA POR 200 UNIDADES CALIDAD BIOLOGIA MOLECULAR</t>
  </si>
  <si>
    <t>TIPS BLANCO GRADUADO C/CORONA 10 ul  BOLSA POR 1000 UNIDADES</t>
  </si>
  <si>
    <t>ELECTRODO DE CALCIO COBAS B221 TIPO ROCHE</t>
  </si>
  <si>
    <t>SENSOR GLUCOSA LACTATO COBAS B221 TIPO ROCHE</t>
  </si>
  <si>
    <t>JERINGAS HEPARINIZADAS X 3 ML X100 UNIDADES</t>
  </si>
  <si>
    <t>LAMPARA COBAS C311 TIPO ROCHE</t>
  </si>
  <si>
    <t>Tips ExpeIIPlus 10 UL Largos, Pre-esterilizados, c/filtro s/corona rackx 96 unidades . Tipo CAPP (Dinamarca)</t>
  </si>
  <si>
    <t>Tips ExpeIIPlus 20 UL , Pre-esterilizados, c/filtro s/corona rackx 96 unidades . Tipo CAPP (Dinamarca)</t>
  </si>
  <si>
    <t>Tips ExpeIIPlus 200 UL Pre-esterilizados, c/filtro s/corona rack por 96 unidades. Tipo CAPP (Dinamarca)</t>
  </si>
  <si>
    <t>Tips ExpeIIPlus 1000 UL Pre-esterilizados, c/filtro s/corona rack por 96 unidades. Tipo CAPP (Dinamarca)</t>
  </si>
  <si>
    <t>Criotubo Expell 5 ml Pre-esterilizados, graduado - Bolsa x 100 un Tipo CAPP (Dinamarca)</t>
  </si>
  <si>
    <t>Ependorf 2 ml esteriles libres de ADNasa y RNAsa Bolsa x 500 tipo DELTALAB</t>
  </si>
  <si>
    <t>Ependorf 0,5 ml esteriles libres de ADNasa y RNAsa Bolsa x 500 tipo DELTALAB</t>
  </si>
  <si>
    <t>PROD. MEDICO/FARMACEUTICOS/LAB.</t>
  </si>
  <si>
    <t>PACK</t>
  </si>
  <si>
    <t>RACK</t>
  </si>
  <si>
    <t>DETALLE TECNICO Y ESPECIFICACIONES</t>
  </si>
  <si>
    <t xml:space="preserve"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 </t>
  </si>
  <si>
    <t>Plazos de entrega</t>
  </si>
  <si>
    <t>Lugares de Entrega:</t>
  </si>
  <si>
    <t>Calidad Minima esperada</t>
  </si>
  <si>
    <t>Mantenimiento</t>
  </si>
  <si>
    <t>cuarenta y cinco (45) días</t>
  </si>
  <si>
    <t xml:space="preserve"> -DIR. PROV. DE LABORATORIO - CHACABUCO N° 169 - en el horario de 8:00hs a 12:00hs de lunes a viernes                                                 - DIR. PROV. BANCO DE SANGRE - BOTO GARAY 500 - en el horario de 8:00hs a 12:00 hs de lunes a viernes</t>
  </si>
  <si>
    <t>NOTA DE PEDIDO</t>
  </si>
  <si>
    <t>N°</t>
  </si>
  <si>
    <t xml:space="preserve">JURISDICCIÓN: </t>
  </si>
  <si>
    <t>SAF:</t>
  </si>
  <si>
    <t>011 - DIRECCION PROVINCIAL DE ADMINISTRACION DEL MINISTERIO DE SALUD</t>
  </si>
  <si>
    <t>UNIDAD EJECUTORA:</t>
  </si>
  <si>
    <t>468 - DIRECCION PROVINCIAL DE LABORATORIO</t>
  </si>
  <si>
    <t xml:space="preserve">DEPENDENCIA SOLICITANTE: </t>
  </si>
  <si>
    <t>PERIODO UTILIZACIÓN:</t>
  </si>
  <si>
    <t>4TO TRIMESTRE 2021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</si>
  <si>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</si>
  <si>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</si>
  <si>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</si>
  <si>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</si>
  <si>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</si>
  <si>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</si>
  <si>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</si>
  <si>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</si>
  <si>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</si>
  <si>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</si>
  <si>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</si>
  <si>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</si>
  <si>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</si>
  <si>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</si>
  <si>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</si>
  <si>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</si>
  <si>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</si>
  <si>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</si>
  <si>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</si>
  <si>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</si>
  <si>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</si>
  <si>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</si>
  <si>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</si>
  <si>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</si>
  <si>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</si>
  <si>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</si>
  <si>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</si>
  <si>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</si>
  <si>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</si>
  <si>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</si>
  <si>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</si>
  <si>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ADQ. DEL RUBRO DESCARTABLES PARA LABORATORIO</t>
  </si>
  <si>
    <t>NO</t>
  </si>
  <si>
    <t>UTILES MENORES MEDICOS, QUIRURGICOS Y DE LABORATORIO</t>
  </si>
  <si>
    <t>747 - DIRECCION PROVINCIAL BANCO DE SANGRE</t>
  </si>
  <si>
    <t>ADQ. DEL RUBRO DESCARTABLES DE LABORATORIO</t>
  </si>
  <si>
    <t xml:space="preserve"> 19/2021</t>
  </si>
  <si>
    <t>Autorizo la realización de los  trámites correspondientes, a fin de proveer a  este Organismo los bienes que se detallan en Nota  de Pedido N° 19/2021  afectando la erogación resultante a los créditos presupuestarios aprobados a favor de esta Unidad Ejecutora, conforme al siguiente detalle:</t>
  </si>
  <si>
    <t xml:space="preserve"> 24/2021</t>
  </si>
  <si>
    <t>Autorizo la realización de los  trámites correspondientes, a fin de proveer a  este Organismo los bienes que se detallan en Nota  de Pedido N° 24/2021  afectando la erogación resultante a los créditos presupuestarios aprobados a favor de esta Unidad Ejecutora, conforme al siguiente detalle:</t>
  </si>
  <si>
    <t>CLOT CATCHER X 250 UNIDADES TIPO ROCHE</t>
  </si>
  <si>
    <t>ETIQUETAS PARA IMPRESORA ZEBRA x 12 ROLLOS DE 1800 ETIQUETAS C/U</t>
  </si>
  <si>
    <t xml:space="preserve">Placa de PCR Expell de 96 pocillos x 0,1 ml, sin pollera Calidad Biologia Molecular Libre de DNAasa y RNAasa, Capp x 25 Unidades </t>
  </si>
  <si>
    <t>Tubo con Edta 2 ml TAPA LILA TIPO BD</t>
  </si>
  <si>
    <t>PIPETA AUTOMATICA TIPO SOCOREX VOL REGULABLE DE 5-50 ul</t>
  </si>
  <si>
    <t>PIPETA AUTOMATICA TIPO SOCOREX VOL REGULABLE DE 10-100 ul</t>
  </si>
  <si>
    <t>PIPETA AUTOMATICA TIPO SOCOREX VOL REGULABLE DE 20-200 ul</t>
  </si>
  <si>
    <t>Productos de Papel y Cartón</t>
  </si>
  <si>
    <t>Útiles y Materiales Eléctricos</t>
  </si>
  <si>
    <t>BOLSAS DE SANGRE TRIPLE KS TIPO GRIFOLS PARA EL EQUIPAMIENTO DE AFERESIS GRIFOLS</t>
  </si>
  <si>
    <t>Costo total estimado: DOS MILLONES CUATROCIENTOS TREINTA Y CUATRO MIL CUARENTA Y DOS CON 00/100.-</t>
  </si>
  <si>
    <t>veinte (20) dias habiles</t>
  </si>
  <si>
    <t xml:space="preserve">TUBOS DE ENSAYO; TIPO: EPPENDORF, MATERIAL: PLASTICO, DIMENSION: 1.5 mL, ACCESORIOS: SIN, ACCESORIO: SIN, BOLSAS X 500 UNIDADES </t>
  </si>
  <si>
    <t>TUBOS DE ENSAYO; TIPO: VACUTAINER UN, MATERIAL: VIDRIO, DIMENSION: 10 mL, ACCESORIOS: SIN, ACCESORIO: SIN, CAJA X 100 UNIDADES</t>
  </si>
  <si>
    <t>CAJAS</t>
  </si>
  <si>
    <t>TUBOS VACUTAINER P/SUERO DE 4ML, TAPA ROJA C/ETIQUETA CODIGO 367812 X100 UNIDADES</t>
  </si>
  <si>
    <t>CEPILLO LIMPIA TUBOS DE HEMOLISIS TAMAÑO UNIVERSAL</t>
  </si>
  <si>
    <t>MICROHEMATOCRITO  SIN HEPARINA X100</t>
  </si>
  <si>
    <t>APOSITOS; TIPO: POST EXTRACCION SANGUINEA, hipoalergenica TAMAÑO: 40 X 40 mm X 100</t>
  </si>
  <si>
    <t>AMPOULE ADAPTER  X 150 pcs TIPO ROCHE</t>
  </si>
  <si>
    <t>FILTRO DE RESINA R15 PARA COBAS 311 ROCHE</t>
  </si>
  <si>
    <t>Costo total estimado: ONCE MILLONES CIENTO SIETE  MIL DOSCIENTOS SESENTA Y SEIS CON 00/100.-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</si>
</sst>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[$$-2C0A]\ #,##0.00"/>
    <numFmt numFmtId="167" formatCode="_-[$$-2C0A]\ * #,##0.00_-;\-[$$-2C0A]\ * #,##0.00_-;_-[$$-2C0A]\ * &quot;-&quot;??_-;_-@_-"/>
    <numFmt numFmtId="168" formatCode="dd\-mm\-yy;@"/>
    <numFmt numFmtId="169" formatCode="_(\$* #,##0.00_);_(\$* \(#,##0.00\);_(\$* \-??_);_(@_)"/>
    <numFmt numFmtId="170" formatCode="_ [$$-2C0A]\ * #,##0.00_ ;_ [$$-2C0A]\ * \-#,##0.00_ ;_ [$$-2C0A]\ * &quot;-&quot;??_ ;_ @_ 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Times New Roman"/>
      <family val="1"/>
    </font>
    <font>
      <sz val="11"/>
      <name val="Times New Roman"/>
      <family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</fills>
  <borders count="7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indexed="64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0" fontId="3" fillId="0" borderId="0"/>
    <xf numFmtId="164" fontId="3" fillId="0" borderId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169" fontId="25" fillId="0" borderId="0" applyBorder="0" applyProtection="0"/>
  </cellStyleXfs>
  <cellXfs count="26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 wrapText="1"/>
    </xf>
    <xf numFmtId="167" fontId="2" fillId="0" borderId="0" xfId="1" applyNumberFormat="1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167" fontId="6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7" fontId="0" fillId="0" borderId="0" xfId="0" applyNumberFormat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4" fontId="0" fillId="0" borderId="0" xfId="1" applyFont="1"/>
    <xf numFmtId="0" fontId="0" fillId="0" borderId="0" xfId="0" applyFill="1"/>
    <xf numFmtId="0" fontId="0" fillId="0" borderId="0" xfId="0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167" fontId="8" fillId="0" borderId="1" xfId="3" applyNumberFormat="1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9" fillId="0" borderId="0" xfId="0" applyFont="1"/>
    <xf numFmtId="165" fontId="8" fillId="0" borderId="1" xfId="0" applyNumberFormat="1" applyFont="1" applyFill="1" applyBorder="1" applyAlignment="1">
      <alignment horizontal="center" vertical="center" wrapText="1"/>
    </xf>
    <xf numFmtId="1" fontId="8" fillId="0" borderId="1" xfId="0" applyNumberFormat="1" applyFont="1" applyFill="1" applyBorder="1" applyAlignment="1">
      <alignment horizontal="center" vertical="center" wrapText="1"/>
    </xf>
    <xf numFmtId="3" fontId="8" fillId="0" borderId="1" xfId="0" applyNumberFormat="1" applyFont="1" applyFill="1" applyBorder="1" applyAlignment="1">
      <alignment horizontal="center" vertical="center" wrapText="1"/>
    </xf>
    <xf numFmtId="166" fontId="8" fillId="0" borderId="1" xfId="0" applyNumberFormat="1" applyFont="1" applyFill="1" applyBorder="1" applyAlignment="1">
      <alignment horizontal="center" vertical="center" wrapText="1"/>
    </xf>
    <xf numFmtId="3" fontId="8" fillId="0" borderId="1" xfId="2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165" fontId="8" fillId="0" borderId="3" xfId="0" applyNumberFormat="1" applyFont="1" applyFill="1" applyBorder="1" applyAlignment="1">
      <alignment horizontal="center" vertical="center" wrapText="1"/>
    </xf>
    <xf numFmtId="1" fontId="8" fillId="0" borderId="3" xfId="0" applyNumberFormat="1" applyFont="1" applyFill="1" applyBorder="1" applyAlignment="1">
      <alignment horizontal="center" vertical="center" wrapText="1"/>
    </xf>
    <xf numFmtId="3" fontId="8" fillId="0" borderId="3" xfId="0" applyNumberFormat="1" applyFont="1" applyFill="1" applyBorder="1" applyAlignment="1">
      <alignment horizontal="center" vertical="center" wrapText="1"/>
    </xf>
    <xf numFmtId="166" fontId="8" fillId="0" borderId="3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167" fontId="9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8" fillId="0" borderId="1" xfId="4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" vertical="center" wrapText="1"/>
    </xf>
    <xf numFmtId="1" fontId="8" fillId="0" borderId="3" xfId="2" applyNumberFormat="1" applyFont="1" applyFill="1" applyBorder="1" applyAlignment="1">
      <alignment horizontal="center" vertical="center" wrapText="1"/>
    </xf>
    <xf numFmtId="1" fontId="8" fillId="0" borderId="1" xfId="0" applyNumberFormat="1" applyFont="1" applyFill="1" applyBorder="1" applyAlignment="1">
      <alignment horizontal="center" vertical="center"/>
    </xf>
    <xf numFmtId="165" fontId="8" fillId="0" borderId="1" xfId="0" applyNumberFormat="1" applyFont="1" applyFill="1" applyBorder="1" applyAlignment="1">
      <alignment horizontal="center" vertical="center"/>
    </xf>
    <xf numFmtId="167" fontId="8" fillId="0" borderId="2" xfId="2" applyNumberFormat="1" applyFont="1" applyFill="1" applyBorder="1" applyAlignment="1">
      <alignment horizontal="center" vertical="center" wrapText="1"/>
    </xf>
    <xf numFmtId="167" fontId="8" fillId="0" borderId="4" xfId="2" applyNumberFormat="1" applyFont="1" applyFill="1" applyBorder="1" applyAlignment="1">
      <alignment horizontal="center" vertical="center" wrapText="1"/>
    </xf>
    <xf numFmtId="0" fontId="8" fillId="0" borderId="3" xfId="5" applyFont="1" applyFill="1" applyBorder="1" applyAlignment="1">
      <alignment horizontal="center" vertical="center"/>
    </xf>
    <xf numFmtId="0" fontId="8" fillId="0" borderId="1" xfId="6" applyFont="1" applyFill="1" applyBorder="1" applyAlignment="1">
      <alignment horizontal="center" vertical="center"/>
    </xf>
    <xf numFmtId="3" fontId="8" fillId="0" borderId="1" xfId="6" applyNumberFormat="1" applyFont="1" applyFill="1" applyBorder="1" applyAlignment="1">
      <alignment horizontal="center" vertical="center"/>
    </xf>
    <xf numFmtId="166" fontId="8" fillId="0" borderId="1" xfId="0" applyNumberFormat="1" applyFont="1" applyFill="1" applyBorder="1" applyAlignment="1">
      <alignment horizontal="center" vertical="center"/>
    </xf>
    <xf numFmtId="167" fontId="8" fillId="0" borderId="2" xfId="1" applyNumberFormat="1" applyFont="1" applyFill="1" applyBorder="1" applyAlignment="1">
      <alignment horizontal="center" vertical="center"/>
    </xf>
    <xf numFmtId="0" fontId="8" fillId="0" borderId="1" xfId="5" applyFont="1" applyFill="1" applyBorder="1" applyAlignment="1">
      <alignment horizontal="center" vertical="center"/>
    </xf>
    <xf numFmtId="167" fontId="8" fillId="0" borderId="1" xfId="2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1" fontId="8" fillId="0" borderId="1" xfId="5" applyNumberFormat="1" applyFont="1" applyFill="1" applyBorder="1" applyAlignment="1">
      <alignment horizontal="center" vertical="center"/>
    </xf>
    <xf numFmtId="167" fontId="8" fillId="0" borderId="1" xfId="1" applyNumberFormat="1" applyFont="1" applyFill="1" applyBorder="1" applyAlignment="1">
      <alignment horizontal="center" vertical="center"/>
    </xf>
    <xf numFmtId="1" fontId="8" fillId="0" borderId="1" xfId="2" applyNumberFormat="1" applyFont="1" applyFill="1" applyBorder="1" applyAlignment="1">
      <alignment horizontal="center" vertical="center" wrapText="1"/>
    </xf>
    <xf numFmtId="1" fontId="8" fillId="0" borderId="1" xfId="6" applyNumberFormat="1" applyFont="1" applyFill="1" applyBorder="1" applyAlignment="1">
      <alignment horizontal="center" vertical="center"/>
    </xf>
    <xf numFmtId="0" fontId="8" fillId="0" borderId="3" xfId="4" applyFont="1" applyFill="1" applyBorder="1" applyAlignment="1">
      <alignment horizontal="center" vertical="center"/>
    </xf>
    <xf numFmtId="0" fontId="8" fillId="0" borderId="3" xfId="2" applyFont="1" applyFill="1" applyBorder="1" applyAlignment="1">
      <alignment horizontal="center" vertical="center" wrapText="1"/>
    </xf>
    <xf numFmtId="165" fontId="8" fillId="0" borderId="3" xfId="0" applyNumberFormat="1" applyFont="1" applyFill="1" applyBorder="1" applyAlignment="1">
      <alignment horizontal="center" vertical="center"/>
    </xf>
    <xf numFmtId="167" fontId="8" fillId="0" borderId="3" xfId="1" applyNumberFormat="1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left" vertical="center" wrapText="1"/>
    </xf>
    <xf numFmtId="166" fontId="8" fillId="0" borderId="8" xfId="0" applyNumberFormat="1" applyFont="1" applyFill="1" applyBorder="1" applyAlignment="1">
      <alignment horizontal="center" vertical="center" wrapText="1"/>
    </xf>
    <xf numFmtId="1" fontId="9" fillId="0" borderId="8" xfId="0" applyNumberFormat="1" applyFont="1" applyFill="1" applyBorder="1" applyAlignment="1">
      <alignment horizontal="center" vertical="center"/>
    </xf>
    <xf numFmtId="165" fontId="8" fillId="0" borderId="8" xfId="0" applyNumberFormat="1" applyFont="1" applyFill="1" applyBorder="1" applyAlignment="1">
      <alignment horizontal="center" vertical="center" wrapText="1"/>
    </xf>
    <xf numFmtId="3" fontId="8" fillId="0" borderId="8" xfId="0" applyNumberFormat="1" applyFont="1" applyFill="1" applyBorder="1" applyAlignment="1">
      <alignment horizontal="center" vertical="center" wrapText="1"/>
    </xf>
    <xf numFmtId="1" fontId="8" fillId="0" borderId="8" xfId="0" applyNumberFormat="1" applyFont="1" applyFill="1" applyBorder="1" applyAlignment="1">
      <alignment horizontal="center" vertical="center" wrapText="1"/>
    </xf>
    <xf numFmtId="167" fontId="9" fillId="0" borderId="8" xfId="1" applyNumberFormat="1" applyFont="1" applyFill="1" applyBorder="1" applyAlignment="1">
      <alignment horizontal="center" vertical="center"/>
    </xf>
    <xf numFmtId="167" fontId="11" fillId="0" borderId="10" xfId="2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167" fontId="9" fillId="0" borderId="0" xfId="0" applyNumberFormat="1" applyFont="1" applyBorder="1" applyAlignment="1">
      <alignment horizontal="center" vertical="center"/>
    </xf>
    <xf numFmtId="3" fontId="9" fillId="0" borderId="0" xfId="0" applyNumberFormat="1" applyFont="1" applyBorder="1" applyAlignment="1">
      <alignment horizontal="center" vertical="center"/>
    </xf>
    <xf numFmtId="0" fontId="9" fillId="0" borderId="0" xfId="0" applyFont="1" applyBorder="1"/>
    <xf numFmtId="0" fontId="0" fillId="0" borderId="0" xfId="0" applyBorder="1"/>
    <xf numFmtId="0" fontId="8" fillId="0" borderId="11" xfId="0" applyFont="1" applyFill="1" applyBorder="1" applyAlignment="1">
      <alignment horizontal="center" vertical="center" wrapText="1"/>
    </xf>
    <xf numFmtId="0" fontId="8" fillId="0" borderId="5" xfId="4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8" fillId="0" borderId="5" xfId="5" applyFont="1" applyFill="1" applyBorder="1" applyAlignment="1">
      <alignment horizontal="center" vertical="center"/>
    </xf>
    <xf numFmtId="0" fontId="8" fillId="0" borderId="5" xfId="2" applyFont="1" applyFill="1" applyBorder="1" applyAlignment="1">
      <alignment horizontal="center" vertical="center" wrapText="1"/>
    </xf>
    <xf numFmtId="165" fontId="8" fillId="0" borderId="5" xfId="0" applyNumberFormat="1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  <xf numFmtId="165" fontId="8" fillId="0" borderId="5" xfId="0" applyNumberFormat="1" applyFont="1" applyFill="1" applyBorder="1" applyAlignment="1">
      <alignment horizontal="center" vertical="center"/>
    </xf>
    <xf numFmtId="3" fontId="8" fillId="0" borderId="5" xfId="0" applyNumberFormat="1" applyFont="1" applyFill="1" applyBorder="1" applyAlignment="1">
      <alignment horizontal="center" vertical="center" wrapText="1"/>
    </xf>
    <xf numFmtId="1" fontId="8" fillId="0" borderId="5" xfId="0" applyNumberFormat="1" applyFont="1" applyFill="1" applyBorder="1" applyAlignment="1">
      <alignment horizontal="center" vertical="center" wrapText="1"/>
    </xf>
    <xf numFmtId="166" fontId="8" fillId="0" borderId="5" xfId="0" applyNumberFormat="1" applyFont="1" applyFill="1" applyBorder="1" applyAlignment="1">
      <alignment horizontal="center" vertical="center" wrapText="1"/>
    </xf>
    <xf numFmtId="3" fontId="8" fillId="0" borderId="5" xfId="2" applyNumberFormat="1" applyFont="1" applyFill="1" applyBorder="1" applyAlignment="1">
      <alignment horizontal="center" vertical="center" wrapText="1"/>
    </xf>
    <xf numFmtId="167" fontId="8" fillId="0" borderId="5" xfId="1" applyNumberFormat="1" applyFont="1" applyFill="1" applyBorder="1" applyAlignment="1">
      <alignment horizontal="center" vertical="center"/>
    </xf>
    <xf numFmtId="167" fontId="8" fillId="0" borderId="6" xfId="2" applyNumberFormat="1" applyFont="1" applyFill="1" applyBorder="1" applyAlignment="1">
      <alignment horizontal="center" vertical="center" wrapText="1"/>
    </xf>
    <xf numFmtId="0" fontId="9" fillId="0" borderId="3" xfId="0" applyFont="1" applyFill="1" applyBorder="1"/>
    <xf numFmtId="0" fontId="9" fillId="0" borderId="2" xfId="0" applyFont="1" applyFill="1" applyBorder="1"/>
    <xf numFmtId="0" fontId="13" fillId="4" borderId="5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13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14" fillId="0" borderId="12" xfId="5" applyFont="1" applyFill="1" applyBorder="1" applyAlignment="1">
      <alignment horizontal="center" vertical="center" wrapText="1"/>
    </xf>
    <xf numFmtId="0" fontId="14" fillId="0" borderId="15" xfId="5" applyFont="1" applyFill="1" applyBorder="1" applyAlignment="1">
      <alignment horizontal="center" vertical="center" wrapText="1"/>
    </xf>
    <xf numFmtId="0" fontId="2" fillId="0" borderId="0" xfId="5" applyFont="1" applyFill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14" fillId="0" borderId="15" xfId="5" applyFont="1" applyBorder="1" applyAlignment="1">
      <alignment horizontal="center" vertical="center" wrapText="1"/>
    </xf>
    <xf numFmtId="0" fontId="2" fillId="0" borderId="0" xfId="5" applyFont="1" applyBorder="1" applyAlignment="1">
      <alignment horizontal="left" vertical="center" wrapText="1"/>
    </xf>
    <xf numFmtId="0" fontId="14" fillId="0" borderId="17" xfId="5" applyFont="1" applyBorder="1" applyAlignment="1">
      <alignment horizontal="center" vertical="center" wrapText="1"/>
    </xf>
    <xf numFmtId="167" fontId="16" fillId="0" borderId="20" xfId="0" applyNumberFormat="1" applyFont="1" applyBorder="1" applyAlignment="1">
      <alignment horizontal="right" vertical="center"/>
    </xf>
    <xf numFmtId="0" fontId="17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vertical="center"/>
    </xf>
    <xf numFmtId="0" fontId="16" fillId="0" borderId="23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167" fontId="16" fillId="0" borderId="0" xfId="0" applyNumberFormat="1" applyFont="1" applyBorder="1" applyAlignment="1">
      <alignment vertical="center"/>
    </xf>
    <xf numFmtId="0" fontId="16" fillId="0" borderId="16" xfId="0" applyFont="1" applyBorder="1" applyAlignment="1">
      <alignment vertical="center"/>
    </xf>
    <xf numFmtId="0" fontId="17" fillId="0" borderId="25" xfId="0" applyFont="1" applyBorder="1" applyAlignment="1">
      <alignment vertical="center"/>
    </xf>
    <xf numFmtId="0" fontId="17" fillId="0" borderId="26" xfId="0" applyFont="1" applyBorder="1" applyAlignment="1">
      <alignment vertical="center"/>
    </xf>
    <xf numFmtId="0" fontId="17" fillId="0" borderId="27" xfId="0" applyFont="1" applyBorder="1" applyAlignment="1">
      <alignment vertical="center"/>
    </xf>
    <xf numFmtId="0" fontId="17" fillId="0" borderId="30" xfId="0" applyFont="1" applyBorder="1" applyAlignment="1">
      <alignment vertical="center"/>
    </xf>
    <xf numFmtId="0" fontId="18" fillId="0" borderId="15" xfId="0" applyFont="1" applyBorder="1" applyAlignment="1">
      <alignment horizontal="left" vertical="center"/>
    </xf>
    <xf numFmtId="0" fontId="18" fillId="0" borderId="0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 wrapText="1" indent="1"/>
    </xf>
    <xf numFmtId="167" fontId="17" fillId="0" borderId="0" xfId="0" applyNumberFormat="1" applyFont="1" applyBorder="1" applyAlignment="1">
      <alignment horizontal="left" vertical="center" wrapText="1" indent="1"/>
    </xf>
    <xf numFmtId="0" fontId="17" fillId="0" borderId="16" xfId="0" applyFont="1" applyBorder="1" applyAlignment="1">
      <alignment horizontal="left" vertical="center" wrapText="1" indent="1"/>
    </xf>
    <xf numFmtId="0" fontId="20" fillId="0" borderId="36" xfId="0" applyFont="1" applyBorder="1" applyAlignment="1">
      <alignment horizontal="center" vertical="center"/>
    </xf>
    <xf numFmtId="0" fontId="20" fillId="0" borderId="2" xfId="0" applyFont="1" applyBorder="1" applyAlignment="1">
      <alignment horizontal="left" vertical="center"/>
    </xf>
    <xf numFmtId="0" fontId="21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167" fontId="21" fillId="0" borderId="2" xfId="0" applyNumberFormat="1" applyFont="1" applyBorder="1" applyAlignment="1">
      <alignment horizontal="center" vertical="center" wrapText="1"/>
    </xf>
    <xf numFmtId="3" fontId="21" fillId="0" borderId="39" xfId="0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167" fontId="21" fillId="0" borderId="1" xfId="0" applyNumberFormat="1" applyFont="1" applyBorder="1" applyAlignment="1">
      <alignment horizontal="center" vertical="center" wrapText="1"/>
    </xf>
    <xf numFmtId="3" fontId="21" fillId="0" borderId="41" xfId="0" applyNumberFormat="1" applyFont="1" applyBorder="1" applyAlignment="1">
      <alignment horizontal="center" vertical="center"/>
    </xf>
    <xf numFmtId="3" fontId="23" fillId="0" borderId="13" xfId="0" applyNumberFormat="1" applyFont="1" applyBorder="1" applyAlignment="1"/>
    <xf numFmtId="168" fontId="0" fillId="0" borderId="13" xfId="0" applyNumberFormat="1" applyBorder="1" applyAlignment="1">
      <alignment horizontal="left"/>
    </xf>
    <xf numFmtId="0" fontId="0" fillId="0" borderId="13" xfId="0" applyBorder="1"/>
    <xf numFmtId="0" fontId="0" fillId="0" borderId="15" xfId="0" applyBorder="1"/>
    <xf numFmtId="0" fontId="0" fillId="0" borderId="0" xfId="0" applyBorder="1" applyAlignment="1">
      <alignment horizontal="left"/>
    </xf>
    <xf numFmtId="168" fontId="0" fillId="0" borderId="0" xfId="0" applyNumberFormat="1" applyBorder="1" applyAlignment="1">
      <alignment horizontal="left"/>
    </xf>
    <xf numFmtId="0" fontId="0" fillId="0" borderId="16" xfId="0" applyBorder="1"/>
    <xf numFmtId="0" fontId="0" fillId="0" borderId="22" xfId="0" applyBorder="1"/>
    <xf numFmtId="0" fontId="0" fillId="0" borderId="23" xfId="0" applyBorder="1"/>
    <xf numFmtId="0" fontId="0" fillId="0" borderId="23" xfId="0" applyBorder="1" applyAlignment="1">
      <alignment horizontal="left"/>
    </xf>
    <xf numFmtId="0" fontId="0" fillId="0" borderId="48" xfId="0" applyBorder="1"/>
    <xf numFmtId="0" fontId="28" fillId="0" borderId="51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2" xfId="0" applyFont="1" applyBorder="1" applyAlignment="1">
      <alignment horizontal="left" vertical="center"/>
    </xf>
    <xf numFmtId="0" fontId="28" fillId="0" borderId="53" xfId="0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/>
    </xf>
    <xf numFmtId="0" fontId="0" fillId="0" borderId="55" xfId="0" applyFont="1" applyBorder="1" applyAlignment="1">
      <alignment horizontal="center" vertical="center"/>
    </xf>
    <xf numFmtId="0" fontId="0" fillId="0" borderId="56" xfId="0" applyFont="1" applyBorder="1" applyAlignment="1">
      <alignment horizontal="center" vertical="center"/>
    </xf>
    <xf numFmtId="0" fontId="0" fillId="0" borderId="57" xfId="0" applyFont="1" applyBorder="1" applyAlignment="1">
      <alignment horizontal="center" vertical="center"/>
    </xf>
    <xf numFmtId="0" fontId="0" fillId="0" borderId="59" xfId="0" applyFont="1" applyBorder="1" applyAlignment="1">
      <alignment horizontal="center" vertical="center"/>
    </xf>
    <xf numFmtId="0" fontId="0" fillId="0" borderId="60" xfId="0" applyFont="1" applyBorder="1" applyAlignment="1">
      <alignment horizontal="center" vertical="center"/>
    </xf>
    <xf numFmtId="0" fontId="0" fillId="0" borderId="61" xfId="0" applyFont="1" applyBorder="1" applyAlignment="1">
      <alignment horizontal="center" vertical="center"/>
    </xf>
    <xf numFmtId="0" fontId="0" fillId="0" borderId="62" xfId="0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26" fillId="0" borderId="61" xfId="0" applyFont="1" applyBorder="1" applyAlignment="1">
      <alignment horizontal="center" vertical="center"/>
    </xf>
    <xf numFmtId="0" fontId="26" fillId="0" borderId="62" xfId="0" applyFont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12" fillId="0" borderId="0" xfId="0" applyFont="1"/>
    <xf numFmtId="167" fontId="12" fillId="0" borderId="0" xfId="0" applyNumberFormat="1" applyFont="1"/>
    <xf numFmtId="167" fontId="0" fillId="0" borderId="58" xfId="8" applyNumberFormat="1" applyFont="1" applyBorder="1" applyAlignment="1" applyProtection="1">
      <alignment horizontal="center" vertical="center"/>
    </xf>
    <xf numFmtId="167" fontId="0" fillId="0" borderId="63" xfId="8" applyNumberFormat="1" applyFont="1" applyBorder="1" applyAlignment="1" applyProtection="1">
      <alignment horizontal="center" vertical="center"/>
    </xf>
    <xf numFmtId="167" fontId="0" fillId="0" borderId="67" xfId="8" applyNumberFormat="1" applyFont="1" applyBorder="1" applyAlignment="1" applyProtection="1">
      <alignment horizontal="center" vertical="center"/>
    </xf>
    <xf numFmtId="167" fontId="28" fillId="0" borderId="69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3" fillId="0" borderId="71" xfId="5" applyFont="1" applyBorder="1" applyAlignment="1">
      <alignment horizontal="center" vertical="center"/>
    </xf>
    <xf numFmtId="0" fontId="3" fillId="0" borderId="60" xfId="5" applyFont="1" applyBorder="1" applyAlignment="1">
      <alignment horizontal="center" vertical="center"/>
    </xf>
    <xf numFmtId="0" fontId="3" fillId="0" borderId="61" xfId="5" applyFont="1" applyBorder="1" applyAlignment="1">
      <alignment horizontal="center" vertical="center"/>
    </xf>
    <xf numFmtId="0" fontId="3" fillId="0" borderId="62" xfId="5" applyFont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3" fontId="29" fillId="2" borderId="1" xfId="0" applyNumberFormat="1" applyFont="1" applyFill="1" applyBorder="1" applyAlignment="1">
      <alignment horizontal="center" vertical="center" wrapText="1"/>
    </xf>
    <xf numFmtId="0" fontId="8" fillId="2" borderId="1" xfId="5" applyFont="1" applyFill="1" applyBorder="1" applyAlignment="1">
      <alignment horizontal="center" vertical="center"/>
    </xf>
    <xf numFmtId="4" fontId="0" fillId="0" borderId="0" xfId="0" applyNumberFormat="1"/>
    <xf numFmtId="170" fontId="0" fillId="0" borderId="0" xfId="0" applyNumberFormat="1" applyFill="1"/>
    <xf numFmtId="167" fontId="0" fillId="0" borderId="0" xfId="0" applyNumberFormat="1" applyFill="1"/>
    <xf numFmtId="167" fontId="0" fillId="0" borderId="0" xfId="0" applyNumberFormat="1"/>
    <xf numFmtId="0" fontId="2" fillId="0" borderId="13" xfId="5" applyFont="1" applyFill="1" applyBorder="1" applyAlignment="1">
      <alignment horizontal="left" vertical="center" wrapText="1"/>
    </xf>
    <xf numFmtId="0" fontId="2" fillId="0" borderId="14" xfId="5" applyFont="1" applyFill="1" applyBorder="1" applyAlignment="1">
      <alignment horizontal="left" vertical="center" wrapText="1"/>
    </xf>
    <xf numFmtId="0" fontId="2" fillId="0" borderId="0" xfId="5" applyFont="1" applyFill="1" applyBorder="1" applyAlignment="1">
      <alignment horizontal="left" vertical="center" wrapText="1"/>
    </xf>
    <xf numFmtId="0" fontId="2" fillId="0" borderId="16" xfId="5" applyFont="1" applyFill="1" applyBorder="1" applyAlignment="1">
      <alignment horizontal="left" vertical="center" wrapText="1"/>
    </xf>
    <xf numFmtId="0" fontId="2" fillId="0" borderId="18" xfId="5" applyFont="1" applyBorder="1" applyAlignment="1">
      <alignment horizontal="left" vertical="center" wrapText="1"/>
    </xf>
    <xf numFmtId="0" fontId="2" fillId="0" borderId="19" xfId="5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22" fillId="0" borderId="42" xfId="0" applyFont="1" applyBorder="1" applyAlignment="1">
      <alignment horizontal="left" vertical="center" wrapText="1" indent="1"/>
    </xf>
    <xf numFmtId="166" fontId="18" fillId="0" borderId="42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left" vertical="center" wrapText="1"/>
    </xf>
    <xf numFmtId="0" fontId="18" fillId="0" borderId="37" xfId="0" applyFont="1" applyBorder="1" applyAlignment="1">
      <alignment horizontal="left" vertical="center" wrapText="1"/>
    </xf>
    <xf numFmtId="0" fontId="18" fillId="0" borderId="38" xfId="0" applyFont="1" applyBorder="1" applyAlignment="1">
      <alignment horizontal="left" vertical="center" wrapText="1"/>
    </xf>
    <xf numFmtId="167" fontId="19" fillId="0" borderId="32" xfId="0" applyNumberFormat="1" applyFont="1" applyBorder="1" applyAlignment="1">
      <alignment horizontal="center" vertical="center" wrapText="1"/>
    </xf>
    <xf numFmtId="167" fontId="19" fillId="0" borderId="34" xfId="0" applyNumberFormat="1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left" vertical="center"/>
    </xf>
    <xf numFmtId="0" fontId="19" fillId="0" borderId="31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center" vertical="center"/>
    </xf>
    <xf numFmtId="0" fontId="18" fillId="0" borderId="24" xfId="0" applyFont="1" applyBorder="1" applyAlignment="1">
      <alignment horizontal="left" vertical="center" wrapText="1"/>
    </xf>
    <xf numFmtId="0" fontId="23" fillId="0" borderId="70" xfId="0" applyFont="1" applyBorder="1" applyAlignment="1">
      <alignment vertical="center" wrapText="1"/>
    </xf>
    <xf numFmtId="0" fontId="26" fillId="0" borderId="50" xfId="0" applyFont="1" applyBorder="1" applyAlignment="1">
      <alignment vertical="center" wrapText="1"/>
    </xf>
    <xf numFmtId="0" fontId="26" fillId="0" borderId="42" xfId="0" applyFont="1" applyBorder="1" applyAlignment="1">
      <alignment horizontal="left" vertical="center" wrapText="1" indent="1"/>
    </xf>
    <xf numFmtId="0" fontId="0" fillId="0" borderId="62" xfId="0" applyFont="1" applyBorder="1" applyAlignment="1">
      <alignment horizontal="left" vertical="center"/>
    </xf>
    <xf numFmtId="0" fontId="0" fillId="0" borderId="62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23" fillId="0" borderId="68" xfId="0" applyFont="1" applyBorder="1" applyAlignment="1">
      <alignment horizontal="left" vertical="center" wrapText="1"/>
    </xf>
    <xf numFmtId="0" fontId="0" fillId="0" borderId="46" xfId="0" applyBorder="1"/>
    <xf numFmtId="0" fontId="0" fillId="0" borderId="62" xfId="0" applyFont="1" applyBorder="1" applyAlignment="1">
      <alignment horizontal="center" vertical="center"/>
    </xf>
    <xf numFmtId="0" fontId="26" fillId="0" borderId="47" xfId="0" applyNumberFormat="1" applyFont="1" applyBorder="1" applyAlignment="1">
      <alignment horizontal="justify" vertical="center" wrapText="1"/>
    </xf>
    <xf numFmtId="0" fontId="28" fillId="0" borderId="46" xfId="0" applyFont="1" applyBorder="1" applyAlignment="1">
      <alignment horizontal="center" vertical="center"/>
    </xf>
    <xf numFmtId="0" fontId="28" fillId="0" borderId="43" xfId="0" applyFont="1" applyBorder="1" applyAlignment="1">
      <alignment horizontal="center" vertical="center"/>
    </xf>
    <xf numFmtId="0" fontId="28" fillId="0" borderId="49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/>
    </xf>
    <xf numFmtId="0" fontId="0" fillId="0" borderId="56" xfId="0" applyFont="1" applyBorder="1" applyAlignment="1">
      <alignment horizontal="left" vertical="center" wrapText="1"/>
    </xf>
    <xf numFmtId="0" fontId="3" fillId="0" borderId="62" xfId="5" applyBorder="1" applyAlignment="1">
      <alignment horizontal="left" vertical="center"/>
    </xf>
    <xf numFmtId="0" fontId="3" fillId="0" borderId="62" xfId="5" applyFont="1" applyBorder="1" applyAlignment="1">
      <alignment horizontal="left" vertical="center"/>
    </xf>
    <xf numFmtId="0" fontId="26" fillId="0" borderId="46" xfId="0" applyFont="1" applyBorder="1" applyAlignment="1">
      <alignment horizontal="left"/>
    </xf>
    <xf numFmtId="0" fontId="0" fillId="0" borderId="25" xfId="0" applyFont="1" applyBorder="1" applyAlignment="1">
      <alignment horizontal="center"/>
    </xf>
    <xf numFmtId="3" fontId="23" fillId="0" borderId="27" xfId="0" applyNumberFormat="1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25" fillId="0" borderId="43" xfId="0" applyFont="1" applyBorder="1"/>
    <xf numFmtId="0" fontId="26" fillId="0" borderId="44" xfId="0" applyFont="1" applyBorder="1" applyAlignment="1">
      <alignment horizontal="left" indent="1"/>
    </xf>
    <xf numFmtId="0" fontId="21" fillId="0" borderId="43" xfId="0" applyFont="1" applyBorder="1" applyAlignment="1">
      <alignment horizontal="left" vertical="center" wrapText="1"/>
    </xf>
    <xf numFmtId="0" fontId="27" fillId="0" borderId="45" xfId="0" applyFont="1" applyBorder="1" applyAlignment="1">
      <alignment horizontal="left"/>
    </xf>
    <xf numFmtId="0" fontId="18" fillId="0" borderId="1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0" fillId="0" borderId="62" xfId="0" applyBorder="1" applyAlignment="1">
      <alignment horizontal="center"/>
    </xf>
  </cellXfs>
  <cellStyles count="9">
    <cellStyle name="Moneda" xfId="1" builtinId="4"/>
    <cellStyle name="Moneda 2" xfId="3" xr:uid="{00000000-0005-0000-0000-000001000000}"/>
    <cellStyle name="Moneda_AUTORIZACION Y NOTA DE PEDIDO" xfId="8" xr:uid="{00000000-0005-0000-0000-000002000000}"/>
    <cellStyle name="Normal" xfId="0" builtinId="0"/>
    <cellStyle name="Normal 2" xfId="2" xr:uid="{00000000-0005-0000-0000-000004000000}"/>
    <cellStyle name="Normal 2 2" xfId="5" xr:uid="{00000000-0005-0000-0000-000005000000}"/>
    <cellStyle name="Normal 3" xfId="7" xr:uid="{00000000-0005-0000-0000-000006000000}"/>
    <cellStyle name="Normal 4" xfId="6" xr:uid="{00000000-0005-0000-0000-000007000000}"/>
    <cellStyle name="Normal 5" xfId="4" xr:uid="{00000000-0005-0000-0000-000008000000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33"/>
  <sheetViews>
    <sheetView topLeftCell="D58" zoomScale="80" zoomScaleNormal="80" workbookViewId="0">
      <selection activeCell="AU70" sqref="AU70"/>
    </sheetView>
  </sheetViews>
  <sheetFormatPr baseColWidth="10" defaultRowHeight="15" x14ac:dyDescent="0.25"/>
  <cols>
    <col min="1" max="1" width="5.7109375" style="23" bestFit="1" customWidth="1"/>
    <col min="2" max="2" width="14.140625" style="23" bestFit="1" customWidth="1"/>
    <col min="3" max="3" width="31.5703125" style="23" bestFit="1" customWidth="1"/>
    <col min="4" max="4" width="5.5703125" style="23" bestFit="1" customWidth="1"/>
    <col min="5" max="5" width="89.5703125" style="33" bestFit="1" customWidth="1"/>
    <col min="6" max="6" width="11.5703125" style="23" bestFit="1" customWidth="1"/>
    <col min="7" max="7" width="17.140625" style="23" hidden="1" customWidth="1"/>
    <col min="8" max="8" width="10.85546875" style="23" hidden="1" customWidth="1"/>
    <col min="9" max="9" width="8" style="23" hidden="1" customWidth="1"/>
    <col min="10" max="10" width="14.5703125" style="23" hidden="1" customWidth="1"/>
    <col min="11" max="11" width="9.7109375" style="23" hidden="1" customWidth="1"/>
    <col min="12" max="12" width="14" style="23" hidden="1" customWidth="1"/>
    <col min="13" max="13" width="8.28515625" style="23" hidden="1" customWidth="1"/>
    <col min="14" max="14" width="14.140625" style="23" hidden="1" customWidth="1"/>
    <col min="15" max="15" width="4.5703125" style="23" hidden="1" customWidth="1"/>
    <col min="16" max="16" width="12.42578125" style="23" hidden="1" customWidth="1"/>
    <col min="17" max="17" width="14.7109375" style="23" hidden="1" customWidth="1"/>
    <col min="18" max="18" width="13.42578125" style="23" hidden="1" customWidth="1"/>
    <col min="19" max="19" width="10.5703125" style="23" hidden="1" customWidth="1"/>
    <col min="20" max="20" width="11.28515625" style="23" hidden="1" customWidth="1"/>
    <col min="21" max="21" width="14.7109375" style="23" hidden="1" customWidth="1"/>
    <col min="22" max="22" width="12.85546875" style="23" hidden="1" customWidth="1"/>
    <col min="23" max="23" width="6" style="23" hidden="1" customWidth="1"/>
    <col min="24" max="24" width="10.28515625" style="23" hidden="1" customWidth="1"/>
    <col min="25" max="25" width="10.140625" style="23" hidden="1" customWidth="1"/>
    <col min="26" max="26" width="13.5703125" style="23" hidden="1" customWidth="1"/>
    <col min="27" max="28" width="14.42578125" style="23" hidden="1" customWidth="1"/>
    <col min="29" max="29" width="5.7109375" style="23" hidden="1" customWidth="1"/>
    <col min="30" max="30" width="12.28515625" style="23" hidden="1" customWidth="1"/>
    <col min="31" max="31" width="11.140625" style="23" hidden="1" customWidth="1"/>
    <col min="32" max="32" width="14" style="23" hidden="1" customWidth="1"/>
    <col min="33" max="33" width="12.140625" style="23" hidden="1" customWidth="1"/>
    <col min="34" max="34" width="13" style="23" hidden="1" customWidth="1"/>
    <col min="35" max="35" width="7.42578125" style="23" hidden="1" customWidth="1"/>
    <col min="36" max="36" width="14" style="23" hidden="1" customWidth="1"/>
    <col min="37" max="37" width="4.7109375" style="23" hidden="1" customWidth="1"/>
    <col min="38" max="38" width="11.28515625" style="23" hidden="1" customWidth="1"/>
    <col min="39" max="39" width="6.5703125" style="23" hidden="1" customWidth="1"/>
    <col min="40" max="40" width="13.140625" style="23" hidden="1" customWidth="1"/>
    <col min="41" max="41" width="14.85546875" style="23" hidden="1" customWidth="1"/>
    <col min="42" max="42" width="13.5703125" style="23" hidden="1" customWidth="1"/>
    <col min="43" max="43" width="13.85546875" style="23" hidden="1" customWidth="1"/>
    <col min="44" max="44" width="12.42578125" style="23" hidden="1" customWidth="1"/>
    <col min="45" max="45" width="17.140625" style="55" bestFit="1" customWidth="1"/>
    <col min="46" max="46" width="14" style="27" customWidth="1"/>
    <col min="47" max="47" width="16.28515625" style="27" bestFit="1" customWidth="1"/>
    <col min="48" max="48" width="24.5703125" hidden="1" customWidth="1"/>
    <col min="49" max="49" width="12.85546875" bestFit="1" customWidth="1"/>
    <col min="50" max="50" width="15.5703125" bestFit="1" customWidth="1"/>
  </cols>
  <sheetData>
    <row r="1" spans="1:49" x14ac:dyDescent="0.25">
      <c r="A1" s="203">
        <v>2021</v>
      </c>
      <c r="B1" s="2"/>
      <c r="C1" s="1"/>
      <c r="D1" s="1"/>
      <c r="E1" s="24"/>
      <c r="F1" s="1"/>
      <c r="G1" s="1"/>
      <c r="H1" s="1"/>
      <c r="I1" s="1"/>
      <c r="J1" s="1"/>
      <c r="K1" s="1"/>
      <c r="L1" s="1"/>
      <c r="M1" s="14"/>
      <c r="N1" s="15"/>
      <c r="O1" s="3"/>
      <c r="P1" s="1"/>
      <c r="Q1" s="14"/>
      <c r="R1" s="1"/>
      <c r="S1" s="3"/>
      <c r="T1" s="16"/>
      <c r="U1" s="14"/>
      <c r="V1" s="1"/>
      <c r="W1" s="3"/>
      <c r="X1" s="1"/>
      <c r="Y1" s="3"/>
      <c r="Z1" s="1"/>
      <c r="AA1" s="3"/>
      <c r="AB1" s="1"/>
      <c r="AC1" s="3"/>
      <c r="AD1" s="1"/>
      <c r="AE1" s="3"/>
      <c r="AF1" s="1"/>
      <c r="AG1" s="3"/>
      <c r="AH1" s="1"/>
      <c r="AI1" s="3"/>
      <c r="AJ1" s="1"/>
      <c r="AK1" s="3"/>
      <c r="AL1" s="1"/>
      <c r="AM1" s="3"/>
      <c r="AN1" s="1"/>
      <c r="AO1" s="3"/>
      <c r="AP1" s="1"/>
      <c r="AQ1" s="3"/>
      <c r="AR1" s="1"/>
      <c r="AS1" s="3"/>
      <c r="AT1" s="20"/>
      <c r="AU1" s="29"/>
    </row>
    <row r="2" spans="1:49" x14ac:dyDescent="0.25">
      <c r="A2" s="1"/>
      <c r="B2" s="216" t="s">
        <v>0</v>
      </c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9"/>
    </row>
    <row r="3" spans="1:49" x14ac:dyDescent="0.25">
      <c r="A3" s="1"/>
      <c r="B3" s="2"/>
      <c r="C3" s="1"/>
      <c r="D3" s="1"/>
      <c r="E3" s="24"/>
      <c r="F3" s="1"/>
      <c r="G3" s="1"/>
      <c r="H3" s="1"/>
      <c r="I3" s="1"/>
      <c r="J3" s="1"/>
      <c r="K3" s="1"/>
      <c r="L3" s="1"/>
      <c r="M3" s="14"/>
      <c r="N3" s="15"/>
      <c r="O3" s="3"/>
      <c r="P3" s="1"/>
      <c r="Q3" s="14"/>
      <c r="R3" s="1"/>
      <c r="S3" s="3"/>
      <c r="T3" s="16"/>
      <c r="U3" s="14"/>
      <c r="V3" s="1"/>
      <c r="W3" s="3"/>
      <c r="X3" s="1"/>
      <c r="Y3" s="3"/>
      <c r="Z3" s="1"/>
      <c r="AA3" s="3"/>
      <c r="AB3" s="1"/>
      <c r="AC3" s="3"/>
      <c r="AD3" s="1"/>
      <c r="AE3" s="3"/>
      <c r="AF3" s="1"/>
      <c r="AG3" s="3"/>
      <c r="AH3" s="1"/>
      <c r="AI3" s="3"/>
      <c r="AJ3" s="1"/>
      <c r="AK3" s="3"/>
      <c r="AL3" s="1"/>
      <c r="AM3" s="3"/>
      <c r="AN3" s="1"/>
      <c r="AO3" s="3"/>
      <c r="AP3" s="1"/>
      <c r="AQ3" s="3"/>
      <c r="AR3" s="1"/>
      <c r="AS3" s="3"/>
      <c r="AT3" s="20"/>
      <c r="AU3" s="29"/>
    </row>
    <row r="4" spans="1:49" x14ac:dyDescent="0.25">
      <c r="A4" s="215" t="s">
        <v>1</v>
      </c>
      <c r="B4" s="215"/>
      <c r="C4" s="217" t="s">
        <v>63</v>
      </c>
      <c r="D4" s="217"/>
      <c r="E4" s="217"/>
      <c r="F4" s="6"/>
      <c r="G4" s="6"/>
      <c r="H4" s="6"/>
      <c r="I4" s="6"/>
      <c r="J4" s="6"/>
      <c r="K4" s="6"/>
      <c r="L4" s="6"/>
      <c r="M4" s="17"/>
      <c r="N4" s="18"/>
      <c r="O4" s="4"/>
      <c r="P4" s="6"/>
      <c r="Q4" s="17"/>
      <c r="R4" s="6"/>
      <c r="S4" s="4"/>
      <c r="T4" s="19"/>
      <c r="U4" s="17"/>
      <c r="V4" s="6"/>
      <c r="W4" s="4"/>
      <c r="X4" s="6"/>
      <c r="Y4" s="4"/>
      <c r="Z4" s="6"/>
      <c r="AA4" s="4"/>
      <c r="AB4" s="6"/>
      <c r="AC4" s="4"/>
      <c r="AD4" s="6"/>
      <c r="AE4" s="4"/>
      <c r="AF4" s="6"/>
      <c r="AG4" s="4"/>
      <c r="AH4" s="6"/>
      <c r="AI4" s="4"/>
      <c r="AJ4" s="6"/>
      <c r="AK4" s="4"/>
      <c r="AL4" s="6"/>
      <c r="AM4" s="4"/>
      <c r="AN4" s="6"/>
      <c r="AO4" s="4"/>
      <c r="AP4" s="6"/>
      <c r="AQ4" s="4"/>
      <c r="AR4" s="6"/>
      <c r="AS4" s="4"/>
      <c r="AT4" s="20"/>
      <c r="AU4" s="29"/>
    </row>
    <row r="5" spans="1:49" x14ac:dyDescent="0.25">
      <c r="A5" s="215" t="s">
        <v>2</v>
      </c>
      <c r="B5" s="215"/>
      <c r="C5" s="218" t="s">
        <v>62</v>
      </c>
      <c r="D5" s="218"/>
      <c r="E5" s="218"/>
      <c r="F5" s="6"/>
      <c r="G5" s="6"/>
      <c r="H5" s="6"/>
      <c r="I5" s="6"/>
      <c r="J5" s="6"/>
      <c r="K5" s="6"/>
      <c r="L5" s="6"/>
      <c r="M5" s="17"/>
      <c r="N5" s="18"/>
      <c r="O5" s="4"/>
      <c r="P5" s="6"/>
      <c r="Q5" s="17"/>
      <c r="R5" s="6"/>
      <c r="S5" s="4"/>
      <c r="T5" s="19"/>
      <c r="U5" s="17"/>
      <c r="V5" s="6"/>
      <c r="W5" s="4"/>
      <c r="X5" s="6"/>
      <c r="Y5" s="4"/>
      <c r="Z5" s="6"/>
      <c r="AA5" s="4"/>
      <c r="AB5" s="6"/>
      <c r="AC5" s="4"/>
      <c r="AD5" s="6"/>
      <c r="AE5" s="4"/>
      <c r="AF5" s="6"/>
      <c r="AG5" s="4"/>
      <c r="AH5" s="6"/>
      <c r="AI5" s="4"/>
      <c r="AJ5" s="6"/>
      <c r="AK5" s="4"/>
      <c r="AL5" s="6"/>
      <c r="AM5" s="4"/>
      <c r="AN5" s="6"/>
      <c r="AO5" s="4"/>
      <c r="AP5" s="6"/>
      <c r="AQ5" s="4"/>
      <c r="AR5" s="6"/>
      <c r="AS5" s="4"/>
      <c r="AT5" s="20"/>
      <c r="AU5" s="29"/>
    </row>
    <row r="6" spans="1:49" x14ac:dyDescent="0.25">
      <c r="A6" s="215" t="s">
        <v>3</v>
      </c>
      <c r="B6" s="215"/>
      <c r="C6" s="5">
        <v>2021</v>
      </c>
      <c r="D6" s="21"/>
      <c r="E6" s="5"/>
      <c r="F6" s="6"/>
      <c r="G6" s="6"/>
      <c r="H6" s="6"/>
      <c r="I6" s="6"/>
      <c r="J6" s="6"/>
      <c r="K6" s="6"/>
      <c r="L6" s="6"/>
      <c r="M6" s="17"/>
      <c r="N6" s="18"/>
      <c r="O6" s="4"/>
      <c r="P6" s="6"/>
      <c r="Q6" s="17"/>
      <c r="R6" s="6"/>
      <c r="S6" s="4"/>
      <c r="T6" s="19"/>
      <c r="U6" s="17"/>
      <c r="V6" s="6"/>
      <c r="W6" s="4"/>
      <c r="X6" s="6"/>
      <c r="Y6" s="4"/>
      <c r="Z6" s="6"/>
      <c r="AA6" s="4"/>
      <c r="AB6" s="6"/>
      <c r="AC6" s="4"/>
      <c r="AD6" s="6"/>
      <c r="AE6" s="4"/>
      <c r="AF6" s="6"/>
      <c r="AG6" s="4"/>
      <c r="AH6" s="6"/>
      <c r="AI6" s="4"/>
      <c r="AJ6" s="6"/>
      <c r="AK6" s="4"/>
      <c r="AL6" s="6"/>
      <c r="AM6" s="4"/>
      <c r="AN6" s="6"/>
      <c r="AO6" s="4"/>
      <c r="AP6" s="6"/>
      <c r="AQ6" s="4"/>
      <c r="AR6" s="6"/>
      <c r="AS6" s="4"/>
      <c r="AT6" s="20"/>
      <c r="AU6" s="29"/>
    </row>
    <row r="7" spans="1:49" x14ac:dyDescent="0.25">
      <c r="A7" s="215" t="s">
        <v>4</v>
      </c>
      <c r="B7" s="215"/>
      <c r="C7" s="5" t="s">
        <v>79</v>
      </c>
      <c r="D7" s="21"/>
      <c r="E7" s="5"/>
      <c r="F7" s="6"/>
      <c r="G7" s="6"/>
      <c r="H7" s="6"/>
      <c r="I7" s="6"/>
      <c r="J7" s="6"/>
      <c r="K7" s="6"/>
      <c r="L7" s="6"/>
      <c r="M7" s="17"/>
      <c r="N7" s="18"/>
      <c r="O7" s="4"/>
      <c r="P7" s="6"/>
      <c r="Q7" s="17"/>
      <c r="R7" s="6"/>
      <c r="S7" s="4"/>
      <c r="T7" s="19"/>
      <c r="U7" s="17"/>
      <c r="V7" s="6"/>
      <c r="W7" s="4"/>
      <c r="X7" s="6"/>
      <c r="Y7" s="4"/>
      <c r="Z7" s="6"/>
      <c r="AA7" s="4"/>
      <c r="AB7" s="6"/>
      <c r="AC7" s="4"/>
      <c r="AD7" s="6"/>
      <c r="AE7" s="4"/>
      <c r="AF7" s="6"/>
      <c r="AG7" s="4"/>
      <c r="AH7" s="6"/>
      <c r="AI7" s="4"/>
      <c r="AJ7" s="6"/>
      <c r="AK7" s="4"/>
      <c r="AL7" s="6"/>
      <c r="AM7" s="4"/>
      <c r="AN7" s="6"/>
      <c r="AO7" s="4"/>
      <c r="AP7" s="6"/>
      <c r="AQ7" s="4"/>
      <c r="AR7" s="6"/>
      <c r="AS7" s="4"/>
      <c r="AT7" s="20"/>
      <c r="AU7" s="29"/>
    </row>
    <row r="8" spans="1:49" x14ac:dyDescent="0.25">
      <c r="A8" s="1"/>
      <c r="B8" s="6"/>
      <c r="C8" s="6"/>
      <c r="D8" s="6"/>
      <c r="E8" s="25"/>
      <c r="F8" s="6"/>
      <c r="G8" s="6"/>
      <c r="H8" s="6"/>
      <c r="I8" s="6"/>
      <c r="J8" s="6"/>
      <c r="K8" s="6"/>
      <c r="L8" s="6"/>
      <c r="M8" s="17"/>
      <c r="N8" s="18"/>
      <c r="O8" s="4"/>
      <c r="P8" s="6"/>
      <c r="Q8" s="17"/>
      <c r="R8" s="6"/>
      <c r="S8" s="4"/>
      <c r="T8" s="19"/>
      <c r="U8" s="17"/>
      <c r="V8" s="6"/>
      <c r="W8" s="4"/>
      <c r="X8" s="6"/>
      <c r="Y8" s="4"/>
      <c r="Z8" s="6"/>
      <c r="AA8" s="4"/>
      <c r="AB8" s="6"/>
      <c r="AC8" s="4"/>
      <c r="AD8" s="6"/>
      <c r="AE8" s="4"/>
      <c r="AF8" s="6"/>
      <c r="AG8" s="4"/>
      <c r="AH8" s="6"/>
      <c r="AI8" s="4"/>
      <c r="AJ8" s="6"/>
      <c r="AK8" s="4"/>
      <c r="AL8" s="6"/>
      <c r="AM8" s="4"/>
      <c r="AN8" s="6"/>
      <c r="AO8" s="4"/>
      <c r="AP8" s="6"/>
      <c r="AQ8" s="4"/>
      <c r="AR8" s="6"/>
      <c r="AS8" s="4"/>
      <c r="AT8" s="20"/>
      <c r="AU8" s="29"/>
    </row>
    <row r="9" spans="1:49" ht="38.25" x14ac:dyDescent="0.25">
      <c r="A9" s="7" t="s">
        <v>5</v>
      </c>
      <c r="B9" s="7" t="s">
        <v>6</v>
      </c>
      <c r="C9" s="8" t="s">
        <v>7</v>
      </c>
      <c r="D9" s="7" t="s">
        <v>8</v>
      </c>
      <c r="E9" s="26" t="s">
        <v>9</v>
      </c>
      <c r="F9" s="8" t="s">
        <v>10</v>
      </c>
      <c r="G9" s="8" t="s">
        <v>77</v>
      </c>
      <c r="H9" s="8" t="s">
        <v>64</v>
      </c>
      <c r="I9" s="8" t="s">
        <v>65</v>
      </c>
      <c r="J9" s="8" t="s">
        <v>66</v>
      </c>
      <c r="K9" s="8" t="s">
        <v>11</v>
      </c>
      <c r="L9" s="8" t="s">
        <v>12</v>
      </c>
      <c r="M9" s="9" t="s">
        <v>13</v>
      </c>
      <c r="N9" s="10" t="s">
        <v>14</v>
      </c>
      <c r="O9" s="11" t="s">
        <v>72</v>
      </c>
      <c r="P9" s="8" t="s">
        <v>67</v>
      </c>
      <c r="Q9" s="9" t="s">
        <v>15</v>
      </c>
      <c r="R9" s="8" t="s">
        <v>16</v>
      </c>
      <c r="S9" s="11" t="s">
        <v>17</v>
      </c>
      <c r="T9" s="12" t="s">
        <v>18</v>
      </c>
      <c r="U9" s="9" t="s">
        <v>19</v>
      </c>
      <c r="V9" s="8" t="s">
        <v>20</v>
      </c>
      <c r="W9" s="11" t="s">
        <v>21</v>
      </c>
      <c r="X9" s="8" t="s">
        <v>22</v>
      </c>
      <c r="Y9" s="11" t="s">
        <v>68</v>
      </c>
      <c r="Z9" s="8" t="s">
        <v>69</v>
      </c>
      <c r="AA9" s="11" t="s">
        <v>70</v>
      </c>
      <c r="AB9" s="8" t="s">
        <v>71</v>
      </c>
      <c r="AC9" s="13" t="s">
        <v>73</v>
      </c>
      <c r="AD9" s="8" t="s">
        <v>74</v>
      </c>
      <c r="AE9" s="11" t="s">
        <v>23</v>
      </c>
      <c r="AF9" s="8" t="s">
        <v>24</v>
      </c>
      <c r="AG9" s="11" t="s">
        <v>25</v>
      </c>
      <c r="AH9" s="8" t="s">
        <v>26</v>
      </c>
      <c r="AI9" s="11" t="s">
        <v>27</v>
      </c>
      <c r="AJ9" s="8" t="s">
        <v>28</v>
      </c>
      <c r="AK9" s="11" t="s">
        <v>29</v>
      </c>
      <c r="AL9" s="8" t="s">
        <v>30</v>
      </c>
      <c r="AM9" s="13" t="s">
        <v>75</v>
      </c>
      <c r="AN9" s="8" t="s">
        <v>76</v>
      </c>
      <c r="AO9" s="11" t="s">
        <v>31</v>
      </c>
      <c r="AP9" s="8" t="s">
        <v>32</v>
      </c>
      <c r="AQ9" s="11" t="s">
        <v>33</v>
      </c>
      <c r="AR9" s="8" t="s">
        <v>34</v>
      </c>
      <c r="AS9" s="11" t="s">
        <v>35</v>
      </c>
      <c r="AT9" s="22" t="s">
        <v>36</v>
      </c>
      <c r="AU9" s="28" t="s">
        <v>37</v>
      </c>
      <c r="AV9" s="30" t="s">
        <v>78</v>
      </c>
    </row>
    <row r="10" spans="1:49" s="32" customFormat="1" ht="29.25" customHeight="1" x14ac:dyDescent="0.25">
      <c r="A10" s="56">
        <v>1</v>
      </c>
      <c r="B10" s="57"/>
      <c r="C10" s="34" t="s">
        <v>104</v>
      </c>
      <c r="D10" s="194">
        <v>295</v>
      </c>
      <c r="E10" s="200" t="s">
        <v>184</v>
      </c>
      <c r="F10" s="64" t="s">
        <v>39</v>
      </c>
      <c r="G10" s="58"/>
      <c r="H10" s="58"/>
      <c r="I10" s="58"/>
      <c r="J10" s="58"/>
      <c r="K10" s="117">
        <v>2</v>
      </c>
      <c r="L10" s="40">
        <f>+K10*AT10</f>
        <v>11378</v>
      </c>
      <c r="M10" s="36"/>
      <c r="N10" s="61"/>
      <c r="O10" s="42"/>
      <c r="P10" s="40"/>
      <c r="Q10" s="41"/>
      <c r="R10" s="40"/>
      <c r="S10" s="42"/>
      <c r="T10" s="43"/>
      <c r="U10" s="41"/>
      <c r="V10" s="40"/>
      <c r="W10" s="42"/>
      <c r="X10" s="40"/>
      <c r="Y10" s="42"/>
      <c r="Z10" s="40"/>
      <c r="AA10" s="42"/>
      <c r="AB10" s="40"/>
      <c r="AC10" s="42"/>
      <c r="AD10" s="40"/>
      <c r="AE10" s="42"/>
      <c r="AF10" s="40"/>
      <c r="AG10" s="42"/>
      <c r="AH10" s="40"/>
      <c r="AI10" s="42"/>
      <c r="AJ10" s="40"/>
      <c r="AK10" s="42"/>
      <c r="AL10" s="40"/>
      <c r="AM10" s="42"/>
      <c r="AN10" s="40"/>
      <c r="AO10" s="42"/>
      <c r="AP10" s="40"/>
      <c r="AQ10" s="42"/>
      <c r="AR10" s="40"/>
      <c r="AS10" s="44">
        <v>2</v>
      </c>
      <c r="AT10" s="68">
        <v>5689</v>
      </c>
      <c r="AU10" s="63">
        <f>+AS10*AT10</f>
        <v>11378</v>
      </c>
      <c r="AV10" s="50"/>
    </row>
    <row r="11" spans="1:49" s="32" customFormat="1" ht="30" customHeight="1" x14ac:dyDescent="0.25">
      <c r="A11" s="56">
        <v>2</v>
      </c>
      <c r="B11" s="57"/>
      <c r="C11" s="34" t="s">
        <v>104</v>
      </c>
      <c r="D11" s="194">
        <v>295</v>
      </c>
      <c r="E11" s="200" t="s">
        <v>183</v>
      </c>
      <c r="F11" s="38" t="s">
        <v>39</v>
      </c>
      <c r="G11" s="58"/>
      <c r="H11" s="58"/>
      <c r="I11" s="58"/>
      <c r="J11" s="58"/>
      <c r="K11" s="59"/>
      <c r="L11" s="40"/>
      <c r="M11" s="60">
        <v>50</v>
      </c>
      <c r="N11" s="61">
        <f>+M11*AT11</f>
        <v>35100</v>
      </c>
      <c r="O11" s="42"/>
      <c r="P11" s="40"/>
      <c r="Q11" s="41"/>
      <c r="R11" s="40"/>
      <c r="S11" s="42"/>
      <c r="T11" s="43"/>
      <c r="U11" s="41"/>
      <c r="V11" s="40"/>
      <c r="W11" s="42"/>
      <c r="X11" s="40"/>
      <c r="Y11" s="42"/>
      <c r="Z11" s="40"/>
      <c r="AA11" s="42"/>
      <c r="AB11" s="40"/>
      <c r="AC11" s="42"/>
      <c r="AD11" s="40"/>
      <c r="AE11" s="42"/>
      <c r="AF11" s="40"/>
      <c r="AG11" s="42"/>
      <c r="AH11" s="40"/>
      <c r="AI11" s="42"/>
      <c r="AJ11" s="40"/>
      <c r="AK11" s="42"/>
      <c r="AL11" s="40"/>
      <c r="AM11" s="42"/>
      <c r="AN11" s="40"/>
      <c r="AO11" s="42"/>
      <c r="AP11" s="40"/>
      <c r="AQ11" s="42"/>
      <c r="AR11" s="40"/>
      <c r="AS11" s="44">
        <f t="shared" ref="AS11:AS67" si="0">+AQ11+AO11+AM11+AK11+AI11+AG11+AE11+AC11+AA11+Y11+W11+U11+S11+Q11+O11+M11+K11+I11</f>
        <v>50</v>
      </c>
      <c r="AT11" s="62">
        <v>702</v>
      </c>
      <c r="AU11" s="63">
        <f t="shared" ref="AU11:AU67" si="1">+AS11*AT11</f>
        <v>35100</v>
      </c>
      <c r="AV11" s="50"/>
    </row>
    <row r="12" spans="1:49" s="32" customFormat="1" ht="32.25" customHeight="1" x14ac:dyDescent="0.25">
      <c r="A12" s="56">
        <v>3</v>
      </c>
      <c r="B12" s="42"/>
      <c r="C12" s="34" t="s">
        <v>104</v>
      </c>
      <c r="D12" s="194">
        <v>295</v>
      </c>
      <c r="E12" s="200" t="s">
        <v>174</v>
      </c>
      <c r="F12" s="64" t="s">
        <v>40</v>
      </c>
      <c r="G12" s="65"/>
      <c r="H12" s="36"/>
      <c r="I12" s="65"/>
      <c r="J12" s="36"/>
      <c r="K12" s="38"/>
      <c r="L12" s="40"/>
      <c r="M12" s="66">
        <v>1700</v>
      </c>
      <c r="N12" s="61">
        <f>+M12*AT12</f>
        <v>1861500</v>
      </c>
      <c r="O12" s="37"/>
      <c r="P12" s="67"/>
      <c r="Q12" s="60"/>
      <c r="R12" s="67"/>
      <c r="S12" s="37"/>
      <c r="T12" s="67"/>
      <c r="U12" s="60"/>
      <c r="V12" s="67"/>
      <c r="W12" s="37"/>
      <c r="X12" s="67"/>
      <c r="Y12" s="37"/>
      <c r="Z12" s="67"/>
      <c r="AA12" s="37"/>
      <c r="AB12" s="67"/>
      <c r="AC12" s="37"/>
      <c r="AD12" s="67"/>
      <c r="AE12" s="37"/>
      <c r="AF12" s="67"/>
      <c r="AG12" s="37"/>
      <c r="AH12" s="67"/>
      <c r="AI12" s="37"/>
      <c r="AJ12" s="67"/>
      <c r="AK12" s="37"/>
      <c r="AL12" s="67"/>
      <c r="AM12" s="37"/>
      <c r="AN12" s="67"/>
      <c r="AO12" s="37"/>
      <c r="AP12" s="67"/>
      <c r="AQ12" s="37"/>
      <c r="AR12" s="67"/>
      <c r="AS12" s="44">
        <f t="shared" si="0"/>
        <v>1700</v>
      </c>
      <c r="AT12" s="68">
        <v>1095</v>
      </c>
      <c r="AU12" s="63">
        <f t="shared" si="1"/>
        <v>1861500</v>
      </c>
      <c r="AV12" s="50"/>
    </row>
    <row r="13" spans="1:49" s="32" customFormat="1" ht="36" customHeight="1" x14ac:dyDescent="0.25">
      <c r="A13" s="56">
        <v>4</v>
      </c>
      <c r="B13" s="57"/>
      <c r="C13" s="34" t="s">
        <v>104</v>
      </c>
      <c r="D13" s="194">
        <v>295</v>
      </c>
      <c r="E13" s="200" t="s">
        <v>41</v>
      </c>
      <c r="F13" s="64" t="s">
        <v>42</v>
      </c>
      <c r="G13" s="34"/>
      <c r="H13" s="34"/>
      <c r="I13" s="34"/>
      <c r="J13" s="34"/>
      <c r="K13" s="45"/>
      <c r="L13" s="43"/>
      <c r="M13" s="36">
        <v>10</v>
      </c>
      <c r="N13" s="61">
        <f>+M13*AT13</f>
        <v>1250</v>
      </c>
      <c r="O13" s="42"/>
      <c r="P13" s="43"/>
      <c r="Q13" s="41"/>
      <c r="R13" s="43"/>
      <c r="S13" s="42"/>
      <c r="T13" s="43"/>
      <c r="U13" s="41"/>
      <c r="V13" s="43"/>
      <c r="W13" s="42"/>
      <c r="X13" s="43"/>
      <c r="Y13" s="42"/>
      <c r="Z13" s="43"/>
      <c r="AA13" s="42"/>
      <c r="AB13" s="43"/>
      <c r="AC13" s="42"/>
      <c r="AD13" s="43"/>
      <c r="AE13" s="42"/>
      <c r="AF13" s="43"/>
      <c r="AG13" s="42"/>
      <c r="AH13" s="43"/>
      <c r="AI13" s="42"/>
      <c r="AJ13" s="43"/>
      <c r="AK13" s="42"/>
      <c r="AL13" s="43"/>
      <c r="AM13" s="42"/>
      <c r="AN13" s="43"/>
      <c r="AO13" s="42"/>
      <c r="AP13" s="43"/>
      <c r="AQ13" s="42"/>
      <c r="AR13" s="43"/>
      <c r="AS13" s="44">
        <f t="shared" si="0"/>
        <v>10</v>
      </c>
      <c r="AT13" s="73">
        <v>125</v>
      </c>
      <c r="AU13" s="63">
        <f t="shared" si="1"/>
        <v>1250</v>
      </c>
      <c r="AV13" s="50"/>
      <c r="AW13" s="206"/>
    </row>
    <row r="14" spans="1:49" s="32" customFormat="1" ht="28.5" customHeight="1" x14ac:dyDescent="0.25">
      <c r="A14" s="56">
        <v>5</v>
      </c>
      <c r="B14" s="57"/>
      <c r="C14" s="34" t="s">
        <v>104</v>
      </c>
      <c r="D14" s="194">
        <v>295</v>
      </c>
      <c r="E14" s="195" t="s">
        <v>181</v>
      </c>
      <c r="F14" s="69" t="s">
        <v>42</v>
      </c>
      <c r="G14" s="58"/>
      <c r="H14" s="58"/>
      <c r="I14" s="58"/>
      <c r="J14" s="58"/>
      <c r="K14" s="116">
        <v>100</v>
      </c>
      <c r="L14" s="40">
        <f>+K14*AT14</f>
        <v>25000</v>
      </c>
      <c r="M14" s="36"/>
      <c r="N14" s="61"/>
      <c r="O14" s="42"/>
      <c r="P14" s="40"/>
      <c r="Q14" s="41"/>
      <c r="R14" s="40"/>
      <c r="S14" s="42"/>
      <c r="T14" s="43"/>
      <c r="U14" s="41"/>
      <c r="V14" s="40"/>
      <c r="W14" s="42"/>
      <c r="X14" s="40"/>
      <c r="Y14" s="42"/>
      <c r="Z14" s="40"/>
      <c r="AA14" s="42"/>
      <c r="AB14" s="40"/>
      <c r="AC14" s="42"/>
      <c r="AD14" s="40"/>
      <c r="AE14" s="42"/>
      <c r="AF14" s="40"/>
      <c r="AG14" s="42"/>
      <c r="AH14" s="40"/>
      <c r="AI14" s="42"/>
      <c r="AJ14" s="40"/>
      <c r="AK14" s="42"/>
      <c r="AL14" s="40"/>
      <c r="AM14" s="42"/>
      <c r="AN14" s="40"/>
      <c r="AO14" s="42"/>
      <c r="AP14" s="40"/>
      <c r="AQ14" s="42"/>
      <c r="AR14" s="40"/>
      <c r="AS14" s="44">
        <f t="shared" si="0"/>
        <v>100</v>
      </c>
      <c r="AT14" s="73">
        <v>250</v>
      </c>
      <c r="AU14" s="63">
        <f t="shared" si="1"/>
        <v>25000</v>
      </c>
      <c r="AV14" s="50"/>
    </row>
    <row r="15" spans="1:49" s="32" customFormat="1" ht="30" customHeight="1" x14ac:dyDescent="0.25">
      <c r="A15" s="56">
        <v>6</v>
      </c>
      <c r="B15" s="57"/>
      <c r="C15" s="34" t="s">
        <v>104</v>
      </c>
      <c r="D15" s="194">
        <v>295</v>
      </c>
      <c r="E15" s="195" t="s">
        <v>165</v>
      </c>
      <c r="F15" s="69" t="s">
        <v>39</v>
      </c>
      <c r="G15" s="58"/>
      <c r="H15" s="58"/>
      <c r="I15" s="58"/>
      <c r="J15" s="58"/>
      <c r="K15" s="118">
        <v>20</v>
      </c>
      <c r="L15" s="40">
        <f>+K15*AT15</f>
        <v>31800</v>
      </c>
      <c r="M15" s="36"/>
      <c r="N15" s="61"/>
      <c r="O15" s="42"/>
      <c r="P15" s="40"/>
      <c r="Q15" s="41"/>
      <c r="R15" s="40"/>
      <c r="S15" s="42"/>
      <c r="T15" s="43"/>
      <c r="U15" s="41"/>
      <c r="V15" s="40"/>
      <c r="W15" s="42"/>
      <c r="X15" s="40"/>
      <c r="Y15" s="42"/>
      <c r="Z15" s="40"/>
      <c r="AA15" s="42"/>
      <c r="AB15" s="40"/>
      <c r="AC15" s="42"/>
      <c r="AD15" s="40"/>
      <c r="AE15" s="42"/>
      <c r="AF15" s="40"/>
      <c r="AG15" s="42"/>
      <c r="AH15" s="40"/>
      <c r="AI15" s="42"/>
      <c r="AJ15" s="40"/>
      <c r="AK15" s="42"/>
      <c r="AL15" s="40"/>
      <c r="AM15" s="42"/>
      <c r="AN15" s="40"/>
      <c r="AO15" s="42"/>
      <c r="AP15" s="40"/>
      <c r="AQ15" s="42"/>
      <c r="AR15" s="40"/>
      <c r="AS15" s="44">
        <f t="shared" si="0"/>
        <v>20</v>
      </c>
      <c r="AT15" s="73">
        <v>1590</v>
      </c>
      <c r="AU15" s="63">
        <f t="shared" si="1"/>
        <v>31800</v>
      </c>
      <c r="AV15" s="50"/>
    </row>
    <row r="16" spans="1:49" s="32" customFormat="1" ht="25.5" customHeight="1" x14ac:dyDescent="0.25">
      <c r="A16" s="56">
        <v>7</v>
      </c>
      <c r="B16" s="57"/>
      <c r="C16" s="34" t="s">
        <v>104</v>
      </c>
      <c r="D16" s="194">
        <v>295</v>
      </c>
      <c r="E16" s="195" t="s">
        <v>101</v>
      </c>
      <c r="F16" s="69" t="s">
        <v>54</v>
      </c>
      <c r="G16" s="58"/>
      <c r="H16" s="58"/>
      <c r="I16" s="58"/>
      <c r="J16" s="58"/>
      <c r="K16" s="118">
        <v>10</v>
      </c>
      <c r="L16" s="40">
        <f>+K16*AT16</f>
        <v>41800</v>
      </c>
      <c r="M16" s="36"/>
      <c r="N16" s="61"/>
      <c r="O16" s="42"/>
      <c r="P16" s="40"/>
      <c r="Q16" s="41"/>
      <c r="R16" s="40"/>
      <c r="S16" s="42"/>
      <c r="T16" s="43"/>
      <c r="U16" s="41"/>
      <c r="V16" s="40"/>
      <c r="W16" s="42"/>
      <c r="X16" s="40"/>
      <c r="Y16" s="42"/>
      <c r="Z16" s="40"/>
      <c r="AA16" s="42"/>
      <c r="AB16" s="40"/>
      <c r="AC16" s="42"/>
      <c r="AD16" s="40"/>
      <c r="AE16" s="42"/>
      <c r="AF16" s="40"/>
      <c r="AG16" s="42"/>
      <c r="AH16" s="40"/>
      <c r="AI16" s="42"/>
      <c r="AJ16" s="40"/>
      <c r="AK16" s="42"/>
      <c r="AL16" s="40"/>
      <c r="AM16" s="42"/>
      <c r="AN16" s="40"/>
      <c r="AO16" s="42"/>
      <c r="AP16" s="40"/>
      <c r="AQ16" s="42"/>
      <c r="AR16" s="40"/>
      <c r="AS16" s="44">
        <f t="shared" si="0"/>
        <v>10</v>
      </c>
      <c r="AT16" s="73">
        <v>4180</v>
      </c>
      <c r="AU16" s="63">
        <f t="shared" si="1"/>
        <v>41800</v>
      </c>
      <c r="AV16" s="50"/>
    </row>
    <row r="17" spans="1:49" s="32" customFormat="1" ht="30" customHeight="1" x14ac:dyDescent="0.25">
      <c r="A17" s="56">
        <v>8</v>
      </c>
      <c r="B17" s="57"/>
      <c r="C17" s="34" t="s">
        <v>104</v>
      </c>
      <c r="D17" s="194">
        <v>295</v>
      </c>
      <c r="E17" s="195" t="s">
        <v>82</v>
      </c>
      <c r="F17" s="69" t="s">
        <v>39</v>
      </c>
      <c r="G17" s="58"/>
      <c r="H17" s="58"/>
      <c r="I17" s="58"/>
      <c r="J17" s="58"/>
      <c r="K17" s="116">
        <v>100</v>
      </c>
      <c r="L17" s="40">
        <f>+K17*AT17</f>
        <v>24000</v>
      </c>
      <c r="M17" s="36"/>
      <c r="N17" s="61"/>
      <c r="O17" s="42"/>
      <c r="P17" s="40"/>
      <c r="Q17" s="41"/>
      <c r="R17" s="40"/>
      <c r="S17" s="42"/>
      <c r="T17" s="43"/>
      <c r="U17" s="41"/>
      <c r="V17" s="40"/>
      <c r="W17" s="42"/>
      <c r="X17" s="40"/>
      <c r="Y17" s="42"/>
      <c r="Z17" s="40"/>
      <c r="AA17" s="42"/>
      <c r="AB17" s="40"/>
      <c r="AC17" s="42"/>
      <c r="AD17" s="40"/>
      <c r="AE17" s="42"/>
      <c r="AF17" s="40"/>
      <c r="AG17" s="42"/>
      <c r="AH17" s="40"/>
      <c r="AI17" s="42"/>
      <c r="AJ17" s="40"/>
      <c r="AK17" s="42"/>
      <c r="AL17" s="40"/>
      <c r="AM17" s="42"/>
      <c r="AN17" s="40"/>
      <c r="AO17" s="42"/>
      <c r="AP17" s="40"/>
      <c r="AQ17" s="42"/>
      <c r="AR17" s="40"/>
      <c r="AS17" s="44">
        <f t="shared" si="0"/>
        <v>100</v>
      </c>
      <c r="AT17" s="73">
        <v>240</v>
      </c>
      <c r="AU17" s="63">
        <f t="shared" si="1"/>
        <v>24000</v>
      </c>
      <c r="AV17" s="50"/>
    </row>
    <row r="18" spans="1:49" s="32" customFormat="1" ht="30" customHeight="1" x14ac:dyDescent="0.25">
      <c r="A18" s="56">
        <v>9</v>
      </c>
      <c r="B18" s="57"/>
      <c r="C18" s="34" t="s">
        <v>38</v>
      </c>
      <c r="D18" s="194">
        <v>295</v>
      </c>
      <c r="E18" s="195" t="s">
        <v>43</v>
      </c>
      <c r="F18" s="34" t="s">
        <v>42</v>
      </c>
      <c r="G18" s="58"/>
      <c r="H18" s="58"/>
      <c r="I18" s="58"/>
      <c r="J18" s="58"/>
      <c r="K18" s="74"/>
      <c r="L18" s="40"/>
      <c r="M18" s="41">
        <v>200</v>
      </c>
      <c r="N18" s="61">
        <f>+M18*AT18</f>
        <v>39000</v>
      </c>
      <c r="O18" s="42"/>
      <c r="P18" s="40"/>
      <c r="Q18" s="41"/>
      <c r="R18" s="40"/>
      <c r="S18" s="42"/>
      <c r="T18" s="43"/>
      <c r="U18" s="41"/>
      <c r="V18" s="40"/>
      <c r="W18" s="42"/>
      <c r="X18" s="40"/>
      <c r="Y18" s="42"/>
      <c r="Z18" s="40"/>
      <c r="AA18" s="42"/>
      <c r="AB18" s="40"/>
      <c r="AC18" s="42"/>
      <c r="AD18" s="40"/>
      <c r="AE18" s="42"/>
      <c r="AF18" s="40"/>
      <c r="AG18" s="42"/>
      <c r="AH18" s="40"/>
      <c r="AI18" s="42"/>
      <c r="AJ18" s="40"/>
      <c r="AK18" s="42"/>
      <c r="AL18" s="40"/>
      <c r="AM18" s="42"/>
      <c r="AN18" s="40"/>
      <c r="AO18" s="42"/>
      <c r="AP18" s="40"/>
      <c r="AQ18" s="42"/>
      <c r="AR18" s="40"/>
      <c r="AS18" s="44">
        <f t="shared" si="0"/>
        <v>200</v>
      </c>
      <c r="AT18" s="70">
        <v>195</v>
      </c>
      <c r="AU18" s="63">
        <f t="shared" si="1"/>
        <v>39000</v>
      </c>
      <c r="AV18" s="50"/>
    </row>
    <row r="19" spans="1:49" s="32" customFormat="1" ht="27" customHeight="1" x14ac:dyDescent="0.25">
      <c r="A19" s="56">
        <v>10</v>
      </c>
      <c r="B19" s="57"/>
      <c r="C19" s="34" t="s">
        <v>104</v>
      </c>
      <c r="D19" s="194">
        <v>295</v>
      </c>
      <c r="E19" s="195" t="s">
        <v>93</v>
      </c>
      <c r="F19" s="69" t="s">
        <v>42</v>
      </c>
      <c r="G19" s="58"/>
      <c r="H19" s="58"/>
      <c r="I19" s="58"/>
      <c r="J19" s="58"/>
      <c r="K19" s="118">
        <v>1</v>
      </c>
      <c r="L19" s="40">
        <f t="shared" ref="L19:L28" si="2">+K19*AT19</f>
        <v>11629.98</v>
      </c>
      <c r="M19" s="36"/>
      <c r="N19" s="61"/>
      <c r="O19" s="42"/>
      <c r="P19" s="40"/>
      <c r="Q19" s="41"/>
      <c r="R19" s="40"/>
      <c r="S19" s="42"/>
      <c r="T19" s="43"/>
      <c r="U19" s="41"/>
      <c r="V19" s="40"/>
      <c r="W19" s="42"/>
      <c r="X19" s="40"/>
      <c r="Y19" s="42"/>
      <c r="Z19" s="40"/>
      <c r="AA19" s="42"/>
      <c r="AB19" s="40"/>
      <c r="AC19" s="42"/>
      <c r="AD19" s="40"/>
      <c r="AE19" s="42"/>
      <c r="AF19" s="40"/>
      <c r="AG19" s="42"/>
      <c r="AH19" s="40"/>
      <c r="AI19" s="42"/>
      <c r="AJ19" s="40"/>
      <c r="AK19" s="42"/>
      <c r="AL19" s="40"/>
      <c r="AM19" s="42"/>
      <c r="AN19" s="40"/>
      <c r="AO19" s="42"/>
      <c r="AP19" s="40"/>
      <c r="AQ19" s="42"/>
      <c r="AR19" s="40"/>
      <c r="AS19" s="44">
        <f t="shared" si="0"/>
        <v>1</v>
      </c>
      <c r="AT19" s="73">
        <v>11629.98</v>
      </c>
      <c r="AU19" s="63">
        <f t="shared" si="1"/>
        <v>11629.98</v>
      </c>
      <c r="AV19" s="50"/>
      <c r="AW19" s="207"/>
    </row>
    <row r="20" spans="1:49" s="32" customFormat="1" ht="23.25" customHeight="1" x14ac:dyDescent="0.25">
      <c r="A20" s="56">
        <v>11</v>
      </c>
      <c r="B20" s="57"/>
      <c r="C20" s="34" t="s">
        <v>104</v>
      </c>
      <c r="D20" s="194">
        <v>295</v>
      </c>
      <c r="E20" s="195" t="s">
        <v>91</v>
      </c>
      <c r="F20" s="69" t="s">
        <v>54</v>
      </c>
      <c r="G20" s="58"/>
      <c r="H20" s="58"/>
      <c r="I20" s="58"/>
      <c r="J20" s="58"/>
      <c r="K20" s="118">
        <v>1</v>
      </c>
      <c r="L20" s="40">
        <f t="shared" si="2"/>
        <v>4100</v>
      </c>
      <c r="M20" s="36"/>
      <c r="N20" s="61"/>
      <c r="O20" s="42"/>
      <c r="P20" s="40"/>
      <c r="Q20" s="41"/>
      <c r="R20" s="40"/>
      <c r="S20" s="42"/>
      <c r="T20" s="43"/>
      <c r="U20" s="41"/>
      <c r="V20" s="40"/>
      <c r="W20" s="42"/>
      <c r="X20" s="40"/>
      <c r="Y20" s="42"/>
      <c r="Z20" s="40"/>
      <c r="AA20" s="42"/>
      <c r="AB20" s="40"/>
      <c r="AC20" s="42"/>
      <c r="AD20" s="40"/>
      <c r="AE20" s="42"/>
      <c r="AF20" s="40"/>
      <c r="AG20" s="42"/>
      <c r="AH20" s="40"/>
      <c r="AI20" s="42"/>
      <c r="AJ20" s="40"/>
      <c r="AK20" s="42"/>
      <c r="AL20" s="40"/>
      <c r="AM20" s="42"/>
      <c r="AN20" s="40"/>
      <c r="AO20" s="42"/>
      <c r="AP20" s="40"/>
      <c r="AQ20" s="42"/>
      <c r="AR20" s="40"/>
      <c r="AS20" s="44">
        <f t="shared" si="0"/>
        <v>1</v>
      </c>
      <c r="AT20" s="73">
        <v>4100</v>
      </c>
      <c r="AU20" s="63">
        <f t="shared" si="1"/>
        <v>4100</v>
      </c>
      <c r="AV20" s="50"/>
    </row>
    <row r="21" spans="1:49" s="32" customFormat="1" ht="29.25" customHeight="1" x14ac:dyDescent="0.25">
      <c r="A21" s="56">
        <v>12</v>
      </c>
      <c r="B21" s="57"/>
      <c r="C21" s="34" t="s">
        <v>104</v>
      </c>
      <c r="D21" s="194">
        <v>295</v>
      </c>
      <c r="E21" s="195" t="s">
        <v>103</v>
      </c>
      <c r="F21" s="69" t="s">
        <v>54</v>
      </c>
      <c r="G21" s="58"/>
      <c r="H21" s="58"/>
      <c r="I21" s="58"/>
      <c r="J21" s="58"/>
      <c r="K21" s="118">
        <v>5</v>
      </c>
      <c r="L21" s="40">
        <f t="shared" si="2"/>
        <v>24000</v>
      </c>
      <c r="M21" s="36"/>
      <c r="N21" s="61"/>
      <c r="O21" s="42"/>
      <c r="P21" s="40"/>
      <c r="Q21" s="41"/>
      <c r="R21" s="40"/>
      <c r="S21" s="42"/>
      <c r="T21" s="43"/>
      <c r="U21" s="41"/>
      <c r="V21" s="40"/>
      <c r="W21" s="42"/>
      <c r="X21" s="40"/>
      <c r="Y21" s="42"/>
      <c r="Z21" s="40"/>
      <c r="AA21" s="42"/>
      <c r="AB21" s="40"/>
      <c r="AC21" s="42"/>
      <c r="AD21" s="40"/>
      <c r="AE21" s="42"/>
      <c r="AF21" s="40"/>
      <c r="AG21" s="42"/>
      <c r="AH21" s="40"/>
      <c r="AI21" s="42"/>
      <c r="AJ21" s="40"/>
      <c r="AK21" s="42"/>
      <c r="AL21" s="40"/>
      <c r="AM21" s="42"/>
      <c r="AN21" s="40"/>
      <c r="AO21" s="42"/>
      <c r="AP21" s="40"/>
      <c r="AQ21" s="42"/>
      <c r="AR21" s="40"/>
      <c r="AS21" s="44">
        <f t="shared" si="0"/>
        <v>5</v>
      </c>
      <c r="AT21" s="73">
        <v>4800</v>
      </c>
      <c r="AU21" s="63">
        <f t="shared" si="1"/>
        <v>24000</v>
      </c>
      <c r="AV21" s="50"/>
    </row>
    <row r="22" spans="1:49" s="32" customFormat="1" ht="27" customHeight="1" x14ac:dyDescent="0.25">
      <c r="A22" s="56">
        <v>13</v>
      </c>
      <c r="B22" s="57"/>
      <c r="C22" s="34" t="s">
        <v>104</v>
      </c>
      <c r="D22" s="201">
        <v>295</v>
      </c>
      <c r="E22" s="195" t="s">
        <v>102</v>
      </c>
      <c r="F22" s="69" t="s">
        <v>54</v>
      </c>
      <c r="G22" s="58"/>
      <c r="H22" s="58"/>
      <c r="I22" s="58"/>
      <c r="J22" s="58"/>
      <c r="K22" s="118">
        <v>20</v>
      </c>
      <c r="L22" s="40">
        <f t="shared" si="2"/>
        <v>107200</v>
      </c>
      <c r="M22" s="36"/>
      <c r="N22" s="61"/>
      <c r="O22" s="42"/>
      <c r="P22" s="40"/>
      <c r="Q22" s="41"/>
      <c r="R22" s="40"/>
      <c r="S22" s="42"/>
      <c r="T22" s="43"/>
      <c r="U22" s="41"/>
      <c r="V22" s="40"/>
      <c r="W22" s="42"/>
      <c r="X22" s="40"/>
      <c r="Y22" s="42"/>
      <c r="Z22" s="40"/>
      <c r="AA22" s="42"/>
      <c r="AB22" s="40"/>
      <c r="AC22" s="42"/>
      <c r="AD22" s="40"/>
      <c r="AE22" s="42"/>
      <c r="AF22" s="40"/>
      <c r="AG22" s="42"/>
      <c r="AH22" s="40"/>
      <c r="AI22" s="42"/>
      <c r="AJ22" s="40"/>
      <c r="AK22" s="42"/>
      <c r="AL22" s="40"/>
      <c r="AM22" s="42"/>
      <c r="AN22" s="40"/>
      <c r="AO22" s="42"/>
      <c r="AP22" s="40"/>
      <c r="AQ22" s="42"/>
      <c r="AR22" s="40"/>
      <c r="AS22" s="44">
        <f t="shared" si="0"/>
        <v>20</v>
      </c>
      <c r="AT22" s="73">
        <v>5360</v>
      </c>
      <c r="AU22" s="63">
        <f t="shared" si="1"/>
        <v>107200</v>
      </c>
      <c r="AV22" s="50"/>
    </row>
    <row r="23" spans="1:49" s="32" customFormat="1" ht="25.5" customHeight="1" x14ac:dyDescent="0.25">
      <c r="A23" s="56">
        <v>14</v>
      </c>
      <c r="B23" s="57"/>
      <c r="C23" s="34" t="s">
        <v>104</v>
      </c>
      <c r="D23" s="201">
        <v>234</v>
      </c>
      <c r="E23" s="195" t="s">
        <v>166</v>
      </c>
      <c r="F23" s="69" t="s">
        <v>39</v>
      </c>
      <c r="G23" s="58"/>
      <c r="H23" s="58"/>
      <c r="I23" s="58"/>
      <c r="J23" s="58"/>
      <c r="K23" s="118">
        <v>3</v>
      </c>
      <c r="L23" s="40">
        <f t="shared" si="2"/>
        <v>47400</v>
      </c>
      <c r="M23" s="36"/>
      <c r="N23" s="61"/>
      <c r="O23" s="42"/>
      <c r="P23" s="40"/>
      <c r="Q23" s="41"/>
      <c r="R23" s="40"/>
      <c r="S23" s="42"/>
      <c r="T23" s="43"/>
      <c r="U23" s="41"/>
      <c r="V23" s="40"/>
      <c r="W23" s="42"/>
      <c r="X23" s="40"/>
      <c r="Y23" s="42"/>
      <c r="Z23" s="40"/>
      <c r="AA23" s="42"/>
      <c r="AB23" s="40"/>
      <c r="AC23" s="42"/>
      <c r="AD23" s="40"/>
      <c r="AE23" s="42"/>
      <c r="AF23" s="40"/>
      <c r="AG23" s="42"/>
      <c r="AH23" s="40"/>
      <c r="AI23" s="42"/>
      <c r="AJ23" s="40"/>
      <c r="AK23" s="42"/>
      <c r="AL23" s="40"/>
      <c r="AM23" s="42"/>
      <c r="AN23" s="40"/>
      <c r="AO23" s="42"/>
      <c r="AP23" s="40"/>
      <c r="AQ23" s="42"/>
      <c r="AR23" s="40"/>
      <c r="AS23" s="44">
        <f t="shared" si="0"/>
        <v>3</v>
      </c>
      <c r="AT23" s="73">
        <v>15800</v>
      </c>
      <c r="AU23" s="63">
        <f t="shared" si="1"/>
        <v>47400</v>
      </c>
      <c r="AV23" s="50"/>
    </row>
    <row r="24" spans="1:49" s="32" customFormat="1" ht="25.5" customHeight="1" x14ac:dyDescent="0.25">
      <c r="A24" s="56">
        <v>15</v>
      </c>
      <c r="B24" s="57"/>
      <c r="C24" s="34" t="s">
        <v>104</v>
      </c>
      <c r="D24" s="194">
        <v>295</v>
      </c>
      <c r="E24" s="195" t="s">
        <v>185</v>
      </c>
      <c r="F24" s="69" t="s">
        <v>42</v>
      </c>
      <c r="G24" s="58"/>
      <c r="H24" s="58"/>
      <c r="I24" s="58"/>
      <c r="J24" s="58"/>
      <c r="K24" s="118">
        <v>2</v>
      </c>
      <c r="L24" s="40">
        <f t="shared" si="2"/>
        <v>23780</v>
      </c>
      <c r="M24" s="36"/>
      <c r="N24" s="61"/>
      <c r="O24" s="42"/>
      <c r="P24" s="40"/>
      <c r="Q24" s="41"/>
      <c r="R24" s="40"/>
      <c r="S24" s="42"/>
      <c r="T24" s="43"/>
      <c r="U24" s="41"/>
      <c r="V24" s="40"/>
      <c r="W24" s="42"/>
      <c r="X24" s="40"/>
      <c r="Y24" s="42"/>
      <c r="Z24" s="40"/>
      <c r="AA24" s="42"/>
      <c r="AB24" s="40"/>
      <c r="AC24" s="42"/>
      <c r="AD24" s="40"/>
      <c r="AE24" s="42"/>
      <c r="AF24" s="40"/>
      <c r="AG24" s="42"/>
      <c r="AH24" s="40"/>
      <c r="AI24" s="42"/>
      <c r="AJ24" s="40"/>
      <c r="AK24" s="42"/>
      <c r="AL24" s="40"/>
      <c r="AM24" s="42"/>
      <c r="AN24" s="40"/>
      <c r="AO24" s="42"/>
      <c r="AP24" s="40"/>
      <c r="AQ24" s="42"/>
      <c r="AR24" s="40"/>
      <c r="AS24" s="44">
        <f t="shared" si="0"/>
        <v>2</v>
      </c>
      <c r="AT24" s="73">
        <v>11890</v>
      </c>
      <c r="AU24" s="63">
        <f t="shared" si="1"/>
        <v>23780</v>
      </c>
      <c r="AV24" s="50"/>
    </row>
    <row r="25" spans="1:49" s="32" customFormat="1" ht="27" customHeight="1" x14ac:dyDescent="0.25">
      <c r="A25" s="56">
        <v>16</v>
      </c>
      <c r="B25" s="57"/>
      <c r="C25" s="34" t="s">
        <v>104</v>
      </c>
      <c r="D25" s="194">
        <v>295</v>
      </c>
      <c r="E25" s="195" t="s">
        <v>44</v>
      </c>
      <c r="F25" s="69" t="s">
        <v>42</v>
      </c>
      <c r="G25" s="58"/>
      <c r="H25" s="58"/>
      <c r="I25" s="58"/>
      <c r="J25" s="58"/>
      <c r="K25" s="118">
        <v>50</v>
      </c>
      <c r="L25" s="40">
        <f t="shared" si="2"/>
        <v>240000</v>
      </c>
      <c r="M25" s="36"/>
      <c r="N25" s="61"/>
      <c r="O25" s="42"/>
      <c r="P25" s="40"/>
      <c r="Q25" s="41"/>
      <c r="R25" s="40"/>
      <c r="S25" s="42"/>
      <c r="T25" s="43"/>
      <c r="U25" s="41"/>
      <c r="V25" s="40"/>
      <c r="W25" s="42"/>
      <c r="X25" s="40"/>
      <c r="Y25" s="42"/>
      <c r="Z25" s="40"/>
      <c r="AA25" s="42"/>
      <c r="AB25" s="40"/>
      <c r="AC25" s="42"/>
      <c r="AD25" s="40"/>
      <c r="AE25" s="42"/>
      <c r="AF25" s="40"/>
      <c r="AG25" s="42"/>
      <c r="AH25" s="40"/>
      <c r="AI25" s="42"/>
      <c r="AJ25" s="40"/>
      <c r="AK25" s="42"/>
      <c r="AL25" s="40"/>
      <c r="AM25" s="42"/>
      <c r="AN25" s="40"/>
      <c r="AO25" s="42"/>
      <c r="AP25" s="40"/>
      <c r="AQ25" s="42"/>
      <c r="AR25" s="40"/>
      <c r="AS25" s="44">
        <f t="shared" si="0"/>
        <v>50</v>
      </c>
      <c r="AT25" s="73">
        <v>4800</v>
      </c>
      <c r="AU25" s="63">
        <f t="shared" si="1"/>
        <v>240000</v>
      </c>
      <c r="AV25" s="50"/>
    </row>
    <row r="26" spans="1:49" s="32" customFormat="1" ht="28.5" customHeight="1" x14ac:dyDescent="0.25">
      <c r="A26" s="56">
        <v>17</v>
      </c>
      <c r="B26" s="76"/>
      <c r="C26" s="45" t="s">
        <v>104</v>
      </c>
      <c r="D26" s="202">
        <v>295</v>
      </c>
      <c r="E26" s="200" t="s">
        <v>45</v>
      </c>
      <c r="F26" s="64" t="s">
        <v>42</v>
      </c>
      <c r="G26" s="77"/>
      <c r="H26" s="77"/>
      <c r="I26" s="77"/>
      <c r="J26" s="77"/>
      <c r="K26" s="117">
        <v>20</v>
      </c>
      <c r="L26" s="46">
        <f t="shared" si="2"/>
        <v>22000</v>
      </c>
      <c r="M26" s="38"/>
      <c r="N26" s="78"/>
      <c r="O26" s="48"/>
      <c r="P26" s="46"/>
      <c r="Q26" s="47"/>
      <c r="R26" s="46"/>
      <c r="S26" s="48"/>
      <c r="T26" s="49"/>
      <c r="U26" s="47"/>
      <c r="V26" s="46"/>
      <c r="W26" s="48"/>
      <c r="X26" s="46"/>
      <c r="Y26" s="48"/>
      <c r="Z26" s="46"/>
      <c r="AA26" s="48"/>
      <c r="AB26" s="46"/>
      <c r="AC26" s="48"/>
      <c r="AD26" s="46"/>
      <c r="AE26" s="48"/>
      <c r="AF26" s="46"/>
      <c r="AG26" s="48"/>
      <c r="AH26" s="46"/>
      <c r="AI26" s="48"/>
      <c r="AJ26" s="46"/>
      <c r="AK26" s="48"/>
      <c r="AL26" s="46"/>
      <c r="AM26" s="48"/>
      <c r="AN26" s="46"/>
      <c r="AO26" s="48"/>
      <c r="AP26" s="46"/>
      <c r="AQ26" s="48"/>
      <c r="AR26" s="46"/>
      <c r="AS26" s="44">
        <f t="shared" si="0"/>
        <v>20</v>
      </c>
      <c r="AT26" s="79">
        <v>1100</v>
      </c>
      <c r="AU26" s="63">
        <f t="shared" si="1"/>
        <v>22000</v>
      </c>
      <c r="AV26" s="113"/>
    </row>
    <row r="27" spans="1:49" s="32" customFormat="1" ht="21.75" customHeight="1" x14ac:dyDescent="0.25">
      <c r="A27" s="56">
        <v>18</v>
      </c>
      <c r="B27" s="57"/>
      <c r="C27" s="34" t="s">
        <v>104</v>
      </c>
      <c r="D27" s="194">
        <v>295</v>
      </c>
      <c r="E27" s="195" t="s">
        <v>46</v>
      </c>
      <c r="F27" s="69" t="s">
        <v>42</v>
      </c>
      <c r="G27" s="58"/>
      <c r="H27" s="58"/>
      <c r="I27" s="58"/>
      <c r="J27" s="58"/>
      <c r="K27" s="118">
        <v>20</v>
      </c>
      <c r="L27" s="40">
        <f t="shared" si="2"/>
        <v>36000</v>
      </c>
      <c r="M27" s="36"/>
      <c r="N27" s="61"/>
      <c r="O27" s="42"/>
      <c r="P27" s="40"/>
      <c r="Q27" s="41"/>
      <c r="R27" s="40"/>
      <c r="S27" s="42"/>
      <c r="T27" s="43"/>
      <c r="U27" s="41"/>
      <c r="V27" s="40"/>
      <c r="W27" s="42"/>
      <c r="X27" s="40"/>
      <c r="Y27" s="42"/>
      <c r="Z27" s="40"/>
      <c r="AA27" s="42"/>
      <c r="AB27" s="40"/>
      <c r="AC27" s="42"/>
      <c r="AD27" s="40"/>
      <c r="AE27" s="42"/>
      <c r="AF27" s="40"/>
      <c r="AG27" s="42"/>
      <c r="AH27" s="40"/>
      <c r="AI27" s="42"/>
      <c r="AJ27" s="40"/>
      <c r="AK27" s="42"/>
      <c r="AL27" s="40"/>
      <c r="AM27" s="42"/>
      <c r="AN27" s="40"/>
      <c r="AO27" s="42"/>
      <c r="AP27" s="40"/>
      <c r="AQ27" s="42"/>
      <c r="AR27" s="40"/>
      <c r="AS27" s="44">
        <f t="shared" si="0"/>
        <v>20</v>
      </c>
      <c r="AT27" s="73">
        <v>1800</v>
      </c>
      <c r="AU27" s="63">
        <f t="shared" si="1"/>
        <v>36000</v>
      </c>
      <c r="AV27" s="50"/>
    </row>
    <row r="28" spans="1:49" s="32" customFormat="1" ht="27" customHeight="1" x14ac:dyDescent="0.25">
      <c r="A28" s="56">
        <v>19</v>
      </c>
      <c r="B28" s="57"/>
      <c r="C28" s="34" t="s">
        <v>104</v>
      </c>
      <c r="D28" s="194">
        <v>295</v>
      </c>
      <c r="E28" s="195" t="s">
        <v>47</v>
      </c>
      <c r="F28" s="69" t="s">
        <v>42</v>
      </c>
      <c r="G28" s="58"/>
      <c r="H28" s="58"/>
      <c r="I28" s="58"/>
      <c r="J28" s="58"/>
      <c r="K28" s="121">
        <v>20</v>
      </c>
      <c r="L28" s="40">
        <f t="shared" si="2"/>
        <v>16000</v>
      </c>
      <c r="M28" s="36"/>
      <c r="N28" s="61"/>
      <c r="O28" s="42"/>
      <c r="P28" s="40"/>
      <c r="Q28" s="41"/>
      <c r="R28" s="40"/>
      <c r="S28" s="42"/>
      <c r="T28" s="43"/>
      <c r="U28" s="41"/>
      <c r="V28" s="40"/>
      <c r="W28" s="42"/>
      <c r="X28" s="40"/>
      <c r="Y28" s="42"/>
      <c r="Z28" s="40"/>
      <c r="AA28" s="42"/>
      <c r="AB28" s="40"/>
      <c r="AC28" s="42"/>
      <c r="AD28" s="40"/>
      <c r="AE28" s="42"/>
      <c r="AF28" s="40"/>
      <c r="AG28" s="42"/>
      <c r="AH28" s="40"/>
      <c r="AI28" s="42"/>
      <c r="AJ28" s="40"/>
      <c r="AK28" s="42"/>
      <c r="AL28" s="40"/>
      <c r="AM28" s="42"/>
      <c r="AN28" s="40"/>
      <c r="AO28" s="42"/>
      <c r="AP28" s="40"/>
      <c r="AQ28" s="42"/>
      <c r="AR28" s="40"/>
      <c r="AS28" s="44">
        <f t="shared" si="0"/>
        <v>20</v>
      </c>
      <c r="AT28" s="73">
        <v>800</v>
      </c>
      <c r="AU28" s="63">
        <f t="shared" si="1"/>
        <v>16000</v>
      </c>
      <c r="AV28" s="50"/>
    </row>
    <row r="29" spans="1:49" s="32" customFormat="1" x14ac:dyDescent="0.25">
      <c r="A29" s="56">
        <v>20</v>
      </c>
      <c r="B29" s="57"/>
      <c r="C29" s="34" t="s">
        <v>38</v>
      </c>
      <c r="D29" s="194">
        <v>295</v>
      </c>
      <c r="E29" s="195" t="s">
        <v>48</v>
      </c>
      <c r="F29" s="69" t="s">
        <v>40</v>
      </c>
      <c r="G29" s="36"/>
      <c r="H29" s="34"/>
      <c r="I29" s="36"/>
      <c r="J29" s="34"/>
      <c r="K29" s="34"/>
      <c r="L29" s="40"/>
      <c r="M29" s="72">
        <v>600</v>
      </c>
      <c r="N29" s="61">
        <f>+M29*AT29</f>
        <v>55200</v>
      </c>
      <c r="O29" s="37"/>
      <c r="P29" s="67"/>
      <c r="Q29" s="60"/>
      <c r="R29" s="67"/>
      <c r="S29" s="37"/>
      <c r="T29" s="67"/>
      <c r="U29" s="60"/>
      <c r="V29" s="67"/>
      <c r="W29" s="37"/>
      <c r="X29" s="67"/>
      <c r="Y29" s="37"/>
      <c r="Z29" s="67"/>
      <c r="AA29" s="37"/>
      <c r="AB29" s="67"/>
      <c r="AC29" s="37"/>
      <c r="AD29" s="67"/>
      <c r="AE29" s="37"/>
      <c r="AF29" s="67"/>
      <c r="AG29" s="37"/>
      <c r="AH29" s="67"/>
      <c r="AI29" s="37"/>
      <c r="AJ29" s="67"/>
      <c r="AK29" s="37"/>
      <c r="AL29" s="67"/>
      <c r="AM29" s="37"/>
      <c r="AN29" s="67"/>
      <c r="AO29" s="37"/>
      <c r="AP29" s="67"/>
      <c r="AQ29" s="37"/>
      <c r="AR29" s="67"/>
      <c r="AS29" s="44">
        <f t="shared" si="0"/>
        <v>600</v>
      </c>
      <c r="AT29" s="73">
        <v>92</v>
      </c>
      <c r="AU29" s="63">
        <f t="shared" si="1"/>
        <v>55200</v>
      </c>
      <c r="AV29" s="50"/>
    </row>
    <row r="30" spans="1:49" s="32" customFormat="1" ht="25.5" customHeight="1" x14ac:dyDescent="0.25">
      <c r="A30" s="56">
        <v>21</v>
      </c>
      <c r="B30" s="57"/>
      <c r="C30" s="34" t="s">
        <v>104</v>
      </c>
      <c r="D30" s="194">
        <v>295</v>
      </c>
      <c r="E30" s="195" t="s">
        <v>89</v>
      </c>
      <c r="F30" s="69" t="s">
        <v>42</v>
      </c>
      <c r="G30" s="58"/>
      <c r="H30" s="58"/>
      <c r="I30" s="58"/>
      <c r="J30" s="58"/>
      <c r="K30" s="115">
        <v>23100</v>
      </c>
      <c r="L30" s="40">
        <f>+K30*AT30</f>
        <v>1362900</v>
      </c>
      <c r="M30" s="36"/>
      <c r="N30" s="61"/>
      <c r="O30" s="42"/>
      <c r="P30" s="40"/>
      <c r="Q30" s="41"/>
      <c r="R30" s="40"/>
      <c r="S30" s="42"/>
      <c r="T30" s="43"/>
      <c r="U30" s="41"/>
      <c r="V30" s="40"/>
      <c r="W30" s="42"/>
      <c r="X30" s="40"/>
      <c r="Y30" s="42"/>
      <c r="Z30" s="40"/>
      <c r="AA30" s="42"/>
      <c r="AB30" s="40"/>
      <c r="AC30" s="42"/>
      <c r="AD30" s="40"/>
      <c r="AE30" s="42"/>
      <c r="AF30" s="40"/>
      <c r="AG30" s="42"/>
      <c r="AH30" s="40"/>
      <c r="AI30" s="42"/>
      <c r="AJ30" s="40"/>
      <c r="AK30" s="42"/>
      <c r="AL30" s="40"/>
      <c r="AM30" s="42"/>
      <c r="AN30" s="40"/>
      <c r="AO30" s="42"/>
      <c r="AP30" s="40"/>
      <c r="AQ30" s="42"/>
      <c r="AR30" s="40"/>
      <c r="AS30" s="44">
        <f t="shared" si="0"/>
        <v>23100</v>
      </c>
      <c r="AT30" s="73">
        <v>59</v>
      </c>
      <c r="AU30" s="63">
        <f t="shared" si="1"/>
        <v>1362900</v>
      </c>
      <c r="AV30" s="50"/>
    </row>
    <row r="31" spans="1:49" s="32" customFormat="1" ht="22.5" customHeight="1" x14ac:dyDescent="0.25">
      <c r="A31" s="56">
        <v>22</v>
      </c>
      <c r="B31" s="57"/>
      <c r="C31" s="34" t="s">
        <v>104</v>
      </c>
      <c r="D31" s="194">
        <v>295</v>
      </c>
      <c r="E31" s="195" t="s">
        <v>95</v>
      </c>
      <c r="F31" s="69" t="s">
        <v>39</v>
      </c>
      <c r="G31" s="58"/>
      <c r="H31" s="58"/>
      <c r="I31" s="58"/>
      <c r="J31" s="58"/>
      <c r="K31" s="118">
        <v>19</v>
      </c>
      <c r="L31" s="40">
        <f>+K31*AT31</f>
        <v>164730</v>
      </c>
      <c r="M31" s="36"/>
      <c r="N31" s="61"/>
      <c r="O31" s="42"/>
      <c r="P31" s="40"/>
      <c r="Q31" s="41"/>
      <c r="R31" s="40"/>
      <c r="S31" s="42"/>
      <c r="T31" s="43"/>
      <c r="U31" s="41"/>
      <c r="V31" s="40"/>
      <c r="W31" s="42"/>
      <c r="X31" s="40"/>
      <c r="Y31" s="42"/>
      <c r="Z31" s="40"/>
      <c r="AA31" s="42"/>
      <c r="AB31" s="40"/>
      <c r="AC31" s="42"/>
      <c r="AD31" s="40"/>
      <c r="AE31" s="42"/>
      <c r="AF31" s="40"/>
      <c r="AG31" s="42"/>
      <c r="AH31" s="40"/>
      <c r="AI31" s="42"/>
      <c r="AJ31" s="40"/>
      <c r="AK31" s="42"/>
      <c r="AL31" s="40"/>
      <c r="AM31" s="42"/>
      <c r="AN31" s="40"/>
      <c r="AO31" s="42"/>
      <c r="AP31" s="40"/>
      <c r="AQ31" s="42"/>
      <c r="AR31" s="40"/>
      <c r="AS31" s="44">
        <f t="shared" si="0"/>
        <v>19</v>
      </c>
      <c r="AT31" s="73">
        <v>8670</v>
      </c>
      <c r="AU31" s="63">
        <f t="shared" si="1"/>
        <v>164730</v>
      </c>
      <c r="AV31" s="50"/>
    </row>
    <row r="32" spans="1:49" s="32" customFormat="1" ht="24" customHeight="1" x14ac:dyDescent="0.25">
      <c r="A32" s="56">
        <v>23</v>
      </c>
      <c r="B32" s="57"/>
      <c r="C32" s="34" t="s">
        <v>104</v>
      </c>
      <c r="D32" s="194">
        <v>293</v>
      </c>
      <c r="E32" s="195" t="s">
        <v>96</v>
      </c>
      <c r="F32" s="69" t="s">
        <v>42</v>
      </c>
      <c r="G32" s="58"/>
      <c r="H32" s="58"/>
      <c r="I32" s="58"/>
      <c r="J32" s="58"/>
      <c r="K32" s="119">
        <v>2</v>
      </c>
      <c r="L32" s="40">
        <f>+K32*AT32</f>
        <v>117200</v>
      </c>
      <c r="M32" s="36"/>
      <c r="N32" s="61"/>
      <c r="O32" s="42"/>
      <c r="P32" s="40"/>
      <c r="Q32" s="41"/>
      <c r="R32" s="40"/>
      <c r="S32" s="42"/>
      <c r="T32" s="43"/>
      <c r="U32" s="41"/>
      <c r="V32" s="40"/>
      <c r="W32" s="42"/>
      <c r="X32" s="40"/>
      <c r="Y32" s="42"/>
      <c r="Z32" s="40"/>
      <c r="AA32" s="42"/>
      <c r="AB32" s="40"/>
      <c r="AC32" s="42"/>
      <c r="AD32" s="40"/>
      <c r="AE32" s="42"/>
      <c r="AF32" s="40"/>
      <c r="AG32" s="42"/>
      <c r="AH32" s="40"/>
      <c r="AI32" s="42"/>
      <c r="AJ32" s="40"/>
      <c r="AK32" s="42"/>
      <c r="AL32" s="40"/>
      <c r="AM32" s="42"/>
      <c r="AN32" s="40"/>
      <c r="AO32" s="42"/>
      <c r="AP32" s="40"/>
      <c r="AQ32" s="42"/>
      <c r="AR32" s="40"/>
      <c r="AS32" s="44">
        <f t="shared" si="0"/>
        <v>2</v>
      </c>
      <c r="AT32" s="73">
        <v>58600</v>
      </c>
      <c r="AU32" s="63">
        <f t="shared" si="1"/>
        <v>117200</v>
      </c>
      <c r="AV32" s="50"/>
    </row>
    <row r="33" spans="1:50" s="32" customFormat="1" ht="28.5" customHeight="1" x14ac:dyDescent="0.25">
      <c r="A33" s="56">
        <v>24</v>
      </c>
      <c r="B33" s="57"/>
      <c r="C33" s="34" t="s">
        <v>104</v>
      </c>
      <c r="D33" s="194">
        <v>295</v>
      </c>
      <c r="E33" s="195" t="s">
        <v>83</v>
      </c>
      <c r="F33" s="69" t="s">
        <v>39</v>
      </c>
      <c r="G33" s="58"/>
      <c r="H33" s="58"/>
      <c r="I33" s="58"/>
      <c r="J33" s="58"/>
      <c r="K33" s="116">
        <v>100</v>
      </c>
      <c r="L33" s="40">
        <f>+K33*AT33</f>
        <v>89200</v>
      </c>
      <c r="M33" s="36"/>
      <c r="N33" s="61"/>
      <c r="O33" s="42"/>
      <c r="P33" s="40"/>
      <c r="Q33" s="41"/>
      <c r="R33" s="40"/>
      <c r="S33" s="42"/>
      <c r="T33" s="43"/>
      <c r="U33" s="41"/>
      <c r="V33" s="40"/>
      <c r="W33" s="42"/>
      <c r="X33" s="40"/>
      <c r="Y33" s="42"/>
      <c r="Z33" s="40"/>
      <c r="AA33" s="42"/>
      <c r="AB33" s="40"/>
      <c r="AC33" s="42"/>
      <c r="AD33" s="40"/>
      <c r="AE33" s="42"/>
      <c r="AF33" s="40"/>
      <c r="AG33" s="42"/>
      <c r="AH33" s="40"/>
      <c r="AI33" s="42"/>
      <c r="AJ33" s="40"/>
      <c r="AK33" s="42"/>
      <c r="AL33" s="40"/>
      <c r="AM33" s="42"/>
      <c r="AN33" s="40"/>
      <c r="AO33" s="42"/>
      <c r="AP33" s="40"/>
      <c r="AQ33" s="42"/>
      <c r="AR33" s="40"/>
      <c r="AS33" s="44">
        <f t="shared" si="0"/>
        <v>100</v>
      </c>
      <c r="AT33" s="73">
        <v>892</v>
      </c>
      <c r="AU33" s="63">
        <f t="shared" si="1"/>
        <v>89200</v>
      </c>
      <c r="AV33" s="50"/>
    </row>
    <row r="34" spans="1:50" s="32" customFormat="1" ht="30.75" customHeight="1" x14ac:dyDescent="0.25">
      <c r="A34" s="56">
        <v>25</v>
      </c>
      <c r="B34" s="57"/>
      <c r="C34" s="34" t="s">
        <v>104</v>
      </c>
      <c r="D34" s="194">
        <v>295</v>
      </c>
      <c r="E34" s="195" t="s">
        <v>182</v>
      </c>
      <c r="F34" s="69" t="s">
        <v>39</v>
      </c>
      <c r="G34" s="58"/>
      <c r="H34" s="58"/>
      <c r="I34" s="58"/>
      <c r="J34" s="58"/>
      <c r="K34" s="115">
        <v>50</v>
      </c>
      <c r="L34" s="40">
        <f>+K34*AT34</f>
        <v>34150</v>
      </c>
      <c r="M34" s="36"/>
      <c r="N34" s="61"/>
      <c r="O34" s="42"/>
      <c r="P34" s="40"/>
      <c r="Q34" s="41"/>
      <c r="R34" s="40"/>
      <c r="S34" s="42"/>
      <c r="T34" s="43"/>
      <c r="U34" s="41"/>
      <c r="V34" s="40"/>
      <c r="W34" s="42"/>
      <c r="X34" s="40"/>
      <c r="Y34" s="42"/>
      <c r="Z34" s="40"/>
      <c r="AA34" s="42"/>
      <c r="AB34" s="40"/>
      <c r="AC34" s="42"/>
      <c r="AD34" s="40"/>
      <c r="AE34" s="42"/>
      <c r="AF34" s="40"/>
      <c r="AG34" s="42"/>
      <c r="AH34" s="40"/>
      <c r="AI34" s="42"/>
      <c r="AJ34" s="40"/>
      <c r="AK34" s="42"/>
      <c r="AL34" s="40"/>
      <c r="AM34" s="42"/>
      <c r="AN34" s="40"/>
      <c r="AO34" s="42"/>
      <c r="AP34" s="40"/>
      <c r="AQ34" s="42"/>
      <c r="AR34" s="40"/>
      <c r="AS34" s="44">
        <f t="shared" si="0"/>
        <v>50</v>
      </c>
      <c r="AT34" s="73">
        <v>683</v>
      </c>
      <c r="AU34" s="63">
        <f t="shared" si="1"/>
        <v>34150</v>
      </c>
      <c r="AV34" s="50"/>
    </row>
    <row r="35" spans="1:50" s="32" customFormat="1" ht="31.5" customHeight="1" x14ac:dyDescent="0.25">
      <c r="A35" s="56">
        <v>26</v>
      </c>
      <c r="B35" s="57"/>
      <c r="C35" s="34" t="s">
        <v>38</v>
      </c>
      <c r="D35" s="194">
        <v>295</v>
      </c>
      <c r="E35" s="195" t="s">
        <v>80</v>
      </c>
      <c r="F35" s="69" t="s">
        <v>42</v>
      </c>
      <c r="G35" s="34"/>
      <c r="H35" s="34"/>
      <c r="I35" s="34"/>
      <c r="J35" s="34"/>
      <c r="K35" s="34"/>
      <c r="L35" s="67"/>
      <c r="M35" s="36">
        <v>2</v>
      </c>
      <c r="N35" s="61">
        <f>+M35*AT35</f>
        <v>104700</v>
      </c>
      <c r="O35" s="42"/>
      <c r="P35" s="40"/>
      <c r="Q35" s="41"/>
      <c r="R35" s="40"/>
      <c r="S35" s="42"/>
      <c r="T35" s="43"/>
      <c r="U35" s="41"/>
      <c r="V35" s="40"/>
      <c r="W35" s="42"/>
      <c r="X35" s="40"/>
      <c r="Y35" s="42"/>
      <c r="Z35" s="40"/>
      <c r="AA35" s="42"/>
      <c r="AB35" s="40"/>
      <c r="AC35" s="42"/>
      <c r="AD35" s="40"/>
      <c r="AE35" s="42"/>
      <c r="AF35" s="40"/>
      <c r="AG35" s="42"/>
      <c r="AH35" s="40"/>
      <c r="AI35" s="42"/>
      <c r="AJ35" s="40"/>
      <c r="AK35" s="42"/>
      <c r="AL35" s="40"/>
      <c r="AM35" s="42"/>
      <c r="AN35" s="40"/>
      <c r="AO35" s="42"/>
      <c r="AP35" s="40"/>
      <c r="AQ35" s="42"/>
      <c r="AR35" s="40"/>
      <c r="AS35" s="44">
        <f t="shared" si="0"/>
        <v>2</v>
      </c>
      <c r="AT35" s="73">
        <v>52350</v>
      </c>
      <c r="AU35" s="63">
        <f t="shared" si="1"/>
        <v>104700</v>
      </c>
      <c r="AV35" s="50"/>
    </row>
    <row r="36" spans="1:50" s="32" customFormat="1" ht="31.5" customHeight="1" x14ac:dyDescent="0.25">
      <c r="A36" s="56">
        <v>27</v>
      </c>
      <c r="B36" s="57"/>
      <c r="C36" s="34" t="s">
        <v>38</v>
      </c>
      <c r="D36" s="194">
        <v>295</v>
      </c>
      <c r="E36" s="195" t="s">
        <v>49</v>
      </c>
      <c r="F36" s="69" t="s">
        <v>42</v>
      </c>
      <c r="G36" s="34"/>
      <c r="H36" s="34"/>
      <c r="I36" s="34"/>
      <c r="J36" s="34"/>
      <c r="K36" s="34"/>
      <c r="L36" s="67"/>
      <c r="M36" s="36">
        <v>2</v>
      </c>
      <c r="N36" s="61">
        <f>+M36*AT36</f>
        <v>100700</v>
      </c>
      <c r="O36" s="42"/>
      <c r="P36" s="40"/>
      <c r="Q36" s="41"/>
      <c r="R36" s="40"/>
      <c r="S36" s="42"/>
      <c r="T36" s="43"/>
      <c r="U36" s="41"/>
      <c r="V36" s="40"/>
      <c r="W36" s="42"/>
      <c r="X36" s="40"/>
      <c r="Y36" s="42"/>
      <c r="Z36" s="40"/>
      <c r="AA36" s="42"/>
      <c r="AB36" s="40"/>
      <c r="AC36" s="42"/>
      <c r="AD36" s="40"/>
      <c r="AE36" s="42"/>
      <c r="AF36" s="40"/>
      <c r="AG36" s="42"/>
      <c r="AH36" s="40"/>
      <c r="AI36" s="42"/>
      <c r="AJ36" s="40"/>
      <c r="AK36" s="42"/>
      <c r="AL36" s="40"/>
      <c r="AM36" s="42"/>
      <c r="AN36" s="40"/>
      <c r="AO36" s="42"/>
      <c r="AP36" s="40"/>
      <c r="AQ36" s="42"/>
      <c r="AR36" s="40"/>
      <c r="AS36" s="44">
        <f t="shared" si="0"/>
        <v>2</v>
      </c>
      <c r="AT36" s="73">
        <v>50350</v>
      </c>
      <c r="AU36" s="63">
        <f t="shared" si="1"/>
        <v>100700</v>
      </c>
      <c r="AV36" s="50"/>
    </row>
    <row r="37" spans="1:50" s="32" customFormat="1" ht="36" customHeight="1" x14ac:dyDescent="0.25">
      <c r="A37" s="56">
        <v>28</v>
      </c>
      <c r="B37" s="57"/>
      <c r="C37" s="34" t="s">
        <v>104</v>
      </c>
      <c r="D37" s="194">
        <v>295</v>
      </c>
      <c r="E37" s="195" t="s">
        <v>169</v>
      </c>
      <c r="F37" s="69" t="s">
        <v>42</v>
      </c>
      <c r="G37" s="58"/>
      <c r="H37" s="58"/>
      <c r="I37" s="58"/>
      <c r="J37" s="58"/>
      <c r="K37" s="116">
        <v>8</v>
      </c>
      <c r="L37" s="40">
        <f>+K37*AT37</f>
        <v>751912</v>
      </c>
      <c r="M37" s="36"/>
      <c r="N37" s="61"/>
      <c r="O37" s="42"/>
      <c r="P37" s="40"/>
      <c r="Q37" s="41"/>
      <c r="R37" s="40"/>
      <c r="S37" s="42"/>
      <c r="T37" s="43"/>
      <c r="U37" s="41"/>
      <c r="V37" s="40"/>
      <c r="W37" s="42"/>
      <c r="X37" s="40"/>
      <c r="Y37" s="42"/>
      <c r="Z37" s="40"/>
      <c r="AA37" s="42"/>
      <c r="AB37" s="40"/>
      <c r="AC37" s="42"/>
      <c r="AD37" s="40"/>
      <c r="AE37" s="42"/>
      <c r="AF37" s="40"/>
      <c r="AG37" s="42"/>
      <c r="AH37" s="40"/>
      <c r="AI37" s="42"/>
      <c r="AJ37" s="40"/>
      <c r="AK37" s="42"/>
      <c r="AL37" s="40"/>
      <c r="AM37" s="42"/>
      <c r="AN37" s="40"/>
      <c r="AO37" s="42"/>
      <c r="AP37" s="40"/>
      <c r="AQ37" s="42"/>
      <c r="AR37" s="40"/>
      <c r="AS37" s="44">
        <f t="shared" si="0"/>
        <v>8</v>
      </c>
      <c r="AT37" s="73">
        <v>93989</v>
      </c>
      <c r="AU37" s="63">
        <f t="shared" si="1"/>
        <v>751912</v>
      </c>
      <c r="AV37" s="50"/>
    </row>
    <row r="38" spans="1:50" s="32" customFormat="1" ht="24" customHeight="1" x14ac:dyDescent="0.25">
      <c r="A38" s="56">
        <v>29</v>
      </c>
      <c r="B38" s="57"/>
      <c r="C38" s="34" t="s">
        <v>104</v>
      </c>
      <c r="D38" s="194">
        <v>295</v>
      </c>
      <c r="E38" s="195" t="s">
        <v>170</v>
      </c>
      <c r="F38" s="69" t="s">
        <v>42</v>
      </c>
      <c r="G38" s="58"/>
      <c r="H38" s="58"/>
      <c r="I38" s="58"/>
      <c r="J38" s="58"/>
      <c r="K38" s="116">
        <v>14</v>
      </c>
      <c r="L38" s="40">
        <f>+K38*AT38</f>
        <v>1166178.02</v>
      </c>
      <c r="M38" s="36"/>
      <c r="N38" s="61"/>
      <c r="O38" s="42"/>
      <c r="P38" s="40"/>
      <c r="Q38" s="41"/>
      <c r="R38" s="40"/>
      <c r="S38" s="42"/>
      <c r="T38" s="43"/>
      <c r="U38" s="41"/>
      <c r="V38" s="40"/>
      <c r="W38" s="42"/>
      <c r="X38" s="40"/>
      <c r="Y38" s="42"/>
      <c r="Z38" s="40"/>
      <c r="AA38" s="42"/>
      <c r="AB38" s="40"/>
      <c r="AC38" s="42"/>
      <c r="AD38" s="40"/>
      <c r="AE38" s="42"/>
      <c r="AF38" s="40"/>
      <c r="AG38" s="42"/>
      <c r="AH38" s="40"/>
      <c r="AI38" s="42"/>
      <c r="AJ38" s="40"/>
      <c r="AK38" s="42"/>
      <c r="AL38" s="40"/>
      <c r="AM38" s="42"/>
      <c r="AN38" s="40"/>
      <c r="AO38" s="42"/>
      <c r="AP38" s="40"/>
      <c r="AQ38" s="42"/>
      <c r="AR38" s="40"/>
      <c r="AS38" s="44">
        <f t="shared" si="0"/>
        <v>14</v>
      </c>
      <c r="AT38" s="73">
        <v>83298.429999999993</v>
      </c>
      <c r="AU38" s="63">
        <f t="shared" si="1"/>
        <v>1166178.02</v>
      </c>
      <c r="AV38" s="50"/>
      <c r="AX38" s="207"/>
    </row>
    <row r="39" spans="1:50" s="32" customFormat="1" ht="29.25" customHeight="1" x14ac:dyDescent="0.25">
      <c r="A39" s="56">
        <v>30</v>
      </c>
      <c r="B39" s="57"/>
      <c r="C39" s="34" t="s">
        <v>104</v>
      </c>
      <c r="D39" s="194">
        <v>295</v>
      </c>
      <c r="E39" s="195" t="s">
        <v>171</v>
      </c>
      <c r="F39" s="69" t="s">
        <v>42</v>
      </c>
      <c r="G39" s="58"/>
      <c r="H39" s="58"/>
      <c r="I39" s="58"/>
      <c r="J39" s="58"/>
      <c r="K39" s="116">
        <v>9</v>
      </c>
      <c r="L39" s="40">
        <f>+K39*AT39</f>
        <v>798255</v>
      </c>
      <c r="M39" s="36"/>
      <c r="N39" s="61"/>
      <c r="O39" s="42"/>
      <c r="P39" s="40"/>
      <c r="Q39" s="41"/>
      <c r="R39" s="40"/>
      <c r="S39" s="42"/>
      <c r="T39" s="43"/>
      <c r="U39" s="41"/>
      <c r="V39" s="40"/>
      <c r="W39" s="42"/>
      <c r="X39" s="40"/>
      <c r="Y39" s="42"/>
      <c r="Z39" s="40"/>
      <c r="AA39" s="42"/>
      <c r="AB39" s="40"/>
      <c r="AC39" s="42"/>
      <c r="AD39" s="40"/>
      <c r="AE39" s="42"/>
      <c r="AF39" s="40"/>
      <c r="AG39" s="42"/>
      <c r="AH39" s="40"/>
      <c r="AI39" s="42"/>
      <c r="AJ39" s="40"/>
      <c r="AK39" s="42"/>
      <c r="AL39" s="40"/>
      <c r="AM39" s="42"/>
      <c r="AN39" s="40"/>
      <c r="AO39" s="42"/>
      <c r="AP39" s="40"/>
      <c r="AQ39" s="42"/>
      <c r="AR39" s="40"/>
      <c r="AS39" s="44">
        <f t="shared" si="0"/>
        <v>9</v>
      </c>
      <c r="AT39" s="73">
        <v>88695</v>
      </c>
      <c r="AU39" s="63">
        <f t="shared" si="1"/>
        <v>798255</v>
      </c>
      <c r="AV39" s="50"/>
    </row>
    <row r="40" spans="1:50" s="32" customFormat="1" ht="25.5" x14ac:dyDescent="0.25">
      <c r="A40" s="56">
        <v>31</v>
      </c>
      <c r="B40" s="57"/>
      <c r="C40" s="34" t="s">
        <v>104</v>
      </c>
      <c r="D40" s="194">
        <v>295</v>
      </c>
      <c r="E40" s="195" t="s">
        <v>167</v>
      </c>
      <c r="F40" s="69" t="s">
        <v>39</v>
      </c>
      <c r="G40" s="58"/>
      <c r="H40" s="58"/>
      <c r="I40" s="58"/>
      <c r="J40" s="58"/>
      <c r="K40" s="118">
        <v>20</v>
      </c>
      <c r="L40" s="40">
        <f>+K40*AT40</f>
        <v>180000</v>
      </c>
      <c r="M40" s="36"/>
      <c r="N40" s="61"/>
      <c r="O40" s="42"/>
      <c r="P40" s="40"/>
      <c r="Q40" s="41"/>
      <c r="R40" s="40"/>
      <c r="S40" s="42"/>
      <c r="T40" s="43"/>
      <c r="U40" s="41"/>
      <c r="V40" s="40"/>
      <c r="W40" s="42"/>
      <c r="X40" s="40"/>
      <c r="Y40" s="42"/>
      <c r="Z40" s="40"/>
      <c r="AA40" s="42"/>
      <c r="AB40" s="40"/>
      <c r="AC40" s="42"/>
      <c r="AD40" s="40"/>
      <c r="AE40" s="42"/>
      <c r="AF40" s="40"/>
      <c r="AG40" s="42"/>
      <c r="AH40" s="40"/>
      <c r="AI40" s="42"/>
      <c r="AJ40" s="40"/>
      <c r="AK40" s="42"/>
      <c r="AL40" s="40"/>
      <c r="AM40" s="42"/>
      <c r="AN40" s="40"/>
      <c r="AO40" s="42"/>
      <c r="AP40" s="40"/>
      <c r="AQ40" s="42"/>
      <c r="AR40" s="40"/>
      <c r="AS40" s="44">
        <f t="shared" si="0"/>
        <v>20</v>
      </c>
      <c r="AT40" s="73">
        <v>9000</v>
      </c>
      <c r="AU40" s="63">
        <f t="shared" si="1"/>
        <v>180000</v>
      </c>
      <c r="AV40" s="50"/>
      <c r="AW40" s="205"/>
    </row>
    <row r="41" spans="1:50" s="32" customFormat="1" ht="30.75" customHeight="1" x14ac:dyDescent="0.25">
      <c r="A41" s="56">
        <v>32</v>
      </c>
      <c r="B41" s="57"/>
      <c r="C41" s="34" t="s">
        <v>104</v>
      </c>
      <c r="D41" s="194">
        <v>295</v>
      </c>
      <c r="E41" s="195" t="s">
        <v>84</v>
      </c>
      <c r="F41" s="69" t="s">
        <v>42</v>
      </c>
      <c r="G41" s="58"/>
      <c r="H41" s="58"/>
      <c r="I41" s="58"/>
      <c r="J41" s="58"/>
      <c r="K41" s="120">
        <v>10</v>
      </c>
      <c r="L41" s="40">
        <f>+K41*AT41</f>
        <v>21000</v>
      </c>
      <c r="M41" s="36"/>
      <c r="N41" s="61"/>
      <c r="O41" s="42"/>
      <c r="P41" s="40"/>
      <c r="Q41" s="41"/>
      <c r="R41" s="40"/>
      <c r="S41" s="42"/>
      <c r="T41" s="43"/>
      <c r="U41" s="41"/>
      <c r="V41" s="40"/>
      <c r="W41" s="42"/>
      <c r="X41" s="40"/>
      <c r="Y41" s="42"/>
      <c r="Z41" s="40"/>
      <c r="AA41" s="42"/>
      <c r="AB41" s="40"/>
      <c r="AC41" s="42"/>
      <c r="AD41" s="40"/>
      <c r="AE41" s="42"/>
      <c r="AF41" s="40"/>
      <c r="AG41" s="42"/>
      <c r="AH41" s="40"/>
      <c r="AI41" s="42"/>
      <c r="AJ41" s="40"/>
      <c r="AK41" s="42"/>
      <c r="AL41" s="40"/>
      <c r="AM41" s="42"/>
      <c r="AN41" s="40"/>
      <c r="AO41" s="42"/>
      <c r="AP41" s="40"/>
      <c r="AQ41" s="42"/>
      <c r="AR41" s="40"/>
      <c r="AS41" s="44">
        <f t="shared" si="0"/>
        <v>10</v>
      </c>
      <c r="AT41" s="73">
        <v>2100</v>
      </c>
      <c r="AU41" s="63">
        <f t="shared" si="1"/>
        <v>21000</v>
      </c>
      <c r="AV41" s="50"/>
    </row>
    <row r="42" spans="1:50" s="32" customFormat="1" x14ac:dyDescent="0.25">
      <c r="A42" s="56">
        <v>33</v>
      </c>
      <c r="B42" s="57"/>
      <c r="C42" s="34" t="s">
        <v>38</v>
      </c>
      <c r="D42" s="194">
        <v>295</v>
      </c>
      <c r="E42" s="195" t="s">
        <v>50</v>
      </c>
      <c r="F42" s="69" t="s">
        <v>42</v>
      </c>
      <c r="G42" s="58"/>
      <c r="H42" s="58"/>
      <c r="I42" s="58"/>
      <c r="J42" s="58"/>
      <c r="K42" s="59"/>
      <c r="L42" s="40"/>
      <c r="M42" s="36">
        <v>5</v>
      </c>
      <c r="N42" s="61">
        <f>+M42*AT42</f>
        <v>6100</v>
      </c>
      <c r="O42" s="42"/>
      <c r="P42" s="40"/>
      <c r="Q42" s="41"/>
      <c r="R42" s="40"/>
      <c r="S42" s="42"/>
      <c r="T42" s="43"/>
      <c r="U42" s="41"/>
      <c r="V42" s="40"/>
      <c r="W42" s="42"/>
      <c r="X42" s="40"/>
      <c r="Y42" s="42"/>
      <c r="Z42" s="40"/>
      <c r="AA42" s="42"/>
      <c r="AB42" s="40"/>
      <c r="AC42" s="42"/>
      <c r="AD42" s="40"/>
      <c r="AE42" s="42"/>
      <c r="AF42" s="40"/>
      <c r="AG42" s="42"/>
      <c r="AH42" s="40"/>
      <c r="AI42" s="42"/>
      <c r="AJ42" s="40"/>
      <c r="AK42" s="42"/>
      <c r="AL42" s="40"/>
      <c r="AM42" s="42"/>
      <c r="AN42" s="40"/>
      <c r="AO42" s="42"/>
      <c r="AP42" s="40"/>
      <c r="AQ42" s="42"/>
      <c r="AR42" s="40"/>
      <c r="AS42" s="44">
        <f t="shared" si="0"/>
        <v>5</v>
      </c>
      <c r="AT42" s="73">
        <v>1220</v>
      </c>
      <c r="AU42" s="63">
        <f t="shared" si="1"/>
        <v>6100</v>
      </c>
      <c r="AV42" s="50"/>
    </row>
    <row r="43" spans="1:50" s="32" customFormat="1" ht="37.5" customHeight="1" x14ac:dyDescent="0.25">
      <c r="A43" s="56">
        <v>34</v>
      </c>
      <c r="B43" s="57"/>
      <c r="C43" s="34" t="s">
        <v>104</v>
      </c>
      <c r="D43" s="194">
        <v>295</v>
      </c>
      <c r="E43" s="195" t="s">
        <v>51</v>
      </c>
      <c r="F43" s="204" t="s">
        <v>39</v>
      </c>
      <c r="G43" s="58"/>
      <c r="H43" s="58"/>
      <c r="I43" s="58"/>
      <c r="J43" s="58"/>
      <c r="K43" s="117">
        <v>200</v>
      </c>
      <c r="L43" s="40">
        <f>+K43*AT43</f>
        <v>43800</v>
      </c>
      <c r="M43" s="36"/>
      <c r="N43" s="61"/>
      <c r="O43" s="42"/>
      <c r="P43" s="40"/>
      <c r="Q43" s="41"/>
      <c r="R43" s="40"/>
      <c r="S43" s="42"/>
      <c r="T43" s="43"/>
      <c r="U43" s="41"/>
      <c r="V43" s="40"/>
      <c r="W43" s="42"/>
      <c r="X43" s="40"/>
      <c r="Y43" s="42"/>
      <c r="Z43" s="40"/>
      <c r="AA43" s="42"/>
      <c r="AB43" s="40"/>
      <c r="AC43" s="42"/>
      <c r="AD43" s="40"/>
      <c r="AE43" s="42"/>
      <c r="AF43" s="40"/>
      <c r="AG43" s="42"/>
      <c r="AH43" s="40"/>
      <c r="AI43" s="42"/>
      <c r="AJ43" s="40"/>
      <c r="AK43" s="42"/>
      <c r="AL43" s="40"/>
      <c r="AM43" s="42"/>
      <c r="AN43" s="40"/>
      <c r="AO43" s="42"/>
      <c r="AP43" s="40"/>
      <c r="AQ43" s="42"/>
      <c r="AR43" s="40"/>
      <c r="AS43" s="44">
        <f t="shared" si="0"/>
        <v>200</v>
      </c>
      <c r="AT43" s="73">
        <v>219</v>
      </c>
      <c r="AU43" s="63">
        <f t="shared" si="1"/>
        <v>43800</v>
      </c>
      <c r="AV43" s="50"/>
    </row>
    <row r="44" spans="1:50" s="32" customFormat="1" ht="28.5" customHeight="1" x14ac:dyDescent="0.25">
      <c r="A44" s="56">
        <v>35</v>
      </c>
      <c r="B44" s="57"/>
      <c r="C44" s="34" t="s">
        <v>104</v>
      </c>
      <c r="D44" s="194">
        <v>234</v>
      </c>
      <c r="E44" s="195" t="s">
        <v>52</v>
      </c>
      <c r="F44" s="69" t="s">
        <v>105</v>
      </c>
      <c r="G44" s="58"/>
      <c r="H44" s="58"/>
      <c r="I44" s="58"/>
      <c r="J44" s="58"/>
      <c r="K44" s="117">
        <v>3</v>
      </c>
      <c r="L44" s="40">
        <f>+K44*AT44</f>
        <v>15300</v>
      </c>
      <c r="M44" s="36"/>
      <c r="N44" s="61"/>
      <c r="O44" s="42"/>
      <c r="P44" s="40"/>
      <c r="Q44" s="41"/>
      <c r="R44" s="40"/>
      <c r="S44" s="42"/>
      <c r="T44" s="43"/>
      <c r="U44" s="41"/>
      <c r="V44" s="40"/>
      <c r="W44" s="42"/>
      <c r="X44" s="40"/>
      <c r="Y44" s="42"/>
      <c r="Z44" s="40"/>
      <c r="AA44" s="42"/>
      <c r="AB44" s="40"/>
      <c r="AC44" s="42"/>
      <c r="AD44" s="40"/>
      <c r="AE44" s="42"/>
      <c r="AF44" s="40"/>
      <c r="AG44" s="42"/>
      <c r="AH44" s="40"/>
      <c r="AI44" s="42"/>
      <c r="AJ44" s="40"/>
      <c r="AK44" s="42"/>
      <c r="AL44" s="40"/>
      <c r="AM44" s="42"/>
      <c r="AN44" s="40"/>
      <c r="AO44" s="42"/>
      <c r="AP44" s="40"/>
      <c r="AQ44" s="42"/>
      <c r="AR44" s="40"/>
      <c r="AS44" s="44">
        <f t="shared" si="0"/>
        <v>3</v>
      </c>
      <c r="AT44" s="73">
        <v>5100</v>
      </c>
      <c r="AU44" s="63">
        <f t="shared" si="1"/>
        <v>15300</v>
      </c>
      <c r="AV44" s="50"/>
    </row>
    <row r="45" spans="1:50" s="32" customFormat="1" ht="30.75" customHeight="1" x14ac:dyDescent="0.25">
      <c r="A45" s="56">
        <v>36</v>
      </c>
      <c r="B45" s="57"/>
      <c r="C45" s="34" t="s">
        <v>104</v>
      </c>
      <c r="D45" s="194">
        <v>295</v>
      </c>
      <c r="E45" s="195" t="s">
        <v>94</v>
      </c>
      <c r="F45" s="69" t="s">
        <v>42</v>
      </c>
      <c r="G45" s="58"/>
      <c r="H45" s="58"/>
      <c r="I45" s="58"/>
      <c r="J45" s="58"/>
      <c r="K45" s="117">
        <v>2</v>
      </c>
      <c r="L45" s="40">
        <f>+K45*AT45</f>
        <v>25088</v>
      </c>
      <c r="M45" s="36"/>
      <c r="N45" s="61"/>
      <c r="O45" s="42"/>
      <c r="P45" s="40"/>
      <c r="Q45" s="41"/>
      <c r="R45" s="40"/>
      <c r="S45" s="42"/>
      <c r="T45" s="43"/>
      <c r="U45" s="41"/>
      <c r="V45" s="40"/>
      <c r="W45" s="42"/>
      <c r="X45" s="40"/>
      <c r="Y45" s="42"/>
      <c r="Z45" s="40"/>
      <c r="AA45" s="42"/>
      <c r="AB45" s="40"/>
      <c r="AC45" s="42"/>
      <c r="AD45" s="40"/>
      <c r="AE45" s="42"/>
      <c r="AF45" s="40"/>
      <c r="AG45" s="42"/>
      <c r="AH45" s="40"/>
      <c r="AI45" s="42"/>
      <c r="AJ45" s="40"/>
      <c r="AK45" s="42"/>
      <c r="AL45" s="40"/>
      <c r="AM45" s="42"/>
      <c r="AN45" s="40"/>
      <c r="AO45" s="42"/>
      <c r="AP45" s="40"/>
      <c r="AQ45" s="42"/>
      <c r="AR45" s="40"/>
      <c r="AS45" s="44">
        <f t="shared" si="0"/>
        <v>2</v>
      </c>
      <c r="AT45" s="73">
        <v>12544</v>
      </c>
      <c r="AU45" s="63">
        <f t="shared" si="1"/>
        <v>25088</v>
      </c>
      <c r="AV45" s="50"/>
    </row>
    <row r="46" spans="1:50" s="32" customFormat="1" ht="30" customHeight="1" x14ac:dyDescent="0.25">
      <c r="A46" s="56">
        <v>38</v>
      </c>
      <c r="B46" s="57"/>
      <c r="C46" s="34" t="s">
        <v>104</v>
      </c>
      <c r="D46" s="194">
        <v>295</v>
      </c>
      <c r="E46" s="71" t="s">
        <v>85</v>
      </c>
      <c r="F46" s="69" t="s">
        <v>42</v>
      </c>
      <c r="G46" s="58"/>
      <c r="H46" s="58"/>
      <c r="I46" s="58"/>
      <c r="J46" s="58"/>
      <c r="K46" s="120">
        <v>15</v>
      </c>
      <c r="L46" s="40">
        <f>+K46*AT46</f>
        <v>6075</v>
      </c>
      <c r="M46" s="36"/>
      <c r="N46" s="61"/>
      <c r="O46" s="42"/>
      <c r="P46" s="40"/>
      <c r="Q46" s="41"/>
      <c r="R46" s="40"/>
      <c r="S46" s="42"/>
      <c r="T46" s="43"/>
      <c r="U46" s="41"/>
      <c r="V46" s="40"/>
      <c r="W46" s="42"/>
      <c r="X46" s="40"/>
      <c r="Y46" s="42"/>
      <c r="Z46" s="40"/>
      <c r="AA46" s="42"/>
      <c r="AB46" s="40"/>
      <c r="AC46" s="42"/>
      <c r="AD46" s="40"/>
      <c r="AE46" s="42"/>
      <c r="AF46" s="40"/>
      <c r="AG46" s="42"/>
      <c r="AH46" s="40"/>
      <c r="AI46" s="42"/>
      <c r="AJ46" s="40"/>
      <c r="AK46" s="42"/>
      <c r="AL46" s="40"/>
      <c r="AM46" s="42"/>
      <c r="AN46" s="40"/>
      <c r="AO46" s="42"/>
      <c r="AP46" s="40"/>
      <c r="AQ46" s="42"/>
      <c r="AR46" s="40"/>
      <c r="AS46" s="44">
        <f t="shared" si="0"/>
        <v>15</v>
      </c>
      <c r="AT46" s="73">
        <v>405</v>
      </c>
      <c r="AU46" s="63">
        <f t="shared" si="1"/>
        <v>6075</v>
      </c>
      <c r="AV46" s="50"/>
    </row>
    <row r="47" spans="1:50" s="32" customFormat="1" ht="31.5" customHeight="1" x14ac:dyDescent="0.25">
      <c r="A47" s="56">
        <v>39</v>
      </c>
      <c r="B47" s="34"/>
      <c r="C47" s="34" t="s">
        <v>38</v>
      </c>
      <c r="D47" s="34">
        <v>295</v>
      </c>
      <c r="E47" s="71" t="s">
        <v>81</v>
      </c>
      <c r="F47" s="34" t="s">
        <v>54</v>
      </c>
      <c r="G47" s="34"/>
      <c r="H47" s="34"/>
      <c r="I47" s="34"/>
      <c r="J47" s="34"/>
      <c r="K47" s="34"/>
      <c r="L47" s="67"/>
      <c r="M47" s="41">
        <v>5</v>
      </c>
      <c r="N47" s="61">
        <f>+M47*AT47</f>
        <v>14325</v>
      </c>
      <c r="O47" s="42"/>
      <c r="P47" s="40"/>
      <c r="Q47" s="41"/>
      <c r="R47" s="40"/>
      <c r="S47" s="42"/>
      <c r="T47" s="43"/>
      <c r="U47" s="41"/>
      <c r="V47" s="40"/>
      <c r="W47" s="42"/>
      <c r="X47" s="40"/>
      <c r="Y47" s="42"/>
      <c r="Z47" s="40"/>
      <c r="AA47" s="42"/>
      <c r="AB47" s="40"/>
      <c r="AC47" s="42"/>
      <c r="AD47" s="40"/>
      <c r="AE47" s="42"/>
      <c r="AF47" s="40"/>
      <c r="AG47" s="42"/>
      <c r="AH47" s="40"/>
      <c r="AI47" s="42"/>
      <c r="AJ47" s="40"/>
      <c r="AK47" s="42"/>
      <c r="AL47" s="40"/>
      <c r="AM47" s="42"/>
      <c r="AN47" s="40"/>
      <c r="AO47" s="42"/>
      <c r="AP47" s="40"/>
      <c r="AQ47" s="42"/>
      <c r="AR47" s="40"/>
      <c r="AS47" s="44">
        <f t="shared" si="0"/>
        <v>5</v>
      </c>
      <c r="AT47" s="35">
        <v>2865</v>
      </c>
      <c r="AU47" s="63">
        <f t="shared" si="1"/>
        <v>14325</v>
      </c>
      <c r="AV47" s="50"/>
    </row>
    <row r="48" spans="1:50" s="32" customFormat="1" ht="28.5" customHeight="1" x14ac:dyDescent="0.25">
      <c r="A48" s="56">
        <v>40</v>
      </c>
      <c r="B48" s="57"/>
      <c r="C48" s="34" t="s">
        <v>38</v>
      </c>
      <c r="D48" s="34">
        <v>295</v>
      </c>
      <c r="E48" s="71" t="s">
        <v>55</v>
      </c>
      <c r="F48" s="69" t="s">
        <v>54</v>
      </c>
      <c r="G48" s="34"/>
      <c r="H48" s="34"/>
      <c r="I48" s="34"/>
      <c r="J48" s="34"/>
      <c r="K48" s="100"/>
      <c r="L48" s="40"/>
      <c r="M48" s="75">
        <v>2</v>
      </c>
      <c r="N48" s="61">
        <f>+M48*AT48</f>
        <v>3080</v>
      </c>
      <c r="O48" s="42"/>
      <c r="P48" s="40"/>
      <c r="Q48" s="41"/>
      <c r="R48" s="40"/>
      <c r="S48" s="42"/>
      <c r="T48" s="43"/>
      <c r="U48" s="41"/>
      <c r="V48" s="40"/>
      <c r="W48" s="42"/>
      <c r="X48" s="40"/>
      <c r="Y48" s="42"/>
      <c r="Z48" s="40"/>
      <c r="AA48" s="42"/>
      <c r="AB48" s="40"/>
      <c r="AC48" s="42"/>
      <c r="AD48" s="40"/>
      <c r="AE48" s="42"/>
      <c r="AF48" s="40"/>
      <c r="AG48" s="42"/>
      <c r="AH48" s="40"/>
      <c r="AI48" s="42"/>
      <c r="AJ48" s="40"/>
      <c r="AK48" s="42"/>
      <c r="AL48" s="40"/>
      <c r="AM48" s="42"/>
      <c r="AN48" s="40"/>
      <c r="AO48" s="42"/>
      <c r="AP48" s="40"/>
      <c r="AQ48" s="42"/>
      <c r="AR48" s="40"/>
      <c r="AS48" s="44">
        <f t="shared" si="0"/>
        <v>2</v>
      </c>
      <c r="AT48" s="73">
        <v>1540</v>
      </c>
      <c r="AU48" s="63">
        <f t="shared" si="1"/>
        <v>3080</v>
      </c>
      <c r="AV48" s="50"/>
    </row>
    <row r="49" spans="1:48" s="32" customFormat="1" ht="27.75" customHeight="1" x14ac:dyDescent="0.25">
      <c r="A49" s="56">
        <v>41</v>
      </c>
      <c r="B49" s="57"/>
      <c r="C49" s="34" t="s">
        <v>38</v>
      </c>
      <c r="D49" s="34">
        <v>295</v>
      </c>
      <c r="E49" s="71" t="s">
        <v>53</v>
      </c>
      <c r="F49" s="69" t="s">
        <v>54</v>
      </c>
      <c r="G49" s="58"/>
      <c r="H49" s="58"/>
      <c r="I49" s="58"/>
      <c r="J49" s="58"/>
      <c r="K49" s="59"/>
      <c r="L49" s="40"/>
      <c r="M49" s="36">
        <v>2</v>
      </c>
      <c r="N49" s="61">
        <f>+M49*AT49</f>
        <v>3080</v>
      </c>
      <c r="O49" s="42"/>
      <c r="P49" s="40"/>
      <c r="Q49" s="41"/>
      <c r="R49" s="40"/>
      <c r="S49" s="42"/>
      <c r="T49" s="43"/>
      <c r="U49" s="41"/>
      <c r="V49" s="40"/>
      <c r="W49" s="42"/>
      <c r="X49" s="40"/>
      <c r="Y49" s="42"/>
      <c r="Z49" s="40"/>
      <c r="AA49" s="42"/>
      <c r="AB49" s="40"/>
      <c r="AC49" s="42"/>
      <c r="AD49" s="40"/>
      <c r="AE49" s="42"/>
      <c r="AF49" s="40"/>
      <c r="AG49" s="42"/>
      <c r="AH49" s="40"/>
      <c r="AI49" s="42"/>
      <c r="AJ49" s="40"/>
      <c r="AK49" s="42"/>
      <c r="AL49" s="40"/>
      <c r="AM49" s="42"/>
      <c r="AN49" s="40"/>
      <c r="AO49" s="42"/>
      <c r="AP49" s="40"/>
      <c r="AQ49" s="42"/>
      <c r="AR49" s="40"/>
      <c r="AS49" s="44">
        <f t="shared" si="0"/>
        <v>2</v>
      </c>
      <c r="AT49" s="73">
        <v>1540</v>
      </c>
      <c r="AU49" s="63">
        <f t="shared" si="1"/>
        <v>3080</v>
      </c>
      <c r="AV49" s="50"/>
    </row>
    <row r="50" spans="1:48" s="32" customFormat="1" ht="30.75" customHeight="1" x14ac:dyDescent="0.25">
      <c r="A50" s="56">
        <v>42</v>
      </c>
      <c r="B50" s="57"/>
      <c r="C50" s="34" t="s">
        <v>104</v>
      </c>
      <c r="D50" s="34">
        <v>295</v>
      </c>
      <c r="E50" s="71" t="s">
        <v>86</v>
      </c>
      <c r="F50" s="69" t="s">
        <v>54</v>
      </c>
      <c r="G50" s="58"/>
      <c r="H50" s="58"/>
      <c r="I50" s="58"/>
      <c r="J50" s="58"/>
      <c r="K50" s="120">
        <v>30</v>
      </c>
      <c r="L50" s="40">
        <f>+K50*AT50</f>
        <v>30000</v>
      </c>
      <c r="M50" s="36"/>
      <c r="N50" s="61"/>
      <c r="O50" s="42"/>
      <c r="P50" s="40"/>
      <c r="Q50" s="41"/>
      <c r="R50" s="40"/>
      <c r="S50" s="42"/>
      <c r="T50" s="43"/>
      <c r="U50" s="41"/>
      <c r="V50" s="40"/>
      <c r="W50" s="42"/>
      <c r="X50" s="40"/>
      <c r="Y50" s="42"/>
      <c r="Z50" s="40"/>
      <c r="AA50" s="42"/>
      <c r="AB50" s="40"/>
      <c r="AC50" s="42"/>
      <c r="AD50" s="40"/>
      <c r="AE50" s="42"/>
      <c r="AF50" s="40"/>
      <c r="AG50" s="42"/>
      <c r="AH50" s="40"/>
      <c r="AI50" s="42"/>
      <c r="AJ50" s="40"/>
      <c r="AK50" s="42"/>
      <c r="AL50" s="40"/>
      <c r="AM50" s="42"/>
      <c r="AN50" s="40"/>
      <c r="AO50" s="42"/>
      <c r="AP50" s="40"/>
      <c r="AQ50" s="42"/>
      <c r="AR50" s="40"/>
      <c r="AS50" s="44">
        <f t="shared" si="0"/>
        <v>30</v>
      </c>
      <c r="AT50" s="73">
        <v>1000</v>
      </c>
      <c r="AU50" s="63">
        <f t="shared" si="1"/>
        <v>30000</v>
      </c>
      <c r="AV50" s="50"/>
    </row>
    <row r="51" spans="1:48" s="32" customFormat="1" ht="36" customHeight="1" x14ac:dyDescent="0.25">
      <c r="A51" s="56">
        <v>43</v>
      </c>
      <c r="B51" s="57"/>
      <c r="C51" s="34" t="s">
        <v>38</v>
      </c>
      <c r="D51" s="34">
        <v>295</v>
      </c>
      <c r="E51" s="71" t="s">
        <v>56</v>
      </c>
      <c r="F51" s="69" t="s">
        <v>54</v>
      </c>
      <c r="G51" s="34"/>
      <c r="H51" s="34"/>
      <c r="I51" s="34"/>
      <c r="J51" s="34"/>
      <c r="K51" s="45"/>
      <c r="L51" s="40"/>
      <c r="M51" s="75">
        <v>2</v>
      </c>
      <c r="N51" s="61">
        <f>+M51*AT51</f>
        <v>4408</v>
      </c>
      <c r="O51" s="42"/>
      <c r="P51" s="40"/>
      <c r="Q51" s="41"/>
      <c r="R51" s="40"/>
      <c r="S51" s="42"/>
      <c r="T51" s="43"/>
      <c r="U51" s="41"/>
      <c r="V51" s="40"/>
      <c r="W51" s="42"/>
      <c r="X51" s="40"/>
      <c r="Y51" s="42"/>
      <c r="Z51" s="40"/>
      <c r="AA51" s="42"/>
      <c r="AB51" s="40"/>
      <c r="AC51" s="42"/>
      <c r="AD51" s="40"/>
      <c r="AE51" s="42"/>
      <c r="AF51" s="40"/>
      <c r="AG51" s="42"/>
      <c r="AH51" s="40"/>
      <c r="AI51" s="42"/>
      <c r="AJ51" s="40"/>
      <c r="AK51" s="42"/>
      <c r="AL51" s="40"/>
      <c r="AM51" s="42"/>
      <c r="AN51" s="40"/>
      <c r="AO51" s="42"/>
      <c r="AP51" s="40"/>
      <c r="AQ51" s="42"/>
      <c r="AR51" s="40"/>
      <c r="AS51" s="44">
        <f t="shared" si="0"/>
        <v>2</v>
      </c>
      <c r="AT51" s="73">
        <v>2204</v>
      </c>
      <c r="AU51" s="63">
        <f t="shared" si="1"/>
        <v>4408</v>
      </c>
      <c r="AV51" s="50"/>
    </row>
    <row r="52" spans="1:48" s="32" customFormat="1" ht="33" customHeight="1" x14ac:dyDescent="0.25">
      <c r="A52" s="56">
        <v>44</v>
      </c>
      <c r="B52" s="57"/>
      <c r="C52" s="34" t="s">
        <v>104</v>
      </c>
      <c r="D52" s="34">
        <v>295</v>
      </c>
      <c r="E52" s="71" t="s">
        <v>87</v>
      </c>
      <c r="F52" s="69" t="s">
        <v>54</v>
      </c>
      <c r="G52" s="58"/>
      <c r="H52" s="58"/>
      <c r="I52" s="58"/>
      <c r="J52" s="58"/>
      <c r="K52" s="120">
        <v>10</v>
      </c>
      <c r="L52" s="40">
        <f t="shared" ref="L52:L62" si="3">+K52*AT52</f>
        <v>28500</v>
      </c>
      <c r="M52" s="36"/>
      <c r="N52" s="61"/>
      <c r="O52" s="42"/>
      <c r="P52" s="40"/>
      <c r="Q52" s="41"/>
      <c r="R52" s="40"/>
      <c r="S52" s="42"/>
      <c r="T52" s="43"/>
      <c r="U52" s="41"/>
      <c r="V52" s="40"/>
      <c r="W52" s="42"/>
      <c r="X52" s="40"/>
      <c r="Y52" s="42"/>
      <c r="Z52" s="40"/>
      <c r="AA52" s="42"/>
      <c r="AB52" s="40"/>
      <c r="AC52" s="42"/>
      <c r="AD52" s="40"/>
      <c r="AE52" s="42"/>
      <c r="AF52" s="40"/>
      <c r="AG52" s="42"/>
      <c r="AH52" s="40"/>
      <c r="AI52" s="42"/>
      <c r="AJ52" s="40"/>
      <c r="AK52" s="42"/>
      <c r="AL52" s="40"/>
      <c r="AM52" s="42"/>
      <c r="AN52" s="40"/>
      <c r="AO52" s="42"/>
      <c r="AP52" s="40"/>
      <c r="AQ52" s="42"/>
      <c r="AR52" s="40"/>
      <c r="AS52" s="44">
        <f t="shared" si="0"/>
        <v>10</v>
      </c>
      <c r="AT52" s="73">
        <v>2850</v>
      </c>
      <c r="AU52" s="63">
        <f t="shared" si="1"/>
        <v>28500</v>
      </c>
      <c r="AV52" s="50"/>
    </row>
    <row r="53" spans="1:48" s="32" customFormat="1" ht="28.5" customHeight="1" x14ac:dyDescent="0.25">
      <c r="A53" s="56">
        <v>45</v>
      </c>
      <c r="B53" s="57"/>
      <c r="C53" s="34" t="s">
        <v>104</v>
      </c>
      <c r="D53" s="34">
        <v>295</v>
      </c>
      <c r="E53" s="71" t="s">
        <v>92</v>
      </c>
      <c r="F53" s="69" t="s">
        <v>54</v>
      </c>
      <c r="G53" s="58"/>
      <c r="H53" s="58"/>
      <c r="I53" s="58"/>
      <c r="J53" s="58"/>
      <c r="K53" s="117">
        <v>10</v>
      </c>
      <c r="L53" s="40">
        <f t="shared" si="3"/>
        <v>95190</v>
      </c>
      <c r="M53" s="36"/>
      <c r="N53" s="61"/>
      <c r="O53" s="42"/>
      <c r="P53" s="40"/>
      <c r="Q53" s="41"/>
      <c r="R53" s="40"/>
      <c r="S53" s="42"/>
      <c r="T53" s="43"/>
      <c r="U53" s="41"/>
      <c r="V53" s="40"/>
      <c r="W53" s="42"/>
      <c r="X53" s="40"/>
      <c r="Y53" s="42"/>
      <c r="Z53" s="40"/>
      <c r="AA53" s="42"/>
      <c r="AB53" s="40"/>
      <c r="AC53" s="42"/>
      <c r="AD53" s="40"/>
      <c r="AE53" s="42"/>
      <c r="AF53" s="40"/>
      <c r="AG53" s="42"/>
      <c r="AH53" s="40"/>
      <c r="AI53" s="42"/>
      <c r="AJ53" s="40"/>
      <c r="AK53" s="42"/>
      <c r="AL53" s="40"/>
      <c r="AM53" s="42"/>
      <c r="AN53" s="40"/>
      <c r="AO53" s="42"/>
      <c r="AP53" s="40"/>
      <c r="AQ53" s="42"/>
      <c r="AR53" s="40"/>
      <c r="AS53" s="44">
        <f t="shared" si="0"/>
        <v>10</v>
      </c>
      <c r="AT53" s="73">
        <v>9519</v>
      </c>
      <c r="AU53" s="63">
        <f t="shared" si="1"/>
        <v>95190</v>
      </c>
      <c r="AV53" s="50"/>
    </row>
    <row r="54" spans="1:48" s="32" customFormat="1" ht="22.5" customHeight="1" x14ac:dyDescent="0.25">
      <c r="A54" s="56">
        <v>46</v>
      </c>
      <c r="B54" s="57"/>
      <c r="C54" s="34" t="s">
        <v>104</v>
      </c>
      <c r="D54" s="34">
        <v>295</v>
      </c>
      <c r="E54" s="71" t="s">
        <v>97</v>
      </c>
      <c r="F54" s="69" t="s">
        <v>106</v>
      </c>
      <c r="G54" s="58"/>
      <c r="H54" s="58"/>
      <c r="I54" s="58"/>
      <c r="J54" s="58"/>
      <c r="K54" s="117">
        <v>400</v>
      </c>
      <c r="L54" s="40">
        <f t="shared" si="3"/>
        <v>786000</v>
      </c>
      <c r="M54" s="36"/>
      <c r="N54" s="61"/>
      <c r="O54" s="42"/>
      <c r="P54" s="40"/>
      <c r="Q54" s="41"/>
      <c r="R54" s="40"/>
      <c r="S54" s="42"/>
      <c r="T54" s="43"/>
      <c r="U54" s="41"/>
      <c r="V54" s="40"/>
      <c r="W54" s="42"/>
      <c r="X54" s="40"/>
      <c r="Y54" s="42"/>
      <c r="Z54" s="40"/>
      <c r="AA54" s="42"/>
      <c r="AB54" s="40"/>
      <c r="AC54" s="42"/>
      <c r="AD54" s="40"/>
      <c r="AE54" s="42"/>
      <c r="AF54" s="40"/>
      <c r="AG54" s="42"/>
      <c r="AH54" s="40"/>
      <c r="AI54" s="42"/>
      <c r="AJ54" s="40"/>
      <c r="AK54" s="42"/>
      <c r="AL54" s="40"/>
      <c r="AM54" s="42"/>
      <c r="AN54" s="40"/>
      <c r="AO54" s="42"/>
      <c r="AP54" s="40"/>
      <c r="AQ54" s="42"/>
      <c r="AR54" s="40"/>
      <c r="AS54" s="44">
        <f t="shared" si="0"/>
        <v>400</v>
      </c>
      <c r="AT54" s="73">
        <v>1965</v>
      </c>
      <c r="AU54" s="63">
        <f t="shared" si="1"/>
        <v>786000</v>
      </c>
      <c r="AV54" s="50"/>
    </row>
    <row r="55" spans="1:48" s="32" customFormat="1" ht="30" customHeight="1" x14ac:dyDescent="0.25">
      <c r="A55" s="56">
        <v>47</v>
      </c>
      <c r="B55" s="57"/>
      <c r="C55" s="34" t="s">
        <v>104</v>
      </c>
      <c r="D55" s="34">
        <v>295</v>
      </c>
      <c r="E55" s="71" t="s">
        <v>100</v>
      </c>
      <c r="F55" s="69" t="s">
        <v>106</v>
      </c>
      <c r="G55" s="58"/>
      <c r="H55" s="58"/>
      <c r="I55" s="58"/>
      <c r="J55" s="58"/>
      <c r="K55" s="117">
        <v>400</v>
      </c>
      <c r="L55" s="40">
        <f t="shared" si="3"/>
        <v>1018400</v>
      </c>
      <c r="M55" s="36"/>
      <c r="N55" s="61"/>
      <c r="O55" s="42"/>
      <c r="P55" s="40"/>
      <c r="Q55" s="41"/>
      <c r="R55" s="40"/>
      <c r="S55" s="42"/>
      <c r="T55" s="43"/>
      <c r="U55" s="41"/>
      <c r="V55" s="40"/>
      <c r="W55" s="42"/>
      <c r="X55" s="40"/>
      <c r="Y55" s="42"/>
      <c r="Z55" s="40"/>
      <c r="AA55" s="42"/>
      <c r="AB55" s="40"/>
      <c r="AC55" s="42"/>
      <c r="AD55" s="40"/>
      <c r="AE55" s="42"/>
      <c r="AF55" s="40"/>
      <c r="AG55" s="42"/>
      <c r="AH55" s="40"/>
      <c r="AI55" s="42"/>
      <c r="AJ55" s="40"/>
      <c r="AK55" s="42"/>
      <c r="AL55" s="40"/>
      <c r="AM55" s="42"/>
      <c r="AN55" s="40"/>
      <c r="AO55" s="42"/>
      <c r="AP55" s="40"/>
      <c r="AQ55" s="42"/>
      <c r="AR55" s="40"/>
      <c r="AS55" s="44">
        <f t="shared" si="0"/>
        <v>400</v>
      </c>
      <c r="AT55" s="73">
        <v>2546</v>
      </c>
      <c r="AU55" s="63">
        <f t="shared" si="1"/>
        <v>1018400</v>
      </c>
      <c r="AV55" s="50"/>
    </row>
    <row r="56" spans="1:48" s="32" customFormat="1" ht="25.5" customHeight="1" x14ac:dyDescent="0.25">
      <c r="A56" s="56">
        <v>48</v>
      </c>
      <c r="B56" s="57"/>
      <c r="C56" s="34" t="s">
        <v>104</v>
      </c>
      <c r="D56" s="34">
        <v>295</v>
      </c>
      <c r="E56" s="71" t="s">
        <v>98</v>
      </c>
      <c r="F56" s="69" t="s">
        <v>106</v>
      </c>
      <c r="G56" s="58"/>
      <c r="H56" s="58"/>
      <c r="I56" s="58"/>
      <c r="J56" s="58"/>
      <c r="K56" s="117">
        <v>400</v>
      </c>
      <c r="L56" s="40">
        <f t="shared" si="3"/>
        <v>951600</v>
      </c>
      <c r="M56" s="36"/>
      <c r="N56" s="61"/>
      <c r="O56" s="42"/>
      <c r="P56" s="40"/>
      <c r="Q56" s="41"/>
      <c r="R56" s="40"/>
      <c r="S56" s="42"/>
      <c r="T56" s="43"/>
      <c r="U56" s="41"/>
      <c r="V56" s="40"/>
      <c r="W56" s="42"/>
      <c r="X56" s="40"/>
      <c r="Y56" s="42"/>
      <c r="Z56" s="40"/>
      <c r="AA56" s="42"/>
      <c r="AB56" s="40"/>
      <c r="AC56" s="42"/>
      <c r="AD56" s="40"/>
      <c r="AE56" s="42"/>
      <c r="AF56" s="40"/>
      <c r="AG56" s="42"/>
      <c r="AH56" s="40"/>
      <c r="AI56" s="42"/>
      <c r="AJ56" s="40"/>
      <c r="AK56" s="42"/>
      <c r="AL56" s="40"/>
      <c r="AM56" s="42"/>
      <c r="AN56" s="40"/>
      <c r="AO56" s="42"/>
      <c r="AP56" s="40"/>
      <c r="AQ56" s="42"/>
      <c r="AR56" s="40"/>
      <c r="AS56" s="44">
        <f t="shared" si="0"/>
        <v>400</v>
      </c>
      <c r="AT56" s="73">
        <v>2379</v>
      </c>
      <c r="AU56" s="63">
        <f t="shared" si="1"/>
        <v>951600</v>
      </c>
      <c r="AV56" s="50"/>
    </row>
    <row r="57" spans="1:48" s="32" customFormat="1" ht="30.75" customHeight="1" x14ac:dyDescent="0.25">
      <c r="A57" s="56">
        <v>49</v>
      </c>
      <c r="B57" s="57"/>
      <c r="C57" s="34" t="s">
        <v>104</v>
      </c>
      <c r="D57" s="34">
        <v>295</v>
      </c>
      <c r="E57" s="71" t="s">
        <v>99</v>
      </c>
      <c r="F57" s="69" t="s">
        <v>106</v>
      </c>
      <c r="G57" s="58"/>
      <c r="H57" s="58"/>
      <c r="I57" s="58"/>
      <c r="J57" s="58"/>
      <c r="K57" s="117">
        <v>400</v>
      </c>
      <c r="L57" s="40">
        <f t="shared" si="3"/>
        <v>985200</v>
      </c>
      <c r="M57" s="36"/>
      <c r="N57" s="61"/>
      <c r="O57" s="42"/>
      <c r="P57" s="40"/>
      <c r="Q57" s="41"/>
      <c r="R57" s="40"/>
      <c r="S57" s="42"/>
      <c r="T57" s="43"/>
      <c r="U57" s="41"/>
      <c r="V57" s="40"/>
      <c r="W57" s="42"/>
      <c r="X57" s="40"/>
      <c r="Y57" s="42"/>
      <c r="Z57" s="40"/>
      <c r="AA57" s="42"/>
      <c r="AB57" s="40"/>
      <c r="AC57" s="42"/>
      <c r="AD57" s="40"/>
      <c r="AE57" s="42"/>
      <c r="AF57" s="40"/>
      <c r="AG57" s="42"/>
      <c r="AH57" s="40"/>
      <c r="AI57" s="42"/>
      <c r="AJ57" s="40"/>
      <c r="AK57" s="42"/>
      <c r="AL57" s="40"/>
      <c r="AM57" s="42"/>
      <c r="AN57" s="40"/>
      <c r="AO57" s="42"/>
      <c r="AP57" s="40"/>
      <c r="AQ57" s="42"/>
      <c r="AR57" s="40"/>
      <c r="AS57" s="44">
        <f t="shared" si="0"/>
        <v>400</v>
      </c>
      <c r="AT57" s="73">
        <v>2463</v>
      </c>
      <c r="AU57" s="63">
        <f t="shared" si="1"/>
        <v>985200</v>
      </c>
      <c r="AV57" s="50"/>
    </row>
    <row r="58" spans="1:48" s="32" customFormat="1" ht="28.5" customHeight="1" x14ac:dyDescent="0.25">
      <c r="A58" s="56">
        <v>50</v>
      </c>
      <c r="B58" s="57"/>
      <c r="C58" s="34" t="s">
        <v>104</v>
      </c>
      <c r="D58" s="34">
        <v>295</v>
      </c>
      <c r="E58" s="71" t="s">
        <v>57</v>
      </c>
      <c r="F58" s="69" t="s">
        <v>42</v>
      </c>
      <c r="G58" s="58"/>
      <c r="H58" s="58"/>
      <c r="I58" s="58"/>
      <c r="J58" s="58"/>
      <c r="K58" s="117">
        <v>1000</v>
      </c>
      <c r="L58" s="40">
        <f t="shared" si="3"/>
        <v>18000</v>
      </c>
      <c r="M58" s="36"/>
      <c r="N58" s="61"/>
      <c r="O58" s="42"/>
      <c r="P58" s="40"/>
      <c r="Q58" s="41"/>
      <c r="R58" s="40"/>
      <c r="S58" s="42"/>
      <c r="T58" s="43"/>
      <c r="U58" s="41"/>
      <c r="V58" s="40"/>
      <c r="W58" s="42"/>
      <c r="X58" s="40"/>
      <c r="Y58" s="42"/>
      <c r="Z58" s="40"/>
      <c r="AA58" s="42"/>
      <c r="AB58" s="40"/>
      <c r="AC58" s="42"/>
      <c r="AD58" s="40"/>
      <c r="AE58" s="42"/>
      <c r="AF58" s="40"/>
      <c r="AG58" s="42"/>
      <c r="AH58" s="40"/>
      <c r="AI58" s="42"/>
      <c r="AJ58" s="40"/>
      <c r="AK58" s="42"/>
      <c r="AL58" s="40"/>
      <c r="AM58" s="42"/>
      <c r="AN58" s="40"/>
      <c r="AO58" s="42"/>
      <c r="AP58" s="40"/>
      <c r="AQ58" s="42"/>
      <c r="AR58" s="40"/>
      <c r="AS58" s="44">
        <f t="shared" si="0"/>
        <v>1000</v>
      </c>
      <c r="AT58" s="73">
        <v>18</v>
      </c>
      <c r="AU58" s="63">
        <f t="shared" si="1"/>
        <v>18000</v>
      </c>
      <c r="AV58" s="50"/>
    </row>
    <row r="59" spans="1:48" s="32" customFormat="1" ht="25.5" customHeight="1" x14ac:dyDescent="0.25">
      <c r="A59" s="56">
        <v>51</v>
      </c>
      <c r="B59" s="57"/>
      <c r="C59" s="34" t="s">
        <v>104</v>
      </c>
      <c r="D59" s="34">
        <v>295</v>
      </c>
      <c r="E59" s="71" t="s">
        <v>168</v>
      </c>
      <c r="F59" s="69" t="s">
        <v>42</v>
      </c>
      <c r="G59" s="58"/>
      <c r="H59" s="58"/>
      <c r="I59" s="58"/>
      <c r="J59" s="58"/>
      <c r="K59" s="117">
        <v>5000</v>
      </c>
      <c r="L59" s="40">
        <f t="shared" si="3"/>
        <v>65000</v>
      </c>
      <c r="M59" s="36"/>
      <c r="N59" s="61"/>
      <c r="O59" s="42"/>
      <c r="P59" s="40"/>
      <c r="Q59" s="41"/>
      <c r="R59" s="40"/>
      <c r="S59" s="42"/>
      <c r="T59" s="43"/>
      <c r="U59" s="41"/>
      <c r="V59" s="40"/>
      <c r="W59" s="42"/>
      <c r="X59" s="40"/>
      <c r="Y59" s="42"/>
      <c r="Z59" s="40"/>
      <c r="AA59" s="42"/>
      <c r="AB59" s="40"/>
      <c r="AC59" s="42"/>
      <c r="AD59" s="40"/>
      <c r="AE59" s="42"/>
      <c r="AF59" s="40"/>
      <c r="AG59" s="42"/>
      <c r="AH59" s="40"/>
      <c r="AI59" s="42"/>
      <c r="AJ59" s="40"/>
      <c r="AK59" s="42"/>
      <c r="AL59" s="40"/>
      <c r="AM59" s="42"/>
      <c r="AN59" s="40"/>
      <c r="AO59" s="42"/>
      <c r="AP59" s="40"/>
      <c r="AQ59" s="42"/>
      <c r="AR59" s="40"/>
      <c r="AS59" s="44">
        <f t="shared" si="0"/>
        <v>5000</v>
      </c>
      <c r="AT59" s="73">
        <v>13</v>
      </c>
      <c r="AU59" s="63">
        <f t="shared" si="1"/>
        <v>65000</v>
      </c>
      <c r="AV59" s="50"/>
    </row>
    <row r="60" spans="1:48" s="32" customFormat="1" ht="31.5" customHeight="1" x14ac:dyDescent="0.25">
      <c r="A60" s="56">
        <v>52</v>
      </c>
      <c r="B60" s="57"/>
      <c r="C60" s="34" t="s">
        <v>104</v>
      </c>
      <c r="D60" s="34">
        <v>295</v>
      </c>
      <c r="E60" s="71" t="s">
        <v>90</v>
      </c>
      <c r="F60" s="69" t="s">
        <v>42</v>
      </c>
      <c r="G60" s="58"/>
      <c r="H60" s="58"/>
      <c r="I60" s="58"/>
      <c r="J60" s="58"/>
      <c r="K60" s="120">
        <v>3000</v>
      </c>
      <c r="L60" s="40">
        <f t="shared" si="3"/>
        <v>57000</v>
      </c>
      <c r="M60" s="36"/>
      <c r="N60" s="61"/>
      <c r="O60" s="42"/>
      <c r="P60" s="40"/>
      <c r="Q60" s="41"/>
      <c r="R60" s="40"/>
      <c r="S60" s="42"/>
      <c r="T60" s="43"/>
      <c r="U60" s="41"/>
      <c r="V60" s="40"/>
      <c r="W60" s="42"/>
      <c r="X60" s="40"/>
      <c r="Y60" s="42"/>
      <c r="Z60" s="40"/>
      <c r="AA60" s="42"/>
      <c r="AB60" s="40"/>
      <c r="AC60" s="42"/>
      <c r="AD60" s="40"/>
      <c r="AE60" s="42"/>
      <c r="AF60" s="40"/>
      <c r="AG60" s="42"/>
      <c r="AH60" s="40"/>
      <c r="AI60" s="42"/>
      <c r="AJ60" s="40"/>
      <c r="AK60" s="42"/>
      <c r="AL60" s="40"/>
      <c r="AM60" s="42"/>
      <c r="AN60" s="40"/>
      <c r="AO60" s="42"/>
      <c r="AP60" s="40"/>
      <c r="AQ60" s="42"/>
      <c r="AR60" s="40"/>
      <c r="AS60" s="44">
        <f t="shared" si="0"/>
        <v>3000</v>
      </c>
      <c r="AT60" s="73">
        <v>19</v>
      </c>
      <c r="AU60" s="63">
        <f t="shared" si="1"/>
        <v>57000</v>
      </c>
      <c r="AV60" s="50"/>
    </row>
    <row r="61" spans="1:48" s="32" customFormat="1" ht="24" customHeight="1" x14ac:dyDescent="0.25">
      <c r="A61" s="56">
        <v>53</v>
      </c>
      <c r="B61" s="57"/>
      <c r="C61" s="34" t="s">
        <v>104</v>
      </c>
      <c r="D61" s="34">
        <v>295</v>
      </c>
      <c r="E61" s="71" t="s">
        <v>58</v>
      </c>
      <c r="F61" s="69" t="s">
        <v>42</v>
      </c>
      <c r="G61" s="58"/>
      <c r="H61" s="58"/>
      <c r="I61" s="58"/>
      <c r="J61" s="58"/>
      <c r="K61" s="117">
        <v>10000</v>
      </c>
      <c r="L61" s="40">
        <f t="shared" si="3"/>
        <v>360000</v>
      </c>
      <c r="M61" s="36"/>
      <c r="N61" s="61"/>
      <c r="O61" s="42"/>
      <c r="P61" s="40"/>
      <c r="Q61" s="41"/>
      <c r="R61" s="40"/>
      <c r="S61" s="42"/>
      <c r="T61" s="43"/>
      <c r="U61" s="41"/>
      <c r="V61" s="40"/>
      <c r="W61" s="42"/>
      <c r="X61" s="40"/>
      <c r="Y61" s="42"/>
      <c r="Z61" s="40"/>
      <c r="AA61" s="42"/>
      <c r="AB61" s="40"/>
      <c r="AC61" s="42"/>
      <c r="AD61" s="40"/>
      <c r="AE61" s="42"/>
      <c r="AF61" s="40"/>
      <c r="AG61" s="42"/>
      <c r="AH61" s="40"/>
      <c r="AI61" s="42"/>
      <c r="AJ61" s="40"/>
      <c r="AK61" s="42"/>
      <c r="AL61" s="40"/>
      <c r="AM61" s="42"/>
      <c r="AN61" s="40"/>
      <c r="AO61" s="42"/>
      <c r="AP61" s="40"/>
      <c r="AQ61" s="42"/>
      <c r="AR61" s="40"/>
      <c r="AS61" s="44">
        <f t="shared" si="0"/>
        <v>10000</v>
      </c>
      <c r="AT61" s="73">
        <v>36</v>
      </c>
      <c r="AU61" s="63">
        <f t="shared" si="1"/>
        <v>360000</v>
      </c>
      <c r="AV61" s="50"/>
    </row>
    <row r="62" spans="1:48" s="32" customFormat="1" ht="24" customHeight="1" x14ac:dyDescent="0.25">
      <c r="A62" s="56">
        <v>54</v>
      </c>
      <c r="B62" s="57"/>
      <c r="C62" s="34" t="s">
        <v>104</v>
      </c>
      <c r="D62" s="34">
        <v>295</v>
      </c>
      <c r="E62" s="71" t="s">
        <v>88</v>
      </c>
      <c r="F62" s="69" t="s">
        <v>42</v>
      </c>
      <c r="G62" s="58"/>
      <c r="H62" s="58"/>
      <c r="I62" s="58"/>
      <c r="J62" s="58"/>
      <c r="K62" s="120">
        <v>23100</v>
      </c>
      <c r="L62" s="40">
        <f t="shared" si="3"/>
        <v>1270500</v>
      </c>
      <c r="M62" s="36"/>
      <c r="N62" s="61"/>
      <c r="O62" s="42"/>
      <c r="P62" s="40"/>
      <c r="Q62" s="41"/>
      <c r="R62" s="40"/>
      <c r="S62" s="42"/>
      <c r="T62" s="43"/>
      <c r="U62" s="41"/>
      <c r="V62" s="40"/>
      <c r="W62" s="42"/>
      <c r="X62" s="40"/>
      <c r="Y62" s="42"/>
      <c r="Z62" s="40"/>
      <c r="AA62" s="42"/>
      <c r="AB62" s="40"/>
      <c r="AC62" s="42"/>
      <c r="AD62" s="40"/>
      <c r="AE62" s="42"/>
      <c r="AF62" s="40"/>
      <c r="AG62" s="42"/>
      <c r="AH62" s="40"/>
      <c r="AI62" s="42"/>
      <c r="AJ62" s="40"/>
      <c r="AK62" s="42"/>
      <c r="AL62" s="40"/>
      <c r="AM62" s="42"/>
      <c r="AN62" s="40"/>
      <c r="AO62" s="42"/>
      <c r="AP62" s="40"/>
      <c r="AQ62" s="42"/>
      <c r="AR62" s="40"/>
      <c r="AS62" s="44">
        <f t="shared" si="0"/>
        <v>23100</v>
      </c>
      <c r="AT62" s="73">
        <v>55</v>
      </c>
      <c r="AU62" s="63">
        <f t="shared" si="1"/>
        <v>1270500</v>
      </c>
      <c r="AV62" s="50"/>
    </row>
    <row r="63" spans="1:48" s="32" customFormat="1" ht="32.25" customHeight="1" x14ac:dyDescent="0.25">
      <c r="A63" s="56">
        <v>55</v>
      </c>
      <c r="B63" s="57"/>
      <c r="C63" s="34" t="s">
        <v>38</v>
      </c>
      <c r="D63" s="34">
        <v>295</v>
      </c>
      <c r="E63" s="71" t="s">
        <v>59</v>
      </c>
      <c r="F63" s="69" t="s">
        <v>54</v>
      </c>
      <c r="G63" s="58"/>
      <c r="H63" s="58"/>
      <c r="I63" s="58"/>
      <c r="J63" s="58"/>
      <c r="K63" s="59"/>
      <c r="L63" s="40"/>
      <c r="M63" s="41">
        <v>9</v>
      </c>
      <c r="N63" s="61">
        <f>+M63*AT63</f>
        <v>48177</v>
      </c>
      <c r="O63" s="42"/>
      <c r="P63" s="40"/>
      <c r="Q63" s="41"/>
      <c r="R63" s="40"/>
      <c r="S63" s="42"/>
      <c r="T63" s="43"/>
      <c r="U63" s="41"/>
      <c r="V63" s="40"/>
      <c r="W63" s="42"/>
      <c r="X63" s="40"/>
      <c r="Y63" s="42"/>
      <c r="Z63" s="40"/>
      <c r="AA63" s="42"/>
      <c r="AB63" s="40"/>
      <c r="AC63" s="42"/>
      <c r="AD63" s="40"/>
      <c r="AE63" s="42"/>
      <c r="AF63" s="40"/>
      <c r="AG63" s="42"/>
      <c r="AH63" s="40"/>
      <c r="AI63" s="42"/>
      <c r="AJ63" s="40"/>
      <c r="AK63" s="42"/>
      <c r="AL63" s="40"/>
      <c r="AM63" s="42"/>
      <c r="AN63" s="40"/>
      <c r="AO63" s="42"/>
      <c r="AP63" s="40"/>
      <c r="AQ63" s="42"/>
      <c r="AR63" s="40"/>
      <c r="AS63" s="44">
        <f t="shared" si="0"/>
        <v>9</v>
      </c>
      <c r="AT63" s="70">
        <v>5353</v>
      </c>
      <c r="AU63" s="63">
        <f t="shared" si="1"/>
        <v>48177</v>
      </c>
      <c r="AV63" s="50"/>
    </row>
    <row r="64" spans="1:48" s="32" customFormat="1" ht="36.75" customHeight="1" x14ac:dyDescent="0.25">
      <c r="A64" s="56">
        <v>56</v>
      </c>
      <c r="B64" s="57"/>
      <c r="C64" s="34" t="s">
        <v>38</v>
      </c>
      <c r="D64" s="34">
        <v>295</v>
      </c>
      <c r="E64" s="71" t="s">
        <v>177</v>
      </c>
      <c r="F64" s="69" t="s">
        <v>54</v>
      </c>
      <c r="G64" s="58"/>
      <c r="H64" s="58"/>
      <c r="I64" s="58"/>
      <c r="J64" s="58"/>
      <c r="K64" s="59"/>
      <c r="L64" s="40"/>
      <c r="M64" s="41">
        <v>9</v>
      </c>
      <c r="N64" s="61">
        <f>+M64*AT64</f>
        <v>32022</v>
      </c>
      <c r="O64" s="42"/>
      <c r="P64" s="40"/>
      <c r="Q64" s="41"/>
      <c r="R64" s="40"/>
      <c r="S64" s="42"/>
      <c r="T64" s="43"/>
      <c r="U64" s="41"/>
      <c r="V64" s="40"/>
      <c r="W64" s="42"/>
      <c r="X64" s="40"/>
      <c r="Y64" s="42"/>
      <c r="Z64" s="40"/>
      <c r="AA64" s="42"/>
      <c r="AB64" s="40"/>
      <c r="AC64" s="42"/>
      <c r="AD64" s="40"/>
      <c r="AE64" s="42"/>
      <c r="AF64" s="40"/>
      <c r="AG64" s="42"/>
      <c r="AH64" s="40"/>
      <c r="AI64" s="42"/>
      <c r="AJ64" s="40"/>
      <c r="AK64" s="42"/>
      <c r="AL64" s="40"/>
      <c r="AM64" s="42"/>
      <c r="AN64" s="40"/>
      <c r="AO64" s="42"/>
      <c r="AP64" s="40"/>
      <c r="AQ64" s="42"/>
      <c r="AR64" s="40"/>
      <c r="AS64" s="44">
        <f t="shared" si="0"/>
        <v>9</v>
      </c>
      <c r="AT64" s="70">
        <v>3558</v>
      </c>
      <c r="AU64" s="63">
        <f t="shared" si="1"/>
        <v>32022</v>
      </c>
      <c r="AV64" s="50"/>
    </row>
    <row r="65" spans="1:48" s="32" customFormat="1" ht="33.75" customHeight="1" x14ac:dyDescent="0.25">
      <c r="A65" s="56">
        <v>57</v>
      </c>
      <c r="B65" s="57"/>
      <c r="C65" s="34" t="s">
        <v>38</v>
      </c>
      <c r="D65" s="34">
        <v>295</v>
      </c>
      <c r="E65" s="71" t="s">
        <v>178</v>
      </c>
      <c r="F65" s="69" t="s">
        <v>39</v>
      </c>
      <c r="G65" s="58"/>
      <c r="H65" s="58"/>
      <c r="I65" s="58"/>
      <c r="J65" s="58"/>
      <c r="K65" s="59"/>
      <c r="L65" s="40"/>
      <c r="M65" s="41">
        <v>2</v>
      </c>
      <c r="N65" s="61">
        <f>+M65*AT65</f>
        <v>26000</v>
      </c>
      <c r="O65" s="42"/>
      <c r="P65" s="40"/>
      <c r="Q65" s="41"/>
      <c r="R65" s="40"/>
      <c r="S65" s="42"/>
      <c r="T65" s="43"/>
      <c r="U65" s="41"/>
      <c r="V65" s="40"/>
      <c r="W65" s="42"/>
      <c r="X65" s="40"/>
      <c r="Y65" s="42"/>
      <c r="Z65" s="40"/>
      <c r="AA65" s="42"/>
      <c r="AB65" s="40"/>
      <c r="AC65" s="42"/>
      <c r="AD65" s="40"/>
      <c r="AE65" s="42"/>
      <c r="AF65" s="40"/>
      <c r="AG65" s="42"/>
      <c r="AH65" s="40"/>
      <c r="AI65" s="42"/>
      <c r="AJ65" s="40"/>
      <c r="AK65" s="42"/>
      <c r="AL65" s="40"/>
      <c r="AM65" s="42"/>
      <c r="AN65" s="40"/>
      <c r="AO65" s="42"/>
      <c r="AP65" s="40"/>
      <c r="AQ65" s="42"/>
      <c r="AR65" s="40"/>
      <c r="AS65" s="44">
        <f t="shared" si="0"/>
        <v>2</v>
      </c>
      <c r="AT65" s="70">
        <v>13000</v>
      </c>
      <c r="AU65" s="63">
        <f t="shared" si="1"/>
        <v>26000</v>
      </c>
      <c r="AV65" s="50"/>
    </row>
    <row r="66" spans="1:48" s="32" customFormat="1" ht="25.5" x14ac:dyDescent="0.25">
      <c r="A66" s="56">
        <v>58</v>
      </c>
      <c r="B66" s="57"/>
      <c r="C66" s="34" t="s">
        <v>38</v>
      </c>
      <c r="D66" s="34">
        <v>295</v>
      </c>
      <c r="E66" s="71" t="s">
        <v>60</v>
      </c>
      <c r="F66" s="204" t="s">
        <v>42</v>
      </c>
      <c r="G66" s="58"/>
      <c r="H66" s="58"/>
      <c r="I66" s="58"/>
      <c r="J66" s="58"/>
      <c r="K66" s="59"/>
      <c r="L66" s="40"/>
      <c r="M66" s="36">
        <v>1000</v>
      </c>
      <c r="N66" s="61">
        <f>+M66*AT66</f>
        <v>72000</v>
      </c>
      <c r="O66" s="42"/>
      <c r="P66" s="40"/>
      <c r="Q66" s="41"/>
      <c r="R66" s="40"/>
      <c r="S66" s="42"/>
      <c r="T66" s="43"/>
      <c r="U66" s="41"/>
      <c r="V66" s="40"/>
      <c r="W66" s="42"/>
      <c r="X66" s="40"/>
      <c r="Y66" s="42"/>
      <c r="Z66" s="40"/>
      <c r="AA66" s="42"/>
      <c r="AB66" s="40"/>
      <c r="AC66" s="42"/>
      <c r="AD66" s="40"/>
      <c r="AE66" s="42"/>
      <c r="AF66" s="40"/>
      <c r="AG66" s="42"/>
      <c r="AH66" s="40"/>
      <c r="AI66" s="42"/>
      <c r="AJ66" s="40"/>
      <c r="AK66" s="42"/>
      <c r="AL66" s="40"/>
      <c r="AM66" s="42"/>
      <c r="AN66" s="40"/>
      <c r="AO66" s="42"/>
      <c r="AP66" s="40"/>
      <c r="AQ66" s="42"/>
      <c r="AR66" s="40"/>
      <c r="AS66" s="44">
        <f t="shared" si="0"/>
        <v>1000</v>
      </c>
      <c r="AT66" s="73">
        <v>72</v>
      </c>
      <c r="AU66" s="63">
        <f t="shared" si="1"/>
        <v>72000</v>
      </c>
      <c r="AV66" s="50"/>
    </row>
    <row r="67" spans="1:48" s="32" customFormat="1" x14ac:dyDescent="0.25">
      <c r="A67" s="56">
        <v>59</v>
      </c>
      <c r="B67" s="57"/>
      <c r="C67" s="34" t="s">
        <v>38</v>
      </c>
      <c r="D67" s="34">
        <v>295</v>
      </c>
      <c r="E67" s="71" t="s">
        <v>180</v>
      </c>
      <c r="F67" s="69" t="s">
        <v>179</v>
      </c>
      <c r="G67" s="58"/>
      <c r="H67" s="58"/>
      <c r="I67" s="58"/>
      <c r="J67" s="58"/>
      <c r="K67" s="59"/>
      <c r="L67" s="40"/>
      <c r="M67" s="36">
        <v>2</v>
      </c>
      <c r="N67" s="61">
        <f>+M67*AT67</f>
        <v>27400</v>
      </c>
      <c r="O67" s="42"/>
      <c r="P67" s="40"/>
      <c r="Q67" s="41"/>
      <c r="R67" s="40"/>
      <c r="S67" s="42"/>
      <c r="T67" s="43"/>
      <c r="U67" s="41"/>
      <c r="V67" s="40"/>
      <c r="W67" s="42"/>
      <c r="X67" s="40"/>
      <c r="Y67" s="42"/>
      <c r="Z67" s="40"/>
      <c r="AA67" s="42"/>
      <c r="AB67" s="40"/>
      <c r="AC67" s="42"/>
      <c r="AD67" s="40"/>
      <c r="AE67" s="42"/>
      <c r="AF67" s="40"/>
      <c r="AG67" s="42"/>
      <c r="AH67" s="40"/>
      <c r="AI67" s="42"/>
      <c r="AJ67" s="40"/>
      <c r="AK67" s="42"/>
      <c r="AL67" s="40"/>
      <c r="AM67" s="42"/>
      <c r="AN67" s="40"/>
      <c r="AO67" s="42"/>
      <c r="AP67" s="40"/>
      <c r="AQ67" s="42"/>
      <c r="AR67" s="40"/>
      <c r="AS67" s="44">
        <f t="shared" si="0"/>
        <v>2</v>
      </c>
      <c r="AT67" s="73">
        <v>13700</v>
      </c>
      <c r="AU67" s="63">
        <f t="shared" si="1"/>
        <v>27400</v>
      </c>
      <c r="AV67" s="50"/>
    </row>
    <row r="68" spans="1:48" s="32" customFormat="1" ht="15.75" thickBot="1" x14ac:dyDescent="0.3">
      <c r="A68" s="98"/>
      <c r="B68" s="99"/>
      <c r="C68" s="100"/>
      <c r="D68" s="100"/>
      <c r="E68" s="101"/>
      <c r="F68" s="102"/>
      <c r="G68" s="103"/>
      <c r="H68" s="103"/>
      <c r="I68" s="103"/>
      <c r="J68" s="103"/>
      <c r="K68" s="119"/>
      <c r="L68" s="104"/>
      <c r="M68" s="105"/>
      <c r="N68" s="106"/>
      <c r="O68" s="107"/>
      <c r="P68" s="104"/>
      <c r="Q68" s="108"/>
      <c r="R68" s="104"/>
      <c r="S68" s="107"/>
      <c r="T68" s="109"/>
      <c r="U68" s="108"/>
      <c r="V68" s="104"/>
      <c r="W68" s="107"/>
      <c r="X68" s="104"/>
      <c r="Y68" s="107"/>
      <c r="Z68" s="104"/>
      <c r="AA68" s="107"/>
      <c r="AB68" s="104"/>
      <c r="AC68" s="107"/>
      <c r="AD68" s="104"/>
      <c r="AE68" s="107"/>
      <c r="AF68" s="104"/>
      <c r="AG68" s="107"/>
      <c r="AH68" s="104"/>
      <c r="AI68" s="107"/>
      <c r="AJ68" s="104"/>
      <c r="AK68" s="107"/>
      <c r="AL68" s="104"/>
      <c r="AM68" s="107"/>
      <c r="AN68" s="104"/>
      <c r="AO68" s="107"/>
      <c r="AP68" s="104"/>
      <c r="AQ68" s="107"/>
      <c r="AR68" s="104"/>
      <c r="AS68" s="110"/>
      <c r="AT68" s="111"/>
      <c r="AU68" s="112"/>
      <c r="AV68" s="114"/>
    </row>
    <row r="69" spans="1:48" s="32" customFormat="1" ht="15.75" thickBot="1" x14ac:dyDescent="0.3">
      <c r="A69" s="80"/>
      <c r="B69" s="81"/>
      <c r="C69" s="82"/>
      <c r="D69" s="83"/>
      <c r="E69" s="84" t="s">
        <v>61</v>
      </c>
      <c r="F69" s="81"/>
      <c r="G69" s="81"/>
      <c r="H69" s="81"/>
      <c r="I69" s="81"/>
      <c r="J69" s="81"/>
      <c r="K69" s="81"/>
      <c r="L69" s="85">
        <f>SUM(L10:L67)</f>
        <v>11107266</v>
      </c>
      <c r="M69" s="86"/>
      <c r="N69" s="87">
        <f>SUM(N10:N67)</f>
        <v>2434042</v>
      </c>
      <c r="O69" s="88"/>
      <c r="P69" s="87"/>
      <c r="Q69" s="89"/>
      <c r="R69" s="87"/>
      <c r="S69" s="88"/>
      <c r="T69" s="85"/>
      <c r="U69" s="89"/>
      <c r="V69" s="87"/>
      <c r="W69" s="88"/>
      <c r="X69" s="87"/>
      <c r="Y69" s="88"/>
      <c r="Z69" s="87"/>
      <c r="AA69" s="88"/>
      <c r="AB69" s="87"/>
      <c r="AC69" s="88"/>
      <c r="AD69" s="87"/>
      <c r="AE69" s="88"/>
      <c r="AF69" s="87"/>
      <c r="AG69" s="88"/>
      <c r="AH69" s="87"/>
      <c r="AI69" s="88"/>
      <c r="AJ69" s="87"/>
      <c r="AK69" s="88"/>
      <c r="AL69" s="87"/>
      <c r="AM69" s="88"/>
      <c r="AN69" s="87"/>
      <c r="AO69" s="88"/>
      <c r="AP69" s="87"/>
      <c r="AQ69" s="88"/>
      <c r="AR69" s="87"/>
      <c r="AS69" s="88"/>
      <c r="AT69" s="90"/>
      <c r="AU69" s="91">
        <f>SUM(AU10:AU67)</f>
        <v>13541308</v>
      </c>
      <c r="AV69" s="50"/>
    </row>
    <row r="70" spans="1:48" s="97" customFormat="1" ht="15.75" thickBot="1" x14ac:dyDescent="0.3">
      <c r="A70" s="92"/>
      <c r="B70" s="92"/>
      <c r="C70" s="92"/>
      <c r="D70" s="92"/>
      <c r="E70" s="93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5"/>
      <c r="AT70" s="94"/>
      <c r="AU70" s="94"/>
      <c r="AV70" s="96"/>
    </row>
    <row r="71" spans="1:48" s="97" customFormat="1" ht="129.75" customHeight="1" x14ac:dyDescent="0.25">
      <c r="A71" s="92"/>
      <c r="B71" s="92"/>
      <c r="C71" s="122" t="s">
        <v>107</v>
      </c>
      <c r="D71" s="209" t="s">
        <v>108</v>
      </c>
      <c r="E71" s="210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5"/>
      <c r="AT71" s="94"/>
      <c r="AU71" s="94"/>
      <c r="AV71" s="96"/>
    </row>
    <row r="72" spans="1:48" s="97" customFormat="1" x14ac:dyDescent="0.25">
      <c r="A72" s="92"/>
      <c r="B72" s="92"/>
      <c r="C72" s="123"/>
      <c r="D72" s="124"/>
      <c r="E72" s="125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5"/>
      <c r="AT72" s="94"/>
      <c r="AU72" s="94"/>
      <c r="AV72" s="96"/>
    </row>
    <row r="73" spans="1:48" s="97" customFormat="1" x14ac:dyDescent="0.25">
      <c r="A73" s="92"/>
      <c r="B73" s="92"/>
      <c r="C73" s="123" t="s">
        <v>109</v>
      </c>
      <c r="D73" s="211" t="s">
        <v>176</v>
      </c>
      <c r="E73" s="21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5"/>
      <c r="AT73" s="94"/>
      <c r="AU73" s="94"/>
      <c r="AV73" s="96"/>
    </row>
    <row r="74" spans="1:48" s="97" customFormat="1" x14ac:dyDescent="0.25">
      <c r="A74" s="92"/>
      <c r="B74" s="92"/>
      <c r="C74" s="123"/>
      <c r="D74" s="124"/>
      <c r="E74" s="125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5"/>
      <c r="AT74" s="94"/>
      <c r="AU74" s="94"/>
      <c r="AV74" s="96"/>
    </row>
    <row r="75" spans="1:48" s="97" customFormat="1" ht="39" customHeight="1" x14ac:dyDescent="0.25">
      <c r="A75" s="92"/>
      <c r="B75" s="92"/>
      <c r="C75" s="123" t="s">
        <v>110</v>
      </c>
      <c r="D75" s="211" t="s">
        <v>114</v>
      </c>
      <c r="E75" s="21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5"/>
      <c r="AT75" s="94"/>
      <c r="AU75" s="94"/>
      <c r="AV75" s="96"/>
    </row>
    <row r="76" spans="1:48" s="97" customFormat="1" x14ac:dyDescent="0.25">
      <c r="A76" s="92"/>
      <c r="B76" s="92"/>
      <c r="C76" s="123"/>
      <c r="D76" s="124"/>
      <c r="E76" s="125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5"/>
      <c r="AT76" s="94"/>
      <c r="AU76" s="94"/>
      <c r="AV76" s="96"/>
    </row>
    <row r="77" spans="1:48" s="97" customFormat="1" x14ac:dyDescent="0.25">
      <c r="A77" s="92"/>
      <c r="B77" s="92"/>
      <c r="C77" s="126" t="s">
        <v>111</v>
      </c>
      <c r="D77" s="127"/>
      <c r="E77" s="125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5"/>
      <c r="AT77" s="94"/>
      <c r="AU77" s="94"/>
      <c r="AV77" s="96"/>
    </row>
    <row r="78" spans="1:48" s="97" customFormat="1" x14ac:dyDescent="0.25">
      <c r="A78" s="92"/>
      <c r="B78" s="92"/>
      <c r="C78" s="126"/>
      <c r="D78" s="127"/>
      <c r="E78" s="125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5"/>
      <c r="AT78" s="94"/>
      <c r="AU78" s="94"/>
      <c r="AV78" s="96"/>
    </row>
    <row r="79" spans="1:48" s="97" customFormat="1" ht="24.75" customHeight="1" thickBot="1" x14ac:dyDescent="0.3">
      <c r="A79" s="92"/>
      <c r="B79" s="92"/>
      <c r="C79" s="128" t="s">
        <v>112</v>
      </c>
      <c r="D79" s="213" t="s">
        <v>113</v>
      </c>
      <c r="E79" s="214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5"/>
      <c r="AT79" s="94"/>
      <c r="AU79" s="94"/>
      <c r="AV79" s="96"/>
    </row>
    <row r="80" spans="1:48" s="97" customFormat="1" x14ac:dyDescent="0.25">
      <c r="A80" s="92"/>
      <c r="B80" s="92"/>
      <c r="C80" s="92"/>
      <c r="D80" s="92"/>
      <c r="E80" s="93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5"/>
      <c r="AT80" s="94"/>
      <c r="AU80" s="94"/>
      <c r="AV80" s="96"/>
    </row>
    <row r="81" spans="1:48" s="97" customFormat="1" x14ac:dyDescent="0.25">
      <c r="A81" s="92"/>
      <c r="B81" s="92"/>
      <c r="C81" s="92"/>
      <c r="D81" s="92"/>
      <c r="E81" s="93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5"/>
      <c r="AT81" s="94"/>
      <c r="AU81" s="94"/>
      <c r="AV81" s="96"/>
    </row>
    <row r="82" spans="1:48" s="97" customFormat="1" x14ac:dyDescent="0.25">
      <c r="A82" s="92"/>
      <c r="B82" s="92"/>
      <c r="C82" s="92"/>
      <c r="D82" s="92"/>
      <c r="E82" s="93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5"/>
      <c r="AT82" s="94"/>
      <c r="AU82" s="94"/>
      <c r="AV82" s="96"/>
    </row>
    <row r="83" spans="1:48" s="97" customFormat="1" x14ac:dyDescent="0.25">
      <c r="A83" s="92"/>
      <c r="B83" s="92"/>
      <c r="C83" s="92"/>
      <c r="D83" s="92"/>
      <c r="E83" s="93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5"/>
      <c r="AT83" s="94"/>
      <c r="AU83" s="94"/>
      <c r="AV83" s="96"/>
    </row>
    <row r="84" spans="1:48" s="97" customFormat="1" x14ac:dyDescent="0.25">
      <c r="A84" s="92"/>
      <c r="B84" s="92"/>
      <c r="C84" s="92"/>
      <c r="D84" s="92"/>
      <c r="E84" s="93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5"/>
      <c r="AT84" s="94"/>
      <c r="AU84" s="94"/>
      <c r="AV84" s="96"/>
    </row>
    <row r="85" spans="1:48" s="97" customFormat="1" x14ac:dyDescent="0.25">
      <c r="A85" s="92"/>
      <c r="B85" s="92"/>
      <c r="C85" s="92"/>
      <c r="D85" s="92"/>
      <c r="E85" s="93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5"/>
      <c r="AT85" s="94"/>
      <c r="AU85" s="94"/>
      <c r="AV85" s="96"/>
    </row>
    <row r="86" spans="1:48" s="97" customFormat="1" x14ac:dyDescent="0.25">
      <c r="A86" s="92"/>
      <c r="B86" s="92"/>
      <c r="C86" s="92"/>
      <c r="D86" s="92"/>
      <c r="E86" s="93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5"/>
      <c r="AT86" s="94"/>
      <c r="AU86" s="94"/>
      <c r="AV86" s="96"/>
    </row>
    <row r="87" spans="1:48" s="97" customFormat="1" x14ac:dyDescent="0.25">
      <c r="A87" s="92"/>
      <c r="B87" s="92"/>
      <c r="C87" s="92"/>
      <c r="D87" s="92"/>
      <c r="E87" s="93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5"/>
      <c r="AT87" s="94"/>
      <c r="AU87" s="94"/>
      <c r="AV87" s="96"/>
    </row>
    <row r="88" spans="1:48" s="97" customFormat="1" x14ac:dyDescent="0.25">
      <c r="A88" s="92"/>
      <c r="B88" s="92"/>
      <c r="C88" s="92"/>
      <c r="D88" s="92"/>
      <c r="E88" s="93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5"/>
      <c r="AT88" s="94"/>
      <c r="AU88" s="94"/>
      <c r="AV88" s="96"/>
    </row>
    <row r="89" spans="1:48" s="97" customFormat="1" x14ac:dyDescent="0.25">
      <c r="A89" s="92"/>
      <c r="B89" s="92"/>
      <c r="C89" s="92"/>
      <c r="D89" s="92"/>
      <c r="E89" s="93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5"/>
      <c r="AT89" s="94"/>
      <c r="AU89" s="94"/>
      <c r="AV89" s="96"/>
    </row>
    <row r="90" spans="1:48" s="97" customFormat="1" x14ac:dyDescent="0.25">
      <c r="A90" s="92"/>
      <c r="B90" s="92"/>
      <c r="C90" s="92"/>
      <c r="D90" s="92"/>
      <c r="E90" s="93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5"/>
      <c r="AT90" s="94"/>
      <c r="AU90" s="94"/>
      <c r="AV90" s="96"/>
    </row>
    <row r="91" spans="1:48" s="97" customFormat="1" x14ac:dyDescent="0.25">
      <c r="A91" s="92"/>
      <c r="B91" s="92"/>
      <c r="C91" s="92"/>
      <c r="D91" s="92"/>
      <c r="E91" s="93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5"/>
      <c r="AT91" s="94"/>
      <c r="AU91" s="94"/>
      <c r="AV91" s="96"/>
    </row>
    <row r="92" spans="1:48" s="97" customFormat="1" x14ac:dyDescent="0.25">
      <c r="A92" s="92"/>
      <c r="B92" s="92"/>
      <c r="C92" s="92"/>
      <c r="D92" s="92"/>
      <c r="E92" s="93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5"/>
      <c r="AT92" s="94"/>
      <c r="AU92" s="94"/>
      <c r="AV92" s="96"/>
    </row>
    <row r="93" spans="1:48" s="97" customFormat="1" x14ac:dyDescent="0.25">
      <c r="A93" s="92"/>
      <c r="B93" s="92"/>
      <c r="C93" s="92"/>
      <c r="D93" s="92"/>
      <c r="E93" s="93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5"/>
      <c r="AT93" s="94"/>
      <c r="AU93" s="94"/>
      <c r="AV93" s="96"/>
    </row>
    <row r="94" spans="1:48" s="97" customFormat="1" x14ac:dyDescent="0.25">
      <c r="A94" s="92"/>
      <c r="B94" s="92"/>
      <c r="C94" s="92"/>
      <c r="D94" s="92"/>
      <c r="E94" s="93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5"/>
      <c r="AT94" s="94"/>
      <c r="AU94" s="94"/>
      <c r="AV94" s="96"/>
    </row>
    <row r="95" spans="1:48" s="97" customFormat="1" x14ac:dyDescent="0.25">
      <c r="A95" s="92"/>
      <c r="B95" s="92"/>
      <c r="C95" s="92"/>
      <c r="D95" s="92"/>
      <c r="E95" s="93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5"/>
      <c r="AT95" s="94"/>
      <c r="AU95" s="94"/>
      <c r="AV95" s="96"/>
    </row>
    <row r="96" spans="1:48" s="97" customFormat="1" x14ac:dyDescent="0.25">
      <c r="A96" s="92"/>
      <c r="B96" s="92"/>
      <c r="C96" s="92"/>
      <c r="D96" s="92"/>
      <c r="E96" s="93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5"/>
      <c r="AT96" s="94"/>
      <c r="AU96" s="94"/>
      <c r="AV96" s="96"/>
    </row>
    <row r="97" spans="1:48" s="97" customFormat="1" x14ac:dyDescent="0.25">
      <c r="A97" s="92"/>
      <c r="B97" s="92"/>
      <c r="C97" s="92"/>
      <c r="D97" s="92"/>
      <c r="E97" s="93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5"/>
      <c r="AT97" s="94"/>
      <c r="AU97" s="94"/>
      <c r="AV97" s="96"/>
    </row>
    <row r="98" spans="1:48" s="97" customFormat="1" x14ac:dyDescent="0.25">
      <c r="A98" s="92"/>
      <c r="B98" s="92"/>
      <c r="C98" s="92"/>
      <c r="D98" s="92"/>
      <c r="E98" s="93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5"/>
      <c r="AT98" s="94"/>
      <c r="AU98" s="94"/>
      <c r="AV98" s="96"/>
    </row>
    <row r="99" spans="1:48" s="97" customFormat="1" x14ac:dyDescent="0.25">
      <c r="A99" s="92"/>
      <c r="B99" s="92"/>
      <c r="C99" s="92"/>
      <c r="D99" s="92"/>
      <c r="E99" s="93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5"/>
      <c r="AT99" s="94"/>
      <c r="AU99" s="94"/>
      <c r="AV99" s="96"/>
    </row>
    <row r="100" spans="1:48" s="97" customFormat="1" x14ac:dyDescent="0.25">
      <c r="A100" s="92"/>
      <c r="B100" s="92"/>
      <c r="C100" s="92"/>
      <c r="D100" s="92"/>
      <c r="E100" s="93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5"/>
      <c r="AT100" s="94"/>
      <c r="AU100" s="94"/>
      <c r="AV100" s="96"/>
    </row>
    <row r="101" spans="1:48" s="97" customFormat="1" x14ac:dyDescent="0.25">
      <c r="A101" s="92"/>
      <c r="B101" s="92"/>
      <c r="C101" s="92"/>
      <c r="D101" s="92"/>
      <c r="E101" s="93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5"/>
      <c r="AT101" s="94"/>
      <c r="AU101" s="94"/>
      <c r="AV101" s="96"/>
    </row>
    <row r="102" spans="1:48" s="97" customFormat="1" x14ac:dyDescent="0.25">
      <c r="A102" s="92"/>
      <c r="B102" s="92"/>
      <c r="C102" s="92"/>
      <c r="D102" s="92"/>
      <c r="E102" s="93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92"/>
      <c r="AO102" s="92"/>
      <c r="AP102" s="92"/>
      <c r="AQ102" s="92"/>
      <c r="AR102" s="92"/>
      <c r="AS102" s="95"/>
      <c r="AT102" s="94"/>
      <c r="AU102" s="94"/>
      <c r="AV102" s="96"/>
    </row>
    <row r="103" spans="1:48" s="97" customFormat="1" x14ac:dyDescent="0.25">
      <c r="A103" s="92"/>
      <c r="B103" s="92"/>
      <c r="C103" s="92"/>
      <c r="D103" s="92"/>
      <c r="E103" s="93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  <c r="AN103" s="92"/>
      <c r="AO103" s="92"/>
      <c r="AP103" s="92"/>
      <c r="AQ103" s="92"/>
      <c r="AR103" s="92"/>
      <c r="AS103" s="95"/>
      <c r="AT103" s="94"/>
      <c r="AU103" s="94"/>
      <c r="AV103" s="96"/>
    </row>
    <row r="104" spans="1:48" s="97" customFormat="1" x14ac:dyDescent="0.25">
      <c r="A104" s="92"/>
      <c r="B104" s="92"/>
      <c r="C104" s="92"/>
      <c r="D104" s="92"/>
      <c r="E104" s="93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  <c r="AN104" s="92"/>
      <c r="AO104" s="92"/>
      <c r="AP104" s="92"/>
      <c r="AQ104" s="92"/>
      <c r="AR104" s="92"/>
      <c r="AS104" s="95"/>
      <c r="AT104" s="94"/>
      <c r="AU104" s="94"/>
      <c r="AV104" s="96"/>
    </row>
    <row r="105" spans="1:48" s="97" customFormat="1" x14ac:dyDescent="0.25">
      <c r="A105" s="92"/>
      <c r="B105" s="92"/>
      <c r="C105" s="92"/>
      <c r="D105" s="92"/>
      <c r="E105" s="93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92"/>
      <c r="AN105" s="92"/>
      <c r="AO105" s="92"/>
      <c r="AP105" s="92"/>
      <c r="AQ105" s="92"/>
      <c r="AR105" s="92"/>
      <c r="AS105" s="95"/>
      <c r="AT105" s="94"/>
      <c r="AU105" s="94"/>
      <c r="AV105" s="96"/>
    </row>
    <row r="106" spans="1:48" x14ac:dyDescent="0.25">
      <c r="A106" s="51"/>
      <c r="B106" s="51"/>
      <c r="C106" s="51"/>
      <c r="D106" s="51"/>
      <c r="E106" s="52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4"/>
      <c r="AT106" s="53"/>
      <c r="AU106" s="53"/>
      <c r="AV106" s="39"/>
    </row>
    <row r="107" spans="1:48" x14ac:dyDescent="0.25">
      <c r="A107" s="51"/>
      <c r="B107" s="51"/>
      <c r="C107" s="51"/>
      <c r="D107" s="51"/>
      <c r="E107" s="52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4"/>
      <c r="AT107" s="53"/>
      <c r="AU107" s="53"/>
      <c r="AV107" s="39"/>
    </row>
    <row r="108" spans="1:48" x14ac:dyDescent="0.25">
      <c r="A108" s="51"/>
      <c r="B108" s="51"/>
      <c r="C108" s="51"/>
      <c r="D108" s="51"/>
      <c r="E108" s="52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4"/>
      <c r="AT108" s="53"/>
      <c r="AU108" s="53"/>
      <c r="AV108" s="39"/>
    </row>
    <row r="109" spans="1:48" x14ac:dyDescent="0.25">
      <c r="A109" s="51"/>
      <c r="B109" s="51"/>
      <c r="C109" s="51"/>
      <c r="D109" s="51"/>
      <c r="E109" s="52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4"/>
      <c r="AT109" s="53"/>
      <c r="AU109" s="53"/>
      <c r="AV109" s="39"/>
    </row>
    <row r="110" spans="1:48" x14ac:dyDescent="0.25">
      <c r="A110" s="51"/>
      <c r="B110" s="51"/>
      <c r="C110" s="51"/>
      <c r="D110" s="51"/>
      <c r="E110" s="52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4"/>
      <c r="AT110" s="53"/>
      <c r="AU110" s="53"/>
      <c r="AV110" s="39"/>
    </row>
    <row r="111" spans="1:48" x14ac:dyDescent="0.25">
      <c r="A111" s="51"/>
      <c r="B111" s="51"/>
      <c r="C111" s="51"/>
      <c r="D111" s="51"/>
      <c r="E111" s="52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4"/>
      <c r="AT111" s="53"/>
      <c r="AU111" s="53"/>
      <c r="AV111" s="39"/>
    </row>
    <row r="112" spans="1:48" x14ac:dyDescent="0.25">
      <c r="A112" s="51"/>
      <c r="B112" s="51"/>
      <c r="C112" s="51"/>
      <c r="D112" s="51"/>
      <c r="E112" s="52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4"/>
      <c r="AT112" s="53"/>
      <c r="AU112" s="53"/>
      <c r="AV112" s="39"/>
    </row>
    <row r="113" spans="1:48" x14ac:dyDescent="0.25">
      <c r="A113" s="51"/>
      <c r="B113" s="51"/>
      <c r="C113" s="51"/>
      <c r="D113" s="51"/>
      <c r="E113" s="52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4"/>
      <c r="AT113" s="53"/>
      <c r="AU113" s="53"/>
      <c r="AV113" s="39"/>
    </row>
    <row r="114" spans="1:48" x14ac:dyDescent="0.25">
      <c r="A114" s="51"/>
      <c r="B114" s="51"/>
      <c r="C114" s="51"/>
      <c r="D114" s="51"/>
      <c r="E114" s="52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4"/>
      <c r="AT114" s="53"/>
      <c r="AU114" s="53"/>
      <c r="AV114" s="39"/>
    </row>
    <row r="115" spans="1:48" x14ac:dyDescent="0.25">
      <c r="A115" s="51"/>
      <c r="B115" s="51"/>
      <c r="C115" s="51"/>
      <c r="D115" s="51"/>
      <c r="E115" s="52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4"/>
      <c r="AT115" s="53"/>
      <c r="AU115" s="53"/>
      <c r="AV115" s="39"/>
    </row>
    <row r="116" spans="1:48" x14ac:dyDescent="0.25">
      <c r="A116" s="51"/>
      <c r="B116" s="51"/>
      <c r="C116" s="51"/>
      <c r="D116" s="51"/>
      <c r="E116" s="52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4"/>
      <c r="AT116" s="53"/>
      <c r="AU116" s="53"/>
      <c r="AV116" s="39"/>
    </row>
    <row r="117" spans="1:48" x14ac:dyDescent="0.25">
      <c r="A117" s="51"/>
      <c r="B117" s="51"/>
      <c r="C117" s="51"/>
      <c r="D117" s="51"/>
      <c r="E117" s="52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4"/>
      <c r="AT117" s="53"/>
      <c r="AU117" s="53"/>
      <c r="AV117" s="39"/>
    </row>
    <row r="118" spans="1:48" x14ac:dyDescent="0.25">
      <c r="A118" s="51"/>
      <c r="B118" s="51"/>
      <c r="C118" s="51"/>
      <c r="D118" s="51"/>
      <c r="E118" s="52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4"/>
      <c r="AT118" s="53"/>
      <c r="AU118" s="53"/>
      <c r="AV118" s="39"/>
    </row>
    <row r="119" spans="1:48" x14ac:dyDescent="0.25">
      <c r="A119" s="51"/>
      <c r="B119" s="51"/>
      <c r="C119" s="51"/>
      <c r="D119" s="51"/>
      <c r="E119" s="52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4"/>
      <c r="AT119" s="53"/>
      <c r="AU119" s="53"/>
      <c r="AV119" s="39"/>
    </row>
    <row r="120" spans="1:48" x14ac:dyDescent="0.25">
      <c r="A120" s="51"/>
      <c r="B120" s="51"/>
      <c r="C120" s="51"/>
      <c r="D120" s="51"/>
      <c r="E120" s="52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4"/>
      <c r="AT120" s="53"/>
      <c r="AU120" s="53"/>
      <c r="AV120" s="39"/>
    </row>
    <row r="121" spans="1:48" x14ac:dyDescent="0.25">
      <c r="A121" s="51"/>
      <c r="B121" s="51"/>
      <c r="C121" s="51"/>
      <c r="D121" s="51"/>
      <c r="E121" s="52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4"/>
      <c r="AT121" s="53"/>
      <c r="AU121" s="53"/>
      <c r="AV121" s="39"/>
    </row>
    <row r="122" spans="1:48" x14ac:dyDescent="0.25">
      <c r="A122" s="51"/>
      <c r="B122" s="51"/>
      <c r="C122" s="51"/>
      <c r="D122" s="51"/>
      <c r="E122" s="52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4"/>
      <c r="AT122" s="53"/>
      <c r="AU122" s="53"/>
      <c r="AV122" s="39"/>
    </row>
    <row r="123" spans="1:48" x14ac:dyDescent="0.25">
      <c r="A123" s="51"/>
      <c r="B123" s="51"/>
      <c r="C123" s="51"/>
      <c r="D123" s="51"/>
      <c r="E123" s="52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4"/>
      <c r="AT123" s="53"/>
      <c r="AU123" s="53"/>
      <c r="AV123" s="39"/>
    </row>
    <row r="124" spans="1:48" x14ac:dyDescent="0.25">
      <c r="A124" s="51"/>
      <c r="B124" s="51"/>
      <c r="C124" s="51"/>
      <c r="D124" s="51"/>
      <c r="E124" s="52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4"/>
      <c r="AT124" s="53"/>
      <c r="AU124" s="53"/>
      <c r="AV124" s="39"/>
    </row>
    <row r="125" spans="1:48" x14ac:dyDescent="0.25">
      <c r="A125" s="51"/>
      <c r="B125" s="51"/>
      <c r="C125" s="51"/>
      <c r="D125" s="51"/>
      <c r="E125" s="52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4"/>
      <c r="AT125" s="53"/>
      <c r="AU125" s="53"/>
      <c r="AV125" s="39"/>
    </row>
    <row r="126" spans="1:48" x14ac:dyDescent="0.25">
      <c r="A126" s="51"/>
      <c r="B126" s="51"/>
      <c r="C126" s="51"/>
      <c r="D126" s="51"/>
      <c r="E126" s="52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4"/>
      <c r="AT126" s="53"/>
      <c r="AU126" s="53"/>
      <c r="AV126" s="39"/>
    </row>
    <row r="127" spans="1:48" x14ac:dyDescent="0.25">
      <c r="A127" s="51"/>
      <c r="B127" s="51"/>
      <c r="C127" s="51"/>
      <c r="D127" s="51"/>
      <c r="E127" s="52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4"/>
      <c r="AT127" s="53"/>
      <c r="AU127" s="53"/>
      <c r="AV127" s="39"/>
    </row>
    <row r="128" spans="1:48" x14ac:dyDescent="0.25">
      <c r="A128" s="51"/>
      <c r="B128" s="51"/>
      <c r="C128" s="51"/>
      <c r="D128" s="51"/>
      <c r="E128" s="52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1"/>
      <c r="AR128" s="51"/>
      <c r="AS128" s="54"/>
      <c r="AT128" s="53"/>
      <c r="AU128" s="53"/>
      <c r="AV128" s="39"/>
    </row>
    <row r="129" spans="1:48" x14ac:dyDescent="0.25">
      <c r="A129" s="51"/>
      <c r="B129" s="51"/>
      <c r="C129" s="51"/>
      <c r="D129" s="51"/>
      <c r="E129" s="52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4"/>
      <c r="AT129" s="53"/>
      <c r="AU129" s="53"/>
      <c r="AV129" s="39"/>
    </row>
    <row r="130" spans="1:48" x14ac:dyDescent="0.25">
      <c r="A130" s="51"/>
      <c r="B130" s="51"/>
      <c r="C130" s="51"/>
      <c r="D130" s="51"/>
      <c r="E130" s="52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4"/>
      <c r="AT130" s="53"/>
      <c r="AU130" s="53"/>
      <c r="AV130" s="39"/>
    </row>
    <row r="131" spans="1:48" x14ac:dyDescent="0.25">
      <c r="A131" s="51"/>
      <c r="B131" s="51"/>
      <c r="C131" s="51"/>
      <c r="D131" s="51"/>
      <c r="E131" s="52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4"/>
      <c r="AT131" s="53"/>
      <c r="AU131" s="53"/>
      <c r="AV131" s="39"/>
    </row>
    <row r="132" spans="1:48" x14ac:dyDescent="0.25">
      <c r="A132" s="51"/>
      <c r="B132" s="51"/>
      <c r="C132" s="51"/>
      <c r="D132" s="51"/>
      <c r="E132" s="52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4"/>
      <c r="AT132" s="53"/>
      <c r="AU132" s="53"/>
      <c r="AV132" s="39"/>
    </row>
    <row r="133" spans="1:48" x14ac:dyDescent="0.25">
      <c r="A133" s="51"/>
      <c r="B133" s="51"/>
      <c r="C133" s="51"/>
      <c r="D133" s="51"/>
      <c r="E133" s="52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4"/>
      <c r="AT133" s="53"/>
      <c r="AU133" s="53"/>
      <c r="AV133" s="39"/>
    </row>
  </sheetData>
  <sortState xmlns:xlrd2="http://schemas.microsoft.com/office/spreadsheetml/2017/richdata2" ref="A10:AV69">
    <sortCondition ref="E10"/>
  </sortState>
  <mergeCells count="11">
    <mergeCell ref="A6:B6"/>
    <mergeCell ref="B2:AT2"/>
    <mergeCell ref="A4:B4"/>
    <mergeCell ref="C4:E4"/>
    <mergeCell ref="A5:B5"/>
    <mergeCell ref="C5:E5"/>
    <mergeCell ref="D71:E71"/>
    <mergeCell ref="D73:E73"/>
    <mergeCell ref="D75:E75"/>
    <mergeCell ref="D79:E79"/>
    <mergeCell ref="A7:B7"/>
  </mergeCells>
  <conditionalFormatting sqref="B1:B9 E1:E9">
    <cfRule type="duplicateValues" dxfId="15" priority="1006"/>
  </conditionalFormatting>
  <conditionalFormatting sqref="E1:E9 B1:B9">
    <cfRule type="duplicateValues" dxfId="14" priority="1008"/>
  </conditionalFormatting>
  <conditionalFormatting sqref="B1:B9">
    <cfRule type="duplicateValues" dxfId="13" priority="1009"/>
  </conditionalFormatting>
  <conditionalFormatting sqref="E1:E9">
    <cfRule type="duplicateValues" dxfId="12" priority="1010"/>
  </conditionalFormatting>
  <conditionalFormatting sqref="E1:E9">
    <cfRule type="duplicateValues" dxfId="11" priority="1011"/>
    <cfRule type="duplicateValues" dxfId="10" priority="1012"/>
  </conditionalFormatting>
  <conditionalFormatting sqref="B10:B13 E10:E13">
    <cfRule type="duplicateValues" dxfId="9" priority="1063"/>
  </conditionalFormatting>
  <conditionalFormatting sqref="E10:E13 B10:B13">
    <cfRule type="duplicateValues" dxfId="8" priority="1065"/>
  </conditionalFormatting>
  <conditionalFormatting sqref="C73:C79">
    <cfRule type="duplicateValues" dxfId="7" priority="1"/>
  </conditionalFormatting>
  <conditionalFormatting sqref="C73:C79">
    <cfRule type="duplicateValues" dxfId="6" priority="2"/>
  </conditionalFormatting>
  <conditionalFormatting sqref="B14:B69 E14:E69">
    <cfRule type="duplicateValues" dxfId="5" priority="1139"/>
  </conditionalFormatting>
  <conditionalFormatting sqref="B14:B69">
    <cfRule type="duplicateValues" dxfId="4" priority="1143"/>
  </conditionalFormatting>
  <conditionalFormatting sqref="B10:B69">
    <cfRule type="duplicateValues" dxfId="3" priority="1145"/>
  </conditionalFormatting>
  <conditionalFormatting sqref="E10:E69">
    <cfRule type="duplicateValues" dxfId="2" priority="1147"/>
  </conditionalFormatting>
  <conditionalFormatting sqref="E10:E69">
    <cfRule type="duplicateValues" dxfId="1" priority="1149"/>
    <cfRule type="duplicateValues" dxfId="0" priority="1150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5"/>
  <sheetViews>
    <sheetView topLeftCell="A25" zoomScale="70" zoomScaleNormal="70" workbookViewId="0">
      <selection activeCell="D55" sqref="D55"/>
    </sheetView>
  </sheetViews>
  <sheetFormatPr baseColWidth="10" defaultRowHeight="15" x14ac:dyDescent="0.25"/>
  <cols>
    <col min="1" max="1" width="5.5703125" style="31" customWidth="1"/>
    <col min="2" max="2" width="15.140625" customWidth="1"/>
    <col min="3" max="3" width="14.140625" style="31" customWidth="1"/>
    <col min="4" max="4" width="26" customWidth="1"/>
    <col min="5" max="5" width="8" customWidth="1"/>
    <col min="6" max="6" width="7.85546875" customWidth="1"/>
    <col min="7" max="7" width="79.140625" customWidth="1"/>
    <col min="8" max="8" width="9.28515625" customWidth="1"/>
    <col min="9" max="9" width="15.5703125" customWidth="1"/>
    <col min="10" max="10" width="14.7109375" customWidth="1"/>
    <col min="11" max="11" width="15.5703125" customWidth="1"/>
    <col min="13" max="13" width="15.5703125" style="188" bestFit="1" customWidth="1"/>
  </cols>
  <sheetData>
    <row r="1" spans="1:13" ht="30.75" thickBot="1" x14ac:dyDescent="0.3">
      <c r="A1" s="235" t="s">
        <v>115</v>
      </c>
      <c r="B1" s="235"/>
      <c r="C1" s="235"/>
      <c r="D1" s="235"/>
      <c r="E1" s="235"/>
      <c r="F1" s="235"/>
      <c r="G1" s="235"/>
      <c r="H1" s="235"/>
      <c r="I1" s="235"/>
      <c r="J1" s="129" t="s">
        <v>116</v>
      </c>
      <c r="K1" s="130" t="s">
        <v>161</v>
      </c>
    </row>
    <row r="2" spans="1:13" ht="16.5" thickBot="1" x14ac:dyDescent="0.3">
      <c r="A2" s="131"/>
      <c r="B2" s="132"/>
      <c r="C2" s="132"/>
      <c r="D2" s="133"/>
      <c r="E2" s="133"/>
      <c r="F2" s="133"/>
      <c r="G2" s="133"/>
      <c r="H2" s="133"/>
      <c r="I2" s="133"/>
      <c r="J2" s="134"/>
      <c r="K2" s="135"/>
    </row>
    <row r="3" spans="1:13" ht="16.5" thickBot="1" x14ac:dyDescent="0.3">
      <c r="A3" s="236" t="s">
        <v>117</v>
      </c>
      <c r="B3" s="236"/>
      <c r="C3" s="236"/>
      <c r="D3" s="136" t="s">
        <v>63</v>
      </c>
      <c r="E3" s="137"/>
      <c r="F3" s="137"/>
      <c r="G3" s="137"/>
      <c r="H3" s="137"/>
      <c r="I3" s="137"/>
      <c r="J3" s="137"/>
      <c r="K3" s="138"/>
    </row>
    <row r="4" spans="1:13" ht="16.5" thickBot="1" x14ac:dyDescent="0.3">
      <c r="A4" s="234" t="s">
        <v>118</v>
      </c>
      <c r="B4" s="234"/>
      <c r="C4" s="234"/>
      <c r="D4" s="136" t="s">
        <v>119</v>
      </c>
      <c r="E4" s="137"/>
      <c r="F4" s="137"/>
      <c r="G4" s="137"/>
      <c r="H4" s="137"/>
      <c r="I4" s="137"/>
      <c r="J4" s="137"/>
      <c r="K4" s="138"/>
    </row>
    <row r="5" spans="1:13" ht="16.5" thickBot="1" x14ac:dyDescent="0.3">
      <c r="A5" s="234" t="s">
        <v>120</v>
      </c>
      <c r="B5" s="234"/>
      <c r="C5" s="234"/>
      <c r="D5" s="136" t="s">
        <v>121</v>
      </c>
      <c r="E5" s="137"/>
      <c r="F5" s="137"/>
      <c r="G5" s="137"/>
      <c r="H5" s="137"/>
      <c r="I5" s="137"/>
      <c r="J5" s="137"/>
      <c r="K5" s="138"/>
    </row>
    <row r="6" spans="1:13" ht="16.5" thickBot="1" x14ac:dyDescent="0.3">
      <c r="A6" s="236" t="s">
        <v>122</v>
      </c>
      <c r="B6" s="236"/>
      <c r="C6" s="236"/>
      <c r="D6" s="136" t="s">
        <v>121</v>
      </c>
      <c r="E6" s="137"/>
      <c r="F6" s="137"/>
      <c r="G6" s="137"/>
      <c r="H6" s="137"/>
      <c r="I6" s="137"/>
      <c r="J6" s="137"/>
      <c r="K6" s="138"/>
    </row>
    <row r="7" spans="1:13" ht="16.5" thickBot="1" x14ac:dyDescent="0.3">
      <c r="A7" s="234" t="s">
        <v>123</v>
      </c>
      <c r="B7" s="234"/>
      <c r="C7" s="234"/>
      <c r="D7" s="136" t="s">
        <v>124</v>
      </c>
      <c r="E7" s="137"/>
      <c r="F7" s="137"/>
      <c r="G7" s="137"/>
      <c r="H7" s="137"/>
      <c r="I7" s="137"/>
      <c r="J7" s="137"/>
      <c r="K7" s="138"/>
    </row>
    <row r="8" spans="1:13" ht="16.5" thickBot="1" x14ac:dyDescent="0.3">
      <c r="A8" s="229" t="s">
        <v>125</v>
      </c>
      <c r="B8" s="229"/>
      <c r="C8" s="229"/>
      <c r="D8" s="139" t="s">
        <v>156</v>
      </c>
      <c r="E8" s="137"/>
      <c r="F8" s="137"/>
      <c r="G8" s="137"/>
      <c r="H8" s="137"/>
      <c r="I8" s="137"/>
      <c r="J8" s="137"/>
      <c r="K8" s="138"/>
    </row>
    <row r="9" spans="1:13" ht="16.5" thickBot="1" x14ac:dyDescent="0.3">
      <c r="A9" s="140"/>
      <c r="B9" s="141"/>
      <c r="C9" s="141"/>
      <c r="D9" s="142"/>
      <c r="E9" s="142"/>
      <c r="F9" s="142"/>
      <c r="G9" s="142"/>
      <c r="H9" s="142"/>
      <c r="I9" s="142"/>
      <c r="J9" s="143"/>
      <c r="K9" s="144"/>
    </row>
    <row r="10" spans="1:13" ht="15.75" thickBot="1" x14ac:dyDescent="0.3">
      <c r="A10" s="230" t="s">
        <v>126</v>
      </c>
      <c r="B10" s="232" t="s">
        <v>127</v>
      </c>
      <c r="C10" s="232" t="s">
        <v>128</v>
      </c>
      <c r="D10" s="232"/>
      <c r="E10" s="232"/>
      <c r="F10" s="232"/>
      <c r="G10" s="232"/>
      <c r="H10" s="232" t="s">
        <v>129</v>
      </c>
      <c r="I10" s="232" t="s">
        <v>130</v>
      </c>
      <c r="J10" s="225" t="s">
        <v>131</v>
      </c>
      <c r="K10" s="227" t="s">
        <v>132</v>
      </c>
    </row>
    <row r="11" spans="1:13" ht="40.5" customHeight="1" thickBot="1" x14ac:dyDescent="0.3">
      <c r="A11" s="231"/>
      <c r="B11" s="233"/>
      <c r="C11" s="233"/>
      <c r="D11" s="233"/>
      <c r="E11" s="233"/>
      <c r="F11" s="233"/>
      <c r="G11" s="233"/>
      <c r="H11" s="233"/>
      <c r="I11" s="233"/>
      <c r="J11" s="226"/>
      <c r="K11" s="228"/>
    </row>
    <row r="12" spans="1:13" ht="15.75" x14ac:dyDescent="0.25">
      <c r="A12" s="145">
        <v>1</v>
      </c>
      <c r="B12" s="146"/>
      <c r="C12" s="222" t="str">
        <f>'SAF 011'!E10</f>
        <v>AMPOULE ADAPTER  X 150 pcs TIPO ROCHE</v>
      </c>
      <c r="D12" s="223"/>
      <c r="E12" s="223"/>
      <c r="F12" s="223"/>
      <c r="G12" s="224"/>
      <c r="H12" s="147" t="s">
        <v>157</v>
      </c>
      <c r="I12" s="148" t="str">
        <f>'SAF 011'!F10</f>
        <v>CAJA</v>
      </c>
      <c r="J12" s="149">
        <f>'SAF 011'!AT10</f>
        <v>5689</v>
      </c>
      <c r="K12" s="150">
        <f>'SAF 011'!K10</f>
        <v>2</v>
      </c>
      <c r="M12" s="189">
        <f>+J12*K12</f>
        <v>11378</v>
      </c>
    </row>
    <row r="13" spans="1:13" ht="15.75" customHeight="1" x14ac:dyDescent="0.25">
      <c r="A13" s="145">
        <v>2</v>
      </c>
      <c r="B13" s="146"/>
      <c r="C13" s="222" t="str">
        <f>'SAF 011'!E14</f>
        <v>CEPILLO LIMPIA TUBOS DE HEMOLISIS TAMAÑO UNIVERSAL</v>
      </c>
      <c r="D13" s="223"/>
      <c r="E13" s="223"/>
      <c r="F13" s="223"/>
      <c r="G13" s="224"/>
      <c r="H13" s="147" t="s">
        <v>157</v>
      </c>
      <c r="I13" s="148" t="str">
        <f>'SAF 011'!F14</f>
        <v>UNIDAD</v>
      </c>
      <c r="J13" s="149">
        <f>'SAF 011'!AT14</f>
        <v>250</v>
      </c>
      <c r="K13" s="150">
        <f>'SAF 011'!K14</f>
        <v>100</v>
      </c>
      <c r="M13" s="189">
        <f t="shared" ref="M13:M52" si="0">+J13*K13</f>
        <v>25000</v>
      </c>
    </row>
    <row r="14" spans="1:13" ht="15.75" customHeight="1" x14ac:dyDescent="0.25">
      <c r="A14" s="145">
        <v>3</v>
      </c>
      <c r="B14" s="146"/>
      <c r="C14" s="222" t="str">
        <f>'SAF 011'!E15</f>
        <v>CLOT CATCHER X 250 UNIDADES TIPO ROCHE</v>
      </c>
      <c r="D14" s="223"/>
      <c r="E14" s="223"/>
      <c r="F14" s="223"/>
      <c r="G14" s="224"/>
      <c r="H14" s="147" t="s">
        <v>157</v>
      </c>
      <c r="I14" s="148" t="str">
        <f>'SAF 011'!F15</f>
        <v>CAJA</v>
      </c>
      <c r="J14" s="149">
        <f>'SAF 011'!AT15</f>
        <v>1590</v>
      </c>
      <c r="K14" s="150">
        <f>'SAF 011'!K15</f>
        <v>20</v>
      </c>
      <c r="M14" s="189">
        <f t="shared" si="0"/>
        <v>31800</v>
      </c>
    </row>
    <row r="15" spans="1:13" ht="15.75" customHeight="1" x14ac:dyDescent="0.25">
      <c r="A15" s="145">
        <v>4</v>
      </c>
      <c r="B15" s="146"/>
      <c r="C15" s="222" t="str">
        <f>'SAF 011'!E16</f>
        <v>Criotubo Expell 5 ml Pre-esterilizados, graduado - Bolsa x 100 un Tipo CAPP (Dinamarca)</v>
      </c>
      <c r="D15" s="223"/>
      <c r="E15" s="223"/>
      <c r="F15" s="223"/>
      <c r="G15" s="224"/>
      <c r="H15" s="147" t="s">
        <v>157</v>
      </c>
      <c r="I15" s="148" t="str">
        <f>'SAF 011'!F16</f>
        <v>BOLSA</v>
      </c>
      <c r="J15" s="149">
        <f>'SAF 011'!AT16</f>
        <v>4180</v>
      </c>
      <c r="K15" s="150">
        <f>'SAF 011'!K16</f>
        <v>10</v>
      </c>
      <c r="M15" s="189">
        <f t="shared" si="0"/>
        <v>41800</v>
      </c>
    </row>
    <row r="16" spans="1:13" ht="15.75" customHeight="1" x14ac:dyDescent="0.25">
      <c r="A16" s="145">
        <v>5</v>
      </c>
      <c r="B16" s="146"/>
      <c r="C16" s="222" t="str">
        <f>'SAF 011'!E17</f>
        <v>CUBREOBJETOS HDA 20x20 MM x 200 U Tipo KINDER</v>
      </c>
      <c r="D16" s="223"/>
      <c r="E16" s="223"/>
      <c r="F16" s="223"/>
      <c r="G16" s="224"/>
      <c r="H16" s="147" t="s">
        <v>157</v>
      </c>
      <c r="I16" s="148" t="str">
        <f>'SAF 011'!F17</f>
        <v>CAJA</v>
      </c>
      <c r="J16" s="149">
        <f>'SAF 011'!AT17</f>
        <v>240</v>
      </c>
      <c r="K16" s="150">
        <f>'SAF 011'!K17</f>
        <v>100</v>
      </c>
      <c r="M16" s="189">
        <f t="shared" si="0"/>
        <v>24000</v>
      </c>
    </row>
    <row r="17" spans="1:13" ht="15.75" customHeight="1" x14ac:dyDescent="0.25">
      <c r="A17" s="145">
        <v>6</v>
      </c>
      <c r="B17" s="146"/>
      <c r="C17" s="222" t="str">
        <f>'SAF 011'!E19</f>
        <v>ELECTRODO DE CALCIO COBAS B221 TIPO ROCHE</v>
      </c>
      <c r="D17" s="223"/>
      <c r="E17" s="223"/>
      <c r="F17" s="223"/>
      <c r="G17" s="224"/>
      <c r="H17" s="147" t="s">
        <v>157</v>
      </c>
      <c r="I17" s="148" t="str">
        <f>'SAF 011'!F19</f>
        <v>UNIDAD</v>
      </c>
      <c r="J17" s="149">
        <f>'SAF 011'!AT19</f>
        <v>11629.98</v>
      </c>
      <c r="K17" s="150">
        <f>'SAF 011'!K19</f>
        <v>1</v>
      </c>
      <c r="M17" s="189">
        <f t="shared" si="0"/>
        <v>11629.98</v>
      </c>
    </row>
    <row r="18" spans="1:13" ht="15.75" customHeight="1" x14ac:dyDescent="0.25">
      <c r="A18" s="145">
        <v>7</v>
      </c>
      <c r="B18" s="146"/>
      <c r="C18" s="222" t="str">
        <f>'SAF 011'!E20</f>
        <v>EPENDORF  0,5 ML BOLSA POR 200 UNIDADES CALIDAD BIOLOGIA MOLECULAR</v>
      </c>
      <c r="D18" s="223"/>
      <c r="E18" s="223"/>
      <c r="F18" s="223"/>
      <c r="G18" s="224"/>
      <c r="H18" s="147" t="s">
        <v>157</v>
      </c>
      <c r="I18" s="148" t="str">
        <f>'SAF 011'!F20</f>
        <v>BOLSA</v>
      </c>
      <c r="J18" s="149">
        <f>'SAF 011'!AT20</f>
        <v>4100</v>
      </c>
      <c r="K18" s="150">
        <f>'SAF 011'!K20</f>
        <v>1</v>
      </c>
      <c r="M18" s="189">
        <f t="shared" si="0"/>
        <v>4100</v>
      </c>
    </row>
    <row r="19" spans="1:13" ht="15.75" customHeight="1" x14ac:dyDescent="0.25">
      <c r="A19" s="145">
        <v>8</v>
      </c>
      <c r="B19" s="146"/>
      <c r="C19" s="222" t="str">
        <f>'SAF 011'!E21</f>
        <v>Ependorf 0,5 ml esteriles libres de ADNasa y RNAsa Bolsa x 500 tipo DELTALAB</v>
      </c>
      <c r="D19" s="223"/>
      <c r="E19" s="223"/>
      <c r="F19" s="223"/>
      <c r="G19" s="224"/>
      <c r="H19" s="147" t="s">
        <v>157</v>
      </c>
      <c r="I19" s="148" t="str">
        <f>'SAF 011'!F21</f>
        <v>BOLSA</v>
      </c>
      <c r="J19" s="149">
        <f>'SAF 011'!AT21</f>
        <v>4800</v>
      </c>
      <c r="K19" s="150">
        <f>'SAF 011'!K21</f>
        <v>5</v>
      </c>
      <c r="M19" s="189">
        <f t="shared" si="0"/>
        <v>24000</v>
      </c>
    </row>
    <row r="20" spans="1:13" ht="15.75" customHeight="1" x14ac:dyDescent="0.25">
      <c r="A20" s="145">
        <v>9</v>
      </c>
      <c r="B20" s="146"/>
      <c r="C20" s="222" t="str">
        <f>'SAF 011'!E22</f>
        <v>Ependorf 2 ml esteriles libres de ADNasa y RNAsa Bolsa x 500 tipo DELTALAB</v>
      </c>
      <c r="D20" s="223"/>
      <c r="E20" s="223"/>
      <c r="F20" s="223"/>
      <c r="G20" s="224"/>
      <c r="H20" s="147" t="s">
        <v>157</v>
      </c>
      <c r="I20" s="148" t="str">
        <f>'SAF 011'!F22</f>
        <v>BOLSA</v>
      </c>
      <c r="J20" s="149">
        <f>'SAF 011'!AT22</f>
        <v>5360</v>
      </c>
      <c r="K20" s="150">
        <f>'SAF 011'!K22</f>
        <v>20</v>
      </c>
      <c r="M20" s="189">
        <f t="shared" si="0"/>
        <v>107200</v>
      </c>
    </row>
    <row r="21" spans="1:13" ht="15.75" customHeight="1" x14ac:dyDescent="0.25">
      <c r="A21" s="145">
        <v>10</v>
      </c>
      <c r="B21" s="146"/>
      <c r="C21" s="222" t="str">
        <f>'SAF 011'!E23</f>
        <v>ETIQUETAS PARA IMPRESORA ZEBRA x 12 ROLLOS DE 1800 ETIQUETAS C/U</v>
      </c>
      <c r="D21" s="223"/>
      <c r="E21" s="223"/>
      <c r="F21" s="223"/>
      <c r="G21" s="224"/>
      <c r="H21" s="147" t="s">
        <v>157</v>
      </c>
      <c r="I21" s="148" t="str">
        <f>'SAF 011'!F23</f>
        <v>CAJA</v>
      </c>
      <c r="J21" s="149">
        <f>'SAF 011'!AT23</f>
        <v>15800</v>
      </c>
      <c r="K21" s="150">
        <f>'SAF 011'!K23</f>
        <v>3</v>
      </c>
      <c r="M21" s="189">
        <f t="shared" si="0"/>
        <v>47400</v>
      </c>
    </row>
    <row r="22" spans="1:13" ht="15.75" customHeight="1" x14ac:dyDescent="0.25">
      <c r="A22" s="145">
        <v>11</v>
      </c>
      <c r="B22" s="146"/>
      <c r="C22" s="222" t="str">
        <f>'SAF 011'!E24</f>
        <v>FILTRO DE RESINA R15 PARA COBAS 311 ROCHE</v>
      </c>
      <c r="D22" s="223"/>
      <c r="E22" s="223"/>
      <c r="F22" s="223"/>
      <c r="G22" s="224"/>
      <c r="H22" s="147" t="s">
        <v>157</v>
      </c>
      <c r="I22" s="148" t="str">
        <f>'SAF 011'!F24</f>
        <v>UNIDAD</v>
      </c>
      <c r="J22" s="149">
        <f>'SAF 011'!AT24</f>
        <v>11890</v>
      </c>
      <c r="K22" s="150">
        <f>'SAF 011'!K24</f>
        <v>2</v>
      </c>
      <c r="M22" s="189">
        <f t="shared" si="0"/>
        <v>23780</v>
      </c>
    </row>
    <row r="23" spans="1:13" ht="15.75" customHeight="1" x14ac:dyDescent="0.25">
      <c r="A23" s="145">
        <v>12</v>
      </c>
      <c r="B23" s="146"/>
      <c r="C23" s="222" t="str">
        <f>'SAF 011'!E25</f>
        <v>Frasco de Bioseguridad Triple envase Tipo SISTEG M6</v>
      </c>
      <c r="D23" s="223"/>
      <c r="E23" s="223"/>
      <c r="F23" s="223"/>
      <c r="G23" s="224"/>
      <c r="H23" s="147" t="s">
        <v>157</v>
      </c>
      <c r="I23" s="148" t="str">
        <f>'SAF 011'!F25</f>
        <v>UNIDAD</v>
      </c>
      <c r="J23" s="149">
        <f>'SAF 011'!AT25</f>
        <v>4800</v>
      </c>
      <c r="K23" s="150">
        <f>'SAF 011'!K25</f>
        <v>50</v>
      </c>
      <c r="M23" s="189">
        <f t="shared" si="0"/>
        <v>240000</v>
      </c>
    </row>
    <row r="24" spans="1:13" ht="15.75" customHeight="1" x14ac:dyDescent="0.25">
      <c r="A24" s="145">
        <v>13</v>
      </c>
      <c r="B24" s="146"/>
      <c r="C24" s="222" t="str">
        <f>'SAF 011'!E26</f>
        <v>Gradilla alambre / plastico 24 Tubos 30 MM Tipo ARGA</v>
      </c>
      <c r="D24" s="223"/>
      <c r="E24" s="223"/>
      <c r="F24" s="223"/>
      <c r="G24" s="224"/>
      <c r="H24" s="147" t="s">
        <v>157</v>
      </c>
      <c r="I24" s="148" t="str">
        <f>'SAF 011'!F26</f>
        <v>UNIDAD</v>
      </c>
      <c r="J24" s="149">
        <f>'SAF 011'!AT26</f>
        <v>1100</v>
      </c>
      <c r="K24" s="150">
        <f>'SAF 011'!K26</f>
        <v>20</v>
      </c>
      <c r="M24" s="189">
        <f t="shared" si="0"/>
        <v>22000</v>
      </c>
    </row>
    <row r="25" spans="1:13" ht="15.75" customHeight="1" x14ac:dyDescent="0.25">
      <c r="A25" s="145">
        <v>14</v>
      </c>
      <c r="B25" s="146"/>
      <c r="C25" s="222" t="str">
        <f>'SAF 011'!E27</f>
        <v>Gradilla alambre / plastico 48 Tubos 30 MM Tipo ARGA</v>
      </c>
      <c r="D25" s="223"/>
      <c r="E25" s="223"/>
      <c r="F25" s="223"/>
      <c r="G25" s="224"/>
      <c r="H25" s="147" t="s">
        <v>157</v>
      </c>
      <c r="I25" s="148" t="str">
        <f>'SAF 011'!F27</f>
        <v>UNIDAD</v>
      </c>
      <c r="J25" s="149">
        <f>'SAF 011'!AT27</f>
        <v>1800</v>
      </c>
      <c r="K25" s="150">
        <f>'SAF 011'!K27</f>
        <v>20</v>
      </c>
      <c r="M25" s="189">
        <f t="shared" si="0"/>
        <v>36000</v>
      </c>
    </row>
    <row r="26" spans="1:13" ht="15.75" customHeight="1" x14ac:dyDescent="0.25">
      <c r="A26" s="145">
        <v>15</v>
      </c>
      <c r="B26" s="146"/>
      <c r="C26" s="222" t="str">
        <f>'SAF 011'!E28</f>
        <v>Gradilla PP resistente 80ºC 80 Tubos Eppendorf Tipo DELTALAB</v>
      </c>
      <c r="D26" s="223"/>
      <c r="E26" s="223"/>
      <c r="F26" s="223"/>
      <c r="G26" s="224"/>
      <c r="H26" s="147" t="s">
        <v>157</v>
      </c>
      <c r="I26" s="148" t="str">
        <f>'SAF 011'!F28</f>
        <v>UNIDAD</v>
      </c>
      <c r="J26" s="149">
        <f>'SAF 011'!AT28</f>
        <v>800</v>
      </c>
      <c r="K26" s="150">
        <f>'SAF 011'!K28</f>
        <v>20</v>
      </c>
      <c r="M26" s="189">
        <f t="shared" si="0"/>
        <v>16000</v>
      </c>
    </row>
    <row r="27" spans="1:13" ht="15.75" customHeight="1" x14ac:dyDescent="0.25">
      <c r="A27" s="145">
        <v>16</v>
      </c>
      <c r="B27" s="146"/>
      <c r="C27" s="222" t="str">
        <f>'SAF 011'!E30</f>
        <v>HISOPOS NASOFARINGEOS DE DACRON O NYLON</v>
      </c>
      <c r="D27" s="223"/>
      <c r="E27" s="223"/>
      <c r="F27" s="223"/>
      <c r="G27" s="224"/>
      <c r="H27" s="147" t="s">
        <v>157</v>
      </c>
      <c r="I27" s="148" t="str">
        <f>'SAF 011'!F30</f>
        <v>UNIDAD</v>
      </c>
      <c r="J27" s="149">
        <f>'SAF 011'!AT30</f>
        <v>59</v>
      </c>
      <c r="K27" s="150">
        <f>'SAF 011'!K30</f>
        <v>23100</v>
      </c>
      <c r="M27" s="189">
        <f t="shared" si="0"/>
        <v>1362900</v>
      </c>
    </row>
    <row r="28" spans="1:13" ht="15.75" customHeight="1" x14ac:dyDescent="0.25">
      <c r="A28" s="145">
        <v>17</v>
      </c>
      <c r="B28" s="146"/>
      <c r="C28" s="222" t="str">
        <f>'SAF 011'!E31</f>
        <v>JERINGAS HEPARINIZADAS X 3 ML X100 UNIDADES</v>
      </c>
      <c r="D28" s="223"/>
      <c r="E28" s="223"/>
      <c r="F28" s="223"/>
      <c r="G28" s="224"/>
      <c r="H28" s="147" t="s">
        <v>157</v>
      </c>
      <c r="I28" s="148" t="str">
        <f>'SAF 011'!F31</f>
        <v>CAJA</v>
      </c>
      <c r="J28" s="149">
        <f>'SAF 011'!AT31</f>
        <v>8670</v>
      </c>
      <c r="K28" s="150">
        <f>'SAF 011'!K31</f>
        <v>19</v>
      </c>
      <c r="M28" s="189">
        <f t="shared" si="0"/>
        <v>164730</v>
      </c>
    </row>
    <row r="29" spans="1:13" ht="15.75" customHeight="1" x14ac:dyDescent="0.25">
      <c r="A29" s="145">
        <v>18</v>
      </c>
      <c r="B29" s="146"/>
      <c r="C29" s="222" t="str">
        <f>'SAF 011'!E32</f>
        <v>LAMPARA COBAS C311 TIPO ROCHE</v>
      </c>
      <c r="D29" s="223"/>
      <c r="E29" s="223"/>
      <c r="F29" s="223"/>
      <c r="G29" s="224"/>
      <c r="H29" s="147" t="s">
        <v>157</v>
      </c>
      <c r="I29" s="148" t="str">
        <f>'SAF 011'!F32</f>
        <v>UNIDAD</v>
      </c>
      <c r="J29" s="149">
        <f>'SAF 011'!AT32</f>
        <v>58600</v>
      </c>
      <c r="K29" s="150">
        <f>'SAF 011'!K32</f>
        <v>2</v>
      </c>
      <c r="M29" s="189">
        <f t="shared" si="0"/>
        <v>117200</v>
      </c>
    </row>
    <row r="30" spans="1:13" ht="15.75" customHeight="1" x14ac:dyDescent="0.25">
      <c r="A30" s="145">
        <v>19</v>
      </c>
      <c r="B30" s="146"/>
      <c r="C30" s="222" t="str">
        <f>'SAF 011'!E33</f>
        <v>MICROHEMATOCRITO CON HEPARINA X100</v>
      </c>
      <c r="D30" s="223"/>
      <c r="E30" s="223"/>
      <c r="F30" s="223"/>
      <c r="G30" s="224"/>
      <c r="H30" s="147" t="s">
        <v>157</v>
      </c>
      <c r="I30" s="148" t="str">
        <f>'SAF 011'!F33</f>
        <v>CAJA</v>
      </c>
      <c r="J30" s="149">
        <f>'SAF 011'!AT33</f>
        <v>892</v>
      </c>
      <c r="K30" s="150">
        <f>'SAF 011'!K33</f>
        <v>100</v>
      </c>
      <c r="M30" s="189">
        <f t="shared" si="0"/>
        <v>89200</v>
      </c>
    </row>
    <row r="31" spans="1:13" ht="15.75" customHeight="1" x14ac:dyDescent="0.25">
      <c r="A31" s="145">
        <v>20</v>
      </c>
      <c r="B31" s="146"/>
      <c r="C31" s="222" t="str">
        <f>'SAF 011'!E34</f>
        <v>MICROHEMATOCRITO  SIN HEPARINA X100</v>
      </c>
      <c r="D31" s="223"/>
      <c r="E31" s="223"/>
      <c r="F31" s="223"/>
      <c r="G31" s="224"/>
      <c r="H31" s="147" t="s">
        <v>157</v>
      </c>
      <c r="I31" s="148" t="str">
        <f>'SAF 011'!F34</f>
        <v>CAJA</v>
      </c>
      <c r="J31" s="149">
        <f>'SAF 011'!AT34</f>
        <v>683</v>
      </c>
      <c r="K31" s="150">
        <f>'SAF 011'!K34</f>
        <v>50</v>
      </c>
      <c r="M31" s="189">
        <f t="shared" si="0"/>
        <v>34150</v>
      </c>
    </row>
    <row r="32" spans="1:13" ht="15.75" customHeight="1" x14ac:dyDescent="0.25">
      <c r="A32" s="145">
        <v>21</v>
      </c>
      <c r="B32" s="146"/>
      <c r="C32" s="222" t="str">
        <f>'SAF 011'!E37</f>
        <v>PIPETA AUTOMATICA TIPO SOCOREX VOL REGULABLE DE 5-50 ul</v>
      </c>
      <c r="D32" s="223"/>
      <c r="E32" s="223"/>
      <c r="F32" s="223"/>
      <c r="G32" s="224"/>
      <c r="H32" s="147" t="s">
        <v>157</v>
      </c>
      <c r="I32" s="148" t="str">
        <f>'SAF 011'!F37</f>
        <v>UNIDAD</v>
      </c>
      <c r="J32" s="149">
        <f>'SAF 011'!AT37</f>
        <v>93989</v>
      </c>
      <c r="K32" s="150">
        <f>'SAF 011'!K37</f>
        <v>8</v>
      </c>
      <c r="M32" s="189">
        <f t="shared" si="0"/>
        <v>751912</v>
      </c>
    </row>
    <row r="33" spans="1:13" ht="15.75" customHeight="1" x14ac:dyDescent="0.25">
      <c r="A33" s="145">
        <v>22</v>
      </c>
      <c r="B33" s="146"/>
      <c r="C33" s="222" t="str">
        <f>'SAF 011'!E38</f>
        <v>PIPETA AUTOMATICA TIPO SOCOREX VOL REGULABLE DE 10-100 ul</v>
      </c>
      <c r="D33" s="223"/>
      <c r="E33" s="223"/>
      <c r="F33" s="223"/>
      <c r="G33" s="224"/>
      <c r="H33" s="147" t="s">
        <v>157</v>
      </c>
      <c r="I33" s="148" t="str">
        <f>'SAF 011'!F38</f>
        <v>UNIDAD</v>
      </c>
      <c r="J33" s="149">
        <f>'SAF 011'!AT38</f>
        <v>83298.429999999993</v>
      </c>
      <c r="K33" s="150">
        <f>'SAF 011'!K38</f>
        <v>14</v>
      </c>
      <c r="M33" s="189">
        <f t="shared" si="0"/>
        <v>1166178.02</v>
      </c>
    </row>
    <row r="34" spans="1:13" ht="15.75" customHeight="1" x14ac:dyDescent="0.25">
      <c r="A34" s="145">
        <v>23</v>
      </c>
      <c r="B34" s="146"/>
      <c r="C34" s="222" t="str">
        <f>'SAF 011'!E39</f>
        <v>PIPETA AUTOMATICA TIPO SOCOREX VOL REGULABLE DE 20-200 ul</v>
      </c>
      <c r="D34" s="223"/>
      <c r="E34" s="223"/>
      <c r="F34" s="223"/>
      <c r="G34" s="224"/>
      <c r="H34" s="147" t="s">
        <v>157</v>
      </c>
      <c r="I34" s="148" t="str">
        <f>'SAF 011'!F39</f>
        <v>UNIDAD</v>
      </c>
      <c r="J34" s="149">
        <f>'SAF 011'!AT39</f>
        <v>88695</v>
      </c>
      <c r="K34" s="150">
        <f>'SAF 011'!K39</f>
        <v>9</v>
      </c>
      <c r="M34" s="189">
        <f t="shared" si="0"/>
        <v>798255</v>
      </c>
    </row>
    <row r="35" spans="1:13" ht="15.75" customHeight="1" x14ac:dyDescent="0.25">
      <c r="A35" s="145">
        <v>24</v>
      </c>
      <c r="B35" s="146"/>
      <c r="C35" s="222" t="str">
        <f>'SAF 011'!E40</f>
        <v xml:space="preserve">Placa de PCR Expell de 96 pocillos x 0,1 ml, sin pollera Calidad Biologia Molecular Libre de DNAasa y RNAasa, Capp x 25 Unidades </v>
      </c>
      <c r="D35" s="223"/>
      <c r="E35" s="223"/>
      <c r="F35" s="223"/>
      <c r="G35" s="224"/>
      <c r="H35" s="147" t="s">
        <v>157</v>
      </c>
      <c r="I35" s="148" t="str">
        <f>'SAF 011'!F40</f>
        <v>CAJA</v>
      </c>
      <c r="J35" s="149">
        <f>'SAF 011'!AT40</f>
        <v>9000</v>
      </c>
      <c r="K35" s="150">
        <f>'SAF 011'!K40</f>
        <v>20</v>
      </c>
      <c r="M35" s="189">
        <f t="shared" si="0"/>
        <v>180000</v>
      </c>
    </row>
    <row r="36" spans="1:13" ht="15.75" customHeight="1" x14ac:dyDescent="0.25">
      <c r="A36" s="145">
        <v>25</v>
      </c>
      <c r="B36" s="146"/>
      <c r="C36" s="222" t="str">
        <f>'SAF 011'!E41</f>
        <v xml:space="preserve">PLACA DE VIDRIO PARA VDRL X 12 POCILLOS </v>
      </c>
      <c r="D36" s="223"/>
      <c r="E36" s="223"/>
      <c r="F36" s="223"/>
      <c r="G36" s="224"/>
      <c r="H36" s="147" t="s">
        <v>157</v>
      </c>
      <c r="I36" s="148" t="str">
        <f>'SAF 011'!F41</f>
        <v>UNIDAD</v>
      </c>
      <c r="J36" s="149">
        <f>'SAF 011'!AT41</f>
        <v>2100</v>
      </c>
      <c r="K36" s="150">
        <f>'SAF 011'!K41</f>
        <v>10</v>
      </c>
      <c r="M36" s="189">
        <f t="shared" si="0"/>
        <v>21000</v>
      </c>
    </row>
    <row r="37" spans="1:13" ht="15.75" customHeight="1" x14ac:dyDescent="0.25">
      <c r="A37" s="145">
        <v>26</v>
      </c>
      <c r="B37" s="146"/>
      <c r="C37" s="222" t="str">
        <f>'SAF 011'!E43</f>
        <v>Portaobjetos borde sin pulir 50 U Tipo BREMEN</v>
      </c>
      <c r="D37" s="223"/>
      <c r="E37" s="223"/>
      <c r="F37" s="223"/>
      <c r="G37" s="224"/>
      <c r="H37" s="147" t="s">
        <v>157</v>
      </c>
      <c r="I37" s="148" t="str">
        <f>'SAF 011'!F43</f>
        <v>CAJA</v>
      </c>
      <c r="J37" s="149">
        <f>'SAF 011'!AT43</f>
        <v>219</v>
      </c>
      <c r="K37" s="150">
        <f>'SAF 011'!K43</f>
        <v>200</v>
      </c>
      <c r="M37" s="189">
        <f t="shared" si="0"/>
        <v>43800</v>
      </c>
    </row>
    <row r="38" spans="1:13" ht="15.75" customHeight="1" x14ac:dyDescent="0.25">
      <c r="A38" s="145">
        <v>27</v>
      </c>
      <c r="B38" s="146"/>
      <c r="C38" s="222" t="str">
        <f>'SAF 011'!E44</f>
        <v>rollo de papel para MINIVIDAS x5 unidades</v>
      </c>
      <c r="D38" s="223"/>
      <c r="E38" s="223"/>
      <c r="F38" s="223"/>
      <c r="G38" s="224"/>
      <c r="H38" s="147" t="s">
        <v>157</v>
      </c>
      <c r="I38" s="148" t="str">
        <f>'SAF 011'!F44</f>
        <v>PACK</v>
      </c>
      <c r="J38" s="149">
        <f>'SAF 011'!AT44</f>
        <v>5100</v>
      </c>
      <c r="K38" s="150">
        <f>'SAF 011'!K44</f>
        <v>3</v>
      </c>
      <c r="M38" s="189">
        <f t="shared" si="0"/>
        <v>15300</v>
      </c>
    </row>
    <row r="39" spans="1:13" ht="15.75" customHeight="1" x14ac:dyDescent="0.25">
      <c r="A39" s="145">
        <v>28</v>
      </c>
      <c r="B39" s="146"/>
      <c r="C39" s="222" t="str">
        <f>'SAF 011'!E45</f>
        <v>SENSOR GLUCOSA LACTATO COBAS B221 TIPO ROCHE</v>
      </c>
      <c r="D39" s="223"/>
      <c r="E39" s="223"/>
      <c r="F39" s="223"/>
      <c r="G39" s="224"/>
      <c r="H39" s="147" t="s">
        <v>157</v>
      </c>
      <c r="I39" s="148" t="str">
        <f>'SAF 011'!F45</f>
        <v>UNIDAD</v>
      </c>
      <c r="J39" s="149">
        <f>'SAF 011'!AT45</f>
        <v>12544</v>
      </c>
      <c r="K39" s="150">
        <f>'SAF 011'!K45</f>
        <v>2</v>
      </c>
      <c r="M39" s="189">
        <f t="shared" si="0"/>
        <v>25088</v>
      </c>
    </row>
    <row r="40" spans="1:13" ht="15.75" customHeight="1" x14ac:dyDescent="0.25">
      <c r="A40" s="145">
        <v>29</v>
      </c>
      <c r="B40" s="146"/>
      <c r="C40" s="222" t="str">
        <f>'SAF 011'!E46</f>
        <v>TERMOMETRO DE ALCOHOL -10 A 60°C</v>
      </c>
      <c r="D40" s="223"/>
      <c r="E40" s="223"/>
      <c r="F40" s="223"/>
      <c r="G40" s="224"/>
      <c r="H40" s="147" t="s">
        <v>157</v>
      </c>
      <c r="I40" s="148" t="str">
        <f>'SAF 011'!F46</f>
        <v>UNIDAD</v>
      </c>
      <c r="J40" s="149">
        <f>'SAF 011'!AT46</f>
        <v>405</v>
      </c>
      <c r="K40" s="150">
        <f>'SAF 011'!K46</f>
        <v>15</v>
      </c>
      <c r="M40" s="189">
        <f t="shared" si="0"/>
        <v>6075</v>
      </c>
    </row>
    <row r="41" spans="1:13" ht="15.75" customHeight="1" x14ac:dyDescent="0.25">
      <c r="A41" s="145">
        <v>30</v>
      </c>
      <c r="B41" s="146"/>
      <c r="C41" s="222" t="str">
        <f>'SAF 011'!E50</f>
        <v>TIPS AMARILLOS SIN CORONA X1000 UNIDADES</v>
      </c>
      <c r="D41" s="223"/>
      <c r="E41" s="223"/>
      <c r="F41" s="223"/>
      <c r="G41" s="224"/>
      <c r="H41" s="147" t="s">
        <v>157</v>
      </c>
      <c r="I41" s="148" t="str">
        <f>'SAF 011'!F50</f>
        <v>BOLSA</v>
      </c>
      <c r="J41" s="149">
        <f>'SAF 011'!AT50</f>
        <v>1000</v>
      </c>
      <c r="K41" s="150">
        <f>'SAF 011'!K50</f>
        <v>30</v>
      </c>
      <c r="M41" s="189">
        <f t="shared" si="0"/>
        <v>30000</v>
      </c>
    </row>
    <row r="42" spans="1:13" ht="15.75" customHeight="1" x14ac:dyDescent="0.25">
      <c r="A42" s="145">
        <v>31</v>
      </c>
      <c r="B42" s="146"/>
      <c r="C42" s="222" t="str">
        <f>'SAF 011'!E52</f>
        <v>TIPS AZULES X1000 UNIDADES</v>
      </c>
      <c r="D42" s="223"/>
      <c r="E42" s="223"/>
      <c r="F42" s="223"/>
      <c r="G42" s="224"/>
      <c r="H42" s="147" t="s">
        <v>157</v>
      </c>
      <c r="I42" s="148" t="str">
        <f>'SAF 011'!F52</f>
        <v>BOLSA</v>
      </c>
      <c r="J42" s="149">
        <f>'SAF 011'!AT52</f>
        <v>2850</v>
      </c>
      <c r="K42" s="150">
        <f>'SAF 011'!K52</f>
        <v>10</v>
      </c>
      <c r="M42" s="189">
        <f t="shared" si="0"/>
        <v>28500</v>
      </c>
    </row>
    <row r="43" spans="1:13" ht="15.75" x14ac:dyDescent="0.25">
      <c r="A43" s="145">
        <v>32</v>
      </c>
      <c r="B43" s="146"/>
      <c r="C43" s="222" t="str">
        <f>'SAF 011'!E53</f>
        <v>TIPS BLANCO GRADUADO C/CORONA 10 ul  BOLSA POR 1000 UNIDADES</v>
      </c>
      <c r="D43" s="223"/>
      <c r="E43" s="223"/>
      <c r="F43" s="223"/>
      <c r="G43" s="224"/>
      <c r="H43" s="147" t="s">
        <v>157</v>
      </c>
      <c r="I43" s="148" t="str">
        <f>'SAF 011'!F53</f>
        <v>BOLSA</v>
      </c>
      <c r="J43" s="149">
        <f>'SAF 011'!AT53</f>
        <v>9519</v>
      </c>
      <c r="K43" s="150">
        <f>'SAF 011'!K53</f>
        <v>10</v>
      </c>
      <c r="M43" s="189">
        <f t="shared" si="0"/>
        <v>95190</v>
      </c>
    </row>
    <row r="44" spans="1:13" ht="16.5" customHeight="1" x14ac:dyDescent="0.25">
      <c r="A44" s="145">
        <v>33</v>
      </c>
      <c r="B44" s="146"/>
      <c r="C44" s="222" t="str">
        <f>'SAF 011'!E54</f>
        <v>Tips ExpeIIPlus 10 UL Largos, Pre-esterilizados, c/filtro s/corona rackx 96 unidades . Tipo CAPP (Dinamarca)</v>
      </c>
      <c r="D44" s="223"/>
      <c r="E44" s="223"/>
      <c r="F44" s="223"/>
      <c r="G44" s="224"/>
      <c r="H44" s="147" t="s">
        <v>157</v>
      </c>
      <c r="I44" s="148" t="str">
        <f>'SAF 011'!F54</f>
        <v>RACK</v>
      </c>
      <c r="J44" s="149">
        <f>'SAF 011'!AT54</f>
        <v>1965</v>
      </c>
      <c r="K44" s="150">
        <f>'SAF 011'!K54</f>
        <v>400</v>
      </c>
      <c r="M44" s="189">
        <f t="shared" si="0"/>
        <v>786000</v>
      </c>
    </row>
    <row r="45" spans="1:13" ht="16.5" customHeight="1" x14ac:dyDescent="0.25">
      <c r="A45" s="145">
        <v>34</v>
      </c>
      <c r="B45" s="146"/>
      <c r="C45" s="222" t="str">
        <f>'SAF 011'!E55</f>
        <v>Tips ExpeIIPlus 1000 UL Pre-esterilizados, c/filtro s/corona rack por 96 unidades. Tipo CAPP (Dinamarca)</v>
      </c>
      <c r="D45" s="223"/>
      <c r="E45" s="223"/>
      <c r="F45" s="223"/>
      <c r="G45" s="224"/>
      <c r="H45" s="147" t="s">
        <v>157</v>
      </c>
      <c r="I45" s="148" t="str">
        <f>'SAF 011'!F55</f>
        <v>RACK</v>
      </c>
      <c r="J45" s="149">
        <f>'SAF 011'!AT55</f>
        <v>2546</v>
      </c>
      <c r="K45" s="150">
        <f>'SAF 011'!K55</f>
        <v>400</v>
      </c>
      <c r="M45" s="189">
        <f t="shared" si="0"/>
        <v>1018400</v>
      </c>
    </row>
    <row r="46" spans="1:13" ht="16.5" customHeight="1" x14ac:dyDescent="0.25">
      <c r="A46" s="145">
        <v>35</v>
      </c>
      <c r="B46" s="146"/>
      <c r="C46" s="222" t="str">
        <f>'SAF 011'!E56</f>
        <v>Tips ExpeIIPlus 20 UL , Pre-esterilizados, c/filtro s/corona rackx 96 unidades . Tipo CAPP (Dinamarca)</v>
      </c>
      <c r="D46" s="223"/>
      <c r="E46" s="223"/>
      <c r="F46" s="223"/>
      <c r="G46" s="224"/>
      <c r="H46" s="147" t="s">
        <v>157</v>
      </c>
      <c r="I46" s="148" t="str">
        <f>'SAF 011'!F56</f>
        <v>RACK</v>
      </c>
      <c r="J46" s="149">
        <f>'SAF 011'!AT56</f>
        <v>2379</v>
      </c>
      <c r="K46" s="150">
        <f>'SAF 011'!K56</f>
        <v>400</v>
      </c>
      <c r="M46" s="189">
        <f t="shared" si="0"/>
        <v>951600</v>
      </c>
    </row>
    <row r="47" spans="1:13" ht="16.5" customHeight="1" x14ac:dyDescent="0.25">
      <c r="A47" s="145">
        <v>36</v>
      </c>
      <c r="B47" s="146"/>
      <c r="C47" s="222" t="str">
        <f>'SAF 011'!E57</f>
        <v>Tips ExpeIIPlus 200 UL Pre-esterilizados, c/filtro s/corona rack por 96 unidades. Tipo CAPP (Dinamarca)</v>
      </c>
      <c r="D47" s="223"/>
      <c r="E47" s="223"/>
      <c r="F47" s="223"/>
      <c r="G47" s="224"/>
      <c r="H47" s="147" t="s">
        <v>157</v>
      </c>
      <c r="I47" s="148" t="str">
        <f>'SAF 011'!F57</f>
        <v>RACK</v>
      </c>
      <c r="J47" s="149">
        <f>'SAF 011'!AT57</f>
        <v>2463</v>
      </c>
      <c r="K47" s="150">
        <f>'SAF 011'!K57</f>
        <v>400</v>
      </c>
      <c r="M47" s="189">
        <f t="shared" si="0"/>
        <v>985200</v>
      </c>
    </row>
    <row r="48" spans="1:13" ht="16.5" customHeight="1" x14ac:dyDescent="0.25">
      <c r="A48" s="145">
        <v>37</v>
      </c>
      <c r="B48" s="146"/>
      <c r="C48" s="222" t="str">
        <f>'SAF 011'!E58</f>
        <v xml:space="preserve">Tubo con citrato tapa celeste para coagulograma 1 ml </v>
      </c>
      <c r="D48" s="223"/>
      <c r="E48" s="223"/>
      <c r="F48" s="223"/>
      <c r="G48" s="224"/>
      <c r="H48" s="147" t="s">
        <v>157</v>
      </c>
      <c r="I48" s="148" t="str">
        <f>'SAF 011'!F58</f>
        <v>UNIDAD</v>
      </c>
      <c r="J48" s="149">
        <f>'SAF 011'!AT58</f>
        <v>18</v>
      </c>
      <c r="K48" s="150">
        <f>'SAF 011'!K58</f>
        <v>1000</v>
      </c>
      <c r="M48" s="189">
        <f t="shared" si="0"/>
        <v>18000</v>
      </c>
    </row>
    <row r="49" spans="1:13" ht="15.75" customHeight="1" x14ac:dyDescent="0.25">
      <c r="A49" s="145">
        <v>38</v>
      </c>
      <c r="B49" s="146"/>
      <c r="C49" s="222" t="str">
        <f>'SAF 011'!E59</f>
        <v>Tubo con Edta 2 ml TAPA LILA TIPO BD</v>
      </c>
      <c r="D49" s="223"/>
      <c r="E49" s="223"/>
      <c r="F49" s="223"/>
      <c r="G49" s="224"/>
      <c r="H49" s="147" t="s">
        <v>157</v>
      </c>
      <c r="I49" s="148" t="str">
        <f>'SAF 011'!F59</f>
        <v>UNIDAD</v>
      </c>
      <c r="J49" s="149">
        <f>'SAF 011'!AT59</f>
        <v>13</v>
      </c>
      <c r="K49" s="150">
        <f>'SAF 011'!K59</f>
        <v>5000</v>
      </c>
      <c r="M49" s="189">
        <f t="shared" si="0"/>
        <v>65000</v>
      </c>
    </row>
    <row r="50" spans="1:13" ht="15.75" customHeight="1" x14ac:dyDescent="0.25">
      <c r="A50" s="145">
        <v>39</v>
      </c>
      <c r="B50" s="146"/>
      <c r="C50" s="222" t="str">
        <f>'SAF 011'!E60</f>
        <v>TUBO DE KAHN DE VIDRIO</v>
      </c>
      <c r="D50" s="223"/>
      <c r="E50" s="223"/>
      <c r="F50" s="223"/>
      <c r="G50" s="224"/>
      <c r="H50" s="147" t="s">
        <v>157</v>
      </c>
      <c r="I50" s="148" t="str">
        <f>'SAF 011'!F60</f>
        <v>UNIDAD</v>
      </c>
      <c r="J50" s="149">
        <f>'SAF 011'!AT60</f>
        <v>19</v>
      </c>
      <c r="K50" s="150">
        <f>'SAF 011'!K60</f>
        <v>3000</v>
      </c>
      <c r="M50" s="189">
        <f t="shared" si="0"/>
        <v>57000</v>
      </c>
    </row>
    <row r="51" spans="1:13" ht="15.75" customHeight="1" x14ac:dyDescent="0.25">
      <c r="A51" s="145">
        <v>40</v>
      </c>
      <c r="B51" s="146"/>
      <c r="C51" s="222" t="str">
        <f>'SAF 011'!E61</f>
        <v>Tubo para suero con gel tapa Amarilla 5 ML</v>
      </c>
      <c r="D51" s="223"/>
      <c r="E51" s="223"/>
      <c r="F51" s="223"/>
      <c r="G51" s="224"/>
      <c r="H51" s="147" t="s">
        <v>157</v>
      </c>
      <c r="I51" s="148" t="str">
        <f>'SAF 011'!F61</f>
        <v>UNIDAD</v>
      </c>
      <c r="J51" s="149">
        <f>'SAF 011'!AT61</f>
        <v>36</v>
      </c>
      <c r="K51" s="150">
        <f>'SAF 011'!K61</f>
        <v>10000</v>
      </c>
      <c r="M51" s="189">
        <f t="shared" si="0"/>
        <v>360000</v>
      </c>
    </row>
    <row r="52" spans="1:13" ht="15.75" customHeight="1" x14ac:dyDescent="0.25">
      <c r="A52" s="145">
        <v>41</v>
      </c>
      <c r="B52" s="146"/>
      <c r="C52" s="222" t="str">
        <f>'SAF 011'!E62</f>
        <v>TUBOS CONICOS PLASTICOS CON TAPA ESTERILES 15 ML</v>
      </c>
      <c r="D52" s="223"/>
      <c r="E52" s="223"/>
      <c r="F52" s="223"/>
      <c r="G52" s="224"/>
      <c r="H52" s="147" t="s">
        <v>157</v>
      </c>
      <c r="I52" s="148" t="str">
        <f>'SAF 011'!F62</f>
        <v>UNIDAD</v>
      </c>
      <c r="J52" s="149">
        <f>'SAF 011'!AT62</f>
        <v>55</v>
      </c>
      <c r="K52" s="150">
        <f>'SAF 011'!K62</f>
        <v>23100</v>
      </c>
      <c r="M52" s="189">
        <f t="shared" si="0"/>
        <v>1270500</v>
      </c>
    </row>
    <row r="53" spans="1:13" ht="15.75" x14ac:dyDescent="0.25">
      <c r="A53" s="151"/>
      <c r="B53" s="152"/>
      <c r="C53" s="221"/>
      <c r="D53" s="221"/>
      <c r="E53" s="221"/>
      <c r="F53" s="221"/>
      <c r="G53" s="221"/>
      <c r="H53" s="153"/>
      <c r="I53" s="154"/>
      <c r="J53" s="155"/>
      <c r="K53" s="156"/>
      <c r="M53" s="189"/>
    </row>
    <row r="54" spans="1:13" ht="33.75" customHeight="1" thickBot="1" x14ac:dyDescent="0.3">
      <c r="A54" s="219" t="s">
        <v>186</v>
      </c>
      <c r="B54" s="219"/>
      <c r="C54" s="219"/>
      <c r="D54" s="219"/>
      <c r="E54" s="219"/>
      <c r="F54" s="219"/>
      <c r="G54" s="219"/>
      <c r="H54" s="219"/>
      <c r="I54" s="219"/>
      <c r="J54" s="220">
        <f>+M54</f>
        <v>11107266</v>
      </c>
      <c r="K54" s="220"/>
      <c r="M54" s="189">
        <f>SUM(M12:M53)</f>
        <v>11107266</v>
      </c>
    </row>
    <row r="55" spans="1:13" ht="15.75" thickBot="1" x14ac:dyDescent="0.3">
      <c r="D55" s="193"/>
    </row>
  </sheetData>
  <mergeCells count="58">
    <mergeCell ref="A7:C7"/>
    <mergeCell ref="A1:I1"/>
    <mergeCell ref="A3:C3"/>
    <mergeCell ref="A4:C4"/>
    <mergeCell ref="A5:C5"/>
    <mergeCell ref="A6:C6"/>
    <mergeCell ref="J10:J11"/>
    <mergeCell ref="K10:K11"/>
    <mergeCell ref="C12:G12"/>
    <mergeCell ref="A8:C8"/>
    <mergeCell ref="A10:A11"/>
    <mergeCell ref="B10:B11"/>
    <mergeCell ref="C10:G11"/>
    <mergeCell ref="H10:H11"/>
    <mergeCell ref="I10:I11"/>
    <mergeCell ref="C23:G23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9:G29"/>
    <mergeCell ref="C30:G30"/>
    <mergeCell ref="C31:G31"/>
    <mergeCell ref="C32:G32"/>
    <mergeCell ref="C24:G24"/>
    <mergeCell ref="C25:G25"/>
    <mergeCell ref="C26:G26"/>
    <mergeCell ref="C27:G27"/>
    <mergeCell ref="C28:G28"/>
    <mergeCell ref="C38:G38"/>
    <mergeCell ref="C39:G39"/>
    <mergeCell ref="C40:G40"/>
    <mergeCell ref="C33:G33"/>
    <mergeCell ref="C34:G34"/>
    <mergeCell ref="C35:G35"/>
    <mergeCell ref="C36:G36"/>
    <mergeCell ref="C37:G37"/>
    <mergeCell ref="C50:G50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A54:I54"/>
    <mergeCell ref="J54:K54"/>
    <mergeCell ref="C53:G53"/>
    <mergeCell ref="C51:G51"/>
    <mergeCell ref="C52:G5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2"/>
  <sheetViews>
    <sheetView tabSelected="1" topLeftCell="A17" workbookViewId="0">
      <selection activeCell="A39" sqref="A39:Q39"/>
    </sheetView>
  </sheetViews>
  <sheetFormatPr baseColWidth="10" defaultRowHeight="15" x14ac:dyDescent="0.25"/>
  <cols>
    <col min="1" max="5" width="4.42578125" customWidth="1"/>
    <col min="6" max="6" width="5" bestFit="1" customWidth="1"/>
    <col min="7" max="14" width="4.42578125" customWidth="1"/>
    <col min="15" max="16" width="14.85546875" customWidth="1"/>
    <col min="17" max="17" width="19.28515625" customWidth="1"/>
    <col min="18" max="18" width="12.85546875" customWidth="1"/>
  </cols>
  <sheetData>
    <row r="1" spans="1:18" ht="15.75" thickBot="1" x14ac:dyDescent="0.3">
      <c r="A1" s="255" t="s">
        <v>3</v>
      </c>
      <c r="B1" s="255"/>
      <c r="C1" s="255"/>
      <c r="D1" s="256">
        <v>2021</v>
      </c>
      <c r="E1" s="256"/>
      <c r="F1" s="157"/>
      <c r="G1" s="157"/>
      <c r="H1" s="158"/>
      <c r="I1" s="158"/>
      <c r="J1" s="158"/>
      <c r="K1" s="158"/>
      <c r="L1" s="158"/>
      <c r="M1" s="158"/>
      <c r="N1" s="158"/>
      <c r="O1" s="159"/>
      <c r="P1" s="257" t="s">
        <v>133</v>
      </c>
      <c r="Q1" s="257"/>
    </row>
    <row r="2" spans="1:18" ht="15.75" thickBot="1" x14ac:dyDescent="0.3">
      <c r="A2" s="160"/>
      <c r="B2" s="97"/>
      <c r="C2" s="97"/>
      <c r="D2" s="97"/>
      <c r="E2" s="97"/>
      <c r="F2" s="97"/>
      <c r="G2" s="161"/>
      <c r="H2" s="162"/>
      <c r="I2" s="162"/>
      <c r="J2" s="162"/>
      <c r="K2" s="162"/>
      <c r="L2" s="162"/>
      <c r="M2" s="162"/>
      <c r="N2" s="162"/>
      <c r="O2" s="97"/>
      <c r="P2" s="257"/>
      <c r="Q2" s="257"/>
    </row>
    <row r="3" spans="1:18" ht="15.75" thickBot="1" x14ac:dyDescent="0.3">
      <c r="A3" s="160"/>
      <c r="B3" s="97"/>
      <c r="C3" s="97"/>
      <c r="D3" s="97"/>
      <c r="E3" s="97"/>
      <c r="F3" s="97"/>
      <c r="G3" s="161"/>
      <c r="H3" s="97"/>
      <c r="I3" s="97"/>
      <c r="J3" s="97"/>
      <c r="K3" s="97"/>
      <c r="L3" s="97"/>
      <c r="M3" s="97"/>
      <c r="N3" s="97"/>
      <c r="O3" s="97"/>
      <c r="P3" s="97"/>
      <c r="Q3" s="163"/>
    </row>
    <row r="4" spans="1:18" ht="15.75" thickBot="1" x14ac:dyDescent="0.3">
      <c r="A4" s="258" t="s">
        <v>134</v>
      </c>
      <c r="B4" s="258"/>
      <c r="C4" s="258"/>
      <c r="D4" s="258"/>
      <c r="E4" s="258"/>
      <c r="F4" s="258"/>
      <c r="G4" s="259" t="str">
        <f>'NP LABORATORIO'!D3</f>
        <v>040 - MINISTERIO DE SALUD</v>
      </c>
      <c r="H4" s="259"/>
      <c r="I4" s="259"/>
      <c r="J4" s="259"/>
      <c r="K4" s="259"/>
      <c r="L4" s="259"/>
      <c r="M4" s="259"/>
      <c r="N4" s="259"/>
      <c r="O4" s="259"/>
      <c r="P4" s="259"/>
      <c r="Q4" s="259"/>
    </row>
    <row r="5" spans="1:18" ht="15.75" thickBot="1" x14ac:dyDescent="0.3">
      <c r="A5" s="260" t="s">
        <v>118</v>
      </c>
      <c r="B5" s="260"/>
      <c r="C5" s="260"/>
      <c r="D5" s="260"/>
      <c r="E5" s="260"/>
      <c r="F5" s="260"/>
      <c r="G5" s="259" t="str">
        <f>'NP LABORATORIO'!D4</f>
        <v>011 - DIRECCION PROVINCIAL DE ADMINISTRACION DEL MINISTERIO DE SALUD</v>
      </c>
      <c r="H5" s="259"/>
      <c r="I5" s="259"/>
      <c r="J5" s="259"/>
      <c r="K5" s="259"/>
      <c r="L5" s="259"/>
      <c r="M5" s="259"/>
      <c r="N5" s="259"/>
      <c r="O5" s="259"/>
      <c r="P5" s="259"/>
      <c r="Q5" s="259"/>
    </row>
    <row r="6" spans="1:18" ht="15.75" thickBot="1" x14ac:dyDescent="0.3">
      <c r="A6" s="260" t="s">
        <v>120</v>
      </c>
      <c r="B6" s="260"/>
      <c r="C6" s="260"/>
      <c r="D6" s="260"/>
      <c r="E6" s="260"/>
      <c r="F6" s="260"/>
      <c r="G6" s="259" t="str">
        <f>'NP LABORATORIO'!D5</f>
        <v>468 - DIRECCION PROVINCIAL DE LABORATORIO</v>
      </c>
      <c r="H6" s="259"/>
      <c r="I6" s="259"/>
      <c r="J6" s="259"/>
      <c r="K6" s="259"/>
      <c r="L6" s="259"/>
      <c r="M6" s="259"/>
      <c r="N6" s="259"/>
      <c r="O6" s="259"/>
      <c r="P6" s="259"/>
      <c r="Q6" s="259"/>
    </row>
    <row r="7" spans="1:18" ht="15.75" thickBot="1" x14ac:dyDescent="0.3">
      <c r="A7" s="260" t="s">
        <v>122</v>
      </c>
      <c r="B7" s="260"/>
      <c r="C7" s="260"/>
      <c r="D7" s="260"/>
      <c r="E7" s="260"/>
      <c r="F7" s="260"/>
      <c r="G7" s="259" t="str">
        <f>'NP LABORATORIO'!D6</f>
        <v>468 - DIRECCION PROVINCIAL DE LABORATORIO</v>
      </c>
      <c r="H7" s="259"/>
      <c r="I7" s="259"/>
      <c r="J7" s="259"/>
      <c r="K7" s="259"/>
      <c r="L7" s="259"/>
      <c r="M7" s="259"/>
      <c r="N7" s="259"/>
      <c r="O7" s="259"/>
      <c r="P7" s="259"/>
      <c r="Q7" s="259"/>
    </row>
    <row r="8" spans="1:18" ht="15.75" thickBot="1" x14ac:dyDescent="0.3">
      <c r="A8" s="261" t="s">
        <v>135</v>
      </c>
      <c r="B8" s="261"/>
      <c r="C8" s="261"/>
      <c r="D8" s="261"/>
      <c r="E8" s="261"/>
      <c r="F8" s="261"/>
      <c r="G8" s="261"/>
      <c r="H8" s="261"/>
      <c r="I8" s="261"/>
      <c r="J8" s="261"/>
      <c r="K8" s="261"/>
      <c r="L8" s="261"/>
      <c r="M8" s="261"/>
      <c r="N8" s="261"/>
      <c r="O8" s="261"/>
      <c r="P8" s="261"/>
      <c r="Q8" s="261"/>
    </row>
    <row r="9" spans="1:18" x14ac:dyDescent="0.25">
      <c r="A9" s="254" t="s">
        <v>136</v>
      </c>
      <c r="B9" s="254"/>
      <c r="C9" s="254"/>
      <c r="D9" s="254"/>
      <c r="E9" s="254"/>
      <c r="F9" s="254"/>
      <c r="G9" s="254"/>
      <c r="H9" s="254"/>
      <c r="I9" s="254"/>
      <c r="J9" s="254"/>
      <c r="K9" s="254"/>
      <c r="L9" s="254"/>
      <c r="M9" s="254"/>
      <c r="N9" s="254"/>
      <c r="O9" s="254"/>
      <c r="P9" s="254"/>
      <c r="Q9" s="254"/>
    </row>
    <row r="10" spans="1:18" ht="63" customHeight="1" x14ac:dyDescent="0.25">
      <c r="A10" s="246" t="s">
        <v>162</v>
      </c>
      <c r="B10" s="246"/>
      <c r="C10" s="246"/>
      <c r="D10" s="246"/>
      <c r="E10" s="246"/>
      <c r="F10" s="246"/>
      <c r="G10" s="246"/>
      <c r="H10" s="246"/>
      <c r="I10" s="246"/>
      <c r="J10" s="246"/>
      <c r="K10" s="246"/>
      <c r="L10" s="246"/>
      <c r="M10" s="246"/>
      <c r="N10" s="246"/>
      <c r="O10" s="246"/>
      <c r="P10" s="246"/>
      <c r="Q10" s="246"/>
    </row>
    <row r="11" spans="1:18" ht="15.75" thickBot="1" x14ac:dyDescent="0.3">
      <c r="A11" s="164"/>
      <c r="B11" s="165"/>
      <c r="C11" s="165"/>
      <c r="D11" s="165"/>
      <c r="E11" s="165"/>
      <c r="F11" s="165"/>
      <c r="G11" s="166"/>
      <c r="H11" s="165"/>
      <c r="I11" s="165"/>
      <c r="J11" s="165"/>
      <c r="K11" s="165"/>
      <c r="L11" s="165"/>
      <c r="M11" s="165"/>
      <c r="N11" s="165"/>
      <c r="O11" s="165"/>
      <c r="P11" s="165"/>
      <c r="Q11" s="167"/>
    </row>
    <row r="12" spans="1:18" ht="15.75" thickBot="1" x14ac:dyDescent="0.3">
      <c r="A12" s="247" t="s">
        <v>137</v>
      </c>
      <c r="B12" s="247"/>
      <c r="C12" s="247"/>
      <c r="D12" s="247"/>
      <c r="E12" s="247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</row>
    <row r="13" spans="1:18" ht="15.75" thickBot="1" x14ac:dyDescent="0.3">
      <c r="A13" s="248" t="s">
        <v>138</v>
      </c>
      <c r="B13" s="248"/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9" t="s">
        <v>139</v>
      </c>
      <c r="P13" s="249"/>
      <c r="Q13" s="250" t="s">
        <v>140</v>
      </c>
    </row>
    <row r="14" spans="1:18" ht="15.75" thickBot="1" x14ac:dyDescent="0.3">
      <c r="A14" s="168" t="s">
        <v>141</v>
      </c>
      <c r="B14" s="169" t="s">
        <v>142</v>
      </c>
      <c r="C14" s="169" t="s">
        <v>143</v>
      </c>
      <c r="D14" s="169" t="s">
        <v>144</v>
      </c>
      <c r="E14" s="169" t="s">
        <v>145</v>
      </c>
      <c r="F14" s="169" t="s">
        <v>146</v>
      </c>
      <c r="G14" s="170" t="s">
        <v>147</v>
      </c>
      <c r="H14" s="169" t="s">
        <v>148</v>
      </c>
      <c r="I14" s="169" t="s">
        <v>149</v>
      </c>
      <c r="J14" s="169" t="s">
        <v>150</v>
      </c>
      <c r="K14" s="169" t="s">
        <v>150</v>
      </c>
      <c r="L14" s="169" t="s">
        <v>151</v>
      </c>
      <c r="M14" s="171" t="s">
        <v>152</v>
      </c>
      <c r="N14" s="172" t="s">
        <v>153</v>
      </c>
      <c r="O14" s="249"/>
      <c r="P14" s="249"/>
      <c r="Q14" s="250"/>
    </row>
    <row r="15" spans="1:18" ht="60.75" customHeight="1" x14ac:dyDescent="0.25">
      <c r="A15" s="173">
        <v>62</v>
      </c>
      <c r="B15" s="174"/>
      <c r="C15" s="174"/>
      <c r="D15" s="174">
        <v>1</v>
      </c>
      <c r="E15" s="174"/>
      <c r="F15" s="174">
        <v>4901</v>
      </c>
      <c r="G15" s="174">
        <v>3</v>
      </c>
      <c r="H15" s="174">
        <v>1</v>
      </c>
      <c r="I15" s="174">
        <v>2</v>
      </c>
      <c r="J15" s="174">
        <v>9</v>
      </c>
      <c r="K15" s="174">
        <v>5</v>
      </c>
      <c r="L15" s="174"/>
      <c r="M15" s="175">
        <v>1</v>
      </c>
      <c r="N15" s="174" t="s">
        <v>154</v>
      </c>
      <c r="O15" s="251" t="s">
        <v>158</v>
      </c>
      <c r="P15" s="251"/>
      <c r="Q15" s="190">
        <f>'NP LABORATORIO'!M54-Q16-Q17</f>
        <v>10927366</v>
      </c>
      <c r="R15" s="205"/>
    </row>
    <row r="16" spans="1:18" x14ac:dyDescent="0.25">
      <c r="A16" s="196">
        <v>62</v>
      </c>
      <c r="B16" s="197"/>
      <c r="C16" s="197"/>
      <c r="D16" s="197">
        <v>1</v>
      </c>
      <c r="E16" s="197"/>
      <c r="F16" s="197">
        <v>4901</v>
      </c>
      <c r="G16" s="197">
        <v>3</v>
      </c>
      <c r="H16" s="197">
        <v>1</v>
      </c>
      <c r="I16" s="197">
        <v>2</v>
      </c>
      <c r="J16" s="197">
        <v>3</v>
      </c>
      <c r="K16" s="197">
        <v>4</v>
      </c>
      <c r="L16" s="197"/>
      <c r="M16" s="198">
        <v>1</v>
      </c>
      <c r="N16" s="199" t="s">
        <v>154</v>
      </c>
      <c r="O16" s="252" t="s">
        <v>172</v>
      </c>
      <c r="P16" s="253"/>
      <c r="Q16" s="191">
        <f>+'SAF 011'!L23+'SAF 011'!L44</f>
        <v>62700</v>
      </c>
      <c r="R16" s="205"/>
    </row>
    <row r="17" spans="1:17" x14ac:dyDescent="0.25">
      <c r="A17" s="196">
        <v>62</v>
      </c>
      <c r="B17" s="197"/>
      <c r="C17" s="197"/>
      <c r="D17" s="197">
        <v>1</v>
      </c>
      <c r="E17" s="197"/>
      <c r="F17" s="199">
        <v>4901</v>
      </c>
      <c r="G17" s="197">
        <v>3</v>
      </c>
      <c r="H17" s="197">
        <v>1</v>
      </c>
      <c r="I17" s="197">
        <v>2</v>
      </c>
      <c r="J17" s="197">
        <v>9</v>
      </c>
      <c r="K17" s="197">
        <v>3</v>
      </c>
      <c r="L17" s="197"/>
      <c r="M17" s="198">
        <v>1</v>
      </c>
      <c r="N17" s="199" t="s">
        <v>154</v>
      </c>
      <c r="O17" s="252" t="s">
        <v>173</v>
      </c>
      <c r="P17" s="253"/>
      <c r="Q17" s="191">
        <f>+'SAF 011'!L32</f>
        <v>117200</v>
      </c>
    </row>
    <row r="18" spans="1:17" x14ac:dyDescent="0.25">
      <c r="A18" s="176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8"/>
      <c r="N18" s="179"/>
      <c r="O18" s="245"/>
      <c r="P18" s="245"/>
      <c r="Q18" s="191"/>
    </row>
    <row r="19" spans="1:17" x14ac:dyDescent="0.25">
      <c r="A19" s="176"/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8"/>
      <c r="N19" s="179"/>
      <c r="O19" s="245"/>
      <c r="P19" s="245"/>
      <c r="Q19" s="191"/>
    </row>
    <row r="20" spans="1:17" x14ac:dyDescent="0.25">
      <c r="A20" s="176"/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8"/>
      <c r="N20" s="179"/>
      <c r="O20" s="245"/>
      <c r="P20" s="245"/>
      <c r="Q20" s="191"/>
    </row>
    <row r="21" spans="1:17" x14ac:dyDescent="0.25">
      <c r="A21" s="176"/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8"/>
      <c r="N21" s="179"/>
      <c r="O21" s="245"/>
      <c r="P21" s="245"/>
      <c r="Q21" s="191"/>
    </row>
    <row r="22" spans="1:17" x14ac:dyDescent="0.25">
      <c r="A22" s="176"/>
      <c r="B22" s="177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8"/>
      <c r="N22" s="179"/>
      <c r="O22" s="245"/>
      <c r="P22" s="245"/>
      <c r="Q22" s="191"/>
    </row>
    <row r="23" spans="1:17" x14ac:dyDescent="0.25">
      <c r="A23" s="176"/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8"/>
      <c r="N23" s="179"/>
      <c r="O23" s="245"/>
      <c r="P23" s="245"/>
      <c r="Q23" s="191"/>
    </row>
    <row r="24" spans="1:17" x14ac:dyDescent="0.25">
      <c r="A24" s="176"/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8"/>
      <c r="N24" s="179"/>
      <c r="O24" s="245"/>
      <c r="P24" s="245"/>
      <c r="Q24" s="191"/>
    </row>
    <row r="25" spans="1:17" x14ac:dyDescent="0.25">
      <c r="A25" s="176"/>
      <c r="B25" s="177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8"/>
      <c r="N25" s="179"/>
      <c r="O25" s="245"/>
      <c r="P25" s="245"/>
      <c r="Q25" s="191"/>
    </row>
    <row r="26" spans="1:17" x14ac:dyDescent="0.25">
      <c r="A26" s="176"/>
      <c r="B26" s="177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8"/>
      <c r="N26" s="179"/>
      <c r="O26" s="245"/>
      <c r="P26" s="245"/>
      <c r="Q26" s="191"/>
    </row>
    <row r="27" spans="1:17" x14ac:dyDescent="0.25">
      <c r="A27" s="176"/>
      <c r="B27" s="177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8"/>
      <c r="N27" s="179"/>
      <c r="O27" s="245"/>
      <c r="P27" s="245"/>
      <c r="Q27" s="191"/>
    </row>
    <row r="28" spans="1:17" x14ac:dyDescent="0.25">
      <c r="A28" s="176"/>
      <c r="B28" s="177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8"/>
      <c r="N28" s="179"/>
      <c r="O28" s="245"/>
      <c r="P28" s="245"/>
      <c r="Q28" s="191"/>
    </row>
    <row r="29" spans="1:17" x14ac:dyDescent="0.25">
      <c r="A29" s="176"/>
      <c r="B29" s="177"/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8"/>
      <c r="N29" s="179"/>
      <c r="O29" s="245"/>
      <c r="P29" s="245"/>
      <c r="Q29" s="191"/>
    </row>
    <row r="30" spans="1:17" x14ac:dyDescent="0.25">
      <c r="A30" s="176"/>
      <c r="B30" s="177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8"/>
      <c r="N30" s="179"/>
      <c r="O30" s="245"/>
      <c r="P30" s="245"/>
      <c r="Q30" s="191"/>
    </row>
    <row r="31" spans="1:17" x14ac:dyDescent="0.25">
      <c r="A31" s="176"/>
      <c r="B31" s="177"/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178"/>
      <c r="N31" s="179"/>
      <c r="O31" s="245"/>
      <c r="P31" s="245"/>
      <c r="Q31" s="191"/>
    </row>
    <row r="32" spans="1:17" x14ac:dyDescent="0.25">
      <c r="A32" s="176"/>
      <c r="B32" s="177"/>
      <c r="C32" s="177"/>
      <c r="D32" s="177"/>
      <c r="E32" s="177"/>
      <c r="F32" s="179"/>
      <c r="G32" s="177"/>
      <c r="H32" s="177"/>
      <c r="I32" s="177"/>
      <c r="J32" s="177"/>
      <c r="K32" s="177"/>
      <c r="L32" s="177"/>
      <c r="M32" s="178"/>
      <c r="N32" s="179"/>
      <c r="O32" s="240"/>
      <c r="P32" s="240"/>
      <c r="Q32" s="191"/>
    </row>
    <row r="33" spans="1:17" x14ac:dyDescent="0.25">
      <c r="A33" s="176"/>
      <c r="B33" s="177"/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178"/>
      <c r="N33" s="179"/>
      <c r="O33" s="240"/>
      <c r="P33" s="240"/>
      <c r="Q33" s="191"/>
    </row>
    <row r="34" spans="1:17" x14ac:dyDescent="0.25">
      <c r="A34" s="176"/>
      <c r="B34" s="177"/>
      <c r="C34" s="177"/>
      <c r="D34" s="177"/>
      <c r="E34" s="177"/>
      <c r="F34" s="179"/>
      <c r="G34" s="177"/>
      <c r="H34" s="177"/>
      <c r="I34" s="177"/>
      <c r="J34" s="177"/>
      <c r="K34" s="177"/>
      <c r="L34" s="177"/>
      <c r="M34" s="178"/>
      <c r="N34" s="179"/>
      <c r="O34" s="240"/>
      <c r="P34" s="240"/>
      <c r="Q34" s="191"/>
    </row>
    <row r="35" spans="1:17" x14ac:dyDescent="0.25">
      <c r="A35" s="176"/>
      <c r="B35" s="177"/>
      <c r="C35" s="177"/>
      <c r="D35" s="177"/>
      <c r="E35" s="177"/>
      <c r="F35" s="179"/>
      <c r="G35" s="177"/>
      <c r="H35" s="177"/>
      <c r="I35" s="177"/>
      <c r="J35" s="177"/>
      <c r="K35" s="177"/>
      <c r="L35" s="177"/>
      <c r="M35" s="178"/>
      <c r="N35" s="179"/>
      <c r="O35" s="240"/>
      <c r="P35" s="240"/>
      <c r="Q35" s="191"/>
    </row>
    <row r="36" spans="1:17" x14ac:dyDescent="0.25">
      <c r="A36" s="180"/>
      <c r="B36" s="181"/>
      <c r="C36" s="181"/>
      <c r="D36" s="181"/>
      <c r="E36" s="181"/>
      <c r="F36" s="182"/>
      <c r="G36" s="181"/>
      <c r="H36" s="181"/>
      <c r="I36" s="181"/>
      <c r="J36" s="181"/>
      <c r="K36" s="181"/>
      <c r="L36" s="181"/>
      <c r="M36" s="183"/>
      <c r="N36" s="184"/>
      <c r="O36" s="241"/>
      <c r="P36" s="241"/>
      <c r="Q36" s="191"/>
    </row>
    <row r="37" spans="1:17" ht="15.75" thickBot="1" x14ac:dyDescent="0.3">
      <c r="A37" s="185"/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7"/>
      <c r="N37" s="186"/>
      <c r="O37" s="242"/>
      <c r="P37" s="242"/>
      <c r="Q37" s="192"/>
    </row>
    <row r="38" spans="1:17" ht="38.25" customHeight="1" thickBot="1" x14ac:dyDescent="0.3">
      <c r="A38" s="243" t="str">
        <f>+'NP LABORATORIO'!A54:I54</f>
        <v>Costo total estimado: ONCE MILLONES CIENTO SIETE  MIL DOSCIENTOS SESENTA Y SEIS CON 00/100.-</v>
      </c>
      <c r="B38" s="243"/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3"/>
      <c r="O38" s="243"/>
      <c r="P38" s="243"/>
      <c r="Q38" s="208">
        <f>SUM(Q15:Q37)</f>
        <v>11107266</v>
      </c>
    </row>
    <row r="39" spans="1:17" ht="15.75" thickBot="1" x14ac:dyDescent="0.3">
      <c r="A39" s="244"/>
      <c r="B39" s="244"/>
      <c r="C39" s="244"/>
      <c r="D39" s="244"/>
      <c r="E39" s="244"/>
      <c r="F39" s="244"/>
      <c r="G39" s="244"/>
      <c r="H39" s="244"/>
      <c r="I39" s="244"/>
      <c r="J39" s="244"/>
      <c r="K39" s="244"/>
      <c r="L39" s="244"/>
      <c r="M39" s="244"/>
      <c r="N39" s="244"/>
      <c r="O39" s="244"/>
      <c r="P39" s="244"/>
      <c r="Q39" s="244"/>
    </row>
    <row r="40" spans="1:17" ht="15.75" thickBot="1" x14ac:dyDescent="0.3">
      <c r="A40" s="237" t="s">
        <v>155</v>
      </c>
      <c r="B40" s="237"/>
      <c r="C40" s="237"/>
      <c r="D40" s="237"/>
      <c r="E40" s="237"/>
      <c r="F40" s="237"/>
      <c r="G40" s="238"/>
      <c r="H40" s="238"/>
      <c r="I40" s="238"/>
      <c r="J40" s="238"/>
      <c r="K40" s="238"/>
      <c r="L40" s="238"/>
      <c r="M40" s="238"/>
      <c r="N40" s="238"/>
      <c r="O40" s="238"/>
      <c r="P40" s="238"/>
      <c r="Q40" s="238"/>
    </row>
    <row r="41" spans="1:17" ht="15.75" thickBot="1" x14ac:dyDescent="0.3">
      <c r="A41" s="239" t="str">
        <f>'NP LABORATORIO'!D8</f>
        <v>ADQ. DEL RUBRO DESCARTABLES PARA LABORATORIO</v>
      </c>
      <c r="B41" s="239"/>
      <c r="C41" s="239"/>
      <c r="D41" s="239"/>
      <c r="E41" s="239"/>
      <c r="F41" s="239"/>
      <c r="G41" s="239"/>
      <c r="H41" s="239"/>
      <c r="I41" s="239"/>
      <c r="J41" s="239"/>
      <c r="K41" s="239"/>
      <c r="L41" s="239"/>
      <c r="M41" s="239"/>
      <c r="N41" s="239"/>
      <c r="O41" s="239"/>
      <c r="P41" s="239"/>
      <c r="Q41" s="239"/>
    </row>
    <row r="42" spans="1:17" ht="15.75" thickBot="1" x14ac:dyDescent="0.3">
      <c r="A42" s="239"/>
      <c r="B42" s="239"/>
      <c r="C42" s="239"/>
      <c r="D42" s="239"/>
      <c r="E42" s="239"/>
      <c r="F42" s="239"/>
      <c r="G42" s="239"/>
      <c r="H42" s="239"/>
      <c r="I42" s="239"/>
      <c r="J42" s="239"/>
      <c r="K42" s="239"/>
      <c r="L42" s="239"/>
      <c r="M42" s="239"/>
      <c r="N42" s="239"/>
      <c r="O42" s="239"/>
      <c r="P42" s="239"/>
      <c r="Q42" s="239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0"/>
  <sheetViews>
    <sheetView topLeftCell="C1" zoomScale="70" zoomScaleNormal="70" workbookViewId="0">
      <selection activeCell="C26" sqref="C26:G26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85.5703125" customWidth="1"/>
    <col min="8" max="8" width="9.28515625" customWidth="1"/>
    <col min="9" max="9" width="15.5703125" customWidth="1"/>
    <col min="10" max="10" width="14.7109375" customWidth="1"/>
    <col min="11" max="11" width="15.5703125" customWidth="1"/>
    <col min="13" max="13" width="14.5703125" bestFit="1" customWidth="1"/>
  </cols>
  <sheetData>
    <row r="1" spans="1:13" ht="30.75" thickBot="1" x14ac:dyDescent="0.3">
      <c r="A1" s="235" t="s">
        <v>115</v>
      </c>
      <c r="B1" s="235"/>
      <c r="C1" s="235"/>
      <c r="D1" s="235"/>
      <c r="E1" s="235"/>
      <c r="F1" s="235"/>
      <c r="G1" s="235"/>
      <c r="H1" s="235"/>
      <c r="I1" s="235"/>
      <c r="J1" s="129" t="s">
        <v>116</v>
      </c>
      <c r="K1" s="130" t="s">
        <v>163</v>
      </c>
    </row>
    <row r="2" spans="1:13" ht="16.5" thickBot="1" x14ac:dyDescent="0.3">
      <c r="A2" s="131"/>
      <c r="B2" s="132"/>
      <c r="C2" s="132"/>
      <c r="D2" s="133"/>
      <c r="E2" s="133"/>
      <c r="F2" s="133"/>
      <c r="G2" s="133"/>
      <c r="H2" s="133"/>
      <c r="I2" s="133"/>
      <c r="J2" s="134"/>
      <c r="K2" s="135"/>
    </row>
    <row r="3" spans="1:13" ht="16.5" thickBot="1" x14ac:dyDescent="0.3">
      <c r="A3" s="236" t="s">
        <v>117</v>
      </c>
      <c r="B3" s="236"/>
      <c r="C3" s="236"/>
      <c r="D3" s="136" t="s">
        <v>63</v>
      </c>
      <c r="E3" s="137"/>
      <c r="F3" s="137"/>
      <c r="G3" s="137"/>
      <c r="H3" s="137"/>
      <c r="I3" s="137"/>
      <c r="J3" s="137"/>
      <c r="K3" s="138"/>
    </row>
    <row r="4" spans="1:13" ht="16.5" thickBot="1" x14ac:dyDescent="0.3">
      <c r="A4" s="234" t="s">
        <v>118</v>
      </c>
      <c r="B4" s="234"/>
      <c r="C4" s="234"/>
      <c r="D4" s="136" t="s">
        <v>119</v>
      </c>
      <c r="E4" s="137"/>
      <c r="F4" s="137"/>
      <c r="G4" s="137"/>
      <c r="H4" s="137"/>
      <c r="I4" s="137"/>
      <c r="J4" s="137"/>
      <c r="K4" s="138"/>
    </row>
    <row r="5" spans="1:13" ht="16.5" thickBot="1" x14ac:dyDescent="0.3">
      <c r="A5" s="234" t="s">
        <v>120</v>
      </c>
      <c r="B5" s="234"/>
      <c r="C5" s="234"/>
      <c r="D5" s="136" t="s">
        <v>159</v>
      </c>
      <c r="E5" s="137"/>
      <c r="F5" s="137"/>
      <c r="G5" s="137"/>
      <c r="H5" s="137"/>
      <c r="I5" s="137"/>
      <c r="J5" s="137"/>
      <c r="K5" s="138"/>
    </row>
    <row r="6" spans="1:13" ht="16.5" thickBot="1" x14ac:dyDescent="0.3">
      <c r="A6" s="236" t="s">
        <v>122</v>
      </c>
      <c r="B6" s="236"/>
      <c r="C6" s="236"/>
      <c r="D6" s="136" t="s">
        <v>159</v>
      </c>
      <c r="E6" s="137"/>
      <c r="F6" s="137"/>
      <c r="G6" s="137"/>
      <c r="H6" s="137"/>
      <c r="I6" s="137"/>
      <c r="J6" s="137"/>
      <c r="K6" s="138"/>
    </row>
    <row r="7" spans="1:13" ht="16.5" thickBot="1" x14ac:dyDescent="0.3">
      <c r="A7" s="234" t="s">
        <v>123</v>
      </c>
      <c r="B7" s="234"/>
      <c r="C7" s="234"/>
      <c r="D7" s="136" t="s">
        <v>124</v>
      </c>
      <c r="E7" s="137"/>
      <c r="F7" s="137"/>
      <c r="G7" s="137"/>
      <c r="H7" s="137"/>
      <c r="I7" s="137"/>
      <c r="J7" s="137"/>
      <c r="K7" s="138"/>
    </row>
    <row r="8" spans="1:13" ht="16.5" thickBot="1" x14ac:dyDescent="0.3">
      <c r="A8" s="229" t="s">
        <v>125</v>
      </c>
      <c r="B8" s="229"/>
      <c r="C8" s="229"/>
      <c r="D8" s="139" t="s">
        <v>160</v>
      </c>
      <c r="E8" s="137"/>
      <c r="F8" s="137"/>
      <c r="G8" s="137"/>
      <c r="H8" s="137"/>
      <c r="I8" s="137"/>
      <c r="J8" s="137"/>
      <c r="K8" s="138"/>
    </row>
    <row r="9" spans="1:13" ht="16.5" thickBot="1" x14ac:dyDescent="0.3">
      <c r="A9" s="140"/>
      <c r="B9" s="141"/>
      <c r="C9" s="141"/>
      <c r="D9" s="142"/>
      <c r="E9" s="142"/>
      <c r="F9" s="142"/>
      <c r="G9" s="142"/>
      <c r="H9" s="142"/>
      <c r="I9" s="142"/>
      <c r="J9" s="143"/>
      <c r="K9" s="144"/>
    </row>
    <row r="10" spans="1:13" ht="15.75" thickBot="1" x14ac:dyDescent="0.3">
      <c r="A10" s="230" t="s">
        <v>126</v>
      </c>
      <c r="B10" s="232" t="s">
        <v>127</v>
      </c>
      <c r="C10" s="232" t="s">
        <v>128</v>
      </c>
      <c r="D10" s="232"/>
      <c r="E10" s="232"/>
      <c r="F10" s="232"/>
      <c r="G10" s="232"/>
      <c r="H10" s="232" t="s">
        <v>129</v>
      </c>
      <c r="I10" s="232" t="s">
        <v>130</v>
      </c>
      <c r="J10" s="225" t="s">
        <v>131</v>
      </c>
      <c r="K10" s="227" t="s">
        <v>132</v>
      </c>
    </row>
    <row r="11" spans="1:13" ht="30" customHeight="1" thickBot="1" x14ac:dyDescent="0.3">
      <c r="A11" s="231"/>
      <c r="B11" s="233"/>
      <c r="C11" s="233"/>
      <c r="D11" s="233"/>
      <c r="E11" s="233"/>
      <c r="F11" s="233"/>
      <c r="G11" s="233"/>
      <c r="H11" s="233"/>
      <c r="I11" s="233"/>
      <c r="J11" s="226"/>
      <c r="K11" s="228"/>
    </row>
    <row r="12" spans="1:13" ht="15.75" customHeight="1" x14ac:dyDescent="0.25">
      <c r="A12" s="145">
        <v>1</v>
      </c>
      <c r="B12" s="146"/>
      <c r="C12" s="263" t="str">
        <f>'SAF 011'!E11</f>
        <v>APOSITOS; TIPO: POST EXTRACCION SANGUINEA, hipoalergenica TAMAÑO: 40 X 40 mm X 100</v>
      </c>
      <c r="D12" s="263"/>
      <c r="E12" s="263"/>
      <c r="F12" s="263"/>
      <c r="G12" s="263"/>
      <c r="H12" s="147" t="s">
        <v>157</v>
      </c>
      <c r="I12" s="148" t="str">
        <f>'SAF 011'!F11</f>
        <v>CAJA</v>
      </c>
      <c r="J12" s="149">
        <f>'SAF 011'!AT11</f>
        <v>702</v>
      </c>
      <c r="K12" s="150">
        <f>'SAF 011'!M11</f>
        <v>50</v>
      </c>
      <c r="M12" s="189">
        <f>+K12*J12</f>
        <v>35100</v>
      </c>
    </row>
    <row r="13" spans="1:13" ht="15.75" customHeight="1" x14ac:dyDescent="0.25">
      <c r="A13" s="145">
        <v>2</v>
      </c>
      <c r="B13" s="146"/>
      <c r="C13" s="262" t="str">
        <f>'SAF 011'!E12</f>
        <v>BOLSAS DE SANGRE TRIPLE KS TIPO GRIFOLS PARA EL EQUIPAMIENTO DE AFERESIS GRIFOLS</v>
      </c>
      <c r="D13" s="262"/>
      <c r="E13" s="262"/>
      <c r="F13" s="262"/>
      <c r="G13" s="262"/>
      <c r="H13" s="147" t="s">
        <v>157</v>
      </c>
      <c r="I13" s="148" t="str">
        <f>'SAF 011'!F12</f>
        <v xml:space="preserve">UNIDAD </v>
      </c>
      <c r="J13" s="149">
        <f>'SAF 011'!AT12</f>
        <v>1095</v>
      </c>
      <c r="K13" s="150">
        <f>'SAF 011'!M12</f>
        <v>1700</v>
      </c>
      <c r="M13" s="189">
        <f t="shared" ref="M13:M28" si="0">+K13*J13</f>
        <v>1861500</v>
      </c>
    </row>
    <row r="14" spans="1:13" ht="15.75" customHeight="1" x14ac:dyDescent="0.25">
      <c r="A14" s="145">
        <v>3</v>
      </c>
      <c r="B14" s="146"/>
      <c r="C14" s="262" t="str">
        <f>'SAF 011'!E13</f>
        <v>CEPILLO LIMPIA PIPETA DE CERDA NATURAL DE 10 MM</v>
      </c>
      <c r="D14" s="262"/>
      <c r="E14" s="262"/>
      <c r="F14" s="262"/>
      <c r="G14" s="262"/>
      <c r="H14" s="147" t="s">
        <v>157</v>
      </c>
      <c r="I14" s="148" t="str">
        <f>'SAF 011'!F13</f>
        <v>UNIDAD</v>
      </c>
      <c r="J14" s="149">
        <f>'SAF 011'!AT13</f>
        <v>125</v>
      </c>
      <c r="K14" s="150">
        <f>'SAF 011'!M13</f>
        <v>10</v>
      </c>
      <c r="M14" s="189">
        <f t="shared" si="0"/>
        <v>1250</v>
      </c>
    </row>
    <row r="15" spans="1:13" ht="15.75" customHeight="1" x14ac:dyDescent="0.25">
      <c r="A15" s="145">
        <v>4</v>
      </c>
      <c r="B15" s="146"/>
      <c r="C15" s="262" t="str">
        <f>'SAF 011'!E18</f>
        <v>DESCARTADOR PARA AGUJA P/500 AGUJAS, MODELO E-500</v>
      </c>
      <c r="D15" s="262"/>
      <c r="E15" s="262"/>
      <c r="F15" s="262"/>
      <c r="G15" s="262"/>
      <c r="H15" s="147" t="s">
        <v>157</v>
      </c>
      <c r="I15" s="148" t="str">
        <f>'SAF 011'!F18</f>
        <v>UNIDAD</v>
      </c>
      <c r="J15" s="149">
        <f>'SAF 011'!AT18</f>
        <v>195</v>
      </c>
      <c r="K15" s="150">
        <f>'SAF 011'!M18</f>
        <v>200</v>
      </c>
      <c r="M15" s="189">
        <f t="shared" si="0"/>
        <v>39000</v>
      </c>
    </row>
    <row r="16" spans="1:13" ht="15.75" customHeight="1" x14ac:dyDescent="0.25">
      <c r="A16" s="145">
        <v>5</v>
      </c>
      <c r="B16" s="146"/>
      <c r="C16" s="262" t="str">
        <f>'SAF 011'!E29</f>
        <v xml:space="preserve">GUIA V20 C/RUEDITA *SANGRE* </v>
      </c>
      <c r="D16" s="262"/>
      <c r="E16" s="262"/>
      <c r="F16" s="262"/>
      <c r="G16" s="262"/>
      <c r="H16" s="147" t="s">
        <v>157</v>
      </c>
      <c r="I16" s="148" t="str">
        <f>'SAF 011'!F29</f>
        <v xml:space="preserve">UNIDAD </v>
      </c>
      <c r="J16" s="149">
        <f>'SAF 011'!AT29</f>
        <v>92</v>
      </c>
      <c r="K16" s="150">
        <f>'SAF 011'!M29</f>
        <v>600</v>
      </c>
      <c r="M16" s="189">
        <f t="shared" si="0"/>
        <v>55200</v>
      </c>
    </row>
    <row r="17" spans="1:13" ht="15.75" customHeight="1" x14ac:dyDescent="0.25">
      <c r="A17" s="145">
        <v>6</v>
      </c>
      <c r="B17" s="146"/>
      <c r="C17" s="262" t="str">
        <f>'SAF 011'!E35</f>
        <v>MICROPIPETAS REGULABLES; CAPACIDAD: 100 - 1000 µL, DIVISIONES: CADA 5 µL, MATERIAL: PLASTICO</v>
      </c>
      <c r="D17" s="262"/>
      <c r="E17" s="262"/>
      <c r="F17" s="262"/>
      <c r="G17" s="262"/>
      <c r="H17" s="147" t="s">
        <v>157</v>
      </c>
      <c r="I17" s="148" t="str">
        <f>'SAF 011'!F35</f>
        <v>UNIDAD</v>
      </c>
      <c r="J17" s="149">
        <f>'SAF 011'!AT35</f>
        <v>52350</v>
      </c>
      <c r="K17" s="150">
        <f>'SAF 011'!M35</f>
        <v>2</v>
      </c>
      <c r="M17" s="189">
        <f t="shared" si="0"/>
        <v>104700</v>
      </c>
    </row>
    <row r="18" spans="1:13" ht="15.75" customHeight="1" x14ac:dyDescent="0.25">
      <c r="A18" s="145">
        <v>7</v>
      </c>
      <c r="B18" s="146"/>
      <c r="C18" s="262" t="str">
        <f>'SAF 011'!E36</f>
        <v>MICROPIPETAS REGULABLES; CAPACIDAD: 10-100 µL, DIVISIONES: CADA 1 µL, MATERIAL: PLASTICO</v>
      </c>
      <c r="D18" s="262"/>
      <c r="E18" s="262"/>
      <c r="F18" s="262"/>
      <c r="G18" s="262"/>
      <c r="H18" s="147" t="s">
        <v>157</v>
      </c>
      <c r="I18" s="148" t="str">
        <f>'SAF 011'!F36</f>
        <v>UNIDAD</v>
      </c>
      <c r="J18" s="149">
        <f>'SAF 011'!AT36</f>
        <v>50350</v>
      </c>
      <c r="K18" s="150">
        <f>'SAF 011'!M36</f>
        <v>2</v>
      </c>
      <c r="M18" s="189">
        <f t="shared" si="0"/>
        <v>100700</v>
      </c>
    </row>
    <row r="19" spans="1:13" ht="15.75" customHeight="1" x14ac:dyDescent="0.25">
      <c r="A19" s="145">
        <v>8</v>
      </c>
      <c r="B19" s="146"/>
      <c r="C19" s="262" t="str">
        <f>'SAF 011'!E42</f>
        <v>PLACA PARA VDRL CON POCILLO PROFUNDO 12HOYOS</v>
      </c>
      <c r="D19" s="262"/>
      <c r="E19" s="262"/>
      <c r="F19" s="262"/>
      <c r="G19" s="262"/>
      <c r="H19" s="147" t="s">
        <v>157</v>
      </c>
      <c r="I19" s="148" t="str">
        <f>'SAF 011'!F42</f>
        <v>UNIDAD</v>
      </c>
      <c r="J19" s="149">
        <f>'SAF 011'!AT42</f>
        <v>1220</v>
      </c>
      <c r="K19" s="150">
        <f>'SAF 011'!M42</f>
        <v>5</v>
      </c>
      <c r="M19" s="189">
        <f t="shared" si="0"/>
        <v>6100</v>
      </c>
    </row>
    <row r="20" spans="1:13" ht="15.75" customHeight="1" x14ac:dyDescent="0.25">
      <c r="A20" s="145">
        <v>10</v>
      </c>
      <c r="B20" s="146"/>
      <c r="C20" s="262" t="str">
        <f>'SAF 011'!E47</f>
        <v>TIP; TIPO: AMARILLO, PRESENTACION: ENVASE X 1000 UN, CAPACIDAD: 5 A 200 µl</v>
      </c>
      <c r="D20" s="262"/>
      <c r="E20" s="262"/>
      <c r="F20" s="262"/>
      <c r="G20" s="262"/>
      <c r="H20" s="147" t="s">
        <v>157</v>
      </c>
      <c r="I20" s="148" t="str">
        <f>'SAF 011'!F47</f>
        <v>BOLSA</v>
      </c>
      <c r="J20" s="149">
        <f>'SAF 011'!AT47</f>
        <v>2865</v>
      </c>
      <c r="K20" s="150">
        <f>'SAF 011'!M47</f>
        <v>5</v>
      </c>
      <c r="M20" s="189">
        <f t="shared" si="0"/>
        <v>14325</v>
      </c>
    </row>
    <row r="21" spans="1:13" ht="15.75" customHeight="1" x14ac:dyDescent="0.25">
      <c r="A21" s="145">
        <v>11</v>
      </c>
      <c r="B21" s="146"/>
      <c r="C21" s="262" t="str">
        <f>'SAF 011'!E48</f>
        <v>TIPS AMARILLO  5 A 200 µl,   CON CORONA X 1000 UN TIPO DELTALAB</v>
      </c>
      <c r="D21" s="262"/>
      <c r="E21" s="262"/>
      <c r="F21" s="262"/>
      <c r="G21" s="262"/>
      <c r="H21" s="147" t="s">
        <v>157</v>
      </c>
      <c r="I21" s="148" t="str">
        <f>'SAF 011'!F48</f>
        <v>BOLSA</v>
      </c>
      <c r="J21" s="149">
        <f>'SAF 011'!AT48</f>
        <v>1540</v>
      </c>
      <c r="K21" s="150">
        <f>'SAF 011'!M48</f>
        <v>2</v>
      </c>
      <c r="M21" s="189">
        <f t="shared" si="0"/>
        <v>3080</v>
      </c>
    </row>
    <row r="22" spans="1:13" ht="15.75" customHeight="1" x14ac:dyDescent="0.25">
      <c r="A22" s="145">
        <v>12</v>
      </c>
      <c r="B22" s="146"/>
      <c r="C22" s="262" t="str">
        <f>'SAF 011'!E49</f>
        <v>TIPS AMARILLO 5 A 200 µl,  SIN CORONA X 1000 UN TIPO DELTALAB</v>
      </c>
      <c r="D22" s="262"/>
      <c r="E22" s="262"/>
      <c r="F22" s="262"/>
      <c r="G22" s="262"/>
      <c r="H22" s="147" t="s">
        <v>157</v>
      </c>
      <c r="I22" s="148" t="str">
        <f>'SAF 011'!F49</f>
        <v>BOLSA</v>
      </c>
      <c r="J22" s="149">
        <f>'SAF 011'!AT49</f>
        <v>1540</v>
      </c>
      <c r="K22" s="150">
        <f>'SAF 011'!M49</f>
        <v>2</v>
      </c>
      <c r="M22" s="189">
        <f t="shared" si="0"/>
        <v>3080</v>
      </c>
    </row>
    <row r="23" spans="1:13" ht="15.75" customHeight="1" x14ac:dyDescent="0.25">
      <c r="A23" s="145">
        <v>13</v>
      </c>
      <c r="B23" s="146"/>
      <c r="C23" s="262" t="str">
        <f>'SAF 011'!E51</f>
        <v>TIPS AZUL 100-1000 UL AUTOCLAVABLE - CON CORONA BOLSA POR 1000 UNIDADES TIPO DELTALAB</v>
      </c>
      <c r="D23" s="262"/>
      <c r="E23" s="262"/>
      <c r="F23" s="262"/>
      <c r="G23" s="262"/>
      <c r="H23" s="147" t="s">
        <v>157</v>
      </c>
      <c r="I23" s="148" t="str">
        <f>'SAF 011'!F51</f>
        <v>BOLSA</v>
      </c>
      <c r="J23" s="149">
        <f>'SAF 011'!AT51</f>
        <v>2204</v>
      </c>
      <c r="K23" s="150">
        <f>'SAF 011'!M51</f>
        <v>2</v>
      </c>
      <c r="M23" s="189">
        <f t="shared" si="0"/>
        <v>4408</v>
      </c>
    </row>
    <row r="24" spans="1:13" ht="15.75" customHeight="1" x14ac:dyDescent="0.25">
      <c r="A24" s="145">
        <v>14</v>
      </c>
      <c r="B24" s="146"/>
      <c r="C24" s="262" t="str">
        <f>'SAF 011'!E63</f>
        <v>TUBOS DE ENSAYO; TIPO: CONICO P/CENTRIFUGA, MATERIAL: POLIPROPILENO, DIMENSION: 0,5 A 15 mL, ACCESORIO: SIN VALOR, ACCESORIOS: SIN VALOR A ROSCA 15ML NO ETERIL, BOLSA X 100 UNID TIPO BIOLIX</v>
      </c>
      <c r="D24" s="262"/>
      <c r="E24" s="262"/>
      <c r="F24" s="262"/>
      <c r="G24" s="262"/>
      <c r="H24" s="147" t="s">
        <v>157</v>
      </c>
      <c r="I24" s="148" t="str">
        <f>'SAF 011'!F63</f>
        <v>BOLSA</v>
      </c>
      <c r="J24" s="149">
        <f>'SAF 011'!AT63</f>
        <v>5353</v>
      </c>
      <c r="K24" s="150">
        <f>'SAF 011'!M63</f>
        <v>9</v>
      </c>
      <c r="M24" s="189">
        <f t="shared" si="0"/>
        <v>48177</v>
      </c>
    </row>
    <row r="25" spans="1:13" ht="15.75" customHeight="1" x14ac:dyDescent="0.25">
      <c r="A25" s="145">
        <v>15</v>
      </c>
      <c r="B25" s="146"/>
      <c r="C25" s="262" t="str">
        <f>'SAF 011'!E64</f>
        <v xml:space="preserve">TUBOS DE ENSAYO; TIPO: EPPENDORF, MATERIAL: PLASTICO, DIMENSION: 1.5 mL, ACCESORIOS: SIN, ACCESORIO: SIN, BOLSAS X 500 UNIDADES </v>
      </c>
      <c r="D25" s="262"/>
      <c r="E25" s="262"/>
      <c r="F25" s="262"/>
      <c r="G25" s="262"/>
      <c r="H25" s="147" t="s">
        <v>157</v>
      </c>
      <c r="I25" s="148" t="str">
        <f>'SAF 011'!F64</f>
        <v>BOLSA</v>
      </c>
      <c r="J25" s="149">
        <f>'SAF 011'!AT64</f>
        <v>3558</v>
      </c>
      <c r="K25" s="150">
        <f>'SAF 011'!M64</f>
        <v>9</v>
      </c>
      <c r="M25" s="189">
        <f t="shared" si="0"/>
        <v>32022</v>
      </c>
    </row>
    <row r="26" spans="1:13" ht="15.75" customHeight="1" x14ac:dyDescent="0.25">
      <c r="A26" s="145">
        <v>16</v>
      </c>
      <c r="B26" s="146"/>
      <c r="C26" s="262" t="str">
        <f>'SAF 011'!E65</f>
        <v>TUBOS DE ENSAYO; TIPO: VACUTAINER UN, MATERIAL: VIDRIO, DIMENSION: 10 mL, ACCESORIOS: SIN, ACCESORIO: SIN, CAJA X 100 UNIDADES</v>
      </c>
      <c r="D26" s="262"/>
      <c r="E26" s="262"/>
      <c r="F26" s="262"/>
      <c r="G26" s="262"/>
      <c r="H26" s="147" t="s">
        <v>157</v>
      </c>
      <c r="I26" s="148" t="str">
        <f>'SAF 011'!F65</f>
        <v>CAJA</v>
      </c>
      <c r="J26" s="149">
        <f>'SAF 011'!AT65</f>
        <v>13000</v>
      </c>
      <c r="K26" s="150">
        <f>'SAF 011'!M65</f>
        <v>2</v>
      </c>
      <c r="M26" s="189">
        <f t="shared" si="0"/>
        <v>26000</v>
      </c>
    </row>
    <row r="27" spans="1:13" ht="15.75" customHeight="1" x14ac:dyDescent="0.25">
      <c r="A27" s="145">
        <v>17</v>
      </c>
      <c r="B27" s="146"/>
      <c r="C27" s="262" t="str">
        <f>'SAF 011'!E66</f>
        <v>TUBOS DE HEMOLISIS; MATERIAL: VIDRIO, PRESENTACION: CAJA, DIMENSION: 100 X 13 DIAM. EXT., MEDIDAS: 100 X 13 DIAM. EXT., FORMA DE PRESENTACION: SOLIDO, ESTADO: SOLIDO</v>
      </c>
      <c r="D27" s="262"/>
      <c r="E27" s="262"/>
      <c r="F27" s="262"/>
      <c r="G27" s="262"/>
      <c r="H27" s="147" t="s">
        <v>157</v>
      </c>
      <c r="I27" s="148" t="str">
        <f>'SAF 011'!F66</f>
        <v>UNIDAD</v>
      </c>
      <c r="J27" s="149">
        <f>'SAF 011'!AT66</f>
        <v>72</v>
      </c>
      <c r="K27" s="150">
        <f>'SAF 011'!M66</f>
        <v>1000</v>
      </c>
      <c r="M27" s="189">
        <f t="shared" si="0"/>
        <v>72000</v>
      </c>
    </row>
    <row r="28" spans="1:13" ht="15.75" customHeight="1" x14ac:dyDescent="0.25">
      <c r="A28" s="145">
        <v>18</v>
      </c>
      <c r="B28" s="146"/>
      <c r="C28" s="262" t="str">
        <f>'SAF 011'!E67</f>
        <v>TUBOS VACUTAINER P/SUERO DE 4ML, TAPA ROJA C/ETIQUETA CODIGO 367812 X100 UNIDADES</v>
      </c>
      <c r="D28" s="262"/>
      <c r="E28" s="262"/>
      <c r="F28" s="262"/>
      <c r="G28" s="262"/>
      <c r="H28" s="147" t="s">
        <v>157</v>
      </c>
      <c r="I28" s="148" t="str">
        <f>'SAF 011'!F67</f>
        <v>CAJAS</v>
      </c>
      <c r="J28" s="149">
        <f>'SAF 011'!AT67</f>
        <v>13700</v>
      </c>
      <c r="K28" s="150">
        <f>'SAF 011'!M67</f>
        <v>2</v>
      </c>
      <c r="M28" s="189">
        <f t="shared" si="0"/>
        <v>27400</v>
      </c>
    </row>
    <row r="29" spans="1:13" ht="15.75" x14ac:dyDescent="0.25">
      <c r="A29" s="151"/>
      <c r="B29" s="152"/>
      <c r="C29" s="221"/>
      <c r="D29" s="221"/>
      <c r="E29" s="221"/>
      <c r="F29" s="221"/>
      <c r="G29" s="221"/>
      <c r="H29" s="153"/>
      <c r="I29" s="154"/>
      <c r="J29" s="155"/>
      <c r="K29" s="156"/>
      <c r="M29" s="188"/>
    </row>
    <row r="30" spans="1:13" ht="19.5" thickBot="1" x14ac:dyDescent="0.3">
      <c r="A30" s="219" t="s">
        <v>175</v>
      </c>
      <c r="B30" s="219"/>
      <c r="C30" s="219"/>
      <c r="D30" s="219"/>
      <c r="E30" s="219"/>
      <c r="F30" s="219"/>
      <c r="G30" s="219"/>
      <c r="H30" s="219"/>
      <c r="I30" s="219"/>
      <c r="J30" s="220">
        <f>+M30</f>
        <v>2434042</v>
      </c>
      <c r="K30" s="220"/>
      <c r="M30" s="189">
        <f>SUM(M12:M29)</f>
        <v>2434042</v>
      </c>
    </row>
  </sheetData>
  <mergeCells count="34">
    <mergeCell ref="A7:C7"/>
    <mergeCell ref="A1:I1"/>
    <mergeCell ref="A3:C3"/>
    <mergeCell ref="A4:C4"/>
    <mergeCell ref="A5:C5"/>
    <mergeCell ref="A6:C6"/>
    <mergeCell ref="A8:C8"/>
    <mergeCell ref="A10:A11"/>
    <mergeCell ref="B10:B11"/>
    <mergeCell ref="C10:G11"/>
    <mergeCell ref="H10:H11"/>
    <mergeCell ref="C15:G15"/>
    <mergeCell ref="J10:J11"/>
    <mergeCell ref="K10:K11"/>
    <mergeCell ref="C12:G12"/>
    <mergeCell ref="C13:G13"/>
    <mergeCell ref="C14:G14"/>
    <mergeCell ref="I10:I11"/>
    <mergeCell ref="C16:G16"/>
    <mergeCell ref="C29:G29"/>
    <mergeCell ref="A30:I30"/>
    <mergeCell ref="J30:K30"/>
    <mergeCell ref="C17:G17"/>
    <mergeCell ref="C18:G18"/>
    <mergeCell ref="C24:G24"/>
    <mergeCell ref="C25:G25"/>
    <mergeCell ref="C26:G26"/>
    <mergeCell ref="C27:G27"/>
    <mergeCell ref="C28:G28"/>
    <mergeCell ref="C23:G23"/>
    <mergeCell ref="C20:G20"/>
    <mergeCell ref="C21:G21"/>
    <mergeCell ref="C22:G22"/>
    <mergeCell ref="C19:G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2"/>
  <sheetViews>
    <sheetView topLeftCell="A22" workbookViewId="0">
      <selection activeCell="A38" sqref="A38:P38"/>
    </sheetView>
  </sheetViews>
  <sheetFormatPr baseColWidth="10" defaultRowHeight="15" x14ac:dyDescent="0.25"/>
  <cols>
    <col min="1" max="5" width="4.42578125" customWidth="1"/>
    <col min="6" max="6" width="5" bestFit="1" customWidth="1"/>
    <col min="7" max="14" width="4.42578125" customWidth="1"/>
    <col min="15" max="16" width="14.85546875" customWidth="1"/>
    <col min="17" max="17" width="17" customWidth="1"/>
  </cols>
  <sheetData>
    <row r="1" spans="1:17" ht="15.75" thickBot="1" x14ac:dyDescent="0.3">
      <c r="A1" s="255" t="s">
        <v>3</v>
      </c>
      <c r="B1" s="255"/>
      <c r="C1" s="255"/>
      <c r="D1" s="256">
        <v>2021</v>
      </c>
      <c r="E1" s="256"/>
      <c r="F1" s="157"/>
      <c r="G1" s="157"/>
      <c r="H1" s="158"/>
      <c r="I1" s="158"/>
      <c r="J1" s="158"/>
      <c r="K1" s="158"/>
      <c r="L1" s="158"/>
      <c r="M1" s="158"/>
      <c r="N1" s="158"/>
      <c r="O1" s="159"/>
      <c r="P1" s="257" t="s">
        <v>133</v>
      </c>
      <c r="Q1" s="257"/>
    </row>
    <row r="2" spans="1:17" ht="15.75" thickBot="1" x14ac:dyDescent="0.3">
      <c r="A2" s="160"/>
      <c r="B2" s="97"/>
      <c r="C2" s="97"/>
      <c r="D2" s="97"/>
      <c r="E2" s="97"/>
      <c r="F2" s="97"/>
      <c r="G2" s="161"/>
      <c r="H2" s="162"/>
      <c r="I2" s="162"/>
      <c r="J2" s="162"/>
      <c r="K2" s="162"/>
      <c r="L2" s="162"/>
      <c r="M2" s="162"/>
      <c r="N2" s="162"/>
      <c r="O2" s="97"/>
      <c r="P2" s="257"/>
      <c r="Q2" s="257"/>
    </row>
    <row r="3" spans="1:17" ht="15.75" thickBot="1" x14ac:dyDescent="0.3">
      <c r="A3" s="160"/>
      <c r="B3" s="97"/>
      <c r="C3" s="97"/>
      <c r="D3" s="97"/>
      <c r="E3" s="97"/>
      <c r="F3" s="97"/>
      <c r="G3" s="161"/>
      <c r="H3" s="97"/>
      <c r="I3" s="97"/>
      <c r="J3" s="97"/>
      <c r="K3" s="97"/>
      <c r="L3" s="97"/>
      <c r="M3" s="97"/>
      <c r="N3" s="97"/>
      <c r="O3" s="97"/>
      <c r="P3" s="97"/>
      <c r="Q3" s="163"/>
    </row>
    <row r="4" spans="1:17" ht="15.75" thickBot="1" x14ac:dyDescent="0.3">
      <c r="A4" s="258" t="s">
        <v>134</v>
      </c>
      <c r="B4" s="258"/>
      <c r="C4" s="258"/>
      <c r="D4" s="258"/>
      <c r="E4" s="258"/>
      <c r="F4" s="258"/>
      <c r="G4" s="259" t="str">
        <f>'NP BANCO DE SANGRE'!D3</f>
        <v>040 - MINISTERIO DE SALUD</v>
      </c>
      <c r="H4" s="259"/>
      <c r="I4" s="259"/>
      <c r="J4" s="259"/>
      <c r="K4" s="259"/>
      <c r="L4" s="259"/>
      <c r="M4" s="259"/>
      <c r="N4" s="259"/>
      <c r="O4" s="259"/>
      <c r="P4" s="259"/>
      <c r="Q4" s="259"/>
    </row>
    <row r="5" spans="1:17" ht="15.75" thickBot="1" x14ac:dyDescent="0.3">
      <c r="A5" s="260" t="s">
        <v>118</v>
      </c>
      <c r="B5" s="260"/>
      <c r="C5" s="260"/>
      <c r="D5" s="260"/>
      <c r="E5" s="260"/>
      <c r="F5" s="260"/>
      <c r="G5" s="259" t="str">
        <f>'NP BANCO DE SANGRE'!D4</f>
        <v>011 - DIRECCION PROVINCIAL DE ADMINISTRACION DEL MINISTERIO DE SALUD</v>
      </c>
      <c r="H5" s="259"/>
      <c r="I5" s="259"/>
      <c r="J5" s="259"/>
      <c r="K5" s="259"/>
      <c r="L5" s="259"/>
      <c r="M5" s="259"/>
      <c r="N5" s="259"/>
      <c r="O5" s="259"/>
      <c r="P5" s="259"/>
      <c r="Q5" s="259"/>
    </row>
    <row r="6" spans="1:17" ht="15.75" thickBot="1" x14ac:dyDescent="0.3">
      <c r="A6" s="260" t="s">
        <v>120</v>
      </c>
      <c r="B6" s="260"/>
      <c r="C6" s="260"/>
      <c r="D6" s="260"/>
      <c r="E6" s="260"/>
      <c r="F6" s="260"/>
      <c r="G6" s="259" t="str">
        <f>'NP BANCO DE SANGRE'!D5</f>
        <v>747 - DIRECCION PROVINCIAL BANCO DE SANGRE</v>
      </c>
      <c r="H6" s="259"/>
      <c r="I6" s="259"/>
      <c r="J6" s="259"/>
      <c r="K6" s="259"/>
      <c r="L6" s="259"/>
      <c r="M6" s="259"/>
      <c r="N6" s="259"/>
      <c r="O6" s="259"/>
      <c r="P6" s="259"/>
      <c r="Q6" s="259"/>
    </row>
    <row r="7" spans="1:17" ht="15.75" thickBot="1" x14ac:dyDescent="0.3">
      <c r="A7" s="260" t="s">
        <v>122</v>
      </c>
      <c r="B7" s="260"/>
      <c r="C7" s="260"/>
      <c r="D7" s="260"/>
      <c r="E7" s="260"/>
      <c r="F7" s="260"/>
      <c r="G7" s="259" t="str">
        <f>'NP BANCO DE SANGRE'!D6</f>
        <v>747 - DIRECCION PROVINCIAL BANCO DE SANGRE</v>
      </c>
      <c r="H7" s="259"/>
      <c r="I7" s="259"/>
      <c r="J7" s="259"/>
      <c r="K7" s="259"/>
      <c r="L7" s="259"/>
      <c r="M7" s="259"/>
      <c r="N7" s="259"/>
      <c r="O7" s="259"/>
      <c r="P7" s="259"/>
      <c r="Q7" s="259"/>
    </row>
    <row r="8" spans="1:17" ht="15.75" thickBot="1" x14ac:dyDescent="0.3">
      <c r="A8" s="261" t="s">
        <v>135</v>
      </c>
      <c r="B8" s="261"/>
      <c r="C8" s="261"/>
      <c r="D8" s="261"/>
      <c r="E8" s="261"/>
      <c r="F8" s="261"/>
      <c r="G8" s="261"/>
      <c r="H8" s="261"/>
      <c r="I8" s="261"/>
      <c r="J8" s="261"/>
      <c r="K8" s="261"/>
      <c r="L8" s="261"/>
      <c r="M8" s="261"/>
      <c r="N8" s="261"/>
      <c r="O8" s="261"/>
      <c r="P8" s="261"/>
      <c r="Q8" s="261"/>
    </row>
    <row r="9" spans="1:17" ht="21.75" customHeight="1" x14ac:dyDescent="0.25">
      <c r="A9" s="254" t="s">
        <v>136</v>
      </c>
      <c r="B9" s="254"/>
      <c r="C9" s="254"/>
      <c r="D9" s="254"/>
      <c r="E9" s="254"/>
      <c r="F9" s="254"/>
      <c r="G9" s="254"/>
      <c r="H9" s="254"/>
      <c r="I9" s="254"/>
      <c r="J9" s="254"/>
      <c r="K9" s="254"/>
      <c r="L9" s="254"/>
      <c r="M9" s="254"/>
      <c r="N9" s="254"/>
      <c r="O9" s="254"/>
      <c r="P9" s="254"/>
      <c r="Q9" s="254"/>
    </row>
    <row r="10" spans="1:17" ht="50.25" customHeight="1" x14ac:dyDescent="0.25">
      <c r="A10" s="246" t="s">
        <v>164</v>
      </c>
      <c r="B10" s="246"/>
      <c r="C10" s="246"/>
      <c r="D10" s="246"/>
      <c r="E10" s="246"/>
      <c r="F10" s="246"/>
      <c r="G10" s="246"/>
      <c r="H10" s="246"/>
      <c r="I10" s="246"/>
      <c r="J10" s="246"/>
      <c r="K10" s="246"/>
      <c r="L10" s="246"/>
      <c r="M10" s="246"/>
      <c r="N10" s="246"/>
      <c r="O10" s="246"/>
      <c r="P10" s="246"/>
      <c r="Q10" s="246"/>
    </row>
    <row r="11" spans="1:17" ht="15.75" thickBot="1" x14ac:dyDescent="0.3">
      <c r="A11" s="164"/>
      <c r="B11" s="165"/>
      <c r="C11" s="165"/>
      <c r="D11" s="165"/>
      <c r="E11" s="165"/>
      <c r="F11" s="165"/>
      <c r="G11" s="166"/>
      <c r="H11" s="165"/>
      <c r="I11" s="165"/>
      <c r="J11" s="165"/>
      <c r="K11" s="165"/>
      <c r="L11" s="165"/>
      <c r="M11" s="165"/>
      <c r="N11" s="165"/>
      <c r="O11" s="165"/>
      <c r="P11" s="165"/>
      <c r="Q11" s="167"/>
    </row>
    <row r="12" spans="1:17" ht="15.75" thickBot="1" x14ac:dyDescent="0.3">
      <c r="A12" s="247" t="s">
        <v>137</v>
      </c>
      <c r="B12" s="247"/>
      <c r="C12" s="247"/>
      <c r="D12" s="247"/>
      <c r="E12" s="247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</row>
    <row r="13" spans="1:17" ht="15.75" thickBot="1" x14ac:dyDescent="0.3">
      <c r="A13" s="248" t="s">
        <v>138</v>
      </c>
      <c r="B13" s="248"/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9" t="s">
        <v>139</v>
      </c>
      <c r="P13" s="249"/>
      <c r="Q13" s="250" t="s">
        <v>140</v>
      </c>
    </row>
    <row r="14" spans="1:17" ht="15.75" thickBot="1" x14ac:dyDescent="0.3">
      <c r="A14" s="168" t="s">
        <v>141</v>
      </c>
      <c r="B14" s="169" t="s">
        <v>142</v>
      </c>
      <c r="C14" s="169" t="s">
        <v>143</v>
      </c>
      <c r="D14" s="169" t="s">
        <v>144</v>
      </c>
      <c r="E14" s="169" t="s">
        <v>145</v>
      </c>
      <c r="F14" s="169" t="s">
        <v>146</v>
      </c>
      <c r="G14" s="170" t="s">
        <v>147</v>
      </c>
      <c r="H14" s="169" t="s">
        <v>148</v>
      </c>
      <c r="I14" s="169" t="s">
        <v>149</v>
      </c>
      <c r="J14" s="169" t="s">
        <v>150</v>
      </c>
      <c r="K14" s="169" t="s">
        <v>150</v>
      </c>
      <c r="L14" s="169" t="s">
        <v>151</v>
      </c>
      <c r="M14" s="171" t="s">
        <v>152</v>
      </c>
      <c r="N14" s="172" t="s">
        <v>153</v>
      </c>
      <c r="O14" s="249"/>
      <c r="P14" s="249"/>
      <c r="Q14" s="250"/>
    </row>
    <row r="15" spans="1:17" ht="50.25" customHeight="1" x14ac:dyDescent="0.25">
      <c r="A15" s="173">
        <v>27</v>
      </c>
      <c r="B15" s="174"/>
      <c r="C15" s="174"/>
      <c r="D15" s="174">
        <v>1</v>
      </c>
      <c r="E15" s="174"/>
      <c r="F15" s="174">
        <v>4901</v>
      </c>
      <c r="G15" s="174">
        <v>3</v>
      </c>
      <c r="H15" s="174">
        <v>1</v>
      </c>
      <c r="I15" s="174">
        <v>2</v>
      </c>
      <c r="J15" s="174">
        <v>9</v>
      </c>
      <c r="K15" s="174">
        <v>5</v>
      </c>
      <c r="L15" s="174"/>
      <c r="M15" s="175">
        <v>1</v>
      </c>
      <c r="N15" s="174" t="s">
        <v>154</v>
      </c>
      <c r="O15" s="251" t="s">
        <v>158</v>
      </c>
      <c r="P15" s="251"/>
      <c r="Q15" s="190">
        <f>'NP BANCO DE SANGRE'!M30</f>
        <v>2434042</v>
      </c>
    </row>
    <row r="16" spans="1:17" x14ac:dyDescent="0.25">
      <c r="A16" s="176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8"/>
      <c r="N16" s="179"/>
      <c r="O16" s="240"/>
      <c r="P16" s="240"/>
      <c r="Q16" s="191"/>
    </row>
    <row r="17" spans="1:17" x14ac:dyDescent="0.25">
      <c r="A17" s="176"/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8"/>
      <c r="N17" s="179"/>
      <c r="O17" s="264"/>
      <c r="P17" s="264"/>
      <c r="Q17" s="191"/>
    </row>
    <row r="18" spans="1:17" x14ac:dyDescent="0.25">
      <c r="A18" s="176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8"/>
      <c r="N18" s="179"/>
      <c r="O18" s="245"/>
      <c r="P18" s="245"/>
      <c r="Q18" s="191"/>
    </row>
    <row r="19" spans="1:17" x14ac:dyDescent="0.25">
      <c r="A19" s="176"/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8"/>
      <c r="N19" s="179"/>
      <c r="O19" s="245"/>
      <c r="P19" s="245"/>
      <c r="Q19" s="191"/>
    </row>
    <row r="20" spans="1:17" x14ac:dyDescent="0.25">
      <c r="A20" s="176"/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8"/>
      <c r="N20" s="179"/>
      <c r="O20" s="245"/>
      <c r="P20" s="245"/>
      <c r="Q20" s="191"/>
    </row>
    <row r="21" spans="1:17" x14ac:dyDescent="0.25">
      <c r="A21" s="176"/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8"/>
      <c r="N21" s="179"/>
      <c r="O21" s="245"/>
      <c r="P21" s="245"/>
      <c r="Q21" s="191"/>
    </row>
    <row r="22" spans="1:17" x14ac:dyDescent="0.25">
      <c r="A22" s="176"/>
      <c r="B22" s="177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8"/>
      <c r="N22" s="179"/>
      <c r="O22" s="245"/>
      <c r="P22" s="245"/>
      <c r="Q22" s="191"/>
    </row>
    <row r="23" spans="1:17" x14ac:dyDescent="0.25">
      <c r="A23" s="176"/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8"/>
      <c r="N23" s="179"/>
      <c r="O23" s="245"/>
      <c r="P23" s="245"/>
      <c r="Q23" s="191"/>
    </row>
    <row r="24" spans="1:17" x14ac:dyDescent="0.25">
      <c r="A24" s="176"/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8"/>
      <c r="N24" s="179"/>
      <c r="O24" s="245"/>
      <c r="P24" s="245"/>
      <c r="Q24" s="191"/>
    </row>
    <row r="25" spans="1:17" x14ac:dyDescent="0.25">
      <c r="A25" s="176"/>
      <c r="B25" s="177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8"/>
      <c r="N25" s="179"/>
      <c r="O25" s="245"/>
      <c r="P25" s="245"/>
      <c r="Q25" s="191"/>
    </row>
    <row r="26" spans="1:17" x14ac:dyDescent="0.25">
      <c r="A26" s="176"/>
      <c r="B26" s="177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8"/>
      <c r="N26" s="179"/>
      <c r="O26" s="245"/>
      <c r="P26" s="245"/>
      <c r="Q26" s="191"/>
    </row>
    <row r="27" spans="1:17" x14ac:dyDescent="0.25">
      <c r="A27" s="176"/>
      <c r="B27" s="177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8"/>
      <c r="N27" s="179"/>
      <c r="O27" s="245"/>
      <c r="P27" s="245"/>
      <c r="Q27" s="191"/>
    </row>
    <row r="28" spans="1:17" x14ac:dyDescent="0.25">
      <c r="A28" s="176"/>
      <c r="B28" s="177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8"/>
      <c r="N28" s="179"/>
      <c r="O28" s="245"/>
      <c r="P28" s="245"/>
      <c r="Q28" s="191"/>
    </row>
    <row r="29" spans="1:17" x14ac:dyDescent="0.25">
      <c r="A29" s="176"/>
      <c r="B29" s="177"/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8"/>
      <c r="N29" s="179"/>
      <c r="O29" s="245"/>
      <c r="P29" s="245"/>
      <c r="Q29" s="191"/>
    </row>
    <row r="30" spans="1:17" x14ac:dyDescent="0.25">
      <c r="A30" s="176"/>
      <c r="B30" s="177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8"/>
      <c r="N30" s="179"/>
      <c r="O30" s="245"/>
      <c r="P30" s="245"/>
      <c r="Q30" s="191"/>
    </row>
    <row r="31" spans="1:17" x14ac:dyDescent="0.25">
      <c r="A31" s="176"/>
      <c r="B31" s="177"/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178"/>
      <c r="N31" s="179"/>
      <c r="O31" s="245"/>
      <c r="P31" s="245"/>
      <c r="Q31" s="191"/>
    </row>
    <row r="32" spans="1:17" x14ac:dyDescent="0.25">
      <c r="A32" s="176"/>
      <c r="B32" s="177"/>
      <c r="C32" s="177"/>
      <c r="D32" s="177"/>
      <c r="E32" s="177"/>
      <c r="F32" s="179"/>
      <c r="G32" s="177"/>
      <c r="H32" s="177"/>
      <c r="I32" s="177"/>
      <c r="J32" s="177"/>
      <c r="K32" s="177"/>
      <c r="L32" s="177"/>
      <c r="M32" s="178"/>
      <c r="N32" s="179"/>
      <c r="O32" s="240"/>
      <c r="P32" s="240"/>
      <c r="Q32" s="191"/>
    </row>
    <row r="33" spans="1:17" x14ac:dyDescent="0.25">
      <c r="A33" s="176"/>
      <c r="B33" s="177"/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178"/>
      <c r="N33" s="179"/>
      <c r="O33" s="240"/>
      <c r="P33" s="240"/>
      <c r="Q33" s="191"/>
    </row>
    <row r="34" spans="1:17" x14ac:dyDescent="0.25">
      <c r="A34" s="176"/>
      <c r="B34" s="177"/>
      <c r="C34" s="177"/>
      <c r="D34" s="177"/>
      <c r="E34" s="177"/>
      <c r="F34" s="179"/>
      <c r="G34" s="177"/>
      <c r="H34" s="177"/>
      <c r="I34" s="177"/>
      <c r="J34" s="177"/>
      <c r="K34" s="177"/>
      <c r="L34" s="177"/>
      <c r="M34" s="178"/>
      <c r="N34" s="179"/>
      <c r="O34" s="240"/>
      <c r="P34" s="240"/>
      <c r="Q34" s="191"/>
    </row>
    <row r="35" spans="1:17" x14ac:dyDescent="0.25">
      <c r="A35" s="176"/>
      <c r="B35" s="177"/>
      <c r="C35" s="177"/>
      <c r="D35" s="177"/>
      <c r="E35" s="177"/>
      <c r="F35" s="179"/>
      <c r="G35" s="177"/>
      <c r="H35" s="177"/>
      <c r="I35" s="177"/>
      <c r="J35" s="177"/>
      <c r="K35" s="177"/>
      <c r="L35" s="177"/>
      <c r="M35" s="178"/>
      <c r="N35" s="179"/>
      <c r="O35" s="240"/>
      <c r="P35" s="240"/>
      <c r="Q35" s="191"/>
    </row>
    <row r="36" spans="1:17" x14ac:dyDescent="0.25">
      <c r="A36" s="180"/>
      <c r="B36" s="181"/>
      <c r="C36" s="181"/>
      <c r="D36" s="181"/>
      <c r="E36" s="181"/>
      <c r="F36" s="182"/>
      <c r="G36" s="181"/>
      <c r="H36" s="181"/>
      <c r="I36" s="181"/>
      <c r="J36" s="181"/>
      <c r="K36" s="181"/>
      <c r="L36" s="181"/>
      <c r="M36" s="183"/>
      <c r="N36" s="184"/>
      <c r="O36" s="241"/>
      <c r="P36" s="241"/>
      <c r="Q36" s="191"/>
    </row>
    <row r="37" spans="1:17" ht="15.75" thickBot="1" x14ac:dyDescent="0.3">
      <c r="A37" s="185"/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7"/>
      <c r="N37" s="186"/>
      <c r="O37" s="242"/>
      <c r="P37" s="242"/>
      <c r="Q37" s="192"/>
    </row>
    <row r="38" spans="1:17" ht="36" customHeight="1" thickBot="1" x14ac:dyDescent="0.3">
      <c r="A38" s="243" t="str">
        <f>+'NP BANCO DE SANGRE'!A30:I30</f>
        <v>Costo total estimado: DOS MILLONES CUATROCIENTOS TREINTA Y CUATRO MIL CUARENTA Y DOS CON 00/100.-</v>
      </c>
      <c r="B38" s="243"/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3"/>
      <c r="O38" s="243"/>
      <c r="P38" s="243"/>
      <c r="Q38" s="193">
        <f>SUM(Q15:Q37)</f>
        <v>2434042</v>
      </c>
    </row>
    <row r="39" spans="1:17" ht="15.75" thickBot="1" x14ac:dyDescent="0.3">
      <c r="A39" s="244"/>
      <c r="B39" s="244"/>
      <c r="C39" s="244"/>
      <c r="D39" s="244"/>
      <c r="E39" s="244"/>
      <c r="F39" s="244"/>
      <c r="G39" s="244"/>
      <c r="H39" s="244"/>
      <c r="I39" s="244"/>
      <c r="J39" s="244"/>
      <c r="K39" s="244"/>
      <c r="L39" s="244"/>
      <c r="M39" s="244"/>
      <c r="N39" s="244"/>
      <c r="O39" s="244"/>
      <c r="P39" s="244"/>
      <c r="Q39" s="244"/>
    </row>
    <row r="40" spans="1:17" ht="15.75" thickBot="1" x14ac:dyDescent="0.3">
      <c r="A40" s="237" t="s">
        <v>155</v>
      </c>
      <c r="B40" s="237"/>
      <c r="C40" s="237"/>
      <c r="D40" s="237"/>
      <c r="E40" s="237"/>
      <c r="F40" s="237"/>
      <c r="G40" s="238"/>
      <c r="H40" s="238"/>
      <c r="I40" s="238"/>
      <c r="J40" s="238"/>
      <c r="K40" s="238"/>
      <c r="L40" s="238"/>
      <c r="M40" s="238"/>
      <c r="N40" s="238"/>
      <c r="O40" s="238"/>
      <c r="P40" s="238"/>
      <c r="Q40" s="238"/>
    </row>
    <row r="41" spans="1:17" ht="15.75" thickBot="1" x14ac:dyDescent="0.3">
      <c r="A41" s="239" t="str">
        <f>'NP BANCO DE SANGRE'!D8</f>
        <v>ADQ. DEL RUBRO DESCARTABLES DE LABORATORIO</v>
      </c>
      <c r="B41" s="239"/>
      <c r="C41" s="239"/>
      <c r="D41" s="239"/>
      <c r="E41" s="239"/>
      <c r="F41" s="239"/>
      <c r="G41" s="239"/>
      <c r="H41" s="239"/>
      <c r="I41" s="239"/>
      <c r="J41" s="239"/>
      <c r="K41" s="239"/>
      <c r="L41" s="239"/>
      <c r="M41" s="239"/>
      <c r="N41" s="239"/>
      <c r="O41" s="239"/>
      <c r="P41" s="239"/>
      <c r="Q41" s="239"/>
    </row>
    <row r="42" spans="1:17" ht="15.75" thickBot="1" x14ac:dyDescent="0.3">
      <c r="A42" s="239"/>
      <c r="B42" s="239"/>
      <c r="C42" s="239"/>
      <c r="D42" s="239"/>
      <c r="E42" s="239"/>
      <c r="F42" s="239"/>
      <c r="G42" s="239"/>
      <c r="H42" s="239"/>
      <c r="I42" s="239"/>
      <c r="J42" s="239"/>
      <c r="K42" s="239"/>
      <c r="L42" s="239"/>
      <c r="M42" s="239"/>
      <c r="N42" s="239"/>
      <c r="O42" s="239"/>
      <c r="P42" s="239"/>
      <c r="Q42" s="239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SAF 011</vt:lpstr>
      <vt:lpstr>NP LABORATORIO</vt:lpstr>
      <vt:lpstr>APG LABORATORIO</vt:lpstr>
      <vt:lpstr>NP BANCO DE SANGRE</vt:lpstr>
      <vt:lpstr>APG BANCO DE SANGRE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</dc:creator>
  <cp:lastModifiedBy>COMPRAS</cp:lastModifiedBy>
  <dcterms:created xsi:type="dcterms:W3CDTF">2021-08-30T13:24:26Z</dcterms:created>
  <dcterms:modified xsi:type="dcterms:W3CDTF">2021-12-06T15:21:03Z</dcterms:modified>
</cp:coreProperties>
</file>