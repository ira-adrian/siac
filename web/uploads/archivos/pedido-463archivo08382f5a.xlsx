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901"/>
  <workbookPr defaultThemeVersion="124226"/>
  <mc:AlternateContent xmlns:mc="http://schemas.openxmlformats.org/markup-compatibility/2006">
    <mc:Choice Requires="x15">
      <x15ac:absPath xmlns:x15ac="http://schemas.microsoft.com/office/spreadsheetml/2010/11/ac" url="C:\Users\VIRGINIA GRIMA\Desktop\"/>
    </mc:Choice>
  </mc:AlternateContent>
  <xr:revisionPtr revIDLastSave="0" documentId="13_ncr:1_{FAE7FFA4-784C-45D0-8627-4D7AF2CF518D}" xr6:coauthVersionLast="46" xr6:coauthVersionMax="46" xr10:uidLastSave="{00000000-0000-0000-0000-000000000000}"/>
  <bookViews>
    <workbookView xWindow="-120" yWindow="-120" windowWidth="20730" windowHeight="11160" tabRatio="500" xr2:uid="{00000000-000D-0000-FFFF-FFFF00000000}"/>
  </bookViews>
  <sheets>
    <sheet name="Necesidades Trimestrales" sheetId="1" r:id="rId1"/>
    <sheet name=" NotaPedido" sheetId="2" state="hidden" r:id="rId2"/>
    <sheet name="Autor Gastar" sheetId="3" state="hidden" r:id="rId3"/>
  </sheets>
  <definedNames>
    <definedName name="_xlnm.Print_Area" localSheetId="1">' NotaPedido'!$A$1:$K$15</definedName>
    <definedName name="_xlnm.Print_Area" localSheetId="2">'Autor Gastar'!$A$1:$Q$20</definedName>
  </definedNames>
  <calcPr calcId="181029"/>
</workbook>
</file>

<file path=xl/calcChain.xml><?xml version="1.0" encoding="utf-8"?>
<calcChain xmlns="http://schemas.openxmlformats.org/spreadsheetml/2006/main">
  <c r="I10" i="1" l="1"/>
  <c r="I12" i="1"/>
  <c r="I13" i="1" l="1"/>
  <c r="I11" i="1"/>
  <c r="D11" i="1"/>
  <c r="I13" i="2"/>
  <c r="J13" i="2"/>
  <c r="K13" i="2"/>
  <c r="I14" i="2"/>
  <c r="J14" i="2"/>
  <c r="K14" i="2"/>
  <c r="C13" i="2"/>
  <c r="C14" i="2"/>
  <c r="B13" i="2"/>
  <c r="B14" i="2"/>
  <c r="K12" i="2"/>
  <c r="I12" i="2"/>
  <c r="J12" i="2"/>
  <c r="C12" i="2"/>
  <c r="B12" i="2"/>
  <c r="I14" i="1" l="1"/>
  <c r="O15" i="3"/>
  <c r="A19" i="3"/>
  <c r="A10" i="3"/>
  <c r="J15" i="2" l="1"/>
  <c r="Q15" i="3" l="1"/>
  <c r="Q16" i="3" s="1"/>
  <c r="G6" i="3" l="1"/>
  <c r="G7" i="3"/>
  <c r="D3" i="2"/>
  <c r="G4" i="3" s="1"/>
  <c r="D4" i="2"/>
  <c r="G5" i="3" s="1"/>
  <c r="D1" i="3" l="1"/>
</calcChain>
</file>

<file path=xl/sharedStrings.xml><?xml version="1.0" encoding="utf-8"?>
<sst xmlns="http://schemas.openxmlformats.org/spreadsheetml/2006/main" count="105" uniqueCount="91">
  <si>
    <t>Pedido de Necesidades Trimestrales</t>
  </si>
  <si>
    <t>JURISDICCION:</t>
  </si>
  <si>
    <t>90 - Ministerio de Seguridad</t>
  </si>
  <si>
    <t xml:space="preserve">SAF N°: </t>
  </si>
  <si>
    <t>7- Dirección Provincial de Administración de la Policía de la Provincia de Catamarca</t>
  </si>
  <si>
    <t>EJERCICIO:</t>
  </si>
  <si>
    <t>TRIMESTRE:</t>
  </si>
  <si>
    <t>ID</t>
  </si>
  <si>
    <t>CODIGO ITEM</t>
  </si>
  <si>
    <t>RUBRO DE COMPRA</t>
  </si>
  <si>
    <t xml:space="preserve">I.P.P. </t>
  </si>
  <si>
    <t>DESCRIPCION</t>
  </si>
  <si>
    <t>UNIDAD DE MEDIDA</t>
  </si>
  <si>
    <t>CANTIDAD</t>
  </si>
  <si>
    <t>PRECIO UNITARIO ESTIMADO</t>
  </si>
  <si>
    <t xml:space="preserve">IMPORTE TOTAL ESTIMADO </t>
  </si>
  <si>
    <t>2.1.2-2875.1</t>
  </si>
  <si>
    <t>ALIMENTOS</t>
  </si>
  <si>
    <t>2.1.2</t>
  </si>
  <si>
    <t>ALIMENTOS P/PERROS; PRESENTACION: BOLSA X 15 KG, CAPACIDAD: 15 KG, SABOR: POLLO-PESCADO-CARNE, TIPO: PERRO ADULTO</t>
  </si>
  <si>
    <t>UNIDAD</t>
  </si>
  <si>
    <t>2.1.2-2888.34</t>
  </si>
  <si>
    <t>ALIMENTOS Y FORRAJES; TIPO: ALFALFA, PRESENTACION: A GRANEL, USO: GANADO EQUINO</t>
  </si>
  <si>
    <t>2.1.2-2888.16</t>
  </si>
  <si>
    <t xml:space="preserve">ALIMENTOS </t>
  </si>
  <si>
    <t>ALIMENTOS Y FORRAJES; TIPO: MAIZ, PRESENTACION: GRANEL, CAPACIDAD: SIN VALOR, DESTINATARIO: GANADO EQUINO, USO: GANADO EQUINO</t>
  </si>
  <si>
    <t>2.1.2-2888.40</t>
  </si>
  <si>
    <t>ALIMENTOS P/GANADO ; TIPO: AVENA FORRAJERA, PRESENTACION: A GRANEL, USO: GANADO EQUINO</t>
  </si>
  <si>
    <t>Especificidades:</t>
  </si>
  <si>
    <t>Descripción técnica Item 1</t>
  </si>
  <si>
    <t xml:space="preserve"> Alimento para canes: Deberá contener: Proteína bruta (Min) 30%, estrato etero (Min) 20%, fibra cruda (Max) 3%, Minerales totales (Max) 7%, Humedad (Max.) 10%, Calcio (Min) 1,20%, Calcio (Max) 1,30%, Fosforo (min)0,90% (max) 1,10%, Vitamina A 20.000 ui/Kg, Vitamina D 2500 ui/Kg, vitamina E 250 mg/kg, Vitamina C 150 mg/kg, Omega 3 (Min) 0,40%, Omega 6 (Min) 2,40%, Glucosamina 280 mg/kg, Condroitin sulfato 250 mg/kg, Betaina 500 mg/kg y Energía metabolizable 4.380 Kcal/Kg.</t>
  </si>
  <si>
    <t>Descripción técnica Item 2</t>
  </si>
  <si>
    <t>PRESENTACIÓN: FARDOS DE 30 KG</t>
  </si>
  <si>
    <t xml:space="preserve">Descripción técnica Item 3 </t>
  </si>
  <si>
    <t xml:space="preserve"> maríz quebrado envasado en bolsas de 30 kg.</t>
  </si>
  <si>
    <t>Descripción técnica Item 4</t>
  </si>
  <si>
    <t xml:space="preserve">AVENA VENTILADA. BOLSAS POR 35 KG. </t>
  </si>
  <si>
    <t>Plazos y lugares de entrega</t>
  </si>
  <si>
    <t>Calidad Minima esperada</t>
  </si>
  <si>
    <t>Que Cumpla con lo Solicitado de Forma Integra. La fecha de vencimiento de los productos adjudicados debe ser mayor a 6 (seis)meses al momento de ser bajada en el lugar de entrega. Presentar Muestras para todos los  ítems, en su empaque original, en el cual puedan observase en forma clara la marca del mismo y sus características. 
c.1) La recepción de las muestras se realizará en el Departamento Logística (D-4) de la Policía de Catamarca, hasta momentos antes de la apertura, sito en Ruta Provincial Nº 33, Sumalao - Valle Viejo. Provincia de Catamarca.
c.2) Debidamente rotuladas por ítems e identificando claramente el oferente cotizante. No se aceptaran muestras distintas a lo cotizado.</t>
  </si>
  <si>
    <t>Mantenimiento:</t>
  </si>
  <si>
    <t>30 DIAS</t>
  </si>
  <si>
    <t>Garantia:</t>
  </si>
  <si>
    <t>*</t>
  </si>
  <si>
    <t>NOTA DE PEDIDO</t>
  </si>
  <si>
    <t>N°</t>
  </si>
  <si>
    <t>81/2021</t>
  </si>
  <si>
    <t xml:space="preserve">JURISDICCIÓN: </t>
  </si>
  <si>
    <t>SAF:</t>
  </si>
  <si>
    <t>UNIDAD EJECUTORA:</t>
  </si>
  <si>
    <t>Policía de la Provincia de Catamarca</t>
  </si>
  <si>
    <t xml:space="preserve">DEPENDENCIA SOLICITANTE: </t>
  </si>
  <si>
    <t>División Intendencia, Departamento Logística</t>
  </si>
  <si>
    <t>PERIODO UTILIZACIÓN:</t>
  </si>
  <si>
    <t>3er trimestre Año 2021.-</t>
  </si>
  <si>
    <t>OBJETO:</t>
  </si>
  <si>
    <t>Adquisición de Uniformes de Fajina para el personal policial.</t>
  </si>
  <si>
    <t>Ítem</t>
  </si>
  <si>
    <t>Codigo Item</t>
  </si>
  <si>
    <t>DESCRIPCIÓN</t>
  </si>
  <si>
    <t>Adjunta Detalle Técnico</t>
  </si>
  <si>
    <t>Unidad Medida</t>
  </si>
  <si>
    <t>Precio Unitario Estimado</t>
  </si>
  <si>
    <t>Cantidad Solicitada</t>
  </si>
  <si>
    <t>SI</t>
  </si>
  <si>
    <t>Costo total estimado: Pesos Cinco Millones Doscientos Mil con 00/100.-</t>
  </si>
  <si>
    <t>AUTORIZACION PARA GASTAR</t>
  </si>
  <si>
    <t>JURISDICCIÓN:</t>
  </si>
  <si>
    <r>
      <t>AUTORIZACIÓN</t>
    </r>
    <r>
      <rPr>
        <b/>
        <sz val="10"/>
        <rFont val="Century Gothic"/>
        <family val="2"/>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</si>
  <si>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</si>
  <si>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</si>
  <si>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</si>
  <si>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</si>
  <si>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</si>
  <si>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</si>
  <si>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</si>
  <si>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</si>
  <si>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</si>
  <si>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</si>
  <si>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</si>
  <si>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</si>
  <si>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</si>
  <si>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</si>
  <si>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</si>
  <si>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</si>
  <si>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</si>
  <si>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</si>
  <si>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</si>
  <si>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TOTAL DE PESOS:   Treinta y Cuatro Mil Novecientos Cincuenta con 00/100.-</t>
  </si>
  <si>
    <t>JUSTIFICACIÓN:</t>
  </si>
  <si>
    <r>
      <t xml:space="preserve">a) </t>
    </r>
    <r>
      <rPr>
        <b/>
        <sz val="10"/>
        <color rgb="FF000000"/>
        <rFont val="Century Gothic"/>
      </rPr>
      <t>LUGAR DE ENTREGA: Departamento Logística, sito en Av. Felix Avellaneda RP N° 33  KM 2</t>
    </r>
    <r>
      <rPr>
        <sz val="10"/>
        <color rgb="FF000000"/>
        <rFont val="Century Gothic"/>
      </rPr>
      <t>., SUMALAO - VALLE VIEJO. De 08 a 12 horas. 
b)</t>
    </r>
    <r>
      <rPr>
        <b/>
        <sz val="10"/>
        <color rgb="FF000000"/>
        <rFont val="Century Gothic"/>
      </rPr>
      <t xml:space="preserve"> FORMA DE LA ENTREGA</t>
    </r>
    <r>
      <rPr>
        <sz val="10"/>
        <color rgb="FF000000"/>
        <rFont val="Century Gothic"/>
      </rPr>
      <t xml:space="preserve">: Libre de flete, acarreo y embalaje, como así también, de todo riesgo de pérdida o destrucción total o parcial, por causas ajenas a la Institución.
c)  PLAZO DE ENTREGA: Las entregas se realizarán a requerimiento de acuerdo, a las Solicitudes de Provisión que se realicen. Se estima emitir una cantidad aproximada de 2 (Dos) Solicitudes de Provisión de 1/2 aprox. de la cantidad solicitada, en un plazo de 2 (Dos) meses: 1° Solic.de Provisión: aprox.a los 2 (Dos) dias hábiles de la firma del instrumento contractual, 2° Solic.de Provisión: al mes de la firma del instrumento contractual. Plazo de cumplimiento de cada Solicitud de Provisión: a los 5 días hábiles de notificada la misma, según necesidades del Organismo solicitante. Forma de Pago: Se solicita Pagos parciales por cada Solicitud de Provisión emitida, una vez finalizada la entrega de las cantidades contenidas en la misma.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</si>
</sst>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quot;$&quot;\ * #,##0.00_ ;_ &quot;$&quot;\ * \-#,##0.00_ ;_ &quot;$&quot;\ * &quot;-&quot;??_ ;_ @_ "/>
    <numFmt numFmtId="165" formatCode="_(\$* #,##0.00_);_(\$* \(#,##0.00\);_(\$* \-??_);_(@_)"/>
    <numFmt numFmtId="166" formatCode="_-* #,##0.00&quot; €&quot;_-;\-* #,##0.00&quot; €&quot;_-;_-* \-??&quot; €&quot;_-;_-@_-"/>
    <numFmt numFmtId="167" formatCode="[$$-2C0A]\ #,##0.00;[$$-2C0A]&quot; -&quot;#,##0.00"/>
    <numFmt numFmtId="168" formatCode="[$$-2C0A]\ #,##0.00"/>
    <numFmt numFmtId="169" formatCode="dd\-mm\-yy;@"/>
    <numFmt numFmtId="170" formatCode="_ [$$-2C0A]\ * #,##0.00_ ;_ [$$-2C0A]\ * \-#,##0.00_ ;_ [$$-2C0A]\ * &quot;-&quot;??_ ;_ @_ "/>
    <numFmt numFmtId="171" formatCode="&quot;$&quot;\ #,##0.00"/>
  </numFmts>
  <fonts count="24"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Arial"/>
      <family val="2"/>
    </font>
    <font>
      <sz val="10"/>
      <name val="Century Gothic"/>
      <family val="2"/>
    </font>
    <font>
      <b/>
      <sz val="10"/>
      <name val="Century Gothic"/>
      <family val="2"/>
    </font>
    <font>
      <b/>
      <sz val="10"/>
      <color rgb="FF000000"/>
      <name val="Century Gothic"/>
      <family val="2"/>
    </font>
    <font>
      <sz val="10"/>
      <color rgb="FF000000"/>
      <name val="Century Gothic"/>
      <family val="2"/>
    </font>
    <font>
      <u/>
      <sz val="10"/>
      <name val="Century Gothic"/>
      <family val="2"/>
    </font>
    <font>
      <b/>
      <u/>
      <sz val="10"/>
      <name val="Century Gothic"/>
      <family val="2"/>
    </font>
    <font>
      <b/>
      <u/>
      <sz val="12"/>
      <name val="Century Gothic"/>
      <family val="2"/>
    </font>
    <font>
      <b/>
      <sz val="12"/>
      <name val="Century Gothic"/>
      <family val="2"/>
    </font>
    <font>
      <sz val="12"/>
      <name val="Century Gothic"/>
      <family val="2"/>
    </font>
    <font>
      <b/>
      <sz val="11"/>
      <name val="Century Gothic"/>
      <family val="2"/>
    </font>
    <font>
      <sz val="9"/>
      <name val="Century Gothic"/>
      <family val="2"/>
    </font>
    <font>
      <sz val="11"/>
      <name val="Century Gothic"/>
      <family val="2"/>
    </font>
    <font>
      <b/>
      <sz val="11"/>
      <color rgb="FF000000"/>
      <name val="Century Gothic"/>
      <family val="2"/>
    </font>
    <font>
      <b/>
      <sz val="22"/>
      <name val="Century Gothic"/>
      <family val="2"/>
    </font>
    <font>
      <b/>
      <sz val="12"/>
      <color rgb="FF000000"/>
      <name val="Century Gothic"/>
      <family val="2"/>
    </font>
    <font>
      <b/>
      <sz val="11"/>
      <name val="Times New Roman"/>
      <family val="1"/>
      <charset val="1"/>
    </font>
    <font>
      <sz val="10"/>
      <color theme="1"/>
      <name val="Century Gothic"/>
      <family val="2"/>
    </font>
    <font>
      <sz val="10"/>
      <color rgb="FF000000"/>
      <name val="Century Gothic"/>
    </font>
    <font>
      <b/>
      <sz val="10"/>
      <color rgb="FF000000"/>
      <name val="Century Gothic"/>
    </font>
  </fonts>
  <fills count="6">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theme="0"/>
        <bgColor rgb="FFFFFF00"/>
      </patternFill>
    </fill>
    <fill>
      <patternFill patternType="solid">
        <fgColor rgb="FFFFFFFF"/>
        <bgColor rgb="FF000000"/>
      </patternFill>
    </fill>
  </fills>
  <borders count="57">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rgb="FF3D3D3D"/>
      </right>
      <top style="medium">
        <color rgb="FF3D3D3D"/>
      </top>
      <bottom style="thin">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auto="1"/>
      </left>
      <right style="medium">
        <color auto="1"/>
      </right>
      <top/>
      <bottom style="medium">
        <color auto="1"/>
      </bottom>
      <diagonal/>
    </border>
    <border>
      <left/>
      <right style="thin">
        <color rgb="FF3D3D3D"/>
      </right>
      <top style="medium">
        <color rgb="FF3D3D3D"/>
      </top>
      <bottom style="thin">
        <color rgb="FF3D3D3D"/>
      </bottom>
      <diagonal/>
    </border>
    <border>
      <left/>
      <right/>
      <top style="medium">
        <color rgb="FF3D3D3D"/>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ck">
        <color auto="1"/>
      </left>
      <right style="thick">
        <color auto="1"/>
      </right>
      <top style="thick">
        <color auto="1"/>
      </top>
      <bottom/>
      <diagonal/>
    </border>
    <border>
      <left/>
      <right/>
      <top style="medium">
        <color auto="1"/>
      </top>
      <bottom style="medium">
        <color auto="1"/>
      </bottom>
      <diagonal/>
    </border>
    <border>
      <left style="thin">
        <color auto="1"/>
      </left>
      <right/>
      <top style="medium">
        <color indexed="64"/>
      </top>
      <bottom style="thin">
        <color auto="1"/>
      </bottom>
      <diagonal/>
    </border>
    <border>
      <left style="medium">
        <color auto="1"/>
      </left>
      <right style="medium">
        <color rgb="FF3D3D3D"/>
      </right>
      <top style="medium">
        <color auto="1"/>
      </top>
      <bottom/>
      <diagonal/>
    </border>
    <border>
      <left/>
      <right style="medium">
        <color rgb="FF3D3D3D"/>
      </right>
      <top style="medium">
        <color auto="1"/>
      </top>
      <bottom/>
      <diagonal/>
    </border>
    <border>
      <left/>
      <right style="medium">
        <color rgb="FF3D3D3D"/>
      </right>
      <top style="medium">
        <color auto="1"/>
      </top>
      <bottom style="medium">
        <color auto="1"/>
      </bottom>
      <diagonal/>
    </border>
    <border>
      <left/>
      <right style="thin">
        <color auto="1"/>
      </right>
      <top style="medium">
        <color auto="1"/>
      </top>
      <bottom style="thin">
        <color auto="1"/>
      </bottom>
      <diagonal/>
    </border>
    <border>
      <left style="thick">
        <color auto="1"/>
      </left>
      <right/>
      <top style="thick">
        <color auto="1"/>
      </top>
      <bottom/>
      <diagonal/>
    </border>
    <border>
      <left/>
      <right style="thick">
        <color auto="1"/>
      </right>
      <top style="thick">
        <color auto="1"/>
      </top>
      <bottom/>
      <diagonal/>
    </border>
    <border>
      <left style="medium">
        <color indexed="64"/>
      </left>
      <right style="thin">
        <color auto="1"/>
      </right>
      <top style="medium">
        <color indexed="64"/>
      </top>
      <bottom style="medium">
        <color indexed="64"/>
      </bottom>
      <diagonal/>
    </border>
    <border>
      <left/>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bottom style="thin">
        <color auto="1"/>
      </bottom>
      <diagonal/>
    </border>
    <border>
      <left style="thin">
        <color indexed="64"/>
      </left>
      <right style="thin">
        <color indexed="64"/>
      </right>
      <top style="thin">
        <color indexed="64"/>
      </top>
      <bottom style="thin">
        <color indexed="64"/>
      </bottom>
      <diagonal/>
    </border>
  </borders>
  <cellStyleXfs count="6">
    <xf numFmtId="0" fontId="0" fillId="0" borderId="0"/>
    <xf numFmtId="166" fontId="4" fillId="0" borderId="0" applyBorder="0" applyProtection="0"/>
    <xf numFmtId="0" fontId="1" fillId="0" borderId="1" applyProtection="0"/>
    <xf numFmtId="165" fontId="2" fillId="0" borderId="0" applyBorder="0" applyProtection="0"/>
    <xf numFmtId="0" fontId="3" fillId="2" borderId="0" applyBorder="0" applyProtection="0"/>
    <xf numFmtId="0" fontId="4" fillId="0" borderId="0"/>
  </cellStyleXfs>
  <cellXfs count="151">
    <xf numFmtId="0" fontId="0" fillId="0" borderId="0" xfId="0"/>
    <xf numFmtId="0" fontId="5" fillId="3" borderId="0" xfId="0" applyFont="1" applyFill="1"/>
    <xf numFmtId="0" fontId="8" fillId="3" borderId="0" xfId="0" applyFont="1" applyFill="1" applyAlignment="1">
      <alignment horizontal="left" wrapText="1"/>
    </xf>
    <xf numFmtId="0" fontId="7" fillId="3" borderId="43" xfId="0" applyFont="1" applyFill="1" applyBorder="1" applyAlignment="1">
      <alignment horizontal="center" vertical="center" wrapText="1"/>
    </xf>
    <xf numFmtId="0" fontId="5" fillId="3" borderId="0" xfId="0" applyFont="1" applyFill="1" applyBorder="1"/>
    <xf numFmtId="0" fontId="5" fillId="3" borderId="0" xfId="0" applyFont="1" applyFill="1" applyAlignment="1">
      <alignment horizontal="left"/>
    </xf>
    <xf numFmtId="0" fontId="8" fillId="3" borderId="0" xfId="0" applyFont="1" applyFill="1" applyAlignment="1">
      <alignment horizontal="center" wrapText="1"/>
    </xf>
    <xf numFmtId="0" fontId="19" fillId="4" borderId="0" xfId="0" applyFont="1" applyFill="1" applyAlignment="1">
      <alignment horizontal="left" wrapText="1" indent="1"/>
    </xf>
    <xf numFmtId="0" fontId="7" fillId="3" borderId="0" xfId="0" applyFont="1" applyFill="1" applyAlignment="1">
      <alignment horizontal="left" wrapText="1"/>
    </xf>
    <xf numFmtId="171" fontId="6" fillId="3" borderId="38" xfId="0" applyNumberFormat="1" applyFont="1" applyFill="1" applyBorder="1"/>
    <xf numFmtId="3" fontId="14" fillId="3" borderId="0" xfId="0" applyNumberFormat="1" applyFont="1" applyFill="1" applyBorder="1" applyAlignment="1"/>
    <xf numFmtId="169" fontId="5" fillId="3" borderId="0" xfId="0" applyNumberFormat="1" applyFont="1" applyFill="1" applyAlignment="1">
      <alignment horizontal="left"/>
    </xf>
    <xf numFmtId="0" fontId="5" fillId="3" borderId="10" xfId="0" applyFont="1" applyFill="1" applyBorder="1"/>
    <xf numFmtId="0" fontId="5" fillId="3" borderId="24" xfId="0" applyFont="1" applyFill="1" applyBorder="1"/>
    <xf numFmtId="0" fontId="5" fillId="3" borderId="12" xfId="0" applyFont="1" applyFill="1" applyBorder="1"/>
    <xf numFmtId="0" fontId="5" fillId="3" borderId="12" xfId="0" applyFont="1" applyFill="1" applyBorder="1" applyAlignment="1">
      <alignment horizontal="left"/>
    </xf>
    <xf numFmtId="0" fontId="5" fillId="3" borderId="25" xfId="0" applyFont="1" applyFill="1" applyBorder="1"/>
    <xf numFmtId="0" fontId="6" fillId="3" borderId="27" xfId="0" applyFont="1" applyFill="1" applyBorder="1" applyAlignment="1">
      <alignment horizontal="center" vertical="center"/>
    </xf>
    <xf numFmtId="0" fontId="6" fillId="3" borderId="28" xfId="0" applyFont="1" applyFill="1" applyBorder="1" applyAlignment="1">
      <alignment horizontal="center" vertical="center"/>
    </xf>
    <xf numFmtId="0" fontId="6" fillId="3" borderId="28" xfId="0" applyFont="1" applyFill="1" applyBorder="1" applyAlignment="1">
      <alignment horizontal="left" vertical="center"/>
    </xf>
    <xf numFmtId="0" fontId="6" fillId="3" borderId="29" xfId="0" applyFont="1" applyFill="1" applyBorder="1" applyAlignment="1">
      <alignment horizontal="center" vertical="center"/>
    </xf>
    <xf numFmtId="0" fontId="6" fillId="3" borderId="23" xfId="0" applyFont="1" applyFill="1" applyBorder="1" applyAlignment="1">
      <alignment horizontal="center" vertical="center"/>
    </xf>
    <xf numFmtId="0" fontId="5" fillId="3" borderId="30" xfId="0" applyFont="1" applyFill="1" applyBorder="1" applyAlignment="1">
      <alignment horizontal="center" vertical="center"/>
    </xf>
    <xf numFmtId="0" fontId="5" fillId="3" borderId="31" xfId="0" applyFont="1" applyFill="1" applyBorder="1" applyAlignment="1">
      <alignment horizontal="center" vertical="center"/>
    </xf>
    <xf numFmtId="0" fontId="5" fillId="3" borderId="32" xfId="0" applyFont="1" applyFill="1" applyBorder="1" applyAlignment="1">
      <alignment horizontal="center" vertical="center"/>
    </xf>
    <xf numFmtId="167" fontId="5" fillId="3" borderId="33" xfId="3" applyNumberFormat="1" applyFont="1" applyFill="1" applyBorder="1" applyAlignment="1" applyProtection="1">
      <alignment horizontal="center" vertical="center"/>
    </xf>
    <xf numFmtId="167" fontId="6" fillId="3" borderId="34" xfId="0" applyNumberFormat="1" applyFont="1" applyFill="1" applyBorder="1" applyAlignment="1">
      <alignment horizontal="center" vertical="center"/>
    </xf>
    <xf numFmtId="0" fontId="11" fillId="3" borderId="10" xfId="0" applyFont="1" applyFill="1" applyBorder="1" applyAlignment="1">
      <alignment horizontal="right" vertical="center"/>
    </xf>
    <xf numFmtId="0" fontId="12" fillId="3" borderId="11" xfId="0" applyFont="1" applyFill="1" applyBorder="1" applyAlignment="1">
      <alignment horizontal="center" vertical="center"/>
    </xf>
    <xf numFmtId="0" fontId="5" fillId="3" borderId="0" xfId="0" applyFont="1" applyFill="1" applyBorder="1" applyAlignment="1">
      <alignment vertical="center"/>
    </xf>
    <xf numFmtId="0" fontId="11" fillId="3" borderId="12" xfId="0" applyFont="1" applyFill="1" applyBorder="1" applyAlignment="1">
      <alignment vertical="center"/>
    </xf>
    <xf numFmtId="0" fontId="11" fillId="3" borderId="0" xfId="0" applyFont="1" applyFill="1" applyBorder="1" applyAlignment="1">
      <alignment vertical="center"/>
    </xf>
    <xf numFmtId="0" fontId="13" fillId="3" borderId="0" xfId="0" applyFont="1" applyFill="1" applyBorder="1" applyAlignment="1">
      <alignment horizontal="left" vertical="center"/>
    </xf>
    <xf numFmtId="0" fontId="12" fillId="3" borderId="0" xfId="0" applyFont="1" applyFill="1" applyBorder="1" applyAlignment="1">
      <alignment horizontal="left" vertical="center" wrapText="1" indent="1"/>
    </xf>
    <xf numFmtId="0" fontId="5" fillId="3" borderId="41" xfId="0" applyFont="1" applyFill="1" applyBorder="1" applyAlignment="1">
      <alignment horizontal="center" vertical="center" wrapText="1"/>
    </xf>
    <xf numFmtId="0" fontId="5" fillId="3" borderId="42" xfId="0" applyFont="1" applyFill="1" applyBorder="1" applyAlignment="1">
      <alignment horizontal="center" vertical="center"/>
    </xf>
    <xf numFmtId="0" fontId="5" fillId="3" borderId="42" xfId="0" applyFont="1" applyFill="1" applyBorder="1" applyAlignment="1">
      <alignment horizontal="center" vertical="center" wrapText="1"/>
    </xf>
    <xf numFmtId="170" fontId="5" fillId="3" borderId="42" xfId="1" applyNumberFormat="1" applyFont="1" applyFill="1" applyBorder="1" applyAlignment="1" applyProtection="1">
      <alignment horizontal="center" vertical="center"/>
    </xf>
    <xf numFmtId="3" fontId="5" fillId="3" borderId="42" xfId="0" applyNumberFormat="1" applyFont="1" applyFill="1" applyBorder="1" applyAlignment="1">
      <alignment horizontal="center" vertical="center"/>
    </xf>
    <xf numFmtId="170" fontId="5" fillId="3" borderId="0" xfId="0" applyNumberFormat="1" applyFont="1" applyFill="1" applyBorder="1" applyAlignment="1">
      <alignment vertical="center"/>
    </xf>
    <xf numFmtId="0" fontId="9" fillId="5" borderId="2" xfId="0" applyFont="1" applyFill="1" applyBorder="1" applyAlignment="1">
      <alignment horizontal="left"/>
    </xf>
    <xf numFmtId="0" fontId="5" fillId="5" borderId="3" xfId="0" applyFont="1" applyFill="1" applyBorder="1"/>
    <xf numFmtId="0" fontId="5" fillId="5" borderId="4" xfId="0" applyFont="1" applyFill="1" applyBorder="1"/>
    <xf numFmtId="0" fontId="5" fillId="5" borderId="0" xfId="0" applyFont="1" applyFill="1" applyBorder="1"/>
    <xf numFmtId="0" fontId="5" fillId="5" borderId="6" xfId="0" applyFont="1" applyFill="1" applyBorder="1"/>
    <xf numFmtId="0" fontId="9" fillId="5" borderId="7" xfId="0" applyFont="1" applyFill="1" applyBorder="1" applyAlignment="1"/>
    <xf numFmtId="0" fontId="9" fillId="5" borderId="0" xfId="0" applyFont="1" applyFill="1" applyBorder="1" applyAlignment="1"/>
    <xf numFmtId="0" fontId="10" fillId="5" borderId="2" xfId="0" applyFont="1" applyFill="1" applyBorder="1" applyAlignment="1">
      <alignment horizontal="left" vertical="center"/>
    </xf>
    <xf numFmtId="0" fontId="5" fillId="5" borderId="3" xfId="0" applyFont="1" applyFill="1" applyBorder="1" applyAlignment="1">
      <alignment horizontal="center" vertical="center"/>
    </xf>
    <xf numFmtId="0" fontId="5" fillId="5" borderId="4" xfId="0" applyFont="1" applyFill="1" applyBorder="1" applyAlignment="1">
      <alignment horizontal="left"/>
    </xf>
    <xf numFmtId="0" fontId="5" fillId="5" borderId="5" xfId="0" applyFont="1" applyFill="1" applyBorder="1" applyAlignment="1">
      <alignment horizontal="center" vertical="center"/>
    </xf>
    <xf numFmtId="0" fontId="10" fillId="5" borderId="5" xfId="0" applyFont="1" applyFill="1" applyBorder="1" applyAlignment="1">
      <alignment horizontal="left" vertical="center"/>
    </xf>
    <xf numFmtId="0" fontId="5" fillId="5" borderId="0" xfId="0" applyFont="1" applyFill="1" applyBorder="1" applyAlignment="1">
      <alignment horizontal="center" vertical="center"/>
    </xf>
    <xf numFmtId="0" fontId="5" fillId="5" borderId="7" xfId="0" applyFont="1" applyFill="1" applyBorder="1"/>
    <xf numFmtId="0" fontId="5" fillId="5" borderId="8" xfId="0" applyFont="1" applyFill="1" applyBorder="1"/>
    <xf numFmtId="0" fontId="5" fillId="5" borderId="9" xfId="0" applyFont="1" applyFill="1" applyBorder="1"/>
    <xf numFmtId="0" fontId="5" fillId="5" borderId="3" xfId="0" applyFont="1" applyFill="1" applyBorder="1" applyAlignment="1">
      <alignment horizontal="center" wrapText="1"/>
    </xf>
    <xf numFmtId="0" fontId="5" fillId="5" borderId="4" xfId="0" applyFont="1" applyFill="1" applyBorder="1" applyAlignment="1">
      <alignment horizontal="center" wrapText="1"/>
    </xf>
    <xf numFmtId="0" fontId="5" fillId="5" borderId="5" xfId="0" applyFont="1" applyFill="1" applyBorder="1" applyAlignment="1">
      <alignment horizontal="left" indent="3"/>
    </xf>
    <xf numFmtId="0" fontId="10" fillId="5" borderId="5" xfId="0" applyFont="1" applyFill="1" applyBorder="1" applyAlignment="1"/>
    <xf numFmtId="0" fontId="9" fillId="5" borderId="5" xfId="0" applyFont="1" applyFill="1" applyBorder="1" applyAlignment="1">
      <alignment horizontal="left" indent="3"/>
    </xf>
    <xf numFmtId="0" fontId="5" fillId="5" borderId="7" xfId="0" applyFont="1" applyFill="1" applyBorder="1" applyAlignment="1">
      <alignment horizontal="left" indent="3"/>
    </xf>
    <xf numFmtId="0" fontId="7" fillId="3" borderId="50" xfId="0" applyFont="1" applyFill="1" applyBorder="1" applyAlignment="1">
      <alignment horizontal="center" vertical="center" wrapText="1"/>
    </xf>
    <xf numFmtId="0" fontId="7" fillId="3" borderId="51" xfId="0" applyFont="1" applyFill="1" applyBorder="1" applyAlignment="1">
      <alignment horizontal="center" vertical="center" wrapText="1"/>
    </xf>
    <xf numFmtId="0" fontId="7" fillId="3" borderId="14" xfId="0" applyFont="1" applyFill="1" applyBorder="1" applyAlignment="1">
      <alignment horizontal="center" vertical="center" wrapText="1"/>
    </xf>
    <xf numFmtId="0" fontId="20" fillId="0" borderId="0" xfId="0" applyFont="1" applyBorder="1" applyAlignment="1">
      <alignment vertical="center" wrapText="1"/>
    </xf>
    <xf numFmtId="0" fontId="21" fillId="0" borderId="52" xfId="0" applyFont="1" applyBorder="1" applyAlignment="1">
      <alignment horizontal="center" vertical="center"/>
    </xf>
    <xf numFmtId="49" fontId="5" fillId="0" borderId="54" xfId="0" applyNumberFormat="1" applyFont="1" applyBorder="1" applyAlignment="1">
      <alignment vertical="center"/>
    </xf>
    <xf numFmtId="49" fontId="21" fillId="0" borderId="54" xfId="0" applyNumberFormat="1" applyFont="1" applyBorder="1" applyAlignment="1">
      <alignment vertical="center" wrapText="1"/>
    </xf>
    <xf numFmtId="0" fontId="8" fillId="3" borderId="54" xfId="0" applyFont="1" applyFill="1" applyBorder="1" applyAlignment="1">
      <alignment horizontal="center" vertical="center" wrapText="1"/>
    </xf>
    <xf numFmtId="49" fontId="21" fillId="0" borderId="54" xfId="0" applyNumberFormat="1" applyFont="1" applyBorder="1" applyAlignment="1">
      <alignment vertical="top" wrapText="1"/>
    </xf>
    <xf numFmtId="0" fontId="21" fillId="0" borderId="54" xfId="0" applyFont="1" applyBorder="1" applyAlignment="1">
      <alignment horizontal="center" vertical="center" wrapText="1"/>
    </xf>
    <xf numFmtId="49" fontId="5" fillId="3" borderId="55" xfId="0" applyNumberFormat="1" applyFont="1" applyFill="1" applyBorder="1"/>
    <xf numFmtId="0" fontId="9" fillId="5" borderId="5" xfId="0" applyFont="1" applyFill="1" applyBorder="1" applyAlignment="1">
      <alignment horizontal="left"/>
    </xf>
    <xf numFmtId="0" fontId="5" fillId="5" borderId="8" xfId="0" applyFont="1" applyFill="1" applyBorder="1" applyAlignment="1">
      <alignment vertical="center" wrapText="1"/>
    </xf>
    <xf numFmtId="164" fontId="21" fillId="0" borderId="56" xfId="1" applyNumberFormat="1" applyFont="1" applyBorder="1" applyAlignment="1">
      <alignment horizontal="center" vertical="center"/>
    </xf>
    <xf numFmtId="167" fontId="5" fillId="3" borderId="56" xfId="1" applyNumberFormat="1" applyFont="1" applyFill="1" applyBorder="1" applyAlignment="1" applyProtection="1">
      <alignment horizontal="right" vertical="center" wrapText="1"/>
    </xf>
    <xf numFmtId="0" fontId="9" fillId="5" borderId="5" xfId="0" applyFont="1" applyFill="1" applyBorder="1" applyAlignment="1"/>
    <xf numFmtId="0" fontId="5" fillId="5" borderId="0" xfId="0" applyFont="1" applyFill="1" applyBorder="1" applyAlignment="1">
      <alignment vertical="center" wrapText="1"/>
    </xf>
    <xf numFmtId="4" fontId="5" fillId="3" borderId="0" xfId="0" applyNumberFormat="1" applyFont="1" applyFill="1"/>
    <xf numFmtId="0" fontId="5" fillId="5" borderId="3" xfId="0" applyFont="1" applyFill="1" applyBorder="1" applyAlignment="1">
      <alignment horizontal="left" wrapText="1"/>
    </xf>
    <xf numFmtId="0" fontId="5" fillId="5" borderId="0" xfId="0" applyFont="1" applyFill="1" applyBorder="1" applyAlignment="1">
      <alignment horizontal="left" vertical="center" wrapText="1"/>
    </xf>
    <xf numFmtId="0" fontId="5" fillId="5" borderId="6" xfId="0" applyFont="1" applyFill="1" applyBorder="1" applyAlignment="1">
      <alignment horizontal="left"/>
    </xf>
    <xf numFmtId="0" fontId="9" fillId="5" borderId="0" xfId="0" applyFont="1" applyFill="1" applyBorder="1" applyAlignment="1">
      <alignment horizontal="right"/>
    </xf>
    <xf numFmtId="0" fontId="9" fillId="5" borderId="5" xfId="0" applyFont="1" applyFill="1" applyBorder="1" applyAlignment="1">
      <alignment horizontal="right"/>
    </xf>
    <xf numFmtId="0" fontId="9" fillId="5" borderId="0" xfId="0" applyFont="1" applyFill="1" applyBorder="1" applyAlignment="1">
      <alignment horizontal="right"/>
    </xf>
    <xf numFmtId="0" fontId="5" fillId="5" borderId="0" xfId="0" applyFont="1" applyFill="1" applyBorder="1" applyAlignment="1">
      <alignment horizontal="left" wrapText="1"/>
    </xf>
    <xf numFmtId="0" fontId="5" fillId="5" borderId="6" xfId="0" applyFont="1" applyFill="1" applyBorder="1" applyAlignment="1">
      <alignment horizontal="left" wrapText="1"/>
    </xf>
    <xf numFmtId="0" fontId="5" fillId="5" borderId="8" xfId="0" applyFont="1" applyFill="1" applyBorder="1" applyAlignment="1">
      <alignment horizontal="left" wrapText="1"/>
    </xf>
    <xf numFmtId="0" fontId="5" fillId="5" borderId="9" xfId="0" applyFont="1" applyFill="1" applyBorder="1" applyAlignment="1">
      <alignment horizontal="left" wrapText="1"/>
    </xf>
    <xf numFmtId="0" fontId="17" fillId="3" borderId="0" xfId="0" applyFont="1" applyFill="1" applyBorder="1" applyAlignment="1">
      <alignment horizontal="left" vertical="center" wrapText="1"/>
    </xf>
    <xf numFmtId="0" fontId="18" fillId="3" borderId="0" xfId="0" applyFont="1" applyFill="1" applyBorder="1" applyAlignment="1">
      <alignment horizontal="center"/>
    </xf>
    <xf numFmtId="0" fontId="19" fillId="4" borderId="0" xfId="0" applyFont="1" applyFill="1" applyBorder="1" applyAlignment="1">
      <alignment horizontal="left" wrapText="1" indent="1"/>
    </xf>
    <xf numFmtId="0" fontId="5" fillId="5" borderId="0" xfId="0" applyFont="1" applyFill="1" applyBorder="1" applyAlignment="1">
      <alignment horizontal="left" vertical="center" wrapText="1"/>
    </xf>
    <xf numFmtId="0" fontId="5" fillId="5" borderId="6" xfId="0" applyFont="1" applyFill="1" applyBorder="1" applyAlignment="1">
      <alignment horizontal="left" vertical="center" wrapText="1"/>
    </xf>
    <xf numFmtId="0" fontId="5" fillId="5" borderId="6" xfId="0" applyFont="1" applyFill="1" applyBorder="1" applyAlignment="1">
      <alignment horizontal="center"/>
    </xf>
    <xf numFmtId="0" fontId="5" fillId="5" borderId="0" xfId="0" applyFont="1" applyFill="1" applyBorder="1" applyAlignment="1">
      <alignment horizontal="left"/>
    </xf>
    <xf numFmtId="0" fontId="5" fillId="5" borderId="6" xfId="0" applyFont="1" applyFill="1" applyBorder="1" applyAlignment="1">
      <alignment horizontal="left"/>
    </xf>
    <xf numFmtId="0" fontId="11" fillId="3" borderId="0" xfId="0" applyFont="1" applyFill="1" applyBorder="1" applyAlignment="1">
      <alignment horizontal="center" vertical="center"/>
    </xf>
    <xf numFmtId="0" fontId="13" fillId="3" borderId="13" xfId="0" applyFont="1" applyFill="1" applyBorder="1" applyAlignment="1">
      <alignment horizontal="left" vertical="center" wrapText="1"/>
    </xf>
    <xf numFmtId="0" fontId="12" fillId="3" borderId="19" xfId="0" applyFont="1" applyFill="1" applyBorder="1" applyAlignment="1">
      <alignment horizontal="left" vertical="center" wrapText="1" indent="1"/>
    </xf>
    <xf numFmtId="0" fontId="12" fillId="3" borderId="44" xfId="0" applyFont="1" applyFill="1" applyBorder="1" applyAlignment="1">
      <alignment horizontal="left" vertical="center" wrapText="1" indent="1"/>
    </xf>
    <xf numFmtId="0" fontId="12" fillId="3" borderId="20" xfId="0" applyFont="1" applyFill="1" applyBorder="1" applyAlignment="1">
      <alignment horizontal="left" vertical="center" wrapText="1" indent="1"/>
    </xf>
    <xf numFmtId="0" fontId="13" fillId="3" borderId="15" xfId="0" applyFont="1" applyFill="1" applyBorder="1" applyAlignment="1">
      <alignment horizontal="left" vertical="center" wrapText="1"/>
    </xf>
    <xf numFmtId="0" fontId="12" fillId="3" borderId="14" xfId="0" applyFont="1" applyFill="1" applyBorder="1" applyAlignment="1">
      <alignment horizontal="left" vertical="center" wrapText="1" indent="1"/>
    </xf>
    <xf numFmtId="0" fontId="12" fillId="3" borderId="38" xfId="0" applyFont="1" applyFill="1" applyBorder="1" applyAlignment="1">
      <alignment horizontal="left" vertical="center" wrapText="1" indent="1"/>
    </xf>
    <xf numFmtId="168" fontId="12" fillId="3" borderId="38" xfId="0" applyNumberFormat="1" applyFont="1" applyFill="1" applyBorder="1" applyAlignment="1">
      <alignment horizontal="center" vertical="center"/>
    </xf>
    <xf numFmtId="0" fontId="12" fillId="3" borderId="35" xfId="0" applyFont="1" applyFill="1" applyBorder="1" applyAlignment="1">
      <alignment horizontal="left" vertical="center" wrapText="1" indent="1"/>
    </xf>
    <xf numFmtId="0" fontId="14" fillId="3" borderId="19" xfId="0" applyFont="1" applyFill="1" applyBorder="1" applyAlignment="1">
      <alignment horizontal="center" vertical="center"/>
    </xf>
    <xf numFmtId="0" fontId="20" fillId="0" borderId="14" xfId="0" applyFont="1" applyBorder="1" applyAlignment="1">
      <alignment horizontal="center" vertical="center" wrapText="1"/>
    </xf>
    <xf numFmtId="0" fontId="14" fillId="3" borderId="16" xfId="0" applyFont="1" applyFill="1" applyBorder="1" applyAlignment="1">
      <alignment horizontal="center" vertical="center" wrapText="1"/>
    </xf>
    <xf numFmtId="0" fontId="14" fillId="3" borderId="18" xfId="0" applyFont="1" applyFill="1" applyBorder="1" applyAlignment="1">
      <alignment horizontal="center" vertical="center" wrapText="1"/>
    </xf>
    <xf numFmtId="0" fontId="14" fillId="3" borderId="17" xfId="0" applyFont="1" applyFill="1" applyBorder="1" applyAlignment="1">
      <alignment horizontal="center" vertical="center" wrapText="1"/>
    </xf>
    <xf numFmtId="0" fontId="14" fillId="3" borderId="48" xfId="0" applyFont="1" applyFill="1" applyBorder="1" applyAlignment="1">
      <alignment horizontal="center" vertical="center" wrapText="1"/>
    </xf>
    <xf numFmtId="0" fontId="13" fillId="3" borderId="16" xfId="0" applyFont="1" applyFill="1" applyBorder="1" applyAlignment="1">
      <alignment horizontal="left" vertical="center"/>
    </xf>
    <xf numFmtId="49" fontId="15" fillId="3" borderId="45" xfId="0" applyNumberFormat="1" applyFont="1" applyFill="1" applyBorder="1" applyAlignment="1">
      <alignment horizontal="left" vertical="center" wrapText="1"/>
    </xf>
    <xf numFmtId="0" fontId="15" fillId="3" borderId="53" xfId="0" applyFont="1" applyFill="1" applyBorder="1" applyAlignment="1">
      <alignment horizontal="left" vertical="center" wrapText="1"/>
    </xf>
    <xf numFmtId="0" fontId="15" fillId="3" borderId="49" xfId="0" applyFont="1" applyFill="1" applyBorder="1" applyAlignment="1">
      <alignment horizontal="left" vertical="center" wrapText="1"/>
    </xf>
    <xf numFmtId="0" fontId="5" fillId="3" borderId="19" xfId="0" applyFont="1" applyFill="1" applyBorder="1" applyAlignment="1">
      <alignment horizontal="center"/>
    </xf>
    <xf numFmtId="3" fontId="14" fillId="3" borderId="20" xfId="0" applyNumberFormat="1" applyFont="1" applyFill="1" applyBorder="1" applyAlignment="1">
      <alignment horizontal="center"/>
    </xf>
    <xf numFmtId="0" fontId="12" fillId="3" borderId="11" xfId="0" applyFont="1" applyFill="1" applyBorder="1" applyAlignment="1">
      <alignment horizontal="center" vertical="center" wrapText="1"/>
    </xf>
    <xf numFmtId="0" fontId="5" fillId="3" borderId="11" xfId="0" applyFont="1" applyFill="1" applyBorder="1" applyAlignment="1"/>
    <xf numFmtId="0" fontId="16" fillId="3" borderId="11" xfId="0" applyFont="1" applyFill="1" applyBorder="1" applyAlignment="1">
      <alignment horizontal="left" indent="1"/>
    </xf>
    <xf numFmtId="0" fontId="5" fillId="3" borderId="13" xfId="0" applyFont="1" applyFill="1" applyBorder="1" applyAlignment="1">
      <alignment horizontal="left" vertical="center" wrapText="1"/>
    </xf>
    <xf numFmtId="0" fontId="5" fillId="3" borderId="36" xfId="0" applyFont="1" applyFill="1" applyBorder="1" applyAlignment="1">
      <alignment horizontal="left" vertical="center" wrapText="1"/>
    </xf>
    <xf numFmtId="0" fontId="5" fillId="3" borderId="37" xfId="0" applyFont="1" applyFill="1" applyBorder="1" applyAlignment="1">
      <alignment horizontal="left" vertical="center" wrapText="1"/>
    </xf>
    <xf numFmtId="0" fontId="10" fillId="3" borderId="11" xfId="0" applyFont="1" applyFill="1" applyBorder="1" applyAlignment="1">
      <alignment horizontal="left"/>
    </xf>
    <xf numFmtId="0" fontId="16" fillId="3" borderId="22" xfId="0" applyFont="1" applyFill="1" applyBorder="1" applyAlignment="1"/>
    <xf numFmtId="0" fontId="16" fillId="3" borderId="23" xfId="0" applyFont="1" applyFill="1" applyBorder="1" applyAlignment="1">
      <alignment horizontal="left" vertical="center" wrapText="1" indent="1"/>
    </xf>
    <xf numFmtId="0" fontId="6" fillId="3" borderId="21"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21" xfId="0" applyFont="1" applyFill="1" applyBorder="1" applyAlignment="1">
      <alignment horizontal="center" vertical="center" wrapText="1"/>
    </xf>
    <xf numFmtId="0" fontId="6" fillId="3" borderId="26" xfId="0" applyFont="1" applyFill="1" applyBorder="1" applyAlignment="1">
      <alignment horizontal="center" vertical="center"/>
    </xf>
    <xf numFmtId="0" fontId="5" fillId="3" borderId="32" xfId="0" applyFont="1" applyFill="1" applyBorder="1" applyAlignment="1">
      <alignment horizontal="left" vertical="center" wrapText="1"/>
    </xf>
    <xf numFmtId="0" fontId="5" fillId="3" borderId="39" xfId="0" applyFont="1" applyFill="1" applyBorder="1" applyAlignment="1">
      <alignment horizontal="left" vertical="center" wrapText="1"/>
    </xf>
    <xf numFmtId="0" fontId="14" fillId="3" borderId="19" xfId="0" applyFont="1" applyFill="1" applyBorder="1" applyAlignment="1">
      <alignment vertical="center" wrapText="1"/>
    </xf>
    <xf numFmtId="0" fontId="14" fillId="3" borderId="35" xfId="0" applyFont="1" applyFill="1" applyBorder="1" applyAlignment="1">
      <alignment vertical="center" wrapText="1"/>
    </xf>
    <xf numFmtId="0" fontId="14" fillId="3" borderId="17" xfId="0" applyFont="1" applyFill="1" applyBorder="1" applyAlignment="1">
      <alignment vertical="center" wrapText="1"/>
    </xf>
    <xf numFmtId="0" fontId="16" fillId="3" borderId="46" xfId="0" applyFont="1" applyFill="1" applyBorder="1" applyAlignment="1">
      <alignment vertical="center" wrapText="1"/>
    </xf>
    <xf numFmtId="0" fontId="16" fillId="3" borderId="47" xfId="0" applyFont="1" applyFill="1" applyBorder="1" applyAlignment="1">
      <alignment vertical="center" wrapText="1"/>
    </xf>
    <xf numFmtId="0" fontId="16" fillId="3" borderId="22" xfId="0" applyFont="1" applyFill="1" applyBorder="1" applyAlignment="1">
      <alignment horizontal="left" vertical="center" wrapText="1"/>
    </xf>
    <xf numFmtId="0" fontId="16" fillId="3" borderId="0" xfId="0" applyFont="1" applyFill="1" applyBorder="1" applyAlignment="1">
      <alignment horizontal="left" vertical="center" wrapText="1"/>
    </xf>
    <xf numFmtId="0" fontId="16" fillId="3" borderId="10" xfId="0" applyFont="1" applyFill="1" applyBorder="1" applyAlignment="1">
      <alignment horizontal="left" vertical="center" wrapText="1"/>
    </xf>
    <xf numFmtId="0" fontId="16" fillId="3" borderId="24" xfId="0" applyFont="1" applyFill="1" applyBorder="1" applyAlignment="1">
      <alignment horizontal="left" vertical="center" wrapText="1"/>
    </xf>
    <xf numFmtId="0" fontId="16" fillId="3" borderId="12" xfId="0" applyFont="1" applyFill="1" applyBorder="1" applyAlignment="1">
      <alignment horizontal="left" vertical="center" wrapText="1"/>
    </xf>
    <xf numFmtId="0" fontId="16" fillId="3" borderId="25" xfId="0" applyFont="1" applyFill="1" applyBorder="1" applyAlignment="1">
      <alignment horizontal="left" vertical="center" wrapText="1"/>
    </xf>
    <xf numFmtId="0" fontId="14" fillId="3" borderId="34" xfId="0" applyFont="1" applyFill="1" applyBorder="1" applyAlignment="1">
      <alignment horizontal="left" vertical="center" wrapText="1"/>
    </xf>
    <xf numFmtId="0" fontId="6" fillId="3" borderId="15" xfId="0" applyFont="1" applyFill="1" applyBorder="1" applyAlignment="1">
      <alignment vertical="center"/>
    </xf>
    <xf numFmtId="0" fontId="6" fillId="3" borderId="40" xfId="0" applyFont="1" applyFill="1" applyBorder="1" applyAlignment="1">
      <alignment vertical="center"/>
    </xf>
    <xf numFmtId="0" fontId="6" fillId="3" borderId="26" xfId="0" applyFont="1" applyFill="1" applyBorder="1" applyAlignment="1">
      <alignment vertical="center"/>
    </xf>
    <xf numFmtId="0" fontId="8" fillId="5" borderId="0" xfId="0" applyFont="1" applyFill="1" applyBorder="1" applyAlignment="1">
      <alignment horizontal="left" vertical="center" wrapText="1"/>
    </xf>
  </cellXfs>
  <cellStyles count="6">
    <cellStyle name="Encabezado 1" xfId="2" xr:uid="{00000000-0005-0000-0000-000000000000}"/>
    <cellStyle name="Moneda" xfId="1" builtinId="4"/>
    <cellStyle name="Moneda_AUTORIZACION Y NOTA DE PEDIDO" xfId="3" xr:uid="{00000000-0005-0000-0000-000002000000}"/>
    <cellStyle name="Neutral 1" xfId="4" xr:uid="{00000000-0005-0000-0000-000003000000}"/>
    <cellStyle name="Normal" xfId="0" builtinId="0"/>
    <cellStyle name="Normal 8" xfId="5" xr:uid="{00000000-0005-0000-0000-000005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6"/>
  <sheetViews>
    <sheetView tabSelected="1" topLeftCell="A4" zoomScale="80" zoomScaleNormal="80" workbookViewId="0">
      <selection activeCell="C26" sqref="C26:E26"/>
    </sheetView>
  </sheetViews>
  <sheetFormatPr baseColWidth="10" defaultColWidth="11" defaultRowHeight="13.5" x14ac:dyDescent="0.25"/>
  <cols>
    <col min="1" max="1" width="4.5703125" style="1" customWidth="1"/>
    <col min="2" max="2" width="17.140625" style="1" customWidth="1"/>
    <col min="3" max="3" width="27.42578125" style="1" customWidth="1"/>
    <col min="4" max="4" width="8.42578125" style="1" customWidth="1"/>
    <col min="5" max="5" width="94.28515625" style="1" customWidth="1"/>
    <col min="6" max="6" width="11" style="1"/>
    <col min="7" max="7" width="12.7109375" style="1" customWidth="1"/>
    <col min="8" max="8" width="14.5703125" style="1" customWidth="1"/>
    <col min="9" max="9" width="19.85546875" style="1" customWidth="1"/>
    <col min="10" max="16384" width="11" style="1"/>
  </cols>
  <sheetData>
    <row r="2" spans="1:9" ht="28.5" x14ac:dyDescent="0.4">
      <c r="B2" s="91" t="s">
        <v>0</v>
      </c>
      <c r="C2" s="91"/>
      <c r="D2" s="91"/>
      <c r="E2" s="91"/>
      <c r="F2" s="91"/>
      <c r="G2" s="91"/>
      <c r="H2" s="91"/>
    </row>
    <row r="4" spans="1:9" ht="18" customHeight="1" x14ac:dyDescent="0.25">
      <c r="A4" s="90" t="s">
        <v>1</v>
      </c>
      <c r="B4" s="90"/>
      <c r="C4" s="92" t="s">
        <v>2</v>
      </c>
      <c r="D4" s="92"/>
      <c r="E4" s="92"/>
      <c r="F4" s="2"/>
      <c r="G4" s="6"/>
      <c r="H4" s="2"/>
    </row>
    <row r="5" spans="1:9" ht="18" customHeight="1" x14ac:dyDescent="0.25">
      <c r="A5" s="90" t="s">
        <v>3</v>
      </c>
      <c r="B5" s="90"/>
      <c r="C5" s="92" t="s">
        <v>4</v>
      </c>
      <c r="D5" s="92"/>
      <c r="E5" s="92"/>
      <c r="F5" s="2"/>
      <c r="G5" s="6"/>
      <c r="H5" s="2"/>
    </row>
    <row r="6" spans="1:9" ht="16.5" customHeight="1" x14ac:dyDescent="0.25">
      <c r="A6" s="90" t="s">
        <v>5</v>
      </c>
      <c r="B6" s="90"/>
      <c r="C6" s="7">
        <v>2022</v>
      </c>
      <c r="D6" s="8"/>
      <c r="E6" s="8"/>
      <c r="F6" s="2"/>
      <c r="G6" s="6"/>
      <c r="H6" s="2"/>
    </row>
    <row r="7" spans="1:9" ht="16.5" customHeight="1" x14ac:dyDescent="0.25">
      <c r="A7" s="90" t="s">
        <v>6</v>
      </c>
      <c r="B7" s="90"/>
      <c r="C7" s="7">
        <v>3</v>
      </c>
      <c r="D7" s="8"/>
      <c r="E7" s="8"/>
      <c r="F7" s="2"/>
      <c r="G7" s="6"/>
      <c r="H7" s="2"/>
    </row>
    <row r="8" spans="1:9" ht="14.25" thickBot="1" x14ac:dyDescent="0.3">
      <c r="B8" s="2"/>
      <c r="C8" s="6"/>
      <c r="D8" s="2"/>
      <c r="E8" s="2"/>
      <c r="F8" s="2"/>
      <c r="G8" s="6"/>
      <c r="H8" s="2"/>
    </row>
    <row r="9" spans="1:9" ht="39.75" thickTop="1" thickBot="1" x14ac:dyDescent="0.3">
      <c r="A9" s="62" t="s">
        <v>7</v>
      </c>
      <c r="B9" s="64" t="s">
        <v>8</v>
      </c>
      <c r="C9" s="63" t="s">
        <v>9</v>
      </c>
      <c r="D9" s="3" t="s">
        <v>10</v>
      </c>
      <c r="E9" s="3" t="s">
        <v>11</v>
      </c>
      <c r="F9" s="3" t="s">
        <v>12</v>
      </c>
      <c r="G9" s="3" t="s">
        <v>13</v>
      </c>
      <c r="H9" s="3" t="s">
        <v>14</v>
      </c>
      <c r="I9" s="3" t="s">
        <v>15</v>
      </c>
    </row>
    <row r="10" spans="1:9" ht="28.5" customHeight="1" thickBot="1" x14ac:dyDescent="0.3">
      <c r="A10" s="66">
        <v>1</v>
      </c>
      <c r="B10" s="67" t="s">
        <v>16</v>
      </c>
      <c r="C10" s="68" t="s">
        <v>17</v>
      </c>
      <c r="D10" s="69" t="s">
        <v>18</v>
      </c>
      <c r="E10" s="70" t="s">
        <v>19</v>
      </c>
      <c r="F10" s="69" t="s">
        <v>20</v>
      </c>
      <c r="G10" s="71">
        <v>255</v>
      </c>
      <c r="H10" s="75">
        <v>9160</v>
      </c>
      <c r="I10" s="76">
        <f>G10*H10</f>
        <v>2335800</v>
      </c>
    </row>
    <row r="11" spans="1:9" ht="29.25" customHeight="1" thickBot="1" x14ac:dyDescent="0.3">
      <c r="A11" s="66">
        <v>2</v>
      </c>
      <c r="B11" s="67" t="s">
        <v>21</v>
      </c>
      <c r="C11" s="68" t="s">
        <v>17</v>
      </c>
      <c r="D11" s="69" t="str">
        <f>LEFT(B11,5)</f>
        <v>2.1.2</v>
      </c>
      <c r="E11" s="70" t="s">
        <v>22</v>
      </c>
      <c r="F11" s="69" t="s">
        <v>20</v>
      </c>
      <c r="G11" s="71">
        <v>5000</v>
      </c>
      <c r="H11" s="75">
        <v>950</v>
      </c>
      <c r="I11" s="76">
        <f>G11*H11</f>
        <v>4750000</v>
      </c>
    </row>
    <row r="12" spans="1:9" ht="29.25" customHeight="1" thickBot="1" x14ac:dyDescent="0.3">
      <c r="A12" s="66">
        <v>3</v>
      </c>
      <c r="B12" s="67" t="s">
        <v>23</v>
      </c>
      <c r="C12" s="68" t="s">
        <v>24</v>
      </c>
      <c r="D12" s="69" t="s">
        <v>18</v>
      </c>
      <c r="E12" s="70" t="s">
        <v>25</v>
      </c>
      <c r="F12" s="69" t="s">
        <v>20</v>
      </c>
      <c r="G12" s="71">
        <v>600</v>
      </c>
      <c r="H12" s="75">
        <v>1680</v>
      </c>
      <c r="I12" s="76">
        <f>G12*H12</f>
        <v>1008000</v>
      </c>
    </row>
    <row r="13" spans="1:9" ht="29.25" customHeight="1" thickBot="1" x14ac:dyDescent="0.3">
      <c r="A13" s="66">
        <v>4</v>
      </c>
      <c r="B13" s="67" t="s">
        <v>26</v>
      </c>
      <c r="C13" s="68" t="s">
        <v>24</v>
      </c>
      <c r="D13" s="69" t="s">
        <v>18</v>
      </c>
      <c r="E13" s="70" t="s">
        <v>27</v>
      </c>
      <c r="F13" s="69" t="s">
        <v>20</v>
      </c>
      <c r="G13" s="71">
        <v>600</v>
      </c>
      <c r="H13" s="75">
        <v>2415</v>
      </c>
      <c r="I13" s="76">
        <f>G13*H13</f>
        <v>1449000</v>
      </c>
    </row>
    <row r="14" spans="1:9" ht="18.75" customHeight="1" thickBot="1" x14ac:dyDescent="0.3">
      <c r="B14" s="65"/>
      <c r="I14" s="9">
        <f>SUM(I10:I13)</f>
        <v>9542800</v>
      </c>
    </row>
    <row r="15" spans="1:9" x14ac:dyDescent="0.25">
      <c r="B15" s="40" t="s">
        <v>28</v>
      </c>
      <c r="C15" s="41"/>
      <c r="D15" s="41"/>
      <c r="E15" s="42"/>
    </row>
    <row r="16" spans="1:9" x14ac:dyDescent="0.25">
      <c r="B16" s="73"/>
      <c r="C16" s="83" t="s">
        <v>29</v>
      </c>
      <c r="D16" s="43"/>
      <c r="E16" s="44"/>
      <c r="I16" s="79"/>
    </row>
    <row r="17" spans="2:5" ht="69.75" customHeight="1" x14ac:dyDescent="0.25">
      <c r="B17" s="73"/>
      <c r="C17" s="43"/>
      <c r="D17" s="86" t="s">
        <v>30</v>
      </c>
      <c r="E17" s="87"/>
    </row>
    <row r="18" spans="2:5" ht="21" customHeight="1" x14ac:dyDescent="0.25">
      <c r="B18" s="73"/>
      <c r="C18" s="83" t="s">
        <v>31</v>
      </c>
      <c r="D18" s="43"/>
      <c r="E18" s="44"/>
    </row>
    <row r="19" spans="2:5" ht="18" customHeight="1" x14ac:dyDescent="0.25">
      <c r="B19" s="73"/>
      <c r="C19" s="43"/>
      <c r="D19" s="86" t="s">
        <v>32</v>
      </c>
      <c r="E19" s="87"/>
    </row>
    <row r="20" spans="2:5" ht="19.5" customHeight="1" x14ac:dyDescent="0.25">
      <c r="B20" s="84" t="s">
        <v>33</v>
      </c>
      <c r="C20" s="85"/>
      <c r="D20" s="43"/>
      <c r="E20" s="44"/>
    </row>
    <row r="21" spans="2:5" ht="18.75" customHeight="1" x14ac:dyDescent="0.25">
      <c r="B21" s="77"/>
      <c r="C21" s="78"/>
      <c r="D21" s="86" t="s">
        <v>34</v>
      </c>
      <c r="E21" s="87"/>
    </row>
    <row r="22" spans="2:5" x14ac:dyDescent="0.25">
      <c r="B22" s="84" t="s">
        <v>35</v>
      </c>
      <c r="C22" s="85"/>
      <c r="D22" s="43"/>
      <c r="E22" s="44"/>
    </row>
    <row r="23" spans="2:5" ht="18.75" customHeight="1" thickBot="1" x14ac:dyDescent="0.3">
      <c r="B23" s="45"/>
      <c r="C23" s="74"/>
      <c r="D23" s="88" t="s">
        <v>36</v>
      </c>
      <c r="E23" s="89"/>
    </row>
    <row r="24" spans="2:5" ht="14.25" thickBot="1" x14ac:dyDescent="0.3">
      <c r="B24" s="46"/>
      <c r="C24" s="81"/>
      <c r="D24" s="81"/>
      <c r="E24" s="81"/>
    </row>
    <row r="25" spans="2:5" x14ac:dyDescent="0.25">
      <c r="B25" s="47" t="s">
        <v>37</v>
      </c>
      <c r="C25" s="48"/>
      <c r="D25" s="41"/>
      <c r="E25" s="49"/>
    </row>
    <row r="26" spans="2:5" ht="139.5" customHeight="1" x14ac:dyDescent="0.25">
      <c r="B26" s="50"/>
      <c r="C26" s="150" t="s">
        <v>90</v>
      </c>
      <c r="D26" s="93"/>
      <c r="E26" s="94"/>
    </row>
    <row r="27" spans="2:5" x14ac:dyDescent="0.25">
      <c r="B27" s="50"/>
      <c r="C27" s="95"/>
      <c r="D27" s="95"/>
      <c r="E27" s="95"/>
    </row>
    <row r="28" spans="2:5" x14ac:dyDescent="0.25">
      <c r="B28" s="51" t="s">
        <v>38</v>
      </c>
      <c r="C28" s="52"/>
      <c r="D28" s="43"/>
      <c r="E28" s="82"/>
    </row>
    <row r="29" spans="2:5" ht="101.25" customHeight="1" x14ac:dyDescent="0.25">
      <c r="B29" s="50"/>
      <c r="C29" s="93" t="s">
        <v>39</v>
      </c>
      <c r="D29" s="93"/>
      <c r="E29" s="94"/>
    </row>
    <row r="30" spans="2:5" ht="15.75" customHeight="1" thickBot="1" x14ac:dyDescent="0.3">
      <c r="B30" s="53"/>
      <c r="C30" s="54"/>
      <c r="D30" s="54"/>
      <c r="E30" s="55"/>
    </row>
    <row r="31" spans="2:5" ht="14.25" thickBot="1" x14ac:dyDescent="0.3">
      <c r="B31" s="43"/>
      <c r="C31" s="43"/>
      <c r="D31" s="43"/>
      <c r="E31" s="43"/>
    </row>
    <row r="32" spans="2:5" x14ac:dyDescent="0.25">
      <c r="B32" s="47" t="s">
        <v>40</v>
      </c>
      <c r="C32" s="80" t="s">
        <v>41</v>
      </c>
      <c r="D32" s="56"/>
      <c r="E32" s="57"/>
    </row>
    <row r="33" spans="2:5" x14ac:dyDescent="0.25">
      <c r="B33" s="58"/>
      <c r="C33" s="86"/>
      <c r="D33" s="86"/>
      <c r="E33" s="87"/>
    </row>
    <row r="34" spans="2:5" x14ac:dyDescent="0.25">
      <c r="B34" s="59" t="s">
        <v>42</v>
      </c>
      <c r="C34" s="43" t="s">
        <v>43</v>
      </c>
      <c r="D34" s="43"/>
      <c r="E34" s="44"/>
    </row>
    <row r="35" spans="2:5" x14ac:dyDescent="0.25">
      <c r="B35" s="60"/>
      <c r="C35" s="96"/>
      <c r="D35" s="96"/>
      <c r="E35" s="97"/>
    </row>
    <row r="36" spans="2:5" ht="14.25" thickBot="1" x14ac:dyDescent="0.3">
      <c r="B36" s="61"/>
      <c r="C36" s="54"/>
      <c r="D36" s="54"/>
      <c r="E36" s="55"/>
    </row>
  </sheetData>
  <mergeCells count="18">
    <mergeCell ref="C26:E26"/>
    <mergeCell ref="C27:E27"/>
    <mergeCell ref="C29:E29"/>
    <mergeCell ref="C33:E33"/>
    <mergeCell ref="C35:E35"/>
    <mergeCell ref="B2:H2"/>
    <mergeCell ref="A4:B4"/>
    <mergeCell ref="C4:E4"/>
    <mergeCell ref="A5:B5"/>
    <mergeCell ref="C5:E5"/>
    <mergeCell ref="B22:C22"/>
    <mergeCell ref="D17:E17"/>
    <mergeCell ref="D23:E23"/>
    <mergeCell ref="A6:B6"/>
    <mergeCell ref="A7:B7"/>
    <mergeCell ref="D19:E19"/>
    <mergeCell ref="B20:C20"/>
    <mergeCell ref="D21:E21"/>
  </mergeCells>
  <pageMargins left="0.7" right="0.7" top="0.75" bottom="0.75" header="0.51180555555555496" footer="0.51180555555555496"/>
  <pageSetup paperSize="9" firstPageNumber="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6"/>
  <sheetViews>
    <sheetView zoomScale="85" zoomScaleNormal="85" workbookViewId="0">
      <selection activeCell="K2" sqref="K2"/>
    </sheetView>
  </sheetViews>
  <sheetFormatPr baseColWidth="10" defaultColWidth="9.140625" defaultRowHeight="13.5" x14ac:dyDescent="0.25"/>
  <cols>
    <col min="1" max="1" width="5.42578125" style="29" customWidth="1"/>
    <col min="2" max="2" width="12.28515625" style="29" customWidth="1"/>
    <col min="3" max="3" width="14.140625" style="29" customWidth="1"/>
    <col min="4" max="4" width="26" style="29" customWidth="1"/>
    <col min="5" max="5" width="8" style="29" customWidth="1"/>
    <col min="6" max="6" width="7.85546875" style="29" customWidth="1"/>
    <col min="7" max="7" width="77.42578125" style="29" customWidth="1"/>
    <col min="8" max="8" width="8.42578125" style="29" customWidth="1"/>
    <col min="9" max="9" width="12" style="29" customWidth="1"/>
    <col min="10" max="10" width="11.42578125" style="29" customWidth="1"/>
    <col min="11" max="11" width="10.85546875" style="29" customWidth="1"/>
    <col min="12" max="14" width="5.85546875" style="29" customWidth="1"/>
    <col min="15" max="15" width="12.5703125" style="29" customWidth="1"/>
    <col min="16" max="1024" width="9.140625" style="29"/>
    <col min="1025" max="16384" width="9.140625" style="1"/>
  </cols>
  <sheetData>
    <row r="1" spans="1:1024" ht="18" customHeight="1" x14ac:dyDescent="0.25">
      <c r="A1" s="98" t="s">
        <v>44</v>
      </c>
      <c r="B1" s="98"/>
      <c r="C1" s="98"/>
      <c r="D1" s="98"/>
      <c r="E1" s="98"/>
      <c r="F1" s="98"/>
      <c r="G1" s="98"/>
      <c r="H1" s="98"/>
      <c r="I1" s="98"/>
      <c r="J1" s="27" t="s">
        <v>45</v>
      </c>
      <c r="K1" s="28" t="s">
        <v>46</v>
      </c>
    </row>
    <row r="2" spans="1:1024" ht="18.75" customHeight="1" thickBot="1" x14ac:dyDescent="0.3">
      <c r="A2" s="30"/>
      <c r="B2" s="30"/>
      <c r="C2" s="30"/>
      <c r="D2" s="31"/>
      <c r="E2" s="31"/>
      <c r="F2" s="31"/>
      <c r="G2" s="31"/>
      <c r="H2" s="31"/>
      <c r="I2" s="31"/>
      <c r="J2" s="31"/>
      <c r="K2" s="31"/>
    </row>
    <row r="3" spans="1:1024" ht="18.75" customHeight="1" thickBot="1" x14ac:dyDescent="0.3">
      <c r="A3" s="99" t="s">
        <v>47</v>
      </c>
      <c r="B3" s="99"/>
      <c r="C3" s="99"/>
      <c r="D3" s="104" t="str">
        <f>'Necesidades Trimestrales'!C4</f>
        <v>90 - Ministerio de Seguridad</v>
      </c>
      <c r="E3" s="104"/>
      <c r="F3" s="104"/>
      <c r="G3" s="104"/>
      <c r="H3" s="104"/>
      <c r="I3" s="104"/>
      <c r="J3" s="104"/>
      <c r="K3" s="104"/>
    </row>
    <row r="4" spans="1:1024" ht="18.75" customHeight="1" thickBot="1" x14ac:dyDescent="0.3">
      <c r="A4" s="103" t="s">
        <v>48</v>
      </c>
      <c r="B4" s="103"/>
      <c r="C4" s="103"/>
      <c r="D4" s="104" t="str">
        <f>'Necesidades Trimestrales'!C5</f>
        <v>7- Dirección Provincial de Administración de la Policía de la Provincia de Catamarca</v>
      </c>
      <c r="E4" s="104"/>
      <c r="F4" s="104"/>
      <c r="G4" s="104"/>
      <c r="H4" s="104"/>
      <c r="I4" s="104"/>
      <c r="J4" s="104"/>
      <c r="K4" s="104"/>
    </row>
    <row r="5" spans="1:1024" ht="18.75" customHeight="1" thickBot="1" x14ac:dyDescent="0.3">
      <c r="A5" s="103" t="s">
        <v>49</v>
      </c>
      <c r="B5" s="103"/>
      <c r="C5" s="103"/>
      <c r="D5" s="104" t="s">
        <v>50</v>
      </c>
      <c r="E5" s="104"/>
      <c r="F5" s="104"/>
      <c r="G5" s="104"/>
      <c r="H5" s="104"/>
      <c r="I5" s="104"/>
      <c r="J5" s="104"/>
      <c r="K5" s="104"/>
    </row>
    <row r="6" spans="1:1024" ht="16.5" customHeight="1" thickBot="1" x14ac:dyDescent="0.3">
      <c r="A6" s="99" t="s">
        <v>51</v>
      </c>
      <c r="B6" s="99"/>
      <c r="C6" s="99"/>
      <c r="D6" s="100" t="s">
        <v>52</v>
      </c>
      <c r="E6" s="101"/>
      <c r="F6" s="101"/>
      <c r="G6" s="101"/>
      <c r="H6" s="101"/>
      <c r="I6" s="101"/>
      <c r="J6" s="101"/>
      <c r="K6" s="102"/>
    </row>
    <row r="7" spans="1:1024" ht="16.5" customHeight="1" thickBot="1" x14ac:dyDescent="0.3">
      <c r="A7" s="103" t="s">
        <v>53</v>
      </c>
      <c r="B7" s="103"/>
      <c r="C7" s="103"/>
      <c r="D7" s="104" t="s">
        <v>54</v>
      </c>
      <c r="E7" s="104"/>
      <c r="F7" s="104"/>
      <c r="G7" s="104"/>
      <c r="H7" s="104"/>
      <c r="I7" s="104"/>
      <c r="J7" s="104"/>
      <c r="K7" s="104"/>
    </row>
    <row r="8" spans="1:1024" ht="16.5" customHeight="1" thickBot="1" x14ac:dyDescent="0.3">
      <c r="A8" s="114" t="s">
        <v>55</v>
      </c>
      <c r="B8" s="114"/>
      <c r="C8" s="114"/>
      <c r="D8" s="107" t="s">
        <v>56</v>
      </c>
      <c r="E8" s="101"/>
      <c r="F8" s="101"/>
      <c r="G8" s="101"/>
      <c r="H8" s="101"/>
      <c r="I8" s="101"/>
      <c r="J8" s="101"/>
      <c r="K8" s="102"/>
    </row>
    <row r="9" spans="1:1024" ht="18" thickBot="1" x14ac:dyDescent="0.3">
      <c r="A9" s="32"/>
      <c r="B9" s="32"/>
      <c r="C9" s="32"/>
      <c r="D9" s="33"/>
      <c r="E9" s="33"/>
      <c r="F9" s="33"/>
      <c r="G9" s="33"/>
      <c r="H9" s="33"/>
      <c r="I9" s="33"/>
      <c r="J9" s="33"/>
      <c r="K9" s="33"/>
    </row>
    <row r="10" spans="1:1024" ht="14.25" customHeight="1" thickBot="1" x14ac:dyDescent="0.3">
      <c r="A10" s="108" t="s">
        <v>57</v>
      </c>
      <c r="B10" s="109" t="s">
        <v>58</v>
      </c>
      <c r="C10" s="110" t="s">
        <v>59</v>
      </c>
      <c r="D10" s="111"/>
      <c r="E10" s="111"/>
      <c r="F10" s="111"/>
      <c r="G10" s="112"/>
      <c r="H10" s="113" t="s">
        <v>60</v>
      </c>
      <c r="I10" s="111" t="s">
        <v>61</v>
      </c>
      <c r="J10" s="111" t="s">
        <v>62</v>
      </c>
      <c r="K10" s="112" t="s">
        <v>63</v>
      </c>
    </row>
    <row r="11" spans="1:1024" ht="14.25" customHeight="1" thickBot="1" x14ac:dyDescent="0.3">
      <c r="A11" s="108"/>
      <c r="B11" s="109"/>
      <c r="C11" s="110"/>
      <c r="D11" s="111"/>
      <c r="E11" s="111"/>
      <c r="F11" s="111"/>
      <c r="G11" s="112"/>
      <c r="H11" s="113"/>
      <c r="I11" s="111"/>
      <c r="J11" s="111"/>
      <c r="K11" s="112"/>
    </row>
    <row r="12" spans="1:1024" ht="22.5" customHeight="1" thickBot="1" x14ac:dyDescent="0.3">
      <c r="A12" s="34">
        <v>1</v>
      </c>
      <c r="B12" s="72" t="e">
        <f>'Necesidades Trimestrales'!#REF!</f>
        <v>#REF!</v>
      </c>
      <c r="C12" s="115" t="e">
        <f>'Necesidades Trimestrales'!#REF!</f>
        <v>#REF!</v>
      </c>
      <c r="D12" s="116"/>
      <c r="E12" s="116"/>
      <c r="F12" s="116"/>
      <c r="G12" s="117"/>
      <c r="H12" s="35" t="s">
        <v>64</v>
      </c>
      <c r="I12" s="36" t="e">
        <f>'Necesidades Trimestrales'!#REF!</f>
        <v>#REF!</v>
      </c>
      <c r="J12" s="37" t="e">
        <f>'Necesidades Trimestrales'!#REF!</f>
        <v>#REF!</v>
      </c>
      <c r="K12" s="38" t="e">
        <f>'Necesidades Trimestrales'!#REF!</f>
        <v>#REF!</v>
      </c>
    </row>
    <row r="13" spans="1:1024" ht="22.5" customHeight="1" thickBot="1" x14ac:dyDescent="0.3">
      <c r="A13" s="34"/>
      <c r="B13" s="72" t="e">
        <f>'Necesidades Trimestrales'!#REF!</f>
        <v>#REF!</v>
      </c>
      <c r="C13" s="115" t="e">
        <f>'Necesidades Trimestrales'!#REF!</f>
        <v>#REF!</v>
      </c>
      <c r="D13" s="116"/>
      <c r="E13" s="116"/>
      <c r="F13" s="116"/>
      <c r="G13" s="117"/>
      <c r="H13" s="35" t="s">
        <v>64</v>
      </c>
      <c r="I13" s="36" t="e">
        <f>'Necesidades Trimestrales'!#REF!</f>
        <v>#REF!</v>
      </c>
      <c r="J13" s="37" t="e">
        <f>'Necesidades Trimestrales'!#REF!</f>
        <v>#REF!</v>
      </c>
      <c r="K13" s="38" t="e">
        <f>'Necesidades Trimestrales'!#REF!</f>
        <v>#REF!</v>
      </c>
    </row>
    <row r="14" spans="1:1024" ht="19.5" customHeight="1" x14ac:dyDescent="0.25">
      <c r="A14" s="34">
        <v>3</v>
      </c>
      <c r="B14" s="72" t="e">
        <f>'Necesidades Trimestrales'!#REF!</f>
        <v>#REF!</v>
      </c>
      <c r="C14" s="115" t="e">
        <f>'Necesidades Trimestrales'!#REF!</f>
        <v>#REF!</v>
      </c>
      <c r="D14" s="116"/>
      <c r="E14" s="116"/>
      <c r="F14" s="116"/>
      <c r="G14" s="117"/>
      <c r="H14" s="35" t="s">
        <v>64</v>
      </c>
      <c r="I14" s="36" t="e">
        <f>'Necesidades Trimestrales'!#REF!</f>
        <v>#REF!</v>
      </c>
      <c r="J14" s="37" t="e">
        <f>'Necesidades Trimestrales'!#REF!</f>
        <v>#REF!</v>
      </c>
      <c r="K14" s="38" t="e">
        <f>'Necesidades Trimestrales'!#REF!</f>
        <v>#REF!</v>
      </c>
    </row>
    <row r="15" spans="1:1024" ht="15.75" thickBot="1" x14ac:dyDescent="0.3">
      <c r="A15" s="105" t="s">
        <v>65</v>
      </c>
      <c r="B15" s="105"/>
      <c r="C15" s="105"/>
      <c r="D15" s="105"/>
      <c r="E15" s="105"/>
      <c r="F15" s="105"/>
      <c r="G15" s="105"/>
      <c r="H15" s="105"/>
      <c r="I15" s="105"/>
      <c r="J15" s="106">
        <f>'Necesidades Trimestrales'!I14</f>
        <v>9542800</v>
      </c>
      <c r="K15" s="106"/>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c r="LT15" s="1"/>
      <c r="LU15" s="1"/>
      <c r="LV15" s="1"/>
      <c r="LW15" s="1"/>
      <c r="LX15" s="1"/>
      <c r="LY15" s="1"/>
      <c r="LZ15" s="1"/>
      <c r="MA15" s="1"/>
      <c r="MB15" s="1"/>
      <c r="MC15" s="1"/>
      <c r="MD15" s="1"/>
      <c r="ME15" s="1"/>
      <c r="MF15" s="1"/>
      <c r="MG15" s="1"/>
      <c r="MH15" s="1"/>
      <c r="MI15" s="1"/>
      <c r="MJ15" s="1"/>
      <c r="MK15" s="1"/>
      <c r="ML15" s="1"/>
      <c r="MM15" s="1"/>
      <c r="MN15" s="1"/>
      <c r="MO15" s="1"/>
      <c r="MP15" s="1"/>
      <c r="MQ15" s="1"/>
      <c r="MR15" s="1"/>
      <c r="MS15" s="1"/>
      <c r="MT15" s="1"/>
      <c r="MU15" s="1"/>
      <c r="MV15" s="1"/>
      <c r="MW15" s="1"/>
      <c r="MX15" s="1"/>
      <c r="MY15" s="1"/>
      <c r="MZ15" s="1"/>
      <c r="NA15" s="1"/>
      <c r="NB15" s="1"/>
      <c r="NC15" s="1"/>
      <c r="ND15" s="1"/>
      <c r="NE15" s="1"/>
      <c r="NF15" s="1"/>
      <c r="NG15" s="1"/>
      <c r="NH15" s="1"/>
      <c r="NI15" s="1"/>
      <c r="NJ15" s="1"/>
      <c r="NK15" s="1"/>
      <c r="NL15" s="1"/>
      <c r="NM15" s="1"/>
      <c r="NN15" s="1"/>
      <c r="NO15" s="1"/>
      <c r="NP15" s="1"/>
      <c r="NQ15" s="1"/>
      <c r="NR15" s="1"/>
      <c r="NS15" s="1"/>
      <c r="NT15" s="1"/>
      <c r="NU15" s="1"/>
      <c r="NV15" s="1"/>
      <c r="NW15" s="1"/>
      <c r="NX15" s="1"/>
      <c r="NY15" s="1"/>
      <c r="NZ15" s="1"/>
      <c r="OA15" s="1"/>
      <c r="OB15" s="1"/>
      <c r="OC15" s="1"/>
      <c r="OD15" s="1"/>
      <c r="OE15" s="1"/>
      <c r="OF15" s="1"/>
      <c r="OG15" s="1"/>
      <c r="OH15" s="1"/>
      <c r="OI15" s="1"/>
      <c r="OJ15" s="1"/>
      <c r="OK15" s="1"/>
      <c r="OL15" s="1"/>
      <c r="OM15" s="1"/>
      <c r="ON15" s="1"/>
      <c r="OO15" s="1"/>
      <c r="OP15" s="1"/>
      <c r="OQ15" s="1"/>
      <c r="OR15" s="1"/>
      <c r="OS15" s="1"/>
      <c r="OT15" s="1"/>
      <c r="OU15" s="1"/>
      <c r="OV15" s="1"/>
      <c r="OW15" s="1"/>
      <c r="OX15" s="1"/>
      <c r="OY15" s="1"/>
      <c r="OZ15" s="1"/>
      <c r="PA15" s="1"/>
      <c r="PB15" s="1"/>
      <c r="PC15" s="1"/>
      <c r="PD15" s="1"/>
      <c r="PE15" s="1"/>
      <c r="PF15" s="1"/>
      <c r="PG15" s="1"/>
      <c r="PH15" s="1"/>
      <c r="PI15" s="1"/>
      <c r="PJ15" s="1"/>
      <c r="PK15" s="1"/>
      <c r="PL15" s="1"/>
      <c r="PM15" s="1"/>
      <c r="PN15" s="1"/>
      <c r="PO15" s="1"/>
      <c r="PP15" s="1"/>
      <c r="PQ15" s="1"/>
      <c r="PR15" s="1"/>
      <c r="PS15" s="1"/>
      <c r="PT15" s="1"/>
      <c r="PU15" s="1"/>
      <c r="PV15" s="1"/>
      <c r="PW15" s="1"/>
      <c r="PX15" s="1"/>
      <c r="PY15" s="1"/>
      <c r="PZ15" s="1"/>
      <c r="QA15" s="1"/>
      <c r="QB15" s="1"/>
      <c r="QC15" s="1"/>
      <c r="QD15" s="1"/>
      <c r="QE15" s="1"/>
      <c r="QF15" s="1"/>
      <c r="QG15" s="1"/>
      <c r="QH15" s="1"/>
      <c r="QI15" s="1"/>
      <c r="QJ15" s="1"/>
      <c r="QK15" s="1"/>
      <c r="QL15" s="1"/>
      <c r="QM15" s="1"/>
      <c r="QN15" s="1"/>
      <c r="QO15" s="1"/>
      <c r="QP15" s="1"/>
      <c r="QQ15" s="1"/>
      <c r="QR15" s="1"/>
      <c r="QS15" s="1"/>
      <c r="QT15" s="1"/>
      <c r="QU15" s="1"/>
      <c r="QV15" s="1"/>
      <c r="QW15" s="1"/>
      <c r="QX15" s="1"/>
      <c r="QY15" s="1"/>
      <c r="QZ15" s="1"/>
      <c r="RA15" s="1"/>
      <c r="RB15" s="1"/>
      <c r="RC15" s="1"/>
      <c r="RD15" s="1"/>
      <c r="RE15" s="1"/>
      <c r="RF15" s="1"/>
      <c r="RG15" s="1"/>
      <c r="RH15" s="1"/>
      <c r="RI15" s="1"/>
      <c r="RJ15" s="1"/>
      <c r="RK15" s="1"/>
      <c r="RL15" s="1"/>
      <c r="RM15" s="1"/>
      <c r="RN15" s="1"/>
      <c r="RO15" s="1"/>
      <c r="RP15" s="1"/>
      <c r="RQ15" s="1"/>
      <c r="RR15" s="1"/>
      <c r="RS15" s="1"/>
      <c r="RT15" s="1"/>
      <c r="RU15" s="1"/>
      <c r="RV15" s="1"/>
      <c r="RW15" s="1"/>
      <c r="RX15" s="1"/>
      <c r="RY15" s="1"/>
      <c r="RZ15" s="1"/>
      <c r="SA15" s="1"/>
      <c r="SB15" s="1"/>
      <c r="SC15" s="1"/>
      <c r="SD15" s="1"/>
      <c r="SE15" s="1"/>
      <c r="SF15" s="1"/>
      <c r="SG15" s="1"/>
      <c r="SH15" s="1"/>
      <c r="SI15" s="1"/>
      <c r="SJ15" s="1"/>
      <c r="SK15" s="1"/>
      <c r="SL15" s="1"/>
      <c r="SM15" s="1"/>
      <c r="SN15" s="1"/>
      <c r="SO15" s="1"/>
      <c r="SP15" s="1"/>
      <c r="SQ15" s="1"/>
      <c r="SR15" s="1"/>
      <c r="SS15" s="1"/>
      <c r="ST15" s="1"/>
      <c r="SU15" s="1"/>
      <c r="SV15" s="1"/>
      <c r="SW15" s="1"/>
      <c r="SX15" s="1"/>
      <c r="SY15" s="1"/>
      <c r="SZ15" s="1"/>
      <c r="TA15" s="1"/>
      <c r="TB15" s="1"/>
      <c r="TC15" s="1"/>
      <c r="TD15" s="1"/>
      <c r="TE15" s="1"/>
      <c r="TF15" s="1"/>
      <c r="TG15" s="1"/>
      <c r="TH15" s="1"/>
      <c r="TI15" s="1"/>
      <c r="TJ15" s="1"/>
      <c r="TK15" s="1"/>
      <c r="TL15" s="1"/>
      <c r="TM15" s="1"/>
      <c r="TN15" s="1"/>
      <c r="TO15" s="1"/>
      <c r="TP15" s="1"/>
      <c r="TQ15" s="1"/>
      <c r="TR15" s="1"/>
      <c r="TS15" s="1"/>
      <c r="TT15" s="1"/>
      <c r="TU15" s="1"/>
      <c r="TV15" s="1"/>
      <c r="TW15" s="1"/>
      <c r="TX15" s="1"/>
      <c r="TY15" s="1"/>
      <c r="TZ15" s="1"/>
      <c r="UA15" s="1"/>
      <c r="UB15" s="1"/>
      <c r="UC15" s="1"/>
      <c r="UD15" s="1"/>
      <c r="UE15" s="1"/>
      <c r="UF15" s="1"/>
      <c r="UG15" s="1"/>
      <c r="UH15" s="1"/>
      <c r="UI15" s="1"/>
      <c r="UJ15" s="1"/>
      <c r="UK15" s="1"/>
      <c r="UL15" s="1"/>
      <c r="UM15" s="1"/>
      <c r="UN15" s="1"/>
      <c r="UO15" s="1"/>
      <c r="UP15" s="1"/>
      <c r="UQ15" s="1"/>
      <c r="UR15" s="1"/>
      <c r="US15" s="1"/>
      <c r="UT15" s="1"/>
      <c r="UU15" s="1"/>
      <c r="UV15" s="1"/>
      <c r="UW15" s="1"/>
      <c r="UX15" s="1"/>
      <c r="UY15" s="1"/>
      <c r="UZ15" s="1"/>
      <c r="VA15" s="1"/>
      <c r="VB15" s="1"/>
      <c r="VC15" s="1"/>
      <c r="VD15" s="1"/>
      <c r="VE15" s="1"/>
      <c r="VF15" s="1"/>
      <c r="VG15" s="1"/>
      <c r="VH15" s="1"/>
      <c r="VI15" s="1"/>
      <c r="VJ15" s="1"/>
      <c r="VK15" s="1"/>
      <c r="VL15" s="1"/>
      <c r="VM15" s="1"/>
      <c r="VN15" s="1"/>
      <c r="VO15" s="1"/>
      <c r="VP15" s="1"/>
      <c r="VQ15" s="1"/>
      <c r="VR15" s="1"/>
      <c r="VS15" s="1"/>
      <c r="VT15" s="1"/>
      <c r="VU15" s="1"/>
      <c r="VV15" s="1"/>
      <c r="VW15" s="1"/>
      <c r="VX15" s="1"/>
      <c r="VY15" s="1"/>
      <c r="VZ15" s="1"/>
      <c r="WA15" s="1"/>
      <c r="WB15" s="1"/>
      <c r="WC15" s="1"/>
      <c r="WD15" s="1"/>
      <c r="WE15" s="1"/>
      <c r="WF15" s="1"/>
      <c r="WG15" s="1"/>
      <c r="WH15" s="1"/>
      <c r="WI15" s="1"/>
      <c r="WJ15" s="1"/>
      <c r="WK15" s="1"/>
      <c r="WL15" s="1"/>
      <c r="WM15" s="1"/>
      <c r="WN15" s="1"/>
      <c r="WO15" s="1"/>
      <c r="WP15" s="1"/>
      <c r="WQ15" s="1"/>
      <c r="WR15" s="1"/>
      <c r="WS15" s="1"/>
      <c r="WT15" s="1"/>
      <c r="WU15" s="1"/>
      <c r="WV15" s="1"/>
      <c r="WW15" s="1"/>
      <c r="WX15" s="1"/>
      <c r="WY15" s="1"/>
      <c r="WZ15" s="1"/>
      <c r="XA15" s="1"/>
      <c r="XB15" s="1"/>
      <c r="XC15" s="1"/>
      <c r="XD15" s="1"/>
      <c r="XE15" s="1"/>
      <c r="XF15" s="1"/>
      <c r="XG15" s="1"/>
      <c r="XH15" s="1"/>
      <c r="XI15" s="1"/>
      <c r="XJ15" s="1"/>
      <c r="XK15" s="1"/>
      <c r="XL15" s="1"/>
      <c r="XM15" s="1"/>
      <c r="XN15" s="1"/>
      <c r="XO15" s="1"/>
      <c r="XP15" s="1"/>
      <c r="XQ15" s="1"/>
      <c r="XR15" s="1"/>
      <c r="XS15" s="1"/>
      <c r="XT15" s="1"/>
      <c r="XU15" s="1"/>
      <c r="XV15" s="1"/>
      <c r="XW15" s="1"/>
      <c r="XX15" s="1"/>
      <c r="XY15" s="1"/>
      <c r="XZ15" s="1"/>
      <c r="YA15" s="1"/>
      <c r="YB15" s="1"/>
      <c r="YC15" s="1"/>
      <c r="YD15" s="1"/>
      <c r="YE15" s="1"/>
      <c r="YF15" s="1"/>
      <c r="YG15" s="1"/>
      <c r="YH15" s="1"/>
      <c r="YI15" s="1"/>
      <c r="YJ15" s="1"/>
      <c r="YK15" s="1"/>
      <c r="YL15" s="1"/>
      <c r="YM15" s="1"/>
      <c r="YN15" s="1"/>
      <c r="YO15" s="1"/>
      <c r="YP15" s="1"/>
      <c r="YQ15" s="1"/>
      <c r="YR15" s="1"/>
      <c r="YS15" s="1"/>
      <c r="YT15" s="1"/>
      <c r="YU15" s="1"/>
      <c r="YV15" s="1"/>
      <c r="YW15" s="1"/>
      <c r="YX15" s="1"/>
      <c r="YY15" s="1"/>
      <c r="YZ15" s="1"/>
      <c r="ZA15" s="1"/>
      <c r="ZB15" s="1"/>
      <c r="ZC15" s="1"/>
      <c r="ZD15" s="1"/>
      <c r="ZE15" s="1"/>
      <c r="ZF15" s="1"/>
      <c r="ZG15" s="1"/>
      <c r="ZH15" s="1"/>
      <c r="ZI15" s="1"/>
      <c r="ZJ15" s="1"/>
      <c r="ZK15" s="1"/>
      <c r="ZL15" s="1"/>
      <c r="ZM15" s="1"/>
      <c r="ZN15" s="1"/>
      <c r="ZO15" s="1"/>
      <c r="ZP15" s="1"/>
      <c r="ZQ15" s="1"/>
      <c r="ZR15" s="1"/>
      <c r="ZS15" s="1"/>
      <c r="ZT15" s="1"/>
      <c r="ZU15" s="1"/>
      <c r="ZV15" s="1"/>
      <c r="ZW15" s="1"/>
      <c r="ZX15" s="1"/>
      <c r="ZY15" s="1"/>
      <c r="ZZ15" s="1"/>
      <c r="AAA15" s="1"/>
      <c r="AAB15" s="1"/>
      <c r="AAC15" s="1"/>
      <c r="AAD15" s="1"/>
      <c r="AAE15" s="1"/>
      <c r="AAF15" s="1"/>
      <c r="AAG15" s="1"/>
      <c r="AAH15" s="1"/>
      <c r="AAI15" s="1"/>
      <c r="AAJ15" s="1"/>
      <c r="AAK15" s="1"/>
      <c r="AAL15" s="1"/>
      <c r="AAM15" s="1"/>
      <c r="AAN15" s="1"/>
      <c r="AAO15" s="1"/>
      <c r="AAP15" s="1"/>
      <c r="AAQ15" s="1"/>
      <c r="AAR15" s="1"/>
      <c r="AAS15" s="1"/>
      <c r="AAT15" s="1"/>
      <c r="AAU15" s="1"/>
      <c r="AAV15" s="1"/>
      <c r="AAW15" s="1"/>
      <c r="AAX15" s="1"/>
      <c r="AAY15" s="1"/>
      <c r="AAZ15" s="1"/>
      <c r="ABA15" s="1"/>
      <c r="ABB15" s="1"/>
      <c r="ABC15" s="1"/>
      <c r="ABD15" s="1"/>
      <c r="ABE15" s="1"/>
      <c r="ABF15" s="1"/>
      <c r="ABG15" s="1"/>
      <c r="ABH15" s="1"/>
      <c r="ABI15" s="1"/>
      <c r="ABJ15" s="1"/>
      <c r="ABK15" s="1"/>
      <c r="ABL15" s="1"/>
      <c r="ABM15" s="1"/>
      <c r="ABN15" s="1"/>
      <c r="ABO15" s="1"/>
      <c r="ABP15" s="1"/>
      <c r="ABQ15" s="1"/>
      <c r="ABR15" s="1"/>
      <c r="ABS15" s="1"/>
      <c r="ABT15" s="1"/>
      <c r="ABU15" s="1"/>
      <c r="ABV15" s="1"/>
      <c r="ABW15" s="1"/>
      <c r="ABX15" s="1"/>
      <c r="ABY15" s="1"/>
      <c r="ABZ15" s="1"/>
      <c r="ACA15" s="1"/>
      <c r="ACB15" s="1"/>
      <c r="ACC15" s="1"/>
      <c r="ACD15" s="1"/>
      <c r="ACE15" s="1"/>
      <c r="ACF15" s="1"/>
      <c r="ACG15" s="1"/>
      <c r="ACH15" s="1"/>
      <c r="ACI15" s="1"/>
      <c r="ACJ15" s="1"/>
      <c r="ACK15" s="1"/>
      <c r="ACL15" s="1"/>
      <c r="ACM15" s="1"/>
      <c r="ACN15" s="1"/>
      <c r="ACO15" s="1"/>
      <c r="ACP15" s="1"/>
      <c r="ACQ15" s="1"/>
      <c r="ACR15" s="1"/>
      <c r="ACS15" s="1"/>
      <c r="ACT15" s="1"/>
      <c r="ACU15" s="1"/>
      <c r="ACV15" s="1"/>
      <c r="ACW15" s="1"/>
      <c r="ACX15" s="1"/>
      <c r="ACY15" s="1"/>
      <c r="ACZ15" s="1"/>
      <c r="ADA15" s="1"/>
      <c r="ADB15" s="1"/>
      <c r="ADC15" s="1"/>
      <c r="ADD15" s="1"/>
      <c r="ADE15" s="1"/>
      <c r="ADF15" s="1"/>
      <c r="ADG15" s="1"/>
      <c r="ADH15" s="1"/>
      <c r="ADI15" s="1"/>
      <c r="ADJ15" s="1"/>
      <c r="ADK15" s="1"/>
      <c r="ADL15" s="1"/>
      <c r="ADM15" s="1"/>
      <c r="ADN15" s="1"/>
      <c r="ADO15" s="1"/>
      <c r="ADP15" s="1"/>
      <c r="ADQ15" s="1"/>
      <c r="ADR15" s="1"/>
      <c r="ADS15" s="1"/>
      <c r="ADT15" s="1"/>
      <c r="ADU15" s="1"/>
      <c r="ADV15" s="1"/>
      <c r="ADW15" s="1"/>
      <c r="ADX15" s="1"/>
      <c r="ADY15" s="1"/>
      <c r="ADZ15" s="1"/>
      <c r="AEA15" s="1"/>
      <c r="AEB15" s="1"/>
      <c r="AEC15" s="1"/>
      <c r="AED15" s="1"/>
      <c r="AEE15" s="1"/>
      <c r="AEF15" s="1"/>
      <c r="AEG15" s="1"/>
      <c r="AEH15" s="1"/>
      <c r="AEI15" s="1"/>
      <c r="AEJ15" s="1"/>
      <c r="AEK15" s="1"/>
      <c r="AEL15" s="1"/>
      <c r="AEM15" s="1"/>
      <c r="AEN15" s="1"/>
      <c r="AEO15" s="1"/>
      <c r="AEP15" s="1"/>
      <c r="AEQ15" s="1"/>
      <c r="AER15" s="1"/>
      <c r="AES15" s="1"/>
      <c r="AET15" s="1"/>
      <c r="AEU15" s="1"/>
      <c r="AEV15" s="1"/>
      <c r="AEW15" s="1"/>
      <c r="AEX15" s="1"/>
      <c r="AEY15" s="1"/>
      <c r="AEZ15" s="1"/>
      <c r="AFA15" s="1"/>
      <c r="AFB15" s="1"/>
      <c r="AFC15" s="1"/>
      <c r="AFD15" s="1"/>
      <c r="AFE15" s="1"/>
      <c r="AFF15" s="1"/>
      <c r="AFG15" s="1"/>
      <c r="AFH15" s="1"/>
      <c r="AFI15" s="1"/>
      <c r="AFJ15" s="1"/>
      <c r="AFK15" s="1"/>
      <c r="AFL15" s="1"/>
      <c r="AFM15" s="1"/>
      <c r="AFN15" s="1"/>
      <c r="AFO15" s="1"/>
      <c r="AFP15" s="1"/>
      <c r="AFQ15" s="1"/>
      <c r="AFR15" s="1"/>
      <c r="AFS15" s="1"/>
      <c r="AFT15" s="1"/>
      <c r="AFU15" s="1"/>
      <c r="AFV15" s="1"/>
      <c r="AFW15" s="1"/>
      <c r="AFX15" s="1"/>
      <c r="AFY15" s="1"/>
      <c r="AFZ15" s="1"/>
      <c r="AGA15" s="1"/>
      <c r="AGB15" s="1"/>
      <c r="AGC15" s="1"/>
      <c r="AGD15" s="1"/>
      <c r="AGE15" s="1"/>
      <c r="AGF15" s="1"/>
      <c r="AGG15" s="1"/>
      <c r="AGH15" s="1"/>
      <c r="AGI15" s="1"/>
      <c r="AGJ15" s="1"/>
      <c r="AGK15" s="1"/>
      <c r="AGL15" s="1"/>
      <c r="AGM15" s="1"/>
      <c r="AGN15" s="1"/>
      <c r="AGO15" s="1"/>
      <c r="AGP15" s="1"/>
      <c r="AGQ15" s="1"/>
      <c r="AGR15" s="1"/>
      <c r="AGS15" s="1"/>
      <c r="AGT15" s="1"/>
      <c r="AGU15" s="1"/>
      <c r="AGV15" s="1"/>
      <c r="AGW15" s="1"/>
      <c r="AGX15" s="1"/>
      <c r="AGY15" s="1"/>
      <c r="AGZ15" s="1"/>
      <c r="AHA15" s="1"/>
      <c r="AHB15" s="1"/>
      <c r="AHC15" s="1"/>
      <c r="AHD15" s="1"/>
      <c r="AHE15" s="1"/>
      <c r="AHF15" s="1"/>
      <c r="AHG15" s="1"/>
      <c r="AHH15" s="1"/>
      <c r="AHI15" s="1"/>
      <c r="AHJ15" s="1"/>
      <c r="AHK15" s="1"/>
      <c r="AHL15" s="1"/>
      <c r="AHM15" s="1"/>
      <c r="AHN15" s="1"/>
      <c r="AHO15" s="1"/>
      <c r="AHP15" s="1"/>
      <c r="AHQ15" s="1"/>
      <c r="AHR15" s="1"/>
      <c r="AHS15" s="1"/>
      <c r="AHT15" s="1"/>
      <c r="AHU15" s="1"/>
      <c r="AHV15" s="1"/>
      <c r="AHW15" s="1"/>
      <c r="AHX15" s="1"/>
      <c r="AHY15" s="1"/>
      <c r="AHZ15" s="1"/>
      <c r="AIA15" s="1"/>
      <c r="AIB15" s="1"/>
      <c r="AIC15" s="1"/>
      <c r="AID15" s="1"/>
      <c r="AIE15" s="1"/>
      <c r="AIF15" s="1"/>
      <c r="AIG15" s="1"/>
      <c r="AIH15" s="1"/>
      <c r="AII15" s="1"/>
      <c r="AIJ15" s="1"/>
      <c r="AIK15" s="1"/>
      <c r="AIL15" s="1"/>
      <c r="AIM15" s="1"/>
      <c r="AIN15" s="1"/>
      <c r="AIO15" s="1"/>
      <c r="AIP15" s="1"/>
      <c r="AIQ15" s="1"/>
      <c r="AIR15" s="1"/>
      <c r="AIS15" s="1"/>
      <c r="AIT15" s="1"/>
      <c r="AIU15" s="1"/>
      <c r="AIV15" s="1"/>
      <c r="AIW15" s="1"/>
      <c r="AIX15" s="1"/>
      <c r="AIY15" s="1"/>
      <c r="AIZ15" s="1"/>
      <c r="AJA15" s="1"/>
      <c r="AJB15" s="1"/>
      <c r="AJC15" s="1"/>
      <c r="AJD15" s="1"/>
      <c r="AJE15" s="1"/>
      <c r="AJF15" s="1"/>
      <c r="AJG15" s="1"/>
      <c r="AJH15" s="1"/>
      <c r="AJI15" s="1"/>
      <c r="AJJ15" s="1"/>
      <c r="AJK15" s="1"/>
      <c r="AJL15" s="1"/>
      <c r="AJM15" s="1"/>
      <c r="AJN15" s="1"/>
      <c r="AJO15" s="1"/>
      <c r="AJP15" s="1"/>
      <c r="AJQ15" s="1"/>
      <c r="AJR15" s="1"/>
      <c r="AJS15" s="1"/>
      <c r="AJT15" s="1"/>
      <c r="AJU15" s="1"/>
      <c r="AJV15" s="1"/>
      <c r="AJW15" s="1"/>
      <c r="AJX15" s="1"/>
      <c r="AJY15" s="1"/>
      <c r="AJZ15" s="1"/>
      <c r="AKA15" s="1"/>
      <c r="AKB15" s="1"/>
      <c r="AKC15" s="1"/>
      <c r="AKD15" s="1"/>
      <c r="AKE15" s="1"/>
      <c r="AKF15" s="1"/>
      <c r="AKG15" s="1"/>
      <c r="AKH15" s="1"/>
      <c r="AKI15" s="1"/>
      <c r="AKJ15" s="1"/>
      <c r="AKK15" s="1"/>
      <c r="AKL15" s="1"/>
      <c r="AKM15" s="1"/>
      <c r="AKN15" s="1"/>
      <c r="AKO15" s="1"/>
      <c r="AKP15" s="1"/>
      <c r="AKQ15" s="1"/>
      <c r="AKR15" s="1"/>
      <c r="AKS15" s="1"/>
      <c r="AKT15" s="1"/>
      <c r="AKU15" s="1"/>
      <c r="AKV15" s="1"/>
      <c r="AKW15" s="1"/>
      <c r="AKX15" s="1"/>
      <c r="AKY15" s="1"/>
      <c r="AKZ15" s="1"/>
      <c r="ALA15" s="1"/>
      <c r="ALB15" s="1"/>
      <c r="ALC15" s="1"/>
      <c r="ALD15" s="1"/>
      <c r="ALE15" s="1"/>
      <c r="ALF15" s="1"/>
      <c r="ALG15" s="1"/>
      <c r="ALH15" s="1"/>
      <c r="ALI15" s="1"/>
      <c r="ALJ15" s="1"/>
      <c r="ALK15" s="1"/>
      <c r="ALL15" s="1"/>
      <c r="ALM15" s="1"/>
      <c r="ALN15" s="1"/>
      <c r="ALO15" s="1"/>
      <c r="ALP15" s="1"/>
      <c r="ALQ15" s="1"/>
      <c r="ALR15" s="1"/>
      <c r="ALS15" s="1"/>
      <c r="ALT15" s="1"/>
      <c r="ALU15" s="1"/>
      <c r="ALV15" s="1"/>
      <c r="ALW15" s="1"/>
      <c r="ALX15" s="1"/>
      <c r="ALY15" s="1"/>
      <c r="ALZ15" s="1"/>
      <c r="AMA15" s="1"/>
      <c r="AMB15" s="1"/>
      <c r="AMC15" s="1"/>
      <c r="AMD15" s="1"/>
      <c r="AME15" s="1"/>
      <c r="AMF15" s="1"/>
      <c r="AMG15" s="1"/>
      <c r="AMH15" s="1"/>
      <c r="AMI15" s="1"/>
      <c r="AMJ15" s="1"/>
    </row>
    <row r="16" spans="1:1024" x14ac:dyDescent="0.25">
      <c r="J16" s="39"/>
    </row>
  </sheetData>
  <mergeCells count="25">
    <mergeCell ref="A15:I15"/>
    <mergeCell ref="J15:K15"/>
    <mergeCell ref="D8:K8"/>
    <mergeCell ref="A10:A11"/>
    <mergeCell ref="B10:B11"/>
    <mergeCell ref="C10:G11"/>
    <mergeCell ref="H10:H11"/>
    <mergeCell ref="I10:I11"/>
    <mergeCell ref="J10:J11"/>
    <mergeCell ref="K10:K11"/>
    <mergeCell ref="A8:C8"/>
    <mergeCell ref="C14:G14"/>
    <mergeCell ref="C12:G12"/>
    <mergeCell ref="C13:G13"/>
    <mergeCell ref="A1:I1"/>
    <mergeCell ref="A6:C6"/>
    <mergeCell ref="D6:K6"/>
    <mergeCell ref="A7:C7"/>
    <mergeCell ref="D7:K7"/>
    <mergeCell ref="A3:C3"/>
    <mergeCell ref="D3:K3"/>
    <mergeCell ref="A4:C4"/>
    <mergeCell ref="D4:K4"/>
    <mergeCell ref="A5:C5"/>
    <mergeCell ref="D5:K5"/>
  </mergeCells>
  <printOptions horizontalCentered="1"/>
  <pageMargins left="0.196527777777778" right="0.196527777777778" top="0.98402777777777795" bottom="0.98402777777777795" header="0.51180555555555496" footer="0.51180555555555496"/>
  <pageSetup paperSize="9" scale="90" firstPageNumber="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0"/>
  <sheetViews>
    <sheetView topLeftCell="A7" workbookViewId="0">
      <selection activeCell="O15" sqref="O15:P15"/>
    </sheetView>
  </sheetViews>
  <sheetFormatPr baseColWidth="10" defaultColWidth="11" defaultRowHeight="13.5" x14ac:dyDescent="0.25"/>
  <cols>
    <col min="1" max="6" width="4.42578125" style="1" customWidth="1"/>
    <col min="7" max="7" width="4.42578125" style="5" customWidth="1"/>
    <col min="8" max="14" width="4.42578125" style="1" customWidth="1"/>
    <col min="15" max="16" width="14.85546875" style="1" customWidth="1"/>
    <col min="17" max="17" width="26.42578125" style="1" customWidth="1"/>
    <col min="18" max="16384" width="11" style="1"/>
  </cols>
  <sheetData>
    <row r="1" spans="1:17" ht="15.75" customHeight="1" x14ac:dyDescent="0.25">
      <c r="A1" s="118" t="s">
        <v>5</v>
      </c>
      <c r="B1" s="118"/>
      <c r="C1" s="118"/>
      <c r="D1" s="119">
        <f>'Necesidades Trimestrales'!C6</f>
        <v>2022</v>
      </c>
      <c r="E1" s="119"/>
      <c r="F1" s="10"/>
      <c r="G1" s="10"/>
      <c r="H1" s="11"/>
      <c r="I1" s="11"/>
      <c r="J1" s="11"/>
      <c r="K1" s="11"/>
      <c r="L1" s="11"/>
      <c r="M1" s="11"/>
      <c r="N1" s="11"/>
      <c r="P1" s="120" t="s">
        <v>66</v>
      </c>
      <c r="Q1" s="120"/>
    </row>
    <row r="2" spans="1:17" ht="15.75" customHeight="1" x14ac:dyDescent="0.25">
      <c r="H2" s="11"/>
      <c r="I2" s="11"/>
      <c r="J2" s="11"/>
      <c r="K2" s="11"/>
      <c r="L2" s="11"/>
      <c r="M2" s="11"/>
      <c r="N2" s="11"/>
      <c r="P2" s="120"/>
      <c r="Q2" s="120"/>
    </row>
    <row r="4" spans="1:17" ht="18" customHeight="1" thickBot="1" x14ac:dyDescent="0.35">
      <c r="A4" s="121" t="s">
        <v>67</v>
      </c>
      <c r="B4" s="121"/>
      <c r="C4" s="121"/>
      <c r="D4" s="121"/>
      <c r="E4" s="121"/>
      <c r="F4" s="121"/>
      <c r="G4" s="122" t="str">
        <f>' NotaPedido'!D3</f>
        <v>90 - Ministerio de Seguridad</v>
      </c>
      <c r="H4" s="122"/>
      <c r="I4" s="122"/>
      <c r="J4" s="122"/>
      <c r="K4" s="122"/>
      <c r="L4" s="122"/>
      <c r="M4" s="122"/>
      <c r="N4" s="122"/>
      <c r="O4" s="122"/>
      <c r="P4" s="122"/>
      <c r="Q4" s="122"/>
    </row>
    <row r="5" spans="1:17" ht="18" customHeight="1" thickBot="1" x14ac:dyDescent="0.35">
      <c r="A5" s="123" t="s">
        <v>48</v>
      </c>
      <c r="B5" s="124"/>
      <c r="C5" s="124"/>
      <c r="D5" s="124"/>
      <c r="E5" s="124"/>
      <c r="F5" s="125"/>
      <c r="G5" s="122" t="str">
        <f>' NotaPedido'!D4</f>
        <v>7- Dirección Provincial de Administración de la Policía de la Provincia de Catamarca</v>
      </c>
      <c r="H5" s="122"/>
      <c r="I5" s="122"/>
      <c r="J5" s="122"/>
      <c r="K5" s="122"/>
      <c r="L5" s="122"/>
      <c r="M5" s="122"/>
      <c r="N5" s="122"/>
      <c r="O5" s="122"/>
      <c r="P5" s="122"/>
      <c r="Q5" s="122"/>
    </row>
    <row r="6" spans="1:17" ht="18" customHeight="1" thickBot="1" x14ac:dyDescent="0.35">
      <c r="A6" s="123" t="s">
        <v>49</v>
      </c>
      <c r="B6" s="124"/>
      <c r="C6" s="124"/>
      <c r="D6" s="124"/>
      <c r="E6" s="124"/>
      <c r="F6" s="125"/>
      <c r="G6" s="122" t="str">
        <f>' NotaPedido'!D5</f>
        <v>Policía de la Provincia de Catamarca</v>
      </c>
      <c r="H6" s="122"/>
      <c r="I6" s="122"/>
      <c r="J6" s="122"/>
      <c r="K6" s="122"/>
      <c r="L6" s="122"/>
      <c r="M6" s="122"/>
      <c r="N6" s="122"/>
      <c r="O6" s="122"/>
      <c r="P6" s="122"/>
      <c r="Q6" s="122"/>
    </row>
    <row r="7" spans="1:17" ht="18" customHeight="1" thickBot="1" x14ac:dyDescent="0.35">
      <c r="A7" s="123" t="s">
        <v>51</v>
      </c>
      <c r="B7" s="124"/>
      <c r="C7" s="124"/>
      <c r="D7" s="124"/>
      <c r="E7" s="124"/>
      <c r="F7" s="125"/>
      <c r="G7" s="122" t="str">
        <f>' NotaPedido'!D6</f>
        <v>División Intendencia, Departamento Logística</v>
      </c>
      <c r="H7" s="122"/>
      <c r="I7" s="122"/>
      <c r="J7" s="122"/>
      <c r="K7" s="122"/>
      <c r="L7" s="122"/>
      <c r="M7" s="122"/>
      <c r="N7" s="122"/>
      <c r="O7" s="122"/>
      <c r="P7" s="122"/>
      <c r="Q7" s="122"/>
    </row>
    <row r="8" spans="1:17" ht="18" customHeight="1" thickBot="1" x14ac:dyDescent="0.3">
      <c r="A8" s="126" t="s">
        <v>68</v>
      </c>
      <c r="B8" s="126"/>
      <c r="C8" s="126"/>
      <c r="D8" s="126"/>
      <c r="E8" s="126"/>
      <c r="F8" s="126"/>
      <c r="G8" s="126"/>
      <c r="H8" s="126"/>
      <c r="I8" s="126"/>
      <c r="J8" s="126"/>
      <c r="K8" s="126"/>
      <c r="L8" s="126"/>
      <c r="M8" s="126"/>
      <c r="N8" s="126"/>
      <c r="O8" s="126"/>
      <c r="P8" s="126"/>
      <c r="Q8" s="126"/>
    </row>
    <row r="9" spans="1:17" ht="18" customHeight="1" x14ac:dyDescent="0.3">
      <c r="A9" s="127" t="s">
        <v>69</v>
      </c>
      <c r="B9" s="127"/>
      <c r="C9" s="127"/>
      <c r="D9" s="127"/>
      <c r="E9" s="127"/>
      <c r="F9" s="127"/>
      <c r="G9" s="127"/>
      <c r="H9" s="127"/>
      <c r="I9" s="127"/>
      <c r="J9" s="127"/>
      <c r="K9" s="127"/>
      <c r="L9" s="127"/>
      <c r="M9" s="127"/>
      <c r="N9" s="127"/>
      <c r="O9" s="4"/>
      <c r="P9" s="4"/>
      <c r="Q9" s="12"/>
    </row>
    <row r="10" spans="1:17" ht="66.75" customHeight="1" x14ac:dyDescent="0.25">
      <c r="A10" s="128" t="str">
        <f>"Autorizo la realización de los  trámites correspondientes, a fin de proveer a  este Organismo los bienes y/o servicios que se detallan en Nota  de Pedido N° " &amp;'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81/2021,  afectando la erogación resultante a los créditos presupuestarios aprobados a favor de esta Unidad Ejecutora, conforme al siguiente detalle:</v>
      </c>
      <c r="B10" s="128"/>
      <c r="C10" s="128"/>
      <c r="D10" s="128"/>
      <c r="E10" s="128"/>
      <c r="F10" s="128"/>
      <c r="G10" s="128"/>
      <c r="H10" s="128"/>
      <c r="I10" s="128"/>
      <c r="J10" s="128"/>
      <c r="K10" s="128"/>
      <c r="L10" s="128"/>
      <c r="M10" s="128"/>
      <c r="N10" s="128"/>
      <c r="O10" s="128"/>
      <c r="P10" s="128"/>
      <c r="Q10" s="128"/>
    </row>
    <row r="11" spans="1:17" ht="9" customHeight="1" x14ac:dyDescent="0.25">
      <c r="A11" s="13"/>
      <c r="B11" s="14"/>
      <c r="C11" s="14"/>
      <c r="D11" s="14"/>
      <c r="E11" s="14"/>
      <c r="F11" s="14"/>
      <c r="G11" s="15"/>
      <c r="H11" s="14"/>
      <c r="I11" s="14"/>
      <c r="J11" s="14"/>
      <c r="K11" s="14"/>
      <c r="L11" s="14"/>
      <c r="M11" s="14"/>
      <c r="N11" s="14"/>
      <c r="O11" s="14"/>
      <c r="P11" s="14"/>
      <c r="Q11" s="16"/>
    </row>
    <row r="12" spans="1:17" ht="15.75" customHeight="1" x14ac:dyDescent="0.25">
      <c r="A12" s="129" t="s">
        <v>70</v>
      </c>
      <c r="B12" s="129"/>
      <c r="C12" s="129"/>
      <c r="D12" s="129"/>
      <c r="E12" s="129"/>
      <c r="F12" s="129"/>
      <c r="G12" s="129"/>
      <c r="H12" s="129"/>
      <c r="I12" s="129"/>
      <c r="J12" s="129"/>
      <c r="K12" s="129"/>
      <c r="L12" s="129"/>
      <c r="M12" s="129"/>
      <c r="N12" s="129"/>
      <c r="O12" s="129"/>
      <c r="P12" s="129"/>
      <c r="Q12" s="129"/>
    </row>
    <row r="13" spans="1:17" ht="15.75" customHeight="1" x14ac:dyDescent="0.25">
      <c r="A13" s="130" t="s">
        <v>71</v>
      </c>
      <c r="B13" s="130"/>
      <c r="C13" s="130"/>
      <c r="D13" s="130"/>
      <c r="E13" s="130"/>
      <c r="F13" s="130"/>
      <c r="G13" s="130"/>
      <c r="H13" s="130"/>
      <c r="I13" s="130"/>
      <c r="J13" s="130"/>
      <c r="K13" s="130"/>
      <c r="L13" s="130"/>
      <c r="M13" s="130"/>
      <c r="N13" s="130"/>
      <c r="O13" s="131" t="s">
        <v>72</v>
      </c>
      <c r="P13" s="131"/>
      <c r="Q13" s="132" t="s">
        <v>73</v>
      </c>
    </row>
    <row r="14" spans="1:17" ht="15.75" customHeight="1" thickBot="1" x14ac:dyDescent="0.3">
      <c r="A14" s="17" t="s">
        <v>74</v>
      </c>
      <c r="B14" s="18" t="s">
        <v>75</v>
      </c>
      <c r="C14" s="18" t="s">
        <v>76</v>
      </c>
      <c r="D14" s="18" t="s">
        <v>77</v>
      </c>
      <c r="E14" s="18" t="s">
        <v>78</v>
      </c>
      <c r="F14" s="18" t="s">
        <v>79</v>
      </c>
      <c r="G14" s="19" t="s">
        <v>80</v>
      </c>
      <c r="H14" s="18" t="s">
        <v>81</v>
      </c>
      <c r="I14" s="18" t="s">
        <v>82</v>
      </c>
      <c r="J14" s="18" t="s">
        <v>83</v>
      </c>
      <c r="K14" s="18" t="s">
        <v>83</v>
      </c>
      <c r="L14" s="18" t="s">
        <v>84</v>
      </c>
      <c r="M14" s="20" t="s">
        <v>85</v>
      </c>
      <c r="N14" s="21" t="s">
        <v>86</v>
      </c>
      <c r="O14" s="131"/>
      <c r="P14" s="131"/>
      <c r="Q14" s="132"/>
    </row>
    <row r="15" spans="1:17" ht="26.25" customHeight="1" x14ac:dyDescent="0.25">
      <c r="A15" s="22">
        <v>16</v>
      </c>
      <c r="B15" s="23">
        <v>0</v>
      </c>
      <c r="C15" s="23">
        <v>0</v>
      </c>
      <c r="D15" s="23">
        <v>1</v>
      </c>
      <c r="E15" s="23">
        <v>0</v>
      </c>
      <c r="F15" s="23">
        <v>10</v>
      </c>
      <c r="G15" s="23">
        <v>2</v>
      </c>
      <c r="H15" s="23">
        <v>210</v>
      </c>
      <c r="I15" s="23">
        <v>2</v>
      </c>
      <c r="J15" s="23">
        <v>9</v>
      </c>
      <c r="K15" s="23">
        <v>1</v>
      </c>
      <c r="L15" s="23">
        <v>0</v>
      </c>
      <c r="M15" s="24">
        <v>1</v>
      </c>
      <c r="N15" s="23" t="s">
        <v>87</v>
      </c>
      <c r="O15" s="133" t="e">
        <f>'Necesidades Trimestrales'!#REF!</f>
        <v>#REF!</v>
      </c>
      <c r="P15" s="134"/>
      <c r="Q15" s="25">
        <f>' NotaPedido'!J15</f>
        <v>9542800</v>
      </c>
    </row>
    <row r="16" spans="1:17" ht="33" customHeight="1" thickBot="1" x14ac:dyDescent="0.3">
      <c r="A16" s="146" t="s">
        <v>88</v>
      </c>
      <c r="B16" s="146"/>
      <c r="C16" s="146"/>
      <c r="D16" s="146"/>
      <c r="E16" s="146"/>
      <c r="F16" s="146"/>
      <c r="G16" s="146"/>
      <c r="H16" s="146"/>
      <c r="I16" s="146"/>
      <c r="J16" s="146"/>
      <c r="K16" s="146"/>
      <c r="L16" s="146"/>
      <c r="M16" s="146"/>
      <c r="N16" s="146"/>
      <c r="O16" s="146"/>
      <c r="P16" s="146"/>
      <c r="Q16" s="26">
        <f>Q15</f>
        <v>9542800</v>
      </c>
    </row>
    <row r="17" spans="1:17" ht="18" customHeight="1" thickBot="1" x14ac:dyDescent="0.3">
      <c r="A17" s="147"/>
      <c r="B17" s="148"/>
      <c r="C17" s="148"/>
      <c r="D17" s="148"/>
      <c r="E17" s="148"/>
      <c r="F17" s="148"/>
      <c r="G17" s="148"/>
      <c r="H17" s="148"/>
      <c r="I17" s="148"/>
      <c r="J17" s="148"/>
      <c r="K17" s="148"/>
      <c r="L17" s="148"/>
      <c r="M17" s="148"/>
      <c r="N17" s="148"/>
      <c r="O17" s="148"/>
      <c r="P17" s="148"/>
      <c r="Q17" s="149"/>
    </row>
    <row r="18" spans="1:17" ht="17.25" customHeight="1" thickBot="1" x14ac:dyDescent="0.3">
      <c r="A18" s="135" t="s">
        <v>89</v>
      </c>
      <c r="B18" s="136"/>
      <c r="C18" s="136"/>
      <c r="D18" s="136"/>
      <c r="E18" s="136"/>
      <c r="F18" s="137"/>
      <c r="G18" s="138"/>
      <c r="H18" s="139"/>
      <c r="I18" s="139"/>
      <c r="J18" s="139"/>
      <c r="K18" s="139"/>
      <c r="L18" s="139"/>
      <c r="M18" s="139"/>
      <c r="N18" s="139"/>
      <c r="O18" s="139"/>
      <c r="P18" s="139"/>
      <c r="Q18" s="139"/>
    </row>
    <row r="19" spans="1:17" ht="18" customHeight="1" x14ac:dyDescent="0.25">
      <c r="A19" s="140" t="str">
        <f>' NotaPedido'!D8</f>
        <v>Adquisición de Uniformes de Fajina para el personal policial.</v>
      </c>
      <c r="B19" s="141"/>
      <c r="C19" s="141"/>
      <c r="D19" s="141"/>
      <c r="E19" s="141"/>
      <c r="F19" s="141"/>
      <c r="G19" s="141"/>
      <c r="H19" s="141"/>
      <c r="I19" s="141"/>
      <c r="J19" s="141"/>
      <c r="K19" s="141"/>
      <c r="L19" s="141"/>
      <c r="M19" s="141"/>
      <c r="N19" s="141"/>
      <c r="O19" s="141"/>
      <c r="P19" s="141"/>
      <c r="Q19" s="142"/>
    </row>
    <row r="20" spans="1:17" ht="15" customHeight="1" thickBot="1" x14ac:dyDescent="0.3">
      <c r="A20" s="143"/>
      <c r="B20" s="144"/>
      <c r="C20" s="144"/>
      <c r="D20" s="144"/>
      <c r="E20" s="144"/>
      <c r="F20" s="144"/>
      <c r="G20" s="144"/>
      <c r="H20" s="144"/>
      <c r="I20" s="144"/>
      <c r="J20" s="144"/>
      <c r="K20" s="144"/>
      <c r="L20" s="144"/>
      <c r="M20" s="144"/>
      <c r="N20" s="144"/>
      <c r="O20" s="144"/>
      <c r="P20" s="144"/>
      <c r="Q20" s="145"/>
    </row>
  </sheetData>
  <mergeCells count="24">
    <mergeCell ref="O15:P15"/>
    <mergeCell ref="A18:F18"/>
    <mergeCell ref="G18:Q18"/>
    <mergeCell ref="A19:Q20"/>
    <mergeCell ref="A16:P16"/>
    <mergeCell ref="A17:Q17"/>
    <mergeCell ref="A9:N9"/>
    <mergeCell ref="A10:Q10"/>
    <mergeCell ref="A12:Q12"/>
    <mergeCell ref="A13:N13"/>
    <mergeCell ref="O13:P14"/>
    <mergeCell ref="Q13:Q14"/>
    <mergeCell ref="A5:F5"/>
    <mergeCell ref="G5:Q5"/>
    <mergeCell ref="A8:Q8"/>
    <mergeCell ref="A6:F6"/>
    <mergeCell ref="G6:Q6"/>
    <mergeCell ref="A7:F7"/>
    <mergeCell ref="G7:Q7"/>
    <mergeCell ref="A1:C1"/>
    <mergeCell ref="D1:E1"/>
    <mergeCell ref="P1:Q2"/>
    <mergeCell ref="A4:F4"/>
    <mergeCell ref="G4:Q4"/>
  </mergeCells>
  <printOptions horizontalCentered="1"/>
  <pageMargins left="0.39374999999999999" right="0.39374999999999999" top="0.98402777777777795" bottom="0.98402777777777795" header="0.51180555555555496" footer="0.51180555555555496"/>
  <pageSetup paperSize="9" scale="90"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Trimestrales</vt:lpstr>
      <vt:lpstr> NotaPedido</vt:lpstr>
      <vt:lpstr>Autor Gastar</vt:lpstr>
      <vt:lpstr>' NotaPedido'!Área_de_impresión</vt:lpstr>
      <vt:lpstr>'Autor Gastar'!Área_de_impresión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Policia</dc:creator>
  <cp:keywords/>
  <dc:description/>
  <cp:lastModifiedBy>VIRGINIA GRIMA</cp:lastModifiedBy>
  <cp:revision>2</cp:revision>
  <dcterms:created xsi:type="dcterms:W3CDTF">2020-07-17T23:44:49Z</dcterms:created>
  <dcterms:modified xsi:type="dcterms:W3CDTF">2022-09-09T14:27:23Z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