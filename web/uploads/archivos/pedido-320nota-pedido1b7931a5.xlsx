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3° trimestre 2022\Textil y confecciones ok\"/>
    </mc:Choice>
  </mc:AlternateContent>
  <xr:revisionPtr revIDLastSave="0" documentId="13_ncr:1_{29FB45CC-87EA-4C65-A10C-67DF340BE576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0" i="1"/>
  <c r="J15" i="2"/>
  <c r="J13" i="2"/>
  <c r="J14" i="2"/>
  <c r="J12" i="2"/>
  <c r="K13" i="2"/>
  <c r="K14" i="2"/>
  <c r="K12" i="2"/>
  <c r="C13" i="2"/>
  <c r="C14" i="2"/>
  <c r="C12" i="2"/>
  <c r="B13" i="2"/>
  <c r="B14" i="2"/>
  <c r="B12" i="2"/>
  <c r="D1" i="3"/>
  <c r="I12" i="2" l="1"/>
  <c r="I13" i="2"/>
  <c r="I14" i="2"/>
  <c r="D11" i="1"/>
  <c r="D12" i="1"/>
  <c r="D10" i="1"/>
  <c r="G6" i="3" l="1"/>
  <c r="G7" i="3"/>
  <c r="D3" i="2"/>
  <c r="G4" i="3" s="1"/>
  <c r="D4" i="2"/>
  <c r="G5" i="3" s="1"/>
  <c r="Q16" i="3" l="1"/>
</calcChain>
</file>

<file path=xl/sharedStrings.xml><?xml version="1.0" encoding="utf-8"?>
<sst xmlns="http://schemas.openxmlformats.org/spreadsheetml/2006/main" count="113" uniqueCount="88">
  <si>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</si>
  <si>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</si>
  <si>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</si>
  <si>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</si>
  <si>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</si>
  <si>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</si>
  <si>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</si>
  <si>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</si>
  <si>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</si>
  <si>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</si>
  <si>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</si>
  <si>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</si>
  <si>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</si>
  <si>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</si>
  <si>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</si>
  <si>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</si>
  <si>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</si>
  <si>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</si>
  <si>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</si>
  <si>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</si>
  <si>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</si>
  <si>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</si>
  <si>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</si>
  <si>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</si>
  <si>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</si>
  <si>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</si>
  <si>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</si>
  <si>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</si>
  <si>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</si>
  <si>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</si>
  <si>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</si>
  <si>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</si>
  <si>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</si>
  <si>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</si>
  <si>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</si>
  <si>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</si>
  <si>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</si>
  <si>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</si>
  <si>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</si>
  <si>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</si>
  <si>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</si>
  <si>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</si>
  <si>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</si>
  <si>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</si>
  <si>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</si>
  <si>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</si>
  <si>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</si>
  <si>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</si>
  <si>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</si>
  <si>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</si>
  <si>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</si>
  <si>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</si>
  <si>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</si>
  <si>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</si>
  <si>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</si>
  <si>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</si>
  <si>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</si>
  <si>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</si>
  <si>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1.1</t>
  </si>
  <si>
    <t>División de Enfermería</t>
  </si>
  <si>
    <t>UNIDAD</t>
  </si>
  <si>
    <t>INDUMENT TEXTIL Y CONFECCIONES</t>
  </si>
  <si>
    <t>Confecciones Textiles</t>
  </si>
  <si>
    <t>40- Ministerio de Salud</t>
  </si>
  <si>
    <t>Especificidades Item N° 3:</t>
  </si>
  <si>
    <t>SABANAS; TELA: ALGODON C/POLIESTER, CONJUNTO: SUPERIOR,INFERIOR Y FUNDA, TAMAÑO: 1 1/2 PLAZA</t>
  </si>
  <si>
    <t>2.2.3-923.7</t>
  </si>
  <si>
    <t>CUBRECAMA; TIPO: ACOLCHADO, TAMAÑO: 1 1/2 PLAZA, MATERIAL: ALGODON Y POLIESTER</t>
  </si>
  <si>
    <t>2.2.3-917.25</t>
  </si>
  <si>
    <t>Especificidades Item N° 2:</t>
  </si>
  <si>
    <t>3er trimestre 2022</t>
  </si>
  <si>
    <t xml:space="preserve">Cubrecama tipo  Nido de Abeja Blanco, composicion: 70% Algodón 30% Poliéster, Medidas: Minimo 1 Plaza y Media (1,60 x 2,40)
</t>
  </si>
  <si>
    <t>10(diez) dias habiles</t>
  </si>
  <si>
    <t>30 (treinta) dias habiles</t>
  </si>
  <si>
    <t>SERVICIO DE ENFERMERIA-MATERNIDAD PROVINCIAL 25 DE MAYO  -   HERNANDO DE PEDRAZA 1500</t>
  </si>
  <si>
    <t>SI</t>
  </si>
  <si>
    <t>Adquisicion de Confecciones Textiles ( cubrecama, sabanas y toallas)</t>
  </si>
  <si>
    <t>Autorizo a la realizacion de los tramites correspondientes a fin de proveer a este organismolos bienes y / o servicios que se detallan en NOTA  de pedido N° /2022 afectando la erogacion resultante a los creditos presupuestarios aprobados a favor de esta unidad ejecutora, conform al siguiente detalle.</t>
  </si>
  <si>
    <t xml:space="preserve">Costo total estimado: TRES MILLONES DIECINUEVE MIL QUINIENTOS CON 00/100 </t>
  </si>
  <si>
    <t>TOTAL DE PESOS: TRES MILLONES DIECINUEVE MIL QUINIENTOS CON 00/100.</t>
  </si>
  <si>
    <t xml:space="preserve">169-Direccion Asistencial </t>
  </si>
  <si>
    <t>2.2.3-942.98</t>
  </si>
  <si>
    <t>TOALLAS DE TELA: MEDIDAS 0,80 x 1,50M</t>
  </si>
  <si>
    <t xml:space="preserve">  COLOR: AZUL, MOTIVO: LISA, CALIDAD 100% ALGODON ,500 gr/m2 de puro ALGODÓN, es calidad PREMIUM.  </t>
  </si>
  <si>
    <t>SABANAS BLANCAS; CONJUNTO: SUPERIOR, INFERIOR Y FUNDA, TELA: ALGODON PEINADO 80 % C/POLIESTER 20%, 180 HILOS, TAMAÑO: MINIMO 1 1/2 PLAZA,   MEDIDAS: SABANA SUPERIOR  MINIMO DE 1.70 X 2,50 cm, SABANA INFERIOR  AJUSTABLE  MINIMO 90 CM X 2,0  0 CM Y 30 CM DE ALTURA, FUNDA:  MINIMO 50 X 70 80CM .</t>
  </si>
  <si>
    <t xml:space="preserve">                                                                         30(treinta) dias habiles</t>
  </si>
  <si>
    <t xml:space="preserve">            30(treinta) dias habiles</t>
  </si>
  <si>
    <t>Para la adquisición de Cubrecamas, sabanas y toallas,destinado a la atencion de pacientes que ingresan a nuestra 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</si>
</sst>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166" fontId="13" fillId="0" borderId="3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1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8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 wrapText="1"/>
    </xf>
    <xf numFmtId="0" fontId="4" fillId="0" borderId="21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166" fontId="4" fillId="0" borderId="21" xfId="1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>
      <alignment horizontal="center" vertical="center"/>
    </xf>
    <xf numFmtId="49" fontId="6" fillId="0" borderId="13" xfId="0" applyNumberFormat="1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6" fontId="18" fillId="0" borderId="3" xfId="0" applyNumberFormat="1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wrapText="1"/>
    </xf>
    <xf numFmtId="0" fontId="21" fillId="0" borderId="0" xfId="0" applyFont="1" applyBorder="1"/>
    <xf numFmtId="0" fontId="15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3"/>
    </xf>
    <xf numFmtId="0" fontId="15" fillId="3" borderId="0" xfId="0" applyFont="1" applyFill="1" applyBorder="1"/>
    <xf numFmtId="0" fontId="15" fillId="0" borderId="0" xfId="0" applyFont="1" applyFill="1" applyBorder="1" applyAlignment="1">
      <alignment horizontal="center" wrapText="1"/>
    </xf>
    <xf numFmtId="0" fontId="19" fillId="0" borderId="42" xfId="0" applyFont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6" fontId="18" fillId="0" borderId="41" xfId="0" applyNumberFormat="1" applyFont="1" applyBorder="1" applyAlignment="1">
      <alignment horizontal="center" vertical="center" wrapText="1"/>
    </xf>
    <xf numFmtId="6" fontId="18" fillId="0" borderId="43" xfId="0" applyNumberFormat="1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21" fillId="0" borderId="7" xfId="0" applyFont="1" applyBorder="1" applyAlignment="1"/>
    <xf numFmtId="0" fontId="0" fillId="0" borderId="0" xfId="0" applyAlignment="1">
      <alignment horizontal="center"/>
    </xf>
    <xf numFmtId="0" fontId="15" fillId="3" borderId="3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5" fillId="3" borderId="41" xfId="0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3" xfId="0" applyFill="1" applyBorder="1" applyAlignment="1">
      <alignment horizontal="center" wrapText="1"/>
    </xf>
    <xf numFmtId="0" fontId="23" fillId="0" borderId="4" xfId="0" applyFont="1" applyBorder="1"/>
    <xf numFmtId="0" fontId="15" fillId="0" borderId="7" xfId="0" applyFont="1" applyBorder="1" applyAlignment="1"/>
    <xf numFmtId="0" fontId="24" fillId="0" borderId="0" xfId="0" applyFont="1" applyFill="1" applyBorder="1" applyAlignment="1">
      <alignment horizontal="center" wrapText="1"/>
    </xf>
    <xf numFmtId="0" fontId="24" fillId="0" borderId="8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167" fontId="2" fillId="0" borderId="0" xfId="0" applyNumberFormat="1" applyFont="1" applyBorder="1" applyAlignment="1">
      <alignment vertical="center"/>
    </xf>
    <xf numFmtId="0" fontId="15" fillId="3" borderId="3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0" fontId="24" fillId="0" borderId="8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/>
    </xf>
    <xf numFmtId="0" fontId="15" fillId="0" borderId="8" xfId="0" applyFont="1" applyFill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left" wrapText="1"/>
    </xf>
    <xf numFmtId="0" fontId="7" fillId="0" borderId="18" xfId="0" applyFont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 wrapText="1" indent="1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 indent="1"/>
    </xf>
    <xf numFmtId="167" fontId="7" fillId="0" borderId="1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7" xfId="0" applyFont="1" applyFill="1" applyBorder="1" applyAlignment="1">
      <alignment horizontal="left" vertical="center" wrapText="1" indent="1"/>
    </xf>
    <xf numFmtId="0" fontId="9" fillId="0" borderId="37" xfId="0" applyFont="1" applyBorder="1" applyAlignment="1">
      <alignment horizontal="left" vertical="center" wrapText="1"/>
    </xf>
    <xf numFmtId="0" fontId="0" fillId="0" borderId="24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74</xdr:row>
      <xdr:rowOff>9525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191875" y="1294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A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10"/>
  <sheetViews>
    <sheetView topLeftCell="A53" zoomScale="75" zoomScaleNormal="75" workbookViewId="0">
      <selection activeCell="K11" sqref="K11"/>
    </sheetView>
  </sheetViews>
  <sheetFormatPr baseColWidth="10" defaultColWidth="11" defaultRowHeight="12.75" x14ac:dyDescent="0.2"/>
  <cols>
    <col min="1" max="1" width="4.5703125" style="25" customWidth="1"/>
    <col min="2" max="2" width="22.28515625" style="25" customWidth="1"/>
    <col min="3" max="3" width="32.42578125" style="25" customWidth="1"/>
    <col min="4" max="4" width="8.42578125" style="25" customWidth="1"/>
    <col min="5" max="5" width="79" style="25" customWidth="1"/>
    <col min="6" max="6" width="11" style="25"/>
    <col min="7" max="7" width="12.7109375" style="25" customWidth="1"/>
    <col min="8" max="8" width="13.85546875" style="25" customWidth="1"/>
    <col min="9" max="9" width="18.5703125" style="25" customWidth="1"/>
    <col min="10" max="16384" width="11" style="25"/>
  </cols>
  <sheetData>
    <row r="2" spans="1:9" ht="27" x14ac:dyDescent="0.35">
      <c r="B2" s="91" t="s">
        <v>0</v>
      </c>
      <c r="C2" s="91"/>
      <c r="D2" s="91"/>
      <c r="E2" s="91"/>
      <c r="F2" s="91"/>
      <c r="G2" s="91"/>
      <c r="H2" s="91"/>
    </row>
    <row r="4" spans="1:9" ht="18" customHeight="1" x14ac:dyDescent="0.25">
      <c r="A4" s="92" t="s">
        <v>1</v>
      </c>
      <c r="B4" s="92"/>
      <c r="C4" s="93" t="s">
        <v>63</v>
      </c>
      <c r="D4" s="93"/>
      <c r="E4" s="93"/>
      <c r="F4" s="26"/>
      <c r="G4" s="27"/>
      <c r="H4" s="26"/>
    </row>
    <row r="5" spans="1:9" ht="18" customHeight="1" x14ac:dyDescent="0.25">
      <c r="A5" s="92" t="s">
        <v>2</v>
      </c>
      <c r="B5" s="92"/>
      <c r="C5" s="93" t="s">
        <v>57</v>
      </c>
      <c r="D5" s="93"/>
      <c r="E5" s="93"/>
      <c r="F5" s="26"/>
      <c r="G5" s="27"/>
      <c r="H5" s="26"/>
    </row>
    <row r="6" spans="1:9" ht="16.5" customHeight="1" x14ac:dyDescent="0.25">
      <c r="A6" s="92" t="s">
        <v>3</v>
      </c>
      <c r="B6" s="92"/>
      <c r="C6" s="39">
        <v>2022</v>
      </c>
      <c r="D6" s="40"/>
      <c r="E6" s="40"/>
      <c r="F6" s="26"/>
      <c r="G6" s="27"/>
      <c r="H6" s="26"/>
    </row>
    <row r="7" spans="1:9" ht="16.5" customHeight="1" x14ac:dyDescent="0.25">
      <c r="A7" s="92" t="s">
        <v>4</v>
      </c>
      <c r="B7" s="92"/>
      <c r="C7" s="39">
        <v>3</v>
      </c>
      <c r="D7" s="40"/>
      <c r="E7" s="40"/>
      <c r="F7" s="26"/>
      <c r="G7" s="27"/>
      <c r="H7" s="26"/>
    </row>
    <row r="8" spans="1:9" ht="13.5" thickBot="1" x14ac:dyDescent="0.25">
      <c r="B8" s="26"/>
      <c r="C8" s="27"/>
      <c r="D8" s="26"/>
      <c r="E8" s="26"/>
      <c r="F8" s="26"/>
      <c r="G8" s="27"/>
      <c r="H8" s="26"/>
    </row>
    <row r="9" spans="1:9" ht="51" customHeight="1" thickTop="1" thickBot="1" x14ac:dyDescent="0.25">
      <c r="A9" s="28" t="s">
        <v>5</v>
      </c>
      <c r="B9" s="64" t="s">
        <v>6</v>
      </c>
      <c r="C9" s="64" t="s">
        <v>7</v>
      </c>
      <c r="D9" s="64" t="s">
        <v>8</v>
      </c>
      <c r="E9" s="64" t="s">
        <v>9</v>
      </c>
      <c r="F9" s="64" t="s">
        <v>10</v>
      </c>
      <c r="G9" s="64" t="s">
        <v>11</v>
      </c>
      <c r="H9" s="64" t="s">
        <v>12</v>
      </c>
      <c r="I9" s="64" t="s">
        <v>13</v>
      </c>
    </row>
    <row r="10" spans="1:9" ht="40.5" customHeight="1" x14ac:dyDescent="0.2">
      <c r="A10" s="56">
        <v>1</v>
      </c>
      <c r="B10" s="72" t="s">
        <v>68</v>
      </c>
      <c r="C10" s="75" t="s">
        <v>61</v>
      </c>
      <c r="D10" s="65" t="str">
        <f t="shared" ref="D10:D12" si="0">LEFT(B10,5)</f>
        <v>2.2.3</v>
      </c>
      <c r="E10" s="76" t="s">
        <v>67</v>
      </c>
      <c r="F10" s="66" t="s">
        <v>60</v>
      </c>
      <c r="G10" s="66">
        <v>150</v>
      </c>
      <c r="H10" s="67">
        <v>6490</v>
      </c>
      <c r="I10" s="68">
        <f>+H10*G10</f>
        <v>973500</v>
      </c>
    </row>
    <row r="11" spans="1:9" ht="44.25" customHeight="1" x14ac:dyDescent="0.2">
      <c r="A11" s="56">
        <v>2</v>
      </c>
      <c r="B11" s="73" t="s">
        <v>81</v>
      </c>
      <c r="C11" s="73" t="s">
        <v>61</v>
      </c>
      <c r="D11" s="55" t="str">
        <f t="shared" si="0"/>
        <v>2.2.3</v>
      </c>
      <c r="E11" s="84" t="s">
        <v>82</v>
      </c>
      <c r="F11" s="56" t="s">
        <v>60</v>
      </c>
      <c r="G11" s="56">
        <v>30</v>
      </c>
      <c r="H11" s="57">
        <v>2600</v>
      </c>
      <c r="I11" s="68">
        <f t="shared" ref="I11:I12" si="1">+H11*G11</f>
        <v>78000</v>
      </c>
    </row>
    <row r="12" spans="1:9" ht="46.5" customHeight="1" x14ac:dyDescent="0.2">
      <c r="A12" s="56">
        <v>3</v>
      </c>
      <c r="B12" s="74" t="s">
        <v>66</v>
      </c>
      <c r="C12" s="73" t="s">
        <v>61</v>
      </c>
      <c r="D12" s="55" t="str">
        <f t="shared" si="0"/>
        <v>2.2.3</v>
      </c>
      <c r="E12" s="77" t="s">
        <v>65</v>
      </c>
      <c r="F12" s="56" t="s">
        <v>60</v>
      </c>
      <c r="G12" s="56">
        <v>300</v>
      </c>
      <c r="H12" s="57">
        <v>6560</v>
      </c>
      <c r="I12" s="68">
        <f t="shared" si="1"/>
        <v>1968000</v>
      </c>
    </row>
    <row r="14" spans="1:9" ht="3.75" customHeight="1" thickBot="1" x14ac:dyDescent="0.25">
      <c r="B14" s="32"/>
      <c r="C14" s="32"/>
      <c r="D14" s="32"/>
      <c r="E14" s="32"/>
    </row>
    <row r="15" spans="1:9" ht="13.5" hidden="1" thickBot="1" x14ac:dyDescent="0.25">
      <c r="B15" s="59"/>
      <c r="C15" s="32"/>
      <c r="D15" s="32"/>
      <c r="E15" s="32"/>
    </row>
    <row r="16" spans="1:9" ht="5.25" hidden="1" customHeight="1" thickBot="1" x14ac:dyDescent="0.25">
      <c r="A16" s="32"/>
      <c r="B16" s="32"/>
      <c r="C16" s="32"/>
      <c r="D16" s="32"/>
      <c r="E16" s="32"/>
      <c r="F16" s="32"/>
    </row>
    <row r="17" spans="2:6" ht="13.5" hidden="1" thickBot="1" x14ac:dyDescent="0.25">
      <c r="B17" s="61"/>
      <c r="C17" s="32"/>
      <c r="D17" s="32"/>
      <c r="E17" s="32"/>
      <c r="F17" s="32"/>
    </row>
    <row r="18" spans="2:6" ht="4.5" hidden="1" customHeight="1" thickBot="1" x14ac:dyDescent="0.25">
      <c r="B18" s="61"/>
      <c r="C18" s="85"/>
      <c r="D18" s="85"/>
      <c r="E18" s="94"/>
      <c r="F18" s="32"/>
    </row>
    <row r="19" spans="2:6" ht="13.5" hidden="1" thickBot="1" x14ac:dyDescent="0.25">
      <c r="B19" s="61"/>
      <c r="C19" s="41"/>
      <c r="D19" s="41"/>
      <c r="E19" s="41"/>
      <c r="F19" s="32"/>
    </row>
    <row r="20" spans="2:6" ht="13.5" hidden="1" thickBot="1" x14ac:dyDescent="0.25">
      <c r="B20" s="60"/>
      <c r="C20" s="86"/>
      <c r="D20" s="86"/>
      <c r="E20" s="95"/>
      <c r="F20" s="32"/>
    </row>
    <row r="21" spans="2:6" ht="13.5" hidden="1" thickBot="1" x14ac:dyDescent="0.25">
      <c r="B21" s="60"/>
      <c r="C21" s="86"/>
      <c r="D21" s="86"/>
      <c r="E21" s="95"/>
      <c r="F21" s="32"/>
    </row>
    <row r="22" spans="2:6" ht="13.5" hidden="1" thickBot="1" x14ac:dyDescent="0.25">
      <c r="B22" s="61"/>
      <c r="C22" s="41"/>
      <c r="D22" s="41"/>
      <c r="E22" s="41"/>
      <c r="F22" s="32"/>
    </row>
    <row r="23" spans="2:6" ht="26.25" hidden="1" customHeight="1" thickBot="1" x14ac:dyDescent="0.25">
      <c r="B23" s="60"/>
      <c r="C23" s="85"/>
      <c r="D23" s="85"/>
      <c r="E23" s="94"/>
      <c r="F23" s="32"/>
    </row>
    <row r="24" spans="2:6" ht="13.5" hidden="1" thickBot="1" x14ac:dyDescent="0.25">
      <c r="B24" s="61"/>
      <c r="C24" s="43"/>
      <c r="D24" s="43"/>
      <c r="E24" s="58"/>
      <c r="F24" s="32"/>
    </row>
    <row r="25" spans="2:6" ht="26.25" hidden="1" customHeight="1" thickBot="1" x14ac:dyDescent="0.25">
      <c r="B25" s="60"/>
      <c r="C25" s="85"/>
      <c r="D25" s="85"/>
      <c r="E25" s="94"/>
      <c r="F25" s="32"/>
    </row>
    <row r="26" spans="2:6" ht="13.5" hidden="1" thickBot="1" x14ac:dyDescent="0.25">
      <c r="B26" s="61"/>
      <c r="C26" s="41"/>
      <c r="D26" s="62"/>
      <c r="E26" s="41"/>
      <c r="F26" s="32"/>
    </row>
    <row r="27" spans="2:6" ht="23.25" hidden="1" customHeight="1" thickBot="1" x14ac:dyDescent="0.25">
      <c r="B27" s="61"/>
      <c r="C27" s="86"/>
      <c r="D27" s="86"/>
      <c r="E27" s="95"/>
      <c r="F27" s="32"/>
    </row>
    <row r="28" spans="2:6" ht="13.5" hidden="1" thickBot="1" x14ac:dyDescent="0.25">
      <c r="B28" s="60"/>
      <c r="C28" s="32"/>
      <c r="D28" s="32"/>
      <c r="E28" s="32"/>
    </row>
    <row r="29" spans="2:6" ht="13.5" hidden="1" thickBot="1" x14ac:dyDescent="0.25"/>
    <row r="30" spans="2:6" x14ac:dyDescent="0.2">
      <c r="B30" s="78" t="s">
        <v>14</v>
      </c>
      <c r="C30" s="29"/>
      <c r="D30" s="29"/>
      <c r="E30" s="30"/>
    </row>
    <row r="31" spans="2:6" ht="7.5" customHeight="1" x14ac:dyDescent="0.2">
      <c r="B31" s="31"/>
      <c r="C31" s="32"/>
      <c r="D31" s="32"/>
      <c r="E31" s="33"/>
    </row>
    <row r="32" spans="2:6" x14ac:dyDescent="0.2">
      <c r="B32" s="71" t="s">
        <v>15</v>
      </c>
      <c r="C32" s="32"/>
      <c r="D32" s="32"/>
      <c r="E32" s="33"/>
    </row>
    <row r="33" spans="2:5" ht="39" customHeight="1" x14ac:dyDescent="0.2">
      <c r="B33" s="34"/>
      <c r="C33" s="87" t="s">
        <v>71</v>
      </c>
      <c r="D33" s="87"/>
      <c r="E33" s="88"/>
    </row>
    <row r="34" spans="2:5" x14ac:dyDescent="0.2">
      <c r="B34" s="71" t="s">
        <v>16</v>
      </c>
      <c r="C34" s="41"/>
      <c r="D34" s="69" t="s">
        <v>72</v>
      </c>
      <c r="E34" s="42"/>
    </row>
    <row r="35" spans="2:5" x14ac:dyDescent="0.2">
      <c r="B35" s="35"/>
      <c r="C35" s="86"/>
      <c r="D35" s="86"/>
      <c r="E35" s="86"/>
    </row>
    <row r="36" spans="2:5" x14ac:dyDescent="0.2">
      <c r="B36" s="35"/>
      <c r="C36" s="86" t="s">
        <v>74</v>
      </c>
      <c r="D36" s="86"/>
      <c r="E36" s="86"/>
    </row>
    <row r="37" spans="2:5" x14ac:dyDescent="0.2">
      <c r="B37" s="71" t="s">
        <v>17</v>
      </c>
      <c r="C37" s="41"/>
      <c r="D37" s="41"/>
      <c r="E37" s="42"/>
    </row>
    <row r="38" spans="2:5" x14ac:dyDescent="0.2">
      <c r="B38" s="35"/>
      <c r="C38" s="85"/>
      <c r="D38" s="85"/>
      <c r="E38" s="85"/>
    </row>
    <row r="39" spans="2:5" x14ac:dyDescent="0.2">
      <c r="B39" s="71" t="s">
        <v>18</v>
      </c>
      <c r="C39" s="43"/>
      <c r="D39" s="43"/>
      <c r="E39" s="44"/>
    </row>
    <row r="40" spans="2:5" x14ac:dyDescent="0.2">
      <c r="B40" s="35"/>
      <c r="C40" s="96" t="s">
        <v>85</v>
      </c>
      <c r="D40" s="96"/>
      <c r="E40" s="96"/>
    </row>
    <row r="41" spans="2:5" x14ac:dyDescent="0.2">
      <c r="B41" s="71" t="s">
        <v>19</v>
      </c>
      <c r="C41" s="41"/>
      <c r="D41" s="41"/>
      <c r="E41" s="42"/>
    </row>
    <row r="42" spans="2:5" x14ac:dyDescent="0.2">
      <c r="B42" s="71"/>
      <c r="C42" s="86"/>
      <c r="D42" s="86"/>
      <c r="E42" s="86"/>
    </row>
    <row r="43" spans="2:5" ht="13.5" thickBot="1" x14ac:dyDescent="0.25">
      <c r="B43" s="36"/>
      <c r="C43" s="37"/>
      <c r="D43" s="37"/>
      <c r="E43" s="38"/>
    </row>
    <row r="44" spans="2:5" ht="13.5" thickBot="1" x14ac:dyDescent="0.25"/>
    <row r="45" spans="2:5" x14ac:dyDescent="0.2">
      <c r="B45" s="78" t="s">
        <v>69</v>
      </c>
      <c r="C45" s="29"/>
      <c r="D45" s="29"/>
      <c r="E45" s="30"/>
    </row>
    <row r="46" spans="2:5" ht="5.25" customHeight="1" x14ac:dyDescent="0.2">
      <c r="B46" s="31"/>
      <c r="C46" s="32"/>
      <c r="D46" s="32"/>
      <c r="E46" s="33"/>
    </row>
    <row r="47" spans="2:5" x14ac:dyDescent="0.2">
      <c r="B47" s="71" t="s">
        <v>15</v>
      </c>
      <c r="C47" s="32"/>
      <c r="D47" s="32"/>
      <c r="E47" s="33"/>
    </row>
    <row r="48" spans="2:5" ht="63" customHeight="1" x14ac:dyDescent="0.2">
      <c r="B48" s="34"/>
      <c r="C48" s="88" t="s">
        <v>83</v>
      </c>
      <c r="D48" s="88"/>
      <c r="E48" s="88"/>
    </row>
    <row r="49" spans="2:5" ht="15" customHeight="1" x14ac:dyDescent="0.2">
      <c r="B49" s="34"/>
      <c r="C49" s="80"/>
      <c r="D49" s="80"/>
      <c r="E49" s="81"/>
    </row>
    <row r="50" spans="2:5" x14ac:dyDescent="0.2">
      <c r="B50" s="71" t="s">
        <v>16</v>
      </c>
      <c r="C50" s="41"/>
      <c r="D50" s="41" t="s">
        <v>72</v>
      </c>
      <c r="E50" s="42"/>
    </row>
    <row r="51" spans="2:5" x14ac:dyDescent="0.2">
      <c r="B51" s="79"/>
      <c r="C51" s="86" t="s">
        <v>74</v>
      </c>
      <c r="D51" s="86"/>
      <c r="E51" s="86"/>
    </row>
    <row r="52" spans="2:5" x14ac:dyDescent="0.2">
      <c r="B52" s="35"/>
      <c r="C52" s="86"/>
      <c r="D52" s="86"/>
      <c r="E52" s="86"/>
    </row>
    <row r="53" spans="2:5" x14ac:dyDescent="0.2">
      <c r="B53" s="71" t="s">
        <v>17</v>
      </c>
      <c r="C53" s="41"/>
      <c r="D53" s="41"/>
      <c r="E53" s="42"/>
    </row>
    <row r="54" spans="2:5" ht="26.25" customHeight="1" x14ac:dyDescent="0.2">
      <c r="B54" s="35"/>
      <c r="C54" s="85"/>
      <c r="D54" s="85"/>
      <c r="E54" s="85"/>
    </row>
    <row r="55" spans="2:5" x14ac:dyDescent="0.2">
      <c r="B55" s="71" t="s">
        <v>18</v>
      </c>
      <c r="C55" s="43"/>
      <c r="D55" s="89" t="s">
        <v>73</v>
      </c>
      <c r="E55" s="90"/>
    </row>
    <row r="56" spans="2:5" ht="26.25" customHeight="1" x14ac:dyDescent="0.2">
      <c r="B56" s="35"/>
      <c r="C56" s="85"/>
      <c r="D56" s="85"/>
      <c r="E56" s="85"/>
    </row>
    <row r="57" spans="2:5" x14ac:dyDescent="0.2">
      <c r="B57" s="71" t="s">
        <v>19</v>
      </c>
      <c r="C57" s="41"/>
      <c r="D57" s="41"/>
      <c r="E57" s="42"/>
    </row>
    <row r="58" spans="2:5" ht="23.25" customHeight="1" x14ac:dyDescent="0.2">
      <c r="B58" s="34"/>
      <c r="C58" s="86"/>
      <c r="D58" s="86"/>
      <c r="E58" s="86"/>
    </row>
    <row r="59" spans="2:5" ht="13.5" thickBot="1" x14ac:dyDescent="0.25">
      <c r="B59" s="36"/>
      <c r="C59" s="37"/>
      <c r="D59" s="37"/>
      <c r="E59" s="38"/>
    </row>
    <row r="60" spans="2:5" ht="13.5" thickBot="1" x14ac:dyDescent="0.25"/>
    <row r="61" spans="2:5" x14ac:dyDescent="0.2">
      <c r="B61" s="78" t="s">
        <v>64</v>
      </c>
      <c r="C61" s="29"/>
      <c r="D61" s="29"/>
      <c r="E61" s="30"/>
    </row>
    <row r="62" spans="2:5" ht="7.5" customHeight="1" x14ac:dyDescent="0.2">
      <c r="B62" s="31"/>
      <c r="C62" s="32"/>
      <c r="D62" s="32"/>
      <c r="E62" s="33"/>
    </row>
    <row r="63" spans="2:5" x14ac:dyDescent="0.2">
      <c r="B63" s="71" t="s">
        <v>15</v>
      </c>
      <c r="C63" s="32"/>
      <c r="D63" s="32"/>
      <c r="E63" s="33"/>
    </row>
    <row r="64" spans="2:5" x14ac:dyDescent="0.2">
      <c r="B64" s="71"/>
      <c r="C64" s="32"/>
      <c r="D64" s="32"/>
      <c r="E64" s="33"/>
    </row>
    <row r="65" spans="2:7" ht="93" customHeight="1" x14ac:dyDescent="0.2">
      <c r="B65" s="34"/>
      <c r="C65" s="87" t="s">
        <v>84</v>
      </c>
      <c r="D65" s="87"/>
      <c r="E65" s="88"/>
    </row>
    <row r="66" spans="2:7" ht="24.75" customHeight="1" x14ac:dyDescent="0.2">
      <c r="B66" s="34"/>
      <c r="C66" s="80"/>
      <c r="D66" s="80"/>
      <c r="E66" s="81"/>
    </row>
    <row r="67" spans="2:7" x14ac:dyDescent="0.2">
      <c r="B67" s="71" t="s">
        <v>16</v>
      </c>
      <c r="C67" s="41"/>
      <c r="D67" s="41" t="s">
        <v>72</v>
      </c>
      <c r="E67" s="42"/>
    </row>
    <row r="68" spans="2:7" x14ac:dyDescent="0.2">
      <c r="B68" s="35"/>
      <c r="C68" s="86" t="s">
        <v>74</v>
      </c>
      <c r="D68" s="86"/>
      <c r="E68" s="86"/>
    </row>
    <row r="69" spans="2:7" x14ac:dyDescent="0.2">
      <c r="B69" s="35"/>
      <c r="C69" s="86"/>
      <c r="D69" s="86"/>
      <c r="E69" s="86"/>
    </row>
    <row r="70" spans="2:7" x14ac:dyDescent="0.2">
      <c r="B70" s="71" t="s">
        <v>17</v>
      </c>
      <c r="C70" s="41"/>
      <c r="D70" s="41"/>
      <c r="E70" s="42"/>
    </row>
    <row r="71" spans="2:7" x14ac:dyDescent="0.2">
      <c r="B71" s="35"/>
      <c r="C71" s="85"/>
      <c r="D71" s="85"/>
      <c r="E71" s="85"/>
    </row>
    <row r="72" spans="2:7" x14ac:dyDescent="0.2">
      <c r="B72" s="71" t="s">
        <v>18</v>
      </c>
      <c r="C72" s="82"/>
      <c r="D72" s="69" t="s">
        <v>86</v>
      </c>
      <c r="E72" s="70"/>
    </row>
    <row r="73" spans="2:7" x14ac:dyDescent="0.2">
      <c r="B73" s="35"/>
      <c r="C73" s="85"/>
      <c r="D73" s="85"/>
      <c r="E73" s="85"/>
    </row>
    <row r="74" spans="2:7" x14ac:dyDescent="0.2">
      <c r="B74" s="71" t="s">
        <v>19</v>
      </c>
      <c r="C74" s="41"/>
      <c r="D74" s="41"/>
      <c r="E74" s="42"/>
    </row>
    <row r="75" spans="2:7" x14ac:dyDescent="0.2">
      <c r="B75" s="34"/>
      <c r="C75" s="86"/>
      <c r="D75" s="86"/>
      <c r="E75" s="86"/>
    </row>
    <row r="76" spans="2:7" ht="13.5" thickBot="1" x14ac:dyDescent="0.25">
      <c r="B76" s="36"/>
      <c r="C76" s="37"/>
      <c r="D76" s="37"/>
      <c r="E76" s="38"/>
    </row>
    <row r="78" spans="2:7" x14ac:dyDescent="0.2">
      <c r="C78" s="32"/>
      <c r="D78" s="32"/>
      <c r="E78" s="32"/>
      <c r="F78" s="32"/>
    </row>
    <row r="79" spans="2:7" x14ac:dyDescent="0.2">
      <c r="B79" s="32"/>
      <c r="C79" s="59"/>
      <c r="D79" s="32"/>
      <c r="E79" s="32"/>
      <c r="F79" s="32"/>
      <c r="G79" s="32"/>
    </row>
    <row r="80" spans="2:7" x14ac:dyDescent="0.2">
      <c r="B80" s="32"/>
      <c r="C80" s="32"/>
      <c r="D80" s="32"/>
      <c r="E80" s="32"/>
      <c r="F80" s="32"/>
      <c r="G80" s="32"/>
    </row>
    <row r="81" spans="2:7" x14ac:dyDescent="0.2">
      <c r="B81" s="32"/>
      <c r="C81" s="61"/>
      <c r="D81" s="32"/>
      <c r="E81" s="32"/>
      <c r="F81" s="32"/>
      <c r="G81" s="32"/>
    </row>
    <row r="82" spans="2:7" ht="30" customHeight="1" x14ac:dyDescent="0.2">
      <c r="B82" s="32"/>
      <c r="C82" s="61"/>
      <c r="D82" s="94"/>
      <c r="E82" s="94"/>
      <c r="F82" s="94"/>
      <c r="G82" s="32"/>
    </row>
    <row r="83" spans="2:7" x14ac:dyDescent="0.2">
      <c r="B83" s="32"/>
      <c r="C83" s="61"/>
      <c r="D83" s="41"/>
      <c r="E83" s="41"/>
      <c r="F83" s="41"/>
      <c r="G83" s="32"/>
    </row>
    <row r="84" spans="2:7" x14ac:dyDescent="0.2">
      <c r="B84" s="32"/>
      <c r="C84" s="60"/>
      <c r="D84" s="95"/>
      <c r="E84" s="95"/>
      <c r="F84" s="95"/>
      <c r="G84" s="32"/>
    </row>
    <row r="85" spans="2:7" x14ac:dyDescent="0.2">
      <c r="B85" s="32"/>
      <c r="C85" s="60"/>
      <c r="D85" s="95"/>
      <c r="E85" s="95"/>
      <c r="F85" s="95"/>
      <c r="G85" s="32"/>
    </row>
    <row r="86" spans="2:7" x14ac:dyDescent="0.2">
      <c r="B86" s="32"/>
      <c r="C86" s="61"/>
      <c r="D86" s="41"/>
      <c r="E86" s="41"/>
      <c r="F86" s="41"/>
      <c r="G86" s="32"/>
    </row>
    <row r="87" spans="2:7" x14ac:dyDescent="0.2">
      <c r="B87" s="32"/>
      <c r="C87" s="60"/>
      <c r="D87" s="94"/>
      <c r="E87" s="94"/>
      <c r="F87" s="94"/>
      <c r="G87" s="32"/>
    </row>
    <row r="88" spans="2:7" x14ac:dyDescent="0.2">
      <c r="B88" s="32"/>
      <c r="C88" s="61"/>
      <c r="D88" s="58"/>
      <c r="E88" s="58"/>
      <c r="F88" s="58"/>
      <c r="G88" s="32"/>
    </row>
    <row r="89" spans="2:7" x14ac:dyDescent="0.2">
      <c r="B89" s="32"/>
      <c r="C89" s="60"/>
      <c r="D89" s="94"/>
      <c r="E89" s="94"/>
      <c r="F89" s="94"/>
      <c r="G89" s="32"/>
    </row>
    <row r="90" spans="2:7" x14ac:dyDescent="0.2">
      <c r="B90" s="32"/>
      <c r="C90" s="61"/>
      <c r="D90" s="41"/>
      <c r="E90" s="62"/>
      <c r="F90" s="41"/>
      <c r="G90" s="32"/>
    </row>
    <row r="91" spans="2:7" x14ac:dyDescent="0.2">
      <c r="B91" s="32"/>
      <c r="C91" s="61"/>
      <c r="D91" s="95"/>
      <c r="E91" s="95"/>
      <c r="F91" s="95"/>
      <c r="G91" s="32"/>
    </row>
    <row r="92" spans="2:7" x14ac:dyDescent="0.2">
      <c r="B92" s="32"/>
      <c r="C92" s="60"/>
      <c r="D92" s="32"/>
      <c r="E92" s="32"/>
      <c r="F92" s="32"/>
    </row>
    <row r="93" spans="2:7" x14ac:dyDescent="0.2">
      <c r="C93" s="32"/>
      <c r="D93" s="32"/>
      <c r="E93" s="32"/>
      <c r="F93" s="32"/>
    </row>
    <row r="94" spans="2:7" x14ac:dyDescent="0.2">
      <c r="E94" s="32"/>
    </row>
    <row r="95" spans="2:7" x14ac:dyDescent="0.2">
      <c r="D95" s="32"/>
      <c r="E95" s="59"/>
    </row>
    <row r="96" spans="2:7" x14ac:dyDescent="0.2">
      <c r="B96" s="32"/>
      <c r="C96" s="32"/>
      <c r="D96" s="32"/>
      <c r="E96" s="32"/>
      <c r="F96" s="32"/>
    </row>
    <row r="97" spans="2:6" x14ac:dyDescent="0.2">
      <c r="B97" s="32"/>
      <c r="C97" s="32"/>
      <c r="D97" s="32"/>
      <c r="E97" s="32"/>
      <c r="F97" s="32"/>
    </row>
    <row r="98" spans="2:6" x14ac:dyDescent="0.2">
      <c r="B98" s="32"/>
      <c r="C98" s="61"/>
      <c r="D98" s="32"/>
      <c r="E98" s="32"/>
      <c r="F98" s="32"/>
    </row>
    <row r="99" spans="2:6" x14ac:dyDescent="0.2">
      <c r="B99" s="32"/>
      <c r="C99" s="61"/>
      <c r="D99" s="94"/>
      <c r="E99" s="94"/>
      <c r="F99" s="94"/>
    </row>
    <row r="100" spans="2:6" x14ac:dyDescent="0.2">
      <c r="B100" s="32"/>
      <c r="C100" s="61"/>
      <c r="D100" s="41"/>
      <c r="E100" s="41"/>
      <c r="F100" s="41"/>
    </row>
    <row r="101" spans="2:6" x14ac:dyDescent="0.2">
      <c r="B101" s="32"/>
      <c r="C101" s="60"/>
      <c r="D101" s="95"/>
      <c r="E101" s="95"/>
      <c r="F101" s="95"/>
    </row>
    <row r="102" spans="2:6" x14ac:dyDescent="0.2">
      <c r="B102" s="32"/>
      <c r="C102" s="60"/>
      <c r="D102" s="95"/>
      <c r="E102" s="95"/>
      <c r="F102" s="95"/>
    </row>
    <row r="103" spans="2:6" x14ac:dyDescent="0.2">
      <c r="B103" s="32"/>
      <c r="C103" s="61"/>
      <c r="D103" s="41"/>
      <c r="E103" s="41"/>
      <c r="F103" s="41"/>
    </row>
    <row r="104" spans="2:6" x14ac:dyDescent="0.2">
      <c r="B104" s="32"/>
      <c r="C104" s="60"/>
      <c r="D104" s="94"/>
      <c r="E104" s="94"/>
      <c r="F104" s="94"/>
    </row>
    <row r="105" spans="2:6" x14ac:dyDescent="0.2">
      <c r="B105" s="32"/>
      <c r="C105" s="61"/>
      <c r="D105" s="63"/>
      <c r="E105" s="63"/>
      <c r="F105" s="63"/>
    </row>
    <row r="106" spans="2:6" x14ac:dyDescent="0.2">
      <c r="B106" s="32"/>
      <c r="C106" s="60"/>
      <c r="D106" s="94"/>
      <c r="E106" s="94"/>
      <c r="F106" s="94"/>
    </row>
    <row r="107" spans="2:6" x14ac:dyDescent="0.2">
      <c r="B107" s="32"/>
      <c r="C107" s="61"/>
      <c r="D107" s="41"/>
      <c r="E107" s="62"/>
      <c r="F107" s="41"/>
    </row>
    <row r="108" spans="2:6" x14ac:dyDescent="0.2">
      <c r="B108" s="32"/>
      <c r="C108" s="61"/>
      <c r="D108" s="95"/>
      <c r="E108" s="95"/>
      <c r="F108" s="95"/>
    </row>
    <row r="109" spans="2:6" x14ac:dyDescent="0.2">
      <c r="B109" s="32"/>
      <c r="C109" s="60"/>
      <c r="D109" s="32"/>
      <c r="E109" s="32"/>
      <c r="F109" s="32"/>
    </row>
    <row r="110" spans="2:6" x14ac:dyDescent="0.2">
      <c r="B110" s="32"/>
      <c r="C110" s="32"/>
      <c r="D110" s="32"/>
      <c r="E110" s="32"/>
      <c r="F110" s="32"/>
    </row>
  </sheetData>
  <mergeCells count="44">
    <mergeCell ref="D106:F106"/>
    <mergeCell ref="D108:F108"/>
    <mergeCell ref="D91:F91"/>
    <mergeCell ref="D99:F99"/>
    <mergeCell ref="D101:F101"/>
    <mergeCell ref="D102:F102"/>
    <mergeCell ref="D104:F104"/>
    <mergeCell ref="D82:F82"/>
    <mergeCell ref="D84:F84"/>
    <mergeCell ref="D85:F85"/>
    <mergeCell ref="D87:F87"/>
    <mergeCell ref="D89:F89"/>
    <mergeCell ref="C36:E36"/>
    <mergeCell ref="C38:E38"/>
    <mergeCell ref="C40:E40"/>
    <mergeCell ref="C42:E42"/>
    <mergeCell ref="C23:E23"/>
    <mergeCell ref="C25:E25"/>
    <mergeCell ref="C27:E27"/>
    <mergeCell ref="C33:E33"/>
    <mergeCell ref="C35:E35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  <mergeCell ref="C48:E48"/>
    <mergeCell ref="C51:E51"/>
    <mergeCell ref="C52:E52"/>
    <mergeCell ref="C54:E54"/>
    <mergeCell ref="C56:E56"/>
    <mergeCell ref="D55:E55"/>
    <mergeCell ref="C73:E73"/>
    <mergeCell ref="C75:E75"/>
    <mergeCell ref="C58:E58"/>
    <mergeCell ref="C65:E65"/>
    <mergeCell ref="C68:E68"/>
    <mergeCell ref="C69:E69"/>
    <mergeCell ref="C71:E71"/>
  </mergeCells>
  <pageMargins left="0.23622047244094491" right="0" top="0.74803149606299213" bottom="0.74803149606299213" header="0.31496062992125984" footer="0.31496062992125984"/>
  <pageSetup paperSize="5" scale="90" firstPageNumber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tabSelected="1" zoomScale="75" zoomScaleNormal="75" workbookViewId="0">
      <selection activeCell="C14" sqref="C14:G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3" width="5.85546875" style="2" customWidth="1"/>
    <col min="14" max="14" width="20" style="2" customWidth="1"/>
    <col min="15" max="15" width="12.5703125" style="2" customWidth="1"/>
    <col min="16" max="1024" width="9.140625" style="2"/>
  </cols>
  <sheetData>
    <row r="1" spans="1:14" ht="18" customHeight="1" x14ac:dyDescent="0.2">
      <c r="A1" s="102" t="s">
        <v>20</v>
      </c>
      <c r="B1" s="102"/>
      <c r="C1" s="102"/>
      <c r="D1" s="102"/>
      <c r="E1" s="102"/>
      <c r="F1" s="102"/>
      <c r="G1" s="102"/>
      <c r="H1" s="102"/>
      <c r="I1" s="102"/>
      <c r="J1" s="3" t="s">
        <v>21</v>
      </c>
      <c r="K1" s="50"/>
    </row>
    <row r="2" spans="1:1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4" ht="18.75" customHeight="1" thickBot="1" x14ac:dyDescent="0.25">
      <c r="A3" s="103" t="s">
        <v>54</v>
      </c>
      <c r="B3" s="103"/>
      <c r="C3" s="103"/>
      <c r="D3" s="104" t="str">
        <f>'Necesidades Trimestrales'!C4</f>
        <v>40- Ministerio de Salud</v>
      </c>
      <c r="E3" s="104"/>
      <c r="F3" s="104"/>
      <c r="G3" s="104"/>
      <c r="H3" s="104"/>
      <c r="I3" s="104"/>
      <c r="J3" s="104"/>
      <c r="K3" s="104"/>
    </row>
    <row r="4" spans="1:14" ht="18.75" customHeight="1" thickBot="1" x14ac:dyDescent="0.25">
      <c r="A4" s="105" t="s">
        <v>55</v>
      </c>
      <c r="B4" s="105"/>
      <c r="C4" s="105"/>
      <c r="D4" s="104" t="str">
        <f>'Necesidades Trimestrales'!C5</f>
        <v>28- Maternidad Provincial 25 de Mayo</v>
      </c>
      <c r="E4" s="104"/>
      <c r="F4" s="104"/>
      <c r="G4" s="104"/>
      <c r="H4" s="104"/>
      <c r="I4" s="104"/>
      <c r="J4" s="104"/>
      <c r="K4" s="104"/>
    </row>
    <row r="5" spans="1:14" ht="18.75" customHeight="1" thickBot="1" x14ac:dyDescent="0.25">
      <c r="A5" s="105" t="s">
        <v>33</v>
      </c>
      <c r="B5" s="105"/>
      <c r="C5" s="105"/>
      <c r="D5" s="104" t="s">
        <v>80</v>
      </c>
      <c r="E5" s="104"/>
      <c r="F5" s="104"/>
      <c r="G5" s="104"/>
      <c r="H5" s="104"/>
      <c r="I5" s="104"/>
      <c r="J5" s="104"/>
      <c r="K5" s="104"/>
    </row>
    <row r="6" spans="1:14" ht="16.5" customHeight="1" thickBot="1" x14ac:dyDescent="0.25">
      <c r="A6" s="103" t="s">
        <v>56</v>
      </c>
      <c r="B6" s="103"/>
      <c r="C6" s="103"/>
      <c r="D6" s="104" t="s">
        <v>59</v>
      </c>
      <c r="E6" s="104"/>
      <c r="F6" s="104"/>
      <c r="G6" s="104"/>
      <c r="H6" s="104"/>
      <c r="I6" s="104"/>
      <c r="J6" s="104"/>
      <c r="K6" s="104"/>
    </row>
    <row r="7" spans="1:14" ht="16.5" customHeight="1" thickBot="1" x14ac:dyDescent="0.25">
      <c r="A7" s="105" t="s">
        <v>22</v>
      </c>
      <c r="B7" s="105"/>
      <c r="C7" s="105"/>
      <c r="D7" s="104" t="s">
        <v>70</v>
      </c>
      <c r="E7" s="104"/>
      <c r="F7" s="104"/>
      <c r="G7" s="104"/>
      <c r="H7" s="104"/>
      <c r="I7" s="104"/>
      <c r="J7" s="104"/>
      <c r="K7" s="104"/>
    </row>
    <row r="8" spans="1:14" ht="16.5" customHeight="1" x14ac:dyDescent="0.2">
      <c r="A8" s="97" t="s">
        <v>23</v>
      </c>
      <c r="B8" s="97"/>
      <c r="C8" s="97"/>
      <c r="D8" s="98" t="s">
        <v>76</v>
      </c>
      <c r="E8" s="98"/>
      <c r="F8" s="98"/>
      <c r="G8" s="98"/>
      <c r="H8" s="98"/>
      <c r="I8" s="98"/>
      <c r="J8" s="98"/>
      <c r="K8" s="98"/>
    </row>
    <row r="9" spans="1:1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4" ht="18.75" customHeight="1" x14ac:dyDescent="0.2">
      <c r="A10" s="99" t="s">
        <v>24</v>
      </c>
      <c r="B10" s="100" t="s">
        <v>25</v>
      </c>
      <c r="C10" s="100" t="s">
        <v>26</v>
      </c>
      <c r="D10" s="100"/>
      <c r="E10" s="100"/>
      <c r="F10" s="100"/>
      <c r="G10" s="100"/>
      <c r="H10" s="100" t="s">
        <v>27</v>
      </c>
      <c r="I10" s="100" t="s">
        <v>28</v>
      </c>
      <c r="J10" s="100" t="s">
        <v>29</v>
      </c>
      <c r="K10" s="108" t="s">
        <v>30</v>
      </c>
    </row>
    <row r="11" spans="1:14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8"/>
    </row>
    <row r="12" spans="1:14" ht="24" customHeight="1" x14ac:dyDescent="0.2">
      <c r="A12" s="8">
        <v>1</v>
      </c>
      <c r="B12" s="45" t="str">
        <f>+'Necesidades Trimestrales'!B10</f>
        <v>2.2.3-917.25</v>
      </c>
      <c r="C12" s="101" t="str">
        <f>+'Necesidades Trimestrales'!E10</f>
        <v>CUBRECAMA; TIPO: ACOLCHADO, TAMAÑO: 1 1/2 PLAZA, MATERIAL: ALGODON Y POLIESTER</v>
      </c>
      <c r="D12" s="101"/>
      <c r="E12" s="101"/>
      <c r="F12" s="101"/>
      <c r="G12" s="101"/>
      <c r="H12" s="46" t="s">
        <v>75</v>
      </c>
      <c r="I12" s="47" t="str">
        <f>'Necesidades Trimestrales'!F10</f>
        <v>UNIDAD</v>
      </c>
      <c r="J12" s="48">
        <f>+'Necesidades Trimestrales'!H10</f>
        <v>6490</v>
      </c>
      <c r="K12" s="49">
        <f>+'Necesidades Trimestrales'!G10</f>
        <v>150</v>
      </c>
      <c r="N12" s="83"/>
    </row>
    <row r="13" spans="1:14" ht="33" customHeight="1" x14ac:dyDescent="0.2">
      <c r="A13" s="8">
        <v>2</v>
      </c>
      <c r="B13" s="45" t="str">
        <f>+'Necesidades Trimestrales'!B11</f>
        <v>2.2.3-942.98</v>
      </c>
      <c r="C13" s="101" t="str">
        <f>+'Necesidades Trimestrales'!E11</f>
        <v>TOALLAS DE TELA: MEDIDAS 0,80 x 1,50M</v>
      </c>
      <c r="D13" s="101"/>
      <c r="E13" s="101"/>
      <c r="F13" s="101"/>
      <c r="G13" s="101"/>
      <c r="H13" s="46" t="s">
        <v>75</v>
      </c>
      <c r="I13" s="47" t="str">
        <f>'Necesidades Trimestrales'!F11</f>
        <v>UNIDAD</v>
      </c>
      <c r="J13" s="48">
        <f>+'Necesidades Trimestrales'!H11</f>
        <v>2600</v>
      </c>
      <c r="K13" s="49">
        <f>+'Necesidades Trimestrales'!G11</f>
        <v>30</v>
      </c>
      <c r="N13" s="83"/>
    </row>
    <row r="14" spans="1:14" ht="30.75" customHeight="1" thickBot="1" x14ac:dyDescent="0.25">
      <c r="A14" s="8">
        <v>3</v>
      </c>
      <c r="B14" s="45" t="str">
        <f>+'Necesidades Trimestrales'!B12</f>
        <v>2.2.3-923.7</v>
      </c>
      <c r="C14" s="101" t="str">
        <f>+'Necesidades Trimestrales'!E12</f>
        <v>SABANAS; TELA: ALGODON C/POLIESTER, CONJUNTO: SUPERIOR,INFERIOR Y FUNDA, TAMAÑO: 1 1/2 PLAZA</v>
      </c>
      <c r="D14" s="101"/>
      <c r="E14" s="101"/>
      <c r="F14" s="101"/>
      <c r="G14" s="101"/>
      <c r="H14" s="46" t="s">
        <v>75</v>
      </c>
      <c r="I14" s="47" t="str">
        <f>'Necesidades Trimestrales'!F12</f>
        <v>UNIDAD</v>
      </c>
      <c r="J14" s="48">
        <f>+'Necesidades Trimestrales'!H12</f>
        <v>6560</v>
      </c>
      <c r="K14" s="49">
        <f>+'Necesidades Trimestrales'!G12</f>
        <v>300</v>
      </c>
      <c r="N14" s="83"/>
    </row>
    <row r="15" spans="1:14" ht="20.25" customHeight="1" thickBot="1" x14ac:dyDescent="0.25">
      <c r="A15" s="106" t="s">
        <v>78</v>
      </c>
      <c r="B15" s="106"/>
      <c r="C15" s="106"/>
      <c r="D15" s="106"/>
      <c r="E15" s="106"/>
      <c r="F15" s="106"/>
      <c r="G15" s="106"/>
      <c r="H15" s="106"/>
      <c r="I15" s="106"/>
      <c r="J15" s="107">
        <f>SUMPRODUCT(J12:J14*K12:K14)</f>
        <v>3019500</v>
      </c>
      <c r="K15" s="107"/>
    </row>
  </sheetData>
  <mergeCells count="25">
    <mergeCell ref="A15:I15"/>
    <mergeCell ref="J15:K15"/>
    <mergeCell ref="C10:G11"/>
    <mergeCell ref="H10:H11"/>
    <mergeCell ref="I10:I11"/>
    <mergeCell ref="J10:J11"/>
    <mergeCell ref="K10:K11"/>
    <mergeCell ref="C13:G13"/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2:G12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10" zoomScale="130" zoomScaleNormal="130" workbookViewId="0">
      <selection activeCell="A19" sqref="A19:Q2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9" t="s">
        <v>3</v>
      </c>
      <c r="B1" s="109"/>
      <c r="C1" s="109"/>
      <c r="D1" s="110">
        <f>'Necesidades Trimestrales'!C6</f>
        <v>2022</v>
      </c>
      <c r="E1" s="110"/>
      <c r="F1" s="10"/>
      <c r="G1" s="10"/>
      <c r="H1" s="11"/>
      <c r="I1" s="11"/>
      <c r="J1" s="11"/>
      <c r="K1" s="11"/>
      <c r="L1" s="11"/>
      <c r="M1" s="11"/>
      <c r="N1" s="11"/>
      <c r="P1" s="111" t="s">
        <v>31</v>
      </c>
      <c r="Q1" s="11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1"/>
      <c r="Q2" s="111"/>
    </row>
    <row r="4" spans="1:17" s="12" customFormat="1" ht="18" customHeight="1" thickBot="1" x14ac:dyDescent="0.25">
      <c r="A4" s="112" t="s">
        <v>32</v>
      </c>
      <c r="B4" s="112"/>
      <c r="C4" s="112"/>
      <c r="D4" s="112"/>
      <c r="E4" s="112"/>
      <c r="F4" s="112"/>
      <c r="G4" s="113" t="str">
        <f>' NotaPedido'!D3</f>
        <v>40- Ministerio de Salud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s="12" customFormat="1" ht="18" customHeight="1" thickBot="1" x14ac:dyDescent="0.25">
      <c r="A5" s="114" t="s">
        <v>55</v>
      </c>
      <c r="B5" s="115"/>
      <c r="C5" s="115"/>
      <c r="D5" s="115"/>
      <c r="E5" s="115"/>
      <c r="F5" s="116"/>
      <c r="G5" s="113" t="str">
        <f>' NotaPedido'!D4</f>
        <v>28- Maternidad Provincial 25 de Mayo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s="12" customFormat="1" ht="18" customHeight="1" thickBot="1" x14ac:dyDescent="0.25">
      <c r="A6" s="114" t="s">
        <v>33</v>
      </c>
      <c r="B6" s="115"/>
      <c r="C6" s="115"/>
      <c r="D6" s="115"/>
      <c r="E6" s="115"/>
      <c r="F6" s="116"/>
      <c r="G6" s="113" t="str">
        <f>' NotaPedido'!D5</f>
        <v xml:space="preserve">169-Direccion Asistencial 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s="12" customFormat="1" ht="18" customHeight="1" thickBot="1" x14ac:dyDescent="0.25">
      <c r="A7" s="114" t="s">
        <v>56</v>
      </c>
      <c r="B7" s="115"/>
      <c r="C7" s="115"/>
      <c r="D7" s="115"/>
      <c r="E7" s="115"/>
      <c r="F7" s="116"/>
      <c r="G7" s="113" t="str">
        <f>' NotaPedido'!D6</f>
        <v>División de Enfermería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8" customHeight="1" thickBot="1" x14ac:dyDescent="0.25">
      <c r="A8" s="117" t="s">
        <v>34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18" t="s">
        <v>35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13"/>
    </row>
    <row r="10" spans="1:17" ht="29.25" customHeight="1" x14ac:dyDescent="0.2">
      <c r="A10" s="119" t="s">
        <v>77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17.25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0" t="s">
        <v>36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2">
      <c r="A13" s="121" t="s">
        <v>37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38</v>
      </c>
      <c r="P13" s="122"/>
      <c r="Q13" s="123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2"/>
      <c r="P14" s="122"/>
      <c r="Q14" s="123"/>
    </row>
    <row r="15" spans="1:17" ht="33.75" customHeight="1" x14ac:dyDescent="0.2">
      <c r="A15" s="51">
        <v>42</v>
      </c>
      <c r="B15" s="52"/>
      <c r="C15" s="52"/>
      <c r="D15" s="52">
        <v>2</v>
      </c>
      <c r="E15" s="52"/>
      <c r="F15" s="52">
        <v>4901</v>
      </c>
      <c r="G15" s="52">
        <v>3</v>
      </c>
      <c r="H15" s="52">
        <v>1</v>
      </c>
      <c r="I15" s="52">
        <v>2</v>
      </c>
      <c r="J15" s="52">
        <v>2</v>
      </c>
      <c r="K15" s="52">
        <v>3</v>
      </c>
      <c r="L15" s="52"/>
      <c r="M15" s="53"/>
      <c r="N15" s="54" t="s">
        <v>58</v>
      </c>
      <c r="O15" s="124" t="s">
        <v>62</v>
      </c>
      <c r="P15" s="125"/>
      <c r="Q15" s="23">
        <v>3019500</v>
      </c>
    </row>
    <row r="16" spans="1:17" ht="20.25" customHeight="1" thickBot="1" x14ac:dyDescent="0.25">
      <c r="A16" s="131" t="s">
        <v>79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24">
        <f>SUM(Q15:Q15)</f>
        <v>3019500</v>
      </c>
    </row>
    <row r="17" spans="1:17" ht="18" customHeight="1" thickBot="1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spans="1:17" ht="17.25" customHeight="1" thickBot="1" x14ac:dyDescent="0.25">
      <c r="A18" s="126" t="s">
        <v>53</v>
      </c>
      <c r="B18" s="127"/>
      <c r="C18" s="127"/>
      <c r="D18" s="127"/>
      <c r="E18" s="127"/>
      <c r="F18" s="128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</row>
    <row r="19" spans="1:17" ht="18" customHeight="1" thickBot="1" x14ac:dyDescent="0.25">
      <c r="A19" s="130" t="s">
        <v>87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</row>
    <row r="20" spans="1:17" ht="15" customHeight="1" x14ac:dyDescent="0.2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3" footer="0.3"/>
  <pageSetup paperSize="9" scale="90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2021-04-28T12:49:07Z</cp:lastPrinted>
  <dcterms:created xsi:type="dcterms:W3CDTF">2020-07-17T23:44:49Z</dcterms:created>
  <dcterms:modified xsi:type="dcterms:W3CDTF">2022-06-22T13:48:51Z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