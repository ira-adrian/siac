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07A1071-CA15-4CD3-B41F-74E8F3C5CF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" i="2" l="1"/>
  <c r="M15" i="2"/>
  <c r="Q15" i="2"/>
  <c r="U15" i="2"/>
  <c r="Y15" i="2"/>
</calcChain>
</file>

<file path=xl/sharedStrings.xml><?xml version="1.0" encoding="utf-8"?>
<sst xmlns="http://schemas.openxmlformats.org/spreadsheetml/2006/main" count="90" uniqueCount="53">
  <si>
    <t>Número expediente:</t>
  </si>
  <si>
    <t>EX-2022-02151256-   -CAT-DPCBS#MEC</t>
  </si>
  <si>
    <t>Número proceso de compra:</t>
  </si>
  <si>
    <t>100-0208-CDI22</t>
  </si>
  <si>
    <t>Nombre descriptivo proceso de compra:</t>
  </si>
  <si>
    <t>ADQUISICION DE ALIMENTOS PERECEDEROS (POLLOS) PARA LA MP – HNEP – SPP - PC</t>
  </si>
  <si>
    <t>Unidad Operativa de Compras:</t>
  </si>
  <si>
    <t>Secretaria de Compras y Abastecimiento</t>
  </si>
  <si>
    <t>Fecha de Apertura:</t>
  </si>
  <si>
    <t>18/11/2022</t>
  </si>
  <si>
    <t>Renglón</t>
  </si>
  <si>
    <t>JUAN ANGEL PERNA</t>
  </si>
  <si>
    <t>EL PUESTO SRL</t>
  </si>
  <si>
    <t>raquel del valle contreras</t>
  </si>
  <si>
    <t>GRUPO LA MERCED SRL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</si>
  <si>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</si>
  <si>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</si>
  <si>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</si>
  <si>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</si>
  <si>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</si>
  <si>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</si>
  <si>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</si>
  <si>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</si>
  <si>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</si>
  <si>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</si>
  <si>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</si>
  <si>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2.1.1-621.15 </t>
  </si>
  <si>
    <t xml:space="preserve">AVES; ESPECIE: PECHUGA DE POLLO, PRESENTACION: A GRANEL, EVISCERADO: SIN 
MENUDOS, TIPO: PECHUGA DE POLLO </t>
  </si>
  <si>
    <t xml:space="preserve">UNIDAD </t>
  </si>
  <si>
    <t xml:space="preserve">AVES; ESPECIE: PECHUGA DE POLLO, PRESENTACIÓN: A GRANEL, EVISCERADO: SIN 
MENUDOS, TIPO: PECHUGA DE POLLO MARCA SOYCHU PRIMERA CALIDAD CAJAS 
X 20 KG  </t>
  </si>
  <si>
    <t xml:space="preserve">CAJA DE 20 KG  - MARCA OPTIMO- PRIMERA CALIDAD 
</t>
  </si>
  <si>
    <t xml:space="preserve">AVES; ESPECIE: PECHUGA DE POLLO, PRESENTACIÓN: A GRANEL, EVISCERADO: SIN 
MENUDOS, TIPO: PECHUGA DE POLLO; MARCA: PRIMERA CALIDAD ; PRESENTACION 
EN CAJA DE 20 KG </t>
  </si>
  <si>
    <t xml:space="preserve">SEGUN PLIEGO </t>
  </si>
  <si>
    <t xml:space="preserve">AVES; ESPECIE: PECHUGA DE POLLO, PRESENTACION: A GRANEL, EVISCERADO: SIN 
MENUDOS, TIPO: PECHUGA DE POLLO PRESENTACION EN CAJA DE 15 
KG. PREMIUM </t>
  </si>
  <si>
    <t xml:space="preserve">2 </t>
  </si>
  <si>
    <t xml:space="preserve">2.1.1-621.19 </t>
  </si>
  <si>
    <t xml:space="preserve">AVES; TIPO: POLLO, PRESENTACION: PATA MUSLO, EVISCERADO: SI, ELEM. TRANSPORTE: 
SIN, MATERIAL ELEM. TRANSPORTE: SIN, LIBRE DE GLUTEN: SIN VALOR 
</t>
  </si>
  <si>
    <t xml:space="preserve">AVES; TIPO: POLLO, PRESENTACIÓN: PATA MUSLO, EVISCERADO: SI, ELEM. TRANSPORTE: 
PECADO, ELEMENTO MATERIAL. TRANSPORTE: SIN, LIBRE DE GLUTEN: SIN VALOR; 
MARCA: PRIMERA CALIDAD; PRESENTACIÓN EN CAJA DE 20 KG.  
</t>
  </si>
  <si>
    <t xml:space="preserve">AVES; TIPO: POLLO, PRESENTACION: PATA MUSLO, EVISCERADO: SI PRESENTACION CAJA 
X12 KG PREMIUM </t>
  </si>
  <si>
    <t xml:space="preserve">3 </t>
  </si>
  <si>
    <t xml:space="preserve">2.1.1-621.20 </t>
  </si>
  <si>
    <t xml:space="preserve">AVES; TIPO: POLLO, PRESENTACION: CAJA X 22 Kg, EVISCERADO: SI, 
ELEM. TRANSPORTE: SIN, MATERIAL ELEM. TRANSPORTE: SIN, LIBRE DE GLUTEN: 
SIN VALOR </t>
  </si>
  <si>
    <t xml:space="preserve">  AVES; TIPO: POLLO, PRESENTACIÓN: CAJA X 22 Kg, 
EVISCERADO: SI, ELEM. TRANSPORTE: SIN, MATERIAL ELEM. TRANSPORTE: SIN, LIBRE 
DE GLUTEN: SIN VALOR MARCA INDACOR PRIMERA CALIDAD CAJAS X 
22 KG  </t>
  </si>
  <si>
    <t xml:space="preserve">AVES; TIPO: POLLO, PRESENTACION: CAJA X 20 Kg, EVISCERADO: SI 
PREMIUM  </t>
  </si>
  <si>
    <t xml:space="preserve">4 </t>
  </si>
  <si>
    <t xml:space="preserve">2.1.1-621.13 </t>
  </si>
  <si>
    <t xml:space="preserve">AVES; ESPECIE: POLLO, PRESENTACION: CAJON X 8 UN, EVISCERADO: SIN 
VALOR, TIPO: POLLO </t>
  </si>
  <si>
    <t xml:space="preserve">  AVES; ESPECIE: POLLO, PRESENTACIÓN: CAJON X 8 UN, 
EVISCERADO: SIN VALOR, TIPO: POLLO MARCA SOYCHU PRIMERA CALIDAD CAJAS 
X 20 KG   </t>
  </si>
  <si>
    <t xml:space="preserve">AVES; ESPECIE: POLLO, PRESENTACION: CAJON X 8 UNCAJON X 20 
KG PREMIUM </t>
  </si>
  <si>
    <t xml:space="preserve">5 </t>
  </si>
  <si>
    <t xml:space="preserve">AVES; TIPO: POLLO, PRESENTACION: CAJA X 22 Kg, EVISCERADO: SI, 
ELEM. TRANSPORTE: SIN, MATERIAL ELEM. TRANSPORTE: SIN, LIBRE DE GLUTEN: 
SIN VALOR MARCA INDACOR  PRIMERA CALIDAD CAJAS X 22 
KG  </t>
  </si>
  <si>
    <t xml:space="preserve">AVES; TIPO: POLLO, PRESENTACION: CAJA X 20 Kg, EVISCERADO: SI 
PREMIUM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</si>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</sst>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5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5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5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15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7.5703125" customWidth="1"/>
    <col min="5" max="5" width="76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4.140625" customWidth="1"/>
    <col min="11" max="11" width="14.28515625" customWidth="1"/>
    <col min="12" max="12" width="17.28515625" customWidth="1"/>
    <col min="13" max="13" width="16.5703125" customWidth="1"/>
    <col min="14" max="14" width="47.5703125" customWidth="1"/>
    <col min="15" max="15" width="14.28515625" customWidth="1"/>
    <col min="16" max="16" width="17.28515625" customWidth="1"/>
    <col min="17" max="17" width="16.5703125" customWidth="1"/>
    <col min="18" max="18" width="77.5703125" customWidth="1"/>
    <col min="19" max="19" width="14.28515625" customWidth="1"/>
    <col min="20" max="20" width="17.28515625" customWidth="1"/>
    <col min="21" max="21" width="16.5703125" customWidth="1"/>
    <col min="22" max="22" width="20.28515625" customWidth="1"/>
    <col min="23" max="23" width="14.28515625" customWidth="1"/>
    <col min="24" max="24" width="17.28515625" customWidth="1"/>
    <col min="25" max="25" width="16.5703125" customWidth="1"/>
    <col min="26" max="26" width="77.285156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45" x14ac:dyDescent="0.25">
      <c r="A10" t="s">
        <v>25</v>
      </c>
      <c r="B10" t="s">
        <v>25</v>
      </c>
      <c r="C10" t="s">
        <v>26</v>
      </c>
      <c r="D10" s="4" t="s">
        <v>27</v>
      </c>
      <c r="E10">
        <v>100</v>
      </c>
      <c r="F10" t="s">
        <v>28</v>
      </c>
      <c r="G10" s="3">
        <v>22500</v>
      </c>
      <c r="H10" s="3">
        <v>100</v>
      </c>
      <c r="I10" s="5">
        <v>2250000</v>
      </c>
      <c r="J10" s="4" t="s">
        <v>29</v>
      </c>
      <c r="K10" s="3">
        <v>20000</v>
      </c>
      <c r="L10" s="3">
        <v>100</v>
      </c>
      <c r="M10" s="5">
        <v>2000000</v>
      </c>
      <c r="N10" s="4" t="s">
        <v>30</v>
      </c>
      <c r="O10" s="3">
        <v>22000</v>
      </c>
      <c r="P10" s="3">
        <v>100</v>
      </c>
      <c r="Q10" s="5">
        <v>2200000</v>
      </c>
      <c r="R10" s="4" t="s">
        <v>31</v>
      </c>
      <c r="S10" s="3">
        <v>18400</v>
      </c>
      <c r="T10" s="3">
        <v>100</v>
      </c>
      <c r="U10" s="5">
        <v>1840000</v>
      </c>
      <c r="V10" t="s">
        <v>32</v>
      </c>
      <c r="W10" s="3">
        <v>16390</v>
      </c>
      <c r="X10" s="3">
        <v>100</v>
      </c>
      <c r="Y10" s="5">
        <v>1639000</v>
      </c>
      <c r="Z10" s="4" t="s">
        <v>33</v>
      </c>
    </row>
    <row r="11" spans="1:26" ht="75" x14ac:dyDescent="0.25">
      <c r="A11" t="s">
        <v>34</v>
      </c>
      <c r="B11" t="s">
        <v>25</v>
      </c>
      <c r="C11" t="s">
        <v>35</v>
      </c>
      <c r="D11" s="4" t="s">
        <v>36</v>
      </c>
      <c r="E11">
        <v>150</v>
      </c>
      <c r="F11" t="s">
        <v>28</v>
      </c>
      <c r="G11" s="3">
        <v>11000</v>
      </c>
      <c r="H11" s="3">
        <v>150</v>
      </c>
      <c r="I11" s="5">
        <v>1650000</v>
      </c>
      <c r="J11" s="4" t="s">
        <v>29</v>
      </c>
      <c r="K11" s="3">
        <v>8000</v>
      </c>
      <c r="L11" s="3">
        <v>150</v>
      </c>
      <c r="M11" s="5">
        <v>1200000</v>
      </c>
      <c r="N11" s="4" t="s">
        <v>30</v>
      </c>
      <c r="O11" s="3">
        <v>10000</v>
      </c>
      <c r="P11" s="3">
        <v>150</v>
      </c>
      <c r="Q11" s="5">
        <v>1500000</v>
      </c>
      <c r="R11" s="4" t="s">
        <v>37</v>
      </c>
      <c r="S11" s="3">
        <v>8400</v>
      </c>
      <c r="T11" s="3">
        <v>150</v>
      </c>
      <c r="U11" s="5">
        <v>1260000</v>
      </c>
      <c r="V11" t="s">
        <v>32</v>
      </c>
      <c r="W11" s="3">
        <v>5490</v>
      </c>
      <c r="X11" s="3">
        <v>150</v>
      </c>
      <c r="Y11" s="5">
        <v>823500</v>
      </c>
      <c r="Z11" s="4" t="s">
        <v>38</v>
      </c>
    </row>
    <row r="12" spans="1:26" ht="75" x14ac:dyDescent="0.25">
      <c r="A12" t="s">
        <v>39</v>
      </c>
      <c r="B12" t="s">
        <v>25</v>
      </c>
      <c r="C12" t="s">
        <v>40</v>
      </c>
      <c r="D12" s="4" t="s">
        <v>41</v>
      </c>
      <c r="E12">
        <v>300</v>
      </c>
      <c r="F12" t="s">
        <v>28</v>
      </c>
      <c r="G12" s="3">
        <v>11250</v>
      </c>
      <c r="H12" s="3">
        <v>300</v>
      </c>
      <c r="I12" s="5">
        <v>3375000</v>
      </c>
      <c r="J12" s="4" t="s">
        <v>42</v>
      </c>
      <c r="K12" s="3">
        <v>9900</v>
      </c>
      <c r="L12" s="3">
        <v>300</v>
      </c>
      <c r="M12" s="5">
        <v>2970000</v>
      </c>
      <c r="N12" s="4" t="s">
        <v>30</v>
      </c>
      <c r="O12" s="3"/>
      <c r="P12" s="3"/>
      <c r="Q12" s="5"/>
      <c r="S12" s="3">
        <v>10000</v>
      </c>
      <c r="T12" s="3">
        <v>300</v>
      </c>
      <c r="U12" s="5">
        <v>3000000</v>
      </c>
      <c r="V12" t="s">
        <v>32</v>
      </c>
      <c r="W12" s="3">
        <v>9990</v>
      </c>
      <c r="X12" s="3">
        <v>300</v>
      </c>
      <c r="Y12" s="5">
        <v>2997000</v>
      </c>
      <c r="Z12" s="4" t="s">
        <v>43</v>
      </c>
    </row>
    <row r="13" spans="1:26" ht="45" x14ac:dyDescent="0.25">
      <c r="A13" t="s">
        <v>44</v>
      </c>
      <c r="B13" t="s">
        <v>25</v>
      </c>
      <c r="C13" t="s">
        <v>45</v>
      </c>
      <c r="D13" s="4" t="s">
        <v>46</v>
      </c>
      <c r="E13">
        <v>300</v>
      </c>
      <c r="F13" t="s">
        <v>28</v>
      </c>
      <c r="G13" s="3">
        <v>10200</v>
      </c>
      <c r="H13" s="3">
        <v>300</v>
      </c>
      <c r="I13" s="5">
        <v>3060000</v>
      </c>
      <c r="J13" s="4" t="s">
        <v>47</v>
      </c>
      <c r="K13" s="3">
        <v>9900</v>
      </c>
      <c r="L13" s="3">
        <v>300</v>
      </c>
      <c r="M13" s="5">
        <v>2970000</v>
      </c>
      <c r="N13" s="4" t="s">
        <v>30</v>
      </c>
      <c r="O13" s="3"/>
      <c r="P13" s="3"/>
      <c r="Q13" s="5"/>
      <c r="S13" s="3">
        <v>10000</v>
      </c>
      <c r="T13" s="3">
        <v>300</v>
      </c>
      <c r="U13" s="5">
        <v>3000000</v>
      </c>
      <c r="V13" t="s">
        <v>32</v>
      </c>
      <c r="W13" s="3">
        <v>9990</v>
      </c>
      <c r="X13" s="3">
        <v>300</v>
      </c>
      <c r="Y13" s="5">
        <v>2997000</v>
      </c>
      <c r="Z13" s="4" t="s">
        <v>48</v>
      </c>
    </row>
    <row r="14" spans="1:26" ht="60" x14ac:dyDescent="0.25">
      <c r="A14" t="s">
        <v>49</v>
      </c>
      <c r="B14" t="s">
        <v>25</v>
      </c>
      <c r="C14" t="s">
        <v>40</v>
      </c>
      <c r="D14" s="4" t="s">
        <v>41</v>
      </c>
      <c r="E14">
        <v>90</v>
      </c>
      <c r="F14" t="s">
        <v>28</v>
      </c>
      <c r="G14" s="3">
        <v>11250</v>
      </c>
      <c r="H14" s="3">
        <v>90</v>
      </c>
      <c r="I14" s="5">
        <v>1012500</v>
      </c>
      <c r="J14" s="4" t="s">
        <v>50</v>
      </c>
      <c r="K14" s="3">
        <v>9900</v>
      </c>
      <c r="L14" s="3">
        <v>90</v>
      </c>
      <c r="M14" s="5">
        <v>891000</v>
      </c>
      <c r="N14" s="4" t="s">
        <v>30</v>
      </c>
      <c r="O14" s="3"/>
      <c r="P14" s="3"/>
      <c r="Q14" s="5"/>
      <c r="S14" s="3">
        <v>10000</v>
      </c>
      <c r="T14" s="3">
        <v>90</v>
      </c>
      <c r="U14" s="5">
        <v>900000</v>
      </c>
      <c r="V14" t="s">
        <v>32</v>
      </c>
      <c r="W14" s="3">
        <v>9990</v>
      </c>
      <c r="X14" s="3">
        <v>90</v>
      </c>
      <c r="Y14" s="5">
        <v>899100</v>
      </c>
      <c r="Z14" s="4" t="s">
        <v>51</v>
      </c>
    </row>
    <row r="15" spans="1:26" x14ac:dyDescent="0.25">
      <c r="C15" t="s">
        <v>52</v>
      </c>
      <c r="D15" s="4"/>
      <c r="G15" s="3"/>
      <c r="H15" s="3"/>
      <c r="I15" s="5">
        <f>SUBTOTAL(109,Table2[Total por renglón])</f>
        <v>11347500</v>
      </c>
      <c r="J15" s="4"/>
      <c r="K15" s="3"/>
      <c r="L15" s="3"/>
      <c r="M15" s="5">
        <f>SUBTOTAL(109,Table3[Total por renglón])</f>
        <v>10031000</v>
      </c>
      <c r="N15" s="4"/>
      <c r="O15" s="3"/>
      <c r="P15" s="3"/>
      <c r="Q15" s="5">
        <f>SUBTOTAL(109,Table4[Total por renglón])</f>
        <v>3700000</v>
      </c>
      <c r="S15" s="3"/>
      <c r="T15" s="3"/>
      <c r="U15" s="5">
        <f>SUBTOTAL(109,Table5[Total por renglón])</f>
        <v>10000000</v>
      </c>
      <c r="W15" s="3"/>
      <c r="X15" s="3"/>
      <c r="Y15" s="5">
        <f>SUBTOTAL(109,Table6[Total por renglón])</f>
        <v>9355600</v>
      </c>
      <c r="Z15" s="4"/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2022-11-18T15:05:42Z</dcterms:created>
  <dcterms:modified xsi:type="dcterms:W3CDTF">2022-11-18T15:06:30Z</dcterms:modified>
</cp:coreProperties>
</file>