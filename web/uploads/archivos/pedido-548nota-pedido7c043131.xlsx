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CF8E7403-E3F7-42BA-A3A5-32C0B14B169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20" i="1" l="1"/>
  <c r="D12" i="1"/>
  <c r="D13" i="1"/>
  <c r="D14" i="1"/>
  <c r="D11" i="1" l="1"/>
  <c r="D10" i="1" l="1"/>
</calcChain>
</file>

<file path=xl/sharedStrings.xml><?xml version="1.0" encoding="utf-8"?>
<sst xmlns="http://schemas.openxmlformats.org/spreadsheetml/2006/main" count="147" uniqueCount="67">
  <si>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</si>
  <si>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</si>
  <si>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</si>
  <si>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</si>
  <si>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</si>
  <si>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</si>
  <si>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</si>
  <si>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</si>
  <si>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</si>
  <si>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</si>
  <si>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</si>
  <si>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</si>
  <si>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</si>
  <si>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</si>
  <si>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</si>
  <si>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Calidad Minima esperada</t>
  </si>
  <si>
    <t>Mantenimiento</t>
  </si>
  <si>
    <t>Primera Calidad</t>
  </si>
  <si>
    <t>5 - MINISTERIO DE PLANIFICACIÓN Y MODERNIZACIÓN</t>
  </si>
  <si>
    <t>SAF 40 - SECRETARIA DE ADMINISTRACIÓN</t>
  </si>
  <si>
    <t xml:space="preserve">UNIDAD  </t>
  </si>
  <si>
    <t>Condiciones de Contratación:</t>
  </si>
  <si>
    <t>Especificidades Item N° 1:</t>
  </si>
  <si>
    <t>Descripción técnica</t>
  </si>
  <si>
    <t>Especificidades Item N° 2:</t>
  </si>
  <si>
    <t>Especificidades Item N° 3:</t>
  </si>
  <si>
    <t>Especificidades Item N° 4:</t>
  </si>
  <si>
    <t>Especificidades Item N° 5:</t>
  </si>
  <si>
    <t xml:space="preserve">Garantia: </t>
  </si>
  <si>
    <t>4.3.6-
9604.22</t>
  </si>
  <si>
    <t>INFORMATICA</t>
  </si>
  <si>
    <t xml:space="preserve"> 
TABLETA PC; RESOLUCION: 2000X 1200 PXL, PANTALLA: SEGÚN PLIEGO, MEMORIA: 64 GB</t>
  </si>
  <si>
    <t>Treinta (30) días corridos.</t>
  </si>
  <si>
    <t>4.3.6- 1693.82</t>
  </si>
  <si>
    <t>MOTHERBOARDS; ARQUITECTURA: ARM V8 DE 64 BITS, MICROPROCESADOR: BROADCOM BCM2711 QUAD CORE CORTEX-A72, MEMORIA CACHE: LPDDR4 8GB, SLOT DE EXPANSION: GPIO</t>
  </si>
  <si>
    <t>4.3.9- 1689.50</t>
  </si>
  <si>
    <t>TESTER; PARES: MONO MODO MULTIMODO, CONECTOR: VLS USB OTDR OPTICA, USO: MEDICION</t>
  </si>
  <si>
    <t>ELECTRICIDAD Y TELEFONIA</t>
  </si>
  <si>
    <t>2.9.6-1576.36</t>
  </si>
  <si>
    <t>MOUSE; TIPO: INALAMBRICO, CANTIDAD DE BOTONES: 1, TIPO DE CONEXION: LIGHTNING</t>
  </si>
  <si>
    <t>SCANNERS DE HUELLAS DACTILARES; TIPO: OPTICO RFID, RESOLUCION: 500 PPP, TECLADO: NO, DISPLAY: NO, SOFTWARE: CON</t>
  </si>
  <si>
    <t>4.3.6-3190.11</t>
  </si>
  <si>
    <t>4.3.6- 3351.2</t>
  </si>
  <si>
    <t>KIT PERIFERICOS P/PC; COMPONENTES: TECLADO Y MOUSE</t>
  </si>
  <si>
    <t>2.9.6- 1583.35</t>
  </si>
  <si>
    <t>TECLADOS; TECLAS: 107, EXPANDIDO: SI, TIPO DE CONEXION: INALAMBRICA, JOYSTICK: SIN, TIPO: A BATERIA</t>
  </si>
  <si>
    <t>2.9.6</t>
  </si>
  <si>
    <t>4.3.5- 212.3</t>
  </si>
  <si>
    <t>4.3.5</t>
  </si>
  <si>
    <t>ARTICULOS DEL HOGAR</t>
  </si>
  <si>
    <t>AURICULARES; RANGO FREC.: 7-26000 Hz, SENSIBILIDAD: 109 db, CONTROL INDIV. VOLUM.: SIN VALOR, RANGO DE FRECUENCIA: 7-26000 Hz, CONTROL DE VOLUMEN: SIN VALOR</t>
  </si>
  <si>
    <t>$53,100.00</t>
  </si>
  <si>
    <t xml:space="preserve">TECLADO + MOUSE USB NEGRO </t>
  </si>
  <si>
    <t>Especificidades Item N° 7:</t>
  </si>
  <si>
    <t>Especificidades Item N° 8:</t>
  </si>
  <si>
    <t>Siete (07) días hábiles en Secretaria de Modernización de Estado.</t>
  </si>
  <si>
    <t xml:space="preserve">Plazo de Garantía </t>
  </si>
  <si>
    <t>Doce (12) meses.</t>
  </si>
  <si>
    <t xml:space="preserve">Plazo de Garantia: </t>
  </si>
  <si>
    <t>Especificidades Item N°6:</t>
  </si>
  <si>
    <t xml:space="preserve">TABLET  Android, Procesador de 2.3 Ghz, 4gb ram, Resolucion 2000x1200 px, Lector de memoria, 64 GB almacenamiento, lte 4G- 
</t>
  </si>
  <si>
    <t xml:space="preserve">SMC  (SINGLE MOTHERBOARD COMPUTER) tipo Raspberry + Carcasa- Según  Detalle: *Microcontrolador: ARM Cortex-A72, * Voltaje de funcionamiento: 5V *Voltaje mínimo de entrada recomendado, * Voltaje máximo de entrada recomendado: 4.8V - 5.1V, *Voltaje mínimo de entrada límite - Voltaje máximo de entrada límite: 4.8V - 5.1V 
</t>
  </si>
  <si>
    <r>
      <rPr>
        <sz val="10"/>
        <rFont val="Times New Roman"/>
        <family val="1"/>
      </rPr>
      <t xml:space="preserve">OTDR TR600-S FIBRA ÓPTICA 1310/1550 NM- Según Detalle: * Descripción general con una zona muerta corta de 2 m está diseñado para la aplicación FTTh; *Puede probar la pérdida de conector de pérdida de fibra de longitud y otras características físicas de la fibra; * Fibra aplicable: MONOMODO – SM; * Conector de fibra: FC/PC or SC/PC (APC can be selected); *&lt;1.8m zona muerta de evento extra corto; *Longitud de onda: mono modo 1310 / 1550nm; *Hasta 32 / 30dB alto rango dinámico; * Rango de distancia:4,8,16,32,64, 128,256 km; * 640 × 480, 5.7 pulgadas TFT-LCD (pantalla táctil); *Interfaces USB, compatible con memoria USB e impresora y descarga directa por cable a PC 
 </t>
    </r>
    <r>
      <rPr>
        <b/>
        <u/>
        <sz val="10"/>
        <rFont val="Times New Roman"/>
        <family val="1"/>
      </rPr>
      <t xml:space="preserve">
</t>
    </r>
  </si>
  <si>
    <t xml:space="preserve">RATON USB INALAMBRICO NEGRO 
</t>
  </si>
  <si>
    <t xml:space="preserve">LECTOR HUELLA DIGITAL – Según Detalle: *CPU: 324 Mhz; *Sensor: óptico aterrilladuras; *Comunicación: RS485; 
*Lector RFID: EM Marin125 khz; *Sonido del Dispositivo: Buzzer; *Led: Verde y rojo de verificación de acceso; *Alimentación: 12VDC; *Temperatura Tolerable: 0ºC – 45ºC; *Grado de Protección: IP65 
</t>
  </si>
  <si>
    <t xml:space="preserve">TECLADO INALAMBRICO SMART 
</t>
  </si>
  <si>
    <t xml:space="preserve">AURICULAR GAMER MICRÓFONO USB 7.1 SURROUND LUZ LED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</si>
</sst>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\ #,##0.00;[Red]\-&quot;$&quot;\ #,##0.00"/>
    <numFmt numFmtId="164" formatCode="_-* #,##0.00&quot; €&quot;_-;\-* #,##0.00&quot; €&quot;_-;_-* \-??&quot; €&quot;_-;_-@_-"/>
    <numFmt numFmtId="165" formatCode="&quot;$&quot;\ #,##0.00;[Red]&quot;$&quot;\ #,##0.00"/>
    <numFmt numFmtId="166" formatCode="[$$-2C0A]\ #,##0.00;\-[$$-2C0A]\ #,##0.00"/>
  </numFmts>
  <fonts count="1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1"/>
      <name val="Calibri"/>
      <family val="2"/>
    </font>
    <font>
      <b/>
      <u/>
      <sz val="10"/>
      <name val="Times New Roman"/>
      <family val="1"/>
    </font>
    <font>
      <sz val="11"/>
      <color rgb="FF333333"/>
      <name val="Arial"/>
      <family val="2"/>
    </font>
    <font>
      <b/>
      <sz val="10"/>
      <name val="Times New Roman"/>
      <family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Border="0" applyProtection="0"/>
    <xf numFmtId="0" fontId="1" fillId="0" borderId="1" applyProtection="0"/>
    <xf numFmtId="0" fontId="2" fillId="2" borderId="0" applyBorder="0" applyProtection="0"/>
  </cellStyleXfs>
  <cellXfs count="90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0" xfId="0" applyFont="1" applyBorder="1"/>
    <xf numFmtId="0" fontId="5" fillId="0" borderId="8" xfId="0" applyFont="1" applyBorder="1"/>
    <xf numFmtId="0" fontId="12" fillId="0" borderId="7" xfId="0" applyFont="1" applyBorder="1" applyAlignment="1">
      <alignment horizontal="left" indent="3"/>
    </xf>
    <xf numFmtId="0" fontId="5" fillId="0" borderId="7" xfId="0" applyFont="1" applyBorder="1" applyAlignment="1">
      <alignment horizontal="left" indent="3"/>
    </xf>
    <xf numFmtId="0" fontId="5" fillId="0" borderId="9" xfId="0" applyFont="1" applyBorder="1" applyAlignment="1">
      <alignment horizontal="left" indent="3"/>
    </xf>
    <xf numFmtId="0" fontId="9" fillId="0" borderId="0" xfId="0" applyFont="1" applyAlignment="1">
      <alignment horizontal="left" wrapText="1"/>
    </xf>
    <xf numFmtId="0" fontId="13" fillId="0" borderId="0" xfId="0" applyFont="1" applyFill="1" applyAlignment="1">
      <alignment horizontal="left" wrapText="1" indent="1"/>
    </xf>
    <xf numFmtId="0" fontId="5" fillId="0" borderId="0" xfId="0" applyFont="1" applyFill="1" applyBorder="1"/>
    <xf numFmtId="0" fontId="5" fillId="0" borderId="8" xfId="0" applyFont="1" applyFill="1" applyBorder="1"/>
    <xf numFmtId="0" fontId="5" fillId="0" borderId="10" xfId="0" applyFont="1" applyFill="1" applyBorder="1"/>
    <xf numFmtId="0" fontId="5" fillId="0" borderId="11" xfId="0" applyFont="1" applyFill="1" applyBorder="1"/>
    <xf numFmtId="0" fontId="5" fillId="0" borderId="0" xfId="0" applyFont="1" applyFill="1"/>
    <xf numFmtId="0" fontId="5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3" xfId="0" applyNumberFormat="1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5" fillId="0" borderId="8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12" fillId="0" borderId="7" xfId="0" applyFont="1" applyBorder="1"/>
    <xf numFmtId="0" fontId="12" fillId="0" borderId="7" xfId="0" applyFont="1" applyBorder="1" applyAlignment="1"/>
    <xf numFmtId="0" fontId="5" fillId="0" borderId="7" xfId="0" applyFont="1" applyBorder="1" applyAlignment="1"/>
    <xf numFmtId="0" fontId="5" fillId="0" borderId="0" xfId="0" applyFont="1" applyFill="1" applyBorder="1" applyAlignment="1">
      <alignment horizontal="center" wrapText="1"/>
    </xf>
    <xf numFmtId="0" fontId="5" fillId="0" borderId="8" xfId="0" applyFont="1" applyFill="1" applyBorder="1" applyAlignment="1">
      <alignment horizontal="center" wrapText="1"/>
    </xf>
    <xf numFmtId="0" fontId="5" fillId="0" borderId="8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4" fillId="0" borderId="0" xfId="0" applyFont="1"/>
    <xf numFmtId="0" fontId="1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Fill="1" applyBorder="1" applyAlignment="1">
      <alignment horizontal="left" wrapText="1"/>
    </xf>
    <xf numFmtId="0" fontId="16" fillId="0" borderId="3" xfId="0" applyFont="1" applyBorder="1" applyAlignment="1">
      <alignment vertical="center" wrapText="1"/>
    </xf>
    <xf numFmtId="0" fontId="17" fillId="0" borderId="5" xfId="0" applyFont="1" applyBorder="1"/>
    <xf numFmtId="0" fontId="15" fillId="0" borderId="4" xfId="0" applyFont="1" applyBorder="1"/>
    <xf numFmtId="0" fontId="4" fillId="0" borderId="3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8" fontId="4" fillId="0" borderId="3" xfId="0" applyNumberFormat="1" applyFont="1" applyBorder="1" applyAlignment="1">
      <alignment horizontal="center" vertical="center"/>
    </xf>
    <xf numFmtId="8" fontId="4" fillId="3" borderId="3" xfId="0" applyNumberFormat="1" applyFont="1" applyFill="1" applyBorder="1" applyAlignment="1">
      <alignment horizontal="center" vertical="center"/>
    </xf>
    <xf numFmtId="0" fontId="10" fillId="0" borderId="16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1" fillId="0" borderId="17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3" fontId="3" fillId="0" borderId="17" xfId="0" applyNumberFormat="1" applyFont="1" applyBorder="1" applyAlignment="1">
      <alignment horizontal="center" vertical="center"/>
    </xf>
    <xf numFmtId="166" fontId="3" fillId="0" borderId="17" xfId="1" applyNumberFormat="1" applyFont="1" applyBorder="1" applyAlignment="1">
      <alignment horizontal="center" vertical="center" wrapText="1"/>
    </xf>
    <xf numFmtId="166" fontId="3" fillId="0" borderId="18" xfId="1" applyNumberFormat="1" applyFont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8" fontId="4" fillId="0" borderId="19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vertical="center"/>
    </xf>
    <xf numFmtId="8" fontId="4" fillId="0" borderId="0" xfId="0" applyNumberFormat="1" applyFont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16" fillId="0" borderId="2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8" fontId="4" fillId="0" borderId="21" xfId="0" applyNumberFormat="1" applyFont="1" applyBorder="1" applyAlignment="1">
      <alignment horizontal="center" vertical="center"/>
    </xf>
    <xf numFmtId="8" fontId="4" fillId="0" borderId="22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16" fillId="0" borderId="21" xfId="0" applyFont="1" applyBorder="1" applyAlignment="1">
      <alignment vertical="center" wrapText="1"/>
    </xf>
    <xf numFmtId="0" fontId="5" fillId="0" borderId="8" xfId="0" applyFont="1" applyFill="1" applyBorder="1" applyAlignment="1">
      <alignment horizontal="center" wrapText="1"/>
    </xf>
    <xf numFmtId="0" fontId="5" fillId="0" borderId="0" xfId="0" applyFont="1" applyBorder="1" applyAlignment="1">
      <alignment horizontal="center" wrapText="1"/>
    </xf>
    <xf numFmtId="0" fontId="5" fillId="0" borderId="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7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top" wrapText="1"/>
    </xf>
    <xf numFmtId="0" fontId="15" fillId="0" borderId="8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left" wrapText="1" indent="1"/>
    </xf>
    <xf numFmtId="166" fontId="5" fillId="0" borderId="0" xfId="0" applyNumberFormat="1" applyFont="1"/>
  </cellXfs>
  <cellStyles count="4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68"/>
  <sheetViews>
    <sheetView tabSelected="1" topLeftCell="A5" zoomScale="85" zoomScaleNormal="85" zoomScaleSheetLayoutView="80" workbookViewId="0">
      <selection activeCell="I21" sqref="I21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5.42578125" style="1" customWidth="1"/>
    <col min="9" max="9" width="18.5703125" style="1" customWidth="1"/>
    <col min="10" max="10" width="11" style="20"/>
    <col min="11" max="14" width="11" style="19"/>
    <col min="15" max="16384" width="11" style="1"/>
  </cols>
  <sheetData>
    <row r="2" spans="1:9" ht="27" x14ac:dyDescent="0.35">
      <c r="B2" s="87" t="s">
        <v>0</v>
      </c>
      <c r="C2" s="87"/>
      <c r="D2" s="87"/>
      <c r="E2" s="87"/>
      <c r="F2" s="87"/>
      <c r="G2" s="87"/>
      <c r="H2" s="87"/>
    </row>
    <row r="4" spans="1:9" ht="18" customHeight="1" x14ac:dyDescent="0.25">
      <c r="A4" s="86" t="s">
        <v>1</v>
      </c>
      <c r="B4" s="86"/>
      <c r="C4" s="88" t="s">
        <v>18</v>
      </c>
      <c r="D4" s="88"/>
      <c r="E4" s="88"/>
      <c r="F4" s="2"/>
      <c r="G4" s="3"/>
      <c r="H4" s="2"/>
    </row>
    <row r="5" spans="1:9" ht="18" customHeight="1" x14ac:dyDescent="0.25">
      <c r="A5" s="86" t="s">
        <v>2</v>
      </c>
      <c r="B5" s="86"/>
      <c r="C5" s="88" t="s">
        <v>19</v>
      </c>
      <c r="D5" s="88"/>
      <c r="E5" s="88"/>
      <c r="F5" s="2"/>
      <c r="G5" s="3"/>
      <c r="H5" s="2"/>
    </row>
    <row r="6" spans="1:9" ht="16.5" customHeight="1" x14ac:dyDescent="0.25">
      <c r="A6" s="86" t="s">
        <v>3</v>
      </c>
      <c r="B6" s="86"/>
      <c r="C6" s="13">
        <v>2021</v>
      </c>
      <c r="D6" s="12"/>
      <c r="E6" s="12"/>
      <c r="F6" s="2"/>
      <c r="G6" s="3"/>
      <c r="H6" s="2"/>
    </row>
    <row r="7" spans="1:9" ht="16.5" customHeight="1" x14ac:dyDescent="0.25">
      <c r="A7" s="86" t="s">
        <v>4</v>
      </c>
      <c r="B7" s="86"/>
      <c r="C7" s="13">
        <v>4</v>
      </c>
      <c r="D7" s="12"/>
      <c r="E7" s="12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39" thickBot="1" x14ac:dyDescent="0.25">
      <c r="A9" s="21" t="s">
        <v>5</v>
      </c>
      <c r="B9" s="22" t="s">
        <v>6</v>
      </c>
      <c r="C9" s="22" t="s">
        <v>7</v>
      </c>
      <c r="D9" s="22" t="s">
        <v>8</v>
      </c>
      <c r="E9" s="22" t="s">
        <v>9</v>
      </c>
      <c r="F9" s="22" t="s">
        <v>10</v>
      </c>
      <c r="G9" s="22" t="s">
        <v>11</v>
      </c>
      <c r="H9" s="22" t="s">
        <v>12</v>
      </c>
      <c r="I9" s="23" t="s">
        <v>13</v>
      </c>
    </row>
    <row r="10" spans="1:9" ht="57" customHeight="1" x14ac:dyDescent="0.2">
      <c r="A10" s="50">
        <v>1</v>
      </c>
      <c r="B10" s="51" t="s">
        <v>29</v>
      </c>
      <c r="C10" s="52" t="s">
        <v>30</v>
      </c>
      <c r="D10" s="53" t="str">
        <f>LEFT(B10,5)</f>
        <v>4.3.6</v>
      </c>
      <c r="E10" s="70" t="s">
        <v>31</v>
      </c>
      <c r="F10" s="54" t="s">
        <v>20</v>
      </c>
      <c r="G10" s="55">
        <v>1</v>
      </c>
      <c r="H10" s="56" t="s">
        <v>51</v>
      </c>
      <c r="I10" s="57">
        <v>53100</v>
      </c>
    </row>
    <row r="11" spans="1:9" ht="57" customHeight="1" x14ac:dyDescent="0.2">
      <c r="A11" s="28">
        <v>2</v>
      </c>
      <c r="B11" s="58" t="s">
        <v>33</v>
      </c>
      <c r="C11" s="40" t="s">
        <v>30</v>
      </c>
      <c r="D11" s="27" t="str">
        <f>LEFT(B11,5)</f>
        <v>4.3.6</v>
      </c>
      <c r="E11" s="42" t="s">
        <v>34</v>
      </c>
      <c r="F11" s="24" t="s">
        <v>20</v>
      </c>
      <c r="G11" s="26">
        <v>3</v>
      </c>
      <c r="H11" s="48">
        <v>24300</v>
      </c>
      <c r="I11" s="59">
        <v>72900</v>
      </c>
    </row>
    <row r="12" spans="1:9" ht="56.25" customHeight="1" x14ac:dyDescent="0.2">
      <c r="A12" s="28">
        <v>3</v>
      </c>
      <c r="B12" s="45" t="s">
        <v>35</v>
      </c>
      <c r="C12" s="39" t="s">
        <v>37</v>
      </c>
      <c r="D12" s="27" t="str">
        <f t="shared" ref="D12:D14" si="0">LEFT(B12,5)</f>
        <v>4.3.9</v>
      </c>
      <c r="E12" s="42" t="s">
        <v>36</v>
      </c>
      <c r="F12" s="24" t="s">
        <v>20</v>
      </c>
      <c r="G12" s="26">
        <v>1</v>
      </c>
      <c r="H12" s="48">
        <v>270000</v>
      </c>
      <c r="I12" s="59">
        <v>270000</v>
      </c>
    </row>
    <row r="13" spans="1:9" ht="54" customHeight="1" x14ac:dyDescent="0.2">
      <c r="A13" s="28">
        <v>4</v>
      </c>
      <c r="B13" s="46" t="s">
        <v>38</v>
      </c>
      <c r="C13" s="39" t="s">
        <v>30</v>
      </c>
      <c r="D13" s="27" t="str">
        <f t="shared" si="0"/>
        <v>2.9.6</v>
      </c>
      <c r="E13" s="39" t="s">
        <v>39</v>
      </c>
      <c r="F13" s="24" t="s">
        <v>20</v>
      </c>
      <c r="G13" s="26">
        <v>2</v>
      </c>
      <c r="H13" s="48">
        <v>2200</v>
      </c>
      <c r="I13" s="59">
        <v>4400</v>
      </c>
    </row>
    <row r="14" spans="1:9" ht="51.75" customHeight="1" x14ac:dyDescent="0.2">
      <c r="A14" s="28">
        <v>5</v>
      </c>
      <c r="B14" s="60" t="s">
        <v>41</v>
      </c>
      <c r="C14" s="39" t="s">
        <v>30</v>
      </c>
      <c r="D14" s="27" t="str">
        <f t="shared" si="0"/>
        <v>4.3.6</v>
      </c>
      <c r="E14" s="71" t="s">
        <v>40</v>
      </c>
      <c r="F14" s="24" t="s">
        <v>20</v>
      </c>
      <c r="G14" s="26">
        <v>2</v>
      </c>
      <c r="H14" s="48">
        <v>21000</v>
      </c>
      <c r="I14" s="59">
        <v>42000</v>
      </c>
    </row>
    <row r="15" spans="1:9" ht="51.75" customHeight="1" x14ac:dyDescent="0.2">
      <c r="A15" s="28">
        <v>6</v>
      </c>
      <c r="B15" s="45" t="s">
        <v>42</v>
      </c>
      <c r="C15" s="39" t="s">
        <v>30</v>
      </c>
      <c r="D15" s="27" t="s">
        <v>46</v>
      </c>
      <c r="E15" s="42" t="s">
        <v>43</v>
      </c>
      <c r="F15" s="25" t="s">
        <v>20</v>
      </c>
      <c r="G15" s="26">
        <v>5</v>
      </c>
      <c r="H15" s="49">
        <v>2400</v>
      </c>
      <c r="I15" s="59">
        <v>12000</v>
      </c>
    </row>
    <row r="16" spans="1:9" ht="39" customHeight="1" x14ac:dyDescent="0.2">
      <c r="A16" s="28">
        <v>7</v>
      </c>
      <c r="B16" s="45" t="s">
        <v>44</v>
      </c>
      <c r="C16" s="39" t="s">
        <v>30</v>
      </c>
      <c r="D16" s="47" t="s">
        <v>46</v>
      </c>
      <c r="E16" s="42" t="s">
        <v>45</v>
      </c>
      <c r="F16" s="25" t="s">
        <v>20</v>
      </c>
      <c r="G16" s="40">
        <v>6</v>
      </c>
      <c r="H16" s="61">
        <v>4350</v>
      </c>
      <c r="I16" s="59">
        <v>26100</v>
      </c>
    </row>
    <row r="17" spans="1:9" ht="54" customHeight="1" thickBot="1" x14ac:dyDescent="0.25">
      <c r="A17" s="62">
        <v>8</v>
      </c>
      <c r="B17" s="63" t="s">
        <v>47</v>
      </c>
      <c r="C17" s="64" t="s">
        <v>49</v>
      </c>
      <c r="D17" s="65" t="s">
        <v>48</v>
      </c>
      <c r="E17" s="72" t="s">
        <v>50</v>
      </c>
      <c r="F17" s="66" t="s">
        <v>20</v>
      </c>
      <c r="G17" s="67">
        <v>10</v>
      </c>
      <c r="H17" s="68">
        <v>5550</v>
      </c>
      <c r="I17" s="69">
        <v>55500</v>
      </c>
    </row>
    <row r="18" spans="1:9" hidden="1" x14ac:dyDescent="0.2">
      <c r="B18" s="10"/>
      <c r="C18" s="34"/>
      <c r="D18" s="34"/>
      <c r="E18" s="35"/>
    </row>
    <row r="19" spans="1:9" ht="13.5" hidden="1" thickBot="1" x14ac:dyDescent="0.25">
      <c r="B19" s="11"/>
      <c r="C19" s="16"/>
      <c r="D19" s="16"/>
      <c r="E19" s="17"/>
    </row>
    <row r="20" spans="1:9" ht="13.5" thickBot="1" x14ac:dyDescent="0.25">
      <c r="D20" s="18"/>
      <c r="E20" s="18"/>
      <c r="I20" s="89">
        <f>SUM(I10:I19)</f>
        <v>536000</v>
      </c>
    </row>
    <row r="21" spans="1:9" x14ac:dyDescent="0.2">
      <c r="B21" s="44" t="s">
        <v>22</v>
      </c>
      <c r="C21" s="43"/>
      <c r="D21" s="4"/>
      <c r="E21" s="5"/>
    </row>
    <row r="22" spans="1:9" x14ac:dyDescent="0.2">
      <c r="B22" s="31"/>
      <c r="C22" s="7"/>
      <c r="D22" s="7"/>
      <c r="E22" s="8"/>
    </row>
    <row r="23" spans="1:9" ht="3" customHeight="1" x14ac:dyDescent="0.2">
      <c r="B23" s="31"/>
      <c r="C23" s="7"/>
      <c r="D23" s="7"/>
      <c r="E23" s="8"/>
    </row>
    <row r="24" spans="1:9" ht="23.25" customHeight="1" x14ac:dyDescent="0.2">
      <c r="B24" s="6"/>
      <c r="C24" s="74" t="s">
        <v>60</v>
      </c>
      <c r="D24" s="75"/>
      <c r="E24" s="76"/>
    </row>
    <row r="25" spans="1:9" x14ac:dyDescent="0.2">
      <c r="B25" s="31" t="s">
        <v>21</v>
      </c>
      <c r="C25" s="7"/>
      <c r="D25" s="7"/>
      <c r="E25" s="8"/>
    </row>
    <row r="26" spans="1:9" x14ac:dyDescent="0.2">
      <c r="B26" s="9"/>
      <c r="C26" s="7"/>
      <c r="D26" s="7"/>
      <c r="E26" s="8"/>
    </row>
    <row r="27" spans="1:9" x14ac:dyDescent="0.2">
      <c r="B27" s="77"/>
      <c r="C27" s="78"/>
      <c r="D27" s="78"/>
      <c r="E27" s="79"/>
    </row>
    <row r="28" spans="1:9" x14ac:dyDescent="0.2">
      <c r="B28" s="32" t="s">
        <v>14</v>
      </c>
      <c r="C28" s="14"/>
      <c r="D28" s="14"/>
      <c r="E28" s="15"/>
    </row>
    <row r="29" spans="1:9" ht="18.75" customHeight="1" x14ac:dyDescent="0.2">
      <c r="B29" s="10"/>
      <c r="C29" s="80" t="s">
        <v>55</v>
      </c>
      <c r="D29" s="80"/>
      <c r="E29" s="73"/>
    </row>
    <row r="30" spans="1:9" x14ac:dyDescent="0.2">
      <c r="B30" s="32" t="s">
        <v>15</v>
      </c>
      <c r="C30" s="14"/>
      <c r="D30" s="14"/>
      <c r="E30" s="15"/>
    </row>
    <row r="31" spans="1:9" ht="22.5" customHeight="1" x14ac:dyDescent="0.2">
      <c r="B31" s="33"/>
      <c r="C31" s="73" t="s">
        <v>17</v>
      </c>
      <c r="D31" s="73"/>
      <c r="E31" s="73"/>
    </row>
    <row r="32" spans="1:9" x14ac:dyDescent="0.2">
      <c r="B32" s="32" t="s">
        <v>16</v>
      </c>
      <c r="C32" s="37"/>
      <c r="D32" s="37"/>
      <c r="E32" s="36"/>
    </row>
    <row r="33" spans="2:5" ht="19.5" customHeight="1" x14ac:dyDescent="0.2">
      <c r="B33" s="10"/>
      <c r="C33" s="73" t="s">
        <v>32</v>
      </c>
      <c r="D33" s="73"/>
      <c r="E33" s="73"/>
    </row>
    <row r="34" spans="2:5" x14ac:dyDescent="0.2">
      <c r="B34" s="10"/>
      <c r="C34" s="37"/>
      <c r="D34" s="37"/>
      <c r="E34" s="36"/>
    </row>
    <row r="35" spans="2:5" ht="16.5" customHeight="1" x14ac:dyDescent="0.2">
      <c r="B35" s="32" t="s">
        <v>28</v>
      </c>
      <c r="C35" s="37"/>
      <c r="D35" s="37"/>
      <c r="E35" s="41" t="s">
        <v>57</v>
      </c>
    </row>
    <row r="36" spans="2:5" x14ac:dyDescent="0.2">
      <c r="B36" s="10"/>
      <c r="C36" s="73"/>
      <c r="D36" s="73"/>
      <c r="E36" s="73"/>
    </row>
    <row r="37" spans="2:5" ht="13.5" thickBot="1" x14ac:dyDescent="0.25">
      <c r="B37" s="11"/>
      <c r="C37" s="16"/>
      <c r="D37" s="16"/>
      <c r="E37" s="17"/>
    </row>
    <row r="39" spans="2:5" ht="13.5" thickBot="1" x14ac:dyDescent="0.25"/>
    <row r="40" spans="2:5" x14ac:dyDescent="0.2">
      <c r="B40" s="44" t="s">
        <v>24</v>
      </c>
      <c r="C40" s="4"/>
      <c r="D40" s="4"/>
      <c r="E40" s="5"/>
    </row>
    <row r="41" spans="2:5" x14ac:dyDescent="0.2">
      <c r="B41" s="31"/>
      <c r="C41" s="7"/>
      <c r="D41" s="7"/>
      <c r="E41" s="8"/>
    </row>
    <row r="42" spans="2:5" x14ac:dyDescent="0.2">
      <c r="B42" s="31" t="s">
        <v>23</v>
      </c>
      <c r="C42" s="7"/>
      <c r="D42" s="7"/>
      <c r="E42" s="8"/>
    </row>
    <row r="43" spans="2:5" ht="51.75" customHeight="1" x14ac:dyDescent="0.2">
      <c r="B43" s="6"/>
      <c r="C43" s="74" t="s">
        <v>61</v>
      </c>
      <c r="D43" s="75"/>
      <c r="E43" s="76"/>
    </row>
    <row r="44" spans="2:5" x14ac:dyDescent="0.2">
      <c r="B44" s="31" t="s">
        <v>21</v>
      </c>
      <c r="C44" s="7"/>
      <c r="D44" s="7"/>
      <c r="E44" s="8"/>
    </row>
    <row r="45" spans="2:5" x14ac:dyDescent="0.2">
      <c r="B45" s="9"/>
      <c r="C45" s="7"/>
      <c r="D45" s="7"/>
      <c r="E45" s="8"/>
    </row>
    <row r="46" spans="2:5" x14ac:dyDescent="0.2">
      <c r="B46" s="77"/>
      <c r="C46" s="78"/>
      <c r="D46" s="78"/>
      <c r="E46" s="79"/>
    </row>
    <row r="47" spans="2:5" x14ac:dyDescent="0.2">
      <c r="B47" s="32" t="s">
        <v>14</v>
      </c>
      <c r="C47" s="14"/>
      <c r="D47" s="14"/>
      <c r="E47" s="15"/>
    </row>
    <row r="48" spans="2:5" ht="28.5" customHeight="1" x14ac:dyDescent="0.2">
      <c r="B48" s="10"/>
      <c r="C48" s="80" t="s">
        <v>55</v>
      </c>
      <c r="D48" s="80"/>
      <c r="E48" s="73"/>
    </row>
    <row r="49" spans="2:5" x14ac:dyDescent="0.2">
      <c r="B49" s="32" t="s">
        <v>15</v>
      </c>
      <c r="C49" s="14"/>
      <c r="D49" s="14"/>
      <c r="E49" s="15"/>
    </row>
    <row r="50" spans="2:5" x14ac:dyDescent="0.2">
      <c r="B50" s="33"/>
      <c r="C50" s="73" t="s">
        <v>17</v>
      </c>
      <c r="D50" s="73"/>
      <c r="E50" s="73"/>
    </row>
    <row r="51" spans="2:5" x14ac:dyDescent="0.2">
      <c r="B51" s="32" t="s">
        <v>16</v>
      </c>
      <c r="C51" s="30"/>
      <c r="D51" s="30"/>
      <c r="E51" s="29"/>
    </row>
    <row r="52" spans="2:5" x14ac:dyDescent="0.2">
      <c r="B52" s="10"/>
      <c r="C52" s="73" t="s">
        <v>32</v>
      </c>
      <c r="D52" s="73"/>
      <c r="E52" s="73"/>
    </row>
    <row r="53" spans="2:5" x14ac:dyDescent="0.2">
      <c r="B53" s="10" t="s">
        <v>58</v>
      </c>
      <c r="C53" s="34"/>
      <c r="D53" s="34"/>
      <c r="E53" s="41" t="s">
        <v>57</v>
      </c>
    </row>
    <row r="54" spans="2:5" x14ac:dyDescent="0.2">
      <c r="B54" s="32"/>
      <c r="C54" s="34"/>
      <c r="D54" s="34"/>
      <c r="E54" s="35"/>
    </row>
    <row r="55" spans="2:5" x14ac:dyDescent="0.2">
      <c r="B55" s="10"/>
      <c r="C55" s="73"/>
      <c r="D55" s="73"/>
      <c r="E55" s="73"/>
    </row>
    <row r="56" spans="2:5" x14ac:dyDescent="0.2">
      <c r="B56" s="10"/>
      <c r="C56" s="34"/>
      <c r="D56" s="34"/>
      <c r="E56" s="35"/>
    </row>
    <row r="57" spans="2:5" ht="13.5" thickBot="1" x14ac:dyDescent="0.25">
      <c r="B57" s="11"/>
      <c r="C57" s="16"/>
      <c r="D57" s="16"/>
      <c r="E57" s="17"/>
    </row>
    <row r="58" spans="2:5" ht="13.5" thickBot="1" x14ac:dyDescent="0.25"/>
    <row r="59" spans="2:5" x14ac:dyDescent="0.2">
      <c r="B59" s="44" t="s">
        <v>25</v>
      </c>
      <c r="C59" s="4"/>
      <c r="D59" s="4"/>
      <c r="E59" s="5"/>
    </row>
    <row r="60" spans="2:5" x14ac:dyDescent="0.2">
      <c r="B60" s="31"/>
      <c r="C60" s="7"/>
      <c r="D60" s="7"/>
      <c r="E60" s="8"/>
    </row>
    <row r="61" spans="2:5" x14ac:dyDescent="0.2">
      <c r="B61" s="31" t="s">
        <v>23</v>
      </c>
      <c r="C61" s="7"/>
      <c r="D61" s="7"/>
      <c r="E61" s="8"/>
    </row>
    <row r="62" spans="2:5" ht="71.25" customHeight="1" x14ac:dyDescent="0.2">
      <c r="B62" s="6"/>
      <c r="C62" s="84" t="s">
        <v>62</v>
      </c>
      <c r="D62" s="84"/>
      <c r="E62" s="85"/>
    </row>
    <row r="63" spans="2:5" x14ac:dyDescent="0.2">
      <c r="B63" s="31" t="s">
        <v>21</v>
      </c>
      <c r="C63" s="7"/>
      <c r="D63" s="7"/>
      <c r="E63" s="8"/>
    </row>
    <row r="64" spans="2:5" x14ac:dyDescent="0.2">
      <c r="B64" s="9"/>
      <c r="C64" s="7"/>
      <c r="D64" s="7"/>
      <c r="E64" s="8"/>
    </row>
    <row r="65" spans="2:5" x14ac:dyDescent="0.2">
      <c r="B65" s="77"/>
      <c r="C65" s="78"/>
      <c r="D65" s="78"/>
      <c r="E65" s="79"/>
    </row>
    <row r="66" spans="2:5" x14ac:dyDescent="0.2">
      <c r="B66" s="32" t="s">
        <v>14</v>
      </c>
      <c r="C66" s="14"/>
      <c r="D66" s="14"/>
      <c r="E66" s="15"/>
    </row>
    <row r="67" spans="2:5" ht="26.25" customHeight="1" x14ac:dyDescent="0.2">
      <c r="B67" s="10"/>
      <c r="C67" s="80" t="s">
        <v>55</v>
      </c>
      <c r="D67" s="80"/>
      <c r="E67" s="73"/>
    </row>
    <row r="68" spans="2:5" x14ac:dyDescent="0.2">
      <c r="B68" s="32" t="s">
        <v>15</v>
      </c>
      <c r="C68" s="14"/>
      <c r="D68" s="14"/>
      <c r="E68" s="15"/>
    </row>
    <row r="69" spans="2:5" x14ac:dyDescent="0.2">
      <c r="B69" s="33"/>
      <c r="C69" s="73" t="s">
        <v>17</v>
      </c>
      <c r="D69" s="73"/>
      <c r="E69" s="73"/>
    </row>
    <row r="70" spans="2:5" x14ac:dyDescent="0.2">
      <c r="B70" s="32" t="s">
        <v>16</v>
      </c>
      <c r="C70" s="30"/>
      <c r="D70" s="30"/>
      <c r="E70" s="29"/>
    </row>
    <row r="71" spans="2:5" x14ac:dyDescent="0.2">
      <c r="B71" s="10"/>
      <c r="C71" s="73" t="s">
        <v>32</v>
      </c>
      <c r="D71" s="73"/>
      <c r="E71" s="73"/>
    </row>
    <row r="72" spans="2:5" x14ac:dyDescent="0.2">
      <c r="B72" s="10" t="s">
        <v>58</v>
      </c>
      <c r="C72" s="34"/>
      <c r="D72" s="34"/>
      <c r="E72" s="41" t="s">
        <v>57</v>
      </c>
    </row>
    <row r="73" spans="2:5" x14ac:dyDescent="0.2">
      <c r="B73" s="32"/>
      <c r="C73" s="34"/>
      <c r="D73" s="34"/>
      <c r="E73" s="35"/>
    </row>
    <row r="74" spans="2:5" x14ac:dyDescent="0.2">
      <c r="B74" s="10"/>
      <c r="C74" s="73"/>
      <c r="D74" s="73"/>
      <c r="E74" s="73"/>
    </row>
    <row r="75" spans="2:5" ht="13.5" thickBot="1" x14ac:dyDescent="0.25">
      <c r="B75" s="11"/>
      <c r="C75" s="16"/>
      <c r="D75" s="16"/>
      <c r="E75" s="17"/>
    </row>
    <row r="76" spans="2:5" ht="13.5" thickBot="1" x14ac:dyDescent="0.25"/>
    <row r="77" spans="2:5" x14ac:dyDescent="0.2">
      <c r="B77" s="44" t="s">
        <v>26</v>
      </c>
      <c r="C77" s="4"/>
      <c r="D77" s="4"/>
      <c r="E77" s="5"/>
    </row>
    <row r="78" spans="2:5" x14ac:dyDescent="0.2">
      <c r="B78" s="31"/>
      <c r="C78" s="7"/>
      <c r="D78" s="7"/>
      <c r="E78" s="8"/>
    </row>
    <row r="79" spans="2:5" x14ac:dyDescent="0.2">
      <c r="B79" s="31" t="s">
        <v>23</v>
      </c>
      <c r="C79" s="7"/>
      <c r="D79" s="7"/>
      <c r="E79" s="8"/>
    </row>
    <row r="80" spans="2:5" ht="35.25" customHeight="1" x14ac:dyDescent="0.2">
      <c r="B80" s="6"/>
      <c r="C80" s="74" t="s">
        <v>63</v>
      </c>
      <c r="D80" s="75"/>
      <c r="E80" s="76"/>
    </row>
    <row r="81" spans="2:5" x14ac:dyDescent="0.2">
      <c r="B81" s="31" t="s">
        <v>21</v>
      </c>
      <c r="C81" s="7"/>
      <c r="D81" s="7"/>
      <c r="E81" s="8"/>
    </row>
    <row r="82" spans="2:5" x14ac:dyDescent="0.2">
      <c r="B82" s="9"/>
      <c r="C82" s="7"/>
      <c r="D82" s="7"/>
      <c r="E82" s="8"/>
    </row>
    <row r="83" spans="2:5" x14ac:dyDescent="0.2">
      <c r="B83" s="77"/>
      <c r="C83" s="78"/>
      <c r="D83" s="78"/>
      <c r="E83" s="79"/>
    </row>
    <row r="84" spans="2:5" x14ac:dyDescent="0.2">
      <c r="B84" s="32" t="s">
        <v>14</v>
      </c>
      <c r="C84" s="14"/>
      <c r="D84" s="14"/>
      <c r="E84" s="15"/>
    </row>
    <row r="85" spans="2:5" x14ac:dyDescent="0.2">
      <c r="B85" s="10"/>
      <c r="C85" s="80" t="s">
        <v>55</v>
      </c>
      <c r="D85" s="80"/>
      <c r="E85" s="73"/>
    </row>
    <row r="86" spans="2:5" x14ac:dyDescent="0.2">
      <c r="B86" s="32" t="s">
        <v>15</v>
      </c>
      <c r="C86" s="14"/>
      <c r="D86" s="14"/>
      <c r="E86" s="15"/>
    </row>
    <row r="87" spans="2:5" x14ac:dyDescent="0.2">
      <c r="B87" s="33"/>
      <c r="C87" s="73" t="s">
        <v>17</v>
      </c>
      <c r="D87" s="73"/>
      <c r="E87" s="73"/>
    </row>
    <row r="88" spans="2:5" x14ac:dyDescent="0.2">
      <c r="B88" s="32" t="s">
        <v>16</v>
      </c>
      <c r="C88" s="30"/>
      <c r="D88" s="30"/>
      <c r="E88" s="29"/>
    </row>
    <row r="89" spans="2:5" x14ac:dyDescent="0.2">
      <c r="B89" s="10"/>
      <c r="C89" s="73" t="s">
        <v>32</v>
      </c>
      <c r="D89" s="73"/>
      <c r="E89" s="73"/>
    </row>
    <row r="90" spans="2:5" x14ac:dyDescent="0.2">
      <c r="B90" s="10" t="s">
        <v>58</v>
      </c>
      <c r="C90" s="34"/>
      <c r="D90" s="34"/>
      <c r="E90" s="41" t="s">
        <v>57</v>
      </c>
    </row>
    <row r="91" spans="2:5" x14ac:dyDescent="0.2">
      <c r="B91" s="32"/>
      <c r="C91" s="34"/>
      <c r="D91" s="34"/>
      <c r="E91" s="35"/>
    </row>
    <row r="92" spans="2:5" x14ac:dyDescent="0.2">
      <c r="B92" s="10"/>
      <c r="C92" s="73"/>
      <c r="D92" s="73"/>
      <c r="E92" s="73"/>
    </row>
    <row r="93" spans="2:5" ht="13.5" thickBot="1" x14ac:dyDescent="0.25">
      <c r="B93" s="11"/>
      <c r="C93" s="16"/>
      <c r="D93" s="16"/>
      <c r="E93" s="17"/>
    </row>
    <row r="94" spans="2:5" ht="13.5" thickBot="1" x14ac:dyDescent="0.25"/>
    <row r="95" spans="2:5" x14ac:dyDescent="0.2">
      <c r="B95" s="44" t="s">
        <v>27</v>
      </c>
      <c r="C95" s="4"/>
      <c r="D95" s="4"/>
      <c r="E95" s="5"/>
    </row>
    <row r="96" spans="2:5" x14ac:dyDescent="0.2">
      <c r="B96" s="31"/>
      <c r="C96" s="7"/>
      <c r="D96" s="7"/>
      <c r="E96" s="8"/>
    </row>
    <row r="97" spans="2:5" x14ac:dyDescent="0.2">
      <c r="B97" s="31" t="s">
        <v>23</v>
      </c>
      <c r="C97" s="7"/>
      <c r="D97" s="7"/>
      <c r="E97" s="8"/>
    </row>
    <row r="98" spans="2:5" ht="52.5" customHeight="1" x14ac:dyDescent="0.2">
      <c r="B98" s="6"/>
      <c r="C98" s="74" t="s">
        <v>64</v>
      </c>
      <c r="D98" s="75"/>
      <c r="E98" s="76"/>
    </row>
    <row r="99" spans="2:5" x14ac:dyDescent="0.2">
      <c r="B99" s="31" t="s">
        <v>21</v>
      </c>
      <c r="C99" s="7"/>
      <c r="D99" s="7"/>
      <c r="E99" s="8"/>
    </row>
    <row r="100" spans="2:5" x14ac:dyDescent="0.2">
      <c r="B100" s="9"/>
      <c r="C100" s="7"/>
      <c r="D100" s="7"/>
      <c r="E100" s="8"/>
    </row>
    <row r="101" spans="2:5" x14ac:dyDescent="0.2">
      <c r="B101" s="77"/>
      <c r="C101" s="78"/>
      <c r="D101" s="78"/>
      <c r="E101" s="79"/>
    </row>
    <row r="102" spans="2:5" x14ac:dyDescent="0.2">
      <c r="B102" s="32" t="s">
        <v>14</v>
      </c>
      <c r="C102" s="14"/>
      <c r="D102" s="14"/>
      <c r="E102" s="15"/>
    </row>
    <row r="103" spans="2:5" x14ac:dyDescent="0.2">
      <c r="B103" s="10"/>
      <c r="C103" s="80" t="s">
        <v>55</v>
      </c>
      <c r="D103" s="80"/>
      <c r="E103" s="73"/>
    </row>
    <row r="104" spans="2:5" x14ac:dyDescent="0.2">
      <c r="B104" s="32" t="s">
        <v>15</v>
      </c>
      <c r="C104" s="14"/>
      <c r="D104" s="14"/>
      <c r="E104" s="15"/>
    </row>
    <row r="105" spans="2:5" x14ac:dyDescent="0.2">
      <c r="B105" s="33"/>
      <c r="C105" s="73" t="s">
        <v>17</v>
      </c>
      <c r="D105" s="73"/>
      <c r="E105" s="73"/>
    </row>
    <row r="106" spans="2:5" x14ac:dyDescent="0.2">
      <c r="B106" s="32" t="s">
        <v>16</v>
      </c>
      <c r="C106" s="30"/>
      <c r="D106" s="30"/>
      <c r="E106" s="29"/>
    </row>
    <row r="107" spans="2:5" x14ac:dyDescent="0.2">
      <c r="B107" s="10"/>
      <c r="C107" s="73" t="s">
        <v>32</v>
      </c>
      <c r="D107" s="73"/>
      <c r="E107" s="73"/>
    </row>
    <row r="108" spans="2:5" x14ac:dyDescent="0.2">
      <c r="B108" s="10" t="s">
        <v>58</v>
      </c>
      <c r="C108" s="34"/>
      <c r="D108" s="34"/>
      <c r="E108" s="41" t="s">
        <v>57</v>
      </c>
    </row>
    <row r="109" spans="2:5" x14ac:dyDescent="0.2">
      <c r="B109" s="32"/>
      <c r="C109" s="34"/>
      <c r="D109" s="34"/>
      <c r="E109" s="35"/>
    </row>
    <row r="110" spans="2:5" x14ac:dyDescent="0.2">
      <c r="B110" s="10"/>
      <c r="C110" s="73"/>
      <c r="D110" s="73"/>
      <c r="E110" s="73"/>
    </row>
    <row r="111" spans="2:5" ht="13.5" thickBot="1" x14ac:dyDescent="0.25">
      <c r="B111" s="11"/>
      <c r="C111" s="16"/>
      <c r="D111" s="16"/>
      <c r="E111" s="17"/>
    </row>
    <row r="112" spans="2:5" ht="13.5" thickBot="1" x14ac:dyDescent="0.25"/>
    <row r="113" spans="2:5" x14ac:dyDescent="0.2">
      <c r="B113" s="44" t="s">
        <v>59</v>
      </c>
      <c r="C113" s="4"/>
      <c r="D113" s="4"/>
      <c r="E113" s="5"/>
    </row>
    <row r="114" spans="2:5" x14ac:dyDescent="0.2">
      <c r="B114" s="31"/>
      <c r="C114" s="7"/>
      <c r="D114" s="7"/>
      <c r="E114" s="8"/>
    </row>
    <row r="115" spans="2:5" x14ac:dyDescent="0.2">
      <c r="B115" s="31" t="s">
        <v>23</v>
      </c>
      <c r="C115" s="7"/>
      <c r="D115" s="7"/>
      <c r="E115" s="8"/>
    </row>
    <row r="116" spans="2:5" ht="28.5" customHeight="1" x14ac:dyDescent="0.2">
      <c r="B116" s="6"/>
      <c r="C116" s="81" t="s">
        <v>52</v>
      </c>
      <c r="D116" s="82"/>
      <c r="E116" s="83"/>
    </row>
    <row r="117" spans="2:5" x14ac:dyDescent="0.2">
      <c r="B117" s="31" t="s">
        <v>21</v>
      </c>
      <c r="C117" s="7"/>
      <c r="D117" s="7"/>
      <c r="E117" s="8"/>
    </row>
    <row r="118" spans="2:5" x14ac:dyDescent="0.2">
      <c r="B118" s="9"/>
      <c r="C118" s="7"/>
      <c r="D118" s="7"/>
      <c r="E118" s="8"/>
    </row>
    <row r="119" spans="2:5" x14ac:dyDescent="0.2">
      <c r="B119" s="77"/>
      <c r="C119" s="78"/>
      <c r="D119" s="78"/>
      <c r="E119" s="79"/>
    </row>
    <row r="120" spans="2:5" x14ac:dyDescent="0.2">
      <c r="B120" s="32" t="s">
        <v>14</v>
      </c>
      <c r="C120" s="14"/>
      <c r="D120" s="14"/>
      <c r="E120" s="15"/>
    </row>
    <row r="121" spans="2:5" x14ac:dyDescent="0.2">
      <c r="B121" s="10"/>
      <c r="C121" s="80" t="s">
        <v>55</v>
      </c>
      <c r="D121" s="80"/>
      <c r="E121" s="73"/>
    </row>
    <row r="122" spans="2:5" x14ac:dyDescent="0.2">
      <c r="B122" s="32" t="s">
        <v>15</v>
      </c>
      <c r="C122" s="14"/>
      <c r="D122" s="14"/>
      <c r="E122" s="15"/>
    </row>
    <row r="123" spans="2:5" x14ac:dyDescent="0.2">
      <c r="B123" s="33"/>
      <c r="C123" s="73" t="s">
        <v>17</v>
      </c>
      <c r="D123" s="73"/>
      <c r="E123" s="73"/>
    </row>
    <row r="124" spans="2:5" x14ac:dyDescent="0.2">
      <c r="B124" s="32" t="s">
        <v>16</v>
      </c>
      <c r="C124" s="30"/>
      <c r="D124" s="30"/>
      <c r="E124" s="29"/>
    </row>
    <row r="125" spans="2:5" x14ac:dyDescent="0.2">
      <c r="B125" s="10"/>
      <c r="C125" s="73" t="s">
        <v>32</v>
      </c>
      <c r="D125" s="73"/>
      <c r="E125" s="73"/>
    </row>
    <row r="126" spans="2:5" x14ac:dyDescent="0.2">
      <c r="B126" s="38" t="s">
        <v>56</v>
      </c>
      <c r="C126" s="34"/>
      <c r="D126" s="34"/>
      <c r="E126" s="41" t="s">
        <v>57</v>
      </c>
    </row>
    <row r="127" spans="2:5" x14ac:dyDescent="0.2">
      <c r="B127" s="32"/>
      <c r="C127" s="34"/>
      <c r="D127" s="34"/>
      <c r="E127" s="35"/>
    </row>
    <row r="128" spans="2:5" x14ac:dyDescent="0.2">
      <c r="B128" s="10"/>
      <c r="C128" s="73"/>
      <c r="D128" s="73"/>
      <c r="E128" s="73"/>
    </row>
    <row r="129" spans="2:5" ht="13.5" thickBot="1" x14ac:dyDescent="0.25">
      <c r="B129" s="11"/>
      <c r="C129" s="16"/>
      <c r="D129" s="16"/>
      <c r="E129" s="17"/>
    </row>
    <row r="132" spans="2:5" ht="13.5" thickBot="1" x14ac:dyDescent="0.25"/>
    <row r="133" spans="2:5" x14ac:dyDescent="0.2">
      <c r="B133" s="44" t="s">
        <v>53</v>
      </c>
      <c r="C133" s="4"/>
      <c r="D133" s="4"/>
      <c r="E133" s="5"/>
    </row>
    <row r="134" spans="2:5" x14ac:dyDescent="0.2">
      <c r="B134" s="31"/>
      <c r="C134" s="7"/>
      <c r="D134" s="7"/>
      <c r="E134" s="8"/>
    </row>
    <row r="135" spans="2:5" x14ac:dyDescent="0.2">
      <c r="B135" s="31" t="s">
        <v>23</v>
      </c>
      <c r="C135" s="7"/>
      <c r="D135" s="7"/>
      <c r="E135" s="8"/>
    </row>
    <row r="136" spans="2:5" ht="27" customHeight="1" x14ac:dyDescent="0.2">
      <c r="B136" s="6"/>
      <c r="C136" s="74" t="s">
        <v>65</v>
      </c>
      <c r="D136" s="75"/>
      <c r="E136" s="76"/>
    </row>
    <row r="137" spans="2:5" x14ac:dyDescent="0.2">
      <c r="B137" s="31" t="s">
        <v>21</v>
      </c>
      <c r="C137" s="7"/>
      <c r="D137" s="7"/>
      <c r="E137" s="8"/>
    </row>
    <row r="138" spans="2:5" x14ac:dyDescent="0.2">
      <c r="B138" s="9"/>
      <c r="C138" s="7"/>
      <c r="D138" s="7"/>
      <c r="E138" s="8"/>
    </row>
    <row r="139" spans="2:5" x14ac:dyDescent="0.2">
      <c r="B139" s="77"/>
      <c r="C139" s="78"/>
      <c r="D139" s="78"/>
      <c r="E139" s="79"/>
    </row>
    <row r="140" spans="2:5" x14ac:dyDescent="0.2">
      <c r="B140" s="32" t="s">
        <v>14</v>
      </c>
      <c r="C140" s="14"/>
      <c r="D140" s="14"/>
      <c r="E140" s="15"/>
    </row>
    <row r="141" spans="2:5" x14ac:dyDescent="0.2">
      <c r="B141" s="10"/>
      <c r="C141" s="80" t="s">
        <v>55</v>
      </c>
      <c r="D141" s="80"/>
      <c r="E141" s="73"/>
    </row>
    <row r="142" spans="2:5" x14ac:dyDescent="0.2">
      <c r="B142" s="32" t="s">
        <v>15</v>
      </c>
      <c r="C142" s="14"/>
      <c r="D142" s="14"/>
      <c r="E142" s="15"/>
    </row>
    <row r="143" spans="2:5" x14ac:dyDescent="0.2">
      <c r="B143" s="33"/>
      <c r="C143" s="73" t="s">
        <v>17</v>
      </c>
      <c r="D143" s="73"/>
      <c r="E143" s="73"/>
    </row>
    <row r="144" spans="2:5" x14ac:dyDescent="0.2">
      <c r="B144" s="32" t="s">
        <v>16</v>
      </c>
      <c r="C144" s="37"/>
      <c r="D144" s="37"/>
      <c r="E144" s="36"/>
    </row>
    <row r="145" spans="2:5" x14ac:dyDescent="0.2">
      <c r="B145" s="10"/>
      <c r="C145" s="73" t="s">
        <v>32</v>
      </c>
      <c r="D145" s="73"/>
      <c r="E145" s="73"/>
    </row>
    <row r="146" spans="2:5" x14ac:dyDescent="0.2">
      <c r="B146" s="10"/>
      <c r="C146" s="37"/>
      <c r="D146" s="37"/>
      <c r="E146" s="36"/>
    </row>
    <row r="147" spans="2:5" x14ac:dyDescent="0.2">
      <c r="B147" s="32" t="s">
        <v>58</v>
      </c>
      <c r="C147" s="37"/>
      <c r="D147" s="37"/>
      <c r="E147" s="41" t="s">
        <v>57</v>
      </c>
    </row>
    <row r="148" spans="2:5" x14ac:dyDescent="0.2">
      <c r="B148" s="10"/>
      <c r="C148" s="73"/>
      <c r="D148" s="73"/>
      <c r="E148" s="73"/>
    </row>
    <row r="149" spans="2:5" ht="13.5" thickBot="1" x14ac:dyDescent="0.25">
      <c r="B149" s="11"/>
      <c r="C149" s="16"/>
      <c r="D149" s="16"/>
      <c r="E149" s="17"/>
    </row>
    <row r="151" spans="2:5" ht="13.5" thickBot="1" x14ac:dyDescent="0.25"/>
    <row r="152" spans="2:5" x14ac:dyDescent="0.2">
      <c r="B152" s="44" t="s">
        <v>54</v>
      </c>
      <c r="C152" s="4"/>
      <c r="D152" s="4"/>
      <c r="E152" s="5"/>
    </row>
    <row r="153" spans="2:5" x14ac:dyDescent="0.2">
      <c r="B153" s="31"/>
      <c r="C153" s="7"/>
      <c r="D153" s="7"/>
      <c r="E153" s="8"/>
    </row>
    <row r="154" spans="2:5" x14ac:dyDescent="0.2">
      <c r="B154" s="31" t="s">
        <v>23</v>
      </c>
      <c r="C154" s="7"/>
      <c r="D154" s="7"/>
      <c r="E154" s="8"/>
    </row>
    <row r="155" spans="2:5" ht="33.75" customHeight="1" x14ac:dyDescent="0.2">
      <c r="B155" s="6"/>
      <c r="C155" s="74" t="s">
        <v>66</v>
      </c>
      <c r="D155" s="75"/>
      <c r="E155" s="76"/>
    </row>
    <row r="156" spans="2:5" x14ac:dyDescent="0.2">
      <c r="B156" s="31" t="s">
        <v>21</v>
      </c>
      <c r="C156" s="7"/>
      <c r="D156" s="7"/>
      <c r="E156" s="8"/>
    </row>
    <row r="157" spans="2:5" x14ac:dyDescent="0.2">
      <c r="B157" s="9"/>
      <c r="C157" s="7"/>
      <c r="D157" s="7"/>
      <c r="E157" s="8"/>
    </row>
    <row r="158" spans="2:5" x14ac:dyDescent="0.2">
      <c r="B158" s="77"/>
      <c r="C158" s="78"/>
      <c r="D158" s="78"/>
      <c r="E158" s="79"/>
    </row>
    <row r="159" spans="2:5" x14ac:dyDescent="0.2">
      <c r="B159" s="32" t="s">
        <v>14</v>
      </c>
      <c r="C159" s="14"/>
      <c r="D159" s="14"/>
      <c r="E159" s="15"/>
    </row>
    <row r="160" spans="2:5" x14ac:dyDescent="0.2">
      <c r="B160" s="10"/>
      <c r="C160" s="80" t="s">
        <v>55</v>
      </c>
      <c r="D160" s="80"/>
      <c r="E160" s="73"/>
    </row>
    <row r="161" spans="2:5" x14ac:dyDescent="0.2">
      <c r="B161" s="32" t="s">
        <v>15</v>
      </c>
      <c r="C161" s="14"/>
      <c r="D161" s="14"/>
      <c r="E161" s="15"/>
    </row>
    <row r="162" spans="2:5" x14ac:dyDescent="0.2">
      <c r="B162" s="33"/>
      <c r="C162" s="73" t="s">
        <v>17</v>
      </c>
      <c r="D162" s="73"/>
      <c r="E162" s="73"/>
    </row>
    <row r="163" spans="2:5" x14ac:dyDescent="0.2">
      <c r="B163" s="32" t="s">
        <v>16</v>
      </c>
      <c r="C163" s="37"/>
      <c r="D163" s="37"/>
      <c r="E163" s="36"/>
    </row>
    <row r="164" spans="2:5" x14ac:dyDescent="0.2">
      <c r="B164" s="10"/>
      <c r="C164" s="73" t="s">
        <v>32</v>
      </c>
      <c r="D164" s="73"/>
      <c r="E164" s="73"/>
    </row>
    <row r="165" spans="2:5" x14ac:dyDescent="0.2">
      <c r="B165" s="10"/>
      <c r="C165" s="37"/>
      <c r="D165" s="37"/>
      <c r="E165" s="36"/>
    </row>
    <row r="166" spans="2:5" x14ac:dyDescent="0.2">
      <c r="B166" s="32" t="s">
        <v>28</v>
      </c>
      <c r="C166" s="37"/>
      <c r="D166" s="37"/>
      <c r="E166" s="41" t="s">
        <v>57</v>
      </c>
    </row>
    <row r="167" spans="2:5" x14ac:dyDescent="0.2">
      <c r="B167" s="10"/>
      <c r="C167" s="73"/>
      <c r="D167" s="73"/>
      <c r="E167" s="73"/>
    </row>
    <row r="168" spans="2:5" ht="13.5" thickBot="1" x14ac:dyDescent="0.25">
      <c r="B168" s="11"/>
      <c r="C168" s="16"/>
      <c r="D168" s="16"/>
      <c r="E168" s="17"/>
    </row>
  </sheetData>
  <mergeCells count="55">
    <mergeCell ref="A6:B6"/>
    <mergeCell ref="A7:B7"/>
    <mergeCell ref="B2:H2"/>
    <mergeCell ref="A4:B4"/>
    <mergeCell ref="C4:E4"/>
    <mergeCell ref="A5:B5"/>
    <mergeCell ref="C5:E5"/>
    <mergeCell ref="C67:E67"/>
    <mergeCell ref="C69:E69"/>
    <mergeCell ref="C71:E71"/>
    <mergeCell ref="C43:E43"/>
    <mergeCell ref="B46:E46"/>
    <mergeCell ref="C48:E48"/>
    <mergeCell ref="C50:E50"/>
    <mergeCell ref="C52:E52"/>
    <mergeCell ref="C55:E55"/>
    <mergeCell ref="C62:E62"/>
    <mergeCell ref="B65:E65"/>
    <mergeCell ref="C116:E116"/>
    <mergeCell ref="B119:E119"/>
    <mergeCell ref="C121:E121"/>
    <mergeCell ref="C123:E123"/>
    <mergeCell ref="C125:E125"/>
    <mergeCell ref="C143:E143"/>
    <mergeCell ref="C145:E145"/>
    <mergeCell ref="C74:E74"/>
    <mergeCell ref="C92:E92"/>
    <mergeCell ref="C110:E110"/>
    <mergeCell ref="C98:E98"/>
    <mergeCell ref="B101:E101"/>
    <mergeCell ref="C103:E103"/>
    <mergeCell ref="C105:E105"/>
    <mergeCell ref="C107:E107"/>
    <mergeCell ref="C80:E80"/>
    <mergeCell ref="B83:E83"/>
    <mergeCell ref="C85:E85"/>
    <mergeCell ref="C87:E87"/>
    <mergeCell ref="C89:E89"/>
    <mergeCell ref="C128:E128"/>
    <mergeCell ref="C167:E167"/>
    <mergeCell ref="C24:E24"/>
    <mergeCell ref="B27:E27"/>
    <mergeCell ref="C29:E29"/>
    <mergeCell ref="C31:E31"/>
    <mergeCell ref="C155:E155"/>
    <mergeCell ref="B158:E158"/>
    <mergeCell ref="C160:E160"/>
    <mergeCell ref="C162:E162"/>
    <mergeCell ref="C164:E164"/>
    <mergeCell ref="C33:E33"/>
    <mergeCell ref="C36:E36"/>
    <mergeCell ref="C148:E148"/>
    <mergeCell ref="C136:E136"/>
    <mergeCell ref="B139:E139"/>
    <mergeCell ref="C141:E141"/>
  </mergeCells>
  <pageMargins left="0.70866141732283472" right="0.70866141732283472" top="0.35433070866141736" bottom="0.35433070866141736" header="0.51181102362204722" footer="0.51181102362204722"/>
  <pageSetup paperSize="5" scale="58" firstPageNumber="0" orientation="landscape" horizontalDpi="300" verticalDpi="300" r:id="rId1"/>
  <rowBreaks count="1" manualBreakCount="1">
    <brk id="11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2021-09-14T15:12:58Z</cp:lastPrinted>
  <dcterms:created xsi:type="dcterms:W3CDTF">2020-07-17T23:44:49Z</dcterms:created>
  <dcterms:modified xsi:type="dcterms:W3CDTF">2021-09-22T14:04:26Z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