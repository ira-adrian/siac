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03C48BA-B1B4-4372-92D4-8EA5AEA251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Trimestrales'!$A$9:$K$46</definedName>
    <definedName name="_xlnm.Print_Area" localSheetId="2">'Autor Gastar'!$A$1:$Q$26</definedName>
    <definedName name="_xlnm.Print_Area" localSheetId="1">NotaPedido!$A$1:$K$49</definedName>
  </definedNames>
  <calcPr calcId="181029"/>
</workbook>
</file>

<file path=xl/calcChain.xml><?xml version="1.0" encoding="utf-8"?>
<calcChain xmlns="http://schemas.openxmlformats.org/spreadsheetml/2006/main">
  <c r="B34" i="2" l="1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C48" i="2"/>
  <c r="C47" i="2"/>
  <c r="C46" i="2"/>
  <c r="C45" i="2"/>
  <c r="C43" i="2"/>
  <c r="C44" i="2"/>
  <c r="C39" i="2"/>
  <c r="C40" i="2"/>
  <c r="C41" i="2"/>
  <c r="C42" i="2"/>
  <c r="C34" i="2"/>
  <c r="C35" i="2"/>
  <c r="C36" i="2"/>
  <c r="C37" i="2"/>
  <c r="C38" i="2"/>
  <c r="C30" i="2"/>
  <c r="C31" i="2"/>
  <c r="C32" i="2"/>
  <c r="C33" i="2"/>
  <c r="C28" i="2"/>
  <c r="C29" i="2"/>
  <c r="C24" i="2"/>
  <c r="C25" i="2"/>
  <c r="C26" i="2"/>
  <c r="C27" i="2"/>
  <c r="I31" i="1"/>
  <c r="B48" i="2" l="1"/>
  <c r="B19" i="2" l="1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C13" i="2"/>
  <c r="C14" i="2"/>
  <c r="C15" i="2"/>
  <c r="C16" i="2"/>
  <c r="C17" i="2"/>
  <c r="C18" i="2"/>
  <c r="C19" i="2"/>
  <c r="C20" i="2"/>
  <c r="C21" i="2"/>
  <c r="C22" i="2"/>
  <c r="C23" i="2"/>
  <c r="B13" i="2" l="1"/>
  <c r="B14" i="2"/>
  <c r="B15" i="2"/>
  <c r="B16" i="2"/>
  <c r="B17" i="2"/>
  <c r="B18" i="2"/>
  <c r="I39" i="1"/>
  <c r="I19" i="1" l="1"/>
  <c r="I34" i="1" l="1"/>
  <c r="I38" i="1" l="1"/>
  <c r="I13" i="1"/>
  <c r="I18" i="1" l="1"/>
  <c r="I11" i="1" l="1"/>
  <c r="I32" i="1" l="1"/>
  <c r="I28" i="1"/>
  <c r="I44" i="1" l="1"/>
  <c r="I24" i="1"/>
  <c r="I43" i="1" l="1"/>
  <c r="I42" i="1"/>
  <c r="I40" i="1"/>
  <c r="A25" i="3" l="1"/>
  <c r="A10" i="3"/>
  <c r="K12" i="2"/>
  <c r="J12" i="2"/>
  <c r="J49" i="2" s="1"/>
  <c r="Q15" i="3" s="1"/>
  <c r="I12" i="2"/>
  <c r="C12" i="2"/>
  <c r="B12" i="2"/>
  <c r="I35" i="1"/>
  <c r="I15" i="1"/>
  <c r="I41" i="1"/>
  <c r="I16" i="1"/>
  <c r="I20" i="1"/>
  <c r="I36" i="1"/>
  <c r="I45" i="1"/>
  <c r="I26" i="1"/>
  <c r="I23" i="1"/>
  <c r="I25" i="1"/>
  <c r="I27" i="1"/>
  <c r="I12" i="1"/>
  <c r="I33" i="1"/>
  <c r="I46" i="1"/>
  <c r="I30" i="1"/>
  <c r="I37" i="1"/>
  <c r="I22" i="1"/>
  <c r="I21" i="1"/>
  <c r="I10" i="1"/>
  <c r="I17" i="1"/>
  <c r="I29" i="1"/>
  <c r="I14" i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<sst xmlns="http://schemas.openxmlformats.org/spreadsheetml/2006/main" count="260" uniqueCount="113">
  <si>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</si>
  <si>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</si>
  <si>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</si>
  <si>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</si>
  <si>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</si>
  <si>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</si>
  <si>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</si>
  <si>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</si>
  <si>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</si>
  <si>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</si>
  <si>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</si>
  <si>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</si>
  <si>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</si>
  <si>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</si>
  <si>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</si>
  <si>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</si>
  <si>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</si>
  <si>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</si>
  <si>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</si>
  <si>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</si>
  <si>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</si>
  <si>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</si>
  <si>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</si>
  <si>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</si>
  <si>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</si>
  <si>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</si>
  <si>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</si>
  <si>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</si>
  <si>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</si>
  <si>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</si>
  <si>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</si>
  <si>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</si>
  <si>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</si>
  <si>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</si>
  <si>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</si>
  <si>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</si>
  <si>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</si>
  <si>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</si>
  <si>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</si>
  <si>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</si>
  <si>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</si>
  <si>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</si>
  <si>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</si>
  <si>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</si>
  <si>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</si>
  <si>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</si>
  <si>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</si>
  <si>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</si>
  <si>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</si>
  <si>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</si>
  <si>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</si>
  <si>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</si>
  <si>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</si>
  <si>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</si>
  <si>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</si>
  <si>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</si>
  <si>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</si>
  <si>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</si>
  <si>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</si>
  <si>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</si>
  <si>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</si>
  <si>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</si>
  <si>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</si>
  <si>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</si>
  <si>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</si>
  <si>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 xml:space="preserve">MEDICAMENTOS </t>
  </si>
  <si>
    <t>2.5.2</t>
  </si>
  <si>
    <t>UNIDAD</t>
  </si>
  <si>
    <t>ACIDO AMINOCAPROICO 2G AMPOLLA</t>
  </si>
  <si>
    <t>DIGOXINA 0,25 MG AMPOLLA</t>
  </si>
  <si>
    <t>ISOSORBIDE MONONITRATO 20 MG COMPRIMIDO</t>
  </si>
  <si>
    <t>ADENOSINA 6 MG AMPOLLA</t>
  </si>
  <si>
    <t>CARBON ACTIVADO POLVO X 1 KG</t>
  </si>
  <si>
    <t>FOSFATO  SODICO TIPO FOSFODON X 100 ML</t>
  </si>
  <si>
    <t xml:space="preserve">PICOSULFATO DE SODIO 75MG GOTAS X  15 ML </t>
  </si>
  <si>
    <t>CREMA DE BISMUTO X 90 ML*</t>
  </si>
  <si>
    <t>RANITIDINA 50 MG AMPOLLA</t>
  </si>
  <si>
    <t>LIMONADA ROGE x 60 GR</t>
  </si>
  <si>
    <t>CIPROFLOXACINA 0,3% +DEXAMETASONA 01% UNGÜENTO</t>
  </si>
  <si>
    <t>CLORPROMAZINA  25 MG COMPRIMIDOS</t>
  </si>
  <si>
    <t>FENOBARBITAL 200MG AMPOLLAS</t>
  </si>
  <si>
    <t>GATIFLOXACINA COLIRIO</t>
  </si>
  <si>
    <t xml:space="preserve">DIAZEPAM 5 MG COMP.  </t>
  </si>
  <si>
    <t xml:space="preserve">DIGOXINA 0.25 MG COMP. </t>
  </si>
  <si>
    <t xml:space="preserve">ACIDO TRANEXAMICO 1G AMP X 10 ML </t>
  </si>
  <si>
    <t>ANFOTERICINA B LIPOSOMAL VIAL 50 MG</t>
  </si>
  <si>
    <t>Adquisición de Medicamentos</t>
  </si>
  <si>
    <t>LIDOCAINA SOLUCION TOPICA</t>
  </si>
  <si>
    <t>COTRIMOXAZOL(TRIMETOPRINA +SULFAMETOXAZOL)COMPRIMIDOS 160MG/800MG</t>
  </si>
  <si>
    <t>POLIETILENGLICOL 3350 X 4 LITROS</t>
  </si>
  <si>
    <t xml:space="preserve">COMPUESTOS QUIMICOS </t>
  </si>
  <si>
    <t>053 - 2021</t>
  </si>
  <si>
    <t xml:space="preserve">CARBOXIPOLIMETILENO 1% GOTAS OFTALMICAS FRASCO X 10 mL </t>
  </si>
  <si>
    <t xml:space="preserve">CLONIDINA 0.15 MG AMPOLLA </t>
  </si>
  <si>
    <t xml:space="preserve">FACTOR COAG.II. VII. IX. X. FORMA FARMACEUTICA FRASCO AMPOLLA </t>
  </si>
  <si>
    <t xml:space="preserve">FOSF.DISODICO+FOSF.MONOSODICO </t>
  </si>
  <si>
    <t xml:space="preserve">GADOBUTROL 7.5 ML </t>
  </si>
  <si>
    <t xml:space="preserve">HEPARINA CALCICA X 0.3 ML  </t>
  </si>
  <si>
    <t xml:space="preserve">HIDROXIETIL ALMIDON ENVASE X 500 Ml </t>
  </si>
  <si>
    <t xml:space="preserve">PERMETRINA + BENCILO BENZ. FORMA FARMACEUTICA LOCION. PRESENTACION ENVASE X 100 Ml </t>
  </si>
  <si>
    <t xml:space="preserve">PICOSULFATO DE SODIO GOTAS X 30 ML </t>
  </si>
  <si>
    <t xml:space="preserve">PROPANOLOL 40 MG COMP. </t>
  </si>
  <si>
    <t xml:space="preserve">RIFAMPICINA 300 MG CAPSULA </t>
  </si>
  <si>
    <t xml:space="preserve">RISPERIDONA 0.5 MG COMP </t>
  </si>
  <si>
    <t xml:space="preserve">SULFATO DE BARIO 66.7%. PRESENTACION ENVASE X 500 mL  </t>
  </si>
  <si>
    <t xml:space="preserve">SULFATO DE BARIO 94.7 %. PRESENTACION ENVASE X 340 GR </t>
  </si>
  <si>
    <t>TOBRAMICINA + DEXA +NAFAZOLINA.  COLIRIO</t>
  </si>
  <si>
    <t>Especificidades Item N° 1 al 37:</t>
  </si>
  <si>
    <t>HIDROCLOROTIAZIDA 25 MG COMPRIMIDO</t>
  </si>
  <si>
    <t>Costo total estimado: seis millones cuatrocientos cuarenta y siete mil cuatrocientos ochenta y uno con 92/100.----</t>
  </si>
  <si>
    <t>TOTAL DE PESOS: SEIS MILLONES CUATROCIENTOS CUARENTA Y SIETE MIL CUATROCIENTOS OCHENTA Y UNO CON 92/100.--</t>
  </si>
  <si>
    <t>20 dias corridos  - Servicio de Farmacia del HISJB - Avda. Illia y Mariano Moreno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</si>
  <si>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12 MESES DE LA FECHA DE 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</si>
</sst>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;[Red]&quot;$&quot;\ #,##0.00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sz val="12"/>
      <name val="Calibri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6" fontId="0" fillId="0" borderId="0" xfId="0" applyNumberFormat="1"/>
    <xf numFmtId="0" fontId="6" fillId="4" borderId="11" xfId="0" applyFont="1" applyFill="1" applyBorder="1" applyAlignment="1">
      <alignment horizontal="center" vertical="center"/>
    </xf>
    <xf numFmtId="0" fontId="15" fillId="5" borderId="0" xfId="0" applyFont="1" applyFill="1"/>
    <xf numFmtId="0" fontId="20" fillId="5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left" vertical="center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5" fillId="5" borderId="14" xfId="0" applyFont="1" applyFill="1" applyBorder="1" applyAlignment="1">
      <alignment vertical="center" wrapText="1"/>
    </xf>
    <xf numFmtId="0" fontId="26" fillId="5" borderId="14" xfId="0" applyFont="1" applyFill="1" applyBorder="1" applyAlignment="1">
      <alignment horizontal="left"/>
    </xf>
    <xf numFmtId="0" fontId="25" fillId="5" borderId="14" xfId="0" applyFont="1" applyFill="1" applyBorder="1" applyAlignment="1">
      <alignment horizontal="left" vertical="center" wrapText="1"/>
    </xf>
    <xf numFmtId="1" fontId="29" fillId="5" borderId="14" xfId="0" applyNumberFormat="1" applyFont="1" applyFill="1" applyBorder="1" applyAlignment="1">
      <alignment horizontal="center" vertical="center" wrapText="1"/>
    </xf>
    <xf numFmtId="169" fontId="29" fillId="5" borderId="14" xfId="0" applyNumberFormat="1" applyFont="1" applyFill="1" applyBorder="1" applyAlignment="1">
      <alignment horizontal="center" vertical="center" wrapText="1"/>
    </xf>
    <xf numFmtId="0" fontId="29" fillId="5" borderId="14" xfId="0" applyFont="1" applyFill="1" applyBorder="1" applyAlignment="1">
      <alignment vertical="center" wrapText="1"/>
    </xf>
    <xf numFmtId="0" fontId="25" fillId="5" borderId="14" xfId="0" applyFont="1" applyFill="1" applyBorder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 indent="1"/>
    </xf>
    <xf numFmtId="0" fontId="6" fillId="0" borderId="44" xfId="0" applyFont="1" applyBorder="1" applyAlignment="1">
      <alignment horizontal="left" vertical="center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0" xfId="0" applyNumberFormat="1" applyFont="1" applyBorder="1" applyAlignment="1">
      <alignment horizontal="center" vertical="center"/>
    </xf>
    <xf numFmtId="167" fontId="7" fillId="0" borderId="21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0" fillId="0" borderId="40" xfId="0" applyFont="1" applyBorder="1" applyAlignment="1">
      <alignment horizontal="left" vertical="center" wrapText="1"/>
    </xf>
    <xf numFmtId="0" fontId="0" fillId="0" borderId="22" xfId="0" applyBorder="1"/>
    <xf numFmtId="0" fontId="27" fillId="0" borderId="34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"/>
  <sheetViews>
    <sheetView tabSelected="1" zoomScale="80" zoomScaleNormal="80" workbookViewId="0">
      <selection activeCell="I10" sqref="I10:I46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88" t="s">
        <v>0</v>
      </c>
      <c r="C2" s="88"/>
      <c r="D2" s="88"/>
      <c r="E2" s="88"/>
      <c r="F2" s="88"/>
      <c r="G2" s="88"/>
      <c r="H2" s="88"/>
    </row>
    <row r="4" spans="1:9" ht="18" customHeight="1" x14ac:dyDescent="0.25">
      <c r="A4" s="84" t="s">
        <v>1</v>
      </c>
      <c r="B4" s="84"/>
      <c r="C4" s="89" t="s">
        <v>57</v>
      </c>
      <c r="D4" s="89"/>
      <c r="E4" s="89"/>
      <c r="F4" s="39"/>
      <c r="G4" s="40"/>
      <c r="H4" s="39"/>
    </row>
    <row r="5" spans="1:9" ht="18" customHeight="1" x14ac:dyDescent="0.25">
      <c r="A5" s="84" t="s">
        <v>2</v>
      </c>
      <c r="B5" s="84"/>
      <c r="C5" s="89" t="s">
        <v>58</v>
      </c>
      <c r="D5" s="89"/>
      <c r="E5" s="89"/>
      <c r="F5" s="39"/>
      <c r="G5" s="40"/>
      <c r="H5" s="39"/>
    </row>
    <row r="6" spans="1:9" ht="16.5" customHeight="1" x14ac:dyDescent="0.25">
      <c r="A6" s="84" t="s">
        <v>3</v>
      </c>
      <c r="B6" s="84"/>
      <c r="C6" s="55">
        <v>2021</v>
      </c>
      <c r="D6" s="56"/>
      <c r="E6" s="56"/>
      <c r="F6" s="39"/>
      <c r="G6" s="40"/>
      <c r="H6" s="39"/>
    </row>
    <row r="7" spans="1:9" ht="16.5" customHeight="1" x14ac:dyDescent="0.25">
      <c r="A7" s="84" t="s">
        <v>4</v>
      </c>
      <c r="B7" s="84"/>
      <c r="C7" s="55">
        <v>2</v>
      </c>
      <c r="D7" s="56"/>
      <c r="E7" s="56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ht="31.9" customHeight="1" thickBot="1" x14ac:dyDescent="0.25">
      <c r="A10" s="67">
        <v>1</v>
      </c>
      <c r="B10" s="68"/>
      <c r="C10" s="69" t="s">
        <v>65</v>
      </c>
      <c r="D10" s="70" t="s">
        <v>66</v>
      </c>
      <c r="E10" s="71" t="s">
        <v>68</v>
      </c>
      <c r="F10" s="68" t="s">
        <v>67</v>
      </c>
      <c r="G10" s="68">
        <v>350</v>
      </c>
      <c r="H10" s="72">
        <v>1070</v>
      </c>
      <c r="I10" s="73">
        <f t="shared" ref="I10:I46" si="0">G10*H10</f>
        <v>374500</v>
      </c>
    </row>
    <row r="11" spans="1:9" ht="31.9" customHeight="1" thickBot="1" x14ac:dyDescent="0.25">
      <c r="A11" s="67">
        <v>2</v>
      </c>
      <c r="B11" s="68"/>
      <c r="C11" s="69" t="s">
        <v>65</v>
      </c>
      <c r="D11" s="70" t="s">
        <v>66</v>
      </c>
      <c r="E11" s="74" t="s">
        <v>84</v>
      </c>
      <c r="F11" s="68" t="s">
        <v>67</v>
      </c>
      <c r="G11" s="68">
        <v>20</v>
      </c>
      <c r="H11" s="72">
        <v>1724</v>
      </c>
      <c r="I11" s="73">
        <f t="shared" si="0"/>
        <v>34480</v>
      </c>
    </row>
    <row r="12" spans="1:9" ht="31.9" customHeight="1" thickBot="1" x14ac:dyDescent="0.25">
      <c r="A12" s="67">
        <v>3</v>
      </c>
      <c r="B12" s="68"/>
      <c r="C12" s="69" t="s">
        <v>65</v>
      </c>
      <c r="D12" s="70" t="s">
        <v>66</v>
      </c>
      <c r="E12" s="75" t="s">
        <v>71</v>
      </c>
      <c r="F12" s="68" t="s">
        <v>67</v>
      </c>
      <c r="G12" s="68">
        <v>40</v>
      </c>
      <c r="H12" s="72">
        <v>231.2</v>
      </c>
      <c r="I12" s="73">
        <f t="shared" si="0"/>
        <v>9248</v>
      </c>
    </row>
    <row r="13" spans="1:9" ht="31.9" customHeight="1" thickBot="1" x14ac:dyDescent="0.25">
      <c r="A13" s="67">
        <v>4</v>
      </c>
      <c r="B13" s="68"/>
      <c r="C13" s="69" t="s">
        <v>65</v>
      </c>
      <c r="D13" s="70" t="s">
        <v>66</v>
      </c>
      <c r="E13" s="74" t="s">
        <v>85</v>
      </c>
      <c r="F13" s="68" t="s">
        <v>67</v>
      </c>
      <c r="G13" s="68">
        <v>10</v>
      </c>
      <c r="H13" s="72">
        <v>20692</v>
      </c>
      <c r="I13" s="73">
        <f t="shared" si="0"/>
        <v>206920</v>
      </c>
    </row>
    <row r="14" spans="1:9" ht="31.9" customHeight="1" thickBot="1" x14ac:dyDescent="0.25">
      <c r="A14" s="67">
        <v>5</v>
      </c>
      <c r="B14" s="68"/>
      <c r="C14" s="69" t="s">
        <v>65</v>
      </c>
      <c r="D14" s="70" t="s">
        <v>66</v>
      </c>
      <c r="E14" s="74" t="s">
        <v>72</v>
      </c>
      <c r="F14" s="68" t="s">
        <v>67</v>
      </c>
      <c r="G14" s="68">
        <v>1</v>
      </c>
      <c r="H14" s="72">
        <v>990</v>
      </c>
      <c r="I14" s="73">
        <f t="shared" si="0"/>
        <v>990</v>
      </c>
    </row>
    <row r="15" spans="1:9" ht="31.9" customHeight="1" thickBot="1" x14ac:dyDescent="0.25">
      <c r="A15" s="67">
        <v>6</v>
      </c>
      <c r="B15" s="68"/>
      <c r="C15" s="69" t="s">
        <v>65</v>
      </c>
      <c r="D15" s="70" t="s">
        <v>66</v>
      </c>
      <c r="E15" s="74" t="s">
        <v>92</v>
      </c>
      <c r="F15" s="68" t="s">
        <v>67</v>
      </c>
      <c r="G15" s="68">
        <v>8</v>
      </c>
      <c r="H15" s="72">
        <v>882.15</v>
      </c>
      <c r="I15" s="73">
        <f t="shared" si="0"/>
        <v>7057.2</v>
      </c>
    </row>
    <row r="16" spans="1:9" ht="31.9" customHeight="1" thickBot="1" x14ac:dyDescent="0.25">
      <c r="A16" s="67">
        <v>7</v>
      </c>
      <c r="B16" s="68"/>
      <c r="C16" s="69" t="s">
        <v>65</v>
      </c>
      <c r="D16" s="70" t="s">
        <v>66</v>
      </c>
      <c r="E16" s="76" t="s">
        <v>78</v>
      </c>
      <c r="F16" s="68" t="s">
        <v>67</v>
      </c>
      <c r="G16" s="77">
        <v>20</v>
      </c>
      <c r="H16" s="78">
        <v>746.28</v>
      </c>
      <c r="I16" s="73">
        <f t="shared" si="0"/>
        <v>14925.599999999999</v>
      </c>
    </row>
    <row r="17" spans="1:9" ht="31.9" customHeight="1" thickBot="1" x14ac:dyDescent="0.25">
      <c r="A17" s="67">
        <v>8</v>
      </c>
      <c r="B17" s="68"/>
      <c r="C17" s="69" t="s">
        <v>65</v>
      </c>
      <c r="D17" s="70" t="s">
        <v>66</v>
      </c>
      <c r="E17" s="71" t="s">
        <v>93</v>
      </c>
      <c r="F17" s="68" t="s">
        <v>67</v>
      </c>
      <c r="G17" s="68">
        <v>600</v>
      </c>
      <c r="H17" s="72">
        <v>50.5</v>
      </c>
      <c r="I17" s="73">
        <f t="shared" si="0"/>
        <v>30300</v>
      </c>
    </row>
    <row r="18" spans="1:9" ht="31.9" customHeight="1" thickBot="1" x14ac:dyDescent="0.25">
      <c r="A18" s="67">
        <v>9</v>
      </c>
      <c r="B18" s="68"/>
      <c r="C18" s="69" t="s">
        <v>65</v>
      </c>
      <c r="D18" s="70" t="s">
        <v>66</v>
      </c>
      <c r="E18" s="74" t="s">
        <v>79</v>
      </c>
      <c r="F18" s="68" t="s">
        <v>67</v>
      </c>
      <c r="G18" s="68">
        <v>100</v>
      </c>
      <c r="H18" s="72">
        <v>5.75</v>
      </c>
      <c r="I18" s="73">
        <f t="shared" si="0"/>
        <v>575</v>
      </c>
    </row>
    <row r="19" spans="1:9" ht="42" customHeight="1" thickBot="1" x14ac:dyDescent="0.25">
      <c r="A19" s="67">
        <v>10</v>
      </c>
      <c r="B19" s="68"/>
      <c r="C19" s="69" t="s">
        <v>65</v>
      </c>
      <c r="D19" s="70" t="s">
        <v>66</v>
      </c>
      <c r="E19" s="74" t="s">
        <v>88</v>
      </c>
      <c r="F19" s="68" t="s">
        <v>67</v>
      </c>
      <c r="G19" s="68">
        <v>600</v>
      </c>
      <c r="H19" s="72">
        <v>42.25</v>
      </c>
      <c r="I19" s="73">
        <f t="shared" si="0"/>
        <v>25350</v>
      </c>
    </row>
    <row r="20" spans="1:9" ht="31.9" customHeight="1" thickBot="1" x14ac:dyDescent="0.25">
      <c r="A20" s="67">
        <v>11</v>
      </c>
      <c r="B20" s="68"/>
      <c r="C20" s="69" t="s">
        <v>65</v>
      </c>
      <c r="D20" s="70" t="s">
        <v>66</v>
      </c>
      <c r="E20" s="79" t="s">
        <v>75</v>
      </c>
      <c r="F20" s="68" t="s">
        <v>67</v>
      </c>
      <c r="G20" s="68">
        <v>120</v>
      </c>
      <c r="H20" s="72">
        <v>430</v>
      </c>
      <c r="I20" s="73">
        <f t="shared" si="0"/>
        <v>51600</v>
      </c>
    </row>
    <row r="21" spans="1:9" ht="31.9" customHeight="1" thickBot="1" x14ac:dyDescent="0.25">
      <c r="A21" s="67">
        <v>12</v>
      </c>
      <c r="B21" s="68"/>
      <c r="C21" s="69" t="s">
        <v>65</v>
      </c>
      <c r="D21" s="70" t="s">
        <v>66</v>
      </c>
      <c r="E21" s="74" t="s">
        <v>82</v>
      </c>
      <c r="F21" s="68" t="s">
        <v>67</v>
      </c>
      <c r="G21" s="68">
        <v>300</v>
      </c>
      <c r="H21" s="72">
        <v>8.6</v>
      </c>
      <c r="I21" s="73">
        <f t="shared" si="0"/>
        <v>2580</v>
      </c>
    </row>
    <row r="22" spans="1:9" ht="31.9" customHeight="1" thickBot="1" x14ac:dyDescent="0.25">
      <c r="A22" s="67">
        <v>13</v>
      </c>
      <c r="B22" s="68"/>
      <c r="C22" s="69" t="s">
        <v>65</v>
      </c>
      <c r="D22" s="70" t="s">
        <v>66</v>
      </c>
      <c r="E22" s="74" t="s">
        <v>69</v>
      </c>
      <c r="F22" s="68" t="s">
        <v>67</v>
      </c>
      <c r="G22" s="68">
        <v>120</v>
      </c>
      <c r="H22" s="72">
        <v>117</v>
      </c>
      <c r="I22" s="73">
        <f t="shared" si="0"/>
        <v>14040</v>
      </c>
    </row>
    <row r="23" spans="1:9" ht="31.9" customHeight="1" thickBot="1" x14ac:dyDescent="0.25">
      <c r="A23" s="67">
        <v>14</v>
      </c>
      <c r="B23" s="68"/>
      <c r="C23" s="69" t="s">
        <v>65</v>
      </c>
      <c r="D23" s="70" t="s">
        <v>66</v>
      </c>
      <c r="E23" s="80" t="s">
        <v>83</v>
      </c>
      <c r="F23" s="68" t="s">
        <v>67</v>
      </c>
      <c r="G23" s="68">
        <v>50</v>
      </c>
      <c r="H23" s="72">
        <v>31.24</v>
      </c>
      <c r="I23" s="73">
        <f t="shared" si="0"/>
        <v>1562</v>
      </c>
    </row>
    <row r="24" spans="1:9" ht="31.9" customHeight="1" thickBot="1" x14ac:dyDescent="0.25">
      <c r="A24" s="67">
        <v>15</v>
      </c>
      <c r="B24" s="68"/>
      <c r="C24" s="69" t="s">
        <v>65</v>
      </c>
      <c r="D24" s="70" t="s">
        <v>66</v>
      </c>
      <c r="E24" s="74" t="s">
        <v>94</v>
      </c>
      <c r="F24" s="68" t="s">
        <v>67</v>
      </c>
      <c r="G24" s="68">
        <v>10</v>
      </c>
      <c r="H24" s="72">
        <v>42450.96</v>
      </c>
      <c r="I24" s="73">
        <f t="shared" si="0"/>
        <v>424509.6</v>
      </c>
    </row>
    <row r="25" spans="1:9" ht="31.9" customHeight="1" thickBot="1" x14ac:dyDescent="0.25">
      <c r="A25" s="67">
        <v>16</v>
      </c>
      <c r="B25" s="68"/>
      <c r="C25" s="69" t="s">
        <v>65</v>
      </c>
      <c r="D25" s="70" t="s">
        <v>66</v>
      </c>
      <c r="E25" s="79" t="s">
        <v>80</v>
      </c>
      <c r="F25" s="68" t="s">
        <v>67</v>
      </c>
      <c r="G25" s="68">
        <v>400</v>
      </c>
      <c r="H25" s="72">
        <v>299.08999999999997</v>
      </c>
      <c r="I25" s="73">
        <f t="shared" si="0"/>
        <v>119635.99999999999</v>
      </c>
    </row>
    <row r="26" spans="1:9" ht="31.9" customHeight="1" thickBot="1" x14ac:dyDescent="0.25">
      <c r="A26" s="67">
        <v>17</v>
      </c>
      <c r="B26" s="68"/>
      <c r="C26" s="69" t="s">
        <v>65</v>
      </c>
      <c r="D26" s="70" t="s">
        <v>66</v>
      </c>
      <c r="E26" s="71" t="s">
        <v>95</v>
      </c>
      <c r="F26" s="68" t="s">
        <v>67</v>
      </c>
      <c r="G26" s="68">
        <v>50</v>
      </c>
      <c r="H26" s="72">
        <v>183.59</v>
      </c>
      <c r="I26" s="73">
        <f t="shared" si="0"/>
        <v>9179.5</v>
      </c>
    </row>
    <row r="27" spans="1:9" ht="31.9" customHeight="1" thickBot="1" x14ac:dyDescent="0.25">
      <c r="A27" s="67">
        <v>18</v>
      </c>
      <c r="B27" s="68"/>
      <c r="C27" s="69" t="s">
        <v>65</v>
      </c>
      <c r="D27" s="70" t="s">
        <v>66</v>
      </c>
      <c r="E27" s="75" t="s">
        <v>73</v>
      </c>
      <c r="F27" s="68" t="s">
        <v>67</v>
      </c>
      <c r="G27" s="68">
        <v>40</v>
      </c>
      <c r="H27" s="72">
        <v>1092.47</v>
      </c>
      <c r="I27" s="73">
        <f t="shared" si="0"/>
        <v>43698.8</v>
      </c>
    </row>
    <row r="28" spans="1:9" ht="31.9" customHeight="1" thickBot="1" x14ac:dyDescent="0.25">
      <c r="A28" s="67">
        <v>19</v>
      </c>
      <c r="B28" s="68"/>
      <c r="C28" s="69" t="s">
        <v>65</v>
      </c>
      <c r="D28" s="70" t="s">
        <v>66</v>
      </c>
      <c r="E28" s="74" t="s">
        <v>96</v>
      </c>
      <c r="F28" s="68" t="s">
        <v>67</v>
      </c>
      <c r="G28" s="68">
        <v>300</v>
      </c>
      <c r="H28" s="72">
        <v>12608.54</v>
      </c>
      <c r="I28" s="73">
        <f t="shared" si="0"/>
        <v>3782562.0000000005</v>
      </c>
    </row>
    <row r="29" spans="1:9" ht="31.9" customHeight="1" thickBot="1" x14ac:dyDescent="0.25">
      <c r="A29" s="67">
        <v>20</v>
      </c>
      <c r="B29" s="68"/>
      <c r="C29" s="69" t="s">
        <v>65</v>
      </c>
      <c r="D29" s="70" t="s">
        <v>66</v>
      </c>
      <c r="E29" s="76" t="s">
        <v>81</v>
      </c>
      <c r="F29" s="68" t="s">
        <v>67</v>
      </c>
      <c r="G29" s="77">
        <v>10</v>
      </c>
      <c r="H29" s="78">
        <v>1542.61</v>
      </c>
      <c r="I29" s="73">
        <f t="shared" si="0"/>
        <v>15426.099999999999</v>
      </c>
    </row>
    <row r="30" spans="1:9" ht="31.9" customHeight="1" thickBot="1" x14ac:dyDescent="0.25">
      <c r="A30" s="67">
        <v>21</v>
      </c>
      <c r="B30" s="68"/>
      <c r="C30" s="69" t="s">
        <v>65</v>
      </c>
      <c r="D30" s="70" t="s">
        <v>66</v>
      </c>
      <c r="E30" s="74" t="s">
        <v>97</v>
      </c>
      <c r="F30" s="68" t="s">
        <v>67</v>
      </c>
      <c r="G30" s="68">
        <v>500</v>
      </c>
      <c r="H30" s="72">
        <v>586.79999999999995</v>
      </c>
      <c r="I30" s="73">
        <f t="shared" si="0"/>
        <v>293400</v>
      </c>
    </row>
    <row r="31" spans="1:9" ht="31.9" customHeight="1" thickBot="1" x14ac:dyDescent="0.25">
      <c r="A31" s="67">
        <v>22</v>
      </c>
      <c r="B31" s="68"/>
      <c r="C31" s="69" t="s">
        <v>65</v>
      </c>
      <c r="D31" s="70" t="s">
        <v>66</v>
      </c>
      <c r="E31" s="74" t="s">
        <v>108</v>
      </c>
      <c r="F31" s="68" t="s">
        <v>67</v>
      </c>
      <c r="G31" s="68">
        <v>100</v>
      </c>
      <c r="H31" s="72">
        <v>11</v>
      </c>
      <c r="I31" s="73">
        <f t="shared" si="0"/>
        <v>1100</v>
      </c>
    </row>
    <row r="32" spans="1:9" ht="31.9" customHeight="1" thickBot="1" x14ac:dyDescent="0.25">
      <c r="A32" s="67">
        <v>23</v>
      </c>
      <c r="B32" s="68"/>
      <c r="C32" s="69" t="s">
        <v>65</v>
      </c>
      <c r="D32" s="70" t="s">
        <v>66</v>
      </c>
      <c r="E32" s="74" t="s">
        <v>98</v>
      </c>
      <c r="F32" s="68" t="s">
        <v>67</v>
      </c>
      <c r="G32" s="68">
        <v>20</v>
      </c>
      <c r="H32" s="72">
        <v>3932.28</v>
      </c>
      <c r="I32" s="73">
        <f t="shared" si="0"/>
        <v>78645.600000000006</v>
      </c>
    </row>
    <row r="33" spans="1:9" ht="31.9" customHeight="1" thickBot="1" x14ac:dyDescent="0.25">
      <c r="A33" s="67">
        <v>24</v>
      </c>
      <c r="B33" s="68"/>
      <c r="C33" s="69" t="s">
        <v>65</v>
      </c>
      <c r="D33" s="70" t="s">
        <v>66</v>
      </c>
      <c r="E33" s="76" t="s">
        <v>70</v>
      </c>
      <c r="F33" s="68" t="s">
        <v>67</v>
      </c>
      <c r="G33" s="68">
        <v>20</v>
      </c>
      <c r="H33" s="72">
        <v>21.92</v>
      </c>
      <c r="I33" s="73">
        <f t="shared" si="0"/>
        <v>438.40000000000003</v>
      </c>
    </row>
    <row r="34" spans="1:9" ht="31.9" customHeight="1" thickBot="1" x14ac:dyDescent="0.25">
      <c r="A34" s="67">
        <v>25</v>
      </c>
      <c r="B34" s="68"/>
      <c r="C34" s="69" t="s">
        <v>65</v>
      </c>
      <c r="D34" s="70" t="s">
        <v>66</v>
      </c>
      <c r="E34" s="74" t="s">
        <v>87</v>
      </c>
      <c r="F34" s="68" t="s">
        <v>67</v>
      </c>
      <c r="G34" s="68">
        <v>30</v>
      </c>
      <c r="H34" s="72">
        <v>268</v>
      </c>
      <c r="I34" s="73">
        <f t="shared" si="0"/>
        <v>8040</v>
      </c>
    </row>
    <row r="35" spans="1:9" ht="41.25" customHeight="1" thickBot="1" x14ac:dyDescent="0.25">
      <c r="A35" s="67">
        <v>26</v>
      </c>
      <c r="B35" s="68"/>
      <c r="C35" s="69" t="s">
        <v>65</v>
      </c>
      <c r="D35" s="70" t="s">
        <v>66</v>
      </c>
      <c r="E35" s="79" t="s">
        <v>77</v>
      </c>
      <c r="F35" s="68" t="s">
        <v>67</v>
      </c>
      <c r="G35" s="68">
        <v>30</v>
      </c>
      <c r="H35" s="72">
        <v>154</v>
      </c>
      <c r="I35" s="73">
        <f t="shared" si="0"/>
        <v>4620</v>
      </c>
    </row>
    <row r="36" spans="1:9" ht="39" customHeight="1" thickBot="1" x14ac:dyDescent="0.25">
      <c r="A36" s="67">
        <v>27</v>
      </c>
      <c r="B36" s="68"/>
      <c r="C36" s="69" t="s">
        <v>65</v>
      </c>
      <c r="D36" s="70" t="s">
        <v>66</v>
      </c>
      <c r="E36" s="74" t="s">
        <v>99</v>
      </c>
      <c r="F36" s="68" t="s">
        <v>67</v>
      </c>
      <c r="G36" s="68">
        <v>10</v>
      </c>
      <c r="H36" s="72">
        <v>470.23</v>
      </c>
      <c r="I36" s="73">
        <f t="shared" si="0"/>
        <v>4702.3</v>
      </c>
    </row>
    <row r="37" spans="1:9" ht="31.9" customHeight="1" thickBot="1" x14ac:dyDescent="0.25">
      <c r="A37" s="67">
        <v>28</v>
      </c>
      <c r="B37" s="68"/>
      <c r="C37" s="69" t="s">
        <v>65</v>
      </c>
      <c r="D37" s="70" t="s">
        <v>66</v>
      </c>
      <c r="E37" s="79" t="s">
        <v>74</v>
      </c>
      <c r="F37" s="68" t="s">
        <v>67</v>
      </c>
      <c r="G37" s="68">
        <v>50</v>
      </c>
      <c r="H37" s="72">
        <v>351.87</v>
      </c>
      <c r="I37" s="73">
        <f t="shared" si="0"/>
        <v>17593.5</v>
      </c>
    </row>
    <row r="38" spans="1:9" ht="31.9" customHeight="1" thickBot="1" x14ac:dyDescent="0.25">
      <c r="A38" s="67">
        <v>29</v>
      </c>
      <c r="B38" s="68"/>
      <c r="C38" s="69" t="s">
        <v>65</v>
      </c>
      <c r="D38" s="70" t="s">
        <v>66</v>
      </c>
      <c r="E38" s="74" t="s">
        <v>100</v>
      </c>
      <c r="F38" s="68" t="s">
        <v>67</v>
      </c>
      <c r="G38" s="68">
        <v>10</v>
      </c>
      <c r="H38" s="72">
        <v>597.64</v>
      </c>
      <c r="I38" s="73">
        <f t="shared" si="0"/>
        <v>5976.4</v>
      </c>
    </row>
    <row r="39" spans="1:9" ht="31.9" customHeight="1" thickBot="1" x14ac:dyDescent="0.25">
      <c r="A39" s="67">
        <v>30</v>
      </c>
      <c r="B39" s="68"/>
      <c r="C39" s="69" t="s">
        <v>90</v>
      </c>
      <c r="D39" s="70" t="s">
        <v>66</v>
      </c>
      <c r="E39" s="74" t="s">
        <v>89</v>
      </c>
      <c r="F39" s="68" t="s">
        <v>67</v>
      </c>
      <c r="G39" s="68">
        <v>3</v>
      </c>
      <c r="H39" s="72">
        <v>3906</v>
      </c>
      <c r="I39" s="73">
        <f t="shared" si="0"/>
        <v>11718</v>
      </c>
    </row>
    <row r="40" spans="1:9" ht="31.9" customHeight="1" thickBot="1" x14ac:dyDescent="0.25">
      <c r="A40" s="67">
        <v>31</v>
      </c>
      <c r="B40" s="68"/>
      <c r="C40" s="69" t="s">
        <v>65</v>
      </c>
      <c r="D40" s="70" t="s">
        <v>66</v>
      </c>
      <c r="E40" s="74" t="s">
        <v>101</v>
      </c>
      <c r="F40" s="68" t="s">
        <v>67</v>
      </c>
      <c r="G40" s="68">
        <v>500</v>
      </c>
      <c r="H40" s="72">
        <v>13.96</v>
      </c>
      <c r="I40" s="73">
        <f t="shared" si="0"/>
        <v>6980</v>
      </c>
    </row>
    <row r="41" spans="1:9" ht="31.9" customHeight="1" thickBot="1" x14ac:dyDescent="0.25">
      <c r="A41" s="67">
        <v>32</v>
      </c>
      <c r="B41" s="68"/>
      <c r="C41" s="69" t="s">
        <v>65</v>
      </c>
      <c r="D41" s="70" t="s">
        <v>66</v>
      </c>
      <c r="E41" s="79" t="s">
        <v>76</v>
      </c>
      <c r="F41" s="68" t="s">
        <v>67</v>
      </c>
      <c r="G41" s="68">
        <v>30000</v>
      </c>
      <c r="H41" s="72">
        <v>24.61</v>
      </c>
      <c r="I41" s="73">
        <f t="shared" si="0"/>
        <v>738300</v>
      </c>
    </row>
    <row r="42" spans="1:9" ht="31.9" customHeight="1" thickBot="1" x14ac:dyDescent="0.25">
      <c r="A42" s="67">
        <v>33</v>
      </c>
      <c r="B42" s="68"/>
      <c r="C42" s="69" t="s">
        <v>65</v>
      </c>
      <c r="D42" s="70" t="s">
        <v>66</v>
      </c>
      <c r="E42" s="74" t="s">
        <v>102</v>
      </c>
      <c r="F42" s="68" t="s">
        <v>67</v>
      </c>
      <c r="G42" s="68">
        <v>100</v>
      </c>
      <c r="H42" s="72">
        <v>49.06</v>
      </c>
      <c r="I42" s="73">
        <f t="shared" si="0"/>
        <v>4906</v>
      </c>
    </row>
    <row r="43" spans="1:9" ht="31.9" customHeight="1" thickBot="1" x14ac:dyDescent="0.25">
      <c r="A43" s="67">
        <v>34</v>
      </c>
      <c r="B43" s="68"/>
      <c r="C43" s="69" t="s">
        <v>65</v>
      </c>
      <c r="D43" s="70" t="s">
        <v>66</v>
      </c>
      <c r="E43" s="74" t="s">
        <v>103</v>
      </c>
      <c r="F43" s="68" t="s">
        <v>67</v>
      </c>
      <c r="G43" s="68">
        <v>500</v>
      </c>
      <c r="H43" s="72">
        <v>10.54</v>
      </c>
      <c r="I43" s="73">
        <f t="shared" si="0"/>
        <v>5270</v>
      </c>
    </row>
    <row r="44" spans="1:9" ht="31.9" customHeight="1" thickBot="1" x14ac:dyDescent="0.25">
      <c r="A44" s="67">
        <v>35</v>
      </c>
      <c r="B44" s="68"/>
      <c r="C44" s="69" t="s">
        <v>65</v>
      </c>
      <c r="D44" s="70" t="s">
        <v>66</v>
      </c>
      <c r="E44" s="74" t="s">
        <v>104</v>
      </c>
      <c r="F44" s="68" t="s">
        <v>67</v>
      </c>
      <c r="G44" s="68">
        <v>8</v>
      </c>
      <c r="H44" s="72">
        <v>6384</v>
      </c>
      <c r="I44" s="73">
        <f t="shared" si="0"/>
        <v>51072</v>
      </c>
    </row>
    <row r="45" spans="1:9" ht="31.9" customHeight="1" thickBot="1" x14ac:dyDescent="0.25">
      <c r="A45" s="67">
        <v>36</v>
      </c>
      <c r="B45" s="68"/>
      <c r="C45" s="69" t="s">
        <v>65</v>
      </c>
      <c r="D45" s="70" t="s">
        <v>66</v>
      </c>
      <c r="E45" s="74" t="s">
        <v>105</v>
      </c>
      <c r="F45" s="68" t="s">
        <v>67</v>
      </c>
      <c r="G45" s="68">
        <v>8</v>
      </c>
      <c r="H45" s="72">
        <v>5550.49</v>
      </c>
      <c r="I45" s="73">
        <f t="shared" si="0"/>
        <v>44403.92</v>
      </c>
    </row>
    <row r="46" spans="1:9" ht="31.9" customHeight="1" thickBot="1" x14ac:dyDescent="0.25">
      <c r="A46" s="67">
        <v>37</v>
      </c>
      <c r="B46" s="68"/>
      <c r="C46" s="69" t="s">
        <v>65</v>
      </c>
      <c r="D46" s="70" t="s">
        <v>66</v>
      </c>
      <c r="E46" s="76" t="s">
        <v>106</v>
      </c>
      <c r="F46" s="68" t="s">
        <v>67</v>
      </c>
      <c r="G46" s="68">
        <v>20</v>
      </c>
      <c r="H46" s="72">
        <v>58.8</v>
      </c>
      <c r="I46" s="73">
        <f t="shared" si="0"/>
        <v>1176</v>
      </c>
    </row>
    <row r="48" spans="1:9" x14ac:dyDescent="0.2">
      <c r="G48" s="66"/>
      <c r="H48" s="66"/>
    </row>
    <row r="49" spans="2:5" x14ac:dyDescent="0.2">
      <c r="B49" s="41" t="s">
        <v>107</v>
      </c>
      <c r="C49" s="42"/>
      <c r="D49" s="42"/>
      <c r="E49" s="43"/>
    </row>
    <row r="50" spans="2:5" ht="5.25" customHeight="1" x14ac:dyDescent="0.2">
      <c r="B50" s="44"/>
      <c r="C50" s="45"/>
      <c r="D50" s="45"/>
      <c r="E50" s="46"/>
    </row>
    <row r="51" spans="2:5" x14ac:dyDescent="0.2">
      <c r="B51" s="47" t="s">
        <v>14</v>
      </c>
      <c r="C51" s="45"/>
      <c r="D51" s="45"/>
      <c r="E51" s="46"/>
    </row>
    <row r="52" spans="2:5" ht="87.75" customHeight="1" x14ac:dyDescent="0.2">
      <c r="B52" s="47"/>
      <c r="C52" s="85" t="s">
        <v>112</v>
      </c>
      <c r="D52" s="85"/>
      <c r="E52" s="85"/>
    </row>
    <row r="53" spans="2:5" x14ac:dyDescent="0.2">
      <c r="B53" s="47" t="s">
        <v>15</v>
      </c>
      <c r="C53" s="45"/>
      <c r="D53" s="45"/>
      <c r="E53" s="46"/>
    </row>
    <row r="54" spans="2:5" x14ac:dyDescent="0.2">
      <c r="B54" s="48"/>
      <c r="C54" s="86" t="s">
        <v>111</v>
      </c>
      <c r="D54" s="86"/>
      <c r="E54" s="86"/>
    </row>
    <row r="55" spans="2:5" x14ac:dyDescent="0.2">
      <c r="B55" s="48"/>
      <c r="C55" s="87"/>
      <c r="D55" s="87"/>
      <c r="E55" s="87"/>
    </row>
    <row r="56" spans="2:5" x14ac:dyDescent="0.2">
      <c r="B56" s="47" t="s">
        <v>16</v>
      </c>
      <c r="C56" s="45"/>
      <c r="D56" s="45"/>
      <c r="E56" s="46"/>
    </row>
    <row r="57" spans="2:5" ht="26.25" customHeight="1" x14ac:dyDescent="0.2">
      <c r="B57" s="48"/>
      <c r="C57" s="81"/>
      <c r="D57" s="81"/>
      <c r="E57" s="81"/>
    </row>
    <row r="58" spans="2:5" x14ac:dyDescent="0.2">
      <c r="B58" s="47" t="s">
        <v>17</v>
      </c>
      <c r="C58" s="49"/>
      <c r="D58" s="49"/>
      <c r="E58" s="50"/>
    </row>
    <row r="59" spans="2:5" ht="26.25" customHeight="1" x14ac:dyDescent="0.2">
      <c r="B59" s="48"/>
      <c r="C59" s="82" t="s">
        <v>62</v>
      </c>
      <c r="D59" s="82"/>
      <c r="E59" s="82"/>
    </row>
    <row r="60" spans="2:5" x14ac:dyDescent="0.2">
      <c r="B60" s="47" t="s">
        <v>18</v>
      </c>
      <c r="C60" s="45"/>
      <c r="D60" s="45"/>
      <c r="E60" s="46"/>
    </row>
    <row r="61" spans="2:5" ht="23.25" customHeight="1" x14ac:dyDescent="0.2">
      <c r="B61" s="47"/>
      <c r="C61" s="83"/>
      <c r="D61" s="83"/>
      <c r="E61" s="83"/>
    </row>
    <row r="62" spans="2:5" x14ac:dyDescent="0.2">
      <c r="B62" s="51"/>
      <c r="C62" s="52"/>
      <c r="D62" s="52"/>
      <c r="E62" s="53"/>
    </row>
  </sheetData>
  <sortState xmlns:xlrd2="http://schemas.microsoft.com/office/spreadsheetml/2017/richdata2" ref="B10:I46">
    <sortCondition ref="E10:E46"/>
  </sortState>
  <mergeCells count="13">
    <mergeCell ref="B2:H2"/>
    <mergeCell ref="A4:B4"/>
    <mergeCell ref="C4:E4"/>
    <mergeCell ref="A5:B5"/>
    <mergeCell ref="C5:E5"/>
    <mergeCell ref="C57:E57"/>
    <mergeCell ref="C59:E59"/>
    <mergeCell ref="C61:E61"/>
    <mergeCell ref="A6:B6"/>
    <mergeCell ref="A7:B7"/>
    <mergeCell ref="C52:E52"/>
    <mergeCell ref="C54:E54"/>
    <mergeCell ref="C55:E5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9"/>
  <sheetViews>
    <sheetView topLeftCell="A28" zoomScale="70" zoomScaleNormal="70" workbookViewId="0">
      <selection activeCell="P49" sqref="P4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1" t="s">
        <v>19</v>
      </c>
      <c r="B1" s="101"/>
      <c r="C1" s="101"/>
      <c r="D1" s="101"/>
      <c r="E1" s="101"/>
      <c r="F1" s="101"/>
      <c r="G1" s="101"/>
      <c r="H1" s="101"/>
      <c r="I1" s="101"/>
      <c r="J1" s="3" t="s">
        <v>20</v>
      </c>
      <c r="K1" s="65" t="s">
        <v>91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2" t="s">
        <v>53</v>
      </c>
      <c r="B3" s="102"/>
      <c r="C3" s="102"/>
      <c r="D3" s="103" t="str">
        <f>'Necesidades Trimestrales'!C4</f>
        <v>40 - Ministerio de Salud</v>
      </c>
      <c r="E3" s="103"/>
      <c r="F3" s="103"/>
      <c r="G3" s="103"/>
      <c r="H3" s="103"/>
      <c r="I3" s="103"/>
      <c r="J3" s="103"/>
      <c r="K3" s="103"/>
    </row>
    <row r="4" spans="1:11" ht="18.75" customHeight="1" thickBot="1" x14ac:dyDescent="0.25">
      <c r="A4" s="104" t="s">
        <v>54</v>
      </c>
      <c r="B4" s="104"/>
      <c r="C4" s="104"/>
      <c r="D4" s="103" t="str">
        <f>'Necesidades Trimestrales'!C5</f>
        <v>23 - Hospital Interzonal San Juan Bautista</v>
      </c>
      <c r="E4" s="103"/>
      <c r="F4" s="103"/>
      <c r="G4" s="103"/>
      <c r="H4" s="103"/>
      <c r="I4" s="103"/>
      <c r="J4" s="103"/>
      <c r="K4" s="103"/>
    </row>
    <row r="5" spans="1:11" ht="18.75" customHeight="1" thickBot="1" x14ac:dyDescent="0.25">
      <c r="A5" s="104" t="s">
        <v>32</v>
      </c>
      <c r="B5" s="104"/>
      <c r="C5" s="104"/>
      <c r="D5" s="103" t="s">
        <v>59</v>
      </c>
      <c r="E5" s="103"/>
      <c r="F5" s="103"/>
      <c r="G5" s="103"/>
      <c r="H5" s="103"/>
      <c r="I5" s="103"/>
      <c r="J5" s="103"/>
      <c r="K5" s="103"/>
    </row>
    <row r="6" spans="1:11" ht="16.5" customHeight="1" thickBot="1" x14ac:dyDescent="0.25">
      <c r="A6" s="102" t="s">
        <v>55</v>
      </c>
      <c r="B6" s="102"/>
      <c r="C6" s="102"/>
      <c r="D6" s="103" t="s">
        <v>60</v>
      </c>
      <c r="E6" s="103"/>
      <c r="F6" s="103"/>
      <c r="G6" s="103"/>
      <c r="H6" s="103"/>
      <c r="I6" s="103"/>
      <c r="J6" s="103"/>
      <c r="K6" s="103"/>
    </row>
    <row r="7" spans="1:11" ht="16.5" customHeight="1" x14ac:dyDescent="0.2">
      <c r="A7" s="104" t="s">
        <v>21</v>
      </c>
      <c r="B7" s="104"/>
      <c r="C7" s="104"/>
      <c r="D7" s="103" t="str">
        <f>'Necesidades Trimestrales'!C7 &amp; "° Trimestre - Año " &amp; 'Necesidades Trimestrales'!C6</f>
        <v>2° Trimestre - Año 2021</v>
      </c>
      <c r="E7" s="103"/>
      <c r="F7" s="103"/>
      <c r="G7" s="103"/>
      <c r="H7" s="103"/>
      <c r="I7" s="103"/>
      <c r="J7" s="103"/>
      <c r="K7" s="103"/>
    </row>
    <row r="8" spans="1:11" ht="16.5" customHeight="1" x14ac:dyDescent="0.2">
      <c r="A8" s="96" t="s">
        <v>22</v>
      </c>
      <c r="B8" s="96"/>
      <c r="C8" s="96"/>
      <c r="D8" s="97" t="s">
        <v>86</v>
      </c>
      <c r="E8" s="97"/>
      <c r="F8" s="97"/>
      <c r="G8" s="97"/>
      <c r="H8" s="97"/>
      <c r="I8" s="97"/>
      <c r="J8" s="97"/>
      <c r="K8" s="9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8" t="s">
        <v>23</v>
      </c>
      <c r="B10" s="99" t="s">
        <v>24</v>
      </c>
      <c r="C10" s="99" t="s">
        <v>25</v>
      </c>
      <c r="D10" s="99"/>
      <c r="E10" s="99"/>
      <c r="F10" s="99"/>
      <c r="G10" s="99"/>
      <c r="H10" s="99" t="s">
        <v>26</v>
      </c>
      <c r="I10" s="99" t="s">
        <v>27</v>
      </c>
      <c r="J10" s="99" t="s">
        <v>28</v>
      </c>
      <c r="K10" s="100" t="s">
        <v>29</v>
      </c>
    </row>
    <row r="11" spans="1:11" ht="24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1" ht="20.25" customHeight="1" thickBot="1" x14ac:dyDescent="0.25">
      <c r="A12" s="8">
        <v>1</v>
      </c>
      <c r="B12" s="57">
        <f>'Necesidades Trimestrales'!B10</f>
        <v>0</v>
      </c>
      <c r="C12" s="90" t="str">
        <f>'Necesidades Trimestrales'!E10</f>
        <v>ACIDO AMINOCAPROICO 2G AMPOLLA</v>
      </c>
      <c r="D12" s="90"/>
      <c r="E12" s="90"/>
      <c r="F12" s="90"/>
      <c r="G12" s="90"/>
      <c r="H12" s="58" t="s">
        <v>56</v>
      </c>
      <c r="I12" s="59" t="str">
        <f>'Necesidades Trimestrales'!F10</f>
        <v>UNIDAD</v>
      </c>
      <c r="J12" s="60">
        <f>'Necesidades Trimestrales'!H10</f>
        <v>1070</v>
      </c>
      <c r="K12" s="61">
        <f>'Necesidades Trimestrales'!G10</f>
        <v>350</v>
      </c>
    </row>
    <row r="13" spans="1:11" ht="20.25" customHeight="1" thickBot="1" x14ac:dyDescent="0.25">
      <c r="A13" s="8">
        <v>2</v>
      </c>
      <c r="B13" s="57">
        <f>'Necesidades Trimestrales'!B11</f>
        <v>0</v>
      </c>
      <c r="C13" s="90" t="str">
        <f>'Necesidades Trimestrales'!E11</f>
        <v xml:space="preserve">ACIDO TRANEXAMICO 1G AMP X 10 ML </v>
      </c>
      <c r="D13" s="90"/>
      <c r="E13" s="90"/>
      <c r="F13" s="90"/>
      <c r="G13" s="90"/>
      <c r="H13" s="58" t="s">
        <v>56</v>
      </c>
      <c r="I13" s="59" t="str">
        <f>'Necesidades Trimestrales'!F11</f>
        <v>UNIDAD</v>
      </c>
      <c r="J13" s="60">
        <f>'Necesidades Trimestrales'!H11</f>
        <v>1724</v>
      </c>
      <c r="K13" s="61">
        <f>'Necesidades Trimestrales'!G11</f>
        <v>20</v>
      </c>
    </row>
    <row r="14" spans="1:11" ht="20.25" customHeight="1" thickBot="1" x14ac:dyDescent="0.25">
      <c r="A14" s="8">
        <v>3</v>
      </c>
      <c r="B14" s="57">
        <f>'Necesidades Trimestrales'!B12</f>
        <v>0</v>
      </c>
      <c r="C14" s="90" t="str">
        <f>'Necesidades Trimestrales'!E12</f>
        <v>ADENOSINA 6 MG AMPOLLA</v>
      </c>
      <c r="D14" s="90"/>
      <c r="E14" s="90"/>
      <c r="F14" s="90"/>
      <c r="G14" s="90"/>
      <c r="H14" s="58" t="s">
        <v>56</v>
      </c>
      <c r="I14" s="59" t="str">
        <f>'Necesidades Trimestrales'!F12</f>
        <v>UNIDAD</v>
      </c>
      <c r="J14" s="60">
        <f>'Necesidades Trimestrales'!H12</f>
        <v>231.2</v>
      </c>
      <c r="K14" s="61">
        <f>'Necesidades Trimestrales'!G12</f>
        <v>40</v>
      </c>
    </row>
    <row r="15" spans="1:11" ht="20.25" customHeight="1" thickBot="1" x14ac:dyDescent="0.25">
      <c r="A15" s="8">
        <v>4</v>
      </c>
      <c r="B15" s="57">
        <f>'Necesidades Trimestrales'!B13</f>
        <v>0</v>
      </c>
      <c r="C15" s="90" t="str">
        <f>'Necesidades Trimestrales'!E13</f>
        <v>ANFOTERICINA B LIPOSOMAL VIAL 50 MG</v>
      </c>
      <c r="D15" s="90"/>
      <c r="E15" s="90"/>
      <c r="F15" s="90"/>
      <c r="G15" s="90"/>
      <c r="H15" s="58" t="s">
        <v>56</v>
      </c>
      <c r="I15" s="59" t="str">
        <f>'Necesidades Trimestrales'!F13</f>
        <v>UNIDAD</v>
      </c>
      <c r="J15" s="60">
        <f>'Necesidades Trimestrales'!H13</f>
        <v>20692</v>
      </c>
      <c r="K15" s="61">
        <f>'Necesidades Trimestrales'!G13</f>
        <v>10</v>
      </c>
    </row>
    <row r="16" spans="1:11" ht="20.25" customHeight="1" thickBot="1" x14ac:dyDescent="0.25">
      <c r="A16" s="8">
        <v>5</v>
      </c>
      <c r="B16" s="57">
        <f>'Necesidades Trimestrales'!B14</f>
        <v>0</v>
      </c>
      <c r="C16" s="90" t="str">
        <f>'Necesidades Trimestrales'!E14</f>
        <v>CARBON ACTIVADO POLVO X 1 KG</v>
      </c>
      <c r="D16" s="90"/>
      <c r="E16" s="90"/>
      <c r="F16" s="90"/>
      <c r="G16" s="90"/>
      <c r="H16" s="58" t="s">
        <v>56</v>
      </c>
      <c r="I16" s="59" t="str">
        <f>'Necesidades Trimestrales'!F14</f>
        <v>UNIDAD</v>
      </c>
      <c r="J16" s="60">
        <f>'Necesidades Trimestrales'!H14</f>
        <v>990</v>
      </c>
      <c r="K16" s="61">
        <f>'Necesidades Trimestrales'!G14</f>
        <v>1</v>
      </c>
    </row>
    <row r="17" spans="1:11" ht="20.25" customHeight="1" thickBot="1" x14ac:dyDescent="0.25">
      <c r="A17" s="8">
        <v>6</v>
      </c>
      <c r="B17" s="57">
        <f>'Necesidades Trimestrales'!B15</f>
        <v>0</v>
      </c>
      <c r="C17" s="90" t="str">
        <f>'Necesidades Trimestrales'!E15</f>
        <v xml:space="preserve">CARBOXIPOLIMETILENO 1% GOTAS OFTALMICAS FRASCO X 10 mL </v>
      </c>
      <c r="D17" s="90"/>
      <c r="E17" s="90"/>
      <c r="F17" s="90"/>
      <c r="G17" s="90"/>
      <c r="H17" s="58" t="s">
        <v>56</v>
      </c>
      <c r="I17" s="59" t="str">
        <f>'Necesidades Trimestrales'!F15</f>
        <v>UNIDAD</v>
      </c>
      <c r="J17" s="60">
        <f>'Necesidades Trimestrales'!H15</f>
        <v>882.15</v>
      </c>
      <c r="K17" s="61">
        <f>'Necesidades Trimestrales'!G15</f>
        <v>8</v>
      </c>
    </row>
    <row r="18" spans="1:11" ht="20.25" customHeight="1" thickBot="1" x14ac:dyDescent="0.25">
      <c r="A18" s="8">
        <v>7</v>
      </c>
      <c r="B18" s="57">
        <f>'Necesidades Trimestrales'!B16</f>
        <v>0</v>
      </c>
      <c r="C18" s="90" t="str">
        <f>'Necesidades Trimestrales'!E16</f>
        <v>CIPROFLOXACINA 0,3% +DEXAMETASONA 01% UNGÜENTO</v>
      </c>
      <c r="D18" s="90"/>
      <c r="E18" s="90"/>
      <c r="F18" s="90"/>
      <c r="G18" s="90"/>
      <c r="H18" s="58" t="s">
        <v>56</v>
      </c>
      <c r="I18" s="59" t="str">
        <f>'Necesidades Trimestrales'!F16</f>
        <v>UNIDAD</v>
      </c>
      <c r="J18" s="60">
        <f>'Necesidades Trimestrales'!H16</f>
        <v>746.28</v>
      </c>
      <c r="K18" s="61">
        <f>'Necesidades Trimestrales'!G16</f>
        <v>20</v>
      </c>
    </row>
    <row r="19" spans="1:11" ht="20.25" customHeight="1" thickBot="1" x14ac:dyDescent="0.25">
      <c r="A19" s="8">
        <v>8</v>
      </c>
      <c r="B19" s="57">
        <f>'Necesidades Trimestrales'!B17</f>
        <v>0</v>
      </c>
      <c r="C19" s="90" t="str">
        <f>'Necesidades Trimestrales'!E17</f>
        <v xml:space="preserve">CLONIDINA 0.15 MG AMPOLLA </v>
      </c>
      <c r="D19" s="90"/>
      <c r="E19" s="90"/>
      <c r="F19" s="90"/>
      <c r="G19" s="90"/>
      <c r="H19" s="58" t="s">
        <v>56</v>
      </c>
      <c r="I19" s="59" t="str">
        <f>'Necesidades Trimestrales'!F17</f>
        <v>UNIDAD</v>
      </c>
      <c r="J19" s="60">
        <f>'Necesidades Trimestrales'!H17</f>
        <v>50.5</v>
      </c>
      <c r="K19" s="61">
        <f>'Necesidades Trimestrales'!G17</f>
        <v>600</v>
      </c>
    </row>
    <row r="20" spans="1:11" ht="20.25" customHeight="1" thickBot="1" x14ac:dyDescent="0.25">
      <c r="A20" s="8">
        <v>9</v>
      </c>
      <c r="B20" s="57">
        <f>'Necesidades Trimestrales'!B18</f>
        <v>0</v>
      </c>
      <c r="C20" s="90" t="str">
        <f>'Necesidades Trimestrales'!E18</f>
        <v>CLORPROMAZINA  25 MG COMPRIMIDOS</v>
      </c>
      <c r="D20" s="90"/>
      <c r="E20" s="90"/>
      <c r="F20" s="90"/>
      <c r="G20" s="90"/>
      <c r="H20" s="58" t="s">
        <v>56</v>
      </c>
      <c r="I20" s="59" t="str">
        <f>'Necesidades Trimestrales'!F18</f>
        <v>UNIDAD</v>
      </c>
      <c r="J20" s="60">
        <f>'Necesidades Trimestrales'!H18</f>
        <v>5.75</v>
      </c>
      <c r="K20" s="61">
        <f>'Necesidades Trimestrales'!G18</f>
        <v>100</v>
      </c>
    </row>
    <row r="21" spans="1:11" ht="20.25" customHeight="1" thickBot="1" x14ac:dyDescent="0.25">
      <c r="A21" s="8">
        <v>10</v>
      </c>
      <c r="B21" s="57">
        <f>'Necesidades Trimestrales'!B19</f>
        <v>0</v>
      </c>
      <c r="C21" s="90" t="str">
        <f>'Necesidades Trimestrales'!E19</f>
        <v>COTRIMOXAZOL(TRIMETOPRINA +SULFAMETOXAZOL)COMPRIMIDOS 160MG/800MG</v>
      </c>
      <c r="D21" s="90"/>
      <c r="E21" s="90"/>
      <c r="F21" s="90"/>
      <c r="G21" s="90"/>
      <c r="H21" s="58" t="s">
        <v>56</v>
      </c>
      <c r="I21" s="59" t="str">
        <f>'Necesidades Trimestrales'!F19</f>
        <v>UNIDAD</v>
      </c>
      <c r="J21" s="60">
        <f>'Necesidades Trimestrales'!H19</f>
        <v>42.25</v>
      </c>
      <c r="K21" s="61">
        <f>'Necesidades Trimestrales'!G19</f>
        <v>600</v>
      </c>
    </row>
    <row r="22" spans="1:11" ht="20.25" customHeight="1" thickBot="1" x14ac:dyDescent="0.25">
      <c r="A22" s="8">
        <v>11</v>
      </c>
      <c r="B22" s="57">
        <f>'Necesidades Trimestrales'!B20</f>
        <v>0</v>
      </c>
      <c r="C22" s="90" t="str">
        <f>'Necesidades Trimestrales'!E20</f>
        <v>CREMA DE BISMUTO X 90 ML*</v>
      </c>
      <c r="D22" s="90"/>
      <c r="E22" s="90"/>
      <c r="F22" s="90"/>
      <c r="G22" s="90"/>
      <c r="H22" s="58" t="s">
        <v>56</v>
      </c>
      <c r="I22" s="59" t="str">
        <f>'Necesidades Trimestrales'!F20</f>
        <v>UNIDAD</v>
      </c>
      <c r="J22" s="60">
        <f>'Necesidades Trimestrales'!H20</f>
        <v>430</v>
      </c>
      <c r="K22" s="61">
        <f>'Necesidades Trimestrales'!G20</f>
        <v>120</v>
      </c>
    </row>
    <row r="23" spans="1:11" ht="20.25" customHeight="1" thickBot="1" x14ac:dyDescent="0.25">
      <c r="A23" s="8">
        <v>12</v>
      </c>
      <c r="B23" s="57">
        <f>'Necesidades Trimestrales'!B21</f>
        <v>0</v>
      </c>
      <c r="C23" s="90" t="str">
        <f>'Necesidades Trimestrales'!E21</f>
        <v xml:space="preserve">DIAZEPAM 5 MG COMP.  </v>
      </c>
      <c r="D23" s="90"/>
      <c r="E23" s="90"/>
      <c r="F23" s="90"/>
      <c r="G23" s="90"/>
      <c r="H23" s="58" t="s">
        <v>56</v>
      </c>
      <c r="I23" s="59" t="str">
        <f>'Necesidades Trimestrales'!F21</f>
        <v>UNIDAD</v>
      </c>
      <c r="J23" s="60">
        <f>'Necesidades Trimestrales'!H21</f>
        <v>8.6</v>
      </c>
      <c r="K23" s="61">
        <f>'Necesidades Trimestrales'!G21</f>
        <v>300</v>
      </c>
    </row>
    <row r="24" spans="1:11" ht="20.25" customHeight="1" thickBot="1" x14ac:dyDescent="0.25">
      <c r="A24" s="8">
        <v>13</v>
      </c>
      <c r="B24" s="57">
        <f>'Necesidades Trimestrales'!B22</f>
        <v>0</v>
      </c>
      <c r="C24" s="90" t="str">
        <f>'Necesidades Trimestrales'!E22</f>
        <v>DIGOXINA 0,25 MG AMPOLLA</v>
      </c>
      <c r="D24" s="90"/>
      <c r="E24" s="90"/>
      <c r="F24" s="90"/>
      <c r="G24" s="90"/>
      <c r="H24" s="58" t="s">
        <v>56</v>
      </c>
      <c r="I24" s="59" t="str">
        <f>'Necesidades Trimestrales'!F22</f>
        <v>UNIDAD</v>
      </c>
      <c r="J24" s="60">
        <f>'Necesidades Trimestrales'!H22</f>
        <v>117</v>
      </c>
      <c r="K24" s="61">
        <f>'Necesidades Trimestrales'!G22</f>
        <v>120</v>
      </c>
    </row>
    <row r="25" spans="1:11" ht="20.25" customHeight="1" thickBot="1" x14ac:dyDescent="0.25">
      <c r="A25" s="8">
        <v>14</v>
      </c>
      <c r="B25" s="57">
        <f>'Necesidades Trimestrales'!B23</f>
        <v>0</v>
      </c>
      <c r="C25" s="90" t="str">
        <f>'Necesidades Trimestrales'!E23</f>
        <v xml:space="preserve">DIGOXINA 0.25 MG COMP. </v>
      </c>
      <c r="D25" s="90"/>
      <c r="E25" s="90"/>
      <c r="F25" s="90"/>
      <c r="G25" s="90"/>
      <c r="H25" s="58" t="s">
        <v>56</v>
      </c>
      <c r="I25" s="59" t="str">
        <f>'Necesidades Trimestrales'!F23</f>
        <v>UNIDAD</v>
      </c>
      <c r="J25" s="60">
        <f>'Necesidades Trimestrales'!H23</f>
        <v>31.24</v>
      </c>
      <c r="K25" s="61">
        <f>'Necesidades Trimestrales'!G23</f>
        <v>50</v>
      </c>
    </row>
    <row r="26" spans="1:11" ht="20.25" customHeight="1" thickBot="1" x14ac:dyDescent="0.25">
      <c r="A26" s="8">
        <v>15</v>
      </c>
      <c r="B26" s="57">
        <f>'Necesidades Trimestrales'!B24</f>
        <v>0</v>
      </c>
      <c r="C26" s="90" t="str">
        <f>'Necesidades Trimestrales'!E24</f>
        <v xml:space="preserve">FACTOR COAG.II. VII. IX. X. FORMA FARMACEUTICA FRASCO AMPOLLA </v>
      </c>
      <c r="D26" s="90"/>
      <c r="E26" s="90"/>
      <c r="F26" s="90"/>
      <c r="G26" s="90"/>
      <c r="H26" s="58" t="s">
        <v>56</v>
      </c>
      <c r="I26" s="59" t="str">
        <f>'Necesidades Trimestrales'!F24</f>
        <v>UNIDAD</v>
      </c>
      <c r="J26" s="60">
        <f>'Necesidades Trimestrales'!H24</f>
        <v>42450.96</v>
      </c>
      <c r="K26" s="61">
        <f>'Necesidades Trimestrales'!G24</f>
        <v>10</v>
      </c>
    </row>
    <row r="27" spans="1:11" ht="20.25" customHeight="1" thickBot="1" x14ac:dyDescent="0.25">
      <c r="A27" s="8">
        <v>16</v>
      </c>
      <c r="B27" s="57">
        <f>'Necesidades Trimestrales'!B25</f>
        <v>0</v>
      </c>
      <c r="C27" s="90" t="str">
        <f>'Necesidades Trimestrales'!E25</f>
        <v>FENOBARBITAL 200MG AMPOLLAS</v>
      </c>
      <c r="D27" s="90"/>
      <c r="E27" s="90"/>
      <c r="F27" s="90"/>
      <c r="G27" s="90"/>
      <c r="H27" s="58" t="s">
        <v>56</v>
      </c>
      <c r="I27" s="59" t="str">
        <f>'Necesidades Trimestrales'!F25</f>
        <v>UNIDAD</v>
      </c>
      <c r="J27" s="60">
        <f>'Necesidades Trimestrales'!H25</f>
        <v>299.08999999999997</v>
      </c>
      <c r="K27" s="61">
        <f>'Necesidades Trimestrales'!G25</f>
        <v>400</v>
      </c>
    </row>
    <row r="28" spans="1:11" ht="20.25" customHeight="1" thickBot="1" x14ac:dyDescent="0.25">
      <c r="A28" s="8">
        <v>17</v>
      </c>
      <c r="B28" s="57">
        <f>'Necesidades Trimestrales'!B26</f>
        <v>0</v>
      </c>
      <c r="C28" s="90" t="str">
        <f>'Necesidades Trimestrales'!E26</f>
        <v xml:space="preserve">FOSF.DISODICO+FOSF.MONOSODICO </v>
      </c>
      <c r="D28" s="90"/>
      <c r="E28" s="90"/>
      <c r="F28" s="90"/>
      <c r="G28" s="90"/>
      <c r="H28" s="58" t="s">
        <v>56</v>
      </c>
      <c r="I28" s="59" t="str">
        <f>'Necesidades Trimestrales'!F26</f>
        <v>UNIDAD</v>
      </c>
      <c r="J28" s="60">
        <f>'Necesidades Trimestrales'!H26</f>
        <v>183.59</v>
      </c>
      <c r="K28" s="61">
        <f>'Necesidades Trimestrales'!G26</f>
        <v>50</v>
      </c>
    </row>
    <row r="29" spans="1:11" ht="20.25" customHeight="1" thickBot="1" x14ac:dyDescent="0.25">
      <c r="A29" s="8">
        <v>18</v>
      </c>
      <c r="B29" s="57">
        <f>'Necesidades Trimestrales'!B27</f>
        <v>0</v>
      </c>
      <c r="C29" s="90" t="str">
        <f>'Necesidades Trimestrales'!E27</f>
        <v>FOSFATO  SODICO TIPO FOSFODON X 100 ML</v>
      </c>
      <c r="D29" s="90"/>
      <c r="E29" s="90"/>
      <c r="F29" s="90"/>
      <c r="G29" s="90"/>
      <c r="H29" s="58" t="s">
        <v>56</v>
      </c>
      <c r="I29" s="59" t="str">
        <f>'Necesidades Trimestrales'!F27</f>
        <v>UNIDAD</v>
      </c>
      <c r="J29" s="60">
        <f>'Necesidades Trimestrales'!H27</f>
        <v>1092.47</v>
      </c>
      <c r="K29" s="61">
        <f>'Necesidades Trimestrales'!G27</f>
        <v>40</v>
      </c>
    </row>
    <row r="30" spans="1:11" ht="20.25" customHeight="1" thickBot="1" x14ac:dyDescent="0.25">
      <c r="A30" s="8">
        <v>19</v>
      </c>
      <c r="B30" s="57">
        <f>'Necesidades Trimestrales'!B28</f>
        <v>0</v>
      </c>
      <c r="C30" s="90" t="str">
        <f>'Necesidades Trimestrales'!E28</f>
        <v xml:space="preserve">GADOBUTROL 7.5 ML </v>
      </c>
      <c r="D30" s="90"/>
      <c r="E30" s="90"/>
      <c r="F30" s="90"/>
      <c r="G30" s="90"/>
      <c r="H30" s="58" t="s">
        <v>56</v>
      </c>
      <c r="I30" s="59" t="str">
        <f>'Necesidades Trimestrales'!F28</f>
        <v>UNIDAD</v>
      </c>
      <c r="J30" s="60">
        <f>'Necesidades Trimestrales'!H28</f>
        <v>12608.54</v>
      </c>
      <c r="K30" s="61">
        <f>'Necesidades Trimestrales'!G28</f>
        <v>300</v>
      </c>
    </row>
    <row r="31" spans="1:11" ht="20.25" customHeight="1" thickBot="1" x14ac:dyDescent="0.25">
      <c r="A31" s="8">
        <v>20</v>
      </c>
      <c r="B31" s="57">
        <f>'Necesidades Trimestrales'!B29</f>
        <v>0</v>
      </c>
      <c r="C31" s="90" t="str">
        <f>'Necesidades Trimestrales'!E29</f>
        <v>GATIFLOXACINA COLIRIO</v>
      </c>
      <c r="D31" s="90"/>
      <c r="E31" s="90"/>
      <c r="F31" s="90"/>
      <c r="G31" s="90"/>
      <c r="H31" s="58" t="s">
        <v>56</v>
      </c>
      <c r="I31" s="59" t="str">
        <f>'Necesidades Trimestrales'!F29</f>
        <v>UNIDAD</v>
      </c>
      <c r="J31" s="60">
        <f>'Necesidades Trimestrales'!H29</f>
        <v>1542.61</v>
      </c>
      <c r="K31" s="61">
        <f>'Necesidades Trimestrales'!G29</f>
        <v>10</v>
      </c>
    </row>
    <row r="32" spans="1:11" ht="20.25" customHeight="1" thickBot="1" x14ac:dyDescent="0.25">
      <c r="A32" s="8">
        <v>21</v>
      </c>
      <c r="B32" s="57">
        <f>'Necesidades Trimestrales'!B30</f>
        <v>0</v>
      </c>
      <c r="C32" s="90" t="str">
        <f>'Necesidades Trimestrales'!E30</f>
        <v xml:space="preserve">HEPARINA CALCICA X 0.3 ML  </v>
      </c>
      <c r="D32" s="90"/>
      <c r="E32" s="90"/>
      <c r="F32" s="90"/>
      <c r="G32" s="90"/>
      <c r="H32" s="58" t="s">
        <v>56</v>
      </c>
      <c r="I32" s="59" t="str">
        <f>'Necesidades Trimestrales'!F30</f>
        <v>UNIDAD</v>
      </c>
      <c r="J32" s="60">
        <f>'Necesidades Trimestrales'!H30</f>
        <v>586.79999999999995</v>
      </c>
      <c r="K32" s="61">
        <f>'Necesidades Trimestrales'!G30</f>
        <v>500</v>
      </c>
    </row>
    <row r="33" spans="1:11" ht="20.25" customHeight="1" thickBot="1" x14ac:dyDescent="0.25">
      <c r="A33" s="8">
        <v>22</v>
      </c>
      <c r="B33" s="57">
        <f>'Necesidades Trimestrales'!B31</f>
        <v>0</v>
      </c>
      <c r="C33" s="90" t="str">
        <f>'Necesidades Trimestrales'!E31</f>
        <v>HIDROCLOROTIAZIDA 25 MG COMPRIMIDO</v>
      </c>
      <c r="D33" s="90"/>
      <c r="E33" s="90"/>
      <c r="F33" s="90"/>
      <c r="G33" s="90"/>
      <c r="H33" s="58" t="s">
        <v>56</v>
      </c>
      <c r="I33" s="59" t="str">
        <f>'Necesidades Trimestrales'!F31</f>
        <v>UNIDAD</v>
      </c>
      <c r="J33" s="60">
        <f>'Necesidades Trimestrales'!H31</f>
        <v>11</v>
      </c>
      <c r="K33" s="61">
        <f>'Necesidades Trimestrales'!G31</f>
        <v>100</v>
      </c>
    </row>
    <row r="34" spans="1:11" ht="20.25" customHeight="1" thickBot="1" x14ac:dyDescent="0.25">
      <c r="A34" s="8">
        <v>23</v>
      </c>
      <c r="B34" s="57">
        <f>'Necesidades Trimestrales'!B32</f>
        <v>0</v>
      </c>
      <c r="C34" s="90" t="str">
        <f>'Necesidades Trimestrales'!E32</f>
        <v xml:space="preserve">HIDROXIETIL ALMIDON ENVASE X 500 Ml </v>
      </c>
      <c r="D34" s="90"/>
      <c r="E34" s="90"/>
      <c r="F34" s="90"/>
      <c r="G34" s="90"/>
      <c r="H34" s="58" t="s">
        <v>56</v>
      </c>
      <c r="I34" s="59" t="str">
        <f>'Necesidades Trimestrales'!F32</f>
        <v>UNIDAD</v>
      </c>
      <c r="J34" s="60">
        <f>'Necesidades Trimestrales'!H32</f>
        <v>3932.28</v>
      </c>
      <c r="K34" s="61">
        <f>'Necesidades Trimestrales'!G32</f>
        <v>20</v>
      </c>
    </row>
    <row r="35" spans="1:11" ht="20.25" customHeight="1" thickBot="1" x14ac:dyDescent="0.25">
      <c r="A35" s="8">
        <v>24</v>
      </c>
      <c r="B35" s="57">
        <f>'Necesidades Trimestrales'!B33</f>
        <v>0</v>
      </c>
      <c r="C35" s="90" t="str">
        <f>'Necesidades Trimestrales'!E33</f>
        <v>ISOSORBIDE MONONITRATO 20 MG COMPRIMIDO</v>
      </c>
      <c r="D35" s="90"/>
      <c r="E35" s="90"/>
      <c r="F35" s="90"/>
      <c r="G35" s="90"/>
      <c r="H35" s="58" t="s">
        <v>56</v>
      </c>
      <c r="I35" s="59" t="str">
        <f>'Necesidades Trimestrales'!F33</f>
        <v>UNIDAD</v>
      </c>
      <c r="J35" s="60">
        <f>'Necesidades Trimestrales'!H33</f>
        <v>21.92</v>
      </c>
      <c r="K35" s="61">
        <f>'Necesidades Trimestrales'!G33</f>
        <v>20</v>
      </c>
    </row>
    <row r="36" spans="1:11" ht="20.25" customHeight="1" thickBot="1" x14ac:dyDescent="0.25">
      <c r="A36" s="8">
        <v>25</v>
      </c>
      <c r="B36" s="57">
        <f>'Necesidades Trimestrales'!B34</f>
        <v>0</v>
      </c>
      <c r="C36" s="90" t="str">
        <f>'Necesidades Trimestrales'!E34</f>
        <v>LIDOCAINA SOLUCION TOPICA</v>
      </c>
      <c r="D36" s="90"/>
      <c r="E36" s="90"/>
      <c r="F36" s="90"/>
      <c r="G36" s="90"/>
      <c r="H36" s="58" t="s">
        <v>56</v>
      </c>
      <c r="I36" s="59" t="str">
        <f>'Necesidades Trimestrales'!F34</f>
        <v>UNIDAD</v>
      </c>
      <c r="J36" s="60">
        <f>'Necesidades Trimestrales'!H34</f>
        <v>268</v>
      </c>
      <c r="K36" s="61">
        <f>'Necesidades Trimestrales'!G34</f>
        <v>30</v>
      </c>
    </row>
    <row r="37" spans="1:11" ht="20.25" customHeight="1" thickBot="1" x14ac:dyDescent="0.25">
      <c r="A37" s="8">
        <v>26</v>
      </c>
      <c r="B37" s="57">
        <f>'Necesidades Trimestrales'!B35</f>
        <v>0</v>
      </c>
      <c r="C37" s="90" t="str">
        <f>'Necesidades Trimestrales'!E35</f>
        <v>LIMONADA ROGE x 60 GR</v>
      </c>
      <c r="D37" s="90"/>
      <c r="E37" s="90"/>
      <c r="F37" s="90"/>
      <c r="G37" s="90"/>
      <c r="H37" s="58" t="s">
        <v>56</v>
      </c>
      <c r="I37" s="59" t="str">
        <f>'Necesidades Trimestrales'!F35</f>
        <v>UNIDAD</v>
      </c>
      <c r="J37" s="60">
        <f>'Necesidades Trimestrales'!H35</f>
        <v>154</v>
      </c>
      <c r="K37" s="61">
        <f>'Necesidades Trimestrales'!G35</f>
        <v>30</v>
      </c>
    </row>
    <row r="38" spans="1:11" ht="20.25" customHeight="1" thickBot="1" x14ac:dyDescent="0.25">
      <c r="A38" s="8">
        <v>27</v>
      </c>
      <c r="B38" s="57">
        <f>'Necesidades Trimestrales'!B36</f>
        <v>0</v>
      </c>
      <c r="C38" s="90" t="str">
        <f>'Necesidades Trimestrales'!E36</f>
        <v xml:space="preserve">PERMETRINA + BENCILO BENZ. FORMA FARMACEUTICA LOCION. PRESENTACION ENVASE X 100 Ml </v>
      </c>
      <c r="D38" s="90"/>
      <c r="E38" s="90"/>
      <c r="F38" s="90"/>
      <c r="G38" s="90"/>
      <c r="H38" s="58" t="s">
        <v>56</v>
      </c>
      <c r="I38" s="59" t="str">
        <f>'Necesidades Trimestrales'!F36</f>
        <v>UNIDAD</v>
      </c>
      <c r="J38" s="60">
        <f>'Necesidades Trimestrales'!H36</f>
        <v>470.23</v>
      </c>
      <c r="K38" s="61">
        <f>'Necesidades Trimestrales'!G36</f>
        <v>10</v>
      </c>
    </row>
    <row r="39" spans="1:11" ht="20.25" customHeight="1" thickBot="1" x14ac:dyDescent="0.25">
      <c r="A39" s="8">
        <v>28</v>
      </c>
      <c r="B39" s="57">
        <f>'Necesidades Trimestrales'!B37</f>
        <v>0</v>
      </c>
      <c r="C39" s="90" t="str">
        <f>'Necesidades Trimestrales'!E37</f>
        <v xml:space="preserve">PICOSULFATO DE SODIO 75MG GOTAS X  15 ML </v>
      </c>
      <c r="D39" s="90"/>
      <c r="E39" s="90"/>
      <c r="F39" s="90"/>
      <c r="G39" s="90"/>
      <c r="H39" s="58" t="s">
        <v>56</v>
      </c>
      <c r="I39" s="59" t="str">
        <f>'Necesidades Trimestrales'!F37</f>
        <v>UNIDAD</v>
      </c>
      <c r="J39" s="60">
        <f>'Necesidades Trimestrales'!H37</f>
        <v>351.87</v>
      </c>
      <c r="K39" s="61">
        <f>'Necesidades Trimestrales'!G37</f>
        <v>50</v>
      </c>
    </row>
    <row r="40" spans="1:11" ht="20.25" customHeight="1" thickBot="1" x14ac:dyDescent="0.25">
      <c r="A40" s="8">
        <v>29</v>
      </c>
      <c r="B40" s="57">
        <f>'Necesidades Trimestrales'!B38</f>
        <v>0</v>
      </c>
      <c r="C40" s="90" t="str">
        <f>'Necesidades Trimestrales'!E38</f>
        <v xml:space="preserve">PICOSULFATO DE SODIO GOTAS X 30 ML </v>
      </c>
      <c r="D40" s="90"/>
      <c r="E40" s="90"/>
      <c r="F40" s="90"/>
      <c r="G40" s="90"/>
      <c r="H40" s="58" t="s">
        <v>56</v>
      </c>
      <c r="I40" s="59" t="str">
        <f>'Necesidades Trimestrales'!F38</f>
        <v>UNIDAD</v>
      </c>
      <c r="J40" s="60">
        <f>'Necesidades Trimestrales'!H38</f>
        <v>597.64</v>
      </c>
      <c r="K40" s="61">
        <f>'Necesidades Trimestrales'!G38</f>
        <v>10</v>
      </c>
    </row>
    <row r="41" spans="1:11" ht="20.25" customHeight="1" thickBot="1" x14ac:dyDescent="0.25">
      <c r="A41" s="8">
        <v>30</v>
      </c>
      <c r="B41" s="57">
        <f>'Necesidades Trimestrales'!B39</f>
        <v>0</v>
      </c>
      <c r="C41" s="90" t="str">
        <f>'Necesidades Trimestrales'!E39</f>
        <v>POLIETILENGLICOL 3350 X 4 LITROS</v>
      </c>
      <c r="D41" s="90"/>
      <c r="E41" s="90"/>
      <c r="F41" s="90"/>
      <c r="G41" s="90"/>
      <c r="H41" s="58" t="s">
        <v>56</v>
      </c>
      <c r="I41" s="59" t="str">
        <f>'Necesidades Trimestrales'!F39</f>
        <v>UNIDAD</v>
      </c>
      <c r="J41" s="60">
        <f>'Necesidades Trimestrales'!H39</f>
        <v>3906</v>
      </c>
      <c r="K41" s="61">
        <f>'Necesidades Trimestrales'!G39</f>
        <v>3</v>
      </c>
    </row>
    <row r="42" spans="1:11" ht="20.25" customHeight="1" thickBot="1" x14ac:dyDescent="0.25">
      <c r="A42" s="8">
        <v>31</v>
      </c>
      <c r="B42" s="57">
        <f>'Necesidades Trimestrales'!B40</f>
        <v>0</v>
      </c>
      <c r="C42" s="90" t="str">
        <f>'Necesidades Trimestrales'!E40</f>
        <v xml:space="preserve">PROPANOLOL 40 MG COMP. </v>
      </c>
      <c r="D42" s="90"/>
      <c r="E42" s="90"/>
      <c r="F42" s="90"/>
      <c r="G42" s="90"/>
      <c r="H42" s="58" t="s">
        <v>56</v>
      </c>
      <c r="I42" s="59" t="str">
        <f>'Necesidades Trimestrales'!F40</f>
        <v>UNIDAD</v>
      </c>
      <c r="J42" s="60">
        <f>'Necesidades Trimestrales'!H40</f>
        <v>13.96</v>
      </c>
      <c r="K42" s="61">
        <f>'Necesidades Trimestrales'!G40</f>
        <v>500</v>
      </c>
    </row>
    <row r="43" spans="1:11" ht="20.25" customHeight="1" thickBot="1" x14ac:dyDescent="0.25">
      <c r="A43" s="8">
        <v>32</v>
      </c>
      <c r="B43" s="57">
        <f>'Necesidades Trimestrales'!B41</f>
        <v>0</v>
      </c>
      <c r="C43" s="90" t="str">
        <f>'Necesidades Trimestrales'!E41</f>
        <v>RANITIDINA 50 MG AMPOLLA</v>
      </c>
      <c r="D43" s="90"/>
      <c r="E43" s="90"/>
      <c r="F43" s="90"/>
      <c r="G43" s="90"/>
      <c r="H43" s="58" t="s">
        <v>56</v>
      </c>
      <c r="I43" s="59" t="str">
        <f>'Necesidades Trimestrales'!F41</f>
        <v>UNIDAD</v>
      </c>
      <c r="J43" s="60">
        <f>'Necesidades Trimestrales'!H41</f>
        <v>24.61</v>
      </c>
      <c r="K43" s="61">
        <f>'Necesidades Trimestrales'!G41</f>
        <v>30000</v>
      </c>
    </row>
    <row r="44" spans="1:11" ht="20.25" customHeight="1" thickBot="1" x14ac:dyDescent="0.25">
      <c r="A44" s="8">
        <v>33</v>
      </c>
      <c r="B44" s="57">
        <f>'Necesidades Trimestrales'!B42</f>
        <v>0</v>
      </c>
      <c r="C44" s="90" t="str">
        <f>'Necesidades Trimestrales'!E42</f>
        <v xml:space="preserve">RIFAMPICINA 300 MG CAPSULA </v>
      </c>
      <c r="D44" s="90"/>
      <c r="E44" s="90"/>
      <c r="F44" s="90"/>
      <c r="G44" s="90"/>
      <c r="H44" s="58" t="s">
        <v>56</v>
      </c>
      <c r="I44" s="59" t="str">
        <f>'Necesidades Trimestrales'!F42</f>
        <v>UNIDAD</v>
      </c>
      <c r="J44" s="60">
        <f>'Necesidades Trimestrales'!H42</f>
        <v>49.06</v>
      </c>
      <c r="K44" s="61">
        <f>'Necesidades Trimestrales'!G42</f>
        <v>100</v>
      </c>
    </row>
    <row r="45" spans="1:11" ht="20.25" customHeight="1" thickBot="1" x14ac:dyDescent="0.25">
      <c r="A45" s="8">
        <v>34</v>
      </c>
      <c r="B45" s="57">
        <f>'Necesidades Trimestrales'!B43</f>
        <v>0</v>
      </c>
      <c r="C45" s="90" t="str">
        <f>'Necesidades Trimestrales'!E43</f>
        <v xml:space="preserve">RISPERIDONA 0.5 MG COMP </v>
      </c>
      <c r="D45" s="90"/>
      <c r="E45" s="90"/>
      <c r="F45" s="90"/>
      <c r="G45" s="90"/>
      <c r="H45" s="58" t="s">
        <v>56</v>
      </c>
      <c r="I45" s="59" t="str">
        <f>'Necesidades Trimestrales'!F43</f>
        <v>UNIDAD</v>
      </c>
      <c r="J45" s="60">
        <f>'Necesidades Trimestrales'!H43</f>
        <v>10.54</v>
      </c>
      <c r="K45" s="61">
        <f>'Necesidades Trimestrales'!G43</f>
        <v>500</v>
      </c>
    </row>
    <row r="46" spans="1:11" ht="20.25" customHeight="1" thickBot="1" x14ac:dyDescent="0.25">
      <c r="A46" s="8">
        <v>35</v>
      </c>
      <c r="B46" s="57">
        <f>'Necesidades Trimestrales'!B44</f>
        <v>0</v>
      </c>
      <c r="C46" s="90" t="str">
        <f>'Necesidades Trimestrales'!E44</f>
        <v xml:space="preserve">SULFATO DE BARIO 66.7%. PRESENTACION ENVASE X 500 mL  </v>
      </c>
      <c r="D46" s="90"/>
      <c r="E46" s="90"/>
      <c r="F46" s="90"/>
      <c r="G46" s="90"/>
      <c r="H46" s="58" t="s">
        <v>56</v>
      </c>
      <c r="I46" s="59" t="str">
        <f>'Necesidades Trimestrales'!F44</f>
        <v>UNIDAD</v>
      </c>
      <c r="J46" s="60">
        <f>'Necesidades Trimestrales'!H44</f>
        <v>6384</v>
      </c>
      <c r="K46" s="61">
        <f>'Necesidades Trimestrales'!G44</f>
        <v>8</v>
      </c>
    </row>
    <row r="47" spans="1:11" ht="20.25" customHeight="1" thickBot="1" x14ac:dyDescent="0.25">
      <c r="A47" s="8">
        <v>36</v>
      </c>
      <c r="B47" s="57">
        <f>'Necesidades Trimestrales'!B45</f>
        <v>0</v>
      </c>
      <c r="C47" s="90" t="str">
        <f>'Necesidades Trimestrales'!E45</f>
        <v xml:space="preserve">SULFATO DE BARIO 94.7 %. PRESENTACION ENVASE X 340 GR </v>
      </c>
      <c r="D47" s="90"/>
      <c r="E47" s="90"/>
      <c r="F47" s="90"/>
      <c r="G47" s="90"/>
      <c r="H47" s="58"/>
      <c r="I47" s="59" t="str">
        <f>'Necesidades Trimestrales'!F45</f>
        <v>UNIDAD</v>
      </c>
      <c r="J47" s="60">
        <f>'Necesidades Trimestrales'!H45</f>
        <v>5550.49</v>
      </c>
      <c r="K47" s="61">
        <f>'Necesidades Trimestrales'!G45</f>
        <v>8</v>
      </c>
    </row>
    <row r="48" spans="1:11" ht="20.25" customHeight="1" thickBot="1" x14ac:dyDescent="0.25">
      <c r="A48" s="8">
        <v>37</v>
      </c>
      <c r="B48" s="57">
        <f>'Necesidades Trimestrales'!B46</f>
        <v>0</v>
      </c>
      <c r="C48" s="90" t="str">
        <f>'Necesidades Trimestrales'!E46</f>
        <v>TOBRAMICINA + DEXA +NAFAZOLINA.  COLIRIO</v>
      </c>
      <c r="D48" s="90"/>
      <c r="E48" s="90"/>
      <c r="F48" s="90"/>
      <c r="G48" s="90"/>
      <c r="H48" s="58" t="s">
        <v>56</v>
      </c>
      <c r="I48" s="59" t="str">
        <f>'Necesidades Trimestrales'!F46</f>
        <v>UNIDAD</v>
      </c>
      <c r="J48" s="60">
        <f>'Necesidades Trimestrales'!H46</f>
        <v>58.8</v>
      </c>
      <c r="K48" s="61">
        <f>'Necesidades Trimestrales'!G46</f>
        <v>20</v>
      </c>
    </row>
    <row r="49" spans="1:1024" ht="28.5" customHeight="1" thickBot="1" x14ac:dyDescent="0.25">
      <c r="A49" s="91" t="s">
        <v>109</v>
      </c>
      <c r="B49" s="92"/>
      <c r="C49" s="92"/>
      <c r="D49" s="92"/>
      <c r="E49" s="92"/>
      <c r="F49" s="92"/>
      <c r="G49" s="92"/>
      <c r="H49" s="92"/>
      <c r="I49" s="93"/>
      <c r="J49" s="94">
        <f>SUMPRODUCT(J12:J48,K12:K48)</f>
        <v>6447481.9199999999</v>
      </c>
      <c r="K49" s="95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</sheetData>
  <mergeCells count="5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49:I49"/>
    <mergeCell ref="J49:K4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0:G20"/>
    <mergeCell ref="C28:G28"/>
    <mergeCell ref="C29:G29"/>
    <mergeCell ref="C30:G30"/>
    <mergeCell ref="C12:G12"/>
    <mergeCell ref="C13:G13"/>
    <mergeCell ref="C14:G14"/>
    <mergeCell ref="C15:G15"/>
    <mergeCell ref="C16:G16"/>
    <mergeCell ref="C17:G17"/>
    <mergeCell ref="C18:G18"/>
    <mergeCell ref="C19:G19"/>
    <mergeCell ref="C37:G37"/>
    <mergeCell ref="C38:G38"/>
    <mergeCell ref="C26:G26"/>
    <mergeCell ref="C27:G27"/>
    <mergeCell ref="C21:G21"/>
    <mergeCell ref="C22:G22"/>
    <mergeCell ref="C23:G23"/>
    <mergeCell ref="C24:G24"/>
    <mergeCell ref="C25:G25"/>
    <mergeCell ref="C31:G31"/>
    <mergeCell ref="C32:G32"/>
    <mergeCell ref="C33:G33"/>
    <mergeCell ref="C34:G34"/>
    <mergeCell ref="C48:G48"/>
    <mergeCell ref="C42:G42"/>
    <mergeCell ref="C43:G43"/>
    <mergeCell ref="C44:G44"/>
    <mergeCell ref="C45:G45"/>
    <mergeCell ref="C46:G46"/>
    <mergeCell ref="C47:G47"/>
    <mergeCell ref="C40:G40"/>
    <mergeCell ref="C41:G41"/>
    <mergeCell ref="C39:G39"/>
    <mergeCell ref="C35:G35"/>
    <mergeCell ref="C36:G3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130" zoomScaleNormal="130" workbookViewId="0">
      <selection activeCell="Q18" sqref="Q1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29" t="s">
        <v>3</v>
      </c>
      <c r="B1" s="129"/>
      <c r="C1" s="129"/>
      <c r="D1" s="130">
        <f>'Necesidades Trimestrales'!C6</f>
        <v>2021</v>
      </c>
      <c r="E1" s="130"/>
      <c r="F1" s="10"/>
      <c r="G1" s="10"/>
      <c r="H1" s="11"/>
      <c r="I1" s="11"/>
      <c r="J1" s="11"/>
      <c r="K1" s="11"/>
      <c r="L1" s="11"/>
      <c r="M1" s="11"/>
      <c r="N1" s="11"/>
      <c r="P1" s="131" t="s">
        <v>30</v>
      </c>
      <c r="Q1" s="131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31"/>
      <c r="Q2" s="131"/>
    </row>
    <row r="4" spans="1:19" s="12" customFormat="1" ht="18" customHeight="1" thickBot="1" x14ac:dyDescent="0.25">
      <c r="A4" s="132" t="s">
        <v>31</v>
      </c>
      <c r="B4" s="132"/>
      <c r="C4" s="132"/>
      <c r="D4" s="132"/>
      <c r="E4" s="132"/>
      <c r="F4" s="132"/>
      <c r="G4" s="127" t="str">
        <f>NotaPedido!D3</f>
        <v>40 - Ministerio de Salud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9" s="12" customFormat="1" ht="18" customHeight="1" thickBot="1" x14ac:dyDescent="0.25">
      <c r="A5" s="124" t="s">
        <v>54</v>
      </c>
      <c r="B5" s="125"/>
      <c r="C5" s="125"/>
      <c r="D5" s="125"/>
      <c r="E5" s="125"/>
      <c r="F5" s="126"/>
      <c r="G5" s="127" t="str">
        <f>NotaPedido!D4</f>
        <v>23 - Hospital Interzonal San Juan Bautista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9" s="12" customFormat="1" ht="18" customHeight="1" thickBot="1" x14ac:dyDescent="0.25">
      <c r="A6" s="124" t="s">
        <v>32</v>
      </c>
      <c r="B6" s="125"/>
      <c r="C6" s="125"/>
      <c r="D6" s="125"/>
      <c r="E6" s="125"/>
      <c r="F6" s="126"/>
      <c r="G6" s="127" t="str">
        <f>NotaPedido!D5</f>
        <v>168 - Direccion Asistencial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19" s="12" customFormat="1" ht="18" customHeight="1" thickBot="1" x14ac:dyDescent="0.25">
      <c r="A7" s="124" t="s">
        <v>55</v>
      </c>
      <c r="B7" s="125"/>
      <c r="C7" s="125"/>
      <c r="D7" s="125"/>
      <c r="E7" s="125"/>
      <c r="F7" s="126"/>
      <c r="G7" s="127" t="str">
        <f>NotaPedido!D6</f>
        <v>Servicio de Farmacia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19" ht="18" customHeight="1" thickBot="1" x14ac:dyDescent="0.25">
      <c r="A8" s="128" t="s">
        <v>33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9" ht="18" customHeight="1" x14ac:dyDescent="0.2">
      <c r="A9" s="118" t="s">
        <v>34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13"/>
    </row>
    <row r="10" spans="1:19" ht="54.75" customHeight="1" x14ac:dyDescent="0.2">
      <c r="A10" s="11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053 - 2021,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20" t="s">
        <v>35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9" ht="15.75" customHeight="1" x14ac:dyDescent="0.2">
      <c r="A13" s="121" t="s">
        <v>36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37</v>
      </c>
      <c r="P13" s="122"/>
      <c r="Q13" s="123" t="s">
        <v>38</v>
      </c>
    </row>
    <row r="14" spans="1:19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2"/>
      <c r="P14" s="122"/>
      <c r="Q14" s="123"/>
    </row>
    <row r="15" spans="1:19" ht="17.25" customHeight="1" x14ac:dyDescent="0.2">
      <c r="A15" s="23">
        <v>33</v>
      </c>
      <c r="B15" s="24"/>
      <c r="C15" s="24"/>
      <c r="D15" s="24">
        <v>2</v>
      </c>
      <c r="E15" s="24"/>
      <c r="F15" s="24">
        <v>4901</v>
      </c>
      <c r="G15" s="24">
        <v>3</v>
      </c>
      <c r="H15" s="62" t="s">
        <v>63</v>
      </c>
      <c r="I15" s="24">
        <v>2</v>
      </c>
      <c r="J15" s="24">
        <v>5</v>
      </c>
      <c r="K15" s="24">
        <v>2</v>
      </c>
      <c r="L15" s="24"/>
      <c r="M15" s="25">
        <v>1</v>
      </c>
      <c r="N15" s="63" t="s">
        <v>64</v>
      </c>
      <c r="O15" s="115" t="s">
        <v>61</v>
      </c>
      <c r="P15" s="115"/>
      <c r="Q15" s="27">
        <f>NotaPedido!J49</f>
        <v>6447481.9199999999</v>
      </c>
    </row>
    <row r="16" spans="1:19" ht="17.25" customHeight="1" x14ac:dyDescent="0.2">
      <c r="A16" s="23"/>
      <c r="B16" s="24"/>
      <c r="C16" s="24"/>
      <c r="D16" s="24"/>
      <c r="E16" s="24"/>
      <c r="F16" s="26"/>
      <c r="G16" s="24"/>
      <c r="H16" s="62"/>
      <c r="I16" s="24"/>
      <c r="J16" s="24"/>
      <c r="K16" s="24"/>
      <c r="L16" s="24"/>
      <c r="M16" s="25"/>
      <c r="N16" s="63"/>
      <c r="O16" s="116"/>
      <c r="P16" s="116"/>
      <c r="Q16" s="27"/>
      <c r="S16" s="64"/>
    </row>
    <row r="17" spans="1:18" ht="17.25" customHeight="1" x14ac:dyDescent="0.2">
      <c r="A17" s="23"/>
      <c r="B17" s="24"/>
      <c r="C17" s="24"/>
      <c r="D17" s="24"/>
      <c r="E17" s="24"/>
      <c r="F17" s="24"/>
      <c r="G17" s="24"/>
      <c r="H17" s="62"/>
      <c r="I17" s="24"/>
      <c r="J17" s="24"/>
      <c r="K17" s="24"/>
      <c r="L17" s="24"/>
      <c r="M17" s="25"/>
      <c r="N17" s="63"/>
      <c r="O17" s="117"/>
      <c r="P17" s="110"/>
      <c r="Q17" s="27"/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10"/>
      <c r="P18" s="110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0"/>
      <c r="P19" s="110"/>
      <c r="Q19" s="27"/>
    </row>
    <row r="20" spans="1:18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111"/>
      <c r="P20" s="111"/>
      <c r="Q20" s="27"/>
      <c r="R20" s="1"/>
    </row>
    <row r="21" spans="1:18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12"/>
      <c r="P21" s="112"/>
      <c r="Q21" s="36"/>
    </row>
    <row r="22" spans="1:18" ht="30" customHeight="1" x14ac:dyDescent="0.2">
      <c r="A22" s="113" t="s">
        <v>110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37">
        <v>6447481.9199999999</v>
      </c>
    </row>
    <row r="23" spans="1:18" ht="18" customHeight="1" thickBot="1" x14ac:dyDescent="0.25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</row>
    <row r="24" spans="1:18" ht="17.25" customHeight="1" thickBot="1" x14ac:dyDescent="0.25">
      <c r="A24" s="105" t="s">
        <v>52</v>
      </c>
      <c r="B24" s="106"/>
      <c r="C24" s="106"/>
      <c r="D24" s="106"/>
      <c r="E24" s="106"/>
      <c r="F24" s="107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</row>
    <row r="25" spans="1:18" ht="18" customHeight="1" thickBot="1" x14ac:dyDescent="0.25">
      <c r="A25" s="109" t="str">
        <f>"Para la "&amp; NotaPedido!D8 &amp;" para ser destinados al " &amp; NotaPedido!D6 &amp;"  del HISJB del Ministerio de Salud."</f>
        <v>Para la Adquisición de Medicamentos para ser destinados al Servicio de Farmacia  del HISJB del Ministerio de Salud.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</row>
    <row r="26" spans="1:18" ht="15" customHeight="1" x14ac:dyDescent="0.2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2021-05-28T16:46:46Z</cp:lastPrinted>
  <dcterms:created xsi:type="dcterms:W3CDTF">2020-07-17T23:44:49Z</dcterms:created>
  <dcterms:modified xsi:type="dcterms:W3CDTF">2021-08-12T12:38:37Z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