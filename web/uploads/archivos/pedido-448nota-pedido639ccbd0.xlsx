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8800" windowHeight="11430" tabRatio="500"/>
  </bookViews>
  <sheets>
    <sheet name="Necesidades Trimestrales" sheetId="1" r:id="rId1"/>
  </sheets>
  <calcPr calcId="124519"/>
</workbook>
</file>

<file path=xl/calcChain.xml><?xml version="1.0" encoding="utf-8"?>
<calcChain xmlns="http://schemas.openxmlformats.org/spreadsheetml/2006/main">
  <c r="I14" i="1"/>
  <c r="I11"/>
</calcChain>
</file>

<file path=xl/sharedStrings.xml><?xml version="1.0" encoding="utf-8"?>
<sst xmlns="http://schemas.openxmlformats.org/spreadsheetml/2006/main" count="64" uniqueCount="52">
  <si>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</si>
  <si>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</si>
  <si>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</si>
  <si>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</si>
  <si>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</si>
  <si>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</si>
  <si>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</si>
  <si>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</si>
  <si>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</si>
  <si>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</si>
  <si>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</si>
  <si>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</si>
  <si>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</si>
  <si>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</si>
  <si>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</si>
  <si>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Especificidades Item N° 1:</t>
  </si>
  <si>
    <t>Plazo de Mantenimiento de oferta</t>
  </si>
  <si>
    <t>Forma de Pago:</t>
  </si>
  <si>
    <t xml:space="preserve">                                                                                 </t>
  </si>
  <si>
    <t>30 - MINISTERIO DE ECONOMIA</t>
  </si>
  <si>
    <t>SAF 9 - DIRECCION PROVINCIAL DE ADMINISTRACION DE LA SECRETARIA DE FINANZAS PUBLICAS</t>
  </si>
  <si>
    <t>Primera calidad</t>
  </si>
  <si>
    <t>UNIDAD</t>
  </si>
  <si>
    <t>4.3.6</t>
  </si>
  <si>
    <t>Calidad exigida del bien:</t>
  </si>
  <si>
    <t>UNIDAD EJECUTORA</t>
  </si>
  <si>
    <t>DIRECCION PROVINCIAL DE ADMINISTRACION DE LA SECRETARIA DE FINANZAS PUBLICAS</t>
  </si>
  <si>
    <t>Plazos y lugar de entrega</t>
  </si>
  <si>
    <t>INFORMATICA</t>
  </si>
  <si>
    <t>3.2.6</t>
  </si>
  <si>
    <r>
      <rPr>
        <u/>
        <sz val="10"/>
        <rFont val="Times New Roman"/>
        <family val="1"/>
      </rPr>
      <t>Duracion de la Prestacion del Servicio:</t>
    </r>
    <r>
      <rPr>
        <sz val="10"/>
        <rFont val="Times New Roman"/>
        <family val="1"/>
      </rPr>
      <t xml:space="preserve"> </t>
    </r>
  </si>
  <si>
    <t>Doce (12) meses contados a partir de la fecha de inicio de la prestacion del servicio.</t>
  </si>
  <si>
    <t>SERVICIO</t>
  </si>
  <si>
    <t>TREINTA (30) días habiles  a contar desde la fecha de Apertura de la Propuesta.</t>
  </si>
  <si>
    <t>Especificidades Item N° 2:</t>
  </si>
  <si>
    <t xml:space="preserve">Un solo pago por el total del monto adjudicado. </t>
  </si>
  <si>
    <t>Calidad exigida del servicio:</t>
  </si>
  <si>
    <t>Garantia de buen funcionamiento, 
 del equipo</t>
  </si>
  <si>
    <t xml:space="preserve">4.8.1-1748.1115
</t>
  </si>
  <si>
    <t xml:space="preserve">4.3.6-6186.116
</t>
  </si>
  <si>
    <t>SERVIDORES; TIPO: PARA FIREWALLS (CORTAFUEGOS), CODIGO ETAP: SR-005, VERSION ETAP: 23.0</t>
  </si>
  <si>
    <t>LICENCIAS; NOMBRE DEL PRODUCTO: FORTINET, VERSION: 600E, CANT. DE USUARIOS: SEGÚN PLIEGO</t>
  </si>
  <si>
    <t>12 meses</t>
  </si>
  <si>
    <r>
      <rPr>
        <sz val="10"/>
        <rFont val="Times New Roman"/>
        <family val="1"/>
      </rPr>
      <t>Se adjuntan en nota NO-2022-01466153-CAT-SME%MEC</t>
    </r>
    <r>
      <rPr>
        <sz val="10"/>
        <color rgb="FFFF0000"/>
        <rFont val="Times New Roman"/>
        <family val="1"/>
      </rPr>
      <t xml:space="preserve">
</t>
    </r>
  </si>
  <si>
    <t>Doce (12) pagos mensuales iguales</t>
  </si>
  <si>
    <t>Cuarenta y cinco (45) días habiles a partir del perfeccionamiento del documento contractual en la Secretaria de Modernizacion del Ministerio de Economia, sito en Av. Venezuela S/N° - C.A.P.E.  PabellonN° 21, San Fernando del Valle de Catamarca.</t>
  </si>
  <si>
    <r>
      <t>Cuarenta y cinco (45) dias</t>
    </r>
    <r>
      <rPr>
        <sz val="10"/>
        <color rgb="FFFF0000"/>
        <rFont val="Times New Roman"/>
        <family val="1"/>
      </rPr>
      <t xml:space="preserve"> </t>
    </r>
    <r>
      <rPr>
        <sz val="10"/>
        <rFont val="Times New Roman"/>
        <family val="1"/>
      </rPr>
      <t>habiles a partir del perfeccionamiento del documento contractual en la Secretaria de Modernizacion del Ministerio de Economia, sito en Av. Venezuela S/N° - C.A.P.E.  PabellonN° 21, San Fernando del Valle de Catamarca.</t>
    </r>
  </si>
  <si>
    <t>Adjudicacion por renglones:</t>
  </si>
  <si>
    <t>Prorroga  de servicio</t>
  </si>
  <si>
    <t>Adjudicación total de ambos ítems a un mismo Proveedor.</t>
  </si>
  <si>
    <t xml:space="preserve">La prestacion del servicio podra ser prorrogada por  un plazo igual al inicial </t>
  </si>
  <si>
    <t xml:space="preserve">Se adjuntan en nota NO-2022-01535442-CAT-SME#MEC 
El equipamiento ofrecido debera estar acompañados por folletos ilustrativos o ficha técnica en idioma castellano, manuales, imágenes, etc. </t>
  </si>
</sst>
</file>

<file path=xl/styles.xml><?xml version="1.0" encoding="utf-8"?>
<styleSheet xmlns="http://schemas.openxmlformats.org/spreadsheetml/2006/main">
  <numFmts count="2">
    <numFmt numFmtId="8" formatCode="&quot;$&quot;\ #,##0.00;[Red]\-&quot;$&quot;\ #,##0.00"/>
    <numFmt numFmtId="164" formatCode="&quot;$&quot;\ #,##0.00;[Red]&quot;$&quot;\ #,##0.00"/>
  </numFmts>
  <fonts count="19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1"/>
      <name val="Arial"/>
      <family val="2"/>
    </font>
    <font>
      <b/>
      <sz val="12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1" applyProtection="0"/>
    <xf numFmtId="0" fontId="2" fillId="2" borderId="0" applyBorder="0" applyProtection="0"/>
  </cellStyleXfs>
  <cellXfs count="69">
    <xf numFmtId="0" fontId="0" fillId="0" borderId="0" xfId="0"/>
    <xf numFmtId="0" fontId="5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0" xfId="0" applyFont="1" applyBorder="1"/>
    <xf numFmtId="0" fontId="5" fillId="0" borderId="6" xfId="0" applyFont="1" applyBorder="1"/>
    <xf numFmtId="0" fontId="5" fillId="0" borderId="5" xfId="0" applyFont="1" applyBorder="1" applyAlignment="1">
      <alignment horizontal="left" indent="3"/>
    </xf>
    <xf numFmtId="0" fontId="5" fillId="0" borderId="7" xfId="0" applyFont="1" applyBorder="1" applyAlignment="1">
      <alignment horizontal="left" indent="3"/>
    </xf>
    <xf numFmtId="0" fontId="9" fillId="0" borderId="0" xfId="0" applyFont="1" applyAlignment="1">
      <alignment horizontal="left" wrapText="1"/>
    </xf>
    <xf numFmtId="0" fontId="13" fillId="0" borderId="0" xfId="0" applyFont="1" applyFill="1" applyAlignment="1">
      <alignment horizontal="left" wrapText="1" indent="1"/>
    </xf>
    <xf numFmtId="0" fontId="5" fillId="0" borderId="0" xfId="0" applyFont="1" applyFill="1" applyBorder="1"/>
    <xf numFmtId="0" fontId="5" fillId="0" borderId="8" xfId="0" applyFont="1" applyFill="1" applyBorder="1"/>
    <xf numFmtId="0" fontId="5" fillId="0" borderId="9" xfId="0" applyFont="1" applyFill="1" applyBorder="1"/>
    <xf numFmtId="0" fontId="5" fillId="0" borderId="0" xfId="0" applyFont="1" applyFill="1"/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2" fillId="0" borderId="5" xfId="0" applyFont="1" applyBorder="1"/>
    <xf numFmtId="0" fontId="12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14" fillId="0" borderId="2" xfId="0" applyFont="1" applyBorder="1"/>
    <xf numFmtId="8" fontId="4" fillId="0" borderId="13" xfId="0" applyNumberFormat="1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vertical="center" wrapText="1"/>
    </xf>
    <xf numFmtId="8" fontId="4" fillId="0" borderId="14" xfId="0" applyNumberFormat="1" applyFont="1" applyBorder="1" applyAlignment="1">
      <alignment horizontal="center" vertical="center"/>
    </xf>
    <xf numFmtId="0" fontId="5" fillId="0" borderId="9" xfId="0" applyFont="1" applyBorder="1"/>
    <xf numFmtId="4" fontId="5" fillId="0" borderId="0" xfId="0" applyNumberFormat="1" applyFont="1"/>
    <xf numFmtId="0" fontId="5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5" fillId="0" borderId="7" xfId="0" applyFont="1" applyBorder="1"/>
    <xf numFmtId="0" fontId="5" fillId="0" borderId="8" xfId="0" applyFont="1" applyBorder="1"/>
    <xf numFmtId="0" fontId="10" fillId="0" borderId="15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1" fillId="0" borderId="16" xfId="0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 wrapText="1"/>
    </xf>
    <xf numFmtId="3" fontId="3" fillId="0" borderId="16" xfId="0" applyNumberFormat="1" applyFont="1" applyBorder="1" applyAlignment="1">
      <alignment horizontal="center" vertical="center"/>
    </xf>
    <xf numFmtId="8" fontId="4" fillId="0" borderId="17" xfId="0" applyNumberFormat="1" applyFont="1" applyBorder="1" applyAlignment="1">
      <alignment horizontal="center" vertical="center"/>
    </xf>
    <xf numFmtId="0" fontId="17" fillId="0" borderId="0" xfId="0" applyFont="1" applyFill="1" applyAlignment="1">
      <alignment horizontal="left" wrapText="1" indent="1"/>
    </xf>
    <xf numFmtId="8" fontId="4" fillId="0" borderId="16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8" fontId="5" fillId="0" borderId="0" xfId="0" applyNumberFormat="1" applyFont="1" applyAlignment="1">
      <alignment horizontal="left" vertical="center"/>
    </xf>
    <xf numFmtId="0" fontId="5" fillId="0" borderId="0" xfId="0" applyFont="1" applyFill="1" applyBorder="1" applyAlignment="1">
      <alignment horizontal="center" wrapText="1"/>
    </xf>
    <xf numFmtId="0" fontId="4" fillId="0" borderId="16" xfId="0" applyFont="1" applyBorder="1" applyAlignment="1">
      <alignment vertical="center" wrapText="1"/>
    </xf>
    <xf numFmtId="8" fontId="5" fillId="0" borderId="0" xfId="0" applyNumberFormat="1" applyFont="1"/>
    <xf numFmtId="0" fontId="5" fillId="0" borderId="0" xfId="0" applyFont="1" applyFill="1" applyBorder="1" applyAlignment="1">
      <alignment horizontal="center" wrapText="1"/>
    </xf>
    <xf numFmtId="0" fontId="5" fillId="0" borderId="8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18" fillId="0" borderId="0" xfId="0" applyFont="1" applyFill="1" applyBorder="1" applyAlignment="1">
      <alignment horizontal="left" vertical="center" wrapText="1"/>
    </xf>
    <xf numFmtId="0" fontId="18" fillId="0" borderId="6" xfId="0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/>
    </xf>
    <xf numFmtId="0" fontId="13" fillId="0" borderId="0" xfId="0" applyFont="1" applyFill="1" applyBorder="1" applyAlignment="1">
      <alignment horizontal="left" wrapText="1" indent="1"/>
    </xf>
    <xf numFmtId="0" fontId="13" fillId="0" borderId="0" xfId="0" applyFont="1" applyFill="1" applyBorder="1" applyAlignment="1">
      <alignment horizontal="left" vertical="center" wrapText="1" indent="1"/>
    </xf>
    <xf numFmtId="0" fontId="5" fillId="0" borderId="0" xfId="0" applyFont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wrapText="1"/>
    </xf>
    <xf numFmtId="0" fontId="12" fillId="0" borderId="5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</cellXfs>
  <cellStyles count="3">
    <cellStyle name="Encabezado 1" xfId="1"/>
    <cellStyle name="Neutral 1" xfId="2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N66"/>
  <sheetViews>
    <sheetView tabSelected="1" topLeftCell="A5" zoomScaleSheetLayoutView="80" workbookViewId="0">
      <selection activeCell="E24" sqref="E24"/>
    </sheetView>
  </sheetViews>
  <sheetFormatPr baseColWidth="10" defaultColWidth="11" defaultRowHeight="12.75"/>
  <cols>
    <col min="1" max="1" width="4.5703125" style="1" customWidth="1"/>
    <col min="2" max="2" width="14.5703125" style="1" customWidth="1"/>
    <col min="3" max="3" width="19.85546875" style="1" customWidth="1"/>
    <col min="4" max="4" width="8.42578125" style="1" customWidth="1"/>
    <col min="5" max="5" width="87.42578125" style="1" customWidth="1"/>
    <col min="6" max="6" width="11" style="1"/>
    <col min="7" max="7" width="12.7109375" style="1" customWidth="1"/>
    <col min="8" max="8" width="15.42578125" style="1" customWidth="1"/>
    <col min="9" max="9" width="18.5703125" style="1" customWidth="1"/>
    <col min="10" max="10" width="13" style="18" bestFit="1" customWidth="1"/>
    <col min="11" max="11" width="12.140625" style="17" bestFit="1" customWidth="1"/>
    <col min="12" max="14" width="11" style="17"/>
    <col min="15" max="16384" width="11" style="1"/>
  </cols>
  <sheetData>
    <row r="2" spans="1:9" ht="27">
      <c r="B2" s="61" t="s">
        <v>0</v>
      </c>
      <c r="C2" s="61"/>
      <c r="D2" s="61"/>
      <c r="E2" s="61"/>
      <c r="F2" s="61"/>
      <c r="G2" s="61"/>
      <c r="H2" s="61"/>
    </row>
    <row r="4" spans="1:9" ht="18" customHeight="1">
      <c r="A4" s="60" t="s">
        <v>1</v>
      </c>
      <c r="B4" s="60"/>
      <c r="C4" s="62" t="s">
        <v>19</v>
      </c>
      <c r="D4" s="62"/>
      <c r="E4" s="62"/>
      <c r="F4" s="2"/>
      <c r="G4" s="3"/>
      <c r="H4" s="2"/>
    </row>
    <row r="5" spans="1:9" ht="18" customHeight="1">
      <c r="A5" s="60" t="s">
        <v>2</v>
      </c>
      <c r="B5" s="60"/>
      <c r="C5" s="62" t="s">
        <v>20</v>
      </c>
      <c r="D5" s="62"/>
      <c r="E5" s="62"/>
      <c r="F5" s="2"/>
      <c r="G5" s="3"/>
      <c r="H5" s="2"/>
    </row>
    <row r="6" spans="1:9" ht="27.75" customHeight="1">
      <c r="A6" s="60" t="s">
        <v>25</v>
      </c>
      <c r="B6" s="60"/>
      <c r="C6" s="63" t="s">
        <v>26</v>
      </c>
      <c r="D6" s="63"/>
      <c r="E6" s="63"/>
      <c r="F6" s="2"/>
      <c r="G6" s="3"/>
      <c r="H6" s="2"/>
    </row>
    <row r="7" spans="1:9" ht="21" customHeight="1">
      <c r="A7" s="60" t="s">
        <v>3</v>
      </c>
      <c r="B7" s="60"/>
      <c r="C7" s="12">
        <v>2022</v>
      </c>
      <c r="D7" s="11"/>
      <c r="E7" s="11"/>
      <c r="F7" s="2"/>
      <c r="G7" s="3"/>
      <c r="H7" s="2"/>
    </row>
    <row r="8" spans="1:9" ht="21" customHeight="1">
      <c r="A8" s="60" t="s">
        <v>4</v>
      </c>
      <c r="B8" s="60"/>
      <c r="C8" s="46">
        <v>3</v>
      </c>
      <c r="D8" s="11"/>
      <c r="E8" s="11"/>
      <c r="F8" s="2"/>
      <c r="G8" s="3"/>
      <c r="H8" s="2"/>
    </row>
    <row r="9" spans="1:9" ht="13.5" thickBot="1">
      <c r="B9" s="2"/>
      <c r="C9" s="3"/>
      <c r="D9" s="2"/>
      <c r="E9" s="2"/>
      <c r="F9" s="2"/>
      <c r="G9" s="3"/>
      <c r="H9" s="2"/>
    </row>
    <row r="10" spans="1:9" ht="39" thickBot="1">
      <c r="A10" s="19" t="s">
        <v>5</v>
      </c>
      <c r="B10" s="20" t="s">
        <v>6</v>
      </c>
      <c r="C10" s="20" t="s">
        <v>7</v>
      </c>
      <c r="D10" s="20" t="s">
        <v>8</v>
      </c>
      <c r="E10" s="20" t="s">
        <v>9</v>
      </c>
      <c r="F10" s="20" t="s">
        <v>10</v>
      </c>
      <c r="G10" s="20" t="s">
        <v>11</v>
      </c>
      <c r="H10" s="20" t="s">
        <v>12</v>
      </c>
      <c r="I10" s="21" t="s">
        <v>13</v>
      </c>
    </row>
    <row r="11" spans="1:9" ht="56.25" customHeight="1" thickBot="1">
      <c r="A11" s="39">
        <v>1</v>
      </c>
      <c r="B11" s="51" t="s">
        <v>39</v>
      </c>
      <c r="C11" s="40" t="s">
        <v>28</v>
      </c>
      <c r="D11" s="41" t="s">
        <v>23</v>
      </c>
      <c r="E11" s="42" t="s">
        <v>40</v>
      </c>
      <c r="F11" s="43" t="s">
        <v>22</v>
      </c>
      <c r="G11" s="44">
        <v>1</v>
      </c>
      <c r="H11" s="47">
        <v>2577740.63</v>
      </c>
      <c r="I11" s="45">
        <f>H11*G11</f>
        <v>2577740.63</v>
      </c>
    </row>
    <row r="12" spans="1:9" ht="15" hidden="1" thickBot="1">
      <c r="B12" s="9"/>
      <c r="C12" s="40" t="s">
        <v>28</v>
      </c>
      <c r="D12" s="25"/>
      <c r="E12" s="26"/>
      <c r="I12" s="31"/>
    </row>
    <row r="13" spans="1:9" ht="15" hidden="1" thickBot="1">
      <c r="B13" s="10"/>
      <c r="C13" s="40" t="s">
        <v>28</v>
      </c>
      <c r="D13" s="14"/>
      <c r="E13" s="15"/>
      <c r="I13" s="28"/>
    </row>
    <row r="14" spans="1:9" ht="56.25" customHeight="1" thickBot="1">
      <c r="A14" s="39">
        <v>1</v>
      </c>
      <c r="B14" s="51" t="s">
        <v>38</v>
      </c>
      <c r="C14" s="40" t="s">
        <v>28</v>
      </c>
      <c r="D14" s="41" t="s">
        <v>29</v>
      </c>
      <c r="E14" s="42" t="s">
        <v>41</v>
      </c>
      <c r="F14" s="43" t="s">
        <v>32</v>
      </c>
      <c r="G14" s="44">
        <v>12</v>
      </c>
      <c r="H14" s="47">
        <v>139638.42000000001</v>
      </c>
      <c r="I14" s="45">
        <f>H14*G14</f>
        <v>1675661.04</v>
      </c>
    </row>
    <row r="15" spans="1:9">
      <c r="D15" s="16"/>
      <c r="E15" s="16"/>
    </row>
    <row r="16" spans="1:9" ht="13.5" thickBot="1">
      <c r="I16" s="52"/>
    </row>
    <row r="17" spans="2:11" ht="16.5" customHeight="1">
      <c r="B17" s="27" t="s">
        <v>15</v>
      </c>
      <c r="C17" s="4"/>
      <c r="D17" s="4"/>
      <c r="E17" s="4"/>
      <c r="F17" s="5"/>
      <c r="I17" s="52"/>
    </row>
    <row r="18" spans="2:11">
      <c r="B18" s="22"/>
      <c r="C18" s="7"/>
      <c r="D18" s="7"/>
      <c r="E18" s="7"/>
      <c r="F18" s="8"/>
      <c r="K18" s="49"/>
    </row>
    <row r="19" spans="2:11" ht="17.25" customHeight="1">
      <c r="B19" s="22" t="s">
        <v>14</v>
      </c>
      <c r="C19" s="7"/>
      <c r="D19" s="7"/>
      <c r="E19" s="7"/>
      <c r="F19" s="8"/>
      <c r="H19" s="33"/>
    </row>
    <row r="20" spans="2:11" ht="39" customHeight="1">
      <c r="B20" s="6"/>
      <c r="C20" s="29"/>
      <c r="D20" s="55" t="s">
        <v>51</v>
      </c>
      <c r="E20" s="58"/>
      <c r="F20" s="59"/>
    </row>
    <row r="21" spans="2:11" ht="17.25" customHeight="1">
      <c r="B21" s="56"/>
      <c r="C21" s="57"/>
      <c r="D21" s="57"/>
      <c r="E21" s="57"/>
      <c r="F21" s="8"/>
    </row>
    <row r="22" spans="2:11" ht="18" customHeight="1">
      <c r="B22" s="23" t="s">
        <v>27</v>
      </c>
      <c r="C22" s="13"/>
      <c r="D22" s="13"/>
      <c r="E22" s="13"/>
      <c r="F22" s="8"/>
    </row>
    <row r="23" spans="2:11" ht="36.75" customHeight="1">
      <c r="B23" s="9"/>
      <c r="C23" s="30"/>
      <c r="D23" s="55" t="s">
        <v>45</v>
      </c>
      <c r="E23" s="55"/>
      <c r="F23" s="65"/>
    </row>
    <row r="24" spans="2:11">
      <c r="B24" s="23"/>
      <c r="C24" s="13"/>
      <c r="D24" s="13"/>
      <c r="E24" s="13"/>
      <c r="F24" s="8"/>
    </row>
    <row r="25" spans="2:11" ht="18.75" customHeight="1">
      <c r="B25" s="23" t="s">
        <v>16</v>
      </c>
      <c r="C25" s="53"/>
      <c r="D25" s="53"/>
      <c r="E25" s="53"/>
      <c r="F25" s="8"/>
    </row>
    <row r="26" spans="2:11" ht="21.75" customHeight="1">
      <c r="B26" s="23"/>
      <c r="C26" s="53"/>
      <c r="D26" s="55" t="s">
        <v>33</v>
      </c>
      <c r="E26" s="55"/>
      <c r="F26" s="65"/>
    </row>
    <row r="27" spans="2:11" ht="12.75" customHeight="1">
      <c r="B27" s="9"/>
      <c r="C27" s="30" t="s">
        <v>18</v>
      </c>
      <c r="D27" s="7"/>
      <c r="E27" s="7"/>
      <c r="F27" s="8"/>
    </row>
    <row r="28" spans="2:11" ht="18.75" customHeight="1">
      <c r="B28" s="23" t="s">
        <v>17</v>
      </c>
      <c r="C28" s="66"/>
      <c r="D28" s="66"/>
      <c r="E28" s="66"/>
      <c r="F28" s="8"/>
    </row>
    <row r="29" spans="2:11" ht="23.25" customHeight="1">
      <c r="B29" s="23"/>
      <c r="C29" s="53"/>
      <c r="D29" s="55" t="s">
        <v>35</v>
      </c>
      <c r="E29" s="55"/>
      <c r="F29" s="65"/>
    </row>
    <row r="30" spans="2:11" ht="12.75" customHeight="1">
      <c r="B30" s="23"/>
      <c r="C30" s="53"/>
      <c r="D30" s="34"/>
      <c r="E30" s="34"/>
      <c r="F30" s="8"/>
    </row>
    <row r="31" spans="2:11" ht="12.75" customHeight="1">
      <c r="B31" s="23" t="s">
        <v>24</v>
      </c>
      <c r="C31" s="53"/>
      <c r="D31" s="7"/>
      <c r="E31" s="7"/>
      <c r="F31" s="8"/>
    </row>
    <row r="32" spans="2:11" ht="19.5" customHeight="1">
      <c r="B32" s="24"/>
      <c r="C32" s="53"/>
      <c r="D32" s="55" t="s">
        <v>21</v>
      </c>
      <c r="E32" s="55"/>
      <c r="F32" s="65"/>
    </row>
    <row r="33" spans="2:11" ht="15.75" customHeight="1">
      <c r="B33" s="24"/>
      <c r="C33" s="53"/>
      <c r="D33" s="7"/>
      <c r="E33" s="7"/>
      <c r="F33" s="8"/>
    </row>
    <row r="34" spans="2:11" ht="13.5" customHeight="1">
      <c r="B34" s="9"/>
      <c r="C34" s="30"/>
      <c r="D34" s="36"/>
      <c r="E34" s="36"/>
      <c r="F34" s="8"/>
    </row>
    <row r="35" spans="2:11" ht="24" customHeight="1">
      <c r="B35" s="67" t="s">
        <v>37</v>
      </c>
      <c r="C35" s="68"/>
      <c r="D35" s="36"/>
      <c r="E35" s="36"/>
      <c r="F35" s="8"/>
    </row>
    <row r="36" spans="2:11" ht="18.75" customHeight="1">
      <c r="B36" s="9"/>
      <c r="C36" s="30"/>
      <c r="D36" s="55" t="s">
        <v>42</v>
      </c>
      <c r="E36" s="55"/>
      <c r="F36" s="8"/>
    </row>
    <row r="37" spans="2:11" ht="21.75" customHeight="1">
      <c r="B37" s="23" t="s">
        <v>47</v>
      </c>
      <c r="C37" s="35"/>
      <c r="D37" s="7"/>
      <c r="E37" s="7"/>
      <c r="F37" s="8"/>
    </row>
    <row r="38" spans="2:11" ht="21" customHeight="1">
      <c r="B38" s="9"/>
      <c r="C38" s="30"/>
      <c r="D38" s="64" t="s">
        <v>49</v>
      </c>
      <c r="E38" s="64"/>
      <c r="F38" s="8"/>
    </row>
    <row r="39" spans="2:11" ht="13.5" customHeight="1" thickBot="1">
      <c r="B39" s="10"/>
      <c r="C39" s="54"/>
      <c r="D39" s="38"/>
      <c r="E39" s="38"/>
      <c r="F39" s="32"/>
    </row>
    <row r="40" spans="2:11" ht="13.5" thickBot="1"/>
    <row r="41" spans="2:11" ht="16.5" customHeight="1">
      <c r="B41" s="27" t="s">
        <v>34</v>
      </c>
      <c r="C41" s="4"/>
      <c r="D41" s="4"/>
      <c r="E41" s="4"/>
      <c r="F41" s="5"/>
    </row>
    <row r="42" spans="2:11">
      <c r="B42" s="22"/>
      <c r="C42" s="7"/>
      <c r="D42" s="7"/>
      <c r="E42" s="7"/>
      <c r="F42" s="8"/>
      <c r="K42" s="49"/>
    </row>
    <row r="43" spans="2:11" ht="17.25" customHeight="1">
      <c r="B43" s="22" t="s">
        <v>14</v>
      </c>
      <c r="C43" s="7"/>
      <c r="D43" s="7"/>
      <c r="E43" s="7"/>
      <c r="F43" s="8"/>
      <c r="H43" s="33"/>
    </row>
    <row r="44" spans="2:11" ht="21" customHeight="1">
      <c r="B44" s="6"/>
      <c r="C44" s="29"/>
      <c r="D44" s="58" t="s">
        <v>43</v>
      </c>
      <c r="E44" s="58"/>
      <c r="F44" s="59"/>
    </row>
    <row r="45" spans="2:11" ht="17.25" customHeight="1">
      <c r="B45" s="56"/>
      <c r="C45" s="57"/>
      <c r="D45" s="57"/>
      <c r="E45" s="57"/>
      <c r="F45" s="8"/>
    </row>
    <row r="46" spans="2:11" ht="18" customHeight="1">
      <c r="B46" s="23" t="s">
        <v>27</v>
      </c>
      <c r="C46" s="13"/>
      <c r="D46" s="13"/>
      <c r="E46" s="13"/>
      <c r="F46" s="8"/>
    </row>
    <row r="47" spans="2:11" ht="36.75" customHeight="1">
      <c r="B47" s="9"/>
      <c r="C47" s="30"/>
      <c r="D47" s="55" t="s">
        <v>46</v>
      </c>
      <c r="E47" s="55"/>
      <c r="F47" s="65"/>
    </row>
    <row r="48" spans="2:11">
      <c r="B48" s="23"/>
      <c r="C48" s="13"/>
      <c r="D48" s="13"/>
      <c r="E48" s="13"/>
      <c r="F48" s="8"/>
    </row>
    <row r="49" spans="2:6" ht="18.75" customHeight="1">
      <c r="B49" s="23" t="s">
        <v>16</v>
      </c>
      <c r="C49" s="50"/>
      <c r="D49" s="50"/>
      <c r="E49" s="50"/>
      <c r="F49" s="8"/>
    </row>
    <row r="50" spans="2:6" ht="21.75" customHeight="1">
      <c r="B50" s="23"/>
      <c r="C50" s="50"/>
      <c r="D50" s="55" t="s">
        <v>33</v>
      </c>
      <c r="E50" s="55"/>
      <c r="F50" s="65"/>
    </row>
    <row r="51" spans="2:6" ht="12.75" customHeight="1">
      <c r="B51" s="9"/>
      <c r="C51" s="30" t="s">
        <v>18</v>
      </c>
      <c r="D51" s="7"/>
      <c r="E51" s="7"/>
      <c r="F51" s="8"/>
    </row>
    <row r="52" spans="2:6" ht="13.5" customHeight="1">
      <c r="B52" s="24" t="s">
        <v>30</v>
      </c>
      <c r="C52" s="50"/>
      <c r="D52" s="7"/>
      <c r="E52" s="7"/>
      <c r="F52" s="8"/>
    </row>
    <row r="53" spans="2:6">
      <c r="B53" s="23"/>
      <c r="C53" s="50"/>
      <c r="D53" s="50"/>
      <c r="E53" s="50"/>
      <c r="F53" s="8"/>
    </row>
    <row r="54" spans="2:6" ht="18" customHeight="1">
      <c r="B54" s="23"/>
      <c r="C54" s="50"/>
      <c r="D54" s="55" t="s">
        <v>31</v>
      </c>
      <c r="E54" s="55"/>
      <c r="F54" s="8"/>
    </row>
    <row r="55" spans="2:6" ht="12" customHeight="1">
      <c r="B55" s="23"/>
      <c r="C55" s="50"/>
      <c r="D55" s="7"/>
      <c r="E55" s="7"/>
      <c r="F55" s="8"/>
    </row>
    <row r="56" spans="2:6" ht="18.75" customHeight="1">
      <c r="B56" s="23" t="s">
        <v>17</v>
      </c>
      <c r="C56" s="66"/>
      <c r="D56" s="66"/>
      <c r="E56" s="66"/>
      <c r="F56" s="8"/>
    </row>
    <row r="57" spans="2:6" ht="22.5" customHeight="1">
      <c r="B57" s="23"/>
      <c r="C57" s="50"/>
      <c r="D57" s="55" t="s">
        <v>44</v>
      </c>
      <c r="E57" s="55"/>
      <c r="F57" s="65"/>
    </row>
    <row r="58" spans="2:6" ht="12.75" customHeight="1">
      <c r="B58" s="23"/>
      <c r="C58" s="50"/>
      <c r="D58" s="34"/>
      <c r="E58" s="34"/>
      <c r="F58" s="8"/>
    </row>
    <row r="59" spans="2:6" ht="12.75" customHeight="1">
      <c r="B59" s="23" t="s">
        <v>36</v>
      </c>
      <c r="C59" s="50"/>
      <c r="D59" s="7"/>
      <c r="E59" s="7"/>
      <c r="F59" s="8"/>
    </row>
    <row r="60" spans="2:6" ht="19.5" customHeight="1">
      <c r="B60" s="24"/>
      <c r="C60" s="50"/>
      <c r="D60" s="55" t="s">
        <v>21</v>
      </c>
      <c r="E60" s="55"/>
      <c r="F60" s="65"/>
    </row>
    <row r="61" spans="2:6" ht="15.75" customHeight="1">
      <c r="B61" s="24"/>
      <c r="C61" s="50"/>
      <c r="D61" s="7"/>
      <c r="E61" s="7"/>
      <c r="F61" s="8"/>
    </row>
    <row r="62" spans="2:6" ht="21.75" customHeight="1">
      <c r="B62" s="23" t="s">
        <v>47</v>
      </c>
      <c r="C62" s="35"/>
      <c r="D62" s="7"/>
      <c r="E62" s="7"/>
      <c r="F62" s="8"/>
    </row>
    <row r="63" spans="2:6" ht="20.25" customHeight="1">
      <c r="B63" s="9"/>
      <c r="C63" s="30"/>
      <c r="D63" s="64" t="s">
        <v>49</v>
      </c>
      <c r="E63" s="64"/>
      <c r="F63" s="8"/>
    </row>
    <row r="64" spans="2:6" ht="21.75" customHeight="1">
      <c r="B64" s="23" t="s">
        <v>48</v>
      </c>
      <c r="C64" s="35"/>
      <c r="D64" s="48"/>
      <c r="E64" s="48"/>
      <c r="F64" s="8"/>
    </row>
    <row r="65" spans="2:6" ht="20.25" customHeight="1">
      <c r="B65" s="23"/>
      <c r="C65" s="35"/>
      <c r="D65" s="48" t="s">
        <v>50</v>
      </c>
      <c r="E65" s="48"/>
      <c r="F65" s="8"/>
    </row>
    <row r="66" spans="2:6" ht="13.5" thickBot="1">
      <c r="B66" s="37"/>
      <c r="C66" s="38"/>
      <c r="D66" s="38"/>
      <c r="E66" s="38"/>
      <c r="F66" s="32"/>
    </row>
  </sheetData>
  <mergeCells count="28">
    <mergeCell ref="A6:B6"/>
    <mergeCell ref="C6:E6"/>
    <mergeCell ref="D38:E38"/>
    <mergeCell ref="D63:E63"/>
    <mergeCell ref="D36:E36"/>
    <mergeCell ref="D23:F23"/>
    <mergeCell ref="D26:F26"/>
    <mergeCell ref="D29:F29"/>
    <mergeCell ref="D32:F32"/>
    <mergeCell ref="C28:E28"/>
    <mergeCell ref="B35:C35"/>
    <mergeCell ref="C56:E56"/>
    <mergeCell ref="D57:F57"/>
    <mergeCell ref="D60:F60"/>
    <mergeCell ref="D44:F44"/>
    <mergeCell ref="B45:E45"/>
    <mergeCell ref="B2:H2"/>
    <mergeCell ref="A4:B4"/>
    <mergeCell ref="C4:E4"/>
    <mergeCell ref="A5:B5"/>
    <mergeCell ref="C5:E5"/>
    <mergeCell ref="D54:E54"/>
    <mergeCell ref="B21:E21"/>
    <mergeCell ref="D20:F20"/>
    <mergeCell ref="A7:B7"/>
    <mergeCell ref="A8:B8"/>
    <mergeCell ref="D47:F47"/>
    <mergeCell ref="D50:F50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SAMUEL</cp:lastModifiedBy>
  <cp:revision>2</cp:revision>
  <cp:lastPrinted>2022-08-11T13:44:29Z</cp:lastPrinted>
  <dcterms:created xsi:type="dcterms:W3CDTF">2020-07-17T23:44:49Z</dcterms:created>
  <dcterms:modified xsi:type="dcterms:W3CDTF">2022-08-22T12:54:14Z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