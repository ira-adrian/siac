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19425" windowHeight="11025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Trimestrales'!$A$9:$I$10</definedName>
    <definedName name="_xlnm.Print_Area" localSheetId="1">' NotaPedido'!$A$1:$K$13</definedName>
    <definedName name="_xlnm.Print_Area" localSheetId="2">'Autor Gastar'!$A$1:$Q$25</definedName>
    <definedName name="_xlnm.Print_Area" localSheetId="0">'Necesidades Trimestrales'!$E$9:$E$10</definedName>
  </definedNames>
  <calcPr calcId="144525"/>
</workbook>
</file>

<file path=xl/calcChain.xml><?xml version="1.0" encoding="utf-8"?>
<calcChain xmlns="http://schemas.openxmlformats.org/spreadsheetml/2006/main">
  <c r="A10" i="3" l="1"/>
  <c r="B12" i="2" l="1"/>
  <c r="K12" i="2" l="1"/>
  <c r="J12" i="2"/>
  <c r="I12" i="2"/>
  <c r="C12" i="2"/>
  <c r="I10" i="1"/>
  <c r="J13" i="2" l="1"/>
  <c r="G6" i="3" l="1"/>
  <c r="D3" i="2"/>
  <c r="G4" i="3" s="1"/>
  <c r="D4" i="2"/>
  <c r="G5" i="3" s="1"/>
  <c r="D1" i="3" l="1"/>
  <c r="Q21" i="3" l="1"/>
</calcChain>
</file>

<file path=xl/sharedStrings.xml><?xml version="1.0" encoding="utf-8"?>
<sst xmlns="http://schemas.openxmlformats.org/spreadsheetml/2006/main" count="82" uniqueCount="76">
  <si>
    <t>Pedido de Necesidades Trimestrales</t>
  </si>
  <si>
    <t>JURISDICCION:</t>
  </si>
  <si>
    <t xml:space="preserve">SAF N°: </t>
  </si>
  <si>
    <t>EJERCICIO:</t>
  </si>
  <si>
    <t>TRIMESTRE:</t>
  </si>
  <si>
    <t>ID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</si>
  <si>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</si>
  <si>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</si>
  <si>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</si>
  <si>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</si>
  <si>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</si>
  <si>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</si>
  <si>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</si>
  <si>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</si>
  <si>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</si>
  <si>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</si>
  <si>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</si>
  <si>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</si>
  <si>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</si>
  <si>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</si>
  <si>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</si>
  <si>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</si>
  <si>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</si>
  <si>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</si>
  <si>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</si>
  <si>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</si>
  <si>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</si>
  <si>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</si>
  <si>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</si>
  <si>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</si>
  <si>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</si>
  <si>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</si>
  <si>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</si>
  <si>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</si>
  <si>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</si>
  <si>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</si>
  <si>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</si>
  <si>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</si>
  <si>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</si>
  <si>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</si>
  <si>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</si>
  <si>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</si>
  <si>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</si>
  <si>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</si>
  <si>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</si>
  <si>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</si>
  <si>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</si>
  <si>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</si>
  <si>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</si>
  <si>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</si>
  <si>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 xml:space="preserve"> </t>
  </si>
  <si>
    <t>Plazos y lugares de entrega</t>
  </si>
  <si>
    <t>CODIGO ITEM</t>
  </si>
  <si>
    <t>RUBRO DE COMPRA</t>
  </si>
  <si>
    <r>
      <t>Mantenimiento de Oferta</t>
    </r>
    <r>
      <rPr>
        <sz val="10"/>
        <rFont val="Times New Roman"/>
        <family val="1"/>
      </rPr>
      <t xml:space="preserve">: Treinta (30) dias habiles </t>
    </r>
  </si>
  <si>
    <t>EQUIPOS</t>
  </si>
  <si>
    <t>UNIDAD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</si>
  <si>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Dentro de los Diez (10) días habiles de notificada la Orden de Compra. </t>
    </r>
  </si>
  <si>
    <t>Cinco (5) años.</t>
  </si>
  <si>
    <t>2.9.6</t>
  </si>
  <si>
    <t>REPUESTOS Y ACCESORIOS</t>
  </si>
  <si>
    <t>043/2022</t>
  </si>
  <si>
    <t>Direccion de Mantenimiento</t>
  </si>
  <si>
    <t>Para la adquisición de Bombas recirculadoras destinada a la Direccion de Mantenimiento del Hospital Interzonal de Niños Eva Peron, para el normal funcionamiento del organismo.</t>
  </si>
  <si>
    <t>1.1</t>
  </si>
  <si>
    <t>TOTAL DE PESOS: DOS MILLONES CUATROCIENTOS SETENTA Y SIETE MIL CIEN CON 00/100.</t>
  </si>
  <si>
    <t>2.9.6-10004.1</t>
  </si>
  <si>
    <t>REP. Y ACC. P/SIST. DE CLIMATIZACION; ELEMENTO: BOMBA CENTRIFUGA CIRCULADORA PARA CLIMATIZACION, MARCA: TRANE, MODELO: RTAD 125</t>
  </si>
  <si>
    <r>
      <rPr>
        <u/>
        <sz val="10"/>
        <rFont val="Times New Roman"/>
        <family val="1"/>
      </rPr>
      <t>Garantia</t>
    </r>
    <r>
      <rPr>
        <sz val="10"/>
        <rFont val="Times New Roman"/>
        <family val="1"/>
      </rPr>
      <t>: Seis (6) meses como minimo.</t>
    </r>
  </si>
  <si>
    <r>
      <t>Forma de Pago</t>
    </r>
    <r>
      <rPr>
        <sz val="10"/>
        <rFont val="Times New Roman"/>
        <family val="1"/>
      </rPr>
      <t>: Dentro de los treinta (30) dias habiles.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</si>
  <si>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DIRECCION DE MANTENIMIENTO -HOSPITAL INT. DE NIÑOS – AV. VIRGEN DEL VALLE N° 1050-CATAMARCA DE 8:00 A 12:00HS., DEBIENDO CORRER LOS GASTOS DE FLETES, ACARREO, CARGA, DESCARGA Y SEGURO A CARGO DEL ADJUDICATARIO.</t>
    </r>
  </si>
  <si>
    <t>Costo total estimado: Dos Millones Cuatrocientos Setenta y Siete Mil Cien Con 00/100.</t>
  </si>
  <si>
    <t>Direccion de Manteniemiento</t>
  </si>
  <si>
    <t>024 - Direccion de Administracion del Hospital Interzonal de Niños Eva Peron</t>
  </si>
  <si>
    <t>Adquisicion de Bombas Recirculadoras.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</si>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</sst>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[$$-2C0A]\ * #,##0.00_-;\-[$$-2C0A]\ * #,##0.00_-;_-[$$-2C0A]\ * &quot;-&quot;??_-;_-@_-"/>
  </numFmts>
  <fonts count="2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3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166" fontId="17" fillId="0" borderId="0" xfId="0" applyNumberFormat="1" applyFont="1"/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17" fillId="0" borderId="5" xfId="0" applyFont="1" applyFill="1" applyBorder="1"/>
    <xf numFmtId="0" fontId="7" fillId="0" borderId="12" xfId="0" applyFont="1" applyFill="1" applyBorder="1" applyAlignment="1">
      <alignment horizontal="right" vertical="center"/>
    </xf>
    <xf numFmtId="0" fontId="8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/>
    <xf numFmtId="0" fontId="7" fillId="0" borderId="14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wrapText="1" indent="1"/>
    </xf>
    <xf numFmtId="0" fontId="6" fillId="0" borderId="4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66" fontId="6" fillId="0" borderId="2" xfId="1" applyNumberFormat="1" applyFont="1" applyFill="1" applyBorder="1" applyAlignment="1" applyProtection="1">
      <alignment horizontal="right" vertical="center" wrapText="1"/>
    </xf>
    <xf numFmtId="3" fontId="6" fillId="0" borderId="3" xfId="0" applyNumberFormat="1" applyFont="1" applyFill="1" applyBorder="1" applyAlignment="1">
      <alignment horizontal="center" vertical="center"/>
    </xf>
    <xf numFmtId="167" fontId="4" fillId="0" borderId="0" xfId="0" applyNumberFormat="1" applyFont="1" applyFill="1" applyBorder="1" applyAlignment="1">
      <alignment vertical="center"/>
    </xf>
    <xf numFmtId="0" fontId="17" fillId="0" borderId="6" xfId="0" applyFont="1" applyFill="1" applyBorder="1"/>
    <xf numFmtId="169" fontId="21" fillId="0" borderId="16" xfId="0" applyNumberFormat="1" applyFont="1" applyBorder="1" applyAlignment="1">
      <alignment horizontal="center" vertical="center" wrapText="1"/>
    </xf>
    <xf numFmtId="0" fontId="17" fillId="0" borderId="0" xfId="0" applyFont="1" applyFill="1"/>
    <xf numFmtId="0" fontId="25" fillId="0" borderId="0" xfId="0" applyFont="1" applyFill="1" applyAlignment="1">
      <alignment horizontal="left" wrapText="1" indent="1"/>
    </xf>
    <xf numFmtId="0" fontId="21" fillId="0" borderId="0" xfId="0" applyFont="1" applyFill="1" applyAlignment="1">
      <alignment horizontal="left" wrapText="1"/>
    </xf>
    <xf numFmtId="0" fontId="20" fillId="0" borderId="0" xfId="0" applyFont="1" applyFill="1" applyAlignment="1">
      <alignment horizontal="center" wrapText="1"/>
    </xf>
    <xf numFmtId="0" fontId="20" fillId="0" borderId="0" xfId="0" applyFont="1" applyFill="1" applyAlignment="1">
      <alignment horizontal="left" wrapText="1"/>
    </xf>
    <xf numFmtId="0" fontId="17" fillId="3" borderId="56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20" fillId="3" borderId="58" xfId="0" applyFont="1" applyFill="1" applyBorder="1" applyAlignment="1">
      <alignment horizontal="center" vertical="center" wrapText="1"/>
    </xf>
    <xf numFmtId="0" fontId="17" fillId="3" borderId="58" xfId="0" applyFont="1" applyFill="1" applyBorder="1" applyAlignment="1">
      <alignment horizontal="center" vertical="center"/>
    </xf>
    <xf numFmtId="170" fontId="17" fillId="3" borderId="58" xfId="1" applyNumberFormat="1" applyFont="1" applyFill="1" applyBorder="1" applyAlignment="1">
      <alignment horizontal="right" vertical="center"/>
    </xf>
    <xf numFmtId="170" fontId="17" fillId="4" borderId="59" xfId="1" applyNumberFormat="1" applyFont="1" applyFill="1" applyBorder="1" applyAlignment="1" applyProtection="1">
      <alignment horizontal="right" vertical="center" wrapText="1"/>
    </xf>
    <xf numFmtId="0" fontId="0" fillId="0" borderId="58" xfId="0" applyBorder="1" applyAlignment="1">
      <alignment horizontal="center" vertical="center"/>
    </xf>
    <xf numFmtId="0" fontId="24" fillId="0" borderId="4" xfId="0" applyFont="1" applyFill="1" applyBorder="1" applyAlignment="1"/>
    <xf numFmtId="0" fontId="0" fillId="0" borderId="58" xfId="0" applyBorder="1" applyAlignment="1">
      <alignment wrapText="1"/>
    </xf>
    <xf numFmtId="0" fontId="24" fillId="0" borderId="7" xfId="0" applyFont="1" applyFill="1" applyBorder="1" applyAlignment="1"/>
    <xf numFmtId="0" fontId="17" fillId="0" borderId="0" xfId="0" applyFont="1" applyFill="1" applyBorder="1" applyAlignment="1">
      <alignment horizontal="center" wrapText="1"/>
    </xf>
    <xf numFmtId="0" fontId="17" fillId="0" borderId="8" xfId="0" applyFont="1" applyFill="1" applyBorder="1" applyAlignment="1">
      <alignment horizontal="center" wrapText="1"/>
    </xf>
    <xf numFmtId="0" fontId="17" fillId="0" borderId="9" xfId="0" applyFont="1" applyBorder="1"/>
    <xf numFmtId="0" fontId="17" fillId="0" borderId="10" xfId="0" applyFont="1" applyBorder="1"/>
    <xf numFmtId="0" fontId="17" fillId="0" borderId="11" xfId="0" applyFont="1" applyBorder="1"/>
    <xf numFmtId="0" fontId="17" fillId="0" borderId="7" xfId="5" applyFont="1" applyFill="1" applyBorder="1" applyAlignment="1">
      <alignment horizontal="left" wrapText="1"/>
    </xf>
    <xf numFmtId="0" fontId="17" fillId="0" borderId="0" xfId="5" applyFont="1" applyFill="1" applyBorder="1" applyAlignment="1">
      <alignment horizontal="left" wrapText="1"/>
    </xf>
    <xf numFmtId="0" fontId="17" fillId="0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wrapText="1" indent="1"/>
    </xf>
    <xf numFmtId="0" fontId="25" fillId="4" borderId="0" xfId="0" applyFont="1" applyFill="1" applyBorder="1" applyAlignment="1">
      <alignment horizontal="left" wrapText="1" indent="1"/>
    </xf>
    <xf numFmtId="0" fontId="8" fillId="0" borderId="16" xfId="0" applyFont="1" applyFill="1" applyBorder="1" applyAlignment="1">
      <alignment horizontal="left" vertical="center" wrapText="1" indent="1"/>
    </xf>
    <xf numFmtId="167" fontId="9" fillId="0" borderId="16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>
      <alignment horizontal="left" vertical="center" wrapText="1" indent="1"/>
    </xf>
    <xf numFmtId="0" fontId="10" fillId="0" borderId="18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indent="1"/>
    </xf>
    <xf numFmtId="0" fontId="14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</cellXfs>
  <cellStyles count="8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  <cellStyle name="Normal 3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18"/>
  <sheetViews>
    <sheetView tabSelected="1" zoomScale="96" zoomScaleNormal="96" workbookViewId="0">
      <selection activeCell="E16" sqref="E16"/>
    </sheetView>
  </sheetViews>
  <sheetFormatPr baseColWidth="10" defaultColWidth="11" defaultRowHeight="12.75" x14ac:dyDescent="0.2"/>
  <cols>
    <col min="1" max="1" width="6.42578125" style="26" customWidth="1"/>
    <col min="2" max="2" width="13.42578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2.85546875" style="26" customWidth="1"/>
    <col min="8" max="8" width="13.85546875" style="3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85" t="s">
        <v>0</v>
      </c>
      <c r="C2" s="85"/>
      <c r="D2" s="85"/>
      <c r="E2" s="85"/>
      <c r="F2" s="85"/>
      <c r="G2" s="85"/>
      <c r="H2" s="85"/>
    </row>
    <row r="3" spans="1:10" ht="12" customHeight="1" x14ac:dyDescent="0.2">
      <c r="C3" s="62"/>
      <c r="D3" s="62"/>
      <c r="E3" s="62"/>
    </row>
    <row r="4" spans="1:10" ht="18" customHeight="1" x14ac:dyDescent="0.25">
      <c r="A4" s="86" t="s">
        <v>1</v>
      </c>
      <c r="B4" s="86"/>
      <c r="C4" s="87" t="s">
        <v>49</v>
      </c>
      <c r="D4" s="87"/>
      <c r="E4" s="87"/>
      <c r="F4" s="27"/>
      <c r="G4" s="28"/>
      <c r="H4" s="32"/>
    </row>
    <row r="5" spans="1:10" ht="18" customHeight="1" x14ac:dyDescent="0.25">
      <c r="A5" s="86" t="s">
        <v>2</v>
      </c>
      <c r="B5" s="86"/>
      <c r="C5" s="88" t="s">
        <v>73</v>
      </c>
      <c r="D5" s="88"/>
      <c r="E5" s="88"/>
      <c r="F5" s="27"/>
      <c r="G5" s="28" t="s">
        <v>50</v>
      </c>
      <c r="H5" s="32"/>
    </row>
    <row r="6" spans="1:10" ht="16.5" customHeight="1" x14ac:dyDescent="0.25">
      <c r="A6" s="86" t="s">
        <v>3</v>
      </c>
      <c r="B6" s="86"/>
      <c r="C6" s="63">
        <v>2022</v>
      </c>
      <c r="D6" s="64"/>
      <c r="E6" s="64"/>
      <c r="F6" s="27"/>
      <c r="G6" s="28"/>
      <c r="H6" s="32"/>
    </row>
    <row r="7" spans="1:10" ht="16.5" customHeight="1" x14ac:dyDescent="0.25">
      <c r="A7" s="86" t="s">
        <v>4</v>
      </c>
      <c r="B7" s="86"/>
      <c r="C7" s="63">
        <v>2</v>
      </c>
      <c r="D7" s="64"/>
      <c r="E7" s="64"/>
      <c r="F7" s="27"/>
      <c r="G7" s="28"/>
      <c r="H7" s="32"/>
    </row>
    <row r="8" spans="1:10" ht="13.5" thickBot="1" x14ac:dyDescent="0.25">
      <c r="B8" s="27"/>
      <c r="C8" s="65"/>
      <c r="D8" s="66"/>
      <c r="E8" s="66"/>
      <c r="F8" s="27"/>
      <c r="G8" s="28"/>
      <c r="H8" s="32"/>
      <c r="J8" s="30"/>
    </row>
    <row r="9" spans="1:10" ht="39" thickBot="1" x14ac:dyDescent="0.25">
      <c r="A9" s="44" t="s">
        <v>5</v>
      </c>
      <c r="B9" s="44" t="s">
        <v>52</v>
      </c>
      <c r="C9" s="44" t="s">
        <v>53</v>
      </c>
      <c r="D9" s="44" t="s">
        <v>6</v>
      </c>
      <c r="E9" s="44" t="s">
        <v>7</v>
      </c>
      <c r="F9" s="44" t="s">
        <v>8</v>
      </c>
      <c r="G9" s="44" t="s">
        <v>9</v>
      </c>
      <c r="H9" s="61" t="s">
        <v>10</v>
      </c>
      <c r="I9" s="44" t="s">
        <v>11</v>
      </c>
    </row>
    <row r="10" spans="1:10" ht="43.5" customHeight="1" thickBot="1" x14ac:dyDescent="0.25">
      <c r="A10" s="67">
        <v>1</v>
      </c>
      <c r="B10" s="68" t="s">
        <v>66</v>
      </c>
      <c r="C10" s="73" t="s">
        <v>55</v>
      </c>
      <c r="D10" s="69" t="s">
        <v>59</v>
      </c>
      <c r="E10" s="75" t="s">
        <v>67</v>
      </c>
      <c r="F10" s="70" t="s">
        <v>56</v>
      </c>
      <c r="G10" s="70">
        <v>6</v>
      </c>
      <c r="H10" s="71">
        <v>412850</v>
      </c>
      <c r="I10" s="72">
        <f>G10*H10</f>
        <v>2477100</v>
      </c>
    </row>
    <row r="11" spans="1:10" ht="13.5" thickBot="1" x14ac:dyDescent="0.25">
      <c r="I11" s="29"/>
    </row>
    <row r="12" spans="1:10" x14ac:dyDescent="0.2">
      <c r="B12" s="74" t="s">
        <v>51</v>
      </c>
      <c r="C12" s="45"/>
      <c r="D12" s="45"/>
      <c r="E12" s="60"/>
    </row>
    <row r="13" spans="1:10" x14ac:dyDescent="0.2">
      <c r="B13" s="82" t="s">
        <v>70</v>
      </c>
      <c r="C13" s="83"/>
      <c r="D13" s="83"/>
      <c r="E13" s="84"/>
    </row>
    <row r="14" spans="1:10" ht="27" customHeight="1" x14ac:dyDescent="0.2">
      <c r="B14" s="82"/>
      <c r="C14" s="83"/>
      <c r="D14" s="83"/>
      <c r="E14" s="84"/>
    </row>
    <row r="15" spans="1:10" ht="12" customHeight="1" x14ac:dyDescent="0.2">
      <c r="B15" s="82" t="s">
        <v>57</v>
      </c>
      <c r="C15" s="83"/>
      <c r="D15" s="83"/>
      <c r="E15" s="84"/>
    </row>
    <row r="16" spans="1:10" ht="16.5" customHeight="1" x14ac:dyDescent="0.2">
      <c r="B16" s="76" t="s">
        <v>54</v>
      </c>
      <c r="C16" s="77"/>
      <c r="D16" s="77"/>
      <c r="E16" s="78"/>
    </row>
    <row r="17" spans="2:5" ht="16.5" customHeight="1" x14ac:dyDescent="0.2">
      <c r="B17" s="76" t="s">
        <v>69</v>
      </c>
      <c r="C17" s="77"/>
      <c r="D17" s="77"/>
      <c r="E17" s="78"/>
    </row>
    <row r="18" spans="2:5" ht="13.5" thickBot="1" x14ac:dyDescent="0.25">
      <c r="B18" s="79" t="s">
        <v>68</v>
      </c>
      <c r="C18" s="80"/>
      <c r="D18" s="80"/>
      <c r="E18" s="81"/>
    </row>
  </sheetData>
  <mergeCells count="9">
    <mergeCell ref="B15:E15"/>
    <mergeCell ref="B2:H2"/>
    <mergeCell ref="A4:B4"/>
    <mergeCell ref="C4:E4"/>
    <mergeCell ref="A5:B5"/>
    <mergeCell ref="C5:E5"/>
    <mergeCell ref="A6:B6"/>
    <mergeCell ref="A7:B7"/>
    <mergeCell ref="B13:E14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="110" zoomScaleNormal="110" workbookViewId="0">
      <selection activeCell="A13" sqref="A13:I13"/>
    </sheetView>
  </sheetViews>
  <sheetFormatPr baseColWidth="10" defaultColWidth="9.140625" defaultRowHeight="12.75" x14ac:dyDescent="0.2"/>
  <cols>
    <col min="1" max="1" width="5.5703125" style="48" customWidth="1"/>
    <col min="2" max="2" width="15.140625" style="48" customWidth="1"/>
    <col min="3" max="3" width="14.140625" style="48" customWidth="1"/>
    <col min="4" max="4" width="26" style="48" customWidth="1"/>
    <col min="5" max="5" width="8" style="48" customWidth="1"/>
    <col min="6" max="6" width="7.85546875" style="48" customWidth="1"/>
    <col min="7" max="7" width="48.5703125" style="48" customWidth="1"/>
    <col min="8" max="8" width="9.28515625" style="48" customWidth="1"/>
    <col min="9" max="9" width="15.5703125" style="48" customWidth="1"/>
    <col min="10" max="10" width="14.7109375" style="48" customWidth="1"/>
    <col min="11" max="11" width="15.5703125" style="48" customWidth="1"/>
    <col min="12" max="13" width="5.85546875" style="48" customWidth="1"/>
    <col min="14" max="14" width="14.140625" style="48" customWidth="1"/>
    <col min="15" max="15" width="12.5703125" style="48" customWidth="1"/>
    <col min="16" max="1024" width="9.140625" style="48"/>
    <col min="1025" max="16384" width="9.140625" style="49"/>
  </cols>
  <sheetData>
    <row r="1" spans="1:14" ht="18" customHeight="1" x14ac:dyDescent="0.2">
      <c r="A1" s="97" t="s">
        <v>12</v>
      </c>
      <c r="B1" s="97"/>
      <c r="C1" s="97"/>
      <c r="D1" s="97"/>
      <c r="E1" s="97"/>
      <c r="F1" s="97"/>
      <c r="G1" s="97"/>
      <c r="H1" s="97"/>
      <c r="I1" s="97"/>
      <c r="J1" s="46" t="s">
        <v>13</v>
      </c>
      <c r="K1" s="47" t="s">
        <v>61</v>
      </c>
    </row>
    <row r="2" spans="1:14" ht="18.75" customHeight="1" thickBo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</row>
    <row r="3" spans="1:14" ht="18.75" customHeight="1" thickBot="1" x14ac:dyDescent="0.25">
      <c r="A3" s="98" t="s">
        <v>46</v>
      </c>
      <c r="B3" s="98"/>
      <c r="C3" s="98"/>
      <c r="D3" s="89" t="str">
        <f>'Necesidades Trimestrales'!C4</f>
        <v>040 - Ministerio de Salud</v>
      </c>
      <c r="E3" s="89"/>
      <c r="F3" s="89"/>
      <c r="G3" s="89"/>
      <c r="H3" s="89"/>
      <c r="I3" s="89"/>
      <c r="J3" s="89"/>
      <c r="K3" s="89"/>
    </row>
    <row r="4" spans="1:14" ht="18.75" customHeight="1" thickBot="1" x14ac:dyDescent="0.25">
      <c r="A4" s="99" t="s">
        <v>47</v>
      </c>
      <c r="B4" s="99"/>
      <c r="C4" s="99"/>
      <c r="D4" s="89" t="str">
        <f>'Necesidades Trimestrales'!C5</f>
        <v>024 - Direccion de Administracion del Hospital Interzonal de Niños Eva Peron</v>
      </c>
      <c r="E4" s="89"/>
      <c r="F4" s="89"/>
      <c r="G4" s="89"/>
      <c r="H4" s="89"/>
      <c r="I4" s="89"/>
      <c r="J4" s="89"/>
      <c r="K4" s="89"/>
    </row>
    <row r="5" spans="1:14" ht="18.75" customHeight="1" thickBot="1" x14ac:dyDescent="0.25">
      <c r="A5" s="99" t="s">
        <v>25</v>
      </c>
      <c r="B5" s="99"/>
      <c r="C5" s="99"/>
      <c r="D5" s="89" t="s">
        <v>73</v>
      </c>
      <c r="E5" s="89"/>
      <c r="F5" s="89"/>
      <c r="G5" s="89"/>
      <c r="H5" s="89"/>
      <c r="I5" s="89"/>
      <c r="J5" s="89"/>
      <c r="K5" s="89"/>
    </row>
    <row r="6" spans="1:14" ht="16.5" customHeight="1" thickBot="1" x14ac:dyDescent="0.25">
      <c r="A6" s="98" t="s">
        <v>48</v>
      </c>
      <c r="B6" s="98"/>
      <c r="C6" s="98"/>
      <c r="D6" s="89" t="s">
        <v>72</v>
      </c>
      <c r="E6" s="89"/>
      <c r="F6" s="89"/>
      <c r="G6" s="89"/>
      <c r="H6" s="89"/>
      <c r="I6" s="89"/>
      <c r="J6" s="89"/>
      <c r="K6" s="89"/>
    </row>
    <row r="7" spans="1:14" ht="16.5" customHeight="1" x14ac:dyDescent="0.2">
      <c r="A7" s="99" t="s">
        <v>14</v>
      </c>
      <c r="B7" s="99"/>
      <c r="C7" s="99"/>
      <c r="D7" s="89" t="s">
        <v>58</v>
      </c>
      <c r="E7" s="89"/>
      <c r="F7" s="89"/>
      <c r="G7" s="89"/>
      <c r="H7" s="89"/>
      <c r="I7" s="89"/>
      <c r="J7" s="89"/>
      <c r="K7" s="89"/>
    </row>
    <row r="8" spans="1:14" ht="16.5" customHeight="1" x14ac:dyDescent="0.2">
      <c r="A8" s="96" t="s">
        <v>15</v>
      </c>
      <c r="B8" s="96"/>
      <c r="C8" s="96"/>
      <c r="D8" s="92" t="s">
        <v>74</v>
      </c>
      <c r="E8" s="92"/>
      <c r="F8" s="92"/>
      <c r="G8" s="92"/>
      <c r="H8" s="92"/>
      <c r="I8" s="92"/>
      <c r="J8" s="92"/>
      <c r="K8" s="92"/>
    </row>
    <row r="9" spans="1:14" ht="15.75" x14ac:dyDescent="0.2">
      <c r="A9" s="52"/>
      <c r="B9" s="52"/>
      <c r="C9" s="52"/>
      <c r="D9" s="53"/>
      <c r="E9" s="53"/>
      <c r="F9" s="53"/>
      <c r="G9" s="53"/>
      <c r="H9" s="53"/>
      <c r="I9" s="53"/>
      <c r="J9" s="53"/>
      <c r="K9" s="53"/>
    </row>
    <row r="10" spans="1:14" ht="18.75" customHeight="1" x14ac:dyDescent="0.2">
      <c r="A10" s="93" t="s">
        <v>16</v>
      </c>
      <c r="B10" s="94" t="s">
        <v>17</v>
      </c>
      <c r="C10" s="94" t="s">
        <v>18</v>
      </c>
      <c r="D10" s="94"/>
      <c r="E10" s="94"/>
      <c r="F10" s="94"/>
      <c r="G10" s="94"/>
      <c r="H10" s="94" t="s">
        <v>19</v>
      </c>
      <c r="I10" s="94" t="s">
        <v>20</v>
      </c>
      <c r="J10" s="94" t="s">
        <v>21</v>
      </c>
      <c r="K10" s="95" t="s">
        <v>22</v>
      </c>
    </row>
    <row r="11" spans="1:14" ht="24" customHeight="1" thickBot="1" x14ac:dyDescent="0.25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4" ht="27.75" customHeight="1" thickBot="1" x14ac:dyDescent="0.25">
      <c r="A12" s="54">
        <v>1</v>
      </c>
      <c r="B12" s="55" t="str">
        <f>'Necesidades Trimestrales'!B10</f>
        <v>2.9.6-10004.1</v>
      </c>
      <c r="C12" s="91" t="str">
        <f>'Necesidades Trimestrales'!E10</f>
        <v>REP. Y ACC. P/SIST. DE CLIMATIZACION; ELEMENTO: BOMBA CENTRIFUGA CIRCULADORA PARA CLIMATIZACION, MARCA: TRANE, MODELO: RTAD 125</v>
      </c>
      <c r="D12" s="91"/>
      <c r="E12" s="91"/>
      <c r="F12" s="91"/>
      <c r="G12" s="91"/>
      <c r="H12" s="55" t="s">
        <v>75</v>
      </c>
      <c r="I12" s="56" t="str">
        <f>'Necesidades Trimestrales'!F10</f>
        <v>UNIDAD</v>
      </c>
      <c r="J12" s="57">
        <f>'Necesidades Trimestrales'!H10</f>
        <v>412850</v>
      </c>
      <c r="K12" s="58">
        <f>'Necesidades Trimestrales'!G10</f>
        <v>6</v>
      </c>
    </row>
    <row r="13" spans="1:14" ht="20.25" customHeight="1" thickBot="1" x14ac:dyDescent="0.25">
      <c r="A13" s="89" t="s">
        <v>71</v>
      </c>
      <c r="B13" s="89"/>
      <c r="C13" s="89"/>
      <c r="D13" s="89"/>
      <c r="E13" s="89"/>
      <c r="F13" s="89"/>
      <c r="G13" s="89"/>
      <c r="H13" s="89"/>
      <c r="I13" s="89"/>
      <c r="J13" s="90">
        <f>+J12*K12</f>
        <v>2477100</v>
      </c>
      <c r="K13" s="90"/>
      <c r="N13" s="59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A11" sqref="A11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8" t="s">
        <v>3</v>
      </c>
      <c r="B1" s="128"/>
      <c r="C1" s="128"/>
      <c r="D1" s="129">
        <f>'Necesidades Trimestrales'!C6</f>
        <v>2022</v>
      </c>
      <c r="E1" s="129"/>
      <c r="F1" s="3"/>
      <c r="G1" s="3"/>
      <c r="H1" s="4"/>
      <c r="I1" s="4"/>
      <c r="J1" s="4"/>
      <c r="K1" s="4"/>
      <c r="L1" s="4"/>
      <c r="M1" s="4"/>
      <c r="N1" s="4"/>
      <c r="P1" s="130" t="s">
        <v>23</v>
      </c>
      <c r="Q1" s="13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0"/>
      <c r="Q2" s="130"/>
    </row>
    <row r="4" spans="1:17" s="5" customFormat="1" ht="18" customHeight="1" thickBot="1" x14ac:dyDescent="0.25">
      <c r="A4" s="131" t="s">
        <v>24</v>
      </c>
      <c r="B4" s="131"/>
      <c r="C4" s="131"/>
      <c r="D4" s="131"/>
      <c r="E4" s="131"/>
      <c r="F4" s="131"/>
      <c r="G4" s="126" t="str">
        <f>' NotaPedido'!D3</f>
        <v>040 - Ministerio de Salud</v>
      </c>
      <c r="H4" s="126"/>
      <c r="I4" s="126"/>
      <c r="J4" s="126"/>
      <c r="K4" s="126"/>
      <c r="L4" s="126"/>
      <c r="M4" s="126"/>
      <c r="N4" s="126"/>
      <c r="O4" s="126"/>
      <c r="P4" s="126"/>
      <c r="Q4" s="126"/>
    </row>
    <row r="5" spans="1:17" s="5" customFormat="1" ht="18" customHeight="1" thickBot="1" x14ac:dyDescent="0.25">
      <c r="A5" s="123" t="s">
        <v>47</v>
      </c>
      <c r="B5" s="124"/>
      <c r="C5" s="124"/>
      <c r="D5" s="124"/>
      <c r="E5" s="124"/>
      <c r="F5" s="125"/>
      <c r="G5" s="126" t="str">
        <f>' NotaPedido'!D4</f>
        <v>024 - Direccion de Administracion del Hospital Interzonal de Niños Eva Peron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1:17" s="5" customFormat="1" ht="18" customHeight="1" thickBot="1" x14ac:dyDescent="0.25">
      <c r="A6" s="123" t="s">
        <v>25</v>
      </c>
      <c r="B6" s="124"/>
      <c r="C6" s="124"/>
      <c r="D6" s="124"/>
      <c r="E6" s="124"/>
      <c r="F6" s="125"/>
      <c r="G6" s="126" t="str">
        <f>' NotaPedido'!D5</f>
        <v>024 - Direccion de Administracion del Hospital Interzonal de Niños Eva Peron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1:17" s="5" customFormat="1" ht="18" customHeight="1" thickBot="1" x14ac:dyDescent="0.25">
      <c r="A7" s="123" t="s">
        <v>48</v>
      </c>
      <c r="B7" s="124"/>
      <c r="C7" s="124"/>
      <c r="D7" s="124"/>
      <c r="E7" s="124"/>
      <c r="F7" s="125"/>
      <c r="G7" s="126" t="s">
        <v>62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</row>
    <row r="8" spans="1:17" ht="18" customHeight="1" thickBot="1" x14ac:dyDescent="0.25">
      <c r="A8" s="127" t="s">
        <v>26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12" t="s">
        <v>27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6"/>
    </row>
    <row r="10" spans="1:17" ht="54.75" customHeight="1" x14ac:dyDescent="0.2">
      <c r="A10" s="113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043/2022,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14" t="s">
        <v>28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thickBot="1" x14ac:dyDescent="0.25">
      <c r="A13" s="115" t="s">
        <v>29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7" t="s">
        <v>30</v>
      </c>
      <c r="P13" s="118"/>
      <c r="Q13" s="121" t="s">
        <v>31</v>
      </c>
    </row>
    <row r="14" spans="1:17" ht="15.75" customHeight="1" thickBot="1" x14ac:dyDescent="0.25">
      <c r="A14" s="37" t="s">
        <v>32</v>
      </c>
      <c r="B14" s="38" t="s">
        <v>33</v>
      </c>
      <c r="C14" s="38" t="s">
        <v>34</v>
      </c>
      <c r="D14" s="38" t="s">
        <v>35</v>
      </c>
      <c r="E14" s="38" t="s">
        <v>36</v>
      </c>
      <c r="F14" s="38" t="s">
        <v>37</v>
      </c>
      <c r="G14" s="39" t="s">
        <v>38</v>
      </c>
      <c r="H14" s="38" t="s">
        <v>39</v>
      </c>
      <c r="I14" s="38" t="s">
        <v>40</v>
      </c>
      <c r="J14" s="38" t="s">
        <v>41</v>
      </c>
      <c r="K14" s="38" t="s">
        <v>41</v>
      </c>
      <c r="L14" s="38" t="s">
        <v>42</v>
      </c>
      <c r="M14" s="40" t="s">
        <v>43</v>
      </c>
      <c r="N14" s="41" t="s">
        <v>44</v>
      </c>
      <c r="O14" s="119"/>
      <c r="P14" s="120"/>
      <c r="Q14" s="122"/>
    </row>
    <row r="15" spans="1:17" ht="26.25" customHeight="1" x14ac:dyDescent="0.2">
      <c r="A15" s="33">
        <v>3</v>
      </c>
      <c r="B15" s="34"/>
      <c r="C15" s="34"/>
      <c r="D15" s="34">
        <v>1</v>
      </c>
      <c r="E15" s="34"/>
      <c r="F15" s="34">
        <v>4901</v>
      </c>
      <c r="G15" s="34">
        <v>3</v>
      </c>
      <c r="H15" s="34">
        <v>1</v>
      </c>
      <c r="I15" s="34">
        <v>2</v>
      </c>
      <c r="J15" s="34">
        <v>9</v>
      </c>
      <c r="K15" s="34">
        <v>6</v>
      </c>
      <c r="L15" s="34"/>
      <c r="M15" s="35">
        <v>1</v>
      </c>
      <c r="N15" s="36" t="s">
        <v>64</v>
      </c>
      <c r="O15" s="106" t="s">
        <v>60</v>
      </c>
      <c r="P15" s="106"/>
      <c r="Q15" s="42">
        <v>2477100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43"/>
      <c r="O16" s="107"/>
      <c r="P16" s="101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01"/>
      <c r="P17" s="101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01"/>
      <c r="P18" s="101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02"/>
      <c r="P19" s="102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03"/>
      <c r="P20" s="103"/>
      <c r="Q20" s="24"/>
    </row>
    <row r="21" spans="1:18" ht="29.25" customHeight="1" x14ac:dyDescent="0.2">
      <c r="A21" s="104" t="s">
        <v>65</v>
      </c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25">
        <f>SUM(Q15:Q20)</f>
        <v>2477100</v>
      </c>
    </row>
    <row r="22" spans="1:18" ht="18" customHeight="1" thickBot="1" x14ac:dyDescent="0.25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</row>
    <row r="23" spans="1:18" ht="17.25" customHeight="1" thickBot="1" x14ac:dyDescent="0.25">
      <c r="A23" s="108" t="s">
        <v>45</v>
      </c>
      <c r="B23" s="109"/>
      <c r="C23" s="109"/>
      <c r="D23" s="109"/>
      <c r="E23" s="109"/>
      <c r="F23" s="110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</row>
    <row r="24" spans="1:18" ht="18" customHeight="1" thickBot="1" x14ac:dyDescent="0.25">
      <c r="A24" s="100" t="s">
        <v>63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</row>
    <row r="25" spans="1:18" ht="26.25" customHeight="1" thickBot="1" x14ac:dyDescent="0.25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2022-04-13T14:25:17Z</cp:lastPrinted>
  <dcterms:created xsi:type="dcterms:W3CDTF">2020-07-17T23:44:49Z</dcterms:created>
  <dcterms:modified xsi:type="dcterms:W3CDTF">2022-05-20T13:03:47Z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