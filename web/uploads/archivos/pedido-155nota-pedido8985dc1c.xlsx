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804A724-AD69-4D37-BE5F-93D8907D21C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2">'Autor Gastar'!$A$1:$Q$24</definedName>
    <definedName name="_xlnm.Print_Area" localSheetId="1">NotaPedido!$A$1:$K$78</definedName>
  </definedNames>
  <calcPr calcId="181029"/>
</workbook>
</file>

<file path=xl/calcChain.xml><?xml version="1.0" encoding="utf-8"?>
<calcChain xmlns="http://schemas.openxmlformats.org/spreadsheetml/2006/main">
  <c r="B77" i="2" l="1"/>
  <c r="C77" i="2"/>
  <c r="I77" i="2"/>
  <c r="J77" i="2"/>
  <c r="K77" i="2"/>
  <c r="I75" i="1" l="1"/>
  <c r="A23" i="3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11" i="1"/>
  <c r="I12" i="1"/>
  <c r="I13" i="1"/>
  <c r="I14" i="1"/>
  <c r="I15" i="1"/>
  <c r="I16" i="1"/>
  <c r="I17" i="1"/>
  <c r="I10" i="1"/>
  <c r="I76" i="1" s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A10" i="3" l="1"/>
  <c r="K12" i="2"/>
  <c r="J12" i="2"/>
  <c r="I12" i="2"/>
  <c r="C12" i="2"/>
  <c r="B12" i="2"/>
  <c r="J78" i="2" l="1"/>
  <c r="Q15" i="3" s="1"/>
  <c r="G6" i="3" l="1"/>
  <c r="G7" i="3"/>
  <c r="D7" i="2"/>
  <c r="D3" i="2"/>
  <c r="G4" i="3" s="1"/>
  <c r="D4" i="2"/>
  <c r="G5" i="3" s="1"/>
  <c r="D1" i="3" l="1"/>
  <c r="Q20" i="3"/>
</calcChain>
</file>

<file path=xl/sharedStrings.xml><?xml version="1.0" encoding="utf-8"?>
<sst xmlns="http://schemas.openxmlformats.org/spreadsheetml/2006/main" count="413" uniqueCount="143">
  <si>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</si>
  <si>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</si>
  <si>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</si>
  <si>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</si>
  <si>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</si>
  <si>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</si>
  <si>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</si>
  <si>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</si>
  <si>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</si>
  <si>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</si>
  <si>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</si>
  <si>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</si>
  <si>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</si>
  <si>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</si>
  <si>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</si>
  <si>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</si>
  <si>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</si>
  <si>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</si>
  <si>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</si>
  <si>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</si>
  <si>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</si>
  <si>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</si>
  <si>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</si>
  <si>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</si>
  <si>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</si>
  <si>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</si>
  <si>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</si>
  <si>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</si>
  <si>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</si>
  <si>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</si>
  <si>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</si>
  <si>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</si>
  <si>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</si>
  <si>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</si>
  <si>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</si>
  <si>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</si>
  <si>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</si>
  <si>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</si>
  <si>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</si>
  <si>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</si>
  <si>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</si>
  <si>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</si>
  <si>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</si>
  <si>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</si>
  <si>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</si>
  <si>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</si>
  <si>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</si>
  <si>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</si>
  <si>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</si>
  <si>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</si>
  <si>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</si>
  <si>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</si>
  <si>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</si>
  <si>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</si>
  <si>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</si>
  <si>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</si>
  <si>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</si>
  <si>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</si>
  <si>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</si>
  <si>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</si>
  <si>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</si>
  <si>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</si>
  <si>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</si>
  <si>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</si>
  <si>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</si>
  <si>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</si>
  <si>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</si>
  <si>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ACETIL CISTEINA 600 MG COMPRIMIDO EFERVESCENTE</t>
  </si>
  <si>
    <t>UNIDAD</t>
  </si>
  <si>
    <t>2.5.2</t>
  </si>
  <si>
    <t xml:space="preserve">MEDICAMENTOS </t>
  </si>
  <si>
    <t>ACIDO ACETIL SALICILICO 100 MG COMPRIMIDO</t>
  </si>
  <si>
    <t>AGUA DESTILADA EN SACHET X 500 ML</t>
  </si>
  <si>
    <t>ALBUMINA 20% X 50 ML</t>
  </si>
  <si>
    <t>ALIMENTACION ENTERAL FORTIFICADO CON FIBRAS X 1000 ML</t>
  </si>
  <si>
    <t>ALIMENTACION ENTERAL X 1000 ML TIPO GLUCERNA</t>
  </si>
  <si>
    <t>ALIMENTACION ENTERAL X 500 ML TIPO DIBEN</t>
  </si>
  <si>
    <t>ALIMENTACION PARENTERAL INYECTABLE DE GRAN VOLUMEN TIPO OLI CLINOMEL/SMOKAVIBEN</t>
  </si>
  <si>
    <t>AMIKACINA 500 MG AMPOLLA</t>
  </si>
  <si>
    <t>AMOXICILINA + CLAVULANICO 1 G COMPRIMIDO</t>
  </si>
  <si>
    <t>AMPICILINA + SULBACTAM 1,5 MG FCO AMPOLLA</t>
  </si>
  <si>
    <t>ANFOTERICINA B VIAL 50 MG</t>
  </si>
  <si>
    <t>ATRACURIUM 50 MG AMPOLLA</t>
  </si>
  <si>
    <t xml:space="preserve">AZITROMICINA 500 MG COMPRIMIDOS </t>
  </si>
  <si>
    <t>BUDESONIDE AEROSOL 200 MCG/PUFF ( 100 DOSIS )</t>
  </si>
  <si>
    <t>CEFTAZIDIMA 1G FCO AMPOLLA</t>
  </si>
  <si>
    <t>CEFTRIAXONA 1 GR FCO AMPOLLA *</t>
  </si>
  <si>
    <t>CLARITROMICINA 500 MG COMPRIMIDO</t>
  </si>
  <si>
    <t>CLINDAMICINA 600 MG AMPOLLA</t>
  </si>
  <si>
    <t>CLORURO DE POTASIO 223 MG/ML AMPOLLA</t>
  </si>
  <si>
    <t>CLORURO DE SODIO AL 20% AMPOLLAS</t>
  </si>
  <si>
    <t>COMPLEJO B AMPOLLAS TIPO BECOZYM NF</t>
  </si>
  <si>
    <t>COMPLEJO B COMPRIMIDOS TIPO BECOZYM NF</t>
  </si>
  <si>
    <t>COTRIMOXAZOL(TRIMETOPRINA +SULFAMETOXAZOL)80MG/400MG AMPOLLA</t>
  </si>
  <si>
    <t>COTRIMOXAZOL(TRIMETOPRINA +SULFAMETOXAZOL)COMPRIMIDOS 160MG/800MG</t>
  </si>
  <si>
    <t>DEXAMETASONA 8 MG AMPOLLA</t>
  </si>
  <si>
    <t>DEXAMETASONA 8 MG COMPRIMIDO</t>
  </si>
  <si>
    <t>DEXMETOMIDINA 200MG /2 ML</t>
  </si>
  <si>
    <t>DIAZEPAM 10 MG AMPOLLA</t>
  </si>
  <si>
    <t>DOBUTAMINA AMPOLLA</t>
  </si>
  <si>
    <t>DOPAMINA 200 MG  AMPOLLA</t>
  </si>
  <si>
    <t>ENOXAPARINA 40 MG AMPOLLA PRELLENA</t>
  </si>
  <si>
    <t>FENTANILO 250 MCG INYECTABLE</t>
  </si>
  <si>
    <t>GELATINA AL 4% SACHET X 500 ML</t>
  </si>
  <si>
    <t>GENTAMICINA 80 MG AMPOLLA</t>
  </si>
  <si>
    <t>GLUCONATO DE CALCIO 10 % AMPOLLA</t>
  </si>
  <si>
    <t>HEPARINA SODICA 5000 UI FCO AMPOLLA</t>
  </si>
  <si>
    <t>HIDROCORTISONA 500 MG FCO AMPOLLA</t>
  </si>
  <si>
    <t>ISOPROTERONOL 1 MG AMPOLLA</t>
  </si>
  <si>
    <t>ITRACONAZOL 100 MG COMPRIMIDO</t>
  </si>
  <si>
    <t>KETAMINA 50MG/ML FCO AMPOLLA</t>
  </si>
  <si>
    <t>LORAZEPAM 4 MG/2ML AMPOLLA</t>
  </si>
  <si>
    <t>METILPREDNISOLONA 500 MG FCO AMPOLLA</t>
  </si>
  <si>
    <t>METILPREDNISONA 40 MG COMPRIMIDO</t>
  </si>
  <si>
    <t>METRONIDAZOL 500 MG COMPRIMIDO</t>
  </si>
  <si>
    <t>METRONIDAZOL 500 MG SACHET</t>
  </si>
  <si>
    <t>MIDAZOLAM 15 MG AMPOLLA</t>
  </si>
  <si>
    <t>MORFINA 10 MG AMPOLLA</t>
  </si>
  <si>
    <t>NITROGLICERINA 25 MG AMPOLLA</t>
  </si>
  <si>
    <t>NITROPRUSIATO SODIO 50 MG VIAL</t>
  </si>
  <si>
    <t>NORADRENALINA AMPOLLA</t>
  </si>
  <si>
    <t>OMEPRAZOL 40 MG FCO AMP ENDOVENOSO</t>
  </si>
  <si>
    <t>PANCURONIO 4 MG/ ML</t>
  </si>
  <si>
    <t>PARACETAMOL 1GR COMPRIMIDO</t>
  </si>
  <si>
    <t>PARACETAMOL 1GR ML FRASCO AMPOLLA</t>
  </si>
  <si>
    <t>PIPERACILINA 4 GRS + TAZOBACTAM 500 MG FCO AMPOLLA</t>
  </si>
  <si>
    <t>PROPOFOL 1% AMPOLLAS X 20 ML</t>
  </si>
  <si>
    <t>REMIFENTANILO 5 MG FCO AMPOLLA</t>
  </si>
  <si>
    <t xml:space="preserve">SALBUTAMOL AEROSOL CON  AEROCAMARA </t>
  </si>
  <si>
    <t>SUCCINILCOLINA 500 MG FCO AMP</t>
  </si>
  <si>
    <t>SUCRALFATO SUSPENSIÓN 1GR/ML x 200 ml</t>
  </si>
  <si>
    <t>TRAMADOL 50 MG AMPOLLA</t>
  </si>
  <si>
    <t>VANCOMICINA 1000 MG FCO AMP</t>
  </si>
  <si>
    <t>VANCOMICINA 500 MG FCO AMP</t>
  </si>
  <si>
    <t>VECURONIO BROMURO 10 MG AMPOLLA</t>
  </si>
  <si>
    <t>049 - 2021</t>
  </si>
  <si>
    <t>10 dias - Servicio de Farmacia del HISJB - Avda. Illia y Mariano Moreno</t>
  </si>
  <si>
    <t>Adquisición de Medicamentos COVID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</si>
  <si>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12 MESES DE LA FECHA DE RECEPCION</t>
  </si>
  <si>
    <t>VITAMINA C 2GR. COMPRIMIDO EFERVECENTES</t>
  </si>
  <si>
    <t>-</t>
  </si>
  <si>
    <t>Costo total estimado: Ciento cuarenta y cuatro millones doscientos ochenta y cuatro mil trescientos sesenta y ocho con 40/100.-</t>
  </si>
  <si>
    <t>TOTAL DE PESOS: Ciento cuarenta y cuatro millones doscientos ochenta y cuatro mil trescientos sesenta y ocho con 40/100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</si>
</sst>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Bookman Old Style"/>
      <family val="1"/>
    </font>
    <font>
      <sz val="10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 wrapText="1"/>
    </xf>
    <xf numFmtId="0" fontId="14" fillId="5" borderId="14" xfId="0" applyFont="1" applyFill="1" applyBorder="1"/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/>
    </xf>
    <xf numFmtId="0" fontId="26" fillId="5" borderId="14" xfId="0" applyFont="1" applyFill="1" applyBorder="1" applyAlignment="1">
      <alignment horizontal="center" wrapText="1"/>
    </xf>
    <xf numFmtId="0" fontId="14" fillId="5" borderId="14" xfId="0" applyFont="1" applyFill="1" applyBorder="1" applyAlignment="1">
      <alignment horizontal="left"/>
    </xf>
    <xf numFmtId="0" fontId="20" fillId="0" borderId="0" xfId="0" applyFont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center" vertical="center" wrapText="1"/>
    </xf>
    <xf numFmtId="0" fontId="25" fillId="5" borderId="0" xfId="0" applyFont="1" applyFill="1" applyBorder="1" applyAlignment="1">
      <alignment horizontal="left" vertical="center" wrapText="1"/>
    </xf>
    <xf numFmtId="0" fontId="25" fillId="5" borderId="0" xfId="0" applyFont="1" applyFill="1" applyBorder="1" applyAlignment="1">
      <alignment horizontal="center" vertical="center" wrapText="1"/>
    </xf>
    <xf numFmtId="166" fontId="20" fillId="4" borderId="0" xfId="1" applyNumberFormat="1" applyFont="1" applyFill="1" applyBorder="1" applyAlignment="1" applyProtection="1">
      <alignment horizontal="center" vertical="center" wrapText="1"/>
    </xf>
    <xf numFmtId="166" fontId="20" fillId="4" borderId="0" xfId="1" applyNumberFormat="1" applyFont="1" applyFill="1" applyBorder="1" applyAlignment="1" applyProtection="1">
      <alignment horizontal="right" vertical="center" wrapText="1"/>
    </xf>
    <xf numFmtId="0" fontId="27" fillId="0" borderId="0" xfId="0" applyFont="1"/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44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9" fillId="0" borderId="40" xfId="0" applyFont="1" applyBorder="1" applyAlignment="1">
      <alignment horizontal="left" vertical="center" wrapText="1"/>
    </xf>
    <xf numFmtId="0" fontId="0" fillId="0" borderId="22" xfId="0" applyBorder="1"/>
    <xf numFmtId="0" fontId="24" fillId="0" borderId="34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8"/>
  <sheetViews>
    <sheetView tabSelected="1" zoomScale="85" zoomScaleNormal="85" workbookViewId="0">
      <selection activeCell="C8" sqref="C8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1" style="91"/>
    <col min="11" max="16384" width="11" style="38"/>
  </cols>
  <sheetData>
    <row r="2" spans="1:10" ht="27" x14ac:dyDescent="0.35">
      <c r="B2" s="101" t="s">
        <v>0</v>
      </c>
      <c r="C2" s="101"/>
      <c r="D2" s="101"/>
      <c r="E2" s="101"/>
      <c r="F2" s="101"/>
      <c r="G2" s="101"/>
      <c r="H2" s="101"/>
    </row>
    <row r="4" spans="1:10" ht="18" customHeight="1" x14ac:dyDescent="0.25">
      <c r="A4" s="95" t="s">
        <v>1</v>
      </c>
      <c r="B4" s="95"/>
      <c r="C4" s="102" t="s">
        <v>59</v>
      </c>
      <c r="D4" s="102"/>
      <c r="E4" s="102"/>
      <c r="F4" s="39"/>
      <c r="G4" s="40"/>
      <c r="H4" s="39"/>
    </row>
    <row r="5" spans="1:10" ht="18" customHeight="1" x14ac:dyDescent="0.25">
      <c r="A5" s="95" t="s">
        <v>2</v>
      </c>
      <c r="B5" s="95"/>
      <c r="C5" s="102" t="s">
        <v>60</v>
      </c>
      <c r="D5" s="102"/>
      <c r="E5" s="102"/>
      <c r="F5" s="39"/>
      <c r="G5" s="40"/>
      <c r="H5" s="39"/>
    </row>
    <row r="6" spans="1:10" ht="16.5" customHeight="1" x14ac:dyDescent="0.25">
      <c r="A6" s="95" t="s">
        <v>3</v>
      </c>
      <c r="B6" s="95"/>
      <c r="C6" s="61">
        <v>2021</v>
      </c>
      <c r="D6" s="62"/>
      <c r="E6" s="62"/>
      <c r="F6" s="39"/>
      <c r="G6" s="40"/>
      <c r="H6" s="39"/>
    </row>
    <row r="7" spans="1:10" ht="16.5" customHeight="1" x14ac:dyDescent="0.25">
      <c r="A7" s="95" t="s">
        <v>4</v>
      </c>
      <c r="B7" s="95"/>
      <c r="C7" s="61">
        <v>2</v>
      </c>
      <c r="D7" s="62"/>
      <c r="E7" s="62"/>
      <c r="F7" s="39"/>
      <c r="G7" s="40"/>
      <c r="H7" s="39"/>
    </row>
    <row r="8" spans="1:10" ht="13.5" thickBot="1" x14ac:dyDescent="0.25">
      <c r="B8" s="39"/>
      <c r="C8" s="40"/>
      <c r="D8" s="39"/>
      <c r="E8" s="39"/>
      <c r="F8" s="39"/>
      <c r="G8" s="40"/>
      <c r="H8" s="39"/>
    </row>
    <row r="9" spans="1:10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10" ht="31.9" customHeight="1" thickBot="1" x14ac:dyDescent="0.25">
      <c r="A10" s="55">
        <v>1</v>
      </c>
      <c r="B10" s="58"/>
      <c r="C10" s="56" t="s">
        <v>70</v>
      </c>
      <c r="D10" s="57" t="s">
        <v>69</v>
      </c>
      <c r="E10" s="71" t="s">
        <v>67</v>
      </c>
      <c r="F10" s="58" t="s">
        <v>68</v>
      </c>
      <c r="G10" s="79">
        <v>3150</v>
      </c>
      <c r="H10" s="59">
        <v>55</v>
      </c>
      <c r="I10" s="60">
        <f>G10*H10</f>
        <v>173250</v>
      </c>
      <c r="J10" s="91">
        <v>150</v>
      </c>
    </row>
    <row r="11" spans="1:10" ht="31.9" customHeight="1" thickBot="1" x14ac:dyDescent="0.25">
      <c r="A11" s="55">
        <v>2</v>
      </c>
      <c r="B11" s="58"/>
      <c r="C11" s="56" t="s">
        <v>70</v>
      </c>
      <c r="D11" s="57" t="s">
        <v>69</v>
      </c>
      <c r="E11" s="72" t="s">
        <v>71</v>
      </c>
      <c r="F11" s="58" t="s">
        <v>68</v>
      </c>
      <c r="G11" s="80">
        <v>2480</v>
      </c>
      <c r="H11" s="59">
        <v>0.98</v>
      </c>
      <c r="I11" s="60">
        <f t="shared" ref="I11:I74" si="0">G11*H11</f>
        <v>2430.4</v>
      </c>
      <c r="J11" s="91">
        <v>480</v>
      </c>
    </row>
    <row r="12" spans="1:10" ht="31.9" customHeight="1" thickBot="1" x14ac:dyDescent="0.25">
      <c r="A12" s="55">
        <v>3</v>
      </c>
      <c r="B12" s="58"/>
      <c r="C12" s="56" t="s">
        <v>70</v>
      </c>
      <c r="D12" s="57" t="s">
        <v>69</v>
      </c>
      <c r="E12" s="72" t="s">
        <v>72</v>
      </c>
      <c r="F12" s="58" t="s">
        <v>68</v>
      </c>
      <c r="G12" s="80">
        <v>710</v>
      </c>
      <c r="H12" s="59">
        <v>140</v>
      </c>
      <c r="I12" s="60">
        <f t="shared" si="0"/>
        <v>99400</v>
      </c>
      <c r="J12" s="91">
        <v>210</v>
      </c>
    </row>
    <row r="13" spans="1:10" ht="31.9" customHeight="1" thickBot="1" x14ac:dyDescent="0.25">
      <c r="A13" s="55">
        <v>4</v>
      </c>
      <c r="B13" s="58"/>
      <c r="C13" s="56" t="s">
        <v>70</v>
      </c>
      <c r="D13" s="57" t="s">
        <v>69</v>
      </c>
      <c r="E13" s="73" t="s">
        <v>73</v>
      </c>
      <c r="F13" s="58" t="s">
        <v>68</v>
      </c>
      <c r="G13" s="74">
        <v>260</v>
      </c>
      <c r="H13" s="59">
        <v>2079</v>
      </c>
      <c r="I13" s="60">
        <f t="shared" si="0"/>
        <v>540540</v>
      </c>
      <c r="J13" s="91">
        <v>60</v>
      </c>
    </row>
    <row r="14" spans="1:10" ht="31.9" customHeight="1" thickBot="1" x14ac:dyDescent="0.25">
      <c r="A14" s="55">
        <v>5</v>
      </c>
      <c r="B14" s="58"/>
      <c r="C14" s="56" t="s">
        <v>70</v>
      </c>
      <c r="D14" s="57" t="s">
        <v>69</v>
      </c>
      <c r="E14" s="73" t="s">
        <v>74</v>
      </c>
      <c r="F14" s="58" t="s">
        <v>68</v>
      </c>
      <c r="G14" s="74">
        <v>640</v>
      </c>
      <c r="H14" s="59">
        <v>639.9</v>
      </c>
      <c r="I14" s="60">
        <f t="shared" si="0"/>
        <v>409536</v>
      </c>
      <c r="J14" s="91">
        <v>640</v>
      </c>
    </row>
    <row r="15" spans="1:10" ht="31.9" customHeight="1" thickBot="1" x14ac:dyDescent="0.25">
      <c r="A15" s="55">
        <v>6</v>
      </c>
      <c r="B15" s="58"/>
      <c r="C15" s="56" t="s">
        <v>70</v>
      </c>
      <c r="D15" s="57" t="s">
        <v>69</v>
      </c>
      <c r="E15" s="73" t="s">
        <v>75</v>
      </c>
      <c r="F15" s="58" t="s">
        <v>68</v>
      </c>
      <c r="G15" s="74">
        <v>640</v>
      </c>
      <c r="H15" s="59">
        <v>989</v>
      </c>
      <c r="I15" s="60">
        <f t="shared" si="0"/>
        <v>632960</v>
      </c>
      <c r="J15" s="91">
        <v>640</v>
      </c>
    </row>
    <row r="16" spans="1:10" ht="31.9" customHeight="1" thickBot="1" x14ac:dyDescent="0.25">
      <c r="A16" s="55">
        <v>7</v>
      </c>
      <c r="B16" s="58"/>
      <c r="C16" s="56" t="s">
        <v>70</v>
      </c>
      <c r="D16" s="57" t="s">
        <v>69</v>
      </c>
      <c r="E16" s="73" t="s">
        <v>76</v>
      </c>
      <c r="F16" s="58" t="s">
        <v>68</v>
      </c>
      <c r="G16" s="74">
        <v>3600</v>
      </c>
      <c r="H16" s="59">
        <v>460.95</v>
      </c>
      <c r="I16" s="60">
        <f t="shared" si="0"/>
        <v>1659420</v>
      </c>
      <c r="J16" s="91">
        <v>3600</v>
      </c>
    </row>
    <row r="17" spans="1:10" ht="31.9" customHeight="1" thickBot="1" x14ac:dyDescent="0.25">
      <c r="A17" s="55">
        <v>8</v>
      </c>
      <c r="B17" s="58"/>
      <c r="C17" s="56" t="s">
        <v>70</v>
      </c>
      <c r="D17" s="57" t="s">
        <v>69</v>
      </c>
      <c r="E17" s="75" t="s">
        <v>77</v>
      </c>
      <c r="F17" s="58" t="s">
        <v>68</v>
      </c>
      <c r="G17" s="74">
        <v>60</v>
      </c>
      <c r="H17" s="59">
        <v>4600</v>
      </c>
      <c r="I17" s="60">
        <f t="shared" si="0"/>
        <v>276000</v>
      </c>
      <c r="J17" s="91">
        <v>30</v>
      </c>
    </row>
    <row r="18" spans="1:10" ht="31.9" customHeight="1" thickBot="1" x14ac:dyDescent="0.25">
      <c r="A18" s="55">
        <v>9</v>
      </c>
      <c r="B18" s="58"/>
      <c r="C18" s="56" t="s">
        <v>70</v>
      </c>
      <c r="D18" s="57" t="s">
        <v>69</v>
      </c>
      <c r="E18" s="73" t="s">
        <v>78</v>
      </c>
      <c r="F18" s="58" t="s">
        <v>68</v>
      </c>
      <c r="G18" s="76">
        <v>620</v>
      </c>
      <c r="H18" s="59">
        <v>58</v>
      </c>
      <c r="I18" s="60">
        <f t="shared" si="0"/>
        <v>35960</v>
      </c>
      <c r="J18" s="91">
        <v>120</v>
      </c>
    </row>
    <row r="19" spans="1:10" ht="31.9" customHeight="1" thickBot="1" x14ac:dyDescent="0.25">
      <c r="A19" s="55">
        <v>10</v>
      </c>
      <c r="B19" s="58"/>
      <c r="C19" s="56" t="s">
        <v>70</v>
      </c>
      <c r="D19" s="57" t="s">
        <v>69</v>
      </c>
      <c r="E19" s="71" t="s">
        <v>79</v>
      </c>
      <c r="F19" s="58" t="s">
        <v>68</v>
      </c>
      <c r="G19" s="76">
        <v>720</v>
      </c>
      <c r="H19" s="59">
        <v>34</v>
      </c>
      <c r="I19" s="60">
        <f t="shared" si="0"/>
        <v>24480</v>
      </c>
      <c r="J19" s="91">
        <v>120</v>
      </c>
    </row>
    <row r="20" spans="1:10" ht="31.9" customHeight="1" thickBot="1" x14ac:dyDescent="0.25">
      <c r="A20" s="55">
        <v>11</v>
      </c>
      <c r="B20" s="58"/>
      <c r="C20" s="56" t="s">
        <v>70</v>
      </c>
      <c r="D20" s="57" t="s">
        <v>69</v>
      </c>
      <c r="E20" s="71" t="s">
        <v>80</v>
      </c>
      <c r="F20" s="58" t="s">
        <v>68</v>
      </c>
      <c r="G20" s="76">
        <v>16000</v>
      </c>
      <c r="H20" s="59">
        <v>134</v>
      </c>
      <c r="I20" s="60">
        <f t="shared" si="0"/>
        <v>2144000</v>
      </c>
      <c r="J20" s="91">
        <v>6000</v>
      </c>
    </row>
    <row r="21" spans="1:10" ht="31.9" customHeight="1" thickBot="1" x14ac:dyDescent="0.25">
      <c r="A21" s="55">
        <v>12</v>
      </c>
      <c r="B21" s="58"/>
      <c r="C21" s="56" t="s">
        <v>70</v>
      </c>
      <c r="D21" s="57" t="s">
        <v>69</v>
      </c>
      <c r="E21" s="72" t="s">
        <v>81</v>
      </c>
      <c r="F21" s="58" t="s">
        <v>68</v>
      </c>
      <c r="G21" s="80">
        <v>70</v>
      </c>
      <c r="H21" s="59">
        <v>609.6</v>
      </c>
      <c r="I21" s="60">
        <f t="shared" si="0"/>
        <v>42672</v>
      </c>
      <c r="J21" s="91">
        <v>50</v>
      </c>
    </row>
    <row r="22" spans="1:10" ht="31.9" customHeight="1" thickBot="1" x14ac:dyDescent="0.25">
      <c r="A22" s="55">
        <v>13</v>
      </c>
      <c r="B22" s="58"/>
      <c r="C22" s="56" t="s">
        <v>70</v>
      </c>
      <c r="D22" s="57" t="s">
        <v>69</v>
      </c>
      <c r="E22" s="75" t="s">
        <v>82</v>
      </c>
      <c r="F22" s="58" t="s">
        <v>68</v>
      </c>
      <c r="G22" s="77">
        <v>16400</v>
      </c>
      <c r="H22" s="59">
        <v>732</v>
      </c>
      <c r="I22" s="60">
        <f t="shared" si="0"/>
        <v>12004800</v>
      </c>
      <c r="J22" s="91">
        <v>2400</v>
      </c>
    </row>
    <row r="23" spans="1:10" ht="31.9" customHeight="1" thickBot="1" x14ac:dyDescent="0.25">
      <c r="A23" s="55">
        <v>14</v>
      </c>
      <c r="B23" s="58"/>
      <c r="C23" s="56" t="s">
        <v>70</v>
      </c>
      <c r="D23" s="57" t="s">
        <v>69</v>
      </c>
      <c r="E23" s="73" t="s">
        <v>83</v>
      </c>
      <c r="F23" s="58" t="s">
        <v>68</v>
      </c>
      <c r="G23" s="74">
        <v>1000</v>
      </c>
      <c r="H23" s="59">
        <v>35</v>
      </c>
      <c r="I23" s="60">
        <f t="shared" si="0"/>
        <v>35000</v>
      </c>
      <c r="J23" s="91">
        <v>500</v>
      </c>
    </row>
    <row r="24" spans="1:10" ht="31.9" customHeight="1" thickBot="1" x14ac:dyDescent="0.25">
      <c r="A24" s="55">
        <v>15</v>
      </c>
      <c r="B24" s="58"/>
      <c r="C24" s="56" t="s">
        <v>70</v>
      </c>
      <c r="D24" s="57" t="s">
        <v>69</v>
      </c>
      <c r="E24" s="73" t="s">
        <v>84</v>
      </c>
      <c r="F24" s="58" t="s">
        <v>68</v>
      </c>
      <c r="G24" s="74">
        <v>10000</v>
      </c>
      <c r="H24" s="59">
        <v>482.31</v>
      </c>
      <c r="I24" s="60">
        <f t="shared" si="0"/>
        <v>4823100</v>
      </c>
      <c r="J24" s="91">
        <v>900</v>
      </c>
    </row>
    <row r="25" spans="1:10" ht="31.9" customHeight="1" thickBot="1" x14ac:dyDescent="0.25">
      <c r="A25" s="55">
        <v>16</v>
      </c>
      <c r="B25" s="58"/>
      <c r="C25" s="56" t="s">
        <v>70</v>
      </c>
      <c r="D25" s="57" t="s">
        <v>69</v>
      </c>
      <c r="E25" s="73" t="s">
        <v>85</v>
      </c>
      <c r="F25" s="58" t="s">
        <v>68</v>
      </c>
      <c r="G25" s="74">
        <v>2900</v>
      </c>
      <c r="H25" s="59">
        <v>196.9</v>
      </c>
      <c r="I25" s="60">
        <f t="shared" si="0"/>
        <v>571010</v>
      </c>
      <c r="J25" s="91">
        <v>900</v>
      </c>
    </row>
    <row r="26" spans="1:10" ht="31.9" customHeight="1" thickBot="1" x14ac:dyDescent="0.25">
      <c r="A26" s="55">
        <v>17</v>
      </c>
      <c r="B26" s="58"/>
      <c r="C26" s="56" t="s">
        <v>70</v>
      </c>
      <c r="D26" s="57" t="s">
        <v>69</v>
      </c>
      <c r="E26" s="73" t="s">
        <v>86</v>
      </c>
      <c r="F26" s="58" t="s">
        <v>68</v>
      </c>
      <c r="G26" s="74">
        <v>3900</v>
      </c>
      <c r="H26" s="59">
        <v>120</v>
      </c>
      <c r="I26" s="60">
        <f t="shared" si="0"/>
        <v>468000</v>
      </c>
      <c r="J26" s="91">
        <v>900</v>
      </c>
    </row>
    <row r="27" spans="1:10" ht="31.9" customHeight="1" thickBot="1" x14ac:dyDescent="0.25">
      <c r="A27" s="55">
        <v>18</v>
      </c>
      <c r="B27" s="58"/>
      <c r="C27" s="56" t="s">
        <v>70</v>
      </c>
      <c r="D27" s="57" t="s">
        <v>69</v>
      </c>
      <c r="E27" s="73" t="s">
        <v>87</v>
      </c>
      <c r="F27" s="58" t="s">
        <v>68</v>
      </c>
      <c r="G27" s="74">
        <v>2400</v>
      </c>
      <c r="H27" s="59">
        <v>35</v>
      </c>
      <c r="I27" s="60">
        <f t="shared" si="0"/>
        <v>84000</v>
      </c>
      <c r="J27" s="91">
        <v>1200</v>
      </c>
    </row>
    <row r="28" spans="1:10" ht="31.9" customHeight="1" thickBot="1" x14ac:dyDescent="0.25">
      <c r="A28" s="55">
        <v>19</v>
      </c>
      <c r="B28" s="58"/>
      <c r="C28" s="56" t="s">
        <v>70</v>
      </c>
      <c r="D28" s="57" t="s">
        <v>69</v>
      </c>
      <c r="E28" s="75" t="s">
        <v>88</v>
      </c>
      <c r="F28" s="58" t="s">
        <v>68</v>
      </c>
      <c r="G28" s="77">
        <v>6600</v>
      </c>
      <c r="H28" s="59">
        <v>62</v>
      </c>
      <c r="I28" s="60">
        <f t="shared" si="0"/>
        <v>409200</v>
      </c>
      <c r="J28" s="91">
        <v>600</v>
      </c>
    </row>
    <row r="29" spans="1:10" ht="31.9" customHeight="1" thickBot="1" x14ac:dyDescent="0.25">
      <c r="A29" s="55">
        <v>20</v>
      </c>
      <c r="B29" s="58"/>
      <c r="C29" s="56" t="s">
        <v>70</v>
      </c>
      <c r="D29" s="57" t="s">
        <v>69</v>
      </c>
      <c r="E29" s="78" t="s">
        <v>89</v>
      </c>
      <c r="F29" s="58" t="s">
        <v>68</v>
      </c>
      <c r="G29" s="74">
        <v>10000</v>
      </c>
      <c r="H29" s="59">
        <v>30</v>
      </c>
      <c r="I29" s="60">
        <f t="shared" si="0"/>
        <v>300000</v>
      </c>
      <c r="J29" s="91">
        <v>3000</v>
      </c>
    </row>
    <row r="30" spans="1:10" ht="31.9" customHeight="1" thickBot="1" x14ac:dyDescent="0.25">
      <c r="A30" s="55">
        <v>21</v>
      </c>
      <c r="B30" s="58"/>
      <c r="C30" s="56" t="s">
        <v>70</v>
      </c>
      <c r="D30" s="57" t="s">
        <v>69</v>
      </c>
      <c r="E30" s="78" t="s">
        <v>90</v>
      </c>
      <c r="F30" s="58" t="s">
        <v>68</v>
      </c>
      <c r="G30" s="74">
        <v>600</v>
      </c>
      <c r="H30" s="59">
        <v>34</v>
      </c>
      <c r="I30" s="60">
        <f t="shared" si="0"/>
        <v>20400</v>
      </c>
      <c r="J30" s="91">
        <v>600</v>
      </c>
    </row>
    <row r="31" spans="1:10" ht="31.9" customHeight="1" thickBot="1" x14ac:dyDescent="0.3">
      <c r="A31" s="55">
        <v>22</v>
      </c>
      <c r="B31" s="58"/>
      <c r="C31" s="56" t="s">
        <v>70</v>
      </c>
      <c r="D31" s="57" t="s">
        <v>69</v>
      </c>
      <c r="E31" s="75" t="s">
        <v>91</v>
      </c>
      <c r="F31" s="58" t="s">
        <v>68</v>
      </c>
      <c r="G31" s="81">
        <v>5000</v>
      </c>
      <c r="H31" s="59">
        <v>62</v>
      </c>
      <c r="I31" s="60">
        <f t="shared" si="0"/>
        <v>310000</v>
      </c>
      <c r="J31" s="91">
        <v>900</v>
      </c>
    </row>
    <row r="32" spans="1:10" ht="31.9" customHeight="1" thickBot="1" x14ac:dyDescent="0.3">
      <c r="A32" s="55">
        <v>23</v>
      </c>
      <c r="B32" s="58"/>
      <c r="C32" s="56" t="s">
        <v>70</v>
      </c>
      <c r="D32" s="57" t="s">
        <v>69</v>
      </c>
      <c r="E32" s="75" t="s">
        <v>92</v>
      </c>
      <c r="F32" s="58" t="s">
        <v>68</v>
      </c>
      <c r="G32" s="81">
        <v>900</v>
      </c>
      <c r="H32" s="59">
        <v>22</v>
      </c>
      <c r="I32" s="60">
        <f t="shared" si="0"/>
        <v>19800</v>
      </c>
      <c r="J32" s="91">
        <v>900</v>
      </c>
    </row>
    <row r="33" spans="1:10" ht="31.9" customHeight="1" thickBot="1" x14ac:dyDescent="0.25">
      <c r="A33" s="55">
        <v>24</v>
      </c>
      <c r="B33" s="58"/>
      <c r="C33" s="56" t="s">
        <v>70</v>
      </c>
      <c r="D33" s="57" t="s">
        <v>69</v>
      </c>
      <c r="E33" s="73" t="s">
        <v>93</v>
      </c>
      <c r="F33" s="58" t="s">
        <v>68</v>
      </c>
      <c r="G33" s="76">
        <v>1500</v>
      </c>
      <c r="H33" s="59">
        <v>214</v>
      </c>
      <c r="I33" s="60">
        <f t="shared" si="0"/>
        <v>321000</v>
      </c>
      <c r="J33" s="91">
        <v>900</v>
      </c>
    </row>
    <row r="34" spans="1:10" ht="31.9" customHeight="1" thickBot="1" x14ac:dyDescent="0.25">
      <c r="A34" s="55">
        <v>25</v>
      </c>
      <c r="B34" s="58"/>
      <c r="C34" s="56" t="s">
        <v>70</v>
      </c>
      <c r="D34" s="57" t="s">
        <v>69</v>
      </c>
      <c r="E34" s="73" t="s">
        <v>94</v>
      </c>
      <c r="F34" s="58" t="s">
        <v>68</v>
      </c>
      <c r="G34" s="80">
        <v>1500</v>
      </c>
      <c r="H34" s="59">
        <v>7.2</v>
      </c>
      <c r="I34" s="60">
        <f t="shared" si="0"/>
        <v>10800</v>
      </c>
      <c r="J34" s="91">
        <v>900</v>
      </c>
    </row>
    <row r="35" spans="1:10" ht="31.9" customHeight="1" thickBot="1" x14ac:dyDescent="0.25">
      <c r="A35" s="55">
        <v>26</v>
      </c>
      <c r="B35" s="58"/>
      <c r="C35" s="56" t="s">
        <v>70</v>
      </c>
      <c r="D35" s="57" t="s">
        <v>69</v>
      </c>
      <c r="E35" s="73" t="s">
        <v>95</v>
      </c>
      <c r="F35" s="58" t="s">
        <v>68</v>
      </c>
      <c r="G35" s="74">
        <v>14000</v>
      </c>
      <c r="H35" s="59">
        <v>35</v>
      </c>
      <c r="I35" s="60">
        <f t="shared" si="0"/>
        <v>490000</v>
      </c>
      <c r="J35" s="91">
        <v>9000</v>
      </c>
    </row>
    <row r="36" spans="1:10" ht="31.9" customHeight="1" thickBot="1" x14ac:dyDescent="0.25">
      <c r="A36" s="55">
        <v>27</v>
      </c>
      <c r="B36" s="58"/>
      <c r="C36" s="56" t="s">
        <v>70</v>
      </c>
      <c r="D36" s="57" t="s">
        <v>69</v>
      </c>
      <c r="E36" s="73" t="s">
        <v>96</v>
      </c>
      <c r="F36" s="58" t="s">
        <v>68</v>
      </c>
      <c r="G36" s="74">
        <v>4800</v>
      </c>
      <c r="H36" s="59">
        <v>42</v>
      </c>
      <c r="I36" s="60">
        <f t="shared" si="0"/>
        <v>201600</v>
      </c>
      <c r="J36" s="91">
        <v>4800</v>
      </c>
    </row>
    <row r="37" spans="1:10" ht="31.9" customHeight="1" thickBot="1" x14ac:dyDescent="0.25">
      <c r="A37" s="55">
        <v>28</v>
      </c>
      <c r="B37" s="58"/>
      <c r="C37" s="56" t="s">
        <v>70</v>
      </c>
      <c r="D37" s="57" t="s">
        <v>69</v>
      </c>
      <c r="E37" s="82" t="s">
        <v>97</v>
      </c>
      <c r="F37" s="58" t="s">
        <v>68</v>
      </c>
      <c r="G37" s="80">
        <v>600</v>
      </c>
      <c r="H37" s="59">
        <v>440</v>
      </c>
      <c r="I37" s="60">
        <f t="shared" si="0"/>
        <v>264000</v>
      </c>
      <c r="J37" s="91">
        <v>600</v>
      </c>
    </row>
    <row r="38" spans="1:10" ht="31.9" customHeight="1" thickBot="1" x14ac:dyDescent="0.25">
      <c r="A38" s="55">
        <v>29</v>
      </c>
      <c r="B38" s="58"/>
      <c r="C38" s="56" t="s">
        <v>70</v>
      </c>
      <c r="D38" s="57" t="s">
        <v>69</v>
      </c>
      <c r="E38" s="75" t="s">
        <v>98</v>
      </c>
      <c r="F38" s="58" t="s">
        <v>68</v>
      </c>
      <c r="G38" s="77">
        <v>1600</v>
      </c>
      <c r="H38" s="59">
        <v>35</v>
      </c>
      <c r="I38" s="60">
        <f t="shared" si="0"/>
        <v>56000</v>
      </c>
      <c r="J38" s="91">
        <v>600</v>
      </c>
    </row>
    <row r="39" spans="1:10" ht="31.9" customHeight="1" thickBot="1" x14ac:dyDescent="0.25">
      <c r="A39" s="55">
        <v>30</v>
      </c>
      <c r="B39" s="58"/>
      <c r="C39" s="56" t="s">
        <v>70</v>
      </c>
      <c r="D39" s="57" t="s">
        <v>69</v>
      </c>
      <c r="E39" s="75" t="s">
        <v>99</v>
      </c>
      <c r="F39" s="58" t="s">
        <v>68</v>
      </c>
      <c r="G39" s="77">
        <v>500</v>
      </c>
      <c r="H39" s="59">
        <v>304</v>
      </c>
      <c r="I39" s="60">
        <f t="shared" si="0"/>
        <v>152000</v>
      </c>
      <c r="J39" s="91">
        <v>500</v>
      </c>
    </row>
    <row r="40" spans="1:10" ht="31.9" customHeight="1" thickBot="1" x14ac:dyDescent="0.25">
      <c r="A40" s="55">
        <v>31</v>
      </c>
      <c r="B40" s="58"/>
      <c r="C40" s="56" t="s">
        <v>70</v>
      </c>
      <c r="D40" s="57" t="s">
        <v>69</v>
      </c>
      <c r="E40" s="75" t="s">
        <v>100</v>
      </c>
      <c r="F40" s="58" t="s">
        <v>68</v>
      </c>
      <c r="G40" s="77">
        <v>1500</v>
      </c>
      <c r="H40" s="59">
        <v>85</v>
      </c>
      <c r="I40" s="60">
        <f t="shared" si="0"/>
        <v>127500</v>
      </c>
      <c r="J40" s="91">
        <v>500</v>
      </c>
    </row>
    <row r="41" spans="1:10" ht="31.9" customHeight="1" thickBot="1" x14ac:dyDescent="0.25">
      <c r="A41" s="55">
        <v>32</v>
      </c>
      <c r="B41" s="58"/>
      <c r="C41" s="56" t="s">
        <v>70</v>
      </c>
      <c r="D41" s="57" t="s">
        <v>69</v>
      </c>
      <c r="E41" s="73" t="s">
        <v>101</v>
      </c>
      <c r="F41" s="58" t="s">
        <v>68</v>
      </c>
      <c r="G41" s="74">
        <v>24000</v>
      </c>
      <c r="H41" s="59">
        <v>1200</v>
      </c>
      <c r="I41" s="60">
        <f t="shared" si="0"/>
        <v>28800000</v>
      </c>
      <c r="J41" s="91">
        <v>8400</v>
      </c>
    </row>
    <row r="42" spans="1:10" ht="31.9" customHeight="1" thickBot="1" x14ac:dyDescent="0.25">
      <c r="A42" s="55">
        <v>33</v>
      </c>
      <c r="B42" s="58"/>
      <c r="C42" s="56" t="s">
        <v>70</v>
      </c>
      <c r="D42" s="57" t="s">
        <v>69</v>
      </c>
      <c r="E42" s="73" t="s">
        <v>102</v>
      </c>
      <c r="F42" s="58" t="s">
        <v>68</v>
      </c>
      <c r="G42" s="74">
        <v>8600</v>
      </c>
      <c r="H42" s="59">
        <v>387.2</v>
      </c>
      <c r="I42" s="60">
        <f t="shared" si="0"/>
        <v>3329920</v>
      </c>
      <c r="J42" s="91">
        <v>3600</v>
      </c>
    </row>
    <row r="43" spans="1:10" ht="31.9" customHeight="1" thickBot="1" x14ac:dyDescent="0.25">
      <c r="A43" s="55">
        <v>34</v>
      </c>
      <c r="B43" s="58"/>
      <c r="C43" s="56" t="s">
        <v>70</v>
      </c>
      <c r="D43" s="57" t="s">
        <v>69</v>
      </c>
      <c r="E43" s="73" t="s">
        <v>103</v>
      </c>
      <c r="F43" s="58" t="s">
        <v>68</v>
      </c>
      <c r="G43" s="74">
        <v>120</v>
      </c>
      <c r="H43" s="59">
        <v>740.25</v>
      </c>
      <c r="I43" s="60">
        <f t="shared" si="0"/>
        <v>88830</v>
      </c>
      <c r="J43" s="91">
        <v>120</v>
      </c>
    </row>
    <row r="44" spans="1:10" ht="31.9" customHeight="1" thickBot="1" x14ac:dyDescent="0.25">
      <c r="A44" s="55">
        <v>35</v>
      </c>
      <c r="B44" s="58"/>
      <c r="C44" s="56" t="s">
        <v>70</v>
      </c>
      <c r="D44" s="57" t="s">
        <v>69</v>
      </c>
      <c r="E44" s="73" t="s">
        <v>104</v>
      </c>
      <c r="F44" s="58" t="s">
        <v>68</v>
      </c>
      <c r="G44" s="76">
        <v>300</v>
      </c>
      <c r="H44" s="59">
        <v>32.200000000000003</v>
      </c>
      <c r="I44" s="60">
        <f t="shared" si="0"/>
        <v>9660</v>
      </c>
      <c r="J44" s="91">
        <v>300</v>
      </c>
    </row>
    <row r="45" spans="1:10" ht="31.9" customHeight="1" thickBot="1" x14ac:dyDescent="0.25">
      <c r="A45" s="55">
        <v>36</v>
      </c>
      <c r="B45" s="58"/>
      <c r="C45" s="56" t="s">
        <v>70</v>
      </c>
      <c r="D45" s="57" t="s">
        <v>69</v>
      </c>
      <c r="E45" s="73" t="s">
        <v>105</v>
      </c>
      <c r="F45" s="58" t="s">
        <v>68</v>
      </c>
      <c r="G45" s="74">
        <v>500</v>
      </c>
      <c r="H45" s="59">
        <v>34</v>
      </c>
      <c r="I45" s="60">
        <f t="shared" si="0"/>
        <v>17000</v>
      </c>
      <c r="J45" s="91">
        <v>200</v>
      </c>
    </row>
    <row r="46" spans="1:10" ht="31.9" customHeight="1" thickBot="1" x14ac:dyDescent="0.25">
      <c r="A46" s="55">
        <v>37</v>
      </c>
      <c r="B46" s="58"/>
      <c r="C46" s="56" t="s">
        <v>70</v>
      </c>
      <c r="D46" s="57" t="s">
        <v>69</v>
      </c>
      <c r="E46" s="73" t="s">
        <v>106</v>
      </c>
      <c r="F46" s="58" t="s">
        <v>68</v>
      </c>
      <c r="G46" s="74">
        <v>9200</v>
      </c>
      <c r="H46" s="59">
        <v>699</v>
      </c>
      <c r="I46" s="60">
        <f t="shared" si="0"/>
        <v>6430800</v>
      </c>
      <c r="J46" s="91">
        <v>1200</v>
      </c>
    </row>
    <row r="47" spans="1:10" ht="31.9" customHeight="1" thickBot="1" x14ac:dyDescent="0.25">
      <c r="A47" s="55">
        <v>38</v>
      </c>
      <c r="B47" s="58"/>
      <c r="C47" s="56" t="s">
        <v>70</v>
      </c>
      <c r="D47" s="57" t="s">
        <v>69</v>
      </c>
      <c r="E47" s="73" t="s">
        <v>107</v>
      </c>
      <c r="F47" s="58" t="s">
        <v>68</v>
      </c>
      <c r="G47" s="74">
        <v>3600</v>
      </c>
      <c r="H47" s="59">
        <v>214.4</v>
      </c>
      <c r="I47" s="60">
        <f t="shared" si="0"/>
        <v>771840</v>
      </c>
      <c r="J47" s="91">
        <v>3600</v>
      </c>
    </row>
    <row r="48" spans="1:10" ht="31.9" customHeight="1" thickBot="1" x14ac:dyDescent="0.25">
      <c r="A48" s="55">
        <v>39</v>
      </c>
      <c r="B48" s="58"/>
      <c r="C48" s="56" t="s">
        <v>70</v>
      </c>
      <c r="D48" s="57" t="s">
        <v>69</v>
      </c>
      <c r="E48" s="75" t="s">
        <v>108</v>
      </c>
      <c r="F48" s="58" t="s">
        <v>68</v>
      </c>
      <c r="G48" s="77">
        <v>90</v>
      </c>
      <c r="H48" s="59">
        <v>286</v>
      </c>
      <c r="I48" s="60">
        <f t="shared" si="0"/>
        <v>25740</v>
      </c>
      <c r="J48" s="91">
        <v>30</v>
      </c>
    </row>
    <row r="49" spans="1:10" ht="31.9" customHeight="1" thickBot="1" x14ac:dyDescent="0.25">
      <c r="A49" s="55">
        <v>40</v>
      </c>
      <c r="B49" s="58"/>
      <c r="C49" s="56" t="s">
        <v>70</v>
      </c>
      <c r="D49" s="57" t="s">
        <v>69</v>
      </c>
      <c r="E49" s="72" t="s">
        <v>109</v>
      </c>
      <c r="F49" s="58" t="s">
        <v>68</v>
      </c>
      <c r="G49" s="80">
        <v>300</v>
      </c>
      <c r="H49" s="59">
        <v>90</v>
      </c>
      <c r="I49" s="60">
        <f t="shared" si="0"/>
        <v>27000</v>
      </c>
      <c r="J49" s="91">
        <v>300</v>
      </c>
    </row>
    <row r="50" spans="1:10" ht="31.9" customHeight="1" thickBot="1" x14ac:dyDescent="0.25">
      <c r="A50" s="55">
        <v>41</v>
      </c>
      <c r="B50" s="58"/>
      <c r="C50" s="56" t="s">
        <v>70</v>
      </c>
      <c r="D50" s="57" t="s">
        <v>69</v>
      </c>
      <c r="E50" s="82" t="s">
        <v>110</v>
      </c>
      <c r="F50" s="58" t="s">
        <v>68</v>
      </c>
      <c r="G50" s="80">
        <v>4000</v>
      </c>
      <c r="H50" s="59">
        <v>2013</v>
      </c>
      <c r="I50" s="60">
        <f t="shared" si="0"/>
        <v>8052000</v>
      </c>
      <c r="J50" s="91">
        <v>3600</v>
      </c>
    </row>
    <row r="51" spans="1:10" ht="31.9" customHeight="1" thickBot="1" x14ac:dyDescent="0.25">
      <c r="A51" s="55">
        <v>42</v>
      </c>
      <c r="B51" s="58"/>
      <c r="C51" s="56" t="s">
        <v>70</v>
      </c>
      <c r="D51" s="57" t="s">
        <v>69</v>
      </c>
      <c r="E51" s="75" t="s">
        <v>111</v>
      </c>
      <c r="F51" s="58" t="s">
        <v>68</v>
      </c>
      <c r="G51" s="77">
        <v>3600</v>
      </c>
      <c r="H51" s="59">
        <v>280</v>
      </c>
      <c r="I51" s="60">
        <f t="shared" si="0"/>
        <v>1008000</v>
      </c>
      <c r="J51" s="91">
        <v>3600</v>
      </c>
    </row>
    <row r="52" spans="1:10" ht="31.9" customHeight="1" thickBot="1" x14ac:dyDescent="0.25">
      <c r="A52" s="55">
        <v>43</v>
      </c>
      <c r="B52" s="58"/>
      <c r="C52" s="56" t="s">
        <v>70</v>
      </c>
      <c r="D52" s="57" t="s">
        <v>69</v>
      </c>
      <c r="E52" s="73" t="s">
        <v>112</v>
      </c>
      <c r="F52" s="58" t="s">
        <v>68</v>
      </c>
      <c r="G52" s="74">
        <v>60</v>
      </c>
      <c r="H52" s="59">
        <v>617</v>
      </c>
      <c r="I52" s="60">
        <f t="shared" si="0"/>
        <v>37020</v>
      </c>
      <c r="J52" s="91">
        <v>600</v>
      </c>
    </row>
    <row r="53" spans="1:10" ht="31.9" customHeight="1" thickBot="1" x14ac:dyDescent="0.25">
      <c r="A53" s="55">
        <v>44</v>
      </c>
      <c r="B53" s="58"/>
      <c r="C53" s="56" t="s">
        <v>70</v>
      </c>
      <c r="D53" s="57" t="s">
        <v>69</v>
      </c>
      <c r="E53" s="73" t="s">
        <v>113</v>
      </c>
      <c r="F53" s="58" t="s">
        <v>68</v>
      </c>
      <c r="G53" s="74">
        <v>600</v>
      </c>
      <c r="H53" s="59">
        <v>47</v>
      </c>
      <c r="I53" s="60">
        <f t="shared" si="0"/>
        <v>28200</v>
      </c>
      <c r="J53" s="91">
        <v>600</v>
      </c>
    </row>
    <row r="54" spans="1:10" ht="31.9" customHeight="1" thickBot="1" x14ac:dyDescent="0.25">
      <c r="A54" s="55">
        <v>45</v>
      </c>
      <c r="B54" s="58"/>
      <c r="C54" s="56" t="s">
        <v>70</v>
      </c>
      <c r="D54" s="57" t="s">
        <v>69</v>
      </c>
      <c r="E54" s="73" t="s">
        <v>114</v>
      </c>
      <c r="F54" s="58" t="s">
        <v>68</v>
      </c>
      <c r="G54" s="74">
        <v>600</v>
      </c>
      <c r="H54" s="59">
        <v>8.9</v>
      </c>
      <c r="I54" s="60">
        <f t="shared" si="0"/>
        <v>5340</v>
      </c>
      <c r="J54" s="91">
        <v>600</v>
      </c>
    </row>
    <row r="55" spans="1:10" ht="31.9" customHeight="1" thickBot="1" x14ac:dyDescent="0.25">
      <c r="A55" s="55">
        <v>46</v>
      </c>
      <c r="B55" s="58"/>
      <c r="C55" s="56" t="s">
        <v>70</v>
      </c>
      <c r="D55" s="57" t="s">
        <v>69</v>
      </c>
      <c r="E55" s="73" t="s">
        <v>115</v>
      </c>
      <c r="F55" s="58" t="s">
        <v>68</v>
      </c>
      <c r="G55" s="74">
        <v>600</v>
      </c>
      <c r="H55" s="59">
        <v>80</v>
      </c>
      <c r="I55" s="60">
        <f t="shared" si="0"/>
        <v>48000</v>
      </c>
      <c r="J55" s="91">
        <v>600</v>
      </c>
    </row>
    <row r="56" spans="1:10" ht="31.9" customHeight="1" thickBot="1" x14ac:dyDescent="0.25">
      <c r="A56" s="55">
        <v>47</v>
      </c>
      <c r="B56" s="58"/>
      <c r="C56" s="56" t="s">
        <v>70</v>
      </c>
      <c r="D56" s="57" t="s">
        <v>69</v>
      </c>
      <c r="E56" s="75" t="s">
        <v>116</v>
      </c>
      <c r="F56" s="58" t="s">
        <v>68</v>
      </c>
      <c r="G56" s="77">
        <v>84000</v>
      </c>
      <c r="H56" s="59">
        <v>514.25</v>
      </c>
      <c r="I56" s="60">
        <f t="shared" si="0"/>
        <v>43197000</v>
      </c>
      <c r="J56" s="91">
        <v>12000</v>
      </c>
    </row>
    <row r="57" spans="1:10" ht="31.9" customHeight="1" thickBot="1" x14ac:dyDescent="0.25">
      <c r="A57" s="55">
        <v>48</v>
      </c>
      <c r="B57" s="58"/>
      <c r="C57" s="56" t="s">
        <v>70</v>
      </c>
      <c r="D57" s="57" t="s">
        <v>69</v>
      </c>
      <c r="E57" s="71" t="s">
        <v>117</v>
      </c>
      <c r="F57" s="58" t="s">
        <v>68</v>
      </c>
      <c r="G57" s="76">
        <v>2500</v>
      </c>
      <c r="H57" s="59">
        <v>89</v>
      </c>
      <c r="I57" s="60">
        <f t="shared" si="0"/>
        <v>222500</v>
      </c>
      <c r="J57" s="91">
        <v>1200</v>
      </c>
    </row>
    <row r="58" spans="1:10" ht="31.9" customHeight="1" thickBot="1" x14ac:dyDescent="0.25">
      <c r="A58" s="55">
        <v>49</v>
      </c>
      <c r="B58" s="58"/>
      <c r="C58" s="56" t="s">
        <v>70</v>
      </c>
      <c r="D58" s="57" t="s">
        <v>69</v>
      </c>
      <c r="E58" s="73" t="s">
        <v>118</v>
      </c>
      <c r="F58" s="58" t="s">
        <v>68</v>
      </c>
      <c r="G58" s="74">
        <v>700</v>
      </c>
      <c r="H58" s="59">
        <v>255</v>
      </c>
      <c r="I58" s="60">
        <f t="shared" si="0"/>
        <v>178500</v>
      </c>
      <c r="J58" s="91">
        <v>120</v>
      </c>
    </row>
    <row r="59" spans="1:10" ht="31.9" customHeight="1" thickBot="1" x14ac:dyDescent="0.25">
      <c r="A59" s="55">
        <v>50</v>
      </c>
      <c r="B59" s="58"/>
      <c r="C59" s="56" t="s">
        <v>70</v>
      </c>
      <c r="D59" s="57" t="s">
        <v>69</v>
      </c>
      <c r="E59" s="73" t="s">
        <v>119</v>
      </c>
      <c r="F59" s="58" t="s">
        <v>68</v>
      </c>
      <c r="G59" s="74">
        <v>120</v>
      </c>
      <c r="H59" s="59">
        <v>650</v>
      </c>
      <c r="I59" s="60">
        <f t="shared" si="0"/>
        <v>78000</v>
      </c>
      <c r="J59" s="91">
        <v>120</v>
      </c>
    </row>
    <row r="60" spans="1:10" ht="31.9" customHeight="1" thickBot="1" x14ac:dyDescent="0.25">
      <c r="A60" s="55">
        <v>51</v>
      </c>
      <c r="B60" s="58"/>
      <c r="C60" s="56" t="s">
        <v>70</v>
      </c>
      <c r="D60" s="57" t="s">
        <v>69</v>
      </c>
      <c r="E60" s="75" t="s">
        <v>120</v>
      </c>
      <c r="F60" s="58" t="s">
        <v>68</v>
      </c>
      <c r="G60" s="77">
        <v>6000</v>
      </c>
      <c r="H60" s="59">
        <v>120</v>
      </c>
      <c r="I60" s="60">
        <f t="shared" si="0"/>
        <v>720000</v>
      </c>
      <c r="J60" s="91">
        <v>3600</v>
      </c>
    </row>
    <row r="61" spans="1:10" ht="31.9" customHeight="1" thickBot="1" x14ac:dyDescent="0.25">
      <c r="A61" s="55">
        <v>52</v>
      </c>
      <c r="B61" s="58"/>
      <c r="C61" s="56" t="s">
        <v>70</v>
      </c>
      <c r="D61" s="57" t="s">
        <v>69</v>
      </c>
      <c r="E61" s="73" t="s">
        <v>121</v>
      </c>
      <c r="F61" s="58" t="s">
        <v>68</v>
      </c>
      <c r="G61" s="74">
        <v>22000</v>
      </c>
      <c r="H61" s="59">
        <v>250</v>
      </c>
      <c r="I61" s="60">
        <f t="shared" si="0"/>
        <v>5500000</v>
      </c>
      <c r="J61" s="91">
        <v>2400</v>
      </c>
    </row>
    <row r="62" spans="1:10" ht="31.9" customHeight="1" thickBot="1" x14ac:dyDescent="0.25">
      <c r="A62" s="55">
        <v>53</v>
      </c>
      <c r="B62" s="58"/>
      <c r="C62" s="56" t="s">
        <v>70</v>
      </c>
      <c r="D62" s="57" t="s">
        <v>69</v>
      </c>
      <c r="E62" s="71" t="s">
        <v>122</v>
      </c>
      <c r="F62" s="58" t="s">
        <v>68</v>
      </c>
      <c r="G62" s="76">
        <v>1500</v>
      </c>
      <c r="H62" s="59">
        <v>248</v>
      </c>
      <c r="I62" s="60">
        <f t="shared" si="0"/>
        <v>372000</v>
      </c>
      <c r="J62" s="91">
        <v>1500</v>
      </c>
    </row>
    <row r="63" spans="1:10" ht="31.9" customHeight="1" thickBot="1" x14ac:dyDescent="0.25">
      <c r="A63" s="55">
        <v>54</v>
      </c>
      <c r="B63" s="58"/>
      <c r="C63" s="56" t="s">
        <v>70</v>
      </c>
      <c r="D63" s="57" t="s">
        <v>69</v>
      </c>
      <c r="E63" s="73" t="s">
        <v>123</v>
      </c>
      <c r="F63" s="58" t="s">
        <v>68</v>
      </c>
      <c r="G63" s="74">
        <v>19000</v>
      </c>
      <c r="H63" s="59">
        <v>7</v>
      </c>
      <c r="I63" s="60">
        <f t="shared" si="0"/>
        <v>133000</v>
      </c>
      <c r="J63" s="91">
        <v>4000</v>
      </c>
    </row>
    <row r="64" spans="1:10" ht="31.9" customHeight="1" thickBot="1" x14ac:dyDescent="0.25">
      <c r="A64" s="55">
        <v>55</v>
      </c>
      <c r="B64" s="58"/>
      <c r="C64" s="56" t="s">
        <v>70</v>
      </c>
      <c r="D64" s="57" t="s">
        <v>69</v>
      </c>
      <c r="E64" s="75" t="s">
        <v>124</v>
      </c>
      <c r="F64" s="58" t="s">
        <v>68</v>
      </c>
      <c r="G64" s="77">
        <v>1200</v>
      </c>
      <c r="H64" s="59">
        <v>864.4</v>
      </c>
      <c r="I64" s="60">
        <f t="shared" si="0"/>
        <v>1037280</v>
      </c>
      <c r="J64" s="91">
        <v>1200</v>
      </c>
    </row>
    <row r="65" spans="1:10" ht="31.9" customHeight="1" thickBot="1" x14ac:dyDescent="0.25">
      <c r="A65" s="55">
        <v>56</v>
      </c>
      <c r="B65" s="58"/>
      <c r="C65" s="56" t="s">
        <v>70</v>
      </c>
      <c r="D65" s="57" t="s">
        <v>69</v>
      </c>
      <c r="E65" s="73" t="s">
        <v>125</v>
      </c>
      <c r="F65" s="58" t="s">
        <v>68</v>
      </c>
      <c r="G65" s="80">
        <v>2000</v>
      </c>
      <c r="H65" s="59">
        <v>345</v>
      </c>
      <c r="I65" s="60">
        <f t="shared" si="0"/>
        <v>690000</v>
      </c>
      <c r="J65" s="91">
        <v>600</v>
      </c>
    </row>
    <row r="66" spans="1:10" ht="31.9" customHeight="1" thickBot="1" x14ac:dyDescent="0.25">
      <c r="A66" s="55">
        <v>57</v>
      </c>
      <c r="B66" s="58"/>
      <c r="C66" s="56" t="s">
        <v>70</v>
      </c>
      <c r="D66" s="57" t="s">
        <v>69</v>
      </c>
      <c r="E66" s="82" t="s">
        <v>126</v>
      </c>
      <c r="F66" s="58" t="s">
        <v>68</v>
      </c>
      <c r="G66" s="80">
        <v>2000</v>
      </c>
      <c r="H66" s="59">
        <v>859.1</v>
      </c>
      <c r="I66" s="60">
        <f t="shared" si="0"/>
        <v>1718200</v>
      </c>
      <c r="J66" s="91">
        <v>1200</v>
      </c>
    </row>
    <row r="67" spans="1:10" ht="31.9" customHeight="1" thickBot="1" x14ac:dyDescent="0.25">
      <c r="A67" s="55">
        <v>58</v>
      </c>
      <c r="B67" s="58"/>
      <c r="C67" s="56" t="s">
        <v>70</v>
      </c>
      <c r="D67" s="57" t="s">
        <v>69</v>
      </c>
      <c r="E67" s="82" t="s">
        <v>127</v>
      </c>
      <c r="F67" s="58" t="s">
        <v>68</v>
      </c>
      <c r="G67" s="80">
        <v>7000</v>
      </c>
      <c r="H67" s="59">
        <v>690</v>
      </c>
      <c r="I67" s="60">
        <f t="shared" si="0"/>
        <v>4830000</v>
      </c>
      <c r="J67" s="91">
        <v>4800</v>
      </c>
    </row>
    <row r="68" spans="1:10" ht="31.9" customHeight="1" thickBot="1" x14ac:dyDescent="0.25">
      <c r="A68" s="55">
        <v>59</v>
      </c>
      <c r="B68" s="58"/>
      <c r="C68" s="56" t="s">
        <v>70</v>
      </c>
      <c r="D68" s="57" t="s">
        <v>69</v>
      </c>
      <c r="E68" s="73" t="s">
        <v>128</v>
      </c>
      <c r="F68" s="58" t="s">
        <v>68</v>
      </c>
      <c r="G68" s="74">
        <v>9000</v>
      </c>
      <c r="H68" s="59">
        <v>980</v>
      </c>
      <c r="I68" s="60">
        <f t="shared" si="0"/>
        <v>8820000</v>
      </c>
      <c r="J68" s="91">
        <v>1500</v>
      </c>
    </row>
    <row r="69" spans="1:10" ht="31.9" customHeight="1" thickBot="1" x14ac:dyDescent="0.25">
      <c r="A69" s="55">
        <v>60</v>
      </c>
      <c r="B69" s="58"/>
      <c r="C69" s="56" t="s">
        <v>70</v>
      </c>
      <c r="D69" s="57" t="s">
        <v>69</v>
      </c>
      <c r="E69" s="71" t="s">
        <v>129</v>
      </c>
      <c r="F69" s="58" t="s">
        <v>68</v>
      </c>
      <c r="G69" s="76">
        <v>800</v>
      </c>
      <c r="H69" s="59">
        <v>242</v>
      </c>
      <c r="I69" s="60">
        <f t="shared" si="0"/>
        <v>193600</v>
      </c>
      <c r="J69" s="91">
        <v>200</v>
      </c>
    </row>
    <row r="70" spans="1:10" ht="31.9" customHeight="1" thickBot="1" x14ac:dyDescent="0.25">
      <c r="A70" s="55">
        <v>61</v>
      </c>
      <c r="B70" s="58"/>
      <c r="C70" s="56" t="s">
        <v>70</v>
      </c>
      <c r="D70" s="57" t="s">
        <v>69</v>
      </c>
      <c r="E70" s="73" t="s">
        <v>130</v>
      </c>
      <c r="F70" s="58" t="s">
        <v>68</v>
      </c>
      <c r="G70" s="74">
        <v>220</v>
      </c>
      <c r="H70" s="59">
        <v>560</v>
      </c>
      <c r="I70" s="60">
        <f t="shared" si="0"/>
        <v>123200</v>
      </c>
      <c r="J70" s="91">
        <v>120</v>
      </c>
    </row>
    <row r="71" spans="1:10" ht="31.9" customHeight="1" thickBot="1" x14ac:dyDescent="0.25">
      <c r="A71" s="55">
        <v>62</v>
      </c>
      <c r="B71" s="58"/>
      <c r="C71" s="56" t="s">
        <v>70</v>
      </c>
      <c r="D71" s="57" t="s">
        <v>69</v>
      </c>
      <c r="E71" s="82" t="s">
        <v>131</v>
      </c>
      <c r="F71" s="58" t="s">
        <v>68</v>
      </c>
      <c r="G71" s="80">
        <v>1600</v>
      </c>
      <c r="H71" s="59">
        <v>39</v>
      </c>
      <c r="I71" s="60">
        <f t="shared" si="0"/>
        <v>62400</v>
      </c>
      <c r="J71" s="91">
        <v>600</v>
      </c>
    </row>
    <row r="72" spans="1:10" ht="31.9" customHeight="1" thickBot="1" x14ac:dyDescent="0.25">
      <c r="A72" s="55">
        <v>63</v>
      </c>
      <c r="B72" s="58"/>
      <c r="C72" s="56" t="s">
        <v>70</v>
      </c>
      <c r="D72" s="57" t="s">
        <v>69</v>
      </c>
      <c r="E72" s="73" t="s">
        <v>132</v>
      </c>
      <c r="F72" s="58" t="s">
        <v>68</v>
      </c>
      <c r="G72" s="79">
        <v>800</v>
      </c>
      <c r="H72" s="59">
        <v>286</v>
      </c>
      <c r="I72" s="60">
        <f t="shared" si="0"/>
        <v>228800</v>
      </c>
      <c r="J72" s="91">
        <v>600</v>
      </c>
    </row>
    <row r="73" spans="1:10" ht="31.9" customHeight="1" thickBot="1" x14ac:dyDescent="0.25">
      <c r="A73" s="55">
        <v>64</v>
      </c>
      <c r="B73" s="58"/>
      <c r="C73" s="56" t="s">
        <v>70</v>
      </c>
      <c r="D73" s="57" t="s">
        <v>69</v>
      </c>
      <c r="E73" s="73" t="s">
        <v>133</v>
      </c>
      <c r="F73" s="58" t="s">
        <v>68</v>
      </c>
      <c r="G73" s="79">
        <v>600</v>
      </c>
      <c r="H73" s="59">
        <v>180</v>
      </c>
      <c r="I73" s="60">
        <f t="shared" si="0"/>
        <v>108000</v>
      </c>
      <c r="J73" s="91">
        <v>600</v>
      </c>
    </row>
    <row r="74" spans="1:10" ht="31.9" customHeight="1" thickBot="1" x14ac:dyDescent="0.25">
      <c r="A74" s="55">
        <v>65</v>
      </c>
      <c r="B74" s="58"/>
      <c r="C74" s="56" t="s">
        <v>70</v>
      </c>
      <c r="D74" s="57" t="s">
        <v>69</v>
      </c>
      <c r="E74" s="71" t="s">
        <v>134</v>
      </c>
      <c r="F74" s="58" t="s">
        <v>68</v>
      </c>
      <c r="G74" s="76">
        <v>1000</v>
      </c>
      <c r="H74" s="59">
        <v>634.67999999999995</v>
      </c>
      <c r="I74" s="60">
        <f t="shared" si="0"/>
        <v>634680</v>
      </c>
      <c r="J74" s="91">
        <v>600</v>
      </c>
    </row>
    <row r="75" spans="1:10" ht="31.9" customHeight="1" thickBot="1" x14ac:dyDescent="0.25">
      <c r="A75" s="55">
        <v>66</v>
      </c>
      <c r="B75" s="58"/>
      <c r="C75" s="56" t="s">
        <v>70</v>
      </c>
      <c r="D75" s="57" t="s">
        <v>69</v>
      </c>
      <c r="E75" s="71" t="s">
        <v>139</v>
      </c>
      <c r="F75" s="58" t="s">
        <v>68</v>
      </c>
      <c r="G75" s="76">
        <v>1000</v>
      </c>
      <c r="H75" s="59">
        <v>49</v>
      </c>
      <c r="I75" s="60">
        <f t="shared" ref="I75" si="1">G75*H75</f>
        <v>49000</v>
      </c>
      <c r="J75" s="91" t="s">
        <v>140</v>
      </c>
    </row>
    <row r="76" spans="1:10" ht="31.9" customHeight="1" thickBot="1" x14ac:dyDescent="0.25">
      <c r="A76" s="83"/>
      <c r="B76" s="84"/>
      <c r="C76" s="85"/>
      <c r="D76" s="86"/>
      <c r="E76" s="87"/>
      <c r="F76" s="84"/>
      <c r="G76" s="88"/>
      <c r="H76" s="89"/>
      <c r="I76" s="90">
        <f>SUM(I10:I75)</f>
        <v>144284368.40000001</v>
      </c>
    </row>
    <row r="77" spans="1:10" ht="85.5" customHeight="1" thickBot="1" x14ac:dyDescent="0.25">
      <c r="A77" s="83"/>
      <c r="B77" s="84"/>
      <c r="C77" s="98" t="s">
        <v>138</v>
      </c>
      <c r="D77" s="99"/>
      <c r="E77" s="100"/>
      <c r="F77" s="84"/>
      <c r="G77" s="88"/>
      <c r="H77" s="89"/>
      <c r="I77" s="90"/>
    </row>
    <row r="80" spans="1:10" x14ac:dyDescent="0.2">
      <c r="B80" s="41" t="s">
        <v>14</v>
      </c>
      <c r="C80" s="42"/>
      <c r="D80" s="42"/>
      <c r="E80" s="43"/>
    </row>
    <row r="81" spans="2:5" ht="5.25" customHeight="1" x14ac:dyDescent="0.2">
      <c r="B81" s="44"/>
      <c r="C81" s="45"/>
      <c r="D81" s="45"/>
      <c r="E81" s="46"/>
    </row>
    <row r="82" spans="2:5" x14ac:dyDescent="0.2">
      <c r="B82" s="47" t="s">
        <v>15</v>
      </c>
      <c r="C82" s="45"/>
      <c r="D82" s="45"/>
      <c r="E82" s="46"/>
    </row>
    <row r="83" spans="2:5" ht="41.25" customHeight="1" x14ac:dyDescent="0.2">
      <c r="B83" s="47"/>
      <c r="C83" s="93"/>
      <c r="D83" s="93"/>
      <c r="E83" s="93"/>
    </row>
    <row r="84" spans="2:5" x14ac:dyDescent="0.2">
      <c r="B84" s="47" t="s">
        <v>16</v>
      </c>
      <c r="C84" s="45"/>
      <c r="D84" s="45"/>
      <c r="E84" s="46"/>
    </row>
    <row r="85" spans="2:5" x14ac:dyDescent="0.2">
      <c r="B85" s="48"/>
      <c r="C85" s="96" t="s">
        <v>136</v>
      </c>
      <c r="D85" s="96"/>
      <c r="E85" s="96"/>
    </row>
    <row r="86" spans="2:5" x14ac:dyDescent="0.2">
      <c r="B86" s="48"/>
      <c r="C86" s="97"/>
      <c r="D86" s="97"/>
      <c r="E86" s="97"/>
    </row>
    <row r="87" spans="2:5" x14ac:dyDescent="0.2">
      <c r="B87" s="47" t="s">
        <v>17</v>
      </c>
      <c r="C87" s="45"/>
      <c r="D87" s="45"/>
      <c r="E87" s="46"/>
    </row>
    <row r="88" spans="2:5" ht="26.25" customHeight="1" x14ac:dyDescent="0.2">
      <c r="B88" s="48"/>
      <c r="C88" s="93"/>
      <c r="D88" s="93"/>
      <c r="E88" s="93"/>
    </row>
    <row r="89" spans="2:5" x14ac:dyDescent="0.2">
      <c r="B89" s="47" t="s">
        <v>18</v>
      </c>
      <c r="C89" s="49"/>
      <c r="D89" s="49"/>
      <c r="E89" s="50"/>
    </row>
    <row r="90" spans="2:5" ht="26.25" customHeight="1" x14ac:dyDescent="0.2">
      <c r="B90" s="48"/>
      <c r="C90" s="94" t="s">
        <v>64</v>
      </c>
      <c r="D90" s="94"/>
      <c r="E90" s="94"/>
    </row>
    <row r="91" spans="2:5" x14ac:dyDescent="0.2">
      <c r="B91" s="47" t="s">
        <v>19</v>
      </c>
      <c r="C91" s="45"/>
      <c r="D91" s="45"/>
      <c r="E91" s="46"/>
    </row>
    <row r="92" spans="2:5" ht="23.25" customHeight="1" x14ac:dyDescent="0.2">
      <c r="B92" s="47"/>
      <c r="C92" s="92"/>
      <c r="D92" s="92"/>
      <c r="E92" s="92"/>
    </row>
    <row r="93" spans="2:5" x14ac:dyDescent="0.2">
      <c r="B93" s="51"/>
      <c r="C93" s="52"/>
      <c r="D93" s="52"/>
      <c r="E93" s="53"/>
    </row>
    <row r="95" spans="2:5" x14ac:dyDescent="0.2">
      <c r="B95" s="41" t="s">
        <v>20</v>
      </c>
      <c r="C95" s="42"/>
      <c r="D95" s="42"/>
      <c r="E95" s="43"/>
    </row>
    <row r="96" spans="2:5" ht="7.5" customHeight="1" x14ac:dyDescent="0.2">
      <c r="B96" s="44"/>
      <c r="C96" s="45"/>
      <c r="D96" s="45"/>
      <c r="E96" s="46"/>
    </row>
    <row r="97" spans="2:5" x14ac:dyDescent="0.2">
      <c r="B97" s="47" t="s">
        <v>15</v>
      </c>
      <c r="C97" s="45"/>
      <c r="D97" s="45"/>
      <c r="E97" s="46"/>
    </row>
    <row r="98" spans="2:5" ht="39" customHeight="1" x14ac:dyDescent="0.2">
      <c r="B98" s="47"/>
      <c r="C98" s="93"/>
      <c r="D98" s="93"/>
      <c r="E98" s="93"/>
    </row>
    <row r="99" spans="2:5" x14ac:dyDescent="0.2">
      <c r="B99" s="47" t="s">
        <v>16</v>
      </c>
      <c r="C99" s="45"/>
      <c r="D99" s="45"/>
      <c r="E99" s="46"/>
    </row>
    <row r="100" spans="2:5" x14ac:dyDescent="0.2">
      <c r="B100" s="48"/>
      <c r="C100" s="92"/>
      <c r="D100" s="92"/>
      <c r="E100" s="92"/>
    </row>
    <row r="101" spans="2:5" x14ac:dyDescent="0.2">
      <c r="B101" s="48"/>
      <c r="C101" s="92"/>
      <c r="D101" s="92"/>
      <c r="E101" s="92"/>
    </row>
    <row r="102" spans="2:5" x14ac:dyDescent="0.2">
      <c r="B102" s="47" t="s">
        <v>17</v>
      </c>
      <c r="C102" s="45"/>
      <c r="D102" s="45"/>
      <c r="E102" s="46"/>
    </row>
    <row r="103" spans="2:5" x14ac:dyDescent="0.2">
      <c r="B103" s="48"/>
      <c r="C103" s="93"/>
      <c r="D103" s="93"/>
      <c r="E103" s="93"/>
    </row>
    <row r="104" spans="2:5" x14ac:dyDescent="0.2">
      <c r="B104" s="47" t="s">
        <v>18</v>
      </c>
      <c r="C104" s="49"/>
      <c r="D104" s="49"/>
      <c r="E104" s="50"/>
    </row>
    <row r="105" spans="2:5" x14ac:dyDescent="0.2">
      <c r="B105" s="48"/>
      <c r="C105" s="93"/>
      <c r="D105" s="93"/>
      <c r="E105" s="93"/>
    </row>
    <row r="106" spans="2:5" x14ac:dyDescent="0.2">
      <c r="B106" s="47" t="s">
        <v>19</v>
      </c>
      <c r="C106" s="45"/>
      <c r="D106" s="45"/>
      <c r="E106" s="46"/>
    </row>
    <row r="107" spans="2:5" x14ac:dyDescent="0.2">
      <c r="B107" s="47"/>
      <c r="C107" s="92"/>
      <c r="D107" s="92"/>
      <c r="E107" s="92"/>
    </row>
    <row r="108" spans="2:5" x14ac:dyDescent="0.2">
      <c r="B108" s="51"/>
      <c r="C108" s="52"/>
      <c r="D108" s="52"/>
      <c r="E108" s="53"/>
    </row>
  </sheetData>
  <autoFilter ref="A9:I9" xr:uid="{00000000-0009-0000-0000-000000000000}"/>
  <mergeCells count="20">
    <mergeCell ref="B2:H2"/>
    <mergeCell ref="A4:B4"/>
    <mergeCell ref="C4:E4"/>
    <mergeCell ref="A5:B5"/>
    <mergeCell ref="C5:E5"/>
    <mergeCell ref="A6:B6"/>
    <mergeCell ref="A7:B7"/>
    <mergeCell ref="C83:E83"/>
    <mergeCell ref="C85:E85"/>
    <mergeCell ref="C86:E86"/>
    <mergeCell ref="C77:E77"/>
    <mergeCell ref="C101:E101"/>
    <mergeCell ref="C103:E103"/>
    <mergeCell ref="C105:E105"/>
    <mergeCell ref="C107:E107"/>
    <mergeCell ref="C88:E88"/>
    <mergeCell ref="C90:E90"/>
    <mergeCell ref="C92:E92"/>
    <mergeCell ref="C98:E98"/>
    <mergeCell ref="C100:E10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78"/>
  <sheetViews>
    <sheetView topLeftCell="A30" zoomScale="70" zoomScaleNormal="70" workbookViewId="0">
      <selection activeCell="N29" sqref="N2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1" t="s">
        <v>21</v>
      </c>
      <c r="B1" s="111"/>
      <c r="C1" s="111"/>
      <c r="D1" s="111"/>
      <c r="E1" s="111"/>
      <c r="F1" s="111"/>
      <c r="G1" s="111"/>
      <c r="H1" s="111"/>
      <c r="I1" s="111"/>
      <c r="J1" s="3" t="s">
        <v>22</v>
      </c>
      <c r="K1" s="63" t="s">
        <v>135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2" t="s">
        <v>55</v>
      </c>
      <c r="B3" s="112"/>
      <c r="C3" s="112"/>
      <c r="D3" s="113" t="str">
        <f>'Necesidades Trimestrales'!C4</f>
        <v>40 - 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14" t="s">
        <v>56</v>
      </c>
      <c r="B4" s="114"/>
      <c r="C4" s="114"/>
      <c r="D4" s="113" t="str">
        <f>'Necesidades Trimestrales'!C5</f>
        <v>23 - Hospital Interzonal San Juan Bautista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14" t="s">
        <v>34</v>
      </c>
      <c r="B5" s="114"/>
      <c r="C5" s="114"/>
      <c r="D5" s="113" t="s">
        <v>61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12" t="s">
        <v>57</v>
      </c>
      <c r="B6" s="112"/>
      <c r="C6" s="112"/>
      <c r="D6" s="113" t="s">
        <v>62</v>
      </c>
      <c r="E6" s="113"/>
      <c r="F6" s="113"/>
      <c r="G6" s="113"/>
      <c r="H6" s="113"/>
      <c r="I6" s="113"/>
      <c r="J6" s="113"/>
      <c r="K6" s="113"/>
    </row>
    <row r="7" spans="1:11" ht="16.5" customHeight="1" x14ac:dyDescent="0.2">
      <c r="A7" s="114" t="s">
        <v>23</v>
      </c>
      <c r="B7" s="114"/>
      <c r="C7" s="114"/>
      <c r="D7" s="113" t="str">
        <f>'Necesidades Trimestrales'!C7 &amp; "° Trimestre - Año " &amp; 'Necesidades Trimestrales'!C6</f>
        <v>2° Trimestre - Año 2021</v>
      </c>
      <c r="E7" s="113"/>
      <c r="F7" s="113"/>
      <c r="G7" s="113"/>
      <c r="H7" s="113"/>
      <c r="I7" s="113"/>
      <c r="J7" s="113"/>
      <c r="K7" s="113"/>
    </row>
    <row r="8" spans="1:11" ht="16.5" customHeight="1" x14ac:dyDescent="0.2">
      <c r="A8" s="106" t="s">
        <v>24</v>
      </c>
      <c r="B8" s="106"/>
      <c r="C8" s="106"/>
      <c r="D8" s="107" t="s">
        <v>137</v>
      </c>
      <c r="E8" s="107"/>
      <c r="F8" s="107"/>
      <c r="G8" s="107"/>
      <c r="H8" s="107"/>
      <c r="I8" s="107"/>
      <c r="J8" s="107"/>
      <c r="K8" s="10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8" t="s">
        <v>25</v>
      </c>
      <c r="B10" s="109" t="s">
        <v>26</v>
      </c>
      <c r="C10" s="109" t="s">
        <v>27</v>
      </c>
      <c r="D10" s="109"/>
      <c r="E10" s="109"/>
      <c r="F10" s="109"/>
      <c r="G10" s="109"/>
      <c r="H10" s="109" t="s">
        <v>28</v>
      </c>
      <c r="I10" s="109" t="s">
        <v>29</v>
      </c>
      <c r="J10" s="109" t="s">
        <v>30</v>
      </c>
      <c r="K10" s="110" t="s">
        <v>31</v>
      </c>
    </row>
    <row r="11" spans="1:11" ht="24" customHeight="1" thickBot="1" x14ac:dyDescent="0.25">
      <c r="A11" s="108"/>
      <c r="B11" s="109"/>
      <c r="C11" s="109"/>
      <c r="D11" s="109"/>
      <c r="E11" s="109"/>
      <c r="F11" s="109"/>
      <c r="G11" s="109"/>
      <c r="H11" s="109"/>
      <c r="I11" s="109"/>
      <c r="J11" s="109"/>
      <c r="K11" s="110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03" t="str">
        <f>'Necesidades Trimestrales'!E10</f>
        <v>ACETIL CISTEINA 600 MG COMPRIMIDO EFERVESCENTE</v>
      </c>
      <c r="D12" s="103"/>
      <c r="E12" s="103"/>
      <c r="F12" s="103"/>
      <c r="G12" s="103"/>
      <c r="H12" s="65" t="s">
        <v>58</v>
      </c>
      <c r="I12" s="66" t="str">
        <f>'Necesidades Trimestrales'!F10</f>
        <v>UNIDAD</v>
      </c>
      <c r="J12" s="67">
        <f>'Necesidades Trimestrales'!H10</f>
        <v>55</v>
      </c>
      <c r="K12" s="68">
        <f>'Necesidades Trimestrales'!G10</f>
        <v>3150</v>
      </c>
    </row>
    <row r="13" spans="1:11" ht="20.25" customHeight="1" thickBot="1" x14ac:dyDescent="0.25">
      <c r="A13" s="8">
        <v>2</v>
      </c>
      <c r="B13" s="64">
        <f>'Necesidades Trimestrales'!B11</f>
        <v>0</v>
      </c>
      <c r="C13" s="103" t="str">
        <f>'Necesidades Trimestrales'!E11</f>
        <v>ACIDO ACETIL SALICILICO 100 MG COMPRIMIDO</v>
      </c>
      <c r="D13" s="103"/>
      <c r="E13" s="103"/>
      <c r="F13" s="103"/>
      <c r="G13" s="103"/>
      <c r="H13" s="65" t="s">
        <v>58</v>
      </c>
      <c r="I13" s="66" t="str">
        <f>'Necesidades Trimestrales'!F11</f>
        <v>UNIDAD</v>
      </c>
      <c r="J13" s="67">
        <f>'Necesidades Trimestrales'!H11</f>
        <v>0.98</v>
      </c>
      <c r="K13" s="68">
        <f>'Necesidades Trimestrales'!G11</f>
        <v>2480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03" t="str">
        <f>'Necesidades Trimestrales'!E12</f>
        <v>AGUA DESTILADA EN SACHET X 500 ML</v>
      </c>
      <c r="D14" s="103"/>
      <c r="E14" s="103"/>
      <c r="F14" s="103"/>
      <c r="G14" s="103"/>
      <c r="H14" s="65" t="s">
        <v>58</v>
      </c>
      <c r="I14" s="66" t="str">
        <f>'Necesidades Trimestrales'!F12</f>
        <v>UNIDAD</v>
      </c>
      <c r="J14" s="67">
        <f>'Necesidades Trimestrales'!H12</f>
        <v>140</v>
      </c>
      <c r="K14" s="68">
        <f>'Necesidades Trimestrales'!G12</f>
        <v>710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03" t="str">
        <f>'Necesidades Trimestrales'!E13</f>
        <v>ALBUMINA 20% X 50 ML</v>
      </c>
      <c r="D15" s="103"/>
      <c r="E15" s="103"/>
      <c r="F15" s="103"/>
      <c r="G15" s="103"/>
      <c r="H15" s="65" t="s">
        <v>58</v>
      </c>
      <c r="I15" s="66" t="str">
        <f>'Necesidades Trimestrales'!F13</f>
        <v>UNIDAD</v>
      </c>
      <c r="J15" s="67">
        <f>'Necesidades Trimestrales'!H13</f>
        <v>2079</v>
      </c>
      <c r="K15" s="68">
        <f>'Necesidades Trimestrales'!G13</f>
        <v>260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03" t="str">
        <f>'Necesidades Trimestrales'!E14</f>
        <v>ALIMENTACION ENTERAL FORTIFICADO CON FIBRAS X 1000 ML</v>
      </c>
      <c r="D16" s="103"/>
      <c r="E16" s="103"/>
      <c r="F16" s="103"/>
      <c r="G16" s="103"/>
      <c r="H16" s="65" t="s">
        <v>58</v>
      </c>
      <c r="I16" s="66" t="str">
        <f>'Necesidades Trimestrales'!F14</f>
        <v>UNIDAD</v>
      </c>
      <c r="J16" s="67">
        <f>'Necesidades Trimestrales'!H14</f>
        <v>639.9</v>
      </c>
      <c r="K16" s="68">
        <f>'Necesidades Trimestrales'!G14</f>
        <v>640</v>
      </c>
    </row>
    <row r="17" spans="1:11" ht="20.25" customHeight="1" thickBot="1" x14ac:dyDescent="0.25">
      <c r="A17" s="8">
        <v>6</v>
      </c>
      <c r="B17" s="64">
        <f>'Necesidades Trimestrales'!B15</f>
        <v>0</v>
      </c>
      <c r="C17" s="103" t="str">
        <f>'Necesidades Trimestrales'!E15</f>
        <v>ALIMENTACION ENTERAL X 1000 ML TIPO GLUCERNA</v>
      </c>
      <c r="D17" s="103"/>
      <c r="E17" s="103"/>
      <c r="F17" s="103"/>
      <c r="G17" s="103"/>
      <c r="H17" s="65" t="s">
        <v>58</v>
      </c>
      <c r="I17" s="66" t="str">
        <f>'Necesidades Trimestrales'!F15</f>
        <v>UNIDAD</v>
      </c>
      <c r="J17" s="67">
        <f>'Necesidades Trimestrales'!H15</f>
        <v>989</v>
      </c>
      <c r="K17" s="68">
        <f>'Necesidades Trimestrales'!G15</f>
        <v>640</v>
      </c>
    </row>
    <row r="18" spans="1:11" ht="20.25" customHeight="1" thickBot="1" x14ac:dyDescent="0.25">
      <c r="A18" s="8">
        <v>7</v>
      </c>
      <c r="B18" s="64">
        <f>'Necesidades Trimestrales'!B16</f>
        <v>0</v>
      </c>
      <c r="C18" s="103" t="str">
        <f>'Necesidades Trimestrales'!E16</f>
        <v>ALIMENTACION ENTERAL X 500 ML TIPO DIBEN</v>
      </c>
      <c r="D18" s="103"/>
      <c r="E18" s="103"/>
      <c r="F18" s="103"/>
      <c r="G18" s="103"/>
      <c r="H18" s="65" t="s">
        <v>58</v>
      </c>
      <c r="I18" s="66" t="str">
        <f>'Necesidades Trimestrales'!F16</f>
        <v>UNIDAD</v>
      </c>
      <c r="J18" s="67">
        <f>'Necesidades Trimestrales'!H16</f>
        <v>460.95</v>
      </c>
      <c r="K18" s="68">
        <f>'Necesidades Trimestrales'!G16</f>
        <v>3600</v>
      </c>
    </row>
    <row r="19" spans="1:11" ht="20.25" customHeight="1" thickBot="1" x14ac:dyDescent="0.25">
      <c r="A19" s="8">
        <v>8</v>
      </c>
      <c r="B19" s="64">
        <f>'Necesidades Trimestrales'!B17</f>
        <v>0</v>
      </c>
      <c r="C19" s="103" t="str">
        <f>'Necesidades Trimestrales'!E17</f>
        <v>ALIMENTACION PARENTERAL INYECTABLE DE GRAN VOLUMEN TIPO OLI CLINOMEL/SMOKAVIBEN</v>
      </c>
      <c r="D19" s="103"/>
      <c r="E19" s="103"/>
      <c r="F19" s="103"/>
      <c r="G19" s="103"/>
      <c r="H19" s="65" t="s">
        <v>58</v>
      </c>
      <c r="I19" s="66" t="str">
        <f>'Necesidades Trimestrales'!F17</f>
        <v>UNIDAD</v>
      </c>
      <c r="J19" s="67">
        <f>'Necesidades Trimestrales'!H17</f>
        <v>4600</v>
      </c>
      <c r="K19" s="68">
        <f>'Necesidades Trimestrales'!G17</f>
        <v>60</v>
      </c>
    </row>
    <row r="20" spans="1:11" ht="20.25" customHeight="1" thickBot="1" x14ac:dyDescent="0.25">
      <c r="A20" s="8">
        <v>9</v>
      </c>
      <c r="B20" s="64">
        <f>'Necesidades Trimestrales'!B18</f>
        <v>0</v>
      </c>
      <c r="C20" s="103" t="str">
        <f>'Necesidades Trimestrales'!E18</f>
        <v>AMIKACINA 500 MG AMPOLLA</v>
      </c>
      <c r="D20" s="103"/>
      <c r="E20" s="103"/>
      <c r="F20" s="103"/>
      <c r="G20" s="103"/>
      <c r="H20" s="65" t="s">
        <v>58</v>
      </c>
      <c r="I20" s="66" t="str">
        <f>'Necesidades Trimestrales'!F18</f>
        <v>UNIDAD</v>
      </c>
      <c r="J20" s="67">
        <f>'Necesidades Trimestrales'!H18</f>
        <v>58</v>
      </c>
      <c r="K20" s="68">
        <f>'Necesidades Trimestrales'!G18</f>
        <v>620</v>
      </c>
    </row>
    <row r="21" spans="1:11" ht="20.25" customHeight="1" thickBot="1" x14ac:dyDescent="0.25">
      <c r="A21" s="8">
        <v>10</v>
      </c>
      <c r="B21" s="64">
        <f>'Necesidades Trimestrales'!B19</f>
        <v>0</v>
      </c>
      <c r="C21" s="103" t="str">
        <f>'Necesidades Trimestrales'!E19</f>
        <v>AMOXICILINA + CLAVULANICO 1 G COMPRIMIDO</v>
      </c>
      <c r="D21" s="103"/>
      <c r="E21" s="103"/>
      <c r="F21" s="103"/>
      <c r="G21" s="103"/>
      <c r="H21" s="65" t="s">
        <v>58</v>
      </c>
      <c r="I21" s="66" t="str">
        <f>'Necesidades Trimestrales'!F19</f>
        <v>UNIDAD</v>
      </c>
      <c r="J21" s="67">
        <f>'Necesidades Trimestrales'!H19</f>
        <v>34</v>
      </c>
      <c r="K21" s="68">
        <f>'Necesidades Trimestrales'!G19</f>
        <v>720</v>
      </c>
    </row>
    <row r="22" spans="1:11" ht="20.25" customHeight="1" thickBot="1" x14ac:dyDescent="0.25">
      <c r="A22" s="8">
        <v>11</v>
      </c>
      <c r="B22" s="64">
        <f>'Necesidades Trimestrales'!B20</f>
        <v>0</v>
      </c>
      <c r="C22" s="103" t="str">
        <f>'Necesidades Trimestrales'!E20</f>
        <v>AMPICILINA + SULBACTAM 1,5 MG FCO AMPOLLA</v>
      </c>
      <c r="D22" s="103"/>
      <c r="E22" s="103"/>
      <c r="F22" s="103"/>
      <c r="G22" s="103"/>
      <c r="H22" s="65" t="s">
        <v>58</v>
      </c>
      <c r="I22" s="66" t="str">
        <f>'Necesidades Trimestrales'!F20</f>
        <v>UNIDAD</v>
      </c>
      <c r="J22" s="67">
        <f>'Necesidades Trimestrales'!H20</f>
        <v>134</v>
      </c>
      <c r="K22" s="68">
        <f>'Necesidades Trimestrales'!G20</f>
        <v>16000</v>
      </c>
    </row>
    <row r="23" spans="1:11" ht="20.25" customHeight="1" thickBot="1" x14ac:dyDescent="0.25">
      <c r="A23" s="8">
        <v>12</v>
      </c>
      <c r="B23" s="64">
        <f>'Necesidades Trimestrales'!B21</f>
        <v>0</v>
      </c>
      <c r="C23" s="103" t="str">
        <f>'Necesidades Trimestrales'!E21</f>
        <v>ANFOTERICINA B VIAL 50 MG</v>
      </c>
      <c r="D23" s="103"/>
      <c r="E23" s="103"/>
      <c r="F23" s="103"/>
      <c r="G23" s="103"/>
      <c r="H23" s="65" t="s">
        <v>58</v>
      </c>
      <c r="I23" s="66" t="str">
        <f>'Necesidades Trimestrales'!F21</f>
        <v>UNIDAD</v>
      </c>
      <c r="J23" s="67">
        <f>'Necesidades Trimestrales'!H21</f>
        <v>609.6</v>
      </c>
      <c r="K23" s="68">
        <f>'Necesidades Trimestrales'!G21</f>
        <v>70</v>
      </c>
    </row>
    <row r="24" spans="1:11" ht="20.25" customHeight="1" thickBot="1" x14ac:dyDescent="0.25">
      <c r="A24" s="8">
        <v>13</v>
      </c>
      <c r="B24" s="64">
        <f>'Necesidades Trimestrales'!B22</f>
        <v>0</v>
      </c>
      <c r="C24" s="103" t="str">
        <f>'Necesidades Trimestrales'!E22</f>
        <v>ATRACURIUM 50 MG AMPOLLA</v>
      </c>
      <c r="D24" s="103"/>
      <c r="E24" s="103"/>
      <c r="F24" s="103"/>
      <c r="G24" s="103"/>
      <c r="H24" s="65" t="s">
        <v>58</v>
      </c>
      <c r="I24" s="66" t="str">
        <f>'Necesidades Trimestrales'!F22</f>
        <v>UNIDAD</v>
      </c>
      <c r="J24" s="67">
        <f>'Necesidades Trimestrales'!H22</f>
        <v>732</v>
      </c>
      <c r="K24" s="68">
        <f>'Necesidades Trimestrales'!G22</f>
        <v>16400</v>
      </c>
    </row>
    <row r="25" spans="1:11" ht="20.25" customHeight="1" thickBot="1" x14ac:dyDescent="0.25">
      <c r="A25" s="8">
        <v>14</v>
      </c>
      <c r="B25" s="64">
        <f>'Necesidades Trimestrales'!B23</f>
        <v>0</v>
      </c>
      <c r="C25" s="103" t="str">
        <f>'Necesidades Trimestrales'!E23</f>
        <v xml:space="preserve">AZITROMICINA 500 MG COMPRIMIDOS </v>
      </c>
      <c r="D25" s="103"/>
      <c r="E25" s="103"/>
      <c r="F25" s="103"/>
      <c r="G25" s="103"/>
      <c r="H25" s="65" t="s">
        <v>58</v>
      </c>
      <c r="I25" s="66" t="str">
        <f>'Necesidades Trimestrales'!F23</f>
        <v>UNIDAD</v>
      </c>
      <c r="J25" s="67">
        <f>'Necesidades Trimestrales'!H23</f>
        <v>35</v>
      </c>
      <c r="K25" s="68">
        <f>'Necesidades Trimestrales'!G23</f>
        <v>1000</v>
      </c>
    </row>
    <row r="26" spans="1:11" ht="20.25" customHeight="1" thickBot="1" x14ac:dyDescent="0.25">
      <c r="A26" s="8">
        <v>15</v>
      </c>
      <c r="B26" s="64">
        <f>'Necesidades Trimestrales'!B24</f>
        <v>0</v>
      </c>
      <c r="C26" s="103" t="str">
        <f>'Necesidades Trimestrales'!E24</f>
        <v>BUDESONIDE AEROSOL 200 MCG/PUFF ( 100 DOSIS )</v>
      </c>
      <c r="D26" s="103"/>
      <c r="E26" s="103"/>
      <c r="F26" s="103"/>
      <c r="G26" s="103"/>
      <c r="H26" s="65" t="s">
        <v>58</v>
      </c>
      <c r="I26" s="66" t="str">
        <f>'Necesidades Trimestrales'!F24</f>
        <v>UNIDAD</v>
      </c>
      <c r="J26" s="67">
        <f>'Necesidades Trimestrales'!H24</f>
        <v>482.31</v>
      </c>
      <c r="K26" s="68">
        <f>'Necesidades Trimestrales'!G24</f>
        <v>10000</v>
      </c>
    </row>
    <row r="27" spans="1:11" ht="20.25" customHeight="1" thickBot="1" x14ac:dyDescent="0.25">
      <c r="A27" s="8">
        <v>16</v>
      </c>
      <c r="B27" s="64">
        <f>'Necesidades Trimestrales'!B25</f>
        <v>0</v>
      </c>
      <c r="C27" s="103" t="str">
        <f>'Necesidades Trimestrales'!E25</f>
        <v>CEFTAZIDIMA 1G FCO AMPOLLA</v>
      </c>
      <c r="D27" s="103"/>
      <c r="E27" s="103"/>
      <c r="F27" s="103"/>
      <c r="G27" s="103"/>
      <c r="H27" s="65" t="s">
        <v>58</v>
      </c>
      <c r="I27" s="66" t="str">
        <f>'Necesidades Trimestrales'!F25</f>
        <v>UNIDAD</v>
      </c>
      <c r="J27" s="67">
        <f>'Necesidades Trimestrales'!H25</f>
        <v>196.9</v>
      </c>
      <c r="K27" s="68">
        <f>'Necesidades Trimestrales'!G25</f>
        <v>2900</v>
      </c>
    </row>
    <row r="28" spans="1:11" ht="20.25" customHeight="1" thickBot="1" x14ac:dyDescent="0.25">
      <c r="A28" s="8">
        <v>17</v>
      </c>
      <c r="B28" s="64">
        <f>'Necesidades Trimestrales'!B26</f>
        <v>0</v>
      </c>
      <c r="C28" s="103" t="str">
        <f>'Necesidades Trimestrales'!E26</f>
        <v>CEFTRIAXONA 1 GR FCO AMPOLLA *</v>
      </c>
      <c r="D28" s="103"/>
      <c r="E28" s="103"/>
      <c r="F28" s="103"/>
      <c r="G28" s="103"/>
      <c r="H28" s="65" t="s">
        <v>58</v>
      </c>
      <c r="I28" s="66" t="str">
        <f>'Necesidades Trimestrales'!F26</f>
        <v>UNIDAD</v>
      </c>
      <c r="J28" s="67">
        <f>'Necesidades Trimestrales'!H26</f>
        <v>120</v>
      </c>
      <c r="K28" s="68">
        <f>'Necesidades Trimestrales'!G26</f>
        <v>3900</v>
      </c>
    </row>
    <row r="29" spans="1:11" ht="20.25" customHeight="1" thickBot="1" x14ac:dyDescent="0.25">
      <c r="A29" s="8">
        <v>18</v>
      </c>
      <c r="B29" s="64">
        <f>'Necesidades Trimestrales'!B27</f>
        <v>0</v>
      </c>
      <c r="C29" s="103" t="str">
        <f>'Necesidades Trimestrales'!E27</f>
        <v>CLARITROMICINA 500 MG COMPRIMIDO</v>
      </c>
      <c r="D29" s="103"/>
      <c r="E29" s="103"/>
      <c r="F29" s="103"/>
      <c r="G29" s="103"/>
      <c r="H29" s="65" t="s">
        <v>58</v>
      </c>
      <c r="I29" s="66" t="str">
        <f>'Necesidades Trimestrales'!F27</f>
        <v>UNIDAD</v>
      </c>
      <c r="J29" s="67">
        <f>'Necesidades Trimestrales'!H27</f>
        <v>35</v>
      </c>
      <c r="K29" s="68">
        <f>'Necesidades Trimestrales'!G27</f>
        <v>2400</v>
      </c>
    </row>
    <row r="30" spans="1:11" ht="20.25" customHeight="1" thickBot="1" x14ac:dyDescent="0.25">
      <c r="A30" s="8">
        <v>19</v>
      </c>
      <c r="B30" s="64">
        <f>'Necesidades Trimestrales'!B28</f>
        <v>0</v>
      </c>
      <c r="C30" s="103" t="str">
        <f>'Necesidades Trimestrales'!E28</f>
        <v>CLINDAMICINA 600 MG AMPOLLA</v>
      </c>
      <c r="D30" s="103"/>
      <c r="E30" s="103"/>
      <c r="F30" s="103"/>
      <c r="G30" s="103"/>
      <c r="H30" s="65" t="s">
        <v>58</v>
      </c>
      <c r="I30" s="66" t="str">
        <f>'Necesidades Trimestrales'!F28</f>
        <v>UNIDAD</v>
      </c>
      <c r="J30" s="67">
        <f>'Necesidades Trimestrales'!H28</f>
        <v>62</v>
      </c>
      <c r="K30" s="68">
        <f>'Necesidades Trimestrales'!G28</f>
        <v>6600</v>
      </c>
    </row>
    <row r="31" spans="1:11" ht="20.25" customHeight="1" thickBot="1" x14ac:dyDescent="0.25">
      <c r="A31" s="8">
        <v>20</v>
      </c>
      <c r="B31" s="64">
        <f>'Necesidades Trimestrales'!B29</f>
        <v>0</v>
      </c>
      <c r="C31" s="103" t="str">
        <f>'Necesidades Trimestrales'!E29</f>
        <v>CLORURO DE POTASIO 223 MG/ML AMPOLLA</v>
      </c>
      <c r="D31" s="103"/>
      <c r="E31" s="103"/>
      <c r="F31" s="103"/>
      <c r="G31" s="103"/>
      <c r="H31" s="65" t="s">
        <v>58</v>
      </c>
      <c r="I31" s="66" t="str">
        <f>'Necesidades Trimestrales'!F29</f>
        <v>UNIDAD</v>
      </c>
      <c r="J31" s="67">
        <f>'Necesidades Trimestrales'!H29</f>
        <v>30</v>
      </c>
      <c r="K31" s="68">
        <f>'Necesidades Trimestrales'!G29</f>
        <v>10000</v>
      </c>
    </row>
    <row r="32" spans="1:11" ht="20.25" customHeight="1" thickBot="1" x14ac:dyDescent="0.25">
      <c r="A32" s="8">
        <v>21</v>
      </c>
      <c r="B32" s="64">
        <f>'Necesidades Trimestrales'!B30</f>
        <v>0</v>
      </c>
      <c r="C32" s="103" t="str">
        <f>'Necesidades Trimestrales'!E30</f>
        <v>CLORURO DE SODIO AL 20% AMPOLLAS</v>
      </c>
      <c r="D32" s="103"/>
      <c r="E32" s="103"/>
      <c r="F32" s="103"/>
      <c r="G32" s="103"/>
      <c r="H32" s="65" t="s">
        <v>58</v>
      </c>
      <c r="I32" s="66" t="str">
        <f>'Necesidades Trimestrales'!F30</f>
        <v>UNIDAD</v>
      </c>
      <c r="J32" s="67">
        <f>'Necesidades Trimestrales'!H30</f>
        <v>34</v>
      </c>
      <c r="K32" s="68">
        <f>'Necesidades Trimestrales'!G30</f>
        <v>600</v>
      </c>
    </row>
    <row r="33" spans="1:11" ht="20.25" customHeight="1" thickBot="1" x14ac:dyDescent="0.25">
      <c r="A33" s="8">
        <v>22</v>
      </c>
      <c r="B33" s="64">
        <f>'Necesidades Trimestrales'!B31</f>
        <v>0</v>
      </c>
      <c r="C33" s="103" t="str">
        <f>'Necesidades Trimestrales'!E31</f>
        <v>COMPLEJO B AMPOLLAS TIPO BECOZYM NF</v>
      </c>
      <c r="D33" s="103"/>
      <c r="E33" s="103"/>
      <c r="F33" s="103"/>
      <c r="G33" s="103"/>
      <c r="H33" s="65" t="s">
        <v>58</v>
      </c>
      <c r="I33" s="66" t="str">
        <f>'Necesidades Trimestrales'!F31</f>
        <v>UNIDAD</v>
      </c>
      <c r="J33" s="67">
        <f>'Necesidades Trimestrales'!H31</f>
        <v>62</v>
      </c>
      <c r="K33" s="68">
        <f>'Necesidades Trimestrales'!G31</f>
        <v>5000</v>
      </c>
    </row>
    <row r="34" spans="1:11" ht="20.25" customHeight="1" thickBot="1" x14ac:dyDescent="0.25">
      <c r="A34" s="8">
        <v>23</v>
      </c>
      <c r="B34" s="64">
        <f>'Necesidades Trimestrales'!B32</f>
        <v>0</v>
      </c>
      <c r="C34" s="103" t="str">
        <f>'Necesidades Trimestrales'!E32</f>
        <v>COMPLEJO B COMPRIMIDOS TIPO BECOZYM NF</v>
      </c>
      <c r="D34" s="103"/>
      <c r="E34" s="103"/>
      <c r="F34" s="103"/>
      <c r="G34" s="103"/>
      <c r="H34" s="65" t="s">
        <v>58</v>
      </c>
      <c r="I34" s="66" t="str">
        <f>'Necesidades Trimestrales'!F32</f>
        <v>UNIDAD</v>
      </c>
      <c r="J34" s="67">
        <f>'Necesidades Trimestrales'!H32</f>
        <v>22</v>
      </c>
      <c r="K34" s="68">
        <f>'Necesidades Trimestrales'!G32</f>
        <v>900</v>
      </c>
    </row>
    <row r="35" spans="1:11" ht="20.25" customHeight="1" thickBot="1" x14ac:dyDescent="0.25">
      <c r="A35" s="8">
        <v>24</v>
      </c>
      <c r="B35" s="64">
        <f>'Necesidades Trimestrales'!B33</f>
        <v>0</v>
      </c>
      <c r="C35" s="103" t="str">
        <f>'Necesidades Trimestrales'!E33</f>
        <v>COTRIMOXAZOL(TRIMETOPRINA +SULFAMETOXAZOL)80MG/400MG AMPOLLA</v>
      </c>
      <c r="D35" s="103"/>
      <c r="E35" s="103"/>
      <c r="F35" s="103"/>
      <c r="G35" s="103"/>
      <c r="H35" s="65" t="s">
        <v>58</v>
      </c>
      <c r="I35" s="66" t="str">
        <f>'Necesidades Trimestrales'!F33</f>
        <v>UNIDAD</v>
      </c>
      <c r="J35" s="67">
        <f>'Necesidades Trimestrales'!H33</f>
        <v>214</v>
      </c>
      <c r="K35" s="68">
        <f>'Necesidades Trimestrales'!G33</f>
        <v>1500</v>
      </c>
    </row>
    <row r="36" spans="1:11" ht="20.25" customHeight="1" thickBot="1" x14ac:dyDescent="0.25">
      <c r="A36" s="8">
        <v>25</v>
      </c>
      <c r="B36" s="64">
        <f>'Necesidades Trimestrales'!B34</f>
        <v>0</v>
      </c>
      <c r="C36" s="103" t="str">
        <f>'Necesidades Trimestrales'!E34</f>
        <v>COTRIMOXAZOL(TRIMETOPRINA +SULFAMETOXAZOL)COMPRIMIDOS 160MG/800MG</v>
      </c>
      <c r="D36" s="103"/>
      <c r="E36" s="103"/>
      <c r="F36" s="103"/>
      <c r="G36" s="103"/>
      <c r="H36" s="65" t="s">
        <v>58</v>
      </c>
      <c r="I36" s="66" t="str">
        <f>'Necesidades Trimestrales'!F34</f>
        <v>UNIDAD</v>
      </c>
      <c r="J36" s="67">
        <f>'Necesidades Trimestrales'!H34</f>
        <v>7.2</v>
      </c>
      <c r="K36" s="68">
        <f>'Necesidades Trimestrales'!G34</f>
        <v>1500</v>
      </c>
    </row>
    <row r="37" spans="1:11" ht="20.25" customHeight="1" thickBot="1" x14ac:dyDescent="0.25">
      <c r="A37" s="8">
        <v>26</v>
      </c>
      <c r="B37" s="64">
        <f>'Necesidades Trimestrales'!B35</f>
        <v>0</v>
      </c>
      <c r="C37" s="103" t="str">
        <f>'Necesidades Trimestrales'!E35</f>
        <v>DEXAMETASONA 8 MG AMPOLLA</v>
      </c>
      <c r="D37" s="103"/>
      <c r="E37" s="103"/>
      <c r="F37" s="103"/>
      <c r="G37" s="103"/>
      <c r="H37" s="65" t="s">
        <v>58</v>
      </c>
      <c r="I37" s="66" t="str">
        <f>'Necesidades Trimestrales'!F35</f>
        <v>UNIDAD</v>
      </c>
      <c r="J37" s="67">
        <f>'Necesidades Trimestrales'!H35</f>
        <v>35</v>
      </c>
      <c r="K37" s="68">
        <f>'Necesidades Trimestrales'!G35</f>
        <v>14000</v>
      </c>
    </row>
    <row r="38" spans="1:11" ht="20.25" customHeight="1" thickBot="1" x14ac:dyDescent="0.25">
      <c r="A38" s="8">
        <v>27</v>
      </c>
      <c r="B38" s="64">
        <f>'Necesidades Trimestrales'!B36</f>
        <v>0</v>
      </c>
      <c r="C38" s="103" t="str">
        <f>'Necesidades Trimestrales'!E36</f>
        <v>DEXAMETASONA 8 MG COMPRIMIDO</v>
      </c>
      <c r="D38" s="103"/>
      <c r="E38" s="103"/>
      <c r="F38" s="103"/>
      <c r="G38" s="103"/>
      <c r="H38" s="65" t="s">
        <v>58</v>
      </c>
      <c r="I38" s="66" t="str">
        <f>'Necesidades Trimestrales'!F36</f>
        <v>UNIDAD</v>
      </c>
      <c r="J38" s="67">
        <f>'Necesidades Trimestrales'!H36</f>
        <v>42</v>
      </c>
      <c r="K38" s="68">
        <f>'Necesidades Trimestrales'!G36</f>
        <v>4800</v>
      </c>
    </row>
    <row r="39" spans="1:11" ht="20.25" customHeight="1" thickBot="1" x14ac:dyDescent="0.25">
      <c r="A39" s="8">
        <v>28</v>
      </c>
      <c r="B39" s="64">
        <f>'Necesidades Trimestrales'!B37</f>
        <v>0</v>
      </c>
      <c r="C39" s="103" t="str">
        <f>'Necesidades Trimestrales'!E37</f>
        <v>DEXMETOMIDINA 200MG /2 ML</v>
      </c>
      <c r="D39" s="103"/>
      <c r="E39" s="103"/>
      <c r="F39" s="103"/>
      <c r="G39" s="103"/>
      <c r="H39" s="65" t="s">
        <v>58</v>
      </c>
      <c r="I39" s="66" t="str">
        <f>'Necesidades Trimestrales'!F37</f>
        <v>UNIDAD</v>
      </c>
      <c r="J39" s="67">
        <f>'Necesidades Trimestrales'!H37</f>
        <v>440</v>
      </c>
      <c r="K39" s="68">
        <f>'Necesidades Trimestrales'!G37</f>
        <v>600</v>
      </c>
    </row>
    <row r="40" spans="1:11" ht="20.25" customHeight="1" thickBot="1" x14ac:dyDescent="0.25">
      <c r="A40" s="8">
        <v>29</v>
      </c>
      <c r="B40" s="64">
        <f>'Necesidades Trimestrales'!B38</f>
        <v>0</v>
      </c>
      <c r="C40" s="103" t="str">
        <f>'Necesidades Trimestrales'!E38</f>
        <v>DIAZEPAM 10 MG AMPOLLA</v>
      </c>
      <c r="D40" s="103"/>
      <c r="E40" s="103"/>
      <c r="F40" s="103"/>
      <c r="G40" s="103"/>
      <c r="H40" s="65" t="s">
        <v>58</v>
      </c>
      <c r="I40" s="66" t="str">
        <f>'Necesidades Trimestrales'!F38</f>
        <v>UNIDAD</v>
      </c>
      <c r="J40" s="67">
        <f>'Necesidades Trimestrales'!H38</f>
        <v>35</v>
      </c>
      <c r="K40" s="68">
        <f>'Necesidades Trimestrales'!G38</f>
        <v>1600</v>
      </c>
    </row>
    <row r="41" spans="1:11" ht="20.25" customHeight="1" thickBot="1" x14ac:dyDescent="0.25">
      <c r="A41" s="8">
        <v>30</v>
      </c>
      <c r="B41" s="64">
        <f>'Necesidades Trimestrales'!B39</f>
        <v>0</v>
      </c>
      <c r="C41" s="103" t="str">
        <f>'Necesidades Trimestrales'!E39</f>
        <v>DOBUTAMINA AMPOLLA</v>
      </c>
      <c r="D41" s="103"/>
      <c r="E41" s="103"/>
      <c r="F41" s="103"/>
      <c r="G41" s="103"/>
      <c r="H41" s="65" t="s">
        <v>58</v>
      </c>
      <c r="I41" s="66" t="str">
        <f>'Necesidades Trimestrales'!F39</f>
        <v>UNIDAD</v>
      </c>
      <c r="J41" s="67">
        <f>'Necesidades Trimestrales'!H39</f>
        <v>304</v>
      </c>
      <c r="K41" s="68">
        <f>'Necesidades Trimestrales'!G39</f>
        <v>500</v>
      </c>
    </row>
    <row r="42" spans="1:11" ht="20.25" customHeight="1" thickBot="1" x14ac:dyDescent="0.25">
      <c r="A42" s="8">
        <v>31</v>
      </c>
      <c r="B42" s="64">
        <f>'Necesidades Trimestrales'!B40</f>
        <v>0</v>
      </c>
      <c r="C42" s="103" t="str">
        <f>'Necesidades Trimestrales'!E40</f>
        <v>DOPAMINA 200 MG  AMPOLLA</v>
      </c>
      <c r="D42" s="103"/>
      <c r="E42" s="103"/>
      <c r="F42" s="103"/>
      <c r="G42" s="103"/>
      <c r="H42" s="65" t="s">
        <v>58</v>
      </c>
      <c r="I42" s="66" t="str">
        <f>'Necesidades Trimestrales'!F40</f>
        <v>UNIDAD</v>
      </c>
      <c r="J42" s="67">
        <f>'Necesidades Trimestrales'!H40</f>
        <v>85</v>
      </c>
      <c r="K42" s="68">
        <f>'Necesidades Trimestrales'!G40</f>
        <v>1500</v>
      </c>
    </row>
    <row r="43" spans="1:11" ht="20.25" customHeight="1" thickBot="1" x14ac:dyDescent="0.25">
      <c r="A43" s="8">
        <v>32</v>
      </c>
      <c r="B43" s="64">
        <f>'Necesidades Trimestrales'!B41</f>
        <v>0</v>
      </c>
      <c r="C43" s="103" t="str">
        <f>'Necesidades Trimestrales'!E41</f>
        <v>ENOXAPARINA 40 MG AMPOLLA PRELLENA</v>
      </c>
      <c r="D43" s="103"/>
      <c r="E43" s="103"/>
      <c r="F43" s="103"/>
      <c r="G43" s="103"/>
      <c r="H43" s="65" t="s">
        <v>58</v>
      </c>
      <c r="I43" s="66" t="str">
        <f>'Necesidades Trimestrales'!F41</f>
        <v>UNIDAD</v>
      </c>
      <c r="J43" s="67">
        <f>'Necesidades Trimestrales'!H41</f>
        <v>1200</v>
      </c>
      <c r="K43" s="68">
        <f>'Necesidades Trimestrales'!G41</f>
        <v>24000</v>
      </c>
    </row>
    <row r="44" spans="1:11" ht="20.25" customHeight="1" thickBot="1" x14ac:dyDescent="0.25">
      <c r="A44" s="8">
        <v>33</v>
      </c>
      <c r="B44" s="64">
        <f>'Necesidades Trimestrales'!B42</f>
        <v>0</v>
      </c>
      <c r="C44" s="103" t="str">
        <f>'Necesidades Trimestrales'!E42</f>
        <v>FENTANILO 250 MCG INYECTABLE</v>
      </c>
      <c r="D44" s="103"/>
      <c r="E44" s="103"/>
      <c r="F44" s="103"/>
      <c r="G44" s="103"/>
      <c r="H44" s="65" t="s">
        <v>58</v>
      </c>
      <c r="I44" s="66" t="str">
        <f>'Necesidades Trimestrales'!F42</f>
        <v>UNIDAD</v>
      </c>
      <c r="J44" s="67">
        <f>'Necesidades Trimestrales'!H42</f>
        <v>387.2</v>
      </c>
      <c r="K44" s="68">
        <f>'Necesidades Trimestrales'!G42</f>
        <v>8600</v>
      </c>
    </row>
    <row r="45" spans="1:11" ht="20.25" customHeight="1" thickBot="1" x14ac:dyDescent="0.25">
      <c r="A45" s="8">
        <v>34</v>
      </c>
      <c r="B45" s="64">
        <f>'Necesidades Trimestrales'!B43</f>
        <v>0</v>
      </c>
      <c r="C45" s="103" t="str">
        <f>'Necesidades Trimestrales'!E43</f>
        <v>GELATINA AL 4% SACHET X 500 ML</v>
      </c>
      <c r="D45" s="103"/>
      <c r="E45" s="103"/>
      <c r="F45" s="103"/>
      <c r="G45" s="103"/>
      <c r="H45" s="65" t="s">
        <v>58</v>
      </c>
      <c r="I45" s="66" t="str">
        <f>'Necesidades Trimestrales'!F43</f>
        <v>UNIDAD</v>
      </c>
      <c r="J45" s="67">
        <f>'Necesidades Trimestrales'!H43</f>
        <v>740.25</v>
      </c>
      <c r="K45" s="68">
        <f>'Necesidades Trimestrales'!G43</f>
        <v>120</v>
      </c>
    </row>
    <row r="46" spans="1:11" ht="20.25" customHeight="1" thickBot="1" x14ac:dyDescent="0.25">
      <c r="A46" s="8">
        <v>35</v>
      </c>
      <c r="B46" s="64">
        <f>'Necesidades Trimestrales'!B44</f>
        <v>0</v>
      </c>
      <c r="C46" s="103" t="str">
        <f>'Necesidades Trimestrales'!E44</f>
        <v>GENTAMICINA 80 MG AMPOLLA</v>
      </c>
      <c r="D46" s="103"/>
      <c r="E46" s="103"/>
      <c r="F46" s="103"/>
      <c r="G46" s="103"/>
      <c r="H46" s="65" t="s">
        <v>58</v>
      </c>
      <c r="I46" s="66" t="str">
        <f>'Necesidades Trimestrales'!F44</f>
        <v>UNIDAD</v>
      </c>
      <c r="J46" s="67">
        <f>'Necesidades Trimestrales'!H44</f>
        <v>32.200000000000003</v>
      </c>
      <c r="K46" s="68">
        <f>'Necesidades Trimestrales'!G44</f>
        <v>300</v>
      </c>
    </row>
    <row r="47" spans="1:11" ht="20.25" customHeight="1" thickBot="1" x14ac:dyDescent="0.25">
      <c r="A47" s="8">
        <v>36</v>
      </c>
      <c r="B47" s="64">
        <f>'Necesidades Trimestrales'!B45</f>
        <v>0</v>
      </c>
      <c r="C47" s="103" t="str">
        <f>'Necesidades Trimestrales'!E45</f>
        <v>GLUCONATO DE CALCIO 10 % AMPOLLA</v>
      </c>
      <c r="D47" s="103"/>
      <c r="E47" s="103"/>
      <c r="F47" s="103"/>
      <c r="G47" s="103"/>
      <c r="H47" s="65" t="s">
        <v>58</v>
      </c>
      <c r="I47" s="66" t="str">
        <f>'Necesidades Trimestrales'!F45</f>
        <v>UNIDAD</v>
      </c>
      <c r="J47" s="67">
        <f>'Necesidades Trimestrales'!H45</f>
        <v>34</v>
      </c>
      <c r="K47" s="68">
        <f>'Necesidades Trimestrales'!G45</f>
        <v>500</v>
      </c>
    </row>
    <row r="48" spans="1:11" ht="20.25" customHeight="1" thickBot="1" x14ac:dyDescent="0.25">
      <c r="A48" s="8">
        <v>37</v>
      </c>
      <c r="B48" s="64">
        <f>'Necesidades Trimestrales'!B46</f>
        <v>0</v>
      </c>
      <c r="C48" s="103" t="str">
        <f>'Necesidades Trimestrales'!E46</f>
        <v>HEPARINA SODICA 5000 UI FCO AMPOLLA</v>
      </c>
      <c r="D48" s="103"/>
      <c r="E48" s="103"/>
      <c r="F48" s="103"/>
      <c r="G48" s="103"/>
      <c r="H48" s="65" t="s">
        <v>58</v>
      </c>
      <c r="I48" s="66" t="str">
        <f>'Necesidades Trimestrales'!F46</f>
        <v>UNIDAD</v>
      </c>
      <c r="J48" s="67">
        <f>'Necesidades Trimestrales'!H46</f>
        <v>699</v>
      </c>
      <c r="K48" s="68">
        <f>'Necesidades Trimestrales'!G46</f>
        <v>9200</v>
      </c>
    </row>
    <row r="49" spans="1:11" ht="20.25" customHeight="1" thickBot="1" x14ac:dyDescent="0.25">
      <c r="A49" s="8">
        <v>38</v>
      </c>
      <c r="B49" s="64">
        <f>'Necesidades Trimestrales'!B47</f>
        <v>0</v>
      </c>
      <c r="C49" s="103" t="str">
        <f>'Necesidades Trimestrales'!E47</f>
        <v>HIDROCORTISONA 500 MG FCO AMPOLLA</v>
      </c>
      <c r="D49" s="103"/>
      <c r="E49" s="103"/>
      <c r="F49" s="103"/>
      <c r="G49" s="103"/>
      <c r="H49" s="65" t="s">
        <v>58</v>
      </c>
      <c r="I49" s="66" t="str">
        <f>'Necesidades Trimestrales'!F47</f>
        <v>UNIDAD</v>
      </c>
      <c r="J49" s="67">
        <f>'Necesidades Trimestrales'!H47</f>
        <v>214.4</v>
      </c>
      <c r="K49" s="68">
        <f>'Necesidades Trimestrales'!G47</f>
        <v>3600</v>
      </c>
    </row>
    <row r="50" spans="1:11" ht="20.25" customHeight="1" thickBot="1" x14ac:dyDescent="0.25">
      <c r="A50" s="8">
        <v>39</v>
      </c>
      <c r="B50" s="64">
        <f>'Necesidades Trimestrales'!B48</f>
        <v>0</v>
      </c>
      <c r="C50" s="103" t="str">
        <f>'Necesidades Trimestrales'!E48</f>
        <v>ISOPROTERONOL 1 MG AMPOLLA</v>
      </c>
      <c r="D50" s="103"/>
      <c r="E50" s="103"/>
      <c r="F50" s="103"/>
      <c r="G50" s="103"/>
      <c r="H50" s="65" t="s">
        <v>58</v>
      </c>
      <c r="I50" s="66" t="str">
        <f>'Necesidades Trimestrales'!F48</f>
        <v>UNIDAD</v>
      </c>
      <c r="J50" s="67">
        <f>'Necesidades Trimestrales'!H48</f>
        <v>286</v>
      </c>
      <c r="K50" s="68">
        <f>'Necesidades Trimestrales'!G48</f>
        <v>90</v>
      </c>
    </row>
    <row r="51" spans="1:11" ht="20.25" customHeight="1" thickBot="1" x14ac:dyDescent="0.25">
      <c r="A51" s="8">
        <v>40</v>
      </c>
      <c r="B51" s="64">
        <f>'Necesidades Trimestrales'!B49</f>
        <v>0</v>
      </c>
      <c r="C51" s="103" t="str">
        <f>'Necesidades Trimestrales'!E49</f>
        <v>ITRACONAZOL 100 MG COMPRIMIDO</v>
      </c>
      <c r="D51" s="103"/>
      <c r="E51" s="103"/>
      <c r="F51" s="103"/>
      <c r="G51" s="103"/>
      <c r="H51" s="65" t="s">
        <v>58</v>
      </c>
      <c r="I51" s="66" t="str">
        <f>'Necesidades Trimestrales'!F49</f>
        <v>UNIDAD</v>
      </c>
      <c r="J51" s="67">
        <f>'Necesidades Trimestrales'!H49</f>
        <v>90</v>
      </c>
      <c r="K51" s="68">
        <f>'Necesidades Trimestrales'!G49</f>
        <v>300</v>
      </c>
    </row>
    <row r="52" spans="1:11" ht="20.25" customHeight="1" thickBot="1" x14ac:dyDescent="0.25">
      <c r="A52" s="8">
        <v>41</v>
      </c>
      <c r="B52" s="64">
        <f>'Necesidades Trimestrales'!B50</f>
        <v>0</v>
      </c>
      <c r="C52" s="103" t="str">
        <f>'Necesidades Trimestrales'!E50</f>
        <v>KETAMINA 50MG/ML FCO AMPOLLA</v>
      </c>
      <c r="D52" s="103"/>
      <c r="E52" s="103"/>
      <c r="F52" s="103"/>
      <c r="G52" s="103"/>
      <c r="H52" s="65" t="s">
        <v>58</v>
      </c>
      <c r="I52" s="66" t="str">
        <f>'Necesidades Trimestrales'!F50</f>
        <v>UNIDAD</v>
      </c>
      <c r="J52" s="67">
        <f>'Necesidades Trimestrales'!H50</f>
        <v>2013</v>
      </c>
      <c r="K52" s="68">
        <f>'Necesidades Trimestrales'!G50</f>
        <v>4000</v>
      </c>
    </row>
    <row r="53" spans="1:11" ht="20.25" customHeight="1" thickBot="1" x14ac:dyDescent="0.25">
      <c r="A53" s="8">
        <v>42</v>
      </c>
      <c r="B53" s="64">
        <f>'Necesidades Trimestrales'!B51</f>
        <v>0</v>
      </c>
      <c r="C53" s="103" t="str">
        <f>'Necesidades Trimestrales'!E51</f>
        <v>LORAZEPAM 4 MG/2ML AMPOLLA</v>
      </c>
      <c r="D53" s="103"/>
      <c r="E53" s="103"/>
      <c r="F53" s="103"/>
      <c r="G53" s="103"/>
      <c r="H53" s="65" t="s">
        <v>58</v>
      </c>
      <c r="I53" s="66" t="str">
        <f>'Necesidades Trimestrales'!F51</f>
        <v>UNIDAD</v>
      </c>
      <c r="J53" s="67">
        <f>'Necesidades Trimestrales'!H51</f>
        <v>280</v>
      </c>
      <c r="K53" s="68">
        <f>'Necesidades Trimestrales'!G51</f>
        <v>3600</v>
      </c>
    </row>
    <row r="54" spans="1:11" ht="20.25" customHeight="1" thickBot="1" x14ac:dyDescent="0.25">
      <c r="A54" s="8">
        <v>43</v>
      </c>
      <c r="B54" s="64">
        <f>'Necesidades Trimestrales'!B52</f>
        <v>0</v>
      </c>
      <c r="C54" s="103" t="str">
        <f>'Necesidades Trimestrales'!E52</f>
        <v>METILPREDNISOLONA 500 MG FCO AMPOLLA</v>
      </c>
      <c r="D54" s="103"/>
      <c r="E54" s="103"/>
      <c r="F54" s="103"/>
      <c r="G54" s="103"/>
      <c r="H54" s="65" t="s">
        <v>58</v>
      </c>
      <c r="I54" s="66" t="str">
        <f>'Necesidades Trimestrales'!F52</f>
        <v>UNIDAD</v>
      </c>
      <c r="J54" s="67">
        <f>'Necesidades Trimestrales'!H52</f>
        <v>617</v>
      </c>
      <c r="K54" s="68">
        <f>'Necesidades Trimestrales'!G52</f>
        <v>60</v>
      </c>
    </row>
    <row r="55" spans="1:11" ht="20.25" customHeight="1" thickBot="1" x14ac:dyDescent="0.25">
      <c r="A55" s="8">
        <v>44</v>
      </c>
      <c r="B55" s="64">
        <f>'Necesidades Trimestrales'!B53</f>
        <v>0</v>
      </c>
      <c r="C55" s="103" t="str">
        <f>'Necesidades Trimestrales'!E53</f>
        <v>METILPREDNISONA 40 MG COMPRIMIDO</v>
      </c>
      <c r="D55" s="103"/>
      <c r="E55" s="103"/>
      <c r="F55" s="103"/>
      <c r="G55" s="103"/>
      <c r="H55" s="65" t="s">
        <v>58</v>
      </c>
      <c r="I55" s="66" t="str">
        <f>'Necesidades Trimestrales'!F53</f>
        <v>UNIDAD</v>
      </c>
      <c r="J55" s="67">
        <f>'Necesidades Trimestrales'!H53</f>
        <v>47</v>
      </c>
      <c r="K55" s="68">
        <f>'Necesidades Trimestrales'!G53</f>
        <v>600</v>
      </c>
    </row>
    <row r="56" spans="1:11" ht="20.25" customHeight="1" thickBot="1" x14ac:dyDescent="0.25">
      <c r="A56" s="8">
        <v>45</v>
      </c>
      <c r="B56" s="64">
        <f>'Necesidades Trimestrales'!B54</f>
        <v>0</v>
      </c>
      <c r="C56" s="103" t="str">
        <f>'Necesidades Trimestrales'!E54</f>
        <v>METRONIDAZOL 500 MG COMPRIMIDO</v>
      </c>
      <c r="D56" s="103"/>
      <c r="E56" s="103"/>
      <c r="F56" s="103"/>
      <c r="G56" s="103"/>
      <c r="H56" s="65" t="s">
        <v>58</v>
      </c>
      <c r="I56" s="66" t="str">
        <f>'Necesidades Trimestrales'!F54</f>
        <v>UNIDAD</v>
      </c>
      <c r="J56" s="67">
        <f>'Necesidades Trimestrales'!H54</f>
        <v>8.9</v>
      </c>
      <c r="K56" s="68">
        <f>'Necesidades Trimestrales'!G54</f>
        <v>600</v>
      </c>
    </row>
    <row r="57" spans="1:11" ht="20.25" customHeight="1" thickBot="1" x14ac:dyDescent="0.25">
      <c r="A57" s="8">
        <v>46</v>
      </c>
      <c r="B57" s="64">
        <f>'Necesidades Trimestrales'!B55</f>
        <v>0</v>
      </c>
      <c r="C57" s="103" t="str">
        <f>'Necesidades Trimestrales'!E55</f>
        <v>METRONIDAZOL 500 MG SACHET</v>
      </c>
      <c r="D57" s="103"/>
      <c r="E57" s="103"/>
      <c r="F57" s="103"/>
      <c r="G57" s="103"/>
      <c r="H57" s="65" t="s">
        <v>58</v>
      </c>
      <c r="I57" s="66" t="str">
        <f>'Necesidades Trimestrales'!F55</f>
        <v>UNIDAD</v>
      </c>
      <c r="J57" s="67">
        <f>'Necesidades Trimestrales'!H55</f>
        <v>80</v>
      </c>
      <c r="K57" s="68">
        <f>'Necesidades Trimestrales'!G55</f>
        <v>600</v>
      </c>
    </row>
    <row r="58" spans="1:11" ht="20.25" customHeight="1" thickBot="1" x14ac:dyDescent="0.25">
      <c r="A58" s="8">
        <v>47</v>
      </c>
      <c r="B58" s="64">
        <f>'Necesidades Trimestrales'!B56</f>
        <v>0</v>
      </c>
      <c r="C58" s="103" t="str">
        <f>'Necesidades Trimestrales'!E56</f>
        <v>MIDAZOLAM 15 MG AMPOLLA</v>
      </c>
      <c r="D58" s="103"/>
      <c r="E58" s="103"/>
      <c r="F58" s="103"/>
      <c r="G58" s="103"/>
      <c r="H58" s="65" t="s">
        <v>58</v>
      </c>
      <c r="I58" s="66" t="str">
        <f>'Necesidades Trimestrales'!F56</f>
        <v>UNIDAD</v>
      </c>
      <c r="J58" s="67">
        <f>'Necesidades Trimestrales'!H56</f>
        <v>514.25</v>
      </c>
      <c r="K58" s="68">
        <f>'Necesidades Trimestrales'!G56</f>
        <v>84000</v>
      </c>
    </row>
    <row r="59" spans="1:11" ht="20.25" customHeight="1" thickBot="1" x14ac:dyDescent="0.25">
      <c r="A59" s="8">
        <v>48</v>
      </c>
      <c r="B59" s="64">
        <f>'Necesidades Trimestrales'!B57</f>
        <v>0</v>
      </c>
      <c r="C59" s="103" t="str">
        <f>'Necesidades Trimestrales'!E57</f>
        <v>MORFINA 10 MG AMPOLLA</v>
      </c>
      <c r="D59" s="103"/>
      <c r="E59" s="103"/>
      <c r="F59" s="103"/>
      <c r="G59" s="103"/>
      <c r="H59" s="65" t="s">
        <v>58</v>
      </c>
      <c r="I59" s="66" t="str">
        <f>'Necesidades Trimestrales'!F57</f>
        <v>UNIDAD</v>
      </c>
      <c r="J59" s="67">
        <f>'Necesidades Trimestrales'!H57</f>
        <v>89</v>
      </c>
      <c r="K59" s="68">
        <f>'Necesidades Trimestrales'!G57</f>
        <v>2500</v>
      </c>
    </row>
    <row r="60" spans="1:11" ht="20.25" customHeight="1" thickBot="1" x14ac:dyDescent="0.25">
      <c r="A60" s="8">
        <v>49</v>
      </c>
      <c r="B60" s="64">
        <f>'Necesidades Trimestrales'!B58</f>
        <v>0</v>
      </c>
      <c r="C60" s="103" t="str">
        <f>'Necesidades Trimestrales'!E58</f>
        <v>NITROGLICERINA 25 MG AMPOLLA</v>
      </c>
      <c r="D60" s="103"/>
      <c r="E60" s="103"/>
      <c r="F60" s="103"/>
      <c r="G60" s="103"/>
      <c r="H60" s="65" t="s">
        <v>58</v>
      </c>
      <c r="I60" s="66" t="str">
        <f>'Necesidades Trimestrales'!F58</f>
        <v>UNIDAD</v>
      </c>
      <c r="J60" s="67">
        <f>'Necesidades Trimestrales'!H58</f>
        <v>255</v>
      </c>
      <c r="K60" s="68">
        <f>'Necesidades Trimestrales'!G58</f>
        <v>700</v>
      </c>
    </row>
    <row r="61" spans="1:11" ht="20.25" customHeight="1" thickBot="1" x14ac:dyDescent="0.25">
      <c r="A61" s="8">
        <v>50</v>
      </c>
      <c r="B61" s="64">
        <f>'Necesidades Trimestrales'!B59</f>
        <v>0</v>
      </c>
      <c r="C61" s="103" t="str">
        <f>'Necesidades Trimestrales'!E59</f>
        <v>NITROPRUSIATO SODIO 50 MG VIAL</v>
      </c>
      <c r="D61" s="103"/>
      <c r="E61" s="103"/>
      <c r="F61" s="103"/>
      <c r="G61" s="103"/>
      <c r="H61" s="65" t="s">
        <v>58</v>
      </c>
      <c r="I61" s="66" t="str">
        <f>'Necesidades Trimestrales'!F59</f>
        <v>UNIDAD</v>
      </c>
      <c r="J61" s="67">
        <f>'Necesidades Trimestrales'!H59</f>
        <v>650</v>
      </c>
      <c r="K61" s="68">
        <f>'Necesidades Trimestrales'!G59</f>
        <v>120</v>
      </c>
    </row>
    <row r="62" spans="1:11" ht="20.25" customHeight="1" thickBot="1" x14ac:dyDescent="0.25">
      <c r="A62" s="8">
        <v>51</v>
      </c>
      <c r="B62" s="64">
        <f>'Necesidades Trimestrales'!B60</f>
        <v>0</v>
      </c>
      <c r="C62" s="103" t="str">
        <f>'Necesidades Trimestrales'!E60</f>
        <v>NORADRENALINA AMPOLLA</v>
      </c>
      <c r="D62" s="103"/>
      <c r="E62" s="103"/>
      <c r="F62" s="103"/>
      <c r="G62" s="103"/>
      <c r="H62" s="65" t="s">
        <v>58</v>
      </c>
      <c r="I62" s="66" t="str">
        <f>'Necesidades Trimestrales'!F60</f>
        <v>UNIDAD</v>
      </c>
      <c r="J62" s="67">
        <f>'Necesidades Trimestrales'!H60</f>
        <v>120</v>
      </c>
      <c r="K62" s="68">
        <f>'Necesidades Trimestrales'!G60</f>
        <v>6000</v>
      </c>
    </row>
    <row r="63" spans="1:11" ht="20.25" customHeight="1" thickBot="1" x14ac:dyDescent="0.25">
      <c r="A63" s="8">
        <v>52</v>
      </c>
      <c r="B63" s="64">
        <f>'Necesidades Trimestrales'!B61</f>
        <v>0</v>
      </c>
      <c r="C63" s="103" t="str">
        <f>'Necesidades Trimestrales'!E61</f>
        <v>OMEPRAZOL 40 MG FCO AMP ENDOVENOSO</v>
      </c>
      <c r="D63" s="103"/>
      <c r="E63" s="103"/>
      <c r="F63" s="103"/>
      <c r="G63" s="103"/>
      <c r="H63" s="65" t="s">
        <v>58</v>
      </c>
      <c r="I63" s="66" t="str">
        <f>'Necesidades Trimestrales'!F61</f>
        <v>UNIDAD</v>
      </c>
      <c r="J63" s="67">
        <f>'Necesidades Trimestrales'!H61</f>
        <v>250</v>
      </c>
      <c r="K63" s="68">
        <f>'Necesidades Trimestrales'!G61</f>
        <v>22000</v>
      </c>
    </row>
    <row r="64" spans="1:11" ht="20.25" customHeight="1" thickBot="1" x14ac:dyDescent="0.25">
      <c r="A64" s="8">
        <v>53</v>
      </c>
      <c r="B64" s="64">
        <f>'Necesidades Trimestrales'!B62</f>
        <v>0</v>
      </c>
      <c r="C64" s="103" t="str">
        <f>'Necesidades Trimestrales'!E62</f>
        <v>PANCURONIO 4 MG/ ML</v>
      </c>
      <c r="D64" s="103"/>
      <c r="E64" s="103"/>
      <c r="F64" s="103"/>
      <c r="G64" s="103"/>
      <c r="H64" s="65" t="s">
        <v>58</v>
      </c>
      <c r="I64" s="66" t="str">
        <f>'Necesidades Trimestrales'!F62</f>
        <v>UNIDAD</v>
      </c>
      <c r="J64" s="67">
        <f>'Necesidades Trimestrales'!H62</f>
        <v>248</v>
      </c>
      <c r="K64" s="68">
        <f>'Necesidades Trimestrales'!G62</f>
        <v>1500</v>
      </c>
    </row>
    <row r="65" spans="1:1024" ht="20.25" customHeight="1" thickBot="1" x14ac:dyDescent="0.25">
      <c r="A65" s="8">
        <v>54</v>
      </c>
      <c r="B65" s="64">
        <f>'Necesidades Trimestrales'!B63</f>
        <v>0</v>
      </c>
      <c r="C65" s="103" t="str">
        <f>'Necesidades Trimestrales'!E63</f>
        <v>PARACETAMOL 1GR COMPRIMIDO</v>
      </c>
      <c r="D65" s="103"/>
      <c r="E65" s="103"/>
      <c r="F65" s="103"/>
      <c r="G65" s="103"/>
      <c r="H65" s="65" t="s">
        <v>58</v>
      </c>
      <c r="I65" s="66" t="str">
        <f>'Necesidades Trimestrales'!F63</f>
        <v>UNIDAD</v>
      </c>
      <c r="J65" s="67">
        <f>'Necesidades Trimestrales'!H63</f>
        <v>7</v>
      </c>
      <c r="K65" s="68">
        <f>'Necesidades Trimestrales'!G63</f>
        <v>19000</v>
      </c>
    </row>
    <row r="66" spans="1:1024" ht="20.25" customHeight="1" thickBot="1" x14ac:dyDescent="0.25">
      <c r="A66" s="8">
        <v>55</v>
      </c>
      <c r="B66" s="64">
        <f>'Necesidades Trimestrales'!B64</f>
        <v>0</v>
      </c>
      <c r="C66" s="103" t="str">
        <f>'Necesidades Trimestrales'!E64</f>
        <v>PARACETAMOL 1GR ML FRASCO AMPOLLA</v>
      </c>
      <c r="D66" s="103"/>
      <c r="E66" s="103"/>
      <c r="F66" s="103"/>
      <c r="G66" s="103"/>
      <c r="H66" s="65" t="s">
        <v>58</v>
      </c>
      <c r="I66" s="66" t="str">
        <f>'Necesidades Trimestrales'!F64</f>
        <v>UNIDAD</v>
      </c>
      <c r="J66" s="67">
        <f>'Necesidades Trimestrales'!H64</f>
        <v>864.4</v>
      </c>
      <c r="K66" s="68">
        <f>'Necesidades Trimestrales'!G64</f>
        <v>1200</v>
      </c>
    </row>
    <row r="67" spans="1:1024" ht="20.25" customHeight="1" thickBot="1" x14ac:dyDescent="0.25">
      <c r="A67" s="8">
        <v>56</v>
      </c>
      <c r="B67" s="64">
        <f>'Necesidades Trimestrales'!B65</f>
        <v>0</v>
      </c>
      <c r="C67" s="103" t="str">
        <f>'Necesidades Trimestrales'!E65</f>
        <v>PIPERACILINA 4 GRS + TAZOBACTAM 500 MG FCO AMPOLLA</v>
      </c>
      <c r="D67" s="103"/>
      <c r="E67" s="103"/>
      <c r="F67" s="103"/>
      <c r="G67" s="103"/>
      <c r="H67" s="65" t="s">
        <v>58</v>
      </c>
      <c r="I67" s="66" t="str">
        <f>'Necesidades Trimestrales'!F65</f>
        <v>UNIDAD</v>
      </c>
      <c r="J67" s="67">
        <f>'Necesidades Trimestrales'!H65</f>
        <v>345</v>
      </c>
      <c r="K67" s="68">
        <f>'Necesidades Trimestrales'!G65</f>
        <v>2000</v>
      </c>
    </row>
    <row r="68" spans="1:1024" ht="20.25" customHeight="1" thickBot="1" x14ac:dyDescent="0.25">
      <c r="A68" s="8">
        <v>57</v>
      </c>
      <c r="B68" s="64">
        <f>'Necesidades Trimestrales'!B66</f>
        <v>0</v>
      </c>
      <c r="C68" s="103" t="str">
        <f>'Necesidades Trimestrales'!E66</f>
        <v>PROPOFOL 1% AMPOLLAS X 20 ML</v>
      </c>
      <c r="D68" s="103"/>
      <c r="E68" s="103"/>
      <c r="F68" s="103"/>
      <c r="G68" s="103"/>
      <c r="H68" s="65" t="s">
        <v>58</v>
      </c>
      <c r="I68" s="66" t="str">
        <f>'Necesidades Trimestrales'!F66</f>
        <v>UNIDAD</v>
      </c>
      <c r="J68" s="67">
        <f>'Necesidades Trimestrales'!H66</f>
        <v>859.1</v>
      </c>
      <c r="K68" s="68">
        <f>'Necesidades Trimestrales'!G66</f>
        <v>2000</v>
      </c>
    </row>
    <row r="69" spans="1:1024" ht="20.25" customHeight="1" thickBot="1" x14ac:dyDescent="0.25">
      <c r="A69" s="8">
        <v>58</v>
      </c>
      <c r="B69" s="64">
        <f>'Necesidades Trimestrales'!B67</f>
        <v>0</v>
      </c>
      <c r="C69" s="103" t="str">
        <f>'Necesidades Trimestrales'!E67</f>
        <v>REMIFENTANILO 5 MG FCO AMPOLLA</v>
      </c>
      <c r="D69" s="103"/>
      <c r="E69" s="103"/>
      <c r="F69" s="103"/>
      <c r="G69" s="103"/>
      <c r="H69" s="65" t="s">
        <v>58</v>
      </c>
      <c r="I69" s="66" t="str">
        <f>'Necesidades Trimestrales'!F67</f>
        <v>UNIDAD</v>
      </c>
      <c r="J69" s="67">
        <f>'Necesidades Trimestrales'!H67</f>
        <v>690</v>
      </c>
      <c r="K69" s="68">
        <f>'Necesidades Trimestrales'!G67</f>
        <v>7000</v>
      </c>
    </row>
    <row r="70" spans="1:1024" ht="20.25" customHeight="1" thickBot="1" x14ac:dyDescent="0.25">
      <c r="A70" s="8">
        <v>59</v>
      </c>
      <c r="B70" s="64">
        <f>'Necesidades Trimestrales'!B68</f>
        <v>0</v>
      </c>
      <c r="C70" s="103" t="str">
        <f>'Necesidades Trimestrales'!E68</f>
        <v xml:space="preserve">SALBUTAMOL AEROSOL CON  AEROCAMARA </v>
      </c>
      <c r="D70" s="103"/>
      <c r="E70" s="103"/>
      <c r="F70" s="103"/>
      <c r="G70" s="103"/>
      <c r="H70" s="65" t="s">
        <v>58</v>
      </c>
      <c r="I70" s="66" t="str">
        <f>'Necesidades Trimestrales'!F68</f>
        <v>UNIDAD</v>
      </c>
      <c r="J70" s="67">
        <f>'Necesidades Trimestrales'!H68</f>
        <v>980</v>
      </c>
      <c r="K70" s="68">
        <f>'Necesidades Trimestrales'!G68</f>
        <v>9000</v>
      </c>
    </row>
    <row r="71" spans="1:1024" ht="20.25" customHeight="1" thickBot="1" x14ac:dyDescent="0.25">
      <c r="A71" s="8">
        <v>60</v>
      </c>
      <c r="B71" s="64">
        <f>'Necesidades Trimestrales'!B69</f>
        <v>0</v>
      </c>
      <c r="C71" s="103" t="str">
        <f>'Necesidades Trimestrales'!E69</f>
        <v>SUCCINILCOLINA 500 MG FCO AMP</v>
      </c>
      <c r="D71" s="103"/>
      <c r="E71" s="103"/>
      <c r="F71" s="103"/>
      <c r="G71" s="103"/>
      <c r="H71" s="65" t="s">
        <v>58</v>
      </c>
      <c r="I71" s="66" t="str">
        <f>'Necesidades Trimestrales'!F69</f>
        <v>UNIDAD</v>
      </c>
      <c r="J71" s="67">
        <f>'Necesidades Trimestrales'!H69</f>
        <v>242</v>
      </c>
      <c r="K71" s="68">
        <f>'Necesidades Trimestrales'!G69</f>
        <v>800</v>
      </c>
    </row>
    <row r="72" spans="1:1024" ht="20.25" customHeight="1" thickBot="1" x14ac:dyDescent="0.25">
      <c r="A72" s="8">
        <v>61</v>
      </c>
      <c r="B72" s="64">
        <f>'Necesidades Trimestrales'!B70</f>
        <v>0</v>
      </c>
      <c r="C72" s="103" t="str">
        <f>'Necesidades Trimestrales'!E70</f>
        <v>SUCRALFATO SUSPENSIÓN 1GR/ML x 200 ml</v>
      </c>
      <c r="D72" s="103"/>
      <c r="E72" s="103"/>
      <c r="F72" s="103"/>
      <c r="G72" s="103"/>
      <c r="H72" s="65" t="s">
        <v>58</v>
      </c>
      <c r="I72" s="66" t="str">
        <f>'Necesidades Trimestrales'!F70</f>
        <v>UNIDAD</v>
      </c>
      <c r="J72" s="67">
        <f>'Necesidades Trimestrales'!H70</f>
        <v>560</v>
      </c>
      <c r="K72" s="68">
        <f>'Necesidades Trimestrales'!G70</f>
        <v>220</v>
      </c>
    </row>
    <row r="73" spans="1:1024" ht="20.25" customHeight="1" thickBot="1" x14ac:dyDescent="0.25">
      <c r="A73" s="8">
        <v>62</v>
      </c>
      <c r="B73" s="64">
        <f>'Necesidades Trimestrales'!B71</f>
        <v>0</v>
      </c>
      <c r="C73" s="103" t="str">
        <f>'Necesidades Trimestrales'!E71</f>
        <v>TRAMADOL 50 MG AMPOLLA</v>
      </c>
      <c r="D73" s="103"/>
      <c r="E73" s="103"/>
      <c r="F73" s="103"/>
      <c r="G73" s="103"/>
      <c r="H73" s="65" t="s">
        <v>58</v>
      </c>
      <c r="I73" s="66" t="str">
        <f>'Necesidades Trimestrales'!F71</f>
        <v>UNIDAD</v>
      </c>
      <c r="J73" s="67">
        <f>'Necesidades Trimestrales'!H71</f>
        <v>39</v>
      </c>
      <c r="K73" s="68">
        <f>'Necesidades Trimestrales'!G71</f>
        <v>1600</v>
      </c>
    </row>
    <row r="74" spans="1:1024" ht="20.25" customHeight="1" thickBot="1" x14ac:dyDescent="0.25">
      <c r="A74" s="8">
        <v>63</v>
      </c>
      <c r="B74" s="64">
        <f>'Necesidades Trimestrales'!B72</f>
        <v>0</v>
      </c>
      <c r="C74" s="103" t="str">
        <f>'Necesidades Trimestrales'!E72</f>
        <v>VANCOMICINA 1000 MG FCO AMP</v>
      </c>
      <c r="D74" s="103"/>
      <c r="E74" s="103"/>
      <c r="F74" s="103"/>
      <c r="G74" s="103"/>
      <c r="H74" s="65" t="s">
        <v>58</v>
      </c>
      <c r="I74" s="66" t="str">
        <f>'Necesidades Trimestrales'!F72</f>
        <v>UNIDAD</v>
      </c>
      <c r="J74" s="67">
        <f>'Necesidades Trimestrales'!H72</f>
        <v>286</v>
      </c>
      <c r="K74" s="68">
        <f>'Necesidades Trimestrales'!G72</f>
        <v>800</v>
      </c>
    </row>
    <row r="75" spans="1:1024" ht="20.25" customHeight="1" thickBot="1" x14ac:dyDescent="0.25">
      <c r="A75" s="8">
        <v>64</v>
      </c>
      <c r="B75" s="64">
        <f>'Necesidades Trimestrales'!B73</f>
        <v>0</v>
      </c>
      <c r="C75" s="103" t="str">
        <f>'Necesidades Trimestrales'!E73</f>
        <v>VANCOMICINA 500 MG FCO AMP</v>
      </c>
      <c r="D75" s="103"/>
      <c r="E75" s="103"/>
      <c r="F75" s="103"/>
      <c r="G75" s="103"/>
      <c r="H75" s="65" t="s">
        <v>58</v>
      </c>
      <c r="I75" s="66" t="str">
        <f>'Necesidades Trimestrales'!F73</f>
        <v>UNIDAD</v>
      </c>
      <c r="J75" s="67">
        <f>'Necesidades Trimestrales'!H73</f>
        <v>180</v>
      </c>
      <c r="K75" s="68">
        <f>'Necesidades Trimestrales'!G73</f>
        <v>600</v>
      </c>
    </row>
    <row r="76" spans="1:1024" ht="20.25" customHeight="1" thickBot="1" x14ac:dyDescent="0.25">
      <c r="A76" s="8">
        <v>65</v>
      </c>
      <c r="B76" s="64">
        <f>'Necesidades Trimestrales'!B74</f>
        <v>0</v>
      </c>
      <c r="C76" s="103" t="str">
        <f>'Necesidades Trimestrales'!E74</f>
        <v>VECURONIO BROMURO 10 MG AMPOLLA</v>
      </c>
      <c r="D76" s="103"/>
      <c r="E76" s="103"/>
      <c r="F76" s="103"/>
      <c r="G76" s="103"/>
      <c r="H76" s="65" t="s">
        <v>58</v>
      </c>
      <c r="I76" s="66" t="str">
        <f>'Necesidades Trimestrales'!F74</f>
        <v>UNIDAD</v>
      </c>
      <c r="J76" s="67">
        <f>'Necesidades Trimestrales'!H74</f>
        <v>634.67999999999995</v>
      </c>
      <c r="K76" s="68">
        <f>'Necesidades Trimestrales'!G74</f>
        <v>1000</v>
      </c>
    </row>
    <row r="77" spans="1:1024" ht="20.25" customHeight="1" thickBot="1" x14ac:dyDescent="0.25">
      <c r="A77" s="8">
        <v>66</v>
      </c>
      <c r="B77" s="64">
        <f>'Necesidades Trimestrales'!B75</f>
        <v>0</v>
      </c>
      <c r="C77" s="103" t="str">
        <f>'Necesidades Trimestrales'!E75</f>
        <v>VITAMINA C 2GR. COMPRIMIDO EFERVECENTES</v>
      </c>
      <c r="D77" s="103"/>
      <c r="E77" s="103"/>
      <c r="F77" s="103"/>
      <c r="G77" s="103"/>
      <c r="H77" s="65" t="s">
        <v>58</v>
      </c>
      <c r="I77" s="66" t="str">
        <f>'Necesidades Trimestrales'!F75</f>
        <v>UNIDAD</v>
      </c>
      <c r="J77" s="67">
        <f>'Necesidades Trimestrales'!H75</f>
        <v>49</v>
      </c>
      <c r="K77" s="68">
        <f>'Necesidades Trimestrales'!G75</f>
        <v>1000</v>
      </c>
    </row>
    <row r="78" spans="1:1024" ht="20.25" customHeight="1" thickBot="1" x14ac:dyDescent="0.25">
      <c r="A78" s="104" t="s">
        <v>141</v>
      </c>
      <c r="B78" s="104"/>
      <c r="C78" s="104"/>
      <c r="D78" s="104"/>
      <c r="E78" s="104"/>
      <c r="F78" s="104"/>
      <c r="G78" s="104"/>
      <c r="H78" s="104"/>
      <c r="I78" s="104"/>
      <c r="J78" s="105">
        <f>SUMPRODUCT(J12:J77,K12:K77)</f>
        <v>144284368.40000001</v>
      </c>
      <c r="K78" s="10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</sheetData>
  <mergeCells count="8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78:I78"/>
    <mergeCell ref="J78:K7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77:G77"/>
    <mergeCell ref="C63:G63"/>
    <mergeCell ref="C64:G64"/>
    <mergeCell ref="C75:G75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65:G6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2" firstPageNumber="0" fitToHeight="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4"/>
  <sheetViews>
    <sheetView zoomScale="130" zoomScaleNormal="130" workbookViewId="0">
      <selection activeCell="R20" sqref="R2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1" width="4.42578125" customWidth="1"/>
    <col min="12" max="12" width="4.85546875" customWidth="1"/>
    <col min="13" max="14" width="4.42578125" customWidth="1"/>
    <col min="15" max="15" width="14.85546875" customWidth="1"/>
    <col min="16" max="16" width="18.42578125" customWidth="1"/>
    <col min="17" max="17" width="15.42578125" customWidth="1"/>
    <col min="19" max="19" width="13.28515625" bestFit="1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2021</v>
      </c>
      <c r="E1" s="138"/>
      <c r="F1" s="10"/>
      <c r="G1" s="10"/>
      <c r="H1" s="11"/>
      <c r="I1" s="11"/>
      <c r="J1" s="11"/>
      <c r="K1" s="11"/>
      <c r="L1" s="11"/>
      <c r="M1" s="11"/>
      <c r="N1" s="11"/>
      <c r="P1" s="139" t="s">
        <v>32</v>
      </c>
      <c r="Q1" s="13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9"/>
      <c r="Q2" s="139"/>
    </row>
    <row r="4" spans="1:17" s="12" customFormat="1" ht="18" customHeight="1" thickBot="1" x14ac:dyDescent="0.25">
      <c r="A4" s="140" t="s">
        <v>33</v>
      </c>
      <c r="B4" s="140"/>
      <c r="C4" s="140"/>
      <c r="D4" s="140"/>
      <c r="E4" s="140"/>
      <c r="F4" s="140"/>
      <c r="G4" s="135" t="str">
        <f>NotaPedido!D3</f>
        <v>40 - Ministerio de Salud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s="12" customFormat="1" ht="18" customHeight="1" thickBot="1" x14ac:dyDescent="0.25">
      <c r="A5" s="132" t="s">
        <v>56</v>
      </c>
      <c r="B5" s="133"/>
      <c r="C5" s="133"/>
      <c r="D5" s="133"/>
      <c r="E5" s="133"/>
      <c r="F5" s="134"/>
      <c r="G5" s="135" t="str">
        <f>NotaPedido!D4</f>
        <v>23 - Hospital Interzonal San Juan Bautista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12" customFormat="1" ht="18" customHeight="1" thickBot="1" x14ac:dyDescent="0.25">
      <c r="A6" s="132" t="s">
        <v>34</v>
      </c>
      <c r="B6" s="133"/>
      <c r="C6" s="133"/>
      <c r="D6" s="133"/>
      <c r="E6" s="133"/>
      <c r="F6" s="134"/>
      <c r="G6" s="135" t="str">
        <f>NotaPedido!D5</f>
        <v>168 - Direccion Asistencial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2" customFormat="1" ht="18" customHeight="1" thickBot="1" x14ac:dyDescent="0.25">
      <c r="A7" s="132" t="s">
        <v>57</v>
      </c>
      <c r="B7" s="133"/>
      <c r="C7" s="133"/>
      <c r="D7" s="133"/>
      <c r="E7" s="133"/>
      <c r="F7" s="134"/>
      <c r="G7" s="135" t="str">
        <f>NotaPedido!D6</f>
        <v>Servicio de Farmacia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6" t="s">
        <v>35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2">
      <c r="A9" s="126" t="s">
        <v>36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13"/>
    </row>
    <row r="10" spans="1:17" ht="54.75" customHeight="1" x14ac:dyDescent="0.2">
      <c r="A10" s="12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049 - 2021,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8" t="s">
        <v>37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">
      <c r="A13" s="129" t="s">
        <v>38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39</v>
      </c>
      <c r="P13" s="130"/>
      <c r="Q13" s="131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30"/>
      <c r="P14" s="130"/>
      <c r="Q14" s="131"/>
    </row>
    <row r="15" spans="1:17" ht="17.25" customHeight="1" x14ac:dyDescent="0.2">
      <c r="A15" s="23">
        <v>33</v>
      </c>
      <c r="B15" s="24"/>
      <c r="C15" s="24"/>
      <c r="D15" s="24">
        <v>2</v>
      </c>
      <c r="E15" s="24"/>
      <c r="F15" s="24">
        <v>4901</v>
      </c>
      <c r="G15" s="24">
        <v>3</v>
      </c>
      <c r="H15" s="69" t="s">
        <v>65</v>
      </c>
      <c r="I15" s="24">
        <v>2</v>
      </c>
      <c r="J15" s="24">
        <v>5</v>
      </c>
      <c r="K15" s="24">
        <v>2</v>
      </c>
      <c r="L15" s="24"/>
      <c r="M15" s="25">
        <v>1</v>
      </c>
      <c r="N15" s="70" t="s">
        <v>66</v>
      </c>
      <c r="O15" s="125" t="s">
        <v>63</v>
      </c>
      <c r="P15" s="125"/>
      <c r="Q15" s="27">
        <f>NotaPedido!J78</f>
        <v>144284368.40000001</v>
      </c>
    </row>
    <row r="16" spans="1:17" ht="17.25" customHeight="1" x14ac:dyDescent="0.2">
      <c r="A16" s="23"/>
      <c r="B16" s="24"/>
      <c r="C16" s="24"/>
      <c r="D16" s="24"/>
      <c r="E16" s="24"/>
      <c r="F16" s="26"/>
      <c r="G16" s="24"/>
      <c r="H16" s="24"/>
      <c r="I16" s="24"/>
      <c r="J16" s="24"/>
      <c r="K16" s="24"/>
      <c r="L16" s="24"/>
      <c r="M16" s="25"/>
      <c r="N16" s="26"/>
      <c r="O16" s="120"/>
      <c r="P16" s="120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0"/>
      <c r="P17" s="120"/>
      <c r="Q17" s="27"/>
    </row>
    <row r="18" spans="1:18" ht="17.25" customHeight="1" x14ac:dyDescent="0.2">
      <c r="A18" s="28"/>
      <c r="B18" s="29"/>
      <c r="C18" s="29"/>
      <c r="D18" s="29"/>
      <c r="E18" s="29"/>
      <c r="F18" s="30"/>
      <c r="G18" s="29"/>
      <c r="H18" s="29"/>
      <c r="I18" s="29"/>
      <c r="J18" s="29"/>
      <c r="K18" s="29"/>
      <c r="L18" s="29"/>
      <c r="M18" s="31"/>
      <c r="N18" s="32"/>
      <c r="O18" s="121"/>
      <c r="P18" s="121"/>
      <c r="Q18" s="27"/>
      <c r="R18" s="1"/>
    </row>
    <row r="19" spans="1:18" ht="17.25" customHeight="1" x14ac:dyDescent="0.2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4"/>
      <c r="O19" s="122"/>
      <c r="P19" s="122"/>
      <c r="Q19" s="36"/>
    </row>
    <row r="20" spans="1:18" ht="30.75" customHeight="1" x14ac:dyDescent="0.2">
      <c r="A20" s="123" t="s">
        <v>142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37">
        <f>SUM(Q15:Q19)</f>
        <v>144284368.40000001</v>
      </c>
    </row>
    <row r="21" spans="1:18" ht="18" customHeight="1" thickBot="1" x14ac:dyDescent="0.25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</row>
    <row r="22" spans="1:18" ht="17.25" customHeight="1" thickBot="1" x14ac:dyDescent="0.25">
      <c r="A22" s="115" t="s">
        <v>54</v>
      </c>
      <c r="B22" s="116"/>
      <c r="C22" s="116"/>
      <c r="D22" s="116"/>
      <c r="E22" s="116"/>
      <c r="F22" s="117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</row>
    <row r="23" spans="1:18" ht="18" customHeight="1" thickBot="1" x14ac:dyDescent="0.25">
      <c r="A23" s="119" t="str">
        <f>"Para la "&amp; NotaPedido!D8 &amp;" para ser destinados al " &amp; NotaPedido!D6 &amp;"  del HISJB perteneciente al Ministerio de Salud."</f>
        <v>Para la Adquisición de Medicamentos COVID para ser destinados al Servicio de Farmacia  del HISJB perteneciente al Ministerio de Salud.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</row>
    <row r="24" spans="1:18" ht="15" customHeight="1" x14ac:dyDescent="0.2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7:P17"/>
    <mergeCell ref="O18:P18"/>
    <mergeCell ref="O19:P19"/>
    <mergeCell ref="A20:P20"/>
    <mergeCell ref="A21:Q21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2021-05-22T15:12:59Z</cp:lastPrinted>
  <dcterms:created xsi:type="dcterms:W3CDTF">2020-07-17T23:44:49Z</dcterms:created>
  <dcterms:modified xsi:type="dcterms:W3CDTF">2021-08-12T13:19:30Z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