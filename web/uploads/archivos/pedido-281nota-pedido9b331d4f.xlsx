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11625" windowHeight="8400" tabRatio="489" activeTab="1"/>
  </bookViews>
  <sheets>
    <sheet name="Necesidades Trimestrales " sheetId="3" r:id="rId1"/>
    <sheet name=" NotaPedido FARMACIA" sheetId="7" r:id="rId2"/>
    <sheet name="APG FARMACIA " sheetId="8" r:id="rId3"/>
  </sheets>
  <definedNames>
    <definedName name="_xlnm._FilterDatabase" localSheetId="0" hidden="1">'Necesidades Trimestrales '!$A$9:$AQ$9</definedName>
    <definedName name="_xlnm.Print_Area" localSheetId="1">' NotaPedido FARMACIA'!$A$1:$K$31</definedName>
    <definedName name="_xlnm.Print_Area" localSheetId="2">'APG FARMACIA '!$A$1:$Q$26</definedName>
  </definedNames>
  <calcPr calcId="144525"/>
</workbook>
</file>

<file path=xl/calcChain.xml><?xml version="1.0" encoding="utf-8"?>
<calcChain xmlns="http://schemas.openxmlformats.org/spreadsheetml/2006/main">
  <c r="K26" i="7" l="1"/>
  <c r="AQ26" i="3"/>
  <c r="R26" i="3"/>
  <c r="AO15" i="3"/>
  <c r="Q15" i="8"/>
  <c r="AO24" i="3"/>
  <c r="AQ11" i="3" l="1"/>
  <c r="AQ12" i="3"/>
  <c r="AQ13" i="3"/>
  <c r="AQ14" i="3"/>
  <c r="AQ10" i="3"/>
  <c r="R11" i="3"/>
  <c r="R12" i="3"/>
  <c r="R13" i="3"/>
  <c r="R14" i="3"/>
  <c r="R10" i="3"/>
  <c r="AQ24" i="3"/>
  <c r="R24" i="3" l="1"/>
  <c r="M28" i="7" l="1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J30" i="7" l="1"/>
  <c r="AQ16" i="3"/>
  <c r="AQ17" i="3"/>
  <c r="AQ18" i="3"/>
  <c r="AQ19" i="3"/>
  <c r="AQ20" i="3"/>
  <c r="AQ21" i="3"/>
  <c r="AQ22" i="3"/>
  <c r="AQ23" i="3"/>
  <c r="AQ25" i="3"/>
  <c r="AQ15" i="3"/>
  <c r="R16" i="3"/>
  <c r="R17" i="3"/>
  <c r="R18" i="3"/>
  <c r="R19" i="3"/>
  <c r="R20" i="3"/>
  <c r="R21" i="3"/>
  <c r="R22" i="3"/>
  <c r="R23" i="3"/>
  <c r="R25" i="3"/>
  <c r="R15" i="3"/>
  <c r="Q22" i="8" s="1"/>
</calcChain>
</file>

<file path=xl/sharedStrings.xml><?xml version="1.0" encoding="utf-8"?>
<sst xmlns="http://schemas.openxmlformats.org/spreadsheetml/2006/main" count="280" uniqueCount="129">
  <si>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</si>
  <si>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</si>
  <si>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</si>
  <si>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</si>
  <si>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</si>
  <si>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</si>
  <si>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</si>
  <si>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</si>
  <si>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</si>
  <si>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</si>
  <si>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</si>
  <si>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</si>
  <si>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</si>
  <si>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</si>
  <si>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</si>
  <si>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</si>
  <si>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</si>
  <si>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</si>
  <si>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</si>
  <si>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</si>
  <si>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</si>
  <si>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</si>
  <si>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</si>
  <si>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</si>
  <si>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</si>
  <si>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</si>
  <si>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</si>
  <si>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</si>
  <si>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</si>
  <si>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</si>
  <si>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</si>
  <si>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</si>
  <si>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</si>
  <si>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</si>
  <si>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</si>
  <si>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</si>
  <si>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</si>
  <si>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</si>
  <si>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</si>
  <si>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</si>
  <si>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</si>
  <si>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</si>
  <si>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</si>
  <si>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</si>
  <si>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</si>
  <si>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</si>
  <si>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</si>
  <si>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Productos Farmacéuticos y Medicinales</t>
  </si>
  <si>
    <t>PLANIFICACION</t>
  </si>
  <si>
    <t>TOTAL PLANIFICA</t>
  </si>
  <si>
    <t>SALUD MENTAL</t>
  </si>
  <si>
    <t>TOTAL SALUD MENTAL</t>
  </si>
  <si>
    <t>AREAS Y DPAS</t>
  </si>
  <si>
    <t>TOTAL DPAS</t>
  </si>
  <si>
    <t>AMPICILINA 1G FCO AMPOLLA</t>
  </si>
  <si>
    <t>CEFALOTINA 1 GR. AMP.</t>
  </si>
  <si>
    <t>MEROPENEM 1000MG</t>
  </si>
  <si>
    <t>PENICILINA BENZATINICA 2.400.000 FCO AMPOLLA</t>
  </si>
  <si>
    <t>CLARITROMICINA 500 MG COMPRIMIDO</t>
  </si>
  <si>
    <t xml:space="preserve">AZITROMICINA 500 MG COMPRIMIDOS </t>
  </si>
  <si>
    <t>GENTAMICINA 80 MG AMPOLLA</t>
  </si>
  <si>
    <t>CIPROFLOXACINA 500 MG COMP</t>
  </si>
  <si>
    <t>COLISTINA 100 MG FCO AMPOLLA</t>
  </si>
  <si>
    <t>METRONIDAZOL 500 MG COMP</t>
  </si>
  <si>
    <t>ANFOTERICINA B VIAL 50 MG</t>
  </si>
  <si>
    <t>FLUCONAZOL 100 MG COMPRIMIDOS</t>
  </si>
  <si>
    <t>FLUCONAZOL 200 MG SACHET 100 ML</t>
  </si>
  <si>
    <t>ACICLOVIR 500 MG FCO AMPOLLA</t>
  </si>
  <si>
    <t>INMUNOGLOBULINA HUMANA INESPECIFICA 10 GRS</t>
  </si>
  <si>
    <t xml:space="preserve">Especificidades 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</si>
  <si>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</si>
  <si>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Descripción técnica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</si>
  <si>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</si>
  <si>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</si>
  <si>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</si>
  <si>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</si>
  <si>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</si>
  <si>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</si>
  <si>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</si>
  <si>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</si>
  <si>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 15/2021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</si>
  <si>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</si>
  <si>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</si>
  <si>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</si>
  <si>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</si>
  <si>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</si>
  <si>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</si>
  <si>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</si>
  <si>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</si>
  <si>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</si>
  <si>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</si>
  <si>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</si>
  <si>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</si>
  <si>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</si>
  <si>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</si>
  <si>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</si>
  <si>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</si>
  <si>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</si>
  <si>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</si>
  <si>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</si>
  <si>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</si>
  <si>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</si>
  <si>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</si>
  <si>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</si>
  <si>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Autorizo la realización de los  trámites correspondientes, a fin de proveer a  este Organismo los bienes que se detallan en Nota de pedido y Entrega N°15/2021,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</si>
  <si>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</si>
  <si>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</si>
  <si>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</si>
  <si>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</si>
  <si>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</si>
  <si>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</si>
  <si>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</si>
  <si>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</si>
  <si>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</si>
  <si>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</si>
  <si>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</si>
  <si>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</si>
  <si>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</si>
  <si>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</si>
  <si>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</si>
  <si>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</si>
  <si>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</si>
  <si>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</si>
  <si>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ACICLOVIR 800 MG COMPRIMIDO</t>
  </si>
  <si>
    <t>TOTAL DE PESOS: NUEVE MILLONES NOVECIENTOS CUARENTA Y OCHO MIL SEISCIENTOS TREINTA CON 00/100</t>
  </si>
  <si>
    <t>PROD. MEDICO/FARMACEUTICOS/LAB</t>
  </si>
  <si>
    <t>Adquisicion del  RUBRO PROD. MEDICO/FARMACEUTICOS/LAB</t>
  </si>
  <si>
    <t>Costo total estimado:  NUEVE MILLONES NOVECIENTOS CUARENTA Y OCHO MIL SEISCIENTOS TREINTA CON 00/100</t>
  </si>
  <si>
    <t>DIEZ (10)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</si>
</sst>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7" formatCode="&quot;$&quot;\ #,##0.00;&quot;$&quot;\ \-#,##0.00"/>
    <numFmt numFmtId="44" formatCode="_ &quot;$&quot;\ * #,##0.00_ ;_ &quot;$&quot;\ * \-#,##0.00_ ;_ &quot;$&quot;\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[$$-2C0A]#,##0.00"/>
    <numFmt numFmtId="172" formatCode="_(\$* #,##0.00_);_(\$* \(#,##0.00\);_(\$* \-??_);_(@_)"/>
    <numFmt numFmtId="173" formatCode="dd\-mm\-yy;@"/>
  </numFmts>
  <fonts count="3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Bookman Old Style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</borders>
  <cellStyleXfs count="25">
    <xf numFmtId="0" fontId="0" fillId="0" borderId="0"/>
    <xf numFmtId="166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44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6" fontId="6" fillId="0" borderId="0" applyBorder="0" applyProtection="0"/>
    <xf numFmtId="0" fontId="4" fillId="0" borderId="1" applyProtection="0"/>
    <xf numFmtId="0" fontId="6" fillId="0" borderId="0"/>
    <xf numFmtId="44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72" fontId="24" fillId="0" borderId="0" applyBorder="0" applyProtection="0"/>
    <xf numFmtId="166" fontId="6" fillId="0" borderId="0" applyBorder="0" applyProtection="0"/>
    <xf numFmtId="0" fontId="1" fillId="0" borderId="0"/>
    <xf numFmtId="0" fontId="1" fillId="0" borderId="0"/>
  </cellStyleXfs>
  <cellXfs count="209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3" fontId="13" fillId="4" borderId="2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170" fontId="7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170" fontId="14" fillId="0" borderId="6" xfId="0" applyNumberFormat="1" applyFont="1" applyBorder="1" applyAlignment="1">
      <alignment horizontal="center" vertical="center" wrapText="1"/>
    </xf>
    <xf numFmtId="3" fontId="14" fillId="0" borderId="6" xfId="0" applyNumberFormat="1" applyFont="1" applyBorder="1" applyAlignment="1">
      <alignment horizontal="center" vertical="center" wrapText="1"/>
    </xf>
    <xf numFmtId="170" fontId="13" fillId="0" borderId="0" xfId="1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70" fontId="13" fillId="0" borderId="6" xfId="1" applyNumberFormat="1" applyFont="1" applyBorder="1" applyAlignment="1">
      <alignment vertical="center" wrapText="1"/>
    </xf>
    <xf numFmtId="167" fontId="14" fillId="0" borderId="6" xfId="0" applyNumberFormat="1" applyFont="1" applyBorder="1" applyAlignment="1">
      <alignment vertical="center" wrapText="1"/>
    </xf>
    <xf numFmtId="170" fontId="13" fillId="0" borderId="6" xfId="1" applyNumberFormat="1" applyFont="1" applyBorder="1" applyAlignment="1">
      <alignment vertical="center"/>
    </xf>
    <xf numFmtId="0" fontId="1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70" fontId="7" fillId="0" borderId="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 vertical="center"/>
    </xf>
    <xf numFmtId="167" fontId="7" fillId="0" borderId="6" xfId="0" applyNumberFormat="1" applyFont="1" applyBorder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/>
    </xf>
    <xf numFmtId="1" fontId="7" fillId="5" borderId="6" xfId="0" applyNumberFormat="1" applyFont="1" applyFill="1" applyBorder="1" applyAlignment="1">
      <alignment horizontal="center"/>
    </xf>
    <xf numFmtId="170" fontId="7" fillId="5" borderId="6" xfId="0" applyNumberFormat="1" applyFont="1" applyFill="1" applyBorder="1" applyAlignment="1">
      <alignment horizontal="center"/>
    </xf>
    <xf numFmtId="3" fontId="7" fillId="5" borderId="6" xfId="0" applyNumberFormat="1" applyFont="1" applyFill="1" applyBorder="1" applyAlignment="1">
      <alignment horizontal="center"/>
    </xf>
    <xf numFmtId="167" fontId="17" fillId="0" borderId="6" xfId="0" applyNumberFormat="1" applyFont="1" applyBorder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left"/>
    </xf>
    <xf numFmtId="170" fontId="7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left"/>
    </xf>
    <xf numFmtId="0" fontId="22" fillId="0" borderId="17" xfId="13" applyFont="1" applyBorder="1" applyAlignment="1">
      <alignment horizontal="right" vertical="center"/>
    </xf>
    <xf numFmtId="17" fontId="23" fillId="3" borderId="18" xfId="13" applyNumberFormat="1" applyFont="1" applyFill="1" applyBorder="1" applyAlignment="1">
      <alignment horizontal="center" vertical="center"/>
    </xf>
    <xf numFmtId="0" fontId="24" fillId="0" borderId="0" xfId="13" applyFont="1" applyBorder="1" applyAlignment="1">
      <alignment vertical="center"/>
    </xf>
    <xf numFmtId="0" fontId="22" fillId="0" borderId="19" xfId="13" applyFont="1" applyBorder="1" applyAlignment="1">
      <alignment vertical="center"/>
    </xf>
    <xf numFmtId="0" fontId="22" fillId="0" borderId="0" xfId="13" applyFont="1" applyBorder="1" applyAlignment="1">
      <alignment vertical="center"/>
    </xf>
    <xf numFmtId="0" fontId="25" fillId="0" borderId="0" xfId="13" applyFont="1" applyBorder="1" applyAlignment="1">
      <alignment horizontal="left" vertical="center"/>
    </xf>
    <xf numFmtId="0" fontId="23" fillId="0" borderId="0" xfId="13" applyFont="1" applyBorder="1" applyAlignment="1">
      <alignment horizontal="left" vertical="center" wrapText="1" indent="1"/>
    </xf>
    <xf numFmtId="0" fontId="27" fillId="4" borderId="25" xfId="13" applyFont="1" applyFill="1" applyBorder="1" applyAlignment="1">
      <alignment horizontal="center" vertical="center"/>
    </xf>
    <xf numFmtId="0" fontId="27" fillId="4" borderId="25" xfId="13" applyFont="1" applyFill="1" applyBorder="1" applyAlignment="1">
      <alignment horizontal="left" vertical="center"/>
    </xf>
    <xf numFmtId="0" fontId="27" fillId="3" borderId="25" xfId="13" applyFont="1" applyFill="1" applyBorder="1" applyAlignment="1">
      <alignment horizontal="center" vertical="center"/>
    </xf>
    <xf numFmtId="0" fontId="7" fillId="0" borderId="6" xfId="13" applyFont="1" applyBorder="1" applyAlignment="1">
      <alignment horizontal="center"/>
    </xf>
    <xf numFmtId="165" fontId="28" fillId="4" borderId="0" xfId="13" applyNumberFormat="1" applyFont="1" applyFill="1" applyBorder="1" applyAlignment="1">
      <alignment vertical="center"/>
    </xf>
    <xf numFmtId="0" fontId="27" fillId="4" borderId="29" xfId="13" applyFont="1" applyFill="1" applyBorder="1" applyAlignment="1">
      <alignment horizontal="center" vertical="center"/>
    </xf>
    <xf numFmtId="0" fontId="27" fillId="4" borderId="29" xfId="13" applyFont="1" applyFill="1" applyBorder="1" applyAlignment="1">
      <alignment horizontal="left" vertical="center"/>
    </xf>
    <xf numFmtId="170" fontId="7" fillId="0" borderId="6" xfId="13" applyNumberFormat="1" applyFont="1" applyBorder="1" applyAlignment="1">
      <alignment horizontal="right" vertical="center"/>
    </xf>
    <xf numFmtId="0" fontId="7" fillId="0" borderId="16" xfId="13" applyFont="1" applyBorder="1" applyAlignment="1">
      <alignment horizontal="center"/>
    </xf>
    <xf numFmtId="3" fontId="6" fillId="0" borderId="6" xfId="13" applyNumberFormat="1" applyBorder="1" applyAlignment="1">
      <alignment horizontal="center" vertical="center"/>
    </xf>
    <xf numFmtId="0" fontId="29" fillId="0" borderId="31" xfId="13" applyFont="1" applyBorder="1" applyAlignment="1">
      <alignment horizontal="left" vertical="center"/>
    </xf>
    <xf numFmtId="0" fontId="29" fillId="0" borderId="32" xfId="13" applyFont="1" applyBorder="1" applyAlignment="1">
      <alignment horizontal="left" vertical="center"/>
    </xf>
    <xf numFmtId="0" fontId="29" fillId="0" borderId="33" xfId="13" applyFont="1" applyBorder="1" applyAlignment="1">
      <alignment horizontal="center" vertical="center"/>
    </xf>
    <xf numFmtId="0" fontId="29" fillId="0" borderId="33" xfId="13" applyFont="1" applyBorder="1" applyAlignment="1">
      <alignment horizontal="left" vertical="center"/>
    </xf>
    <xf numFmtId="0" fontId="27" fillId="0" borderId="32" xfId="13" applyFont="1" applyBorder="1" applyAlignment="1">
      <alignment horizontal="center" vertical="center"/>
    </xf>
    <xf numFmtId="0" fontId="27" fillId="0" borderId="36" xfId="13" applyFont="1" applyBorder="1" applyAlignment="1">
      <alignment horizontal="center" vertical="center" wrapText="1"/>
    </xf>
    <xf numFmtId="165" fontId="27" fillId="0" borderId="32" xfId="13" applyNumberFormat="1" applyFont="1" applyBorder="1" applyAlignment="1">
      <alignment horizontal="center" vertical="center" wrapText="1"/>
    </xf>
    <xf numFmtId="165" fontId="24" fillId="0" borderId="0" xfId="13" applyNumberFormat="1" applyFont="1" applyBorder="1" applyAlignment="1">
      <alignment vertical="center"/>
    </xf>
    <xf numFmtId="0" fontId="6" fillId="0" borderId="0" xfId="13"/>
    <xf numFmtId="165" fontId="6" fillId="0" borderId="0" xfId="13" applyNumberFormat="1"/>
    <xf numFmtId="3" fontId="30" fillId="0" borderId="0" xfId="13" applyNumberFormat="1" applyFont="1" applyBorder="1" applyAlignment="1"/>
    <xf numFmtId="173" fontId="6" fillId="0" borderId="0" xfId="13" applyNumberFormat="1" applyAlignment="1">
      <alignment horizontal="left"/>
    </xf>
    <xf numFmtId="0" fontId="6" fillId="0" borderId="0" xfId="13" applyAlignment="1">
      <alignment horizontal="left"/>
    </xf>
    <xf numFmtId="0" fontId="24" fillId="0" borderId="0" xfId="13" applyFont="1"/>
    <xf numFmtId="0" fontId="6" fillId="0" borderId="0" xfId="13" applyBorder="1"/>
    <xf numFmtId="0" fontId="6" fillId="0" borderId="17" xfId="13" applyBorder="1"/>
    <xf numFmtId="0" fontId="6" fillId="0" borderId="40" xfId="13" applyBorder="1"/>
    <xf numFmtId="0" fontId="6" fillId="0" borderId="19" xfId="13" applyBorder="1"/>
    <xf numFmtId="0" fontId="6" fillId="0" borderId="19" xfId="13" applyBorder="1" applyAlignment="1">
      <alignment horizontal="left"/>
    </xf>
    <xf numFmtId="0" fontId="6" fillId="0" borderId="41" xfId="13" applyBorder="1"/>
    <xf numFmtId="0" fontId="34" fillId="0" borderId="44" xfId="13" applyFont="1" applyBorder="1" applyAlignment="1">
      <alignment horizontal="center" vertical="center"/>
    </xf>
    <xf numFmtId="0" fontId="34" fillId="0" borderId="45" xfId="13" applyFont="1" applyBorder="1" applyAlignment="1">
      <alignment horizontal="center" vertical="center"/>
    </xf>
    <xf numFmtId="0" fontId="34" fillId="0" borderId="45" xfId="13" applyFont="1" applyBorder="1" applyAlignment="1">
      <alignment horizontal="left" vertical="center"/>
    </xf>
    <xf numFmtId="0" fontId="34" fillId="0" borderId="46" xfId="13" applyFont="1" applyBorder="1" applyAlignment="1">
      <alignment horizontal="center" vertical="center"/>
    </xf>
    <xf numFmtId="0" fontId="34" fillId="0" borderId="47" xfId="13" applyFont="1" applyBorder="1" applyAlignment="1">
      <alignment horizontal="center" vertical="center"/>
    </xf>
    <xf numFmtId="0" fontId="6" fillId="0" borderId="48" xfId="13" applyFont="1" applyBorder="1" applyAlignment="1">
      <alignment horizontal="center" vertical="center"/>
    </xf>
    <xf numFmtId="0" fontId="6" fillId="0" borderId="49" xfId="13" applyFont="1" applyBorder="1" applyAlignment="1">
      <alignment horizontal="center" vertical="center"/>
    </xf>
    <xf numFmtId="0" fontId="6" fillId="0" borderId="50" xfId="13" applyFont="1" applyBorder="1" applyAlignment="1">
      <alignment horizontal="center" vertical="center"/>
    </xf>
    <xf numFmtId="0" fontId="6" fillId="0" borderId="51" xfId="13" applyFont="1" applyBorder="1" applyAlignment="1">
      <alignment horizontal="center" vertical="center"/>
    </xf>
    <xf numFmtId="168" fontId="0" fillId="0" borderId="53" xfId="21" applyNumberFormat="1" applyFont="1" applyBorder="1" applyAlignment="1" applyProtection="1">
      <alignment horizontal="center" vertical="center"/>
    </xf>
    <xf numFmtId="0" fontId="32" fillId="0" borderId="48" xfId="13" applyFont="1" applyBorder="1" applyAlignment="1">
      <alignment horizontal="center" vertical="center"/>
    </xf>
    <xf numFmtId="0" fontId="32" fillId="0" borderId="49" xfId="13" applyFont="1" applyBorder="1" applyAlignment="1">
      <alignment horizontal="center" vertical="center"/>
    </xf>
    <xf numFmtId="0" fontId="6" fillId="0" borderId="51" xfId="13" applyBorder="1" applyAlignment="1">
      <alignment horizontal="center" vertical="center"/>
    </xf>
    <xf numFmtId="0" fontId="32" fillId="0" borderId="50" xfId="13" applyFont="1" applyBorder="1" applyAlignment="1">
      <alignment horizontal="center" vertical="center"/>
    </xf>
    <xf numFmtId="0" fontId="32" fillId="0" borderId="51" xfId="13" applyFont="1" applyBorder="1" applyAlignment="1">
      <alignment horizontal="center" vertical="center"/>
    </xf>
    <xf numFmtId="0" fontId="6" fillId="0" borderId="54" xfId="13" applyBorder="1" applyAlignment="1">
      <alignment horizontal="center" vertical="center"/>
    </xf>
    <xf numFmtId="0" fontId="6" fillId="0" borderId="55" xfId="13" applyBorder="1" applyAlignment="1">
      <alignment horizontal="center" vertical="center"/>
    </xf>
    <xf numFmtId="0" fontId="6" fillId="0" borderId="56" xfId="13" applyBorder="1" applyAlignment="1">
      <alignment horizontal="center" vertical="center"/>
    </xf>
    <xf numFmtId="168" fontId="0" fillId="0" borderId="57" xfId="21" applyNumberFormat="1" applyFont="1" applyBorder="1" applyAlignment="1" applyProtection="1">
      <alignment horizontal="center" vertical="center"/>
    </xf>
    <xf numFmtId="168" fontId="34" fillId="0" borderId="58" xfId="13" applyNumberFormat="1" applyFont="1" applyBorder="1" applyAlignment="1">
      <alignment horizontal="center" vertical="center"/>
    </xf>
    <xf numFmtId="3" fontId="6" fillId="4" borderId="14" xfId="0" applyNumberFormat="1" applyFont="1" applyFill="1" applyBorder="1" applyAlignment="1">
      <alignment horizontal="center" vertical="center"/>
    </xf>
    <xf numFmtId="169" fontId="6" fillId="4" borderId="6" xfId="0" applyNumberFormat="1" applyFont="1" applyFill="1" applyBorder="1" applyAlignment="1">
      <alignment horizontal="center" vertical="center" wrapText="1"/>
    </xf>
    <xf numFmtId="3" fontId="20" fillId="4" borderId="0" xfId="0" applyNumberFormat="1" applyFont="1" applyFill="1" applyBorder="1" applyAlignment="1">
      <alignment horizontal="center" vertical="center"/>
    </xf>
    <xf numFmtId="169" fontId="6" fillId="4" borderId="0" xfId="0" applyNumberFormat="1" applyFont="1" applyFill="1" applyBorder="1" applyAlignment="1">
      <alignment horizontal="center" vertical="center" wrapText="1"/>
    </xf>
    <xf numFmtId="3" fontId="1" fillId="4" borderId="6" xfId="0" applyNumberFormat="1" applyFont="1" applyFill="1" applyBorder="1" applyAlignment="1">
      <alignment horizontal="center"/>
    </xf>
    <xf numFmtId="169" fontId="6" fillId="4" borderId="6" xfId="0" applyNumberFormat="1" applyFont="1" applyFill="1" applyBorder="1" applyAlignment="1">
      <alignment horizontal="center"/>
    </xf>
    <xf numFmtId="3" fontId="6" fillId="4" borderId="6" xfId="0" applyNumberFormat="1" applyFont="1" applyFill="1" applyBorder="1" applyAlignment="1">
      <alignment horizontal="center" vertical="center" wrapText="1"/>
    </xf>
    <xf numFmtId="3" fontId="6" fillId="4" borderId="13" xfId="0" applyNumberFormat="1" applyFont="1" applyFill="1" applyBorder="1" applyAlignment="1">
      <alignment horizontal="center" vertical="center"/>
    </xf>
    <xf numFmtId="169" fontId="7" fillId="4" borderId="6" xfId="0" applyNumberFormat="1" applyFont="1" applyFill="1" applyBorder="1" applyAlignment="1">
      <alignment horizontal="center"/>
    </xf>
    <xf numFmtId="3" fontId="6" fillId="4" borderId="6" xfId="0" applyNumberFormat="1" applyFont="1" applyFill="1" applyBorder="1" applyAlignment="1">
      <alignment horizontal="center" vertical="center"/>
    </xf>
    <xf numFmtId="3" fontId="20" fillId="4" borderId="6" xfId="0" applyNumberFormat="1" applyFont="1" applyFill="1" applyBorder="1" applyAlignment="1">
      <alignment horizontal="center" vertical="center" wrapText="1"/>
    </xf>
    <xf numFmtId="171" fontId="7" fillId="0" borderId="6" xfId="0" applyNumberFormat="1" applyFont="1" applyBorder="1" applyAlignment="1">
      <alignment horizontal="center"/>
    </xf>
    <xf numFmtId="3" fontId="1" fillId="4" borderId="13" xfId="0" applyNumberFormat="1" applyFont="1" applyFill="1" applyBorder="1" applyAlignment="1">
      <alignment horizontal="center"/>
    </xf>
    <xf numFmtId="3" fontId="6" fillId="4" borderId="13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6" fillId="0" borderId="34" xfId="13" applyFont="1" applyBorder="1" applyAlignment="1">
      <alignment horizontal="left" vertical="center"/>
    </xf>
    <xf numFmtId="0" fontId="6" fillId="0" borderId="9" xfId="13" applyFont="1" applyBorder="1" applyAlignment="1">
      <alignment horizontal="left" vertical="center"/>
    </xf>
    <xf numFmtId="0" fontId="6" fillId="0" borderId="35" xfId="13" applyFont="1" applyBorder="1" applyAlignment="1">
      <alignment horizontal="left" vertical="center"/>
    </xf>
    <xf numFmtId="0" fontId="21" fillId="0" borderId="11" xfId="13" applyFont="1" applyBorder="1" applyAlignment="1">
      <alignment horizontal="left" vertical="center"/>
    </xf>
    <xf numFmtId="0" fontId="21" fillId="0" borderId="3" xfId="13" applyFont="1" applyBorder="1" applyAlignment="1">
      <alignment horizontal="left" vertical="center"/>
    </xf>
    <xf numFmtId="0" fontId="21" fillId="0" borderId="5" xfId="13" applyFont="1" applyBorder="1" applyAlignment="1">
      <alignment horizontal="left" vertical="center"/>
    </xf>
    <xf numFmtId="7" fontId="17" fillId="0" borderId="3" xfId="13" applyNumberFormat="1" applyFont="1" applyBorder="1" applyAlignment="1">
      <alignment horizontal="center" vertical="center" wrapText="1"/>
    </xf>
    <xf numFmtId="0" fontId="23" fillId="0" borderId="0" xfId="13" applyFont="1" applyBorder="1" applyAlignment="1">
      <alignment horizontal="left" vertical="center" wrapText="1" indent="1"/>
    </xf>
    <xf numFmtId="169" fontId="25" fillId="0" borderId="0" xfId="13" applyNumberFormat="1" applyFont="1" applyBorder="1" applyAlignment="1">
      <alignment horizontal="center" vertical="center"/>
    </xf>
    <xf numFmtId="0" fontId="6" fillId="4" borderId="30" xfId="13" applyFont="1" applyFill="1" applyBorder="1" applyAlignment="1">
      <alignment horizontal="left" vertical="center" wrapText="1"/>
    </xf>
    <xf numFmtId="0" fontId="6" fillId="4" borderId="7" xfId="13" applyFont="1" applyFill="1" applyBorder="1" applyAlignment="1">
      <alignment horizontal="left" vertical="center" wrapText="1"/>
    </xf>
    <xf numFmtId="0" fontId="6" fillId="4" borderId="4" xfId="13" applyFont="1" applyFill="1" applyBorder="1" applyAlignment="1">
      <alignment horizontal="left" vertical="center" wrapText="1"/>
    </xf>
    <xf numFmtId="0" fontId="20" fillId="4" borderId="30" xfId="13" applyFont="1" applyFill="1" applyBorder="1" applyAlignment="1">
      <alignment horizontal="left" wrapText="1"/>
    </xf>
    <xf numFmtId="0" fontId="20" fillId="4" borderId="7" xfId="13" applyFont="1" applyFill="1" applyBorder="1" applyAlignment="1">
      <alignment horizontal="left" wrapText="1"/>
    </xf>
    <xf numFmtId="0" fontId="20" fillId="4" borderId="4" xfId="13" applyFont="1" applyFill="1" applyBorder="1" applyAlignment="1">
      <alignment horizontal="left" wrapText="1"/>
    </xf>
    <xf numFmtId="0" fontId="6" fillId="4" borderId="30" xfId="13" applyFont="1" applyFill="1" applyBorder="1" applyAlignment="1">
      <alignment horizontal="left" vertical="center"/>
    </xf>
    <xf numFmtId="0" fontId="6" fillId="4" borderId="7" xfId="13" applyFont="1" applyFill="1" applyBorder="1" applyAlignment="1">
      <alignment horizontal="left" vertical="center"/>
    </xf>
    <xf numFmtId="0" fontId="6" fillId="4" borderId="4" xfId="13" applyFont="1" applyFill="1" applyBorder="1" applyAlignment="1">
      <alignment horizontal="left" vertical="center"/>
    </xf>
    <xf numFmtId="0" fontId="26" fillId="0" borderId="22" xfId="13" applyFont="1" applyBorder="1" applyAlignment="1">
      <alignment horizontal="center" vertical="center"/>
    </xf>
    <xf numFmtId="0" fontId="26" fillId="0" borderId="24" xfId="13" applyFont="1" applyBorder="1" applyAlignment="1">
      <alignment horizontal="center" vertical="center" wrapText="1"/>
    </xf>
    <xf numFmtId="0" fontId="25" fillId="0" borderId="20" xfId="13" applyFont="1" applyBorder="1" applyAlignment="1">
      <alignment horizontal="left" vertical="center" wrapText="1"/>
    </xf>
    <xf numFmtId="0" fontId="23" fillId="0" borderId="10" xfId="13" applyFont="1" applyBorder="1" applyAlignment="1">
      <alignment horizontal="left" vertical="center" wrapText="1" indent="1"/>
    </xf>
    <xf numFmtId="0" fontId="25" fillId="0" borderId="21" xfId="13" applyFont="1" applyBorder="1" applyAlignment="1">
      <alignment horizontal="left" vertical="center" wrapText="1"/>
    </xf>
    <xf numFmtId="0" fontId="25" fillId="0" borderId="22" xfId="13" applyFont="1" applyBorder="1" applyAlignment="1">
      <alignment horizontal="left" vertical="center"/>
    </xf>
    <xf numFmtId="0" fontId="23" fillId="0" borderId="23" xfId="13" applyFont="1" applyBorder="1" applyAlignment="1">
      <alignment horizontal="left" vertical="center" wrapText="1" indent="1"/>
    </xf>
    <xf numFmtId="0" fontId="22" fillId="0" borderId="0" xfId="13" applyFont="1" applyBorder="1" applyAlignment="1">
      <alignment horizontal="center" vertical="center"/>
    </xf>
    <xf numFmtId="0" fontId="30" fillId="0" borderId="58" xfId="13" applyFont="1" applyBorder="1" applyAlignment="1">
      <alignment horizontal="left" vertical="center" wrapText="1"/>
    </xf>
    <xf numFmtId="0" fontId="6" fillId="0" borderId="42" xfId="13" applyBorder="1"/>
    <xf numFmtId="0" fontId="30" fillId="0" borderId="11" xfId="13" applyFont="1" applyBorder="1" applyAlignment="1">
      <alignment vertical="center" wrapText="1"/>
    </xf>
    <xf numFmtId="0" fontId="30" fillId="0" borderId="59" xfId="13" applyFont="1" applyBorder="1" applyAlignment="1">
      <alignment vertical="center" wrapText="1"/>
    </xf>
    <xf numFmtId="0" fontId="30" fillId="0" borderId="23" xfId="13" applyFont="1" applyBorder="1" applyAlignment="1">
      <alignment vertical="center" wrapText="1"/>
    </xf>
    <xf numFmtId="0" fontId="32" fillId="0" borderId="43" xfId="13" applyFont="1" applyBorder="1" applyAlignment="1">
      <alignment vertical="center" wrapText="1"/>
    </xf>
    <xf numFmtId="0" fontId="32" fillId="3" borderId="58" xfId="13" applyFont="1" applyFill="1" applyBorder="1" applyAlignment="1">
      <alignment horizontal="left" vertical="center" wrapText="1" indent="1"/>
    </xf>
    <xf numFmtId="0" fontId="6" fillId="0" borderId="51" xfId="13" applyBorder="1" applyAlignment="1">
      <alignment horizontal="left" vertical="center"/>
    </xf>
    <xf numFmtId="0" fontId="6" fillId="0" borderId="51" xfId="13" applyFont="1" applyBorder="1" applyAlignment="1">
      <alignment horizontal="left" vertical="center"/>
    </xf>
    <xf numFmtId="0" fontId="6" fillId="0" borderId="55" xfId="13" applyBorder="1" applyAlignment="1">
      <alignment horizontal="left" vertical="center"/>
    </xf>
    <xf numFmtId="0" fontId="32" fillId="4" borderId="39" xfId="13" applyNumberFormat="1" applyFont="1" applyFill="1" applyBorder="1" applyAlignment="1">
      <alignment horizontal="left" vertical="justify" wrapText="1" indent="1"/>
    </xf>
    <xf numFmtId="0" fontId="32" fillId="4" borderId="0" xfId="13" applyNumberFormat="1" applyFont="1" applyFill="1" applyBorder="1" applyAlignment="1">
      <alignment horizontal="left" vertical="justify" wrapText="1" indent="1"/>
    </xf>
    <xf numFmtId="0" fontId="32" fillId="4" borderId="17" xfId="13" applyNumberFormat="1" applyFont="1" applyFill="1" applyBorder="1" applyAlignment="1">
      <alignment horizontal="left" vertical="justify" wrapText="1" indent="1"/>
    </xf>
    <xf numFmtId="0" fontId="34" fillId="0" borderId="42" xfId="13" applyFont="1" applyBorder="1" applyAlignment="1">
      <alignment horizontal="center" vertical="center"/>
    </xf>
    <xf numFmtId="0" fontId="34" fillId="0" borderId="18" xfId="13" applyFont="1" applyBorder="1" applyAlignment="1">
      <alignment horizontal="center" vertical="center"/>
    </xf>
    <xf numFmtId="0" fontId="34" fillId="0" borderId="42" xfId="13" applyFont="1" applyBorder="1" applyAlignment="1">
      <alignment horizontal="center" vertical="center" wrapText="1"/>
    </xf>
    <xf numFmtId="0" fontId="34" fillId="0" borderId="43" xfId="13" applyFont="1" applyBorder="1" applyAlignment="1">
      <alignment horizontal="center" vertical="center"/>
    </xf>
    <xf numFmtId="0" fontId="6" fillId="0" borderId="52" xfId="13" applyBorder="1" applyAlignment="1">
      <alignment horizontal="left" vertical="center" wrapText="1"/>
    </xf>
    <xf numFmtId="0" fontId="6" fillId="0" borderId="52" xfId="13" applyFont="1" applyBorder="1" applyAlignment="1">
      <alignment horizontal="left" vertical="center" wrapText="1"/>
    </xf>
    <xf numFmtId="0" fontId="27" fillId="0" borderId="20" xfId="13" applyFont="1" applyBorder="1" applyAlignment="1">
      <alignment horizontal="left" vertical="center" wrapText="1"/>
    </xf>
    <xf numFmtId="0" fontId="27" fillId="0" borderId="37" xfId="13" applyFont="1" applyBorder="1" applyAlignment="1">
      <alignment horizontal="left" vertical="center" wrapText="1"/>
    </xf>
    <xf numFmtId="0" fontId="27" fillId="0" borderId="38" xfId="13" applyFont="1" applyBorder="1" applyAlignment="1">
      <alignment horizontal="left" vertical="center" wrapText="1"/>
    </xf>
    <xf numFmtId="0" fontId="32" fillId="0" borderId="18" xfId="13" applyFont="1" applyBorder="1" applyAlignment="1">
      <alignment horizontal="left" indent="1"/>
    </xf>
    <xf numFmtId="0" fontId="33" fillId="0" borderId="18" xfId="13" applyFont="1" applyBorder="1" applyAlignment="1">
      <alignment horizontal="left"/>
    </xf>
    <xf numFmtId="0" fontId="32" fillId="0" borderId="39" xfId="13" applyFont="1" applyBorder="1"/>
    <xf numFmtId="0" fontId="6" fillId="0" borderId="11" xfId="13" applyFont="1" applyBorder="1" applyAlignment="1">
      <alignment horizontal="center"/>
    </xf>
    <xf numFmtId="0" fontId="30" fillId="0" borderId="5" xfId="13" applyNumberFormat="1" applyFont="1" applyBorder="1" applyAlignment="1">
      <alignment horizontal="center"/>
    </xf>
    <xf numFmtId="0" fontId="31" fillId="0" borderId="18" xfId="13" applyFont="1" applyBorder="1" applyAlignment="1">
      <alignment horizontal="center" vertical="center" wrapText="1"/>
    </xf>
    <xf numFmtId="0" fontId="24" fillId="0" borderId="18" xfId="13" applyFont="1" applyBorder="1"/>
    <xf numFmtId="169" fontId="7" fillId="0" borderId="0" xfId="0" applyNumberFormat="1" applyFont="1"/>
    <xf numFmtId="0" fontId="11" fillId="0" borderId="0" xfId="0" applyFont="1" applyFill="1" applyBorder="1" applyAlignment="1">
      <alignment horizontal="left" wrapText="1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left" vertical="center"/>
    </xf>
    <xf numFmtId="0" fontId="20" fillId="4" borderId="1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left" vertical="center"/>
    </xf>
    <xf numFmtId="0" fontId="6" fillId="4" borderId="6" xfId="0" applyFont="1" applyFill="1" applyBorder="1"/>
    <xf numFmtId="0" fontId="0" fillId="4" borderId="6" xfId="0" applyFill="1" applyBorder="1"/>
    <xf numFmtId="0" fontId="6" fillId="4" borderId="26" xfId="20" applyNumberFormat="1" applyFont="1" applyFill="1" applyBorder="1" applyAlignment="1">
      <alignment horizontal="left" vertical="center"/>
    </xf>
    <xf numFmtId="0" fontId="6" fillId="4" borderId="27" xfId="20" applyNumberFormat="1" applyFont="1" applyFill="1" applyBorder="1" applyAlignment="1">
      <alignment horizontal="left" vertical="center"/>
    </xf>
    <xf numFmtId="0" fontId="6" fillId="4" borderId="28" xfId="20" applyNumberFormat="1" applyFont="1" applyFill="1" applyBorder="1" applyAlignment="1">
      <alignment horizontal="left" vertical="center"/>
    </xf>
    <xf numFmtId="0" fontId="6" fillId="4" borderId="30" xfId="20" applyNumberFormat="1" applyFont="1" applyFill="1" applyBorder="1" applyAlignment="1">
      <alignment horizontal="left" vertical="center"/>
    </xf>
    <xf numFmtId="0" fontId="6" fillId="4" borderId="7" xfId="20" applyNumberFormat="1" applyFont="1" applyFill="1" applyBorder="1" applyAlignment="1">
      <alignment horizontal="left" vertical="center"/>
    </xf>
    <xf numFmtId="0" fontId="6" fillId="4" borderId="4" xfId="20" applyNumberFormat="1" applyFont="1" applyFill="1" applyBorder="1" applyAlignment="1">
      <alignment horizontal="left" vertical="center"/>
    </xf>
    <xf numFmtId="0" fontId="26" fillId="0" borderId="60" xfId="13" applyFont="1" applyBorder="1" applyAlignment="1">
      <alignment horizontal="center" vertical="center" wrapText="1"/>
    </xf>
    <xf numFmtId="3" fontId="6" fillId="4" borderId="12" xfId="0" applyNumberFormat="1" applyFont="1" applyFill="1" applyBorder="1" applyAlignment="1">
      <alignment horizontal="center" vertical="center"/>
    </xf>
    <xf numFmtId="3" fontId="27" fillId="0" borderId="62" xfId="13" applyNumberFormat="1" applyFont="1" applyBorder="1" applyAlignment="1">
      <alignment horizontal="center" vertical="center"/>
    </xf>
    <xf numFmtId="7" fontId="17" fillId="0" borderId="63" xfId="13" applyNumberFormat="1" applyFont="1" applyBorder="1" applyAlignment="1">
      <alignment horizontal="center" vertical="center" wrapText="1"/>
    </xf>
    <xf numFmtId="169" fontId="25" fillId="0" borderId="61" xfId="13" applyNumberFormat="1" applyFont="1" applyBorder="1" applyAlignment="1">
      <alignment horizontal="center" vertical="center"/>
    </xf>
    <xf numFmtId="0" fontId="24" fillId="0" borderId="61" xfId="13" applyFont="1" applyBorder="1" applyAlignment="1">
      <alignment vertical="center"/>
    </xf>
    <xf numFmtId="3" fontId="20" fillId="4" borderId="6" xfId="0" applyNumberFormat="1" applyFont="1" applyFill="1" applyBorder="1" applyAlignment="1">
      <alignment horizontal="center" vertical="center"/>
    </xf>
  </cellXfs>
  <cellStyles count="25">
    <cellStyle name="Encabezado 1" xfId="2"/>
    <cellStyle name="Encabezado 1 2" xfId="12"/>
    <cellStyle name="Millares 2" xfId="19"/>
    <cellStyle name="Millares 2 2" xfId="20"/>
    <cellStyle name="Moneda" xfId="1" builtinId="4"/>
    <cellStyle name="Moneda 2" xfId="5"/>
    <cellStyle name="Moneda 2 2" xfId="14"/>
    <cellStyle name="Moneda 3" xfId="11"/>
    <cellStyle name="Moneda 4" xfId="22"/>
    <cellStyle name="Moneda_AUTORIZACION Y NOTA DE PEDIDO" xfId="21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3 4" xfId="23"/>
    <cellStyle name="Normal 4" xfId="8"/>
    <cellStyle name="Normal 4 2" xfId="17"/>
    <cellStyle name="Normal 4 3" xfId="24"/>
    <cellStyle name="Normal 5" xfId="9"/>
    <cellStyle name="Normal 6" xfId="10"/>
    <cellStyle name="Normal 7" xfId="18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0"/>
  <sheetViews>
    <sheetView topLeftCell="A22" zoomScale="80" zoomScaleNormal="80" workbookViewId="0">
      <selection activeCell="C33" sqref="C33"/>
    </sheetView>
  </sheetViews>
  <sheetFormatPr baseColWidth="10" defaultColWidth="11" defaultRowHeight="15" x14ac:dyDescent="0.25"/>
  <cols>
    <col min="1" max="1" width="6.42578125" style="25" customWidth="1"/>
    <col min="2" max="2" width="16" style="24" customWidth="1"/>
    <col min="3" max="3" width="50" style="25" customWidth="1"/>
    <col min="4" max="4" width="8.42578125" style="3" customWidth="1"/>
    <col min="5" max="5" width="73.5703125" style="28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9" hidden="1" customWidth="1"/>
    <col min="13" max="13" width="18.85546875" style="11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11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11" hidden="1" customWidth="1"/>
    <col min="22" max="22" width="18.85546875" style="3" hidden="1" customWidth="1"/>
    <col min="23" max="23" width="18.85546875" style="11" hidden="1" customWidth="1"/>
    <col min="24" max="24" width="18.85546875" style="3" hidden="1" customWidth="1"/>
    <col min="25" max="25" width="18.85546875" style="11" hidden="1" customWidth="1"/>
    <col min="26" max="26" width="18.85546875" style="3" hidden="1" customWidth="1"/>
    <col min="27" max="27" width="18.85546875" style="11" hidden="1" customWidth="1"/>
    <col min="28" max="28" width="18.85546875" style="3" hidden="1" customWidth="1"/>
    <col min="29" max="29" width="18.85546875" style="11" hidden="1" customWidth="1"/>
    <col min="30" max="30" width="18.85546875" style="3" hidden="1" customWidth="1"/>
    <col min="31" max="31" width="18.85546875" style="11" hidden="1" customWidth="1"/>
    <col min="32" max="32" width="18.85546875" style="3" hidden="1" customWidth="1"/>
    <col min="33" max="33" width="18.85546875" style="11" hidden="1" customWidth="1"/>
    <col min="34" max="34" width="18.85546875" style="3" hidden="1" customWidth="1"/>
    <col min="35" max="35" width="18.85546875" style="11" hidden="1" customWidth="1"/>
    <col min="36" max="36" width="18.85546875" style="3" hidden="1" customWidth="1"/>
    <col min="37" max="37" width="18.85546875" style="11" hidden="1" customWidth="1"/>
    <col min="38" max="38" width="18.85546875" style="3" hidden="1" customWidth="1"/>
    <col min="39" max="39" width="18.85546875" style="11" hidden="1" customWidth="1"/>
    <col min="40" max="40" width="18.85546875" style="3" hidden="1" customWidth="1"/>
    <col min="41" max="41" width="16.42578125" style="13" customWidth="1"/>
    <col min="42" max="42" width="16.5703125" style="19" bestFit="1" customWidth="1"/>
    <col min="43" max="43" width="22.5703125" style="20" customWidth="1"/>
    <col min="44" max="44" width="23.5703125" style="1" customWidth="1"/>
    <col min="45" max="16384" width="11" style="1"/>
  </cols>
  <sheetData>
    <row r="1" spans="1:44" x14ac:dyDescent="0.25">
      <c r="A1" s="4">
        <v>2021</v>
      </c>
    </row>
    <row r="2" spans="1:44" ht="25.5" x14ac:dyDescent="0.35">
      <c r="B2" s="124" t="s">
        <v>15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5"/>
      <c r="AP2" s="126"/>
    </row>
    <row r="4" spans="1:44" ht="18" customHeight="1" x14ac:dyDescent="0.25">
      <c r="A4" s="123" t="s">
        <v>0</v>
      </c>
      <c r="B4" s="123"/>
      <c r="C4" s="183" t="s">
        <v>13</v>
      </c>
      <c r="D4" s="183"/>
      <c r="E4" s="183"/>
      <c r="F4" s="2"/>
      <c r="G4" s="2"/>
      <c r="H4" s="2"/>
      <c r="I4" s="2"/>
      <c r="J4" s="2"/>
      <c r="K4" s="6"/>
      <c r="L4" s="10"/>
      <c r="M4" s="12"/>
      <c r="N4" s="2"/>
      <c r="O4" s="6"/>
      <c r="P4" s="2"/>
      <c r="Q4" s="12"/>
      <c r="R4" s="2"/>
      <c r="S4" s="6"/>
      <c r="T4" s="2"/>
      <c r="U4" s="12"/>
      <c r="V4" s="2"/>
      <c r="W4" s="12"/>
      <c r="X4" s="2"/>
      <c r="Y4" s="12"/>
      <c r="Z4" s="2"/>
      <c r="AA4" s="12"/>
      <c r="AB4" s="2"/>
      <c r="AC4" s="12"/>
      <c r="AD4" s="2"/>
      <c r="AE4" s="12"/>
      <c r="AF4" s="2"/>
      <c r="AG4" s="12"/>
      <c r="AH4" s="2"/>
      <c r="AI4" s="12"/>
      <c r="AJ4" s="2"/>
      <c r="AK4" s="12"/>
      <c r="AL4" s="2"/>
      <c r="AM4" s="12"/>
      <c r="AN4" s="2"/>
      <c r="AO4" s="14"/>
    </row>
    <row r="5" spans="1:44" ht="18" customHeight="1" x14ac:dyDescent="0.25">
      <c r="A5" s="123" t="s">
        <v>1</v>
      </c>
      <c r="B5" s="123"/>
      <c r="C5" s="183" t="s">
        <v>16</v>
      </c>
      <c r="D5" s="183"/>
      <c r="E5" s="183"/>
      <c r="F5" s="2"/>
      <c r="G5" s="2"/>
      <c r="H5" s="2"/>
      <c r="I5" s="2"/>
      <c r="J5" s="2"/>
      <c r="K5" s="6"/>
      <c r="L5" s="10"/>
      <c r="M5" s="12"/>
      <c r="N5" s="2"/>
      <c r="O5" s="6"/>
      <c r="P5" s="2"/>
      <c r="Q5" s="12"/>
      <c r="R5" s="2"/>
      <c r="S5" s="6"/>
      <c r="T5" s="2"/>
      <c r="U5" s="12"/>
      <c r="V5" s="2"/>
      <c r="W5" s="12"/>
      <c r="X5" s="2"/>
      <c r="Y5" s="12"/>
      <c r="Z5" s="2"/>
      <c r="AA5" s="12"/>
      <c r="AB5" s="2"/>
      <c r="AC5" s="12"/>
      <c r="AD5" s="2"/>
      <c r="AE5" s="12"/>
      <c r="AF5" s="2"/>
      <c r="AG5" s="12"/>
      <c r="AH5" s="2"/>
      <c r="AI5" s="12"/>
      <c r="AJ5" s="2"/>
      <c r="AK5" s="12"/>
      <c r="AL5" s="2"/>
      <c r="AM5" s="12"/>
      <c r="AN5" s="2"/>
      <c r="AO5" s="14"/>
    </row>
    <row r="6" spans="1:44" ht="16.5" customHeight="1" x14ac:dyDescent="0.2">
      <c r="A6" s="123" t="s">
        <v>2</v>
      </c>
      <c r="B6" s="123"/>
      <c r="C6" s="184">
        <v>2021</v>
      </c>
      <c r="D6" s="185"/>
      <c r="E6" s="186"/>
      <c r="F6" s="2"/>
      <c r="G6" s="2"/>
      <c r="H6" s="2"/>
      <c r="I6" s="2"/>
      <c r="J6" s="2"/>
      <c r="K6" s="6"/>
      <c r="L6" s="10"/>
      <c r="M6" s="12"/>
      <c r="N6" s="2"/>
      <c r="O6" s="6"/>
      <c r="P6" s="2"/>
      <c r="Q6" s="12"/>
      <c r="R6" s="2"/>
      <c r="S6" s="6"/>
      <c r="T6" s="2"/>
      <c r="U6" s="12"/>
      <c r="V6" s="2"/>
      <c r="W6" s="12"/>
      <c r="X6" s="2"/>
      <c r="Y6" s="12"/>
      <c r="Z6" s="2"/>
      <c r="AA6" s="12"/>
      <c r="AB6" s="2"/>
      <c r="AC6" s="12"/>
      <c r="AD6" s="2"/>
      <c r="AE6" s="12"/>
      <c r="AF6" s="2"/>
      <c r="AG6" s="12"/>
      <c r="AH6" s="2"/>
      <c r="AI6" s="12"/>
      <c r="AJ6" s="2"/>
      <c r="AK6" s="12"/>
      <c r="AL6" s="2"/>
      <c r="AM6" s="12"/>
      <c r="AN6" s="2"/>
      <c r="AO6" s="14"/>
    </row>
    <row r="7" spans="1:44" ht="31.5" customHeight="1" x14ac:dyDescent="0.2">
      <c r="A7" s="123" t="s">
        <v>3</v>
      </c>
      <c r="B7" s="123"/>
      <c r="C7" s="184" t="s">
        <v>14</v>
      </c>
      <c r="D7" s="185"/>
      <c r="E7" s="186"/>
      <c r="F7" s="2"/>
      <c r="G7" s="2"/>
      <c r="H7" s="2"/>
      <c r="I7" s="2"/>
      <c r="J7" s="2"/>
      <c r="K7" s="6"/>
      <c r="L7" s="10"/>
      <c r="M7" s="12"/>
      <c r="N7" s="2"/>
      <c r="O7" s="6"/>
      <c r="P7" s="2"/>
      <c r="Q7" s="12"/>
      <c r="R7" s="2"/>
      <c r="S7" s="6"/>
      <c r="T7" s="2"/>
      <c r="U7" s="12"/>
      <c r="V7" s="2"/>
      <c r="W7" s="12"/>
      <c r="X7" s="2"/>
      <c r="Y7" s="12"/>
      <c r="Z7" s="2"/>
      <c r="AA7" s="12"/>
      <c r="AB7" s="2"/>
      <c r="AC7" s="12"/>
      <c r="AD7" s="2"/>
      <c r="AE7" s="12"/>
      <c r="AF7" s="2"/>
      <c r="AG7" s="12"/>
      <c r="AH7" s="2"/>
      <c r="AI7" s="12"/>
      <c r="AJ7" s="2"/>
      <c r="AK7" s="12"/>
      <c r="AL7" s="2"/>
      <c r="AM7" s="12"/>
      <c r="AN7" s="2"/>
      <c r="AO7" s="14"/>
    </row>
    <row r="8" spans="1:44" ht="2.25" customHeight="1" x14ac:dyDescent="0.25">
      <c r="B8" s="26"/>
      <c r="C8" s="27"/>
      <c r="D8" s="2"/>
      <c r="E8" s="27"/>
      <c r="F8" s="2"/>
      <c r="G8" s="2"/>
      <c r="H8" s="2"/>
      <c r="I8" s="2"/>
      <c r="J8" s="2"/>
      <c r="K8" s="6"/>
      <c r="L8" s="10"/>
      <c r="M8" s="12"/>
      <c r="N8" s="2"/>
      <c r="O8" s="6"/>
      <c r="P8" s="2"/>
      <c r="Q8" s="12"/>
      <c r="R8" s="2"/>
      <c r="S8" s="6"/>
      <c r="T8" s="2"/>
      <c r="U8" s="12"/>
      <c r="V8" s="2"/>
      <c r="W8" s="12"/>
      <c r="X8" s="2"/>
      <c r="Y8" s="12"/>
      <c r="Z8" s="2"/>
      <c r="AA8" s="12"/>
      <c r="AB8" s="2"/>
      <c r="AC8" s="12"/>
      <c r="AD8" s="2"/>
      <c r="AE8" s="12"/>
      <c r="AF8" s="2"/>
      <c r="AG8" s="12"/>
      <c r="AH8" s="2"/>
      <c r="AI8" s="12"/>
      <c r="AJ8" s="2"/>
      <c r="AK8" s="12"/>
      <c r="AL8" s="2"/>
      <c r="AM8" s="12"/>
      <c r="AN8" s="2"/>
      <c r="AO8" s="14"/>
    </row>
    <row r="9" spans="1:44" ht="57" x14ac:dyDescent="0.2">
      <c r="A9" s="15" t="s">
        <v>4</v>
      </c>
      <c r="B9" s="15" t="s">
        <v>5</v>
      </c>
      <c r="C9" s="8" t="s">
        <v>6</v>
      </c>
      <c r="D9" s="15" t="s">
        <v>7</v>
      </c>
      <c r="E9" s="8" t="s">
        <v>8</v>
      </c>
      <c r="F9" s="8" t="s">
        <v>9</v>
      </c>
      <c r="G9" s="8" t="s">
        <v>17</v>
      </c>
      <c r="H9" s="8" t="s">
        <v>19</v>
      </c>
      <c r="I9" s="8" t="s">
        <v>20</v>
      </c>
      <c r="J9" s="8" t="s">
        <v>21</v>
      </c>
      <c r="K9" s="16" t="s">
        <v>22</v>
      </c>
      <c r="L9" s="17" t="s">
        <v>23</v>
      </c>
      <c r="M9" s="18" t="s">
        <v>24</v>
      </c>
      <c r="N9" s="8" t="s">
        <v>25</v>
      </c>
      <c r="O9" s="16" t="s">
        <v>26</v>
      </c>
      <c r="P9" s="8" t="s">
        <v>27</v>
      </c>
      <c r="Q9" s="18" t="s">
        <v>28</v>
      </c>
      <c r="R9" s="8" t="s">
        <v>29</v>
      </c>
      <c r="S9" s="16" t="s">
        <v>30</v>
      </c>
      <c r="T9" s="8" t="s">
        <v>31</v>
      </c>
      <c r="U9" s="18" t="s">
        <v>33</v>
      </c>
      <c r="V9" s="8" t="s">
        <v>34</v>
      </c>
      <c r="W9" s="18" t="s">
        <v>35</v>
      </c>
      <c r="X9" s="8" t="s">
        <v>36</v>
      </c>
      <c r="Y9" s="18" t="s">
        <v>37</v>
      </c>
      <c r="Z9" s="8" t="s">
        <v>38</v>
      </c>
      <c r="AA9" s="18" t="s">
        <v>39</v>
      </c>
      <c r="AB9" s="8" t="s">
        <v>40</v>
      </c>
      <c r="AC9" s="18" t="s">
        <v>41</v>
      </c>
      <c r="AD9" s="8" t="s">
        <v>42</v>
      </c>
      <c r="AE9" s="18" t="s">
        <v>43</v>
      </c>
      <c r="AF9" s="8" t="s">
        <v>44</v>
      </c>
      <c r="AG9" s="18" t="s">
        <v>45</v>
      </c>
      <c r="AH9" s="8" t="s">
        <v>46</v>
      </c>
      <c r="AI9" s="18" t="s">
        <v>48</v>
      </c>
      <c r="AJ9" s="8" t="s">
        <v>49</v>
      </c>
      <c r="AK9" s="18" t="s">
        <v>50</v>
      </c>
      <c r="AL9" s="8" t="s">
        <v>51</v>
      </c>
      <c r="AM9" s="18" t="s">
        <v>52</v>
      </c>
      <c r="AN9" s="8" t="s">
        <v>53</v>
      </c>
      <c r="AO9" s="18" t="s">
        <v>18</v>
      </c>
      <c r="AP9" s="21" t="s">
        <v>10</v>
      </c>
      <c r="AQ9" s="22" t="s">
        <v>11</v>
      </c>
      <c r="AR9" s="5"/>
    </row>
    <row r="10" spans="1:44" x14ac:dyDescent="0.25">
      <c r="A10" s="29">
        <v>1</v>
      </c>
      <c r="B10" s="30"/>
      <c r="C10" s="187" t="s">
        <v>125</v>
      </c>
      <c r="D10" s="188">
        <v>252</v>
      </c>
      <c r="E10" s="189" t="s">
        <v>54</v>
      </c>
      <c r="F10" s="188" t="s">
        <v>12</v>
      </c>
      <c r="G10" s="38"/>
      <c r="H10" s="38"/>
      <c r="I10" s="38"/>
      <c r="J10" s="38"/>
      <c r="K10" s="39"/>
      <c r="L10" s="40"/>
      <c r="M10" s="41"/>
      <c r="N10" s="38"/>
      <c r="O10" s="39"/>
      <c r="P10" s="38"/>
      <c r="Q10" s="107">
        <v>10000</v>
      </c>
      <c r="R10" s="118">
        <f>+Q10*AP10</f>
        <v>1470000</v>
      </c>
      <c r="S10" s="32"/>
      <c r="T10" s="31"/>
      <c r="U10" s="34"/>
      <c r="V10" s="31"/>
      <c r="W10" s="34"/>
      <c r="X10" s="31"/>
      <c r="Y10" s="34"/>
      <c r="Z10" s="31"/>
      <c r="AA10" s="34"/>
      <c r="AB10" s="31"/>
      <c r="AC10" s="34"/>
      <c r="AD10" s="31"/>
      <c r="AE10" s="34"/>
      <c r="AF10" s="31"/>
      <c r="AG10" s="34"/>
      <c r="AH10" s="31"/>
      <c r="AI10" s="34"/>
      <c r="AJ10" s="31"/>
      <c r="AK10" s="34"/>
      <c r="AL10" s="31"/>
      <c r="AM10" s="34"/>
      <c r="AN10" s="31"/>
      <c r="AO10" s="107">
        <v>10000</v>
      </c>
      <c r="AP10" s="108">
        <v>147</v>
      </c>
      <c r="AQ10" s="36">
        <f>+AP10*AO10</f>
        <v>1470000</v>
      </c>
    </row>
    <row r="11" spans="1:44" x14ac:dyDescent="0.25">
      <c r="A11" s="29">
        <v>2</v>
      </c>
      <c r="B11" s="30"/>
      <c r="C11" s="187" t="s">
        <v>125</v>
      </c>
      <c r="D11" s="188">
        <v>252</v>
      </c>
      <c r="E11" s="190" t="s">
        <v>55</v>
      </c>
      <c r="F11" s="188" t="s">
        <v>12</v>
      </c>
      <c r="G11" s="38"/>
      <c r="H11" s="38"/>
      <c r="I11" s="38"/>
      <c r="J11" s="38"/>
      <c r="K11" s="39"/>
      <c r="L11" s="40"/>
      <c r="M11" s="41"/>
      <c r="N11" s="38"/>
      <c r="O11" s="39"/>
      <c r="P11" s="38"/>
      <c r="Q11" s="109">
        <v>10000</v>
      </c>
      <c r="R11" s="118">
        <f>+Q11*AP11</f>
        <v>2184000</v>
      </c>
      <c r="S11" s="32"/>
      <c r="T11" s="31"/>
      <c r="U11" s="34"/>
      <c r="V11" s="31"/>
      <c r="W11" s="34"/>
      <c r="X11" s="31"/>
      <c r="Y11" s="34"/>
      <c r="Z11" s="31"/>
      <c r="AA11" s="34"/>
      <c r="AB11" s="31"/>
      <c r="AC11" s="34"/>
      <c r="AD11" s="31"/>
      <c r="AE11" s="34"/>
      <c r="AF11" s="31"/>
      <c r="AG11" s="34"/>
      <c r="AH11" s="31"/>
      <c r="AI11" s="34"/>
      <c r="AJ11" s="31"/>
      <c r="AK11" s="34"/>
      <c r="AL11" s="31"/>
      <c r="AM11" s="34"/>
      <c r="AN11" s="31"/>
      <c r="AO11" s="109">
        <v>10000</v>
      </c>
      <c r="AP11" s="110">
        <v>218.4</v>
      </c>
      <c r="AQ11" s="36">
        <f t="shared" ref="AQ11:AQ14" si="0">+AP11*AO11</f>
        <v>2184000</v>
      </c>
    </row>
    <row r="12" spans="1:44" x14ac:dyDescent="0.25">
      <c r="A12" s="29">
        <v>3</v>
      </c>
      <c r="B12" s="30"/>
      <c r="C12" s="187" t="s">
        <v>125</v>
      </c>
      <c r="D12" s="188">
        <v>252</v>
      </c>
      <c r="E12" s="191" t="s">
        <v>56</v>
      </c>
      <c r="F12" s="188" t="s">
        <v>12</v>
      </c>
      <c r="G12" s="38"/>
      <c r="H12" s="38"/>
      <c r="I12" s="38"/>
      <c r="J12" s="38"/>
      <c r="K12" s="39"/>
      <c r="L12" s="40"/>
      <c r="M12" s="41"/>
      <c r="N12" s="38"/>
      <c r="O12" s="39"/>
      <c r="P12" s="38"/>
      <c r="Q12" s="119">
        <v>500</v>
      </c>
      <c r="R12" s="118">
        <f>+Q12*AP12</f>
        <v>270000</v>
      </c>
      <c r="S12" s="32"/>
      <c r="T12" s="31"/>
      <c r="U12" s="34"/>
      <c r="V12" s="31"/>
      <c r="W12" s="34"/>
      <c r="X12" s="31"/>
      <c r="Y12" s="34"/>
      <c r="Z12" s="31"/>
      <c r="AA12" s="34"/>
      <c r="AB12" s="31"/>
      <c r="AC12" s="34"/>
      <c r="AD12" s="31"/>
      <c r="AE12" s="34"/>
      <c r="AF12" s="31"/>
      <c r="AG12" s="34"/>
      <c r="AH12" s="31"/>
      <c r="AI12" s="34"/>
      <c r="AJ12" s="31"/>
      <c r="AK12" s="34"/>
      <c r="AL12" s="31"/>
      <c r="AM12" s="34"/>
      <c r="AN12" s="31"/>
      <c r="AO12" s="111">
        <v>500</v>
      </c>
      <c r="AP12" s="112">
        <v>540</v>
      </c>
      <c r="AQ12" s="36">
        <f t="shared" si="0"/>
        <v>270000</v>
      </c>
    </row>
    <row r="13" spans="1:44" x14ac:dyDescent="0.25">
      <c r="A13" s="29">
        <v>4</v>
      </c>
      <c r="B13" s="30"/>
      <c r="C13" s="187" t="s">
        <v>125</v>
      </c>
      <c r="D13" s="188">
        <v>252</v>
      </c>
      <c r="E13" s="192" t="s">
        <v>57</v>
      </c>
      <c r="F13" s="188" t="s">
        <v>12</v>
      </c>
      <c r="G13" s="38"/>
      <c r="H13" s="38"/>
      <c r="I13" s="38"/>
      <c r="J13" s="38"/>
      <c r="K13" s="39"/>
      <c r="L13" s="40"/>
      <c r="M13" s="41"/>
      <c r="N13" s="38"/>
      <c r="O13" s="39"/>
      <c r="P13" s="38"/>
      <c r="Q13" s="120">
        <v>10000</v>
      </c>
      <c r="R13" s="118">
        <f>+Q13*AP13</f>
        <v>2900000</v>
      </c>
      <c r="S13" s="32"/>
      <c r="T13" s="31"/>
      <c r="U13" s="34"/>
      <c r="V13" s="31"/>
      <c r="W13" s="34"/>
      <c r="X13" s="31"/>
      <c r="Y13" s="34"/>
      <c r="Z13" s="31"/>
      <c r="AA13" s="34"/>
      <c r="AB13" s="31"/>
      <c r="AC13" s="34"/>
      <c r="AD13" s="31"/>
      <c r="AE13" s="34"/>
      <c r="AF13" s="31"/>
      <c r="AG13" s="34"/>
      <c r="AH13" s="31"/>
      <c r="AI13" s="34"/>
      <c r="AJ13" s="31"/>
      <c r="AK13" s="34"/>
      <c r="AL13" s="31"/>
      <c r="AM13" s="34"/>
      <c r="AN13" s="31"/>
      <c r="AO13" s="113">
        <v>10000</v>
      </c>
      <c r="AP13" s="108">
        <v>290</v>
      </c>
      <c r="AQ13" s="36">
        <f t="shared" si="0"/>
        <v>2900000</v>
      </c>
    </row>
    <row r="14" spans="1:44" x14ac:dyDescent="0.25">
      <c r="A14" s="29">
        <v>5</v>
      </c>
      <c r="B14" s="30"/>
      <c r="C14" s="187" t="s">
        <v>125</v>
      </c>
      <c r="D14" s="188">
        <v>252</v>
      </c>
      <c r="E14" s="193" t="s">
        <v>58</v>
      </c>
      <c r="F14" s="188" t="s">
        <v>12</v>
      </c>
      <c r="G14" s="38"/>
      <c r="H14" s="38"/>
      <c r="I14" s="38"/>
      <c r="J14" s="38"/>
      <c r="K14" s="39"/>
      <c r="L14" s="40"/>
      <c r="M14" s="41"/>
      <c r="N14" s="38"/>
      <c r="O14" s="39"/>
      <c r="P14" s="38"/>
      <c r="Q14" s="114">
        <v>20000</v>
      </c>
      <c r="R14" s="118">
        <f>+Q14*AP14</f>
        <v>460000</v>
      </c>
      <c r="S14" s="32"/>
      <c r="T14" s="31"/>
      <c r="U14" s="34"/>
      <c r="V14" s="31"/>
      <c r="W14" s="34"/>
      <c r="X14" s="31"/>
      <c r="Y14" s="34"/>
      <c r="Z14" s="31"/>
      <c r="AA14" s="34"/>
      <c r="AB14" s="31"/>
      <c r="AC14" s="34"/>
      <c r="AD14" s="31"/>
      <c r="AE14" s="34"/>
      <c r="AF14" s="31"/>
      <c r="AG14" s="34"/>
      <c r="AH14" s="31"/>
      <c r="AI14" s="34"/>
      <c r="AJ14" s="31"/>
      <c r="AK14" s="34"/>
      <c r="AL14" s="31"/>
      <c r="AM14" s="34"/>
      <c r="AN14" s="31"/>
      <c r="AO14" s="114">
        <v>20000</v>
      </c>
      <c r="AP14" s="115">
        <v>23</v>
      </c>
      <c r="AQ14" s="36">
        <f t="shared" si="0"/>
        <v>460000</v>
      </c>
    </row>
    <row r="15" spans="1:44" x14ac:dyDescent="0.25">
      <c r="A15" s="29">
        <v>6</v>
      </c>
      <c r="B15" s="30"/>
      <c r="C15" s="187" t="s">
        <v>125</v>
      </c>
      <c r="D15" s="188">
        <v>252</v>
      </c>
      <c r="E15" s="191" t="s">
        <v>59</v>
      </c>
      <c r="F15" s="188" t="s">
        <v>12</v>
      </c>
      <c r="G15" s="38"/>
      <c r="H15" s="38"/>
      <c r="I15" s="38"/>
      <c r="J15" s="38"/>
      <c r="K15" s="39"/>
      <c r="L15" s="40"/>
      <c r="M15" s="41"/>
      <c r="N15" s="38"/>
      <c r="O15" s="39"/>
      <c r="P15" s="38"/>
      <c r="Q15" s="116">
        <v>20000</v>
      </c>
      <c r="R15" s="115">
        <f>+Q15*AP15</f>
        <v>420000</v>
      </c>
      <c r="S15" s="32"/>
      <c r="T15" s="31"/>
      <c r="U15" s="34"/>
      <c r="V15" s="31"/>
      <c r="W15" s="34"/>
      <c r="X15" s="31"/>
      <c r="Y15" s="34"/>
      <c r="Z15" s="31"/>
      <c r="AA15" s="34"/>
      <c r="AB15" s="31"/>
      <c r="AC15" s="34"/>
      <c r="AD15" s="31"/>
      <c r="AE15" s="34"/>
      <c r="AF15" s="31"/>
      <c r="AG15" s="34"/>
      <c r="AH15" s="31"/>
      <c r="AI15" s="34"/>
      <c r="AJ15" s="31"/>
      <c r="AK15" s="34"/>
      <c r="AL15" s="31"/>
      <c r="AM15" s="34"/>
      <c r="AN15" s="31"/>
      <c r="AO15" s="116">
        <f>+Q15</f>
        <v>20000</v>
      </c>
      <c r="AP15" s="115">
        <v>21</v>
      </c>
      <c r="AQ15" s="36">
        <f>+AP15*AO15</f>
        <v>420000</v>
      </c>
    </row>
    <row r="16" spans="1:44" x14ac:dyDescent="0.25">
      <c r="A16" s="29">
        <v>7</v>
      </c>
      <c r="B16" s="30"/>
      <c r="C16" s="187" t="s">
        <v>125</v>
      </c>
      <c r="D16" s="188">
        <v>252</v>
      </c>
      <c r="E16" s="191" t="s">
        <v>60</v>
      </c>
      <c r="F16" s="188" t="s">
        <v>12</v>
      </c>
      <c r="G16" s="38"/>
      <c r="H16" s="38"/>
      <c r="I16" s="38"/>
      <c r="J16" s="38"/>
      <c r="K16" s="39"/>
      <c r="L16" s="40"/>
      <c r="M16" s="41"/>
      <c r="N16" s="38"/>
      <c r="O16" s="39"/>
      <c r="P16" s="38"/>
      <c r="Q16" s="117">
        <v>8000</v>
      </c>
      <c r="R16" s="115">
        <f>+Q16*AP16</f>
        <v>327200</v>
      </c>
      <c r="S16" s="32"/>
      <c r="T16" s="31"/>
      <c r="U16" s="34"/>
      <c r="V16" s="31"/>
      <c r="W16" s="34"/>
      <c r="X16" s="31"/>
      <c r="Y16" s="34"/>
      <c r="Z16" s="31"/>
      <c r="AA16" s="34"/>
      <c r="AB16" s="31"/>
      <c r="AC16" s="34"/>
      <c r="AD16" s="31"/>
      <c r="AE16" s="34"/>
      <c r="AF16" s="31"/>
      <c r="AG16" s="34"/>
      <c r="AH16" s="31"/>
      <c r="AI16" s="34"/>
      <c r="AJ16" s="31"/>
      <c r="AK16" s="34"/>
      <c r="AL16" s="31"/>
      <c r="AM16" s="34"/>
      <c r="AN16" s="31"/>
      <c r="AO16" s="117">
        <v>8000</v>
      </c>
      <c r="AP16" s="108">
        <v>40.9</v>
      </c>
      <c r="AQ16" s="36">
        <f t="shared" ref="AQ16:AQ25" si="1">+AP16*AO16</f>
        <v>327200</v>
      </c>
      <c r="AR16" s="182"/>
    </row>
    <row r="17" spans="1:44" x14ac:dyDescent="0.25">
      <c r="A17" s="29">
        <v>8</v>
      </c>
      <c r="B17" s="30"/>
      <c r="C17" s="187" t="s">
        <v>125</v>
      </c>
      <c r="D17" s="188">
        <v>252</v>
      </c>
      <c r="E17" s="193" t="s">
        <v>61</v>
      </c>
      <c r="F17" s="188" t="s">
        <v>12</v>
      </c>
      <c r="G17" s="38"/>
      <c r="H17" s="38"/>
      <c r="I17" s="38"/>
      <c r="J17" s="38"/>
      <c r="K17" s="39"/>
      <c r="L17" s="40"/>
      <c r="M17" s="41"/>
      <c r="N17" s="38"/>
      <c r="O17" s="39"/>
      <c r="P17" s="38"/>
      <c r="Q17" s="114">
        <v>50000</v>
      </c>
      <c r="R17" s="115">
        <f>+Q17*AP17</f>
        <v>555000</v>
      </c>
      <c r="S17" s="32"/>
      <c r="T17" s="31"/>
      <c r="U17" s="34"/>
      <c r="V17" s="31"/>
      <c r="W17" s="34"/>
      <c r="X17" s="31"/>
      <c r="Y17" s="34"/>
      <c r="Z17" s="31"/>
      <c r="AA17" s="34"/>
      <c r="AB17" s="31"/>
      <c r="AC17" s="34"/>
      <c r="AD17" s="31"/>
      <c r="AE17" s="34"/>
      <c r="AF17" s="31"/>
      <c r="AG17" s="34"/>
      <c r="AH17" s="31"/>
      <c r="AI17" s="34"/>
      <c r="AJ17" s="31"/>
      <c r="AK17" s="34"/>
      <c r="AL17" s="31"/>
      <c r="AM17" s="34"/>
      <c r="AN17" s="31"/>
      <c r="AO17" s="114">
        <v>50000</v>
      </c>
      <c r="AP17" s="108">
        <v>11.1</v>
      </c>
      <c r="AQ17" s="36">
        <f t="shared" si="1"/>
        <v>555000</v>
      </c>
      <c r="AR17" s="182"/>
    </row>
    <row r="18" spans="1:44" x14ac:dyDescent="0.25">
      <c r="A18" s="29">
        <v>9</v>
      </c>
      <c r="B18" s="30"/>
      <c r="C18" s="187" t="s">
        <v>125</v>
      </c>
      <c r="D18" s="188">
        <v>252</v>
      </c>
      <c r="E18" s="194" t="s">
        <v>62</v>
      </c>
      <c r="F18" s="188" t="s">
        <v>12</v>
      </c>
      <c r="G18" s="38"/>
      <c r="H18" s="38"/>
      <c r="I18" s="38"/>
      <c r="J18" s="38"/>
      <c r="K18" s="39"/>
      <c r="L18" s="40"/>
      <c r="M18" s="41"/>
      <c r="N18" s="38"/>
      <c r="O18" s="39"/>
      <c r="P18" s="38"/>
      <c r="Q18" s="111">
        <v>300</v>
      </c>
      <c r="R18" s="115">
        <f>+Q18*AP18</f>
        <v>117000</v>
      </c>
      <c r="S18" s="32"/>
      <c r="T18" s="31"/>
      <c r="U18" s="34"/>
      <c r="V18" s="31"/>
      <c r="W18" s="34"/>
      <c r="X18" s="31"/>
      <c r="Y18" s="34"/>
      <c r="Z18" s="31"/>
      <c r="AA18" s="34"/>
      <c r="AB18" s="31"/>
      <c r="AC18" s="34"/>
      <c r="AD18" s="31"/>
      <c r="AE18" s="34"/>
      <c r="AF18" s="31"/>
      <c r="AG18" s="34"/>
      <c r="AH18" s="31"/>
      <c r="AI18" s="34"/>
      <c r="AJ18" s="31"/>
      <c r="AK18" s="34"/>
      <c r="AL18" s="31"/>
      <c r="AM18" s="34"/>
      <c r="AN18" s="31"/>
      <c r="AO18" s="111">
        <v>300</v>
      </c>
      <c r="AP18" s="112">
        <v>390</v>
      </c>
      <c r="AQ18" s="36">
        <f t="shared" si="1"/>
        <v>117000</v>
      </c>
      <c r="AR18" s="182"/>
    </row>
    <row r="19" spans="1:44" x14ac:dyDescent="0.25">
      <c r="A19" s="29">
        <v>10</v>
      </c>
      <c r="B19" s="30"/>
      <c r="C19" s="187" t="s">
        <v>125</v>
      </c>
      <c r="D19" s="188">
        <v>252</v>
      </c>
      <c r="E19" s="193" t="s">
        <v>63</v>
      </c>
      <c r="F19" s="188" t="s">
        <v>12</v>
      </c>
      <c r="G19" s="38"/>
      <c r="H19" s="38"/>
      <c r="I19" s="38"/>
      <c r="J19" s="38"/>
      <c r="K19" s="39"/>
      <c r="L19" s="40"/>
      <c r="M19" s="41"/>
      <c r="N19" s="38"/>
      <c r="O19" s="39"/>
      <c r="P19" s="38"/>
      <c r="Q19" s="114">
        <v>12000</v>
      </c>
      <c r="R19" s="115">
        <f>+Q19*AP19</f>
        <v>91680</v>
      </c>
      <c r="S19" s="32"/>
      <c r="T19" s="31"/>
      <c r="U19" s="34"/>
      <c r="V19" s="31"/>
      <c r="W19" s="34"/>
      <c r="X19" s="31"/>
      <c r="Y19" s="34"/>
      <c r="Z19" s="31"/>
      <c r="AA19" s="34"/>
      <c r="AB19" s="31"/>
      <c r="AC19" s="34"/>
      <c r="AD19" s="31"/>
      <c r="AE19" s="34"/>
      <c r="AF19" s="31"/>
      <c r="AG19" s="34"/>
      <c r="AH19" s="31"/>
      <c r="AI19" s="34"/>
      <c r="AJ19" s="31"/>
      <c r="AK19" s="34"/>
      <c r="AL19" s="31"/>
      <c r="AM19" s="34"/>
      <c r="AN19" s="31"/>
      <c r="AO19" s="114">
        <v>12000</v>
      </c>
      <c r="AP19" s="108">
        <v>7.64</v>
      </c>
      <c r="AQ19" s="36">
        <f t="shared" si="1"/>
        <v>91680</v>
      </c>
      <c r="AR19" s="182"/>
    </row>
    <row r="20" spans="1:44" x14ac:dyDescent="0.25">
      <c r="A20" s="29">
        <v>11</v>
      </c>
      <c r="B20" s="30"/>
      <c r="C20" s="187" t="s">
        <v>125</v>
      </c>
      <c r="D20" s="188">
        <v>252</v>
      </c>
      <c r="E20" s="195" t="s">
        <v>64</v>
      </c>
      <c r="F20" s="188" t="s">
        <v>12</v>
      </c>
      <c r="G20" s="38"/>
      <c r="H20" s="38"/>
      <c r="I20" s="38"/>
      <c r="J20" s="38"/>
      <c r="K20" s="39"/>
      <c r="L20" s="40"/>
      <c r="M20" s="41"/>
      <c r="N20" s="38"/>
      <c r="O20" s="39"/>
      <c r="P20" s="38"/>
      <c r="Q20" s="111">
        <v>1200</v>
      </c>
      <c r="R20" s="115">
        <f>+Q20*AP20</f>
        <v>680400</v>
      </c>
      <c r="S20" s="32"/>
      <c r="T20" s="31"/>
      <c r="U20" s="34"/>
      <c r="V20" s="31"/>
      <c r="W20" s="34"/>
      <c r="X20" s="31"/>
      <c r="Y20" s="34"/>
      <c r="Z20" s="31"/>
      <c r="AA20" s="34"/>
      <c r="AB20" s="31"/>
      <c r="AC20" s="34"/>
      <c r="AD20" s="31"/>
      <c r="AE20" s="34"/>
      <c r="AF20" s="31"/>
      <c r="AG20" s="34"/>
      <c r="AH20" s="31"/>
      <c r="AI20" s="34"/>
      <c r="AJ20" s="31"/>
      <c r="AK20" s="34"/>
      <c r="AL20" s="31"/>
      <c r="AM20" s="34"/>
      <c r="AN20" s="31"/>
      <c r="AO20" s="111">
        <v>1200</v>
      </c>
      <c r="AP20" s="112">
        <v>567</v>
      </c>
      <c r="AQ20" s="36">
        <f t="shared" si="1"/>
        <v>680400</v>
      </c>
      <c r="AR20" s="182"/>
    </row>
    <row r="21" spans="1:44" x14ac:dyDescent="0.25">
      <c r="A21" s="29">
        <v>12</v>
      </c>
      <c r="B21" s="30"/>
      <c r="C21" s="187" t="s">
        <v>125</v>
      </c>
      <c r="D21" s="188">
        <v>252</v>
      </c>
      <c r="E21" s="195" t="s">
        <v>65</v>
      </c>
      <c r="F21" s="188" t="s">
        <v>12</v>
      </c>
      <c r="G21" s="38"/>
      <c r="H21" s="38"/>
      <c r="I21" s="38"/>
      <c r="J21" s="38"/>
      <c r="K21" s="39"/>
      <c r="L21" s="40"/>
      <c r="M21" s="41"/>
      <c r="N21" s="38"/>
      <c r="O21" s="39"/>
      <c r="P21" s="38"/>
      <c r="Q21" s="111">
        <v>500</v>
      </c>
      <c r="R21" s="115">
        <f>+Q21*AP21</f>
        <v>4050</v>
      </c>
      <c r="S21" s="32"/>
      <c r="T21" s="31"/>
      <c r="U21" s="34"/>
      <c r="V21" s="31"/>
      <c r="W21" s="34"/>
      <c r="X21" s="31"/>
      <c r="Y21" s="34"/>
      <c r="Z21" s="31"/>
      <c r="AA21" s="34"/>
      <c r="AB21" s="31"/>
      <c r="AC21" s="34"/>
      <c r="AD21" s="31"/>
      <c r="AE21" s="34"/>
      <c r="AF21" s="31"/>
      <c r="AG21" s="34"/>
      <c r="AH21" s="31"/>
      <c r="AI21" s="34"/>
      <c r="AJ21" s="31"/>
      <c r="AK21" s="34"/>
      <c r="AL21" s="31"/>
      <c r="AM21" s="34"/>
      <c r="AN21" s="31"/>
      <c r="AO21" s="111">
        <v>500</v>
      </c>
      <c r="AP21" s="115">
        <v>8.1</v>
      </c>
      <c r="AQ21" s="36">
        <f t="shared" si="1"/>
        <v>4050</v>
      </c>
      <c r="AR21" s="182"/>
    </row>
    <row r="22" spans="1:44" x14ac:dyDescent="0.25">
      <c r="A22" s="29">
        <v>13</v>
      </c>
      <c r="B22" s="30"/>
      <c r="C22" s="187" t="s">
        <v>125</v>
      </c>
      <c r="D22" s="188">
        <v>252</v>
      </c>
      <c r="E22" s="195" t="s">
        <v>66</v>
      </c>
      <c r="F22" s="188" t="s">
        <v>12</v>
      </c>
      <c r="G22" s="38"/>
      <c r="H22" s="38"/>
      <c r="I22" s="38"/>
      <c r="J22" s="38"/>
      <c r="K22" s="39"/>
      <c r="L22" s="40"/>
      <c r="M22" s="41"/>
      <c r="N22" s="38"/>
      <c r="O22" s="39"/>
      <c r="P22" s="38"/>
      <c r="Q22" s="111">
        <v>30</v>
      </c>
      <c r="R22" s="115">
        <f>+Q22*AP22</f>
        <v>2700</v>
      </c>
      <c r="S22" s="32"/>
      <c r="T22" s="31"/>
      <c r="U22" s="34"/>
      <c r="V22" s="31"/>
      <c r="W22" s="34"/>
      <c r="X22" s="31"/>
      <c r="Y22" s="34"/>
      <c r="Z22" s="31"/>
      <c r="AA22" s="34"/>
      <c r="AB22" s="31"/>
      <c r="AC22" s="34"/>
      <c r="AD22" s="31"/>
      <c r="AE22" s="34"/>
      <c r="AF22" s="31"/>
      <c r="AG22" s="34"/>
      <c r="AH22" s="31"/>
      <c r="AI22" s="34"/>
      <c r="AJ22" s="31"/>
      <c r="AK22" s="34"/>
      <c r="AL22" s="31"/>
      <c r="AM22" s="34"/>
      <c r="AN22" s="31"/>
      <c r="AO22" s="111">
        <v>30</v>
      </c>
      <c r="AP22" s="115">
        <v>90</v>
      </c>
      <c r="AQ22" s="36">
        <f t="shared" si="1"/>
        <v>2700</v>
      </c>
      <c r="AR22" s="182"/>
    </row>
    <row r="23" spans="1:44" x14ac:dyDescent="0.25">
      <c r="A23" s="29">
        <v>14</v>
      </c>
      <c r="B23" s="30"/>
      <c r="C23" s="187" t="s">
        <v>125</v>
      </c>
      <c r="D23" s="188">
        <v>252</v>
      </c>
      <c r="E23" s="195" t="s">
        <v>67</v>
      </c>
      <c r="F23" s="188" t="s">
        <v>12</v>
      </c>
      <c r="G23" s="38"/>
      <c r="H23" s="38"/>
      <c r="I23" s="38"/>
      <c r="J23" s="38"/>
      <c r="K23" s="39"/>
      <c r="L23" s="40"/>
      <c r="M23" s="41"/>
      <c r="N23" s="38"/>
      <c r="O23" s="39"/>
      <c r="P23" s="38"/>
      <c r="Q23" s="111">
        <v>20</v>
      </c>
      <c r="R23" s="115">
        <f>+Q23*AP23</f>
        <v>8600</v>
      </c>
      <c r="S23" s="32"/>
      <c r="T23" s="31"/>
      <c r="U23" s="34"/>
      <c r="V23" s="31"/>
      <c r="W23" s="34"/>
      <c r="X23" s="31"/>
      <c r="Y23" s="34"/>
      <c r="Z23" s="31"/>
      <c r="AA23" s="34"/>
      <c r="AB23" s="31"/>
      <c r="AC23" s="34"/>
      <c r="AD23" s="31"/>
      <c r="AE23" s="34"/>
      <c r="AF23" s="31"/>
      <c r="AG23" s="34"/>
      <c r="AH23" s="31"/>
      <c r="AI23" s="34"/>
      <c r="AJ23" s="31"/>
      <c r="AK23" s="34"/>
      <c r="AL23" s="31"/>
      <c r="AM23" s="34"/>
      <c r="AN23" s="31"/>
      <c r="AO23" s="111">
        <v>20</v>
      </c>
      <c r="AP23" s="115">
        <v>430</v>
      </c>
      <c r="AQ23" s="36">
        <f t="shared" si="1"/>
        <v>8600</v>
      </c>
      <c r="AR23" s="182"/>
    </row>
    <row r="24" spans="1:44" x14ac:dyDescent="0.25">
      <c r="A24" s="29">
        <v>15</v>
      </c>
      <c r="B24" s="30"/>
      <c r="C24" s="187" t="s">
        <v>125</v>
      </c>
      <c r="D24" s="188">
        <v>252</v>
      </c>
      <c r="E24" s="194" t="s">
        <v>123</v>
      </c>
      <c r="F24" s="188" t="s">
        <v>12</v>
      </c>
      <c r="G24" s="38"/>
      <c r="H24" s="38"/>
      <c r="I24" s="38"/>
      <c r="J24" s="38"/>
      <c r="K24" s="39"/>
      <c r="L24" s="40"/>
      <c r="M24" s="41"/>
      <c r="N24" s="38"/>
      <c r="O24" s="39"/>
      <c r="P24" s="38"/>
      <c r="Q24" s="111">
        <v>200</v>
      </c>
      <c r="R24" s="115">
        <f>+Q24*AP24</f>
        <v>13000</v>
      </c>
      <c r="S24" s="32"/>
      <c r="T24" s="31"/>
      <c r="U24" s="34"/>
      <c r="V24" s="31"/>
      <c r="W24" s="34"/>
      <c r="X24" s="31"/>
      <c r="Y24" s="34"/>
      <c r="Z24" s="31"/>
      <c r="AA24" s="34"/>
      <c r="AB24" s="31"/>
      <c r="AC24" s="34"/>
      <c r="AD24" s="31"/>
      <c r="AE24" s="34"/>
      <c r="AF24" s="31"/>
      <c r="AG24" s="34"/>
      <c r="AH24" s="31"/>
      <c r="AI24" s="34"/>
      <c r="AJ24" s="31"/>
      <c r="AK24" s="34"/>
      <c r="AL24" s="31"/>
      <c r="AM24" s="34"/>
      <c r="AN24" s="31"/>
      <c r="AO24" s="111">
        <f>+Q24</f>
        <v>200</v>
      </c>
      <c r="AP24" s="115">
        <v>65</v>
      </c>
      <c r="AQ24" s="36">
        <f t="shared" si="1"/>
        <v>13000</v>
      </c>
      <c r="AR24" s="182"/>
    </row>
    <row r="25" spans="1:44" x14ac:dyDescent="0.25">
      <c r="A25" s="29">
        <v>16</v>
      </c>
      <c r="B25" s="30"/>
      <c r="C25" s="187" t="s">
        <v>125</v>
      </c>
      <c r="D25" s="188">
        <v>252</v>
      </c>
      <c r="E25" s="191" t="s">
        <v>68</v>
      </c>
      <c r="F25" s="188" t="s">
        <v>12</v>
      </c>
      <c r="G25" s="38"/>
      <c r="H25" s="38"/>
      <c r="I25" s="38"/>
      <c r="J25" s="38"/>
      <c r="K25" s="39"/>
      <c r="L25" s="40"/>
      <c r="M25" s="41"/>
      <c r="N25" s="38"/>
      <c r="O25" s="39"/>
      <c r="P25" s="38"/>
      <c r="Q25" s="116">
        <v>5</v>
      </c>
      <c r="R25" s="115">
        <f>+Q25*AP25</f>
        <v>445000</v>
      </c>
      <c r="S25" s="32"/>
      <c r="T25" s="31"/>
      <c r="U25" s="34"/>
      <c r="V25" s="31"/>
      <c r="W25" s="34"/>
      <c r="X25" s="31"/>
      <c r="Y25" s="34"/>
      <c r="Z25" s="31"/>
      <c r="AA25" s="34"/>
      <c r="AB25" s="31"/>
      <c r="AC25" s="34"/>
      <c r="AD25" s="31"/>
      <c r="AE25" s="34"/>
      <c r="AF25" s="31"/>
      <c r="AG25" s="34"/>
      <c r="AH25" s="31"/>
      <c r="AI25" s="34"/>
      <c r="AJ25" s="31"/>
      <c r="AK25" s="34"/>
      <c r="AL25" s="31"/>
      <c r="AM25" s="34"/>
      <c r="AN25" s="31"/>
      <c r="AO25" s="116">
        <v>5</v>
      </c>
      <c r="AP25" s="115">
        <v>89000</v>
      </c>
      <c r="AQ25" s="36">
        <f t="shared" si="1"/>
        <v>445000</v>
      </c>
      <c r="AR25" s="182"/>
    </row>
    <row r="26" spans="1:44" x14ac:dyDescent="0.25">
      <c r="A26" s="29"/>
      <c r="B26" s="30"/>
      <c r="C26" s="29"/>
      <c r="D26" s="31"/>
      <c r="E26" s="37"/>
      <c r="F26" s="31"/>
      <c r="G26" s="31"/>
      <c r="H26" s="31"/>
      <c r="I26" s="31"/>
      <c r="J26" s="31"/>
      <c r="K26" s="32"/>
      <c r="L26" s="33"/>
      <c r="M26" s="34"/>
      <c r="N26" s="31"/>
      <c r="O26" s="32"/>
      <c r="P26" s="31"/>
      <c r="Q26" s="34"/>
      <c r="R26" s="118">
        <f>SUM(R10:R25)</f>
        <v>9948630</v>
      </c>
      <c r="S26" s="32"/>
      <c r="T26" s="31"/>
      <c r="U26" s="34"/>
      <c r="V26" s="31"/>
      <c r="W26" s="34"/>
      <c r="X26" s="31"/>
      <c r="Y26" s="34"/>
      <c r="Z26" s="31"/>
      <c r="AA26" s="34"/>
      <c r="AB26" s="31"/>
      <c r="AC26" s="34"/>
      <c r="AD26" s="31"/>
      <c r="AE26" s="34"/>
      <c r="AF26" s="31"/>
      <c r="AG26" s="34"/>
      <c r="AH26" s="31"/>
      <c r="AI26" s="34"/>
      <c r="AJ26" s="31"/>
      <c r="AK26" s="34"/>
      <c r="AL26" s="31"/>
      <c r="AM26" s="34"/>
      <c r="AN26" s="31"/>
      <c r="AO26" s="35"/>
      <c r="AP26" s="23"/>
      <c r="AQ26" s="42">
        <f>SUM(AQ10:AQ25)</f>
        <v>9948630</v>
      </c>
    </row>
    <row r="28" spans="1:44" ht="113.25" customHeight="1" x14ac:dyDescent="0.2">
      <c r="B28" s="43" t="s">
        <v>69</v>
      </c>
      <c r="C28" s="121" t="s">
        <v>70</v>
      </c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</row>
    <row r="30" spans="1:44" ht="30" x14ac:dyDescent="0.25">
      <c r="B30" s="24" t="s">
        <v>71</v>
      </c>
    </row>
    <row r="32" spans="1:44" x14ac:dyDescent="0.25">
      <c r="B32" s="24" t="s">
        <v>72</v>
      </c>
      <c r="C32" s="44" t="s">
        <v>128</v>
      </c>
      <c r="D32" s="45"/>
      <c r="E32" s="46"/>
      <c r="F32" s="45"/>
      <c r="G32" s="45"/>
      <c r="H32" s="45"/>
      <c r="I32" s="45"/>
      <c r="J32" s="45"/>
      <c r="K32" s="47"/>
      <c r="L32" s="48"/>
      <c r="M32" s="49"/>
      <c r="N32" s="45"/>
      <c r="O32" s="47"/>
      <c r="P32" s="45"/>
      <c r="Q32" s="49"/>
      <c r="R32" s="45"/>
      <c r="S32" s="47"/>
      <c r="T32" s="45"/>
      <c r="U32" s="49"/>
      <c r="V32" s="45"/>
      <c r="W32" s="49"/>
      <c r="X32" s="45"/>
      <c r="Y32" s="49"/>
      <c r="Z32" s="45"/>
      <c r="AA32" s="49"/>
      <c r="AB32" s="45"/>
      <c r="AC32" s="49"/>
      <c r="AD32" s="45"/>
      <c r="AE32" s="49"/>
    </row>
    <row r="33" spans="2:31" x14ac:dyDescent="0.25">
      <c r="C33" s="44"/>
      <c r="D33" s="45"/>
      <c r="E33" s="46"/>
      <c r="F33" s="45"/>
      <c r="G33" s="45"/>
      <c r="H33" s="45"/>
      <c r="I33" s="45"/>
      <c r="J33" s="45"/>
      <c r="K33" s="47"/>
      <c r="L33" s="48"/>
      <c r="M33" s="49"/>
      <c r="N33" s="45"/>
      <c r="O33" s="47"/>
      <c r="P33" s="45"/>
      <c r="Q33" s="49"/>
      <c r="R33" s="45"/>
      <c r="S33" s="47"/>
      <c r="T33" s="45"/>
      <c r="U33" s="49"/>
      <c r="V33" s="45"/>
      <c r="W33" s="49"/>
      <c r="X33" s="45"/>
      <c r="Y33" s="49"/>
      <c r="Z33" s="45"/>
      <c r="AA33" s="49"/>
      <c r="AB33" s="45"/>
      <c r="AC33" s="49"/>
      <c r="AD33" s="45"/>
      <c r="AE33" s="49"/>
    </row>
    <row r="34" spans="2:31" ht="30" x14ac:dyDescent="0.25">
      <c r="B34" s="24" t="s">
        <v>73</v>
      </c>
      <c r="C34" s="122" t="s">
        <v>74</v>
      </c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spans="2:31" x14ac:dyDescent="0.25"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</row>
    <row r="36" spans="2:31" x14ac:dyDescent="0.25"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spans="2:31" x14ac:dyDescent="0.25"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spans="2:31" ht="30" x14ac:dyDescent="0.25">
      <c r="B38" s="24" t="s">
        <v>75</v>
      </c>
      <c r="C38" s="44"/>
      <c r="D38" s="45"/>
      <c r="E38" s="46"/>
      <c r="F38" s="45"/>
      <c r="G38" s="45"/>
      <c r="H38" s="45"/>
      <c r="I38" s="45"/>
      <c r="J38" s="45"/>
      <c r="K38" s="47"/>
      <c r="L38" s="48"/>
      <c r="M38" s="49"/>
      <c r="N38" s="45"/>
      <c r="O38" s="47"/>
      <c r="P38" s="45"/>
      <c r="Q38" s="49"/>
      <c r="R38" s="45"/>
      <c r="S38" s="47"/>
      <c r="T38" s="45"/>
      <c r="U38" s="49"/>
      <c r="V38" s="45"/>
      <c r="W38" s="49"/>
      <c r="X38" s="45"/>
      <c r="Y38" s="49"/>
      <c r="Z38" s="45"/>
      <c r="AA38" s="49"/>
      <c r="AB38" s="45"/>
      <c r="AC38" s="49"/>
      <c r="AD38" s="45"/>
      <c r="AE38" s="49"/>
    </row>
    <row r="39" spans="2:31" x14ac:dyDescent="0.25">
      <c r="C39" s="44"/>
      <c r="D39" s="45"/>
      <c r="E39" s="46"/>
      <c r="F39" s="45"/>
      <c r="G39" s="45"/>
      <c r="H39" s="45"/>
      <c r="I39" s="45"/>
      <c r="J39" s="45"/>
      <c r="K39" s="47"/>
      <c r="L39" s="48"/>
      <c r="M39" s="49"/>
      <c r="N39" s="45"/>
      <c r="O39" s="47"/>
      <c r="P39" s="45"/>
      <c r="Q39" s="49"/>
      <c r="R39" s="45"/>
      <c r="S39" s="47"/>
      <c r="T39" s="45"/>
      <c r="U39" s="49"/>
      <c r="V39" s="45"/>
      <c r="W39" s="49"/>
      <c r="X39" s="45"/>
      <c r="Y39" s="49"/>
      <c r="Z39" s="45"/>
      <c r="AA39" s="49"/>
      <c r="AB39" s="45"/>
      <c r="AC39" s="49"/>
      <c r="AD39" s="45"/>
      <c r="AE39" s="49"/>
    </row>
    <row r="40" spans="2:31" x14ac:dyDescent="0.25">
      <c r="B40" s="24" t="s">
        <v>76</v>
      </c>
      <c r="C40" s="44" t="s">
        <v>77</v>
      </c>
      <c r="D40" s="45"/>
      <c r="E40" s="46"/>
      <c r="F40" s="45"/>
      <c r="G40" s="45"/>
      <c r="H40" s="45"/>
      <c r="I40" s="45"/>
      <c r="J40" s="45"/>
      <c r="K40" s="47"/>
      <c r="L40" s="48"/>
      <c r="M40" s="49"/>
      <c r="N40" s="45"/>
      <c r="O40" s="47"/>
      <c r="P40" s="45"/>
      <c r="Q40" s="49"/>
      <c r="R40" s="45"/>
      <c r="S40" s="47"/>
      <c r="T40" s="45"/>
      <c r="U40" s="49"/>
      <c r="V40" s="45"/>
      <c r="W40" s="49"/>
      <c r="X40" s="45"/>
      <c r="Y40" s="49"/>
      <c r="Z40" s="45"/>
      <c r="AA40" s="49"/>
      <c r="AB40" s="45"/>
      <c r="AC40" s="49"/>
      <c r="AD40" s="45"/>
      <c r="AE40" s="49"/>
    </row>
  </sheetData>
  <mergeCells count="12">
    <mergeCell ref="A7:B7"/>
    <mergeCell ref="A6:B6"/>
    <mergeCell ref="B2:AP2"/>
    <mergeCell ref="A4:B4"/>
    <mergeCell ref="C4:E4"/>
    <mergeCell ref="A5:B5"/>
    <mergeCell ref="C5:E5"/>
    <mergeCell ref="C28:R28"/>
    <mergeCell ref="C34:AE34"/>
    <mergeCell ref="C35:AE35"/>
    <mergeCell ref="C36:AE36"/>
    <mergeCell ref="C37:AE37"/>
  </mergeCells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0"/>
  <sheetViews>
    <sheetView tabSelected="1" zoomScale="80" zoomScaleNormal="80" workbookViewId="0">
      <selection activeCell="C25" sqref="C25:G25"/>
    </sheetView>
  </sheetViews>
  <sheetFormatPr baseColWidth="10" defaultColWidth="9.140625" defaultRowHeight="12.75" x14ac:dyDescent="0.2"/>
  <cols>
    <col min="1" max="1" width="5.5703125" style="52" customWidth="1"/>
    <col min="2" max="2" width="15.140625" style="52" customWidth="1"/>
    <col min="3" max="3" width="14.140625" style="52" customWidth="1"/>
    <col min="4" max="4" width="26" style="52" customWidth="1"/>
    <col min="5" max="5" width="8" style="52" customWidth="1"/>
    <col min="6" max="6" width="7.85546875" style="52" customWidth="1"/>
    <col min="7" max="7" width="42" style="52" customWidth="1"/>
    <col min="8" max="8" width="9.28515625" style="52" customWidth="1"/>
    <col min="9" max="9" width="14.5703125" style="52" customWidth="1"/>
    <col min="10" max="10" width="16" style="52" customWidth="1"/>
    <col min="11" max="11" width="15.5703125" style="52" customWidth="1"/>
    <col min="12" max="12" width="5.85546875" style="52" customWidth="1"/>
    <col min="13" max="13" width="15.7109375" style="52" customWidth="1"/>
    <col min="14" max="14" width="5.85546875" style="52" customWidth="1"/>
    <col min="15" max="15" width="12.5703125" style="52" customWidth="1"/>
    <col min="16" max="1024" width="9.140625" style="52"/>
    <col min="1025" max="16384" width="9.140625" style="75"/>
  </cols>
  <sheetData>
    <row r="1" spans="1:13" ht="18" customHeight="1" thickBot="1" x14ac:dyDescent="0.25">
      <c r="A1" s="152" t="s">
        <v>78</v>
      </c>
      <c r="B1" s="152"/>
      <c r="C1" s="152"/>
      <c r="D1" s="152"/>
      <c r="E1" s="152"/>
      <c r="F1" s="152"/>
      <c r="G1" s="152"/>
      <c r="H1" s="152"/>
      <c r="I1" s="152"/>
      <c r="J1" s="50" t="s">
        <v>79</v>
      </c>
      <c r="K1" s="51" t="s">
        <v>80</v>
      </c>
    </row>
    <row r="2" spans="1:13" ht="18.75" customHeight="1" thickBot="1" x14ac:dyDescent="0.25">
      <c r="A2" s="53"/>
      <c r="B2" s="53"/>
      <c r="C2" s="53"/>
      <c r="D2" s="54"/>
      <c r="E2" s="54"/>
      <c r="F2" s="54"/>
      <c r="G2" s="54"/>
      <c r="H2" s="54"/>
      <c r="I2" s="54"/>
      <c r="J2" s="54"/>
      <c r="K2" s="54"/>
    </row>
    <row r="3" spans="1:13" ht="18.75" customHeight="1" thickBot="1" x14ac:dyDescent="0.25">
      <c r="A3" s="147" t="s">
        <v>81</v>
      </c>
      <c r="B3" s="147"/>
      <c r="C3" s="147"/>
      <c r="D3" s="148" t="s">
        <v>82</v>
      </c>
      <c r="E3" s="148"/>
      <c r="F3" s="148"/>
      <c r="G3" s="148"/>
      <c r="H3" s="148"/>
      <c r="I3" s="148"/>
      <c r="J3" s="148"/>
      <c r="K3" s="148"/>
    </row>
    <row r="4" spans="1:13" ht="18.75" customHeight="1" thickBot="1" x14ac:dyDescent="0.25">
      <c r="A4" s="149" t="s">
        <v>83</v>
      </c>
      <c r="B4" s="149"/>
      <c r="C4" s="149"/>
      <c r="D4" s="148" t="s">
        <v>84</v>
      </c>
      <c r="E4" s="148"/>
      <c r="F4" s="148"/>
      <c r="G4" s="148"/>
      <c r="H4" s="148"/>
      <c r="I4" s="148"/>
      <c r="J4" s="148"/>
      <c r="K4" s="148"/>
    </row>
    <row r="5" spans="1:13" ht="18.75" customHeight="1" thickBot="1" x14ac:dyDescent="0.25">
      <c r="A5" s="149" t="s">
        <v>85</v>
      </c>
      <c r="B5" s="149"/>
      <c r="C5" s="149"/>
      <c r="D5" s="148" t="s">
        <v>86</v>
      </c>
      <c r="E5" s="148"/>
      <c r="F5" s="148"/>
      <c r="G5" s="148"/>
      <c r="H5" s="148"/>
      <c r="I5" s="148"/>
      <c r="J5" s="148"/>
      <c r="K5" s="148"/>
    </row>
    <row r="6" spans="1:13" ht="16.5" customHeight="1" thickBot="1" x14ac:dyDescent="0.25">
      <c r="A6" s="147" t="s">
        <v>87</v>
      </c>
      <c r="B6" s="147"/>
      <c r="C6" s="147"/>
      <c r="D6" s="148" t="s">
        <v>86</v>
      </c>
      <c r="E6" s="148"/>
      <c r="F6" s="148"/>
      <c r="G6" s="148"/>
      <c r="H6" s="148"/>
      <c r="I6" s="148"/>
      <c r="J6" s="148"/>
      <c r="K6" s="148"/>
    </row>
    <row r="7" spans="1:13" ht="16.5" customHeight="1" thickBot="1" x14ac:dyDescent="0.25">
      <c r="A7" s="149" t="s">
        <v>88</v>
      </c>
      <c r="B7" s="149"/>
      <c r="C7" s="149"/>
      <c r="D7" s="148" t="s">
        <v>89</v>
      </c>
      <c r="E7" s="148"/>
      <c r="F7" s="148"/>
      <c r="G7" s="148"/>
      <c r="H7" s="148"/>
      <c r="I7" s="148"/>
      <c r="J7" s="148"/>
      <c r="K7" s="148"/>
    </row>
    <row r="8" spans="1:13" ht="16.5" customHeight="1" thickBot="1" x14ac:dyDescent="0.25">
      <c r="A8" s="150" t="s">
        <v>90</v>
      </c>
      <c r="B8" s="150"/>
      <c r="C8" s="150"/>
      <c r="D8" s="151" t="s">
        <v>126</v>
      </c>
      <c r="E8" s="151"/>
      <c r="F8" s="151"/>
      <c r="G8" s="151"/>
      <c r="H8" s="151"/>
      <c r="I8" s="151"/>
      <c r="J8" s="151"/>
      <c r="K8" s="151"/>
    </row>
    <row r="9" spans="1:13" ht="16.5" thickBot="1" x14ac:dyDescent="0.25">
      <c r="A9" s="55"/>
      <c r="B9" s="55"/>
      <c r="C9" s="55"/>
      <c r="D9" s="56"/>
      <c r="E9" s="56"/>
      <c r="F9" s="56"/>
      <c r="G9" s="56"/>
      <c r="H9" s="56"/>
      <c r="I9" s="56"/>
      <c r="J9" s="56"/>
      <c r="K9" s="56"/>
    </row>
    <row r="10" spans="1:13" ht="18.75" customHeight="1" thickBot="1" x14ac:dyDescent="0.25">
      <c r="A10" s="145" t="s">
        <v>91</v>
      </c>
      <c r="B10" s="146" t="s">
        <v>92</v>
      </c>
      <c r="C10" s="146" t="s">
        <v>93</v>
      </c>
      <c r="D10" s="146"/>
      <c r="E10" s="146"/>
      <c r="F10" s="146"/>
      <c r="G10" s="146"/>
      <c r="H10" s="146" t="s">
        <v>94</v>
      </c>
      <c r="I10" s="146" t="s">
        <v>95</v>
      </c>
      <c r="J10" s="146" t="s">
        <v>96</v>
      </c>
      <c r="K10" s="202" t="s">
        <v>97</v>
      </c>
    </row>
    <row r="11" spans="1:13" ht="24" customHeight="1" thickBot="1" x14ac:dyDescent="0.25">
      <c r="A11" s="145"/>
      <c r="B11" s="146"/>
      <c r="C11" s="146"/>
      <c r="D11" s="146"/>
      <c r="E11" s="146"/>
      <c r="F11" s="146"/>
      <c r="G11" s="146"/>
      <c r="H11" s="146"/>
      <c r="I11" s="146"/>
      <c r="J11" s="146"/>
      <c r="K11" s="202"/>
    </row>
    <row r="12" spans="1:13" s="52" customFormat="1" ht="32.25" customHeight="1" thickBot="1" x14ac:dyDescent="0.25">
      <c r="A12" s="57">
        <v>1</v>
      </c>
      <c r="B12" s="58"/>
      <c r="C12" s="196" t="s">
        <v>54</v>
      </c>
      <c r="D12" s="197" t="s">
        <v>54</v>
      </c>
      <c r="E12" s="197" t="s">
        <v>54</v>
      </c>
      <c r="F12" s="197" t="s">
        <v>54</v>
      </c>
      <c r="G12" s="198" t="s">
        <v>54</v>
      </c>
      <c r="H12" s="59" t="s">
        <v>98</v>
      </c>
      <c r="I12" s="60" t="s">
        <v>12</v>
      </c>
      <c r="J12" s="108">
        <v>147</v>
      </c>
      <c r="K12" s="203">
        <v>10000</v>
      </c>
      <c r="M12" s="61">
        <f>+K12*J12</f>
        <v>1470000</v>
      </c>
    </row>
    <row r="13" spans="1:13" s="52" customFormat="1" ht="32.25" customHeight="1" thickBot="1" x14ac:dyDescent="0.25">
      <c r="A13" s="62">
        <v>2</v>
      </c>
      <c r="B13" s="63"/>
      <c r="C13" s="142" t="s">
        <v>55</v>
      </c>
      <c r="D13" s="143" t="s">
        <v>55</v>
      </c>
      <c r="E13" s="143" t="s">
        <v>55</v>
      </c>
      <c r="F13" s="143" t="s">
        <v>55</v>
      </c>
      <c r="G13" s="144" t="s">
        <v>55</v>
      </c>
      <c r="H13" s="59" t="s">
        <v>98</v>
      </c>
      <c r="I13" s="60" t="s">
        <v>12</v>
      </c>
      <c r="J13" s="110">
        <v>218.4</v>
      </c>
      <c r="K13" s="208">
        <v>10000</v>
      </c>
      <c r="M13" s="61">
        <f t="shared" ref="M13:M28" si="0">+K13*J13</f>
        <v>2184000</v>
      </c>
    </row>
    <row r="14" spans="1:13" s="52" customFormat="1" ht="32.25" customHeight="1" thickBot="1" x14ac:dyDescent="0.3">
      <c r="A14" s="57">
        <v>3</v>
      </c>
      <c r="B14" s="63"/>
      <c r="C14" s="142" t="s">
        <v>56</v>
      </c>
      <c r="D14" s="143" t="s">
        <v>56</v>
      </c>
      <c r="E14" s="143" t="s">
        <v>56</v>
      </c>
      <c r="F14" s="143" t="s">
        <v>56</v>
      </c>
      <c r="G14" s="144" t="s">
        <v>56</v>
      </c>
      <c r="H14" s="59" t="s">
        <v>98</v>
      </c>
      <c r="I14" s="60" t="s">
        <v>12</v>
      </c>
      <c r="J14" s="112">
        <v>540</v>
      </c>
      <c r="K14" s="111">
        <v>500</v>
      </c>
      <c r="M14" s="61">
        <f t="shared" si="0"/>
        <v>270000</v>
      </c>
    </row>
    <row r="15" spans="1:13" s="52" customFormat="1" ht="32.25" customHeight="1" thickBot="1" x14ac:dyDescent="0.25">
      <c r="A15" s="62">
        <v>4</v>
      </c>
      <c r="B15" s="63"/>
      <c r="C15" s="199" t="s">
        <v>57</v>
      </c>
      <c r="D15" s="200" t="s">
        <v>57</v>
      </c>
      <c r="E15" s="200" t="s">
        <v>57</v>
      </c>
      <c r="F15" s="200" t="s">
        <v>57</v>
      </c>
      <c r="G15" s="201" t="s">
        <v>57</v>
      </c>
      <c r="H15" s="59" t="s">
        <v>98</v>
      </c>
      <c r="I15" s="60" t="s">
        <v>12</v>
      </c>
      <c r="J15" s="108">
        <v>290</v>
      </c>
      <c r="K15" s="113">
        <v>10000</v>
      </c>
      <c r="M15" s="61">
        <f t="shared" si="0"/>
        <v>2900000</v>
      </c>
    </row>
    <row r="16" spans="1:13" s="52" customFormat="1" ht="32.25" customHeight="1" thickBot="1" x14ac:dyDescent="0.25">
      <c r="A16" s="57">
        <v>5</v>
      </c>
      <c r="B16" s="63"/>
      <c r="C16" s="136" t="s">
        <v>58</v>
      </c>
      <c r="D16" s="137" t="s">
        <v>58</v>
      </c>
      <c r="E16" s="137" t="s">
        <v>58</v>
      </c>
      <c r="F16" s="137" t="s">
        <v>58</v>
      </c>
      <c r="G16" s="138" t="s">
        <v>58</v>
      </c>
      <c r="H16" s="59" t="s">
        <v>98</v>
      </c>
      <c r="I16" s="60" t="s">
        <v>12</v>
      </c>
      <c r="J16" s="115">
        <v>23</v>
      </c>
      <c r="K16" s="116">
        <v>20000</v>
      </c>
      <c r="M16" s="61">
        <f t="shared" si="0"/>
        <v>460000</v>
      </c>
    </row>
    <row r="17" spans="1:13" s="52" customFormat="1" ht="32.25" customHeight="1" thickBot="1" x14ac:dyDescent="0.25">
      <c r="A17" s="62">
        <v>6</v>
      </c>
      <c r="B17" s="63"/>
      <c r="C17" s="136" t="s">
        <v>59</v>
      </c>
      <c r="D17" s="137" t="s">
        <v>59</v>
      </c>
      <c r="E17" s="137" t="s">
        <v>59</v>
      </c>
      <c r="F17" s="137" t="s">
        <v>59</v>
      </c>
      <c r="G17" s="138" t="s">
        <v>59</v>
      </c>
      <c r="H17" s="59" t="s">
        <v>98</v>
      </c>
      <c r="I17" s="60" t="s">
        <v>12</v>
      </c>
      <c r="J17" s="115">
        <v>21</v>
      </c>
      <c r="K17" s="116">
        <v>20000</v>
      </c>
      <c r="M17" s="61">
        <f t="shared" si="0"/>
        <v>420000</v>
      </c>
    </row>
    <row r="18" spans="1:13" s="52" customFormat="1" ht="32.25" customHeight="1" thickBot="1" x14ac:dyDescent="0.25">
      <c r="A18" s="57">
        <v>7</v>
      </c>
      <c r="B18" s="63"/>
      <c r="C18" s="139" t="s">
        <v>60</v>
      </c>
      <c r="D18" s="140" t="s">
        <v>60</v>
      </c>
      <c r="E18" s="140" t="s">
        <v>60</v>
      </c>
      <c r="F18" s="140" t="s">
        <v>60</v>
      </c>
      <c r="G18" s="141" t="s">
        <v>60</v>
      </c>
      <c r="H18" s="59" t="s">
        <v>98</v>
      </c>
      <c r="I18" s="60" t="s">
        <v>12</v>
      </c>
      <c r="J18" s="108">
        <v>40.9</v>
      </c>
      <c r="K18" s="117">
        <v>8000</v>
      </c>
      <c r="M18" s="61">
        <f t="shared" si="0"/>
        <v>327200</v>
      </c>
    </row>
    <row r="19" spans="1:13" s="52" customFormat="1" ht="32.25" customHeight="1" thickBot="1" x14ac:dyDescent="0.25">
      <c r="A19" s="57">
        <v>8</v>
      </c>
      <c r="B19" s="63"/>
      <c r="C19" s="142" t="s">
        <v>61</v>
      </c>
      <c r="D19" s="143" t="s">
        <v>61</v>
      </c>
      <c r="E19" s="143" t="s">
        <v>61</v>
      </c>
      <c r="F19" s="143" t="s">
        <v>61</v>
      </c>
      <c r="G19" s="144" t="s">
        <v>61</v>
      </c>
      <c r="H19" s="59" t="s">
        <v>98</v>
      </c>
      <c r="I19" s="60" t="s">
        <v>12</v>
      </c>
      <c r="J19" s="108">
        <v>11.1</v>
      </c>
      <c r="K19" s="116">
        <v>50000</v>
      </c>
      <c r="M19" s="61">
        <f t="shared" si="0"/>
        <v>555000</v>
      </c>
    </row>
    <row r="20" spans="1:13" s="52" customFormat="1" ht="32.25" customHeight="1" thickBot="1" x14ac:dyDescent="0.3">
      <c r="A20" s="62">
        <v>9</v>
      </c>
      <c r="B20" s="63"/>
      <c r="C20" s="142" t="s">
        <v>62</v>
      </c>
      <c r="D20" s="143" t="s">
        <v>62</v>
      </c>
      <c r="E20" s="143" t="s">
        <v>62</v>
      </c>
      <c r="F20" s="143" t="s">
        <v>62</v>
      </c>
      <c r="G20" s="144" t="s">
        <v>62</v>
      </c>
      <c r="H20" s="59" t="s">
        <v>98</v>
      </c>
      <c r="I20" s="60" t="s">
        <v>12</v>
      </c>
      <c r="J20" s="112">
        <v>390</v>
      </c>
      <c r="K20" s="111">
        <v>300</v>
      </c>
      <c r="M20" s="61">
        <f t="shared" si="0"/>
        <v>117000</v>
      </c>
    </row>
    <row r="21" spans="1:13" s="52" customFormat="1" ht="32.25" customHeight="1" thickBot="1" x14ac:dyDescent="0.25">
      <c r="A21" s="57">
        <v>10</v>
      </c>
      <c r="B21" s="63"/>
      <c r="C21" s="136" t="s">
        <v>63</v>
      </c>
      <c r="D21" s="137" t="s">
        <v>63</v>
      </c>
      <c r="E21" s="137" t="s">
        <v>63</v>
      </c>
      <c r="F21" s="137" t="s">
        <v>63</v>
      </c>
      <c r="G21" s="138" t="s">
        <v>63</v>
      </c>
      <c r="H21" s="59" t="s">
        <v>98</v>
      </c>
      <c r="I21" s="60" t="s">
        <v>12</v>
      </c>
      <c r="J21" s="108">
        <v>7.64</v>
      </c>
      <c r="K21" s="116">
        <v>12000</v>
      </c>
      <c r="M21" s="61">
        <f t="shared" si="0"/>
        <v>91680</v>
      </c>
    </row>
    <row r="22" spans="1:13" s="52" customFormat="1" ht="32.25" customHeight="1" thickBot="1" x14ac:dyDescent="0.3">
      <c r="A22" s="62">
        <v>11</v>
      </c>
      <c r="B22" s="63"/>
      <c r="C22" s="136" t="s">
        <v>64</v>
      </c>
      <c r="D22" s="137" t="s">
        <v>64</v>
      </c>
      <c r="E22" s="137" t="s">
        <v>64</v>
      </c>
      <c r="F22" s="137" t="s">
        <v>64</v>
      </c>
      <c r="G22" s="138" t="s">
        <v>64</v>
      </c>
      <c r="H22" s="59" t="s">
        <v>98</v>
      </c>
      <c r="I22" s="60" t="s">
        <v>12</v>
      </c>
      <c r="J22" s="112">
        <v>567</v>
      </c>
      <c r="K22" s="111">
        <v>1200</v>
      </c>
      <c r="M22" s="61">
        <f t="shared" si="0"/>
        <v>680400</v>
      </c>
    </row>
    <row r="23" spans="1:13" s="52" customFormat="1" ht="32.25" customHeight="1" thickBot="1" x14ac:dyDescent="0.3">
      <c r="A23" s="57">
        <v>12</v>
      </c>
      <c r="B23" s="63"/>
      <c r="C23" s="136" t="s">
        <v>65</v>
      </c>
      <c r="D23" s="137" t="s">
        <v>65</v>
      </c>
      <c r="E23" s="137" t="s">
        <v>65</v>
      </c>
      <c r="F23" s="137" t="s">
        <v>65</v>
      </c>
      <c r="G23" s="138" t="s">
        <v>65</v>
      </c>
      <c r="H23" s="59" t="s">
        <v>98</v>
      </c>
      <c r="I23" s="60" t="s">
        <v>12</v>
      </c>
      <c r="J23" s="115">
        <v>8.1</v>
      </c>
      <c r="K23" s="111">
        <v>500</v>
      </c>
      <c r="M23" s="61">
        <f t="shared" si="0"/>
        <v>4050</v>
      </c>
    </row>
    <row r="24" spans="1:13" s="52" customFormat="1" ht="32.25" customHeight="1" thickBot="1" x14ac:dyDescent="0.3">
      <c r="A24" s="57">
        <v>13</v>
      </c>
      <c r="B24" s="63"/>
      <c r="C24" s="136" t="s">
        <v>66</v>
      </c>
      <c r="D24" s="137" t="s">
        <v>66</v>
      </c>
      <c r="E24" s="137" t="s">
        <v>66</v>
      </c>
      <c r="F24" s="137" t="s">
        <v>66</v>
      </c>
      <c r="G24" s="138" t="s">
        <v>66</v>
      </c>
      <c r="H24" s="59" t="s">
        <v>98</v>
      </c>
      <c r="I24" s="60" t="s">
        <v>12</v>
      </c>
      <c r="J24" s="115">
        <v>90</v>
      </c>
      <c r="K24" s="111">
        <v>30</v>
      </c>
      <c r="M24" s="61">
        <f t="shared" si="0"/>
        <v>2700</v>
      </c>
    </row>
    <row r="25" spans="1:13" s="52" customFormat="1" ht="32.25" customHeight="1" thickBot="1" x14ac:dyDescent="0.3">
      <c r="A25" s="62">
        <v>14</v>
      </c>
      <c r="B25" s="63"/>
      <c r="C25" s="136" t="s">
        <v>67</v>
      </c>
      <c r="D25" s="137" t="s">
        <v>67</v>
      </c>
      <c r="E25" s="137" t="s">
        <v>67</v>
      </c>
      <c r="F25" s="137" t="s">
        <v>67</v>
      </c>
      <c r="G25" s="138" t="s">
        <v>67</v>
      </c>
      <c r="H25" s="59" t="s">
        <v>98</v>
      </c>
      <c r="I25" s="60" t="s">
        <v>12</v>
      </c>
      <c r="J25" s="115">
        <v>430</v>
      </c>
      <c r="K25" s="111">
        <v>20</v>
      </c>
      <c r="M25" s="61">
        <f t="shared" si="0"/>
        <v>8600</v>
      </c>
    </row>
    <row r="26" spans="1:13" s="52" customFormat="1" ht="32.25" customHeight="1" thickBot="1" x14ac:dyDescent="0.3">
      <c r="A26" s="57">
        <v>15</v>
      </c>
      <c r="B26" s="63"/>
      <c r="C26" s="136" t="s">
        <v>123</v>
      </c>
      <c r="D26" s="137" t="s">
        <v>123</v>
      </c>
      <c r="E26" s="137" t="s">
        <v>123</v>
      </c>
      <c r="F26" s="137" t="s">
        <v>123</v>
      </c>
      <c r="G26" s="138" t="s">
        <v>123</v>
      </c>
      <c r="H26" s="59" t="s">
        <v>98</v>
      </c>
      <c r="I26" s="60" t="s">
        <v>12</v>
      </c>
      <c r="J26" s="115">
        <v>65</v>
      </c>
      <c r="K26" s="111">
        <f>+'Necesidades Trimestrales '!AO24</f>
        <v>200</v>
      </c>
      <c r="M26" s="61">
        <f t="shared" si="0"/>
        <v>13000</v>
      </c>
    </row>
    <row r="27" spans="1:13" s="52" customFormat="1" ht="15.95" customHeight="1" thickBot="1" x14ac:dyDescent="0.25">
      <c r="A27" s="62">
        <v>16</v>
      </c>
      <c r="B27" s="67"/>
      <c r="C27" s="136" t="s">
        <v>68</v>
      </c>
      <c r="D27" s="137" t="s">
        <v>68</v>
      </c>
      <c r="E27" s="137" t="s">
        <v>68</v>
      </c>
      <c r="F27" s="137" t="s">
        <v>68</v>
      </c>
      <c r="G27" s="138" t="s">
        <v>68</v>
      </c>
      <c r="H27" s="59" t="s">
        <v>98</v>
      </c>
      <c r="I27" s="60" t="s">
        <v>12</v>
      </c>
      <c r="J27" s="115">
        <v>89000</v>
      </c>
      <c r="K27" s="116">
        <v>5</v>
      </c>
      <c r="M27" s="61">
        <f t="shared" si="0"/>
        <v>445000</v>
      </c>
    </row>
    <row r="28" spans="1:13" s="52" customFormat="1" ht="15.95" customHeight="1" x14ac:dyDescent="0.2">
      <c r="A28" s="57"/>
      <c r="B28" s="68"/>
      <c r="C28" s="136"/>
      <c r="D28" s="137"/>
      <c r="E28" s="137"/>
      <c r="F28" s="137"/>
      <c r="G28" s="138"/>
      <c r="H28" s="59"/>
      <c r="I28" s="65"/>
      <c r="J28" s="64"/>
      <c r="K28" s="66"/>
      <c r="M28" s="61">
        <f t="shared" si="0"/>
        <v>0</v>
      </c>
    </row>
    <row r="29" spans="1:13" s="52" customFormat="1" ht="15.95" customHeight="1" thickBot="1" x14ac:dyDescent="0.25">
      <c r="A29" s="69"/>
      <c r="B29" s="70"/>
      <c r="C29" s="127"/>
      <c r="D29" s="128"/>
      <c r="E29" s="128"/>
      <c r="F29" s="128"/>
      <c r="G29" s="129"/>
      <c r="H29" s="71"/>
      <c r="I29" s="72"/>
      <c r="J29" s="73"/>
      <c r="K29" s="204"/>
      <c r="M29" s="74"/>
    </row>
    <row r="30" spans="1:13" s="52" customFormat="1" ht="15.95" customHeight="1" thickBot="1" x14ac:dyDescent="0.25">
      <c r="A30" s="130" t="s">
        <v>127</v>
      </c>
      <c r="B30" s="131"/>
      <c r="C30" s="131"/>
      <c r="D30" s="131"/>
      <c r="E30" s="131"/>
      <c r="F30" s="131"/>
      <c r="G30" s="131"/>
      <c r="H30" s="131"/>
      <c r="I30" s="132"/>
      <c r="J30" s="133">
        <f>SUM(M12:M28)</f>
        <v>9948630</v>
      </c>
      <c r="K30" s="205"/>
      <c r="M30" s="74"/>
    </row>
    <row r="31" spans="1:13" s="52" customFormat="1" ht="15.95" customHeight="1" x14ac:dyDescent="0.2">
      <c r="A31" s="134"/>
      <c r="B31" s="134"/>
      <c r="C31" s="134"/>
      <c r="D31" s="134"/>
      <c r="E31" s="134"/>
      <c r="F31" s="134"/>
      <c r="G31" s="134"/>
      <c r="H31" s="134"/>
      <c r="I31" s="134"/>
      <c r="J31" s="135"/>
      <c r="K31" s="206"/>
      <c r="M31" s="74"/>
    </row>
    <row r="32" spans="1:13" s="52" customFormat="1" ht="15.95" customHeight="1" x14ac:dyDescent="0.2">
      <c r="K32" s="207"/>
      <c r="M32" s="74"/>
    </row>
    <row r="33" spans="13:13" s="52" customFormat="1" ht="15.95" customHeight="1" x14ac:dyDescent="0.2">
      <c r="M33" s="74"/>
    </row>
    <row r="34" spans="13:13" s="52" customFormat="1" ht="15.95" customHeight="1" x14ac:dyDescent="0.2">
      <c r="M34" s="74"/>
    </row>
    <row r="35" spans="13:13" s="52" customFormat="1" ht="15.95" customHeight="1" x14ac:dyDescent="0.2">
      <c r="M35" s="74"/>
    </row>
    <row r="36" spans="13:13" s="52" customFormat="1" ht="15.95" customHeight="1" x14ac:dyDescent="0.2">
      <c r="M36" s="74"/>
    </row>
    <row r="37" spans="13:13" s="52" customFormat="1" ht="15.95" customHeight="1" x14ac:dyDescent="0.2">
      <c r="M37" s="74"/>
    </row>
    <row r="38" spans="13:13" s="52" customFormat="1" ht="15.95" customHeight="1" x14ac:dyDescent="0.2">
      <c r="M38" s="74"/>
    </row>
    <row r="39" spans="13:13" s="52" customFormat="1" ht="15.95" customHeight="1" x14ac:dyDescent="0.2">
      <c r="M39" s="74"/>
    </row>
    <row r="40" spans="13:13" s="52" customFormat="1" ht="15.95" customHeight="1" x14ac:dyDescent="0.2">
      <c r="M40" s="74"/>
    </row>
    <row r="41" spans="13:13" s="52" customFormat="1" ht="15.95" customHeight="1" x14ac:dyDescent="0.2">
      <c r="M41" s="74"/>
    </row>
    <row r="42" spans="13:13" s="52" customFormat="1" ht="15.95" customHeight="1" x14ac:dyDescent="0.2">
      <c r="M42" s="74"/>
    </row>
    <row r="43" spans="13:13" s="52" customFormat="1" ht="15.95" customHeight="1" x14ac:dyDescent="0.2">
      <c r="M43" s="74"/>
    </row>
    <row r="44" spans="13:13" s="52" customFormat="1" ht="15.95" customHeight="1" x14ac:dyDescent="0.2">
      <c r="M44" s="74"/>
    </row>
    <row r="45" spans="13:13" s="52" customFormat="1" ht="15.95" customHeight="1" x14ac:dyDescent="0.2">
      <c r="M45" s="74"/>
    </row>
    <row r="46" spans="13:13" s="52" customFormat="1" ht="15.95" customHeight="1" x14ac:dyDescent="0.2">
      <c r="M46" s="74"/>
    </row>
    <row r="47" spans="13:13" s="52" customFormat="1" ht="15.95" customHeight="1" x14ac:dyDescent="0.2">
      <c r="M47" s="74"/>
    </row>
    <row r="48" spans="13:13" s="52" customFormat="1" ht="15.95" customHeight="1" x14ac:dyDescent="0.2">
      <c r="M48" s="74"/>
    </row>
    <row r="49" spans="13:13" s="52" customFormat="1" ht="15.95" customHeight="1" x14ac:dyDescent="0.2">
      <c r="M49" s="74"/>
    </row>
    <row r="50" spans="13:13" s="52" customFormat="1" ht="15.95" customHeight="1" x14ac:dyDescent="0.2">
      <c r="M50" s="74"/>
    </row>
    <row r="51" spans="13:13" s="52" customFormat="1" ht="15.95" customHeight="1" x14ac:dyDescent="0.2">
      <c r="M51" s="74"/>
    </row>
    <row r="52" spans="13:13" s="52" customFormat="1" ht="15.95" customHeight="1" x14ac:dyDescent="0.2">
      <c r="M52" s="74"/>
    </row>
    <row r="53" spans="13:13" s="52" customFormat="1" ht="15.95" customHeight="1" x14ac:dyDescent="0.2">
      <c r="M53" s="74"/>
    </row>
    <row r="54" spans="13:13" s="52" customFormat="1" ht="15.95" customHeight="1" x14ac:dyDescent="0.2">
      <c r="M54" s="74"/>
    </row>
    <row r="55" spans="13:13" s="52" customFormat="1" ht="15.95" customHeight="1" x14ac:dyDescent="0.2">
      <c r="M55" s="74"/>
    </row>
    <row r="56" spans="13:13" s="52" customFormat="1" ht="15.95" customHeight="1" x14ac:dyDescent="0.2">
      <c r="M56" s="74"/>
    </row>
    <row r="57" spans="13:13" s="52" customFormat="1" ht="15.95" customHeight="1" x14ac:dyDescent="0.2">
      <c r="M57" s="74"/>
    </row>
    <row r="58" spans="13:13" s="52" customFormat="1" ht="15.95" customHeight="1" x14ac:dyDescent="0.2">
      <c r="M58" s="74"/>
    </row>
    <row r="59" spans="13:13" s="52" customFormat="1" ht="15.95" customHeight="1" x14ac:dyDescent="0.2">
      <c r="M59" s="74"/>
    </row>
    <row r="60" spans="13:13" s="52" customFormat="1" ht="15.95" customHeight="1" x14ac:dyDescent="0.2">
      <c r="M60" s="74"/>
    </row>
    <row r="61" spans="13:13" s="52" customFormat="1" ht="15.95" customHeight="1" x14ac:dyDescent="0.2">
      <c r="M61" s="74"/>
    </row>
    <row r="62" spans="13:13" s="52" customFormat="1" ht="15.95" customHeight="1" x14ac:dyDescent="0.2">
      <c r="M62" s="74"/>
    </row>
    <row r="63" spans="13:13" ht="15.95" customHeight="1" x14ac:dyDescent="0.2">
      <c r="M63" s="74"/>
    </row>
    <row r="64" spans="13:13" ht="15.95" customHeight="1" x14ac:dyDescent="0.2">
      <c r="M64" s="74"/>
    </row>
    <row r="65" spans="12:1024" ht="15.95" customHeight="1" x14ac:dyDescent="0.2">
      <c r="M65" s="74"/>
    </row>
    <row r="66" spans="12:1024" ht="15.95" customHeight="1" x14ac:dyDescent="0.2">
      <c r="M66" s="74"/>
    </row>
    <row r="67" spans="12:1024" ht="15.95" customHeight="1" x14ac:dyDescent="0.2">
      <c r="M67" s="74"/>
    </row>
    <row r="68" spans="12:1024" ht="15.95" customHeight="1" x14ac:dyDescent="0.2">
      <c r="L68" s="75"/>
      <c r="M68" s="76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  <c r="CG68" s="75"/>
      <c r="CH68" s="75"/>
      <c r="CI68" s="75"/>
      <c r="CJ68" s="75"/>
      <c r="CK68" s="75"/>
      <c r="CL68" s="75"/>
      <c r="CM68" s="75"/>
      <c r="CN68" s="75"/>
      <c r="CO68" s="75"/>
      <c r="CP68" s="75"/>
      <c r="CQ68" s="75"/>
      <c r="CR68" s="75"/>
      <c r="CS68" s="75"/>
      <c r="CT68" s="75"/>
      <c r="CU68" s="75"/>
      <c r="CV68" s="75"/>
      <c r="CW68" s="75"/>
      <c r="CX68" s="75"/>
      <c r="CY68" s="75"/>
      <c r="CZ68" s="75"/>
      <c r="DA68" s="75"/>
      <c r="DB68" s="75"/>
      <c r="DC68" s="75"/>
      <c r="DD68" s="75"/>
      <c r="DE68" s="75"/>
      <c r="DF68" s="75"/>
      <c r="DG68" s="75"/>
      <c r="DH68" s="75"/>
      <c r="DI68" s="75"/>
      <c r="DJ68" s="75"/>
      <c r="DK68" s="75"/>
      <c r="DL68" s="75"/>
      <c r="DM68" s="7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75"/>
      <c r="EC68" s="75"/>
      <c r="ED68" s="75"/>
      <c r="EE68" s="75"/>
      <c r="EF68" s="75"/>
      <c r="EG68" s="75"/>
      <c r="EH68" s="75"/>
      <c r="EI68" s="75"/>
      <c r="EJ68" s="75"/>
      <c r="EK68" s="75"/>
      <c r="EL68" s="75"/>
      <c r="EM68" s="75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75"/>
      <c r="FF68" s="75"/>
      <c r="FG68" s="75"/>
      <c r="FH68" s="75"/>
      <c r="FI68" s="75"/>
      <c r="FJ68" s="75"/>
      <c r="FK68" s="75"/>
      <c r="FL68" s="75"/>
      <c r="FM68" s="75"/>
      <c r="FN68" s="75"/>
      <c r="FO68" s="75"/>
      <c r="FP68" s="75"/>
      <c r="FQ68" s="75"/>
      <c r="FR68" s="75"/>
      <c r="FS68" s="75"/>
      <c r="FT68" s="75"/>
      <c r="FU68" s="75"/>
      <c r="FV68" s="75"/>
      <c r="FW68" s="75"/>
      <c r="FX68" s="75"/>
      <c r="FY68" s="75"/>
      <c r="FZ68" s="75"/>
      <c r="GA68" s="75"/>
      <c r="GB68" s="75"/>
      <c r="GC68" s="75"/>
      <c r="GD68" s="75"/>
      <c r="GE68" s="75"/>
      <c r="GF68" s="75"/>
      <c r="GG68" s="75"/>
      <c r="GH68" s="75"/>
      <c r="GI68" s="75"/>
      <c r="GJ68" s="75"/>
      <c r="GK68" s="75"/>
      <c r="GL68" s="75"/>
      <c r="GM68" s="75"/>
      <c r="GN68" s="75"/>
      <c r="GO68" s="75"/>
      <c r="GP68" s="75"/>
      <c r="GQ68" s="75"/>
      <c r="GR68" s="75"/>
      <c r="GS68" s="75"/>
      <c r="GT68" s="75"/>
      <c r="GU68" s="75"/>
      <c r="GV68" s="75"/>
      <c r="GW68" s="75"/>
      <c r="GX68" s="75"/>
      <c r="GY68" s="75"/>
      <c r="GZ68" s="75"/>
      <c r="HA68" s="75"/>
      <c r="HB68" s="75"/>
      <c r="HC68" s="75"/>
      <c r="HD68" s="75"/>
      <c r="HE68" s="75"/>
      <c r="HF68" s="75"/>
      <c r="HG68" s="75"/>
      <c r="HH68" s="75"/>
      <c r="HI68" s="75"/>
      <c r="HJ68" s="75"/>
      <c r="HK68" s="75"/>
      <c r="HL68" s="75"/>
      <c r="HM68" s="75"/>
      <c r="HN68" s="75"/>
      <c r="HO68" s="75"/>
      <c r="HP68" s="75"/>
      <c r="HQ68" s="75"/>
      <c r="HR68" s="75"/>
      <c r="HS68" s="75"/>
      <c r="HT68" s="75"/>
      <c r="HU68" s="75"/>
      <c r="HV68" s="75"/>
      <c r="HW68" s="75"/>
      <c r="HX68" s="75"/>
      <c r="HY68" s="75"/>
      <c r="HZ68" s="75"/>
      <c r="IA68" s="75"/>
      <c r="IB68" s="75"/>
      <c r="IC68" s="75"/>
      <c r="ID68" s="75"/>
      <c r="IE68" s="75"/>
      <c r="IF68" s="75"/>
      <c r="IG68" s="75"/>
      <c r="IH68" s="75"/>
      <c r="II68" s="75"/>
      <c r="IJ68" s="75"/>
      <c r="IK68" s="75"/>
      <c r="IL68" s="75"/>
      <c r="IM68" s="75"/>
      <c r="IN68" s="75"/>
      <c r="IO68" s="75"/>
      <c r="IP68" s="75"/>
      <c r="IQ68" s="75"/>
      <c r="IR68" s="75"/>
      <c r="IS68" s="75"/>
      <c r="IT68" s="75"/>
      <c r="IU68" s="75"/>
      <c r="IV68" s="75"/>
      <c r="IW68" s="75"/>
      <c r="IX68" s="75"/>
      <c r="IY68" s="75"/>
      <c r="IZ68" s="75"/>
      <c r="JA68" s="75"/>
      <c r="JB68" s="75"/>
      <c r="JC68" s="75"/>
      <c r="JD68" s="75"/>
      <c r="JE68" s="75"/>
      <c r="JF68" s="75"/>
      <c r="JG68" s="75"/>
      <c r="JH68" s="75"/>
      <c r="JI68" s="75"/>
      <c r="JJ68" s="75"/>
      <c r="JK68" s="75"/>
      <c r="JL68" s="75"/>
      <c r="JM68" s="75"/>
      <c r="JN68" s="75"/>
      <c r="JO68" s="75"/>
      <c r="JP68" s="75"/>
      <c r="JQ68" s="75"/>
      <c r="JR68" s="75"/>
      <c r="JS68" s="75"/>
      <c r="JT68" s="75"/>
      <c r="JU68" s="75"/>
      <c r="JV68" s="75"/>
      <c r="JW68" s="75"/>
      <c r="JX68" s="75"/>
      <c r="JY68" s="75"/>
      <c r="JZ68" s="75"/>
      <c r="KA68" s="75"/>
      <c r="KB68" s="75"/>
      <c r="KC68" s="75"/>
      <c r="KD68" s="75"/>
      <c r="KE68" s="75"/>
      <c r="KF68" s="75"/>
      <c r="KG68" s="75"/>
      <c r="KH68" s="75"/>
      <c r="KI68" s="75"/>
      <c r="KJ68" s="75"/>
      <c r="KK68" s="75"/>
      <c r="KL68" s="75"/>
      <c r="KM68" s="75"/>
      <c r="KN68" s="75"/>
      <c r="KO68" s="75"/>
      <c r="KP68" s="75"/>
      <c r="KQ68" s="75"/>
      <c r="KR68" s="75"/>
      <c r="KS68" s="75"/>
      <c r="KT68" s="75"/>
      <c r="KU68" s="75"/>
      <c r="KV68" s="75"/>
      <c r="KW68" s="75"/>
      <c r="KX68" s="75"/>
      <c r="KY68" s="75"/>
      <c r="KZ68" s="75"/>
      <c r="LA68" s="75"/>
      <c r="LB68" s="75"/>
      <c r="LC68" s="75"/>
      <c r="LD68" s="75"/>
      <c r="LE68" s="75"/>
      <c r="LF68" s="75"/>
      <c r="LG68" s="75"/>
      <c r="LH68" s="75"/>
      <c r="LI68" s="75"/>
      <c r="LJ68" s="75"/>
      <c r="LK68" s="75"/>
      <c r="LL68" s="75"/>
      <c r="LM68" s="75"/>
      <c r="LN68" s="75"/>
      <c r="LO68" s="75"/>
      <c r="LP68" s="75"/>
      <c r="LQ68" s="75"/>
      <c r="LR68" s="75"/>
      <c r="LS68" s="75"/>
      <c r="LT68" s="75"/>
      <c r="LU68" s="75"/>
      <c r="LV68" s="75"/>
      <c r="LW68" s="75"/>
      <c r="LX68" s="75"/>
      <c r="LY68" s="75"/>
      <c r="LZ68" s="75"/>
      <c r="MA68" s="75"/>
      <c r="MB68" s="75"/>
      <c r="MC68" s="75"/>
      <c r="MD68" s="75"/>
      <c r="ME68" s="75"/>
      <c r="MF68" s="75"/>
      <c r="MG68" s="75"/>
      <c r="MH68" s="75"/>
      <c r="MI68" s="75"/>
      <c r="MJ68" s="75"/>
      <c r="MK68" s="75"/>
      <c r="ML68" s="75"/>
      <c r="MM68" s="75"/>
      <c r="MN68" s="75"/>
      <c r="MO68" s="75"/>
      <c r="MP68" s="75"/>
      <c r="MQ68" s="75"/>
      <c r="MR68" s="75"/>
      <c r="MS68" s="75"/>
      <c r="MT68" s="75"/>
      <c r="MU68" s="75"/>
      <c r="MV68" s="75"/>
      <c r="MW68" s="75"/>
      <c r="MX68" s="75"/>
      <c r="MY68" s="75"/>
      <c r="MZ68" s="75"/>
      <c r="NA68" s="75"/>
      <c r="NB68" s="75"/>
      <c r="NC68" s="75"/>
      <c r="ND68" s="75"/>
      <c r="NE68" s="75"/>
      <c r="NF68" s="75"/>
      <c r="NG68" s="75"/>
      <c r="NH68" s="75"/>
      <c r="NI68" s="75"/>
      <c r="NJ68" s="75"/>
      <c r="NK68" s="75"/>
      <c r="NL68" s="75"/>
      <c r="NM68" s="75"/>
      <c r="NN68" s="75"/>
      <c r="NO68" s="75"/>
      <c r="NP68" s="75"/>
      <c r="NQ68" s="75"/>
      <c r="NR68" s="75"/>
      <c r="NS68" s="75"/>
      <c r="NT68" s="75"/>
      <c r="NU68" s="75"/>
      <c r="NV68" s="75"/>
      <c r="NW68" s="75"/>
      <c r="NX68" s="75"/>
      <c r="NY68" s="75"/>
      <c r="NZ68" s="75"/>
      <c r="OA68" s="75"/>
      <c r="OB68" s="75"/>
      <c r="OC68" s="75"/>
      <c r="OD68" s="75"/>
      <c r="OE68" s="75"/>
      <c r="OF68" s="75"/>
      <c r="OG68" s="75"/>
      <c r="OH68" s="75"/>
      <c r="OI68" s="75"/>
      <c r="OJ68" s="75"/>
      <c r="OK68" s="75"/>
      <c r="OL68" s="75"/>
      <c r="OM68" s="75"/>
      <c r="ON68" s="75"/>
      <c r="OO68" s="75"/>
      <c r="OP68" s="75"/>
      <c r="OQ68" s="75"/>
      <c r="OR68" s="75"/>
      <c r="OS68" s="75"/>
      <c r="OT68" s="75"/>
      <c r="OU68" s="75"/>
      <c r="OV68" s="75"/>
      <c r="OW68" s="75"/>
      <c r="OX68" s="75"/>
      <c r="OY68" s="75"/>
      <c r="OZ68" s="75"/>
      <c r="PA68" s="75"/>
      <c r="PB68" s="75"/>
      <c r="PC68" s="75"/>
      <c r="PD68" s="75"/>
      <c r="PE68" s="75"/>
      <c r="PF68" s="75"/>
      <c r="PG68" s="75"/>
      <c r="PH68" s="75"/>
      <c r="PI68" s="75"/>
      <c r="PJ68" s="75"/>
      <c r="PK68" s="75"/>
      <c r="PL68" s="75"/>
      <c r="PM68" s="75"/>
      <c r="PN68" s="75"/>
      <c r="PO68" s="75"/>
      <c r="PP68" s="75"/>
      <c r="PQ68" s="75"/>
      <c r="PR68" s="75"/>
      <c r="PS68" s="75"/>
      <c r="PT68" s="75"/>
      <c r="PU68" s="75"/>
      <c r="PV68" s="75"/>
      <c r="PW68" s="75"/>
      <c r="PX68" s="75"/>
      <c r="PY68" s="75"/>
      <c r="PZ68" s="75"/>
      <c r="QA68" s="75"/>
      <c r="QB68" s="75"/>
      <c r="QC68" s="75"/>
      <c r="QD68" s="75"/>
      <c r="QE68" s="75"/>
      <c r="QF68" s="75"/>
      <c r="QG68" s="75"/>
      <c r="QH68" s="75"/>
      <c r="QI68" s="75"/>
      <c r="QJ68" s="75"/>
      <c r="QK68" s="75"/>
      <c r="QL68" s="75"/>
      <c r="QM68" s="75"/>
      <c r="QN68" s="75"/>
      <c r="QO68" s="75"/>
      <c r="QP68" s="75"/>
      <c r="QQ68" s="75"/>
      <c r="QR68" s="75"/>
      <c r="QS68" s="75"/>
      <c r="QT68" s="75"/>
      <c r="QU68" s="75"/>
      <c r="QV68" s="75"/>
      <c r="QW68" s="75"/>
      <c r="QX68" s="75"/>
      <c r="QY68" s="75"/>
      <c r="QZ68" s="75"/>
      <c r="RA68" s="75"/>
      <c r="RB68" s="75"/>
      <c r="RC68" s="75"/>
      <c r="RD68" s="75"/>
      <c r="RE68" s="75"/>
      <c r="RF68" s="75"/>
      <c r="RG68" s="75"/>
      <c r="RH68" s="75"/>
      <c r="RI68" s="75"/>
      <c r="RJ68" s="75"/>
      <c r="RK68" s="75"/>
      <c r="RL68" s="75"/>
      <c r="RM68" s="75"/>
      <c r="RN68" s="75"/>
      <c r="RO68" s="75"/>
      <c r="RP68" s="75"/>
      <c r="RQ68" s="75"/>
      <c r="RR68" s="75"/>
      <c r="RS68" s="75"/>
      <c r="RT68" s="75"/>
      <c r="RU68" s="75"/>
      <c r="RV68" s="75"/>
      <c r="RW68" s="75"/>
      <c r="RX68" s="75"/>
      <c r="RY68" s="75"/>
      <c r="RZ68" s="75"/>
      <c r="SA68" s="75"/>
      <c r="SB68" s="75"/>
      <c r="SC68" s="75"/>
      <c r="SD68" s="75"/>
      <c r="SE68" s="75"/>
      <c r="SF68" s="75"/>
      <c r="SG68" s="75"/>
      <c r="SH68" s="75"/>
      <c r="SI68" s="75"/>
      <c r="SJ68" s="75"/>
      <c r="SK68" s="75"/>
      <c r="SL68" s="75"/>
      <c r="SM68" s="75"/>
      <c r="SN68" s="75"/>
      <c r="SO68" s="75"/>
      <c r="SP68" s="75"/>
      <c r="SQ68" s="75"/>
      <c r="SR68" s="75"/>
      <c r="SS68" s="75"/>
      <c r="ST68" s="75"/>
      <c r="SU68" s="75"/>
      <c r="SV68" s="75"/>
      <c r="SW68" s="75"/>
      <c r="SX68" s="75"/>
      <c r="SY68" s="75"/>
      <c r="SZ68" s="75"/>
      <c r="TA68" s="75"/>
      <c r="TB68" s="75"/>
      <c r="TC68" s="75"/>
      <c r="TD68" s="75"/>
      <c r="TE68" s="75"/>
      <c r="TF68" s="75"/>
      <c r="TG68" s="75"/>
      <c r="TH68" s="75"/>
      <c r="TI68" s="75"/>
      <c r="TJ68" s="75"/>
      <c r="TK68" s="75"/>
      <c r="TL68" s="75"/>
      <c r="TM68" s="75"/>
      <c r="TN68" s="75"/>
      <c r="TO68" s="75"/>
      <c r="TP68" s="75"/>
      <c r="TQ68" s="75"/>
      <c r="TR68" s="75"/>
      <c r="TS68" s="75"/>
      <c r="TT68" s="75"/>
      <c r="TU68" s="75"/>
      <c r="TV68" s="75"/>
      <c r="TW68" s="75"/>
      <c r="TX68" s="75"/>
      <c r="TY68" s="75"/>
      <c r="TZ68" s="75"/>
      <c r="UA68" s="75"/>
      <c r="UB68" s="75"/>
      <c r="UC68" s="75"/>
      <c r="UD68" s="75"/>
      <c r="UE68" s="75"/>
      <c r="UF68" s="75"/>
      <c r="UG68" s="75"/>
      <c r="UH68" s="75"/>
      <c r="UI68" s="75"/>
      <c r="UJ68" s="75"/>
      <c r="UK68" s="75"/>
      <c r="UL68" s="75"/>
      <c r="UM68" s="75"/>
      <c r="UN68" s="75"/>
      <c r="UO68" s="75"/>
      <c r="UP68" s="75"/>
      <c r="UQ68" s="75"/>
      <c r="UR68" s="75"/>
      <c r="US68" s="75"/>
      <c r="UT68" s="75"/>
      <c r="UU68" s="75"/>
      <c r="UV68" s="75"/>
      <c r="UW68" s="75"/>
      <c r="UX68" s="75"/>
      <c r="UY68" s="75"/>
      <c r="UZ68" s="75"/>
      <c r="VA68" s="75"/>
      <c r="VB68" s="75"/>
      <c r="VC68" s="75"/>
      <c r="VD68" s="75"/>
      <c r="VE68" s="75"/>
      <c r="VF68" s="75"/>
      <c r="VG68" s="75"/>
      <c r="VH68" s="75"/>
      <c r="VI68" s="75"/>
      <c r="VJ68" s="75"/>
      <c r="VK68" s="75"/>
      <c r="VL68" s="75"/>
      <c r="VM68" s="75"/>
      <c r="VN68" s="75"/>
      <c r="VO68" s="75"/>
      <c r="VP68" s="75"/>
      <c r="VQ68" s="75"/>
      <c r="VR68" s="75"/>
      <c r="VS68" s="75"/>
      <c r="VT68" s="75"/>
      <c r="VU68" s="75"/>
      <c r="VV68" s="75"/>
      <c r="VW68" s="75"/>
      <c r="VX68" s="75"/>
      <c r="VY68" s="75"/>
      <c r="VZ68" s="75"/>
      <c r="WA68" s="75"/>
      <c r="WB68" s="75"/>
      <c r="WC68" s="75"/>
      <c r="WD68" s="75"/>
      <c r="WE68" s="75"/>
      <c r="WF68" s="75"/>
      <c r="WG68" s="75"/>
      <c r="WH68" s="75"/>
      <c r="WI68" s="75"/>
      <c r="WJ68" s="75"/>
      <c r="WK68" s="75"/>
      <c r="WL68" s="75"/>
      <c r="WM68" s="75"/>
      <c r="WN68" s="75"/>
      <c r="WO68" s="75"/>
      <c r="WP68" s="75"/>
      <c r="WQ68" s="75"/>
      <c r="WR68" s="75"/>
      <c r="WS68" s="75"/>
      <c r="WT68" s="75"/>
      <c r="WU68" s="75"/>
      <c r="WV68" s="75"/>
      <c r="WW68" s="75"/>
      <c r="WX68" s="75"/>
      <c r="WY68" s="75"/>
      <c r="WZ68" s="75"/>
      <c r="XA68" s="75"/>
      <c r="XB68" s="75"/>
      <c r="XC68" s="75"/>
      <c r="XD68" s="75"/>
      <c r="XE68" s="75"/>
      <c r="XF68" s="75"/>
      <c r="XG68" s="75"/>
      <c r="XH68" s="75"/>
      <c r="XI68" s="75"/>
      <c r="XJ68" s="75"/>
      <c r="XK68" s="75"/>
      <c r="XL68" s="75"/>
      <c r="XM68" s="75"/>
      <c r="XN68" s="75"/>
      <c r="XO68" s="75"/>
      <c r="XP68" s="75"/>
      <c r="XQ68" s="75"/>
      <c r="XR68" s="75"/>
      <c r="XS68" s="75"/>
      <c r="XT68" s="75"/>
      <c r="XU68" s="75"/>
      <c r="XV68" s="75"/>
      <c r="XW68" s="75"/>
      <c r="XX68" s="75"/>
      <c r="XY68" s="75"/>
      <c r="XZ68" s="75"/>
      <c r="YA68" s="75"/>
      <c r="YB68" s="75"/>
      <c r="YC68" s="75"/>
      <c r="YD68" s="75"/>
      <c r="YE68" s="75"/>
      <c r="YF68" s="75"/>
      <c r="YG68" s="75"/>
      <c r="YH68" s="75"/>
      <c r="YI68" s="75"/>
      <c r="YJ68" s="75"/>
      <c r="YK68" s="75"/>
      <c r="YL68" s="75"/>
      <c r="YM68" s="75"/>
      <c r="YN68" s="75"/>
      <c r="YO68" s="75"/>
      <c r="YP68" s="75"/>
      <c r="YQ68" s="75"/>
      <c r="YR68" s="75"/>
      <c r="YS68" s="75"/>
      <c r="YT68" s="75"/>
      <c r="YU68" s="75"/>
      <c r="YV68" s="75"/>
      <c r="YW68" s="75"/>
      <c r="YX68" s="75"/>
      <c r="YY68" s="75"/>
      <c r="YZ68" s="75"/>
      <c r="ZA68" s="75"/>
      <c r="ZB68" s="75"/>
      <c r="ZC68" s="75"/>
      <c r="ZD68" s="75"/>
      <c r="ZE68" s="75"/>
      <c r="ZF68" s="75"/>
      <c r="ZG68" s="75"/>
      <c r="ZH68" s="75"/>
      <c r="ZI68" s="75"/>
      <c r="ZJ68" s="75"/>
      <c r="ZK68" s="75"/>
      <c r="ZL68" s="75"/>
      <c r="ZM68" s="75"/>
      <c r="ZN68" s="75"/>
      <c r="ZO68" s="75"/>
      <c r="ZP68" s="75"/>
      <c r="ZQ68" s="75"/>
      <c r="ZR68" s="75"/>
      <c r="ZS68" s="75"/>
      <c r="ZT68" s="75"/>
      <c r="ZU68" s="75"/>
      <c r="ZV68" s="75"/>
      <c r="ZW68" s="75"/>
      <c r="ZX68" s="75"/>
      <c r="ZY68" s="75"/>
      <c r="ZZ68" s="75"/>
      <c r="AAA68" s="75"/>
      <c r="AAB68" s="75"/>
      <c r="AAC68" s="75"/>
      <c r="AAD68" s="75"/>
      <c r="AAE68" s="75"/>
      <c r="AAF68" s="75"/>
      <c r="AAG68" s="75"/>
      <c r="AAH68" s="75"/>
      <c r="AAI68" s="75"/>
      <c r="AAJ68" s="75"/>
      <c r="AAK68" s="75"/>
      <c r="AAL68" s="75"/>
      <c r="AAM68" s="75"/>
      <c r="AAN68" s="75"/>
      <c r="AAO68" s="75"/>
      <c r="AAP68" s="75"/>
      <c r="AAQ68" s="75"/>
      <c r="AAR68" s="75"/>
      <c r="AAS68" s="75"/>
      <c r="AAT68" s="75"/>
      <c r="AAU68" s="75"/>
      <c r="AAV68" s="75"/>
      <c r="AAW68" s="75"/>
      <c r="AAX68" s="75"/>
      <c r="AAY68" s="75"/>
      <c r="AAZ68" s="75"/>
      <c r="ABA68" s="75"/>
      <c r="ABB68" s="75"/>
      <c r="ABC68" s="75"/>
      <c r="ABD68" s="75"/>
      <c r="ABE68" s="75"/>
      <c r="ABF68" s="75"/>
      <c r="ABG68" s="75"/>
      <c r="ABH68" s="75"/>
      <c r="ABI68" s="75"/>
      <c r="ABJ68" s="75"/>
      <c r="ABK68" s="75"/>
      <c r="ABL68" s="75"/>
      <c r="ABM68" s="75"/>
      <c r="ABN68" s="75"/>
      <c r="ABO68" s="75"/>
      <c r="ABP68" s="75"/>
      <c r="ABQ68" s="75"/>
      <c r="ABR68" s="75"/>
      <c r="ABS68" s="75"/>
      <c r="ABT68" s="75"/>
      <c r="ABU68" s="75"/>
      <c r="ABV68" s="75"/>
      <c r="ABW68" s="75"/>
      <c r="ABX68" s="75"/>
      <c r="ABY68" s="75"/>
      <c r="ABZ68" s="75"/>
      <c r="ACA68" s="75"/>
      <c r="ACB68" s="75"/>
      <c r="ACC68" s="75"/>
      <c r="ACD68" s="75"/>
      <c r="ACE68" s="75"/>
      <c r="ACF68" s="75"/>
      <c r="ACG68" s="75"/>
      <c r="ACH68" s="75"/>
      <c r="ACI68" s="75"/>
      <c r="ACJ68" s="75"/>
      <c r="ACK68" s="75"/>
      <c r="ACL68" s="75"/>
      <c r="ACM68" s="75"/>
      <c r="ACN68" s="75"/>
      <c r="ACO68" s="75"/>
      <c r="ACP68" s="75"/>
      <c r="ACQ68" s="75"/>
      <c r="ACR68" s="75"/>
      <c r="ACS68" s="75"/>
      <c r="ACT68" s="75"/>
      <c r="ACU68" s="75"/>
      <c r="ACV68" s="75"/>
      <c r="ACW68" s="75"/>
      <c r="ACX68" s="75"/>
      <c r="ACY68" s="75"/>
      <c r="ACZ68" s="75"/>
      <c r="ADA68" s="75"/>
      <c r="ADB68" s="75"/>
      <c r="ADC68" s="75"/>
      <c r="ADD68" s="75"/>
      <c r="ADE68" s="75"/>
      <c r="ADF68" s="75"/>
      <c r="ADG68" s="75"/>
      <c r="ADH68" s="75"/>
      <c r="ADI68" s="75"/>
      <c r="ADJ68" s="75"/>
      <c r="ADK68" s="75"/>
      <c r="ADL68" s="75"/>
      <c r="ADM68" s="75"/>
      <c r="ADN68" s="75"/>
      <c r="ADO68" s="75"/>
      <c r="ADP68" s="75"/>
      <c r="ADQ68" s="75"/>
      <c r="ADR68" s="75"/>
      <c r="ADS68" s="75"/>
      <c r="ADT68" s="75"/>
      <c r="ADU68" s="75"/>
      <c r="ADV68" s="75"/>
      <c r="ADW68" s="75"/>
      <c r="ADX68" s="75"/>
      <c r="ADY68" s="75"/>
      <c r="ADZ68" s="75"/>
      <c r="AEA68" s="75"/>
      <c r="AEB68" s="75"/>
      <c r="AEC68" s="75"/>
      <c r="AED68" s="75"/>
      <c r="AEE68" s="75"/>
      <c r="AEF68" s="75"/>
      <c r="AEG68" s="75"/>
      <c r="AEH68" s="75"/>
      <c r="AEI68" s="75"/>
      <c r="AEJ68" s="75"/>
      <c r="AEK68" s="75"/>
      <c r="AEL68" s="75"/>
      <c r="AEM68" s="75"/>
      <c r="AEN68" s="75"/>
      <c r="AEO68" s="75"/>
      <c r="AEP68" s="75"/>
      <c r="AEQ68" s="75"/>
      <c r="AER68" s="75"/>
      <c r="AES68" s="75"/>
      <c r="AET68" s="75"/>
      <c r="AEU68" s="75"/>
      <c r="AEV68" s="75"/>
      <c r="AEW68" s="75"/>
      <c r="AEX68" s="75"/>
      <c r="AEY68" s="75"/>
      <c r="AEZ68" s="75"/>
      <c r="AFA68" s="75"/>
      <c r="AFB68" s="75"/>
      <c r="AFC68" s="75"/>
      <c r="AFD68" s="75"/>
      <c r="AFE68" s="75"/>
      <c r="AFF68" s="75"/>
      <c r="AFG68" s="75"/>
      <c r="AFH68" s="75"/>
      <c r="AFI68" s="75"/>
      <c r="AFJ68" s="75"/>
      <c r="AFK68" s="75"/>
      <c r="AFL68" s="75"/>
      <c r="AFM68" s="75"/>
      <c r="AFN68" s="75"/>
      <c r="AFO68" s="75"/>
      <c r="AFP68" s="75"/>
      <c r="AFQ68" s="75"/>
      <c r="AFR68" s="75"/>
      <c r="AFS68" s="75"/>
      <c r="AFT68" s="75"/>
      <c r="AFU68" s="75"/>
      <c r="AFV68" s="75"/>
      <c r="AFW68" s="75"/>
      <c r="AFX68" s="75"/>
      <c r="AFY68" s="75"/>
      <c r="AFZ68" s="75"/>
      <c r="AGA68" s="75"/>
      <c r="AGB68" s="75"/>
      <c r="AGC68" s="75"/>
      <c r="AGD68" s="75"/>
      <c r="AGE68" s="75"/>
      <c r="AGF68" s="75"/>
      <c r="AGG68" s="75"/>
      <c r="AGH68" s="75"/>
      <c r="AGI68" s="75"/>
      <c r="AGJ68" s="75"/>
      <c r="AGK68" s="75"/>
      <c r="AGL68" s="75"/>
      <c r="AGM68" s="75"/>
      <c r="AGN68" s="75"/>
      <c r="AGO68" s="75"/>
      <c r="AGP68" s="75"/>
      <c r="AGQ68" s="75"/>
      <c r="AGR68" s="75"/>
      <c r="AGS68" s="75"/>
      <c r="AGT68" s="75"/>
      <c r="AGU68" s="75"/>
      <c r="AGV68" s="75"/>
      <c r="AGW68" s="75"/>
      <c r="AGX68" s="75"/>
      <c r="AGY68" s="75"/>
      <c r="AGZ68" s="75"/>
      <c r="AHA68" s="75"/>
      <c r="AHB68" s="75"/>
      <c r="AHC68" s="75"/>
      <c r="AHD68" s="75"/>
      <c r="AHE68" s="75"/>
      <c r="AHF68" s="75"/>
      <c r="AHG68" s="75"/>
      <c r="AHH68" s="75"/>
      <c r="AHI68" s="75"/>
      <c r="AHJ68" s="75"/>
      <c r="AHK68" s="75"/>
      <c r="AHL68" s="75"/>
      <c r="AHM68" s="75"/>
      <c r="AHN68" s="75"/>
      <c r="AHO68" s="75"/>
      <c r="AHP68" s="75"/>
      <c r="AHQ68" s="75"/>
      <c r="AHR68" s="75"/>
      <c r="AHS68" s="75"/>
      <c r="AHT68" s="75"/>
      <c r="AHU68" s="75"/>
      <c r="AHV68" s="75"/>
      <c r="AHW68" s="75"/>
      <c r="AHX68" s="75"/>
      <c r="AHY68" s="75"/>
      <c r="AHZ68" s="75"/>
      <c r="AIA68" s="75"/>
      <c r="AIB68" s="75"/>
      <c r="AIC68" s="75"/>
      <c r="AID68" s="75"/>
      <c r="AIE68" s="75"/>
      <c r="AIF68" s="75"/>
      <c r="AIG68" s="75"/>
      <c r="AIH68" s="75"/>
      <c r="AII68" s="75"/>
      <c r="AIJ68" s="75"/>
      <c r="AIK68" s="75"/>
      <c r="AIL68" s="75"/>
      <c r="AIM68" s="75"/>
      <c r="AIN68" s="75"/>
      <c r="AIO68" s="75"/>
      <c r="AIP68" s="75"/>
      <c r="AIQ68" s="75"/>
      <c r="AIR68" s="75"/>
      <c r="AIS68" s="75"/>
      <c r="AIT68" s="75"/>
      <c r="AIU68" s="75"/>
      <c r="AIV68" s="75"/>
      <c r="AIW68" s="75"/>
      <c r="AIX68" s="75"/>
      <c r="AIY68" s="75"/>
      <c r="AIZ68" s="75"/>
      <c r="AJA68" s="75"/>
      <c r="AJB68" s="75"/>
      <c r="AJC68" s="75"/>
      <c r="AJD68" s="75"/>
      <c r="AJE68" s="75"/>
      <c r="AJF68" s="75"/>
      <c r="AJG68" s="75"/>
      <c r="AJH68" s="75"/>
      <c r="AJI68" s="75"/>
      <c r="AJJ68" s="75"/>
      <c r="AJK68" s="75"/>
      <c r="AJL68" s="75"/>
      <c r="AJM68" s="75"/>
      <c r="AJN68" s="75"/>
      <c r="AJO68" s="75"/>
      <c r="AJP68" s="75"/>
      <c r="AJQ68" s="75"/>
      <c r="AJR68" s="75"/>
      <c r="AJS68" s="75"/>
      <c r="AJT68" s="75"/>
      <c r="AJU68" s="75"/>
      <c r="AJV68" s="75"/>
      <c r="AJW68" s="75"/>
      <c r="AJX68" s="75"/>
      <c r="AJY68" s="75"/>
      <c r="AJZ68" s="75"/>
      <c r="AKA68" s="75"/>
      <c r="AKB68" s="75"/>
      <c r="AKC68" s="75"/>
      <c r="AKD68" s="75"/>
      <c r="AKE68" s="75"/>
      <c r="AKF68" s="75"/>
      <c r="AKG68" s="75"/>
      <c r="AKH68" s="75"/>
      <c r="AKI68" s="75"/>
      <c r="AKJ68" s="75"/>
      <c r="AKK68" s="75"/>
      <c r="AKL68" s="75"/>
      <c r="AKM68" s="75"/>
      <c r="AKN68" s="75"/>
      <c r="AKO68" s="75"/>
      <c r="AKP68" s="75"/>
      <c r="AKQ68" s="75"/>
      <c r="AKR68" s="75"/>
      <c r="AKS68" s="75"/>
      <c r="AKT68" s="75"/>
      <c r="AKU68" s="75"/>
      <c r="AKV68" s="75"/>
      <c r="AKW68" s="75"/>
      <c r="AKX68" s="75"/>
      <c r="AKY68" s="75"/>
      <c r="AKZ68" s="75"/>
      <c r="ALA68" s="75"/>
      <c r="ALB68" s="75"/>
      <c r="ALC68" s="75"/>
      <c r="ALD68" s="75"/>
      <c r="ALE68" s="75"/>
      <c r="ALF68" s="75"/>
      <c r="ALG68" s="75"/>
      <c r="ALH68" s="75"/>
      <c r="ALI68" s="75"/>
      <c r="ALJ68" s="75"/>
      <c r="ALK68" s="75"/>
      <c r="ALL68" s="75"/>
      <c r="ALM68" s="75"/>
      <c r="ALN68" s="75"/>
      <c r="ALO68" s="75"/>
      <c r="ALP68" s="75"/>
      <c r="ALQ68" s="75"/>
      <c r="ALR68" s="75"/>
      <c r="ALS68" s="75"/>
      <c r="ALT68" s="75"/>
      <c r="ALU68" s="75"/>
      <c r="ALV68" s="75"/>
      <c r="ALW68" s="75"/>
      <c r="ALX68" s="75"/>
      <c r="ALY68" s="75"/>
      <c r="ALZ68" s="75"/>
      <c r="AMA68" s="75"/>
      <c r="AMB68" s="75"/>
      <c r="AMC68" s="75"/>
      <c r="AMD68" s="75"/>
      <c r="AME68" s="75"/>
      <c r="AMF68" s="75"/>
      <c r="AMG68" s="75"/>
      <c r="AMH68" s="75"/>
      <c r="AMI68" s="75"/>
      <c r="AMJ68" s="75"/>
    </row>
    <row r="69" spans="12:1024" ht="15.95" customHeight="1" x14ac:dyDescent="0.2">
      <c r="L69" s="75"/>
      <c r="M69" s="76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75"/>
      <c r="CJ69" s="75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75"/>
      <c r="CY69" s="75"/>
      <c r="CZ69" s="75"/>
      <c r="DA69" s="75"/>
      <c r="DB69" s="75"/>
      <c r="DC69" s="75"/>
      <c r="DD69" s="75"/>
      <c r="DE69" s="75"/>
      <c r="DF69" s="75"/>
      <c r="DG69" s="75"/>
      <c r="DH69" s="75"/>
      <c r="DI69" s="75"/>
      <c r="DJ69" s="75"/>
      <c r="DK69" s="75"/>
      <c r="DL69" s="75"/>
      <c r="DM69" s="75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75"/>
      <c r="EC69" s="75"/>
      <c r="ED69" s="75"/>
      <c r="EE69" s="75"/>
      <c r="EF69" s="75"/>
      <c r="EG69" s="75"/>
      <c r="EH69" s="75"/>
      <c r="EI69" s="75"/>
      <c r="EJ69" s="75"/>
      <c r="EK69" s="75"/>
      <c r="EL69" s="75"/>
      <c r="EM69" s="75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75"/>
      <c r="FF69" s="75"/>
      <c r="FG69" s="75"/>
      <c r="FH69" s="75"/>
      <c r="FI69" s="75"/>
      <c r="FJ69" s="75"/>
      <c r="FK69" s="75"/>
      <c r="FL69" s="75"/>
      <c r="FM69" s="75"/>
      <c r="FN69" s="75"/>
      <c r="FO69" s="75"/>
      <c r="FP69" s="75"/>
      <c r="FQ69" s="75"/>
      <c r="FR69" s="75"/>
      <c r="FS69" s="75"/>
      <c r="FT69" s="75"/>
      <c r="FU69" s="75"/>
      <c r="FV69" s="75"/>
      <c r="FW69" s="75"/>
      <c r="FX69" s="75"/>
      <c r="FY69" s="75"/>
      <c r="FZ69" s="75"/>
      <c r="GA69" s="75"/>
      <c r="GB69" s="75"/>
      <c r="GC69" s="75"/>
      <c r="GD69" s="75"/>
      <c r="GE69" s="75"/>
      <c r="GF69" s="75"/>
      <c r="GG69" s="75"/>
      <c r="GH69" s="75"/>
      <c r="GI69" s="75"/>
      <c r="GJ69" s="75"/>
      <c r="GK69" s="75"/>
      <c r="GL69" s="75"/>
      <c r="GM69" s="75"/>
      <c r="GN69" s="75"/>
      <c r="GO69" s="75"/>
      <c r="GP69" s="75"/>
      <c r="GQ69" s="75"/>
      <c r="GR69" s="75"/>
      <c r="GS69" s="75"/>
      <c r="GT69" s="75"/>
      <c r="GU69" s="75"/>
      <c r="GV69" s="75"/>
      <c r="GW69" s="75"/>
      <c r="GX69" s="75"/>
      <c r="GY69" s="75"/>
      <c r="GZ69" s="75"/>
      <c r="HA69" s="75"/>
      <c r="HB69" s="75"/>
      <c r="HC69" s="75"/>
      <c r="HD69" s="75"/>
      <c r="HE69" s="75"/>
      <c r="HF69" s="75"/>
      <c r="HG69" s="75"/>
      <c r="HH69" s="75"/>
      <c r="HI69" s="75"/>
      <c r="HJ69" s="75"/>
      <c r="HK69" s="75"/>
      <c r="HL69" s="75"/>
      <c r="HM69" s="75"/>
      <c r="HN69" s="75"/>
      <c r="HO69" s="75"/>
      <c r="HP69" s="75"/>
      <c r="HQ69" s="75"/>
      <c r="HR69" s="75"/>
      <c r="HS69" s="75"/>
      <c r="HT69" s="75"/>
      <c r="HU69" s="75"/>
      <c r="HV69" s="75"/>
      <c r="HW69" s="75"/>
      <c r="HX69" s="75"/>
      <c r="HY69" s="75"/>
      <c r="HZ69" s="75"/>
      <c r="IA69" s="75"/>
      <c r="IB69" s="75"/>
      <c r="IC69" s="75"/>
      <c r="ID69" s="75"/>
      <c r="IE69" s="75"/>
      <c r="IF69" s="75"/>
      <c r="IG69" s="75"/>
      <c r="IH69" s="75"/>
      <c r="II69" s="75"/>
      <c r="IJ69" s="75"/>
      <c r="IK69" s="75"/>
      <c r="IL69" s="75"/>
      <c r="IM69" s="75"/>
      <c r="IN69" s="75"/>
      <c r="IO69" s="75"/>
      <c r="IP69" s="75"/>
      <c r="IQ69" s="75"/>
      <c r="IR69" s="75"/>
      <c r="IS69" s="75"/>
      <c r="IT69" s="75"/>
      <c r="IU69" s="75"/>
      <c r="IV69" s="75"/>
      <c r="IW69" s="75"/>
      <c r="IX69" s="75"/>
      <c r="IY69" s="75"/>
      <c r="IZ69" s="75"/>
      <c r="JA69" s="75"/>
      <c r="JB69" s="75"/>
      <c r="JC69" s="75"/>
      <c r="JD69" s="75"/>
      <c r="JE69" s="75"/>
      <c r="JF69" s="75"/>
      <c r="JG69" s="75"/>
      <c r="JH69" s="75"/>
      <c r="JI69" s="75"/>
      <c r="JJ69" s="75"/>
      <c r="JK69" s="75"/>
      <c r="JL69" s="75"/>
      <c r="JM69" s="75"/>
      <c r="JN69" s="75"/>
      <c r="JO69" s="75"/>
      <c r="JP69" s="75"/>
      <c r="JQ69" s="75"/>
      <c r="JR69" s="75"/>
      <c r="JS69" s="75"/>
      <c r="JT69" s="75"/>
      <c r="JU69" s="75"/>
      <c r="JV69" s="75"/>
      <c r="JW69" s="75"/>
      <c r="JX69" s="75"/>
      <c r="JY69" s="75"/>
      <c r="JZ69" s="75"/>
      <c r="KA69" s="75"/>
      <c r="KB69" s="75"/>
      <c r="KC69" s="75"/>
      <c r="KD69" s="75"/>
      <c r="KE69" s="75"/>
      <c r="KF69" s="75"/>
      <c r="KG69" s="75"/>
      <c r="KH69" s="75"/>
      <c r="KI69" s="75"/>
      <c r="KJ69" s="75"/>
      <c r="KK69" s="75"/>
      <c r="KL69" s="75"/>
      <c r="KM69" s="75"/>
      <c r="KN69" s="75"/>
      <c r="KO69" s="75"/>
      <c r="KP69" s="75"/>
      <c r="KQ69" s="75"/>
      <c r="KR69" s="75"/>
      <c r="KS69" s="75"/>
      <c r="KT69" s="75"/>
      <c r="KU69" s="75"/>
      <c r="KV69" s="75"/>
      <c r="KW69" s="75"/>
      <c r="KX69" s="75"/>
      <c r="KY69" s="75"/>
      <c r="KZ69" s="75"/>
      <c r="LA69" s="75"/>
      <c r="LB69" s="75"/>
      <c r="LC69" s="75"/>
      <c r="LD69" s="75"/>
      <c r="LE69" s="75"/>
      <c r="LF69" s="75"/>
      <c r="LG69" s="75"/>
      <c r="LH69" s="75"/>
      <c r="LI69" s="75"/>
      <c r="LJ69" s="75"/>
      <c r="LK69" s="75"/>
      <c r="LL69" s="75"/>
      <c r="LM69" s="75"/>
      <c r="LN69" s="75"/>
      <c r="LO69" s="75"/>
      <c r="LP69" s="75"/>
      <c r="LQ69" s="75"/>
      <c r="LR69" s="75"/>
      <c r="LS69" s="75"/>
      <c r="LT69" s="75"/>
      <c r="LU69" s="75"/>
      <c r="LV69" s="75"/>
      <c r="LW69" s="75"/>
      <c r="LX69" s="75"/>
      <c r="LY69" s="75"/>
      <c r="LZ69" s="75"/>
      <c r="MA69" s="75"/>
      <c r="MB69" s="75"/>
      <c r="MC69" s="75"/>
      <c r="MD69" s="75"/>
      <c r="ME69" s="75"/>
      <c r="MF69" s="75"/>
      <c r="MG69" s="75"/>
      <c r="MH69" s="75"/>
      <c r="MI69" s="75"/>
      <c r="MJ69" s="75"/>
      <c r="MK69" s="75"/>
      <c r="ML69" s="75"/>
      <c r="MM69" s="75"/>
      <c r="MN69" s="75"/>
      <c r="MO69" s="75"/>
      <c r="MP69" s="75"/>
      <c r="MQ69" s="75"/>
      <c r="MR69" s="75"/>
      <c r="MS69" s="75"/>
      <c r="MT69" s="75"/>
      <c r="MU69" s="75"/>
      <c r="MV69" s="75"/>
      <c r="MW69" s="75"/>
      <c r="MX69" s="75"/>
      <c r="MY69" s="75"/>
      <c r="MZ69" s="75"/>
      <c r="NA69" s="75"/>
      <c r="NB69" s="75"/>
      <c r="NC69" s="75"/>
      <c r="ND69" s="75"/>
      <c r="NE69" s="75"/>
      <c r="NF69" s="75"/>
      <c r="NG69" s="75"/>
      <c r="NH69" s="75"/>
      <c r="NI69" s="75"/>
      <c r="NJ69" s="75"/>
      <c r="NK69" s="75"/>
      <c r="NL69" s="75"/>
      <c r="NM69" s="75"/>
      <c r="NN69" s="75"/>
      <c r="NO69" s="75"/>
      <c r="NP69" s="75"/>
      <c r="NQ69" s="75"/>
      <c r="NR69" s="75"/>
      <c r="NS69" s="75"/>
      <c r="NT69" s="75"/>
      <c r="NU69" s="75"/>
      <c r="NV69" s="75"/>
      <c r="NW69" s="75"/>
      <c r="NX69" s="75"/>
      <c r="NY69" s="75"/>
      <c r="NZ69" s="75"/>
      <c r="OA69" s="75"/>
      <c r="OB69" s="75"/>
      <c r="OC69" s="75"/>
      <c r="OD69" s="75"/>
      <c r="OE69" s="75"/>
      <c r="OF69" s="75"/>
      <c r="OG69" s="75"/>
      <c r="OH69" s="75"/>
      <c r="OI69" s="75"/>
      <c r="OJ69" s="75"/>
      <c r="OK69" s="75"/>
      <c r="OL69" s="75"/>
      <c r="OM69" s="75"/>
      <c r="ON69" s="75"/>
      <c r="OO69" s="75"/>
      <c r="OP69" s="75"/>
      <c r="OQ69" s="75"/>
      <c r="OR69" s="75"/>
      <c r="OS69" s="75"/>
      <c r="OT69" s="75"/>
      <c r="OU69" s="75"/>
      <c r="OV69" s="75"/>
      <c r="OW69" s="75"/>
      <c r="OX69" s="75"/>
      <c r="OY69" s="75"/>
      <c r="OZ69" s="75"/>
      <c r="PA69" s="75"/>
      <c r="PB69" s="75"/>
      <c r="PC69" s="75"/>
      <c r="PD69" s="75"/>
      <c r="PE69" s="75"/>
      <c r="PF69" s="75"/>
      <c r="PG69" s="75"/>
      <c r="PH69" s="75"/>
      <c r="PI69" s="75"/>
      <c r="PJ69" s="75"/>
      <c r="PK69" s="75"/>
      <c r="PL69" s="75"/>
      <c r="PM69" s="75"/>
      <c r="PN69" s="75"/>
      <c r="PO69" s="75"/>
      <c r="PP69" s="75"/>
      <c r="PQ69" s="75"/>
      <c r="PR69" s="75"/>
      <c r="PS69" s="75"/>
      <c r="PT69" s="75"/>
      <c r="PU69" s="75"/>
      <c r="PV69" s="75"/>
      <c r="PW69" s="75"/>
      <c r="PX69" s="75"/>
      <c r="PY69" s="75"/>
      <c r="PZ69" s="75"/>
      <c r="QA69" s="75"/>
      <c r="QB69" s="75"/>
      <c r="QC69" s="75"/>
      <c r="QD69" s="75"/>
      <c r="QE69" s="75"/>
      <c r="QF69" s="75"/>
      <c r="QG69" s="75"/>
      <c r="QH69" s="75"/>
      <c r="QI69" s="75"/>
      <c r="QJ69" s="75"/>
      <c r="QK69" s="75"/>
      <c r="QL69" s="75"/>
      <c r="QM69" s="75"/>
      <c r="QN69" s="75"/>
      <c r="QO69" s="75"/>
      <c r="QP69" s="75"/>
      <c r="QQ69" s="75"/>
      <c r="QR69" s="75"/>
      <c r="QS69" s="75"/>
      <c r="QT69" s="75"/>
      <c r="QU69" s="75"/>
      <c r="QV69" s="75"/>
      <c r="QW69" s="75"/>
      <c r="QX69" s="75"/>
      <c r="QY69" s="75"/>
      <c r="QZ69" s="75"/>
      <c r="RA69" s="75"/>
      <c r="RB69" s="75"/>
      <c r="RC69" s="75"/>
      <c r="RD69" s="75"/>
      <c r="RE69" s="75"/>
      <c r="RF69" s="75"/>
      <c r="RG69" s="75"/>
      <c r="RH69" s="75"/>
      <c r="RI69" s="75"/>
      <c r="RJ69" s="75"/>
      <c r="RK69" s="75"/>
      <c r="RL69" s="75"/>
      <c r="RM69" s="75"/>
      <c r="RN69" s="75"/>
      <c r="RO69" s="75"/>
      <c r="RP69" s="75"/>
      <c r="RQ69" s="75"/>
      <c r="RR69" s="75"/>
      <c r="RS69" s="75"/>
      <c r="RT69" s="75"/>
      <c r="RU69" s="75"/>
      <c r="RV69" s="75"/>
      <c r="RW69" s="75"/>
      <c r="RX69" s="75"/>
      <c r="RY69" s="75"/>
      <c r="RZ69" s="75"/>
      <c r="SA69" s="75"/>
      <c r="SB69" s="75"/>
      <c r="SC69" s="75"/>
      <c r="SD69" s="75"/>
      <c r="SE69" s="75"/>
      <c r="SF69" s="75"/>
      <c r="SG69" s="75"/>
      <c r="SH69" s="75"/>
      <c r="SI69" s="75"/>
      <c r="SJ69" s="75"/>
      <c r="SK69" s="75"/>
      <c r="SL69" s="75"/>
      <c r="SM69" s="75"/>
      <c r="SN69" s="75"/>
      <c r="SO69" s="75"/>
      <c r="SP69" s="75"/>
      <c r="SQ69" s="75"/>
      <c r="SR69" s="75"/>
      <c r="SS69" s="75"/>
      <c r="ST69" s="75"/>
      <c r="SU69" s="75"/>
      <c r="SV69" s="75"/>
      <c r="SW69" s="75"/>
      <c r="SX69" s="75"/>
      <c r="SY69" s="75"/>
      <c r="SZ69" s="75"/>
      <c r="TA69" s="75"/>
      <c r="TB69" s="75"/>
      <c r="TC69" s="75"/>
      <c r="TD69" s="75"/>
      <c r="TE69" s="75"/>
      <c r="TF69" s="75"/>
      <c r="TG69" s="75"/>
      <c r="TH69" s="75"/>
      <c r="TI69" s="75"/>
      <c r="TJ69" s="75"/>
      <c r="TK69" s="75"/>
      <c r="TL69" s="75"/>
      <c r="TM69" s="75"/>
      <c r="TN69" s="75"/>
      <c r="TO69" s="75"/>
      <c r="TP69" s="75"/>
      <c r="TQ69" s="75"/>
      <c r="TR69" s="75"/>
      <c r="TS69" s="75"/>
      <c r="TT69" s="75"/>
      <c r="TU69" s="75"/>
      <c r="TV69" s="75"/>
      <c r="TW69" s="75"/>
      <c r="TX69" s="75"/>
      <c r="TY69" s="75"/>
      <c r="TZ69" s="75"/>
      <c r="UA69" s="75"/>
      <c r="UB69" s="75"/>
      <c r="UC69" s="75"/>
      <c r="UD69" s="75"/>
      <c r="UE69" s="75"/>
      <c r="UF69" s="75"/>
      <c r="UG69" s="75"/>
      <c r="UH69" s="75"/>
      <c r="UI69" s="75"/>
      <c r="UJ69" s="75"/>
      <c r="UK69" s="75"/>
      <c r="UL69" s="75"/>
      <c r="UM69" s="75"/>
      <c r="UN69" s="75"/>
      <c r="UO69" s="75"/>
      <c r="UP69" s="75"/>
      <c r="UQ69" s="75"/>
      <c r="UR69" s="75"/>
      <c r="US69" s="75"/>
      <c r="UT69" s="75"/>
      <c r="UU69" s="75"/>
      <c r="UV69" s="75"/>
      <c r="UW69" s="75"/>
      <c r="UX69" s="75"/>
      <c r="UY69" s="75"/>
      <c r="UZ69" s="75"/>
      <c r="VA69" s="75"/>
      <c r="VB69" s="75"/>
      <c r="VC69" s="75"/>
      <c r="VD69" s="75"/>
      <c r="VE69" s="75"/>
      <c r="VF69" s="75"/>
      <c r="VG69" s="75"/>
      <c r="VH69" s="75"/>
      <c r="VI69" s="75"/>
      <c r="VJ69" s="75"/>
      <c r="VK69" s="75"/>
      <c r="VL69" s="75"/>
      <c r="VM69" s="75"/>
      <c r="VN69" s="75"/>
      <c r="VO69" s="75"/>
      <c r="VP69" s="75"/>
      <c r="VQ69" s="75"/>
      <c r="VR69" s="75"/>
      <c r="VS69" s="75"/>
      <c r="VT69" s="75"/>
      <c r="VU69" s="75"/>
      <c r="VV69" s="75"/>
      <c r="VW69" s="75"/>
      <c r="VX69" s="75"/>
      <c r="VY69" s="75"/>
      <c r="VZ69" s="75"/>
      <c r="WA69" s="75"/>
      <c r="WB69" s="75"/>
      <c r="WC69" s="75"/>
      <c r="WD69" s="75"/>
      <c r="WE69" s="75"/>
      <c r="WF69" s="75"/>
      <c r="WG69" s="75"/>
      <c r="WH69" s="75"/>
      <c r="WI69" s="75"/>
      <c r="WJ69" s="75"/>
      <c r="WK69" s="75"/>
      <c r="WL69" s="75"/>
      <c r="WM69" s="75"/>
      <c r="WN69" s="75"/>
      <c r="WO69" s="75"/>
      <c r="WP69" s="75"/>
      <c r="WQ69" s="75"/>
      <c r="WR69" s="75"/>
      <c r="WS69" s="75"/>
      <c r="WT69" s="75"/>
      <c r="WU69" s="75"/>
      <c r="WV69" s="75"/>
      <c r="WW69" s="75"/>
      <c r="WX69" s="75"/>
      <c r="WY69" s="75"/>
      <c r="WZ69" s="75"/>
      <c r="XA69" s="75"/>
      <c r="XB69" s="75"/>
      <c r="XC69" s="75"/>
      <c r="XD69" s="75"/>
      <c r="XE69" s="75"/>
      <c r="XF69" s="75"/>
      <c r="XG69" s="75"/>
      <c r="XH69" s="75"/>
      <c r="XI69" s="75"/>
      <c r="XJ69" s="75"/>
      <c r="XK69" s="75"/>
      <c r="XL69" s="75"/>
      <c r="XM69" s="75"/>
      <c r="XN69" s="75"/>
      <c r="XO69" s="75"/>
      <c r="XP69" s="75"/>
      <c r="XQ69" s="75"/>
      <c r="XR69" s="75"/>
      <c r="XS69" s="75"/>
      <c r="XT69" s="75"/>
      <c r="XU69" s="75"/>
      <c r="XV69" s="75"/>
      <c r="XW69" s="75"/>
      <c r="XX69" s="75"/>
      <c r="XY69" s="75"/>
      <c r="XZ69" s="75"/>
      <c r="YA69" s="75"/>
      <c r="YB69" s="75"/>
      <c r="YC69" s="75"/>
      <c r="YD69" s="75"/>
      <c r="YE69" s="75"/>
      <c r="YF69" s="75"/>
      <c r="YG69" s="75"/>
      <c r="YH69" s="75"/>
      <c r="YI69" s="75"/>
      <c r="YJ69" s="75"/>
      <c r="YK69" s="75"/>
      <c r="YL69" s="75"/>
      <c r="YM69" s="75"/>
      <c r="YN69" s="75"/>
      <c r="YO69" s="75"/>
      <c r="YP69" s="75"/>
      <c r="YQ69" s="75"/>
      <c r="YR69" s="75"/>
      <c r="YS69" s="75"/>
      <c r="YT69" s="75"/>
      <c r="YU69" s="75"/>
      <c r="YV69" s="75"/>
      <c r="YW69" s="75"/>
      <c r="YX69" s="75"/>
      <c r="YY69" s="75"/>
      <c r="YZ69" s="75"/>
      <c r="ZA69" s="75"/>
      <c r="ZB69" s="75"/>
      <c r="ZC69" s="75"/>
      <c r="ZD69" s="75"/>
      <c r="ZE69" s="75"/>
      <c r="ZF69" s="75"/>
      <c r="ZG69" s="75"/>
      <c r="ZH69" s="75"/>
      <c r="ZI69" s="75"/>
      <c r="ZJ69" s="75"/>
      <c r="ZK69" s="75"/>
      <c r="ZL69" s="75"/>
      <c r="ZM69" s="75"/>
      <c r="ZN69" s="75"/>
      <c r="ZO69" s="75"/>
      <c r="ZP69" s="75"/>
      <c r="ZQ69" s="75"/>
      <c r="ZR69" s="75"/>
      <c r="ZS69" s="75"/>
      <c r="ZT69" s="75"/>
      <c r="ZU69" s="75"/>
      <c r="ZV69" s="75"/>
      <c r="ZW69" s="75"/>
      <c r="ZX69" s="75"/>
      <c r="ZY69" s="75"/>
      <c r="ZZ69" s="75"/>
      <c r="AAA69" s="75"/>
      <c r="AAB69" s="75"/>
      <c r="AAC69" s="75"/>
      <c r="AAD69" s="75"/>
      <c r="AAE69" s="75"/>
      <c r="AAF69" s="75"/>
      <c r="AAG69" s="75"/>
      <c r="AAH69" s="75"/>
      <c r="AAI69" s="75"/>
      <c r="AAJ69" s="75"/>
      <c r="AAK69" s="75"/>
      <c r="AAL69" s="75"/>
      <c r="AAM69" s="75"/>
      <c r="AAN69" s="75"/>
      <c r="AAO69" s="75"/>
      <c r="AAP69" s="75"/>
      <c r="AAQ69" s="75"/>
      <c r="AAR69" s="75"/>
      <c r="AAS69" s="75"/>
      <c r="AAT69" s="75"/>
      <c r="AAU69" s="75"/>
      <c r="AAV69" s="75"/>
      <c r="AAW69" s="75"/>
      <c r="AAX69" s="75"/>
      <c r="AAY69" s="75"/>
      <c r="AAZ69" s="75"/>
      <c r="ABA69" s="75"/>
      <c r="ABB69" s="75"/>
      <c r="ABC69" s="75"/>
      <c r="ABD69" s="75"/>
      <c r="ABE69" s="75"/>
      <c r="ABF69" s="75"/>
      <c r="ABG69" s="75"/>
      <c r="ABH69" s="75"/>
      <c r="ABI69" s="75"/>
      <c r="ABJ69" s="75"/>
      <c r="ABK69" s="75"/>
      <c r="ABL69" s="75"/>
      <c r="ABM69" s="75"/>
      <c r="ABN69" s="75"/>
      <c r="ABO69" s="75"/>
      <c r="ABP69" s="75"/>
      <c r="ABQ69" s="75"/>
      <c r="ABR69" s="75"/>
      <c r="ABS69" s="75"/>
      <c r="ABT69" s="75"/>
      <c r="ABU69" s="75"/>
      <c r="ABV69" s="75"/>
      <c r="ABW69" s="75"/>
      <c r="ABX69" s="75"/>
      <c r="ABY69" s="75"/>
      <c r="ABZ69" s="75"/>
      <c r="ACA69" s="75"/>
      <c r="ACB69" s="75"/>
      <c r="ACC69" s="75"/>
      <c r="ACD69" s="75"/>
      <c r="ACE69" s="75"/>
      <c r="ACF69" s="75"/>
      <c r="ACG69" s="75"/>
      <c r="ACH69" s="75"/>
      <c r="ACI69" s="75"/>
      <c r="ACJ69" s="75"/>
      <c r="ACK69" s="75"/>
      <c r="ACL69" s="75"/>
      <c r="ACM69" s="75"/>
      <c r="ACN69" s="75"/>
      <c r="ACO69" s="75"/>
      <c r="ACP69" s="75"/>
      <c r="ACQ69" s="75"/>
      <c r="ACR69" s="75"/>
      <c r="ACS69" s="75"/>
      <c r="ACT69" s="75"/>
      <c r="ACU69" s="75"/>
      <c r="ACV69" s="75"/>
      <c r="ACW69" s="75"/>
      <c r="ACX69" s="75"/>
      <c r="ACY69" s="75"/>
      <c r="ACZ69" s="75"/>
      <c r="ADA69" s="75"/>
      <c r="ADB69" s="75"/>
      <c r="ADC69" s="75"/>
      <c r="ADD69" s="75"/>
      <c r="ADE69" s="75"/>
      <c r="ADF69" s="75"/>
      <c r="ADG69" s="75"/>
      <c r="ADH69" s="75"/>
      <c r="ADI69" s="75"/>
      <c r="ADJ69" s="75"/>
      <c r="ADK69" s="75"/>
      <c r="ADL69" s="75"/>
      <c r="ADM69" s="75"/>
      <c r="ADN69" s="75"/>
      <c r="ADO69" s="75"/>
      <c r="ADP69" s="75"/>
      <c r="ADQ69" s="75"/>
      <c r="ADR69" s="75"/>
      <c r="ADS69" s="75"/>
      <c r="ADT69" s="75"/>
      <c r="ADU69" s="75"/>
      <c r="ADV69" s="75"/>
      <c r="ADW69" s="75"/>
      <c r="ADX69" s="75"/>
      <c r="ADY69" s="75"/>
      <c r="ADZ69" s="75"/>
      <c r="AEA69" s="75"/>
      <c r="AEB69" s="75"/>
      <c r="AEC69" s="75"/>
      <c r="AED69" s="75"/>
      <c r="AEE69" s="75"/>
      <c r="AEF69" s="75"/>
      <c r="AEG69" s="75"/>
      <c r="AEH69" s="75"/>
      <c r="AEI69" s="75"/>
      <c r="AEJ69" s="75"/>
      <c r="AEK69" s="75"/>
      <c r="AEL69" s="75"/>
      <c r="AEM69" s="75"/>
      <c r="AEN69" s="75"/>
      <c r="AEO69" s="75"/>
      <c r="AEP69" s="75"/>
      <c r="AEQ69" s="75"/>
      <c r="AER69" s="75"/>
      <c r="AES69" s="75"/>
      <c r="AET69" s="75"/>
      <c r="AEU69" s="75"/>
      <c r="AEV69" s="75"/>
      <c r="AEW69" s="75"/>
      <c r="AEX69" s="75"/>
      <c r="AEY69" s="75"/>
      <c r="AEZ69" s="75"/>
      <c r="AFA69" s="75"/>
      <c r="AFB69" s="75"/>
      <c r="AFC69" s="75"/>
      <c r="AFD69" s="75"/>
      <c r="AFE69" s="75"/>
      <c r="AFF69" s="75"/>
      <c r="AFG69" s="75"/>
      <c r="AFH69" s="75"/>
      <c r="AFI69" s="75"/>
      <c r="AFJ69" s="75"/>
      <c r="AFK69" s="75"/>
      <c r="AFL69" s="75"/>
      <c r="AFM69" s="75"/>
      <c r="AFN69" s="75"/>
      <c r="AFO69" s="75"/>
      <c r="AFP69" s="75"/>
      <c r="AFQ69" s="75"/>
      <c r="AFR69" s="75"/>
      <c r="AFS69" s="75"/>
      <c r="AFT69" s="75"/>
      <c r="AFU69" s="75"/>
      <c r="AFV69" s="75"/>
      <c r="AFW69" s="75"/>
      <c r="AFX69" s="75"/>
      <c r="AFY69" s="75"/>
      <c r="AFZ69" s="75"/>
      <c r="AGA69" s="75"/>
      <c r="AGB69" s="75"/>
      <c r="AGC69" s="75"/>
      <c r="AGD69" s="75"/>
      <c r="AGE69" s="75"/>
      <c r="AGF69" s="75"/>
      <c r="AGG69" s="75"/>
      <c r="AGH69" s="75"/>
      <c r="AGI69" s="75"/>
      <c r="AGJ69" s="75"/>
      <c r="AGK69" s="75"/>
      <c r="AGL69" s="75"/>
      <c r="AGM69" s="75"/>
      <c r="AGN69" s="75"/>
      <c r="AGO69" s="75"/>
      <c r="AGP69" s="75"/>
      <c r="AGQ69" s="75"/>
      <c r="AGR69" s="75"/>
      <c r="AGS69" s="75"/>
      <c r="AGT69" s="75"/>
      <c r="AGU69" s="75"/>
      <c r="AGV69" s="75"/>
      <c r="AGW69" s="75"/>
      <c r="AGX69" s="75"/>
      <c r="AGY69" s="75"/>
      <c r="AGZ69" s="75"/>
      <c r="AHA69" s="75"/>
      <c r="AHB69" s="75"/>
      <c r="AHC69" s="75"/>
      <c r="AHD69" s="75"/>
      <c r="AHE69" s="75"/>
      <c r="AHF69" s="75"/>
      <c r="AHG69" s="75"/>
      <c r="AHH69" s="75"/>
      <c r="AHI69" s="75"/>
      <c r="AHJ69" s="75"/>
      <c r="AHK69" s="75"/>
      <c r="AHL69" s="75"/>
      <c r="AHM69" s="75"/>
      <c r="AHN69" s="75"/>
      <c r="AHO69" s="75"/>
      <c r="AHP69" s="75"/>
      <c r="AHQ69" s="75"/>
      <c r="AHR69" s="75"/>
      <c r="AHS69" s="75"/>
      <c r="AHT69" s="75"/>
      <c r="AHU69" s="75"/>
      <c r="AHV69" s="75"/>
      <c r="AHW69" s="75"/>
      <c r="AHX69" s="75"/>
      <c r="AHY69" s="75"/>
      <c r="AHZ69" s="75"/>
      <c r="AIA69" s="75"/>
      <c r="AIB69" s="75"/>
      <c r="AIC69" s="75"/>
      <c r="AID69" s="75"/>
      <c r="AIE69" s="75"/>
      <c r="AIF69" s="75"/>
      <c r="AIG69" s="75"/>
      <c r="AIH69" s="75"/>
      <c r="AII69" s="75"/>
      <c r="AIJ69" s="75"/>
      <c r="AIK69" s="75"/>
      <c r="AIL69" s="75"/>
      <c r="AIM69" s="75"/>
      <c r="AIN69" s="75"/>
      <c r="AIO69" s="75"/>
      <c r="AIP69" s="75"/>
      <c r="AIQ69" s="75"/>
      <c r="AIR69" s="75"/>
      <c r="AIS69" s="75"/>
      <c r="AIT69" s="75"/>
      <c r="AIU69" s="75"/>
      <c r="AIV69" s="75"/>
      <c r="AIW69" s="75"/>
      <c r="AIX69" s="75"/>
      <c r="AIY69" s="75"/>
      <c r="AIZ69" s="75"/>
      <c r="AJA69" s="75"/>
      <c r="AJB69" s="75"/>
      <c r="AJC69" s="75"/>
      <c r="AJD69" s="75"/>
      <c r="AJE69" s="75"/>
      <c r="AJF69" s="75"/>
      <c r="AJG69" s="75"/>
      <c r="AJH69" s="75"/>
      <c r="AJI69" s="75"/>
      <c r="AJJ69" s="75"/>
      <c r="AJK69" s="75"/>
      <c r="AJL69" s="75"/>
      <c r="AJM69" s="75"/>
      <c r="AJN69" s="75"/>
      <c r="AJO69" s="75"/>
      <c r="AJP69" s="75"/>
      <c r="AJQ69" s="75"/>
      <c r="AJR69" s="75"/>
      <c r="AJS69" s="75"/>
      <c r="AJT69" s="75"/>
      <c r="AJU69" s="75"/>
      <c r="AJV69" s="75"/>
      <c r="AJW69" s="75"/>
      <c r="AJX69" s="75"/>
      <c r="AJY69" s="75"/>
      <c r="AJZ69" s="75"/>
      <c r="AKA69" s="75"/>
      <c r="AKB69" s="75"/>
      <c r="AKC69" s="75"/>
      <c r="AKD69" s="75"/>
      <c r="AKE69" s="75"/>
      <c r="AKF69" s="75"/>
      <c r="AKG69" s="75"/>
      <c r="AKH69" s="75"/>
      <c r="AKI69" s="75"/>
      <c r="AKJ69" s="75"/>
      <c r="AKK69" s="75"/>
      <c r="AKL69" s="75"/>
      <c r="AKM69" s="75"/>
      <c r="AKN69" s="75"/>
      <c r="AKO69" s="75"/>
      <c r="AKP69" s="75"/>
      <c r="AKQ69" s="75"/>
      <c r="AKR69" s="75"/>
      <c r="AKS69" s="75"/>
      <c r="AKT69" s="75"/>
      <c r="AKU69" s="75"/>
      <c r="AKV69" s="75"/>
      <c r="AKW69" s="75"/>
      <c r="AKX69" s="75"/>
      <c r="AKY69" s="75"/>
      <c r="AKZ69" s="75"/>
      <c r="ALA69" s="75"/>
      <c r="ALB69" s="75"/>
      <c r="ALC69" s="75"/>
      <c r="ALD69" s="75"/>
      <c r="ALE69" s="75"/>
      <c r="ALF69" s="75"/>
      <c r="ALG69" s="75"/>
      <c r="ALH69" s="75"/>
      <c r="ALI69" s="75"/>
      <c r="ALJ69" s="75"/>
      <c r="ALK69" s="75"/>
      <c r="ALL69" s="75"/>
      <c r="ALM69" s="75"/>
      <c r="ALN69" s="75"/>
      <c r="ALO69" s="75"/>
      <c r="ALP69" s="75"/>
      <c r="ALQ69" s="75"/>
      <c r="ALR69" s="75"/>
      <c r="ALS69" s="75"/>
      <c r="ALT69" s="75"/>
      <c r="ALU69" s="75"/>
      <c r="ALV69" s="75"/>
      <c r="ALW69" s="75"/>
      <c r="ALX69" s="75"/>
      <c r="ALY69" s="75"/>
      <c r="ALZ69" s="75"/>
      <c r="AMA69" s="75"/>
      <c r="AMB69" s="75"/>
      <c r="AMC69" s="75"/>
      <c r="AMD69" s="75"/>
      <c r="AME69" s="75"/>
      <c r="AMF69" s="75"/>
      <c r="AMG69" s="75"/>
      <c r="AMH69" s="75"/>
      <c r="AMI69" s="75"/>
      <c r="AMJ69" s="75"/>
    </row>
    <row r="70" spans="12:1024" ht="15.95" customHeight="1" x14ac:dyDescent="0.2">
      <c r="L70" s="75"/>
      <c r="M70" s="76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75"/>
      <c r="CJ70" s="75"/>
      <c r="CK70" s="75"/>
      <c r="CL70" s="75"/>
      <c r="CM70" s="75"/>
      <c r="CN70" s="75"/>
      <c r="CO70" s="75"/>
      <c r="CP70" s="75"/>
      <c r="CQ70" s="75"/>
      <c r="CR70" s="75"/>
      <c r="CS70" s="75"/>
      <c r="CT70" s="75"/>
      <c r="CU70" s="75"/>
      <c r="CV70" s="75"/>
      <c r="CW70" s="75"/>
      <c r="CX70" s="75"/>
      <c r="CY70" s="75"/>
      <c r="CZ70" s="75"/>
      <c r="DA70" s="75"/>
      <c r="DB70" s="75"/>
      <c r="DC70" s="75"/>
      <c r="DD70" s="75"/>
      <c r="DE70" s="75"/>
      <c r="DF70" s="75"/>
      <c r="DG70" s="75"/>
      <c r="DH70" s="75"/>
      <c r="DI70" s="75"/>
      <c r="DJ70" s="75"/>
      <c r="DK70" s="75"/>
      <c r="DL70" s="75"/>
      <c r="DM70" s="75"/>
      <c r="DN70" s="75"/>
      <c r="DO70" s="75"/>
      <c r="DP70" s="75"/>
      <c r="DQ70" s="75"/>
      <c r="DR70" s="75"/>
      <c r="DS70" s="75"/>
      <c r="DT70" s="75"/>
      <c r="DU70" s="75"/>
      <c r="DV70" s="75"/>
      <c r="DW70" s="75"/>
      <c r="DX70" s="75"/>
      <c r="DY70" s="75"/>
      <c r="DZ70" s="75"/>
      <c r="EA70" s="75"/>
      <c r="EB70" s="75"/>
      <c r="EC70" s="75"/>
      <c r="ED70" s="75"/>
      <c r="EE70" s="75"/>
      <c r="EF70" s="75"/>
      <c r="EG70" s="75"/>
      <c r="EH70" s="75"/>
      <c r="EI70" s="75"/>
      <c r="EJ70" s="75"/>
      <c r="EK70" s="75"/>
      <c r="EL70" s="75"/>
      <c r="EM70" s="75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75"/>
      <c r="FF70" s="75"/>
      <c r="FG70" s="75"/>
      <c r="FH70" s="75"/>
      <c r="FI70" s="75"/>
      <c r="FJ70" s="75"/>
      <c r="FK70" s="75"/>
      <c r="FL70" s="75"/>
      <c r="FM70" s="75"/>
      <c r="FN70" s="75"/>
      <c r="FO70" s="75"/>
      <c r="FP70" s="75"/>
      <c r="FQ70" s="75"/>
      <c r="FR70" s="75"/>
      <c r="FS70" s="75"/>
      <c r="FT70" s="75"/>
      <c r="FU70" s="75"/>
      <c r="FV70" s="75"/>
      <c r="FW70" s="75"/>
      <c r="FX70" s="75"/>
      <c r="FY70" s="75"/>
      <c r="FZ70" s="75"/>
      <c r="GA70" s="75"/>
      <c r="GB70" s="75"/>
      <c r="GC70" s="75"/>
      <c r="GD70" s="75"/>
      <c r="GE70" s="75"/>
      <c r="GF70" s="75"/>
      <c r="GG70" s="75"/>
      <c r="GH70" s="75"/>
      <c r="GI70" s="75"/>
      <c r="GJ70" s="75"/>
      <c r="GK70" s="75"/>
      <c r="GL70" s="75"/>
      <c r="GM70" s="75"/>
      <c r="GN70" s="75"/>
      <c r="GO70" s="75"/>
      <c r="GP70" s="75"/>
      <c r="GQ70" s="75"/>
      <c r="GR70" s="75"/>
      <c r="GS70" s="75"/>
      <c r="GT70" s="75"/>
      <c r="GU70" s="75"/>
      <c r="GV70" s="75"/>
      <c r="GW70" s="75"/>
      <c r="GX70" s="75"/>
      <c r="GY70" s="75"/>
      <c r="GZ70" s="75"/>
      <c r="HA70" s="75"/>
      <c r="HB70" s="75"/>
      <c r="HC70" s="75"/>
      <c r="HD70" s="75"/>
      <c r="HE70" s="75"/>
      <c r="HF70" s="75"/>
      <c r="HG70" s="75"/>
      <c r="HH70" s="75"/>
      <c r="HI70" s="75"/>
      <c r="HJ70" s="75"/>
      <c r="HK70" s="75"/>
      <c r="HL70" s="75"/>
      <c r="HM70" s="75"/>
      <c r="HN70" s="75"/>
      <c r="HO70" s="75"/>
      <c r="HP70" s="75"/>
      <c r="HQ70" s="75"/>
      <c r="HR70" s="75"/>
      <c r="HS70" s="75"/>
      <c r="HT70" s="75"/>
      <c r="HU70" s="75"/>
      <c r="HV70" s="75"/>
      <c r="HW70" s="75"/>
      <c r="HX70" s="75"/>
      <c r="HY70" s="75"/>
      <c r="HZ70" s="75"/>
      <c r="IA70" s="75"/>
      <c r="IB70" s="75"/>
      <c r="IC70" s="75"/>
      <c r="ID70" s="75"/>
      <c r="IE70" s="75"/>
      <c r="IF70" s="75"/>
      <c r="IG70" s="75"/>
      <c r="IH70" s="75"/>
      <c r="II70" s="75"/>
      <c r="IJ70" s="75"/>
      <c r="IK70" s="75"/>
      <c r="IL70" s="75"/>
      <c r="IM70" s="75"/>
      <c r="IN70" s="75"/>
      <c r="IO70" s="75"/>
      <c r="IP70" s="75"/>
      <c r="IQ70" s="75"/>
      <c r="IR70" s="75"/>
      <c r="IS70" s="75"/>
      <c r="IT70" s="75"/>
      <c r="IU70" s="75"/>
      <c r="IV70" s="75"/>
      <c r="IW70" s="75"/>
      <c r="IX70" s="75"/>
      <c r="IY70" s="75"/>
      <c r="IZ70" s="75"/>
      <c r="JA70" s="75"/>
      <c r="JB70" s="75"/>
      <c r="JC70" s="75"/>
      <c r="JD70" s="75"/>
      <c r="JE70" s="75"/>
      <c r="JF70" s="75"/>
      <c r="JG70" s="75"/>
      <c r="JH70" s="75"/>
      <c r="JI70" s="75"/>
      <c r="JJ70" s="75"/>
      <c r="JK70" s="75"/>
      <c r="JL70" s="75"/>
      <c r="JM70" s="75"/>
      <c r="JN70" s="75"/>
      <c r="JO70" s="75"/>
      <c r="JP70" s="75"/>
      <c r="JQ70" s="75"/>
      <c r="JR70" s="75"/>
      <c r="JS70" s="75"/>
      <c r="JT70" s="75"/>
      <c r="JU70" s="75"/>
      <c r="JV70" s="75"/>
      <c r="JW70" s="75"/>
      <c r="JX70" s="75"/>
      <c r="JY70" s="75"/>
      <c r="JZ70" s="75"/>
      <c r="KA70" s="75"/>
      <c r="KB70" s="75"/>
      <c r="KC70" s="75"/>
      <c r="KD70" s="75"/>
      <c r="KE70" s="75"/>
      <c r="KF70" s="75"/>
      <c r="KG70" s="75"/>
      <c r="KH70" s="75"/>
      <c r="KI70" s="75"/>
      <c r="KJ70" s="75"/>
      <c r="KK70" s="75"/>
      <c r="KL70" s="75"/>
      <c r="KM70" s="75"/>
      <c r="KN70" s="75"/>
      <c r="KO70" s="75"/>
      <c r="KP70" s="75"/>
      <c r="KQ70" s="75"/>
      <c r="KR70" s="75"/>
      <c r="KS70" s="75"/>
      <c r="KT70" s="75"/>
      <c r="KU70" s="75"/>
      <c r="KV70" s="75"/>
      <c r="KW70" s="75"/>
      <c r="KX70" s="75"/>
      <c r="KY70" s="75"/>
      <c r="KZ70" s="75"/>
      <c r="LA70" s="75"/>
      <c r="LB70" s="75"/>
      <c r="LC70" s="75"/>
      <c r="LD70" s="75"/>
      <c r="LE70" s="75"/>
      <c r="LF70" s="75"/>
      <c r="LG70" s="75"/>
      <c r="LH70" s="75"/>
      <c r="LI70" s="75"/>
      <c r="LJ70" s="75"/>
      <c r="LK70" s="75"/>
      <c r="LL70" s="75"/>
      <c r="LM70" s="75"/>
      <c r="LN70" s="75"/>
      <c r="LO70" s="75"/>
      <c r="LP70" s="75"/>
      <c r="LQ70" s="75"/>
      <c r="LR70" s="75"/>
      <c r="LS70" s="75"/>
      <c r="LT70" s="75"/>
      <c r="LU70" s="75"/>
      <c r="LV70" s="75"/>
      <c r="LW70" s="75"/>
      <c r="LX70" s="75"/>
      <c r="LY70" s="75"/>
      <c r="LZ70" s="75"/>
      <c r="MA70" s="75"/>
      <c r="MB70" s="75"/>
      <c r="MC70" s="75"/>
      <c r="MD70" s="75"/>
      <c r="ME70" s="75"/>
      <c r="MF70" s="75"/>
      <c r="MG70" s="75"/>
      <c r="MH70" s="75"/>
      <c r="MI70" s="75"/>
      <c r="MJ70" s="75"/>
      <c r="MK70" s="75"/>
      <c r="ML70" s="75"/>
      <c r="MM70" s="75"/>
      <c r="MN70" s="75"/>
      <c r="MO70" s="75"/>
      <c r="MP70" s="75"/>
      <c r="MQ70" s="75"/>
      <c r="MR70" s="75"/>
      <c r="MS70" s="75"/>
      <c r="MT70" s="75"/>
      <c r="MU70" s="75"/>
      <c r="MV70" s="75"/>
      <c r="MW70" s="75"/>
      <c r="MX70" s="75"/>
      <c r="MY70" s="75"/>
      <c r="MZ70" s="75"/>
      <c r="NA70" s="75"/>
      <c r="NB70" s="75"/>
      <c r="NC70" s="75"/>
      <c r="ND70" s="75"/>
      <c r="NE70" s="75"/>
      <c r="NF70" s="75"/>
      <c r="NG70" s="75"/>
      <c r="NH70" s="75"/>
      <c r="NI70" s="75"/>
      <c r="NJ70" s="75"/>
      <c r="NK70" s="75"/>
      <c r="NL70" s="75"/>
      <c r="NM70" s="75"/>
      <c r="NN70" s="75"/>
      <c r="NO70" s="75"/>
      <c r="NP70" s="75"/>
      <c r="NQ70" s="75"/>
      <c r="NR70" s="75"/>
      <c r="NS70" s="75"/>
      <c r="NT70" s="75"/>
      <c r="NU70" s="75"/>
      <c r="NV70" s="75"/>
      <c r="NW70" s="75"/>
      <c r="NX70" s="75"/>
      <c r="NY70" s="75"/>
      <c r="NZ70" s="75"/>
      <c r="OA70" s="75"/>
      <c r="OB70" s="75"/>
      <c r="OC70" s="75"/>
      <c r="OD70" s="75"/>
      <c r="OE70" s="75"/>
      <c r="OF70" s="75"/>
      <c r="OG70" s="75"/>
      <c r="OH70" s="75"/>
      <c r="OI70" s="75"/>
      <c r="OJ70" s="75"/>
      <c r="OK70" s="75"/>
      <c r="OL70" s="75"/>
      <c r="OM70" s="75"/>
      <c r="ON70" s="75"/>
      <c r="OO70" s="75"/>
      <c r="OP70" s="75"/>
      <c r="OQ70" s="75"/>
      <c r="OR70" s="75"/>
      <c r="OS70" s="75"/>
      <c r="OT70" s="75"/>
      <c r="OU70" s="75"/>
      <c r="OV70" s="75"/>
      <c r="OW70" s="75"/>
      <c r="OX70" s="75"/>
      <c r="OY70" s="75"/>
      <c r="OZ70" s="75"/>
      <c r="PA70" s="75"/>
      <c r="PB70" s="75"/>
      <c r="PC70" s="75"/>
      <c r="PD70" s="75"/>
      <c r="PE70" s="75"/>
      <c r="PF70" s="75"/>
      <c r="PG70" s="75"/>
      <c r="PH70" s="75"/>
      <c r="PI70" s="75"/>
      <c r="PJ70" s="75"/>
      <c r="PK70" s="75"/>
      <c r="PL70" s="75"/>
      <c r="PM70" s="75"/>
      <c r="PN70" s="75"/>
      <c r="PO70" s="75"/>
      <c r="PP70" s="75"/>
      <c r="PQ70" s="75"/>
      <c r="PR70" s="75"/>
      <c r="PS70" s="75"/>
      <c r="PT70" s="75"/>
      <c r="PU70" s="75"/>
      <c r="PV70" s="75"/>
      <c r="PW70" s="75"/>
      <c r="PX70" s="75"/>
      <c r="PY70" s="75"/>
      <c r="PZ70" s="75"/>
      <c r="QA70" s="75"/>
      <c r="QB70" s="75"/>
      <c r="QC70" s="75"/>
      <c r="QD70" s="75"/>
      <c r="QE70" s="75"/>
      <c r="QF70" s="75"/>
      <c r="QG70" s="75"/>
      <c r="QH70" s="75"/>
      <c r="QI70" s="75"/>
      <c r="QJ70" s="75"/>
      <c r="QK70" s="75"/>
      <c r="QL70" s="75"/>
      <c r="QM70" s="75"/>
      <c r="QN70" s="75"/>
      <c r="QO70" s="75"/>
      <c r="QP70" s="75"/>
      <c r="QQ70" s="75"/>
      <c r="QR70" s="75"/>
      <c r="QS70" s="75"/>
      <c r="QT70" s="75"/>
      <c r="QU70" s="75"/>
      <c r="QV70" s="75"/>
      <c r="QW70" s="75"/>
      <c r="QX70" s="75"/>
      <c r="QY70" s="75"/>
      <c r="QZ70" s="75"/>
      <c r="RA70" s="75"/>
      <c r="RB70" s="75"/>
      <c r="RC70" s="75"/>
      <c r="RD70" s="75"/>
      <c r="RE70" s="75"/>
      <c r="RF70" s="75"/>
      <c r="RG70" s="75"/>
      <c r="RH70" s="75"/>
      <c r="RI70" s="75"/>
      <c r="RJ70" s="75"/>
      <c r="RK70" s="75"/>
      <c r="RL70" s="75"/>
      <c r="RM70" s="75"/>
      <c r="RN70" s="75"/>
      <c r="RO70" s="75"/>
      <c r="RP70" s="75"/>
      <c r="RQ70" s="75"/>
      <c r="RR70" s="75"/>
      <c r="RS70" s="75"/>
      <c r="RT70" s="75"/>
      <c r="RU70" s="75"/>
      <c r="RV70" s="75"/>
      <c r="RW70" s="75"/>
      <c r="RX70" s="75"/>
      <c r="RY70" s="75"/>
      <c r="RZ70" s="75"/>
      <c r="SA70" s="75"/>
      <c r="SB70" s="75"/>
      <c r="SC70" s="75"/>
      <c r="SD70" s="75"/>
      <c r="SE70" s="75"/>
      <c r="SF70" s="75"/>
      <c r="SG70" s="75"/>
      <c r="SH70" s="75"/>
      <c r="SI70" s="75"/>
      <c r="SJ70" s="75"/>
      <c r="SK70" s="75"/>
      <c r="SL70" s="75"/>
      <c r="SM70" s="75"/>
      <c r="SN70" s="75"/>
      <c r="SO70" s="75"/>
      <c r="SP70" s="75"/>
      <c r="SQ70" s="75"/>
      <c r="SR70" s="75"/>
      <c r="SS70" s="75"/>
      <c r="ST70" s="75"/>
      <c r="SU70" s="75"/>
      <c r="SV70" s="75"/>
      <c r="SW70" s="75"/>
      <c r="SX70" s="75"/>
      <c r="SY70" s="75"/>
      <c r="SZ70" s="75"/>
      <c r="TA70" s="75"/>
      <c r="TB70" s="75"/>
      <c r="TC70" s="75"/>
      <c r="TD70" s="75"/>
      <c r="TE70" s="75"/>
      <c r="TF70" s="75"/>
      <c r="TG70" s="75"/>
      <c r="TH70" s="75"/>
      <c r="TI70" s="75"/>
      <c r="TJ70" s="75"/>
      <c r="TK70" s="75"/>
      <c r="TL70" s="75"/>
      <c r="TM70" s="75"/>
      <c r="TN70" s="75"/>
      <c r="TO70" s="75"/>
      <c r="TP70" s="75"/>
      <c r="TQ70" s="75"/>
      <c r="TR70" s="75"/>
      <c r="TS70" s="75"/>
      <c r="TT70" s="75"/>
      <c r="TU70" s="75"/>
      <c r="TV70" s="75"/>
      <c r="TW70" s="75"/>
      <c r="TX70" s="75"/>
      <c r="TY70" s="75"/>
      <c r="TZ70" s="75"/>
      <c r="UA70" s="75"/>
      <c r="UB70" s="75"/>
      <c r="UC70" s="75"/>
      <c r="UD70" s="75"/>
      <c r="UE70" s="75"/>
      <c r="UF70" s="75"/>
      <c r="UG70" s="75"/>
      <c r="UH70" s="75"/>
      <c r="UI70" s="75"/>
      <c r="UJ70" s="75"/>
      <c r="UK70" s="75"/>
      <c r="UL70" s="75"/>
      <c r="UM70" s="75"/>
      <c r="UN70" s="75"/>
      <c r="UO70" s="75"/>
      <c r="UP70" s="75"/>
      <c r="UQ70" s="75"/>
      <c r="UR70" s="75"/>
      <c r="US70" s="75"/>
      <c r="UT70" s="75"/>
      <c r="UU70" s="75"/>
      <c r="UV70" s="75"/>
      <c r="UW70" s="75"/>
      <c r="UX70" s="75"/>
      <c r="UY70" s="75"/>
      <c r="UZ70" s="75"/>
      <c r="VA70" s="75"/>
      <c r="VB70" s="75"/>
      <c r="VC70" s="75"/>
      <c r="VD70" s="75"/>
      <c r="VE70" s="75"/>
      <c r="VF70" s="75"/>
      <c r="VG70" s="75"/>
      <c r="VH70" s="75"/>
      <c r="VI70" s="75"/>
      <c r="VJ70" s="75"/>
      <c r="VK70" s="75"/>
      <c r="VL70" s="75"/>
      <c r="VM70" s="75"/>
      <c r="VN70" s="75"/>
      <c r="VO70" s="75"/>
      <c r="VP70" s="75"/>
      <c r="VQ70" s="75"/>
      <c r="VR70" s="75"/>
      <c r="VS70" s="75"/>
      <c r="VT70" s="75"/>
      <c r="VU70" s="75"/>
      <c r="VV70" s="75"/>
      <c r="VW70" s="75"/>
      <c r="VX70" s="75"/>
      <c r="VY70" s="75"/>
      <c r="VZ70" s="75"/>
      <c r="WA70" s="75"/>
      <c r="WB70" s="75"/>
      <c r="WC70" s="75"/>
      <c r="WD70" s="75"/>
      <c r="WE70" s="75"/>
      <c r="WF70" s="75"/>
      <c r="WG70" s="75"/>
      <c r="WH70" s="75"/>
      <c r="WI70" s="75"/>
      <c r="WJ70" s="75"/>
      <c r="WK70" s="75"/>
      <c r="WL70" s="75"/>
      <c r="WM70" s="75"/>
      <c r="WN70" s="75"/>
      <c r="WO70" s="75"/>
      <c r="WP70" s="75"/>
      <c r="WQ70" s="75"/>
      <c r="WR70" s="75"/>
      <c r="WS70" s="75"/>
      <c r="WT70" s="75"/>
      <c r="WU70" s="75"/>
      <c r="WV70" s="75"/>
      <c r="WW70" s="75"/>
      <c r="WX70" s="75"/>
      <c r="WY70" s="75"/>
      <c r="WZ70" s="75"/>
      <c r="XA70" s="75"/>
      <c r="XB70" s="75"/>
      <c r="XC70" s="75"/>
      <c r="XD70" s="75"/>
      <c r="XE70" s="75"/>
      <c r="XF70" s="75"/>
      <c r="XG70" s="75"/>
      <c r="XH70" s="75"/>
      <c r="XI70" s="75"/>
      <c r="XJ70" s="75"/>
      <c r="XK70" s="75"/>
      <c r="XL70" s="75"/>
      <c r="XM70" s="75"/>
      <c r="XN70" s="75"/>
      <c r="XO70" s="75"/>
      <c r="XP70" s="75"/>
      <c r="XQ70" s="75"/>
      <c r="XR70" s="75"/>
      <c r="XS70" s="75"/>
      <c r="XT70" s="75"/>
      <c r="XU70" s="75"/>
      <c r="XV70" s="75"/>
      <c r="XW70" s="75"/>
      <c r="XX70" s="75"/>
      <c r="XY70" s="75"/>
      <c r="XZ70" s="75"/>
      <c r="YA70" s="75"/>
      <c r="YB70" s="75"/>
      <c r="YC70" s="75"/>
      <c r="YD70" s="75"/>
      <c r="YE70" s="75"/>
      <c r="YF70" s="75"/>
      <c r="YG70" s="75"/>
      <c r="YH70" s="75"/>
      <c r="YI70" s="75"/>
      <c r="YJ70" s="75"/>
      <c r="YK70" s="75"/>
      <c r="YL70" s="75"/>
      <c r="YM70" s="75"/>
      <c r="YN70" s="75"/>
      <c r="YO70" s="75"/>
      <c r="YP70" s="75"/>
      <c r="YQ70" s="75"/>
      <c r="YR70" s="75"/>
      <c r="YS70" s="75"/>
      <c r="YT70" s="75"/>
      <c r="YU70" s="75"/>
      <c r="YV70" s="75"/>
      <c r="YW70" s="75"/>
      <c r="YX70" s="75"/>
      <c r="YY70" s="75"/>
      <c r="YZ70" s="75"/>
      <c r="ZA70" s="75"/>
      <c r="ZB70" s="75"/>
      <c r="ZC70" s="75"/>
      <c r="ZD70" s="75"/>
      <c r="ZE70" s="75"/>
      <c r="ZF70" s="75"/>
      <c r="ZG70" s="75"/>
      <c r="ZH70" s="75"/>
      <c r="ZI70" s="75"/>
      <c r="ZJ70" s="75"/>
      <c r="ZK70" s="75"/>
      <c r="ZL70" s="75"/>
      <c r="ZM70" s="75"/>
      <c r="ZN70" s="75"/>
      <c r="ZO70" s="75"/>
      <c r="ZP70" s="75"/>
      <c r="ZQ70" s="75"/>
      <c r="ZR70" s="75"/>
      <c r="ZS70" s="75"/>
      <c r="ZT70" s="75"/>
      <c r="ZU70" s="75"/>
      <c r="ZV70" s="75"/>
      <c r="ZW70" s="75"/>
      <c r="ZX70" s="75"/>
      <c r="ZY70" s="75"/>
      <c r="ZZ70" s="75"/>
      <c r="AAA70" s="75"/>
      <c r="AAB70" s="75"/>
      <c r="AAC70" s="75"/>
      <c r="AAD70" s="75"/>
      <c r="AAE70" s="75"/>
      <c r="AAF70" s="75"/>
      <c r="AAG70" s="75"/>
      <c r="AAH70" s="75"/>
      <c r="AAI70" s="75"/>
      <c r="AAJ70" s="75"/>
      <c r="AAK70" s="75"/>
      <c r="AAL70" s="75"/>
      <c r="AAM70" s="75"/>
      <c r="AAN70" s="75"/>
      <c r="AAO70" s="75"/>
      <c r="AAP70" s="75"/>
      <c r="AAQ70" s="75"/>
      <c r="AAR70" s="75"/>
      <c r="AAS70" s="75"/>
      <c r="AAT70" s="75"/>
      <c r="AAU70" s="75"/>
      <c r="AAV70" s="75"/>
      <c r="AAW70" s="75"/>
      <c r="AAX70" s="75"/>
      <c r="AAY70" s="75"/>
      <c r="AAZ70" s="75"/>
      <c r="ABA70" s="75"/>
      <c r="ABB70" s="75"/>
      <c r="ABC70" s="75"/>
      <c r="ABD70" s="75"/>
      <c r="ABE70" s="75"/>
      <c r="ABF70" s="75"/>
      <c r="ABG70" s="75"/>
      <c r="ABH70" s="75"/>
      <c r="ABI70" s="75"/>
      <c r="ABJ70" s="75"/>
      <c r="ABK70" s="75"/>
      <c r="ABL70" s="75"/>
      <c r="ABM70" s="75"/>
      <c r="ABN70" s="75"/>
      <c r="ABO70" s="75"/>
      <c r="ABP70" s="75"/>
      <c r="ABQ70" s="75"/>
      <c r="ABR70" s="75"/>
      <c r="ABS70" s="75"/>
      <c r="ABT70" s="75"/>
      <c r="ABU70" s="75"/>
      <c r="ABV70" s="75"/>
      <c r="ABW70" s="75"/>
      <c r="ABX70" s="75"/>
      <c r="ABY70" s="75"/>
      <c r="ABZ70" s="75"/>
      <c r="ACA70" s="75"/>
      <c r="ACB70" s="75"/>
      <c r="ACC70" s="75"/>
      <c r="ACD70" s="75"/>
      <c r="ACE70" s="75"/>
      <c r="ACF70" s="75"/>
      <c r="ACG70" s="75"/>
      <c r="ACH70" s="75"/>
      <c r="ACI70" s="75"/>
      <c r="ACJ70" s="75"/>
      <c r="ACK70" s="75"/>
      <c r="ACL70" s="75"/>
      <c r="ACM70" s="75"/>
      <c r="ACN70" s="75"/>
      <c r="ACO70" s="75"/>
      <c r="ACP70" s="75"/>
      <c r="ACQ70" s="75"/>
      <c r="ACR70" s="75"/>
      <c r="ACS70" s="75"/>
      <c r="ACT70" s="75"/>
      <c r="ACU70" s="75"/>
      <c r="ACV70" s="75"/>
      <c r="ACW70" s="75"/>
      <c r="ACX70" s="75"/>
      <c r="ACY70" s="75"/>
      <c r="ACZ70" s="75"/>
      <c r="ADA70" s="75"/>
      <c r="ADB70" s="75"/>
      <c r="ADC70" s="75"/>
      <c r="ADD70" s="75"/>
      <c r="ADE70" s="75"/>
      <c r="ADF70" s="75"/>
      <c r="ADG70" s="75"/>
      <c r="ADH70" s="75"/>
      <c r="ADI70" s="75"/>
      <c r="ADJ70" s="75"/>
      <c r="ADK70" s="75"/>
      <c r="ADL70" s="75"/>
      <c r="ADM70" s="75"/>
      <c r="ADN70" s="75"/>
      <c r="ADO70" s="75"/>
      <c r="ADP70" s="75"/>
      <c r="ADQ70" s="75"/>
      <c r="ADR70" s="75"/>
      <c r="ADS70" s="75"/>
      <c r="ADT70" s="75"/>
      <c r="ADU70" s="75"/>
      <c r="ADV70" s="75"/>
      <c r="ADW70" s="75"/>
      <c r="ADX70" s="75"/>
      <c r="ADY70" s="75"/>
      <c r="ADZ70" s="75"/>
      <c r="AEA70" s="75"/>
      <c r="AEB70" s="75"/>
      <c r="AEC70" s="75"/>
      <c r="AED70" s="75"/>
      <c r="AEE70" s="75"/>
      <c r="AEF70" s="75"/>
      <c r="AEG70" s="75"/>
      <c r="AEH70" s="75"/>
      <c r="AEI70" s="75"/>
      <c r="AEJ70" s="75"/>
      <c r="AEK70" s="75"/>
      <c r="AEL70" s="75"/>
      <c r="AEM70" s="75"/>
      <c r="AEN70" s="75"/>
      <c r="AEO70" s="75"/>
      <c r="AEP70" s="75"/>
      <c r="AEQ70" s="75"/>
      <c r="AER70" s="75"/>
      <c r="AES70" s="75"/>
      <c r="AET70" s="75"/>
      <c r="AEU70" s="75"/>
      <c r="AEV70" s="75"/>
      <c r="AEW70" s="75"/>
      <c r="AEX70" s="75"/>
      <c r="AEY70" s="75"/>
      <c r="AEZ70" s="75"/>
      <c r="AFA70" s="75"/>
      <c r="AFB70" s="75"/>
      <c r="AFC70" s="75"/>
      <c r="AFD70" s="75"/>
      <c r="AFE70" s="75"/>
      <c r="AFF70" s="75"/>
      <c r="AFG70" s="75"/>
      <c r="AFH70" s="75"/>
      <c r="AFI70" s="75"/>
      <c r="AFJ70" s="75"/>
      <c r="AFK70" s="75"/>
      <c r="AFL70" s="75"/>
      <c r="AFM70" s="75"/>
      <c r="AFN70" s="75"/>
      <c r="AFO70" s="75"/>
      <c r="AFP70" s="75"/>
      <c r="AFQ70" s="75"/>
      <c r="AFR70" s="75"/>
      <c r="AFS70" s="75"/>
      <c r="AFT70" s="75"/>
      <c r="AFU70" s="75"/>
      <c r="AFV70" s="75"/>
      <c r="AFW70" s="75"/>
      <c r="AFX70" s="75"/>
      <c r="AFY70" s="75"/>
      <c r="AFZ70" s="75"/>
      <c r="AGA70" s="75"/>
      <c r="AGB70" s="75"/>
      <c r="AGC70" s="75"/>
      <c r="AGD70" s="75"/>
      <c r="AGE70" s="75"/>
      <c r="AGF70" s="75"/>
      <c r="AGG70" s="75"/>
      <c r="AGH70" s="75"/>
      <c r="AGI70" s="75"/>
      <c r="AGJ70" s="75"/>
      <c r="AGK70" s="75"/>
      <c r="AGL70" s="75"/>
      <c r="AGM70" s="75"/>
      <c r="AGN70" s="75"/>
      <c r="AGO70" s="75"/>
      <c r="AGP70" s="75"/>
      <c r="AGQ70" s="75"/>
      <c r="AGR70" s="75"/>
      <c r="AGS70" s="75"/>
      <c r="AGT70" s="75"/>
      <c r="AGU70" s="75"/>
      <c r="AGV70" s="75"/>
      <c r="AGW70" s="75"/>
      <c r="AGX70" s="75"/>
      <c r="AGY70" s="75"/>
      <c r="AGZ70" s="75"/>
      <c r="AHA70" s="75"/>
      <c r="AHB70" s="75"/>
      <c r="AHC70" s="75"/>
      <c r="AHD70" s="75"/>
      <c r="AHE70" s="75"/>
      <c r="AHF70" s="75"/>
      <c r="AHG70" s="75"/>
      <c r="AHH70" s="75"/>
      <c r="AHI70" s="75"/>
      <c r="AHJ70" s="75"/>
      <c r="AHK70" s="75"/>
      <c r="AHL70" s="75"/>
      <c r="AHM70" s="75"/>
      <c r="AHN70" s="75"/>
      <c r="AHO70" s="75"/>
      <c r="AHP70" s="75"/>
      <c r="AHQ70" s="75"/>
      <c r="AHR70" s="75"/>
      <c r="AHS70" s="75"/>
      <c r="AHT70" s="75"/>
      <c r="AHU70" s="75"/>
      <c r="AHV70" s="75"/>
      <c r="AHW70" s="75"/>
      <c r="AHX70" s="75"/>
      <c r="AHY70" s="75"/>
      <c r="AHZ70" s="75"/>
      <c r="AIA70" s="75"/>
      <c r="AIB70" s="75"/>
      <c r="AIC70" s="75"/>
      <c r="AID70" s="75"/>
      <c r="AIE70" s="75"/>
      <c r="AIF70" s="75"/>
      <c r="AIG70" s="75"/>
      <c r="AIH70" s="75"/>
      <c r="AII70" s="75"/>
      <c r="AIJ70" s="75"/>
      <c r="AIK70" s="75"/>
      <c r="AIL70" s="75"/>
      <c r="AIM70" s="75"/>
      <c r="AIN70" s="75"/>
      <c r="AIO70" s="75"/>
      <c r="AIP70" s="75"/>
      <c r="AIQ70" s="75"/>
      <c r="AIR70" s="75"/>
      <c r="AIS70" s="75"/>
      <c r="AIT70" s="75"/>
      <c r="AIU70" s="75"/>
      <c r="AIV70" s="75"/>
      <c r="AIW70" s="75"/>
      <c r="AIX70" s="75"/>
      <c r="AIY70" s="75"/>
      <c r="AIZ70" s="75"/>
      <c r="AJA70" s="75"/>
      <c r="AJB70" s="75"/>
      <c r="AJC70" s="75"/>
      <c r="AJD70" s="75"/>
      <c r="AJE70" s="75"/>
      <c r="AJF70" s="75"/>
      <c r="AJG70" s="75"/>
      <c r="AJH70" s="75"/>
      <c r="AJI70" s="75"/>
      <c r="AJJ70" s="75"/>
      <c r="AJK70" s="75"/>
      <c r="AJL70" s="75"/>
      <c r="AJM70" s="75"/>
      <c r="AJN70" s="75"/>
      <c r="AJO70" s="75"/>
      <c r="AJP70" s="75"/>
      <c r="AJQ70" s="75"/>
      <c r="AJR70" s="75"/>
      <c r="AJS70" s="75"/>
      <c r="AJT70" s="75"/>
      <c r="AJU70" s="75"/>
      <c r="AJV70" s="75"/>
      <c r="AJW70" s="75"/>
      <c r="AJX70" s="75"/>
      <c r="AJY70" s="75"/>
      <c r="AJZ70" s="75"/>
      <c r="AKA70" s="75"/>
      <c r="AKB70" s="75"/>
      <c r="AKC70" s="75"/>
      <c r="AKD70" s="75"/>
      <c r="AKE70" s="75"/>
      <c r="AKF70" s="75"/>
      <c r="AKG70" s="75"/>
      <c r="AKH70" s="75"/>
      <c r="AKI70" s="75"/>
      <c r="AKJ70" s="75"/>
      <c r="AKK70" s="75"/>
      <c r="AKL70" s="75"/>
      <c r="AKM70" s="75"/>
      <c r="AKN70" s="75"/>
      <c r="AKO70" s="75"/>
      <c r="AKP70" s="75"/>
      <c r="AKQ70" s="75"/>
      <c r="AKR70" s="75"/>
      <c r="AKS70" s="75"/>
      <c r="AKT70" s="75"/>
      <c r="AKU70" s="75"/>
      <c r="AKV70" s="75"/>
      <c r="AKW70" s="75"/>
      <c r="AKX70" s="75"/>
      <c r="AKY70" s="75"/>
      <c r="AKZ70" s="75"/>
      <c r="ALA70" s="75"/>
      <c r="ALB70" s="75"/>
      <c r="ALC70" s="75"/>
      <c r="ALD70" s="75"/>
      <c r="ALE70" s="75"/>
      <c r="ALF70" s="75"/>
      <c r="ALG70" s="75"/>
      <c r="ALH70" s="75"/>
      <c r="ALI70" s="75"/>
      <c r="ALJ70" s="75"/>
      <c r="ALK70" s="75"/>
      <c r="ALL70" s="75"/>
      <c r="ALM70" s="75"/>
      <c r="ALN70" s="75"/>
      <c r="ALO70" s="75"/>
      <c r="ALP70" s="75"/>
      <c r="ALQ70" s="75"/>
      <c r="ALR70" s="75"/>
      <c r="ALS70" s="75"/>
      <c r="ALT70" s="75"/>
      <c r="ALU70" s="75"/>
      <c r="ALV70" s="75"/>
      <c r="ALW70" s="75"/>
      <c r="ALX70" s="75"/>
      <c r="ALY70" s="75"/>
      <c r="ALZ70" s="75"/>
      <c r="AMA70" s="75"/>
      <c r="AMB70" s="75"/>
      <c r="AMC70" s="75"/>
      <c r="AMD70" s="75"/>
      <c r="AME70" s="75"/>
      <c r="AMF70" s="75"/>
      <c r="AMG70" s="75"/>
      <c r="AMH70" s="75"/>
      <c r="AMI70" s="75"/>
      <c r="AMJ70" s="75"/>
    </row>
    <row r="71" spans="12:1024" ht="15.95" customHeight="1" x14ac:dyDescent="0.2">
      <c r="L71" s="75"/>
      <c r="M71" s="76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75"/>
      <c r="CG71" s="75"/>
      <c r="CH71" s="75"/>
      <c r="CI71" s="75"/>
      <c r="CJ71" s="75"/>
      <c r="CK71" s="75"/>
      <c r="CL71" s="75"/>
      <c r="CM71" s="75"/>
      <c r="CN71" s="75"/>
      <c r="CO71" s="75"/>
      <c r="CP71" s="75"/>
      <c r="CQ71" s="75"/>
      <c r="CR71" s="75"/>
      <c r="CS71" s="75"/>
      <c r="CT71" s="75"/>
      <c r="CU71" s="75"/>
      <c r="CV71" s="75"/>
      <c r="CW71" s="75"/>
      <c r="CX71" s="75"/>
      <c r="CY71" s="75"/>
      <c r="CZ71" s="75"/>
      <c r="DA71" s="75"/>
      <c r="DB71" s="75"/>
      <c r="DC71" s="75"/>
      <c r="DD71" s="75"/>
      <c r="DE71" s="75"/>
      <c r="DF71" s="75"/>
      <c r="DG71" s="75"/>
      <c r="DH71" s="75"/>
      <c r="DI71" s="75"/>
      <c r="DJ71" s="75"/>
      <c r="DK71" s="75"/>
      <c r="DL71" s="75"/>
      <c r="DM71" s="75"/>
      <c r="DN71" s="75"/>
      <c r="DO71" s="75"/>
      <c r="DP71" s="75"/>
      <c r="DQ71" s="75"/>
      <c r="DR71" s="75"/>
      <c r="DS71" s="75"/>
      <c r="DT71" s="75"/>
      <c r="DU71" s="75"/>
      <c r="DV71" s="75"/>
      <c r="DW71" s="75"/>
      <c r="DX71" s="75"/>
      <c r="DY71" s="75"/>
      <c r="DZ71" s="75"/>
      <c r="EA71" s="75"/>
      <c r="EB71" s="75"/>
      <c r="EC71" s="75"/>
      <c r="ED71" s="75"/>
      <c r="EE71" s="75"/>
      <c r="EF71" s="75"/>
      <c r="EG71" s="75"/>
      <c r="EH71" s="75"/>
      <c r="EI71" s="75"/>
      <c r="EJ71" s="75"/>
      <c r="EK71" s="75"/>
      <c r="EL71" s="75"/>
      <c r="EM71" s="75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75"/>
      <c r="FF71" s="75"/>
      <c r="FG71" s="75"/>
      <c r="FH71" s="75"/>
      <c r="FI71" s="75"/>
      <c r="FJ71" s="75"/>
      <c r="FK71" s="75"/>
      <c r="FL71" s="75"/>
      <c r="FM71" s="75"/>
      <c r="FN71" s="75"/>
      <c r="FO71" s="75"/>
      <c r="FP71" s="75"/>
      <c r="FQ71" s="75"/>
      <c r="FR71" s="75"/>
      <c r="FS71" s="75"/>
      <c r="FT71" s="75"/>
      <c r="FU71" s="75"/>
      <c r="FV71" s="75"/>
      <c r="FW71" s="75"/>
      <c r="FX71" s="75"/>
      <c r="FY71" s="75"/>
      <c r="FZ71" s="75"/>
      <c r="GA71" s="75"/>
      <c r="GB71" s="75"/>
      <c r="GC71" s="75"/>
      <c r="GD71" s="75"/>
      <c r="GE71" s="75"/>
      <c r="GF71" s="75"/>
      <c r="GG71" s="75"/>
      <c r="GH71" s="75"/>
      <c r="GI71" s="75"/>
      <c r="GJ71" s="75"/>
      <c r="GK71" s="75"/>
      <c r="GL71" s="75"/>
      <c r="GM71" s="75"/>
      <c r="GN71" s="75"/>
      <c r="GO71" s="75"/>
      <c r="GP71" s="75"/>
      <c r="GQ71" s="75"/>
      <c r="GR71" s="75"/>
      <c r="GS71" s="75"/>
      <c r="GT71" s="75"/>
      <c r="GU71" s="75"/>
      <c r="GV71" s="75"/>
      <c r="GW71" s="75"/>
      <c r="GX71" s="75"/>
      <c r="GY71" s="75"/>
      <c r="GZ71" s="75"/>
      <c r="HA71" s="75"/>
      <c r="HB71" s="75"/>
      <c r="HC71" s="75"/>
      <c r="HD71" s="75"/>
      <c r="HE71" s="75"/>
      <c r="HF71" s="75"/>
      <c r="HG71" s="75"/>
      <c r="HH71" s="75"/>
      <c r="HI71" s="75"/>
      <c r="HJ71" s="75"/>
      <c r="HK71" s="75"/>
      <c r="HL71" s="75"/>
      <c r="HM71" s="75"/>
      <c r="HN71" s="75"/>
      <c r="HO71" s="75"/>
      <c r="HP71" s="75"/>
      <c r="HQ71" s="75"/>
      <c r="HR71" s="75"/>
      <c r="HS71" s="75"/>
      <c r="HT71" s="75"/>
      <c r="HU71" s="75"/>
      <c r="HV71" s="75"/>
      <c r="HW71" s="75"/>
      <c r="HX71" s="75"/>
      <c r="HY71" s="75"/>
      <c r="HZ71" s="75"/>
      <c r="IA71" s="75"/>
      <c r="IB71" s="75"/>
      <c r="IC71" s="75"/>
      <c r="ID71" s="75"/>
      <c r="IE71" s="75"/>
      <c r="IF71" s="75"/>
      <c r="IG71" s="75"/>
      <c r="IH71" s="75"/>
      <c r="II71" s="75"/>
      <c r="IJ71" s="75"/>
      <c r="IK71" s="75"/>
      <c r="IL71" s="75"/>
      <c r="IM71" s="75"/>
      <c r="IN71" s="75"/>
      <c r="IO71" s="75"/>
      <c r="IP71" s="75"/>
      <c r="IQ71" s="75"/>
      <c r="IR71" s="75"/>
      <c r="IS71" s="75"/>
      <c r="IT71" s="75"/>
      <c r="IU71" s="75"/>
      <c r="IV71" s="75"/>
      <c r="IW71" s="75"/>
      <c r="IX71" s="75"/>
      <c r="IY71" s="75"/>
      <c r="IZ71" s="75"/>
      <c r="JA71" s="75"/>
      <c r="JB71" s="75"/>
      <c r="JC71" s="75"/>
      <c r="JD71" s="75"/>
      <c r="JE71" s="75"/>
      <c r="JF71" s="75"/>
      <c r="JG71" s="75"/>
      <c r="JH71" s="75"/>
      <c r="JI71" s="75"/>
      <c r="JJ71" s="75"/>
      <c r="JK71" s="75"/>
      <c r="JL71" s="75"/>
      <c r="JM71" s="75"/>
      <c r="JN71" s="75"/>
      <c r="JO71" s="75"/>
      <c r="JP71" s="75"/>
      <c r="JQ71" s="75"/>
      <c r="JR71" s="75"/>
      <c r="JS71" s="75"/>
      <c r="JT71" s="75"/>
      <c r="JU71" s="75"/>
      <c r="JV71" s="75"/>
      <c r="JW71" s="75"/>
      <c r="JX71" s="75"/>
      <c r="JY71" s="75"/>
      <c r="JZ71" s="75"/>
      <c r="KA71" s="75"/>
      <c r="KB71" s="75"/>
      <c r="KC71" s="75"/>
      <c r="KD71" s="75"/>
      <c r="KE71" s="75"/>
      <c r="KF71" s="75"/>
      <c r="KG71" s="75"/>
      <c r="KH71" s="75"/>
      <c r="KI71" s="75"/>
      <c r="KJ71" s="75"/>
      <c r="KK71" s="75"/>
      <c r="KL71" s="75"/>
      <c r="KM71" s="75"/>
      <c r="KN71" s="75"/>
      <c r="KO71" s="75"/>
      <c r="KP71" s="75"/>
      <c r="KQ71" s="75"/>
      <c r="KR71" s="75"/>
      <c r="KS71" s="75"/>
      <c r="KT71" s="75"/>
      <c r="KU71" s="75"/>
      <c r="KV71" s="75"/>
      <c r="KW71" s="75"/>
      <c r="KX71" s="75"/>
      <c r="KY71" s="75"/>
      <c r="KZ71" s="75"/>
      <c r="LA71" s="75"/>
      <c r="LB71" s="75"/>
      <c r="LC71" s="75"/>
      <c r="LD71" s="75"/>
      <c r="LE71" s="75"/>
      <c r="LF71" s="75"/>
      <c r="LG71" s="75"/>
      <c r="LH71" s="75"/>
      <c r="LI71" s="75"/>
      <c r="LJ71" s="75"/>
      <c r="LK71" s="75"/>
      <c r="LL71" s="75"/>
      <c r="LM71" s="75"/>
      <c r="LN71" s="75"/>
      <c r="LO71" s="75"/>
      <c r="LP71" s="75"/>
      <c r="LQ71" s="75"/>
      <c r="LR71" s="75"/>
      <c r="LS71" s="75"/>
      <c r="LT71" s="75"/>
      <c r="LU71" s="75"/>
      <c r="LV71" s="75"/>
      <c r="LW71" s="75"/>
      <c r="LX71" s="75"/>
      <c r="LY71" s="75"/>
      <c r="LZ71" s="75"/>
      <c r="MA71" s="75"/>
      <c r="MB71" s="75"/>
      <c r="MC71" s="75"/>
      <c r="MD71" s="75"/>
      <c r="ME71" s="75"/>
      <c r="MF71" s="75"/>
      <c r="MG71" s="75"/>
      <c r="MH71" s="75"/>
      <c r="MI71" s="75"/>
      <c r="MJ71" s="75"/>
      <c r="MK71" s="75"/>
      <c r="ML71" s="75"/>
      <c r="MM71" s="75"/>
      <c r="MN71" s="75"/>
      <c r="MO71" s="75"/>
      <c r="MP71" s="75"/>
      <c r="MQ71" s="75"/>
      <c r="MR71" s="75"/>
      <c r="MS71" s="75"/>
      <c r="MT71" s="75"/>
      <c r="MU71" s="75"/>
      <c r="MV71" s="75"/>
      <c r="MW71" s="75"/>
      <c r="MX71" s="75"/>
      <c r="MY71" s="75"/>
      <c r="MZ71" s="75"/>
      <c r="NA71" s="75"/>
      <c r="NB71" s="75"/>
      <c r="NC71" s="75"/>
      <c r="ND71" s="75"/>
      <c r="NE71" s="75"/>
      <c r="NF71" s="75"/>
      <c r="NG71" s="75"/>
      <c r="NH71" s="75"/>
      <c r="NI71" s="75"/>
      <c r="NJ71" s="75"/>
      <c r="NK71" s="75"/>
      <c r="NL71" s="75"/>
      <c r="NM71" s="75"/>
      <c r="NN71" s="75"/>
      <c r="NO71" s="75"/>
      <c r="NP71" s="75"/>
      <c r="NQ71" s="75"/>
      <c r="NR71" s="75"/>
      <c r="NS71" s="75"/>
      <c r="NT71" s="75"/>
      <c r="NU71" s="75"/>
      <c r="NV71" s="75"/>
      <c r="NW71" s="75"/>
      <c r="NX71" s="75"/>
      <c r="NY71" s="75"/>
      <c r="NZ71" s="75"/>
      <c r="OA71" s="75"/>
      <c r="OB71" s="75"/>
      <c r="OC71" s="75"/>
      <c r="OD71" s="75"/>
      <c r="OE71" s="75"/>
      <c r="OF71" s="75"/>
      <c r="OG71" s="75"/>
      <c r="OH71" s="75"/>
      <c r="OI71" s="75"/>
      <c r="OJ71" s="75"/>
      <c r="OK71" s="75"/>
      <c r="OL71" s="75"/>
      <c r="OM71" s="75"/>
      <c r="ON71" s="75"/>
      <c r="OO71" s="75"/>
      <c r="OP71" s="75"/>
      <c r="OQ71" s="75"/>
      <c r="OR71" s="75"/>
      <c r="OS71" s="75"/>
      <c r="OT71" s="75"/>
      <c r="OU71" s="75"/>
      <c r="OV71" s="75"/>
      <c r="OW71" s="75"/>
      <c r="OX71" s="75"/>
      <c r="OY71" s="75"/>
      <c r="OZ71" s="75"/>
      <c r="PA71" s="75"/>
      <c r="PB71" s="75"/>
      <c r="PC71" s="75"/>
      <c r="PD71" s="75"/>
      <c r="PE71" s="75"/>
      <c r="PF71" s="75"/>
      <c r="PG71" s="75"/>
      <c r="PH71" s="75"/>
      <c r="PI71" s="75"/>
      <c r="PJ71" s="75"/>
      <c r="PK71" s="75"/>
      <c r="PL71" s="75"/>
      <c r="PM71" s="75"/>
      <c r="PN71" s="75"/>
      <c r="PO71" s="75"/>
      <c r="PP71" s="75"/>
      <c r="PQ71" s="75"/>
      <c r="PR71" s="75"/>
      <c r="PS71" s="75"/>
      <c r="PT71" s="75"/>
      <c r="PU71" s="75"/>
      <c r="PV71" s="75"/>
      <c r="PW71" s="75"/>
      <c r="PX71" s="75"/>
      <c r="PY71" s="75"/>
      <c r="PZ71" s="75"/>
      <c r="QA71" s="75"/>
      <c r="QB71" s="75"/>
      <c r="QC71" s="75"/>
      <c r="QD71" s="75"/>
      <c r="QE71" s="75"/>
      <c r="QF71" s="75"/>
      <c r="QG71" s="75"/>
      <c r="QH71" s="75"/>
      <c r="QI71" s="75"/>
      <c r="QJ71" s="75"/>
      <c r="QK71" s="75"/>
      <c r="QL71" s="75"/>
      <c r="QM71" s="75"/>
      <c r="QN71" s="75"/>
      <c r="QO71" s="75"/>
      <c r="QP71" s="75"/>
      <c r="QQ71" s="75"/>
      <c r="QR71" s="75"/>
      <c r="QS71" s="75"/>
      <c r="QT71" s="75"/>
      <c r="QU71" s="75"/>
      <c r="QV71" s="75"/>
      <c r="QW71" s="75"/>
      <c r="QX71" s="75"/>
      <c r="QY71" s="75"/>
      <c r="QZ71" s="75"/>
      <c r="RA71" s="75"/>
      <c r="RB71" s="75"/>
      <c r="RC71" s="75"/>
      <c r="RD71" s="75"/>
      <c r="RE71" s="75"/>
      <c r="RF71" s="75"/>
      <c r="RG71" s="75"/>
      <c r="RH71" s="75"/>
      <c r="RI71" s="75"/>
      <c r="RJ71" s="75"/>
      <c r="RK71" s="75"/>
      <c r="RL71" s="75"/>
      <c r="RM71" s="75"/>
      <c r="RN71" s="75"/>
      <c r="RO71" s="75"/>
      <c r="RP71" s="75"/>
      <c r="RQ71" s="75"/>
      <c r="RR71" s="75"/>
      <c r="RS71" s="75"/>
      <c r="RT71" s="75"/>
      <c r="RU71" s="75"/>
      <c r="RV71" s="75"/>
      <c r="RW71" s="75"/>
      <c r="RX71" s="75"/>
      <c r="RY71" s="75"/>
      <c r="RZ71" s="75"/>
      <c r="SA71" s="75"/>
      <c r="SB71" s="75"/>
      <c r="SC71" s="75"/>
      <c r="SD71" s="75"/>
      <c r="SE71" s="75"/>
      <c r="SF71" s="75"/>
      <c r="SG71" s="75"/>
      <c r="SH71" s="75"/>
      <c r="SI71" s="75"/>
      <c r="SJ71" s="75"/>
      <c r="SK71" s="75"/>
      <c r="SL71" s="75"/>
      <c r="SM71" s="75"/>
      <c r="SN71" s="75"/>
      <c r="SO71" s="75"/>
      <c r="SP71" s="75"/>
      <c r="SQ71" s="75"/>
      <c r="SR71" s="75"/>
      <c r="SS71" s="75"/>
      <c r="ST71" s="75"/>
      <c r="SU71" s="75"/>
      <c r="SV71" s="75"/>
      <c r="SW71" s="75"/>
      <c r="SX71" s="75"/>
      <c r="SY71" s="75"/>
      <c r="SZ71" s="75"/>
      <c r="TA71" s="75"/>
      <c r="TB71" s="75"/>
      <c r="TC71" s="75"/>
      <c r="TD71" s="75"/>
      <c r="TE71" s="75"/>
      <c r="TF71" s="75"/>
      <c r="TG71" s="75"/>
      <c r="TH71" s="75"/>
      <c r="TI71" s="75"/>
      <c r="TJ71" s="75"/>
      <c r="TK71" s="75"/>
      <c r="TL71" s="75"/>
      <c r="TM71" s="75"/>
      <c r="TN71" s="75"/>
      <c r="TO71" s="75"/>
      <c r="TP71" s="75"/>
      <c r="TQ71" s="75"/>
      <c r="TR71" s="75"/>
      <c r="TS71" s="75"/>
      <c r="TT71" s="75"/>
      <c r="TU71" s="75"/>
      <c r="TV71" s="75"/>
      <c r="TW71" s="75"/>
      <c r="TX71" s="75"/>
      <c r="TY71" s="75"/>
      <c r="TZ71" s="75"/>
      <c r="UA71" s="75"/>
      <c r="UB71" s="75"/>
      <c r="UC71" s="75"/>
      <c r="UD71" s="75"/>
      <c r="UE71" s="75"/>
      <c r="UF71" s="75"/>
      <c r="UG71" s="75"/>
      <c r="UH71" s="75"/>
      <c r="UI71" s="75"/>
      <c r="UJ71" s="75"/>
      <c r="UK71" s="75"/>
      <c r="UL71" s="75"/>
      <c r="UM71" s="75"/>
      <c r="UN71" s="75"/>
      <c r="UO71" s="75"/>
      <c r="UP71" s="75"/>
      <c r="UQ71" s="75"/>
      <c r="UR71" s="75"/>
      <c r="US71" s="75"/>
      <c r="UT71" s="75"/>
      <c r="UU71" s="75"/>
      <c r="UV71" s="75"/>
      <c r="UW71" s="75"/>
      <c r="UX71" s="75"/>
      <c r="UY71" s="75"/>
      <c r="UZ71" s="75"/>
      <c r="VA71" s="75"/>
      <c r="VB71" s="75"/>
      <c r="VC71" s="75"/>
      <c r="VD71" s="75"/>
      <c r="VE71" s="75"/>
      <c r="VF71" s="75"/>
      <c r="VG71" s="75"/>
      <c r="VH71" s="75"/>
      <c r="VI71" s="75"/>
      <c r="VJ71" s="75"/>
      <c r="VK71" s="75"/>
      <c r="VL71" s="75"/>
      <c r="VM71" s="75"/>
      <c r="VN71" s="75"/>
      <c r="VO71" s="75"/>
      <c r="VP71" s="75"/>
      <c r="VQ71" s="75"/>
      <c r="VR71" s="75"/>
      <c r="VS71" s="75"/>
      <c r="VT71" s="75"/>
      <c r="VU71" s="75"/>
      <c r="VV71" s="75"/>
      <c r="VW71" s="75"/>
      <c r="VX71" s="75"/>
      <c r="VY71" s="75"/>
      <c r="VZ71" s="75"/>
      <c r="WA71" s="75"/>
      <c r="WB71" s="75"/>
      <c r="WC71" s="75"/>
      <c r="WD71" s="75"/>
      <c r="WE71" s="75"/>
      <c r="WF71" s="75"/>
      <c r="WG71" s="75"/>
      <c r="WH71" s="75"/>
      <c r="WI71" s="75"/>
      <c r="WJ71" s="75"/>
      <c r="WK71" s="75"/>
      <c r="WL71" s="75"/>
      <c r="WM71" s="75"/>
      <c r="WN71" s="75"/>
      <c r="WO71" s="75"/>
      <c r="WP71" s="75"/>
      <c r="WQ71" s="75"/>
      <c r="WR71" s="75"/>
      <c r="WS71" s="75"/>
      <c r="WT71" s="75"/>
      <c r="WU71" s="75"/>
      <c r="WV71" s="75"/>
      <c r="WW71" s="75"/>
      <c r="WX71" s="75"/>
      <c r="WY71" s="75"/>
      <c r="WZ71" s="75"/>
      <c r="XA71" s="75"/>
      <c r="XB71" s="75"/>
      <c r="XC71" s="75"/>
      <c r="XD71" s="75"/>
      <c r="XE71" s="75"/>
      <c r="XF71" s="75"/>
      <c r="XG71" s="75"/>
      <c r="XH71" s="75"/>
      <c r="XI71" s="75"/>
      <c r="XJ71" s="75"/>
      <c r="XK71" s="75"/>
      <c r="XL71" s="75"/>
      <c r="XM71" s="75"/>
      <c r="XN71" s="75"/>
      <c r="XO71" s="75"/>
      <c r="XP71" s="75"/>
      <c r="XQ71" s="75"/>
      <c r="XR71" s="75"/>
      <c r="XS71" s="75"/>
      <c r="XT71" s="75"/>
      <c r="XU71" s="75"/>
      <c r="XV71" s="75"/>
      <c r="XW71" s="75"/>
      <c r="XX71" s="75"/>
      <c r="XY71" s="75"/>
      <c r="XZ71" s="75"/>
      <c r="YA71" s="75"/>
      <c r="YB71" s="75"/>
      <c r="YC71" s="75"/>
      <c r="YD71" s="75"/>
      <c r="YE71" s="75"/>
      <c r="YF71" s="75"/>
      <c r="YG71" s="75"/>
      <c r="YH71" s="75"/>
      <c r="YI71" s="75"/>
      <c r="YJ71" s="75"/>
      <c r="YK71" s="75"/>
      <c r="YL71" s="75"/>
      <c r="YM71" s="75"/>
      <c r="YN71" s="75"/>
      <c r="YO71" s="75"/>
      <c r="YP71" s="75"/>
      <c r="YQ71" s="75"/>
      <c r="YR71" s="75"/>
      <c r="YS71" s="75"/>
      <c r="YT71" s="75"/>
      <c r="YU71" s="75"/>
      <c r="YV71" s="75"/>
      <c r="YW71" s="75"/>
      <c r="YX71" s="75"/>
      <c r="YY71" s="75"/>
      <c r="YZ71" s="75"/>
      <c r="ZA71" s="75"/>
      <c r="ZB71" s="75"/>
      <c r="ZC71" s="75"/>
      <c r="ZD71" s="75"/>
      <c r="ZE71" s="75"/>
      <c r="ZF71" s="75"/>
      <c r="ZG71" s="75"/>
      <c r="ZH71" s="75"/>
      <c r="ZI71" s="75"/>
      <c r="ZJ71" s="75"/>
      <c r="ZK71" s="75"/>
      <c r="ZL71" s="75"/>
      <c r="ZM71" s="75"/>
      <c r="ZN71" s="75"/>
      <c r="ZO71" s="75"/>
      <c r="ZP71" s="75"/>
      <c r="ZQ71" s="75"/>
      <c r="ZR71" s="75"/>
      <c r="ZS71" s="75"/>
      <c r="ZT71" s="75"/>
      <c r="ZU71" s="75"/>
      <c r="ZV71" s="75"/>
      <c r="ZW71" s="75"/>
      <c r="ZX71" s="75"/>
      <c r="ZY71" s="75"/>
      <c r="ZZ71" s="75"/>
      <c r="AAA71" s="75"/>
      <c r="AAB71" s="75"/>
      <c r="AAC71" s="75"/>
      <c r="AAD71" s="75"/>
      <c r="AAE71" s="75"/>
      <c r="AAF71" s="75"/>
      <c r="AAG71" s="75"/>
      <c r="AAH71" s="75"/>
      <c r="AAI71" s="75"/>
      <c r="AAJ71" s="75"/>
      <c r="AAK71" s="75"/>
      <c r="AAL71" s="75"/>
      <c r="AAM71" s="75"/>
      <c r="AAN71" s="75"/>
      <c r="AAO71" s="75"/>
      <c r="AAP71" s="75"/>
      <c r="AAQ71" s="75"/>
      <c r="AAR71" s="75"/>
      <c r="AAS71" s="75"/>
      <c r="AAT71" s="75"/>
      <c r="AAU71" s="75"/>
      <c r="AAV71" s="75"/>
      <c r="AAW71" s="75"/>
      <c r="AAX71" s="75"/>
      <c r="AAY71" s="75"/>
      <c r="AAZ71" s="75"/>
      <c r="ABA71" s="75"/>
      <c r="ABB71" s="75"/>
      <c r="ABC71" s="75"/>
      <c r="ABD71" s="75"/>
      <c r="ABE71" s="75"/>
      <c r="ABF71" s="75"/>
      <c r="ABG71" s="75"/>
      <c r="ABH71" s="75"/>
      <c r="ABI71" s="75"/>
      <c r="ABJ71" s="75"/>
      <c r="ABK71" s="75"/>
      <c r="ABL71" s="75"/>
      <c r="ABM71" s="75"/>
      <c r="ABN71" s="75"/>
      <c r="ABO71" s="75"/>
      <c r="ABP71" s="75"/>
      <c r="ABQ71" s="75"/>
      <c r="ABR71" s="75"/>
      <c r="ABS71" s="75"/>
      <c r="ABT71" s="75"/>
      <c r="ABU71" s="75"/>
      <c r="ABV71" s="75"/>
      <c r="ABW71" s="75"/>
      <c r="ABX71" s="75"/>
      <c r="ABY71" s="75"/>
      <c r="ABZ71" s="75"/>
      <c r="ACA71" s="75"/>
      <c r="ACB71" s="75"/>
      <c r="ACC71" s="75"/>
      <c r="ACD71" s="75"/>
      <c r="ACE71" s="75"/>
      <c r="ACF71" s="75"/>
      <c r="ACG71" s="75"/>
      <c r="ACH71" s="75"/>
      <c r="ACI71" s="75"/>
      <c r="ACJ71" s="75"/>
      <c r="ACK71" s="75"/>
      <c r="ACL71" s="75"/>
      <c r="ACM71" s="75"/>
      <c r="ACN71" s="75"/>
      <c r="ACO71" s="75"/>
      <c r="ACP71" s="75"/>
      <c r="ACQ71" s="75"/>
      <c r="ACR71" s="75"/>
      <c r="ACS71" s="75"/>
      <c r="ACT71" s="75"/>
      <c r="ACU71" s="75"/>
      <c r="ACV71" s="75"/>
      <c r="ACW71" s="75"/>
      <c r="ACX71" s="75"/>
      <c r="ACY71" s="75"/>
      <c r="ACZ71" s="75"/>
      <c r="ADA71" s="75"/>
      <c r="ADB71" s="75"/>
      <c r="ADC71" s="75"/>
      <c r="ADD71" s="75"/>
      <c r="ADE71" s="75"/>
      <c r="ADF71" s="75"/>
      <c r="ADG71" s="75"/>
      <c r="ADH71" s="75"/>
      <c r="ADI71" s="75"/>
      <c r="ADJ71" s="75"/>
      <c r="ADK71" s="75"/>
      <c r="ADL71" s="75"/>
      <c r="ADM71" s="75"/>
      <c r="ADN71" s="75"/>
      <c r="ADO71" s="75"/>
      <c r="ADP71" s="75"/>
      <c r="ADQ71" s="75"/>
      <c r="ADR71" s="75"/>
      <c r="ADS71" s="75"/>
      <c r="ADT71" s="75"/>
      <c r="ADU71" s="75"/>
      <c r="ADV71" s="75"/>
      <c r="ADW71" s="75"/>
      <c r="ADX71" s="75"/>
      <c r="ADY71" s="75"/>
      <c r="ADZ71" s="75"/>
      <c r="AEA71" s="75"/>
      <c r="AEB71" s="75"/>
      <c r="AEC71" s="75"/>
      <c r="AED71" s="75"/>
      <c r="AEE71" s="75"/>
      <c r="AEF71" s="75"/>
      <c r="AEG71" s="75"/>
      <c r="AEH71" s="75"/>
      <c r="AEI71" s="75"/>
      <c r="AEJ71" s="75"/>
      <c r="AEK71" s="75"/>
      <c r="AEL71" s="75"/>
      <c r="AEM71" s="75"/>
      <c r="AEN71" s="75"/>
      <c r="AEO71" s="75"/>
      <c r="AEP71" s="75"/>
      <c r="AEQ71" s="75"/>
      <c r="AER71" s="75"/>
      <c r="AES71" s="75"/>
      <c r="AET71" s="75"/>
      <c r="AEU71" s="75"/>
      <c r="AEV71" s="75"/>
      <c r="AEW71" s="75"/>
      <c r="AEX71" s="75"/>
      <c r="AEY71" s="75"/>
      <c r="AEZ71" s="75"/>
      <c r="AFA71" s="75"/>
      <c r="AFB71" s="75"/>
      <c r="AFC71" s="75"/>
      <c r="AFD71" s="75"/>
      <c r="AFE71" s="75"/>
      <c r="AFF71" s="75"/>
      <c r="AFG71" s="75"/>
      <c r="AFH71" s="75"/>
      <c r="AFI71" s="75"/>
      <c r="AFJ71" s="75"/>
      <c r="AFK71" s="75"/>
      <c r="AFL71" s="75"/>
      <c r="AFM71" s="75"/>
      <c r="AFN71" s="75"/>
      <c r="AFO71" s="75"/>
      <c r="AFP71" s="75"/>
      <c r="AFQ71" s="75"/>
      <c r="AFR71" s="75"/>
      <c r="AFS71" s="75"/>
      <c r="AFT71" s="75"/>
      <c r="AFU71" s="75"/>
      <c r="AFV71" s="75"/>
      <c r="AFW71" s="75"/>
      <c r="AFX71" s="75"/>
      <c r="AFY71" s="75"/>
      <c r="AFZ71" s="75"/>
      <c r="AGA71" s="75"/>
      <c r="AGB71" s="75"/>
      <c r="AGC71" s="75"/>
      <c r="AGD71" s="75"/>
      <c r="AGE71" s="75"/>
      <c r="AGF71" s="75"/>
      <c r="AGG71" s="75"/>
      <c r="AGH71" s="75"/>
      <c r="AGI71" s="75"/>
      <c r="AGJ71" s="75"/>
      <c r="AGK71" s="75"/>
      <c r="AGL71" s="75"/>
      <c r="AGM71" s="75"/>
      <c r="AGN71" s="75"/>
      <c r="AGO71" s="75"/>
      <c r="AGP71" s="75"/>
      <c r="AGQ71" s="75"/>
      <c r="AGR71" s="75"/>
      <c r="AGS71" s="75"/>
      <c r="AGT71" s="75"/>
      <c r="AGU71" s="75"/>
      <c r="AGV71" s="75"/>
      <c r="AGW71" s="75"/>
      <c r="AGX71" s="75"/>
      <c r="AGY71" s="75"/>
      <c r="AGZ71" s="75"/>
      <c r="AHA71" s="75"/>
      <c r="AHB71" s="75"/>
      <c r="AHC71" s="75"/>
      <c r="AHD71" s="75"/>
      <c r="AHE71" s="75"/>
      <c r="AHF71" s="75"/>
      <c r="AHG71" s="75"/>
      <c r="AHH71" s="75"/>
      <c r="AHI71" s="75"/>
      <c r="AHJ71" s="75"/>
      <c r="AHK71" s="75"/>
      <c r="AHL71" s="75"/>
      <c r="AHM71" s="75"/>
      <c r="AHN71" s="75"/>
      <c r="AHO71" s="75"/>
      <c r="AHP71" s="75"/>
      <c r="AHQ71" s="75"/>
      <c r="AHR71" s="75"/>
      <c r="AHS71" s="75"/>
      <c r="AHT71" s="75"/>
      <c r="AHU71" s="75"/>
      <c r="AHV71" s="75"/>
      <c r="AHW71" s="75"/>
      <c r="AHX71" s="75"/>
      <c r="AHY71" s="75"/>
      <c r="AHZ71" s="75"/>
      <c r="AIA71" s="75"/>
      <c r="AIB71" s="75"/>
      <c r="AIC71" s="75"/>
      <c r="AID71" s="75"/>
      <c r="AIE71" s="75"/>
      <c r="AIF71" s="75"/>
      <c r="AIG71" s="75"/>
      <c r="AIH71" s="75"/>
      <c r="AII71" s="75"/>
      <c r="AIJ71" s="75"/>
      <c r="AIK71" s="75"/>
      <c r="AIL71" s="75"/>
      <c r="AIM71" s="75"/>
      <c r="AIN71" s="75"/>
      <c r="AIO71" s="75"/>
      <c r="AIP71" s="75"/>
      <c r="AIQ71" s="75"/>
      <c r="AIR71" s="75"/>
      <c r="AIS71" s="75"/>
      <c r="AIT71" s="75"/>
      <c r="AIU71" s="75"/>
      <c r="AIV71" s="75"/>
      <c r="AIW71" s="75"/>
      <c r="AIX71" s="75"/>
      <c r="AIY71" s="75"/>
      <c r="AIZ71" s="75"/>
      <c r="AJA71" s="75"/>
      <c r="AJB71" s="75"/>
      <c r="AJC71" s="75"/>
      <c r="AJD71" s="75"/>
      <c r="AJE71" s="75"/>
      <c r="AJF71" s="75"/>
      <c r="AJG71" s="75"/>
      <c r="AJH71" s="75"/>
      <c r="AJI71" s="75"/>
      <c r="AJJ71" s="75"/>
      <c r="AJK71" s="75"/>
      <c r="AJL71" s="75"/>
      <c r="AJM71" s="75"/>
      <c r="AJN71" s="75"/>
      <c r="AJO71" s="75"/>
      <c r="AJP71" s="75"/>
      <c r="AJQ71" s="75"/>
      <c r="AJR71" s="75"/>
      <c r="AJS71" s="75"/>
      <c r="AJT71" s="75"/>
      <c r="AJU71" s="75"/>
      <c r="AJV71" s="75"/>
      <c r="AJW71" s="75"/>
      <c r="AJX71" s="75"/>
      <c r="AJY71" s="75"/>
      <c r="AJZ71" s="75"/>
      <c r="AKA71" s="75"/>
      <c r="AKB71" s="75"/>
      <c r="AKC71" s="75"/>
      <c r="AKD71" s="75"/>
      <c r="AKE71" s="75"/>
      <c r="AKF71" s="75"/>
      <c r="AKG71" s="75"/>
      <c r="AKH71" s="75"/>
      <c r="AKI71" s="75"/>
      <c r="AKJ71" s="75"/>
      <c r="AKK71" s="75"/>
      <c r="AKL71" s="75"/>
      <c r="AKM71" s="75"/>
      <c r="AKN71" s="75"/>
      <c r="AKO71" s="75"/>
      <c r="AKP71" s="75"/>
      <c r="AKQ71" s="75"/>
      <c r="AKR71" s="75"/>
      <c r="AKS71" s="75"/>
      <c r="AKT71" s="75"/>
      <c r="AKU71" s="75"/>
      <c r="AKV71" s="75"/>
      <c r="AKW71" s="75"/>
      <c r="AKX71" s="75"/>
      <c r="AKY71" s="75"/>
      <c r="AKZ71" s="75"/>
      <c r="ALA71" s="75"/>
      <c r="ALB71" s="75"/>
      <c r="ALC71" s="75"/>
      <c r="ALD71" s="75"/>
      <c r="ALE71" s="75"/>
      <c r="ALF71" s="75"/>
      <c r="ALG71" s="75"/>
      <c r="ALH71" s="75"/>
      <c r="ALI71" s="75"/>
      <c r="ALJ71" s="75"/>
      <c r="ALK71" s="75"/>
      <c r="ALL71" s="75"/>
      <c r="ALM71" s="75"/>
      <c r="ALN71" s="75"/>
      <c r="ALO71" s="75"/>
      <c r="ALP71" s="75"/>
      <c r="ALQ71" s="75"/>
      <c r="ALR71" s="75"/>
      <c r="ALS71" s="75"/>
      <c r="ALT71" s="75"/>
      <c r="ALU71" s="75"/>
      <c r="ALV71" s="75"/>
      <c r="ALW71" s="75"/>
      <c r="ALX71" s="75"/>
      <c r="ALY71" s="75"/>
      <c r="ALZ71" s="75"/>
      <c r="AMA71" s="75"/>
      <c r="AMB71" s="75"/>
      <c r="AMC71" s="75"/>
      <c r="AMD71" s="75"/>
      <c r="AME71" s="75"/>
      <c r="AMF71" s="75"/>
      <c r="AMG71" s="75"/>
      <c r="AMH71" s="75"/>
      <c r="AMI71" s="75"/>
      <c r="AMJ71" s="75"/>
    </row>
    <row r="72" spans="12:1024" ht="15.95" customHeight="1" x14ac:dyDescent="0.2">
      <c r="L72" s="75"/>
      <c r="M72" s="76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75"/>
      <c r="CG72" s="75"/>
      <c r="CH72" s="75"/>
      <c r="CI72" s="75"/>
      <c r="CJ72" s="75"/>
      <c r="CK72" s="75"/>
      <c r="CL72" s="75"/>
      <c r="CM72" s="75"/>
      <c r="CN72" s="75"/>
      <c r="CO72" s="75"/>
      <c r="CP72" s="75"/>
      <c r="CQ72" s="75"/>
      <c r="CR72" s="75"/>
      <c r="CS72" s="75"/>
      <c r="CT72" s="75"/>
      <c r="CU72" s="75"/>
      <c r="CV72" s="75"/>
      <c r="CW72" s="75"/>
      <c r="CX72" s="75"/>
      <c r="CY72" s="75"/>
      <c r="CZ72" s="75"/>
      <c r="DA72" s="75"/>
      <c r="DB72" s="75"/>
      <c r="DC72" s="75"/>
      <c r="DD72" s="75"/>
      <c r="DE72" s="75"/>
      <c r="DF72" s="75"/>
      <c r="DG72" s="75"/>
      <c r="DH72" s="75"/>
      <c r="DI72" s="75"/>
      <c r="DJ72" s="75"/>
      <c r="DK72" s="75"/>
      <c r="DL72" s="75"/>
      <c r="DM72" s="75"/>
      <c r="DN72" s="75"/>
      <c r="DO72" s="75"/>
      <c r="DP72" s="75"/>
      <c r="DQ72" s="75"/>
      <c r="DR72" s="75"/>
      <c r="DS72" s="75"/>
      <c r="DT72" s="75"/>
      <c r="DU72" s="75"/>
      <c r="DV72" s="75"/>
      <c r="DW72" s="75"/>
      <c r="DX72" s="75"/>
      <c r="DY72" s="75"/>
      <c r="DZ72" s="75"/>
      <c r="EA72" s="75"/>
      <c r="EB72" s="75"/>
      <c r="EC72" s="75"/>
      <c r="ED72" s="75"/>
      <c r="EE72" s="75"/>
      <c r="EF72" s="75"/>
      <c r="EG72" s="75"/>
      <c r="EH72" s="75"/>
      <c r="EI72" s="75"/>
      <c r="EJ72" s="75"/>
      <c r="EK72" s="75"/>
      <c r="EL72" s="75"/>
      <c r="EM72" s="75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75"/>
      <c r="FF72" s="75"/>
      <c r="FG72" s="75"/>
      <c r="FH72" s="75"/>
      <c r="FI72" s="75"/>
      <c r="FJ72" s="75"/>
      <c r="FK72" s="75"/>
      <c r="FL72" s="75"/>
      <c r="FM72" s="75"/>
      <c r="FN72" s="75"/>
      <c r="FO72" s="75"/>
      <c r="FP72" s="75"/>
      <c r="FQ72" s="75"/>
      <c r="FR72" s="75"/>
      <c r="FS72" s="75"/>
      <c r="FT72" s="75"/>
      <c r="FU72" s="75"/>
      <c r="FV72" s="75"/>
      <c r="FW72" s="75"/>
      <c r="FX72" s="75"/>
      <c r="FY72" s="75"/>
      <c r="FZ72" s="75"/>
      <c r="GA72" s="75"/>
      <c r="GB72" s="75"/>
      <c r="GC72" s="75"/>
      <c r="GD72" s="75"/>
      <c r="GE72" s="75"/>
      <c r="GF72" s="75"/>
      <c r="GG72" s="75"/>
      <c r="GH72" s="75"/>
      <c r="GI72" s="75"/>
      <c r="GJ72" s="75"/>
      <c r="GK72" s="75"/>
      <c r="GL72" s="75"/>
      <c r="GM72" s="75"/>
      <c r="GN72" s="75"/>
      <c r="GO72" s="75"/>
      <c r="GP72" s="75"/>
      <c r="GQ72" s="75"/>
      <c r="GR72" s="75"/>
      <c r="GS72" s="75"/>
      <c r="GT72" s="75"/>
      <c r="GU72" s="75"/>
      <c r="GV72" s="75"/>
      <c r="GW72" s="75"/>
      <c r="GX72" s="75"/>
      <c r="GY72" s="75"/>
      <c r="GZ72" s="75"/>
      <c r="HA72" s="75"/>
      <c r="HB72" s="75"/>
      <c r="HC72" s="75"/>
      <c r="HD72" s="75"/>
      <c r="HE72" s="75"/>
      <c r="HF72" s="75"/>
      <c r="HG72" s="75"/>
      <c r="HH72" s="75"/>
      <c r="HI72" s="75"/>
      <c r="HJ72" s="75"/>
      <c r="HK72" s="75"/>
      <c r="HL72" s="75"/>
      <c r="HM72" s="75"/>
      <c r="HN72" s="75"/>
      <c r="HO72" s="75"/>
      <c r="HP72" s="75"/>
      <c r="HQ72" s="75"/>
      <c r="HR72" s="75"/>
      <c r="HS72" s="75"/>
      <c r="HT72" s="75"/>
      <c r="HU72" s="75"/>
      <c r="HV72" s="75"/>
      <c r="HW72" s="75"/>
      <c r="HX72" s="75"/>
      <c r="HY72" s="75"/>
      <c r="HZ72" s="75"/>
      <c r="IA72" s="75"/>
      <c r="IB72" s="75"/>
      <c r="IC72" s="75"/>
      <c r="ID72" s="75"/>
      <c r="IE72" s="75"/>
      <c r="IF72" s="75"/>
      <c r="IG72" s="75"/>
      <c r="IH72" s="75"/>
      <c r="II72" s="75"/>
      <c r="IJ72" s="75"/>
      <c r="IK72" s="75"/>
      <c r="IL72" s="75"/>
      <c r="IM72" s="75"/>
      <c r="IN72" s="75"/>
      <c r="IO72" s="75"/>
      <c r="IP72" s="75"/>
      <c r="IQ72" s="75"/>
      <c r="IR72" s="75"/>
      <c r="IS72" s="75"/>
      <c r="IT72" s="75"/>
      <c r="IU72" s="75"/>
      <c r="IV72" s="75"/>
      <c r="IW72" s="75"/>
      <c r="IX72" s="75"/>
      <c r="IY72" s="75"/>
      <c r="IZ72" s="75"/>
      <c r="JA72" s="75"/>
      <c r="JB72" s="75"/>
      <c r="JC72" s="75"/>
      <c r="JD72" s="75"/>
      <c r="JE72" s="75"/>
      <c r="JF72" s="75"/>
      <c r="JG72" s="75"/>
      <c r="JH72" s="75"/>
      <c r="JI72" s="75"/>
      <c r="JJ72" s="75"/>
      <c r="JK72" s="75"/>
      <c r="JL72" s="75"/>
      <c r="JM72" s="75"/>
      <c r="JN72" s="75"/>
      <c r="JO72" s="75"/>
      <c r="JP72" s="75"/>
      <c r="JQ72" s="75"/>
      <c r="JR72" s="75"/>
      <c r="JS72" s="75"/>
      <c r="JT72" s="75"/>
      <c r="JU72" s="75"/>
      <c r="JV72" s="75"/>
      <c r="JW72" s="75"/>
      <c r="JX72" s="75"/>
      <c r="JY72" s="75"/>
      <c r="JZ72" s="75"/>
      <c r="KA72" s="75"/>
      <c r="KB72" s="75"/>
      <c r="KC72" s="75"/>
      <c r="KD72" s="75"/>
      <c r="KE72" s="75"/>
      <c r="KF72" s="75"/>
      <c r="KG72" s="75"/>
      <c r="KH72" s="75"/>
      <c r="KI72" s="75"/>
      <c r="KJ72" s="75"/>
      <c r="KK72" s="75"/>
      <c r="KL72" s="75"/>
      <c r="KM72" s="75"/>
      <c r="KN72" s="75"/>
      <c r="KO72" s="75"/>
      <c r="KP72" s="75"/>
      <c r="KQ72" s="75"/>
      <c r="KR72" s="75"/>
      <c r="KS72" s="75"/>
      <c r="KT72" s="75"/>
      <c r="KU72" s="75"/>
      <c r="KV72" s="75"/>
      <c r="KW72" s="75"/>
      <c r="KX72" s="75"/>
      <c r="KY72" s="75"/>
      <c r="KZ72" s="75"/>
      <c r="LA72" s="75"/>
      <c r="LB72" s="75"/>
      <c r="LC72" s="75"/>
      <c r="LD72" s="75"/>
      <c r="LE72" s="75"/>
      <c r="LF72" s="75"/>
      <c r="LG72" s="75"/>
      <c r="LH72" s="75"/>
      <c r="LI72" s="75"/>
      <c r="LJ72" s="75"/>
      <c r="LK72" s="75"/>
      <c r="LL72" s="75"/>
      <c r="LM72" s="75"/>
      <c r="LN72" s="75"/>
      <c r="LO72" s="75"/>
      <c r="LP72" s="75"/>
      <c r="LQ72" s="75"/>
      <c r="LR72" s="75"/>
      <c r="LS72" s="75"/>
      <c r="LT72" s="75"/>
      <c r="LU72" s="75"/>
      <c r="LV72" s="75"/>
      <c r="LW72" s="75"/>
      <c r="LX72" s="75"/>
      <c r="LY72" s="75"/>
      <c r="LZ72" s="75"/>
      <c r="MA72" s="75"/>
      <c r="MB72" s="75"/>
      <c r="MC72" s="75"/>
      <c r="MD72" s="75"/>
      <c r="ME72" s="75"/>
      <c r="MF72" s="75"/>
      <c r="MG72" s="75"/>
      <c r="MH72" s="75"/>
      <c r="MI72" s="75"/>
      <c r="MJ72" s="75"/>
      <c r="MK72" s="75"/>
      <c r="ML72" s="75"/>
      <c r="MM72" s="75"/>
      <c r="MN72" s="75"/>
      <c r="MO72" s="75"/>
      <c r="MP72" s="75"/>
      <c r="MQ72" s="75"/>
      <c r="MR72" s="75"/>
      <c r="MS72" s="75"/>
      <c r="MT72" s="75"/>
      <c r="MU72" s="75"/>
      <c r="MV72" s="75"/>
      <c r="MW72" s="75"/>
      <c r="MX72" s="75"/>
      <c r="MY72" s="75"/>
      <c r="MZ72" s="75"/>
      <c r="NA72" s="75"/>
      <c r="NB72" s="75"/>
      <c r="NC72" s="75"/>
      <c r="ND72" s="75"/>
      <c r="NE72" s="75"/>
      <c r="NF72" s="75"/>
      <c r="NG72" s="75"/>
      <c r="NH72" s="75"/>
      <c r="NI72" s="75"/>
      <c r="NJ72" s="75"/>
      <c r="NK72" s="75"/>
      <c r="NL72" s="75"/>
      <c r="NM72" s="75"/>
      <c r="NN72" s="75"/>
      <c r="NO72" s="75"/>
      <c r="NP72" s="75"/>
      <c r="NQ72" s="75"/>
      <c r="NR72" s="75"/>
      <c r="NS72" s="75"/>
      <c r="NT72" s="75"/>
      <c r="NU72" s="75"/>
      <c r="NV72" s="75"/>
      <c r="NW72" s="75"/>
      <c r="NX72" s="75"/>
      <c r="NY72" s="75"/>
      <c r="NZ72" s="75"/>
      <c r="OA72" s="75"/>
      <c r="OB72" s="75"/>
      <c r="OC72" s="75"/>
      <c r="OD72" s="75"/>
      <c r="OE72" s="75"/>
      <c r="OF72" s="75"/>
      <c r="OG72" s="75"/>
      <c r="OH72" s="75"/>
      <c r="OI72" s="75"/>
      <c r="OJ72" s="75"/>
      <c r="OK72" s="75"/>
      <c r="OL72" s="75"/>
      <c r="OM72" s="75"/>
      <c r="ON72" s="75"/>
      <c r="OO72" s="75"/>
      <c r="OP72" s="75"/>
      <c r="OQ72" s="75"/>
      <c r="OR72" s="75"/>
      <c r="OS72" s="75"/>
      <c r="OT72" s="75"/>
      <c r="OU72" s="75"/>
      <c r="OV72" s="75"/>
      <c r="OW72" s="75"/>
      <c r="OX72" s="75"/>
      <c r="OY72" s="75"/>
      <c r="OZ72" s="75"/>
      <c r="PA72" s="75"/>
      <c r="PB72" s="75"/>
      <c r="PC72" s="75"/>
      <c r="PD72" s="75"/>
      <c r="PE72" s="75"/>
      <c r="PF72" s="75"/>
      <c r="PG72" s="75"/>
      <c r="PH72" s="75"/>
      <c r="PI72" s="75"/>
      <c r="PJ72" s="75"/>
      <c r="PK72" s="75"/>
      <c r="PL72" s="75"/>
      <c r="PM72" s="75"/>
      <c r="PN72" s="75"/>
      <c r="PO72" s="75"/>
      <c r="PP72" s="75"/>
      <c r="PQ72" s="75"/>
      <c r="PR72" s="75"/>
      <c r="PS72" s="75"/>
      <c r="PT72" s="75"/>
      <c r="PU72" s="75"/>
      <c r="PV72" s="75"/>
      <c r="PW72" s="75"/>
      <c r="PX72" s="75"/>
      <c r="PY72" s="75"/>
      <c r="PZ72" s="75"/>
      <c r="QA72" s="75"/>
      <c r="QB72" s="75"/>
      <c r="QC72" s="75"/>
      <c r="QD72" s="75"/>
      <c r="QE72" s="75"/>
      <c r="QF72" s="75"/>
      <c r="QG72" s="75"/>
      <c r="QH72" s="75"/>
      <c r="QI72" s="75"/>
      <c r="QJ72" s="75"/>
      <c r="QK72" s="75"/>
      <c r="QL72" s="75"/>
      <c r="QM72" s="75"/>
      <c r="QN72" s="75"/>
      <c r="QO72" s="75"/>
      <c r="QP72" s="75"/>
      <c r="QQ72" s="75"/>
      <c r="QR72" s="75"/>
      <c r="QS72" s="75"/>
      <c r="QT72" s="75"/>
      <c r="QU72" s="75"/>
      <c r="QV72" s="75"/>
      <c r="QW72" s="75"/>
      <c r="QX72" s="75"/>
      <c r="QY72" s="75"/>
      <c r="QZ72" s="75"/>
      <c r="RA72" s="75"/>
      <c r="RB72" s="75"/>
      <c r="RC72" s="75"/>
      <c r="RD72" s="75"/>
      <c r="RE72" s="75"/>
      <c r="RF72" s="75"/>
      <c r="RG72" s="75"/>
      <c r="RH72" s="75"/>
      <c r="RI72" s="75"/>
      <c r="RJ72" s="75"/>
      <c r="RK72" s="75"/>
      <c r="RL72" s="75"/>
      <c r="RM72" s="75"/>
      <c r="RN72" s="75"/>
      <c r="RO72" s="75"/>
      <c r="RP72" s="75"/>
      <c r="RQ72" s="75"/>
      <c r="RR72" s="75"/>
      <c r="RS72" s="75"/>
      <c r="RT72" s="75"/>
      <c r="RU72" s="75"/>
      <c r="RV72" s="75"/>
      <c r="RW72" s="75"/>
      <c r="RX72" s="75"/>
      <c r="RY72" s="75"/>
      <c r="RZ72" s="75"/>
      <c r="SA72" s="75"/>
      <c r="SB72" s="75"/>
      <c r="SC72" s="75"/>
      <c r="SD72" s="75"/>
      <c r="SE72" s="75"/>
      <c r="SF72" s="75"/>
      <c r="SG72" s="75"/>
      <c r="SH72" s="75"/>
      <c r="SI72" s="75"/>
      <c r="SJ72" s="75"/>
      <c r="SK72" s="75"/>
      <c r="SL72" s="75"/>
      <c r="SM72" s="75"/>
      <c r="SN72" s="75"/>
      <c r="SO72" s="75"/>
      <c r="SP72" s="75"/>
      <c r="SQ72" s="75"/>
      <c r="SR72" s="75"/>
      <c r="SS72" s="75"/>
      <c r="ST72" s="75"/>
      <c r="SU72" s="75"/>
      <c r="SV72" s="75"/>
      <c r="SW72" s="75"/>
      <c r="SX72" s="75"/>
      <c r="SY72" s="75"/>
      <c r="SZ72" s="75"/>
      <c r="TA72" s="75"/>
      <c r="TB72" s="75"/>
      <c r="TC72" s="75"/>
      <c r="TD72" s="75"/>
      <c r="TE72" s="75"/>
      <c r="TF72" s="75"/>
      <c r="TG72" s="75"/>
      <c r="TH72" s="75"/>
      <c r="TI72" s="75"/>
      <c r="TJ72" s="75"/>
      <c r="TK72" s="75"/>
      <c r="TL72" s="75"/>
      <c r="TM72" s="75"/>
      <c r="TN72" s="75"/>
      <c r="TO72" s="75"/>
      <c r="TP72" s="75"/>
      <c r="TQ72" s="75"/>
      <c r="TR72" s="75"/>
      <c r="TS72" s="75"/>
      <c r="TT72" s="75"/>
      <c r="TU72" s="75"/>
      <c r="TV72" s="75"/>
      <c r="TW72" s="75"/>
      <c r="TX72" s="75"/>
      <c r="TY72" s="75"/>
      <c r="TZ72" s="75"/>
      <c r="UA72" s="75"/>
      <c r="UB72" s="75"/>
      <c r="UC72" s="75"/>
      <c r="UD72" s="75"/>
      <c r="UE72" s="75"/>
      <c r="UF72" s="75"/>
      <c r="UG72" s="75"/>
      <c r="UH72" s="75"/>
      <c r="UI72" s="75"/>
      <c r="UJ72" s="75"/>
      <c r="UK72" s="75"/>
      <c r="UL72" s="75"/>
      <c r="UM72" s="75"/>
      <c r="UN72" s="75"/>
      <c r="UO72" s="75"/>
      <c r="UP72" s="75"/>
      <c r="UQ72" s="75"/>
      <c r="UR72" s="75"/>
      <c r="US72" s="75"/>
      <c r="UT72" s="75"/>
      <c r="UU72" s="75"/>
      <c r="UV72" s="75"/>
      <c r="UW72" s="75"/>
      <c r="UX72" s="75"/>
      <c r="UY72" s="75"/>
      <c r="UZ72" s="75"/>
      <c r="VA72" s="75"/>
      <c r="VB72" s="75"/>
      <c r="VC72" s="75"/>
      <c r="VD72" s="75"/>
      <c r="VE72" s="75"/>
      <c r="VF72" s="75"/>
      <c r="VG72" s="75"/>
      <c r="VH72" s="75"/>
      <c r="VI72" s="75"/>
      <c r="VJ72" s="75"/>
      <c r="VK72" s="75"/>
      <c r="VL72" s="75"/>
      <c r="VM72" s="75"/>
      <c r="VN72" s="75"/>
      <c r="VO72" s="75"/>
      <c r="VP72" s="75"/>
      <c r="VQ72" s="75"/>
      <c r="VR72" s="75"/>
      <c r="VS72" s="75"/>
      <c r="VT72" s="75"/>
      <c r="VU72" s="75"/>
      <c r="VV72" s="75"/>
      <c r="VW72" s="75"/>
      <c r="VX72" s="75"/>
      <c r="VY72" s="75"/>
      <c r="VZ72" s="75"/>
      <c r="WA72" s="75"/>
      <c r="WB72" s="75"/>
      <c r="WC72" s="75"/>
      <c r="WD72" s="75"/>
      <c r="WE72" s="75"/>
      <c r="WF72" s="75"/>
      <c r="WG72" s="75"/>
      <c r="WH72" s="75"/>
      <c r="WI72" s="75"/>
      <c r="WJ72" s="75"/>
      <c r="WK72" s="75"/>
      <c r="WL72" s="75"/>
      <c r="WM72" s="75"/>
      <c r="WN72" s="75"/>
      <c r="WO72" s="75"/>
      <c r="WP72" s="75"/>
      <c r="WQ72" s="75"/>
      <c r="WR72" s="75"/>
      <c r="WS72" s="75"/>
      <c r="WT72" s="75"/>
      <c r="WU72" s="75"/>
      <c r="WV72" s="75"/>
      <c r="WW72" s="75"/>
      <c r="WX72" s="75"/>
      <c r="WY72" s="75"/>
      <c r="WZ72" s="75"/>
      <c r="XA72" s="75"/>
      <c r="XB72" s="75"/>
      <c r="XC72" s="75"/>
      <c r="XD72" s="75"/>
      <c r="XE72" s="75"/>
      <c r="XF72" s="75"/>
      <c r="XG72" s="75"/>
      <c r="XH72" s="75"/>
      <c r="XI72" s="75"/>
      <c r="XJ72" s="75"/>
      <c r="XK72" s="75"/>
      <c r="XL72" s="75"/>
      <c r="XM72" s="75"/>
      <c r="XN72" s="75"/>
      <c r="XO72" s="75"/>
      <c r="XP72" s="75"/>
      <c r="XQ72" s="75"/>
      <c r="XR72" s="75"/>
      <c r="XS72" s="75"/>
      <c r="XT72" s="75"/>
      <c r="XU72" s="75"/>
      <c r="XV72" s="75"/>
      <c r="XW72" s="75"/>
      <c r="XX72" s="75"/>
      <c r="XY72" s="75"/>
      <c r="XZ72" s="75"/>
      <c r="YA72" s="75"/>
      <c r="YB72" s="75"/>
      <c r="YC72" s="75"/>
      <c r="YD72" s="75"/>
      <c r="YE72" s="75"/>
      <c r="YF72" s="75"/>
      <c r="YG72" s="75"/>
      <c r="YH72" s="75"/>
      <c r="YI72" s="75"/>
      <c r="YJ72" s="75"/>
      <c r="YK72" s="75"/>
      <c r="YL72" s="75"/>
      <c r="YM72" s="75"/>
      <c r="YN72" s="75"/>
      <c r="YO72" s="75"/>
      <c r="YP72" s="75"/>
      <c r="YQ72" s="75"/>
      <c r="YR72" s="75"/>
      <c r="YS72" s="75"/>
      <c r="YT72" s="75"/>
      <c r="YU72" s="75"/>
      <c r="YV72" s="75"/>
      <c r="YW72" s="75"/>
      <c r="YX72" s="75"/>
      <c r="YY72" s="75"/>
      <c r="YZ72" s="75"/>
      <c r="ZA72" s="75"/>
      <c r="ZB72" s="75"/>
      <c r="ZC72" s="75"/>
      <c r="ZD72" s="75"/>
      <c r="ZE72" s="75"/>
      <c r="ZF72" s="75"/>
      <c r="ZG72" s="75"/>
      <c r="ZH72" s="75"/>
      <c r="ZI72" s="75"/>
      <c r="ZJ72" s="75"/>
      <c r="ZK72" s="75"/>
      <c r="ZL72" s="75"/>
      <c r="ZM72" s="75"/>
      <c r="ZN72" s="75"/>
      <c r="ZO72" s="75"/>
      <c r="ZP72" s="75"/>
      <c r="ZQ72" s="75"/>
      <c r="ZR72" s="75"/>
      <c r="ZS72" s="75"/>
      <c r="ZT72" s="75"/>
      <c r="ZU72" s="75"/>
      <c r="ZV72" s="75"/>
      <c r="ZW72" s="75"/>
      <c r="ZX72" s="75"/>
      <c r="ZY72" s="75"/>
      <c r="ZZ72" s="75"/>
      <c r="AAA72" s="75"/>
      <c r="AAB72" s="75"/>
      <c r="AAC72" s="75"/>
      <c r="AAD72" s="75"/>
      <c r="AAE72" s="75"/>
      <c r="AAF72" s="75"/>
      <c r="AAG72" s="75"/>
      <c r="AAH72" s="75"/>
      <c r="AAI72" s="75"/>
      <c r="AAJ72" s="75"/>
      <c r="AAK72" s="75"/>
      <c r="AAL72" s="75"/>
      <c r="AAM72" s="75"/>
      <c r="AAN72" s="75"/>
      <c r="AAO72" s="75"/>
      <c r="AAP72" s="75"/>
      <c r="AAQ72" s="75"/>
      <c r="AAR72" s="75"/>
      <c r="AAS72" s="75"/>
      <c r="AAT72" s="75"/>
      <c r="AAU72" s="75"/>
      <c r="AAV72" s="75"/>
      <c r="AAW72" s="75"/>
      <c r="AAX72" s="75"/>
      <c r="AAY72" s="75"/>
      <c r="AAZ72" s="75"/>
      <c r="ABA72" s="75"/>
      <c r="ABB72" s="75"/>
      <c r="ABC72" s="75"/>
      <c r="ABD72" s="75"/>
      <c r="ABE72" s="75"/>
      <c r="ABF72" s="75"/>
      <c r="ABG72" s="75"/>
      <c r="ABH72" s="75"/>
      <c r="ABI72" s="75"/>
      <c r="ABJ72" s="75"/>
      <c r="ABK72" s="75"/>
      <c r="ABL72" s="75"/>
      <c r="ABM72" s="75"/>
      <c r="ABN72" s="75"/>
      <c r="ABO72" s="75"/>
      <c r="ABP72" s="75"/>
      <c r="ABQ72" s="75"/>
      <c r="ABR72" s="75"/>
      <c r="ABS72" s="75"/>
      <c r="ABT72" s="75"/>
      <c r="ABU72" s="75"/>
      <c r="ABV72" s="75"/>
      <c r="ABW72" s="75"/>
      <c r="ABX72" s="75"/>
      <c r="ABY72" s="75"/>
      <c r="ABZ72" s="75"/>
      <c r="ACA72" s="75"/>
      <c r="ACB72" s="75"/>
      <c r="ACC72" s="75"/>
      <c r="ACD72" s="75"/>
      <c r="ACE72" s="75"/>
      <c r="ACF72" s="75"/>
      <c r="ACG72" s="75"/>
      <c r="ACH72" s="75"/>
      <c r="ACI72" s="75"/>
      <c r="ACJ72" s="75"/>
      <c r="ACK72" s="75"/>
      <c r="ACL72" s="75"/>
      <c r="ACM72" s="75"/>
      <c r="ACN72" s="75"/>
      <c r="ACO72" s="75"/>
      <c r="ACP72" s="75"/>
      <c r="ACQ72" s="75"/>
      <c r="ACR72" s="75"/>
      <c r="ACS72" s="75"/>
      <c r="ACT72" s="75"/>
      <c r="ACU72" s="75"/>
      <c r="ACV72" s="75"/>
      <c r="ACW72" s="75"/>
      <c r="ACX72" s="75"/>
      <c r="ACY72" s="75"/>
      <c r="ACZ72" s="75"/>
      <c r="ADA72" s="75"/>
      <c r="ADB72" s="75"/>
      <c r="ADC72" s="75"/>
      <c r="ADD72" s="75"/>
      <c r="ADE72" s="75"/>
      <c r="ADF72" s="75"/>
      <c r="ADG72" s="75"/>
      <c r="ADH72" s="75"/>
      <c r="ADI72" s="75"/>
      <c r="ADJ72" s="75"/>
      <c r="ADK72" s="75"/>
      <c r="ADL72" s="75"/>
      <c r="ADM72" s="75"/>
      <c r="ADN72" s="75"/>
      <c r="ADO72" s="75"/>
      <c r="ADP72" s="75"/>
      <c r="ADQ72" s="75"/>
      <c r="ADR72" s="75"/>
      <c r="ADS72" s="75"/>
      <c r="ADT72" s="75"/>
      <c r="ADU72" s="75"/>
      <c r="ADV72" s="75"/>
      <c r="ADW72" s="75"/>
      <c r="ADX72" s="75"/>
      <c r="ADY72" s="75"/>
      <c r="ADZ72" s="75"/>
      <c r="AEA72" s="75"/>
      <c r="AEB72" s="75"/>
      <c r="AEC72" s="75"/>
      <c r="AED72" s="75"/>
      <c r="AEE72" s="75"/>
      <c r="AEF72" s="75"/>
      <c r="AEG72" s="75"/>
      <c r="AEH72" s="75"/>
      <c r="AEI72" s="75"/>
      <c r="AEJ72" s="75"/>
      <c r="AEK72" s="75"/>
      <c r="AEL72" s="75"/>
      <c r="AEM72" s="75"/>
      <c r="AEN72" s="75"/>
      <c r="AEO72" s="75"/>
      <c r="AEP72" s="75"/>
      <c r="AEQ72" s="75"/>
      <c r="AER72" s="75"/>
      <c r="AES72" s="75"/>
      <c r="AET72" s="75"/>
      <c r="AEU72" s="75"/>
      <c r="AEV72" s="75"/>
      <c r="AEW72" s="75"/>
      <c r="AEX72" s="75"/>
      <c r="AEY72" s="75"/>
      <c r="AEZ72" s="75"/>
      <c r="AFA72" s="75"/>
      <c r="AFB72" s="75"/>
      <c r="AFC72" s="75"/>
      <c r="AFD72" s="75"/>
      <c r="AFE72" s="75"/>
      <c r="AFF72" s="75"/>
      <c r="AFG72" s="75"/>
      <c r="AFH72" s="75"/>
      <c r="AFI72" s="75"/>
      <c r="AFJ72" s="75"/>
      <c r="AFK72" s="75"/>
      <c r="AFL72" s="75"/>
      <c r="AFM72" s="75"/>
      <c r="AFN72" s="75"/>
      <c r="AFO72" s="75"/>
      <c r="AFP72" s="75"/>
      <c r="AFQ72" s="75"/>
      <c r="AFR72" s="75"/>
      <c r="AFS72" s="75"/>
      <c r="AFT72" s="75"/>
      <c r="AFU72" s="75"/>
      <c r="AFV72" s="75"/>
      <c r="AFW72" s="75"/>
      <c r="AFX72" s="75"/>
      <c r="AFY72" s="75"/>
      <c r="AFZ72" s="75"/>
      <c r="AGA72" s="75"/>
      <c r="AGB72" s="75"/>
      <c r="AGC72" s="75"/>
      <c r="AGD72" s="75"/>
      <c r="AGE72" s="75"/>
      <c r="AGF72" s="75"/>
      <c r="AGG72" s="75"/>
      <c r="AGH72" s="75"/>
      <c r="AGI72" s="75"/>
      <c r="AGJ72" s="75"/>
      <c r="AGK72" s="75"/>
      <c r="AGL72" s="75"/>
      <c r="AGM72" s="75"/>
      <c r="AGN72" s="75"/>
      <c r="AGO72" s="75"/>
      <c r="AGP72" s="75"/>
      <c r="AGQ72" s="75"/>
      <c r="AGR72" s="75"/>
      <c r="AGS72" s="75"/>
      <c r="AGT72" s="75"/>
      <c r="AGU72" s="75"/>
      <c r="AGV72" s="75"/>
      <c r="AGW72" s="75"/>
      <c r="AGX72" s="75"/>
      <c r="AGY72" s="75"/>
      <c r="AGZ72" s="75"/>
      <c r="AHA72" s="75"/>
      <c r="AHB72" s="75"/>
      <c r="AHC72" s="75"/>
      <c r="AHD72" s="75"/>
      <c r="AHE72" s="75"/>
      <c r="AHF72" s="75"/>
      <c r="AHG72" s="75"/>
      <c r="AHH72" s="75"/>
      <c r="AHI72" s="75"/>
      <c r="AHJ72" s="75"/>
      <c r="AHK72" s="75"/>
      <c r="AHL72" s="75"/>
      <c r="AHM72" s="75"/>
      <c r="AHN72" s="75"/>
      <c r="AHO72" s="75"/>
      <c r="AHP72" s="75"/>
      <c r="AHQ72" s="75"/>
      <c r="AHR72" s="75"/>
      <c r="AHS72" s="75"/>
      <c r="AHT72" s="75"/>
      <c r="AHU72" s="75"/>
      <c r="AHV72" s="75"/>
      <c r="AHW72" s="75"/>
      <c r="AHX72" s="75"/>
      <c r="AHY72" s="75"/>
      <c r="AHZ72" s="75"/>
      <c r="AIA72" s="75"/>
      <c r="AIB72" s="75"/>
      <c r="AIC72" s="75"/>
      <c r="AID72" s="75"/>
      <c r="AIE72" s="75"/>
      <c r="AIF72" s="75"/>
      <c r="AIG72" s="75"/>
      <c r="AIH72" s="75"/>
      <c r="AII72" s="75"/>
      <c r="AIJ72" s="75"/>
      <c r="AIK72" s="75"/>
      <c r="AIL72" s="75"/>
      <c r="AIM72" s="75"/>
      <c r="AIN72" s="75"/>
      <c r="AIO72" s="75"/>
      <c r="AIP72" s="75"/>
      <c r="AIQ72" s="75"/>
      <c r="AIR72" s="75"/>
      <c r="AIS72" s="75"/>
      <c r="AIT72" s="75"/>
      <c r="AIU72" s="75"/>
      <c r="AIV72" s="75"/>
      <c r="AIW72" s="75"/>
      <c r="AIX72" s="75"/>
      <c r="AIY72" s="75"/>
      <c r="AIZ72" s="75"/>
      <c r="AJA72" s="75"/>
      <c r="AJB72" s="75"/>
      <c r="AJC72" s="75"/>
      <c r="AJD72" s="75"/>
      <c r="AJE72" s="75"/>
      <c r="AJF72" s="75"/>
      <c r="AJG72" s="75"/>
      <c r="AJH72" s="75"/>
      <c r="AJI72" s="75"/>
      <c r="AJJ72" s="75"/>
      <c r="AJK72" s="75"/>
      <c r="AJL72" s="75"/>
      <c r="AJM72" s="75"/>
      <c r="AJN72" s="75"/>
      <c r="AJO72" s="75"/>
      <c r="AJP72" s="75"/>
      <c r="AJQ72" s="75"/>
      <c r="AJR72" s="75"/>
      <c r="AJS72" s="75"/>
      <c r="AJT72" s="75"/>
      <c r="AJU72" s="75"/>
      <c r="AJV72" s="75"/>
      <c r="AJW72" s="75"/>
      <c r="AJX72" s="75"/>
      <c r="AJY72" s="75"/>
      <c r="AJZ72" s="75"/>
      <c r="AKA72" s="75"/>
      <c r="AKB72" s="75"/>
      <c r="AKC72" s="75"/>
      <c r="AKD72" s="75"/>
      <c r="AKE72" s="75"/>
      <c r="AKF72" s="75"/>
      <c r="AKG72" s="75"/>
      <c r="AKH72" s="75"/>
      <c r="AKI72" s="75"/>
      <c r="AKJ72" s="75"/>
      <c r="AKK72" s="75"/>
      <c r="AKL72" s="75"/>
      <c r="AKM72" s="75"/>
      <c r="AKN72" s="75"/>
      <c r="AKO72" s="75"/>
      <c r="AKP72" s="75"/>
      <c r="AKQ72" s="75"/>
      <c r="AKR72" s="75"/>
      <c r="AKS72" s="75"/>
      <c r="AKT72" s="75"/>
      <c r="AKU72" s="75"/>
      <c r="AKV72" s="75"/>
      <c r="AKW72" s="75"/>
      <c r="AKX72" s="75"/>
      <c r="AKY72" s="75"/>
      <c r="AKZ72" s="75"/>
      <c r="ALA72" s="75"/>
      <c r="ALB72" s="75"/>
      <c r="ALC72" s="75"/>
      <c r="ALD72" s="75"/>
      <c r="ALE72" s="75"/>
      <c r="ALF72" s="75"/>
      <c r="ALG72" s="75"/>
      <c r="ALH72" s="75"/>
      <c r="ALI72" s="75"/>
      <c r="ALJ72" s="75"/>
      <c r="ALK72" s="75"/>
      <c r="ALL72" s="75"/>
      <c r="ALM72" s="75"/>
      <c r="ALN72" s="75"/>
      <c r="ALO72" s="75"/>
      <c r="ALP72" s="75"/>
      <c r="ALQ72" s="75"/>
      <c r="ALR72" s="75"/>
      <c r="ALS72" s="75"/>
      <c r="ALT72" s="75"/>
      <c r="ALU72" s="75"/>
      <c r="ALV72" s="75"/>
      <c r="ALW72" s="75"/>
      <c r="ALX72" s="75"/>
      <c r="ALY72" s="75"/>
      <c r="ALZ72" s="75"/>
      <c r="AMA72" s="75"/>
      <c r="AMB72" s="75"/>
      <c r="AMC72" s="75"/>
      <c r="AMD72" s="75"/>
      <c r="AME72" s="75"/>
      <c r="AMF72" s="75"/>
      <c r="AMG72" s="75"/>
      <c r="AMH72" s="75"/>
      <c r="AMI72" s="75"/>
      <c r="AMJ72" s="75"/>
    </row>
    <row r="73" spans="12:1024" ht="15.95" customHeight="1" x14ac:dyDescent="0.2">
      <c r="L73" s="75"/>
      <c r="M73" s="76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  <c r="CO73" s="75"/>
      <c r="CP73" s="75"/>
      <c r="CQ73" s="75"/>
      <c r="CR73" s="75"/>
      <c r="CS73" s="75"/>
      <c r="CT73" s="75"/>
      <c r="CU73" s="75"/>
      <c r="CV73" s="75"/>
      <c r="CW73" s="75"/>
      <c r="CX73" s="75"/>
      <c r="CY73" s="75"/>
      <c r="CZ73" s="75"/>
      <c r="DA73" s="75"/>
      <c r="DB73" s="75"/>
      <c r="DC73" s="75"/>
      <c r="DD73" s="75"/>
      <c r="DE73" s="75"/>
      <c r="DF73" s="75"/>
      <c r="DG73" s="75"/>
      <c r="DH73" s="75"/>
      <c r="DI73" s="75"/>
      <c r="DJ73" s="75"/>
      <c r="DK73" s="75"/>
      <c r="DL73" s="75"/>
      <c r="DM73" s="75"/>
      <c r="DN73" s="75"/>
      <c r="DO73" s="75"/>
      <c r="DP73" s="75"/>
      <c r="DQ73" s="75"/>
      <c r="DR73" s="75"/>
      <c r="DS73" s="75"/>
      <c r="DT73" s="75"/>
      <c r="DU73" s="75"/>
      <c r="DV73" s="75"/>
      <c r="DW73" s="75"/>
      <c r="DX73" s="75"/>
      <c r="DY73" s="75"/>
      <c r="DZ73" s="75"/>
      <c r="EA73" s="75"/>
      <c r="EB73" s="75"/>
      <c r="EC73" s="75"/>
      <c r="ED73" s="75"/>
      <c r="EE73" s="75"/>
      <c r="EF73" s="75"/>
      <c r="EG73" s="75"/>
      <c r="EH73" s="75"/>
      <c r="EI73" s="75"/>
      <c r="EJ73" s="75"/>
      <c r="EK73" s="75"/>
      <c r="EL73" s="75"/>
      <c r="EM73" s="75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75"/>
      <c r="FF73" s="75"/>
      <c r="FG73" s="75"/>
      <c r="FH73" s="75"/>
      <c r="FI73" s="75"/>
      <c r="FJ73" s="75"/>
      <c r="FK73" s="75"/>
      <c r="FL73" s="75"/>
      <c r="FM73" s="75"/>
      <c r="FN73" s="75"/>
      <c r="FO73" s="75"/>
      <c r="FP73" s="75"/>
      <c r="FQ73" s="75"/>
      <c r="FR73" s="75"/>
      <c r="FS73" s="75"/>
      <c r="FT73" s="75"/>
      <c r="FU73" s="75"/>
      <c r="FV73" s="75"/>
      <c r="FW73" s="75"/>
      <c r="FX73" s="75"/>
      <c r="FY73" s="75"/>
      <c r="FZ73" s="75"/>
      <c r="GA73" s="75"/>
      <c r="GB73" s="75"/>
      <c r="GC73" s="75"/>
      <c r="GD73" s="75"/>
      <c r="GE73" s="75"/>
      <c r="GF73" s="75"/>
      <c r="GG73" s="75"/>
      <c r="GH73" s="75"/>
      <c r="GI73" s="75"/>
      <c r="GJ73" s="75"/>
      <c r="GK73" s="75"/>
      <c r="GL73" s="75"/>
      <c r="GM73" s="75"/>
      <c r="GN73" s="75"/>
      <c r="GO73" s="75"/>
      <c r="GP73" s="75"/>
      <c r="GQ73" s="75"/>
      <c r="GR73" s="75"/>
      <c r="GS73" s="75"/>
      <c r="GT73" s="75"/>
      <c r="GU73" s="75"/>
      <c r="GV73" s="75"/>
      <c r="GW73" s="75"/>
      <c r="GX73" s="75"/>
      <c r="GY73" s="75"/>
      <c r="GZ73" s="75"/>
      <c r="HA73" s="75"/>
      <c r="HB73" s="75"/>
      <c r="HC73" s="75"/>
      <c r="HD73" s="75"/>
      <c r="HE73" s="75"/>
      <c r="HF73" s="75"/>
      <c r="HG73" s="75"/>
      <c r="HH73" s="75"/>
      <c r="HI73" s="75"/>
      <c r="HJ73" s="75"/>
      <c r="HK73" s="75"/>
      <c r="HL73" s="75"/>
      <c r="HM73" s="75"/>
      <c r="HN73" s="75"/>
      <c r="HO73" s="75"/>
      <c r="HP73" s="75"/>
      <c r="HQ73" s="75"/>
      <c r="HR73" s="75"/>
      <c r="HS73" s="75"/>
      <c r="HT73" s="75"/>
      <c r="HU73" s="75"/>
      <c r="HV73" s="75"/>
      <c r="HW73" s="75"/>
      <c r="HX73" s="75"/>
      <c r="HY73" s="75"/>
      <c r="HZ73" s="75"/>
      <c r="IA73" s="75"/>
      <c r="IB73" s="75"/>
      <c r="IC73" s="75"/>
      <c r="ID73" s="75"/>
      <c r="IE73" s="75"/>
      <c r="IF73" s="75"/>
      <c r="IG73" s="75"/>
      <c r="IH73" s="75"/>
      <c r="II73" s="75"/>
      <c r="IJ73" s="75"/>
      <c r="IK73" s="75"/>
      <c r="IL73" s="75"/>
      <c r="IM73" s="75"/>
      <c r="IN73" s="75"/>
      <c r="IO73" s="75"/>
      <c r="IP73" s="75"/>
      <c r="IQ73" s="75"/>
      <c r="IR73" s="75"/>
      <c r="IS73" s="75"/>
      <c r="IT73" s="75"/>
      <c r="IU73" s="75"/>
      <c r="IV73" s="75"/>
      <c r="IW73" s="75"/>
      <c r="IX73" s="75"/>
      <c r="IY73" s="75"/>
      <c r="IZ73" s="75"/>
      <c r="JA73" s="75"/>
      <c r="JB73" s="75"/>
      <c r="JC73" s="75"/>
      <c r="JD73" s="75"/>
      <c r="JE73" s="75"/>
      <c r="JF73" s="75"/>
      <c r="JG73" s="75"/>
      <c r="JH73" s="75"/>
      <c r="JI73" s="75"/>
      <c r="JJ73" s="75"/>
      <c r="JK73" s="75"/>
      <c r="JL73" s="75"/>
      <c r="JM73" s="75"/>
      <c r="JN73" s="75"/>
      <c r="JO73" s="75"/>
      <c r="JP73" s="75"/>
      <c r="JQ73" s="75"/>
      <c r="JR73" s="75"/>
      <c r="JS73" s="75"/>
      <c r="JT73" s="75"/>
      <c r="JU73" s="75"/>
      <c r="JV73" s="75"/>
      <c r="JW73" s="75"/>
      <c r="JX73" s="75"/>
      <c r="JY73" s="75"/>
      <c r="JZ73" s="75"/>
      <c r="KA73" s="75"/>
      <c r="KB73" s="75"/>
      <c r="KC73" s="75"/>
      <c r="KD73" s="75"/>
      <c r="KE73" s="75"/>
      <c r="KF73" s="75"/>
      <c r="KG73" s="75"/>
      <c r="KH73" s="75"/>
      <c r="KI73" s="75"/>
      <c r="KJ73" s="75"/>
      <c r="KK73" s="75"/>
      <c r="KL73" s="75"/>
      <c r="KM73" s="75"/>
      <c r="KN73" s="75"/>
      <c r="KO73" s="75"/>
      <c r="KP73" s="75"/>
      <c r="KQ73" s="75"/>
      <c r="KR73" s="75"/>
      <c r="KS73" s="75"/>
      <c r="KT73" s="75"/>
      <c r="KU73" s="75"/>
      <c r="KV73" s="75"/>
      <c r="KW73" s="75"/>
      <c r="KX73" s="75"/>
      <c r="KY73" s="75"/>
      <c r="KZ73" s="75"/>
      <c r="LA73" s="75"/>
      <c r="LB73" s="75"/>
      <c r="LC73" s="75"/>
      <c r="LD73" s="75"/>
      <c r="LE73" s="75"/>
      <c r="LF73" s="75"/>
      <c r="LG73" s="75"/>
      <c r="LH73" s="75"/>
      <c r="LI73" s="75"/>
      <c r="LJ73" s="75"/>
      <c r="LK73" s="75"/>
      <c r="LL73" s="75"/>
      <c r="LM73" s="75"/>
      <c r="LN73" s="75"/>
      <c r="LO73" s="75"/>
      <c r="LP73" s="75"/>
      <c r="LQ73" s="75"/>
      <c r="LR73" s="75"/>
      <c r="LS73" s="75"/>
      <c r="LT73" s="75"/>
      <c r="LU73" s="75"/>
      <c r="LV73" s="75"/>
      <c r="LW73" s="75"/>
      <c r="LX73" s="75"/>
      <c r="LY73" s="75"/>
      <c r="LZ73" s="75"/>
      <c r="MA73" s="75"/>
      <c r="MB73" s="75"/>
      <c r="MC73" s="75"/>
      <c r="MD73" s="75"/>
      <c r="ME73" s="75"/>
      <c r="MF73" s="75"/>
      <c r="MG73" s="75"/>
      <c r="MH73" s="75"/>
      <c r="MI73" s="75"/>
      <c r="MJ73" s="75"/>
      <c r="MK73" s="75"/>
      <c r="ML73" s="75"/>
      <c r="MM73" s="75"/>
      <c r="MN73" s="75"/>
      <c r="MO73" s="75"/>
      <c r="MP73" s="75"/>
      <c r="MQ73" s="75"/>
      <c r="MR73" s="75"/>
      <c r="MS73" s="75"/>
      <c r="MT73" s="75"/>
      <c r="MU73" s="75"/>
      <c r="MV73" s="75"/>
      <c r="MW73" s="75"/>
      <c r="MX73" s="75"/>
      <c r="MY73" s="75"/>
      <c r="MZ73" s="75"/>
      <c r="NA73" s="75"/>
      <c r="NB73" s="75"/>
      <c r="NC73" s="75"/>
      <c r="ND73" s="75"/>
      <c r="NE73" s="75"/>
      <c r="NF73" s="75"/>
      <c r="NG73" s="75"/>
      <c r="NH73" s="75"/>
      <c r="NI73" s="75"/>
      <c r="NJ73" s="75"/>
      <c r="NK73" s="75"/>
      <c r="NL73" s="75"/>
      <c r="NM73" s="75"/>
      <c r="NN73" s="75"/>
      <c r="NO73" s="75"/>
      <c r="NP73" s="75"/>
      <c r="NQ73" s="75"/>
      <c r="NR73" s="75"/>
      <c r="NS73" s="75"/>
      <c r="NT73" s="75"/>
      <c r="NU73" s="75"/>
      <c r="NV73" s="75"/>
      <c r="NW73" s="75"/>
      <c r="NX73" s="75"/>
      <c r="NY73" s="75"/>
      <c r="NZ73" s="75"/>
      <c r="OA73" s="75"/>
      <c r="OB73" s="75"/>
      <c r="OC73" s="75"/>
      <c r="OD73" s="75"/>
      <c r="OE73" s="75"/>
      <c r="OF73" s="75"/>
      <c r="OG73" s="75"/>
      <c r="OH73" s="75"/>
      <c r="OI73" s="75"/>
      <c r="OJ73" s="75"/>
      <c r="OK73" s="75"/>
      <c r="OL73" s="75"/>
      <c r="OM73" s="75"/>
      <c r="ON73" s="75"/>
      <c r="OO73" s="75"/>
      <c r="OP73" s="75"/>
      <c r="OQ73" s="75"/>
      <c r="OR73" s="75"/>
      <c r="OS73" s="75"/>
      <c r="OT73" s="75"/>
      <c r="OU73" s="75"/>
      <c r="OV73" s="75"/>
      <c r="OW73" s="75"/>
      <c r="OX73" s="75"/>
      <c r="OY73" s="75"/>
      <c r="OZ73" s="75"/>
      <c r="PA73" s="75"/>
      <c r="PB73" s="75"/>
      <c r="PC73" s="75"/>
      <c r="PD73" s="75"/>
      <c r="PE73" s="75"/>
      <c r="PF73" s="75"/>
      <c r="PG73" s="75"/>
      <c r="PH73" s="75"/>
      <c r="PI73" s="75"/>
      <c r="PJ73" s="75"/>
      <c r="PK73" s="75"/>
      <c r="PL73" s="75"/>
      <c r="PM73" s="75"/>
      <c r="PN73" s="75"/>
      <c r="PO73" s="75"/>
      <c r="PP73" s="75"/>
      <c r="PQ73" s="75"/>
      <c r="PR73" s="75"/>
      <c r="PS73" s="75"/>
      <c r="PT73" s="75"/>
      <c r="PU73" s="75"/>
      <c r="PV73" s="75"/>
      <c r="PW73" s="75"/>
      <c r="PX73" s="75"/>
      <c r="PY73" s="75"/>
      <c r="PZ73" s="75"/>
      <c r="QA73" s="75"/>
      <c r="QB73" s="75"/>
      <c r="QC73" s="75"/>
      <c r="QD73" s="75"/>
      <c r="QE73" s="75"/>
      <c r="QF73" s="75"/>
      <c r="QG73" s="75"/>
      <c r="QH73" s="75"/>
      <c r="QI73" s="75"/>
      <c r="QJ73" s="75"/>
      <c r="QK73" s="75"/>
      <c r="QL73" s="75"/>
      <c r="QM73" s="75"/>
      <c r="QN73" s="75"/>
      <c r="QO73" s="75"/>
      <c r="QP73" s="75"/>
      <c r="QQ73" s="75"/>
      <c r="QR73" s="75"/>
      <c r="QS73" s="75"/>
      <c r="QT73" s="75"/>
      <c r="QU73" s="75"/>
      <c r="QV73" s="75"/>
      <c r="QW73" s="75"/>
      <c r="QX73" s="75"/>
      <c r="QY73" s="75"/>
      <c r="QZ73" s="75"/>
      <c r="RA73" s="75"/>
      <c r="RB73" s="75"/>
      <c r="RC73" s="75"/>
      <c r="RD73" s="75"/>
      <c r="RE73" s="75"/>
      <c r="RF73" s="75"/>
      <c r="RG73" s="75"/>
      <c r="RH73" s="75"/>
      <c r="RI73" s="75"/>
      <c r="RJ73" s="75"/>
      <c r="RK73" s="75"/>
      <c r="RL73" s="75"/>
      <c r="RM73" s="75"/>
      <c r="RN73" s="75"/>
      <c r="RO73" s="75"/>
      <c r="RP73" s="75"/>
      <c r="RQ73" s="75"/>
      <c r="RR73" s="75"/>
      <c r="RS73" s="75"/>
      <c r="RT73" s="75"/>
      <c r="RU73" s="75"/>
      <c r="RV73" s="75"/>
      <c r="RW73" s="75"/>
      <c r="RX73" s="75"/>
      <c r="RY73" s="75"/>
      <c r="RZ73" s="75"/>
      <c r="SA73" s="75"/>
      <c r="SB73" s="75"/>
      <c r="SC73" s="75"/>
      <c r="SD73" s="75"/>
      <c r="SE73" s="75"/>
      <c r="SF73" s="75"/>
      <c r="SG73" s="75"/>
      <c r="SH73" s="75"/>
      <c r="SI73" s="75"/>
      <c r="SJ73" s="75"/>
      <c r="SK73" s="75"/>
      <c r="SL73" s="75"/>
      <c r="SM73" s="75"/>
      <c r="SN73" s="75"/>
      <c r="SO73" s="75"/>
      <c r="SP73" s="75"/>
      <c r="SQ73" s="75"/>
      <c r="SR73" s="75"/>
      <c r="SS73" s="75"/>
      <c r="ST73" s="75"/>
      <c r="SU73" s="75"/>
      <c r="SV73" s="75"/>
      <c r="SW73" s="75"/>
      <c r="SX73" s="75"/>
      <c r="SY73" s="75"/>
      <c r="SZ73" s="75"/>
      <c r="TA73" s="75"/>
      <c r="TB73" s="75"/>
      <c r="TC73" s="75"/>
      <c r="TD73" s="75"/>
      <c r="TE73" s="75"/>
      <c r="TF73" s="75"/>
      <c r="TG73" s="75"/>
      <c r="TH73" s="75"/>
      <c r="TI73" s="75"/>
      <c r="TJ73" s="75"/>
      <c r="TK73" s="75"/>
      <c r="TL73" s="75"/>
      <c r="TM73" s="75"/>
      <c r="TN73" s="75"/>
      <c r="TO73" s="75"/>
      <c r="TP73" s="75"/>
      <c r="TQ73" s="75"/>
      <c r="TR73" s="75"/>
      <c r="TS73" s="75"/>
      <c r="TT73" s="75"/>
      <c r="TU73" s="75"/>
      <c r="TV73" s="75"/>
      <c r="TW73" s="75"/>
      <c r="TX73" s="75"/>
      <c r="TY73" s="75"/>
      <c r="TZ73" s="75"/>
      <c r="UA73" s="75"/>
      <c r="UB73" s="75"/>
      <c r="UC73" s="75"/>
      <c r="UD73" s="75"/>
      <c r="UE73" s="75"/>
      <c r="UF73" s="75"/>
      <c r="UG73" s="75"/>
      <c r="UH73" s="75"/>
      <c r="UI73" s="75"/>
      <c r="UJ73" s="75"/>
      <c r="UK73" s="75"/>
      <c r="UL73" s="75"/>
      <c r="UM73" s="75"/>
      <c r="UN73" s="75"/>
      <c r="UO73" s="75"/>
      <c r="UP73" s="75"/>
      <c r="UQ73" s="75"/>
      <c r="UR73" s="75"/>
      <c r="US73" s="75"/>
      <c r="UT73" s="75"/>
      <c r="UU73" s="75"/>
      <c r="UV73" s="75"/>
      <c r="UW73" s="75"/>
      <c r="UX73" s="75"/>
      <c r="UY73" s="75"/>
      <c r="UZ73" s="75"/>
      <c r="VA73" s="75"/>
      <c r="VB73" s="75"/>
      <c r="VC73" s="75"/>
      <c r="VD73" s="75"/>
      <c r="VE73" s="75"/>
      <c r="VF73" s="75"/>
      <c r="VG73" s="75"/>
      <c r="VH73" s="75"/>
      <c r="VI73" s="75"/>
      <c r="VJ73" s="75"/>
      <c r="VK73" s="75"/>
      <c r="VL73" s="75"/>
      <c r="VM73" s="75"/>
      <c r="VN73" s="75"/>
      <c r="VO73" s="75"/>
      <c r="VP73" s="75"/>
      <c r="VQ73" s="75"/>
      <c r="VR73" s="75"/>
      <c r="VS73" s="75"/>
      <c r="VT73" s="75"/>
      <c r="VU73" s="75"/>
      <c r="VV73" s="75"/>
      <c r="VW73" s="75"/>
      <c r="VX73" s="75"/>
      <c r="VY73" s="75"/>
      <c r="VZ73" s="75"/>
      <c r="WA73" s="75"/>
      <c r="WB73" s="75"/>
      <c r="WC73" s="75"/>
      <c r="WD73" s="75"/>
      <c r="WE73" s="75"/>
      <c r="WF73" s="75"/>
      <c r="WG73" s="75"/>
      <c r="WH73" s="75"/>
      <c r="WI73" s="75"/>
      <c r="WJ73" s="75"/>
      <c r="WK73" s="75"/>
      <c r="WL73" s="75"/>
      <c r="WM73" s="75"/>
      <c r="WN73" s="75"/>
      <c r="WO73" s="75"/>
      <c r="WP73" s="75"/>
      <c r="WQ73" s="75"/>
      <c r="WR73" s="75"/>
      <c r="WS73" s="75"/>
      <c r="WT73" s="75"/>
      <c r="WU73" s="75"/>
      <c r="WV73" s="75"/>
      <c r="WW73" s="75"/>
      <c r="WX73" s="75"/>
      <c r="WY73" s="75"/>
      <c r="WZ73" s="75"/>
      <c r="XA73" s="75"/>
      <c r="XB73" s="75"/>
      <c r="XC73" s="75"/>
      <c r="XD73" s="75"/>
      <c r="XE73" s="75"/>
      <c r="XF73" s="75"/>
      <c r="XG73" s="75"/>
      <c r="XH73" s="75"/>
      <c r="XI73" s="75"/>
      <c r="XJ73" s="75"/>
      <c r="XK73" s="75"/>
      <c r="XL73" s="75"/>
      <c r="XM73" s="75"/>
      <c r="XN73" s="75"/>
      <c r="XO73" s="75"/>
      <c r="XP73" s="75"/>
      <c r="XQ73" s="75"/>
      <c r="XR73" s="75"/>
      <c r="XS73" s="75"/>
      <c r="XT73" s="75"/>
      <c r="XU73" s="75"/>
      <c r="XV73" s="75"/>
      <c r="XW73" s="75"/>
      <c r="XX73" s="75"/>
      <c r="XY73" s="75"/>
      <c r="XZ73" s="75"/>
      <c r="YA73" s="75"/>
      <c r="YB73" s="75"/>
      <c r="YC73" s="75"/>
      <c r="YD73" s="75"/>
      <c r="YE73" s="75"/>
      <c r="YF73" s="75"/>
      <c r="YG73" s="75"/>
      <c r="YH73" s="75"/>
      <c r="YI73" s="75"/>
      <c r="YJ73" s="75"/>
      <c r="YK73" s="75"/>
      <c r="YL73" s="75"/>
      <c r="YM73" s="75"/>
      <c r="YN73" s="75"/>
      <c r="YO73" s="75"/>
      <c r="YP73" s="75"/>
      <c r="YQ73" s="75"/>
      <c r="YR73" s="75"/>
      <c r="YS73" s="75"/>
      <c r="YT73" s="75"/>
      <c r="YU73" s="75"/>
      <c r="YV73" s="75"/>
      <c r="YW73" s="75"/>
      <c r="YX73" s="75"/>
      <c r="YY73" s="75"/>
      <c r="YZ73" s="75"/>
      <c r="ZA73" s="75"/>
      <c r="ZB73" s="75"/>
      <c r="ZC73" s="75"/>
      <c r="ZD73" s="75"/>
      <c r="ZE73" s="75"/>
      <c r="ZF73" s="75"/>
      <c r="ZG73" s="75"/>
      <c r="ZH73" s="75"/>
      <c r="ZI73" s="75"/>
      <c r="ZJ73" s="75"/>
      <c r="ZK73" s="75"/>
      <c r="ZL73" s="75"/>
      <c r="ZM73" s="75"/>
      <c r="ZN73" s="75"/>
      <c r="ZO73" s="75"/>
      <c r="ZP73" s="75"/>
      <c r="ZQ73" s="75"/>
      <c r="ZR73" s="75"/>
      <c r="ZS73" s="75"/>
      <c r="ZT73" s="75"/>
      <c r="ZU73" s="75"/>
      <c r="ZV73" s="75"/>
      <c r="ZW73" s="75"/>
      <c r="ZX73" s="75"/>
      <c r="ZY73" s="75"/>
      <c r="ZZ73" s="75"/>
      <c r="AAA73" s="75"/>
      <c r="AAB73" s="75"/>
      <c r="AAC73" s="75"/>
      <c r="AAD73" s="75"/>
      <c r="AAE73" s="75"/>
      <c r="AAF73" s="75"/>
      <c r="AAG73" s="75"/>
      <c r="AAH73" s="75"/>
      <c r="AAI73" s="75"/>
      <c r="AAJ73" s="75"/>
      <c r="AAK73" s="75"/>
      <c r="AAL73" s="75"/>
      <c r="AAM73" s="75"/>
      <c r="AAN73" s="75"/>
      <c r="AAO73" s="75"/>
      <c r="AAP73" s="75"/>
      <c r="AAQ73" s="75"/>
      <c r="AAR73" s="75"/>
      <c r="AAS73" s="75"/>
      <c r="AAT73" s="75"/>
      <c r="AAU73" s="75"/>
      <c r="AAV73" s="75"/>
      <c r="AAW73" s="75"/>
      <c r="AAX73" s="75"/>
      <c r="AAY73" s="75"/>
      <c r="AAZ73" s="75"/>
      <c r="ABA73" s="75"/>
      <c r="ABB73" s="75"/>
      <c r="ABC73" s="75"/>
      <c r="ABD73" s="75"/>
      <c r="ABE73" s="75"/>
      <c r="ABF73" s="75"/>
      <c r="ABG73" s="75"/>
      <c r="ABH73" s="75"/>
      <c r="ABI73" s="75"/>
      <c r="ABJ73" s="75"/>
      <c r="ABK73" s="75"/>
      <c r="ABL73" s="75"/>
      <c r="ABM73" s="75"/>
      <c r="ABN73" s="75"/>
      <c r="ABO73" s="75"/>
      <c r="ABP73" s="75"/>
      <c r="ABQ73" s="75"/>
      <c r="ABR73" s="75"/>
      <c r="ABS73" s="75"/>
      <c r="ABT73" s="75"/>
      <c r="ABU73" s="75"/>
      <c r="ABV73" s="75"/>
      <c r="ABW73" s="75"/>
      <c r="ABX73" s="75"/>
      <c r="ABY73" s="75"/>
      <c r="ABZ73" s="75"/>
      <c r="ACA73" s="75"/>
      <c r="ACB73" s="75"/>
      <c r="ACC73" s="75"/>
      <c r="ACD73" s="75"/>
      <c r="ACE73" s="75"/>
      <c r="ACF73" s="75"/>
      <c r="ACG73" s="75"/>
      <c r="ACH73" s="75"/>
      <c r="ACI73" s="75"/>
      <c r="ACJ73" s="75"/>
      <c r="ACK73" s="75"/>
      <c r="ACL73" s="75"/>
      <c r="ACM73" s="75"/>
      <c r="ACN73" s="75"/>
      <c r="ACO73" s="75"/>
      <c r="ACP73" s="75"/>
      <c r="ACQ73" s="75"/>
      <c r="ACR73" s="75"/>
      <c r="ACS73" s="75"/>
      <c r="ACT73" s="75"/>
      <c r="ACU73" s="75"/>
      <c r="ACV73" s="75"/>
      <c r="ACW73" s="75"/>
      <c r="ACX73" s="75"/>
      <c r="ACY73" s="75"/>
      <c r="ACZ73" s="75"/>
      <c r="ADA73" s="75"/>
      <c r="ADB73" s="75"/>
      <c r="ADC73" s="75"/>
      <c r="ADD73" s="75"/>
      <c r="ADE73" s="75"/>
      <c r="ADF73" s="75"/>
      <c r="ADG73" s="75"/>
      <c r="ADH73" s="75"/>
      <c r="ADI73" s="75"/>
      <c r="ADJ73" s="75"/>
      <c r="ADK73" s="75"/>
      <c r="ADL73" s="75"/>
      <c r="ADM73" s="75"/>
      <c r="ADN73" s="75"/>
      <c r="ADO73" s="75"/>
      <c r="ADP73" s="75"/>
      <c r="ADQ73" s="75"/>
      <c r="ADR73" s="75"/>
      <c r="ADS73" s="75"/>
      <c r="ADT73" s="75"/>
      <c r="ADU73" s="75"/>
      <c r="ADV73" s="75"/>
      <c r="ADW73" s="75"/>
      <c r="ADX73" s="75"/>
      <c r="ADY73" s="75"/>
      <c r="ADZ73" s="75"/>
      <c r="AEA73" s="75"/>
      <c r="AEB73" s="75"/>
      <c r="AEC73" s="75"/>
      <c r="AED73" s="75"/>
      <c r="AEE73" s="75"/>
      <c r="AEF73" s="75"/>
      <c r="AEG73" s="75"/>
      <c r="AEH73" s="75"/>
      <c r="AEI73" s="75"/>
      <c r="AEJ73" s="75"/>
      <c r="AEK73" s="75"/>
      <c r="AEL73" s="75"/>
      <c r="AEM73" s="75"/>
      <c r="AEN73" s="75"/>
      <c r="AEO73" s="75"/>
      <c r="AEP73" s="75"/>
      <c r="AEQ73" s="75"/>
      <c r="AER73" s="75"/>
      <c r="AES73" s="75"/>
      <c r="AET73" s="75"/>
      <c r="AEU73" s="75"/>
      <c r="AEV73" s="75"/>
      <c r="AEW73" s="75"/>
      <c r="AEX73" s="75"/>
      <c r="AEY73" s="75"/>
      <c r="AEZ73" s="75"/>
      <c r="AFA73" s="75"/>
      <c r="AFB73" s="75"/>
      <c r="AFC73" s="75"/>
      <c r="AFD73" s="75"/>
      <c r="AFE73" s="75"/>
      <c r="AFF73" s="75"/>
      <c r="AFG73" s="75"/>
      <c r="AFH73" s="75"/>
      <c r="AFI73" s="75"/>
      <c r="AFJ73" s="75"/>
      <c r="AFK73" s="75"/>
      <c r="AFL73" s="75"/>
      <c r="AFM73" s="75"/>
      <c r="AFN73" s="75"/>
      <c r="AFO73" s="75"/>
      <c r="AFP73" s="75"/>
      <c r="AFQ73" s="75"/>
      <c r="AFR73" s="75"/>
      <c r="AFS73" s="75"/>
      <c r="AFT73" s="75"/>
      <c r="AFU73" s="75"/>
      <c r="AFV73" s="75"/>
      <c r="AFW73" s="75"/>
      <c r="AFX73" s="75"/>
      <c r="AFY73" s="75"/>
      <c r="AFZ73" s="75"/>
      <c r="AGA73" s="75"/>
      <c r="AGB73" s="75"/>
      <c r="AGC73" s="75"/>
      <c r="AGD73" s="75"/>
      <c r="AGE73" s="75"/>
      <c r="AGF73" s="75"/>
      <c r="AGG73" s="75"/>
      <c r="AGH73" s="75"/>
      <c r="AGI73" s="75"/>
      <c r="AGJ73" s="75"/>
      <c r="AGK73" s="75"/>
      <c r="AGL73" s="75"/>
      <c r="AGM73" s="75"/>
      <c r="AGN73" s="75"/>
      <c r="AGO73" s="75"/>
      <c r="AGP73" s="75"/>
      <c r="AGQ73" s="75"/>
      <c r="AGR73" s="75"/>
      <c r="AGS73" s="75"/>
      <c r="AGT73" s="75"/>
      <c r="AGU73" s="75"/>
      <c r="AGV73" s="75"/>
      <c r="AGW73" s="75"/>
      <c r="AGX73" s="75"/>
      <c r="AGY73" s="75"/>
      <c r="AGZ73" s="75"/>
      <c r="AHA73" s="75"/>
      <c r="AHB73" s="75"/>
      <c r="AHC73" s="75"/>
      <c r="AHD73" s="75"/>
      <c r="AHE73" s="75"/>
      <c r="AHF73" s="75"/>
      <c r="AHG73" s="75"/>
      <c r="AHH73" s="75"/>
      <c r="AHI73" s="75"/>
      <c r="AHJ73" s="75"/>
      <c r="AHK73" s="75"/>
      <c r="AHL73" s="75"/>
      <c r="AHM73" s="75"/>
      <c r="AHN73" s="75"/>
      <c r="AHO73" s="75"/>
      <c r="AHP73" s="75"/>
      <c r="AHQ73" s="75"/>
      <c r="AHR73" s="75"/>
      <c r="AHS73" s="75"/>
      <c r="AHT73" s="75"/>
      <c r="AHU73" s="75"/>
      <c r="AHV73" s="75"/>
      <c r="AHW73" s="75"/>
      <c r="AHX73" s="75"/>
      <c r="AHY73" s="75"/>
      <c r="AHZ73" s="75"/>
      <c r="AIA73" s="75"/>
      <c r="AIB73" s="75"/>
      <c r="AIC73" s="75"/>
      <c r="AID73" s="75"/>
      <c r="AIE73" s="75"/>
      <c r="AIF73" s="75"/>
      <c r="AIG73" s="75"/>
      <c r="AIH73" s="75"/>
      <c r="AII73" s="75"/>
      <c r="AIJ73" s="75"/>
      <c r="AIK73" s="75"/>
      <c r="AIL73" s="75"/>
      <c r="AIM73" s="75"/>
      <c r="AIN73" s="75"/>
      <c r="AIO73" s="75"/>
      <c r="AIP73" s="75"/>
      <c r="AIQ73" s="75"/>
      <c r="AIR73" s="75"/>
      <c r="AIS73" s="75"/>
      <c r="AIT73" s="75"/>
      <c r="AIU73" s="75"/>
      <c r="AIV73" s="75"/>
      <c r="AIW73" s="75"/>
      <c r="AIX73" s="75"/>
      <c r="AIY73" s="75"/>
      <c r="AIZ73" s="75"/>
      <c r="AJA73" s="75"/>
      <c r="AJB73" s="75"/>
      <c r="AJC73" s="75"/>
      <c r="AJD73" s="75"/>
      <c r="AJE73" s="75"/>
      <c r="AJF73" s="75"/>
      <c r="AJG73" s="75"/>
      <c r="AJH73" s="75"/>
      <c r="AJI73" s="75"/>
      <c r="AJJ73" s="75"/>
      <c r="AJK73" s="75"/>
      <c r="AJL73" s="75"/>
      <c r="AJM73" s="75"/>
      <c r="AJN73" s="75"/>
      <c r="AJO73" s="75"/>
      <c r="AJP73" s="75"/>
      <c r="AJQ73" s="75"/>
      <c r="AJR73" s="75"/>
      <c r="AJS73" s="75"/>
      <c r="AJT73" s="75"/>
      <c r="AJU73" s="75"/>
      <c r="AJV73" s="75"/>
      <c r="AJW73" s="75"/>
      <c r="AJX73" s="75"/>
      <c r="AJY73" s="75"/>
      <c r="AJZ73" s="75"/>
      <c r="AKA73" s="75"/>
      <c r="AKB73" s="75"/>
      <c r="AKC73" s="75"/>
      <c r="AKD73" s="75"/>
      <c r="AKE73" s="75"/>
      <c r="AKF73" s="75"/>
      <c r="AKG73" s="75"/>
      <c r="AKH73" s="75"/>
      <c r="AKI73" s="75"/>
      <c r="AKJ73" s="75"/>
      <c r="AKK73" s="75"/>
      <c r="AKL73" s="75"/>
      <c r="AKM73" s="75"/>
      <c r="AKN73" s="75"/>
      <c r="AKO73" s="75"/>
      <c r="AKP73" s="75"/>
      <c r="AKQ73" s="75"/>
      <c r="AKR73" s="75"/>
      <c r="AKS73" s="75"/>
      <c r="AKT73" s="75"/>
      <c r="AKU73" s="75"/>
      <c r="AKV73" s="75"/>
      <c r="AKW73" s="75"/>
      <c r="AKX73" s="75"/>
      <c r="AKY73" s="75"/>
      <c r="AKZ73" s="75"/>
      <c r="ALA73" s="75"/>
      <c r="ALB73" s="75"/>
      <c r="ALC73" s="75"/>
      <c r="ALD73" s="75"/>
      <c r="ALE73" s="75"/>
      <c r="ALF73" s="75"/>
      <c r="ALG73" s="75"/>
      <c r="ALH73" s="75"/>
      <c r="ALI73" s="75"/>
      <c r="ALJ73" s="75"/>
      <c r="ALK73" s="75"/>
      <c r="ALL73" s="75"/>
      <c r="ALM73" s="75"/>
      <c r="ALN73" s="75"/>
      <c r="ALO73" s="75"/>
      <c r="ALP73" s="75"/>
      <c r="ALQ73" s="75"/>
      <c r="ALR73" s="75"/>
      <c r="ALS73" s="75"/>
      <c r="ALT73" s="75"/>
      <c r="ALU73" s="75"/>
      <c r="ALV73" s="75"/>
      <c r="ALW73" s="75"/>
      <c r="ALX73" s="75"/>
      <c r="ALY73" s="75"/>
      <c r="ALZ73" s="75"/>
      <c r="AMA73" s="75"/>
      <c r="AMB73" s="75"/>
      <c r="AMC73" s="75"/>
      <c r="AMD73" s="75"/>
      <c r="AME73" s="75"/>
      <c r="AMF73" s="75"/>
      <c r="AMG73" s="75"/>
      <c r="AMH73" s="75"/>
      <c r="AMI73" s="75"/>
      <c r="AMJ73" s="75"/>
    </row>
    <row r="74" spans="12:1024" ht="15.95" customHeight="1" x14ac:dyDescent="0.2">
      <c r="L74" s="75"/>
      <c r="M74" s="76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75"/>
      <c r="CG74" s="75"/>
      <c r="CH74" s="75"/>
      <c r="CI74" s="75"/>
      <c r="CJ74" s="75"/>
      <c r="CK74" s="75"/>
      <c r="CL74" s="75"/>
      <c r="CM74" s="75"/>
      <c r="CN74" s="75"/>
      <c r="CO74" s="75"/>
      <c r="CP74" s="75"/>
      <c r="CQ74" s="75"/>
      <c r="CR74" s="75"/>
      <c r="CS74" s="75"/>
      <c r="CT74" s="75"/>
      <c r="CU74" s="75"/>
      <c r="CV74" s="75"/>
      <c r="CW74" s="75"/>
      <c r="CX74" s="75"/>
      <c r="CY74" s="75"/>
      <c r="CZ74" s="75"/>
      <c r="DA74" s="75"/>
      <c r="DB74" s="75"/>
      <c r="DC74" s="75"/>
      <c r="DD74" s="75"/>
      <c r="DE74" s="75"/>
      <c r="DF74" s="75"/>
      <c r="DG74" s="75"/>
      <c r="DH74" s="75"/>
      <c r="DI74" s="75"/>
      <c r="DJ74" s="75"/>
      <c r="DK74" s="75"/>
      <c r="DL74" s="75"/>
      <c r="DM74" s="75"/>
      <c r="DN74" s="75"/>
      <c r="DO74" s="75"/>
      <c r="DP74" s="75"/>
      <c r="DQ74" s="75"/>
      <c r="DR74" s="75"/>
      <c r="DS74" s="75"/>
      <c r="DT74" s="75"/>
      <c r="DU74" s="75"/>
      <c r="DV74" s="75"/>
      <c r="DW74" s="75"/>
      <c r="DX74" s="75"/>
      <c r="DY74" s="75"/>
      <c r="DZ74" s="75"/>
      <c r="EA74" s="75"/>
      <c r="EB74" s="75"/>
      <c r="EC74" s="75"/>
      <c r="ED74" s="75"/>
      <c r="EE74" s="75"/>
      <c r="EF74" s="75"/>
      <c r="EG74" s="75"/>
      <c r="EH74" s="75"/>
      <c r="EI74" s="75"/>
      <c r="EJ74" s="75"/>
      <c r="EK74" s="75"/>
      <c r="EL74" s="75"/>
      <c r="EM74" s="75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75"/>
      <c r="FF74" s="75"/>
      <c r="FG74" s="75"/>
      <c r="FH74" s="75"/>
      <c r="FI74" s="75"/>
      <c r="FJ74" s="75"/>
      <c r="FK74" s="75"/>
      <c r="FL74" s="75"/>
      <c r="FM74" s="75"/>
      <c r="FN74" s="75"/>
      <c r="FO74" s="75"/>
      <c r="FP74" s="75"/>
      <c r="FQ74" s="75"/>
      <c r="FR74" s="75"/>
      <c r="FS74" s="75"/>
      <c r="FT74" s="75"/>
      <c r="FU74" s="75"/>
      <c r="FV74" s="75"/>
      <c r="FW74" s="75"/>
      <c r="FX74" s="75"/>
      <c r="FY74" s="75"/>
      <c r="FZ74" s="75"/>
      <c r="GA74" s="75"/>
      <c r="GB74" s="75"/>
      <c r="GC74" s="75"/>
      <c r="GD74" s="75"/>
      <c r="GE74" s="75"/>
      <c r="GF74" s="75"/>
      <c r="GG74" s="75"/>
      <c r="GH74" s="75"/>
      <c r="GI74" s="75"/>
      <c r="GJ74" s="75"/>
      <c r="GK74" s="75"/>
      <c r="GL74" s="75"/>
      <c r="GM74" s="75"/>
      <c r="GN74" s="75"/>
      <c r="GO74" s="75"/>
      <c r="GP74" s="75"/>
      <c r="GQ74" s="75"/>
      <c r="GR74" s="75"/>
      <c r="GS74" s="75"/>
      <c r="GT74" s="75"/>
      <c r="GU74" s="75"/>
      <c r="GV74" s="75"/>
      <c r="GW74" s="75"/>
      <c r="GX74" s="75"/>
      <c r="GY74" s="75"/>
      <c r="GZ74" s="75"/>
      <c r="HA74" s="75"/>
      <c r="HB74" s="75"/>
      <c r="HC74" s="75"/>
      <c r="HD74" s="75"/>
      <c r="HE74" s="75"/>
      <c r="HF74" s="75"/>
      <c r="HG74" s="75"/>
      <c r="HH74" s="75"/>
      <c r="HI74" s="75"/>
      <c r="HJ74" s="75"/>
      <c r="HK74" s="75"/>
      <c r="HL74" s="75"/>
      <c r="HM74" s="75"/>
      <c r="HN74" s="75"/>
      <c r="HO74" s="75"/>
      <c r="HP74" s="75"/>
      <c r="HQ74" s="75"/>
      <c r="HR74" s="75"/>
      <c r="HS74" s="75"/>
      <c r="HT74" s="75"/>
      <c r="HU74" s="75"/>
      <c r="HV74" s="75"/>
      <c r="HW74" s="75"/>
      <c r="HX74" s="75"/>
      <c r="HY74" s="75"/>
      <c r="HZ74" s="75"/>
      <c r="IA74" s="75"/>
      <c r="IB74" s="75"/>
      <c r="IC74" s="75"/>
      <c r="ID74" s="75"/>
      <c r="IE74" s="75"/>
      <c r="IF74" s="75"/>
      <c r="IG74" s="75"/>
      <c r="IH74" s="75"/>
      <c r="II74" s="75"/>
      <c r="IJ74" s="75"/>
      <c r="IK74" s="75"/>
      <c r="IL74" s="75"/>
      <c r="IM74" s="75"/>
      <c r="IN74" s="75"/>
      <c r="IO74" s="75"/>
      <c r="IP74" s="75"/>
      <c r="IQ74" s="75"/>
      <c r="IR74" s="75"/>
      <c r="IS74" s="75"/>
      <c r="IT74" s="75"/>
      <c r="IU74" s="75"/>
      <c r="IV74" s="75"/>
      <c r="IW74" s="75"/>
      <c r="IX74" s="75"/>
      <c r="IY74" s="75"/>
      <c r="IZ74" s="75"/>
      <c r="JA74" s="75"/>
      <c r="JB74" s="75"/>
      <c r="JC74" s="75"/>
      <c r="JD74" s="75"/>
      <c r="JE74" s="75"/>
      <c r="JF74" s="75"/>
      <c r="JG74" s="75"/>
      <c r="JH74" s="75"/>
      <c r="JI74" s="75"/>
      <c r="JJ74" s="75"/>
      <c r="JK74" s="75"/>
      <c r="JL74" s="75"/>
      <c r="JM74" s="75"/>
      <c r="JN74" s="75"/>
      <c r="JO74" s="75"/>
      <c r="JP74" s="75"/>
      <c r="JQ74" s="75"/>
      <c r="JR74" s="75"/>
      <c r="JS74" s="75"/>
      <c r="JT74" s="75"/>
      <c r="JU74" s="75"/>
      <c r="JV74" s="75"/>
      <c r="JW74" s="75"/>
      <c r="JX74" s="75"/>
      <c r="JY74" s="75"/>
      <c r="JZ74" s="75"/>
      <c r="KA74" s="75"/>
      <c r="KB74" s="75"/>
      <c r="KC74" s="75"/>
      <c r="KD74" s="75"/>
      <c r="KE74" s="75"/>
      <c r="KF74" s="75"/>
      <c r="KG74" s="75"/>
      <c r="KH74" s="75"/>
      <c r="KI74" s="75"/>
      <c r="KJ74" s="75"/>
      <c r="KK74" s="75"/>
      <c r="KL74" s="75"/>
      <c r="KM74" s="75"/>
      <c r="KN74" s="75"/>
      <c r="KO74" s="75"/>
      <c r="KP74" s="75"/>
      <c r="KQ74" s="75"/>
      <c r="KR74" s="75"/>
      <c r="KS74" s="75"/>
      <c r="KT74" s="75"/>
      <c r="KU74" s="75"/>
      <c r="KV74" s="75"/>
      <c r="KW74" s="75"/>
      <c r="KX74" s="75"/>
      <c r="KY74" s="75"/>
      <c r="KZ74" s="75"/>
      <c r="LA74" s="75"/>
      <c r="LB74" s="75"/>
      <c r="LC74" s="75"/>
      <c r="LD74" s="75"/>
      <c r="LE74" s="75"/>
      <c r="LF74" s="75"/>
      <c r="LG74" s="75"/>
      <c r="LH74" s="75"/>
      <c r="LI74" s="75"/>
      <c r="LJ74" s="75"/>
      <c r="LK74" s="75"/>
      <c r="LL74" s="75"/>
      <c r="LM74" s="75"/>
      <c r="LN74" s="75"/>
      <c r="LO74" s="75"/>
      <c r="LP74" s="75"/>
      <c r="LQ74" s="75"/>
      <c r="LR74" s="75"/>
      <c r="LS74" s="75"/>
      <c r="LT74" s="75"/>
      <c r="LU74" s="75"/>
      <c r="LV74" s="75"/>
      <c r="LW74" s="75"/>
      <c r="LX74" s="75"/>
      <c r="LY74" s="75"/>
      <c r="LZ74" s="75"/>
      <c r="MA74" s="75"/>
      <c r="MB74" s="75"/>
      <c r="MC74" s="75"/>
      <c r="MD74" s="75"/>
      <c r="ME74" s="75"/>
      <c r="MF74" s="75"/>
      <c r="MG74" s="75"/>
      <c r="MH74" s="75"/>
      <c r="MI74" s="75"/>
      <c r="MJ74" s="75"/>
      <c r="MK74" s="75"/>
      <c r="ML74" s="75"/>
      <c r="MM74" s="75"/>
      <c r="MN74" s="75"/>
      <c r="MO74" s="75"/>
      <c r="MP74" s="75"/>
      <c r="MQ74" s="75"/>
      <c r="MR74" s="75"/>
      <c r="MS74" s="75"/>
      <c r="MT74" s="75"/>
      <c r="MU74" s="75"/>
      <c r="MV74" s="75"/>
      <c r="MW74" s="75"/>
      <c r="MX74" s="75"/>
      <c r="MY74" s="75"/>
      <c r="MZ74" s="75"/>
      <c r="NA74" s="75"/>
      <c r="NB74" s="75"/>
      <c r="NC74" s="75"/>
      <c r="ND74" s="75"/>
      <c r="NE74" s="75"/>
      <c r="NF74" s="75"/>
      <c r="NG74" s="75"/>
      <c r="NH74" s="75"/>
      <c r="NI74" s="75"/>
      <c r="NJ74" s="75"/>
      <c r="NK74" s="75"/>
      <c r="NL74" s="75"/>
      <c r="NM74" s="75"/>
      <c r="NN74" s="75"/>
      <c r="NO74" s="75"/>
      <c r="NP74" s="75"/>
      <c r="NQ74" s="75"/>
      <c r="NR74" s="75"/>
      <c r="NS74" s="75"/>
      <c r="NT74" s="75"/>
      <c r="NU74" s="75"/>
      <c r="NV74" s="75"/>
      <c r="NW74" s="75"/>
      <c r="NX74" s="75"/>
      <c r="NY74" s="75"/>
      <c r="NZ74" s="75"/>
      <c r="OA74" s="75"/>
      <c r="OB74" s="75"/>
      <c r="OC74" s="75"/>
      <c r="OD74" s="75"/>
      <c r="OE74" s="75"/>
      <c r="OF74" s="75"/>
      <c r="OG74" s="75"/>
      <c r="OH74" s="75"/>
      <c r="OI74" s="75"/>
      <c r="OJ74" s="75"/>
      <c r="OK74" s="75"/>
      <c r="OL74" s="75"/>
      <c r="OM74" s="75"/>
      <c r="ON74" s="75"/>
      <c r="OO74" s="75"/>
      <c r="OP74" s="75"/>
      <c r="OQ74" s="75"/>
      <c r="OR74" s="75"/>
      <c r="OS74" s="75"/>
      <c r="OT74" s="75"/>
      <c r="OU74" s="75"/>
      <c r="OV74" s="75"/>
      <c r="OW74" s="75"/>
      <c r="OX74" s="75"/>
      <c r="OY74" s="75"/>
      <c r="OZ74" s="75"/>
      <c r="PA74" s="75"/>
      <c r="PB74" s="75"/>
      <c r="PC74" s="75"/>
      <c r="PD74" s="75"/>
      <c r="PE74" s="75"/>
      <c r="PF74" s="75"/>
      <c r="PG74" s="75"/>
      <c r="PH74" s="75"/>
      <c r="PI74" s="75"/>
      <c r="PJ74" s="75"/>
      <c r="PK74" s="75"/>
      <c r="PL74" s="75"/>
      <c r="PM74" s="75"/>
      <c r="PN74" s="75"/>
      <c r="PO74" s="75"/>
      <c r="PP74" s="75"/>
      <c r="PQ74" s="75"/>
      <c r="PR74" s="75"/>
      <c r="PS74" s="75"/>
      <c r="PT74" s="75"/>
      <c r="PU74" s="75"/>
      <c r="PV74" s="75"/>
      <c r="PW74" s="75"/>
      <c r="PX74" s="75"/>
      <c r="PY74" s="75"/>
      <c r="PZ74" s="75"/>
      <c r="QA74" s="75"/>
      <c r="QB74" s="75"/>
      <c r="QC74" s="75"/>
      <c r="QD74" s="75"/>
      <c r="QE74" s="75"/>
      <c r="QF74" s="75"/>
      <c r="QG74" s="75"/>
      <c r="QH74" s="75"/>
      <c r="QI74" s="75"/>
      <c r="QJ74" s="75"/>
      <c r="QK74" s="75"/>
      <c r="QL74" s="75"/>
      <c r="QM74" s="75"/>
      <c r="QN74" s="75"/>
      <c r="QO74" s="75"/>
      <c r="QP74" s="75"/>
      <c r="QQ74" s="75"/>
      <c r="QR74" s="75"/>
      <c r="QS74" s="75"/>
      <c r="QT74" s="75"/>
      <c r="QU74" s="75"/>
      <c r="QV74" s="75"/>
      <c r="QW74" s="75"/>
      <c r="QX74" s="75"/>
      <c r="QY74" s="75"/>
      <c r="QZ74" s="75"/>
      <c r="RA74" s="75"/>
      <c r="RB74" s="75"/>
      <c r="RC74" s="75"/>
      <c r="RD74" s="75"/>
      <c r="RE74" s="75"/>
      <c r="RF74" s="75"/>
      <c r="RG74" s="75"/>
      <c r="RH74" s="75"/>
      <c r="RI74" s="75"/>
      <c r="RJ74" s="75"/>
      <c r="RK74" s="75"/>
      <c r="RL74" s="75"/>
      <c r="RM74" s="75"/>
      <c r="RN74" s="75"/>
      <c r="RO74" s="75"/>
      <c r="RP74" s="75"/>
      <c r="RQ74" s="75"/>
      <c r="RR74" s="75"/>
      <c r="RS74" s="75"/>
      <c r="RT74" s="75"/>
      <c r="RU74" s="75"/>
      <c r="RV74" s="75"/>
      <c r="RW74" s="75"/>
      <c r="RX74" s="75"/>
      <c r="RY74" s="75"/>
      <c r="RZ74" s="75"/>
      <c r="SA74" s="75"/>
      <c r="SB74" s="75"/>
      <c r="SC74" s="75"/>
      <c r="SD74" s="75"/>
      <c r="SE74" s="75"/>
      <c r="SF74" s="75"/>
      <c r="SG74" s="75"/>
      <c r="SH74" s="75"/>
      <c r="SI74" s="75"/>
      <c r="SJ74" s="75"/>
      <c r="SK74" s="75"/>
      <c r="SL74" s="75"/>
      <c r="SM74" s="75"/>
      <c r="SN74" s="75"/>
      <c r="SO74" s="75"/>
      <c r="SP74" s="75"/>
      <c r="SQ74" s="75"/>
      <c r="SR74" s="75"/>
      <c r="SS74" s="75"/>
      <c r="ST74" s="75"/>
      <c r="SU74" s="75"/>
      <c r="SV74" s="75"/>
      <c r="SW74" s="75"/>
      <c r="SX74" s="75"/>
      <c r="SY74" s="75"/>
      <c r="SZ74" s="75"/>
      <c r="TA74" s="75"/>
      <c r="TB74" s="75"/>
      <c r="TC74" s="75"/>
      <c r="TD74" s="75"/>
      <c r="TE74" s="75"/>
      <c r="TF74" s="75"/>
      <c r="TG74" s="75"/>
      <c r="TH74" s="75"/>
      <c r="TI74" s="75"/>
      <c r="TJ74" s="75"/>
      <c r="TK74" s="75"/>
      <c r="TL74" s="75"/>
      <c r="TM74" s="75"/>
      <c r="TN74" s="75"/>
      <c r="TO74" s="75"/>
      <c r="TP74" s="75"/>
      <c r="TQ74" s="75"/>
      <c r="TR74" s="75"/>
      <c r="TS74" s="75"/>
      <c r="TT74" s="75"/>
      <c r="TU74" s="75"/>
      <c r="TV74" s="75"/>
      <c r="TW74" s="75"/>
      <c r="TX74" s="75"/>
      <c r="TY74" s="75"/>
      <c r="TZ74" s="75"/>
      <c r="UA74" s="75"/>
      <c r="UB74" s="75"/>
      <c r="UC74" s="75"/>
      <c r="UD74" s="75"/>
      <c r="UE74" s="75"/>
      <c r="UF74" s="75"/>
      <c r="UG74" s="75"/>
      <c r="UH74" s="75"/>
      <c r="UI74" s="75"/>
      <c r="UJ74" s="75"/>
      <c r="UK74" s="75"/>
      <c r="UL74" s="75"/>
      <c r="UM74" s="75"/>
      <c r="UN74" s="75"/>
      <c r="UO74" s="75"/>
      <c r="UP74" s="75"/>
      <c r="UQ74" s="75"/>
      <c r="UR74" s="75"/>
      <c r="US74" s="75"/>
      <c r="UT74" s="75"/>
      <c r="UU74" s="75"/>
      <c r="UV74" s="75"/>
      <c r="UW74" s="75"/>
      <c r="UX74" s="75"/>
      <c r="UY74" s="75"/>
      <c r="UZ74" s="75"/>
      <c r="VA74" s="75"/>
      <c r="VB74" s="75"/>
      <c r="VC74" s="75"/>
      <c r="VD74" s="75"/>
      <c r="VE74" s="75"/>
      <c r="VF74" s="75"/>
      <c r="VG74" s="75"/>
      <c r="VH74" s="75"/>
      <c r="VI74" s="75"/>
      <c r="VJ74" s="75"/>
      <c r="VK74" s="75"/>
      <c r="VL74" s="75"/>
      <c r="VM74" s="75"/>
      <c r="VN74" s="75"/>
      <c r="VO74" s="75"/>
      <c r="VP74" s="75"/>
      <c r="VQ74" s="75"/>
      <c r="VR74" s="75"/>
      <c r="VS74" s="75"/>
      <c r="VT74" s="75"/>
      <c r="VU74" s="75"/>
      <c r="VV74" s="75"/>
      <c r="VW74" s="75"/>
      <c r="VX74" s="75"/>
      <c r="VY74" s="75"/>
      <c r="VZ74" s="75"/>
      <c r="WA74" s="75"/>
      <c r="WB74" s="75"/>
      <c r="WC74" s="75"/>
      <c r="WD74" s="75"/>
      <c r="WE74" s="75"/>
      <c r="WF74" s="75"/>
      <c r="WG74" s="75"/>
      <c r="WH74" s="75"/>
      <c r="WI74" s="75"/>
      <c r="WJ74" s="75"/>
      <c r="WK74" s="75"/>
      <c r="WL74" s="75"/>
      <c r="WM74" s="75"/>
      <c r="WN74" s="75"/>
      <c r="WO74" s="75"/>
      <c r="WP74" s="75"/>
      <c r="WQ74" s="75"/>
      <c r="WR74" s="75"/>
      <c r="WS74" s="75"/>
      <c r="WT74" s="75"/>
      <c r="WU74" s="75"/>
      <c r="WV74" s="75"/>
      <c r="WW74" s="75"/>
      <c r="WX74" s="75"/>
      <c r="WY74" s="75"/>
      <c r="WZ74" s="75"/>
      <c r="XA74" s="75"/>
      <c r="XB74" s="75"/>
      <c r="XC74" s="75"/>
      <c r="XD74" s="75"/>
      <c r="XE74" s="75"/>
      <c r="XF74" s="75"/>
      <c r="XG74" s="75"/>
      <c r="XH74" s="75"/>
      <c r="XI74" s="75"/>
      <c r="XJ74" s="75"/>
      <c r="XK74" s="75"/>
      <c r="XL74" s="75"/>
      <c r="XM74" s="75"/>
      <c r="XN74" s="75"/>
      <c r="XO74" s="75"/>
      <c r="XP74" s="75"/>
      <c r="XQ74" s="75"/>
      <c r="XR74" s="75"/>
      <c r="XS74" s="75"/>
      <c r="XT74" s="75"/>
      <c r="XU74" s="75"/>
      <c r="XV74" s="75"/>
      <c r="XW74" s="75"/>
      <c r="XX74" s="75"/>
      <c r="XY74" s="75"/>
      <c r="XZ74" s="75"/>
      <c r="YA74" s="75"/>
      <c r="YB74" s="75"/>
      <c r="YC74" s="75"/>
      <c r="YD74" s="75"/>
      <c r="YE74" s="75"/>
      <c r="YF74" s="75"/>
      <c r="YG74" s="75"/>
      <c r="YH74" s="75"/>
      <c r="YI74" s="75"/>
      <c r="YJ74" s="75"/>
      <c r="YK74" s="75"/>
      <c r="YL74" s="75"/>
      <c r="YM74" s="75"/>
      <c r="YN74" s="75"/>
      <c r="YO74" s="75"/>
      <c r="YP74" s="75"/>
      <c r="YQ74" s="75"/>
      <c r="YR74" s="75"/>
      <c r="YS74" s="75"/>
      <c r="YT74" s="75"/>
      <c r="YU74" s="75"/>
      <c r="YV74" s="75"/>
      <c r="YW74" s="75"/>
      <c r="YX74" s="75"/>
      <c r="YY74" s="75"/>
      <c r="YZ74" s="75"/>
      <c r="ZA74" s="75"/>
      <c r="ZB74" s="75"/>
      <c r="ZC74" s="75"/>
      <c r="ZD74" s="75"/>
      <c r="ZE74" s="75"/>
      <c r="ZF74" s="75"/>
      <c r="ZG74" s="75"/>
      <c r="ZH74" s="75"/>
      <c r="ZI74" s="75"/>
      <c r="ZJ74" s="75"/>
      <c r="ZK74" s="75"/>
      <c r="ZL74" s="75"/>
      <c r="ZM74" s="75"/>
      <c r="ZN74" s="75"/>
      <c r="ZO74" s="75"/>
      <c r="ZP74" s="75"/>
      <c r="ZQ74" s="75"/>
      <c r="ZR74" s="75"/>
      <c r="ZS74" s="75"/>
      <c r="ZT74" s="75"/>
      <c r="ZU74" s="75"/>
      <c r="ZV74" s="75"/>
      <c r="ZW74" s="75"/>
      <c r="ZX74" s="75"/>
      <c r="ZY74" s="75"/>
      <c r="ZZ74" s="75"/>
      <c r="AAA74" s="75"/>
      <c r="AAB74" s="75"/>
      <c r="AAC74" s="75"/>
      <c r="AAD74" s="75"/>
      <c r="AAE74" s="75"/>
      <c r="AAF74" s="75"/>
      <c r="AAG74" s="75"/>
      <c r="AAH74" s="75"/>
      <c r="AAI74" s="75"/>
      <c r="AAJ74" s="75"/>
      <c r="AAK74" s="75"/>
      <c r="AAL74" s="75"/>
      <c r="AAM74" s="75"/>
      <c r="AAN74" s="75"/>
      <c r="AAO74" s="75"/>
      <c r="AAP74" s="75"/>
      <c r="AAQ74" s="75"/>
      <c r="AAR74" s="75"/>
      <c r="AAS74" s="75"/>
      <c r="AAT74" s="75"/>
      <c r="AAU74" s="75"/>
      <c r="AAV74" s="75"/>
      <c r="AAW74" s="75"/>
      <c r="AAX74" s="75"/>
      <c r="AAY74" s="75"/>
      <c r="AAZ74" s="75"/>
      <c r="ABA74" s="75"/>
      <c r="ABB74" s="75"/>
      <c r="ABC74" s="75"/>
      <c r="ABD74" s="75"/>
      <c r="ABE74" s="75"/>
      <c r="ABF74" s="75"/>
      <c r="ABG74" s="75"/>
      <c r="ABH74" s="75"/>
      <c r="ABI74" s="75"/>
      <c r="ABJ74" s="75"/>
      <c r="ABK74" s="75"/>
      <c r="ABL74" s="75"/>
      <c r="ABM74" s="75"/>
      <c r="ABN74" s="75"/>
      <c r="ABO74" s="75"/>
      <c r="ABP74" s="75"/>
      <c r="ABQ74" s="75"/>
      <c r="ABR74" s="75"/>
      <c r="ABS74" s="75"/>
      <c r="ABT74" s="75"/>
      <c r="ABU74" s="75"/>
      <c r="ABV74" s="75"/>
      <c r="ABW74" s="75"/>
      <c r="ABX74" s="75"/>
      <c r="ABY74" s="75"/>
      <c r="ABZ74" s="75"/>
      <c r="ACA74" s="75"/>
      <c r="ACB74" s="75"/>
      <c r="ACC74" s="75"/>
      <c r="ACD74" s="75"/>
      <c r="ACE74" s="75"/>
      <c r="ACF74" s="75"/>
      <c r="ACG74" s="75"/>
      <c r="ACH74" s="75"/>
      <c r="ACI74" s="75"/>
      <c r="ACJ74" s="75"/>
      <c r="ACK74" s="75"/>
      <c r="ACL74" s="75"/>
      <c r="ACM74" s="75"/>
      <c r="ACN74" s="75"/>
      <c r="ACO74" s="75"/>
      <c r="ACP74" s="75"/>
      <c r="ACQ74" s="75"/>
      <c r="ACR74" s="75"/>
      <c r="ACS74" s="75"/>
      <c r="ACT74" s="75"/>
      <c r="ACU74" s="75"/>
      <c r="ACV74" s="75"/>
      <c r="ACW74" s="75"/>
      <c r="ACX74" s="75"/>
      <c r="ACY74" s="75"/>
      <c r="ACZ74" s="75"/>
      <c r="ADA74" s="75"/>
      <c r="ADB74" s="75"/>
      <c r="ADC74" s="75"/>
      <c r="ADD74" s="75"/>
      <c r="ADE74" s="75"/>
      <c r="ADF74" s="75"/>
      <c r="ADG74" s="75"/>
      <c r="ADH74" s="75"/>
      <c r="ADI74" s="75"/>
      <c r="ADJ74" s="75"/>
      <c r="ADK74" s="75"/>
      <c r="ADL74" s="75"/>
      <c r="ADM74" s="75"/>
      <c r="ADN74" s="75"/>
      <c r="ADO74" s="75"/>
      <c r="ADP74" s="75"/>
      <c r="ADQ74" s="75"/>
      <c r="ADR74" s="75"/>
      <c r="ADS74" s="75"/>
      <c r="ADT74" s="75"/>
      <c r="ADU74" s="75"/>
      <c r="ADV74" s="75"/>
      <c r="ADW74" s="75"/>
      <c r="ADX74" s="75"/>
      <c r="ADY74" s="75"/>
      <c r="ADZ74" s="75"/>
      <c r="AEA74" s="75"/>
      <c r="AEB74" s="75"/>
      <c r="AEC74" s="75"/>
      <c r="AED74" s="75"/>
      <c r="AEE74" s="75"/>
      <c r="AEF74" s="75"/>
      <c r="AEG74" s="75"/>
      <c r="AEH74" s="75"/>
      <c r="AEI74" s="75"/>
      <c r="AEJ74" s="75"/>
      <c r="AEK74" s="75"/>
      <c r="AEL74" s="75"/>
      <c r="AEM74" s="75"/>
      <c r="AEN74" s="75"/>
      <c r="AEO74" s="75"/>
      <c r="AEP74" s="75"/>
      <c r="AEQ74" s="75"/>
      <c r="AER74" s="75"/>
      <c r="AES74" s="75"/>
      <c r="AET74" s="75"/>
      <c r="AEU74" s="75"/>
      <c r="AEV74" s="75"/>
      <c r="AEW74" s="75"/>
      <c r="AEX74" s="75"/>
      <c r="AEY74" s="75"/>
      <c r="AEZ74" s="75"/>
      <c r="AFA74" s="75"/>
      <c r="AFB74" s="75"/>
      <c r="AFC74" s="75"/>
      <c r="AFD74" s="75"/>
      <c r="AFE74" s="75"/>
      <c r="AFF74" s="75"/>
      <c r="AFG74" s="75"/>
      <c r="AFH74" s="75"/>
      <c r="AFI74" s="75"/>
      <c r="AFJ74" s="75"/>
      <c r="AFK74" s="75"/>
      <c r="AFL74" s="75"/>
      <c r="AFM74" s="75"/>
      <c r="AFN74" s="75"/>
      <c r="AFO74" s="75"/>
      <c r="AFP74" s="75"/>
      <c r="AFQ74" s="75"/>
      <c r="AFR74" s="75"/>
      <c r="AFS74" s="75"/>
      <c r="AFT74" s="75"/>
      <c r="AFU74" s="75"/>
      <c r="AFV74" s="75"/>
      <c r="AFW74" s="75"/>
      <c r="AFX74" s="75"/>
      <c r="AFY74" s="75"/>
      <c r="AFZ74" s="75"/>
      <c r="AGA74" s="75"/>
      <c r="AGB74" s="75"/>
      <c r="AGC74" s="75"/>
      <c r="AGD74" s="75"/>
      <c r="AGE74" s="75"/>
      <c r="AGF74" s="75"/>
      <c r="AGG74" s="75"/>
      <c r="AGH74" s="75"/>
      <c r="AGI74" s="75"/>
      <c r="AGJ74" s="75"/>
      <c r="AGK74" s="75"/>
      <c r="AGL74" s="75"/>
      <c r="AGM74" s="75"/>
      <c r="AGN74" s="75"/>
      <c r="AGO74" s="75"/>
      <c r="AGP74" s="75"/>
      <c r="AGQ74" s="75"/>
      <c r="AGR74" s="75"/>
      <c r="AGS74" s="75"/>
      <c r="AGT74" s="75"/>
      <c r="AGU74" s="75"/>
      <c r="AGV74" s="75"/>
      <c r="AGW74" s="75"/>
      <c r="AGX74" s="75"/>
      <c r="AGY74" s="75"/>
      <c r="AGZ74" s="75"/>
      <c r="AHA74" s="75"/>
      <c r="AHB74" s="75"/>
      <c r="AHC74" s="75"/>
      <c r="AHD74" s="75"/>
      <c r="AHE74" s="75"/>
      <c r="AHF74" s="75"/>
      <c r="AHG74" s="75"/>
      <c r="AHH74" s="75"/>
      <c r="AHI74" s="75"/>
      <c r="AHJ74" s="75"/>
      <c r="AHK74" s="75"/>
      <c r="AHL74" s="75"/>
      <c r="AHM74" s="75"/>
      <c r="AHN74" s="75"/>
      <c r="AHO74" s="75"/>
      <c r="AHP74" s="75"/>
      <c r="AHQ74" s="75"/>
      <c r="AHR74" s="75"/>
      <c r="AHS74" s="75"/>
      <c r="AHT74" s="75"/>
      <c r="AHU74" s="75"/>
      <c r="AHV74" s="75"/>
      <c r="AHW74" s="75"/>
      <c r="AHX74" s="75"/>
      <c r="AHY74" s="75"/>
      <c r="AHZ74" s="75"/>
      <c r="AIA74" s="75"/>
      <c r="AIB74" s="75"/>
      <c r="AIC74" s="75"/>
      <c r="AID74" s="75"/>
      <c r="AIE74" s="75"/>
      <c r="AIF74" s="75"/>
      <c r="AIG74" s="75"/>
      <c r="AIH74" s="75"/>
      <c r="AII74" s="75"/>
      <c r="AIJ74" s="75"/>
      <c r="AIK74" s="75"/>
      <c r="AIL74" s="75"/>
      <c r="AIM74" s="75"/>
      <c r="AIN74" s="75"/>
      <c r="AIO74" s="75"/>
      <c r="AIP74" s="75"/>
      <c r="AIQ74" s="75"/>
      <c r="AIR74" s="75"/>
      <c r="AIS74" s="75"/>
      <c r="AIT74" s="75"/>
      <c r="AIU74" s="75"/>
      <c r="AIV74" s="75"/>
      <c r="AIW74" s="75"/>
      <c r="AIX74" s="75"/>
      <c r="AIY74" s="75"/>
      <c r="AIZ74" s="75"/>
      <c r="AJA74" s="75"/>
      <c r="AJB74" s="75"/>
      <c r="AJC74" s="75"/>
      <c r="AJD74" s="75"/>
      <c r="AJE74" s="75"/>
      <c r="AJF74" s="75"/>
      <c r="AJG74" s="75"/>
      <c r="AJH74" s="75"/>
      <c r="AJI74" s="75"/>
      <c r="AJJ74" s="75"/>
      <c r="AJK74" s="75"/>
      <c r="AJL74" s="75"/>
      <c r="AJM74" s="75"/>
      <c r="AJN74" s="75"/>
      <c r="AJO74" s="75"/>
      <c r="AJP74" s="75"/>
      <c r="AJQ74" s="75"/>
      <c r="AJR74" s="75"/>
      <c r="AJS74" s="75"/>
      <c r="AJT74" s="75"/>
      <c r="AJU74" s="75"/>
      <c r="AJV74" s="75"/>
      <c r="AJW74" s="75"/>
      <c r="AJX74" s="75"/>
      <c r="AJY74" s="75"/>
      <c r="AJZ74" s="75"/>
      <c r="AKA74" s="75"/>
      <c r="AKB74" s="75"/>
      <c r="AKC74" s="75"/>
      <c r="AKD74" s="75"/>
      <c r="AKE74" s="75"/>
      <c r="AKF74" s="75"/>
      <c r="AKG74" s="75"/>
      <c r="AKH74" s="75"/>
      <c r="AKI74" s="75"/>
      <c r="AKJ74" s="75"/>
      <c r="AKK74" s="75"/>
      <c r="AKL74" s="75"/>
      <c r="AKM74" s="75"/>
      <c r="AKN74" s="75"/>
      <c r="AKO74" s="75"/>
      <c r="AKP74" s="75"/>
      <c r="AKQ74" s="75"/>
      <c r="AKR74" s="75"/>
      <c r="AKS74" s="75"/>
      <c r="AKT74" s="75"/>
      <c r="AKU74" s="75"/>
      <c r="AKV74" s="75"/>
      <c r="AKW74" s="75"/>
      <c r="AKX74" s="75"/>
      <c r="AKY74" s="75"/>
      <c r="AKZ74" s="75"/>
      <c r="ALA74" s="75"/>
      <c r="ALB74" s="75"/>
      <c r="ALC74" s="75"/>
      <c r="ALD74" s="75"/>
      <c r="ALE74" s="75"/>
      <c r="ALF74" s="75"/>
      <c r="ALG74" s="75"/>
      <c r="ALH74" s="75"/>
      <c r="ALI74" s="75"/>
      <c r="ALJ74" s="75"/>
      <c r="ALK74" s="75"/>
      <c r="ALL74" s="75"/>
      <c r="ALM74" s="75"/>
      <c r="ALN74" s="75"/>
      <c r="ALO74" s="75"/>
      <c r="ALP74" s="75"/>
      <c r="ALQ74" s="75"/>
      <c r="ALR74" s="75"/>
      <c r="ALS74" s="75"/>
      <c r="ALT74" s="75"/>
      <c r="ALU74" s="75"/>
      <c r="ALV74" s="75"/>
      <c r="ALW74" s="75"/>
      <c r="ALX74" s="75"/>
      <c r="ALY74" s="75"/>
      <c r="ALZ74" s="75"/>
      <c r="AMA74" s="75"/>
      <c r="AMB74" s="75"/>
      <c r="AMC74" s="75"/>
      <c r="AMD74" s="75"/>
      <c r="AME74" s="75"/>
      <c r="AMF74" s="75"/>
      <c r="AMG74" s="75"/>
      <c r="AMH74" s="75"/>
      <c r="AMI74" s="75"/>
      <c r="AMJ74" s="75"/>
    </row>
    <row r="75" spans="12:1024" ht="15.95" customHeight="1" x14ac:dyDescent="0.2">
      <c r="L75" s="75"/>
      <c r="M75" s="76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75"/>
      <c r="CG75" s="75"/>
      <c r="CH75" s="75"/>
      <c r="CI75" s="75"/>
      <c r="CJ75" s="75"/>
      <c r="CK75" s="75"/>
      <c r="CL75" s="75"/>
      <c r="CM75" s="75"/>
      <c r="CN75" s="75"/>
      <c r="CO75" s="75"/>
      <c r="CP75" s="75"/>
      <c r="CQ75" s="75"/>
      <c r="CR75" s="75"/>
      <c r="CS75" s="75"/>
      <c r="CT75" s="75"/>
      <c r="CU75" s="75"/>
      <c r="CV75" s="75"/>
      <c r="CW75" s="75"/>
      <c r="CX75" s="75"/>
      <c r="CY75" s="75"/>
      <c r="CZ75" s="75"/>
      <c r="DA75" s="75"/>
      <c r="DB75" s="75"/>
      <c r="DC75" s="75"/>
      <c r="DD75" s="75"/>
      <c r="DE75" s="75"/>
      <c r="DF75" s="75"/>
      <c r="DG75" s="75"/>
      <c r="DH75" s="75"/>
      <c r="DI75" s="75"/>
      <c r="DJ75" s="75"/>
      <c r="DK75" s="75"/>
      <c r="DL75" s="75"/>
      <c r="DM75" s="75"/>
      <c r="DN75" s="75"/>
      <c r="DO75" s="75"/>
      <c r="DP75" s="75"/>
      <c r="DQ75" s="75"/>
      <c r="DR75" s="75"/>
      <c r="DS75" s="75"/>
      <c r="DT75" s="75"/>
      <c r="DU75" s="75"/>
      <c r="DV75" s="75"/>
      <c r="DW75" s="75"/>
      <c r="DX75" s="75"/>
      <c r="DY75" s="75"/>
      <c r="DZ75" s="75"/>
      <c r="EA75" s="75"/>
      <c r="EB75" s="75"/>
      <c r="EC75" s="75"/>
      <c r="ED75" s="75"/>
      <c r="EE75" s="75"/>
      <c r="EF75" s="75"/>
      <c r="EG75" s="75"/>
      <c r="EH75" s="75"/>
      <c r="EI75" s="75"/>
      <c r="EJ75" s="75"/>
      <c r="EK75" s="75"/>
      <c r="EL75" s="75"/>
      <c r="EM75" s="75"/>
      <c r="EN75" s="75"/>
      <c r="EO75" s="75"/>
      <c r="EP75" s="75"/>
      <c r="EQ75" s="75"/>
      <c r="ER75" s="75"/>
      <c r="ES75" s="75"/>
      <c r="ET75" s="75"/>
      <c r="EU75" s="75"/>
      <c r="EV75" s="75"/>
      <c r="EW75" s="75"/>
      <c r="EX75" s="75"/>
      <c r="EY75" s="75"/>
      <c r="EZ75" s="75"/>
      <c r="FA75" s="75"/>
      <c r="FB75" s="75"/>
      <c r="FC75" s="75"/>
      <c r="FD75" s="75"/>
      <c r="FE75" s="75"/>
      <c r="FF75" s="75"/>
      <c r="FG75" s="75"/>
      <c r="FH75" s="75"/>
      <c r="FI75" s="75"/>
      <c r="FJ75" s="75"/>
      <c r="FK75" s="75"/>
      <c r="FL75" s="75"/>
      <c r="FM75" s="75"/>
      <c r="FN75" s="75"/>
      <c r="FO75" s="75"/>
      <c r="FP75" s="75"/>
      <c r="FQ75" s="75"/>
      <c r="FR75" s="75"/>
      <c r="FS75" s="75"/>
      <c r="FT75" s="75"/>
      <c r="FU75" s="75"/>
      <c r="FV75" s="75"/>
      <c r="FW75" s="75"/>
      <c r="FX75" s="75"/>
      <c r="FY75" s="75"/>
      <c r="FZ75" s="75"/>
      <c r="GA75" s="75"/>
      <c r="GB75" s="75"/>
      <c r="GC75" s="75"/>
      <c r="GD75" s="75"/>
      <c r="GE75" s="75"/>
      <c r="GF75" s="75"/>
      <c r="GG75" s="75"/>
      <c r="GH75" s="75"/>
      <c r="GI75" s="75"/>
      <c r="GJ75" s="75"/>
      <c r="GK75" s="75"/>
      <c r="GL75" s="75"/>
      <c r="GM75" s="75"/>
      <c r="GN75" s="75"/>
      <c r="GO75" s="75"/>
      <c r="GP75" s="75"/>
      <c r="GQ75" s="75"/>
      <c r="GR75" s="75"/>
      <c r="GS75" s="75"/>
      <c r="GT75" s="75"/>
      <c r="GU75" s="75"/>
      <c r="GV75" s="75"/>
      <c r="GW75" s="75"/>
      <c r="GX75" s="75"/>
      <c r="GY75" s="75"/>
      <c r="GZ75" s="75"/>
      <c r="HA75" s="75"/>
      <c r="HB75" s="75"/>
      <c r="HC75" s="75"/>
      <c r="HD75" s="75"/>
      <c r="HE75" s="75"/>
      <c r="HF75" s="75"/>
      <c r="HG75" s="75"/>
      <c r="HH75" s="75"/>
      <c r="HI75" s="75"/>
      <c r="HJ75" s="75"/>
      <c r="HK75" s="75"/>
      <c r="HL75" s="75"/>
      <c r="HM75" s="75"/>
      <c r="HN75" s="75"/>
      <c r="HO75" s="75"/>
      <c r="HP75" s="75"/>
      <c r="HQ75" s="75"/>
      <c r="HR75" s="75"/>
      <c r="HS75" s="75"/>
      <c r="HT75" s="75"/>
      <c r="HU75" s="75"/>
      <c r="HV75" s="75"/>
      <c r="HW75" s="75"/>
      <c r="HX75" s="75"/>
      <c r="HY75" s="75"/>
      <c r="HZ75" s="75"/>
      <c r="IA75" s="75"/>
      <c r="IB75" s="75"/>
      <c r="IC75" s="75"/>
      <c r="ID75" s="75"/>
      <c r="IE75" s="75"/>
      <c r="IF75" s="75"/>
      <c r="IG75" s="75"/>
      <c r="IH75" s="75"/>
      <c r="II75" s="75"/>
      <c r="IJ75" s="75"/>
      <c r="IK75" s="75"/>
      <c r="IL75" s="75"/>
      <c r="IM75" s="75"/>
      <c r="IN75" s="75"/>
      <c r="IO75" s="75"/>
      <c r="IP75" s="75"/>
      <c r="IQ75" s="75"/>
      <c r="IR75" s="75"/>
      <c r="IS75" s="75"/>
      <c r="IT75" s="75"/>
      <c r="IU75" s="75"/>
      <c r="IV75" s="75"/>
      <c r="IW75" s="75"/>
      <c r="IX75" s="75"/>
      <c r="IY75" s="75"/>
      <c r="IZ75" s="75"/>
      <c r="JA75" s="75"/>
      <c r="JB75" s="75"/>
      <c r="JC75" s="75"/>
      <c r="JD75" s="75"/>
      <c r="JE75" s="75"/>
      <c r="JF75" s="75"/>
      <c r="JG75" s="75"/>
      <c r="JH75" s="75"/>
      <c r="JI75" s="75"/>
      <c r="JJ75" s="75"/>
      <c r="JK75" s="75"/>
      <c r="JL75" s="75"/>
      <c r="JM75" s="75"/>
      <c r="JN75" s="75"/>
      <c r="JO75" s="75"/>
      <c r="JP75" s="75"/>
      <c r="JQ75" s="75"/>
      <c r="JR75" s="75"/>
      <c r="JS75" s="75"/>
      <c r="JT75" s="75"/>
      <c r="JU75" s="75"/>
      <c r="JV75" s="75"/>
      <c r="JW75" s="75"/>
      <c r="JX75" s="75"/>
      <c r="JY75" s="75"/>
      <c r="JZ75" s="75"/>
      <c r="KA75" s="75"/>
      <c r="KB75" s="75"/>
      <c r="KC75" s="75"/>
      <c r="KD75" s="75"/>
      <c r="KE75" s="75"/>
      <c r="KF75" s="75"/>
      <c r="KG75" s="75"/>
      <c r="KH75" s="75"/>
      <c r="KI75" s="75"/>
      <c r="KJ75" s="75"/>
      <c r="KK75" s="75"/>
      <c r="KL75" s="75"/>
      <c r="KM75" s="75"/>
      <c r="KN75" s="75"/>
      <c r="KO75" s="75"/>
      <c r="KP75" s="75"/>
      <c r="KQ75" s="75"/>
      <c r="KR75" s="75"/>
      <c r="KS75" s="75"/>
      <c r="KT75" s="75"/>
      <c r="KU75" s="75"/>
      <c r="KV75" s="75"/>
      <c r="KW75" s="75"/>
      <c r="KX75" s="75"/>
      <c r="KY75" s="75"/>
      <c r="KZ75" s="75"/>
      <c r="LA75" s="75"/>
      <c r="LB75" s="75"/>
      <c r="LC75" s="75"/>
      <c r="LD75" s="75"/>
      <c r="LE75" s="75"/>
      <c r="LF75" s="75"/>
      <c r="LG75" s="75"/>
      <c r="LH75" s="75"/>
      <c r="LI75" s="75"/>
      <c r="LJ75" s="75"/>
      <c r="LK75" s="75"/>
      <c r="LL75" s="75"/>
      <c r="LM75" s="75"/>
      <c r="LN75" s="75"/>
      <c r="LO75" s="75"/>
      <c r="LP75" s="75"/>
      <c r="LQ75" s="75"/>
      <c r="LR75" s="75"/>
      <c r="LS75" s="75"/>
      <c r="LT75" s="75"/>
      <c r="LU75" s="75"/>
      <c r="LV75" s="75"/>
      <c r="LW75" s="75"/>
      <c r="LX75" s="75"/>
      <c r="LY75" s="75"/>
      <c r="LZ75" s="75"/>
      <c r="MA75" s="75"/>
      <c r="MB75" s="75"/>
      <c r="MC75" s="75"/>
      <c r="MD75" s="75"/>
      <c r="ME75" s="75"/>
      <c r="MF75" s="75"/>
      <c r="MG75" s="75"/>
      <c r="MH75" s="75"/>
      <c r="MI75" s="75"/>
      <c r="MJ75" s="75"/>
      <c r="MK75" s="75"/>
      <c r="ML75" s="75"/>
      <c r="MM75" s="75"/>
      <c r="MN75" s="75"/>
      <c r="MO75" s="75"/>
      <c r="MP75" s="75"/>
      <c r="MQ75" s="75"/>
      <c r="MR75" s="75"/>
      <c r="MS75" s="75"/>
      <c r="MT75" s="75"/>
      <c r="MU75" s="75"/>
      <c r="MV75" s="75"/>
      <c r="MW75" s="75"/>
      <c r="MX75" s="75"/>
      <c r="MY75" s="75"/>
      <c r="MZ75" s="75"/>
      <c r="NA75" s="75"/>
      <c r="NB75" s="75"/>
      <c r="NC75" s="75"/>
      <c r="ND75" s="75"/>
      <c r="NE75" s="75"/>
      <c r="NF75" s="75"/>
      <c r="NG75" s="75"/>
      <c r="NH75" s="75"/>
      <c r="NI75" s="75"/>
      <c r="NJ75" s="75"/>
      <c r="NK75" s="75"/>
      <c r="NL75" s="75"/>
      <c r="NM75" s="75"/>
      <c r="NN75" s="75"/>
      <c r="NO75" s="75"/>
      <c r="NP75" s="75"/>
      <c r="NQ75" s="75"/>
      <c r="NR75" s="75"/>
      <c r="NS75" s="75"/>
      <c r="NT75" s="75"/>
      <c r="NU75" s="75"/>
      <c r="NV75" s="75"/>
      <c r="NW75" s="75"/>
      <c r="NX75" s="75"/>
      <c r="NY75" s="75"/>
      <c r="NZ75" s="75"/>
      <c r="OA75" s="75"/>
      <c r="OB75" s="75"/>
      <c r="OC75" s="75"/>
      <c r="OD75" s="75"/>
      <c r="OE75" s="75"/>
      <c r="OF75" s="75"/>
      <c r="OG75" s="75"/>
      <c r="OH75" s="75"/>
      <c r="OI75" s="75"/>
      <c r="OJ75" s="75"/>
      <c r="OK75" s="75"/>
      <c r="OL75" s="75"/>
      <c r="OM75" s="75"/>
      <c r="ON75" s="75"/>
      <c r="OO75" s="75"/>
      <c r="OP75" s="75"/>
      <c r="OQ75" s="75"/>
      <c r="OR75" s="75"/>
      <c r="OS75" s="75"/>
      <c r="OT75" s="75"/>
      <c r="OU75" s="75"/>
      <c r="OV75" s="75"/>
      <c r="OW75" s="75"/>
      <c r="OX75" s="75"/>
      <c r="OY75" s="75"/>
      <c r="OZ75" s="75"/>
      <c r="PA75" s="75"/>
      <c r="PB75" s="75"/>
      <c r="PC75" s="75"/>
      <c r="PD75" s="75"/>
      <c r="PE75" s="75"/>
      <c r="PF75" s="75"/>
      <c r="PG75" s="75"/>
      <c r="PH75" s="75"/>
      <c r="PI75" s="75"/>
      <c r="PJ75" s="75"/>
      <c r="PK75" s="75"/>
      <c r="PL75" s="75"/>
      <c r="PM75" s="75"/>
      <c r="PN75" s="75"/>
      <c r="PO75" s="75"/>
      <c r="PP75" s="75"/>
      <c r="PQ75" s="75"/>
      <c r="PR75" s="75"/>
      <c r="PS75" s="75"/>
      <c r="PT75" s="75"/>
      <c r="PU75" s="75"/>
      <c r="PV75" s="75"/>
      <c r="PW75" s="75"/>
      <c r="PX75" s="75"/>
      <c r="PY75" s="75"/>
      <c r="PZ75" s="75"/>
      <c r="QA75" s="75"/>
      <c r="QB75" s="75"/>
      <c r="QC75" s="75"/>
      <c r="QD75" s="75"/>
      <c r="QE75" s="75"/>
      <c r="QF75" s="75"/>
      <c r="QG75" s="75"/>
      <c r="QH75" s="75"/>
      <c r="QI75" s="75"/>
      <c r="QJ75" s="75"/>
      <c r="QK75" s="75"/>
      <c r="QL75" s="75"/>
      <c r="QM75" s="75"/>
      <c r="QN75" s="75"/>
      <c r="QO75" s="75"/>
      <c r="QP75" s="75"/>
      <c r="QQ75" s="75"/>
      <c r="QR75" s="75"/>
      <c r="QS75" s="75"/>
      <c r="QT75" s="75"/>
      <c r="QU75" s="75"/>
      <c r="QV75" s="75"/>
      <c r="QW75" s="75"/>
      <c r="QX75" s="75"/>
      <c r="QY75" s="75"/>
      <c r="QZ75" s="75"/>
      <c r="RA75" s="75"/>
      <c r="RB75" s="75"/>
      <c r="RC75" s="75"/>
      <c r="RD75" s="75"/>
      <c r="RE75" s="75"/>
      <c r="RF75" s="75"/>
      <c r="RG75" s="75"/>
      <c r="RH75" s="75"/>
      <c r="RI75" s="75"/>
      <c r="RJ75" s="75"/>
      <c r="RK75" s="75"/>
      <c r="RL75" s="75"/>
      <c r="RM75" s="75"/>
      <c r="RN75" s="75"/>
      <c r="RO75" s="75"/>
      <c r="RP75" s="75"/>
      <c r="RQ75" s="75"/>
      <c r="RR75" s="75"/>
      <c r="RS75" s="75"/>
      <c r="RT75" s="75"/>
      <c r="RU75" s="75"/>
      <c r="RV75" s="75"/>
      <c r="RW75" s="75"/>
      <c r="RX75" s="75"/>
      <c r="RY75" s="75"/>
      <c r="RZ75" s="75"/>
      <c r="SA75" s="75"/>
      <c r="SB75" s="75"/>
      <c r="SC75" s="75"/>
      <c r="SD75" s="75"/>
      <c r="SE75" s="75"/>
      <c r="SF75" s="75"/>
      <c r="SG75" s="75"/>
      <c r="SH75" s="75"/>
      <c r="SI75" s="75"/>
      <c r="SJ75" s="75"/>
      <c r="SK75" s="75"/>
      <c r="SL75" s="75"/>
      <c r="SM75" s="75"/>
      <c r="SN75" s="75"/>
      <c r="SO75" s="75"/>
      <c r="SP75" s="75"/>
      <c r="SQ75" s="75"/>
      <c r="SR75" s="75"/>
      <c r="SS75" s="75"/>
      <c r="ST75" s="75"/>
      <c r="SU75" s="75"/>
      <c r="SV75" s="75"/>
      <c r="SW75" s="75"/>
      <c r="SX75" s="75"/>
      <c r="SY75" s="75"/>
      <c r="SZ75" s="75"/>
      <c r="TA75" s="75"/>
      <c r="TB75" s="75"/>
      <c r="TC75" s="75"/>
      <c r="TD75" s="75"/>
      <c r="TE75" s="75"/>
      <c r="TF75" s="75"/>
      <c r="TG75" s="75"/>
      <c r="TH75" s="75"/>
      <c r="TI75" s="75"/>
      <c r="TJ75" s="75"/>
      <c r="TK75" s="75"/>
      <c r="TL75" s="75"/>
      <c r="TM75" s="75"/>
      <c r="TN75" s="75"/>
      <c r="TO75" s="75"/>
      <c r="TP75" s="75"/>
      <c r="TQ75" s="75"/>
      <c r="TR75" s="75"/>
      <c r="TS75" s="75"/>
      <c r="TT75" s="75"/>
      <c r="TU75" s="75"/>
      <c r="TV75" s="75"/>
      <c r="TW75" s="75"/>
      <c r="TX75" s="75"/>
      <c r="TY75" s="75"/>
      <c r="TZ75" s="75"/>
      <c r="UA75" s="75"/>
      <c r="UB75" s="75"/>
      <c r="UC75" s="75"/>
      <c r="UD75" s="75"/>
      <c r="UE75" s="75"/>
      <c r="UF75" s="75"/>
      <c r="UG75" s="75"/>
      <c r="UH75" s="75"/>
      <c r="UI75" s="75"/>
      <c r="UJ75" s="75"/>
      <c r="UK75" s="75"/>
      <c r="UL75" s="75"/>
      <c r="UM75" s="75"/>
      <c r="UN75" s="75"/>
      <c r="UO75" s="75"/>
      <c r="UP75" s="75"/>
      <c r="UQ75" s="75"/>
      <c r="UR75" s="75"/>
      <c r="US75" s="75"/>
      <c r="UT75" s="75"/>
      <c r="UU75" s="75"/>
      <c r="UV75" s="75"/>
      <c r="UW75" s="75"/>
      <c r="UX75" s="75"/>
      <c r="UY75" s="75"/>
      <c r="UZ75" s="75"/>
      <c r="VA75" s="75"/>
      <c r="VB75" s="75"/>
      <c r="VC75" s="75"/>
      <c r="VD75" s="75"/>
      <c r="VE75" s="75"/>
      <c r="VF75" s="75"/>
      <c r="VG75" s="75"/>
      <c r="VH75" s="75"/>
      <c r="VI75" s="75"/>
      <c r="VJ75" s="75"/>
      <c r="VK75" s="75"/>
      <c r="VL75" s="75"/>
      <c r="VM75" s="75"/>
      <c r="VN75" s="75"/>
      <c r="VO75" s="75"/>
      <c r="VP75" s="75"/>
      <c r="VQ75" s="75"/>
      <c r="VR75" s="75"/>
      <c r="VS75" s="75"/>
      <c r="VT75" s="75"/>
      <c r="VU75" s="75"/>
      <c r="VV75" s="75"/>
      <c r="VW75" s="75"/>
      <c r="VX75" s="75"/>
      <c r="VY75" s="75"/>
      <c r="VZ75" s="75"/>
      <c r="WA75" s="75"/>
      <c r="WB75" s="75"/>
      <c r="WC75" s="75"/>
      <c r="WD75" s="75"/>
      <c r="WE75" s="75"/>
      <c r="WF75" s="75"/>
      <c r="WG75" s="75"/>
      <c r="WH75" s="75"/>
      <c r="WI75" s="75"/>
      <c r="WJ75" s="75"/>
      <c r="WK75" s="75"/>
      <c r="WL75" s="75"/>
      <c r="WM75" s="75"/>
      <c r="WN75" s="75"/>
      <c r="WO75" s="75"/>
      <c r="WP75" s="75"/>
      <c r="WQ75" s="75"/>
      <c r="WR75" s="75"/>
      <c r="WS75" s="75"/>
      <c r="WT75" s="75"/>
      <c r="WU75" s="75"/>
      <c r="WV75" s="75"/>
      <c r="WW75" s="75"/>
      <c r="WX75" s="75"/>
      <c r="WY75" s="75"/>
      <c r="WZ75" s="75"/>
      <c r="XA75" s="75"/>
      <c r="XB75" s="75"/>
      <c r="XC75" s="75"/>
      <c r="XD75" s="75"/>
      <c r="XE75" s="75"/>
      <c r="XF75" s="75"/>
      <c r="XG75" s="75"/>
      <c r="XH75" s="75"/>
      <c r="XI75" s="75"/>
      <c r="XJ75" s="75"/>
      <c r="XK75" s="75"/>
      <c r="XL75" s="75"/>
      <c r="XM75" s="75"/>
      <c r="XN75" s="75"/>
      <c r="XO75" s="75"/>
      <c r="XP75" s="75"/>
      <c r="XQ75" s="75"/>
      <c r="XR75" s="75"/>
      <c r="XS75" s="75"/>
      <c r="XT75" s="75"/>
      <c r="XU75" s="75"/>
      <c r="XV75" s="75"/>
      <c r="XW75" s="75"/>
      <c r="XX75" s="75"/>
      <c r="XY75" s="75"/>
      <c r="XZ75" s="75"/>
      <c r="YA75" s="75"/>
      <c r="YB75" s="75"/>
      <c r="YC75" s="75"/>
      <c r="YD75" s="75"/>
      <c r="YE75" s="75"/>
      <c r="YF75" s="75"/>
      <c r="YG75" s="75"/>
      <c r="YH75" s="75"/>
      <c r="YI75" s="75"/>
      <c r="YJ75" s="75"/>
      <c r="YK75" s="75"/>
      <c r="YL75" s="75"/>
      <c r="YM75" s="75"/>
      <c r="YN75" s="75"/>
      <c r="YO75" s="75"/>
      <c r="YP75" s="75"/>
      <c r="YQ75" s="75"/>
      <c r="YR75" s="75"/>
      <c r="YS75" s="75"/>
      <c r="YT75" s="75"/>
      <c r="YU75" s="75"/>
      <c r="YV75" s="75"/>
      <c r="YW75" s="75"/>
      <c r="YX75" s="75"/>
      <c r="YY75" s="75"/>
      <c r="YZ75" s="75"/>
      <c r="ZA75" s="75"/>
      <c r="ZB75" s="75"/>
      <c r="ZC75" s="75"/>
      <c r="ZD75" s="75"/>
      <c r="ZE75" s="75"/>
      <c r="ZF75" s="75"/>
      <c r="ZG75" s="75"/>
      <c r="ZH75" s="75"/>
      <c r="ZI75" s="75"/>
      <c r="ZJ75" s="75"/>
      <c r="ZK75" s="75"/>
      <c r="ZL75" s="75"/>
      <c r="ZM75" s="75"/>
      <c r="ZN75" s="75"/>
      <c r="ZO75" s="75"/>
      <c r="ZP75" s="75"/>
      <c r="ZQ75" s="75"/>
      <c r="ZR75" s="75"/>
      <c r="ZS75" s="75"/>
      <c r="ZT75" s="75"/>
      <c r="ZU75" s="75"/>
      <c r="ZV75" s="75"/>
      <c r="ZW75" s="75"/>
      <c r="ZX75" s="75"/>
      <c r="ZY75" s="75"/>
      <c r="ZZ75" s="75"/>
      <c r="AAA75" s="75"/>
      <c r="AAB75" s="75"/>
      <c r="AAC75" s="75"/>
      <c r="AAD75" s="75"/>
      <c r="AAE75" s="75"/>
      <c r="AAF75" s="75"/>
      <c r="AAG75" s="75"/>
      <c r="AAH75" s="75"/>
      <c r="AAI75" s="75"/>
      <c r="AAJ75" s="75"/>
      <c r="AAK75" s="75"/>
      <c r="AAL75" s="75"/>
      <c r="AAM75" s="75"/>
      <c r="AAN75" s="75"/>
      <c r="AAO75" s="75"/>
      <c r="AAP75" s="75"/>
      <c r="AAQ75" s="75"/>
      <c r="AAR75" s="75"/>
      <c r="AAS75" s="75"/>
      <c r="AAT75" s="75"/>
      <c r="AAU75" s="75"/>
      <c r="AAV75" s="75"/>
      <c r="AAW75" s="75"/>
      <c r="AAX75" s="75"/>
      <c r="AAY75" s="75"/>
      <c r="AAZ75" s="75"/>
      <c r="ABA75" s="75"/>
      <c r="ABB75" s="75"/>
      <c r="ABC75" s="75"/>
      <c r="ABD75" s="75"/>
      <c r="ABE75" s="75"/>
      <c r="ABF75" s="75"/>
      <c r="ABG75" s="75"/>
      <c r="ABH75" s="75"/>
      <c r="ABI75" s="75"/>
      <c r="ABJ75" s="75"/>
      <c r="ABK75" s="75"/>
      <c r="ABL75" s="75"/>
      <c r="ABM75" s="75"/>
      <c r="ABN75" s="75"/>
      <c r="ABO75" s="75"/>
      <c r="ABP75" s="75"/>
      <c r="ABQ75" s="75"/>
      <c r="ABR75" s="75"/>
      <c r="ABS75" s="75"/>
      <c r="ABT75" s="75"/>
      <c r="ABU75" s="75"/>
      <c r="ABV75" s="75"/>
      <c r="ABW75" s="75"/>
      <c r="ABX75" s="75"/>
      <c r="ABY75" s="75"/>
      <c r="ABZ75" s="75"/>
      <c r="ACA75" s="75"/>
      <c r="ACB75" s="75"/>
      <c r="ACC75" s="75"/>
      <c r="ACD75" s="75"/>
      <c r="ACE75" s="75"/>
      <c r="ACF75" s="75"/>
      <c r="ACG75" s="75"/>
      <c r="ACH75" s="75"/>
      <c r="ACI75" s="75"/>
      <c r="ACJ75" s="75"/>
      <c r="ACK75" s="75"/>
      <c r="ACL75" s="75"/>
      <c r="ACM75" s="75"/>
      <c r="ACN75" s="75"/>
      <c r="ACO75" s="75"/>
      <c r="ACP75" s="75"/>
      <c r="ACQ75" s="75"/>
      <c r="ACR75" s="75"/>
      <c r="ACS75" s="75"/>
      <c r="ACT75" s="75"/>
      <c r="ACU75" s="75"/>
      <c r="ACV75" s="75"/>
      <c r="ACW75" s="75"/>
      <c r="ACX75" s="75"/>
      <c r="ACY75" s="75"/>
      <c r="ACZ75" s="75"/>
      <c r="ADA75" s="75"/>
      <c r="ADB75" s="75"/>
      <c r="ADC75" s="75"/>
      <c r="ADD75" s="75"/>
      <c r="ADE75" s="75"/>
      <c r="ADF75" s="75"/>
      <c r="ADG75" s="75"/>
      <c r="ADH75" s="75"/>
      <c r="ADI75" s="75"/>
      <c r="ADJ75" s="75"/>
      <c r="ADK75" s="75"/>
      <c r="ADL75" s="75"/>
      <c r="ADM75" s="75"/>
      <c r="ADN75" s="75"/>
      <c r="ADO75" s="75"/>
      <c r="ADP75" s="75"/>
      <c r="ADQ75" s="75"/>
      <c r="ADR75" s="75"/>
      <c r="ADS75" s="75"/>
      <c r="ADT75" s="75"/>
      <c r="ADU75" s="75"/>
      <c r="ADV75" s="75"/>
      <c r="ADW75" s="75"/>
      <c r="ADX75" s="75"/>
      <c r="ADY75" s="75"/>
      <c r="ADZ75" s="75"/>
      <c r="AEA75" s="75"/>
      <c r="AEB75" s="75"/>
      <c r="AEC75" s="75"/>
      <c r="AED75" s="75"/>
      <c r="AEE75" s="75"/>
      <c r="AEF75" s="75"/>
      <c r="AEG75" s="75"/>
      <c r="AEH75" s="75"/>
      <c r="AEI75" s="75"/>
      <c r="AEJ75" s="75"/>
      <c r="AEK75" s="75"/>
      <c r="AEL75" s="75"/>
      <c r="AEM75" s="75"/>
      <c r="AEN75" s="75"/>
      <c r="AEO75" s="75"/>
      <c r="AEP75" s="75"/>
      <c r="AEQ75" s="75"/>
      <c r="AER75" s="75"/>
      <c r="AES75" s="75"/>
      <c r="AET75" s="75"/>
      <c r="AEU75" s="75"/>
      <c r="AEV75" s="75"/>
      <c r="AEW75" s="75"/>
      <c r="AEX75" s="75"/>
      <c r="AEY75" s="75"/>
      <c r="AEZ75" s="75"/>
      <c r="AFA75" s="75"/>
      <c r="AFB75" s="75"/>
      <c r="AFC75" s="75"/>
      <c r="AFD75" s="75"/>
      <c r="AFE75" s="75"/>
      <c r="AFF75" s="75"/>
      <c r="AFG75" s="75"/>
      <c r="AFH75" s="75"/>
      <c r="AFI75" s="75"/>
      <c r="AFJ75" s="75"/>
      <c r="AFK75" s="75"/>
      <c r="AFL75" s="75"/>
      <c r="AFM75" s="75"/>
      <c r="AFN75" s="75"/>
      <c r="AFO75" s="75"/>
      <c r="AFP75" s="75"/>
      <c r="AFQ75" s="75"/>
      <c r="AFR75" s="75"/>
      <c r="AFS75" s="75"/>
      <c r="AFT75" s="75"/>
      <c r="AFU75" s="75"/>
      <c r="AFV75" s="75"/>
      <c r="AFW75" s="75"/>
      <c r="AFX75" s="75"/>
      <c r="AFY75" s="75"/>
      <c r="AFZ75" s="75"/>
      <c r="AGA75" s="75"/>
      <c r="AGB75" s="75"/>
      <c r="AGC75" s="75"/>
      <c r="AGD75" s="75"/>
      <c r="AGE75" s="75"/>
      <c r="AGF75" s="75"/>
      <c r="AGG75" s="75"/>
      <c r="AGH75" s="75"/>
      <c r="AGI75" s="75"/>
      <c r="AGJ75" s="75"/>
      <c r="AGK75" s="75"/>
      <c r="AGL75" s="75"/>
      <c r="AGM75" s="75"/>
      <c r="AGN75" s="75"/>
      <c r="AGO75" s="75"/>
      <c r="AGP75" s="75"/>
      <c r="AGQ75" s="75"/>
      <c r="AGR75" s="75"/>
      <c r="AGS75" s="75"/>
      <c r="AGT75" s="75"/>
      <c r="AGU75" s="75"/>
      <c r="AGV75" s="75"/>
      <c r="AGW75" s="75"/>
      <c r="AGX75" s="75"/>
      <c r="AGY75" s="75"/>
      <c r="AGZ75" s="75"/>
      <c r="AHA75" s="75"/>
      <c r="AHB75" s="75"/>
      <c r="AHC75" s="75"/>
      <c r="AHD75" s="75"/>
      <c r="AHE75" s="75"/>
      <c r="AHF75" s="75"/>
      <c r="AHG75" s="75"/>
      <c r="AHH75" s="75"/>
      <c r="AHI75" s="75"/>
      <c r="AHJ75" s="75"/>
      <c r="AHK75" s="75"/>
      <c r="AHL75" s="75"/>
      <c r="AHM75" s="75"/>
      <c r="AHN75" s="75"/>
      <c r="AHO75" s="75"/>
      <c r="AHP75" s="75"/>
      <c r="AHQ75" s="75"/>
      <c r="AHR75" s="75"/>
      <c r="AHS75" s="75"/>
      <c r="AHT75" s="75"/>
      <c r="AHU75" s="75"/>
      <c r="AHV75" s="75"/>
      <c r="AHW75" s="75"/>
      <c r="AHX75" s="75"/>
      <c r="AHY75" s="75"/>
      <c r="AHZ75" s="75"/>
      <c r="AIA75" s="75"/>
      <c r="AIB75" s="75"/>
      <c r="AIC75" s="75"/>
      <c r="AID75" s="75"/>
      <c r="AIE75" s="75"/>
      <c r="AIF75" s="75"/>
      <c r="AIG75" s="75"/>
      <c r="AIH75" s="75"/>
      <c r="AII75" s="75"/>
      <c r="AIJ75" s="75"/>
      <c r="AIK75" s="75"/>
      <c r="AIL75" s="75"/>
      <c r="AIM75" s="75"/>
      <c r="AIN75" s="75"/>
      <c r="AIO75" s="75"/>
      <c r="AIP75" s="75"/>
      <c r="AIQ75" s="75"/>
      <c r="AIR75" s="75"/>
      <c r="AIS75" s="75"/>
      <c r="AIT75" s="75"/>
      <c r="AIU75" s="75"/>
      <c r="AIV75" s="75"/>
      <c r="AIW75" s="75"/>
      <c r="AIX75" s="75"/>
      <c r="AIY75" s="75"/>
      <c r="AIZ75" s="75"/>
      <c r="AJA75" s="75"/>
      <c r="AJB75" s="75"/>
      <c r="AJC75" s="75"/>
      <c r="AJD75" s="75"/>
      <c r="AJE75" s="75"/>
      <c r="AJF75" s="75"/>
      <c r="AJG75" s="75"/>
      <c r="AJH75" s="75"/>
      <c r="AJI75" s="75"/>
      <c r="AJJ75" s="75"/>
      <c r="AJK75" s="75"/>
      <c r="AJL75" s="75"/>
      <c r="AJM75" s="75"/>
      <c r="AJN75" s="75"/>
      <c r="AJO75" s="75"/>
      <c r="AJP75" s="75"/>
      <c r="AJQ75" s="75"/>
      <c r="AJR75" s="75"/>
      <c r="AJS75" s="75"/>
      <c r="AJT75" s="75"/>
      <c r="AJU75" s="75"/>
      <c r="AJV75" s="75"/>
      <c r="AJW75" s="75"/>
      <c r="AJX75" s="75"/>
      <c r="AJY75" s="75"/>
      <c r="AJZ75" s="75"/>
      <c r="AKA75" s="75"/>
      <c r="AKB75" s="75"/>
      <c r="AKC75" s="75"/>
      <c r="AKD75" s="75"/>
      <c r="AKE75" s="75"/>
      <c r="AKF75" s="75"/>
      <c r="AKG75" s="75"/>
      <c r="AKH75" s="75"/>
      <c r="AKI75" s="75"/>
      <c r="AKJ75" s="75"/>
      <c r="AKK75" s="75"/>
      <c r="AKL75" s="75"/>
      <c r="AKM75" s="75"/>
      <c r="AKN75" s="75"/>
      <c r="AKO75" s="75"/>
      <c r="AKP75" s="75"/>
      <c r="AKQ75" s="75"/>
      <c r="AKR75" s="75"/>
      <c r="AKS75" s="75"/>
      <c r="AKT75" s="75"/>
      <c r="AKU75" s="75"/>
      <c r="AKV75" s="75"/>
      <c r="AKW75" s="75"/>
      <c r="AKX75" s="75"/>
      <c r="AKY75" s="75"/>
      <c r="AKZ75" s="75"/>
      <c r="ALA75" s="75"/>
      <c r="ALB75" s="75"/>
      <c r="ALC75" s="75"/>
      <c r="ALD75" s="75"/>
      <c r="ALE75" s="75"/>
      <c r="ALF75" s="75"/>
      <c r="ALG75" s="75"/>
      <c r="ALH75" s="75"/>
      <c r="ALI75" s="75"/>
      <c r="ALJ75" s="75"/>
      <c r="ALK75" s="75"/>
      <c r="ALL75" s="75"/>
      <c r="ALM75" s="75"/>
      <c r="ALN75" s="75"/>
      <c r="ALO75" s="75"/>
      <c r="ALP75" s="75"/>
      <c r="ALQ75" s="75"/>
      <c r="ALR75" s="75"/>
      <c r="ALS75" s="75"/>
      <c r="ALT75" s="75"/>
      <c r="ALU75" s="75"/>
      <c r="ALV75" s="75"/>
      <c r="ALW75" s="75"/>
      <c r="ALX75" s="75"/>
      <c r="ALY75" s="75"/>
      <c r="ALZ75" s="75"/>
      <c r="AMA75" s="75"/>
      <c r="AMB75" s="75"/>
      <c r="AMC75" s="75"/>
      <c r="AMD75" s="75"/>
      <c r="AME75" s="75"/>
      <c r="AMF75" s="75"/>
      <c r="AMG75" s="75"/>
      <c r="AMH75" s="75"/>
      <c r="AMI75" s="75"/>
      <c r="AMJ75" s="75"/>
    </row>
    <row r="76" spans="12:1024" ht="15.95" customHeight="1" x14ac:dyDescent="0.2">
      <c r="L76" s="75"/>
      <c r="M76" s="76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75"/>
      <c r="CG76" s="75"/>
      <c r="CH76" s="75"/>
      <c r="CI76" s="75"/>
      <c r="CJ76" s="75"/>
      <c r="CK76" s="75"/>
      <c r="CL76" s="75"/>
      <c r="CM76" s="75"/>
      <c r="CN76" s="75"/>
      <c r="CO76" s="75"/>
      <c r="CP76" s="75"/>
      <c r="CQ76" s="75"/>
      <c r="CR76" s="75"/>
      <c r="CS76" s="75"/>
      <c r="CT76" s="75"/>
      <c r="CU76" s="75"/>
      <c r="CV76" s="75"/>
      <c r="CW76" s="75"/>
      <c r="CX76" s="75"/>
      <c r="CY76" s="75"/>
      <c r="CZ76" s="75"/>
      <c r="DA76" s="75"/>
      <c r="DB76" s="75"/>
      <c r="DC76" s="75"/>
      <c r="DD76" s="75"/>
      <c r="DE76" s="75"/>
      <c r="DF76" s="75"/>
      <c r="DG76" s="75"/>
      <c r="DH76" s="75"/>
      <c r="DI76" s="75"/>
      <c r="DJ76" s="75"/>
      <c r="DK76" s="75"/>
      <c r="DL76" s="75"/>
      <c r="DM76" s="75"/>
      <c r="DN76" s="75"/>
      <c r="DO76" s="75"/>
      <c r="DP76" s="75"/>
      <c r="DQ76" s="75"/>
      <c r="DR76" s="75"/>
      <c r="DS76" s="75"/>
      <c r="DT76" s="75"/>
      <c r="DU76" s="75"/>
      <c r="DV76" s="75"/>
      <c r="DW76" s="75"/>
      <c r="DX76" s="75"/>
      <c r="DY76" s="75"/>
      <c r="DZ76" s="75"/>
      <c r="EA76" s="75"/>
      <c r="EB76" s="75"/>
      <c r="EC76" s="75"/>
      <c r="ED76" s="75"/>
      <c r="EE76" s="75"/>
      <c r="EF76" s="75"/>
      <c r="EG76" s="75"/>
      <c r="EH76" s="75"/>
      <c r="EI76" s="75"/>
      <c r="EJ76" s="75"/>
      <c r="EK76" s="75"/>
      <c r="EL76" s="75"/>
      <c r="EM76" s="75"/>
      <c r="EN76" s="75"/>
      <c r="EO76" s="75"/>
      <c r="EP76" s="75"/>
      <c r="EQ76" s="75"/>
      <c r="ER76" s="75"/>
      <c r="ES76" s="75"/>
      <c r="ET76" s="75"/>
      <c r="EU76" s="75"/>
      <c r="EV76" s="75"/>
      <c r="EW76" s="75"/>
      <c r="EX76" s="75"/>
      <c r="EY76" s="75"/>
      <c r="EZ76" s="75"/>
      <c r="FA76" s="75"/>
      <c r="FB76" s="75"/>
      <c r="FC76" s="75"/>
      <c r="FD76" s="75"/>
      <c r="FE76" s="75"/>
      <c r="FF76" s="75"/>
      <c r="FG76" s="75"/>
      <c r="FH76" s="75"/>
      <c r="FI76" s="75"/>
      <c r="FJ76" s="75"/>
      <c r="FK76" s="75"/>
      <c r="FL76" s="75"/>
      <c r="FM76" s="75"/>
      <c r="FN76" s="75"/>
      <c r="FO76" s="75"/>
      <c r="FP76" s="75"/>
      <c r="FQ76" s="75"/>
      <c r="FR76" s="75"/>
      <c r="FS76" s="75"/>
      <c r="FT76" s="75"/>
      <c r="FU76" s="75"/>
      <c r="FV76" s="75"/>
      <c r="FW76" s="75"/>
      <c r="FX76" s="75"/>
      <c r="FY76" s="75"/>
      <c r="FZ76" s="75"/>
      <c r="GA76" s="75"/>
      <c r="GB76" s="75"/>
      <c r="GC76" s="75"/>
      <c r="GD76" s="75"/>
      <c r="GE76" s="75"/>
      <c r="GF76" s="75"/>
      <c r="GG76" s="75"/>
      <c r="GH76" s="75"/>
      <c r="GI76" s="75"/>
      <c r="GJ76" s="75"/>
      <c r="GK76" s="75"/>
      <c r="GL76" s="75"/>
      <c r="GM76" s="75"/>
      <c r="GN76" s="75"/>
      <c r="GO76" s="75"/>
      <c r="GP76" s="75"/>
      <c r="GQ76" s="75"/>
      <c r="GR76" s="75"/>
      <c r="GS76" s="75"/>
      <c r="GT76" s="75"/>
      <c r="GU76" s="75"/>
      <c r="GV76" s="75"/>
      <c r="GW76" s="75"/>
      <c r="GX76" s="75"/>
      <c r="GY76" s="75"/>
      <c r="GZ76" s="75"/>
      <c r="HA76" s="75"/>
      <c r="HB76" s="75"/>
      <c r="HC76" s="75"/>
      <c r="HD76" s="75"/>
      <c r="HE76" s="75"/>
      <c r="HF76" s="75"/>
      <c r="HG76" s="75"/>
      <c r="HH76" s="75"/>
      <c r="HI76" s="75"/>
      <c r="HJ76" s="75"/>
      <c r="HK76" s="75"/>
      <c r="HL76" s="75"/>
      <c r="HM76" s="75"/>
      <c r="HN76" s="75"/>
      <c r="HO76" s="75"/>
      <c r="HP76" s="75"/>
      <c r="HQ76" s="75"/>
      <c r="HR76" s="75"/>
      <c r="HS76" s="75"/>
      <c r="HT76" s="75"/>
      <c r="HU76" s="75"/>
      <c r="HV76" s="75"/>
      <c r="HW76" s="75"/>
      <c r="HX76" s="75"/>
      <c r="HY76" s="75"/>
      <c r="HZ76" s="75"/>
      <c r="IA76" s="75"/>
      <c r="IB76" s="75"/>
      <c r="IC76" s="75"/>
      <c r="ID76" s="75"/>
      <c r="IE76" s="75"/>
      <c r="IF76" s="75"/>
      <c r="IG76" s="75"/>
      <c r="IH76" s="75"/>
      <c r="II76" s="75"/>
      <c r="IJ76" s="75"/>
      <c r="IK76" s="75"/>
      <c r="IL76" s="75"/>
      <c r="IM76" s="75"/>
      <c r="IN76" s="75"/>
      <c r="IO76" s="75"/>
      <c r="IP76" s="75"/>
      <c r="IQ76" s="75"/>
      <c r="IR76" s="75"/>
      <c r="IS76" s="75"/>
      <c r="IT76" s="75"/>
      <c r="IU76" s="75"/>
      <c r="IV76" s="75"/>
      <c r="IW76" s="75"/>
      <c r="IX76" s="75"/>
      <c r="IY76" s="75"/>
      <c r="IZ76" s="75"/>
      <c r="JA76" s="75"/>
      <c r="JB76" s="75"/>
      <c r="JC76" s="75"/>
      <c r="JD76" s="75"/>
      <c r="JE76" s="75"/>
      <c r="JF76" s="75"/>
      <c r="JG76" s="75"/>
      <c r="JH76" s="75"/>
      <c r="JI76" s="75"/>
      <c r="JJ76" s="75"/>
      <c r="JK76" s="75"/>
      <c r="JL76" s="75"/>
      <c r="JM76" s="75"/>
      <c r="JN76" s="75"/>
      <c r="JO76" s="75"/>
      <c r="JP76" s="75"/>
      <c r="JQ76" s="75"/>
      <c r="JR76" s="75"/>
      <c r="JS76" s="75"/>
      <c r="JT76" s="75"/>
      <c r="JU76" s="75"/>
      <c r="JV76" s="75"/>
      <c r="JW76" s="75"/>
      <c r="JX76" s="75"/>
      <c r="JY76" s="75"/>
      <c r="JZ76" s="75"/>
      <c r="KA76" s="75"/>
      <c r="KB76" s="75"/>
      <c r="KC76" s="75"/>
      <c r="KD76" s="75"/>
      <c r="KE76" s="75"/>
      <c r="KF76" s="75"/>
      <c r="KG76" s="75"/>
      <c r="KH76" s="75"/>
      <c r="KI76" s="75"/>
      <c r="KJ76" s="75"/>
      <c r="KK76" s="75"/>
      <c r="KL76" s="75"/>
      <c r="KM76" s="75"/>
      <c r="KN76" s="75"/>
      <c r="KO76" s="75"/>
      <c r="KP76" s="75"/>
      <c r="KQ76" s="75"/>
      <c r="KR76" s="75"/>
      <c r="KS76" s="75"/>
      <c r="KT76" s="75"/>
      <c r="KU76" s="75"/>
      <c r="KV76" s="75"/>
      <c r="KW76" s="75"/>
      <c r="KX76" s="75"/>
      <c r="KY76" s="75"/>
      <c r="KZ76" s="75"/>
      <c r="LA76" s="75"/>
      <c r="LB76" s="75"/>
      <c r="LC76" s="75"/>
      <c r="LD76" s="75"/>
      <c r="LE76" s="75"/>
      <c r="LF76" s="75"/>
      <c r="LG76" s="75"/>
      <c r="LH76" s="75"/>
      <c r="LI76" s="75"/>
      <c r="LJ76" s="75"/>
      <c r="LK76" s="75"/>
      <c r="LL76" s="75"/>
      <c r="LM76" s="75"/>
      <c r="LN76" s="75"/>
      <c r="LO76" s="75"/>
      <c r="LP76" s="75"/>
      <c r="LQ76" s="75"/>
      <c r="LR76" s="75"/>
      <c r="LS76" s="75"/>
      <c r="LT76" s="75"/>
      <c r="LU76" s="75"/>
      <c r="LV76" s="75"/>
      <c r="LW76" s="75"/>
      <c r="LX76" s="75"/>
      <c r="LY76" s="75"/>
      <c r="LZ76" s="75"/>
      <c r="MA76" s="75"/>
      <c r="MB76" s="75"/>
      <c r="MC76" s="75"/>
      <c r="MD76" s="75"/>
      <c r="ME76" s="75"/>
      <c r="MF76" s="75"/>
      <c r="MG76" s="75"/>
      <c r="MH76" s="75"/>
      <c r="MI76" s="75"/>
      <c r="MJ76" s="75"/>
      <c r="MK76" s="75"/>
      <c r="ML76" s="75"/>
      <c r="MM76" s="75"/>
      <c r="MN76" s="75"/>
      <c r="MO76" s="75"/>
      <c r="MP76" s="75"/>
      <c r="MQ76" s="75"/>
      <c r="MR76" s="75"/>
      <c r="MS76" s="75"/>
      <c r="MT76" s="75"/>
      <c r="MU76" s="75"/>
      <c r="MV76" s="75"/>
      <c r="MW76" s="75"/>
      <c r="MX76" s="75"/>
      <c r="MY76" s="75"/>
      <c r="MZ76" s="75"/>
      <c r="NA76" s="75"/>
      <c r="NB76" s="75"/>
      <c r="NC76" s="75"/>
      <c r="ND76" s="75"/>
      <c r="NE76" s="75"/>
      <c r="NF76" s="75"/>
      <c r="NG76" s="75"/>
      <c r="NH76" s="75"/>
      <c r="NI76" s="75"/>
      <c r="NJ76" s="75"/>
      <c r="NK76" s="75"/>
      <c r="NL76" s="75"/>
      <c r="NM76" s="75"/>
      <c r="NN76" s="75"/>
      <c r="NO76" s="75"/>
      <c r="NP76" s="75"/>
      <c r="NQ76" s="75"/>
      <c r="NR76" s="75"/>
      <c r="NS76" s="75"/>
      <c r="NT76" s="75"/>
      <c r="NU76" s="75"/>
      <c r="NV76" s="75"/>
      <c r="NW76" s="75"/>
      <c r="NX76" s="75"/>
      <c r="NY76" s="75"/>
      <c r="NZ76" s="75"/>
      <c r="OA76" s="75"/>
      <c r="OB76" s="75"/>
      <c r="OC76" s="75"/>
      <c r="OD76" s="75"/>
      <c r="OE76" s="75"/>
      <c r="OF76" s="75"/>
      <c r="OG76" s="75"/>
      <c r="OH76" s="75"/>
      <c r="OI76" s="75"/>
      <c r="OJ76" s="75"/>
      <c r="OK76" s="75"/>
      <c r="OL76" s="75"/>
      <c r="OM76" s="75"/>
      <c r="ON76" s="75"/>
      <c r="OO76" s="75"/>
      <c r="OP76" s="75"/>
      <c r="OQ76" s="75"/>
      <c r="OR76" s="75"/>
      <c r="OS76" s="75"/>
      <c r="OT76" s="75"/>
      <c r="OU76" s="75"/>
      <c r="OV76" s="75"/>
      <c r="OW76" s="75"/>
      <c r="OX76" s="75"/>
      <c r="OY76" s="75"/>
      <c r="OZ76" s="75"/>
      <c r="PA76" s="75"/>
      <c r="PB76" s="75"/>
      <c r="PC76" s="75"/>
      <c r="PD76" s="75"/>
      <c r="PE76" s="75"/>
      <c r="PF76" s="75"/>
      <c r="PG76" s="75"/>
      <c r="PH76" s="75"/>
      <c r="PI76" s="75"/>
      <c r="PJ76" s="75"/>
      <c r="PK76" s="75"/>
      <c r="PL76" s="75"/>
      <c r="PM76" s="75"/>
      <c r="PN76" s="75"/>
      <c r="PO76" s="75"/>
      <c r="PP76" s="75"/>
      <c r="PQ76" s="75"/>
      <c r="PR76" s="75"/>
      <c r="PS76" s="75"/>
      <c r="PT76" s="75"/>
      <c r="PU76" s="75"/>
      <c r="PV76" s="75"/>
      <c r="PW76" s="75"/>
      <c r="PX76" s="75"/>
      <c r="PY76" s="75"/>
      <c r="PZ76" s="75"/>
      <c r="QA76" s="75"/>
      <c r="QB76" s="75"/>
      <c r="QC76" s="75"/>
      <c r="QD76" s="75"/>
      <c r="QE76" s="75"/>
      <c r="QF76" s="75"/>
      <c r="QG76" s="75"/>
      <c r="QH76" s="75"/>
      <c r="QI76" s="75"/>
      <c r="QJ76" s="75"/>
      <c r="QK76" s="75"/>
      <c r="QL76" s="75"/>
      <c r="QM76" s="75"/>
      <c r="QN76" s="75"/>
      <c r="QO76" s="75"/>
      <c r="QP76" s="75"/>
      <c r="QQ76" s="75"/>
      <c r="QR76" s="75"/>
      <c r="QS76" s="75"/>
      <c r="QT76" s="75"/>
      <c r="QU76" s="75"/>
      <c r="QV76" s="75"/>
      <c r="QW76" s="75"/>
      <c r="QX76" s="75"/>
      <c r="QY76" s="75"/>
      <c r="QZ76" s="75"/>
      <c r="RA76" s="75"/>
      <c r="RB76" s="75"/>
      <c r="RC76" s="75"/>
      <c r="RD76" s="75"/>
      <c r="RE76" s="75"/>
      <c r="RF76" s="75"/>
      <c r="RG76" s="75"/>
      <c r="RH76" s="75"/>
      <c r="RI76" s="75"/>
      <c r="RJ76" s="75"/>
      <c r="RK76" s="75"/>
      <c r="RL76" s="75"/>
      <c r="RM76" s="75"/>
      <c r="RN76" s="75"/>
      <c r="RO76" s="75"/>
      <c r="RP76" s="75"/>
      <c r="RQ76" s="75"/>
      <c r="RR76" s="75"/>
      <c r="RS76" s="75"/>
      <c r="RT76" s="75"/>
      <c r="RU76" s="75"/>
      <c r="RV76" s="75"/>
      <c r="RW76" s="75"/>
      <c r="RX76" s="75"/>
      <c r="RY76" s="75"/>
      <c r="RZ76" s="75"/>
      <c r="SA76" s="75"/>
      <c r="SB76" s="75"/>
      <c r="SC76" s="75"/>
      <c r="SD76" s="75"/>
      <c r="SE76" s="75"/>
      <c r="SF76" s="75"/>
      <c r="SG76" s="75"/>
      <c r="SH76" s="75"/>
      <c r="SI76" s="75"/>
      <c r="SJ76" s="75"/>
      <c r="SK76" s="75"/>
      <c r="SL76" s="75"/>
      <c r="SM76" s="75"/>
      <c r="SN76" s="75"/>
      <c r="SO76" s="75"/>
      <c r="SP76" s="75"/>
      <c r="SQ76" s="75"/>
      <c r="SR76" s="75"/>
      <c r="SS76" s="75"/>
      <c r="ST76" s="75"/>
      <c r="SU76" s="75"/>
      <c r="SV76" s="75"/>
      <c r="SW76" s="75"/>
      <c r="SX76" s="75"/>
      <c r="SY76" s="75"/>
      <c r="SZ76" s="75"/>
      <c r="TA76" s="75"/>
      <c r="TB76" s="75"/>
      <c r="TC76" s="75"/>
      <c r="TD76" s="75"/>
      <c r="TE76" s="75"/>
      <c r="TF76" s="75"/>
      <c r="TG76" s="75"/>
      <c r="TH76" s="75"/>
      <c r="TI76" s="75"/>
      <c r="TJ76" s="75"/>
      <c r="TK76" s="75"/>
      <c r="TL76" s="75"/>
      <c r="TM76" s="75"/>
      <c r="TN76" s="75"/>
      <c r="TO76" s="75"/>
      <c r="TP76" s="75"/>
      <c r="TQ76" s="75"/>
      <c r="TR76" s="75"/>
      <c r="TS76" s="75"/>
      <c r="TT76" s="75"/>
      <c r="TU76" s="75"/>
      <c r="TV76" s="75"/>
      <c r="TW76" s="75"/>
      <c r="TX76" s="75"/>
      <c r="TY76" s="75"/>
      <c r="TZ76" s="75"/>
      <c r="UA76" s="75"/>
      <c r="UB76" s="75"/>
      <c r="UC76" s="75"/>
      <c r="UD76" s="75"/>
      <c r="UE76" s="75"/>
      <c r="UF76" s="75"/>
      <c r="UG76" s="75"/>
      <c r="UH76" s="75"/>
      <c r="UI76" s="75"/>
      <c r="UJ76" s="75"/>
      <c r="UK76" s="75"/>
      <c r="UL76" s="75"/>
      <c r="UM76" s="75"/>
      <c r="UN76" s="75"/>
      <c r="UO76" s="75"/>
      <c r="UP76" s="75"/>
      <c r="UQ76" s="75"/>
      <c r="UR76" s="75"/>
      <c r="US76" s="75"/>
      <c r="UT76" s="75"/>
      <c r="UU76" s="75"/>
      <c r="UV76" s="75"/>
      <c r="UW76" s="75"/>
      <c r="UX76" s="75"/>
      <c r="UY76" s="75"/>
      <c r="UZ76" s="75"/>
      <c r="VA76" s="75"/>
      <c r="VB76" s="75"/>
      <c r="VC76" s="75"/>
      <c r="VD76" s="75"/>
      <c r="VE76" s="75"/>
      <c r="VF76" s="75"/>
      <c r="VG76" s="75"/>
      <c r="VH76" s="75"/>
      <c r="VI76" s="75"/>
      <c r="VJ76" s="75"/>
      <c r="VK76" s="75"/>
      <c r="VL76" s="75"/>
      <c r="VM76" s="75"/>
      <c r="VN76" s="75"/>
      <c r="VO76" s="75"/>
      <c r="VP76" s="75"/>
      <c r="VQ76" s="75"/>
      <c r="VR76" s="75"/>
      <c r="VS76" s="75"/>
      <c r="VT76" s="75"/>
      <c r="VU76" s="75"/>
      <c r="VV76" s="75"/>
      <c r="VW76" s="75"/>
      <c r="VX76" s="75"/>
      <c r="VY76" s="75"/>
      <c r="VZ76" s="75"/>
      <c r="WA76" s="75"/>
      <c r="WB76" s="75"/>
      <c r="WC76" s="75"/>
      <c r="WD76" s="75"/>
      <c r="WE76" s="75"/>
      <c r="WF76" s="75"/>
      <c r="WG76" s="75"/>
      <c r="WH76" s="75"/>
      <c r="WI76" s="75"/>
      <c r="WJ76" s="75"/>
      <c r="WK76" s="75"/>
      <c r="WL76" s="75"/>
      <c r="WM76" s="75"/>
      <c r="WN76" s="75"/>
      <c r="WO76" s="75"/>
      <c r="WP76" s="75"/>
      <c r="WQ76" s="75"/>
      <c r="WR76" s="75"/>
      <c r="WS76" s="75"/>
      <c r="WT76" s="75"/>
      <c r="WU76" s="75"/>
      <c r="WV76" s="75"/>
      <c r="WW76" s="75"/>
      <c r="WX76" s="75"/>
      <c r="WY76" s="75"/>
      <c r="WZ76" s="75"/>
      <c r="XA76" s="75"/>
      <c r="XB76" s="75"/>
      <c r="XC76" s="75"/>
      <c r="XD76" s="75"/>
      <c r="XE76" s="75"/>
      <c r="XF76" s="75"/>
      <c r="XG76" s="75"/>
      <c r="XH76" s="75"/>
      <c r="XI76" s="75"/>
      <c r="XJ76" s="75"/>
      <c r="XK76" s="75"/>
      <c r="XL76" s="75"/>
      <c r="XM76" s="75"/>
      <c r="XN76" s="75"/>
      <c r="XO76" s="75"/>
      <c r="XP76" s="75"/>
      <c r="XQ76" s="75"/>
      <c r="XR76" s="75"/>
      <c r="XS76" s="75"/>
      <c r="XT76" s="75"/>
      <c r="XU76" s="75"/>
      <c r="XV76" s="75"/>
      <c r="XW76" s="75"/>
      <c r="XX76" s="75"/>
      <c r="XY76" s="75"/>
      <c r="XZ76" s="75"/>
      <c r="YA76" s="75"/>
      <c r="YB76" s="75"/>
      <c r="YC76" s="75"/>
      <c r="YD76" s="75"/>
      <c r="YE76" s="75"/>
      <c r="YF76" s="75"/>
      <c r="YG76" s="75"/>
      <c r="YH76" s="75"/>
      <c r="YI76" s="75"/>
      <c r="YJ76" s="75"/>
      <c r="YK76" s="75"/>
      <c r="YL76" s="75"/>
      <c r="YM76" s="75"/>
      <c r="YN76" s="75"/>
      <c r="YO76" s="75"/>
      <c r="YP76" s="75"/>
      <c r="YQ76" s="75"/>
      <c r="YR76" s="75"/>
      <c r="YS76" s="75"/>
      <c r="YT76" s="75"/>
      <c r="YU76" s="75"/>
      <c r="YV76" s="75"/>
      <c r="YW76" s="75"/>
      <c r="YX76" s="75"/>
      <c r="YY76" s="75"/>
      <c r="YZ76" s="75"/>
      <c r="ZA76" s="75"/>
      <c r="ZB76" s="75"/>
      <c r="ZC76" s="75"/>
      <c r="ZD76" s="75"/>
      <c r="ZE76" s="75"/>
      <c r="ZF76" s="75"/>
      <c r="ZG76" s="75"/>
      <c r="ZH76" s="75"/>
      <c r="ZI76" s="75"/>
      <c r="ZJ76" s="75"/>
      <c r="ZK76" s="75"/>
      <c r="ZL76" s="75"/>
      <c r="ZM76" s="75"/>
      <c r="ZN76" s="75"/>
      <c r="ZO76" s="75"/>
      <c r="ZP76" s="75"/>
      <c r="ZQ76" s="75"/>
      <c r="ZR76" s="75"/>
      <c r="ZS76" s="75"/>
      <c r="ZT76" s="75"/>
      <c r="ZU76" s="75"/>
      <c r="ZV76" s="75"/>
      <c r="ZW76" s="75"/>
      <c r="ZX76" s="75"/>
      <c r="ZY76" s="75"/>
      <c r="ZZ76" s="75"/>
      <c r="AAA76" s="75"/>
      <c r="AAB76" s="75"/>
      <c r="AAC76" s="75"/>
      <c r="AAD76" s="75"/>
      <c r="AAE76" s="75"/>
      <c r="AAF76" s="75"/>
      <c r="AAG76" s="75"/>
      <c r="AAH76" s="75"/>
      <c r="AAI76" s="75"/>
      <c r="AAJ76" s="75"/>
      <c r="AAK76" s="75"/>
      <c r="AAL76" s="75"/>
      <c r="AAM76" s="75"/>
      <c r="AAN76" s="75"/>
      <c r="AAO76" s="75"/>
      <c r="AAP76" s="75"/>
      <c r="AAQ76" s="75"/>
      <c r="AAR76" s="75"/>
      <c r="AAS76" s="75"/>
      <c r="AAT76" s="75"/>
      <c r="AAU76" s="75"/>
      <c r="AAV76" s="75"/>
      <c r="AAW76" s="75"/>
      <c r="AAX76" s="75"/>
      <c r="AAY76" s="75"/>
      <c r="AAZ76" s="75"/>
      <c r="ABA76" s="75"/>
      <c r="ABB76" s="75"/>
      <c r="ABC76" s="75"/>
      <c r="ABD76" s="75"/>
      <c r="ABE76" s="75"/>
      <c r="ABF76" s="75"/>
      <c r="ABG76" s="75"/>
      <c r="ABH76" s="75"/>
      <c r="ABI76" s="75"/>
      <c r="ABJ76" s="75"/>
      <c r="ABK76" s="75"/>
      <c r="ABL76" s="75"/>
      <c r="ABM76" s="75"/>
      <c r="ABN76" s="75"/>
      <c r="ABO76" s="75"/>
      <c r="ABP76" s="75"/>
      <c r="ABQ76" s="75"/>
      <c r="ABR76" s="75"/>
      <c r="ABS76" s="75"/>
      <c r="ABT76" s="75"/>
      <c r="ABU76" s="75"/>
      <c r="ABV76" s="75"/>
      <c r="ABW76" s="75"/>
      <c r="ABX76" s="75"/>
      <c r="ABY76" s="75"/>
      <c r="ABZ76" s="75"/>
      <c r="ACA76" s="75"/>
      <c r="ACB76" s="75"/>
      <c r="ACC76" s="75"/>
      <c r="ACD76" s="75"/>
      <c r="ACE76" s="75"/>
      <c r="ACF76" s="75"/>
      <c r="ACG76" s="75"/>
      <c r="ACH76" s="75"/>
      <c r="ACI76" s="75"/>
      <c r="ACJ76" s="75"/>
      <c r="ACK76" s="75"/>
      <c r="ACL76" s="75"/>
      <c r="ACM76" s="75"/>
      <c r="ACN76" s="75"/>
      <c r="ACO76" s="75"/>
      <c r="ACP76" s="75"/>
      <c r="ACQ76" s="75"/>
      <c r="ACR76" s="75"/>
      <c r="ACS76" s="75"/>
      <c r="ACT76" s="75"/>
      <c r="ACU76" s="75"/>
      <c r="ACV76" s="75"/>
      <c r="ACW76" s="75"/>
      <c r="ACX76" s="75"/>
      <c r="ACY76" s="75"/>
      <c r="ACZ76" s="75"/>
      <c r="ADA76" s="75"/>
      <c r="ADB76" s="75"/>
      <c r="ADC76" s="75"/>
      <c r="ADD76" s="75"/>
      <c r="ADE76" s="75"/>
      <c r="ADF76" s="75"/>
      <c r="ADG76" s="75"/>
      <c r="ADH76" s="75"/>
      <c r="ADI76" s="75"/>
      <c r="ADJ76" s="75"/>
      <c r="ADK76" s="75"/>
      <c r="ADL76" s="75"/>
      <c r="ADM76" s="75"/>
      <c r="ADN76" s="75"/>
      <c r="ADO76" s="75"/>
      <c r="ADP76" s="75"/>
      <c r="ADQ76" s="75"/>
      <c r="ADR76" s="75"/>
      <c r="ADS76" s="75"/>
      <c r="ADT76" s="75"/>
      <c r="ADU76" s="75"/>
      <c r="ADV76" s="75"/>
      <c r="ADW76" s="75"/>
      <c r="ADX76" s="75"/>
      <c r="ADY76" s="75"/>
      <c r="ADZ76" s="75"/>
      <c r="AEA76" s="75"/>
      <c r="AEB76" s="75"/>
      <c r="AEC76" s="75"/>
      <c r="AED76" s="75"/>
      <c r="AEE76" s="75"/>
      <c r="AEF76" s="75"/>
      <c r="AEG76" s="75"/>
      <c r="AEH76" s="75"/>
      <c r="AEI76" s="75"/>
      <c r="AEJ76" s="75"/>
      <c r="AEK76" s="75"/>
      <c r="AEL76" s="75"/>
      <c r="AEM76" s="75"/>
      <c r="AEN76" s="75"/>
      <c r="AEO76" s="75"/>
      <c r="AEP76" s="75"/>
      <c r="AEQ76" s="75"/>
      <c r="AER76" s="75"/>
      <c r="AES76" s="75"/>
      <c r="AET76" s="75"/>
      <c r="AEU76" s="75"/>
      <c r="AEV76" s="75"/>
      <c r="AEW76" s="75"/>
      <c r="AEX76" s="75"/>
      <c r="AEY76" s="75"/>
      <c r="AEZ76" s="75"/>
      <c r="AFA76" s="75"/>
      <c r="AFB76" s="75"/>
      <c r="AFC76" s="75"/>
      <c r="AFD76" s="75"/>
      <c r="AFE76" s="75"/>
      <c r="AFF76" s="75"/>
      <c r="AFG76" s="75"/>
      <c r="AFH76" s="75"/>
      <c r="AFI76" s="75"/>
      <c r="AFJ76" s="75"/>
      <c r="AFK76" s="75"/>
      <c r="AFL76" s="75"/>
      <c r="AFM76" s="75"/>
      <c r="AFN76" s="75"/>
      <c r="AFO76" s="75"/>
      <c r="AFP76" s="75"/>
      <c r="AFQ76" s="75"/>
      <c r="AFR76" s="75"/>
      <c r="AFS76" s="75"/>
      <c r="AFT76" s="75"/>
      <c r="AFU76" s="75"/>
      <c r="AFV76" s="75"/>
      <c r="AFW76" s="75"/>
      <c r="AFX76" s="75"/>
      <c r="AFY76" s="75"/>
      <c r="AFZ76" s="75"/>
      <c r="AGA76" s="75"/>
      <c r="AGB76" s="75"/>
      <c r="AGC76" s="75"/>
      <c r="AGD76" s="75"/>
      <c r="AGE76" s="75"/>
      <c r="AGF76" s="75"/>
      <c r="AGG76" s="75"/>
      <c r="AGH76" s="75"/>
      <c r="AGI76" s="75"/>
      <c r="AGJ76" s="75"/>
      <c r="AGK76" s="75"/>
      <c r="AGL76" s="75"/>
      <c r="AGM76" s="75"/>
      <c r="AGN76" s="75"/>
      <c r="AGO76" s="75"/>
      <c r="AGP76" s="75"/>
      <c r="AGQ76" s="75"/>
      <c r="AGR76" s="75"/>
      <c r="AGS76" s="75"/>
      <c r="AGT76" s="75"/>
      <c r="AGU76" s="75"/>
      <c r="AGV76" s="75"/>
      <c r="AGW76" s="75"/>
      <c r="AGX76" s="75"/>
      <c r="AGY76" s="75"/>
      <c r="AGZ76" s="75"/>
      <c r="AHA76" s="75"/>
      <c r="AHB76" s="75"/>
      <c r="AHC76" s="75"/>
      <c r="AHD76" s="75"/>
      <c r="AHE76" s="75"/>
      <c r="AHF76" s="75"/>
      <c r="AHG76" s="75"/>
      <c r="AHH76" s="75"/>
      <c r="AHI76" s="75"/>
      <c r="AHJ76" s="75"/>
      <c r="AHK76" s="75"/>
      <c r="AHL76" s="75"/>
      <c r="AHM76" s="75"/>
      <c r="AHN76" s="75"/>
      <c r="AHO76" s="75"/>
      <c r="AHP76" s="75"/>
      <c r="AHQ76" s="75"/>
      <c r="AHR76" s="75"/>
      <c r="AHS76" s="75"/>
      <c r="AHT76" s="75"/>
      <c r="AHU76" s="75"/>
      <c r="AHV76" s="75"/>
      <c r="AHW76" s="75"/>
      <c r="AHX76" s="75"/>
      <c r="AHY76" s="75"/>
      <c r="AHZ76" s="75"/>
      <c r="AIA76" s="75"/>
      <c r="AIB76" s="75"/>
      <c r="AIC76" s="75"/>
      <c r="AID76" s="75"/>
      <c r="AIE76" s="75"/>
      <c r="AIF76" s="75"/>
      <c r="AIG76" s="75"/>
      <c r="AIH76" s="75"/>
      <c r="AII76" s="75"/>
      <c r="AIJ76" s="75"/>
      <c r="AIK76" s="75"/>
      <c r="AIL76" s="75"/>
      <c r="AIM76" s="75"/>
      <c r="AIN76" s="75"/>
      <c r="AIO76" s="75"/>
      <c r="AIP76" s="75"/>
      <c r="AIQ76" s="75"/>
      <c r="AIR76" s="75"/>
      <c r="AIS76" s="75"/>
      <c r="AIT76" s="75"/>
      <c r="AIU76" s="75"/>
      <c r="AIV76" s="75"/>
      <c r="AIW76" s="75"/>
      <c r="AIX76" s="75"/>
      <c r="AIY76" s="75"/>
      <c r="AIZ76" s="75"/>
      <c r="AJA76" s="75"/>
      <c r="AJB76" s="75"/>
      <c r="AJC76" s="75"/>
      <c r="AJD76" s="75"/>
      <c r="AJE76" s="75"/>
      <c r="AJF76" s="75"/>
      <c r="AJG76" s="75"/>
      <c r="AJH76" s="75"/>
      <c r="AJI76" s="75"/>
      <c r="AJJ76" s="75"/>
      <c r="AJK76" s="75"/>
      <c r="AJL76" s="75"/>
      <c r="AJM76" s="75"/>
      <c r="AJN76" s="75"/>
      <c r="AJO76" s="75"/>
      <c r="AJP76" s="75"/>
      <c r="AJQ76" s="75"/>
      <c r="AJR76" s="75"/>
      <c r="AJS76" s="75"/>
      <c r="AJT76" s="75"/>
      <c r="AJU76" s="75"/>
      <c r="AJV76" s="75"/>
      <c r="AJW76" s="75"/>
      <c r="AJX76" s="75"/>
      <c r="AJY76" s="75"/>
      <c r="AJZ76" s="75"/>
      <c r="AKA76" s="75"/>
      <c r="AKB76" s="75"/>
      <c r="AKC76" s="75"/>
      <c r="AKD76" s="75"/>
      <c r="AKE76" s="75"/>
      <c r="AKF76" s="75"/>
      <c r="AKG76" s="75"/>
      <c r="AKH76" s="75"/>
      <c r="AKI76" s="75"/>
      <c r="AKJ76" s="75"/>
      <c r="AKK76" s="75"/>
      <c r="AKL76" s="75"/>
      <c r="AKM76" s="75"/>
      <c r="AKN76" s="75"/>
      <c r="AKO76" s="75"/>
      <c r="AKP76" s="75"/>
      <c r="AKQ76" s="75"/>
      <c r="AKR76" s="75"/>
      <c r="AKS76" s="75"/>
      <c r="AKT76" s="75"/>
      <c r="AKU76" s="75"/>
      <c r="AKV76" s="75"/>
      <c r="AKW76" s="75"/>
      <c r="AKX76" s="75"/>
      <c r="AKY76" s="75"/>
      <c r="AKZ76" s="75"/>
      <c r="ALA76" s="75"/>
      <c r="ALB76" s="75"/>
      <c r="ALC76" s="75"/>
      <c r="ALD76" s="75"/>
      <c r="ALE76" s="75"/>
      <c r="ALF76" s="75"/>
      <c r="ALG76" s="75"/>
      <c r="ALH76" s="75"/>
      <c r="ALI76" s="75"/>
      <c r="ALJ76" s="75"/>
      <c r="ALK76" s="75"/>
      <c r="ALL76" s="75"/>
      <c r="ALM76" s="75"/>
      <c r="ALN76" s="75"/>
      <c r="ALO76" s="75"/>
      <c r="ALP76" s="75"/>
      <c r="ALQ76" s="75"/>
      <c r="ALR76" s="75"/>
      <c r="ALS76" s="75"/>
      <c r="ALT76" s="75"/>
      <c r="ALU76" s="75"/>
      <c r="ALV76" s="75"/>
      <c r="ALW76" s="75"/>
      <c r="ALX76" s="75"/>
      <c r="ALY76" s="75"/>
      <c r="ALZ76" s="75"/>
      <c r="AMA76" s="75"/>
      <c r="AMB76" s="75"/>
      <c r="AMC76" s="75"/>
      <c r="AMD76" s="75"/>
      <c r="AME76" s="75"/>
      <c r="AMF76" s="75"/>
      <c r="AMG76" s="75"/>
      <c r="AMH76" s="75"/>
      <c r="AMI76" s="75"/>
      <c r="AMJ76" s="75"/>
    </row>
    <row r="77" spans="12:1024" ht="15.95" customHeight="1" x14ac:dyDescent="0.2">
      <c r="L77" s="75"/>
      <c r="M77" s="76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75"/>
      <c r="CG77" s="75"/>
      <c r="CH77" s="75"/>
      <c r="CI77" s="75"/>
      <c r="CJ77" s="75"/>
      <c r="CK77" s="75"/>
      <c r="CL77" s="75"/>
      <c r="CM77" s="75"/>
      <c r="CN77" s="75"/>
      <c r="CO77" s="75"/>
      <c r="CP77" s="75"/>
      <c r="CQ77" s="75"/>
      <c r="CR77" s="75"/>
      <c r="CS77" s="75"/>
      <c r="CT77" s="75"/>
      <c r="CU77" s="75"/>
      <c r="CV77" s="75"/>
      <c r="CW77" s="75"/>
      <c r="CX77" s="75"/>
      <c r="CY77" s="75"/>
      <c r="CZ77" s="75"/>
      <c r="DA77" s="75"/>
      <c r="DB77" s="75"/>
      <c r="DC77" s="75"/>
      <c r="DD77" s="75"/>
      <c r="DE77" s="75"/>
      <c r="DF77" s="75"/>
      <c r="DG77" s="75"/>
      <c r="DH77" s="75"/>
      <c r="DI77" s="75"/>
      <c r="DJ77" s="75"/>
      <c r="DK77" s="75"/>
      <c r="DL77" s="75"/>
      <c r="DM77" s="75"/>
      <c r="DN77" s="75"/>
      <c r="DO77" s="75"/>
      <c r="DP77" s="75"/>
      <c r="DQ77" s="75"/>
      <c r="DR77" s="75"/>
      <c r="DS77" s="75"/>
      <c r="DT77" s="75"/>
      <c r="DU77" s="75"/>
      <c r="DV77" s="75"/>
      <c r="DW77" s="75"/>
      <c r="DX77" s="75"/>
      <c r="DY77" s="75"/>
      <c r="DZ77" s="75"/>
      <c r="EA77" s="75"/>
      <c r="EB77" s="75"/>
      <c r="EC77" s="75"/>
      <c r="ED77" s="75"/>
      <c r="EE77" s="75"/>
      <c r="EF77" s="75"/>
      <c r="EG77" s="75"/>
      <c r="EH77" s="75"/>
      <c r="EI77" s="75"/>
      <c r="EJ77" s="75"/>
      <c r="EK77" s="75"/>
      <c r="EL77" s="75"/>
      <c r="EM77" s="75"/>
      <c r="EN77" s="75"/>
      <c r="EO77" s="75"/>
      <c r="EP77" s="75"/>
      <c r="EQ77" s="75"/>
      <c r="ER77" s="75"/>
      <c r="ES77" s="75"/>
      <c r="ET77" s="75"/>
      <c r="EU77" s="75"/>
      <c r="EV77" s="75"/>
      <c r="EW77" s="75"/>
      <c r="EX77" s="75"/>
      <c r="EY77" s="75"/>
      <c r="EZ77" s="75"/>
      <c r="FA77" s="75"/>
      <c r="FB77" s="75"/>
      <c r="FC77" s="75"/>
      <c r="FD77" s="75"/>
      <c r="FE77" s="75"/>
      <c r="FF77" s="75"/>
      <c r="FG77" s="75"/>
      <c r="FH77" s="75"/>
      <c r="FI77" s="75"/>
      <c r="FJ77" s="75"/>
      <c r="FK77" s="75"/>
      <c r="FL77" s="75"/>
      <c r="FM77" s="75"/>
      <c r="FN77" s="75"/>
      <c r="FO77" s="75"/>
      <c r="FP77" s="75"/>
      <c r="FQ77" s="75"/>
      <c r="FR77" s="75"/>
      <c r="FS77" s="75"/>
      <c r="FT77" s="75"/>
      <c r="FU77" s="75"/>
      <c r="FV77" s="75"/>
      <c r="FW77" s="75"/>
      <c r="FX77" s="75"/>
      <c r="FY77" s="75"/>
      <c r="FZ77" s="75"/>
      <c r="GA77" s="75"/>
      <c r="GB77" s="75"/>
      <c r="GC77" s="75"/>
      <c r="GD77" s="75"/>
      <c r="GE77" s="75"/>
      <c r="GF77" s="75"/>
      <c r="GG77" s="75"/>
      <c r="GH77" s="75"/>
      <c r="GI77" s="75"/>
      <c r="GJ77" s="75"/>
      <c r="GK77" s="75"/>
      <c r="GL77" s="75"/>
      <c r="GM77" s="75"/>
      <c r="GN77" s="75"/>
      <c r="GO77" s="75"/>
      <c r="GP77" s="75"/>
      <c r="GQ77" s="75"/>
      <c r="GR77" s="75"/>
      <c r="GS77" s="75"/>
      <c r="GT77" s="75"/>
      <c r="GU77" s="75"/>
      <c r="GV77" s="75"/>
      <c r="GW77" s="75"/>
      <c r="GX77" s="75"/>
      <c r="GY77" s="75"/>
      <c r="GZ77" s="75"/>
      <c r="HA77" s="75"/>
      <c r="HB77" s="75"/>
      <c r="HC77" s="75"/>
      <c r="HD77" s="75"/>
      <c r="HE77" s="75"/>
      <c r="HF77" s="75"/>
      <c r="HG77" s="75"/>
      <c r="HH77" s="75"/>
      <c r="HI77" s="75"/>
      <c r="HJ77" s="75"/>
      <c r="HK77" s="75"/>
      <c r="HL77" s="75"/>
      <c r="HM77" s="75"/>
      <c r="HN77" s="75"/>
      <c r="HO77" s="75"/>
      <c r="HP77" s="75"/>
      <c r="HQ77" s="75"/>
      <c r="HR77" s="75"/>
      <c r="HS77" s="75"/>
      <c r="HT77" s="75"/>
      <c r="HU77" s="75"/>
      <c r="HV77" s="75"/>
      <c r="HW77" s="75"/>
      <c r="HX77" s="75"/>
      <c r="HY77" s="75"/>
      <c r="HZ77" s="75"/>
      <c r="IA77" s="75"/>
      <c r="IB77" s="75"/>
      <c r="IC77" s="75"/>
      <c r="ID77" s="75"/>
      <c r="IE77" s="75"/>
      <c r="IF77" s="75"/>
      <c r="IG77" s="75"/>
      <c r="IH77" s="75"/>
      <c r="II77" s="75"/>
      <c r="IJ77" s="75"/>
      <c r="IK77" s="75"/>
      <c r="IL77" s="75"/>
      <c r="IM77" s="75"/>
      <c r="IN77" s="75"/>
      <c r="IO77" s="75"/>
      <c r="IP77" s="75"/>
      <c r="IQ77" s="75"/>
      <c r="IR77" s="75"/>
      <c r="IS77" s="75"/>
      <c r="IT77" s="75"/>
      <c r="IU77" s="75"/>
      <c r="IV77" s="75"/>
      <c r="IW77" s="75"/>
      <c r="IX77" s="75"/>
      <c r="IY77" s="75"/>
      <c r="IZ77" s="75"/>
      <c r="JA77" s="75"/>
      <c r="JB77" s="75"/>
      <c r="JC77" s="75"/>
      <c r="JD77" s="75"/>
      <c r="JE77" s="75"/>
      <c r="JF77" s="75"/>
      <c r="JG77" s="75"/>
      <c r="JH77" s="75"/>
      <c r="JI77" s="75"/>
      <c r="JJ77" s="75"/>
      <c r="JK77" s="75"/>
      <c r="JL77" s="75"/>
      <c r="JM77" s="75"/>
      <c r="JN77" s="75"/>
      <c r="JO77" s="75"/>
      <c r="JP77" s="75"/>
      <c r="JQ77" s="75"/>
      <c r="JR77" s="75"/>
      <c r="JS77" s="75"/>
      <c r="JT77" s="75"/>
      <c r="JU77" s="75"/>
      <c r="JV77" s="75"/>
      <c r="JW77" s="75"/>
      <c r="JX77" s="75"/>
      <c r="JY77" s="75"/>
      <c r="JZ77" s="75"/>
      <c r="KA77" s="75"/>
      <c r="KB77" s="75"/>
      <c r="KC77" s="75"/>
      <c r="KD77" s="75"/>
      <c r="KE77" s="75"/>
      <c r="KF77" s="75"/>
      <c r="KG77" s="75"/>
      <c r="KH77" s="75"/>
      <c r="KI77" s="75"/>
      <c r="KJ77" s="75"/>
      <c r="KK77" s="75"/>
      <c r="KL77" s="75"/>
      <c r="KM77" s="75"/>
      <c r="KN77" s="75"/>
      <c r="KO77" s="75"/>
      <c r="KP77" s="75"/>
      <c r="KQ77" s="75"/>
      <c r="KR77" s="75"/>
      <c r="KS77" s="75"/>
      <c r="KT77" s="75"/>
      <c r="KU77" s="75"/>
      <c r="KV77" s="75"/>
      <c r="KW77" s="75"/>
      <c r="KX77" s="75"/>
      <c r="KY77" s="75"/>
      <c r="KZ77" s="75"/>
      <c r="LA77" s="75"/>
      <c r="LB77" s="75"/>
      <c r="LC77" s="75"/>
      <c r="LD77" s="75"/>
      <c r="LE77" s="75"/>
      <c r="LF77" s="75"/>
      <c r="LG77" s="75"/>
      <c r="LH77" s="75"/>
      <c r="LI77" s="75"/>
      <c r="LJ77" s="75"/>
      <c r="LK77" s="75"/>
      <c r="LL77" s="75"/>
      <c r="LM77" s="75"/>
      <c r="LN77" s="75"/>
      <c r="LO77" s="75"/>
      <c r="LP77" s="75"/>
      <c r="LQ77" s="75"/>
      <c r="LR77" s="75"/>
      <c r="LS77" s="75"/>
      <c r="LT77" s="75"/>
      <c r="LU77" s="75"/>
      <c r="LV77" s="75"/>
      <c r="LW77" s="75"/>
      <c r="LX77" s="75"/>
      <c r="LY77" s="75"/>
      <c r="LZ77" s="75"/>
      <c r="MA77" s="75"/>
      <c r="MB77" s="75"/>
      <c r="MC77" s="75"/>
      <c r="MD77" s="75"/>
      <c r="ME77" s="75"/>
      <c r="MF77" s="75"/>
      <c r="MG77" s="75"/>
      <c r="MH77" s="75"/>
      <c r="MI77" s="75"/>
      <c r="MJ77" s="75"/>
      <c r="MK77" s="75"/>
      <c r="ML77" s="75"/>
      <c r="MM77" s="75"/>
      <c r="MN77" s="75"/>
      <c r="MO77" s="75"/>
      <c r="MP77" s="75"/>
      <c r="MQ77" s="75"/>
      <c r="MR77" s="75"/>
      <c r="MS77" s="75"/>
      <c r="MT77" s="75"/>
      <c r="MU77" s="75"/>
      <c r="MV77" s="75"/>
      <c r="MW77" s="75"/>
      <c r="MX77" s="75"/>
      <c r="MY77" s="75"/>
      <c r="MZ77" s="75"/>
      <c r="NA77" s="75"/>
      <c r="NB77" s="75"/>
      <c r="NC77" s="75"/>
      <c r="ND77" s="75"/>
      <c r="NE77" s="75"/>
      <c r="NF77" s="75"/>
      <c r="NG77" s="75"/>
      <c r="NH77" s="75"/>
      <c r="NI77" s="75"/>
      <c r="NJ77" s="75"/>
      <c r="NK77" s="75"/>
      <c r="NL77" s="75"/>
      <c r="NM77" s="75"/>
      <c r="NN77" s="75"/>
      <c r="NO77" s="75"/>
      <c r="NP77" s="75"/>
      <c r="NQ77" s="75"/>
      <c r="NR77" s="75"/>
      <c r="NS77" s="75"/>
      <c r="NT77" s="75"/>
      <c r="NU77" s="75"/>
      <c r="NV77" s="75"/>
      <c r="NW77" s="75"/>
      <c r="NX77" s="75"/>
      <c r="NY77" s="75"/>
      <c r="NZ77" s="75"/>
      <c r="OA77" s="75"/>
      <c r="OB77" s="75"/>
      <c r="OC77" s="75"/>
      <c r="OD77" s="75"/>
      <c r="OE77" s="75"/>
      <c r="OF77" s="75"/>
      <c r="OG77" s="75"/>
      <c r="OH77" s="75"/>
      <c r="OI77" s="75"/>
      <c r="OJ77" s="75"/>
      <c r="OK77" s="75"/>
      <c r="OL77" s="75"/>
      <c r="OM77" s="75"/>
      <c r="ON77" s="75"/>
      <c r="OO77" s="75"/>
      <c r="OP77" s="75"/>
      <c r="OQ77" s="75"/>
      <c r="OR77" s="75"/>
      <c r="OS77" s="75"/>
      <c r="OT77" s="75"/>
      <c r="OU77" s="75"/>
      <c r="OV77" s="75"/>
      <c r="OW77" s="75"/>
      <c r="OX77" s="75"/>
      <c r="OY77" s="75"/>
      <c r="OZ77" s="75"/>
      <c r="PA77" s="75"/>
      <c r="PB77" s="75"/>
      <c r="PC77" s="75"/>
      <c r="PD77" s="75"/>
      <c r="PE77" s="75"/>
      <c r="PF77" s="75"/>
      <c r="PG77" s="75"/>
      <c r="PH77" s="75"/>
      <c r="PI77" s="75"/>
      <c r="PJ77" s="75"/>
      <c r="PK77" s="75"/>
      <c r="PL77" s="75"/>
      <c r="PM77" s="75"/>
      <c r="PN77" s="75"/>
      <c r="PO77" s="75"/>
      <c r="PP77" s="75"/>
      <c r="PQ77" s="75"/>
      <c r="PR77" s="75"/>
      <c r="PS77" s="75"/>
      <c r="PT77" s="75"/>
      <c r="PU77" s="75"/>
      <c r="PV77" s="75"/>
      <c r="PW77" s="75"/>
      <c r="PX77" s="75"/>
      <c r="PY77" s="75"/>
      <c r="PZ77" s="75"/>
      <c r="QA77" s="75"/>
      <c r="QB77" s="75"/>
      <c r="QC77" s="75"/>
      <c r="QD77" s="75"/>
      <c r="QE77" s="75"/>
      <c r="QF77" s="75"/>
      <c r="QG77" s="75"/>
      <c r="QH77" s="75"/>
      <c r="QI77" s="75"/>
      <c r="QJ77" s="75"/>
      <c r="QK77" s="75"/>
      <c r="QL77" s="75"/>
      <c r="QM77" s="75"/>
      <c r="QN77" s="75"/>
      <c r="QO77" s="75"/>
      <c r="QP77" s="75"/>
      <c r="QQ77" s="75"/>
      <c r="QR77" s="75"/>
      <c r="QS77" s="75"/>
      <c r="QT77" s="75"/>
      <c r="QU77" s="75"/>
      <c r="QV77" s="75"/>
      <c r="QW77" s="75"/>
      <c r="QX77" s="75"/>
      <c r="QY77" s="75"/>
      <c r="QZ77" s="75"/>
      <c r="RA77" s="75"/>
      <c r="RB77" s="75"/>
      <c r="RC77" s="75"/>
      <c r="RD77" s="75"/>
      <c r="RE77" s="75"/>
      <c r="RF77" s="75"/>
      <c r="RG77" s="75"/>
      <c r="RH77" s="75"/>
      <c r="RI77" s="75"/>
      <c r="RJ77" s="75"/>
      <c r="RK77" s="75"/>
      <c r="RL77" s="75"/>
      <c r="RM77" s="75"/>
      <c r="RN77" s="75"/>
      <c r="RO77" s="75"/>
      <c r="RP77" s="75"/>
      <c r="RQ77" s="75"/>
      <c r="RR77" s="75"/>
      <c r="RS77" s="75"/>
      <c r="RT77" s="75"/>
      <c r="RU77" s="75"/>
      <c r="RV77" s="75"/>
      <c r="RW77" s="75"/>
      <c r="RX77" s="75"/>
      <c r="RY77" s="75"/>
      <c r="RZ77" s="75"/>
      <c r="SA77" s="75"/>
      <c r="SB77" s="75"/>
      <c r="SC77" s="75"/>
      <c r="SD77" s="75"/>
      <c r="SE77" s="75"/>
      <c r="SF77" s="75"/>
      <c r="SG77" s="75"/>
      <c r="SH77" s="75"/>
      <c r="SI77" s="75"/>
      <c r="SJ77" s="75"/>
      <c r="SK77" s="75"/>
      <c r="SL77" s="75"/>
      <c r="SM77" s="75"/>
      <c r="SN77" s="75"/>
      <c r="SO77" s="75"/>
      <c r="SP77" s="75"/>
      <c r="SQ77" s="75"/>
      <c r="SR77" s="75"/>
      <c r="SS77" s="75"/>
      <c r="ST77" s="75"/>
      <c r="SU77" s="75"/>
      <c r="SV77" s="75"/>
      <c r="SW77" s="75"/>
      <c r="SX77" s="75"/>
      <c r="SY77" s="75"/>
      <c r="SZ77" s="75"/>
      <c r="TA77" s="75"/>
      <c r="TB77" s="75"/>
      <c r="TC77" s="75"/>
      <c r="TD77" s="75"/>
      <c r="TE77" s="75"/>
      <c r="TF77" s="75"/>
      <c r="TG77" s="75"/>
      <c r="TH77" s="75"/>
      <c r="TI77" s="75"/>
      <c r="TJ77" s="75"/>
      <c r="TK77" s="75"/>
      <c r="TL77" s="75"/>
      <c r="TM77" s="75"/>
      <c r="TN77" s="75"/>
      <c r="TO77" s="75"/>
      <c r="TP77" s="75"/>
      <c r="TQ77" s="75"/>
      <c r="TR77" s="75"/>
      <c r="TS77" s="75"/>
      <c r="TT77" s="75"/>
      <c r="TU77" s="75"/>
      <c r="TV77" s="75"/>
      <c r="TW77" s="75"/>
      <c r="TX77" s="75"/>
      <c r="TY77" s="75"/>
      <c r="TZ77" s="75"/>
      <c r="UA77" s="75"/>
      <c r="UB77" s="75"/>
      <c r="UC77" s="75"/>
      <c r="UD77" s="75"/>
      <c r="UE77" s="75"/>
      <c r="UF77" s="75"/>
      <c r="UG77" s="75"/>
      <c r="UH77" s="75"/>
      <c r="UI77" s="75"/>
      <c r="UJ77" s="75"/>
      <c r="UK77" s="75"/>
      <c r="UL77" s="75"/>
      <c r="UM77" s="75"/>
      <c r="UN77" s="75"/>
      <c r="UO77" s="75"/>
      <c r="UP77" s="75"/>
      <c r="UQ77" s="75"/>
      <c r="UR77" s="75"/>
      <c r="US77" s="75"/>
      <c r="UT77" s="75"/>
      <c r="UU77" s="75"/>
      <c r="UV77" s="75"/>
      <c r="UW77" s="75"/>
      <c r="UX77" s="75"/>
      <c r="UY77" s="75"/>
      <c r="UZ77" s="75"/>
      <c r="VA77" s="75"/>
      <c r="VB77" s="75"/>
      <c r="VC77" s="75"/>
      <c r="VD77" s="75"/>
      <c r="VE77" s="75"/>
      <c r="VF77" s="75"/>
      <c r="VG77" s="75"/>
      <c r="VH77" s="75"/>
      <c r="VI77" s="75"/>
      <c r="VJ77" s="75"/>
      <c r="VK77" s="75"/>
      <c r="VL77" s="75"/>
      <c r="VM77" s="75"/>
      <c r="VN77" s="75"/>
      <c r="VO77" s="75"/>
      <c r="VP77" s="75"/>
      <c r="VQ77" s="75"/>
      <c r="VR77" s="75"/>
      <c r="VS77" s="75"/>
      <c r="VT77" s="75"/>
      <c r="VU77" s="75"/>
      <c r="VV77" s="75"/>
      <c r="VW77" s="75"/>
      <c r="VX77" s="75"/>
      <c r="VY77" s="75"/>
      <c r="VZ77" s="75"/>
      <c r="WA77" s="75"/>
      <c r="WB77" s="75"/>
      <c r="WC77" s="75"/>
      <c r="WD77" s="75"/>
      <c r="WE77" s="75"/>
      <c r="WF77" s="75"/>
      <c r="WG77" s="75"/>
      <c r="WH77" s="75"/>
      <c r="WI77" s="75"/>
      <c r="WJ77" s="75"/>
      <c r="WK77" s="75"/>
      <c r="WL77" s="75"/>
      <c r="WM77" s="75"/>
      <c r="WN77" s="75"/>
      <c r="WO77" s="75"/>
      <c r="WP77" s="75"/>
      <c r="WQ77" s="75"/>
      <c r="WR77" s="75"/>
      <c r="WS77" s="75"/>
      <c r="WT77" s="75"/>
      <c r="WU77" s="75"/>
      <c r="WV77" s="75"/>
      <c r="WW77" s="75"/>
      <c r="WX77" s="75"/>
      <c r="WY77" s="75"/>
      <c r="WZ77" s="75"/>
      <c r="XA77" s="75"/>
      <c r="XB77" s="75"/>
      <c r="XC77" s="75"/>
      <c r="XD77" s="75"/>
      <c r="XE77" s="75"/>
      <c r="XF77" s="75"/>
      <c r="XG77" s="75"/>
      <c r="XH77" s="75"/>
      <c r="XI77" s="75"/>
      <c r="XJ77" s="75"/>
      <c r="XK77" s="75"/>
      <c r="XL77" s="75"/>
      <c r="XM77" s="75"/>
      <c r="XN77" s="75"/>
      <c r="XO77" s="75"/>
      <c r="XP77" s="75"/>
      <c r="XQ77" s="75"/>
      <c r="XR77" s="75"/>
      <c r="XS77" s="75"/>
      <c r="XT77" s="75"/>
      <c r="XU77" s="75"/>
      <c r="XV77" s="75"/>
      <c r="XW77" s="75"/>
      <c r="XX77" s="75"/>
      <c r="XY77" s="75"/>
      <c r="XZ77" s="75"/>
      <c r="YA77" s="75"/>
      <c r="YB77" s="75"/>
      <c r="YC77" s="75"/>
      <c r="YD77" s="75"/>
      <c r="YE77" s="75"/>
      <c r="YF77" s="75"/>
      <c r="YG77" s="75"/>
      <c r="YH77" s="75"/>
      <c r="YI77" s="75"/>
      <c r="YJ77" s="75"/>
      <c r="YK77" s="75"/>
      <c r="YL77" s="75"/>
      <c r="YM77" s="75"/>
      <c r="YN77" s="75"/>
      <c r="YO77" s="75"/>
      <c r="YP77" s="75"/>
      <c r="YQ77" s="75"/>
      <c r="YR77" s="75"/>
      <c r="YS77" s="75"/>
      <c r="YT77" s="75"/>
      <c r="YU77" s="75"/>
      <c r="YV77" s="75"/>
      <c r="YW77" s="75"/>
      <c r="YX77" s="75"/>
      <c r="YY77" s="75"/>
      <c r="YZ77" s="75"/>
      <c r="ZA77" s="75"/>
      <c r="ZB77" s="75"/>
      <c r="ZC77" s="75"/>
      <c r="ZD77" s="75"/>
      <c r="ZE77" s="75"/>
      <c r="ZF77" s="75"/>
      <c r="ZG77" s="75"/>
      <c r="ZH77" s="75"/>
      <c r="ZI77" s="75"/>
      <c r="ZJ77" s="75"/>
      <c r="ZK77" s="75"/>
      <c r="ZL77" s="75"/>
      <c r="ZM77" s="75"/>
      <c r="ZN77" s="75"/>
      <c r="ZO77" s="75"/>
      <c r="ZP77" s="75"/>
      <c r="ZQ77" s="75"/>
      <c r="ZR77" s="75"/>
      <c r="ZS77" s="75"/>
      <c r="ZT77" s="75"/>
      <c r="ZU77" s="75"/>
      <c r="ZV77" s="75"/>
      <c r="ZW77" s="75"/>
      <c r="ZX77" s="75"/>
      <c r="ZY77" s="75"/>
      <c r="ZZ77" s="75"/>
      <c r="AAA77" s="75"/>
      <c r="AAB77" s="75"/>
      <c r="AAC77" s="75"/>
      <c r="AAD77" s="75"/>
      <c r="AAE77" s="75"/>
      <c r="AAF77" s="75"/>
      <c r="AAG77" s="75"/>
      <c r="AAH77" s="75"/>
      <c r="AAI77" s="75"/>
      <c r="AAJ77" s="75"/>
      <c r="AAK77" s="75"/>
      <c r="AAL77" s="75"/>
      <c r="AAM77" s="75"/>
      <c r="AAN77" s="75"/>
      <c r="AAO77" s="75"/>
      <c r="AAP77" s="75"/>
      <c r="AAQ77" s="75"/>
      <c r="AAR77" s="75"/>
      <c r="AAS77" s="75"/>
      <c r="AAT77" s="75"/>
      <c r="AAU77" s="75"/>
      <c r="AAV77" s="75"/>
      <c r="AAW77" s="75"/>
      <c r="AAX77" s="75"/>
      <c r="AAY77" s="75"/>
      <c r="AAZ77" s="75"/>
      <c r="ABA77" s="75"/>
      <c r="ABB77" s="75"/>
      <c r="ABC77" s="75"/>
      <c r="ABD77" s="75"/>
      <c r="ABE77" s="75"/>
      <c r="ABF77" s="75"/>
      <c r="ABG77" s="75"/>
      <c r="ABH77" s="75"/>
      <c r="ABI77" s="75"/>
      <c r="ABJ77" s="75"/>
      <c r="ABK77" s="75"/>
      <c r="ABL77" s="75"/>
      <c r="ABM77" s="75"/>
      <c r="ABN77" s="75"/>
      <c r="ABO77" s="75"/>
      <c r="ABP77" s="75"/>
      <c r="ABQ77" s="75"/>
      <c r="ABR77" s="75"/>
      <c r="ABS77" s="75"/>
      <c r="ABT77" s="75"/>
      <c r="ABU77" s="75"/>
      <c r="ABV77" s="75"/>
      <c r="ABW77" s="75"/>
      <c r="ABX77" s="75"/>
      <c r="ABY77" s="75"/>
      <c r="ABZ77" s="75"/>
      <c r="ACA77" s="75"/>
      <c r="ACB77" s="75"/>
      <c r="ACC77" s="75"/>
      <c r="ACD77" s="75"/>
      <c r="ACE77" s="75"/>
      <c r="ACF77" s="75"/>
      <c r="ACG77" s="75"/>
      <c r="ACH77" s="75"/>
      <c r="ACI77" s="75"/>
      <c r="ACJ77" s="75"/>
      <c r="ACK77" s="75"/>
      <c r="ACL77" s="75"/>
      <c r="ACM77" s="75"/>
      <c r="ACN77" s="75"/>
      <c r="ACO77" s="75"/>
      <c r="ACP77" s="75"/>
      <c r="ACQ77" s="75"/>
      <c r="ACR77" s="75"/>
      <c r="ACS77" s="75"/>
      <c r="ACT77" s="75"/>
      <c r="ACU77" s="75"/>
      <c r="ACV77" s="75"/>
      <c r="ACW77" s="75"/>
      <c r="ACX77" s="75"/>
      <c r="ACY77" s="75"/>
      <c r="ACZ77" s="75"/>
      <c r="ADA77" s="75"/>
      <c r="ADB77" s="75"/>
      <c r="ADC77" s="75"/>
      <c r="ADD77" s="75"/>
      <c r="ADE77" s="75"/>
      <c r="ADF77" s="75"/>
      <c r="ADG77" s="75"/>
      <c r="ADH77" s="75"/>
      <c r="ADI77" s="75"/>
      <c r="ADJ77" s="75"/>
      <c r="ADK77" s="75"/>
      <c r="ADL77" s="75"/>
      <c r="ADM77" s="75"/>
      <c r="ADN77" s="75"/>
      <c r="ADO77" s="75"/>
      <c r="ADP77" s="75"/>
      <c r="ADQ77" s="75"/>
      <c r="ADR77" s="75"/>
      <c r="ADS77" s="75"/>
      <c r="ADT77" s="75"/>
      <c r="ADU77" s="75"/>
      <c r="ADV77" s="75"/>
      <c r="ADW77" s="75"/>
      <c r="ADX77" s="75"/>
      <c r="ADY77" s="75"/>
      <c r="ADZ77" s="75"/>
      <c r="AEA77" s="75"/>
      <c r="AEB77" s="75"/>
      <c r="AEC77" s="75"/>
      <c r="AED77" s="75"/>
      <c r="AEE77" s="75"/>
      <c r="AEF77" s="75"/>
      <c r="AEG77" s="75"/>
      <c r="AEH77" s="75"/>
      <c r="AEI77" s="75"/>
      <c r="AEJ77" s="75"/>
      <c r="AEK77" s="75"/>
      <c r="AEL77" s="75"/>
      <c r="AEM77" s="75"/>
      <c r="AEN77" s="75"/>
      <c r="AEO77" s="75"/>
      <c r="AEP77" s="75"/>
      <c r="AEQ77" s="75"/>
      <c r="AER77" s="75"/>
      <c r="AES77" s="75"/>
      <c r="AET77" s="75"/>
      <c r="AEU77" s="75"/>
      <c r="AEV77" s="75"/>
      <c r="AEW77" s="75"/>
      <c r="AEX77" s="75"/>
      <c r="AEY77" s="75"/>
      <c r="AEZ77" s="75"/>
      <c r="AFA77" s="75"/>
      <c r="AFB77" s="75"/>
      <c r="AFC77" s="75"/>
      <c r="AFD77" s="75"/>
      <c r="AFE77" s="75"/>
      <c r="AFF77" s="75"/>
      <c r="AFG77" s="75"/>
      <c r="AFH77" s="75"/>
      <c r="AFI77" s="75"/>
      <c r="AFJ77" s="75"/>
      <c r="AFK77" s="75"/>
      <c r="AFL77" s="75"/>
      <c r="AFM77" s="75"/>
      <c r="AFN77" s="75"/>
      <c r="AFO77" s="75"/>
      <c r="AFP77" s="75"/>
      <c r="AFQ77" s="75"/>
      <c r="AFR77" s="75"/>
      <c r="AFS77" s="75"/>
      <c r="AFT77" s="75"/>
      <c r="AFU77" s="75"/>
      <c r="AFV77" s="75"/>
      <c r="AFW77" s="75"/>
      <c r="AFX77" s="75"/>
      <c r="AFY77" s="75"/>
      <c r="AFZ77" s="75"/>
      <c r="AGA77" s="75"/>
      <c r="AGB77" s="75"/>
      <c r="AGC77" s="75"/>
      <c r="AGD77" s="75"/>
      <c r="AGE77" s="75"/>
      <c r="AGF77" s="75"/>
      <c r="AGG77" s="75"/>
      <c r="AGH77" s="75"/>
      <c r="AGI77" s="75"/>
      <c r="AGJ77" s="75"/>
      <c r="AGK77" s="75"/>
      <c r="AGL77" s="75"/>
      <c r="AGM77" s="75"/>
      <c r="AGN77" s="75"/>
      <c r="AGO77" s="75"/>
      <c r="AGP77" s="75"/>
      <c r="AGQ77" s="75"/>
      <c r="AGR77" s="75"/>
      <c r="AGS77" s="75"/>
      <c r="AGT77" s="75"/>
      <c r="AGU77" s="75"/>
      <c r="AGV77" s="75"/>
      <c r="AGW77" s="75"/>
      <c r="AGX77" s="75"/>
      <c r="AGY77" s="75"/>
      <c r="AGZ77" s="75"/>
      <c r="AHA77" s="75"/>
      <c r="AHB77" s="75"/>
      <c r="AHC77" s="75"/>
      <c r="AHD77" s="75"/>
      <c r="AHE77" s="75"/>
      <c r="AHF77" s="75"/>
      <c r="AHG77" s="75"/>
      <c r="AHH77" s="75"/>
      <c r="AHI77" s="75"/>
      <c r="AHJ77" s="75"/>
      <c r="AHK77" s="75"/>
      <c r="AHL77" s="75"/>
      <c r="AHM77" s="75"/>
      <c r="AHN77" s="75"/>
      <c r="AHO77" s="75"/>
      <c r="AHP77" s="75"/>
      <c r="AHQ77" s="75"/>
      <c r="AHR77" s="75"/>
      <c r="AHS77" s="75"/>
      <c r="AHT77" s="75"/>
      <c r="AHU77" s="75"/>
      <c r="AHV77" s="75"/>
      <c r="AHW77" s="75"/>
      <c r="AHX77" s="75"/>
      <c r="AHY77" s="75"/>
      <c r="AHZ77" s="75"/>
      <c r="AIA77" s="75"/>
      <c r="AIB77" s="75"/>
      <c r="AIC77" s="75"/>
      <c r="AID77" s="75"/>
      <c r="AIE77" s="75"/>
      <c r="AIF77" s="75"/>
      <c r="AIG77" s="75"/>
      <c r="AIH77" s="75"/>
      <c r="AII77" s="75"/>
      <c r="AIJ77" s="75"/>
      <c r="AIK77" s="75"/>
      <c r="AIL77" s="75"/>
      <c r="AIM77" s="75"/>
      <c r="AIN77" s="75"/>
      <c r="AIO77" s="75"/>
      <c r="AIP77" s="75"/>
      <c r="AIQ77" s="75"/>
      <c r="AIR77" s="75"/>
      <c r="AIS77" s="75"/>
      <c r="AIT77" s="75"/>
      <c r="AIU77" s="75"/>
      <c r="AIV77" s="75"/>
      <c r="AIW77" s="75"/>
      <c r="AIX77" s="75"/>
      <c r="AIY77" s="75"/>
      <c r="AIZ77" s="75"/>
      <c r="AJA77" s="75"/>
      <c r="AJB77" s="75"/>
      <c r="AJC77" s="75"/>
      <c r="AJD77" s="75"/>
      <c r="AJE77" s="75"/>
      <c r="AJF77" s="75"/>
      <c r="AJG77" s="75"/>
      <c r="AJH77" s="75"/>
      <c r="AJI77" s="75"/>
      <c r="AJJ77" s="75"/>
      <c r="AJK77" s="75"/>
      <c r="AJL77" s="75"/>
      <c r="AJM77" s="75"/>
      <c r="AJN77" s="75"/>
      <c r="AJO77" s="75"/>
      <c r="AJP77" s="75"/>
      <c r="AJQ77" s="75"/>
      <c r="AJR77" s="75"/>
      <c r="AJS77" s="75"/>
      <c r="AJT77" s="75"/>
      <c r="AJU77" s="75"/>
      <c r="AJV77" s="75"/>
      <c r="AJW77" s="75"/>
      <c r="AJX77" s="75"/>
      <c r="AJY77" s="75"/>
      <c r="AJZ77" s="75"/>
      <c r="AKA77" s="75"/>
      <c r="AKB77" s="75"/>
      <c r="AKC77" s="75"/>
      <c r="AKD77" s="75"/>
      <c r="AKE77" s="75"/>
      <c r="AKF77" s="75"/>
      <c r="AKG77" s="75"/>
      <c r="AKH77" s="75"/>
      <c r="AKI77" s="75"/>
      <c r="AKJ77" s="75"/>
      <c r="AKK77" s="75"/>
      <c r="AKL77" s="75"/>
      <c r="AKM77" s="75"/>
      <c r="AKN77" s="75"/>
      <c r="AKO77" s="75"/>
      <c r="AKP77" s="75"/>
      <c r="AKQ77" s="75"/>
      <c r="AKR77" s="75"/>
      <c r="AKS77" s="75"/>
      <c r="AKT77" s="75"/>
      <c r="AKU77" s="75"/>
      <c r="AKV77" s="75"/>
      <c r="AKW77" s="75"/>
      <c r="AKX77" s="75"/>
      <c r="AKY77" s="75"/>
      <c r="AKZ77" s="75"/>
      <c r="ALA77" s="75"/>
      <c r="ALB77" s="75"/>
      <c r="ALC77" s="75"/>
      <c r="ALD77" s="75"/>
      <c r="ALE77" s="75"/>
      <c r="ALF77" s="75"/>
      <c r="ALG77" s="75"/>
      <c r="ALH77" s="75"/>
      <c r="ALI77" s="75"/>
      <c r="ALJ77" s="75"/>
      <c r="ALK77" s="75"/>
      <c r="ALL77" s="75"/>
      <c r="ALM77" s="75"/>
      <c r="ALN77" s="75"/>
      <c r="ALO77" s="75"/>
      <c r="ALP77" s="75"/>
      <c r="ALQ77" s="75"/>
      <c r="ALR77" s="75"/>
      <c r="ALS77" s="75"/>
      <c r="ALT77" s="75"/>
      <c r="ALU77" s="75"/>
      <c r="ALV77" s="75"/>
      <c r="ALW77" s="75"/>
      <c r="ALX77" s="75"/>
      <c r="ALY77" s="75"/>
      <c r="ALZ77" s="75"/>
      <c r="AMA77" s="75"/>
      <c r="AMB77" s="75"/>
      <c r="AMC77" s="75"/>
      <c r="AMD77" s="75"/>
      <c r="AME77" s="75"/>
      <c r="AMF77" s="75"/>
      <c r="AMG77" s="75"/>
      <c r="AMH77" s="75"/>
      <c r="AMI77" s="75"/>
      <c r="AMJ77" s="75"/>
    </row>
    <row r="78" spans="12:1024" ht="15.95" customHeight="1" x14ac:dyDescent="0.2">
      <c r="L78" s="75"/>
      <c r="M78" s="76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5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75"/>
      <c r="CG78" s="75"/>
      <c r="CH78" s="75"/>
      <c r="CI78" s="75"/>
      <c r="CJ78" s="75"/>
      <c r="CK78" s="75"/>
      <c r="CL78" s="75"/>
      <c r="CM78" s="75"/>
      <c r="CN78" s="75"/>
      <c r="CO78" s="75"/>
      <c r="CP78" s="75"/>
      <c r="CQ78" s="75"/>
      <c r="CR78" s="75"/>
      <c r="CS78" s="75"/>
      <c r="CT78" s="75"/>
      <c r="CU78" s="75"/>
      <c r="CV78" s="75"/>
      <c r="CW78" s="75"/>
      <c r="CX78" s="75"/>
      <c r="CY78" s="75"/>
      <c r="CZ78" s="75"/>
      <c r="DA78" s="75"/>
      <c r="DB78" s="75"/>
      <c r="DC78" s="75"/>
      <c r="DD78" s="75"/>
      <c r="DE78" s="75"/>
      <c r="DF78" s="75"/>
      <c r="DG78" s="75"/>
      <c r="DH78" s="75"/>
      <c r="DI78" s="75"/>
      <c r="DJ78" s="75"/>
      <c r="DK78" s="75"/>
      <c r="DL78" s="75"/>
      <c r="DM78" s="75"/>
      <c r="DN78" s="75"/>
      <c r="DO78" s="75"/>
      <c r="DP78" s="75"/>
      <c r="DQ78" s="75"/>
      <c r="DR78" s="75"/>
      <c r="DS78" s="75"/>
      <c r="DT78" s="75"/>
      <c r="DU78" s="75"/>
      <c r="DV78" s="75"/>
      <c r="DW78" s="75"/>
      <c r="DX78" s="75"/>
      <c r="DY78" s="75"/>
      <c r="DZ78" s="75"/>
      <c r="EA78" s="75"/>
      <c r="EB78" s="75"/>
      <c r="EC78" s="75"/>
      <c r="ED78" s="75"/>
      <c r="EE78" s="75"/>
      <c r="EF78" s="75"/>
      <c r="EG78" s="75"/>
      <c r="EH78" s="75"/>
      <c r="EI78" s="75"/>
      <c r="EJ78" s="75"/>
      <c r="EK78" s="75"/>
      <c r="EL78" s="75"/>
      <c r="EM78" s="75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75"/>
      <c r="FF78" s="75"/>
      <c r="FG78" s="75"/>
      <c r="FH78" s="75"/>
      <c r="FI78" s="75"/>
      <c r="FJ78" s="75"/>
      <c r="FK78" s="75"/>
      <c r="FL78" s="75"/>
      <c r="FM78" s="75"/>
      <c r="FN78" s="75"/>
      <c r="FO78" s="75"/>
      <c r="FP78" s="75"/>
      <c r="FQ78" s="75"/>
      <c r="FR78" s="75"/>
      <c r="FS78" s="75"/>
      <c r="FT78" s="75"/>
      <c r="FU78" s="75"/>
      <c r="FV78" s="75"/>
      <c r="FW78" s="75"/>
      <c r="FX78" s="75"/>
      <c r="FY78" s="75"/>
      <c r="FZ78" s="75"/>
      <c r="GA78" s="75"/>
      <c r="GB78" s="75"/>
      <c r="GC78" s="75"/>
      <c r="GD78" s="75"/>
      <c r="GE78" s="75"/>
      <c r="GF78" s="75"/>
      <c r="GG78" s="75"/>
      <c r="GH78" s="75"/>
      <c r="GI78" s="75"/>
      <c r="GJ78" s="75"/>
      <c r="GK78" s="75"/>
      <c r="GL78" s="75"/>
      <c r="GM78" s="75"/>
      <c r="GN78" s="75"/>
      <c r="GO78" s="75"/>
      <c r="GP78" s="75"/>
      <c r="GQ78" s="75"/>
      <c r="GR78" s="75"/>
      <c r="GS78" s="75"/>
      <c r="GT78" s="75"/>
      <c r="GU78" s="75"/>
      <c r="GV78" s="75"/>
      <c r="GW78" s="75"/>
      <c r="GX78" s="75"/>
      <c r="GY78" s="75"/>
      <c r="GZ78" s="75"/>
      <c r="HA78" s="75"/>
      <c r="HB78" s="75"/>
      <c r="HC78" s="75"/>
      <c r="HD78" s="75"/>
      <c r="HE78" s="75"/>
      <c r="HF78" s="75"/>
      <c r="HG78" s="75"/>
      <c r="HH78" s="75"/>
      <c r="HI78" s="75"/>
      <c r="HJ78" s="75"/>
      <c r="HK78" s="75"/>
      <c r="HL78" s="75"/>
      <c r="HM78" s="75"/>
      <c r="HN78" s="75"/>
      <c r="HO78" s="75"/>
      <c r="HP78" s="75"/>
      <c r="HQ78" s="75"/>
      <c r="HR78" s="75"/>
      <c r="HS78" s="75"/>
      <c r="HT78" s="75"/>
      <c r="HU78" s="75"/>
      <c r="HV78" s="75"/>
      <c r="HW78" s="75"/>
      <c r="HX78" s="75"/>
      <c r="HY78" s="75"/>
      <c r="HZ78" s="75"/>
      <c r="IA78" s="75"/>
      <c r="IB78" s="75"/>
      <c r="IC78" s="75"/>
      <c r="ID78" s="75"/>
      <c r="IE78" s="75"/>
      <c r="IF78" s="75"/>
      <c r="IG78" s="75"/>
      <c r="IH78" s="75"/>
      <c r="II78" s="75"/>
      <c r="IJ78" s="75"/>
      <c r="IK78" s="75"/>
      <c r="IL78" s="75"/>
      <c r="IM78" s="75"/>
      <c r="IN78" s="75"/>
      <c r="IO78" s="75"/>
      <c r="IP78" s="75"/>
      <c r="IQ78" s="75"/>
      <c r="IR78" s="75"/>
      <c r="IS78" s="75"/>
      <c r="IT78" s="75"/>
      <c r="IU78" s="75"/>
      <c r="IV78" s="75"/>
      <c r="IW78" s="75"/>
      <c r="IX78" s="75"/>
      <c r="IY78" s="75"/>
      <c r="IZ78" s="75"/>
      <c r="JA78" s="75"/>
      <c r="JB78" s="75"/>
      <c r="JC78" s="75"/>
      <c r="JD78" s="75"/>
      <c r="JE78" s="75"/>
      <c r="JF78" s="75"/>
      <c r="JG78" s="75"/>
      <c r="JH78" s="75"/>
      <c r="JI78" s="75"/>
      <c r="JJ78" s="75"/>
      <c r="JK78" s="75"/>
      <c r="JL78" s="75"/>
      <c r="JM78" s="75"/>
      <c r="JN78" s="75"/>
      <c r="JO78" s="75"/>
      <c r="JP78" s="75"/>
      <c r="JQ78" s="75"/>
      <c r="JR78" s="75"/>
      <c r="JS78" s="75"/>
      <c r="JT78" s="75"/>
      <c r="JU78" s="75"/>
      <c r="JV78" s="75"/>
      <c r="JW78" s="75"/>
      <c r="JX78" s="75"/>
      <c r="JY78" s="75"/>
      <c r="JZ78" s="75"/>
      <c r="KA78" s="75"/>
      <c r="KB78" s="75"/>
      <c r="KC78" s="75"/>
      <c r="KD78" s="75"/>
      <c r="KE78" s="75"/>
      <c r="KF78" s="75"/>
      <c r="KG78" s="75"/>
      <c r="KH78" s="75"/>
      <c r="KI78" s="75"/>
      <c r="KJ78" s="75"/>
      <c r="KK78" s="75"/>
      <c r="KL78" s="75"/>
      <c r="KM78" s="75"/>
      <c r="KN78" s="75"/>
      <c r="KO78" s="75"/>
      <c r="KP78" s="75"/>
      <c r="KQ78" s="75"/>
      <c r="KR78" s="75"/>
      <c r="KS78" s="75"/>
      <c r="KT78" s="75"/>
      <c r="KU78" s="75"/>
      <c r="KV78" s="75"/>
      <c r="KW78" s="75"/>
      <c r="KX78" s="75"/>
      <c r="KY78" s="75"/>
      <c r="KZ78" s="75"/>
      <c r="LA78" s="75"/>
      <c r="LB78" s="75"/>
      <c r="LC78" s="75"/>
      <c r="LD78" s="75"/>
      <c r="LE78" s="75"/>
      <c r="LF78" s="75"/>
      <c r="LG78" s="75"/>
      <c r="LH78" s="75"/>
      <c r="LI78" s="75"/>
      <c r="LJ78" s="75"/>
      <c r="LK78" s="75"/>
      <c r="LL78" s="75"/>
      <c r="LM78" s="75"/>
      <c r="LN78" s="75"/>
      <c r="LO78" s="75"/>
      <c r="LP78" s="75"/>
      <c r="LQ78" s="75"/>
      <c r="LR78" s="75"/>
      <c r="LS78" s="75"/>
      <c r="LT78" s="75"/>
      <c r="LU78" s="75"/>
      <c r="LV78" s="75"/>
      <c r="LW78" s="75"/>
      <c r="LX78" s="75"/>
      <c r="LY78" s="75"/>
      <c r="LZ78" s="75"/>
      <c r="MA78" s="75"/>
      <c r="MB78" s="75"/>
      <c r="MC78" s="75"/>
      <c r="MD78" s="75"/>
      <c r="ME78" s="75"/>
      <c r="MF78" s="75"/>
      <c r="MG78" s="75"/>
      <c r="MH78" s="75"/>
      <c r="MI78" s="75"/>
      <c r="MJ78" s="75"/>
      <c r="MK78" s="75"/>
      <c r="ML78" s="75"/>
      <c r="MM78" s="75"/>
      <c r="MN78" s="75"/>
      <c r="MO78" s="75"/>
      <c r="MP78" s="75"/>
      <c r="MQ78" s="75"/>
      <c r="MR78" s="75"/>
      <c r="MS78" s="75"/>
      <c r="MT78" s="75"/>
      <c r="MU78" s="75"/>
      <c r="MV78" s="75"/>
      <c r="MW78" s="75"/>
      <c r="MX78" s="75"/>
      <c r="MY78" s="75"/>
      <c r="MZ78" s="75"/>
      <c r="NA78" s="75"/>
      <c r="NB78" s="75"/>
      <c r="NC78" s="75"/>
      <c r="ND78" s="75"/>
      <c r="NE78" s="75"/>
      <c r="NF78" s="75"/>
      <c r="NG78" s="75"/>
      <c r="NH78" s="75"/>
      <c r="NI78" s="75"/>
      <c r="NJ78" s="75"/>
      <c r="NK78" s="75"/>
      <c r="NL78" s="75"/>
      <c r="NM78" s="75"/>
      <c r="NN78" s="75"/>
      <c r="NO78" s="75"/>
      <c r="NP78" s="75"/>
      <c r="NQ78" s="75"/>
      <c r="NR78" s="75"/>
      <c r="NS78" s="75"/>
      <c r="NT78" s="75"/>
      <c r="NU78" s="75"/>
      <c r="NV78" s="75"/>
      <c r="NW78" s="75"/>
      <c r="NX78" s="75"/>
      <c r="NY78" s="75"/>
      <c r="NZ78" s="75"/>
      <c r="OA78" s="75"/>
      <c r="OB78" s="75"/>
      <c r="OC78" s="75"/>
      <c r="OD78" s="75"/>
      <c r="OE78" s="75"/>
      <c r="OF78" s="75"/>
      <c r="OG78" s="75"/>
      <c r="OH78" s="75"/>
      <c r="OI78" s="75"/>
      <c r="OJ78" s="75"/>
      <c r="OK78" s="75"/>
      <c r="OL78" s="75"/>
      <c r="OM78" s="75"/>
      <c r="ON78" s="75"/>
      <c r="OO78" s="75"/>
      <c r="OP78" s="75"/>
      <c r="OQ78" s="75"/>
      <c r="OR78" s="75"/>
      <c r="OS78" s="75"/>
      <c r="OT78" s="75"/>
      <c r="OU78" s="75"/>
      <c r="OV78" s="75"/>
      <c r="OW78" s="75"/>
      <c r="OX78" s="75"/>
      <c r="OY78" s="75"/>
      <c r="OZ78" s="75"/>
      <c r="PA78" s="75"/>
      <c r="PB78" s="75"/>
      <c r="PC78" s="75"/>
      <c r="PD78" s="75"/>
      <c r="PE78" s="75"/>
      <c r="PF78" s="75"/>
      <c r="PG78" s="75"/>
      <c r="PH78" s="75"/>
      <c r="PI78" s="75"/>
      <c r="PJ78" s="75"/>
      <c r="PK78" s="75"/>
      <c r="PL78" s="75"/>
      <c r="PM78" s="75"/>
      <c r="PN78" s="75"/>
      <c r="PO78" s="75"/>
      <c r="PP78" s="75"/>
      <c r="PQ78" s="75"/>
      <c r="PR78" s="75"/>
      <c r="PS78" s="75"/>
      <c r="PT78" s="75"/>
      <c r="PU78" s="75"/>
      <c r="PV78" s="75"/>
      <c r="PW78" s="75"/>
      <c r="PX78" s="75"/>
      <c r="PY78" s="75"/>
      <c r="PZ78" s="75"/>
      <c r="QA78" s="75"/>
      <c r="QB78" s="75"/>
      <c r="QC78" s="75"/>
      <c r="QD78" s="75"/>
      <c r="QE78" s="75"/>
      <c r="QF78" s="75"/>
      <c r="QG78" s="75"/>
      <c r="QH78" s="75"/>
      <c r="QI78" s="75"/>
      <c r="QJ78" s="75"/>
      <c r="QK78" s="75"/>
      <c r="QL78" s="75"/>
      <c r="QM78" s="75"/>
      <c r="QN78" s="75"/>
      <c r="QO78" s="75"/>
      <c r="QP78" s="75"/>
      <c r="QQ78" s="75"/>
      <c r="QR78" s="75"/>
      <c r="QS78" s="75"/>
      <c r="QT78" s="75"/>
      <c r="QU78" s="75"/>
      <c r="QV78" s="75"/>
      <c r="QW78" s="75"/>
      <c r="QX78" s="75"/>
      <c r="QY78" s="75"/>
      <c r="QZ78" s="75"/>
      <c r="RA78" s="75"/>
      <c r="RB78" s="75"/>
      <c r="RC78" s="75"/>
      <c r="RD78" s="75"/>
      <c r="RE78" s="75"/>
      <c r="RF78" s="75"/>
      <c r="RG78" s="75"/>
      <c r="RH78" s="75"/>
      <c r="RI78" s="75"/>
      <c r="RJ78" s="75"/>
      <c r="RK78" s="75"/>
      <c r="RL78" s="75"/>
      <c r="RM78" s="75"/>
      <c r="RN78" s="75"/>
      <c r="RO78" s="75"/>
      <c r="RP78" s="75"/>
      <c r="RQ78" s="75"/>
      <c r="RR78" s="75"/>
      <c r="RS78" s="75"/>
      <c r="RT78" s="75"/>
      <c r="RU78" s="75"/>
      <c r="RV78" s="75"/>
      <c r="RW78" s="75"/>
      <c r="RX78" s="75"/>
      <c r="RY78" s="75"/>
      <c r="RZ78" s="75"/>
      <c r="SA78" s="75"/>
      <c r="SB78" s="75"/>
      <c r="SC78" s="75"/>
      <c r="SD78" s="75"/>
      <c r="SE78" s="75"/>
      <c r="SF78" s="75"/>
      <c r="SG78" s="75"/>
      <c r="SH78" s="75"/>
      <c r="SI78" s="75"/>
      <c r="SJ78" s="75"/>
      <c r="SK78" s="75"/>
      <c r="SL78" s="75"/>
      <c r="SM78" s="75"/>
      <c r="SN78" s="75"/>
      <c r="SO78" s="75"/>
      <c r="SP78" s="75"/>
      <c r="SQ78" s="75"/>
      <c r="SR78" s="75"/>
      <c r="SS78" s="75"/>
      <c r="ST78" s="75"/>
      <c r="SU78" s="75"/>
      <c r="SV78" s="75"/>
      <c r="SW78" s="75"/>
      <c r="SX78" s="75"/>
      <c r="SY78" s="75"/>
      <c r="SZ78" s="75"/>
      <c r="TA78" s="75"/>
      <c r="TB78" s="75"/>
      <c r="TC78" s="75"/>
      <c r="TD78" s="75"/>
      <c r="TE78" s="75"/>
      <c r="TF78" s="75"/>
      <c r="TG78" s="75"/>
      <c r="TH78" s="75"/>
      <c r="TI78" s="75"/>
      <c r="TJ78" s="75"/>
      <c r="TK78" s="75"/>
      <c r="TL78" s="75"/>
      <c r="TM78" s="75"/>
      <c r="TN78" s="75"/>
      <c r="TO78" s="75"/>
      <c r="TP78" s="75"/>
      <c r="TQ78" s="75"/>
      <c r="TR78" s="75"/>
      <c r="TS78" s="75"/>
      <c r="TT78" s="75"/>
      <c r="TU78" s="75"/>
      <c r="TV78" s="75"/>
      <c r="TW78" s="75"/>
      <c r="TX78" s="75"/>
      <c r="TY78" s="75"/>
      <c r="TZ78" s="75"/>
      <c r="UA78" s="75"/>
      <c r="UB78" s="75"/>
      <c r="UC78" s="75"/>
      <c r="UD78" s="75"/>
      <c r="UE78" s="75"/>
      <c r="UF78" s="75"/>
      <c r="UG78" s="75"/>
      <c r="UH78" s="75"/>
      <c r="UI78" s="75"/>
      <c r="UJ78" s="75"/>
      <c r="UK78" s="75"/>
      <c r="UL78" s="75"/>
      <c r="UM78" s="75"/>
      <c r="UN78" s="75"/>
      <c r="UO78" s="75"/>
      <c r="UP78" s="75"/>
      <c r="UQ78" s="75"/>
      <c r="UR78" s="75"/>
      <c r="US78" s="75"/>
      <c r="UT78" s="75"/>
      <c r="UU78" s="75"/>
      <c r="UV78" s="75"/>
      <c r="UW78" s="75"/>
      <c r="UX78" s="75"/>
      <c r="UY78" s="75"/>
      <c r="UZ78" s="75"/>
      <c r="VA78" s="75"/>
      <c r="VB78" s="75"/>
      <c r="VC78" s="75"/>
      <c r="VD78" s="75"/>
      <c r="VE78" s="75"/>
      <c r="VF78" s="75"/>
      <c r="VG78" s="75"/>
      <c r="VH78" s="75"/>
      <c r="VI78" s="75"/>
      <c r="VJ78" s="75"/>
      <c r="VK78" s="75"/>
      <c r="VL78" s="75"/>
      <c r="VM78" s="75"/>
      <c r="VN78" s="75"/>
      <c r="VO78" s="75"/>
      <c r="VP78" s="75"/>
      <c r="VQ78" s="75"/>
      <c r="VR78" s="75"/>
      <c r="VS78" s="75"/>
      <c r="VT78" s="75"/>
      <c r="VU78" s="75"/>
      <c r="VV78" s="75"/>
      <c r="VW78" s="75"/>
      <c r="VX78" s="75"/>
      <c r="VY78" s="75"/>
      <c r="VZ78" s="75"/>
      <c r="WA78" s="75"/>
      <c r="WB78" s="75"/>
      <c r="WC78" s="75"/>
      <c r="WD78" s="75"/>
      <c r="WE78" s="75"/>
      <c r="WF78" s="75"/>
      <c r="WG78" s="75"/>
      <c r="WH78" s="75"/>
      <c r="WI78" s="75"/>
      <c r="WJ78" s="75"/>
      <c r="WK78" s="75"/>
      <c r="WL78" s="75"/>
      <c r="WM78" s="75"/>
      <c r="WN78" s="75"/>
      <c r="WO78" s="75"/>
      <c r="WP78" s="75"/>
      <c r="WQ78" s="75"/>
      <c r="WR78" s="75"/>
      <c r="WS78" s="75"/>
      <c r="WT78" s="75"/>
      <c r="WU78" s="75"/>
      <c r="WV78" s="75"/>
      <c r="WW78" s="75"/>
      <c r="WX78" s="75"/>
      <c r="WY78" s="75"/>
      <c r="WZ78" s="75"/>
      <c r="XA78" s="75"/>
      <c r="XB78" s="75"/>
      <c r="XC78" s="75"/>
      <c r="XD78" s="75"/>
      <c r="XE78" s="75"/>
      <c r="XF78" s="75"/>
      <c r="XG78" s="75"/>
      <c r="XH78" s="75"/>
      <c r="XI78" s="75"/>
      <c r="XJ78" s="75"/>
      <c r="XK78" s="75"/>
      <c r="XL78" s="75"/>
      <c r="XM78" s="75"/>
      <c r="XN78" s="75"/>
      <c r="XO78" s="75"/>
      <c r="XP78" s="75"/>
      <c r="XQ78" s="75"/>
      <c r="XR78" s="75"/>
      <c r="XS78" s="75"/>
      <c r="XT78" s="75"/>
      <c r="XU78" s="75"/>
      <c r="XV78" s="75"/>
      <c r="XW78" s="75"/>
      <c r="XX78" s="75"/>
      <c r="XY78" s="75"/>
      <c r="XZ78" s="75"/>
      <c r="YA78" s="75"/>
      <c r="YB78" s="75"/>
      <c r="YC78" s="75"/>
      <c r="YD78" s="75"/>
      <c r="YE78" s="75"/>
      <c r="YF78" s="75"/>
      <c r="YG78" s="75"/>
      <c r="YH78" s="75"/>
      <c r="YI78" s="75"/>
      <c r="YJ78" s="75"/>
      <c r="YK78" s="75"/>
      <c r="YL78" s="75"/>
      <c r="YM78" s="75"/>
      <c r="YN78" s="75"/>
      <c r="YO78" s="75"/>
      <c r="YP78" s="75"/>
      <c r="YQ78" s="75"/>
      <c r="YR78" s="75"/>
      <c r="YS78" s="75"/>
      <c r="YT78" s="75"/>
      <c r="YU78" s="75"/>
      <c r="YV78" s="75"/>
      <c r="YW78" s="75"/>
      <c r="YX78" s="75"/>
      <c r="YY78" s="75"/>
      <c r="YZ78" s="75"/>
      <c r="ZA78" s="75"/>
      <c r="ZB78" s="75"/>
      <c r="ZC78" s="75"/>
      <c r="ZD78" s="75"/>
      <c r="ZE78" s="75"/>
      <c r="ZF78" s="75"/>
      <c r="ZG78" s="75"/>
      <c r="ZH78" s="75"/>
      <c r="ZI78" s="75"/>
      <c r="ZJ78" s="75"/>
      <c r="ZK78" s="75"/>
      <c r="ZL78" s="75"/>
      <c r="ZM78" s="75"/>
      <c r="ZN78" s="75"/>
      <c r="ZO78" s="75"/>
      <c r="ZP78" s="75"/>
      <c r="ZQ78" s="75"/>
      <c r="ZR78" s="75"/>
      <c r="ZS78" s="75"/>
      <c r="ZT78" s="75"/>
      <c r="ZU78" s="75"/>
      <c r="ZV78" s="75"/>
      <c r="ZW78" s="75"/>
      <c r="ZX78" s="75"/>
      <c r="ZY78" s="75"/>
      <c r="ZZ78" s="75"/>
      <c r="AAA78" s="75"/>
      <c r="AAB78" s="75"/>
      <c r="AAC78" s="75"/>
      <c r="AAD78" s="75"/>
      <c r="AAE78" s="75"/>
      <c r="AAF78" s="75"/>
      <c r="AAG78" s="75"/>
      <c r="AAH78" s="75"/>
      <c r="AAI78" s="75"/>
      <c r="AAJ78" s="75"/>
      <c r="AAK78" s="75"/>
      <c r="AAL78" s="75"/>
      <c r="AAM78" s="75"/>
      <c r="AAN78" s="75"/>
      <c r="AAO78" s="75"/>
      <c r="AAP78" s="75"/>
      <c r="AAQ78" s="75"/>
      <c r="AAR78" s="75"/>
      <c r="AAS78" s="75"/>
      <c r="AAT78" s="75"/>
      <c r="AAU78" s="75"/>
      <c r="AAV78" s="75"/>
      <c r="AAW78" s="75"/>
      <c r="AAX78" s="75"/>
      <c r="AAY78" s="75"/>
      <c r="AAZ78" s="75"/>
      <c r="ABA78" s="75"/>
      <c r="ABB78" s="75"/>
      <c r="ABC78" s="75"/>
      <c r="ABD78" s="75"/>
      <c r="ABE78" s="75"/>
      <c r="ABF78" s="75"/>
      <c r="ABG78" s="75"/>
      <c r="ABH78" s="75"/>
      <c r="ABI78" s="75"/>
      <c r="ABJ78" s="75"/>
      <c r="ABK78" s="75"/>
      <c r="ABL78" s="75"/>
      <c r="ABM78" s="75"/>
      <c r="ABN78" s="75"/>
      <c r="ABO78" s="75"/>
      <c r="ABP78" s="75"/>
      <c r="ABQ78" s="75"/>
      <c r="ABR78" s="75"/>
      <c r="ABS78" s="75"/>
      <c r="ABT78" s="75"/>
      <c r="ABU78" s="75"/>
      <c r="ABV78" s="75"/>
      <c r="ABW78" s="75"/>
      <c r="ABX78" s="75"/>
      <c r="ABY78" s="75"/>
      <c r="ABZ78" s="75"/>
      <c r="ACA78" s="75"/>
      <c r="ACB78" s="75"/>
      <c r="ACC78" s="75"/>
      <c r="ACD78" s="75"/>
      <c r="ACE78" s="75"/>
      <c r="ACF78" s="75"/>
      <c r="ACG78" s="75"/>
      <c r="ACH78" s="75"/>
      <c r="ACI78" s="75"/>
      <c r="ACJ78" s="75"/>
      <c r="ACK78" s="75"/>
      <c r="ACL78" s="75"/>
      <c r="ACM78" s="75"/>
      <c r="ACN78" s="75"/>
      <c r="ACO78" s="75"/>
      <c r="ACP78" s="75"/>
      <c r="ACQ78" s="75"/>
      <c r="ACR78" s="75"/>
      <c r="ACS78" s="75"/>
      <c r="ACT78" s="75"/>
      <c r="ACU78" s="75"/>
      <c r="ACV78" s="75"/>
      <c r="ACW78" s="75"/>
      <c r="ACX78" s="75"/>
      <c r="ACY78" s="75"/>
      <c r="ACZ78" s="75"/>
      <c r="ADA78" s="75"/>
      <c r="ADB78" s="75"/>
      <c r="ADC78" s="75"/>
      <c r="ADD78" s="75"/>
      <c r="ADE78" s="75"/>
      <c r="ADF78" s="75"/>
      <c r="ADG78" s="75"/>
      <c r="ADH78" s="75"/>
      <c r="ADI78" s="75"/>
      <c r="ADJ78" s="75"/>
      <c r="ADK78" s="75"/>
      <c r="ADL78" s="75"/>
      <c r="ADM78" s="75"/>
      <c r="ADN78" s="75"/>
      <c r="ADO78" s="75"/>
      <c r="ADP78" s="75"/>
      <c r="ADQ78" s="75"/>
      <c r="ADR78" s="75"/>
      <c r="ADS78" s="75"/>
      <c r="ADT78" s="75"/>
      <c r="ADU78" s="75"/>
      <c r="ADV78" s="75"/>
      <c r="ADW78" s="75"/>
      <c r="ADX78" s="75"/>
      <c r="ADY78" s="75"/>
      <c r="ADZ78" s="75"/>
      <c r="AEA78" s="75"/>
      <c r="AEB78" s="75"/>
      <c r="AEC78" s="75"/>
      <c r="AED78" s="75"/>
      <c r="AEE78" s="75"/>
      <c r="AEF78" s="75"/>
      <c r="AEG78" s="75"/>
      <c r="AEH78" s="75"/>
      <c r="AEI78" s="75"/>
      <c r="AEJ78" s="75"/>
      <c r="AEK78" s="75"/>
      <c r="AEL78" s="75"/>
      <c r="AEM78" s="75"/>
      <c r="AEN78" s="75"/>
      <c r="AEO78" s="75"/>
      <c r="AEP78" s="75"/>
      <c r="AEQ78" s="75"/>
      <c r="AER78" s="75"/>
      <c r="AES78" s="75"/>
      <c r="AET78" s="75"/>
      <c r="AEU78" s="75"/>
      <c r="AEV78" s="75"/>
      <c r="AEW78" s="75"/>
      <c r="AEX78" s="75"/>
      <c r="AEY78" s="75"/>
      <c r="AEZ78" s="75"/>
      <c r="AFA78" s="75"/>
      <c r="AFB78" s="75"/>
      <c r="AFC78" s="75"/>
      <c r="AFD78" s="75"/>
      <c r="AFE78" s="75"/>
      <c r="AFF78" s="75"/>
      <c r="AFG78" s="75"/>
      <c r="AFH78" s="75"/>
      <c r="AFI78" s="75"/>
      <c r="AFJ78" s="75"/>
      <c r="AFK78" s="75"/>
      <c r="AFL78" s="75"/>
      <c r="AFM78" s="75"/>
      <c r="AFN78" s="75"/>
      <c r="AFO78" s="75"/>
      <c r="AFP78" s="75"/>
      <c r="AFQ78" s="75"/>
      <c r="AFR78" s="75"/>
      <c r="AFS78" s="75"/>
      <c r="AFT78" s="75"/>
      <c r="AFU78" s="75"/>
      <c r="AFV78" s="75"/>
      <c r="AFW78" s="75"/>
      <c r="AFX78" s="75"/>
      <c r="AFY78" s="75"/>
      <c r="AFZ78" s="75"/>
      <c r="AGA78" s="75"/>
      <c r="AGB78" s="75"/>
      <c r="AGC78" s="75"/>
      <c r="AGD78" s="75"/>
      <c r="AGE78" s="75"/>
      <c r="AGF78" s="75"/>
      <c r="AGG78" s="75"/>
      <c r="AGH78" s="75"/>
      <c r="AGI78" s="75"/>
      <c r="AGJ78" s="75"/>
      <c r="AGK78" s="75"/>
      <c r="AGL78" s="75"/>
      <c r="AGM78" s="75"/>
      <c r="AGN78" s="75"/>
      <c r="AGO78" s="75"/>
      <c r="AGP78" s="75"/>
      <c r="AGQ78" s="75"/>
      <c r="AGR78" s="75"/>
      <c r="AGS78" s="75"/>
      <c r="AGT78" s="75"/>
      <c r="AGU78" s="75"/>
      <c r="AGV78" s="75"/>
      <c r="AGW78" s="75"/>
      <c r="AGX78" s="75"/>
      <c r="AGY78" s="75"/>
      <c r="AGZ78" s="75"/>
      <c r="AHA78" s="75"/>
      <c r="AHB78" s="75"/>
      <c r="AHC78" s="75"/>
      <c r="AHD78" s="75"/>
      <c r="AHE78" s="75"/>
      <c r="AHF78" s="75"/>
      <c r="AHG78" s="75"/>
      <c r="AHH78" s="75"/>
      <c r="AHI78" s="75"/>
      <c r="AHJ78" s="75"/>
      <c r="AHK78" s="75"/>
      <c r="AHL78" s="75"/>
      <c r="AHM78" s="75"/>
      <c r="AHN78" s="75"/>
      <c r="AHO78" s="75"/>
      <c r="AHP78" s="75"/>
      <c r="AHQ78" s="75"/>
      <c r="AHR78" s="75"/>
      <c r="AHS78" s="75"/>
      <c r="AHT78" s="75"/>
      <c r="AHU78" s="75"/>
      <c r="AHV78" s="75"/>
      <c r="AHW78" s="75"/>
      <c r="AHX78" s="75"/>
      <c r="AHY78" s="75"/>
      <c r="AHZ78" s="75"/>
      <c r="AIA78" s="75"/>
      <c r="AIB78" s="75"/>
      <c r="AIC78" s="75"/>
      <c r="AID78" s="75"/>
      <c r="AIE78" s="75"/>
      <c r="AIF78" s="75"/>
      <c r="AIG78" s="75"/>
      <c r="AIH78" s="75"/>
      <c r="AII78" s="75"/>
      <c r="AIJ78" s="75"/>
      <c r="AIK78" s="75"/>
      <c r="AIL78" s="75"/>
      <c r="AIM78" s="75"/>
      <c r="AIN78" s="75"/>
      <c r="AIO78" s="75"/>
      <c r="AIP78" s="75"/>
      <c r="AIQ78" s="75"/>
      <c r="AIR78" s="75"/>
      <c r="AIS78" s="75"/>
      <c r="AIT78" s="75"/>
      <c r="AIU78" s="75"/>
      <c r="AIV78" s="75"/>
      <c r="AIW78" s="75"/>
      <c r="AIX78" s="75"/>
      <c r="AIY78" s="75"/>
      <c r="AIZ78" s="75"/>
      <c r="AJA78" s="75"/>
      <c r="AJB78" s="75"/>
      <c r="AJC78" s="75"/>
      <c r="AJD78" s="75"/>
      <c r="AJE78" s="75"/>
      <c r="AJF78" s="75"/>
      <c r="AJG78" s="75"/>
      <c r="AJH78" s="75"/>
      <c r="AJI78" s="75"/>
      <c r="AJJ78" s="75"/>
      <c r="AJK78" s="75"/>
      <c r="AJL78" s="75"/>
      <c r="AJM78" s="75"/>
      <c r="AJN78" s="75"/>
      <c r="AJO78" s="75"/>
      <c r="AJP78" s="75"/>
      <c r="AJQ78" s="75"/>
      <c r="AJR78" s="75"/>
      <c r="AJS78" s="75"/>
      <c r="AJT78" s="75"/>
      <c r="AJU78" s="75"/>
      <c r="AJV78" s="75"/>
      <c r="AJW78" s="75"/>
      <c r="AJX78" s="75"/>
      <c r="AJY78" s="75"/>
      <c r="AJZ78" s="75"/>
      <c r="AKA78" s="75"/>
      <c r="AKB78" s="75"/>
      <c r="AKC78" s="75"/>
      <c r="AKD78" s="75"/>
      <c r="AKE78" s="75"/>
      <c r="AKF78" s="75"/>
      <c r="AKG78" s="75"/>
      <c r="AKH78" s="75"/>
      <c r="AKI78" s="75"/>
      <c r="AKJ78" s="75"/>
      <c r="AKK78" s="75"/>
      <c r="AKL78" s="75"/>
      <c r="AKM78" s="75"/>
      <c r="AKN78" s="75"/>
      <c r="AKO78" s="75"/>
      <c r="AKP78" s="75"/>
      <c r="AKQ78" s="75"/>
      <c r="AKR78" s="75"/>
      <c r="AKS78" s="75"/>
      <c r="AKT78" s="75"/>
      <c r="AKU78" s="75"/>
      <c r="AKV78" s="75"/>
      <c r="AKW78" s="75"/>
      <c r="AKX78" s="75"/>
      <c r="AKY78" s="75"/>
      <c r="AKZ78" s="75"/>
      <c r="ALA78" s="75"/>
      <c r="ALB78" s="75"/>
      <c r="ALC78" s="75"/>
      <c r="ALD78" s="75"/>
      <c r="ALE78" s="75"/>
      <c r="ALF78" s="75"/>
      <c r="ALG78" s="75"/>
      <c r="ALH78" s="75"/>
      <c r="ALI78" s="75"/>
      <c r="ALJ78" s="75"/>
      <c r="ALK78" s="75"/>
      <c r="ALL78" s="75"/>
      <c r="ALM78" s="75"/>
      <c r="ALN78" s="75"/>
      <c r="ALO78" s="75"/>
      <c r="ALP78" s="75"/>
      <c r="ALQ78" s="75"/>
      <c r="ALR78" s="75"/>
      <c r="ALS78" s="75"/>
      <c r="ALT78" s="75"/>
      <c r="ALU78" s="75"/>
      <c r="ALV78" s="75"/>
      <c r="ALW78" s="75"/>
      <c r="ALX78" s="75"/>
      <c r="ALY78" s="75"/>
      <c r="ALZ78" s="75"/>
      <c r="AMA78" s="75"/>
      <c r="AMB78" s="75"/>
      <c r="AMC78" s="75"/>
      <c r="AMD78" s="75"/>
      <c r="AME78" s="75"/>
      <c r="AMF78" s="75"/>
      <c r="AMG78" s="75"/>
      <c r="AMH78" s="75"/>
      <c r="AMI78" s="75"/>
      <c r="AMJ78" s="75"/>
    </row>
    <row r="79" spans="12:1024" ht="15.95" customHeight="1" x14ac:dyDescent="0.2">
      <c r="L79" s="75"/>
      <c r="M79" s="76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75"/>
      <c r="BZ79" s="75"/>
      <c r="CA79" s="75"/>
      <c r="CB79" s="75"/>
      <c r="CC79" s="75"/>
      <c r="CD79" s="75"/>
      <c r="CE79" s="75"/>
      <c r="CF79" s="75"/>
      <c r="CG79" s="75"/>
      <c r="CH79" s="75"/>
      <c r="CI79" s="75"/>
      <c r="CJ79" s="75"/>
      <c r="CK79" s="75"/>
      <c r="CL79" s="75"/>
      <c r="CM79" s="75"/>
      <c r="CN79" s="75"/>
      <c r="CO79" s="75"/>
      <c r="CP79" s="75"/>
      <c r="CQ79" s="75"/>
      <c r="CR79" s="75"/>
      <c r="CS79" s="75"/>
      <c r="CT79" s="75"/>
      <c r="CU79" s="75"/>
      <c r="CV79" s="75"/>
      <c r="CW79" s="75"/>
      <c r="CX79" s="75"/>
      <c r="CY79" s="75"/>
      <c r="CZ79" s="75"/>
      <c r="DA79" s="75"/>
      <c r="DB79" s="75"/>
      <c r="DC79" s="75"/>
      <c r="DD79" s="75"/>
      <c r="DE79" s="75"/>
      <c r="DF79" s="75"/>
      <c r="DG79" s="75"/>
      <c r="DH79" s="75"/>
      <c r="DI79" s="75"/>
      <c r="DJ79" s="75"/>
      <c r="DK79" s="75"/>
      <c r="DL79" s="75"/>
      <c r="DM79" s="75"/>
      <c r="DN79" s="75"/>
      <c r="DO79" s="75"/>
      <c r="DP79" s="75"/>
      <c r="DQ79" s="75"/>
      <c r="DR79" s="75"/>
      <c r="DS79" s="75"/>
      <c r="DT79" s="75"/>
      <c r="DU79" s="75"/>
      <c r="DV79" s="75"/>
      <c r="DW79" s="75"/>
      <c r="DX79" s="75"/>
      <c r="DY79" s="75"/>
      <c r="DZ79" s="75"/>
      <c r="EA79" s="75"/>
      <c r="EB79" s="75"/>
      <c r="EC79" s="75"/>
      <c r="ED79" s="75"/>
      <c r="EE79" s="75"/>
      <c r="EF79" s="75"/>
      <c r="EG79" s="75"/>
      <c r="EH79" s="75"/>
      <c r="EI79" s="75"/>
      <c r="EJ79" s="75"/>
      <c r="EK79" s="75"/>
      <c r="EL79" s="75"/>
      <c r="EM79" s="75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75"/>
      <c r="FF79" s="75"/>
      <c r="FG79" s="75"/>
      <c r="FH79" s="75"/>
      <c r="FI79" s="75"/>
      <c r="FJ79" s="75"/>
      <c r="FK79" s="75"/>
      <c r="FL79" s="75"/>
      <c r="FM79" s="75"/>
      <c r="FN79" s="75"/>
      <c r="FO79" s="75"/>
      <c r="FP79" s="75"/>
      <c r="FQ79" s="75"/>
      <c r="FR79" s="75"/>
      <c r="FS79" s="75"/>
      <c r="FT79" s="75"/>
      <c r="FU79" s="75"/>
      <c r="FV79" s="75"/>
      <c r="FW79" s="75"/>
      <c r="FX79" s="75"/>
      <c r="FY79" s="75"/>
      <c r="FZ79" s="75"/>
      <c r="GA79" s="75"/>
      <c r="GB79" s="75"/>
      <c r="GC79" s="75"/>
      <c r="GD79" s="75"/>
      <c r="GE79" s="75"/>
      <c r="GF79" s="75"/>
      <c r="GG79" s="75"/>
      <c r="GH79" s="75"/>
      <c r="GI79" s="75"/>
      <c r="GJ79" s="75"/>
      <c r="GK79" s="75"/>
      <c r="GL79" s="75"/>
      <c r="GM79" s="75"/>
      <c r="GN79" s="75"/>
      <c r="GO79" s="75"/>
      <c r="GP79" s="75"/>
      <c r="GQ79" s="75"/>
      <c r="GR79" s="75"/>
      <c r="GS79" s="75"/>
      <c r="GT79" s="75"/>
      <c r="GU79" s="75"/>
      <c r="GV79" s="75"/>
      <c r="GW79" s="75"/>
      <c r="GX79" s="75"/>
      <c r="GY79" s="75"/>
      <c r="GZ79" s="75"/>
      <c r="HA79" s="75"/>
      <c r="HB79" s="75"/>
      <c r="HC79" s="75"/>
      <c r="HD79" s="75"/>
      <c r="HE79" s="75"/>
      <c r="HF79" s="75"/>
      <c r="HG79" s="75"/>
      <c r="HH79" s="75"/>
      <c r="HI79" s="75"/>
      <c r="HJ79" s="75"/>
      <c r="HK79" s="75"/>
      <c r="HL79" s="75"/>
      <c r="HM79" s="75"/>
      <c r="HN79" s="75"/>
      <c r="HO79" s="75"/>
      <c r="HP79" s="75"/>
      <c r="HQ79" s="75"/>
      <c r="HR79" s="75"/>
      <c r="HS79" s="75"/>
      <c r="HT79" s="75"/>
      <c r="HU79" s="75"/>
      <c r="HV79" s="75"/>
      <c r="HW79" s="75"/>
      <c r="HX79" s="75"/>
      <c r="HY79" s="75"/>
      <c r="HZ79" s="75"/>
      <c r="IA79" s="75"/>
      <c r="IB79" s="75"/>
      <c r="IC79" s="75"/>
      <c r="ID79" s="75"/>
      <c r="IE79" s="75"/>
      <c r="IF79" s="75"/>
      <c r="IG79" s="75"/>
      <c r="IH79" s="75"/>
      <c r="II79" s="75"/>
      <c r="IJ79" s="75"/>
      <c r="IK79" s="75"/>
      <c r="IL79" s="75"/>
      <c r="IM79" s="75"/>
      <c r="IN79" s="75"/>
      <c r="IO79" s="75"/>
      <c r="IP79" s="75"/>
      <c r="IQ79" s="75"/>
      <c r="IR79" s="75"/>
      <c r="IS79" s="75"/>
      <c r="IT79" s="75"/>
      <c r="IU79" s="75"/>
      <c r="IV79" s="75"/>
      <c r="IW79" s="75"/>
      <c r="IX79" s="75"/>
      <c r="IY79" s="75"/>
      <c r="IZ79" s="75"/>
      <c r="JA79" s="75"/>
      <c r="JB79" s="75"/>
      <c r="JC79" s="75"/>
      <c r="JD79" s="75"/>
      <c r="JE79" s="75"/>
      <c r="JF79" s="75"/>
      <c r="JG79" s="75"/>
      <c r="JH79" s="75"/>
      <c r="JI79" s="75"/>
      <c r="JJ79" s="75"/>
      <c r="JK79" s="75"/>
      <c r="JL79" s="75"/>
      <c r="JM79" s="75"/>
      <c r="JN79" s="75"/>
      <c r="JO79" s="75"/>
      <c r="JP79" s="75"/>
      <c r="JQ79" s="75"/>
      <c r="JR79" s="75"/>
      <c r="JS79" s="75"/>
      <c r="JT79" s="75"/>
      <c r="JU79" s="75"/>
      <c r="JV79" s="75"/>
      <c r="JW79" s="75"/>
      <c r="JX79" s="75"/>
      <c r="JY79" s="75"/>
      <c r="JZ79" s="75"/>
      <c r="KA79" s="75"/>
      <c r="KB79" s="75"/>
      <c r="KC79" s="75"/>
      <c r="KD79" s="75"/>
      <c r="KE79" s="75"/>
      <c r="KF79" s="75"/>
      <c r="KG79" s="75"/>
      <c r="KH79" s="75"/>
      <c r="KI79" s="75"/>
      <c r="KJ79" s="75"/>
      <c r="KK79" s="75"/>
      <c r="KL79" s="75"/>
      <c r="KM79" s="75"/>
      <c r="KN79" s="75"/>
      <c r="KO79" s="75"/>
      <c r="KP79" s="75"/>
      <c r="KQ79" s="75"/>
      <c r="KR79" s="75"/>
      <c r="KS79" s="75"/>
      <c r="KT79" s="75"/>
      <c r="KU79" s="75"/>
      <c r="KV79" s="75"/>
      <c r="KW79" s="75"/>
      <c r="KX79" s="75"/>
      <c r="KY79" s="75"/>
      <c r="KZ79" s="75"/>
      <c r="LA79" s="75"/>
      <c r="LB79" s="75"/>
      <c r="LC79" s="75"/>
      <c r="LD79" s="75"/>
      <c r="LE79" s="75"/>
      <c r="LF79" s="75"/>
      <c r="LG79" s="75"/>
      <c r="LH79" s="75"/>
      <c r="LI79" s="75"/>
      <c r="LJ79" s="75"/>
      <c r="LK79" s="75"/>
      <c r="LL79" s="75"/>
      <c r="LM79" s="75"/>
      <c r="LN79" s="75"/>
      <c r="LO79" s="75"/>
      <c r="LP79" s="75"/>
      <c r="LQ79" s="75"/>
      <c r="LR79" s="75"/>
      <c r="LS79" s="75"/>
      <c r="LT79" s="75"/>
      <c r="LU79" s="75"/>
      <c r="LV79" s="75"/>
      <c r="LW79" s="75"/>
      <c r="LX79" s="75"/>
      <c r="LY79" s="75"/>
      <c r="LZ79" s="75"/>
      <c r="MA79" s="75"/>
      <c r="MB79" s="75"/>
      <c r="MC79" s="75"/>
      <c r="MD79" s="75"/>
      <c r="ME79" s="75"/>
      <c r="MF79" s="75"/>
      <c r="MG79" s="75"/>
      <c r="MH79" s="75"/>
      <c r="MI79" s="75"/>
      <c r="MJ79" s="75"/>
      <c r="MK79" s="75"/>
      <c r="ML79" s="75"/>
      <c r="MM79" s="75"/>
      <c r="MN79" s="75"/>
      <c r="MO79" s="75"/>
      <c r="MP79" s="75"/>
      <c r="MQ79" s="75"/>
      <c r="MR79" s="75"/>
      <c r="MS79" s="75"/>
      <c r="MT79" s="75"/>
      <c r="MU79" s="75"/>
      <c r="MV79" s="75"/>
      <c r="MW79" s="75"/>
      <c r="MX79" s="75"/>
      <c r="MY79" s="75"/>
      <c r="MZ79" s="75"/>
      <c r="NA79" s="75"/>
      <c r="NB79" s="75"/>
      <c r="NC79" s="75"/>
      <c r="ND79" s="75"/>
      <c r="NE79" s="75"/>
      <c r="NF79" s="75"/>
      <c r="NG79" s="75"/>
      <c r="NH79" s="75"/>
      <c r="NI79" s="75"/>
      <c r="NJ79" s="75"/>
      <c r="NK79" s="75"/>
      <c r="NL79" s="75"/>
      <c r="NM79" s="75"/>
      <c r="NN79" s="75"/>
      <c r="NO79" s="75"/>
      <c r="NP79" s="75"/>
      <c r="NQ79" s="75"/>
      <c r="NR79" s="75"/>
      <c r="NS79" s="75"/>
      <c r="NT79" s="75"/>
      <c r="NU79" s="75"/>
      <c r="NV79" s="75"/>
      <c r="NW79" s="75"/>
      <c r="NX79" s="75"/>
      <c r="NY79" s="75"/>
      <c r="NZ79" s="75"/>
      <c r="OA79" s="75"/>
      <c r="OB79" s="75"/>
      <c r="OC79" s="75"/>
      <c r="OD79" s="75"/>
      <c r="OE79" s="75"/>
      <c r="OF79" s="75"/>
      <c r="OG79" s="75"/>
      <c r="OH79" s="75"/>
      <c r="OI79" s="75"/>
      <c r="OJ79" s="75"/>
      <c r="OK79" s="75"/>
      <c r="OL79" s="75"/>
      <c r="OM79" s="75"/>
      <c r="ON79" s="75"/>
      <c r="OO79" s="75"/>
      <c r="OP79" s="75"/>
      <c r="OQ79" s="75"/>
      <c r="OR79" s="75"/>
      <c r="OS79" s="75"/>
      <c r="OT79" s="75"/>
      <c r="OU79" s="75"/>
      <c r="OV79" s="75"/>
      <c r="OW79" s="75"/>
      <c r="OX79" s="75"/>
      <c r="OY79" s="75"/>
      <c r="OZ79" s="75"/>
      <c r="PA79" s="75"/>
      <c r="PB79" s="75"/>
      <c r="PC79" s="75"/>
      <c r="PD79" s="75"/>
      <c r="PE79" s="75"/>
      <c r="PF79" s="75"/>
      <c r="PG79" s="75"/>
      <c r="PH79" s="75"/>
      <c r="PI79" s="75"/>
      <c r="PJ79" s="75"/>
      <c r="PK79" s="75"/>
      <c r="PL79" s="75"/>
      <c r="PM79" s="75"/>
      <c r="PN79" s="75"/>
      <c r="PO79" s="75"/>
      <c r="PP79" s="75"/>
      <c r="PQ79" s="75"/>
      <c r="PR79" s="75"/>
      <c r="PS79" s="75"/>
      <c r="PT79" s="75"/>
      <c r="PU79" s="75"/>
      <c r="PV79" s="75"/>
      <c r="PW79" s="75"/>
      <c r="PX79" s="75"/>
      <c r="PY79" s="75"/>
      <c r="PZ79" s="75"/>
      <c r="QA79" s="75"/>
      <c r="QB79" s="75"/>
      <c r="QC79" s="75"/>
      <c r="QD79" s="75"/>
      <c r="QE79" s="75"/>
      <c r="QF79" s="75"/>
      <c r="QG79" s="75"/>
      <c r="QH79" s="75"/>
      <c r="QI79" s="75"/>
      <c r="QJ79" s="75"/>
      <c r="QK79" s="75"/>
      <c r="QL79" s="75"/>
      <c r="QM79" s="75"/>
      <c r="QN79" s="75"/>
      <c r="QO79" s="75"/>
      <c r="QP79" s="75"/>
      <c r="QQ79" s="75"/>
      <c r="QR79" s="75"/>
      <c r="QS79" s="75"/>
      <c r="QT79" s="75"/>
      <c r="QU79" s="75"/>
      <c r="QV79" s="75"/>
      <c r="QW79" s="75"/>
      <c r="QX79" s="75"/>
      <c r="QY79" s="75"/>
      <c r="QZ79" s="75"/>
      <c r="RA79" s="75"/>
      <c r="RB79" s="75"/>
      <c r="RC79" s="75"/>
      <c r="RD79" s="75"/>
      <c r="RE79" s="75"/>
      <c r="RF79" s="75"/>
      <c r="RG79" s="75"/>
      <c r="RH79" s="75"/>
      <c r="RI79" s="75"/>
      <c r="RJ79" s="75"/>
      <c r="RK79" s="75"/>
      <c r="RL79" s="75"/>
      <c r="RM79" s="75"/>
      <c r="RN79" s="75"/>
      <c r="RO79" s="75"/>
      <c r="RP79" s="75"/>
      <c r="RQ79" s="75"/>
      <c r="RR79" s="75"/>
      <c r="RS79" s="75"/>
      <c r="RT79" s="75"/>
      <c r="RU79" s="75"/>
      <c r="RV79" s="75"/>
      <c r="RW79" s="75"/>
      <c r="RX79" s="75"/>
      <c r="RY79" s="75"/>
      <c r="RZ79" s="75"/>
      <c r="SA79" s="75"/>
      <c r="SB79" s="75"/>
      <c r="SC79" s="75"/>
      <c r="SD79" s="75"/>
      <c r="SE79" s="75"/>
      <c r="SF79" s="75"/>
      <c r="SG79" s="75"/>
      <c r="SH79" s="75"/>
      <c r="SI79" s="75"/>
      <c r="SJ79" s="75"/>
      <c r="SK79" s="75"/>
      <c r="SL79" s="75"/>
      <c r="SM79" s="75"/>
      <c r="SN79" s="75"/>
      <c r="SO79" s="75"/>
      <c r="SP79" s="75"/>
      <c r="SQ79" s="75"/>
      <c r="SR79" s="75"/>
      <c r="SS79" s="75"/>
      <c r="ST79" s="75"/>
      <c r="SU79" s="75"/>
      <c r="SV79" s="75"/>
      <c r="SW79" s="75"/>
      <c r="SX79" s="75"/>
      <c r="SY79" s="75"/>
      <c r="SZ79" s="75"/>
      <c r="TA79" s="75"/>
      <c r="TB79" s="75"/>
      <c r="TC79" s="75"/>
      <c r="TD79" s="75"/>
      <c r="TE79" s="75"/>
      <c r="TF79" s="75"/>
      <c r="TG79" s="75"/>
      <c r="TH79" s="75"/>
      <c r="TI79" s="75"/>
      <c r="TJ79" s="75"/>
      <c r="TK79" s="75"/>
      <c r="TL79" s="75"/>
      <c r="TM79" s="75"/>
      <c r="TN79" s="75"/>
      <c r="TO79" s="75"/>
      <c r="TP79" s="75"/>
      <c r="TQ79" s="75"/>
      <c r="TR79" s="75"/>
      <c r="TS79" s="75"/>
      <c r="TT79" s="75"/>
      <c r="TU79" s="75"/>
      <c r="TV79" s="75"/>
      <c r="TW79" s="75"/>
      <c r="TX79" s="75"/>
      <c r="TY79" s="75"/>
      <c r="TZ79" s="75"/>
      <c r="UA79" s="75"/>
      <c r="UB79" s="75"/>
      <c r="UC79" s="75"/>
      <c r="UD79" s="75"/>
      <c r="UE79" s="75"/>
      <c r="UF79" s="75"/>
      <c r="UG79" s="75"/>
      <c r="UH79" s="75"/>
      <c r="UI79" s="75"/>
      <c r="UJ79" s="75"/>
      <c r="UK79" s="75"/>
      <c r="UL79" s="75"/>
      <c r="UM79" s="75"/>
      <c r="UN79" s="75"/>
      <c r="UO79" s="75"/>
      <c r="UP79" s="75"/>
      <c r="UQ79" s="75"/>
      <c r="UR79" s="75"/>
      <c r="US79" s="75"/>
      <c r="UT79" s="75"/>
      <c r="UU79" s="75"/>
      <c r="UV79" s="75"/>
      <c r="UW79" s="75"/>
      <c r="UX79" s="75"/>
      <c r="UY79" s="75"/>
      <c r="UZ79" s="75"/>
      <c r="VA79" s="75"/>
      <c r="VB79" s="75"/>
      <c r="VC79" s="75"/>
      <c r="VD79" s="75"/>
      <c r="VE79" s="75"/>
      <c r="VF79" s="75"/>
      <c r="VG79" s="75"/>
      <c r="VH79" s="75"/>
      <c r="VI79" s="75"/>
      <c r="VJ79" s="75"/>
      <c r="VK79" s="75"/>
      <c r="VL79" s="75"/>
      <c r="VM79" s="75"/>
      <c r="VN79" s="75"/>
      <c r="VO79" s="75"/>
      <c r="VP79" s="75"/>
      <c r="VQ79" s="75"/>
      <c r="VR79" s="75"/>
      <c r="VS79" s="75"/>
      <c r="VT79" s="75"/>
      <c r="VU79" s="75"/>
      <c r="VV79" s="75"/>
      <c r="VW79" s="75"/>
      <c r="VX79" s="75"/>
      <c r="VY79" s="75"/>
      <c r="VZ79" s="75"/>
      <c r="WA79" s="75"/>
      <c r="WB79" s="75"/>
      <c r="WC79" s="75"/>
      <c r="WD79" s="75"/>
      <c r="WE79" s="75"/>
      <c r="WF79" s="75"/>
      <c r="WG79" s="75"/>
      <c r="WH79" s="75"/>
      <c r="WI79" s="75"/>
      <c r="WJ79" s="75"/>
      <c r="WK79" s="75"/>
      <c r="WL79" s="75"/>
      <c r="WM79" s="75"/>
      <c r="WN79" s="75"/>
      <c r="WO79" s="75"/>
      <c r="WP79" s="75"/>
      <c r="WQ79" s="75"/>
      <c r="WR79" s="75"/>
      <c r="WS79" s="75"/>
      <c r="WT79" s="75"/>
      <c r="WU79" s="75"/>
      <c r="WV79" s="75"/>
      <c r="WW79" s="75"/>
      <c r="WX79" s="75"/>
      <c r="WY79" s="75"/>
      <c r="WZ79" s="75"/>
      <c r="XA79" s="75"/>
      <c r="XB79" s="75"/>
      <c r="XC79" s="75"/>
      <c r="XD79" s="75"/>
      <c r="XE79" s="75"/>
      <c r="XF79" s="75"/>
      <c r="XG79" s="75"/>
      <c r="XH79" s="75"/>
      <c r="XI79" s="75"/>
      <c r="XJ79" s="75"/>
      <c r="XK79" s="75"/>
      <c r="XL79" s="75"/>
      <c r="XM79" s="75"/>
      <c r="XN79" s="75"/>
      <c r="XO79" s="75"/>
      <c r="XP79" s="75"/>
      <c r="XQ79" s="75"/>
      <c r="XR79" s="75"/>
      <c r="XS79" s="75"/>
      <c r="XT79" s="75"/>
      <c r="XU79" s="75"/>
      <c r="XV79" s="75"/>
      <c r="XW79" s="75"/>
      <c r="XX79" s="75"/>
      <c r="XY79" s="75"/>
      <c r="XZ79" s="75"/>
      <c r="YA79" s="75"/>
      <c r="YB79" s="75"/>
      <c r="YC79" s="75"/>
      <c r="YD79" s="75"/>
      <c r="YE79" s="75"/>
      <c r="YF79" s="75"/>
      <c r="YG79" s="75"/>
      <c r="YH79" s="75"/>
      <c r="YI79" s="75"/>
      <c r="YJ79" s="75"/>
      <c r="YK79" s="75"/>
      <c r="YL79" s="75"/>
      <c r="YM79" s="75"/>
      <c r="YN79" s="75"/>
      <c r="YO79" s="75"/>
      <c r="YP79" s="75"/>
      <c r="YQ79" s="75"/>
      <c r="YR79" s="75"/>
      <c r="YS79" s="75"/>
      <c r="YT79" s="75"/>
      <c r="YU79" s="75"/>
      <c r="YV79" s="75"/>
      <c r="YW79" s="75"/>
      <c r="YX79" s="75"/>
      <c r="YY79" s="75"/>
      <c r="YZ79" s="75"/>
      <c r="ZA79" s="75"/>
      <c r="ZB79" s="75"/>
      <c r="ZC79" s="75"/>
      <c r="ZD79" s="75"/>
      <c r="ZE79" s="75"/>
      <c r="ZF79" s="75"/>
      <c r="ZG79" s="75"/>
      <c r="ZH79" s="75"/>
      <c r="ZI79" s="75"/>
      <c r="ZJ79" s="75"/>
      <c r="ZK79" s="75"/>
      <c r="ZL79" s="75"/>
      <c r="ZM79" s="75"/>
      <c r="ZN79" s="75"/>
      <c r="ZO79" s="75"/>
      <c r="ZP79" s="75"/>
      <c r="ZQ79" s="75"/>
      <c r="ZR79" s="75"/>
      <c r="ZS79" s="75"/>
      <c r="ZT79" s="75"/>
      <c r="ZU79" s="75"/>
      <c r="ZV79" s="75"/>
      <c r="ZW79" s="75"/>
      <c r="ZX79" s="75"/>
      <c r="ZY79" s="75"/>
      <c r="ZZ79" s="75"/>
      <c r="AAA79" s="75"/>
      <c r="AAB79" s="75"/>
      <c r="AAC79" s="75"/>
      <c r="AAD79" s="75"/>
      <c r="AAE79" s="75"/>
      <c r="AAF79" s="75"/>
      <c r="AAG79" s="75"/>
      <c r="AAH79" s="75"/>
      <c r="AAI79" s="75"/>
      <c r="AAJ79" s="75"/>
      <c r="AAK79" s="75"/>
      <c r="AAL79" s="75"/>
      <c r="AAM79" s="75"/>
      <c r="AAN79" s="75"/>
      <c r="AAO79" s="75"/>
      <c r="AAP79" s="75"/>
      <c r="AAQ79" s="75"/>
      <c r="AAR79" s="75"/>
      <c r="AAS79" s="75"/>
      <c r="AAT79" s="75"/>
      <c r="AAU79" s="75"/>
      <c r="AAV79" s="75"/>
      <c r="AAW79" s="75"/>
      <c r="AAX79" s="75"/>
      <c r="AAY79" s="75"/>
      <c r="AAZ79" s="75"/>
      <c r="ABA79" s="75"/>
      <c r="ABB79" s="75"/>
      <c r="ABC79" s="75"/>
      <c r="ABD79" s="75"/>
      <c r="ABE79" s="75"/>
      <c r="ABF79" s="75"/>
      <c r="ABG79" s="75"/>
      <c r="ABH79" s="75"/>
      <c r="ABI79" s="75"/>
      <c r="ABJ79" s="75"/>
      <c r="ABK79" s="75"/>
      <c r="ABL79" s="75"/>
      <c r="ABM79" s="75"/>
      <c r="ABN79" s="75"/>
      <c r="ABO79" s="75"/>
      <c r="ABP79" s="75"/>
      <c r="ABQ79" s="75"/>
      <c r="ABR79" s="75"/>
      <c r="ABS79" s="75"/>
      <c r="ABT79" s="75"/>
      <c r="ABU79" s="75"/>
      <c r="ABV79" s="75"/>
      <c r="ABW79" s="75"/>
      <c r="ABX79" s="75"/>
      <c r="ABY79" s="75"/>
      <c r="ABZ79" s="75"/>
      <c r="ACA79" s="75"/>
      <c r="ACB79" s="75"/>
      <c r="ACC79" s="75"/>
      <c r="ACD79" s="75"/>
      <c r="ACE79" s="75"/>
      <c r="ACF79" s="75"/>
      <c r="ACG79" s="75"/>
      <c r="ACH79" s="75"/>
      <c r="ACI79" s="75"/>
      <c r="ACJ79" s="75"/>
      <c r="ACK79" s="75"/>
      <c r="ACL79" s="75"/>
      <c r="ACM79" s="75"/>
      <c r="ACN79" s="75"/>
      <c r="ACO79" s="75"/>
      <c r="ACP79" s="75"/>
      <c r="ACQ79" s="75"/>
      <c r="ACR79" s="75"/>
      <c r="ACS79" s="75"/>
      <c r="ACT79" s="75"/>
      <c r="ACU79" s="75"/>
      <c r="ACV79" s="75"/>
      <c r="ACW79" s="75"/>
      <c r="ACX79" s="75"/>
      <c r="ACY79" s="75"/>
      <c r="ACZ79" s="75"/>
      <c r="ADA79" s="75"/>
      <c r="ADB79" s="75"/>
      <c r="ADC79" s="75"/>
      <c r="ADD79" s="75"/>
      <c r="ADE79" s="75"/>
      <c r="ADF79" s="75"/>
      <c r="ADG79" s="75"/>
      <c r="ADH79" s="75"/>
      <c r="ADI79" s="75"/>
      <c r="ADJ79" s="75"/>
      <c r="ADK79" s="75"/>
      <c r="ADL79" s="75"/>
      <c r="ADM79" s="75"/>
      <c r="ADN79" s="75"/>
      <c r="ADO79" s="75"/>
      <c r="ADP79" s="75"/>
      <c r="ADQ79" s="75"/>
      <c r="ADR79" s="75"/>
      <c r="ADS79" s="75"/>
      <c r="ADT79" s="75"/>
      <c r="ADU79" s="75"/>
      <c r="ADV79" s="75"/>
      <c r="ADW79" s="75"/>
      <c r="ADX79" s="75"/>
      <c r="ADY79" s="75"/>
      <c r="ADZ79" s="75"/>
      <c r="AEA79" s="75"/>
      <c r="AEB79" s="75"/>
      <c r="AEC79" s="75"/>
      <c r="AED79" s="75"/>
      <c r="AEE79" s="75"/>
      <c r="AEF79" s="75"/>
      <c r="AEG79" s="75"/>
      <c r="AEH79" s="75"/>
      <c r="AEI79" s="75"/>
      <c r="AEJ79" s="75"/>
      <c r="AEK79" s="75"/>
      <c r="AEL79" s="75"/>
      <c r="AEM79" s="75"/>
      <c r="AEN79" s="75"/>
      <c r="AEO79" s="75"/>
      <c r="AEP79" s="75"/>
      <c r="AEQ79" s="75"/>
      <c r="AER79" s="75"/>
      <c r="AES79" s="75"/>
      <c r="AET79" s="75"/>
      <c r="AEU79" s="75"/>
      <c r="AEV79" s="75"/>
      <c r="AEW79" s="75"/>
      <c r="AEX79" s="75"/>
      <c r="AEY79" s="75"/>
      <c r="AEZ79" s="75"/>
      <c r="AFA79" s="75"/>
      <c r="AFB79" s="75"/>
      <c r="AFC79" s="75"/>
      <c r="AFD79" s="75"/>
      <c r="AFE79" s="75"/>
      <c r="AFF79" s="75"/>
      <c r="AFG79" s="75"/>
      <c r="AFH79" s="75"/>
      <c r="AFI79" s="75"/>
      <c r="AFJ79" s="75"/>
      <c r="AFK79" s="75"/>
      <c r="AFL79" s="75"/>
      <c r="AFM79" s="75"/>
      <c r="AFN79" s="75"/>
      <c r="AFO79" s="75"/>
      <c r="AFP79" s="75"/>
      <c r="AFQ79" s="75"/>
      <c r="AFR79" s="75"/>
      <c r="AFS79" s="75"/>
      <c r="AFT79" s="75"/>
      <c r="AFU79" s="75"/>
      <c r="AFV79" s="75"/>
      <c r="AFW79" s="75"/>
      <c r="AFX79" s="75"/>
      <c r="AFY79" s="75"/>
      <c r="AFZ79" s="75"/>
      <c r="AGA79" s="75"/>
      <c r="AGB79" s="75"/>
      <c r="AGC79" s="75"/>
      <c r="AGD79" s="75"/>
      <c r="AGE79" s="75"/>
      <c r="AGF79" s="75"/>
      <c r="AGG79" s="75"/>
      <c r="AGH79" s="75"/>
      <c r="AGI79" s="75"/>
      <c r="AGJ79" s="75"/>
      <c r="AGK79" s="75"/>
      <c r="AGL79" s="75"/>
      <c r="AGM79" s="75"/>
      <c r="AGN79" s="75"/>
      <c r="AGO79" s="75"/>
      <c r="AGP79" s="75"/>
      <c r="AGQ79" s="75"/>
      <c r="AGR79" s="75"/>
      <c r="AGS79" s="75"/>
      <c r="AGT79" s="75"/>
      <c r="AGU79" s="75"/>
      <c r="AGV79" s="75"/>
      <c r="AGW79" s="75"/>
      <c r="AGX79" s="75"/>
      <c r="AGY79" s="75"/>
      <c r="AGZ79" s="75"/>
      <c r="AHA79" s="75"/>
      <c r="AHB79" s="75"/>
      <c r="AHC79" s="75"/>
      <c r="AHD79" s="75"/>
      <c r="AHE79" s="75"/>
      <c r="AHF79" s="75"/>
      <c r="AHG79" s="75"/>
      <c r="AHH79" s="75"/>
      <c r="AHI79" s="75"/>
      <c r="AHJ79" s="75"/>
      <c r="AHK79" s="75"/>
      <c r="AHL79" s="75"/>
      <c r="AHM79" s="75"/>
      <c r="AHN79" s="75"/>
      <c r="AHO79" s="75"/>
      <c r="AHP79" s="75"/>
      <c r="AHQ79" s="75"/>
      <c r="AHR79" s="75"/>
      <c r="AHS79" s="75"/>
      <c r="AHT79" s="75"/>
      <c r="AHU79" s="75"/>
      <c r="AHV79" s="75"/>
      <c r="AHW79" s="75"/>
      <c r="AHX79" s="75"/>
      <c r="AHY79" s="75"/>
      <c r="AHZ79" s="75"/>
      <c r="AIA79" s="75"/>
      <c r="AIB79" s="75"/>
      <c r="AIC79" s="75"/>
      <c r="AID79" s="75"/>
      <c r="AIE79" s="75"/>
      <c r="AIF79" s="75"/>
      <c r="AIG79" s="75"/>
      <c r="AIH79" s="75"/>
      <c r="AII79" s="75"/>
      <c r="AIJ79" s="75"/>
      <c r="AIK79" s="75"/>
      <c r="AIL79" s="75"/>
      <c r="AIM79" s="75"/>
      <c r="AIN79" s="75"/>
      <c r="AIO79" s="75"/>
      <c r="AIP79" s="75"/>
      <c r="AIQ79" s="75"/>
      <c r="AIR79" s="75"/>
      <c r="AIS79" s="75"/>
      <c r="AIT79" s="75"/>
      <c r="AIU79" s="75"/>
      <c r="AIV79" s="75"/>
      <c r="AIW79" s="75"/>
      <c r="AIX79" s="75"/>
      <c r="AIY79" s="75"/>
      <c r="AIZ79" s="75"/>
      <c r="AJA79" s="75"/>
      <c r="AJB79" s="75"/>
      <c r="AJC79" s="75"/>
      <c r="AJD79" s="75"/>
      <c r="AJE79" s="75"/>
      <c r="AJF79" s="75"/>
      <c r="AJG79" s="75"/>
      <c r="AJH79" s="75"/>
      <c r="AJI79" s="75"/>
      <c r="AJJ79" s="75"/>
      <c r="AJK79" s="75"/>
      <c r="AJL79" s="75"/>
      <c r="AJM79" s="75"/>
      <c r="AJN79" s="75"/>
      <c r="AJO79" s="75"/>
      <c r="AJP79" s="75"/>
      <c r="AJQ79" s="75"/>
      <c r="AJR79" s="75"/>
      <c r="AJS79" s="75"/>
      <c r="AJT79" s="75"/>
      <c r="AJU79" s="75"/>
      <c r="AJV79" s="75"/>
      <c r="AJW79" s="75"/>
      <c r="AJX79" s="75"/>
      <c r="AJY79" s="75"/>
      <c r="AJZ79" s="75"/>
      <c r="AKA79" s="75"/>
      <c r="AKB79" s="75"/>
      <c r="AKC79" s="75"/>
      <c r="AKD79" s="75"/>
      <c r="AKE79" s="75"/>
      <c r="AKF79" s="75"/>
      <c r="AKG79" s="75"/>
      <c r="AKH79" s="75"/>
      <c r="AKI79" s="75"/>
      <c r="AKJ79" s="75"/>
      <c r="AKK79" s="75"/>
      <c r="AKL79" s="75"/>
      <c r="AKM79" s="75"/>
      <c r="AKN79" s="75"/>
      <c r="AKO79" s="75"/>
      <c r="AKP79" s="75"/>
      <c r="AKQ79" s="75"/>
      <c r="AKR79" s="75"/>
      <c r="AKS79" s="75"/>
      <c r="AKT79" s="75"/>
      <c r="AKU79" s="75"/>
      <c r="AKV79" s="75"/>
      <c r="AKW79" s="75"/>
      <c r="AKX79" s="75"/>
      <c r="AKY79" s="75"/>
      <c r="AKZ79" s="75"/>
      <c r="ALA79" s="75"/>
      <c r="ALB79" s="75"/>
      <c r="ALC79" s="75"/>
      <c r="ALD79" s="75"/>
      <c r="ALE79" s="75"/>
      <c r="ALF79" s="75"/>
      <c r="ALG79" s="75"/>
      <c r="ALH79" s="75"/>
      <c r="ALI79" s="75"/>
      <c r="ALJ79" s="75"/>
      <c r="ALK79" s="75"/>
      <c r="ALL79" s="75"/>
      <c r="ALM79" s="75"/>
      <c r="ALN79" s="75"/>
      <c r="ALO79" s="75"/>
      <c r="ALP79" s="75"/>
      <c r="ALQ79" s="75"/>
      <c r="ALR79" s="75"/>
      <c r="ALS79" s="75"/>
      <c r="ALT79" s="75"/>
      <c r="ALU79" s="75"/>
      <c r="ALV79" s="75"/>
      <c r="ALW79" s="75"/>
      <c r="ALX79" s="75"/>
      <c r="ALY79" s="75"/>
      <c r="ALZ79" s="75"/>
      <c r="AMA79" s="75"/>
      <c r="AMB79" s="75"/>
      <c r="AMC79" s="75"/>
      <c r="AMD79" s="75"/>
      <c r="AME79" s="75"/>
      <c r="AMF79" s="75"/>
      <c r="AMG79" s="75"/>
      <c r="AMH79" s="75"/>
      <c r="AMI79" s="75"/>
      <c r="AMJ79" s="75"/>
    </row>
    <row r="80" spans="12:1024" ht="20.25" customHeight="1" x14ac:dyDescent="0.2">
      <c r="L80" s="75"/>
      <c r="M80" s="76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75"/>
      <c r="CG80" s="75"/>
      <c r="CH80" s="75"/>
      <c r="CI80" s="75"/>
      <c r="CJ80" s="75"/>
      <c r="CK80" s="75"/>
      <c r="CL80" s="75"/>
      <c r="CM80" s="75"/>
      <c r="CN80" s="75"/>
      <c r="CO80" s="75"/>
      <c r="CP80" s="75"/>
      <c r="CQ80" s="75"/>
      <c r="CR80" s="75"/>
      <c r="CS80" s="75"/>
      <c r="CT80" s="75"/>
      <c r="CU80" s="75"/>
      <c r="CV80" s="75"/>
      <c r="CW80" s="75"/>
      <c r="CX80" s="75"/>
      <c r="CY80" s="75"/>
      <c r="CZ80" s="75"/>
      <c r="DA80" s="75"/>
      <c r="DB80" s="75"/>
      <c r="DC80" s="75"/>
      <c r="DD80" s="75"/>
      <c r="DE80" s="75"/>
      <c r="DF80" s="75"/>
      <c r="DG80" s="75"/>
      <c r="DH80" s="75"/>
      <c r="DI80" s="75"/>
      <c r="DJ80" s="75"/>
      <c r="DK80" s="75"/>
      <c r="DL80" s="75"/>
      <c r="DM80" s="75"/>
      <c r="DN80" s="75"/>
      <c r="DO80" s="75"/>
      <c r="DP80" s="75"/>
      <c r="DQ80" s="75"/>
      <c r="DR80" s="75"/>
      <c r="DS80" s="75"/>
      <c r="DT80" s="75"/>
      <c r="DU80" s="75"/>
      <c r="DV80" s="75"/>
      <c r="DW80" s="75"/>
      <c r="DX80" s="75"/>
      <c r="DY80" s="75"/>
      <c r="DZ80" s="75"/>
      <c r="EA80" s="75"/>
      <c r="EB80" s="75"/>
      <c r="EC80" s="75"/>
      <c r="ED80" s="75"/>
      <c r="EE80" s="75"/>
      <c r="EF80" s="75"/>
      <c r="EG80" s="75"/>
      <c r="EH80" s="75"/>
      <c r="EI80" s="75"/>
      <c r="EJ80" s="75"/>
      <c r="EK80" s="75"/>
      <c r="EL80" s="75"/>
      <c r="EM80" s="75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75"/>
      <c r="FF80" s="75"/>
      <c r="FG80" s="75"/>
      <c r="FH80" s="75"/>
      <c r="FI80" s="75"/>
      <c r="FJ80" s="75"/>
      <c r="FK80" s="75"/>
      <c r="FL80" s="75"/>
      <c r="FM80" s="75"/>
      <c r="FN80" s="75"/>
      <c r="FO80" s="75"/>
      <c r="FP80" s="75"/>
      <c r="FQ80" s="75"/>
      <c r="FR80" s="75"/>
      <c r="FS80" s="75"/>
      <c r="FT80" s="75"/>
      <c r="FU80" s="75"/>
      <c r="FV80" s="75"/>
      <c r="FW80" s="75"/>
      <c r="FX80" s="75"/>
      <c r="FY80" s="75"/>
      <c r="FZ80" s="75"/>
      <c r="GA80" s="75"/>
      <c r="GB80" s="75"/>
      <c r="GC80" s="75"/>
      <c r="GD80" s="75"/>
      <c r="GE80" s="75"/>
      <c r="GF80" s="75"/>
      <c r="GG80" s="75"/>
      <c r="GH80" s="75"/>
      <c r="GI80" s="75"/>
      <c r="GJ80" s="75"/>
      <c r="GK80" s="75"/>
      <c r="GL80" s="75"/>
      <c r="GM80" s="75"/>
      <c r="GN80" s="75"/>
      <c r="GO80" s="75"/>
      <c r="GP80" s="75"/>
      <c r="GQ80" s="75"/>
      <c r="GR80" s="75"/>
      <c r="GS80" s="75"/>
      <c r="GT80" s="75"/>
      <c r="GU80" s="75"/>
      <c r="GV80" s="75"/>
      <c r="GW80" s="75"/>
      <c r="GX80" s="75"/>
      <c r="GY80" s="75"/>
      <c r="GZ80" s="75"/>
      <c r="HA80" s="75"/>
      <c r="HB80" s="75"/>
      <c r="HC80" s="75"/>
      <c r="HD80" s="75"/>
      <c r="HE80" s="75"/>
      <c r="HF80" s="75"/>
      <c r="HG80" s="75"/>
      <c r="HH80" s="75"/>
      <c r="HI80" s="75"/>
      <c r="HJ80" s="75"/>
      <c r="HK80" s="75"/>
      <c r="HL80" s="75"/>
      <c r="HM80" s="75"/>
      <c r="HN80" s="75"/>
      <c r="HO80" s="75"/>
      <c r="HP80" s="75"/>
      <c r="HQ80" s="75"/>
      <c r="HR80" s="75"/>
      <c r="HS80" s="75"/>
      <c r="HT80" s="75"/>
      <c r="HU80" s="75"/>
      <c r="HV80" s="75"/>
      <c r="HW80" s="75"/>
      <c r="HX80" s="75"/>
      <c r="HY80" s="75"/>
      <c r="HZ80" s="75"/>
      <c r="IA80" s="75"/>
      <c r="IB80" s="75"/>
      <c r="IC80" s="75"/>
      <c r="ID80" s="75"/>
      <c r="IE80" s="75"/>
      <c r="IF80" s="75"/>
      <c r="IG80" s="75"/>
      <c r="IH80" s="75"/>
      <c r="II80" s="75"/>
      <c r="IJ80" s="75"/>
      <c r="IK80" s="75"/>
      <c r="IL80" s="75"/>
      <c r="IM80" s="75"/>
      <c r="IN80" s="75"/>
      <c r="IO80" s="75"/>
      <c r="IP80" s="75"/>
      <c r="IQ80" s="75"/>
      <c r="IR80" s="75"/>
      <c r="IS80" s="75"/>
      <c r="IT80" s="75"/>
      <c r="IU80" s="75"/>
      <c r="IV80" s="75"/>
      <c r="IW80" s="75"/>
      <c r="IX80" s="75"/>
      <c r="IY80" s="75"/>
      <c r="IZ80" s="75"/>
      <c r="JA80" s="75"/>
      <c r="JB80" s="75"/>
      <c r="JC80" s="75"/>
      <c r="JD80" s="75"/>
      <c r="JE80" s="75"/>
      <c r="JF80" s="75"/>
      <c r="JG80" s="75"/>
      <c r="JH80" s="75"/>
      <c r="JI80" s="75"/>
      <c r="JJ80" s="75"/>
      <c r="JK80" s="75"/>
      <c r="JL80" s="75"/>
      <c r="JM80" s="75"/>
      <c r="JN80" s="75"/>
      <c r="JO80" s="75"/>
      <c r="JP80" s="75"/>
      <c r="JQ80" s="75"/>
      <c r="JR80" s="75"/>
      <c r="JS80" s="75"/>
      <c r="JT80" s="75"/>
      <c r="JU80" s="75"/>
      <c r="JV80" s="75"/>
      <c r="JW80" s="75"/>
      <c r="JX80" s="75"/>
      <c r="JY80" s="75"/>
      <c r="JZ80" s="75"/>
      <c r="KA80" s="75"/>
      <c r="KB80" s="75"/>
      <c r="KC80" s="75"/>
      <c r="KD80" s="75"/>
      <c r="KE80" s="75"/>
      <c r="KF80" s="75"/>
      <c r="KG80" s="75"/>
      <c r="KH80" s="75"/>
      <c r="KI80" s="75"/>
      <c r="KJ80" s="75"/>
      <c r="KK80" s="75"/>
      <c r="KL80" s="75"/>
      <c r="KM80" s="75"/>
      <c r="KN80" s="75"/>
      <c r="KO80" s="75"/>
      <c r="KP80" s="75"/>
      <c r="KQ80" s="75"/>
      <c r="KR80" s="75"/>
      <c r="KS80" s="75"/>
      <c r="KT80" s="75"/>
      <c r="KU80" s="75"/>
      <c r="KV80" s="75"/>
      <c r="KW80" s="75"/>
      <c r="KX80" s="75"/>
      <c r="KY80" s="75"/>
      <c r="KZ80" s="75"/>
      <c r="LA80" s="75"/>
      <c r="LB80" s="75"/>
      <c r="LC80" s="75"/>
      <c r="LD80" s="75"/>
      <c r="LE80" s="75"/>
      <c r="LF80" s="75"/>
      <c r="LG80" s="75"/>
      <c r="LH80" s="75"/>
      <c r="LI80" s="75"/>
      <c r="LJ80" s="75"/>
      <c r="LK80" s="75"/>
      <c r="LL80" s="75"/>
      <c r="LM80" s="75"/>
      <c r="LN80" s="75"/>
      <c r="LO80" s="75"/>
      <c r="LP80" s="75"/>
      <c r="LQ80" s="75"/>
      <c r="LR80" s="75"/>
      <c r="LS80" s="75"/>
      <c r="LT80" s="75"/>
      <c r="LU80" s="75"/>
      <c r="LV80" s="75"/>
      <c r="LW80" s="75"/>
      <c r="LX80" s="75"/>
      <c r="LY80" s="75"/>
      <c r="LZ80" s="75"/>
      <c r="MA80" s="75"/>
      <c r="MB80" s="75"/>
      <c r="MC80" s="75"/>
      <c r="MD80" s="75"/>
      <c r="ME80" s="75"/>
      <c r="MF80" s="75"/>
      <c r="MG80" s="75"/>
      <c r="MH80" s="75"/>
      <c r="MI80" s="75"/>
      <c r="MJ80" s="75"/>
      <c r="MK80" s="75"/>
      <c r="ML80" s="75"/>
      <c r="MM80" s="75"/>
      <c r="MN80" s="75"/>
      <c r="MO80" s="75"/>
      <c r="MP80" s="75"/>
      <c r="MQ80" s="75"/>
      <c r="MR80" s="75"/>
      <c r="MS80" s="75"/>
      <c r="MT80" s="75"/>
      <c r="MU80" s="75"/>
      <c r="MV80" s="75"/>
      <c r="MW80" s="75"/>
      <c r="MX80" s="75"/>
      <c r="MY80" s="75"/>
      <c r="MZ80" s="75"/>
      <c r="NA80" s="75"/>
      <c r="NB80" s="75"/>
      <c r="NC80" s="75"/>
      <c r="ND80" s="75"/>
      <c r="NE80" s="75"/>
      <c r="NF80" s="75"/>
      <c r="NG80" s="75"/>
      <c r="NH80" s="75"/>
      <c r="NI80" s="75"/>
      <c r="NJ80" s="75"/>
      <c r="NK80" s="75"/>
      <c r="NL80" s="75"/>
      <c r="NM80" s="75"/>
      <c r="NN80" s="75"/>
      <c r="NO80" s="75"/>
      <c r="NP80" s="75"/>
      <c r="NQ80" s="75"/>
      <c r="NR80" s="75"/>
      <c r="NS80" s="75"/>
      <c r="NT80" s="75"/>
      <c r="NU80" s="75"/>
      <c r="NV80" s="75"/>
      <c r="NW80" s="75"/>
      <c r="NX80" s="75"/>
      <c r="NY80" s="75"/>
      <c r="NZ80" s="75"/>
      <c r="OA80" s="75"/>
      <c r="OB80" s="75"/>
      <c r="OC80" s="75"/>
      <c r="OD80" s="75"/>
      <c r="OE80" s="75"/>
      <c r="OF80" s="75"/>
      <c r="OG80" s="75"/>
      <c r="OH80" s="75"/>
      <c r="OI80" s="75"/>
      <c r="OJ80" s="75"/>
      <c r="OK80" s="75"/>
      <c r="OL80" s="75"/>
      <c r="OM80" s="75"/>
      <c r="ON80" s="75"/>
      <c r="OO80" s="75"/>
      <c r="OP80" s="75"/>
      <c r="OQ80" s="75"/>
      <c r="OR80" s="75"/>
      <c r="OS80" s="75"/>
      <c r="OT80" s="75"/>
      <c r="OU80" s="75"/>
      <c r="OV80" s="75"/>
      <c r="OW80" s="75"/>
      <c r="OX80" s="75"/>
      <c r="OY80" s="75"/>
      <c r="OZ80" s="75"/>
      <c r="PA80" s="75"/>
      <c r="PB80" s="75"/>
      <c r="PC80" s="75"/>
      <c r="PD80" s="75"/>
      <c r="PE80" s="75"/>
      <c r="PF80" s="75"/>
      <c r="PG80" s="75"/>
      <c r="PH80" s="75"/>
      <c r="PI80" s="75"/>
      <c r="PJ80" s="75"/>
      <c r="PK80" s="75"/>
      <c r="PL80" s="75"/>
      <c r="PM80" s="75"/>
      <c r="PN80" s="75"/>
      <c r="PO80" s="75"/>
      <c r="PP80" s="75"/>
      <c r="PQ80" s="75"/>
      <c r="PR80" s="75"/>
      <c r="PS80" s="75"/>
      <c r="PT80" s="75"/>
      <c r="PU80" s="75"/>
      <c r="PV80" s="75"/>
      <c r="PW80" s="75"/>
      <c r="PX80" s="75"/>
      <c r="PY80" s="75"/>
      <c r="PZ80" s="75"/>
      <c r="QA80" s="75"/>
      <c r="QB80" s="75"/>
      <c r="QC80" s="75"/>
      <c r="QD80" s="75"/>
      <c r="QE80" s="75"/>
      <c r="QF80" s="75"/>
      <c r="QG80" s="75"/>
      <c r="QH80" s="75"/>
      <c r="QI80" s="75"/>
      <c r="QJ80" s="75"/>
      <c r="QK80" s="75"/>
      <c r="QL80" s="75"/>
      <c r="QM80" s="75"/>
      <c r="QN80" s="75"/>
      <c r="QO80" s="75"/>
      <c r="QP80" s="75"/>
      <c r="QQ80" s="75"/>
      <c r="QR80" s="75"/>
      <c r="QS80" s="75"/>
      <c r="QT80" s="75"/>
      <c r="QU80" s="75"/>
      <c r="QV80" s="75"/>
      <c r="QW80" s="75"/>
      <c r="QX80" s="75"/>
      <c r="QY80" s="75"/>
      <c r="QZ80" s="75"/>
      <c r="RA80" s="75"/>
      <c r="RB80" s="75"/>
      <c r="RC80" s="75"/>
      <c r="RD80" s="75"/>
      <c r="RE80" s="75"/>
      <c r="RF80" s="75"/>
      <c r="RG80" s="75"/>
      <c r="RH80" s="75"/>
      <c r="RI80" s="75"/>
      <c r="RJ80" s="75"/>
      <c r="RK80" s="75"/>
      <c r="RL80" s="75"/>
      <c r="RM80" s="75"/>
      <c r="RN80" s="75"/>
      <c r="RO80" s="75"/>
      <c r="RP80" s="75"/>
      <c r="RQ80" s="75"/>
      <c r="RR80" s="75"/>
      <c r="RS80" s="75"/>
      <c r="RT80" s="75"/>
      <c r="RU80" s="75"/>
      <c r="RV80" s="75"/>
      <c r="RW80" s="75"/>
      <c r="RX80" s="75"/>
      <c r="RY80" s="75"/>
      <c r="RZ80" s="75"/>
      <c r="SA80" s="75"/>
      <c r="SB80" s="75"/>
      <c r="SC80" s="75"/>
      <c r="SD80" s="75"/>
      <c r="SE80" s="75"/>
      <c r="SF80" s="75"/>
      <c r="SG80" s="75"/>
      <c r="SH80" s="75"/>
      <c r="SI80" s="75"/>
      <c r="SJ80" s="75"/>
      <c r="SK80" s="75"/>
      <c r="SL80" s="75"/>
      <c r="SM80" s="75"/>
      <c r="SN80" s="75"/>
      <c r="SO80" s="75"/>
      <c r="SP80" s="75"/>
      <c r="SQ80" s="75"/>
      <c r="SR80" s="75"/>
      <c r="SS80" s="75"/>
      <c r="ST80" s="75"/>
      <c r="SU80" s="75"/>
      <c r="SV80" s="75"/>
      <c r="SW80" s="75"/>
      <c r="SX80" s="75"/>
      <c r="SY80" s="75"/>
      <c r="SZ80" s="75"/>
      <c r="TA80" s="75"/>
      <c r="TB80" s="75"/>
      <c r="TC80" s="75"/>
      <c r="TD80" s="75"/>
      <c r="TE80" s="75"/>
      <c r="TF80" s="75"/>
      <c r="TG80" s="75"/>
      <c r="TH80" s="75"/>
      <c r="TI80" s="75"/>
      <c r="TJ80" s="75"/>
      <c r="TK80" s="75"/>
      <c r="TL80" s="75"/>
      <c r="TM80" s="75"/>
      <c r="TN80" s="75"/>
      <c r="TO80" s="75"/>
      <c r="TP80" s="75"/>
      <c r="TQ80" s="75"/>
      <c r="TR80" s="75"/>
      <c r="TS80" s="75"/>
      <c r="TT80" s="75"/>
      <c r="TU80" s="75"/>
      <c r="TV80" s="75"/>
      <c r="TW80" s="75"/>
      <c r="TX80" s="75"/>
      <c r="TY80" s="75"/>
      <c r="TZ80" s="75"/>
      <c r="UA80" s="75"/>
      <c r="UB80" s="75"/>
      <c r="UC80" s="75"/>
      <c r="UD80" s="75"/>
      <c r="UE80" s="75"/>
      <c r="UF80" s="75"/>
      <c r="UG80" s="75"/>
      <c r="UH80" s="75"/>
      <c r="UI80" s="75"/>
      <c r="UJ80" s="75"/>
      <c r="UK80" s="75"/>
      <c r="UL80" s="75"/>
      <c r="UM80" s="75"/>
      <c r="UN80" s="75"/>
      <c r="UO80" s="75"/>
      <c r="UP80" s="75"/>
      <c r="UQ80" s="75"/>
      <c r="UR80" s="75"/>
      <c r="US80" s="75"/>
      <c r="UT80" s="75"/>
      <c r="UU80" s="75"/>
      <c r="UV80" s="75"/>
      <c r="UW80" s="75"/>
      <c r="UX80" s="75"/>
      <c r="UY80" s="75"/>
      <c r="UZ80" s="75"/>
      <c r="VA80" s="75"/>
      <c r="VB80" s="75"/>
      <c r="VC80" s="75"/>
      <c r="VD80" s="75"/>
      <c r="VE80" s="75"/>
      <c r="VF80" s="75"/>
      <c r="VG80" s="75"/>
      <c r="VH80" s="75"/>
      <c r="VI80" s="75"/>
      <c r="VJ80" s="75"/>
      <c r="VK80" s="75"/>
      <c r="VL80" s="75"/>
      <c r="VM80" s="75"/>
      <c r="VN80" s="75"/>
      <c r="VO80" s="75"/>
      <c r="VP80" s="75"/>
      <c r="VQ80" s="75"/>
      <c r="VR80" s="75"/>
      <c r="VS80" s="75"/>
      <c r="VT80" s="75"/>
      <c r="VU80" s="75"/>
      <c r="VV80" s="75"/>
      <c r="VW80" s="75"/>
      <c r="VX80" s="75"/>
      <c r="VY80" s="75"/>
      <c r="VZ80" s="75"/>
      <c r="WA80" s="75"/>
      <c r="WB80" s="75"/>
      <c r="WC80" s="75"/>
      <c r="WD80" s="75"/>
      <c r="WE80" s="75"/>
      <c r="WF80" s="75"/>
      <c r="WG80" s="75"/>
      <c r="WH80" s="75"/>
      <c r="WI80" s="75"/>
      <c r="WJ80" s="75"/>
      <c r="WK80" s="75"/>
      <c r="WL80" s="75"/>
      <c r="WM80" s="75"/>
      <c r="WN80" s="75"/>
      <c r="WO80" s="75"/>
      <c r="WP80" s="75"/>
      <c r="WQ80" s="75"/>
      <c r="WR80" s="75"/>
      <c r="WS80" s="75"/>
      <c r="WT80" s="75"/>
      <c r="WU80" s="75"/>
      <c r="WV80" s="75"/>
      <c r="WW80" s="75"/>
      <c r="WX80" s="75"/>
      <c r="WY80" s="75"/>
      <c r="WZ80" s="75"/>
      <c r="XA80" s="75"/>
      <c r="XB80" s="75"/>
      <c r="XC80" s="75"/>
      <c r="XD80" s="75"/>
      <c r="XE80" s="75"/>
      <c r="XF80" s="75"/>
      <c r="XG80" s="75"/>
      <c r="XH80" s="75"/>
      <c r="XI80" s="75"/>
      <c r="XJ80" s="75"/>
      <c r="XK80" s="75"/>
      <c r="XL80" s="75"/>
      <c r="XM80" s="75"/>
      <c r="XN80" s="75"/>
      <c r="XO80" s="75"/>
      <c r="XP80" s="75"/>
      <c r="XQ80" s="75"/>
      <c r="XR80" s="75"/>
      <c r="XS80" s="75"/>
      <c r="XT80" s="75"/>
      <c r="XU80" s="75"/>
      <c r="XV80" s="75"/>
      <c r="XW80" s="75"/>
      <c r="XX80" s="75"/>
      <c r="XY80" s="75"/>
      <c r="XZ80" s="75"/>
      <c r="YA80" s="75"/>
      <c r="YB80" s="75"/>
      <c r="YC80" s="75"/>
      <c r="YD80" s="75"/>
      <c r="YE80" s="75"/>
      <c r="YF80" s="75"/>
      <c r="YG80" s="75"/>
      <c r="YH80" s="75"/>
      <c r="YI80" s="75"/>
      <c r="YJ80" s="75"/>
      <c r="YK80" s="75"/>
      <c r="YL80" s="75"/>
      <c r="YM80" s="75"/>
      <c r="YN80" s="75"/>
      <c r="YO80" s="75"/>
      <c r="YP80" s="75"/>
      <c r="YQ80" s="75"/>
      <c r="YR80" s="75"/>
      <c r="YS80" s="75"/>
      <c r="YT80" s="75"/>
      <c r="YU80" s="75"/>
      <c r="YV80" s="75"/>
      <c r="YW80" s="75"/>
      <c r="YX80" s="75"/>
      <c r="YY80" s="75"/>
      <c r="YZ80" s="75"/>
      <c r="ZA80" s="75"/>
      <c r="ZB80" s="75"/>
      <c r="ZC80" s="75"/>
      <c r="ZD80" s="75"/>
      <c r="ZE80" s="75"/>
      <c r="ZF80" s="75"/>
      <c r="ZG80" s="75"/>
      <c r="ZH80" s="75"/>
      <c r="ZI80" s="75"/>
      <c r="ZJ80" s="75"/>
      <c r="ZK80" s="75"/>
      <c r="ZL80" s="75"/>
      <c r="ZM80" s="75"/>
      <c r="ZN80" s="75"/>
      <c r="ZO80" s="75"/>
      <c r="ZP80" s="75"/>
      <c r="ZQ80" s="75"/>
      <c r="ZR80" s="75"/>
      <c r="ZS80" s="75"/>
      <c r="ZT80" s="75"/>
      <c r="ZU80" s="75"/>
      <c r="ZV80" s="75"/>
      <c r="ZW80" s="75"/>
      <c r="ZX80" s="75"/>
      <c r="ZY80" s="75"/>
      <c r="ZZ80" s="75"/>
      <c r="AAA80" s="75"/>
      <c r="AAB80" s="75"/>
      <c r="AAC80" s="75"/>
      <c r="AAD80" s="75"/>
      <c r="AAE80" s="75"/>
      <c r="AAF80" s="75"/>
      <c r="AAG80" s="75"/>
      <c r="AAH80" s="75"/>
      <c r="AAI80" s="75"/>
      <c r="AAJ80" s="75"/>
      <c r="AAK80" s="75"/>
      <c r="AAL80" s="75"/>
      <c r="AAM80" s="75"/>
      <c r="AAN80" s="75"/>
      <c r="AAO80" s="75"/>
      <c r="AAP80" s="75"/>
      <c r="AAQ80" s="75"/>
      <c r="AAR80" s="75"/>
      <c r="AAS80" s="75"/>
      <c r="AAT80" s="75"/>
      <c r="AAU80" s="75"/>
      <c r="AAV80" s="75"/>
      <c r="AAW80" s="75"/>
      <c r="AAX80" s="75"/>
      <c r="AAY80" s="75"/>
      <c r="AAZ80" s="75"/>
      <c r="ABA80" s="75"/>
      <c r="ABB80" s="75"/>
      <c r="ABC80" s="75"/>
      <c r="ABD80" s="75"/>
      <c r="ABE80" s="75"/>
      <c r="ABF80" s="75"/>
      <c r="ABG80" s="75"/>
      <c r="ABH80" s="75"/>
      <c r="ABI80" s="75"/>
      <c r="ABJ80" s="75"/>
      <c r="ABK80" s="75"/>
      <c r="ABL80" s="75"/>
      <c r="ABM80" s="75"/>
      <c r="ABN80" s="75"/>
      <c r="ABO80" s="75"/>
      <c r="ABP80" s="75"/>
      <c r="ABQ80" s="75"/>
      <c r="ABR80" s="75"/>
      <c r="ABS80" s="75"/>
      <c r="ABT80" s="75"/>
      <c r="ABU80" s="75"/>
      <c r="ABV80" s="75"/>
      <c r="ABW80" s="75"/>
      <c r="ABX80" s="75"/>
      <c r="ABY80" s="75"/>
      <c r="ABZ80" s="75"/>
      <c r="ACA80" s="75"/>
      <c r="ACB80" s="75"/>
      <c r="ACC80" s="75"/>
      <c r="ACD80" s="75"/>
      <c r="ACE80" s="75"/>
      <c r="ACF80" s="75"/>
      <c r="ACG80" s="75"/>
      <c r="ACH80" s="75"/>
      <c r="ACI80" s="75"/>
      <c r="ACJ80" s="75"/>
      <c r="ACK80" s="75"/>
      <c r="ACL80" s="75"/>
      <c r="ACM80" s="75"/>
      <c r="ACN80" s="75"/>
      <c r="ACO80" s="75"/>
      <c r="ACP80" s="75"/>
      <c r="ACQ80" s="75"/>
      <c r="ACR80" s="75"/>
      <c r="ACS80" s="75"/>
      <c r="ACT80" s="75"/>
      <c r="ACU80" s="75"/>
      <c r="ACV80" s="75"/>
      <c r="ACW80" s="75"/>
      <c r="ACX80" s="75"/>
      <c r="ACY80" s="75"/>
      <c r="ACZ80" s="75"/>
      <c r="ADA80" s="75"/>
      <c r="ADB80" s="75"/>
      <c r="ADC80" s="75"/>
      <c r="ADD80" s="75"/>
      <c r="ADE80" s="75"/>
      <c r="ADF80" s="75"/>
      <c r="ADG80" s="75"/>
      <c r="ADH80" s="75"/>
      <c r="ADI80" s="75"/>
      <c r="ADJ80" s="75"/>
      <c r="ADK80" s="75"/>
      <c r="ADL80" s="75"/>
      <c r="ADM80" s="75"/>
      <c r="ADN80" s="75"/>
      <c r="ADO80" s="75"/>
      <c r="ADP80" s="75"/>
      <c r="ADQ80" s="75"/>
      <c r="ADR80" s="75"/>
      <c r="ADS80" s="75"/>
      <c r="ADT80" s="75"/>
      <c r="ADU80" s="75"/>
      <c r="ADV80" s="75"/>
      <c r="ADW80" s="75"/>
      <c r="ADX80" s="75"/>
      <c r="ADY80" s="75"/>
      <c r="ADZ80" s="75"/>
      <c r="AEA80" s="75"/>
      <c r="AEB80" s="75"/>
      <c r="AEC80" s="75"/>
      <c r="AED80" s="75"/>
      <c r="AEE80" s="75"/>
      <c r="AEF80" s="75"/>
      <c r="AEG80" s="75"/>
      <c r="AEH80" s="75"/>
      <c r="AEI80" s="75"/>
      <c r="AEJ80" s="75"/>
      <c r="AEK80" s="75"/>
      <c r="AEL80" s="75"/>
      <c r="AEM80" s="75"/>
      <c r="AEN80" s="75"/>
      <c r="AEO80" s="75"/>
      <c r="AEP80" s="75"/>
      <c r="AEQ80" s="75"/>
      <c r="AER80" s="75"/>
      <c r="AES80" s="75"/>
      <c r="AET80" s="75"/>
      <c r="AEU80" s="75"/>
      <c r="AEV80" s="75"/>
      <c r="AEW80" s="75"/>
      <c r="AEX80" s="75"/>
      <c r="AEY80" s="75"/>
      <c r="AEZ80" s="75"/>
      <c r="AFA80" s="75"/>
      <c r="AFB80" s="75"/>
      <c r="AFC80" s="75"/>
      <c r="AFD80" s="75"/>
      <c r="AFE80" s="75"/>
      <c r="AFF80" s="75"/>
      <c r="AFG80" s="75"/>
      <c r="AFH80" s="75"/>
      <c r="AFI80" s="75"/>
      <c r="AFJ80" s="75"/>
      <c r="AFK80" s="75"/>
      <c r="AFL80" s="75"/>
      <c r="AFM80" s="75"/>
      <c r="AFN80" s="75"/>
      <c r="AFO80" s="75"/>
      <c r="AFP80" s="75"/>
      <c r="AFQ80" s="75"/>
      <c r="AFR80" s="75"/>
      <c r="AFS80" s="75"/>
      <c r="AFT80" s="75"/>
      <c r="AFU80" s="75"/>
      <c r="AFV80" s="75"/>
      <c r="AFW80" s="75"/>
      <c r="AFX80" s="75"/>
      <c r="AFY80" s="75"/>
      <c r="AFZ80" s="75"/>
      <c r="AGA80" s="75"/>
      <c r="AGB80" s="75"/>
      <c r="AGC80" s="75"/>
      <c r="AGD80" s="75"/>
      <c r="AGE80" s="75"/>
      <c r="AGF80" s="75"/>
      <c r="AGG80" s="75"/>
      <c r="AGH80" s="75"/>
      <c r="AGI80" s="75"/>
      <c r="AGJ80" s="75"/>
      <c r="AGK80" s="75"/>
      <c r="AGL80" s="75"/>
      <c r="AGM80" s="75"/>
      <c r="AGN80" s="75"/>
      <c r="AGO80" s="75"/>
      <c r="AGP80" s="75"/>
      <c r="AGQ80" s="75"/>
      <c r="AGR80" s="75"/>
      <c r="AGS80" s="75"/>
      <c r="AGT80" s="75"/>
      <c r="AGU80" s="75"/>
      <c r="AGV80" s="75"/>
      <c r="AGW80" s="75"/>
      <c r="AGX80" s="75"/>
      <c r="AGY80" s="75"/>
      <c r="AGZ80" s="75"/>
      <c r="AHA80" s="75"/>
      <c r="AHB80" s="75"/>
      <c r="AHC80" s="75"/>
      <c r="AHD80" s="75"/>
      <c r="AHE80" s="75"/>
      <c r="AHF80" s="75"/>
      <c r="AHG80" s="75"/>
      <c r="AHH80" s="75"/>
      <c r="AHI80" s="75"/>
      <c r="AHJ80" s="75"/>
      <c r="AHK80" s="75"/>
      <c r="AHL80" s="75"/>
      <c r="AHM80" s="75"/>
      <c r="AHN80" s="75"/>
      <c r="AHO80" s="75"/>
      <c r="AHP80" s="75"/>
      <c r="AHQ80" s="75"/>
      <c r="AHR80" s="75"/>
      <c r="AHS80" s="75"/>
      <c r="AHT80" s="75"/>
      <c r="AHU80" s="75"/>
      <c r="AHV80" s="75"/>
      <c r="AHW80" s="75"/>
      <c r="AHX80" s="75"/>
      <c r="AHY80" s="75"/>
      <c r="AHZ80" s="75"/>
      <c r="AIA80" s="75"/>
      <c r="AIB80" s="75"/>
      <c r="AIC80" s="75"/>
      <c r="AID80" s="75"/>
      <c r="AIE80" s="75"/>
      <c r="AIF80" s="75"/>
      <c r="AIG80" s="75"/>
      <c r="AIH80" s="75"/>
      <c r="AII80" s="75"/>
      <c r="AIJ80" s="75"/>
      <c r="AIK80" s="75"/>
      <c r="AIL80" s="75"/>
      <c r="AIM80" s="75"/>
      <c r="AIN80" s="75"/>
      <c r="AIO80" s="75"/>
      <c r="AIP80" s="75"/>
      <c r="AIQ80" s="75"/>
      <c r="AIR80" s="75"/>
      <c r="AIS80" s="75"/>
      <c r="AIT80" s="75"/>
      <c r="AIU80" s="75"/>
      <c r="AIV80" s="75"/>
      <c r="AIW80" s="75"/>
      <c r="AIX80" s="75"/>
      <c r="AIY80" s="75"/>
      <c r="AIZ80" s="75"/>
      <c r="AJA80" s="75"/>
      <c r="AJB80" s="75"/>
      <c r="AJC80" s="75"/>
      <c r="AJD80" s="75"/>
      <c r="AJE80" s="75"/>
      <c r="AJF80" s="75"/>
      <c r="AJG80" s="75"/>
      <c r="AJH80" s="75"/>
      <c r="AJI80" s="75"/>
      <c r="AJJ80" s="75"/>
      <c r="AJK80" s="75"/>
      <c r="AJL80" s="75"/>
      <c r="AJM80" s="75"/>
      <c r="AJN80" s="75"/>
      <c r="AJO80" s="75"/>
      <c r="AJP80" s="75"/>
      <c r="AJQ80" s="75"/>
      <c r="AJR80" s="75"/>
      <c r="AJS80" s="75"/>
      <c r="AJT80" s="75"/>
      <c r="AJU80" s="75"/>
      <c r="AJV80" s="75"/>
      <c r="AJW80" s="75"/>
      <c r="AJX80" s="75"/>
      <c r="AJY80" s="75"/>
      <c r="AJZ80" s="75"/>
      <c r="AKA80" s="75"/>
      <c r="AKB80" s="75"/>
      <c r="AKC80" s="75"/>
      <c r="AKD80" s="75"/>
      <c r="AKE80" s="75"/>
      <c r="AKF80" s="75"/>
      <c r="AKG80" s="75"/>
      <c r="AKH80" s="75"/>
      <c r="AKI80" s="75"/>
      <c r="AKJ80" s="75"/>
      <c r="AKK80" s="75"/>
      <c r="AKL80" s="75"/>
      <c r="AKM80" s="75"/>
      <c r="AKN80" s="75"/>
      <c r="AKO80" s="75"/>
      <c r="AKP80" s="75"/>
      <c r="AKQ80" s="75"/>
      <c r="AKR80" s="75"/>
      <c r="AKS80" s="75"/>
      <c r="AKT80" s="75"/>
      <c r="AKU80" s="75"/>
      <c r="AKV80" s="75"/>
      <c r="AKW80" s="75"/>
      <c r="AKX80" s="75"/>
      <c r="AKY80" s="75"/>
      <c r="AKZ80" s="75"/>
      <c r="ALA80" s="75"/>
      <c r="ALB80" s="75"/>
      <c r="ALC80" s="75"/>
      <c r="ALD80" s="75"/>
      <c r="ALE80" s="75"/>
      <c r="ALF80" s="75"/>
      <c r="ALG80" s="75"/>
      <c r="ALH80" s="75"/>
      <c r="ALI80" s="75"/>
      <c r="ALJ80" s="75"/>
      <c r="ALK80" s="75"/>
      <c r="ALL80" s="75"/>
      <c r="ALM80" s="75"/>
      <c r="ALN80" s="75"/>
      <c r="ALO80" s="75"/>
      <c r="ALP80" s="75"/>
      <c r="ALQ80" s="75"/>
      <c r="ALR80" s="75"/>
      <c r="ALS80" s="75"/>
      <c r="ALT80" s="75"/>
      <c r="ALU80" s="75"/>
      <c r="ALV80" s="75"/>
      <c r="ALW80" s="75"/>
      <c r="ALX80" s="75"/>
      <c r="ALY80" s="75"/>
      <c r="ALZ80" s="75"/>
      <c r="AMA80" s="75"/>
      <c r="AMB80" s="75"/>
      <c r="AMC80" s="75"/>
      <c r="AMD80" s="75"/>
      <c r="AME80" s="75"/>
      <c r="AMF80" s="75"/>
      <c r="AMG80" s="75"/>
      <c r="AMH80" s="75"/>
      <c r="AMI80" s="75"/>
      <c r="AMJ80" s="75"/>
    </row>
  </sheetData>
  <mergeCells count="42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9:G29"/>
    <mergeCell ref="A30:I30"/>
    <mergeCell ref="J30:K30"/>
    <mergeCell ref="A31:I31"/>
    <mergeCell ref="J31:K31"/>
  </mergeCells>
  <conditionalFormatting sqref="C12:C18">
    <cfRule type="duplicateValues" dxfId="53" priority="1"/>
  </conditionalFormatting>
  <conditionalFormatting sqref="C12:C18">
    <cfRule type="duplicateValues" dxfId="52" priority="2"/>
    <cfRule type="duplicateValues" dxfId="51" priority="3"/>
  </conditionalFormatting>
  <conditionalFormatting sqref="C12:C18">
    <cfRule type="duplicateValues" dxfId="50" priority="4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opLeftCell="A13" workbookViewId="0">
      <selection activeCell="A22" sqref="A22:P22"/>
    </sheetView>
  </sheetViews>
  <sheetFormatPr baseColWidth="10" defaultColWidth="11" defaultRowHeight="12.75" x14ac:dyDescent="0.2"/>
  <cols>
    <col min="1" max="5" width="4.42578125" style="75" customWidth="1"/>
    <col min="6" max="6" width="5.5703125" style="75" customWidth="1"/>
    <col min="7" max="7" width="4.42578125" style="79" customWidth="1"/>
    <col min="8" max="14" width="4.42578125" style="75" customWidth="1"/>
    <col min="15" max="16" width="14.85546875" style="75" customWidth="1"/>
    <col min="17" max="17" width="14.7109375" style="75" customWidth="1"/>
    <col min="18" max="16384" width="11" style="75"/>
  </cols>
  <sheetData>
    <row r="1" spans="1:17" ht="15.75" customHeight="1" thickBot="1" x14ac:dyDescent="0.3">
      <c r="A1" s="178" t="s">
        <v>2</v>
      </c>
      <c r="B1" s="178"/>
      <c r="C1" s="178"/>
      <c r="D1" s="179">
        <v>2021</v>
      </c>
      <c r="E1" s="179"/>
      <c r="F1" s="77"/>
      <c r="G1" s="77"/>
      <c r="H1" s="78"/>
      <c r="I1" s="78"/>
      <c r="J1" s="78"/>
      <c r="K1" s="78"/>
      <c r="L1" s="78"/>
      <c r="M1" s="78"/>
      <c r="N1" s="78"/>
      <c r="P1" s="180" t="s">
        <v>99</v>
      </c>
      <c r="Q1" s="180"/>
    </row>
    <row r="2" spans="1:17" ht="15.75" customHeight="1" thickBot="1" x14ac:dyDescent="0.25">
      <c r="H2" s="78"/>
      <c r="I2" s="78"/>
      <c r="J2" s="78"/>
      <c r="K2" s="78"/>
      <c r="L2" s="78"/>
      <c r="M2" s="78"/>
      <c r="N2" s="78"/>
      <c r="P2" s="180"/>
      <c r="Q2" s="180"/>
    </row>
    <row r="4" spans="1:17" s="80" customFormat="1" ht="18" customHeight="1" thickBot="1" x14ac:dyDescent="0.25">
      <c r="A4" s="181" t="s">
        <v>100</v>
      </c>
      <c r="B4" s="181"/>
      <c r="C4" s="181"/>
      <c r="D4" s="181"/>
      <c r="E4" s="181"/>
      <c r="F4" s="181"/>
      <c r="G4" s="175" t="s">
        <v>82</v>
      </c>
      <c r="H4" s="175"/>
      <c r="I4" s="175"/>
      <c r="J4" s="175"/>
      <c r="K4" s="175"/>
      <c r="L4" s="175"/>
      <c r="M4" s="175"/>
      <c r="N4" s="175"/>
      <c r="O4" s="175"/>
      <c r="P4" s="175"/>
      <c r="Q4" s="175"/>
    </row>
    <row r="5" spans="1:17" s="80" customFormat="1" ht="18" customHeight="1" thickBot="1" x14ac:dyDescent="0.25">
      <c r="A5" s="172" t="s">
        <v>83</v>
      </c>
      <c r="B5" s="173"/>
      <c r="C5" s="173"/>
      <c r="D5" s="173"/>
      <c r="E5" s="173"/>
      <c r="F5" s="174"/>
      <c r="G5" s="175" t="s">
        <v>101</v>
      </c>
      <c r="H5" s="175"/>
      <c r="I5" s="175"/>
      <c r="J5" s="175"/>
      <c r="K5" s="175"/>
      <c r="L5" s="175"/>
      <c r="M5" s="175"/>
      <c r="N5" s="175"/>
      <c r="O5" s="175"/>
      <c r="P5" s="175"/>
      <c r="Q5" s="175"/>
    </row>
    <row r="6" spans="1:17" s="80" customFormat="1" ht="18" customHeight="1" thickBot="1" x14ac:dyDescent="0.25">
      <c r="A6" s="172" t="s">
        <v>85</v>
      </c>
      <c r="B6" s="173"/>
      <c r="C6" s="173"/>
      <c r="D6" s="173"/>
      <c r="E6" s="173"/>
      <c r="F6" s="174"/>
      <c r="G6" s="175" t="s">
        <v>86</v>
      </c>
      <c r="H6" s="175"/>
      <c r="I6" s="175"/>
      <c r="J6" s="175"/>
      <c r="K6" s="175"/>
      <c r="L6" s="175"/>
      <c r="M6" s="175"/>
      <c r="N6" s="175"/>
      <c r="O6" s="175"/>
      <c r="P6" s="175"/>
      <c r="Q6" s="175"/>
    </row>
    <row r="7" spans="1:17" s="80" customFormat="1" ht="18" customHeight="1" thickBot="1" x14ac:dyDescent="0.25">
      <c r="A7" s="172" t="s">
        <v>87</v>
      </c>
      <c r="B7" s="173"/>
      <c r="C7" s="173"/>
      <c r="D7" s="173"/>
      <c r="E7" s="173"/>
      <c r="F7" s="174"/>
      <c r="G7" s="175" t="s">
        <v>86</v>
      </c>
      <c r="H7" s="175"/>
      <c r="I7" s="175"/>
      <c r="J7" s="175"/>
      <c r="K7" s="175"/>
      <c r="L7" s="175"/>
      <c r="M7" s="175"/>
      <c r="N7" s="175"/>
      <c r="O7" s="175"/>
      <c r="P7" s="175"/>
      <c r="Q7" s="175"/>
    </row>
    <row r="8" spans="1:17" ht="18" customHeight="1" thickBot="1" x14ac:dyDescent="0.25">
      <c r="A8" s="176" t="s">
        <v>102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ht="18" customHeight="1" x14ac:dyDescent="0.2">
      <c r="A9" s="177" t="s">
        <v>103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81"/>
      <c r="P9" s="81"/>
      <c r="Q9" s="82"/>
    </row>
    <row r="10" spans="1:17" ht="57" customHeight="1" x14ac:dyDescent="0.2">
      <c r="A10" s="163" t="s">
        <v>104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5"/>
    </row>
    <row r="11" spans="1:17" ht="9" customHeight="1" thickBot="1" x14ac:dyDescent="0.25">
      <c r="A11" s="83"/>
      <c r="B11" s="84"/>
      <c r="C11" s="84"/>
      <c r="D11" s="84"/>
      <c r="E11" s="84"/>
      <c r="F11" s="84"/>
      <c r="G11" s="85"/>
      <c r="H11" s="84"/>
      <c r="I11" s="84"/>
      <c r="J11" s="84"/>
      <c r="K11" s="84"/>
      <c r="L11" s="84"/>
      <c r="M11" s="84"/>
      <c r="N11" s="84"/>
      <c r="O11" s="84"/>
      <c r="P11" s="84"/>
      <c r="Q11" s="86"/>
    </row>
    <row r="12" spans="1:17" ht="15.75" customHeight="1" thickBot="1" x14ac:dyDescent="0.25">
      <c r="A12" s="166" t="s">
        <v>105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</row>
    <row r="13" spans="1:17" ht="15.75" customHeight="1" thickBot="1" x14ac:dyDescent="0.25">
      <c r="A13" s="167" t="s">
        <v>106</v>
      </c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8" t="s">
        <v>107</v>
      </c>
      <c r="P13" s="168"/>
      <c r="Q13" s="169" t="s">
        <v>108</v>
      </c>
    </row>
    <row r="14" spans="1:17" ht="15.75" customHeight="1" thickBot="1" x14ac:dyDescent="0.25">
      <c r="A14" s="87" t="s">
        <v>109</v>
      </c>
      <c r="B14" s="88" t="s">
        <v>110</v>
      </c>
      <c r="C14" s="88" t="s">
        <v>111</v>
      </c>
      <c r="D14" s="88" t="s">
        <v>112</v>
      </c>
      <c r="E14" s="88" t="s">
        <v>113</v>
      </c>
      <c r="F14" s="88" t="s">
        <v>114</v>
      </c>
      <c r="G14" s="89" t="s">
        <v>115</v>
      </c>
      <c r="H14" s="88" t="s">
        <v>116</v>
      </c>
      <c r="I14" s="88" t="s">
        <v>117</v>
      </c>
      <c r="J14" s="88" t="s">
        <v>118</v>
      </c>
      <c r="K14" s="88" t="s">
        <v>118</v>
      </c>
      <c r="L14" s="88" t="s">
        <v>119</v>
      </c>
      <c r="M14" s="90" t="s">
        <v>32</v>
      </c>
      <c r="N14" s="91" t="s">
        <v>120</v>
      </c>
      <c r="O14" s="168"/>
      <c r="P14" s="168"/>
      <c r="Q14" s="169"/>
    </row>
    <row r="15" spans="1:17" ht="29.25" customHeight="1" x14ac:dyDescent="0.2">
      <c r="A15" s="92">
        <v>30</v>
      </c>
      <c r="B15" s="93"/>
      <c r="C15" s="93"/>
      <c r="D15" s="93">
        <v>1</v>
      </c>
      <c r="E15" s="93"/>
      <c r="F15" s="93">
        <v>4901</v>
      </c>
      <c r="G15" s="93">
        <v>3</v>
      </c>
      <c r="H15" s="93">
        <v>1</v>
      </c>
      <c r="I15" s="93">
        <v>2</v>
      </c>
      <c r="J15" s="93">
        <v>5</v>
      </c>
      <c r="K15" s="93">
        <v>2</v>
      </c>
      <c r="L15" s="93"/>
      <c r="M15" s="94">
        <v>1</v>
      </c>
      <c r="N15" s="95" t="s">
        <v>121</v>
      </c>
      <c r="O15" s="170" t="s">
        <v>47</v>
      </c>
      <c r="P15" s="171"/>
      <c r="Q15" s="96">
        <f>+'Necesidades Trimestrales '!AQ26</f>
        <v>9948630</v>
      </c>
    </row>
    <row r="16" spans="1:17" ht="17.25" customHeight="1" x14ac:dyDescent="0.2">
      <c r="A16" s="92"/>
      <c r="B16" s="93"/>
      <c r="C16" s="93"/>
      <c r="D16" s="93"/>
      <c r="E16" s="93"/>
      <c r="F16" s="95"/>
      <c r="G16" s="93"/>
      <c r="H16" s="93"/>
      <c r="I16" s="93"/>
      <c r="J16" s="93"/>
      <c r="K16" s="93"/>
      <c r="L16" s="93"/>
      <c r="M16" s="94"/>
      <c r="N16" s="95"/>
      <c r="O16" s="160"/>
      <c r="P16" s="161"/>
      <c r="Q16" s="96"/>
    </row>
    <row r="17" spans="1:18" ht="17.25" customHeight="1" x14ac:dyDescent="0.2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4"/>
      <c r="N17" s="95"/>
      <c r="O17" s="161"/>
      <c r="P17" s="161"/>
      <c r="Q17" s="96"/>
    </row>
    <row r="18" spans="1:18" ht="17.25" customHeight="1" x14ac:dyDescent="0.2">
      <c r="A18" s="92"/>
      <c r="B18" s="93"/>
      <c r="C18" s="93"/>
      <c r="D18" s="93"/>
      <c r="E18" s="93"/>
      <c r="F18" s="95"/>
      <c r="G18" s="93"/>
      <c r="H18" s="93"/>
      <c r="I18" s="93"/>
      <c r="J18" s="93"/>
      <c r="K18" s="93"/>
      <c r="L18" s="93"/>
      <c r="M18" s="94"/>
      <c r="N18" s="95"/>
      <c r="O18" s="161"/>
      <c r="P18" s="161"/>
      <c r="Q18" s="96"/>
    </row>
    <row r="19" spans="1:18" ht="17.25" customHeight="1" x14ac:dyDescent="0.2">
      <c r="A19" s="92"/>
      <c r="B19" s="93"/>
      <c r="C19" s="93"/>
      <c r="D19" s="93"/>
      <c r="E19" s="93"/>
      <c r="F19" s="95"/>
      <c r="G19" s="93"/>
      <c r="H19" s="93"/>
      <c r="I19" s="93"/>
      <c r="J19" s="93"/>
      <c r="K19" s="93"/>
      <c r="L19" s="93"/>
      <c r="M19" s="94"/>
      <c r="N19" s="95"/>
      <c r="O19" s="161"/>
      <c r="P19" s="161"/>
      <c r="Q19" s="96"/>
    </row>
    <row r="20" spans="1:18" ht="17.25" customHeight="1" x14ac:dyDescent="0.2">
      <c r="A20" s="97"/>
      <c r="B20" s="98"/>
      <c r="C20" s="98"/>
      <c r="D20" s="98"/>
      <c r="E20" s="98"/>
      <c r="F20" s="99"/>
      <c r="G20" s="98"/>
      <c r="H20" s="98"/>
      <c r="I20" s="98"/>
      <c r="J20" s="98"/>
      <c r="K20" s="98"/>
      <c r="L20" s="98"/>
      <c r="M20" s="100"/>
      <c r="N20" s="101"/>
      <c r="O20" s="160"/>
      <c r="P20" s="160"/>
      <c r="Q20" s="96"/>
      <c r="R20" s="81"/>
    </row>
    <row r="21" spans="1:18" ht="17.25" customHeight="1" thickBot="1" x14ac:dyDescent="0.25">
      <c r="A21" s="102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4"/>
      <c r="N21" s="103"/>
      <c r="O21" s="162"/>
      <c r="P21" s="162"/>
      <c r="Q21" s="105"/>
    </row>
    <row r="22" spans="1:18" ht="36" customHeight="1" thickBot="1" x14ac:dyDescent="0.25">
      <c r="A22" s="153" t="s">
        <v>124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06">
        <f>SUM(Q15:Q21)</f>
        <v>9948630</v>
      </c>
    </row>
    <row r="23" spans="1:18" ht="18" customHeight="1" thickBot="1" x14ac:dyDescent="0.25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</row>
    <row r="24" spans="1:18" ht="17.25" customHeight="1" thickBot="1" x14ac:dyDescent="0.25">
      <c r="A24" s="155" t="s">
        <v>122</v>
      </c>
      <c r="B24" s="156"/>
      <c r="C24" s="156"/>
      <c r="D24" s="156"/>
      <c r="E24" s="156"/>
      <c r="F24" s="157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</row>
    <row r="25" spans="1:18" ht="18" customHeight="1" thickBot="1" x14ac:dyDescent="0.25">
      <c r="A25" s="159" t="s">
        <v>126</v>
      </c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</row>
    <row r="26" spans="1:18" ht="28.5" customHeight="1" thickBot="1" x14ac:dyDescent="0.25">
      <c r="A26" s="159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</row>
  </sheetData>
  <mergeCells count="30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22:P22"/>
    <mergeCell ref="A23:Q23"/>
    <mergeCell ref="A24:F24"/>
    <mergeCell ref="G24:Q24"/>
    <mergeCell ref="A25:Q26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revision>2</cp:revision>
  <cp:lastPrinted>2021-02-22T15:06:37Z</cp:lastPrinted>
  <dcterms:created xsi:type="dcterms:W3CDTF">2020-07-17T23:44:49Z</dcterms:created>
  <dcterms:modified xsi:type="dcterms:W3CDTF">2021-04-06T14:28:54Z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