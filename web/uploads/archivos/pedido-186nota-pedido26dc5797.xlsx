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64B6D79-CB93-476E-98D9-51FC02544167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NotaPedido'!$A$1:$K$17</definedName>
    <definedName name="_xlnm.Print_Area" localSheetId="2">'Autor Gastar'!$A$1:$Q$26</definedName>
    <definedName name="_xlnm.Print_Area" localSheetId="0">'Necesidades Trimestrales'!$A$1:$I$54</definedName>
  </definedNames>
  <calcPr calcId="181029"/>
</workbook>
</file>

<file path=xl/calcChain.xml><?xml version="1.0" encoding="utf-8"?>
<calcChain xmlns="http://schemas.openxmlformats.org/spreadsheetml/2006/main">
  <c r="I11" i="1" l="1"/>
  <c r="K13" i="2" l="1"/>
  <c r="J13" i="2"/>
  <c r="I13" i="2"/>
  <c r="C13" i="2"/>
  <c r="B13" i="2"/>
  <c r="I10" i="1" l="1"/>
  <c r="Q22" i="3" l="1"/>
  <c r="D7" i="2" l="1"/>
  <c r="D3" i="2"/>
  <c r="G4" i="3" s="1"/>
  <c r="D4" i="2"/>
  <c r="G5" i="3" s="1"/>
  <c r="A10" i="3" l="1"/>
  <c r="D1" i="3"/>
  <c r="K12" i="2"/>
  <c r="J12" i="2"/>
  <c r="I12" i="2"/>
  <c r="C12" i="2"/>
  <c r="B12" i="2"/>
  <c r="J17" i="2" l="1"/>
</calcChain>
</file>

<file path=xl/sharedStrings.xml><?xml version="1.0" encoding="utf-8"?>
<sst xmlns="http://schemas.openxmlformats.org/spreadsheetml/2006/main" count="105" uniqueCount="87">
  <si>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</si>
  <si>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</si>
  <si>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</si>
  <si>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</si>
  <si>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</si>
  <si>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</si>
  <si>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</si>
  <si>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</si>
  <si>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</si>
  <si>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</si>
  <si>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</si>
  <si>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</si>
  <si>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</si>
  <si>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</si>
  <si>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</si>
  <si>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</si>
  <si>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</si>
  <si>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</si>
  <si>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</si>
  <si>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</si>
  <si>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</si>
  <si>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</si>
  <si>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</si>
  <si>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</si>
  <si>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</si>
  <si>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</si>
  <si>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</si>
  <si>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</si>
  <si>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</si>
  <si>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</si>
  <si>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</si>
  <si>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</si>
  <si>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</si>
  <si>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</si>
  <si>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</si>
  <si>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</si>
  <si>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</si>
  <si>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</si>
  <si>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</si>
  <si>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</si>
  <si>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</si>
  <si>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</si>
  <si>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</si>
  <si>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</si>
  <si>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</si>
  <si>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</si>
  <si>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</si>
  <si>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</si>
  <si>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</si>
  <si>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</si>
  <si>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</si>
  <si>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</si>
  <si>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</si>
  <si>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</si>
  <si>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</si>
  <si>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</si>
  <si>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</si>
  <si>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45- Ministerio de Desarrollo Social y Deporte</t>
  </si>
  <si>
    <t>25- Direccion Provincial de Gestion Administrativa y RRHH</t>
  </si>
  <si>
    <t>Alta</t>
  </si>
  <si>
    <t>Especificidades Item N° 2:</t>
  </si>
  <si>
    <t>S/E</t>
  </si>
  <si>
    <t>UNIDADES</t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</si>
  <si>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Estadio Bicentenario - San Fernando del Valle de Catamarca (CP 4700) - Ministerio de Desarrollo Social y Deporte. </t>
    </r>
  </si>
  <si>
    <r>
      <rPr>
        <u/>
        <sz val="10"/>
        <rFont val="Times New Roman"/>
        <family val="1"/>
      </rPr>
      <t>Lugar y Forma de Entrega:</t>
    </r>
    <r>
      <rPr>
        <sz val="10"/>
        <rFont val="Times New Roman"/>
        <family val="1"/>
      </rPr>
      <t xml:space="preserve">  Estadio Bicentenario - San Fernando del Valle de Catamarca (CP 4700) - Ministerio de Desarrollo Social y Deporte. </t>
    </r>
  </si>
  <si>
    <t>Adquisición de cortadora de Pasto y Barredora para Mantenimientos del campo de juego del Estadio Bicentenario.-</t>
  </si>
  <si>
    <t>Maquinaria y Equipo de Producción</t>
  </si>
  <si>
    <t>Herramientas y Repuestos Mayores</t>
  </si>
  <si>
    <t xml:space="preserve"> </t>
  </si>
  <si>
    <t>HERRAMIENTAS</t>
  </si>
  <si>
    <t>4.3.8</t>
  </si>
  <si>
    <t>Adquisición de Cortadora de Pasto y Barredora para Mantenimientos del campo de juego del Estadio Bicentenario.-</t>
  </si>
  <si>
    <t>4.3.8-1295.108</t>
  </si>
  <si>
    <t>CORTADORAS DE PASTO; TIPO: A EXPLOSION, HELICOIDAL,  PROPULSION: AUTOPROPULSION, MOTOR 4 TIEMPOS, POTENCIA: 9 HP</t>
  </si>
  <si>
    <t>4.3.9-2495.14</t>
  </si>
  <si>
    <t>BARREDORAS INDUSTRIALES; TIPO: HEAVY DUTY DE TITO, CEPILLO: RECOLECTOR DE CESPED, ANCHO 1,5 MTS. RUEDAS: NEUMATICAS, ENGRANAJES DE ACERO</t>
  </si>
  <si>
    <t>4.3.9</t>
  </si>
  <si>
    <t>NO</t>
  </si>
  <si>
    <r>
      <t xml:space="preserve">Plazo de Entrega: </t>
    </r>
    <r>
      <rPr>
        <sz val="10"/>
        <rFont val="Times New Roman"/>
        <family val="1"/>
      </rPr>
      <t>90 DIAS</t>
    </r>
  </si>
  <si>
    <t>Plazo de Entrega:90 DIAS</t>
  </si>
  <si>
    <t>56/2021</t>
  </si>
  <si>
    <t>44- Promocion Deportiva y Recreativa</t>
  </si>
  <si>
    <t>01- Actividad Central</t>
  </si>
  <si>
    <t>Plazo de Mantinimiento 90 dias</t>
  </si>
  <si>
    <t>Costo total estimado: DOS MILLONES CUATROCIENTOS MIL  CON 00/100.-</t>
  </si>
  <si>
    <t>TOTAL DE PESOS: DOS MILLONES CUATROCIENTOS MIL CON 00/100.-</t>
  </si>
  <si>
    <t>CORTADORA DE CESPED HELICOIDAL FH1000 C/MOTOR 9HP - KIT REEL VERTICUT - SILLETA PARA EL OPERARIO, MANUAL DEL OPERADOR.-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</si>
</sst>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7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7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</borders>
  <cellStyleXfs count="5">
    <xf numFmtId="0" fontId="0" fillId="0" borderId="0"/>
    <xf numFmtId="165" fontId="15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61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0" borderId="0" xfId="0" applyFont="1"/>
    <xf numFmtId="0" fontId="16" fillId="0" borderId="0" xfId="0" applyFont="1"/>
    <xf numFmtId="0" fontId="20" fillId="0" borderId="59" xfId="0" applyFont="1" applyBorder="1" applyAlignment="1">
      <alignment horizontal="center" vertical="center" wrapText="1"/>
    </xf>
    <xf numFmtId="167" fontId="0" fillId="0" borderId="0" xfId="0" applyNumberFormat="1"/>
    <xf numFmtId="0" fontId="16" fillId="0" borderId="0" xfId="0" applyFont="1" applyFill="1" applyBorder="1" applyAlignment="1">
      <alignment wrapText="1"/>
    </xf>
    <xf numFmtId="0" fontId="5" fillId="0" borderId="17" xfId="0" applyFont="1" applyFill="1" applyBorder="1" applyAlignment="1">
      <alignment horizontal="right" vertical="center"/>
    </xf>
    <xf numFmtId="0" fontId="6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26" xfId="0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/>
    </xf>
    <xf numFmtId="0" fontId="4" fillId="0" borderId="26" xfId="0" applyFont="1" applyFill="1" applyBorder="1" applyAlignment="1">
      <alignment horizontal="center" vertical="center" wrapText="1"/>
    </xf>
    <xf numFmtId="166" fontId="4" fillId="0" borderId="26" xfId="1" applyNumberFormat="1" applyFont="1" applyFill="1" applyBorder="1" applyAlignment="1" applyProtection="1">
      <alignment horizontal="right" vertical="center" wrapText="1"/>
    </xf>
    <xf numFmtId="3" fontId="4" fillId="0" borderId="26" xfId="0" applyNumberFormat="1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16" fillId="0" borderId="0" xfId="0" applyFont="1" applyFill="1"/>
    <xf numFmtId="0" fontId="19" fillId="0" borderId="0" xfId="0" applyFont="1" applyFill="1" applyAlignment="1">
      <alignment horizontal="left" wrapText="1"/>
    </xf>
    <xf numFmtId="165" fontId="15" fillId="0" borderId="0" xfId="1" applyFill="1"/>
    <xf numFmtId="0" fontId="19" fillId="0" borderId="0" xfId="0" applyFont="1" applyFill="1" applyAlignment="1">
      <alignment horizontal="center" wrapText="1"/>
    </xf>
    <xf numFmtId="0" fontId="24" fillId="0" borderId="0" xfId="0" applyFont="1" applyFill="1" applyAlignment="1">
      <alignment horizontal="left" wrapText="1" indent="1"/>
    </xf>
    <xf numFmtId="0" fontId="20" fillId="0" borderId="0" xfId="0" applyFont="1" applyFill="1" applyAlignment="1">
      <alignment horizontal="left" wrapText="1"/>
    </xf>
    <xf numFmtId="0" fontId="20" fillId="0" borderId="9" xfId="0" applyFont="1" applyFill="1" applyBorder="1" applyAlignment="1">
      <alignment horizontal="center" vertical="center" wrapText="1"/>
    </xf>
    <xf numFmtId="0" fontId="20" fillId="0" borderId="21" xfId="0" applyFont="1" applyFill="1" applyBorder="1" applyAlignment="1">
      <alignment horizontal="center" vertical="center" wrapText="1"/>
    </xf>
    <xf numFmtId="0" fontId="20" fillId="0" borderId="57" xfId="0" applyFont="1" applyFill="1" applyBorder="1" applyAlignment="1">
      <alignment horizontal="center" vertical="center" wrapText="1"/>
    </xf>
    <xf numFmtId="0" fontId="20" fillId="0" borderId="58" xfId="0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Fill="1"/>
    <xf numFmtId="0" fontId="0" fillId="0" borderId="5" xfId="0" applyFill="1" applyBorder="1" applyAlignment="1">
      <alignment horizontal="center"/>
    </xf>
    <xf numFmtId="0" fontId="0" fillId="0" borderId="0" xfId="0" applyFill="1" applyAlignment="1">
      <alignment horizontal="left"/>
    </xf>
    <xf numFmtId="0" fontId="22" fillId="0" borderId="61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166" fontId="21" fillId="0" borderId="61" xfId="1" applyNumberFormat="1" applyFont="1" applyFill="1" applyBorder="1" applyAlignment="1" applyProtection="1">
      <alignment horizontal="right" vertical="center" wrapText="1"/>
    </xf>
    <xf numFmtId="0" fontId="21" fillId="0" borderId="4" xfId="0" applyFont="1" applyFill="1" applyBorder="1" applyAlignment="1">
      <alignment horizontal="center" vertical="center"/>
    </xf>
    <xf numFmtId="0" fontId="0" fillId="0" borderId="5" xfId="0" applyFill="1" applyBorder="1"/>
    <xf numFmtId="0" fontId="22" fillId="0" borderId="5" xfId="0" applyFont="1" applyFill="1" applyBorder="1" applyAlignment="1">
      <alignment horizontal="center" vertical="center" wrapText="1"/>
    </xf>
    <xf numFmtId="0" fontId="19" fillId="0" borderId="5" xfId="0" applyFont="1" applyFill="1" applyBorder="1" applyAlignment="1">
      <alignment horizontal="center" wrapText="1"/>
    </xf>
    <xf numFmtId="166" fontId="21" fillId="0" borderId="5" xfId="1" applyNumberFormat="1" applyFont="1" applyFill="1" applyBorder="1" applyAlignment="1" applyProtection="1">
      <alignment horizontal="right" vertical="center" wrapText="1"/>
    </xf>
    <xf numFmtId="0" fontId="26" fillId="0" borderId="67" xfId="0" applyFont="1" applyFill="1" applyBorder="1"/>
    <xf numFmtId="0" fontId="0" fillId="0" borderId="66" xfId="0" applyFill="1" applyBorder="1"/>
    <xf numFmtId="0" fontId="0" fillId="0" borderId="66" xfId="0" applyFill="1" applyBorder="1" applyAlignment="1">
      <alignment horizontal="center"/>
    </xf>
    <xf numFmtId="0" fontId="26" fillId="0" borderId="66" xfId="0" applyFont="1" applyFill="1" applyBorder="1"/>
    <xf numFmtId="0" fontId="0" fillId="0" borderId="54" xfId="0" applyFill="1" applyBorder="1"/>
    <xf numFmtId="0" fontId="22" fillId="0" borderId="55" xfId="0" applyFont="1" applyFill="1" applyBorder="1" applyAlignment="1">
      <alignment horizontal="center" vertical="center" wrapText="1"/>
    </xf>
    <xf numFmtId="0" fontId="19" fillId="0" borderId="53" xfId="0" applyFont="1" applyFill="1" applyBorder="1" applyAlignment="1">
      <alignment horizontal="center" wrapText="1"/>
    </xf>
    <xf numFmtId="0" fontId="21" fillId="0" borderId="7" xfId="0" applyFont="1" applyFill="1" applyBorder="1" applyAlignment="1">
      <alignment horizontal="center" vertical="center"/>
    </xf>
    <xf numFmtId="0" fontId="0" fillId="0" borderId="60" xfId="0" applyFill="1" applyBorder="1"/>
    <xf numFmtId="0" fontId="0" fillId="0" borderId="8" xfId="0" applyFill="1" applyBorder="1"/>
    <xf numFmtId="0" fontId="22" fillId="0" borderId="56" xfId="0" applyFont="1" applyFill="1" applyBorder="1" applyAlignment="1">
      <alignment horizontal="center" vertical="center" wrapText="1"/>
    </xf>
    <xf numFmtId="0" fontId="22" fillId="0" borderId="8" xfId="0" applyFont="1" applyFill="1" applyBorder="1" applyAlignment="1">
      <alignment horizontal="center" vertical="center" wrapText="1"/>
    </xf>
    <xf numFmtId="0" fontId="19" fillId="0" borderId="8" xfId="0" applyFont="1" applyFill="1" applyBorder="1" applyAlignment="1">
      <alignment horizontal="center" wrapText="1"/>
    </xf>
    <xf numFmtId="166" fontId="21" fillId="0" borderId="63" xfId="1" applyNumberFormat="1" applyFont="1" applyFill="1" applyBorder="1" applyAlignment="1" applyProtection="1">
      <alignment horizontal="right" vertical="center" wrapText="1"/>
    </xf>
    <xf numFmtId="0" fontId="23" fillId="0" borderId="9" xfId="0" applyFont="1" applyFill="1" applyBorder="1"/>
    <xf numFmtId="0" fontId="16" fillId="0" borderId="10" xfId="0" applyFont="1" applyFill="1" applyBorder="1"/>
    <xf numFmtId="0" fontId="16" fillId="0" borderId="11" xfId="0" applyFont="1" applyFill="1" applyBorder="1"/>
    <xf numFmtId="0" fontId="16" fillId="0" borderId="12" xfId="0" applyFont="1" applyFill="1" applyBorder="1"/>
    <xf numFmtId="0" fontId="16" fillId="0" borderId="0" xfId="0" applyFont="1" applyFill="1" applyBorder="1"/>
    <xf numFmtId="0" fontId="16" fillId="0" borderId="13" xfId="0" applyFont="1" applyFill="1" applyBorder="1"/>
    <xf numFmtId="0" fontId="23" fillId="0" borderId="12" xfId="0" applyFont="1" applyFill="1" applyBorder="1" applyAlignment="1">
      <alignment horizontal="left" indent="3"/>
    </xf>
    <xf numFmtId="0" fontId="16" fillId="0" borderId="12" xfId="0" applyFont="1" applyFill="1" applyBorder="1" applyAlignment="1">
      <alignment horizontal="left" indent="3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 wrapText="1"/>
    </xf>
    <xf numFmtId="0" fontId="16" fillId="0" borderId="13" xfId="0" applyFont="1" applyFill="1" applyBorder="1" applyAlignment="1">
      <alignment horizontal="center" wrapText="1"/>
    </xf>
    <xf numFmtId="0" fontId="16" fillId="0" borderId="14" xfId="0" applyFont="1" applyFill="1" applyBorder="1" applyAlignment="1">
      <alignment horizontal="left" indent="3"/>
    </xf>
    <xf numFmtId="0" fontId="16" fillId="0" borderId="15" xfId="0" applyFont="1" applyFill="1" applyBorder="1"/>
    <xf numFmtId="0" fontId="16" fillId="0" borderId="16" xfId="0" applyFont="1" applyFill="1" applyBorder="1"/>
    <xf numFmtId="0" fontId="16" fillId="0" borderId="0" xfId="0" applyFont="1" applyFill="1" applyBorder="1" applyAlignment="1">
      <alignment vertical="center"/>
    </xf>
    <xf numFmtId="0" fontId="16" fillId="0" borderId="0" xfId="0" applyFont="1" applyFill="1" applyAlignment="1">
      <alignment vertical="center"/>
    </xf>
    <xf numFmtId="166" fontId="21" fillId="0" borderId="62" xfId="1" applyNumberFormat="1" applyFont="1" applyFill="1" applyBorder="1" applyAlignment="1" applyProtection="1">
      <alignment horizontal="right" vertical="center" wrapText="1"/>
    </xf>
    <xf numFmtId="166" fontId="21" fillId="0" borderId="6" xfId="1" applyNumberFormat="1" applyFont="1" applyFill="1" applyBorder="1" applyAlignment="1" applyProtection="1">
      <alignment horizontal="right" vertical="center" wrapText="1"/>
    </xf>
    <xf numFmtId="166" fontId="21" fillId="0" borderId="64" xfId="1" applyNumberFormat="1" applyFont="1" applyFill="1" applyBorder="1" applyAlignment="1" applyProtection="1">
      <alignment horizontal="right" vertical="center" wrapText="1"/>
    </xf>
    <xf numFmtId="3" fontId="10" fillId="0" borderId="0" xfId="0" applyNumberFormat="1" applyFont="1" applyFill="1" applyBorder="1" applyAlignment="1"/>
    <xf numFmtId="168" fontId="0" fillId="0" borderId="0" xfId="0" applyNumberFormat="1" applyFill="1" applyAlignment="1">
      <alignment horizontal="left"/>
    </xf>
    <xf numFmtId="0" fontId="0" fillId="0" borderId="0" xfId="0" applyFill="1" applyBorder="1"/>
    <xf numFmtId="0" fontId="0" fillId="0" borderId="17" xfId="0" applyFill="1" applyBorder="1"/>
    <xf numFmtId="0" fontId="0" fillId="0" borderId="33" xfId="0" applyFill="1" applyBorder="1"/>
    <xf numFmtId="0" fontId="0" fillId="0" borderId="19" xfId="0" applyFill="1" applyBorder="1"/>
    <xf numFmtId="0" fontId="0" fillId="0" borderId="19" xfId="0" applyFill="1" applyBorder="1" applyAlignment="1">
      <alignment horizontal="left"/>
    </xf>
    <xf numFmtId="0" fontId="0" fillId="0" borderId="34" xfId="0" applyFill="1" applyBorder="1"/>
    <xf numFmtId="0" fontId="14" fillId="0" borderId="36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left" vertical="center"/>
    </xf>
    <xf numFmtId="0" fontId="14" fillId="0" borderId="38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0" fontId="0" fillId="0" borderId="69" xfId="0" applyFont="1" applyFill="1" applyBorder="1" applyAlignment="1">
      <alignment horizontal="center" vertical="center"/>
    </xf>
    <xf numFmtId="0" fontId="0" fillId="0" borderId="65" xfId="0" applyFont="1" applyFill="1" applyBorder="1" applyAlignment="1">
      <alignment horizontal="center" vertical="center"/>
    </xf>
    <xf numFmtId="0" fontId="0" fillId="0" borderId="70" xfId="0" applyFont="1" applyFill="1" applyBorder="1" applyAlignment="1">
      <alignment horizontal="center" vertical="center"/>
    </xf>
    <xf numFmtId="166" fontId="0" fillId="0" borderId="39" xfId="3" applyNumberFormat="1" applyFont="1" applyFill="1" applyBorder="1" applyAlignment="1" applyProtection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166" fontId="0" fillId="0" borderId="44" xfId="3" applyNumberFormat="1" applyFont="1" applyFill="1" applyBorder="1" applyAlignment="1" applyProtection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1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0" fontId="12" fillId="0" borderId="41" xfId="0" applyFont="1" applyFill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12" fillId="0" borderId="42" xfId="0" applyFont="1" applyFill="1" applyBorder="1" applyAlignment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0" borderId="47" xfId="0" applyFill="1" applyBorder="1" applyAlignment="1">
      <alignment horizontal="center" vertical="center"/>
    </xf>
    <xf numFmtId="166" fontId="0" fillId="0" borderId="48" xfId="3" applyNumberFormat="1" applyFont="1" applyFill="1" applyBorder="1" applyAlignment="1" applyProtection="1">
      <alignment horizontal="center" vertical="center"/>
    </xf>
    <xf numFmtId="166" fontId="14" fillId="0" borderId="49" xfId="0" applyNumberFormat="1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left" vertical="center" wrapText="1"/>
    </xf>
    <xf numFmtId="0" fontId="16" fillId="0" borderId="13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 indent="1"/>
    </xf>
    <xf numFmtId="0" fontId="16" fillId="0" borderId="1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 indent="1"/>
    </xf>
    <xf numFmtId="0" fontId="7" fillId="0" borderId="22" xfId="0" applyFont="1" applyFill="1" applyBorder="1" applyAlignment="1">
      <alignment horizontal="left" vertical="center" wrapText="1"/>
    </xf>
    <xf numFmtId="0" fontId="7" fillId="0" borderId="23" xfId="0" applyFont="1" applyFill="1" applyBorder="1" applyAlignment="1">
      <alignment horizontal="left" vertical="center"/>
    </xf>
    <xf numFmtId="0" fontId="6" fillId="0" borderId="24" xfId="0" applyFont="1" applyFill="1" applyBorder="1" applyAlignment="1">
      <alignment horizontal="left" vertical="center" wrapText="1" indent="1"/>
    </xf>
    <xf numFmtId="0" fontId="8" fillId="0" borderId="23" xfId="0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 wrapText="1"/>
    </xf>
    <xf numFmtId="167" fontId="25" fillId="0" borderId="21" xfId="0" applyNumberFormat="1" applyFont="1" applyFill="1" applyBorder="1" applyAlignment="1">
      <alignment horizontal="center" vertical="center"/>
    </xf>
    <xf numFmtId="0" fontId="4" fillId="0" borderId="26" xfId="0" applyFont="1" applyFill="1" applyBorder="1" applyAlignment="1">
      <alignment horizontal="left" vertical="center" wrapText="1"/>
    </xf>
    <xf numFmtId="0" fontId="0" fillId="0" borderId="28" xfId="0" applyFont="1" applyFill="1" applyBorder="1" applyAlignment="1">
      <alignment horizontal="center"/>
    </xf>
    <xf numFmtId="3" fontId="10" fillId="0" borderId="29" xfId="0" applyNumberFormat="1" applyFont="1" applyFill="1" applyBorder="1" applyAlignment="1">
      <alignment horizontal="center"/>
    </xf>
    <xf numFmtId="0" fontId="11" fillId="0" borderId="18" xfId="0" applyFont="1" applyFill="1" applyBorder="1" applyAlignment="1">
      <alignment horizontal="center" vertical="center" wrapText="1"/>
    </xf>
    <xf numFmtId="0" fontId="2" fillId="0" borderId="18" xfId="0" applyFont="1" applyFill="1" applyBorder="1"/>
    <xf numFmtId="0" fontId="12" fillId="0" borderId="18" xfId="0" applyFont="1" applyFill="1" applyBorder="1" applyAlignment="1">
      <alignment horizontal="left" indent="1"/>
    </xf>
    <xf numFmtId="0" fontId="4" fillId="0" borderId="20" xfId="0" applyFont="1" applyFill="1" applyBorder="1" applyAlignment="1">
      <alignment horizontal="left" vertical="center" wrapText="1"/>
    </xf>
    <xf numFmtId="0" fontId="4" fillId="0" borderId="51" xfId="0" applyFont="1" applyFill="1" applyBorder="1" applyAlignment="1">
      <alignment horizontal="left" vertical="center" wrapText="1"/>
    </xf>
    <xf numFmtId="0" fontId="4" fillId="0" borderId="52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/>
    </xf>
    <xf numFmtId="0" fontId="26" fillId="0" borderId="65" xfId="0" applyFont="1" applyFill="1" applyBorder="1" applyAlignment="1">
      <alignment horizontal="left" vertical="center" wrapText="1"/>
    </xf>
    <xf numFmtId="0" fontId="0" fillId="0" borderId="65" xfId="0" applyFont="1" applyFill="1" applyBorder="1" applyAlignment="1">
      <alignment horizontal="left" vertical="center" wrapText="1"/>
    </xf>
    <xf numFmtId="0" fontId="0" fillId="0" borderId="68" xfId="0" applyFont="1" applyFill="1" applyBorder="1" applyAlignment="1">
      <alignment horizontal="left" vertical="center"/>
    </xf>
    <xf numFmtId="0" fontId="0" fillId="0" borderId="43" xfId="0" applyFont="1" applyFill="1" applyBorder="1" applyAlignment="1">
      <alignment horizontal="left" vertical="center"/>
    </xf>
    <xf numFmtId="0" fontId="12" fillId="0" borderId="31" xfId="0" applyFont="1" applyFill="1" applyBorder="1"/>
    <xf numFmtId="0" fontId="12" fillId="0" borderId="32" xfId="0" applyFont="1" applyFill="1" applyBorder="1" applyAlignment="1">
      <alignment horizontal="left" vertical="center" wrapText="1" indent="1"/>
    </xf>
    <xf numFmtId="0" fontId="14" fillId="0" borderId="30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 wrapText="1"/>
    </xf>
    <xf numFmtId="0" fontId="14" fillId="0" borderId="35" xfId="0" applyFont="1" applyFill="1" applyBorder="1" applyAlignment="1">
      <alignment horizontal="center" vertical="center"/>
    </xf>
    <xf numFmtId="0" fontId="10" fillId="0" borderId="28" xfId="0" applyFont="1" applyFill="1" applyBorder="1" applyAlignment="1">
      <alignment vertical="center" wrapText="1"/>
    </xf>
    <xf numFmtId="0" fontId="10" fillId="0" borderId="50" xfId="0" applyFont="1" applyFill="1" applyBorder="1" applyAlignment="1">
      <alignment vertical="center" wrapText="1"/>
    </xf>
    <xf numFmtId="0" fontId="10" fillId="0" borderId="24" xfId="0" applyFont="1" applyFill="1" applyBorder="1" applyAlignment="1">
      <alignment vertical="center" wrapText="1"/>
    </xf>
    <xf numFmtId="0" fontId="12" fillId="0" borderId="35" xfId="0" applyFont="1" applyFill="1" applyBorder="1" applyAlignment="1">
      <alignment vertical="center" wrapText="1"/>
    </xf>
    <xf numFmtId="0" fontId="12" fillId="0" borderId="49" xfId="0" applyFont="1" applyFill="1" applyBorder="1" applyAlignment="1">
      <alignment horizontal="left" vertical="center" wrapText="1" indent="1"/>
    </xf>
    <xf numFmtId="0" fontId="0" fillId="0" borderId="43" xfId="0" applyFill="1" applyBorder="1" applyAlignment="1">
      <alignment horizontal="left" vertical="center"/>
    </xf>
    <xf numFmtId="0" fontId="0" fillId="0" borderId="46" xfId="0" applyFill="1" applyBorder="1" applyAlignment="1">
      <alignment horizontal="left" vertical="center"/>
    </xf>
    <xf numFmtId="0" fontId="10" fillId="0" borderId="49" xfId="0" applyFont="1" applyFill="1" applyBorder="1" applyAlignment="1">
      <alignment horizontal="left" vertical="center" wrapText="1"/>
    </xf>
    <xf numFmtId="0" fontId="0" fillId="0" borderId="30" xfId="0" applyFill="1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9"/>
  <sheetViews>
    <sheetView tabSelected="1" zoomScaleNormal="100" workbookViewId="0">
      <selection activeCell="E17" sqref="E17"/>
    </sheetView>
  </sheetViews>
  <sheetFormatPr baseColWidth="10" defaultColWidth="11" defaultRowHeight="12.75" x14ac:dyDescent="0.2"/>
  <cols>
    <col min="1" max="1" width="4.5703125" style="5" customWidth="1"/>
    <col min="2" max="2" width="21.7109375" style="5" customWidth="1"/>
    <col min="3" max="3" width="36.7109375" style="5" customWidth="1"/>
    <col min="4" max="4" width="12.28515625" style="5" bestFit="1" customWidth="1"/>
    <col min="5" max="5" width="138.28515625" style="5" customWidth="1"/>
    <col min="6" max="6" width="11" style="5"/>
    <col min="7" max="7" width="14.42578125" style="5" bestFit="1" customWidth="1"/>
    <col min="8" max="8" width="11.28515625" style="5" bestFit="1" customWidth="1"/>
    <col min="9" max="9" width="15.7109375" style="5" bestFit="1" customWidth="1"/>
    <col min="10" max="16384" width="11" style="5"/>
  </cols>
  <sheetData>
    <row r="2" spans="1:9" ht="27" x14ac:dyDescent="0.35">
      <c r="A2" s="21"/>
      <c r="B2" s="118" t="s">
        <v>0</v>
      </c>
      <c r="C2" s="118"/>
      <c r="D2" s="118"/>
      <c r="E2" s="118"/>
      <c r="F2" s="118"/>
      <c r="G2" s="118"/>
      <c r="H2" s="118"/>
    </row>
    <row r="3" spans="1:9" x14ac:dyDescent="0.2">
      <c r="A3" s="21"/>
      <c r="B3" s="21"/>
      <c r="C3" s="21"/>
      <c r="D3" s="21"/>
      <c r="E3" s="21"/>
      <c r="F3" s="21"/>
      <c r="G3" s="21"/>
      <c r="H3" s="21"/>
    </row>
    <row r="4" spans="1:9" ht="18" customHeight="1" x14ac:dyDescent="0.25">
      <c r="A4" s="119" t="s">
        <v>1</v>
      </c>
      <c r="B4" s="119"/>
      <c r="C4" s="120" t="s">
        <v>57</v>
      </c>
      <c r="D4" s="120"/>
      <c r="E4" s="120"/>
      <c r="F4" s="22"/>
      <c r="G4" s="23"/>
      <c r="H4" s="22"/>
    </row>
    <row r="5" spans="1:9" ht="18" customHeight="1" x14ac:dyDescent="0.25">
      <c r="A5" s="119" t="s">
        <v>2</v>
      </c>
      <c r="B5" s="119"/>
      <c r="C5" s="120" t="s">
        <v>58</v>
      </c>
      <c r="D5" s="120"/>
      <c r="E5" s="120"/>
      <c r="F5" s="22"/>
      <c r="G5" s="24"/>
      <c r="H5" s="22"/>
    </row>
    <row r="6" spans="1:9" ht="16.5" customHeight="1" x14ac:dyDescent="0.25">
      <c r="A6" s="119" t="s">
        <v>3</v>
      </c>
      <c r="B6" s="119"/>
      <c r="C6" s="25">
        <v>2021</v>
      </c>
      <c r="D6" s="26"/>
      <c r="E6" s="26"/>
      <c r="F6" s="22"/>
      <c r="G6" s="24"/>
      <c r="H6" s="22"/>
    </row>
    <row r="7" spans="1:9" ht="16.5" customHeight="1" x14ac:dyDescent="0.25">
      <c r="A7" s="119" t="s">
        <v>4</v>
      </c>
      <c r="B7" s="119"/>
      <c r="C7" s="25">
        <v>1</v>
      </c>
      <c r="D7" s="26"/>
      <c r="E7" s="26"/>
      <c r="F7" s="22"/>
      <c r="G7" s="24"/>
      <c r="H7" s="22"/>
    </row>
    <row r="8" spans="1:9" ht="13.5" thickBot="1" x14ac:dyDescent="0.25">
      <c r="A8" s="21"/>
      <c r="B8" s="22"/>
      <c r="C8" s="24"/>
      <c r="D8" s="22"/>
      <c r="E8" s="22"/>
      <c r="F8" s="22"/>
      <c r="G8" s="24"/>
      <c r="H8" s="22"/>
    </row>
    <row r="9" spans="1:9" ht="39" thickBot="1" x14ac:dyDescent="0.25">
      <c r="A9" s="27" t="s">
        <v>5</v>
      </c>
      <c r="B9" s="28" t="s">
        <v>6</v>
      </c>
      <c r="C9" s="28" t="s">
        <v>7</v>
      </c>
      <c r="D9" s="28" t="s">
        <v>8</v>
      </c>
      <c r="E9" s="28" t="s">
        <v>9</v>
      </c>
      <c r="F9" s="29" t="s">
        <v>10</v>
      </c>
      <c r="G9" s="30" t="s">
        <v>11</v>
      </c>
      <c r="H9" s="30" t="s">
        <v>12</v>
      </c>
      <c r="I9" s="6" t="s">
        <v>13</v>
      </c>
    </row>
    <row r="10" spans="1:9" x14ac:dyDescent="0.2">
      <c r="A10" s="31">
        <v>1</v>
      </c>
      <c r="B10" s="32" t="s">
        <v>72</v>
      </c>
      <c r="C10" s="33" t="s">
        <v>69</v>
      </c>
      <c r="D10" s="34" t="s">
        <v>70</v>
      </c>
      <c r="E10" s="35" t="s">
        <v>73</v>
      </c>
      <c r="F10" s="36" t="s">
        <v>62</v>
      </c>
      <c r="G10" s="37">
        <v>1</v>
      </c>
      <c r="H10" s="38">
        <v>1900000</v>
      </c>
      <c r="I10" s="75">
        <f>+H10*G10</f>
        <v>1900000</v>
      </c>
    </row>
    <row r="11" spans="1:9" x14ac:dyDescent="0.2">
      <c r="A11" s="39">
        <v>2</v>
      </c>
      <c r="B11" s="40" t="s">
        <v>74</v>
      </c>
      <c r="C11" s="40" t="s">
        <v>69</v>
      </c>
      <c r="D11" s="34" t="s">
        <v>76</v>
      </c>
      <c r="E11" s="40" t="s">
        <v>75</v>
      </c>
      <c r="F11" s="41" t="s">
        <v>62</v>
      </c>
      <c r="G11" s="42">
        <v>1</v>
      </c>
      <c r="H11" s="43">
        <v>500000</v>
      </c>
      <c r="I11" s="76">
        <f>+H11*G11</f>
        <v>500000</v>
      </c>
    </row>
    <row r="12" spans="1:9" x14ac:dyDescent="0.2">
      <c r="A12" s="39">
        <v>3</v>
      </c>
      <c r="B12" s="44"/>
      <c r="C12" s="45"/>
      <c r="D12" s="46"/>
      <c r="E12" s="47"/>
      <c r="F12" s="41"/>
      <c r="G12" s="42"/>
      <c r="H12" s="43"/>
      <c r="I12" s="76"/>
    </row>
    <row r="13" spans="1:9" x14ac:dyDescent="0.2">
      <c r="A13" s="39">
        <v>4</v>
      </c>
      <c r="B13" s="48"/>
      <c r="C13" s="40"/>
      <c r="D13" s="49"/>
      <c r="E13" s="40"/>
      <c r="F13" s="41"/>
      <c r="G13" s="42"/>
      <c r="H13" s="43"/>
      <c r="I13" s="76"/>
    </row>
    <row r="14" spans="1:9" x14ac:dyDescent="0.2">
      <c r="A14" s="39">
        <v>5</v>
      </c>
      <c r="B14" s="48"/>
      <c r="C14" s="40"/>
      <c r="D14" s="49"/>
      <c r="E14" s="40"/>
      <c r="F14" s="41"/>
      <c r="G14" s="50"/>
      <c r="H14" s="43"/>
      <c r="I14" s="76"/>
    </row>
    <row r="15" spans="1:9" ht="13.5" thickBot="1" x14ac:dyDescent="0.25">
      <c r="A15" s="51">
        <v>6</v>
      </c>
      <c r="B15" s="52"/>
      <c r="C15" s="53"/>
      <c r="D15" s="54"/>
      <c r="E15" s="53"/>
      <c r="F15" s="55"/>
      <c r="G15" s="56"/>
      <c r="H15" s="57"/>
      <c r="I15" s="77"/>
    </row>
    <row r="16" spans="1:9" x14ac:dyDescent="0.2">
      <c r="A16" s="21"/>
      <c r="B16" s="21"/>
      <c r="C16" s="21"/>
      <c r="D16" s="21"/>
      <c r="E16" s="21"/>
      <c r="F16" s="21"/>
      <c r="G16" s="21"/>
      <c r="H16" s="21"/>
    </row>
    <row r="17" spans="1:8" x14ac:dyDescent="0.2">
      <c r="A17" s="21"/>
      <c r="B17" s="21"/>
      <c r="C17" s="21"/>
      <c r="D17" s="21"/>
      <c r="E17" s="21"/>
      <c r="F17" s="21"/>
      <c r="G17" s="21"/>
      <c r="H17" s="21"/>
    </row>
    <row r="18" spans="1:8" x14ac:dyDescent="0.2">
      <c r="A18" s="21"/>
      <c r="B18" s="58" t="s">
        <v>14</v>
      </c>
      <c r="C18" s="59"/>
      <c r="D18" s="59"/>
      <c r="E18" s="60"/>
      <c r="F18" s="21"/>
      <c r="G18" s="21"/>
      <c r="H18" s="21"/>
    </row>
    <row r="19" spans="1:8" ht="5.25" customHeight="1" x14ac:dyDescent="0.2">
      <c r="A19" s="21"/>
      <c r="B19" s="61"/>
      <c r="C19" s="62"/>
      <c r="D19" s="62"/>
      <c r="E19" s="63"/>
      <c r="F19" s="21"/>
      <c r="G19" s="21"/>
      <c r="H19" s="21"/>
    </row>
    <row r="20" spans="1:8" x14ac:dyDescent="0.2">
      <c r="A20" s="21"/>
      <c r="B20" s="64" t="s">
        <v>15</v>
      </c>
      <c r="C20" s="62"/>
      <c r="D20" s="62"/>
      <c r="E20" s="63"/>
      <c r="F20" s="21"/>
      <c r="G20" s="21"/>
      <c r="H20" s="21"/>
    </row>
    <row r="21" spans="1:8" ht="36.75" customHeight="1" x14ac:dyDescent="0.2">
      <c r="A21" s="21"/>
      <c r="B21" s="64"/>
      <c r="C21" s="121" t="s">
        <v>86</v>
      </c>
      <c r="D21" s="121"/>
      <c r="E21" s="121"/>
      <c r="F21" s="21"/>
      <c r="G21" s="21"/>
      <c r="H21" s="21"/>
    </row>
    <row r="22" spans="1:8" x14ac:dyDescent="0.2">
      <c r="A22" s="21"/>
      <c r="B22" s="64" t="s">
        <v>16</v>
      </c>
      <c r="C22" s="62"/>
      <c r="D22" s="62"/>
      <c r="E22" s="63"/>
      <c r="F22" s="21"/>
      <c r="G22" s="21"/>
      <c r="H22" s="21"/>
    </row>
    <row r="23" spans="1:8" x14ac:dyDescent="0.2">
      <c r="A23" s="21"/>
      <c r="B23" s="65"/>
      <c r="C23" s="112" t="s">
        <v>78</v>
      </c>
      <c r="D23" s="113"/>
      <c r="E23" s="114"/>
      <c r="F23" s="21"/>
      <c r="G23" s="21"/>
      <c r="H23" s="21"/>
    </row>
    <row r="24" spans="1:8" x14ac:dyDescent="0.2">
      <c r="A24" s="21"/>
      <c r="B24" s="65"/>
      <c r="C24" s="115" t="s">
        <v>64</v>
      </c>
      <c r="D24" s="115"/>
      <c r="E24" s="116"/>
      <c r="F24" s="21"/>
      <c r="G24" s="21"/>
      <c r="H24" s="21"/>
    </row>
    <row r="25" spans="1:8" x14ac:dyDescent="0.2">
      <c r="A25" s="21"/>
      <c r="B25" s="65"/>
      <c r="C25" s="66"/>
      <c r="D25" s="66"/>
      <c r="E25" s="67"/>
      <c r="F25" s="21"/>
      <c r="G25" s="21"/>
      <c r="H25" s="21"/>
    </row>
    <row r="26" spans="1:8" x14ac:dyDescent="0.2">
      <c r="A26" s="21"/>
      <c r="B26" s="64" t="s">
        <v>17</v>
      </c>
      <c r="C26" s="62"/>
      <c r="D26" s="62"/>
      <c r="E26" s="63"/>
      <c r="F26" s="21"/>
      <c r="G26" s="21"/>
      <c r="H26" s="21"/>
    </row>
    <row r="27" spans="1:8" ht="26.25" customHeight="1" x14ac:dyDescent="0.2">
      <c r="A27" s="21"/>
      <c r="B27" s="65"/>
      <c r="C27" s="117" t="s">
        <v>59</v>
      </c>
      <c r="D27" s="117"/>
      <c r="E27" s="117"/>
      <c r="F27" s="21"/>
      <c r="G27" s="21"/>
      <c r="H27" s="21"/>
    </row>
    <row r="28" spans="1:8" x14ac:dyDescent="0.2">
      <c r="A28" s="21"/>
      <c r="B28" s="64" t="s">
        <v>18</v>
      </c>
      <c r="C28" s="68"/>
      <c r="D28" s="68"/>
      <c r="E28" s="69"/>
      <c r="F28" s="21"/>
      <c r="G28" s="21"/>
      <c r="H28" s="21"/>
    </row>
    <row r="29" spans="1:8" ht="26.25" customHeight="1" x14ac:dyDescent="0.2">
      <c r="A29" s="21"/>
      <c r="B29" s="65"/>
      <c r="C29" s="117" t="s">
        <v>83</v>
      </c>
      <c r="D29" s="117"/>
      <c r="E29" s="117"/>
      <c r="F29" s="21"/>
      <c r="G29" s="21"/>
      <c r="H29" s="21"/>
    </row>
    <row r="30" spans="1:8" x14ac:dyDescent="0.2">
      <c r="A30" s="21"/>
      <c r="B30" s="64" t="s">
        <v>19</v>
      </c>
      <c r="C30" s="62"/>
      <c r="D30" s="62"/>
      <c r="E30" s="63"/>
      <c r="F30" s="21"/>
      <c r="G30" s="21"/>
      <c r="H30" s="21"/>
    </row>
    <row r="31" spans="1:8" ht="23.25" customHeight="1" x14ac:dyDescent="0.2">
      <c r="A31" s="21"/>
      <c r="B31" s="64"/>
      <c r="C31" s="111" t="s">
        <v>61</v>
      </c>
      <c r="D31" s="111"/>
      <c r="E31" s="111"/>
      <c r="F31" s="21"/>
      <c r="G31" s="21"/>
      <c r="H31" s="21"/>
    </row>
    <row r="32" spans="1:8" x14ac:dyDescent="0.2">
      <c r="A32" s="21"/>
      <c r="B32" s="70"/>
      <c r="C32" s="71"/>
      <c r="D32" s="71"/>
      <c r="E32" s="72"/>
      <c r="F32" s="21"/>
      <c r="G32" s="21"/>
      <c r="H32" s="21"/>
    </row>
    <row r="33" spans="1:8" x14ac:dyDescent="0.2">
      <c r="A33" s="21"/>
      <c r="B33" s="21"/>
      <c r="C33" s="21"/>
      <c r="D33" s="21"/>
      <c r="E33" s="21"/>
      <c r="F33" s="21"/>
      <c r="G33" s="21"/>
      <c r="H33" s="21"/>
    </row>
    <row r="34" spans="1:8" ht="13.5" thickBot="1" x14ac:dyDescent="0.25">
      <c r="A34" s="21"/>
      <c r="B34" s="21"/>
      <c r="C34" s="21"/>
      <c r="D34" s="21"/>
      <c r="E34" s="21"/>
      <c r="F34" s="21"/>
      <c r="G34" s="21"/>
      <c r="H34" s="21"/>
    </row>
    <row r="35" spans="1:8" x14ac:dyDescent="0.2">
      <c r="A35" s="21"/>
      <c r="B35" s="58" t="s">
        <v>60</v>
      </c>
      <c r="C35" s="59"/>
      <c r="D35" s="59"/>
      <c r="E35" s="60"/>
      <c r="F35" s="21"/>
      <c r="G35" s="21"/>
      <c r="H35" s="21"/>
    </row>
    <row r="36" spans="1:8" x14ac:dyDescent="0.2">
      <c r="A36" s="21"/>
      <c r="B36" s="61"/>
      <c r="C36" s="62"/>
      <c r="D36" s="62"/>
      <c r="E36" s="63"/>
      <c r="F36" s="21"/>
      <c r="G36" s="21"/>
      <c r="H36" s="21"/>
    </row>
    <row r="37" spans="1:8" x14ac:dyDescent="0.2">
      <c r="A37" s="21"/>
      <c r="B37" s="64" t="s">
        <v>15</v>
      </c>
      <c r="C37" s="21"/>
      <c r="D37" s="62"/>
      <c r="E37" s="63"/>
      <c r="F37" s="21"/>
      <c r="G37" s="21"/>
      <c r="H37" s="21"/>
    </row>
    <row r="38" spans="1:8" ht="32.25" customHeight="1" x14ac:dyDescent="0.2">
      <c r="A38" s="21"/>
      <c r="B38" s="64"/>
      <c r="C38" s="73"/>
      <c r="D38" s="74"/>
      <c r="E38" s="74"/>
      <c r="F38" s="21"/>
      <c r="G38" s="21"/>
      <c r="H38" s="21"/>
    </row>
    <row r="39" spans="1:8" ht="27" customHeight="1" x14ac:dyDescent="0.2">
      <c r="A39" s="21"/>
      <c r="B39" s="64" t="s">
        <v>16</v>
      </c>
      <c r="C39" s="8"/>
      <c r="D39" s="8"/>
      <c r="E39" s="8"/>
      <c r="F39" s="21"/>
      <c r="G39" s="21"/>
      <c r="H39" s="21"/>
    </row>
    <row r="40" spans="1:8" x14ac:dyDescent="0.2">
      <c r="A40" s="21"/>
      <c r="B40" s="65"/>
      <c r="C40" s="112" t="s">
        <v>79</v>
      </c>
      <c r="D40" s="113"/>
      <c r="E40" s="114"/>
      <c r="F40" s="21"/>
      <c r="G40" s="21"/>
      <c r="H40" s="21"/>
    </row>
    <row r="41" spans="1:8" x14ac:dyDescent="0.2">
      <c r="A41" s="21"/>
      <c r="B41" s="65"/>
      <c r="C41" s="115" t="s">
        <v>63</v>
      </c>
      <c r="D41" s="115"/>
      <c r="E41" s="116"/>
      <c r="F41" s="21"/>
      <c r="G41" s="21"/>
      <c r="H41" s="21"/>
    </row>
    <row r="42" spans="1:8" x14ac:dyDescent="0.2">
      <c r="A42" s="21"/>
      <c r="B42" s="65"/>
      <c r="C42" s="66"/>
      <c r="D42" s="66"/>
      <c r="E42" s="67"/>
      <c r="F42" s="21"/>
      <c r="G42" s="21"/>
      <c r="H42" s="21"/>
    </row>
    <row r="43" spans="1:8" x14ac:dyDescent="0.2">
      <c r="A43" s="21"/>
      <c r="B43" s="64" t="s">
        <v>17</v>
      </c>
      <c r="C43" s="62"/>
      <c r="D43" s="62"/>
      <c r="E43" s="63"/>
      <c r="F43" s="21"/>
      <c r="G43" s="21"/>
      <c r="H43" s="21"/>
    </row>
    <row r="44" spans="1:8" x14ac:dyDescent="0.2">
      <c r="A44" s="21"/>
      <c r="B44" s="65"/>
      <c r="C44" s="117" t="s">
        <v>59</v>
      </c>
      <c r="D44" s="117"/>
      <c r="E44" s="117"/>
      <c r="F44" s="21"/>
      <c r="G44" s="21"/>
      <c r="H44" s="21"/>
    </row>
    <row r="45" spans="1:8" x14ac:dyDescent="0.2">
      <c r="A45" s="21"/>
      <c r="B45" s="64" t="s">
        <v>18</v>
      </c>
      <c r="C45" s="68"/>
      <c r="D45" s="68"/>
      <c r="E45" s="69"/>
      <c r="F45" s="21"/>
      <c r="G45" s="21"/>
      <c r="H45" s="21"/>
    </row>
    <row r="46" spans="1:8" x14ac:dyDescent="0.2">
      <c r="A46" s="21"/>
      <c r="B46" s="65"/>
      <c r="C46" s="117" t="s">
        <v>83</v>
      </c>
      <c r="D46" s="117"/>
      <c r="E46" s="117"/>
      <c r="F46" s="21"/>
      <c r="G46" s="21"/>
      <c r="H46" s="21"/>
    </row>
    <row r="47" spans="1:8" x14ac:dyDescent="0.2">
      <c r="A47" s="21"/>
      <c r="B47" s="64" t="s">
        <v>19</v>
      </c>
      <c r="C47" s="62"/>
      <c r="D47" s="62"/>
      <c r="E47" s="63"/>
      <c r="F47" s="21"/>
      <c r="G47" s="21"/>
      <c r="H47" s="21"/>
    </row>
    <row r="48" spans="1:8" x14ac:dyDescent="0.2">
      <c r="A48" s="21"/>
      <c r="B48" s="64"/>
      <c r="C48" s="111" t="s">
        <v>61</v>
      </c>
      <c r="D48" s="111"/>
      <c r="E48" s="111"/>
      <c r="F48" s="21"/>
      <c r="G48" s="21"/>
      <c r="H48" s="21"/>
    </row>
    <row r="49" spans="1:8" ht="13.5" thickBot="1" x14ac:dyDescent="0.25">
      <c r="A49" s="21"/>
      <c r="B49" s="70"/>
      <c r="C49" s="71"/>
      <c r="D49" s="71"/>
      <c r="E49" s="72"/>
      <c r="F49" s="21"/>
      <c r="G49" s="21"/>
      <c r="H49" s="21"/>
    </row>
  </sheetData>
  <mergeCells count="18">
    <mergeCell ref="C27:E27"/>
    <mergeCell ref="C29:E29"/>
    <mergeCell ref="C31:E31"/>
    <mergeCell ref="A6:B6"/>
    <mergeCell ref="A7:B7"/>
    <mergeCell ref="C21:E21"/>
    <mergeCell ref="C23:E23"/>
    <mergeCell ref="C24:E24"/>
    <mergeCell ref="B2:H2"/>
    <mergeCell ref="A4:B4"/>
    <mergeCell ref="C4:E4"/>
    <mergeCell ref="A5:B5"/>
    <mergeCell ref="C5:E5"/>
    <mergeCell ref="C48:E48"/>
    <mergeCell ref="C40:E40"/>
    <mergeCell ref="C41:E41"/>
    <mergeCell ref="C44:E44"/>
    <mergeCell ref="C46:E46"/>
  </mergeCells>
  <pageMargins left="0" right="0" top="0.74803149606299213" bottom="0" header="0.51181102362204722" footer="0.51181102362204722"/>
  <pageSetup paperSize="5" scale="65" firstPageNumber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7"/>
  <sheetViews>
    <sheetView zoomScale="110" zoomScaleNormal="110" workbookViewId="0">
      <selection sqref="A1:K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22" t="s">
        <v>20</v>
      </c>
      <c r="B1" s="122"/>
      <c r="C1" s="122"/>
      <c r="D1" s="122"/>
      <c r="E1" s="122"/>
      <c r="F1" s="122"/>
      <c r="G1" s="122"/>
      <c r="H1" s="122"/>
      <c r="I1" s="122"/>
      <c r="J1" s="9" t="s">
        <v>21</v>
      </c>
      <c r="K1" s="10" t="s">
        <v>80</v>
      </c>
    </row>
    <row r="2" spans="1:11" ht="18.75" customHeight="1" thickBot="1" x14ac:dyDescent="0.25">
      <c r="A2" s="11"/>
      <c r="B2" s="11"/>
      <c r="C2" s="11"/>
      <c r="D2" s="12"/>
      <c r="E2" s="12"/>
      <c r="F2" s="12"/>
      <c r="G2" s="12"/>
      <c r="H2" s="12"/>
      <c r="I2" s="12"/>
      <c r="J2" s="12"/>
      <c r="K2" s="12"/>
    </row>
    <row r="3" spans="1:11" ht="18.75" customHeight="1" thickBot="1" x14ac:dyDescent="0.25">
      <c r="A3" s="123" t="s">
        <v>54</v>
      </c>
      <c r="B3" s="123"/>
      <c r="C3" s="123"/>
      <c r="D3" s="124" t="str">
        <f>'Necesidades Trimestrales'!C4</f>
        <v>45- Ministerio de Desarrollo Social y Deporte</v>
      </c>
      <c r="E3" s="124"/>
      <c r="F3" s="124"/>
      <c r="G3" s="124"/>
      <c r="H3" s="124"/>
      <c r="I3" s="124"/>
      <c r="J3" s="124"/>
      <c r="K3" s="124"/>
    </row>
    <row r="4" spans="1:11" ht="18.75" customHeight="1" thickBot="1" x14ac:dyDescent="0.25">
      <c r="A4" s="125" t="s">
        <v>55</v>
      </c>
      <c r="B4" s="125"/>
      <c r="C4" s="125"/>
      <c r="D4" s="124" t="str">
        <f>'Necesidades Trimestrales'!C5</f>
        <v>25- Direccion Provincial de Gestion Administrativa y RRHH</v>
      </c>
      <c r="E4" s="124"/>
      <c r="F4" s="124"/>
      <c r="G4" s="124"/>
      <c r="H4" s="124"/>
      <c r="I4" s="124"/>
      <c r="J4" s="124"/>
      <c r="K4" s="124"/>
    </row>
    <row r="5" spans="1:11" ht="18.75" customHeight="1" thickBot="1" x14ac:dyDescent="0.25">
      <c r="A5" s="125" t="s">
        <v>33</v>
      </c>
      <c r="B5" s="125"/>
      <c r="C5" s="125"/>
      <c r="D5" s="124" t="s">
        <v>81</v>
      </c>
      <c r="E5" s="124"/>
      <c r="F5" s="124"/>
      <c r="G5" s="124"/>
      <c r="H5" s="124"/>
      <c r="I5" s="124"/>
      <c r="J5" s="124"/>
      <c r="K5" s="124"/>
    </row>
    <row r="6" spans="1:11" ht="16.5" customHeight="1" thickBot="1" x14ac:dyDescent="0.25">
      <c r="A6" s="123" t="s">
        <v>56</v>
      </c>
      <c r="B6" s="123"/>
      <c r="C6" s="123"/>
      <c r="D6" s="124" t="s">
        <v>82</v>
      </c>
      <c r="E6" s="124"/>
      <c r="F6" s="124"/>
      <c r="G6" s="124"/>
      <c r="H6" s="124"/>
      <c r="I6" s="124"/>
      <c r="J6" s="124"/>
      <c r="K6" s="124"/>
    </row>
    <row r="7" spans="1:11" ht="16.5" customHeight="1" x14ac:dyDescent="0.2">
      <c r="A7" s="125" t="s">
        <v>22</v>
      </c>
      <c r="B7" s="125"/>
      <c r="C7" s="125"/>
      <c r="D7" s="124" t="str">
        <f>'Necesidades Trimestrales'!C7 &amp; "° Trimestre - Año " &amp; 'Necesidades Trimestrales'!C6</f>
        <v>1° Trimestre - Año 2021</v>
      </c>
      <c r="E7" s="124"/>
      <c r="F7" s="124"/>
      <c r="G7" s="124"/>
      <c r="H7" s="124"/>
      <c r="I7" s="124"/>
      <c r="J7" s="124"/>
      <c r="K7" s="124"/>
    </row>
    <row r="8" spans="1:11" ht="15.75" x14ac:dyDescent="0.2">
      <c r="A8" s="126" t="s">
        <v>23</v>
      </c>
      <c r="B8" s="126"/>
      <c r="C8" s="126"/>
      <c r="D8" s="127" t="s">
        <v>71</v>
      </c>
      <c r="E8" s="127"/>
      <c r="F8" s="127"/>
      <c r="G8" s="127"/>
      <c r="H8" s="127"/>
      <c r="I8" s="127"/>
      <c r="J8" s="127"/>
      <c r="K8" s="127"/>
    </row>
    <row r="9" spans="1:11" ht="15.75" x14ac:dyDescent="0.2">
      <c r="A9" s="13"/>
      <c r="B9" s="13"/>
      <c r="C9" s="13"/>
      <c r="D9" s="14"/>
      <c r="E9" s="14"/>
      <c r="F9" s="14"/>
      <c r="G9" s="14"/>
      <c r="H9" s="14"/>
      <c r="I9" s="14"/>
      <c r="J9" s="14"/>
      <c r="K9" s="14"/>
    </row>
    <row r="10" spans="1:11" ht="18.75" customHeight="1" x14ac:dyDescent="0.2">
      <c r="A10" s="128" t="s">
        <v>24</v>
      </c>
      <c r="B10" s="129" t="s">
        <v>25</v>
      </c>
      <c r="C10" s="129" t="s">
        <v>26</v>
      </c>
      <c r="D10" s="129"/>
      <c r="E10" s="129"/>
      <c r="F10" s="129"/>
      <c r="G10" s="129"/>
      <c r="H10" s="129" t="s">
        <v>27</v>
      </c>
      <c r="I10" s="129" t="s">
        <v>28</v>
      </c>
      <c r="J10" s="129" t="s">
        <v>29</v>
      </c>
      <c r="K10" s="130" t="s">
        <v>30</v>
      </c>
    </row>
    <row r="11" spans="1:11" ht="24" customHeight="1" x14ac:dyDescent="0.2">
      <c r="A11" s="128"/>
      <c r="B11" s="129"/>
      <c r="C11" s="129"/>
      <c r="D11" s="129"/>
      <c r="E11" s="129"/>
      <c r="F11" s="129"/>
      <c r="G11" s="129"/>
      <c r="H11" s="129"/>
      <c r="I11" s="129"/>
      <c r="J11" s="129"/>
      <c r="K11" s="130"/>
    </row>
    <row r="12" spans="1:11" ht="57" customHeight="1" thickBot="1" x14ac:dyDescent="0.25">
      <c r="A12" s="15">
        <v>1</v>
      </c>
      <c r="B12" s="16" t="str">
        <f>'Necesidades Trimestrales'!B10</f>
        <v>4.3.8-1295.108</v>
      </c>
      <c r="C12" s="132" t="str">
        <f>'Necesidades Trimestrales'!E10</f>
        <v>CORTADORAS DE PASTO; TIPO: A EXPLOSION, HELICOIDAL,  PROPULSION: AUTOPROPULSION, MOTOR 4 TIEMPOS, POTENCIA: 9 HP</v>
      </c>
      <c r="D12" s="132"/>
      <c r="E12" s="132"/>
      <c r="F12" s="132"/>
      <c r="G12" s="132"/>
      <c r="H12" s="15" t="s">
        <v>77</v>
      </c>
      <c r="I12" s="17" t="str">
        <f>'Necesidades Trimestrales'!F10</f>
        <v>UNIDADES</v>
      </c>
      <c r="J12" s="18">
        <f>'Necesidades Trimestrales'!H10</f>
        <v>1900000</v>
      </c>
      <c r="K12" s="19">
        <f>'Necesidades Trimestrales'!G10</f>
        <v>1</v>
      </c>
    </row>
    <row r="13" spans="1:11" ht="36" customHeight="1" thickBot="1" x14ac:dyDescent="0.25">
      <c r="A13" s="20">
        <v>2</v>
      </c>
      <c r="B13" s="16" t="str">
        <f>'Necesidades Trimestrales'!B11</f>
        <v>4.3.9-2495.14</v>
      </c>
      <c r="C13" s="132" t="str">
        <f>'Necesidades Trimestrales'!E11</f>
        <v>BARREDORAS INDUSTRIALES; TIPO: HEAVY DUTY DE TITO, CEPILLO: RECOLECTOR DE CESPED, ANCHO 1,5 MTS. RUEDAS: NEUMATICAS, ENGRANAJES DE ACERO</v>
      </c>
      <c r="D13" s="132"/>
      <c r="E13" s="132"/>
      <c r="F13" s="132"/>
      <c r="G13" s="132"/>
      <c r="H13" s="15" t="s">
        <v>77</v>
      </c>
      <c r="I13" s="17" t="str">
        <f>'Necesidades Trimestrales'!F11</f>
        <v>UNIDADES</v>
      </c>
      <c r="J13" s="18">
        <f>'Necesidades Trimestrales'!H11</f>
        <v>500000</v>
      </c>
      <c r="K13" s="19">
        <f>'Necesidades Trimestrales'!G11</f>
        <v>1</v>
      </c>
    </row>
    <row r="14" spans="1:11" ht="33.75" customHeight="1" thickBot="1" x14ac:dyDescent="0.25">
      <c r="A14" s="20"/>
      <c r="B14" s="16"/>
      <c r="C14" s="132"/>
      <c r="D14" s="132"/>
      <c r="E14" s="132"/>
      <c r="F14" s="132"/>
      <c r="G14" s="132"/>
      <c r="H14" s="15"/>
      <c r="I14" s="17"/>
      <c r="J14" s="18"/>
      <c r="K14" s="19"/>
    </row>
    <row r="15" spans="1:11" ht="20.25" customHeight="1" thickBot="1" x14ac:dyDescent="0.25">
      <c r="A15" s="20"/>
      <c r="B15" s="16"/>
      <c r="C15" s="132"/>
      <c r="D15" s="132"/>
      <c r="E15" s="132"/>
      <c r="F15" s="132"/>
      <c r="G15" s="132"/>
      <c r="H15" s="15"/>
      <c r="I15" s="17"/>
      <c r="J15" s="18"/>
      <c r="K15" s="19"/>
    </row>
    <row r="16" spans="1:11" ht="27.75" customHeight="1" thickBot="1" x14ac:dyDescent="0.25">
      <c r="A16" s="20"/>
      <c r="B16" s="16"/>
      <c r="C16" s="132"/>
      <c r="D16" s="132"/>
      <c r="E16" s="132"/>
      <c r="F16" s="132"/>
      <c r="G16" s="132"/>
      <c r="H16" s="15"/>
      <c r="I16" s="17"/>
      <c r="J16" s="18"/>
      <c r="K16" s="19"/>
    </row>
    <row r="17" spans="1:11" ht="26.25" customHeight="1" thickBot="1" x14ac:dyDescent="0.25">
      <c r="A17" s="124" t="s">
        <v>84</v>
      </c>
      <c r="B17" s="124"/>
      <c r="C17" s="124"/>
      <c r="D17" s="124"/>
      <c r="E17" s="124"/>
      <c r="F17" s="124"/>
      <c r="G17" s="124"/>
      <c r="H17" s="124"/>
      <c r="I17" s="124"/>
      <c r="J17" s="131">
        <f>+J12*K12+J13*K13+J14*K14</f>
        <v>2400000</v>
      </c>
      <c r="K17" s="131"/>
    </row>
  </sheetData>
  <mergeCells count="27">
    <mergeCell ref="A17:I17"/>
    <mergeCell ref="J17:K17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1"/>
  <sheetViews>
    <sheetView zoomScale="130" zoomScaleNormal="130" workbookViewId="0">
      <selection activeCell="O15" sqref="O15:P15"/>
    </sheetView>
  </sheetViews>
  <sheetFormatPr baseColWidth="10" defaultColWidth="11" defaultRowHeight="12.75" x14ac:dyDescent="0.2"/>
  <cols>
    <col min="1" max="4" width="4.42578125" customWidth="1"/>
    <col min="5" max="5" width="3.7109375" bestFit="1" customWidth="1"/>
    <col min="6" max="6" width="5" bestFit="1" customWidth="1"/>
    <col min="7" max="7" width="4.42578125" style="3" customWidth="1"/>
    <col min="8" max="11" width="4.42578125" customWidth="1"/>
    <col min="12" max="12" width="5.85546875" bestFit="1" customWidth="1"/>
    <col min="13" max="14" width="4.42578125" customWidth="1"/>
    <col min="15" max="16" width="14.85546875" customWidth="1"/>
    <col min="17" max="17" width="13.28515625" bestFit="1" customWidth="1"/>
  </cols>
  <sheetData>
    <row r="1" spans="1:18" ht="15.75" customHeight="1" x14ac:dyDescent="0.25">
      <c r="A1" s="133" t="s">
        <v>3</v>
      </c>
      <c r="B1" s="133"/>
      <c r="C1" s="133"/>
      <c r="D1" s="134">
        <f>'Necesidades Trimestrales'!C6</f>
        <v>2021</v>
      </c>
      <c r="E1" s="134"/>
      <c r="F1" s="78"/>
      <c r="G1" s="78"/>
      <c r="H1" s="79"/>
      <c r="I1" s="79"/>
      <c r="J1" s="79"/>
      <c r="K1" s="79"/>
      <c r="L1" s="79"/>
      <c r="M1" s="79"/>
      <c r="N1" s="79"/>
      <c r="O1" s="33"/>
      <c r="P1" s="135" t="s">
        <v>31</v>
      </c>
      <c r="Q1" s="135"/>
    </row>
    <row r="2" spans="1:18" ht="15.75" customHeight="1" x14ac:dyDescent="0.2">
      <c r="A2" s="33"/>
      <c r="B2" s="33"/>
      <c r="C2" s="33"/>
      <c r="D2" s="33"/>
      <c r="E2" s="33"/>
      <c r="F2" s="33"/>
      <c r="G2" s="35"/>
      <c r="H2" s="79"/>
      <c r="I2" s="79"/>
      <c r="J2" s="79"/>
      <c r="K2" s="79"/>
      <c r="L2" s="79"/>
      <c r="M2" s="79"/>
      <c r="N2" s="79"/>
      <c r="O2" s="33"/>
      <c r="P2" s="135"/>
      <c r="Q2" s="135"/>
    </row>
    <row r="3" spans="1:18" x14ac:dyDescent="0.2">
      <c r="A3" s="33"/>
      <c r="B3" s="33"/>
      <c r="C3" s="33"/>
      <c r="D3" s="33"/>
      <c r="E3" s="33"/>
      <c r="F3" s="33"/>
      <c r="G3" s="35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spans="1:18" s="4" customFormat="1" ht="18" customHeight="1" thickBot="1" x14ac:dyDescent="0.25">
      <c r="A4" s="136" t="s">
        <v>32</v>
      </c>
      <c r="B4" s="136"/>
      <c r="C4" s="136"/>
      <c r="D4" s="136"/>
      <c r="E4" s="136"/>
      <c r="F4" s="136"/>
      <c r="G4" s="137" t="str">
        <f>' NotaPedido'!D3</f>
        <v>45- Ministerio de Desarrollo Social y Deporte</v>
      </c>
      <c r="H4" s="137"/>
      <c r="I4" s="137"/>
      <c r="J4" s="137"/>
      <c r="K4" s="137"/>
      <c r="L4" s="137"/>
      <c r="M4" s="137"/>
      <c r="N4" s="137"/>
      <c r="O4" s="137"/>
      <c r="P4" s="137"/>
      <c r="Q4" s="137"/>
    </row>
    <row r="5" spans="1:18" s="4" customFormat="1" ht="18" customHeight="1" thickBot="1" x14ac:dyDescent="0.25">
      <c r="A5" s="138" t="s">
        <v>55</v>
      </c>
      <c r="B5" s="139"/>
      <c r="C5" s="139"/>
      <c r="D5" s="139"/>
      <c r="E5" s="139"/>
      <c r="F5" s="140"/>
      <c r="G5" s="137" t="str">
        <f>' NotaPedido'!D4</f>
        <v>25- Direccion Provincial de Gestion Administrativa y RRHH</v>
      </c>
      <c r="H5" s="137"/>
      <c r="I5" s="137"/>
      <c r="J5" s="137"/>
      <c r="K5" s="137"/>
      <c r="L5" s="137"/>
      <c r="M5" s="137"/>
      <c r="N5" s="137"/>
      <c r="O5" s="137"/>
      <c r="P5" s="137"/>
      <c r="Q5" s="137"/>
    </row>
    <row r="6" spans="1:18" s="4" customFormat="1" ht="18" customHeight="1" thickBot="1" x14ac:dyDescent="0.25">
      <c r="A6" s="138" t="s">
        <v>33</v>
      </c>
      <c r="B6" s="139"/>
      <c r="C6" s="139"/>
      <c r="D6" s="139"/>
      <c r="E6" s="139"/>
      <c r="F6" s="140"/>
      <c r="G6" s="137" t="s">
        <v>81</v>
      </c>
      <c r="H6" s="137"/>
      <c r="I6" s="137"/>
      <c r="J6" s="137"/>
      <c r="K6" s="137"/>
      <c r="L6" s="137"/>
      <c r="M6" s="137"/>
      <c r="N6" s="137"/>
      <c r="O6" s="137"/>
      <c r="P6" s="137"/>
      <c r="Q6" s="137"/>
    </row>
    <row r="7" spans="1:18" s="4" customFormat="1" ht="18" customHeight="1" thickBot="1" x14ac:dyDescent="0.25">
      <c r="A7" s="138" t="s">
        <v>56</v>
      </c>
      <c r="B7" s="139"/>
      <c r="C7" s="139"/>
      <c r="D7" s="139"/>
      <c r="E7" s="139"/>
      <c r="F7" s="140"/>
      <c r="G7" s="137" t="s">
        <v>82</v>
      </c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8" spans="1:18" ht="18" customHeight="1" thickBot="1" x14ac:dyDescent="0.25">
      <c r="A8" s="141" t="s">
        <v>34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</row>
    <row r="9" spans="1:18" ht="18" customHeight="1" x14ac:dyDescent="0.2">
      <c r="A9" s="146" t="s">
        <v>35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80"/>
      <c r="P9" s="80"/>
      <c r="Q9" s="81"/>
    </row>
    <row r="10" spans="1:18" ht="54.75" customHeight="1" x14ac:dyDescent="0.2">
      <c r="A10" s="14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56/2021,  afectando la erogación resultante a los créditos presupuestarios aprobados a favor de esta Unidad Ejecutora, conforme al siguiente detalle: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8" ht="9" customHeight="1" x14ac:dyDescent="0.2">
      <c r="A11" s="82"/>
      <c r="B11" s="83"/>
      <c r="C11" s="83"/>
      <c r="D11" s="83"/>
      <c r="E11" s="83"/>
      <c r="F11" s="83"/>
      <c r="G11" s="84"/>
      <c r="H11" s="83"/>
      <c r="I11" s="83"/>
      <c r="J11" s="83"/>
      <c r="K11" s="83"/>
      <c r="L11" s="83"/>
      <c r="M11" s="83"/>
      <c r="N11" s="83"/>
      <c r="O11" s="83"/>
      <c r="P11" s="83"/>
      <c r="Q11" s="85"/>
    </row>
    <row r="12" spans="1:18" ht="15.75" customHeight="1" x14ac:dyDescent="0.2">
      <c r="A12" s="148" t="s">
        <v>36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8" ht="15.75" customHeight="1" x14ac:dyDescent="0.2">
      <c r="A13" s="149" t="s">
        <v>37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38</v>
      </c>
      <c r="P13" s="150"/>
      <c r="Q13" s="151" t="s">
        <v>39</v>
      </c>
    </row>
    <row r="14" spans="1:18" ht="15.75" customHeight="1" x14ac:dyDescent="0.2">
      <c r="A14" s="86" t="s">
        <v>40</v>
      </c>
      <c r="B14" s="87" t="s">
        <v>41</v>
      </c>
      <c r="C14" s="87" t="s">
        <v>42</v>
      </c>
      <c r="D14" s="87" t="s">
        <v>43</v>
      </c>
      <c r="E14" s="87" t="s">
        <v>44</v>
      </c>
      <c r="F14" s="87" t="s">
        <v>45</v>
      </c>
      <c r="G14" s="88" t="s">
        <v>46</v>
      </c>
      <c r="H14" s="87" t="s">
        <v>47</v>
      </c>
      <c r="I14" s="87" t="s">
        <v>48</v>
      </c>
      <c r="J14" s="87" t="s">
        <v>49</v>
      </c>
      <c r="K14" s="87" t="s">
        <v>49</v>
      </c>
      <c r="L14" s="87" t="s">
        <v>50</v>
      </c>
      <c r="M14" s="89" t="s">
        <v>51</v>
      </c>
      <c r="N14" s="90" t="s">
        <v>52</v>
      </c>
      <c r="O14" s="150"/>
      <c r="P14" s="150"/>
      <c r="Q14" s="151"/>
    </row>
    <row r="15" spans="1:18" ht="17.25" customHeight="1" x14ac:dyDescent="0.2">
      <c r="A15" s="91">
        <v>44</v>
      </c>
      <c r="B15" s="92"/>
      <c r="C15" s="92"/>
      <c r="D15" s="92">
        <v>1</v>
      </c>
      <c r="E15" s="92"/>
      <c r="F15" s="92">
        <v>4901</v>
      </c>
      <c r="G15" s="92">
        <v>1</v>
      </c>
      <c r="H15" s="92">
        <v>4</v>
      </c>
      <c r="I15" s="92">
        <v>4</v>
      </c>
      <c r="J15" s="92">
        <v>3</v>
      </c>
      <c r="K15" s="92">
        <v>1</v>
      </c>
      <c r="L15" s="92"/>
      <c r="M15" s="93">
        <v>1</v>
      </c>
      <c r="N15" s="92">
        <v>1.1000000000000001</v>
      </c>
      <c r="O15" s="142" t="s">
        <v>66</v>
      </c>
      <c r="P15" s="143"/>
      <c r="Q15" s="94">
        <v>500000</v>
      </c>
      <c r="R15" s="7"/>
    </row>
    <row r="16" spans="1:18" ht="17.25" customHeight="1" x14ac:dyDescent="0.2">
      <c r="A16" s="95">
        <v>44</v>
      </c>
      <c r="B16" s="95"/>
      <c r="C16" s="95"/>
      <c r="D16" s="95">
        <v>1</v>
      </c>
      <c r="E16" s="95"/>
      <c r="F16" s="95">
        <v>4901</v>
      </c>
      <c r="G16" s="95">
        <v>1</v>
      </c>
      <c r="H16" s="95">
        <v>4</v>
      </c>
      <c r="I16" s="95">
        <v>4</v>
      </c>
      <c r="J16" s="95">
        <v>3</v>
      </c>
      <c r="K16" s="95">
        <v>8</v>
      </c>
      <c r="L16" s="95"/>
      <c r="M16" s="95">
        <v>1</v>
      </c>
      <c r="N16" s="95">
        <v>1.1000000000000001</v>
      </c>
      <c r="O16" s="144" t="s">
        <v>67</v>
      </c>
      <c r="P16" s="145"/>
      <c r="Q16" s="96">
        <v>1900000</v>
      </c>
    </row>
    <row r="17" spans="1:20" ht="17.25" customHeight="1" x14ac:dyDescent="0.2">
      <c r="A17" s="97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9"/>
      <c r="N17" s="100"/>
      <c r="O17" s="145"/>
      <c r="P17" s="145"/>
      <c r="Q17" s="96"/>
    </row>
    <row r="18" spans="1:20" ht="17.25" customHeight="1" x14ac:dyDescent="0.2">
      <c r="A18" s="97"/>
      <c r="B18" s="98"/>
      <c r="C18" s="98"/>
      <c r="D18" s="98"/>
      <c r="E18" s="98"/>
      <c r="F18" s="100"/>
      <c r="G18" s="98"/>
      <c r="H18" s="98"/>
      <c r="I18" s="98"/>
      <c r="J18" s="98"/>
      <c r="K18" s="98"/>
      <c r="L18" s="98"/>
      <c r="M18" s="99"/>
      <c r="N18" s="100"/>
      <c r="O18" s="145"/>
      <c r="P18" s="145"/>
      <c r="Q18" s="96"/>
    </row>
    <row r="19" spans="1:20" ht="17.25" customHeight="1" x14ac:dyDescent="0.2">
      <c r="A19" s="97"/>
      <c r="B19" s="98"/>
      <c r="C19" s="98"/>
      <c r="D19" s="98"/>
      <c r="E19" s="98"/>
      <c r="F19" s="100"/>
      <c r="G19" s="98"/>
      <c r="H19" s="98"/>
      <c r="I19" s="98"/>
      <c r="J19" s="98"/>
      <c r="K19" s="98"/>
      <c r="L19" s="98"/>
      <c r="M19" s="99"/>
      <c r="N19" s="100"/>
      <c r="O19" s="145"/>
      <c r="P19" s="145"/>
      <c r="Q19" s="96"/>
    </row>
    <row r="20" spans="1:20" ht="17.25" customHeight="1" x14ac:dyDescent="0.2">
      <c r="A20" s="101"/>
      <c r="B20" s="102"/>
      <c r="C20" s="102"/>
      <c r="D20" s="102"/>
      <c r="E20" s="102"/>
      <c r="F20" s="103"/>
      <c r="G20" s="102"/>
      <c r="H20" s="102"/>
      <c r="I20" s="102"/>
      <c r="J20" s="102"/>
      <c r="K20" s="102"/>
      <c r="L20" s="102"/>
      <c r="M20" s="104"/>
      <c r="N20" s="105"/>
      <c r="O20" s="157"/>
      <c r="P20" s="157"/>
      <c r="Q20" s="96"/>
      <c r="R20" s="1"/>
    </row>
    <row r="21" spans="1:20" ht="17.25" customHeight="1" x14ac:dyDescent="0.2">
      <c r="A21" s="106"/>
      <c r="B21" s="107"/>
      <c r="C21" s="107"/>
      <c r="D21" s="107"/>
      <c r="E21" s="107"/>
      <c r="F21" s="107"/>
      <c r="G21" s="107"/>
      <c r="H21" s="107"/>
      <c r="I21" s="107"/>
      <c r="J21" s="107"/>
      <c r="K21" s="107"/>
      <c r="L21" s="107"/>
      <c r="M21" s="108"/>
      <c r="N21" s="107"/>
      <c r="O21" s="158"/>
      <c r="P21" s="158"/>
      <c r="Q21" s="109"/>
    </row>
    <row r="22" spans="1:20" ht="20.25" customHeight="1" x14ac:dyDescent="0.2">
      <c r="A22" s="159" t="s">
        <v>85</v>
      </c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10">
        <f>SUM(Q15:Q21)</f>
        <v>2400000</v>
      </c>
    </row>
    <row r="23" spans="1:20" ht="18" customHeight="1" thickBot="1" x14ac:dyDescent="0.25">
      <c r="A23" s="160"/>
      <c r="B23" s="160"/>
      <c r="C23" s="160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</row>
    <row r="24" spans="1:20" ht="17.25" customHeight="1" thickBot="1" x14ac:dyDescent="0.25">
      <c r="A24" s="152" t="s">
        <v>53</v>
      </c>
      <c r="B24" s="153"/>
      <c r="C24" s="153"/>
      <c r="D24" s="153"/>
      <c r="E24" s="153"/>
      <c r="F24" s="154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</row>
    <row r="25" spans="1:20" ht="18" customHeight="1" thickBot="1" x14ac:dyDescent="0.25">
      <c r="A25" s="156" t="s">
        <v>65</v>
      </c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</row>
    <row r="26" spans="1:20" x14ac:dyDescent="0.2">
      <c r="A26" s="156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</row>
    <row r="31" spans="1:20" x14ac:dyDescent="0.2">
      <c r="T31" t="s">
        <v>68</v>
      </c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0078740157483" right="0.39370078740157483" top="0.98425196850393704" bottom="0.98425196850393704" header="0.51181102362204722" footer="0.51181102362204722"/>
  <pageSetup paperSize="5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ELIAS QUINTAR</cp:lastModifiedBy>
  <cp:revision>2</cp:revision>
  <cp:lastPrinted>2021-01-22T15:27:58Z</cp:lastPrinted>
  <dcterms:created xsi:type="dcterms:W3CDTF">2020-07-17T23:44:49Z</dcterms:created>
  <dcterms:modified xsi:type="dcterms:W3CDTF">2021-08-12T15:22:43Z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