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28A55796-D259-4B5E-AEE0-CB0C30B97BC6}" xr6:coauthVersionLast="46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Trimestrales'!$A$9:$I$29</definedName>
    <definedName name="_xlnm.Print_Area" localSheetId="1">' NotaPedido'!$A$1:$K$32</definedName>
    <definedName name="_xlnm.Print_Area" localSheetId="2">'Autor Gastar'!$A$1:$Q$26</definedName>
    <definedName name="_xlnm.Print_Area" localSheetId="0">'Necesidades Trimestrales'!$E$9:$E$29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12" i="2"/>
  <c r="I27" i="1" l="1"/>
  <c r="I10" i="1" l="1"/>
  <c r="I11" i="1"/>
  <c r="I12" i="1"/>
  <c r="I13" i="1"/>
  <c r="I15" i="1"/>
  <c r="I14" i="1"/>
  <c r="I17" i="1"/>
  <c r="I16" i="1"/>
  <c r="I18" i="1"/>
  <c r="I21" i="1"/>
  <c r="I22" i="1"/>
  <c r="I23" i="1"/>
  <c r="I24" i="1"/>
  <c r="I25" i="1"/>
  <c r="I26" i="1"/>
  <c r="I19" i="1"/>
  <c r="I20" i="1"/>
  <c r="I28" i="1"/>
  <c r="I29" i="1"/>
  <c r="J32" i="2" l="1"/>
  <c r="Q22" i="3"/>
  <c r="A10" i="3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<sst xmlns="http://schemas.openxmlformats.org/spreadsheetml/2006/main" count="284" uniqueCount="158">
  <si>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</si>
  <si>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</si>
  <si>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</si>
  <si>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</si>
  <si>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</si>
  <si>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</si>
  <si>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</si>
  <si>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</si>
  <si>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</si>
  <si>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</si>
  <si>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</si>
  <si>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</si>
  <si>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</si>
  <si>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</si>
  <si>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</si>
  <si>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</si>
  <si>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</si>
  <si>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</si>
  <si>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</si>
  <si>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</si>
  <si>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</si>
  <si>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</si>
  <si>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</si>
  <si>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</si>
  <si>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</si>
  <si>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</si>
  <si>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</si>
  <si>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</si>
  <si>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</si>
  <si>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</si>
  <si>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</si>
  <si>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</si>
  <si>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</si>
  <si>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</si>
  <si>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</si>
  <si>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</si>
  <si>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</si>
  <si>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</si>
  <si>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</si>
  <si>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</si>
  <si>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</si>
  <si>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</si>
  <si>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</si>
  <si>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</si>
  <si>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</si>
  <si>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</si>
  <si>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</si>
  <si>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</si>
  <si>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</si>
  <si>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</si>
  <si>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</si>
  <si>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</si>
  <si>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</si>
  <si>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</si>
  <si>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</si>
  <si>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xxx/2022</t>
  </si>
  <si>
    <t>Semestral</t>
  </si>
  <si>
    <t>UNIDAD</t>
  </si>
  <si>
    <t>Adquisición de Descartable Complejo</t>
  </si>
  <si>
    <t>2.9.5-6286.5</t>
  </si>
  <si>
    <t>HEMOSTATICOS ABSORBIBLES; TIPO: SURGIEL, MEDIDA: 5 X 7,5 Cm, PRESENTACION: UNIDAD</t>
  </si>
  <si>
    <t>PROD. MEDICO/FARMACEUTICOS/LAB</t>
  </si>
  <si>
    <t>2.9.5-3020.3</t>
  </si>
  <si>
    <t>2.9.5-2161.473</t>
  </si>
  <si>
    <t>2.9.5-3020.8</t>
  </si>
  <si>
    <t>TROCAR DE PUNCION; USO: PUNCION TORAXICO, TIPO: N°8, CAMISA: SIN</t>
  </si>
  <si>
    <t>2.9.5-6700.2</t>
  </si>
  <si>
    <t>2.9.5-2161.83</t>
  </si>
  <si>
    <t>2.9.5-2161.82</t>
  </si>
  <si>
    <t>2.9.5-2161.391</t>
  </si>
  <si>
    <t>CATETERES/SONDAS; NUMERO: 1,8 FR X 30 CM , TIPO: EPICUTANEO PREMATURO</t>
  </si>
  <si>
    <t>CATETERES/SONDAS; NUMERO: 1,8 FR X 15 CM , TIPO: EPICUTANEO PREMATURO</t>
  </si>
  <si>
    <t>CATETERES/SONDAS; NUMERO: 2,0 FR X 30 CM, TIPO: EPICUTANEO PEDIATRICO</t>
  </si>
  <si>
    <t>CATETERES/SONDAS NUMERO 3 FR X 50 CM TIPO PICC PERCUTANEO CON INTRODUCTOR PELABLE</t>
  </si>
  <si>
    <t>CATETERES/SONDAS NUMERO 2 FR X 30 CM TIPO PICC PERCUTANEO CON INTRODUCTOR PELABLE</t>
  </si>
  <si>
    <t>FILTROS DE DESLUOCOTIZACION; USO: NEONATAL PEDIATRICO, CAPACIDAD DE FILTRADO: 1 UNIDAD DE GLOBULOS ROJOS, CAPACIDAD DEL FILTRO: LOGARITMO 4</t>
  </si>
  <si>
    <t>2.9.5-8436.8</t>
  </si>
  <si>
    <t>BOLSAS P/COLOSTOMIA; TIPO: DESCARTABLE ADHESIVA P/ ADULTOS, DIAMETRO DE ARO: SIN ARO</t>
  </si>
  <si>
    <t>BOLSAS P/COLOSTOMIA; TIPO: DESCARTABLE ADHESIVA PEDIATRICA, DIAMETRO: REGULABLE</t>
  </si>
  <si>
    <t>ELEMENTOS DESC. P/CIRUGIAS; TIPO: CAMPO QUIRURGICO 60 X 45 Cm, PRESENTACION: UNIDAD</t>
  </si>
  <si>
    <t>2.9.5-4198.93</t>
  </si>
  <si>
    <t>2.9.5-2161.587</t>
  </si>
  <si>
    <t>CATETERES/SONDAS; NUMERO: 2,0 FR X 15 CM, TIPO: EPICUTANEO PEDIATRICO</t>
  </si>
  <si>
    <t>2.9.5-2161.588</t>
  </si>
  <si>
    <t>2.9.5-2161.589</t>
  </si>
  <si>
    <t>2.9.5-2161.594</t>
  </si>
  <si>
    <t>2.9.5-2161.595</t>
  </si>
  <si>
    <t>CATETERES/SONDAS; NUMERO: 4 FR X 65 CM, TIPO: PICC PERCUTANEO CON INTRODUCTOR PELABLE</t>
  </si>
  <si>
    <t>2.9.5-2161.567</t>
  </si>
  <si>
    <t>CATETERES/SONDAS; NUMERO: 2,5, TIPO: UMBILICAL ARTERIAL, PRESENTACION: UNIDAD</t>
  </si>
  <si>
    <t>CATETERES/SONDAS; NUMERO: 3 FR, TIPO: UMBILICAL ARTERIAL, PRESENTACION: UNIDAD</t>
  </si>
  <si>
    <t>2.9.5-2161.569</t>
  </si>
  <si>
    <t>CATETERES/SONDAS; NUMERO: 3,5, TIPO: UMBILICAL ARTERIAL, PRESENTACION: UNIDAD</t>
  </si>
  <si>
    <t>CATETERES/SONDAS; NUMERO: 3,5 FR, TIPO: UMBILICAL VENOSO, PRESENTACION: UNIDAD</t>
  </si>
  <si>
    <t>2.9.5-2161.571</t>
  </si>
  <si>
    <t>CATETERES/SONDAS; NUMERO: 4 FR, TIPO: UMBILICAL VENOSO, PRESENTACION: UNIDAD</t>
  </si>
  <si>
    <t>2.9.5-2161.572</t>
  </si>
  <si>
    <t>CATETERES/SONDAS; NUMERO: 2,5 FR, TIPO: UMBILICAL VENOSO, PRESENTACION: UNIDAD</t>
  </si>
  <si>
    <t>2.9.5-2161.574</t>
  </si>
  <si>
    <t>CATETERES/SONDAS; NUMERO: 7 FR X 26 CM, TIPO: DOBLE J COOK</t>
  </si>
  <si>
    <t>SI</t>
  </si>
  <si>
    <t>Útiles Menores Médico, Quirúrgico y de Laboratorio</t>
  </si>
  <si>
    <t>Calidad Minima esperada:</t>
  </si>
  <si>
    <t>28-Maternidad Provincial 25 de Mayo</t>
  </si>
  <si>
    <t>169-Direccion Asistencial</t>
  </si>
  <si>
    <t>Servicio de Farmacia</t>
  </si>
  <si>
    <t xml:space="preserve">Para la adquisición de Descartables Complejos destinados al Servicio de Farmacia de la Maternidad Provincial 25 de Mayo. </t>
  </si>
  <si>
    <t>TIPO COLOPLAST -BOLSA PARA OSTOMIA-MODELO ALTERNA 8002</t>
  </si>
  <si>
    <t xml:space="preserve">Plazo de entrega: </t>
  </si>
  <si>
    <t xml:space="preserve">Mantenimiento: </t>
  </si>
  <si>
    <t>10(diez) dias habiles</t>
  </si>
  <si>
    <t>30(treinta) dias habiles</t>
  </si>
  <si>
    <r>
      <rPr>
        <b/>
        <sz val="10"/>
        <rFont val="Times New Roman"/>
        <family val="1"/>
      </rPr>
      <t>Lugar de Entrega</t>
    </r>
    <r>
      <rPr>
        <sz val="10"/>
        <rFont val="Times New Roman"/>
        <family val="1"/>
      </rPr>
      <t>:                  SERVICIO DE FARMACIA- DE 08:00 A 13:00HS., DEBIENDO CORRER LOS GASTOS DE FLETES, ACARREO, CARGA, DESCARGA Y SEGURO A CARGO DEL ADJUDICATARIO. HERNAN DE PÉDRAZA 1650- SAN FERNANDO DEL VALLE DE CATAMARCA</t>
    </r>
  </si>
  <si>
    <t>TIPO STERIDRAPE 1050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</si>
  <si>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ITEMS 3  </t>
    </r>
  </si>
  <si>
    <t>Tipo COOK</t>
  </si>
  <si>
    <t>Lugar de Entrega:   SERVICIO DE FARMACIA- DE 08:00 A 13:00HS., DEBIENDO CORRER LOS GASTOS DE FLETES, ACARREO, CARGA, DESCARGA Y SEGURO A CARGO DEL ADJUDICATARIO. HERNAN DE PÉDRAZA 1650- SAN FERNANDO DEL VALLE DE CATAMARCA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</si>
  <si>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 SERVICIO DE FARMACIA- DE 08:00 A 13:00HS., DEBIENDO CORRER LOS GASTOS DE FLETES, ACARREO, CARGA, DESCARGA Y SEGURO A CARGO DEL ADJUDICATARIO. HERNAN DE PÉDRAZA 1650- SAN FERNANDO DEL VALLE DE CATAMARCA</t>
    </r>
  </si>
  <si>
    <r>
      <rPr>
        <b/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10(diez) dias habiles</t>
    </r>
  </si>
  <si>
    <r>
      <rPr>
        <b/>
        <u/>
        <sz val="11"/>
        <rFont val="Times New Roman"/>
        <family val="1"/>
      </rPr>
      <t>Calidad Minima</t>
    </r>
    <r>
      <rPr>
        <b/>
        <sz val="11"/>
        <rFont val="Times New Roman"/>
        <family val="1"/>
      </rPr>
      <t xml:space="preserve"> esperada:</t>
    </r>
  </si>
  <si>
    <r>
      <rPr>
        <b/>
        <u/>
        <sz val="10"/>
        <rFont val="Times New Roman"/>
        <family val="1"/>
      </rPr>
      <t>Mantenimiento</t>
    </r>
    <r>
      <rPr>
        <sz val="10"/>
        <rFont val="Times New Roman"/>
        <family val="1"/>
      </rPr>
      <t>:                                                                                                                                                          30(treinta) dias habiles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</si>
  <si>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:ITEMS 4- </t>
    </r>
  </si>
  <si>
    <t>TIPO SILMAG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</si>
  <si>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DEL 5 AL 8 - DEL 12 AL 17</t>
    </r>
    <r>
      <rPr>
        <sz val="10"/>
        <rFont val="Times New Roman"/>
        <family val="1"/>
      </rPr>
      <t xml:space="preserve"> </t>
    </r>
  </si>
  <si>
    <r>
      <rPr>
        <b/>
        <sz val="10"/>
        <rFont val="Times New Roman"/>
        <family val="1"/>
      </rPr>
      <t>Lugar de Entrega</t>
    </r>
    <r>
      <rPr>
        <sz val="10"/>
        <rFont val="Times New Roman"/>
        <family val="1"/>
      </rPr>
      <t>:   SERVICIO DE FARMACIA- DE 08:00 A 13:00HS., DEBIENDO CORRER LOS GASTOS DE FLETES, ACARREO, CARGA, DESCARGA Y SEGURO A CARGO DEL ADJUDICATARIO. HERNAN DE PÉDRAZA 1650- SAN FERNANDO DEL VALLE DE CATAMARCA</t>
    </r>
  </si>
  <si>
    <r>
      <rPr>
        <b/>
        <u/>
        <sz val="10"/>
        <rFont val="Times New Roman"/>
        <family val="1"/>
      </rPr>
      <t>Plazo de entrega:</t>
    </r>
    <r>
      <rPr>
        <b/>
        <sz val="10"/>
        <rFont val="Times New Roman"/>
        <family val="1"/>
      </rPr>
      <t xml:space="preserve">  </t>
    </r>
    <r>
      <rPr>
        <sz val="10"/>
        <rFont val="Times New Roman"/>
        <family val="1"/>
      </rPr>
      <t xml:space="preserve">                                                                                  10(diez) dias habiles</t>
    </r>
  </si>
  <si>
    <r>
      <t>Mantenimiento</t>
    </r>
    <r>
      <rPr>
        <b/>
        <sz val="10"/>
        <rFont val="Times New Roman"/>
        <family val="1"/>
      </rPr>
      <t>:                                                                               30(treinta) dias habiles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</si>
  <si>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                                                                                                               10(diez) dias habiles</t>
    </r>
  </si>
  <si>
    <r>
      <t>Mantenimiento</t>
    </r>
    <r>
      <rPr>
        <sz val="10"/>
        <rFont val="Times New Roman"/>
        <family val="1"/>
      </rPr>
      <t>:                                                                                                                                   30(treinta) dias habiles</t>
    </r>
  </si>
  <si>
    <t>TIPO ETHICON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</si>
  <si>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 19</t>
    </r>
    <r>
      <rPr>
        <sz val="10"/>
        <rFont val="Times New Roman"/>
        <family val="1"/>
      </rPr>
      <t xml:space="preserve">-  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</si>
  <si>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                                                                                                     10(diez) dias habiles</t>
    </r>
  </si>
  <si>
    <r>
      <rPr>
        <b/>
        <u/>
        <sz val="10"/>
        <rFont val="Times New Roman"/>
        <family val="1"/>
      </rPr>
      <t>Mantenimiento</t>
    </r>
    <r>
      <rPr>
        <sz val="10"/>
        <rFont val="Times New Roman"/>
        <family val="1"/>
      </rPr>
      <t>:                                                                                                                                   30(treinta) dias habiles</t>
    </r>
  </si>
  <si>
    <t>Costo total estimado: CINCO MILLONES DOSCIENTOS SESENTA MIL SESICIENTOS VEINTE CON  00/100.</t>
  </si>
  <si>
    <t>TOTAL DE PESOS: CINCO MILLONES DOSCIENTOS SESENTA MIL SESICIENTOS VEINTE CON  00/100.</t>
  </si>
  <si>
    <t xml:space="preserve">Especificidades: ITEMS  2- </t>
  </si>
  <si>
    <t>tipo COOK</t>
  </si>
  <si>
    <t xml:space="preserve"> TIPO STERIDRAPE 1050</t>
  </si>
  <si>
    <r>
      <rPr>
        <sz val="12"/>
        <rFont val="Times New Roman"/>
        <family val="1"/>
      </rPr>
      <t>BOLSAS           P/COLOSTOMIA;           TIPO: DESCARTABLE  ADHESIVA  P/  ADULTOS, DIAMETRO DE ARO: SIN ARO</t>
    </r>
  </si>
  <si>
    <r>
      <rPr>
        <sz val="12"/>
        <rFont val="Times New Roman"/>
        <family val="1"/>
      </rPr>
      <t>BOLSAS           P/COLOSTOMIA;           TIPO: DESCARTABLE  ADHESIVA  PEDIATRICA, DIAMETRO: REGULABLE</t>
    </r>
  </si>
  <si>
    <r>
      <rPr>
        <sz val="12"/>
        <rFont val="Times New Roman"/>
        <family val="1"/>
      </rPr>
      <t>ELEMENTOS   DESC.   P/CIRUGIAS;   TIPO: CAMPO    QUIRURGICO    60    X    45    Cm, PRESENTACION: UNIDAD</t>
    </r>
  </si>
  <si>
    <r>
      <rPr>
        <sz val="12"/>
        <rFont val="Times New Roman"/>
        <family val="1"/>
      </rPr>
      <t>CATETERES/SONDAS;  NUMERO:  7  FR  X 26 CM, TIPO: DOBLE J COOK</t>
    </r>
  </si>
  <si>
    <r>
      <rPr>
        <sz val="12"/>
        <rFont val="Times New Roman"/>
        <family val="1"/>
      </rPr>
      <t>CATETERES/SONDAS;  NUMERO:  2,0  FR X 15 CM, TIPO: EPICUTANEO PEDIATRICO</t>
    </r>
  </si>
  <si>
    <r>
      <rPr>
        <sz val="12"/>
        <rFont val="Times New Roman"/>
        <family val="1"/>
      </rPr>
      <t>CATETERES/SONDAS;  NUMERO:  2,0  FR X 30 CM, TIPO: EPICUTANEO PEDIATRICO</t>
    </r>
  </si>
  <si>
    <r>
      <rPr>
        <sz val="12"/>
        <rFont val="Times New Roman"/>
        <family val="1"/>
      </rPr>
      <t>CATETERES/SONDAS;  NUMERO:  1,8  FR X 15 CM , TIPO: EPICUTANEO PREMATURO</t>
    </r>
  </si>
  <si>
    <r>
      <rPr>
        <sz val="12"/>
        <rFont val="Times New Roman"/>
        <family val="1"/>
      </rPr>
      <t>CATETERES/SONDAS;  NUMERO:  1,8  FR X 30 CM , TIPO: EPICUTANEO PREMATURO</t>
    </r>
  </si>
  <si>
    <r>
      <rPr>
        <sz val="12"/>
        <rFont val="Times New Roman"/>
        <family val="1"/>
      </rPr>
      <t>CATETERES/SONDAS  NUMERO  2  FR X  30 CM     TIPO     PICC     PERCUTANEO     CON INTRODUCTOR PELABLE</t>
    </r>
  </si>
  <si>
    <r>
      <rPr>
        <sz val="12"/>
        <rFont val="Times New Roman"/>
        <family val="1"/>
      </rPr>
      <t>CATETERES/SONDAS  NUMERO  3  FR X  50 CM     TIPO     PICC     PERCUTANEO     CON INTRODUCTOR PELABLE</t>
    </r>
  </si>
  <si>
    <r>
      <rPr>
        <sz val="12"/>
        <rFont val="Times New Roman"/>
        <family val="1"/>
      </rPr>
      <t xml:space="preserve">CATETERES/SONDAS;  NUMERO:  4  FR  X
</t>
    </r>
    <r>
      <rPr>
        <sz val="12"/>
        <rFont val="Times New Roman"/>
        <family val="1"/>
      </rPr>
      <t>65   CM,   TIPO:   PICC   PERCUTANEO  CON INTRODUCTOR PELABLE</t>
    </r>
  </si>
  <si>
    <r>
      <rPr>
        <sz val="12"/>
        <rFont val="Times New Roman"/>
        <family val="1"/>
      </rPr>
      <t>CATETERES/SONDAS;       NUMERO:      2,5, TIPO:             UMBILICAL             ARTERIAL, PRESENTACION: UNIDAD</t>
    </r>
  </si>
  <si>
    <r>
      <rPr>
        <sz val="12"/>
        <rFont val="Times New Roman"/>
        <family val="1"/>
      </rPr>
      <t>CATETERES/SONDAS;    NUMERO:    3   FR, TIPO:             UMBILICAL             ARTERIAL, PRESENTACION: UNIDAD</t>
    </r>
  </si>
  <si>
    <r>
      <rPr>
        <sz val="12"/>
        <rFont val="Times New Roman"/>
        <family val="1"/>
      </rPr>
      <t>CATETERES/SONDAS;       NUMERO:      3,5, TIPO:             UMBILICAL             ARTERIAL, PRESENTACION: UNIDAD</t>
    </r>
  </si>
  <si>
    <r>
      <rPr>
        <sz val="12"/>
        <rFont val="Times New Roman"/>
        <family val="1"/>
      </rPr>
      <t>CATETERES/SONDAS;   NUMERO:   3,5  FR, TIPO:               UMBILICAL              VENOSO, PRESENTACION: UNIDAD</t>
    </r>
  </si>
  <si>
    <r>
      <rPr>
        <sz val="12"/>
        <rFont val="Times New Roman"/>
        <family val="1"/>
      </rPr>
      <t>CATETERES/SONDAS;    NUMERO:    4   FR, TIPO:               UMBILICAL              VENOSO, PRESENTACION: UNIDAD</t>
    </r>
  </si>
  <si>
    <r>
      <rPr>
        <sz val="12"/>
        <rFont val="Times New Roman"/>
        <family val="1"/>
      </rPr>
      <t>CATETERES/SONDAS;   NUMERO:   2,5  FR, TIPO:               UMBILICAL              VENOSO, PRESENTACION: UNIDAD</t>
    </r>
  </si>
  <si>
    <r>
      <rPr>
        <sz val="12"/>
        <rFont val="Times New Roman"/>
        <family val="1"/>
      </rPr>
      <t>FILTROS  DE  DESLUOCOTIZACION;  USO: NEONATAL    PEDIATRICO,    CAPACIDAD DE  FILTRADO:  1  UNIDAD DE  GLOBULOS ROJOS,      CAPACIDAD      DEL      FILTRO: LOGARITMO 4</t>
    </r>
  </si>
  <si>
    <r>
      <rPr>
        <sz val="12"/>
        <rFont val="Times New Roman"/>
        <family val="1"/>
      </rPr>
      <t>HEMOSTATICOS     ABSORBIBLES;     TIPO: SURGIEL,     MEDIDA:     5     X     7,5     Cm, PRESENTACION: UNIDAD</t>
    </r>
  </si>
  <si>
    <r>
      <rPr>
        <sz val="12"/>
        <rFont val="Times New Roman"/>
        <family val="1"/>
      </rPr>
      <t>TROCAR   DE   PUNCION;   USO:  PUNCION TORAXICO, TIPO: N°8, CAMISA: SIN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</si>
</sst>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3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</borders>
  <cellStyleXfs count="8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20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5" fillId="3" borderId="1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left" vertical="center"/>
    </xf>
    <xf numFmtId="0" fontId="4" fillId="3" borderId="45" xfId="0" applyFont="1" applyFill="1" applyBorder="1" applyAlignment="1">
      <alignment horizontal="center" vertical="center" wrapText="1"/>
    </xf>
    <xf numFmtId="167" fontId="4" fillId="3" borderId="45" xfId="1" applyNumberFormat="1" applyFont="1" applyFill="1" applyBorder="1" applyAlignment="1" applyProtection="1">
      <alignment horizontal="right" vertical="center" wrapText="1"/>
    </xf>
    <xf numFmtId="3" fontId="4" fillId="3" borderId="45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14" fillId="3" borderId="44" xfId="0" applyFont="1" applyFill="1" applyBorder="1" applyAlignment="1">
      <alignment horizontal="center" vertical="center"/>
    </xf>
    <xf numFmtId="164" fontId="15" fillId="3" borderId="0" xfId="0" applyNumberFormat="1" applyFont="1" applyFill="1"/>
    <xf numFmtId="0" fontId="23" fillId="3" borderId="44" xfId="0" applyFont="1" applyFill="1" applyBorder="1" applyAlignment="1">
      <alignment horizontal="center" vertical="center" wrapText="1"/>
    </xf>
    <xf numFmtId="3" fontId="14" fillId="3" borderId="44" xfId="0" applyNumberFormat="1" applyFont="1" applyFill="1" applyBorder="1" applyAlignment="1">
      <alignment horizontal="center" vertical="center"/>
    </xf>
    <xf numFmtId="164" fontId="14" fillId="4" borderId="44" xfId="1" applyNumberFormat="1" applyFont="1" applyFill="1" applyBorder="1" applyAlignment="1" applyProtection="1">
      <alignment horizontal="right" vertical="center" wrapText="1"/>
    </xf>
    <xf numFmtId="3" fontId="14" fillId="3" borderId="44" xfId="6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14" fillId="0" borderId="44" xfId="0" applyFont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 wrapText="1"/>
    </xf>
    <xf numFmtId="3" fontId="14" fillId="3" borderId="47" xfId="0" applyNumberFormat="1" applyFont="1" applyFill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 wrapText="1"/>
    </xf>
    <xf numFmtId="3" fontId="14" fillId="3" borderId="48" xfId="0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 wrapText="1"/>
    </xf>
    <xf numFmtId="0" fontId="14" fillId="3" borderId="44" xfId="0" applyFont="1" applyFill="1" applyBorder="1" applyAlignment="1">
      <alignment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left" vertical="center"/>
    </xf>
    <xf numFmtId="0" fontId="0" fillId="3" borderId="44" xfId="0" applyFill="1" applyBorder="1" applyAlignment="1">
      <alignment horizontal="left" vertical="center"/>
    </xf>
    <xf numFmtId="44" fontId="14" fillId="3" borderId="49" xfId="1" applyNumberFormat="1" applyFont="1" applyFill="1" applyBorder="1" applyAlignment="1">
      <alignment horizontal="center" vertical="center"/>
    </xf>
    <xf numFmtId="44" fontId="14" fillId="3" borderId="50" xfId="1" applyNumberFormat="1" applyFont="1" applyFill="1" applyBorder="1" applyAlignment="1">
      <alignment horizontal="center" vertical="center"/>
    </xf>
    <xf numFmtId="44" fontId="14" fillId="3" borderId="51" xfId="1" applyNumberFormat="1" applyFont="1" applyFill="1" applyBorder="1" applyAlignment="1">
      <alignment horizontal="center" vertical="center"/>
    </xf>
    <xf numFmtId="0" fontId="22" fillId="3" borderId="52" xfId="0" applyFont="1" applyFill="1" applyBorder="1" applyAlignment="1">
      <alignment horizontal="center" vertical="center" wrapText="1"/>
    </xf>
    <xf numFmtId="0" fontId="22" fillId="3" borderId="53" xfId="0" applyFont="1" applyFill="1" applyBorder="1" applyAlignment="1">
      <alignment horizontal="center" vertical="center" wrapText="1"/>
    </xf>
    <xf numFmtId="0" fontId="22" fillId="3" borderId="54" xfId="0" applyFont="1" applyFill="1" applyBorder="1" applyAlignment="1">
      <alignment horizontal="center" vertical="center" wrapText="1"/>
    </xf>
    <xf numFmtId="0" fontId="22" fillId="3" borderId="55" xfId="0" applyFont="1" applyFill="1" applyBorder="1" applyAlignment="1">
      <alignment horizontal="center" vertical="center" wrapText="1"/>
    </xf>
    <xf numFmtId="164" fontId="22" fillId="3" borderId="56" xfId="0" applyNumberFormat="1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0" fillId="3" borderId="48" xfId="0" applyFill="1" applyBorder="1" applyAlignment="1">
      <alignment horizontal="left" vertical="center" wrapText="1"/>
    </xf>
    <xf numFmtId="0" fontId="0" fillId="3" borderId="44" xfId="0" applyFill="1" applyBorder="1" applyAlignment="1">
      <alignment horizontal="left" vertical="center" wrapText="1"/>
    </xf>
    <xf numFmtId="0" fontId="0" fillId="3" borderId="47" xfId="0" applyFill="1" applyBorder="1" applyAlignment="1">
      <alignment horizontal="left" vertical="center" wrapText="1"/>
    </xf>
    <xf numFmtId="0" fontId="15" fillId="3" borderId="0" xfId="0" applyFont="1" applyFill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47" xfId="0" applyFont="1" applyFill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4" fillId="3" borderId="44" xfId="0" applyFont="1" applyFill="1" applyBorder="1" applyAlignment="1">
      <alignment horizontal="left" vertical="center" wrapText="1"/>
    </xf>
    <xf numFmtId="0" fontId="26" fillId="6" borderId="44" xfId="0" applyFont="1" applyFill="1" applyBorder="1" applyAlignment="1">
      <alignment horizontal="left" vertical="center"/>
    </xf>
    <xf numFmtId="164" fontId="14" fillId="4" borderId="44" xfId="1" applyNumberFormat="1" applyFont="1" applyFill="1" applyBorder="1" applyAlignment="1" applyProtection="1">
      <alignment horizontal="center" vertical="center" wrapText="1"/>
    </xf>
    <xf numFmtId="44" fontId="14" fillId="3" borderId="49" xfId="1" applyNumberFormat="1" applyFont="1" applyFill="1" applyBorder="1" applyAlignment="1">
      <alignment vertical="center"/>
    </xf>
    <xf numFmtId="164" fontId="14" fillId="4" borderId="44" xfId="1" applyNumberFormat="1" applyFont="1" applyFill="1" applyBorder="1" applyAlignment="1" applyProtection="1">
      <alignment vertical="center" wrapText="1"/>
    </xf>
    <xf numFmtId="0" fontId="6" fillId="3" borderId="11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10" xfId="0" applyFill="1" applyBorder="1"/>
    <xf numFmtId="0" fontId="0" fillId="0" borderId="44" xfId="0" applyBorder="1" applyAlignment="1">
      <alignment horizontal="center" vertical="center"/>
    </xf>
    <xf numFmtId="0" fontId="15" fillId="5" borderId="0" xfId="0" applyFont="1" applyFill="1"/>
    <xf numFmtId="0" fontId="15" fillId="0" borderId="3" xfId="0" applyFont="1" applyFill="1" applyBorder="1"/>
    <xf numFmtId="0" fontId="15" fillId="0" borderId="4" xfId="0" applyFont="1" applyFill="1" applyBorder="1"/>
    <xf numFmtId="0" fontId="15" fillId="0" borderId="0" xfId="0" applyFont="1" applyFill="1"/>
    <xf numFmtId="164" fontId="15" fillId="0" borderId="0" xfId="0" applyNumberFormat="1" applyFont="1" applyFill="1"/>
    <xf numFmtId="0" fontId="15" fillId="0" borderId="5" xfId="0" applyFont="1" applyFill="1" applyBorder="1"/>
    <xf numFmtId="0" fontId="15" fillId="0" borderId="0" xfId="0" applyFont="1" applyFill="1" applyBorder="1"/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8" xfId="0" applyFont="1" applyFill="1" applyBorder="1"/>
    <xf numFmtId="0" fontId="15" fillId="0" borderId="9" xfId="0" applyFont="1" applyFill="1" applyBorder="1"/>
    <xf numFmtId="0" fontId="15" fillId="0" borderId="2" xfId="0" applyFont="1" applyFill="1" applyBorder="1" applyAlignment="1"/>
    <xf numFmtId="0" fontId="15" fillId="0" borderId="3" xfId="0" applyFont="1" applyFill="1" applyBorder="1" applyAlignment="1"/>
    <xf numFmtId="0" fontId="15" fillId="0" borderId="5" xfId="6" applyFont="1" applyFill="1" applyBorder="1" applyAlignment="1">
      <alignment horizontal="left" wrapText="1"/>
    </xf>
    <xf numFmtId="0" fontId="15" fillId="0" borderId="0" xfId="6" applyFont="1" applyFill="1" applyBorder="1" applyAlignment="1">
      <alignment horizontal="left" wrapText="1"/>
    </xf>
    <xf numFmtId="0" fontId="15" fillId="0" borderId="6" xfId="6" applyFont="1" applyFill="1" applyBorder="1" applyAlignment="1">
      <alignment horizontal="left" wrapText="1"/>
    </xf>
    <xf numFmtId="0" fontId="24" fillId="0" borderId="5" xfId="7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 wrapText="1"/>
    </xf>
    <xf numFmtId="0" fontId="20" fillId="0" borderId="7" xfId="0" applyFont="1" applyFill="1" applyBorder="1" applyAlignment="1"/>
    <xf numFmtId="0" fontId="20" fillId="0" borderId="0" xfId="0" applyFont="1" applyFill="1" applyBorder="1" applyAlignment="1"/>
    <xf numFmtId="0" fontId="15" fillId="0" borderId="2" xfId="0" applyFont="1" applyFill="1" applyBorder="1" applyAlignment="1">
      <alignment vertical="center"/>
    </xf>
    <xf numFmtId="0" fontId="27" fillId="0" borderId="6" xfId="0" applyFont="1" applyFill="1" applyBorder="1"/>
    <xf numFmtId="0" fontId="27" fillId="0" borderId="2" xfId="0" applyFont="1" applyFill="1" applyBorder="1"/>
    <xf numFmtId="0" fontId="27" fillId="0" borderId="3" xfId="0" applyFont="1" applyFill="1" applyBorder="1"/>
    <xf numFmtId="0" fontId="15" fillId="0" borderId="0" xfId="0" applyFont="1" applyFill="1" applyBorder="1" applyAlignment="1"/>
    <xf numFmtId="0" fontId="27" fillId="0" borderId="5" xfId="0" applyFont="1" applyFill="1" applyBorder="1"/>
    <xf numFmtId="0" fontId="27" fillId="0" borderId="5" xfId="0" applyFont="1" applyFill="1" applyBorder="1" applyAlignment="1">
      <alignment wrapText="1"/>
    </xf>
    <xf numFmtId="0" fontId="15" fillId="0" borderId="5" xfId="0" applyFont="1" applyFill="1" applyBorder="1" applyAlignment="1"/>
    <xf numFmtId="0" fontId="27" fillId="0" borderId="2" xfId="0" applyFont="1" applyFill="1" applyBorder="1" applyAlignment="1"/>
    <xf numFmtId="0" fontId="30" fillId="0" borderId="5" xfId="7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vertical="center"/>
    </xf>
    <xf numFmtId="0" fontId="28" fillId="0" borderId="7" xfId="0" applyFont="1" applyFill="1" applyBorder="1" applyAlignment="1"/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167" fontId="0" fillId="3" borderId="35" xfId="3" applyNumberFormat="1" applyFont="1" applyFill="1" applyBorder="1" applyAlignment="1" applyProtection="1">
      <alignment horizontal="center" vertical="center"/>
    </xf>
    <xf numFmtId="167" fontId="13" fillId="3" borderId="40" xfId="0" applyNumberFormat="1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left" vertical="center"/>
    </xf>
    <xf numFmtId="0" fontId="4" fillId="7" borderId="45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 wrapText="1"/>
    </xf>
    <xf numFmtId="167" fontId="4" fillId="5" borderId="45" xfId="1" applyNumberFormat="1" applyFont="1" applyFill="1" applyBorder="1" applyAlignment="1" applyProtection="1">
      <alignment horizontal="right" vertical="center" wrapText="1"/>
    </xf>
    <xf numFmtId="3" fontId="4" fillId="5" borderId="45" xfId="0" applyNumberFormat="1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14" fillId="0" borderId="44" xfId="0" applyFont="1" applyBorder="1" applyAlignment="1">
      <alignment vertical="center" wrapText="1"/>
    </xf>
    <xf numFmtId="44" fontId="14" fillId="3" borderId="49" xfId="1" applyNumberFormat="1" applyFill="1" applyBorder="1" applyAlignment="1">
      <alignment horizontal="center" vertical="center"/>
    </xf>
    <xf numFmtId="44" fontId="14" fillId="3" borderId="49" xfId="1" applyNumberFormat="1" applyFill="1" applyBorder="1" applyAlignment="1">
      <alignment vertical="center"/>
    </xf>
    <xf numFmtId="44" fontId="14" fillId="3" borderId="51" xfId="1" applyNumberFormat="1" applyFill="1" applyBorder="1" applyAlignment="1">
      <alignment horizontal="center" vertical="center"/>
    </xf>
    <xf numFmtId="44" fontId="14" fillId="3" borderId="50" xfId="1" applyNumberFormat="1" applyFill="1" applyBorder="1" applyAlignment="1">
      <alignment horizontal="center" vertical="center"/>
    </xf>
    <xf numFmtId="0" fontId="0" fillId="3" borderId="44" xfId="0" applyFill="1" applyBorder="1" applyAlignment="1">
      <alignment vertical="center" wrapText="1"/>
    </xf>
    <xf numFmtId="0" fontId="26" fillId="8" borderId="44" xfId="0" applyFont="1" applyFill="1" applyBorder="1" applyAlignment="1">
      <alignment horizontal="left" vertical="center"/>
    </xf>
    <xf numFmtId="0" fontId="14" fillId="9" borderId="44" xfId="0" applyFont="1" applyFill="1" applyBorder="1" applyAlignment="1">
      <alignment vertical="center" wrapText="1"/>
    </xf>
    <xf numFmtId="0" fontId="27" fillId="9" borderId="0" xfId="0" applyFont="1" applyFill="1" applyBorder="1"/>
    <xf numFmtId="0" fontId="27" fillId="9" borderId="6" xfId="0" applyFont="1" applyFill="1" applyBorder="1"/>
    <xf numFmtId="0" fontId="31" fillId="0" borderId="57" xfId="0" applyFont="1" applyBorder="1" applyAlignment="1">
      <alignment horizontal="left" vertical="top" wrapText="1"/>
    </xf>
    <xf numFmtId="0" fontId="31" fillId="0" borderId="58" xfId="0" applyFont="1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31" fillId="0" borderId="59" xfId="0" applyFont="1" applyBorder="1" applyAlignment="1">
      <alignment horizontal="left" vertical="top" wrapText="1"/>
    </xf>
    <xf numFmtId="0" fontId="15" fillId="0" borderId="5" xfId="6" applyFont="1" applyFill="1" applyBorder="1" applyAlignment="1">
      <alignment horizontal="left" wrapText="1"/>
    </xf>
    <xf numFmtId="0" fontId="15" fillId="0" borderId="0" xfId="6" applyFont="1" applyFill="1" applyBorder="1" applyAlignment="1">
      <alignment horizontal="left" wrapText="1"/>
    </xf>
    <xf numFmtId="0" fontId="15" fillId="0" borderId="6" xfId="6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left" wrapText="1" indent="1"/>
    </xf>
    <xf numFmtId="0" fontId="15" fillId="0" borderId="5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0" fontId="15" fillId="0" borderId="6" xfId="0" applyFont="1" applyFill="1" applyBorder="1" applyAlignment="1">
      <alignment horizontal="left" wrapText="1"/>
    </xf>
    <xf numFmtId="0" fontId="4" fillId="5" borderId="45" xfId="0" applyFont="1" applyFill="1" applyBorder="1" applyAlignment="1">
      <alignment horizontal="left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 indent="1"/>
    </xf>
    <xf numFmtId="0" fontId="6" fillId="3" borderId="46" xfId="0" applyFont="1" applyFill="1" applyBorder="1" applyAlignment="1">
      <alignment horizontal="left" vertical="center" wrapText="1" indent="1"/>
    </xf>
    <xf numFmtId="168" fontId="7" fillId="3" borderId="14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9" fillId="3" borderId="40" xfId="0" applyFont="1" applyFill="1" applyBorder="1" applyAlignment="1">
      <alignment horizontal="left" vertical="center" wrapText="1"/>
    </xf>
    <xf numFmtId="0" fontId="0" fillId="0" borderId="22" xfId="0" applyBorder="1"/>
    <xf numFmtId="0" fontId="14" fillId="3" borderId="34" xfId="0" applyFont="1" applyFill="1" applyBorder="1" applyAlignment="1">
      <alignment horizontal="left" vertical="center" wrapText="1"/>
    </xf>
    <xf numFmtId="0" fontId="0" fillId="3" borderId="34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3" borderId="23" xfId="0" applyFont="1" applyFill="1" applyBorder="1"/>
    <xf numFmtId="0" fontId="11" fillId="3" borderId="24" xfId="0" applyFont="1" applyFill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 wrapText="1"/>
    </xf>
    <xf numFmtId="0" fontId="4" fillId="3" borderId="42" xfId="0" applyFont="1" applyFill="1" applyBorder="1" applyAlignment="1">
      <alignment horizontal="left" vertical="center" wrapText="1"/>
    </xf>
    <xf numFmtId="0" fontId="4" fillId="3" borderId="43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3" borderId="11" xfId="0" applyFont="1" applyFill="1" applyBorder="1"/>
    <xf numFmtId="0" fontId="14" fillId="3" borderId="0" xfId="0" applyFont="1" applyFill="1" applyAlignment="1">
      <alignment horizontal="left" vertical="center"/>
    </xf>
    <xf numFmtId="0" fontId="14" fillId="3" borderId="48" xfId="0" applyFont="1" applyFill="1" applyBorder="1" applyAlignment="1">
      <alignment horizontal="left" vertical="center"/>
    </xf>
  </cellXfs>
  <cellStyles count="8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</cellStyles>
  <dxfs count="1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D88"/>
  <sheetViews>
    <sheetView tabSelected="1" zoomScale="75" zoomScaleNormal="75" workbookViewId="0">
      <selection activeCell="K8" sqref="K8"/>
    </sheetView>
  </sheetViews>
  <sheetFormatPr baseColWidth="10" defaultColWidth="11" defaultRowHeight="12.75" x14ac:dyDescent="0.2"/>
  <cols>
    <col min="1" max="1" width="4.5703125" style="44" customWidth="1"/>
    <col min="2" max="2" width="20.5703125" style="44" customWidth="1"/>
    <col min="3" max="3" width="35.85546875" style="44" bestFit="1" customWidth="1"/>
    <col min="4" max="4" width="8.42578125" style="44" customWidth="1"/>
    <col min="5" max="5" width="84.42578125" style="44" customWidth="1"/>
    <col min="6" max="6" width="11" style="44"/>
    <col min="7" max="7" width="14.7109375" style="44" customWidth="1"/>
    <col min="8" max="8" width="15.7109375" style="44" customWidth="1"/>
    <col min="9" max="9" width="18.5703125" style="48" customWidth="1"/>
    <col min="10" max="10" width="13.28515625" style="44" customWidth="1"/>
    <col min="11" max="11" width="64.28515625" style="44" customWidth="1"/>
    <col min="12" max="12" width="11" style="44"/>
    <col min="13" max="13" width="13.7109375" style="44" customWidth="1"/>
    <col min="14" max="16384" width="11" style="44"/>
  </cols>
  <sheetData>
    <row r="2" spans="1:14" ht="27" x14ac:dyDescent="0.35">
      <c r="B2" s="155" t="s">
        <v>0</v>
      </c>
      <c r="C2" s="155"/>
      <c r="D2" s="155"/>
      <c r="E2" s="155"/>
      <c r="F2" s="155"/>
      <c r="G2" s="155"/>
      <c r="H2" s="155"/>
    </row>
    <row r="3" spans="1:14" ht="12" customHeight="1" x14ac:dyDescent="0.2"/>
    <row r="4" spans="1:14" ht="18" customHeight="1" x14ac:dyDescent="0.25">
      <c r="A4" s="156" t="s">
        <v>1</v>
      </c>
      <c r="B4" s="156"/>
      <c r="C4" s="157" t="s">
        <v>51</v>
      </c>
      <c r="D4" s="157"/>
      <c r="E4" s="157"/>
      <c r="F4" s="45"/>
      <c r="G4" s="46"/>
      <c r="H4" s="45"/>
    </row>
    <row r="5" spans="1:14" ht="18" customHeight="1" x14ac:dyDescent="0.25">
      <c r="A5" s="156" t="s">
        <v>2</v>
      </c>
      <c r="B5" s="156"/>
      <c r="C5" s="157" t="s">
        <v>103</v>
      </c>
      <c r="D5" s="157"/>
      <c r="E5" s="157"/>
      <c r="F5" s="45"/>
      <c r="G5" s="46"/>
      <c r="H5" s="45"/>
    </row>
    <row r="6" spans="1:14" ht="16.5" customHeight="1" x14ac:dyDescent="0.25">
      <c r="A6" s="156" t="s">
        <v>3</v>
      </c>
      <c r="B6" s="156"/>
      <c r="C6" s="42">
        <v>2022</v>
      </c>
      <c r="D6" s="43"/>
      <c r="E6" s="43"/>
      <c r="F6" s="45"/>
      <c r="G6" s="46"/>
      <c r="H6" s="45"/>
    </row>
    <row r="7" spans="1:14" ht="16.5" customHeight="1" x14ac:dyDescent="0.25">
      <c r="A7" s="156" t="s">
        <v>4</v>
      </c>
      <c r="B7" s="156"/>
      <c r="C7" s="42">
        <v>3</v>
      </c>
      <c r="D7" s="43"/>
      <c r="E7" s="43"/>
      <c r="F7" s="45"/>
      <c r="G7" s="46"/>
      <c r="H7" s="45"/>
    </row>
    <row r="8" spans="1:14" ht="13.5" thickBot="1" x14ac:dyDescent="0.25">
      <c r="B8" s="45"/>
      <c r="C8" s="46"/>
      <c r="D8" s="45"/>
      <c r="E8" s="45"/>
      <c r="F8" s="45"/>
      <c r="G8" s="46"/>
      <c r="H8" s="45"/>
    </row>
    <row r="9" spans="1:14" ht="54" customHeight="1" thickBot="1" x14ac:dyDescent="0.25">
      <c r="A9" s="69" t="s">
        <v>5</v>
      </c>
      <c r="B9" s="70" t="s">
        <v>6</v>
      </c>
      <c r="C9" s="70" t="s">
        <v>7</v>
      </c>
      <c r="D9" s="71" t="s">
        <v>8</v>
      </c>
      <c r="E9" s="74" t="s">
        <v>9</v>
      </c>
      <c r="F9" s="72" t="s">
        <v>10</v>
      </c>
      <c r="G9" s="70" t="s">
        <v>11</v>
      </c>
      <c r="H9" s="71" t="s">
        <v>12</v>
      </c>
      <c r="I9" s="73" t="s">
        <v>13</v>
      </c>
    </row>
    <row r="10" spans="1:14" s="78" customFormat="1" ht="50.1" customHeight="1" x14ac:dyDescent="0.2">
      <c r="A10" s="58">
        <v>1</v>
      </c>
      <c r="B10" s="64" t="s">
        <v>62</v>
      </c>
      <c r="C10" s="83" t="s">
        <v>61</v>
      </c>
      <c r="D10" s="49">
        <v>295</v>
      </c>
      <c r="E10" s="62" t="s">
        <v>77</v>
      </c>
      <c r="F10" s="47" t="s">
        <v>57</v>
      </c>
      <c r="G10" s="50">
        <v>100</v>
      </c>
      <c r="H10" s="66">
        <v>225</v>
      </c>
      <c r="I10" s="51">
        <f t="shared" ref="I10:I22" si="0">+G10*H10</f>
        <v>22500</v>
      </c>
      <c r="J10" s="64" t="s">
        <v>62</v>
      </c>
      <c r="K10" s="138" t="s">
        <v>77</v>
      </c>
      <c r="L10" s="47" t="s">
        <v>57</v>
      </c>
      <c r="M10" s="139">
        <v>225</v>
      </c>
      <c r="N10" s="78">
        <v>1</v>
      </c>
    </row>
    <row r="11" spans="1:14" s="78" customFormat="1" ht="50.1" customHeight="1" x14ac:dyDescent="0.2">
      <c r="A11" s="58">
        <v>2</v>
      </c>
      <c r="B11" s="144" t="s">
        <v>64</v>
      </c>
      <c r="C11" s="76" t="s">
        <v>61</v>
      </c>
      <c r="D11" s="49">
        <v>295</v>
      </c>
      <c r="E11" s="145" t="s">
        <v>78</v>
      </c>
      <c r="F11" s="47" t="s">
        <v>57</v>
      </c>
      <c r="G11" s="50">
        <v>30</v>
      </c>
      <c r="H11" s="66">
        <v>415</v>
      </c>
      <c r="I11" s="85">
        <f t="shared" si="0"/>
        <v>12450</v>
      </c>
      <c r="J11" s="84" t="s">
        <v>64</v>
      </c>
      <c r="K11" s="62" t="s">
        <v>78</v>
      </c>
      <c r="L11" s="47" t="s">
        <v>57</v>
      </c>
      <c r="M11" s="139">
        <v>415</v>
      </c>
      <c r="N11" s="78">
        <v>2</v>
      </c>
    </row>
    <row r="12" spans="1:14" s="78" customFormat="1" ht="50.1" customHeight="1" x14ac:dyDescent="0.2">
      <c r="A12" s="58">
        <v>3</v>
      </c>
      <c r="B12" s="64" t="s">
        <v>80</v>
      </c>
      <c r="C12" s="76" t="s">
        <v>61</v>
      </c>
      <c r="D12" s="49">
        <v>295</v>
      </c>
      <c r="E12" s="62" t="s">
        <v>79</v>
      </c>
      <c r="F12" s="47" t="s">
        <v>57</v>
      </c>
      <c r="G12" s="50">
        <v>10</v>
      </c>
      <c r="H12" s="66">
        <v>870</v>
      </c>
      <c r="I12" s="51">
        <f t="shared" si="0"/>
        <v>8700</v>
      </c>
      <c r="J12" s="64" t="s">
        <v>80</v>
      </c>
      <c r="K12" s="62" t="s">
        <v>79</v>
      </c>
      <c r="L12" s="47" t="s">
        <v>57</v>
      </c>
      <c r="M12" s="139">
        <v>870</v>
      </c>
      <c r="N12" s="78">
        <v>3</v>
      </c>
    </row>
    <row r="13" spans="1:14" s="78" customFormat="1" ht="50.1" customHeight="1" x14ac:dyDescent="0.2">
      <c r="A13" s="58">
        <v>4</v>
      </c>
      <c r="B13" s="64" t="s">
        <v>63</v>
      </c>
      <c r="C13" s="76" t="s">
        <v>61</v>
      </c>
      <c r="D13" s="49">
        <v>295</v>
      </c>
      <c r="E13" s="143" t="s">
        <v>99</v>
      </c>
      <c r="F13" s="47" t="s">
        <v>57</v>
      </c>
      <c r="G13" s="50">
        <v>12</v>
      </c>
      <c r="H13" s="86">
        <v>13500</v>
      </c>
      <c r="I13" s="87">
        <f t="shared" si="0"/>
        <v>162000</v>
      </c>
      <c r="J13" s="64" t="s">
        <v>63</v>
      </c>
      <c r="K13" s="143" t="s">
        <v>99</v>
      </c>
      <c r="L13" s="47" t="s">
        <v>57</v>
      </c>
      <c r="M13" s="140">
        <v>13500</v>
      </c>
      <c r="N13" s="78">
        <v>4</v>
      </c>
    </row>
    <row r="14" spans="1:14" s="78" customFormat="1" ht="50.1" customHeight="1" x14ac:dyDescent="0.2">
      <c r="A14" s="58">
        <v>5</v>
      </c>
      <c r="B14" s="64" t="s">
        <v>81</v>
      </c>
      <c r="C14" s="76" t="s">
        <v>61</v>
      </c>
      <c r="D14" s="49">
        <v>295</v>
      </c>
      <c r="E14" s="62" t="s">
        <v>82</v>
      </c>
      <c r="F14" s="63" t="s">
        <v>57</v>
      </c>
      <c r="G14" s="50">
        <v>60</v>
      </c>
      <c r="H14" s="66">
        <v>9646</v>
      </c>
      <c r="I14" s="51">
        <f t="shared" si="0"/>
        <v>578760</v>
      </c>
      <c r="J14" s="64" t="s">
        <v>81</v>
      </c>
      <c r="K14" s="62" t="s">
        <v>82</v>
      </c>
      <c r="L14" s="63" t="s">
        <v>57</v>
      </c>
      <c r="M14" s="139">
        <v>9646</v>
      </c>
      <c r="N14" s="78">
        <v>5</v>
      </c>
    </row>
    <row r="15" spans="1:14" s="78" customFormat="1" ht="50.1" customHeight="1" x14ac:dyDescent="0.2">
      <c r="A15" s="58">
        <v>6</v>
      </c>
      <c r="B15" s="64" t="s">
        <v>83</v>
      </c>
      <c r="C15" s="76" t="s">
        <v>61</v>
      </c>
      <c r="D15" s="49">
        <v>295</v>
      </c>
      <c r="E15" s="62" t="s">
        <v>72</v>
      </c>
      <c r="F15" s="47" t="s">
        <v>57</v>
      </c>
      <c r="G15" s="50">
        <v>60</v>
      </c>
      <c r="H15" s="66">
        <v>10500</v>
      </c>
      <c r="I15" s="51">
        <f t="shared" si="0"/>
        <v>630000</v>
      </c>
      <c r="J15" s="64" t="s">
        <v>83</v>
      </c>
      <c r="K15" s="62" t="s">
        <v>72</v>
      </c>
      <c r="L15" s="47" t="s">
        <v>57</v>
      </c>
      <c r="M15" s="139">
        <v>10500</v>
      </c>
      <c r="N15" s="78">
        <v>6</v>
      </c>
    </row>
    <row r="16" spans="1:14" s="78" customFormat="1" ht="50.1" customHeight="1" x14ac:dyDescent="0.2">
      <c r="A16" s="58">
        <v>7</v>
      </c>
      <c r="B16" s="79" t="s">
        <v>84</v>
      </c>
      <c r="C16" s="76" t="s">
        <v>61</v>
      </c>
      <c r="D16" s="49">
        <v>295</v>
      </c>
      <c r="E16" s="62" t="s">
        <v>71</v>
      </c>
      <c r="F16" s="47" t="s">
        <v>57</v>
      </c>
      <c r="G16" s="50">
        <v>60</v>
      </c>
      <c r="H16" s="66">
        <v>9646</v>
      </c>
      <c r="I16" s="51">
        <f t="shared" si="0"/>
        <v>578760</v>
      </c>
      <c r="J16" s="201" t="s">
        <v>84</v>
      </c>
      <c r="K16" s="62" t="s">
        <v>71</v>
      </c>
      <c r="L16" s="47" t="s">
        <v>57</v>
      </c>
      <c r="M16" s="139">
        <v>9646</v>
      </c>
      <c r="N16" s="78">
        <v>7</v>
      </c>
    </row>
    <row r="17" spans="1:134" s="78" customFormat="1" ht="50.1" customHeight="1" x14ac:dyDescent="0.2">
      <c r="A17" s="58">
        <v>8</v>
      </c>
      <c r="B17" s="65" t="s">
        <v>69</v>
      </c>
      <c r="C17" s="76" t="s">
        <v>61</v>
      </c>
      <c r="D17" s="49">
        <v>295</v>
      </c>
      <c r="E17" s="62" t="s">
        <v>70</v>
      </c>
      <c r="F17" s="47" t="s">
        <v>57</v>
      </c>
      <c r="G17" s="50">
        <v>60</v>
      </c>
      <c r="H17" s="66">
        <v>10500</v>
      </c>
      <c r="I17" s="51">
        <f t="shared" si="0"/>
        <v>630000</v>
      </c>
      <c r="J17" s="65" t="s">
        <v>69</v>
      </c>
      <c r="K17" s="62" t="s">
        <v>70</v>
      </c>
      <c r="L17" s="47" t="s">
        <v>57</v>
      </c>
      <c r="M17" s="139">
        <v>10500</v>
      </c>
      <c r="N17" s="78">
        <v>8</v>
      </c>
    </row>
    <row r="18" spans="1:134" s="78" customFormat="1" ht="50.1" customHeight="1" x14ac:dyDescent="0.2">
      <c r="A18" s="58">
        <v>9</v>
      </c>
      <c r="B18" s="64" t="s">
        <v>85</v>
      </c>
      <c r="C18" s="76" t="s">
        <v>61</v>
      </c>
      <c r="D18" s="49">
        <v>295</v>
      </c>
      <c r="E18" s="62" t="s">
        <v>74</v>
      </c>
      <c r="F18" s="47" t="s">
        <v>57</v>
      </c>
      <c r="G18" s="50">
        <v>30</v>
      </c>
      <c r="H18" s="66">
        <v>19315</v>
      </c>
      <c r="I18" s="51">
        <f t="shared" si="0"/>
        <v>579450</v>
      </c>
      <c r="J18" s="64" t="s">
        <v>85</v>
      </c>
      <c r="K18" s="62" t="s">
        <v>74</v>
      </c>
      <c r="L18" s="47" t="s">
        <v>57</v>
      </c>
      <c r="M18" s="139">
        <v>19315</v>
      </c>
      <c r="N18" s="78">
        <v>9</v>
      </c>
    </row>
    <row r="19" spans="1:134" s="78" customFormat="1" ht="50.1" customHeight="1" x14ac:dyDescent="0.2">
      <c r="A19" s="58">
        <v>10</v>
      </c>
      <c r="B19" s="64" t="s">
        <v>86</v>
      </c>
      <c r="C19" s="76" t="s">
        <v>61</v>
      </c>
      <c r="D19" s="49">
        <v>295</v>
      </c>
      <c r="E19" s="62" t="s">
        <v>73</v>
      </c>
      <c r="F19" s="47" t="s">
        <v>57</v>
      </c>
      <c r="G19" s="50">
        <v>10</v>
      </c>
      <c r="H19" s="66">
        <v>16600</v>
      </c>
      <c r="I19" s="51">
        <f t="shared" si="0"/>
        <v>166000</v>
      </c>
      <c r="J19" s="64" t="s">
        <v>86</v>
      </c>
      <c r="K19" s="62" t="s">
        <v>73</v>
      </c>
      <c r="L19" s="47" t="s">
        <v>57</v>
      </c>
      <c r="M19" s="139">
        <v>16600</v>
      </c>
      <c r="N19" s="78">
        <v>10</v>
      </c>
    </row>
    <row r="20" spans="1:134" s="78" customFormat="1" ht="50.1" customHeight="1" x14ac:dyDescent="0.2">
      <c r="A20" s="58">
        <v>11</v>
      </c>
      <c r="B20" s="64" t="s">
        <v>88</v>
      </c>
      <c r="C20" s="76" t="s">
        <v>61</v>
      </c>
      <c r="D20" s="49">
        <v>295</v>
      </c>
      <c r="E20" s="62" t="s">
        <v>87</v>
      </c>
      <c r="F20" s="47" t="s">
        <v>57</v>
      </c>
      <c r="G20" s="50">
        <v>10</v>
      </c>
      <c r="H20" s="66">
        <v>16600</v>
      </c>
      <c r="I20" s="51">
        <f t="shared" si="0"/>
        <v>166000</v>
      </c>
      <c r="J20" s="64" t="s">
        <v>88</v>
      </c>
      <c r="K20" s="62" t="s">
        <v>87</v>
      </c>
      <c r="L20" s="47" t="s">
        <v>57</v>
      </c>
      <c r="M20" s="139">
        <v>16600</v>
      </c>
      <c r="N20" s="78">
        <v>11</v>
      </c>
    </row>
    <row r="21" spans="1:134" s="78" customFormat="1" ht="50.1" customHeight="1" x14ac:dyDescent="0.2">
      <c r="A21" s="58">
        <v>12</v>
      </c>
      <c r="B21" s="65" t="s">
        <v>67</v>
      </c>
      <c r="C21" s="76" t="s">
        <v>61</v>
      </c>
      <c r="D21" s="49">
        <v>295</v>
      </c>
      <c r="E21" s="62" t="s">
        <v>89</v>
      </c>
      <c r="F21" s="47" t="s">
        <v>57</v>
      </c>
      <c r="G21" s="50">
        <v>100</v>
      </c>
      <c r="H21" s="66">
        <v>1950</v>
      </c>
      <c r="I21" s="51">
        <f t="shared" si="0"/>
        <v>195000</v>
      </c>
      <c r="J21" s="65" t="s">
        <v>67</v>
      </c>
      <c r="K21" s="62" t="s">
        <v>89</v>
      </c>
      <c r="L21" s="47" t="s">
        <v>57</v>
      </c>
      <c r="M21" s="139">
        <v>1950</v>
      </c>
      <c r="N21" s="78">
        <v>12</v>
      </c>
    </row>
    <row r="22" spans="1:134" s="78" customFormat="1" ht="50.1" customHeight="1" x14ac:dyDescent="0.2">
      <c r="A22" s="58">
        <v>13</v>
      </c>
      <c r="B22" s="79" t="s">
        <v>91</v>
      </c>
      <c r="C22" s="76" t="s">
        <v>61</v>
      </c>
      <c r="D22" s="49">
        <v>295</v>
      </c>
      <c r="E22" s="62" t="s">
        <v>90</v>
      </c>
      <c r="F22" s="47" t="s">
        <v>57</v>
      </c>
      <c r="G22" s="50">
        <v>100</v>
      </c>
      <c r="H22" s="66">
        <v>1950</v>
      </c>
      <c r="I22" s="51">
        <f t="shared" si="0"/>
        <v>195000</v>
      </c>
      <c r="J22" s="201" t="s">
        <v>91</v>
      </c>
      <c r="K22" s="62" t="s">
        <v>90</v>
      </c>
      <c r="L22" s="47" t="s">
        <v>57</v>
      </c>
      <c r="M22" s="139">
        <v>1950</v>
      </c>
      <c r="N22" s="78">
        <v>13</v>
      </c>
    </row>
    <row r="23" spans="1:134" s="78" customFormat="1" ht="50.1" customHeight="1" x14ac:dyDescent="0.2">
      <c r="A23" s="58">
        <v>14</v>
      </c>
      <c r="B23" s="65" t="s">
        <v>68</v>
      </c>
      <c r="C23" s="76" t="s">
        <v>61</v>
      </c>
      <c r="D23" s="49">
        <v>295</v>
      </c>
      <c r="E23" s="62" t="s">
        <v>92</v>
      </c>
      <c r="F23" s="47" t="s">
        <v>57</v>
      </c>
      <c r="G23" s="50">
        <v>50</v>
      </c>
      <c r="H23" s="66">
        <v>1950</v>
      </c>
      <c r="I23" s="51">
        <f t="shared" ref="I23:I27" si="1">+G23*H23</f>
        <v>97500</v>
      </c>
      <c r="J23" s="65" t="s">
        <v>68</v>
      </c>
      <c r="K23" s="62" t="s">
        <v>92</v>
      </c>
      <c r="L23" s="47" t="s">
        <v>57</v>
      </c>
      <c r="M23" s="139">
        <v>1950</v>
      </c>
      <c r="N23" s="78">
        <v>14</v>
      </c>
    </row>
    <row r="24" spans="1:134" s="78" customFormat="1" ht="50.1" customHeight="1" x14ac:dyDescent="0.2">
      <c r="A24" s="58">
        <v>15</v>
      </c>
      <c r="B24" s="64" t="s">
        <v>94</v>
      </c>
      <c r="C24" s="76" t="s">
        <v>61</v>
      </c>
      <c r="D24" s="49">
        <v>295</v>
      </c>
      <c r="E24" s="62" t="s">
        <v>93</v>
      </c>
      <c r="F24" s="47" t="s">
        <v>57</v>
      </c>
      <c r="G24" s="50">
        <v>100</v>
      </c>
      <c r="H24" s="66">
        <v>2500</v>
      </c>
      <c r="I24" s="51">
        <f t="shared" si="1"/>
        <v>250000</v>
      </c>
      <c r="J24" s="64" t="s">
        <v>94</v>
      </c>
      <c r="K24" s="62" t="s">
        <v>93</v>
      </c>
      <c r="L24" s="47" t="s">
        <v>57</v>
      </c>
      <c r="M24" s="139">
        <v>2500</v>
      </c>
      <c r="N24" s="78">
        <v>15</v>
      </c>
    </row>
    <row r="25" spans="1:134" s="78" customFormat="1" ht="50.1" customHeight="1" x14ac:dyDescent="0.2">
      <c r="A25" s="58">
        <v>16</v>
      </c>
      <c r="B25" s="80" t="s">
        <v>96</v>
      </c>
      <c r="C25" s="77" t="s">
        <v>61</v>
      </c>
      <c r="D25" s="56">
        <v>295</v>
      </c>
      <c r="E25" s="62" t="s">
        <v>95</v>
      </c>
      <c r="F25" s="55" t="s">
        <v>57</v>
      </c>
      <c r="G25" s="57">
        <v>50</v>
      </c>
      <c r="H25" s="68">
        <v>2500</v>
      </c>
      <c r="I25" s="51">
        <f t="shared" si="1"/>
        <v>125000</v>
      </c>
      <c r="J25" s="80" t="s">
        <v>96</v>
      </c>
      <c r="K25" s="62" t="s">
        <v>95</v>
      </c>
      <c r="L25" s="55" t="s">
        <v>57</v>
      </c>
      <c r="M25" s="141">
        <v>2500</v>
      </c>
      <c r="N25" s="78">
        <v>16</v>
      </c>
    </row>
    <row r="26" spans="1:134" s="78" customFormat="1" ht="50.1" customHeight="1" x14ac:dyDescent="0.2">
      <c r="A26" s="58">
        <v>17</v>
      </c>
      <c r="B26" s="64" t="s">
        <v>98</v>
      </c>
      <c r="C26" s="76" t="s">
        <v>61</v>
      </c>
      <c r="D26" s="49">
        <v>295</v>
      </c>
      <c r="E26" s="62" t="s">
        <v>97</v>
      </c>
      <c r="F26" s="47" t="s">
        <v>57</v>
      </c>
      <c r="G26" s="50">
        <v>30</v>
      </c>
      <c r="H26" s="66">
        <v>2500</v>
      </c>
      <c r="I26" s="51">
        <f t="shared" si="1"/>
        <v>75000</v>
      </c>
      <c r="J26" s="64" t="s">
        <v>98</v>
      </c>
      <c r="K26" s="62" t="s">
        <v>97</v>
      </c>
      <c r="L26" s="47" t="s">
        <v>57</v>
      </c>
      <c r="M26" s="139">
        <v>2500</v>
      </c>
      <c r="N26" s="78">
        <v>17</v>
      </c>
    </row>
    <row r="27" spans="1:134" s="78" customFormat="1" ht="50.1" customHeight="1" x14ac:dyDescent="0.2">
      <c r="A27" s="58">
        <v>18</v>
      </c>
      <c r="B27" s="81" t="s">
        <v>76</v>
      </c>
      <c r="C27" s="76" t="s">
        <v>61</v>
      </c>
      <c r="D27" s="49">
        <v>295</v>
      </c>
      <c r="E27" s="61" t="s">
        <v>75</v>
      </c>
      <c r="F27" s="54" t="s">
        <v>57</v>
      </c>
      <c r="G27" s="91">
        <v>100</v>
      </c>
      <c r="H27" s="66">
        <v>6500</v>
      </c>
      <c r="I27" s="53">
        <f t="shared" si="1"/>
        <v>650000</v>
      </c>
      <c r="J27" s="65" t="s">
        <v>76</v>
      </c>
      <c r="K27" s="61" t="s">
        <v>75</v>
      </c>
      <c r="L27" s="54" t="s">
        <v>57</v>
      </c>
      <c r="M27" s="139">
        <v>6500</v>
      </c>
      <c r="N27" s="78">
        <v>18</v>
      </c>
    </row>
    <row r="28" spans="1:134" s="78" customFormat="1" ht="50.1" customHeight="1" x14ac:dyDescent="0.2">
      <c r="A28" s="58">
        <v>19</v>
      </c>
      <c r="B28" s="82" t="s">
        <v>59</v>
      </c>
      <c r="C28" s="75" t="s">
        <v>61</v>
      </c>
      <c r="D28" s="59">
        <v>295</v>
      </c>
      <c r="E28" s="61" t="s">
        <v>60</v>
      </c>
      <c r="F28" s="58" t="s">
        <v>57</v>
      </c>
      <c r="G28" s="60">
        <v>20</v>
      </c>
      <c r="H28" s="67">
        <v>4900</v>
      </c>
      <c r="I28" s="51">
        <f t="shared" ref="I28:I29" si="2">+G28*H28</f>
        <v>98000</v>
      </c>
      <c r="J28" s="202" t="s">
        <v>59</v>
      </c>
      <c r="K28" s="61" t="s">
        <v>60</v>
      </c>
      <c r="L28" s="58" t="s">
        <v>57</v>
      </c>
      <c r="M28" s="142">
        <v>4900</v>
      </c>
      <c r="N28" s="78">
        <v>19</v>
      </c>
    </row>
    <row r="29" spans="1:134" s="78" customFormat="1" ht="50.1" customHeight="1" x14ac:dyDescent="0.2">
      <c r="A29" s="58">
        <v>20</v>
      </c>
      <c r="B29" s="64" t="s">
        <v>66</v>
      </c>
      <c r="C29" s="76" t="s">
        <v>61</v>
      </c>
      <c r="D29" s="49">
        <v>295</v>
      </c>
      <c r="E29" s="76" t="s">
        <v>65</v>
      </c>
      <c r="F29" s="47" t="s">
        <v>57</v>
      </c>
      <c r="G29" s="52">
        <v>30</v>
      </c>
      <c r="H29" s="66">
        <v>1350</v>
      </c>
      <c r="I29" s="51">
        <f t="shared" si="2"/>
        <v>40500</v>
      </c>
      <c r="J29" s="64" t="s">
        <v>66</v>
      </c>
      <c r="K29" s="76" t="s">
        <v>65</v>
      </c>
      <c r="L29" s="47" t="s">
        <v>57</v>
      </c>
      <c r="M29" s="139">
        <v>1350</v>
      </c>
      <c r="N29" s="78">
        <v>20</v>
      </c>
    </row>
    <row r="31" spans="1:134" ht="13.5" thickBot="1" x14ac:dyDescent="0.25"/>
    <row r="32" spans="1:134" s="92" customFormat="1" ht="30.75" customHeight="1" x14ac:dyDescent="0.2">
      <c r="A32" s="95"/>
      <c r="B32" s="115" t="s">
        <v>135</v>
      </c>
      <c r="C32" s="116"/>
      <c r="D32" s="93"/>
      <c r="E32" s="94"/>
      <c r="F32" s="95"/>
      <c r="G32" s="95"/>
      <c r="H32" s="95"/>
      <c r="I32" s="96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  <c r="EC32" s="95"/>
      <c r="ED32" s="95"/>
    </row>
    <row r="33" spans="1:134" s="92" customFormat="1" ht="30.75" customHeight="1" x14ac:dyDescent="0.2">
      <c r="A33" s="95"/>
      <c r="B33" s="97"/>
      <c r="C33" s="146" t="s">
        <v>107</v>
      </c>
      <c r="D33" s="146"/>
      <c r="E33" s="147"/>
      <c r="F33" s="95"/>
      <c r="G33" s="95"/>
      <c r="H33" s="95"/>
      <c r="I33" s="96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  <c r="EC33" s="95"/>
      <c r="ED33" s="95"/>
    </row>
    <row r="34" spans="1:134" s="92" customFormat="1" ht="30.75" customHeight="1" x14ac:dyDescent="0.2">
      <c r="A34" s="95"/>
      <c r="B34" s="97"/>
      <c r="C34" s="98"/>
      <c r="D34" s="98"/>
      <c r="E34" s="99"/>
      <c r="F34" s="95"/>
      <c r="G34" s="95"/>
      <c r="H34" s="95"/>
      <c r="I34" s="96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DZ34" s="95"/>
      <c r="EA34" s="95"/>
      <c r="EB34" s="95"/>
      <c r="EC34" s="95"/>
      <c r="ED34" s="95"/>
    </row>
    <row r="35" spans="1:134" s="92" customFormat="1" ht="63.75" customHeight="1" x14ac:dyDescent="0.2">
      <c r="A35" s="95"/>
      <c r="B35" s="158" t="s">
        <v>112</v>
      </c>
      <c r="C35" s="159"/>
      <c r="D35" s="159"/>
      <c r="E35" s="160"/>
      <c r="F35" s="95"/>
      <c r="G35" s="95"/>
      <c r="H35" s="95"/>
      <c r="I35" s="96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DZ35" s="95"/>
      <c r="EA35" s="95"/>
      <c r="EB35" s="95"/>
      <c r="EC35" s="95"/>
      <c r="ED35" s="95"/>
    </row>
    <row r="36" spans="1:134" s="92" customFormat="1" x14ac:dyDescent="0.2">
      <c r="A36" s="95"/>
      <c r="B36" s="97"/>
      <c r="C36" s="98"/>
      <c r="D36" s="98"/>
      <c r="E36" s="99"/>
      <c r="F36" s="95"/>
      <c r="G36" s="95"/>
      <c r="H36" s="95"/>
      <c r="I36" s="96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5"/>
      <c r="DV36" s="95"/>
      <c r="DW36" s="95"/>
      <c r="DX36" s="95"/>
      <c r="DY36" s="95"/>
      <c r="DZ36" s="95"/>
      <c r="EA36" s="95"/>
      <c r="EB36" s="95"/>
      <c r="EC36" s="95"/>
      <c r="ED36" s="95"/>
    </row>
    <row r="37" spans="1:134" s="92" customFormat="1" ht="12.75" customHeight="1" x14ac:dyDescent="0.2">
      <c r="A37" s="95"/>
      <c r="B37" s="118" t="s">
        <v>108</v>
      </c>
      <c r="C37" s="98"/>
      <c r="D37" s="98"/>
      <c r="E37" s="99" t="s">
        <v>110</v>
      </c>
      <c r="F37" s="95"/>
      <c r="G37" s="95"/>
      <c r="H37" s="95"/>
      <c r="I37" s="96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  <c r="EC37" s="95"/>
      <c r="ED37" s="95"/>
    </row>
    <row r="38" spans="1:134" s="92" customFormat="1" x14ac:dyDescent="0.2">
      <c r="A38" s="95"/>
      <c r="B38" s="118"/>
      <c r="C38" s="98"/>
      <c r="D38" s="98"/>
      <c r="E38" s="99"/>
      <c r="F38" s="95"/>
      <c r="G38" s="95"/>
      <c r="H38" s="95"/>
      <c r="I38" s="96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</row>
    <row r="39" spans="1:134" s="92" customFormat="1" ht="30" customHeight="1" x14ac:dyDescent="0.2">
      <c r="A39" s="95"/>
      <c r="B39" s="119" t="s">
        <v>102</v>
      </c>
      <c r="C39" s="98"/>
      <c r="D39" s="98"/>
      <c r="E39" s="99"/>
      <c r="F39" s="95"/>
      <c r="G39" s="95"/>
      <c r="H39" s="95"/>
      <c r="I39" s="96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DZ39" s="95"/>
      <c r="EA39" s="95"/>
      <c r="EB39" s="95"/>
      <c r="EC39" s="95"/>
      <c r="ED39" s="95"/>
    </row>
    <row r="40" spans="1:134" s="92" customFormat="1" ht="27.75" customHeight="1" x14ac:dyDescent="0.2">
      <c r="A40" s="95"/>
      <c r="B40" s="118" t="s">
        <v>109</v>
      </c>
      <c r="C40" s="98"/>
      <c r="D40" s="98"/>
      <c r="E40" s="99" t="s">
        <v>111</v>
      </c>
      <c r="F40" s="95"/>
      <c r="G40" s="95"/>
      <c r="H40" s="95"/>
      <c r="I40" s="96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</row>
    <row r="41" spans="1:134" s="92" customFormat="1" x14ac:dyDescent="0.2">
      <c r="A41" s="95"/>
      <c r="B41" s="118"/>
      <c r="C41" s="98"/>
      <c r="D41" s="98"/>
      <c r="E41" s="99"/>
      <c r="F41" s="95"/>
      <c r="G41" s="95"/>
      <c r="H41" s="95"/>
      <c r="I41" s="96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</row>
    <row r="42" spans="1:134" s="92" customFormat="1" ht="13.5" thickBot="1" x14ac:dyDescent="0.25">
      <c r="A42" s="95"/>
      <c r="B42" s="100"/>
      <c r="C42" s="101"/>
      <c r="D42" s="101"/>
      <c r="E42" s="102"/>
      <c r="F42" s="95"/>
      <c r="G42" s="95"/>
      <c r="H42" s="95"/>
      <c r="I42" s="96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</row>
    <row r="43" spans="1:134" s="92" customFormat="1" x14ac:dyDescent="0.2">
      <c r="A43" s="95"/>
      <c r="B43" s="95"/>
      <c r="C43" s="95"/>
      <c r="D43" s="95"/>
      <c r="E43" s="95"/>
      <c r="F43" s="95"/>
      <c r="G43" s="95"/>
      <c r="H43" s="95"/>
      <c r="I43" s="96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  <c r="EC43" s="95"/>
      <c r="ED43" s="95"/>
    </row>
    <row r="44" spans="1:134" s="92" customFormat="1" ht="13.5" thickBot="1" x14ac:dyDescent="0.25">
      <c r="A44" s="95"/>
      <c r="B44" s="95"/>
      <c r="C44" s="95"/>
      <c r="D44" s="95"/>
      <c r="E44" s="95"/>
      <c r="F44" s="95"/>
      <c r="G44" s="95"/>
      <c r="H44" s="95"/>
      <c r="I44" s="96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</row>
    <row r="45" spans="1:134" s="92" customFormat="1" x14ac:dyDescent="0.2">
      <c r="A45" s="95"/>
      <c r="B45" s="121" t="s">
        <v>114</v>
      </c>
      <c r="C45" s="104"/>
      <c r="D45" s="93"/>
      <c r="E45" s="94"/>
      <c r="F45" s="95"/>
      <c r="G45" s="95"/>
      <c r="H45" s="95"/>
      <c r="I45" s="96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/>
      <c r="EC45" s="95"/>
      <c r="ED45" s="95"/>
    </row>
    <row r="46" spans="1:134" s="92" customFormat="1" x14ac:dyDescent="0.2">
      <c r="A46" s="95"/>
      <c r="B46" s="120"/>
      <c r="C46" s="117"/>
      <c r="D46" s="98"/>
      <c r="E46" s="114" t="s">
        <v>113</v>
      </c>
      <c r="F46" s="95"/>
      <c r="G46" s="95" t="s">
        <v>137</v>
      </c>
      <c r="H46" s="95"/>
      <c r="I46" s="96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/>
      <c r="EC46" s="95"/>
      <c r="ED46" s="95"/>
    </row>
    <row r="47" spans="1:134" s="92" customFormat="1" x14ac:dyDescent="0.2">
      <c r="A47" s="95"/>
      <c r="B47" s="120"/>
      <c r="C47" s="117"/>
      <c r="D47" s="98"/>
      <c r="E47" s="99"/>
      <c r="F47" s="95"/>
      <c r="G47" s="95"/>
      <c r="H47" s="95"/>
      <c r="I47" s="96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  <c r="EC47" s="95"/>
      <c r="ED47" s="95"/>
    </row>
    <row r="48" spans="1:134" s="92" customFormat="1" ht="14.25" customHeight="1" x14ac:dyDescent="0.2">
      <c r="A48" s="95"/>
      <c r="B48" s="152" t="s">
        <v>117</v>
      </c>
      <c r="C48" s="153"/>
      <c r="D48" s="153"/>
      <c r="E48" s="154"/>
      <c r="F48" s="95"/>
      <c r="G48" s="95"/>
      <c r="H48" s="95"/>
      <c r="I48" s="96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</row>
    <row r="49" spans="1:134" s="92" customFormat="1" ht="22.5" customHeight="1" x14ac:dyDescent="0.2">
      <c r="A49" s="95"/>
      <c r="B49" s="152"/>
      <c r="C49" s="153"/>
      <c r="D49" s="153"/>
      <c r="E49" s="154"/>
      <c r="F49" s="95"/>
      <c r="G49" s="95"/>
      <c r="H49" s="95"/>
      <c r="I49" s="96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  <c r="EC49" s="95"/>
      <c r="ED49" s="95"/>
    </row>
    <row r="50" spans="1:134" s="92" customFormat="1" ht="20.25" hidden="1" customHeight="1" x14ac:dyDescent="0.2">
      <c r="A50" s="95"/>
      <c r="B50" s="152"/>
      <c r="C50" s="153"/>
      <c r="D50" s="153"/>
      <c r="E50" s="154"/>
      <c r="F50" s="95"/>
      <c r="G50" s="95"/>
      <c r="H50" s="95"/>
      <c r="I50" s="96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DZ50" s="95"/>
      <c r="EA50" s="95"/>
      <c r="EB50" s="95"/>
      <c r="EC50" s="95"/>
      <c r="ED50" s="95"/>
    </row>
    <row r="51" spans="1:134" s="92" customFormat="1" ht="20.25" hidden="1" customHeight="1" x14ac:dyDescent="0.2">
      <c r="A51" s="95"/>
      <c r="B51" s="152"/>
      <c r="C51" s="153"/>
      <c r="D51" s="153"/>
      <c r="E51" s="154"/>
      <c r="F51" s="95"/>
      <c r="G51" s="95"/>
      <c r="H51" s="95"/>
      <c r="I51" s="96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/>
      <c r="DW51" s="95"/>
      <c r="DX51" s="95"/>
      <c r="DY51" s="95"/>
      <c r="DZ51" s="95"/>
      <c r="EA51" s="95"/>
      <c r="EB51" s="95"/>
      <c r="EC51" s="95"/>
      <c r="ED51" s="95"/>
    </row>
    <row r="52" spans="1:134" s="92" customFormat="1" ht="20.25" customHeight="1" x14ac:dyDescent="0.2">
      <c r="A52" s="95"/>
      <c r="B52" s="105"/>
      <c r="C52" s="106"/>
      <c r="D52" s="106"/>
      <c r="E52" s="107"/>
      <c r="F52" s="95"/>
      <c r="G52" s="95"/>
      <c r="H52" s="95"/>
      <c r="I52" s="96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DZ52" s="95"/>
      <c r="EA52" s="95"/>
      <c r="EB52" s="95"/>
      <c r="EC52" s="95"/>
      <c r="ED52" s="95"/>
    </row>
    <row r="53" spans="1:134" s="92" customFormat="1" ht="20.25" customHeight="1" x14ac:dyDescent="0.2">
      <c r="A53" s="95"/>
      <c r="B53" s="152" t="s">
        <v>118</v>
      </c>
      <c r="C53" s="153"/>
      <c r="D53" s="153"/>
      <c r="E53" s="154"/>
      <c r="F53" s="95"/>
      <c r="G53" s="95"/>
      <c r="H53" s="95"/>
      <c r="I53" s="96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  <c r="EC53" s="95"/>
      <c r="ED53" s="95"/>
    </row>
    <row r="54" spans="1:134" s="92" customFormat="1" ht="24.75" customHeight="1" x14ac:dyDescent="0.2">
      <c r="A54" s="95"/>
      <c r="B54" s="105"/>
      <c r="C54" s="106"/>
      <c r="D54" s="106"/>
      <c r="E54" s="107"/>
      <c r="F54" s="95"/>
      <c r="G54" s="95"/>
      <c r="H54" s="95"/>
      <c r="I54" s="96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  <c r="EC54" s="95"/>
      <c r="ED54" s="95"/>
    </row>
    <row r="55" spans="1:134" s="92" customFormat="1" ht="25.5" customHeight="1" x14ac:dyDescent="0.2">
      <c r="A55" s="95"/>
      <c r="B55" s="122" t="s">
        <v>119</v>
      </c>
      <c r="C55" s="109"/>
      <c r="D55" s="109"/>
      <c r="E55" s="110"/>
      <c r="F55" s="95"/>
      <c r="G55" s="95"/>
      <c r="H55" s="95"/>
      <c r="I55" s="96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</row>
    <row r="56" spans="1:134" s="92" customFormat="1" ht="22.5" customHeight="1" thickBot="1" x14ac:dyDescent="0.25">
      <c r="A56" s="95"/>
      <c r="B56" s="111" t="s">
        <v>120</v>
      </c>
      <c r="C56" s="101"/>
      <c r="D56" s="101"/>
      <c r="E56" s="102"/>
      <c r="F56" s="95"/>
      <c r="G56" s="95"/>
      <c r="H56" s="95"/>
      <c r="I56" s="96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  <c r="EC56" s="95"/>
      <c r="ED56" s="95"/>
    </row>
    <row r="57" spans="1:134" ht="13.5" thickBot="1" x14ac:dyDescent="0.25">
      <c r="A57" s="95"/>
      <c r="B57" s="95"/>
      <c r="C57" s="95"/>
      <c r="D57" s="95"/>
      <c r="E57" s="95"/>
      <c r="F57" s="95"/>
      <c r="G57" s="95"/>
      <c r="H57" s="95"/>
      <c r="I57" s="96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  <c r="EC57" s="95"/>
      <c r="ED57" s="95"/>
    </row>
    <row r="58" spans="1:134" s="92" customFormat="1" ht="18.75" customHeight="1" x14ac:dyDescent="0.2">
      <c r="A58" s="95"/>
      <c r="B58" s="121" t="s">
        <v>121</v>
      </c>
      <c r="C58" s="104"/>
      <c r="D58" s="93"/>
      <c r="E58" s="94"/>
      <c r="F58" s="95"/>
      <c r="G58" s="95"/>
      <c r="H58" s="95"/>
      <c r="I58" s="96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5"/>
      <c r="DV58" s="95"/>
      <c r="DW58" s="95"/>
      <c r="DX58" s="95"/>
      <c r="DY58" s="95"/>
      <c r="DZ58" s="95"/>
      <c r="EA58" s="95"/>
      <c r="EB58" s="95"/>
      <c r="EC58" s="95"/>
      <c r="ED58" s="95"/>
    </row>
    <row r="59" spans="1:134" s="92" customFormat="1" ht="18.75" customHeight="1" x14ac:dyDescent="0.2">
      <c r="A59" s="95"/>
      <c r="B59" s="120"/>
      <c r="C59" s="117"/>
      <c r="D59" s="98"/>
      <c r="E59" s="114" t="s">
        <v>115</v>
      </c>
      <c r="F59" s="95"/>
      <c r="G59" s="95" t="s">
        <v>136</v>
      </c>
      <c r="H59" s="95"/>
      <c r="I59" s="96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</row>
    <row r="60" spans="1:134" s="92" customFormat="1" ht="20.25" customHeight="1" x14ac:dyDescent="0.2">
      <c r="A60" s="95"/>
      <c r="B60" s="152" t="s">
        <v>116</v>
      </c>
      <c r="C60" s="153"/>
      <c r="D60" s="153"/>
      <c r="E60" s="154"/>
      <c r="F60" s="95"/>
      <c r="G60" s="95"/>
      <c r="H60" s="95"/>
      <c r="I60" s="96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  <c r="EC60" s="95"/>
      <c r="ED60" s="95"/>
    </row>
    <row r="61" spans="1:134" s="92" customFormat="1" ht="24.75" customHeight="1" x14ac:dyDescent="0.2">
      <c r="A61" s="95"/>
      <c r="B61" s="152"/>
      <c r="C61" s="153"/>
      <c r="D61" s="153"/>
      <c r="E61" s="154"/>
      <c r="F61" s="95"/>
      <c r="G61" s="95"/>
      <c r="H61" s="95"/>
      <c r="I61" s="96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</row>
    <row r="62" spans="1:134" s="92" customFormat="1" ht="24.75" customHeight="1" x14ac:dyDescent="0.2">
      <c r="A62" s="95"/>
      <c r="B62" s="105"/>
      <c r="C62" s="106"/>
      <c r="D62" s="106"/>
      <c r="E62" s="107"/>
      <c r="F62" s="95"/>
      <c r="G62" s="95"/>
      <c r="H62" s="95"/>
      <c r="I62" s="96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  <c r="EC62" s="95"/>
      <c r="ED62" s="95"/>
    </row>
    <row r="63" spans="1:134" s="92" customFormat="1" x14ac:dyDescent="0.2">
      <c r="A63" s="95"/>
      <c r="B63" s="152" t="s">
        <v>125</v>
      </c>
      <c r="C63" s="153"/>
      <c r="D63" s="153"/>
      <c r="E63" s="154"/>
      <c r="F63" s="95"/>
      <c r="G63" s="95"/>
      <c r="H63" s="95"/>
      <c r="I63" s="96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5"/>
      <c r="EA63" s="95"/>
      <c r="EB63" s="95"/>
      <c r="EC63" s="95"/>
      <c r="ED63" s="95"/>
    </row>
    <row r="64" spans="1:134" s="92" customFormat="1" x14ac:dyDescent="0.2">
      <c r="A64" s="95"/>
      <c r="B64" s="105"/>
      <c r="C64" s="106"/>
      <c r="D64" s="106"/>
      <c r="E64" s="107"/>
      <c r="F64" s="95"/>
      <c r="G64" s="95"/>
      <c r="H64" s="95"/>
      <c r="I64" s="96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5"/>
      <c r="DV64" s="95"/>
      <c r="DW64" s="95"/>
      <c r="DX64" s="95"/>
      <c r="DY64" s="95"/>
      <c r="DZ64" s="95"/>
      <c r="EA64" s="95"/>
      <c r="EB64" s="95"/>
      <c r="EC64" s="95"/>
      <c r="ED64" s="95"/>
    </row>
    <row r="65" spans="1:134" s="92" customFormat="1" ht="28.5" x14ac:dyDescent="0.2">
      <c r="A65" s="95"/>
      <c r="B65" s="122" t="s">
        <v>119</v>
      </c>
      <c r="C65" s="109"/>
      <c r="D65" s="109"/>
      <c r="E65" s="110"/>
      <c r="F65" s="95"/>
      <c r="G65" s="95"/>
      <c r="H65" s="95"/>
      <c r="I65" s="96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5"/>
      <c r="EA65" s="95"/>
      <c r="EB65" s="95"/>
      <c r="EC65" s="95"/>
      <c r="ED65" s="95"/>
    </row>
    <row r="66" spans="1:134" s="92" customFormat="1" ht="27.75" customHeight="1" thickBot="1" x14ac:dyDescent="0.25">
      <c r="A66" s="95"/>
      <c r="B66" s="124" t="s">
        <v>126</v>
      </c>
      <c r="C66" s="101"/>
      <c r="D66" s="101"/>
      <c r="E66" s="102"/>
      <c r="F66" s="95"/>
      <c r="G66" s="95"/>
      <c r="H66" s="95"/>
      <c r="I66" s="96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5"/>
      <c r="DV66" s="95"/>
      <c r="DW66" s="95"/>
      <c r="DX66" s="95"/>
      <c r="DY66" s="95"/>
      <c r="DZ66" s="95"/>
      <c r="EA66" s="95"/>
      <c r="EB66" s="95"/>
      <c r="EC66" s="95"/>
      <c r="ED66" s="95"/>
    </row>
    <row r="67" spans="1:134" s="92" customFormat="1" ht="27.75" customHeight="1" thickBot="1" x14ac:dyDescent="0.25">
      <c r="A67" s="95"/>
      <c r="B67" s="112"/>
      <c r="C67" s="98"/>
      <c r="D67" s="98"/>
      <c r="E67" s="98"/>
      <c r="F67" s="95"/>
      <c r="G67" s="95"/>
      <c r="H67" s="95"/>
      <c r="I67" s="96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5"/>
      <c r="DV67" s="95"/>
      <c r="DW67" s="95"/>
      <c r="DX67" s="95"/>
      <c r="DY67" s="95"/>
      <c r="DZ67" s="95"/>
      <c r="EA67" s="95"/>
      <c r="EB67" s="95"/>
      <c r="EC67" s="95"/>
      <c r="ED67" s="95"/>
    </row>
    <row r="68" spans="1:134" s="92" customFormat="1" ht="27.75" customHeight="1" x14ac:dyDescent="0.2">
      <c r="A68" s="95"/>
      <c r="B68" s="113" t="s">
        <v>123</v>
      </c>
      <c r="C68" s="104"/>
      <c r="D68" s="93"/>
      <c r="E68" s="94"/>
      <c r="F68" s="95"/>
      <c r="G68" s="95" t="s">
        <v>122</v>
      </c>
      <c r="H68" s="95"/>
      <c r="I68" s="96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5"/>
      <c r="EA68" s="95"/>
      <c r="EB68" s="95"/>
      <c r="EC68" s="95"/>
      <c r="ED68" s="95"/>
    </row>
    <row r="69" spans="1:134" s="92" customFormat="1" ht="27.75" customHeight="1" x14ac:dyDescent="0.2">
      <c r="A69" s="95"/>
      <c r="B69" s="123"/>
      <c r="C69" s="117"/>
      <c r="D69" s="98"/>
      <c r="E69" s="114" t="s">
        <v>122</v>
      </c>
      <c r="F69" s="95"/>
      <c r="G69" s="95"/>
      <c r="H69" s="95"/>
      <c r="I69" s="96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5"/>
      <c r="EA69" s="95"/>
      <c r="EB69" s="95"/>
      <c r="EC69" s="95"/>
      <c r="ED69" s="95"/>
    </row>
    <row r="70" spans="1:134" s="92" customFormat="1" ht="3" customHeight="1" x14ac:dyDescent="0.2">
      <c r="A70" s="95"/>
      <c r="B70" s="123"/>
      <c r="C70" s="117"/>
      <c r="D70" s="98"/>
      <c r="E70" s="99"/>
      <c r="F70" s="95"/>
      <c r="G70" s="95"/>
      <c r="H70" s="95"/>
      <c r="I70" s="96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5"/>
      <c r="DV70" s="95"/>
      <c r="DW70" s="95"/>
      <c r="DX70" s="95"/>
      <c r="DY70" s="95"/>
      <c r="DZ70" s="95"/>
      <c r="EA70" s="95"/>
      <c r="EB70" s="95"/>
      <c r="EC70" s="95"/>
      <c r="ED70" s="95"/>
    </row>
    <row r="71" spans="1:134" s="92" customFormat="1" ht="10.5" customHeight="1" x14ac:dyDescent="0.2">
      <c r="A71" s="95"/>
      <c r="B71" s="152" t="s">
        <v>124</v>
      </c>
      <c r="C71" s="153"/>
      <c r="D71" s="153"/>
      <c r="E71" s="154"/>
      <c r="F71" s="95"/>
      <c r="G71" s="95"/>
      <c r="H71" s="95"/>
      <c r="I71" s="96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/>
      <c r="DY71" s="95"/>
      <c r="DZ71" s="95"/>
      <c r="EA71" s="95"/>
      <c r="EB71" s="95"/>
      <c r="EC71" s="95"/>
      <c r="ED71" s="95"/>
    </row>
    <row r="72" spans="1:134" s="92" customFormat="1" ht="27" customHeight="1" x14ac:dyDescent="0.2">
      <c r="A72" s="95"/>
      <c r="B72" s="152"/>
      <c r="C72" s="153"/>
      <c r="D72" s="153"/>
      <c r="E72" s="154"/>
      <c r="F72" s="95"/>
      <c r="G72" s="95"/>
      <c r="H72" s="95"/>
      <c r="I72" s="96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5"/>
      <c r="EA72" s="95"/>
      <c r="EB72" s="95"/>
      <c r="EC72" s="95"/>
      <c r="ED72" s="95"/>
    </row>
    <row r="73" spans="1:134" s="92" customFormat="1" ht="27.75" customHeight="1" x14ac:dyDescent="0.2">
      <c r="A73" s="95"/>
      <c r="B73" s="152" t="s">
        <v>127</v>
      </c>
      <c r="C73" s="153"/>
      <c r="D73" s="153"/>
      <c r="E73" s="154"/>
      <c r="F73" s="95"/>
      <c r="G73" s="95"/>
      <c r="H73" s="95"/>
      <c r="I73" s="96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5"/>
      <c r="EA73" s="95"/>
      <c r="EB73" s="95"/>
      <c r="EC73" s="95"/>
      <c r="ED73" s="95"/>
    </row>
    <row r="74" spans="1:134" s="92" customFormat="1" ht="27.75" customHeight="1" x14ac:dyDescent="0.2">
      <c r="A74" s="95"/>
      <c r="B74" s="105"/>
      <c r="C74" s="106"/>
      <c r="D74" s="106"/>
      <c r="E74" s="107"/>
      <c r="F74" s="95"/>
      <c r="G74" s="95"/>
      <c r="H74" s="95"/>
      <c r="I74" s="96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95"/>
      <c r="DL74" s="95"/>
      <c r="DM74" s="95"/>
      <c r="DN74" s="95"/>
      <c r="DO74" s="95"/>
      <c r="DP74" s="95"/>
      <c r="DQ74" s="95"/>
      <c r="DR74" s="95"/>
      <c r="DS74" s="95"/>
      <c r="DT74" s="95"/>
      <c r="DU74" s="95"/>
      <c r="DV74" s="95"/>
      <c r="DW74" s="95"/>
      <c r="DX74" s="95"/>
      <c r="DY74" s="95"/>
      <c r="DZ74" s="95"/>
      <c r="EA74" s="95"/>
      <c r="EB74" s="95"/>
      <c r="EC74" s="95"/>
      <c r="ED74" s="95"/>
    </row>
    <row r="75" spans="1:134" s="92" customFormat="1" ht="27.75" customHeight="1" x14ac:dyDescent="0.2">
      <c r="A75" s="95"/>
      <c r="B75" s="108" t="s">
        <v>54</v>
      </c>
      <c r="C75" s="109"/>
      <c r="D75" s="109"/>
      <c r="E75" s="110"/>
      <c r="F75" s="95"/>
      <c r="G75" s="95"/>
      <c r="H75" s="95"/>
      <c r="I75" s="96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</row>
    <row r="76" spans="1:134" ht="13.5" thickBot="1" x14ac:dyDescent="0.25">
      <c r="A76" s="95"/>
      <c r="B76" s="111" t="s">
        <v>128</v>
      </c>
      <c r="C76" s="101"/>
      <c r="D76" s="101"/>
      <c r="E76" s="102"/>
      <c r="F76" s="95"/>
      <c r="G76" s="95"/>
      <c r="H76" s="95"/>
      <c r="I76" s="96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95"/>
      <c r="DO76" s="95"/>
      <c r="DP76" s="95"/>
      <c r="DQ76" s="95"/>
      <c r="DR76" s="95"/>
      <c r="DS76" s="95"/>
      <c r="DT76" s="95"/>
      <c r="DU76" s="95"/>
      <c r="DV76" s="95"/>
      <c r="DW76" s="95"/>
      <c r="DX76" s="95"/>
      <c r="DY76" s="95"/>
      <c r="DZ76" s="95"/>
      <c r="EA76" s="95"/>
      <c r="EB76" s="95"/>
      <c r="EC76" s="95"/>
      <c r="ED76" s="95"/>
    </row>
    <row r="77" spans="1:134" ht="13.5" thickBot="1" x14ac:dyDescent="0.25">
      <c r="A77" s="95"/>
      <c r="B77" s="95"/>
      <c r="C77" s="95"/>
      <c r="D77" s="95"/>
      <c r="E77" s="95"/>
      <c r="F77" s="95"/>
      <c r="G77" s="95"/>
      <c r="H77" s="95"/>
      <c r="I77" s="96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95"/>
      <c r="DO77" s="95"/>
      <c r="DP77" s="95"/>
      <c r="DQ77" s="95"/>
      <c r="DR77" s="95"/>
      <c r="DS77" s="95"/>
      <c r="DT77" s="95"/>
      <c r="DU77" s="95"/>
      <c r="DV77" s="95"/>
      <c r="DW77" s="95"/>
      <c r="DX77" s="95"/>
      <c r="DY77" s="95"/>
      <c r="DZ77" s="95"/>
      <c r="EA77" s="95"/>
      <c r="EB77" s="95"/>
      <c r="EC77" s="95"/>
      <c r="ED77" s="95"/>
    </row>
    <row r="78" spans="1:134" x14ac:dyDescent="0.2">
      <c r="A78" s="95"/>
      <c r="B78" s="103" t="s">
        <v>130</v>
      </c>
      <c r="C78" s="104"/>
      <c r="D78" s="93"/>
      <c r="E78" s="94"/>
      <c r="F78" s="95"/>
      <c r="G78" s="95"/>
      <c r="H78" s="95"/>
      <c r="I78" s="96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95"/>
      <c r="DL78" s="95"/>
      <c r="DM78" s="95"/>
      <c r="DN78" s="95"/>
      <c r="DO78" s="95"/>
      <c r="DP78" s="95"/>
      <c r="DQ78" s="95"/>
      <c r="DR78" s="95"/>
      <c r="DS78" s="95"/>
      <c r="DT78" s="95"/>
      <c r="DU78" s="95"/>
      <c r="DV78" s="95"/>
      <c r="DW78" s="95"/>
      <c r="DX78" s="95"/>
      <c r="DY78" s="95"/>
      <c r="DZ78" s="95"/>
      <c r="EA78" s="95"/>
      <c r="EB78" s="95"/>
      <c r="EC78" s="95"/>
      <c r="ED78" s="95"/>
    </row>
    <row r="79" spans="1:134" x14ac:dyDescent="0.2">
      <c r="A79" s="95"/>
      <c r="B79" s="120"/>
      <c r="C79" s="117"/>
      <c r="D79" s="98"/>
      <c r="E79" s="114" t="s">
        <v>129</v>
      </c>
      <c r="F79" s="95"/>
      <c r="G79" s="95" t="s">
        <v>129</v>
      </c>
      <c r="H79" s="95"/>
      <c r="I79" s="96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95"/>
      <c r="DL79" s="95"/>
      <c r="DM79" s="95"/>
      <c r="DN79" s="95"/>
      <c r="DO79" s="95"/>
      <c r="DP79" s="95"/>
      <c r="DQ79" s="95"/>
      <c r="DR79" s="95"/>
      <c r="DS79" s="95"/>
      <c r="DT79" s="95"/>
      <c r="DU79" s="95"/>
      <c r="DV79" s="95"/>
      <c r="DW79" s="95"/>
      <c r="DX79" s="95"/>
      <c r="DY79" s="95"/>
      <c r="DZ79" s="95"/>
      <c r="EA79" s="95"/>
      <c r="EB79" s="95"/>
      <c r="EC79" s="95"/>
      <c r="ED79" s="95"/>
    </row>
    <row r="80" spans="1:134" x14ac:dyDescent="0.2">
      <c r="A80" s="95"/>
      <c r="B80" s="152" t="s">
        <v>124</v>
      </c>
      <c r="C80" s="153"/>
      <c r="D80" s="153"/>
      <c r="E80" s="154"/>
    </row>
    <row r="81" spans="1:5" x14ac:dyDescent="0.2">
      <c r="A81" s="95"/>
      <c r="B81" s="152"/>
      <c r="C81" s="153"/>
      <c r="D81" s="153"/>
      <c r="E81" s="154"/>
    </row>
    <row r="82" spans="1:5" ht="18" customHeight="1" x14ac:dyDescent="0.2">
      <c r="A82" s="95"/>
      <c r="B82" s="152"/>
      <c r="C82" s="153"/>
      <c r="D82" s="153"/>
      <c r="E82" s="154"/>
    </row>
    <row r="83" spans="1:5" x14ac:dyDescent="0.2">
      <c r="A83" s="95"/>
      <c r="B83" s="105"/>
      <c r="C83" s="106"/>
      <c r="D83" s="106"/>
      <c r="E83" s="107"/>
    </row>
    <row r="84" spans="1:5" ht="33" customHeight="1" x14ac:dyDescent="0.2">
      <c r="A84" s="95"/>
      <c r="B84" s="152" t="s">
        <v>131</v>
      </c>
      <c r="C84" s="153"/>
      <c r="D84" s="153"/>
      <c r="E84" s="154"/>
    </row>
    <row r="85" spans="1:5" x14ac:dyDescent="0.2">
      <c r="A85" s="95"/>
      <c r="B85" s="105"/>
      <c r="C85" s="106"/>
      <c r="D85" s="106"/>
      <c r="E85" s="107"/>
    </row>
    <row r="86" spans="1:5" ht="28.5" x14ac:dyDescent="0.2">
      <c r="A86" s="95"/>
      <c r="B86" s="122" t="s">
        <v>119</v>
      </c>
      <c r="C86" s="109"/>
      <c r="D86" s="109"/>
      <c r="E86" s="110"/>
    </row>
    <row r="87" spans="1:5" ht="15" x14ac:dyDescent="0.2">
      <c r="A87" s="95"/>
      <c r="B87" s="108"/>
      <c r="C87" s="109"/>
      <c r="D87" s="109"/>
      <c r="E87" s="110"/>
    </row>
    <row r="88" spans="1:5" ht="13.5" thickBot="1" x14ac:dyDescent="0.25">
      <c r="A88" s="95"/>
      <c r="B88" s="111" t="s">
        <v>132</v>
      </c>
      <c r="C88" s="101"/>
      <c r="D88" s="101"/>
      <c r="E88" s="102"/>
    </row>
  </sheetData>
  <sortState xmlns:xlrd2="http://schemas.microsoft.com/office/spreadsheetml/2017/richdata2" ref="A10:J32">
    <sortCondition ref="E10:E32"/>
  </sortState>
  <mergeCells count="16">
    <mergeCell ref="B84:E84"/>
    <mergeCell ref="B60:E61"/>
    <mergeCell ref="B2:H2"/>
    <mergeCell ref="A4:B4"/>
    <mergeCell ref="C4:E4"/>
    <mergeCell ref="A5:B5"/>
    <mergeCell ref="C5:E5"/>
    <mergeCell ref="A6:B6"/>
    <mergeCell ref="A7:B7"/>
    <mergeCell ref="B48:E51"/>
    <mergeCell ref="B35:E35"/>
    <mergeCell ref="B71:E72"/>
    <mergeCell ref="B73:E73"/>
    <mergeCell ref="B53:E53"/>
    <mergeCell ref="B63:E63"/>
    <mergeCell ref="B80:E82"/>
  </mergeCells>
  <conditionalFormatting sqref="B65">
    <cfRule type="duplicateValues" dxfId="15" priority="89"/>
  </conditionalFormatting>
  <conditionalFormatting sqref="B65">
    <cfRule type="duplicateValues" dxfId="14" priority="90"/>
  </conditionalFormatting>
  <conditionalFormatting sqref="B65">
    <cfRule type="duplicateValues" dxfId="13" priority="91"/>
  </conditionalFormatting>
  <conditionalFormatting sqref="B65">
    <cfRule type="duplicateValues" dxfId="12" priority="92"/>
  </conditionalFormatting>
  <conditionalFormatting sqref="B86:B87">
    <cfRule type="duplicateValues" dxfId="11" priority="69"/>
  </conditionalFormatting>
  <conditionalFormatting sqref="B86:B87">
    <cfRule type="duplicateValues" dxfId="10" priority="70"/>
  </conditionalFormatting>
  <conditionalFormatting sqref="B86:B87">
    <cfRule type="duplicateValues" dxfId="9" priority="71"/>
  </conditionalFormatting>
  <conditionalFormatting sqref="B86:B87">
    <cfRule type="duplicateValues" dxfId="8" priority="72"/>
  </conditionalFormatting>
  <conditionalFormatting sqref="B75">
    <cfRule type="duplicateValues" dxfId="7" priority="37"/>
  </conditionalFormatting>
  <conditionalFormatting sqref="B75">
    <cfRule type="duplicateValues" dxfId="6" priority="38"/>
  </conditionalFormatting>
  <conditionalFormatting sqref="B75">
    <cfRule type="duplicateValues" dxfId="5" priority="39"/>
  </conditionalFormatting>
  <conditionalFormatting sqref="B75">
    <cfRule type="duplicateValues" dxfId="4" priority="40"/>
  </conditionalFormatting>
  <conditionalFormatting sqref="B55">
    <cfRule type="duplicateValues" dxfId="3" priority="25"/>
  </conditionalFormatting>
  <conditionalFormatting sqref="B55">
    <cfRule type="duplicateValues" dxfId="2" priority="26"/>
  </conditionalFormatting>
  <conditionalFormatting sqref="B55">
    <cfRule type="duplicateValues" dxfId="1" priority="27"/>
  </conditionalFormatting>
  <conditionalFormatting sqref="B55">
    <cfRule type="duplicateValues" dxfId="0" priority="28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topLeftCell="B19" zoomScale="80" zoomScaleNormal="80" workbookViewId="0">
      <selection activeCell="H36" sqref="H36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59.285156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2" width="49.140625" style="30" customWidth="1"/>
    <col min="13" max="14" width="5.85546875" style="30" customWidth="1"/>
    <col min="15" max="15" width="12.5703125" style="30" customWidth="1"/>
    <col min="16" max="1024" width="9.140625" style="30"/>
    <col min="1025" max="16384" width="9.140625" style="31"/>
  </cols>
  <sheetData>
    <row r="1" spans="1:12" ht="18" customHeight="1" x14ac:dyDescent="0.2">
      <c r="A1" s="171" t="s">
        <v>14</v>
      </c>
      <c r="B1" s="171"/>
      <c r="C1" s="171"/>
      <c r="D1" s="171"/>
      <c r="E1" s="171"/>
      <c r="F1" s="171"/>
      <c r="G1" s="171"/>
      <c r="H1" s="171"/>
      <c r="I1" s="171"/>
      <c r="J1" s="29" t="s">
        <v>15</v>
      </c>
      <c r="K1" s="88" t="s">
        <v>55</v>
      </c>
    </row>
    <row r="2" spans="1:12" ht="18.75" customHeight="1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2" ht="18.75" customHeight="1" thickBot="1" x14ac:dyDescent="0.25">
      <c r="A3" s="172" t="s">
        <v>48</v>
      </c>
      <c r="B3" s="172"/>
      <c r="C3" s="172"/>
      <c r="D3" s="163" t="str">
        <f>'Necesidades Trimestrales'!C4</f>
        <v>040 - Ministerio de Salud</v>
      </c>
      <c r="E3" s="163"/>
      <c r="F3" s="163"/>
      <c r="G3" s="163"/>
      <c r="H3" s="163"/>
      <c r="I3" s="163"/>
      <c r="J3" s="163"/>
      <c r="K3" s="163"/>
    </row>
    <row r="4" spans="1:12" ht="18.75" customHeight="1" thickBot="1" x14ac:dyDescent="0.25">
      <c r="A4" s="173" t="s">
        <v>49</v>
      </c>
      <c r="B4" s="173"/>
      <c r="C4" s="173"/>
      <c r="D4" s="163" t="str">
        <f>'Necesidades Trimestrales'!C5</f>
        <v>28-Maternidad Provincial 25 de Mayo</v>
      </c>
      <c r="E4" s="163"/>
      <c r="F4" s="163"/>
      <c r="G4" s="163"/>
      <c r="H4" s="163"/>
      <c r="I4" s="163"/>
      <c r="J4" s="163"/>
      <c r="K4" s="163"/>
    </row>
    <row r="5" spans="1:12" ht="18.75" customHeight="1" thickBot="1" x14ac:dyDescent="0.25">
      <c r="A5" s="173" t="s">
        <v>27</v>
      </c>
      <c r="B5" s="173"/>
      <c r="C5" s="173"/>
      <c r="D5" s="163" t="s">
        <v>104</v>
      </c>
      <c r="E5" s="163"/>
      <c r="F5" s="163"/>
      <c r="G5" s="163"/>
      <c r="H5" s="163"/>
      <c r="I5" s="163"/>
      <c r="J5" s="163"/>
      <c r="K5" s="163"/>
    </row>
    <row r="6" spans="1:12" ht="16.5" customHeight="1" thickBot="1" x14ac:dyDescent="0.25">
      <c r="A6" s="172" t="s">
        <v>50</v>
      </c>
      <c r="B6" s="172"/>
      <c r="C6" s="172"/>
      <c r="D6" s="163" t="s">
        <v>105</v>
      </c>
      <c r="E6" s="163"/>
      <c r="F6" s="163"/>
      <c r="G6" s="163"/>
      <c r="H6" s="163"/>
      <c r="I6" s="163"/>
      <c r="J6" s="163"/>
      <c r="K6" s="163"/>
    </row>
    <row r="7" spans="1:12" ht="16.5" customHeight="1" x14ac:dyDescent="0.2">
      <c r="A7" s="173" t="s">
        <v>16</v>
      </c>
      <c r="B7" s="173"/>
      <c r="C7" s="173"/>
      <c r="D7" s="163" t="s">
        <v>56</v>
      </c>
      <c r="E7" s="163"/>
      <c r="F7" s="163"/>
      <c r="G7" s="163"/>
      <c r="H7" s="163"/>
      <c r="I7" s="163"/>
      <c r="J7" s="163"/>
      <c r="K7" s="163"/>
    </row>
    <row r="8" spans="1:12" ht="16.5" customHeight="1" x14ac:dyDescent="0.2">
      <c r="A8" s="166" t="s">
        <v>17</v>
      </c>
      <c r="B8" s="166"/>
      <c r="C8" s="166"/>
      <c r="D8" s="167" t="s">
        <v>58</v>
      </c>
      <c r="E8" s="167"/>
      <c r="F8" s="167"/>
      <c r="G8" s="167"/>
      <c r="H8" s="167"/>
      <c r="I8" s="167"/>
      <c r="J8" s="167"/>
      <c r="K8" s="167"/>
    </row>
    <row r="9" spans="1:12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2" ht="18.75" customHeight="1" x14ac:dyDescent="0.2">
      <c r="A10" s="168" t="s">
        <v>18</v>
      </c>
      <c r="B10" s="169" t="s">
        <v>19</v>
      </c>
      <c r="C10" s="169" t="s">
        <v>20</v>
      </c>
      <c r="D10" s="169"/>
      <c r="E10" s="169"/>
      <c r="F10" s="169"/>
      <c r="G10" s="169"/>
      <c r="H10" s="169" t="s">
        <v>21</v>
      </c>
      <c r="I10" s="169" t="s">
        <v>22</v>
      </c>
      <c r="J10" s="169" t="s">
        <v>23</v>
      </c>
      <c r="K10" s="170" t="s">
        <v>24</v>
      </c>
    </row>
    <row r="11" spans="1:12" ht="24" customHeight="1" x14ac:dyDescent="0.2">
      <c r="A11" s="168"/>
      <c r="B11" s="169"/>
      <c r="C11" s="169"/>
      <c r="D11" s="169"/>
      <c r="E11" s="169"/>
      <c r="F11" s="169"/>
      <c r="G11" s="169"/>
      <c r="H11" s="169"/>
      <c r="I11" s="169"/>
      <c r="J11" s="169"/>
      <c r="K11" s="170"/>
    </row>
    <row r="12" spans="1:12" ht="42.75" customHeight="1" thickBot="1" x14ac:dyDescent="0.25">
      <c r="A12" s="131">
        <v>1</v>
      </c>
      <c r="B12" s="132" t="str">
        <f>+'Necesidades Trimestrales'!B10</f>
        <v>2.9.5-3020.3</v>
      </c>
      <c r="C12" s="161" t="str">
        <f>+'Necesidades Trimestrales'!E10</f>
        <v>BOLSAS P/COLOSTOMIA; TIPO: DESCARTABLE ADHESIVA P/ ADULTOS, DIAMETRO DE ARO: SIN ARO</v>
      </c>
      <c r="D12" s="161"/>
      <c r="E12" s="161"/>
      <c r="F12" s="161"/>
      <c r="G12" s="161"/>
      <c r="H12" s="133" t="s">
        <v>53</v>
      </c>
      <c r="I12" s="134" t="str">
        <f>+'Necesidades Trimestrales'!F10</f>
        <v>UNIDAD</v>
      </c>
      <c r="J12" s="135">
        <f>+'Necesidades Trimestrales'!H10</f>
        <v>225</v>
      </c>
      <c r="K12" s="136">
        <f>+'Necesidades Trimestrales'!G10</f>
        <v>100</v>
      </c>
      <c r="L12" s="148" t="s">
        <v>138</v>
      </c>
    </row>
    <row r="13" spans="1:12" ht="42.75" customHeight="1" thickBot="1" x14ac:dyDescent="0.25">
      <c r="A13" s="131">
        <v>2</v>
      </c>
      <c r="B13" s="132" t="str">
        <f>+'Necesidades Trimestrales'!B11</f>
        <v>2.9.5-3020.8</v>
      </c>
      <c r="C13" s="161" t="str">
        <f>+'Necesidades Trimestrales'!E11</f>
        <v>BOLSAS P/COLOSTOMIA; TIPO: DESCARTABLE ADHESIVA PEDIATRICA, DIAMETRO: REGULABLE</v>
      </c>
      <c r="D13" s="161"/>
      <c r="E13" s="161"/>
      <c r="F13" s="161"/>
      <c r="G13" s="161"/>
      <c r="H13" s="137" t="s">
        <v>100</v>
      </c>
      <c r="I13" s="134" t="str">
        <f>+'Necesidades Trimestrales'!F11</f>
        <v>UNIDAD</v>
      </c>
      <c r="J13" s="135">
        <f>+'Necesidades Trimestrales'!H11</f>
        <v>415</v>
      </c>
      <c r="K13" s="136">
        <f>+'Necesidades Trimestrales'!G11</f>
        <v>30</v>
      </c>
      <c r="L13" s="148" t="s">
        <v>139</v>
      </c>
    </row>
    <row r="14" spans="1:12" ht="42.75" customHeight="1" thickBot="1" x14ac:dyDescent="0.25">
      <c r="A14" s="131">
        <v>3</v>
      </c>
      <c r="B14" s="132" t="str">
        <f>+'Necesidades Trimestrales'!B12</f>
        <v>2.9.5-4198.93</v>
      </c>
      <c r="C14" s="161" t="str">
        <f>+'Necesidades Trimestrales'!E12</f>
        <v>ELEMENTOS DESC. P/CIRUGIAS; TIPO: CAMPO QUIRURGICO 60 X 45 Cm, PRESENTACION: UNIDAD</v>
      </c>
      <c r="D14" s="161"/>
      <c r="E14" s="161"/>
      <c r="F14" s="161"/>
      <c r="G14" s="161"/>
      <c r="H14" s="137" t="s">
        <v>100</v>
      </c>
      <c r="I14" s="134" t="str">
        <f>+'Necesidades Trimestrales'!F12</f>
        <v>UNIDAD</v>
      </c>
      <c r="J14" s="135">
        <f>+'Necesidades Trimestrales'!H12</f>
        <v>870</v>
      </c>
      <c r="K14" s="136">
        <f>+'Necesidades Trimestrales'!G12</f>
        <v>10</v>
      </c>
      <c r="L14" s="148" t="s">
        <v>140</v>
      </c>
    </row>
    <row r="15" spans="1:12" ht="42.75" customHeight="1" thickBot="1" x14ac:dyDescent="0.25">
      <c r="A15" s="131">
        <v>4</v>
      </c>
      <c r="B15" s="132" t="str">
        <f>+'Necesidades Trimestrales'!B13</f>
        <v>2.9.5-2161.473</v>
      </c>
      <c r="C15" s="161" t="str">
        <f>+'Necesidades Trimestrales'!E13</f>
        <v>CATETERES/SONDAS; NUMERO: 7 FR X 26 CM, TIPO: DOBLE J COOK</v>
      </c>
      <c r="D15" s="161"/>
      <c r="E15" s="161"/>
      <c r="F15" s="161"/>
      <c r="G15" s="161"/>
      <c r="H15" s="137" t="s">
        <v>100</v>
      </c>
      <c r="I15" s="134" t="str">
        <f>+'Necesidades Trimestrales'!F13</f>
        <v>UNIDAD</v>
      </c>
      <c r="J15" s="135">
        <f>+'Necesidades Trimestrales'!H13</f>
        <v>13500</v>
      </c>
      <c r="K15" s="136">
        <f>+'Necesidades Trimestrales'!G13</f>
        <v>12</v>
      </c>
      <c r="L15" s="148" t="s">
        <v>141</v>
      </c>
    </row>
    <row r="16" spans="1:12" ht="42.75" customHeight="1" thickBot="1" x14ac:dyDescent="0.25">
      <c r="A16" s="131">
        <v>5</v>
      </c>
      <c r="B16" s="132" t="str">
        <f>+'Necesidades Trimestrales'!B14</f>
        <v>2.9.5-2161.587</v>
      </c>
      <c r="C16" s="161" t="str">
        <f>+'Necesidades Trimestrales'!E14</f>
        <v>CATETERES/SONDAS; NUMERO: 2,0 FR X 15 CM, TIPO: EPICUTANEO PEDIATRICO</v>
      </c>
      <c r="D16" s="161"/>
      <c r="E16" s="161"/>
      <c r="F16" s="161"/>
      <c r="G16" s="161"/>
      <c r="H16" s="137" t="s">
        <v>100</v>
      </c>
      <c r="I16" s="134" t="str">
        <f>+'Necesidades Trimestrales'!F14</f>
        <v>UNIDAD</v>
      </c>
      <c r="J16" s="135">
        <f>+'Necesidades Trimestrales'!H14</f>
        <v>9646</v>
      </c>
      <c r="K16" s="136">
        <f>+'Necesidades Trimestrales'!G14</f>
        <v>60</v>
      </c>
      <c r="L16" s="148" t="s">
        <v>142</v>
      </c>
    </row>
    <row r="17" spans="1:12" ht="42.75" customHeight="1" thickBot="1" x14ac:dyDescent="0.25">
      <c r="A17" s="131">
        <v>6</v>
      </c>
      <c r="B17" s="132" t="str">
        <f>+'Necesidades Trimestrales'!B15</f>
        <v>2.9.5-2161.588</v>
      </c>
      <c r="C17" s="161" t="str">
        <f>+'Necesidades Trimestrales'!E15</f>
        <v>CATETERES/SONDAS; NUMERO: 2,0 FR X 30 CM, TIPO: EPICUTANEO PEDIATRICO</v>
      </c>
      <c r="D17" s="161"/>
      <c r="E17" s="161"/>
      <c r="F17" s="161"/>
      <c r="G17" s="161"/>
      <c r="H17" s="137" t="s">
        <v>100</v>
      </c>
      <c r="I17" s="134" t="str">
        <f>+'Necesidades Trimestrales'!F15</f>
        <v>UNIDAD</v>
      </c>
      <c r="J17" s="135">
        <f>+'Necesidades Trimestrales'!H15</f>
        <v>10500</v>
      </c>
      <c r="K17" s="136">
        <f>+'Necesidades Trimestrales'!G15</f>
        <v>60</v>
      </c>
      <c r="L17" s="149" t="s">
        <v>143</v>
      </c>
    </row>
    <row r="18" spans="1:12" ht="42.75" customHeight="1" thickBot="1" x14ac:dyDescent="0.25">
      <c r="A18" s="131">
        <v>7</v>
      </c>
      <c r="B18" s="132" t="str">
        <f>+'Necesidades Trimestrales'!B16</f>
        <v>2.9.5-2161.589</v>
      </c>
      <c r="C18" s="161" t="str">
        <f>+'Necesidades Trimestrales'!E16</f>
        <v>CATETERES/SONDAS; NUMERO: 1,8 FR X 15 CM , TIPO: EPICUTANEO PREMATURO</v>
      </c>
      <c r="D18" s="161"/>
      <c r="E18" s="161"/>
      <c r="F18" s="161"/>
      <c r="G18" s="161"/>
      <c r="H18" s="137" t="s">
        <v>100</v>
      </c>
      <c r="I18" s="134" t="str">
        <f>+'Necesidades Trimestrales'!F16</f>
        <v>UNIDAD</v>
      </c>
      <c r="J18" s="135">
        <f>+'Necesidades Trimestrales'!H16</f>
        <v>9646</v>
      </c>
      <c r="K18" s="136">
        <f>+'Necesidades Trimestrales'!G16</f>
        <v>60</v>
      </c>
      <c r="L18" s="148" t="s">
        <v>144</v>
      </c>
    </row>
    <row r="19" spans="1:12" ht="42.75" customHeight="1" thickBot="1" x14ac:dyDescent="0.25">
      <c r="A19" s="131">
        <v>8</v>
      </c>
      <c r="B19" s="132" t="str">
        <f>+'Necesidades Trimestrales'!B17</f>
        <v>2.9.5-2161.391</v>
      </c>
      <c r="C19" s="161" t="str">
        <f>+'Necesidades Trimestrales'!E17</f>
        <v>CATETERES/SONDAS; NUMERO: 1,8 FR X 30 CM , TIPO: EPICUTANEO PREMATURO</v>
      </c>
      <c r="D19" s="161"/>
      <c r="E19" s="161"/>
      <c r="F19" s="161"/>
      <c r="G19" s="161"/>
      <c r="H19" s="137" t="s">
        <v>100</v>
      </c>
      <c r="I19" s="134" t="str">
        <f>+'Necesidades Trimestrales'!F17</f>
        <v>UNIDAD</v>
      </c>
      <c r="J19" s="135">
        <f>+'Necesidades Trimestrales'!H17</f>
        <v>10500</v>
      </c>
      <c r="K19" s="136">
        <f>+'Necesidades Trimestrales'!G17</f>
        <v>60</v>
      </c>
      <c r="L19" s="148" t="s">
        <v>145</v>
      </c>
    </row>
    <row r="20" spans="1:12" ht="42.75" customHeight="1" thickBot="1" x14ac:dyDescent="0.25">
      <c r="A20" s="131">
        <v>9</v>
      </c>
      <c r="B20" s="132" t="str">
        <f>+'Necesidades Trimestrales'!B18</f>
        <v>2.9.5-2161.594</v>
      </c>
      <c r="C20" s="161" t="str">
        <f>+'Necesidades Trimestrales'!E18</f>
        <v>CATETERES/SONDAS NUMERO 2 FR X 30 CM TIPO PICC PERCUTANEO CON INTRODUCTOR PELABLE</v>
      </c>
      <c r="D20" s="161"/>
      <c r="E20" s="161"/>
      <c r="F20" s="161"/>
      <c r="G20" s="161"/>
      <c r="H20" s="137" t="s">
        <v>53</v>
      </c>
      <c r="I20" s="134" t="str">
        <f>+'Necesidades Trimestrales'!F18</f>
        <v>UNIDAD</v>
      </c>
      <c r="J20" s="135">
        <f>+'Necesidades Trimestrales'!H18</f>
        <v>19315</v>
      </c>
      <c r="K20" s="136">
        <f>+'Necesidades Trimestrales'!G18</f>
        <v>30</v>
      </c>
      <c r="L20" s="148" t="s">
        <v>146</v>
      </c>
    </row>
    <row r="21" spans="1:12" ht="42.75" customHeight="1" thickBot="1" x14ac:dyDescent="0.25">
      <c r="A21" s="131">
        <v>10</v>
      </c>
      <c r="B21" s="132" t="str">
        <f>+'Necesidades Trimestrales'!B19</f>
        <v>2.9.5-2161.595</v>
      </c>
      <c r="C21" s="161" t="str">
        <f>+'Necesidades Trimestrales'!E19</f>
        <v>CATETERES/SONDAS NUMERO 3 FR X 50 CM TIPO PICC PERCUTANEO CON INTRODUCTOR PELABLE</v>
      </c>
      <c r="D21" s="161"/>
      <c r="E21" s="161"/>
      <c r="F21" s="161"/>
      <c r="G21" s="161"/>
      <c r="H21" s="137" t="s">
        <v>53</v>
      </c>
      <c r="I21" s="134" t="str">
        <f>+'Necesidades Trimestrales'!F19</f>
        <v>UNIDAD</v>
      </c>
      <c r="J21" s="135">
        <f>+'Necesidades Trimestrales'!H19</f>
        <v>16600</v>
      </c>
      <c r="K21" s="136">
        <f>+'Necesidades Trimestrales'!G19</f>
        <v>10</v>
      </c>
      <c r="L21" s="148" t="s">
        <v>147</v>
      </c>
    </row>
    <row r="22" spans="1:12" ht="42.75" customHeight="1" thickBot="1" x14ac:dyDescent="0.25">
      <c r="A22" s="131">
        <v>11</v>
      </c>
      <c r="B22" s="132" t="str">
        <f>+'Necesidades Trimestrales'!B20</f>
        <v>2.9.5-2161.567</v>
      </c>
      <c r="C22" s="161" t="str">
        <f>+'Necesidades Trimestrales'!E20</f>
        <v>CATETERES/SONDAS; NUMERO: 4 FR X 65 CM, TIPO: PICC PERCUTANEO CON INTRODUCTOR PELABLE</v>
      </c>
      <c r="D22" s="161"/>
      <c r="E22" s="161"/>
      <c r="F22" s="161"/>
      <c r="G22" s="161"/>
      <c r="H22" s="137" t="s">
        <v>53</v>
      </c>
      <c r="I22" s="134" t="str">
        <f>+'Necesidades Trimestrales'!F20</f>
        <v>UNIDAD</v>
      </c>
      <c r="J22" s="135">
        <f>+'Necesidades Trimestrales'!H20</f>
        <v>16600</v>
      </c>
      <c r="K22" s="136">
        <f>+'Necesidades Trimestrales'!G20</f>
        <v>10</v>
      </c>
      <c r="L22" s="150" t="s">
        <v>148</v>
      </c>
    </row>
    <row r="23" spans="1:12" ht="42.75" customHeight="1" thickBot="1" x14ac:dyDescent="0.25">
      <c r="A23" s="131">
        <v>12</v>
      </c>
      <c r="B23" s="132" t="str">
        <f>+'Necesidades Trimestrales'!B21</f>
        <v>2.9.5-2161.83</v>
      </c>
      <c r="C23" s="161" t="str">
        <f>+'Necesidades Trimestrales'!E21</f>
        <v>CATETERES/SONDAS; NUMERO: 2,5, TIPO: UMBILICAL ARTERIAL, PRESENTACION: UNIDAD</v>
      </c>
      <c r="D23" s="161"/>
      <c r="E23" s="161"/>
      <c r="F23" s="161"/>
      <c r="G23" s="161"/>
      <c r="H23" s="137" t="s">
        <v>100</v>
      </c>
      <c r="I23" s="134" t="str">
        <f>+'Necesidades Trimestrales'!F21</f>
        <v>UNIDAD</v>
      </c>
      <c r="J23" s="135">
        <f>+'Necesidades Trimestrales'!H21</f>
        <v>1950</v>
      </c>
      <c r="K23" s="136">
        <f>+'Necesidades Trimestrales'!G21</f>
        <v>100</v>
      </c>
      <c r="L23" s="148" t="s">
        <v>149</v>
      </c>
    </row>
    <row r="24" spans="1:12" ht="42.75" customHeight="1" thickBot="1" x14ac:dyDescent="0.25">
      <c r="A24" s="131">
        <v>13</v>
      </c>
      <c r="B24" s="132" t="str">
        <f>+'Necesidades Trimestrales'!B22</f>
        <v>2.9.5-2161.569</v>
      </c>
      <c r="C24" s="161" t="str">
        <f>+'Necesidades Trimestrales'!E22</f>
        <v>CATETERES/SONDAS; NUMERO: 3 FR, TIPO: UMBILICAL ARTERIAL, PRESENTACION: UNIDAD</v>
      </c>
      <c r="D24" s="161"/>
      <c r="E24" s="161"/>
      <c r="F24" s="161"/>
      <c r="G24" s="161"/>
      <c r="H24" s="137" t="s">
        <v>100</v>
      </c>
      <c r="I24" s="134" t="str">
        <f>+'Necesidades Trimestrales'!F22</f>
        <v>UNIDAD</v>
      </c>
      <c r="J24" s="135">
        <f>+'Necesidades Trimestrales'!H22</f>
        <v>1950</v>
      </c>
      <c r="K24" s="136">
        <f>+'Necesidades Trimestrales'!G22</f>
        <v>100</v>
      </c>
      <c r="L24" s="148" t="s">
        <v>150</v>
      </c>
    </row>
    <row r="25" spans="1:12" ht="42.75" customHeight="1" thickBot="1" x14ac:dyDescent="0.25">
      <c r="A25" s="131">
        <v>14</v>
      </c>
      <c r="B25" s="132" t="str">
        <f>+'Necesidades Trimestrales'!B23</f>
        <v>2.9.5-2161.82</v>
      </c>
      <c r="C25" s="161" t="str">
        <f>+'Necesidades Trimestrales'!E23</f>
        <v>CATETERES/SONDAS; NUMERO: 3,5, TIPO: UMBILICAL ARTERIAL, PRESENTACION: UNIDAD</v>
      </c>
      <c r="D25" s="161"/>
      <c r="E25" s="161"/>
      <c r="F25" s="161"/>
      <c r="G25" s="161"/>
      <c r="H25" s="137" t="s">
        <v>100</v>
      </c>
      <c r="I25" s="134" t="str">
        <f>+'Necesidades Trimestrales'!F23</f>
        <v>UNIDAD</v>
      </c>
      <c r="J25" s="135">
        <f>+'Necesidades Trimestrales'!H23</f>
        <v>1950</v>
      </c>
      <c r="K25" s="136">
        <f>+'Necesidades Trimestrales'!G23</f>
        <v>50</v>
      </c>
      <c r="L25" s="148" t="s">
        <v>151</v>
      </c>
    </row>
    <row r="26" spans="1:12" ht="42.75" customHeight="1" thickBot="1" x14ac:dyDescent="0.25">
      <c r="A26" s="131">
        <v>15</v>
      </c>
      <c r="B26" s="132" t="str">
        <f>+'Necesidades Trimestrales'!B24</f>
        <v>2.9.5-2161.571</v>
      </c>
      <c r="C26" s="161" t="str">
        <f>+'Necesidades Trimestrales'!E24</f>
        <v>CATETERES/SONDAS; NUMERO: 3,5 FR, TIPO: UMBILICAL VENOSO, PRESENTACION: UNIDAD</v>
      </c>
      <c r="D26" s="161"/>
      <c r="E26" s="161"/>
      <c r="F26" s="161"/>
      <c r="G26" s="161"/>
      <c r="H26" s="137" t="s">
        <v>100</v>
      </c>
      <c r="I26" s="134" t="str">
        <f>+'Necesidades Trimestrales'!F24</f>
        <v>UNIDAD</v>
      </c>
      <c r="J26" s="135">
        <f>+'Necesidades Trimestrales'!H24</f>
        <v>2500</v>
      </c>
      <c r="K26" s="136">
        <f>+'Necesidades Trimestrales'!G24</f>
        <v>100</v>
      </c>
      <c r="L26" s="148" t="s">
        <v>152</v>
      </c>
    </row>
    <row r="27" spans="1:12" ht="42.75" customHeight="1" thickBot="1" x14ac:dyDescent="0.25">
      <c r="A27" s="131">
        <v>16</v>
      </c>
      <c r="B27" s="132" t="str">
        <f>+'Necesidades Trimestrales'!B25</f>
        <v>2.9.5-2161.572</v>
      </c>
      <c r="C27" s="161" t="str">
        <f>+'Necesidades Trimestrales'!E25</f>
        <v>CATETERES/SONDAS; NUMERO: 4 FR, TIPO: UMBILICAL VENOSO, PRESENTACION: UNIDAD</v>
      </c>
      <c r="D27" s="161"/>
      <c r="E27" s="161"/>
      <c r="F27" s="161"/>
      <c r="G27" s="161"/>
      <c r="H27" s="137" t="s">
        <v>100</v>
      </c>
      <c r="I27" s="134" t="str">
        <f>+'Necesidades Trimestrales'!F25</f>
        <v>UNIDAD</v>
      </c>
      <c r="J27" s="135">
        <f>+'Necesidades Trimestrales'!H25</f>
        <v>2500</v>
      </c>
      <c r="K27" s="136">
        <f>+'Necesidades Trimestrales'!G25</f>
        <v>50</v>
      </c>
      <c r="L27" s="148" t="s">
        <v>153</v>
      </c>
    </row>
    <row r="28" spans="1:12" ht="42.75" customHeight="1" thickBot="1" x14ac:dyDescent="0.25">
      <c r="A28" s="131">
        <v>17</v>
      </c>
      <c r="B28" s="132" t="str">
        <f>+'Necesidades Trimestrales'!B26</f>
        <v>2.9.5-2161.574</v>
      </c>
      <c r="C28" s="161" t="str">
        <f>+'Necesidades Trimestrales'!E26</f>
        <v>CATETERES/SONDAS; NUMERO: 2,5 FR, TIPO: UMBILICAL VENOSO, PRESENTACION: UNIDAD</v>
      </c>
      <c r="D28" s="161"/>
      <c r="E28" s="161"/>
      <c r="F28" s="161"/>
      <c r="G28" s="161"/>
      <c r="H28" s="137" t="s">
        <v>100</v>
      </c>
      <c r="I28" s="134" t="str">
        <f>+'Necesidades Trimestrales'!F26</f>
        <v>UNIDAD</v>
      </c>
      <c r="J28" s="135">
        <f>+'Necesidades Trimestrales'!H26</f>
        <v>2500</v>
      </c>
      <c r="K28" s="136">
        <f>+'Necesidades Trimestrales'!G26</f>
        <v>30</v>
      </c>
      <c r="L28" s="148" t="s">
        <v>154</v>
      </c>
    </row>
    <row r="29" spans="1:12" ht="42.75" customHeight="1" thickBot="1" x14ac:dyDescent="0.25">
      <c r="A29" s="131">
        <v>18</v>
      </c>
      <c r="B29" s="132" t="str">
        <f>+'Necesidades Trimestrales'!B27</f>
        <v>2.9.5-8436.8</v>
      </c>
      <c r="C29" s="161" t="str">
        <f>+'Necesidades Trimestrales'!E27</f>
        <v>FILTROS DE DESLUOCOTIZACION; USO: NEONATAL PEDIATRICO, CAPACIDAD DE FILTRADO: 1 UNIDAD DE GLOBULOS ROJOS, CAPACIDAD DEL FILTRO: LOGARITMO 4</v>
      </c>
      <c r="D29" s="161"/>
      <c r="E29" s="161"/>
      <c r="F29" s="161"/>
      <c r="G29" s="161"/>
      <c r="H29" s="137" t="s">
        <v>53</v>
      </c>
      <c r="I29" s="134" t="str">
        <f>+'Necesidades Trimestrales'!F27</f>
        <v>UNIDAD</v>
      </c>
      <c r="J29" s="135">
        <f>+'Necesidades Trimestrales'!H27</f>
        <v>6500</v>
      </c>
      <c r="K29" s="136">
        <f>+'Necesidades Trimestrales'!G27</f>
        <v>100</v>
      </c>
      <c r="L29" s="148" t="s">
        <v>155</v>
      </c>
    </row>
    <row r="30" spans="1:12" ht="42.75" customHeight="1" thickBot="1" x14ac:dyDescent="0.25">
      <c r="A30" s="131">
        <v>19</v>
      </c>
      <c r="B30" s="132" t="str">
        <f>+'Necesidades Trimestrales'!B28</f>
        <v>2.9.5-6286.5</v>
      </c>
      <c r="C30" s="161" t="str">
        <f>+'Necesidades Trimestrales'!E28</f>
        <v>HEMOSTATICOS ABSORBIBLES; TIPO: SURGIEL, MEDIDA: 5 X 7,5 Cm, PRESENTACION: UNIDAD</v>
      </c>
      <c r="D30" s="161"/>
      <c r="E30" s="161"/>
      <c r="F30" s="161"/>
      <c r="G30" s="161"/>
      <c r="H30" s="137" t="s">
        <v>100</v>
      </c>
      <c r="I30" s="134" t="str">
        <f>+'Necesidades Trimestrales'!F28</f>
        <v>UNIDAD</v>
      </c>
      <c r="J30" s="135">
        <f>+'Necesidades Trimestrales'!H28</f>
        <v>4900</v>
      </c>
      <c r="K30" s="136">
        <f>+'Necesidades Trimestrales'!G28</f>
        <v>20</v>
      </c>
      <c r="L30" s="148" t="s">
        <v>156</v>
      </c>
    </row>
    <row r="31" spans="1:12" ht="42.75" customHeight="1" thickBot="1" x14ac:dyDescent="0.25">
      <c r="A31" s="36">
        <v>20</v>
      </c>
      <c r="B31" s="37" t="str">
        <f>+'Necesidades Trimestrales'!B29</f>
        <v>2.9.5-6700.2</v>
      </c>
      <c r="C31" s="162" t="str">
        <f>+'Necesidades Trimestrales'!E29</f>
        <v>TROCAR DE PUNCION; USO: PUNCION TORAXICO, TIPO: N°8, CAMISA: SIN</v>
      </c>
      <c r="D31" s="162"/>
      <c r="E31" s="162"/>
      <c r="F31" s="162"/>
      <c r="G31" s="162"/>
      <c r="H31" s="41" t="s">
        <v>53</v>
      </c>
      <c r="I31" s="38" t="str">
        <f>+'Necesidades Trimestrales'!F29</f>
        <v>UNIDAD</v>
      </c>
      <c r="J31" s="39">
        <f>+'Necesidades Trimestrales'!H29</f>
        <v>1350</v>
      </c>
      <c r="K31" s="40">
        <f>+'Necesidades Trimestrales'!G29</f>
        <v>30</v>
      </c>
      <c r="L31" s="151" t="s">
        <v>157</v>
      </c>
    </row>
    <row r="32" spans="1:12" ht="16.5" thickBot="1" x14ac:dyDescent="0.25">
      <c r="A32" s="163" t="s">
        <v>133</v>
      </c>
      <c r="B32" s="163"/>
      <c r="C32" s="163"/>
      <c r="D32" s="163"/>
      <c r="E32" s="163"/>
      <c r="F32" s="163"/>
      <c r="G32" s="163"/>
      <c r="H32" s="164"/>
      <c r="I32" s="163"/>
      <c r="J32" s="165">
        <f>SUMPRODUCT(J12:J31,K12:K31)</f>
        <v>5260620</v>
      </c>
      <c r="K32" s="165"/>
    </row>
  </sheetData>
  <mergeCells count="4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2:I32"/>
    <mergeCell ref="J32:K32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13:G13"/>
    <mergeCell ref="C14:G14"/>
    <mergeCell ref="C15:G15"/>
    <mergeCell ref="C16:G16"/>
    <mergeCell ref="C17:G17"/>
    <mergeCell ref="C26:G26"/>
    <mergeCell ref="C18:G18"/>
    <mergeCell ref="C19:G19"/>
    <mergeCell ref="C20:G20"/>
    <mergeCell ref="C21:G21"/>
    <mergeCell ref="C22:G22"/>
    <mergeCell ref="C30:G30"/>
    <mergeCell ref="C31:G31"/>
    <mergeCell ref="C27:G27"/>
    <mergeCell ref="C28:G28"/>
    <mergeCell ref="C29:G2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90" zoomScaleNormal="90" workbookViewId="0">
      <selection activeCell="A25" sqref="A25:Q26"/>
    </sheetView>
  </sheetViews>
  <sheetFormatPr baseColWidth="10" defaultColWidth="11" defaultRowHeight="12.75" x14ac:dyDescent="0.2"/>
  <cols>
    <col min="1" max="5" width="4.42578125" customWidth="1"/>
    <col min="6" max="6" width="7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97" t="s">
        <v>3</v>
      </c>
      <c r="B1" s="197"/>
      <c r="C1" s="197"/>
      <c r="D1" s="198">
        <f>'Necesidades Trimestrales'!C6</f>
        <v>2022</v>
      </c>
      <c r="E1" s="198"/>
      <c r="F1" s="3"/>
      <c r="G1" s="3"/>
      <c r="H1" s="4"/>
      <c r="I1" s="4"/>
      <c r="J1" s="4"/>
      <c r="K1" s="4"/>
      <c r="L1" s="4"/>
      <c r="M1" s="4"/>
      <c r="N1" s="4"/>
      <c r="P1" s="199" t="s">
        <v>25</v>
      </c>
      <c r="Q1" s="19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99"/>
      <c r="Q2" s="199"/>
    </row>
    <row r="4" spans="1:17" s="5" customFormat="1" ht="18" customHeight="1" thickBot="1" x14ac:dyDescent="0.25">
      <c r="A4" s="200" t="s">
        <v>26</v>
      </c>
      <c r="B4" s="200"/>
      <c r="C4" s="200"/>
      <c r="D4" s="200"/>
      <c r="E4" s="200"/>
      <c r="F4" s="200"/>
      <c r="G4" s="195" t="str">
        <f>' NotaPedido'!D3</f>
        <v>040 - Ministerio de Salud</v>
      </c>
      <c r="H4" s="195"/>
      <c r="I4" s="195"/>
      <c r="J4" s="195"/>
      <c r="K4" s="195"/>
      <c r="L4" s="195"/>
      <c r="M4" s="195"/>
      <c r="N4" s="195"/>
      <c r="O4" s="195"/>
      <c r="P4" s="195"/>
      <c r="Q4" s="195"/>
    </row>
    <row r="5" spans="1:17" s="5" customFormat="1" ht="18" customHeight="1" thickBot="1" x14ac:dyDescent="0.25">
      <c r="A5" s="192" t="s">
        <v>49</v>
      </c>
      <c r="B5" s="193"/>
      <c r="C5" s="193"/>
      <c r="D5" s="193"/>
      <c r="E5" s="193"/>
      <c r="F5" s="194"/>
      <c r="G5" s="195" t="str">
        <f>' NotaPedido'!D4</f>
        <v>28-Maternidad Provincial 25 de Mayo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</row>
    <row r="6" spans="1:17" s="5" customFormat="1" ht="18" customHeight="1" thickBot="1" x14ac:dyDescent="0.25">
      <c r="A6" s="192" t="s">
        <v>27</v>
      </c>
      <c r="B6" s="193"/>
      <c r="C6" s="193"/>
      <c r="D6" s="193"/>
      <c r="E6" s="193"/>
      <c r="F6" s="194"/>
      <c r="G6" s="195" t="str">
        <f>' NotaPedido'!D5</f>
        <v>169-Direccion Asistencial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</row>
    <row r="7" spans="1:17" s="5" customFormat="1" ht="18" customHeight="1" thickBot="1" x14ac:dyDescent="0.25">
      <c r="A7" s="192" t="s">
        <v>50</v>
      </c>
      <c r="B7" s="193"/>
      <c r="C7" s="193"/>
      <c r="D7" s="193"/>
      <c r="E7" s="193"/>
      <c r="F7" s="194"/>
      <c r="G7" s="195" t="str">
        <f>' NotaPedido'!D6</f>
        <v>Servicio de Farmacia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</row>
    <row r="8" spans="1:17" ht="18" customHeight="1" thickBot="1" x14ac:dyDescent="0.25">
      <c r="A8" s="196" t="s">
        <v>28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18" customHeight="1" x14ac:dyDescent="0.2">
      <c r="A9" s="186" t="s">
        <v>29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89"/>
      <c r="P9" s="89"/>
      <c r="Q9" s="90"/>
    </row>
    <row r="10" spans="1:17" ht="54.75" customHeight="1" x14ac:dyDescent="0.2">
      <c r="A10" s="18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88" t="s">
        <v>30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</row>
    <row r="13" spans="1:17" ht="15.75" customHeight="1" x14ac:dyDescent="0.2">
      <c r="A13" s="189" t="s">
        <v>31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90" t="s">
        <v>32</v>
      </c>
      <c r="P13" s="190"/>
      <c r="Q13" s="191" t="s">
        <v>33</v>
      </c>
    </row>
    <row r="14" spans="1:17" ht="15.75" customHeight="1" x14ac:dyDescent="0.2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90"/>
      <c r="P14" s="190"/>
      <c r="Q14" s="191"/>
    </row>
    <row r="15" spans="1:17" ht="25.5" customHeight="1" x14ac:dyDescent="0.2">
      <c r="A15" s="125">
        <v>42</v>
      </c>
      <c r="B15" s="126"/>
      <c r="C15" s="126"/>
      <c r="D15" s="126">
        <v>2</v>
      </c>
      <c r="E15" s="126"/>
      <c r="F15" s="126">
        <v>4901</v>
      </c>
      <c r="G15" s="126">
        <v>3</v>
      </c>
      <c r="H15" s="126">
        <v>1</v>
      </c>
      <c r="I15" s="126">
        <v>2</v>
      </c>
      <c r="J15" s="126">
        <v>9</v>
      </c>
      <c r="K15" s="126">
        <v>5</v>
      </c>
      <c r="L15" s="126"/>
      <c r="M15" s="127">
        <v>1</v>
      </c>
      <c r="N15" s="128" t="s">
        <v>52</v>
      </c>
      <c r="O15" s="180" t="s">
        <v>101</v>
      </c>
      <c r="P15" s="181"/>
      <c r="Q15" s="129">
        <v>5260620</v>
      </c>
    </row>
    <row r="16" spans="1:17" ht="17.25" customHeight="1" x14ac:dyDescent="0.2">
      <c r="A16" s="15"/>
      <c r="B16" s="16"/>
      <c r="C16" s="16"/>
      <c r="D16" s="16"/>
      <c r="E16" s="16"/>
      <c r="F16" s="18"/>
      <c r="G16" s="16"/>
      <c r="H16" s="16"/>
      <c r="I16" s="16"/>
      <c r="J16" s="16"/>
      <c r="K16" s="16"/>
      <c r="L16" s="16"/>
      <c r="M16" s="17"/>
      <c r="N16" s="18"/>
      <c r="O16" s="175"/>
      <c r="P16" s="175"/>
      <c r="Q16" s="19"/>
    </row>
    <row r="17" spans="1:18" ht="17.25" customHeight="1" x14ac:dyDescent="0.2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18"/>
      <c r="O17" s="175"/>
      <c r="P17" s="175"/>
      <c r="Q17" s="19"/>
    </row>
    <row r="18" spans="1:18" ht="17.25" customHeight="1" x14ac:dyDescent="0.2">
      <c r="A18" s="15"/>
      <c r="B18" s="16"/>
      <c r="C18" s="16"/>
      <c r="D18" s="16"/>
      <c r="E18" s="16"/>
      <c r="F18" s="18"/>
      <c r="G18" s="16"/>
      <c r="H18" s="16"/>
      <c r="I18" s="16"/>
      <c r="J18" s="16"/>
      <c r="K18" s="16"/>
      <c r="L18" s="16"/>
      <c r="M18" s="17"/>
      <c r="N18" s="18"/>
      <c r="O18" s="175"/>
      <c r="P18" s="175"/>
      <c r="Q18" s="19"/>
    </row>
    <row r="19" spans="1:18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75"/>
      <c r="P19" s="175"/>
      <c r="Q19" s="19"/>
    </row>
    <row r="20" spans="1:18" ht="17.25" customHeight="1" x14ac:dyDescent="0.2">
      <c r="A20" s="20"/>
      <c r="B20" s="21"/>
      <c r="C20" s="21"/>
      <c r="D20" s="21"/>
      <c r="E20" s="21"/>
      <c r="F20" s="22"/>
      <c r="G20" s="21"/>
      <c r="H20" s="21"/>
      <c r="I20" s="21"/>
      <c r="J20" s="21"/>
      <c r="K20" s="21"/>
      <c r="L20" s="21"/>
      <c r="M20" s="23"/>
      <c r="N20" s="24"/>
      <c r="O20" s="176"/>
      <c r="P20" s="176"/>
      <c r="Q20" s="19"/>
      <c r="R20" s="1"/>
    </row>
    <row r="21" spans="1:18" ht="17.2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26"/>
      <c r="O21" s="177"/>
      <c r="P21" s="177"/>
      <c r="Q21" s="28"/>
    </row>
    <row r="22" spans="1:18" ht="29.25" customHeight="1" x14ac:dyDescent="0.2">
      <c r="A22" s="178" t="s">
        <v>134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30">
        <f>SUM(Q15:Q21)</f>
        <v>5260620</v>
      </c>
    </row>
    <row r="23" spans="1:18" ht="18" customHeight="1" thickBot="1" x14ac:dyDescent="0.25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</row>
    <row r="24" spans="1:18" ht="17.25" customHeight="1" thickBot="1" x14ac:dyDescent="0.25">
      <c r="A24" s="182" t="s">
        <v>47</v>
      </c>
      <c r="B24" s="183"/>
      <c r="C24" s="183"/>
      <c r="D24" s="183"/>
      <c r="E24" s="183"/>
      <c r="F24" s="184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</row>
    <row r="25" spans="1:18" ht="18" customHeight="1" thickBot="1" x14ac:dyDescent="0.25">
      <c r="A25" s="174" t="s">
        <v>106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8" ht="15" customHeight="1" x14ac:dyDescent="0.2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2022-07-25T11:04:19Z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