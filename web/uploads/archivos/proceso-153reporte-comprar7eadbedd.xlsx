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esktop\SILVIA\2022\ALIM PERECEDEROS HNEP\"/>
    </mc:Choice>
  </mc:AlternateContent>
  <xr:revisionPtr revIDLastSave="0" documentId="8_{CA37F3BE-14EB-44A1-8FB6-CAB75D5B4F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4" i="2" l="1"/>
  <c r="M54" i="2"/>
  <c r="Q54" i="2"/>
  <c r="U54" i="2"/>
  <c r="Y54" i="2"/>
</calcChain>
</file>

<file path=xl/sharedStrings.xml><?xml version="1.0" encoding="utf-8"?>
<sst xmlns="http://schemas.openxmlformats.org/spreadsheetml/2006/main" count="388" uniqueCount="273">
  <si>
    <t>Número expediente:</t>
  </si>
  <si>
    <t>EX-2022-00310018-   -CAT-DPCBS#MEC</t>
  </si>
  <si>
    <t>Número proceso de compra:</t>
  </si>
  <si>
    <t>100-0026-CDI22</t>
  </si>
  <si>
    <t>Nombre descriptivo proceso de compra:</t>
  </si>
  <si>
    <t>ADQUISICIÓN DE ALIMENTOS PERECEDEROS - HNEP</t>
  </si>
  <si>
    <t>Unidad Operativa de Compras:</t>
  </si>
  <si>
    <t>Secretaria de Compras y Abastecimiento</t>
  </si>
  <si>
    <t>Fecha de Apertura:</t>
  </si>
  <si>
    <t>14/03/2022</t>
  </si>
  <si>
    <t>Renglón</t>
  </si>
  <si>
    <t>maria angela mascareño</t>
  </si>
  <si>
    <t>LUJAIKO SRL</t>
  </si>
  <si>
    <t>EL PUESTO SRL</t>
  </si>
  <si>
    <t>LOS SAUCES SRL</t>
  </si>
  <si>
    <t>ROMINA ANTONELLA WATSON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</si>
  <si>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</si>
  <si>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</si>
  <si>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</si>
  <si>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</si>
  <si>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</si>
  <si>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</si>
  <si>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</si>
  <si>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</si>
  <si>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</si>
  <si>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</si>
  <si>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2.1.1-438.83 </t>
  </si>
  <si>
    <t xml:space="preserve">ADEREZOS; TIPO: MAYONESA LIGHT, PRESENTACION: ENVASE X 475 GR, LIBRE 
DE GLUTEN: SIN VALOR </t>
  </si>
  <si>
    <t xml:space="preserve">UNIDAD </t>
  </si>
  <si>
    <t xml:space="preserve">MAYONESA DANICA LIGHT X 475 GR  </t>
  </si>
  <si>
    <t xml:space="preserve">2 </t>
  </si>
  <si>
    <t xml:space="preserve">2.1.1-438.79 </t>
  </si>
  <si>
    <t xml:space="preserve">ADEREZOS; TIPO: SALSA DE SOJA, PRESENTACION: ENVASE X 1 L, 
LIBRE DE GLUTEN: SIN VALOR </t>
  </si>
  <si>
    <t xml:space="preserve">salsa de soja x 1 litro marca: marolio </t>
  </si>
  <si>
    <t xml:space="preserve">3 </t>
  </si>
  <si>
    <t xml:space="preserve">2.1.1-621.15 </t>
  </si>
  <si>
    <t xml:space="preserve">AVES; ESPECIE: PECHUGA DE POLLO, PRESENTACION: A GRANEL, EVISCERADO: SIN 
MENUDOS, TIPO: PECHUGA DE POLLO </t>
  </si>
  <si>
    <t xml:space="preserve"> AVES; ESPECIE: PECHUGA DE POLLO, PRESENTACION: A GRANEL, EVISCERADO: 
SIN MENUDOS, TIPO: PECHUGA DE POLLO PRESENTACION EN CAJA DE 
20 KG </t>
  </si>
  <si>
    <t xml:space="preserve">PRECIO POR CAJA DE 20 KG - MARCA OPTIMO - 
PRIMERA CALIDAD </t>
  </si>
  <si>
    <t xml:space="preserve">PECHUGA DE POLLO SOY CHU  </t>
  </si>
  <si>
    <t xml:space="preserve">4 </t>
  </si>
  <si>
    <t xml:space="preserve">2.1.1-541.70 </t>
  </si>
  <si>
    <t xml:space="preserve">CARNES; CORTE: CARRE CON LOMO, TIPO: PORCINA, ESPECIE: PORCINA </t>
  </si>
  <si>
    <t xml:space="preserve">CARNES; CORTE: CARRE CON LOMO, TIPO: PORCINA, ESPECIE: PORCINA  
</t>
  </si>
  <si>
    <t xml:space="preserve"> CARNES; CORTE: CARRE CON LOMO, TIPO: PORCINA, ESPECIE: PORCINA 
</t>
  </si>
  <si>
    <t xml:space="preserve">PRECIO POR KILO - CARRE CON LOMO SIN HUESO- PRIMERA 
CALIDAD </t>
  </si>
  <si>
    <t xml:space="preserve">CARNE PORCINA CARRE CON LOMO X KG.  </t>
  </si>
  <si>
    <t xml:space="preserve">5 </t>
  </si>
  <si>
    <t xml:space="preserve">2.1.1-541.20 </t>
  </si>
  <si>
    <t xml:space="preserve">CARNES; CORTE: TAPA DE NALGA, ESPECIE: VACUNA, TIPO: VACUNA </t>
  </si>
  <si>
    <t xml:space="preserve">CARNES; CORTE: TAPA DE NALGA, ESPECIE: VACUNA, TIPO: VACUNA  
</t>
  </si>
  <si>
    <t xml:space="preserve"> CARNES; CORTE: TAPA DE NALGA, ESPECIE: VACUNA, TIPO: VACUNA 
</t>
  </si>
  <si>
    <t xml:space="preserve">PRECIO POR KILO - PRIMERA CALIDAD </t>
  </si>
  <si>
    <t xml:space="preserve">CARNE VACUNA TAPA DE NALGA ESPECIAL X KG.  </t>
  </si>
  <si>
    <t xml:space="preserve">6 </t>
  </si>
  <si>
    <t xml:space="preserve">2.1.1-541.27 </t>
  </si>
  <si>
    <t xml:space="preserve">CARNES; ESPECIE: VACUNA, CORTE: CUADRIL, TIPO: VACUNA </t>
  </si>
  <si>
    <t xml:space="preserve">PRECIO POR KILO- PRIMERA CALIDAD </t>
  </si>
  <si>
    <t xml:space="preserve">CARNE VACUNA CUADRIL X KG.  </t>
  </si>
  <si>
    <t xml:space="preserve">7 </t>
  </si>
  <si>
    <t xml:space="preserve">2.1.1-541.7 </t>
  </si>
  <si>
    <t xml:space="preserve">CARNES; ESPECIE: VACUNA, CORTE: PICADA ESPECIAL, TIPO: VACUNA </t>
  </si>
  <si>
    <t xml:space="preserve">CARNES; ESPECIE: VACUNA, CORTE: PICADA ESPECIAL, TIPO: VACUNA  </t>
  </si>
  <si>
    <t xml:space="preserve"> CARNES; ESPECIE: VACUNA, CORTE: PICADA ESPECIAL, TIPO: VACUNA </t>
  </si>
  <si>
    <t xml:space="preserve">CARNE VACUNA PICADA ESPECIAL X KG.  </t>
  </si>
  <si>
    <t xml:space="preserve">8 </t>
  </si>
  <si>
    <t xml:space="preserve">2.1.1-541.164 </t>
  </si>
  <si>
    <t xml:space="preserve">CARNES; TIPO: PORCINA, CORTE: COSTELETA </t>
  </si>
  <si>
    <t xml:space="preserve">CARNES; TIPO: PORCINA, CORTE: COSTELETA  </t>
  </si>
  <si>
    <t xml:space="preserve"> CARNES; TIPO: PORCINA, CORTE: COSTELETA </t>
  </si>
  <si>
    <t xml:space="preserve">CARNE PORCINA CORTE COSTELETA X KG.  </t>
  </si>
  <si>
    <t xml:space="preserve">9 </t>
  </si>
  <si>
    <t xml:space="preserve">2.1.1-969.35 </t>
  </si>
  <si>
    <t xml:space="preserve">FIAMBRES; TIPO: JAMON COCIDO ITALIANO, PRESENTACION: AL PESO </t>
  </si>
  <si>
    <t xml:space="preserve">FIAMBRES; TIPO: JAMON COCIDO ITALIANO marca: carnoli </t>
  </si>
  <si>
    <t xml:space="preserve"> FIAMBRES; TIPO: JAMON COCIDO ITALIANO, PRESENTACION: AL PESO UNIDAD 
DE MEDIDA: KILO MARCA CAMPO AUSTRAL  </t>
  </si>
  <si>
    <t xml:space="preserve">FIAMBRE JAMON COCIDO LA PIAMONTESA X KG.  </t>
  </si>
  <si>
    <t xml:space="preserve">10 </t>
  </si>
  <si>
    <t xml:space="preserve">2.1.1-6539.19 </t>
  </si>
  <si>
    <t xml:space="preserve">FRUTAS; ESTADO: NATURAL, VARIEDAD: MANZANA RED ELEGIDA, PRESENTACION: CAJON, PESO: 
SIN VALOR </t>
  </si>
  <si>
    <t xml:space="preserve">FRUTAS; ESTADO: NATURAL, VARIEDAD: MANZANA RED ELEGIDA, PRESENTACION: CAJON </t>
  </si>
  <si>
    <t xml:space="preserve"> FRUTAS; ESTADO: NATURAL, VARIEDAD: MANZANA RED ELEGIDA, PRESENTACION: CAJON, 
PESO: SIN VALOR </t>
  </si>
  <si>
    <t xml:space="preserve">FRUTA MANZANA RED DELICIOSA EN CAJON. </t>
  </si>
  <si>
    <t xml:space="preserve">11 </t>
  </si>
  <si>
    <t xml:space="preserve">2.1.1-6539.7 </t>
  </si>
  <si>
    <t xml:space="preserve">FRUTAS; ESTADO: NATURAL, VARIEDAD: NARANJA PARA JUGO, PRESENTACION: A GRANEL, 
PESO: SIN VALOR </t>
  </si>
  <si>
    <t xml:space="preserve">FRUTAS; ESTADO: NATURAL, VARIEDAD: NARANJA PARA JUGO, PRESENTACION: A GRANEL 
</t>
  </si>
  <si>
    <t xml:space="preserve">FRUTA NARANJA CRIOLLA  </t>
  </si>
  <si>
    <t xml:space="preserve">12 </t>
  </si>
  <si>
    <t xml:space="preserve">2.1.1-6539.171 </t>
  </si>
  <si>
    <t xml:space="preserve">FRUTAS; VARIEDAD: BANANA, ESTADO: NATURAL, PRESENTACION: ENVASE X 15 Kg, 
ELEM. TRANSPORTE: CAJON, MATERIAL ELEM. TRANSPORTE: CARTON </t>
  </si>
  <si>
    <t xml:space="preserve">FRUTAS; VARIEDAD: BANANA, ESTADO: NATURAL, PRESENTACION: ENVASE X 15 Kg 
</t>
  </si>
  <si>
    <t xml:space="preserve"> FRUTAS; VARIEDAD: BANANA, ESTADO: NATURAL, PRESENTACION: ENVASE X 15 
Kg, ELEM. TRANSPORTE: CAJON, MATERIAL ELEM. TRANSPORTE: CARTON </t>
  </si>
  <si>
    <t xml:space="preserve">FRUTA BANANA EN CAJON  </t>
  </si>
  <si>
    <t xml:space="preserve">13 </t>
  </si>
  <si>
    <t xml:space="preserve">2.1.1-6539.84 </t>
  </si>
  <si>
    <t xml:space="preserve">FRUTAS; VARIEDAD: LIMON, ESTADO: NATURAL, PRESENTACION: CAJON X 1 Kg, 
PESO: 1 Kg </t>
  </si>
  <si>
    <t xml:space="preserve">LIMON, ESTADO: NATURAL, PRESENTACION: CAJON X 1 Kg </t>
  </si>
  <si>
    <t xml:space="preserve">FRUTA LIMON X KG. </t>
  </si>
  <si>
    <t xml:space="preserve">14 </t>
  </si>
  <si>
    <t xml:space="preserve">2.1.1-6539.32 </t>
  </si>
  <si>
    <t xml:space="preserve">FRUTAS; VARIEDAD: PERA AMARILLA, ESTADO: NATURAL, PRESENTACION: CAJON, PESO: SIN 
VALOR </t>
  </si>
  <si>
    <t xml:space="preserve">PERA AMARILLA PRESENTACION EN CAJON DE 15 KG </t>
  </si>
  <si>
    <t xml:space="preserve">FRUTA PERA AMARILLA EN CAJON  </t>
  </si>
  <si>
    <t xml:space="preserve">15 </t>
  </si>
  <si>
    <t xml:space="preserve">2.1.1-483.37 </t>
  </si>
  <si>
    <t xml:space="preserve">HUEVO DE GALLINA; TAMAÑO: GRANDE, COLOR: COLOR, PRESENTACION: 30 UN 
</t>
  </si>
  <si>
    <t xml:space="preserve">huevos de gallina maple x 30 unidades </t>
  </si>
  <si>
    <t xml:space="preserve">HUEVO DE GALLINA EN MAPLE X 30 UND.  </t>
  </si>
  <si>
    <t xml:space="preserve">16 </t>
  </si>
  <si>
    <t xml:space="preserve">2.1.1-669.64 </t>
  </si>
  <si>
    <t xml:space="preserve">PANES; TIPO: FRANCES, PRESENTACION: ENVASE X 1 Kg </t>
  </si>
  <si>
    <t xml:space="preserve">pan frances x 1 kg panificadora san valentin </t>
  </si>
  <si>
    <t xml:space="preserve">PAN TIPO FRANCE X KG.  </t>
  </si>
  <si>
    <t xml:space="preserve">PAN FRANCES TIPO MIGNON POR KILOGRAMOS </t>
  </si>
  <si>
    <t xml:space="preserve">17 </t>
  </si>
  <si>
    <t xml:space="preserve">2.1.1-669.25 </t>
  </si>
  <si>
    <t xml:space="preserve">PANES; TIPO: RALLADO, PRESENTACION: BOLSA DE 1000 GR </t>
  </si>
  <si>
    <t xml:space="preserve">panrallado x 1 kg panificadora san valentin </t>
  </si>
  <si>
    <t xml:space="preserve">PAN RALLADO EN BOLSA X 1 KG.  </t>
  </si>
  <si>
    <t xml:space="preserve">PAN RALLADO EN BOLSASS DE 1000GR </t>
  </si>
  <si>
    <t xml:space="preserve">18 </t>
  </si>
  <si>
    <t xml:space="preserve">2.1.1-707.38 </t>
  </si>
  <si>
    <t xml:space="preserve">PASTAS FRESCAS; VARIEDAD: RAVIOL, RELLENO: VERDURA Y POLLO, PRESENTACION: ENVASE 
X 500 GR </t>
  </si>
  <si>
    <t xml:space="preserve">PASTAS FRESCAS; VARIEDAD: RAVIOL, RELLENO: VERDURA Y POLLO MARCA LA 
ITALIANA </t>
  </si>
  <si>
    <t xml:space="preserve">PASTAS FRESCAS; VARIEDAD: RAVIOL, RELLENO: VERDURA Y POLLO, PRESENTACION: ENVASE 
X 500 GR - MARCA DI PASCUALE  </t>
  </si>
  <si>
    <t xml:space="preserve">RAVIOLES DIS PASCUALLE DE VERDURA Y POLLO X 500 GRS. 
 </t>
  </si>
  <si>
    <t xml:space="preserve">19 </t>
  </si>
  <si>
    <t xml:space="preserve">2.1.1-590.27 </t>
  </si>
  <si>
    <t xml:space="preserve">PESCADOS Y FRUTOS CONGELADOS; TIPO: FILET DE MERLUZA, ENVASE: POLIESTIRENO, 
PRESENTACION: ENVASE X 1 Kg, ELEM. TRANSPORTE: SIN, MATERIAL ELEM. 
TRANSPORTE: SIN </t>
  </si>
  <si>
    <t xml:space="preserve">FILET DE ,MERLUZA X 1 KG  </t>
  </si>
  <si>
    <t xml:space="preserve">20 </t>
  </si>
  <si>
    <t xml:space="preserve">2.1.1-542.236 </t>
  </si>
  <si>
    <t xml:space="preserve">QUESOS; TIPO: CREMOSO, PRESENTACION: AL PESO, ELEM. TRANSPORTE: SIN, MATERIAL 
ELEM. TRANSPORTE: SIN, MATERIAL ENVASE: SIN, CERTIFICADO FORESTAL (GFS): SIN, 
LIBRE DE GLUTEN: A DEFINIR </t>
  </si>
  <si>
    <t xml:space="preserve">QUESO CREMOSO X 1 KG MARCA: IDEONNI </t>
  </si>
  <si>
    <t xml:space="preserve"> QUESOS; TIPO: CREMOSO, PRESENTACION: AL PESO, ELEM. TRANSPORTE: SIN, 
MATERIAL ELEM. TRANSPORTE: SIN, MATERIAL ENVASE: SIN, CERTIFICADO FORESTAL (GFS): 
SIN, LIBRE DE GLUTEN: A DEFINIR  UNIDAD DE MEDIDA: 
KILO MARCA TREGAR  </t>
  </si>
  <si>
    <t xml:space="preserve">QUESO TIPO CREMOSO TREGAR X KG.  </t>
  </si>
  <si>
    <t xml:space="preserve">21 </t>
  </si>
  <si>
    <t xml:space="preserve">2.1.1-542.207 </t>
  </si>
  <si>
    <t xml:space="preserve">QUESOS; TIPO: SARDO, PRESENTACION: HORMA X 3 Kg, ELEM. TRANSPORTE: 
SIN, MATERIAL ELEM. TRANSPORTE: SIN, MATERIAL ENVASE: SIN, CERTIFICADO FORESTAL 
(GFS): SIN, LIBRE DE GLUTEN: NO </t>
  </si>
  <si>
    <t xml:space="preserve">QUESO SARDO HORMA X 3 KG MARCA: LACTOCITO </t>
  </si>
  <si>
    <t xml:space="preserve"> QUESOS; TIPO: SARDO, PRESENTACION: HORMA X 3 Kg, ELEM. 
TRANSPORTE: SIN, MATERIAL ELEM. TRANSPORTE: SIN, MATERIAL ENVASE: SIN, CERTIFICADO 
FORESTAL (GFS): SIN, LIBRE DE GLUTEN: NO MARCA TREGAR  
</t>
  </si>
  <si>
    <t xml:space="preserve">QUESO TIPO SARDO EN HORMA TREMBLAY  </t>
  </si>
  <si>
    <t xml:space="preserve">22 </t>
  </si>
  <si>
    <t xml:space="preserve">2.1.1-542.197 </t>
  </si>
  <si>
    <t xml:space="preserve">QUESOS; TIPO: TYBO, PRESENTACION: HORMA, ELEM. TRANSPORTE: SIN, MATERIAL ELEM. 
TRANSPORTE: SIN, MATERIAL ENVASE: PLASTICO, CERTIFICADO FORESTAL (GFS): SIN, LIBRE 
DE GLUTEN: NO </t>
  </si>
  <si>
    <t xml:space="preserve">QUESO TIPO TYBO EN HORMA DE 3 KG MARCA: IDEONNI 
</t>
  </si>
  <si>
    <t xml:space="preserve"> QUESOS; TIPO: TYBO, PRESENTACION: HORMA, ELEM. TRANSPORTE: SIN, MATERIAL 
ELEM. TRANSPORTE: SIN, MATERIAL ENVASE: PLASTICO, CERTIFICADO FORESTAL (GFS): SIN, 
LIBRE DE GLUTEN: NO MARCA TREGAR   PRESENTACION EN 
HORMA DE 3 KG </t>
  </si>
  <si>
    <t xml:space="preserve">QUESO TIPO TYBO EN HORMA TREGAR  </t>
  </si>
  <si>
    <t xml:space="preserve">23 </t>
  </si>
  <si>
    <t xml:space="preserve">2.1.1-2610.1 </t>
  </si>
  <si>
    <t xml:space="preserve">TAPAS P/EMPANADAS; TIPO: P/HORNO, PRESENTACION: BOLSA X 12 </t>
  </si>
  <si>
    <t xml:space="preserve">TAPAS P/EMPANADAS; TIPO: P/HORNO, PRESENTACION: BOLSA X 12 MARCA: ITALIANA 
</t>
  </si>
  <si>
    <t xml:space="preserve"> TAPAS P/EMPANADAS; TIPO: P/HORNO, PRESENTACION: BOLSA X 12 MARCA 
DI PASCUALE  </t>
  </si>
  <si>
    <t xml:space="preserve">TAPA P/ EMPANADAS DIS PASCUALLE PARA HORNO X 12 UND. 
 </t>
  </si>
  <si>
    <t xml:space="preserve">24 </t>
  </si>
  <si>
    <t xml:space="preserve">2.1.1-2429.1 </t>
  </si>
  <si>
    <t xml:space="preserve">TAPAS P/TARTAS; TIPO: REDONDA, MASA: CASERA, PRESENTACION: BOLSA </t>
  </si>
  <si>
    <t xml:space="preserve">TAPAS P/TARTAS; TIPO: REDONDA, MASA: CASERA, PRESENTACION: BOLSA MARCA: ITALIANA 
</t>
  </si>
  <si>
    <t xml:space="preserve">TAPAS P/TARTAS; TIPO: REDONDA, MASA: CASERA, PRESENTACION: BOLSA DI PASCUALLE 
 </t>
  </si>
  <si>
    <t xml:space="preserve">TAPA P/ TARTA DIS PASCUALLE  </t>
  </si>
  <si>
    <t xml:space="preserve">25 </t>
  </si>
  <si>
    <t xml:space="preserve">2.1.1-6546.154 </t>
  </si>
  <si>
    <t xml:space="preserve">VERDURAS Y HORTALIZAS; ESTADO: NATURAL, PESO: SIN VALOR, VARIEDAD: AJO, 
PRESENTACION: UNIDAD </t>
  </si>
  <si>
    <t xml:space="preserve">AJO RISTRA X 1 KG  </t>
  </si>
  <si>
    <t xml:space="preserve">VERDURA CABEZA DE AJO X UND.  </t>
  </si>
  <si>
    <t xml:space="preserve">26 </t>
  </si>
  <si>
    <t xml:space="preserve">2.1.1-6546.188 </t>
  </si>
  <si>
    <t xml:space="preserve">VERDURAS Y HORTALIZAS; ESTADO: NATURAL, PRESENTACION: GRANEL, PESO: SIN VALOR, 
VARIEDAD: ZAPALLO CRIOLLO </t>
  </si>
  <si>
    <t xml:space="preserve">ZAPALLO CRIOLLA X KG </t>
  </si>
  <si>
    <t xml:space="preserve"> VERDURAS Y HORTALIZAS; ESTADO: NATURAL, PRESENTACION: GRANEL, PESO: SIN 
VALOR, VARIEDAD: ZAPALLO CRIOLLO UNIDAD DE MEDIDA; KILO </t>
  </si>
  <si>
    <t xml:space="preserve">VERDURA ZAPALLO CRIOLLO X KG.  </t>
  </si>
  <si>
    <t xml:space="preserve">27 </t>
  </si>
  <si>
    <t xml:space="preserve">2.1.1-6546.100 </t>
  </si>
  <si>
    <t xml:space="preserve">VERDURAS Y HORTALIZAS; ESTADO: NATURAL, PRESENTACION: GRANEL, VARIEDAD: PAPA BLANCA, 
PESO: SIN VALOR </t>
  </si>
  <si>
    <t xml:space="preserve">PAPA BLANCA X KG  </t>
  </si>
  <si>
    <t xml:space="preserve">VERDURAS Y HORTALIZAS; ESTADO: NATURAL, PRESENTACION: GRANEL, VARIEDAD: PAPA BLANCA, 
PESO: SIN VALOR UNIDAD DE MEDIDA: KILO </t>
  </si>
  <si>
    <t xml:space="preserve">VERDURA PAPA BLANCA X KG.  </t>
  </si>
  <si>
    <t xml:space="preserve">28 </t>
  </si>
  <si>
    <t xml:space="preserve">2.1.1-6546.158 </t>
  </si>
  <si>
    <t xml:space="preserve">VERDURAS Y HORTALIZAS; ESTADO: NATURAL, VARIEDAD: ZAPALLO ANCO, PRESENTACION: GRANEL, 
PESO: SIN VALOR </t>
  </si>
  <si>
    <t xml:space="preserve">ZAPALLO ANCO X 1 KG  </t>
  </si>
  <si>
    <t xml:space="preserve"> VERDURAS Y HORTALIZAS; ESTADO: NATURAL, VARIEDAD: ZAPALLO ANCO, PRESENTACION: 
GRANEL, PESO: SIN VALOR UNIDAD DE MEDIDA: KILO </t>
  </si>
  <si>
    <t xml:space="preserve">VERDURA ZAPALLO ANQUIN X KG.  </t>
  </si>
  <si>
    <t xml:space="preserve">29 </t>
  </si>
  <si>
    <t xml:space="preserve">2.1.1-6546.124 </t>
  </si>
  <si>
    <t xml:space="preserve">VERDURAS Y HORTALIZAS; PESO: SIN VALOR, VARIEDAD: REMOLACHA, ESTADO: NATURAL, 
PRESENTACION: GRANEL </t>
  </si>
  <si>
    <t xml:space="preserve">REMOLACHA X 1 KG  </t>
  </si>
  <si>
    <t xml:space="preserve"> VERDURAS Y HORTALIZAS; PESO: SIN VALOR, VARIEDAD: REMOLACHA, ESTADO: 
NATURAL, PRESENTACION: GRANEL UNIDAD DE MEDIDA: KILO </t>
  </si>
  <si>
    <t xml:space="preserve">VERDURA REMOLACHA X KG.  </t>
  </si>
  <si>
    <t xml:space="preserve">30 </t>
  </si>
  <si>
    <t xml:space="preserve">2.1.1-6546.207 </t>
  </si>
  <si>
    <t xml:space="preserve">VERDURAS Y HORTALIZAS; VARIEDAD: BATATA, ESTADO: NATURAL, PRESENTACION: BOLSA, PESO: 
10 Kg </t>
  </si>
  <si>
    <t xml:space="preserve">BATATA X BOLSA DE 10 KG </t>
  </si>
  <si>
    <t xml:space="preserve">VERDURA BATATA EN BOLSA X 10 KG.  </t>
  </si>
  <si>
    <t xml:space="preserve">31 </t>
  </si>
  <si>
    <t xml:space="preserve">2.1.1-6546.177 </t>
  </si>
  <si>
    <t xml:space="preserve">VERDURAS Y HORTALIZAS; VARIEDAD: BERENJENA, ESTADO: NATURAL, PRESENTACION: GRANEL, PESO: 
SIN VALOR </t>
  </si>
  <si>
    <t xml:space="preserve">BERENJENA X 1 KG  </t>
  </si>
  <si>
    <t xml:space="preserve"> VERDURAS Y HORTALIZAS; VARIEDAD: BERENJENA, ESTADO: NATURAL, PRESENTACION: GRANEL, 
PESO: SIN VALOR UNIDAD DE MEDIDA: KILO </t>
  </si>
  <si>
    <t xml:space="preserve">VERDURA BERENJENA X KG.  </t>
  </si>
  <si>
    <t xml:space="preserve">32 </t>
  </si>
  <si>
    <t xml:space="preserve">2.1.1-6546.236 </t>
  </si>
  <si>
    <t xml:space="preserve">VERDURAS Y HORTALIZAS; VARIEDAD: CEBOLLA, ESTADO: NATURAL, PRESENTACION: BOLSA, PESO: 
20 Kg </t>
  </si>
  <si>
    <t xml:space="preserve">CEBOLLA X BOLSA  DE 20 KG </t>
  </si>
  <si>
    <t xml:space="preserve">VERDURA CEBOLLA EN BOLSA.  </t>
  </si>
  <si>
    <t xml:space="preserve">33 </t>
  </si>
  <si>
    <t xml:space="preserve">2.1.1-6546.95 </t>
  </si>
  <si>
    <t xml:space="preserve">VERDURAS Y HORTALIZAS; VARIEDAD: MORRON VERDE, ESTADO: NATURAL, PRESENTACION: GRANEL, 
PESO: SIN VALOR </t>
  </si>
  <si>
    <t xml:space="preserve">MARRON VERDE X 1 KG  </t>
  </si>
  <si>
    <t xml:space="preserve"> VERDURAS Y HORTALIZAS; VARIEDAD: MORRON VERDE, ESTADO: NATURAL, PRESENTACION: 
GRANEL, PESO: SIN VALOR UNIDAD DE MEDIDA: KILO </t>
  </si>
  <si>
    <t xml:space="preserve">VERDURA MORRON VERDE X KG.  </t>
  </si>
  <si>
    <t xml:space="preserve">34 </t>
  </si>
  <si>
    <t xml:space="preserve">2.1.1-6546.169 </t>
  </si>
  <si>
    <t xml:space="preserve">VERDURAS Y HORTALIZAS; VARIEDAD: ESPINACA, PRESENTACION: ATADO, ESTADO: NATURAL, PESO: 
SIN VALOR </t>
  </si>
  <si>
    <t xml:space="preserve">ESPINACA X ATADO DE 300 GR </t>
  </si>
  <si>
    <t xml:space="preserve">VERDURAS Y HORTALIZAS; VARIEDAD: ESPINACA, PRESENTACION: ATADO, ESTADO: NATURAL, PESO: 
SIN VAL 1 ATADO POR 300 GRS. APROXIMADAMENTE. </t>
  </si>
  <si>
    <t xml:space="preserve">35 </t>
  </si>
  <si>
    <t xml:space="preserve">2.1.1-6546.133 </t>
  </si>
  <si>
    <t xml:space="preserve">VERDURAS Y HORTALIZAS; VARIEDAD: PEREJIL, ESTADO: NATURAL, PRESENTACION: ATADO, PESO: 
1 Kg </t>
  </si>
  <si>
    <t xml:space="preserve">PEREJIL X 1 KG  </t>
  </si>
  <si>
    <t xml:space="preserve">36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</si>
  <si>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</si>
  <si>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</si>
  <si>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TOMATE REDONDO CAJON DE 17 A 22 KG </t>
  </si>
  <si>
    <t xml:space="preserve">VERDURA TOMATE REDONDO EN CAJAN.  </t>
  </si>
  <si>
    <t xml:space="preserve">37 </t>
  </si>
  <si>
    <t xml:space="preserve">2.1.1-6546.167 </t>
  </si>
  <si>
    <t xml:space="preserve">VERDURAS Y HORTALIZAS; VARIEDAD: ZANAHORIA, PRESENTACION: BOLSA, ESTADO: NATURAL, PESO: 
20 Kg </t>
  </si>
  <si>
    <t xml:space="preserve">ZANAHORIA X BOLSA DE 20 KG </t>
  </si>
  <si>
    <t xml:space="preserve">VERDURA ZANAHORIA EN BOLSA.  </t>
  </si>
  <si>
    <t xml:space="preserve">38 </t>
  </si>
  <si>
    <t xml:space="preserve">2.1.1-6546.240 </t>
  </si>
  <si>
    <t xml:space="preserve">VERDURAS Y HORTALIZAS; VARIEDAD: ZAPALLITO REDONDO, ESTADO: NATURAL, PRESENTACION: SIN 
VALOR, PESO: 20 Kg </t>
  </si>
  <si>
    <t xml:space="preserve">ZAPALLITO REDODNDO X CAJON  </t>
  </si>
  <si>
    <t xml:space="preserve"> VERDURAS Y HORTALIZAS; VARIEDAD: ZAPALLITO REDONDO, ESTADO: NATURAL, PRESENTACION: 
SIN VALOR, PESO: 20 Kg </t>
  </si>
  <si>
    <t xml:space="preserve">VERDURA ZAPALLITO REDONDO VERDE EN CAJON.  </t>
  </si>
  <si>
    <t xml:space="preserve">39 </t>
  </si>
  <si>
    <t xml:space="preserve">2.1.1-6546.298 </t>
  </si>
  <si>
    <t xml:space="preserve">VERDURAS Y HORTALIZAS; VARIEDAD: ZUCHINI, ESTADO: NATURAL, PRESENTACION: CAJON, PESO: 
18 Kg </t>
  </si>
  <si>
    <t xml:space="preserve">ZUCHINI CAJON X 18 KG </t>
  </si>
  <si>
    <t xml:space="preserve"> VERDURAS Y HORTALIZAS; VARIEDAD: ZUCHINI, ESTADO: NATURAL, PRESENTACION: CAJON, 
PESO: 18 Kg </t>
  </si>
  <si>
    <t xml:space="preserve">40 </t>
  </si>
  <si>
    <t xml:space="preserve">2.1.1-456.91 </t>
  </si>
  <si>
    <t xml:space="preserve">YOGHURT; TIPO: DESCREMADO, AGREGADO: SIN, CONSISTENCIA: FIRME, SABOR: VAINILLA-FRUTILLA, PRESENTACION: 
POTE PLASTICO X 190 mL </t>
  </si>
  <si>
    <t xml:space="preserve">YOGUR FIRMA X 190 GR MARCA TREGAR </t>
  </si>
  <si>
    <t xml:space="preserve">YOGHURT; TIPO: DESCREMADO, AGREGADO: SIN, CONSISTENCIA: FIRME, SABOR: VAINILLA-FRUTILLA, PRESENTACION: 
POTE PLASTICO X 190 mL MARCA MANFREY  </t>
  </si>
  <si>
    <t xml:space="preserve">YOGURTH FIRME DESCREMADO LA SERENISIMA SABOR VAINILLA FRUTILLA X 190 
ML.  </t>
  </si>
  <si>
    <t xml:space="preserve">41 </t>
  </si>
  <si>
    <t xml:space="preserve">2.1.1-456.90 </t>
  </si>
  <si>
    <t xml:space="preserve">YOGHURT; TIPO: ENTERO, AGREGADO: SIN, CONSISTENCIA: FIRME, SABOR: VAINILLA-FRUTILLA, PRESENTACION: 
POTE PLASTICO X 190 mL </t>
  </si>
  <si>
    <t xml:space="preserve">YOGHURT; TIPO: ENTERO, AGREGADO: SIN, CONSISTENCIA: FIRME, SABOR: VAINILLA-FRUTILLA, PRESENTACION: 
POTE PLASTICO X 190 mL  </t>
  </si>
  <si>
    <t xml:space="preserve"> YOGHURT; TIPO: ENTERO, AGREGADO: SIN, CONSISTENCIA: FIRME, SABOR: VAINILLA-FRUTILLA, 
PRESENTACION: POTE PLASTICO X 190 mL MARCA MANFREY  </t>
  </si>
  <si>
    <t xml:space="preserve">YOGURTH FIRME ENTERO LA SERENISIMA SABOR VAINILLA FRUTILLA X 190 
ML.  </t>
  </si>
  <si>
    <t xml:space="preserve">42 </t>
  </si>
  <si>
    <t xml:space="preserve">2.1.1-438.93 </t>
  </si>
  <si>
    <t xml:space="preserve">ADEREZOS; TIPO: MOSTAZA, PRESENTACION: ENVASE X 1 Kg, LIBRE DE 
GLUTEN: NO </t>
  </si>
  <si>
    <t xml:space="preserve">ADEREZOS; TIPO: MOSTAZA, PRESENTACION: ENVASE X 1 Kg, LIBRE DE 
GLUTEN: NO  </t>
  </si>
  <si>
    <t xml:space="preserve">MOSTAZA NATURA X KG.  </t>
  </si>
  <si>
    <t xml:space="preserve">43 </t>
  </si>
  <si>
    <t xml:space="preserve">2.1.1-621.19 </t>
  </si>
  <si>
    <t xml:space="preserve">AVES; TIPO: POLLO, PRESENTACION: PATA MUSLO, EVISCERADO: SI, ELEM. TRANSPORTE: 
SIN, MATERIAL ELEM. TRANSPORTE: SIN, LIBRE DE GLUTEN: SIN VALOR 
</t>
  </si>
  <si>
    <t xml:space="preserve">PATA MUSLO CAJA X 20 KG MARCA: QUE RICO </t>
  </si>
  <si>
    <t xml:space="preserve"> AVES; TIPO: POLLO, PRESENTACION: PATA MUSLO, EVISCERADO: SI, ELEM. 
TRANSPORTE: SIN, MATERIAL ELEM. TRANSPORTE: SIN, LIBRE DE GLUTEN: SIN 
VALOR  </t>
  </si>
  <si>
    <t xml:space="preserve">PRECIO POR CAJA DE 20 KILOS- MARCA OPTIMO- PRIMERA CALIDAD 
</t>
  </si>
  <si>
    <t xml:space="preserve">PATA MUSLO SOY CHU EN CAJON.  </t>
  </si>
  <si>
    <t xml:space="preserve">44 </t>
  </si>
  <si>
    <t xml:space="preserve">2.1.1-6546.374 </t>
  </si>
  <si>
    <t xml:space="preserve">VERDURAS Y HORTALIZAS; VARIEDAD: LECHUGA ARREPOLLADA, ESTADO: NATURAL, PRESENTACION: A 
GRANEL, PESO: 300 GR CADA PLANTA, ELEM. TRANSPORTE: SIN, MATERIAL 
ELEM. TRANSPORTE: SIN, LIBRE DE GLUTEN: SI </t>
  </si>
  <si>
    <t xml:space="preserve">LECHUGA REPOLLADA X 300 GR  </t>
  </si>
  <si>
    <t xml:space="preserve"> VERDURAS Y HORTALIZAS; VARIEDAD: LECHUGA ARREPOLLADA, ESTADO: NATURAL, PRESENTACION: 
A GRANEL, PESO: 300 GR CADA PLANTA, ELEM. TRANSPORTE: SIN, 
MATERIAL ELEM. TRANSPORTE: SIN, LIBRE DE GLUTEN: SI PRESENTACIÓN CAJON 
 </t>
  </si>
  <si>
    <t xml:space="preserve">VERDURA LECHUGA ARREPOLLADA X UND.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</si>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</sst>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54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54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02.5703125" customWidth="1"/>
    <col min="5" max="5" width="46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7.28515625" customWidth="1"/>
    <col min="11" max="11" width="14.28515625" customWidth="1"/>
    <col min="12" max="12" width="17.28515625" customWidth="1"/>
    <col min="13" max="13" width="16.5703125" customWidth="1"/>
    <col min="14" max="14" width="102.5703125" customWidth="1"/>
    <col min="15" max="15" width="14.28515625" customWidth="1"/>
    <col min="16" max="16" width="17.28515625" customWidth="1"/>
    <col min="17" max="17" width="16.5703125" customWidth="1"/>
    <col min="18" max="18" width="59.85546875" customWidth="1"/>
    <col min="19" max="19" width="14.28515625" customWidth="1"/>
    <col min="20" max="20" width="17.28515625" customWidth="1"/>
    <col min="21" max="21" width="16.5703125" customWidth="1"/>
    <col min="22" max="22" width="70.85546875" customWidth="1"/>
    <col min="23" max="23" width="14.28515625" customWidth="1"/>
    <col min="24" max="24" width="17.28515625" customWidth="1"/>
    <col min="25" max="25" width="16.5703125" customWidth="1"/>
    <col min="26" max="26" width="42.710937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30" x14ac:dyDescent="0.25">
      <c r="A10" t="s">
        <v>25</v>
      </c>
      <c r="B10" t="s">
        <v>25</v>
      </c>
      <c r="C10" t="s">
        <v>26</v>
      </c>
      <c r="D10" s="4" t="s">
        <v>27</v>
      </c>
      <c r="E10">
        <v>30</v>
      </c>
      <c r="F10" t="s">
        <v>28</v>
      </c>
      <c r="G10" s="3">
        <v>590</v>
      </c>
      <c r="H10" s="3">
        <v>30</v>
      </c>
      <c r="I10" s="5">
        <v>17700</v>
      </c>
      <c r="J10" t="s">
        <v>29</v>
      </c>
      <c r="K10" s="3"/>
      <c r="L10" s="3"/>
      <c r="M10" s="5"/>
      <c r="O10" s="3"/>
      <c r="P10" s="3"/>
      <c r="Q10" s="5"/>
      <c r="S10" s="3"/>
      <c r="T10" s="3"/>
      <c r="U10" s="5"/>
      <c r="W10" s="3"/>
      <c r="X10" s="3"/>
      <c r="Y10" s="5"/>
    </row>
    <row r="11" spans="1:26" ht="30" x14ac:dyDescent="0.25">
      <c r="A11" t="s">
        <v>30</v>
      </c>
      <c r="B11" t="s">
        <v>25</v>
      </c>
      <c r="C11" t="s">
        <v>31</v>
      </c>
      <c r="D11" s="4" t="s">
        <v>32</v>
      </c>
      <c r="E11">
        <v>6</v>
      </c>
      <c r="F11" t="s">
        <v>28</v>
      </c>
      <c r="G11" s="3">
        <v>550</v>
      </c>
      <c r="H11" s="3">
        <v>6</v>
      </c>
      <c r="I11" s="5">
        <v>3300</v>
      </c>
      <c r="J11" t="s">
        <v>33</v>
      </c>
      <c r="K11" s="3"/>
      <c r="L11" s="3"/>
      <c r="M11" s="5"/>
      <c r="O11" s="3"/>
      <c r="P11" s="3"/>
      <c r="Q11" s="5"/>
      <c r="S11" s="3"/>
      <c r="T11" s="3"/>
      <c r="U11" s="5"/>
      <c r="W11" s="3"/>
      <c r="X11" s="3"/>
      <c r="Y11" s="5"/>
    </row>
    <row r="12" spans="1:26" ht="45" x14ac:dyDescent="0.25">
      <c r="A12" t="s">
        <v>34</v>
      </c>
      <c r="B12" t="s">
        <v>25</v>
      </c>
      <c r="C12" t="s">
        <v>35</v>
      </c>
      <c r="D12" s="4" t="s">
        <v>36</v>
      </c>
      <c r="E12">
        <v>80</v>
      </c>
      <c r="F12" t="s">
        <v>28</v>
      </c>
      <c r="G12" s="3"/>
      <c r="H12" s="3"/>
      <c r="I12" s="5"/>
      <c r="K12" s="3">
        <v>13090</v>
      </c>
      <c r="L12" s="3">
        <v>80</v>
      </c>
      <c r="M12" s="5">
        <v>1047200</v>
      </c>
      <c r="N12" s="4" t="s">
        <v>37</v>
      </c>
      <c r="O12" s="3">
        <v>15000</v>
      </c>
      <c r="P12" s="3">
        <v>80</v>
      </c>
      <c r="Q12" s="5">
        <v>1200000</v>
      </c>
      <c r="R12" s="4" t="s">
        <v>38</v>
      </c>
      <c r="S12" s="3">
        <v>970</v>
      </c>
      <c r="T12" s="3">
        <v>80</v>
      </c>
      <c r="U12" s="5">
        <v>77600</v>
      </c>
      <c r="V12" t="s">
        <v>39</v>
      </c>
      <c r="W12" s="3"/>
      <c r="X12" s="3"/>
      <c r="Y12" s="5"/>
    </row>
    <row r="13" spans="1:26" ht="30" x14ac:dyDescent="0.25">
      <c r="A13" t="s">
        <v>40</v>
      </c>
      <c r="B13" t="s">
        <v>25</v>
      </c>
      <c r="C13" t="s">
        <v>41</v>
      </c>
      <c r="D13" t="s">
        <v>42</v>
      </c>
      <c r="E13">
        <v>100</v>
      </c>
      <c r="F13" t="s">
        <v>28</v>
      </c>
      <c r="G13" s="3">
        <v>1500</v>
      </c>
      <c r="H13" s="3">
        <v>100</v>
      </c>
      <c r="I13" s="5">
        <v>150000</v>
      </c>
      <c r="J13" s="4" t="s">
        <v>43</v>
      </c>
      <c r="K13" s="3">
        <v>763.3</v>
      </c>
      <c r="L13" s="3">
        <v>100</v>
      </c>
      <c r="M13" s="5">
        <v>76330</v>
      </c>
      <c r="N13" s="4" t="s">
        <v>44</v>
      </c>
      <c r="O13" s="3">
        <v>1250</v>
      </c>
      <c r="P13" s="3">
        <v>100</v>
      </c>
      <c r="Q13" s="5">
        <v>125000</v>
      </c>
      <c r="R13" s="4" t="s">
        <v>45</v>
      </c>
      <c r="S13" s="3">
        <v>1050</v>
      </c>
      <c r="T13" s="3">
        <v>100</v>
      </c>
      <c r="U13" s="5">
        <v>105000</v>
      </c>
      <c r="V13" t="s">
        <v>46</v>
      </c>
      <c r="W13" s="3"/>
      <c r="X13" s="3"/>
      <c r="Y13" s="5"/>
    </row>
    <row r="14" spans="1:26" ht="30" x14ac:dyDescent="0.25">
      <c r="A14" t="s">
        <v>47</v>
      </c>
      <c r="B14" t="s">
        <v>25</v>
      </c>
      <c r="C14" t="s">
        <v>48</v>
      </c>
      <c r="D14" t="s">
        <v>49</v>
      </c>
      <c r="E14">
        <v>640</v>
      </c>
      <c r="F14" t="s">
        <v>28</v>
      </c>
      <c r="G14" s="3">
        <v>1700</v>
      </c>
      <c r="H14" s="3">
        <v>640</v>
      </c>
      <c r="I14" s="5">
        <v>1088000</v>
      </c>
      <c r="J14" s="4" t="s">
        <v>50</v>
      </c>
      <c r="K14" s="3">
        <v>1377</v>
      </c>
      <c r="L14" s="3">
        <v>640</v>
      </c>
      <c r="M14" s="5">
        <v>881280</v>
      </c>
      <c r="N14" s="4" t="s">
        <v>51</v>
      </c>
      <c r="O14" s="3">
        <v>1250</v>
      </c>
      <c r="P14" s="3">
        <v>640</v>
      </c>
      <c r="Q14" s="5">
        <v>800000</v>
      </c>
      <c r="R14" t="s">
        <v>52</v>
      </c>
      <c r="S14" s="3">
        <v>1350</v>
      </c>
      <c r="T14" s="3">
        <v>640</v>
      </c>
      <c r="U14" s="5">
        <v>864000</v>
      </c>
      <c r="V14" t="s">
        <v>53</v>
      </c>
      <c r="W14" s="3"/>
      <c r="X14" s="3"/>
      <c r="Y14" s="5"/>
    </row>
    <row r="15" spans="1:26" x14ac:dyDescent="0.25">
      <c r="A15" t="s">
        <v>54</v>
      </c>
      <c r="B15" t="s">
        <v>25</v>
      </c>
      <c r="C15" t="s">
        <v>55</v>
      </c>
      <c r="D15" t="s">
        <v>56</v>
      </c>
      <c r="E15">
        <v>640</v>
      </c>
      <c r="F15" t="s">
        <v>28</v>
      </c>
      <c r="G15" s="3"/>
      <c r="H15" s="3"/>
      <c r="I15" s="5"/>
      <c r="K15" s="3">
        <v>1558.9</v>
      </c>
      <c r="L15" s="3">
        <v>640</v>
      </c>
      <c r="M15" s="5">
        <v>997696</v>
      </c>
      <c r="N15" t="s">
        <v>56</v>
      </c>
      <c r="O15" s="3">
        <v>1350</v>
      </c>
      <c r="P15" s="3">
        <v>640</v>
      </c>
      <c r="Q15" s="5">
        <v>864000</v>
      </c>
      <c r="R15" t="s">
        <v>57</v>
      </c>
      <c r="S15" s="3">
        <v>1350</v>
      </c>
      <c r="T15" s="3">
        <v>640</v>
      </c>
      <c r="U15" s="5">
        <v>864000</v>
      </c>
      <c r="V15" t="s">
        <v>58</v>
      </c>
      <c r="W15" s="3"/>
      <c r="X15" s="3"/>
      <c r="Y15" s="5"/>
    </row>
    <row r="16" spans="1:26" x14ac:dyDescent="0.25">
      <c r="A16" t="s">
        <v>59</v>
      </c>
      <c r="B16" t="s">
        <v>25</v>
      </c>
      <c r="C16" t="s">
        <v>60</v>
      </c>
      <c r="D16" t="s">
        <v>61</v>
      </c>
      <c r="E16">
        <v>100</v>
      </c>
      <c r="F16" t="s">
        <v>28</v>
      </c>
      <c r="G16" s="3">
        <v>1500</v>
      </c>
      <c r="H16" s="3">
        <v>100</v>
      </c>
      <c r="I16" s="5">
        <v>150000</v>
      </c>
      <c r="J16" t="s">
        <v>62</v>
      </c>
      <c r="K16" s="3">
        <v>1513</v>
      </c>
      <c r="L16" s="3">
        <v>100</v>
      </c>
      <c r="M16" s="5">
        <v>151300</v>
      </c>
      <c r="N16" t="s">
        <v>63</v>
      </c>
      <c r="O16" s="3">
        <v>1050</v>
      </c>
      <c r="P16" s="3">
        <v>100</v>
      </c>
      <c r="Q16" s="5">
        <v>105000</v>
      </c>
      <c r="R16" t="s">
        <v>52</v>
      </c>
      <c r="S16" s="3">
        <v>1050</v>
      </c>
      <c r="T16" s="3">
        <v>100</v>
      </c>
      <c r="U16" s="5">
        <v>105000</v>
      </c>
      <c r="V16" t="s">
        <v>64</v>
      </c>
      <c r="W16" s="3"/>
      <c r="X16" s="3"/>
      <c r="Y16" s="5"/>
    </row>
    <row r="17" spans="1:26" x14ac:dyDescent="0.25">
      <c r="A17" t="s">
        <v>65</v>
      </c>
      <c r="B17" t="s">
        <v>25</v>
      </c>
      <c r="C17" t="s">
        <v>66</v>
      </c>
      <c r="D17" t="s">
        <v>67</v>
      </c>
      <c r="E17">
        <v>300</v>
      </c>
      <c r="F17" t="s">
        <v>28</v>
      </c>
      <c r="G17" s="3">
        <v>1490</v>
      </c>
      <c r="H17" s="3">
        <v>300</v>
      </c>
      <c r="I17" s="5">
        <v>447000</v>
      </c>
      <c r="J17" t="s">
        <v>68</v>
      </c>
      <c r="K17" s="3">
        <v>850</v>
      </c>
      <c r="L17" s="3">
        <v>300</v>
      </c>
      <c r="M17" s="5">
        <v>255000</v>
      </c>
      <c r="N17" t="s">
        <v>69</v>
      </c>
      <c r="O17" s="3">
        <v>1050</v>
      </c>
      <c r="P17" s="3">
        <v>300</v>
      </c>
      <c r="Q17" s="5">
        <v>315000</v>
      </c>
      <c r="R17" t="s">
        <v>52</v>
      </c>
      <c r="S17" s="3">
        <v>950</v>
      </c>
      <c r="T17" s="3">
        <v>300</v>
      </c>
      <c r="U17" s="5">
        <v>285000</v>
      </c>
      <c r="V17" t="s">
        <v>70</v>
      </c>
      <c r="W17" s="3"/>
      <c r="X17" s="3"/>
      <c r="Y17" s="5"/>
    </row>
    <row r="18" spans="1:26" ht="30" x14ac:dyDescent="0.25">
      <c r="A18" t="s">
        <v>71</v>
      </c>
      <c r="B18" t="s">
        <v>25</v>
      </c>
      <c r="C18" t="s">
        <v>72</v>
      </c>
      <c r="D18" t="s">
        <v>73</v>
      </c>
      <c r="E18">
        <v>50</v>
      </c>
      <c r="F18" t="s">
        <v>28</v>
      </c>
      <c r="G18" s="3">
        <v>1600</v>
      </c>
      <c r="H18" s="3">
        <v>50</v>
      </c>
      <c r="I18" s="5">
        <v>80000</v>
      </c>
      <c r="J18" t="s">
        <v>74</v>
      </c>
      <c r="K18" s="3">
        <v>1110</v>
      </c>
      <c r="L18" s="3">
        <v>50</v>
      </c>
      <c r="M18" s="5">
        <v>55500</v>
      </c>
      <c r="N18" s="4" t="s">
        <v>75</v>
      </c>
      <c r="O18" s="3"/>
      <c r="P18" s="3"/>
      <c r="Q18" s="5"/>
      <c r="S18" s="3">
        <v>1090</v>
      </c>
      <c r="T18" s="3">
        <v>50</v>
      </c>
      <c r="U18" s="5">
        <v>54500</v>
      </c>
      <c r="V18" t="s">
        <v>76</v>
      </c>
      <c r="W18" s="3"/>
      <c r="X18" s="3"/>
      <c r="Y18" s="5"/>
    </row>
    <row r="19" spans="1:26" ht="30" x14ac:dyDescent="0.25">
      <c r="A19" t="s">
        <v>77</v>
      </c>
      <c r="B19" t="s">
        <v>25</v>
      </c>
      <c r="C19" t="s">
        <v>78</v>
      </c>
      <c r="D19" s="4" t="s">
        <v>79</v>
      </c>
      <c r="E19">
        <v>100</v>
      </c>
      <c r="F19" t="s">
        <v>28</v>
      </c>
      <c r="G19" s="3">
        <v>4990</v>
      </c>
      <c r="H19" s="3">
        <v>100</v>
      </c>
      <c r="I19" s="5">
        <v>499000</v>
      </c>
      <c r="J19" t="s">
        <v>80</v>
      </c>
      <c r="K19" s="3">
        <v>4080</v>
      </c>
      <c r="L19" s="3">
        <v>100</v>
      </c>
      <c r="M19" s="5">
        <v>408000</v>
      </c>
      <c r="N19" s="4" t="s">
        <v>81</v>
      </c>
      <c r="O19" s="3"/>
      <c r="P19" s="3"/>
      <c r="Q19" s="5"/>
      <c r="S19" s="3">
        <v>3500</v>
      </c>
      <c r="T19" s="3">
        <v>100</v>
      </c>
      <c r="U19" s="5">
        <v>350000</v>
      </c>
      <c r="V19" t="s">
        <v>82</v>
      </c>
      <c r="W19" s="3"/>
      <c r="X19" s="3"/>
      <c r="Y19" s="5"/>
    </row>
    <row r="20" spans="1:26" ht="30" x14ac:dyDescent="0.25">
      <c r="A20" t="s">
        <v>83</v>
      </c>
      <c r="B20" t="s">
        <v>25</v>
      </c>
      <c r="C20" t="s">
        <v>84</v>
      </c>
      <c r="D20" s="4" t="s">
        <v>85</v>
      </c>
      <c r="E20">
        <v>200</v>
      </c>
      <c r="F20" t="s">
        <v>28</v>
      </c>
      <c r="G20" s="3">
        <v>112</v>
      </c>
      <c r="H20" s="3">
        <v>200</v>
      </c>
      <c r="I20" s="5">
        <v>22400</v>
      </c>
      <c r="J20" s="4" t="s">
        <v>86</v>
      </c>
      <c r="K20" s="3"/>
      <c r="L20" s="3"/>
      <c r="M20" s="5"/>
      <c r="O20" s="3"/>
      <c r="P20" s="3"/>
      <c r="Q20" s="5"/>
      <c r="S20" s="3">
        <v>65</v>
      </c>
      <c r="T20" s="3">
        <v>200</v>
      </c>
      <c r="U20" s="5">
        <v>13000</v>
      </c>
      <c r="V20" t="s">
        <v>87</v>
      </c>
      <c r="W20" s="3"/>
      <c r="X20" s="3"/>
      <c r="Y20" s="5"/>
    </row>
    <row r="21" spans="1:26" ht="30" x14ac:dyDescent="0.25">
      <c r="A21" t="s">
        <v>88</v>
      </c>
      <c r="B21" t="s">
        <v>25</v>
      </c>
      <c r="C21" t="s">
        <v>89</v>
      </c>
      <c r="D21" s="4" t="s">
        <v>90</v>
      </c>
      <c r="E21">
        <v>40</v>
      </c>
      <c r="F21" t="s">
        <v>28</v>
      </c>
      <c r="G21" s="3">
        <v>4200</v>
      </c>
      <c r="H21" s="3">
        <v>40</v>
      </c>
      <c r="I21" s="5">
        <v>168000</v>
      </c>
      <c r="J21" s="4" t="s">
        <v>91</v>
      </c>
      <c r="K21" s="3">
        <v>3060</v>
      </c>
      <c r="L21" s="3">
        <v>40</v>
      </c>
      <c r="M21" s="5">
        <v>122400</v>
      </c>
      <c r="N21" s="4" t="s">
        <v>92</v>
      </c>
      <c r="O21" s="3"/>
      <c r="P21" s="3"/>
      <c r="Q21" s="5"/>
      <c r="S21" s="3">
        <v>3600</v>
      </c>
      <c r="T21" s="3">
        <v>40</v>
      </c>
      <c r="U21" s="5">
        <v>144000</v>
      </c>
      <c r="V21" t="s">
        <v>93</v>
      </c>
      <c r="W21" s="3"/>
      <c r="X21" s="3"/>
      <c r="Y21" s="5"/>
    </row>
    <row r="22" spans="1:26" ht="30" x14ac:dyDescent="0.25">
      <c r="A22" t="s">
        <v>94</v>
      </c>
      <c r="B22" t="s">
        <v>25</v>
      </c>
      <c r="C22" t="s">
        <v>95</v>
      </c>
      <c r="D22" s="4" t="s">
        <v>96</v>
      </c>
      <c r="E22">
        <v>60</v>
      </c>
      <c r="F22" t="s">
        <v>28</v>
      </c>
      <c r="G22" s="3">
        <v>120</v>
      </c>
      <c r="H22" s="3">
        <v>60</v>
      </c>
      <c r="I22" s="5">
        <v>7200</v>
      </c>
      <c r="J22" t="s">
        <v>97</v>
      </c>
      <c r="K22" s="3">
        <v>92</v>
      </c>
      <c r="L22" s="3">
        <v>60</v>
      </c>
      <c r="M22" s="5">
        <v>5520</v>
      </c>
      <c r="N22" s="4" t="s">
        <v>96</v>
      </c>
      <c r="O22" s="3"/>
      <c r="P22" s="3"/>
      <c r="Q22" s="5"/>
      <c r="S22" s="3">
        <v>110</v>
      </c>
      <c r="T22" s="3">
        <v>60</v>
      </c>
      <c r="U22" s="5">
        <v>6600</v>
      </c>
      <c r="V22" t="s">
        <v>98</v>
      </c>
      <c r="W22" s="3"/>
      <c r="X22" s="3"/>
      <c r="Y22" s="5"/>
    </row>
    <row r="23" spans="1:26" ht="30" x14ac:dyDescent="0.25">
      <c r="A23" t="s">
        <v>99</v>
      </c>
      <c r="B23" t="s">
        <v>25</v>
      </c>
      <c r="C23" t="s">
        <v>100</v>
      </c>
      <c r="D23" s="4" t="s">
        <v>101</v>
      </c>
      <c r="E23">
        <v>40</v>
      </c>
      <c r="F23" t="s">
        <v>28</v>
      </c>
      <c r="G23" s="3">
        <v>4500</v>
      </c>
      <c r="H23" s="3">
        <v>40</v>
      </c>
      <c r="I23" s="5">
        <v>180000</v>
      </c>
      <c r="J23" t="s">
        <v>102</v>
      </c>
      <c r="K23" s="3">
        <v>3400</v>
      </c>
      <c r="L23" s="3">
        <v>40</v>
      </c>
      <c r="M23" s="5">
        <v>136000</v>
      </c>
      <c r="N23" s="4" t="s">
        <v>101</v>
      </c>
      <c r="O23" s="3"/>
      <c r="P23" s="3"/>
      <c r="Q23" s="5"/>
      <c r="S23" s="3">
        <v>3500</v>
      </c>
      <c r="T23" s="3">
        <v>40</v>
      </c>
      <c r="U23" s="5">
        <v>140000</v>
      </c>
      <c r="V23" t="s">
        <v>103</v>
      </c>
      <c r="W23" s="3"/>
      <c r="X23" s="3"/>
      <c r="Y23" s="5"/>
    </row>
    <row r="24" spans="1:26" ht="30" x14ac:dyDescent="0.25">
      <c r="A24" t="s">
        <v>104</v>
      </c>
      <c r="B24" t="s">
        <v>25</v>
      </c>
      <c r="C24" t="s">
        <v>105</v>
      </c>
      <c r="D24" s="4" t="s">
        <v>106</v>
      </c>
      <c r="E24">
        <v>130</v>
      </c>
      <c r="F24" t="s">
        <v>28</v>
      </c>
      <c r="G24" s="3">
        <v>750</v>
      </c>
      <c r="H24" s="3">
        <v>130</v>
      </c>
      <c r="I24" s="5">
        <v>97500</v>
      </c>
      <c r="J24" t="s">
        <v>107</v>
      </c>
      <c r="K24" s="3">
        <v>608.6</v>
      </c>
      <c r="L24" s="3">
        <v>130</v>
      </c>
      <c r="M24" s="5">
        <v>79118</v>
      </c>
      <c r="N24" s="4" t="s">
        <v>106</v>
      </c>
      <c r="O24" s="3"/>
      <c r="P24" s="3"/>
      <c r="Q24" s="5"/>
      <c r="S24" s="3">
        <v>700</v>
      </c>
      <c r="T24" s="3">
        <v>130</v>
      </c>
      <c r="U24" s="5">
        <v>91000</v>
      </c>
      <c r="V24" t="s">
        <v>108</v>
      </c>
      <c r="W24" s="3"/>
      <c r="X24" s="3"/>
      <c r="Y24" s="5"/>
    </row>
    <row r="25" spans="1:26" x14ac:dyDescent="0.25">
      <c r="A25" t="s">
        <v>109</v>
      </c>
      <c r="B25" t="s">
        <v>25</v>
      </c>
      <c r="C25" t="s">
        <v>110</v>
      </c>
      <c r="D25" t="s">
        <v>111</v>
      </c>
      <c r="E25">
        <v>900</v>
      </c>
      <c r="F25" t="s">
        <v>28</v>
      </c>
      <c r="G25" s="3">
        <v>259</v>
      </c>
      <c r="H25" s="3">
        <v>900</v>
      </c>
      <c r="I25" s="5">
        <v>233100</v>
      </c>
      <c r="J25" t="s">
        <v>112</v>
      </c>
      <c r="K25" s="3"/>
      <c r="L25" s="3"/>
      <c r="M25" s="5"/>
      <c r="O25" s="3"/>
      <c r="P25" s="3"/>
      <c r="Q25" s="5"/>
      <c r="S25" s="3">
        <v>230</v>
      </c>
      <c r="T25" s="3">
        <v>900</v>
      </c>
      <c r="U25" s="5">
        <v>207000</v>
      </c>
      <c r="V25" t="s">
        <v>113</v>
      </c>
      <c r="W25" s="3">
        <v>300</v>
      </c>
      <c r="X25" s="3">
        <v>900</v>
      </c>
      <c r="Y25" s="5">
        <v>270000</v>
      </c>
      <c r="Z25" t="s">
        <v>114</v>
      </c>
    </row>
    <row r="26" spans="1:26" x14ac:dyDescent="0.25">
      <c r="A26" t="s">
        <v>115</v>
      </c>
      <c r="B26" t="s">
        <v>25</v>
      </c>
      <c r="C26" t="s">
        <v>116</v>
      </c>
      <c r="D26" t="s">
        <v>117</v>
      </c>
      <c r="E26">
        <v>150</v>
      </c>
      <c r="F26" t="s">
        <v>28</v>
      </c>
      <c r="G26" s="3">
        <v>259</v>
      </c>
      <c r="H26" s="3">
        <v>150</v>
      </c>
      <c r="I26" s="5">
        <v>38850</v>
      </c>
      <c r="J26" t="s">
        <v>118</v>
      </c>
      <c r="K26" s="3"/>
      <c r="L26" s="3"/>
      <c r="M26" s="5"/>
      <c r="O26" s="3"/>
      <c r="P26" s="3"/>
      <c r="Q26" s="5"/>
      <c r="S26" s="3">
        <v>230</v>
      </c>
      <c r="T26" s="3">
        <v>150</v>
      </c>
      <c r="U26" s="5">
        <v>34500</v>
      </c>
      <c r="V26" t="s">
        <v>119</v>
      </c>
      <c r="W26" s="3">
        <v>300</v>
      </c>
      <c r="X26" s="3">
        <v>150</v>
      </c>
      <c r="Y26" s="5">
        <v>45000</v>
      </c>
      <c r="Z26" t="s">
        <v>120</v>
      </c>
    </row>
    <row r="27" spans="1:26" ht="30" x14ac:dyDescent="0.25">
      <c r="A27" t="s">
        <v>121</v>
      </c>
      <c r="B27" t="s">
        <v>25</v>
      </c>
      <c r="C27" t="s">
        <v>122</v>
      </c>
      <c r="D27" s="4" t="s">
        <v>123</v>
      </c>
      <c r="E27">
        <v>200</v>
      </c>
      <c r="F27" t="s">
        <v>28</v>
      </c>
      <c r="G27" s="3">
        <v>450</v>
      </c>
      <c r="H27" s="3">
        <v>200</v>
      </c>
      <c r="I27" s="5">
        <v>90000</v>
      </c>
      <c r="J27" s="4" t="s">
        <v>124</v>
      </c>
      <c r="K27" s="3">
        <v>204</v>
      </c>
      <c r="L27" s="3">
        <v>200</v>
      </c>
      <c r="M27" s="5">
        <v>40800</v>
      </c>
      <c r="N27" s="4" t="s">
        <v>125</v>
      </c>
      <c r="O27" s="3"/>
      <c r="P27" s="3"/>
      <c r="Q27" s="5"/>
      <c r="S27" s="3">
        <v>190</v>
      </c>
      <c r="T27" s="3">
        <v>200</v>
      </c>
      <c r="U27" s="5">
        <v>38000</v>
      </c>
      <c r="V27" s="4" t="s">
        <v>126</v>
      </c>
      <c r="W27" s="3"/>
      <c r="X27" s="3"/>
      <c r="Y27" s="5"/>
    </row>
    <row r="28" spans="1:26" ht="45" x14ac:dyDescent="0.25">
      <c r="A28" t="s">
        <v>127</v>
      </c>
      <c r="B28" t="s">
        <v>25</v>
      </c>
      <c r="C28" t="s">
        <v>128</v>
      </c>
      <c r="D28" s="4" t="s">
        <v>129</v>
      </c>
      <c r="E28">
        <v>150</v>
      </c>
      <c r="F28" t="s">
        <v>28</v>
      </c>
      <c r="G28" s="3">
        <v>1900</v>
      </c>
      <c r="H28" s="3">
        <v>150</v>
      </c>
      <c r="I28" s="5">
        <v>285000</v>
      </c>
      <c r="J28" t="s">
        <v>130</v>
      </c>
      <c r="K28" s="3"/>
      <c r="L28" s="3"/>
      <c r="M28" s="5"/>
      <c r="O28" s="3"/>
      <c r="P28" s="3"/>
      <c r="Q28" s="5"/>
      <c r="S28" s="3"/>
      <c r="T28" s="3"/>
      <c r="U28" s="5"/>
      <c r="W28" s="3"/>
      <c r="X28" s="3"/>
      <c r="Y28" s="5"/>
    </row>
    <row r="29" spans="1:26" ht="60" x14ac:dyDescent="0.25">
      <c r="A29" t="s">
        <v>131</v>
      </c>
      <c r="B29" t="s">
        <v>25</v>
      </c>
      <c r="C29" t="s">
        <v>132</v>
      </c>
      <c r="D29" s="4" t="s">
        <v>133</v>
      </c>
      <c r="E29">
        <v>200</v>
      </c>
      <c r="F29" t="s">
        <v>28</v>
      </c>
      <c r="G29" s="3">
        <v>1200</v>
      </c>
      <c r="H29" s="3">
        <v>200</v>
      </c>
      <c r="I29" s="5">
        <v>240000</v>
      </c>
      <c r="J29" t="s">
        <v>134</v>
      </c>
      <c r="K29" s="3">
        <v>822.8</v>
      </c>
      <c r="L29" s="3">
        <v>200</v>
      </c>
      <c r="M29" s="5">
        <v>164560</v>
      </c>
      <c r="N29" s="4" t="s">
        <v>135</v>
      </c>
      <c r="O29" s="3"/>
      <c r="P29" s="3"/>
      <c r="Q29" s="5"/>
      <c r="S29" s="3">
        <v>850</v>
      </c>
      <c r="T29" s="3">
        <v>200</v>
      </c>
      <c r="U29" s="5">
        <v>170000</v>
      </c>
      <c r="V29" t="s">
        <v>136</v>
      </c>
      <c r="W29" s="3"/>
      <c r="X29" s="3"/>
      <c r="Y29" s="5"/>
    </row>
    <row r="30" spans="1:26" ht="60" x14ac:dyDescent="0.25">
      <c r="A30" t="s">
        <v>137</v>
      </c>
      <c r="B30" t="s">
        <v>25</v>
      </c>
      <c r="C30" t="s">
        <v>138</v>
      </c>
      <c r="D30" s="4" t="s">
        <v>139</v>
      </c>
      <c r="E30">
        <v>90</v>
      </c>
      <c r="F30" t="s">
        <v>28</v>
      </c>
      <c r="G30" s="3">
        <v>7700</v>
      </c>
      <c r="H30" s="3">
        <v>90</v>
      </c>
      <c r="I30" s="5">
        <v>693000</v>
      </c>
      <c r="J30" t="s">
        <v>140</v>
      </c>
      <c r="K30" s="3">
        <v>5013.3</v>
      </c>
      <c r="L30" s="3">
        <v>90</v>
      </c>
      <c r="M30" s="5">
        <v>451197</v>
      </c>
      <c r="N30" s="4" t="s">
        <v>141</v>
      </c>
      <c r="O30" s="3"/>
      <c r="P30" s="3"/>
      <c r="Q30" s="5"/>
      <c r="S30" s="3">
        <v>4500</v>
      </c>
      <c r="T30" s="3">
        <v>90</v>
      </c>
      <c r="U30" s="5">
        <v>405000</v>
      </c>
      <c r="V30" t="s">
        <v>142</v>
      </c>
      <c r="W30" s="3"/>
      <c r="X30" s="3"/>
      <c r="Y30" s="5"/>
    </row>
    <row r="31" spans="1:26" ht="60" x14ac:dyDescent="0.25">
      <c r="A31" t="s">
        <v>143</v>
      </c>
      <c r="B31" t="s">
        <v>25</v>
      </c>
      <c r="C31" t="s">
        <v>144</v>
      </c>
      <c r="D31" s="4" t="s">
        <v>145</v>
      </c>
      <c r="E31">
        <v>20</v>
      </c>
      <c r="F31" t="s">
        <v>28</v>
      </c>
      <c r="G31" s="3">
        <v>1500</v>
      </c>
      <c r="H31" s="3">
        <v>20</v>
      </c>
      <c r="I31" s="5">
        <v>30000</v>
      </c>
      <c r="J31" s="4" t="s">
        <v>146</v>
      </c>
      <c r="K31" s="3">
        <v>3151.8</v>
      </c>
      <c r="L31" s="3">
        <v>20</v>
      </c>
      <c r="M31" s="5">
        <v>63036</v>
      </c>
      <c r="N31" s="4" t="s">
        <v>147</v>
      </c>
      <c r="O31" s="3"/>
      <c r="P31" s="3"/>
      <c r="Q31" s="5"/>
      <c r="S31" s="3">
        <v>4450</v>
      </c>
      <c r="T31" s="3">
        <v>20</v>
      </c>
      <c r="U31" s="5">
        <v>89000</v>
      </c>
      <c r="V31" t="s">
        <v>148</v>
      </c>
      <c r="W31" s="3"/>
      <c r="X31" s="3"/>
      <c r="Y31" s="5"/>
    </row>
    <row r="32" spans="1:26" ht="30" x14ac:dyDescent="0.25">
      <c r="A32" t="s">
        <v>149</v>
      </c>
      <c r="B32" t="s">
        <v>25</v>
      </c>
      <c r="C32" t="s">
        <v>150</v>
      </c>
      <c r="D32" t="s">
        <v>151</v>
      </c>
      <c r="E32">
        <v>200</v>
      </c>
      <c r="F32" t="s">
        <v>28</v>
      </c>
      <c r="G32" s="3">
        <v>220</v>
      </c>
      <c r="H32" s="3">
        <v>200</v>
      </c>
      <c r="I32" s="5">
        <v>44000</v>
      </c>
      <c r="J32" s="4" t="s">
        <v>152</v>
      </c>
      <c r="K32" s="3">
        <v>153</v>
      </c>
      <c r="L32" s="3">
        <v>200</v>
      </c>
      <c r="M32" s="5">
        <v>30600</v>
      </c>
      <c r="N32" s="4" t="s">
        <v>153</v>
      </c>
      <c r="O32" s="3"/>
      <c r="P32" s="3"/>
      <c r="Q32" s="5"/>
      <c r="S32" s="3">
        <v>100</v>
      </c>
      <c r="T32" s="3">
        <v>200</v>
      </c>
      <c r="U32" s="5">
        <v>20000</v>
      </c>
      <c r="V32" s="4" t="s">
        <v>154</v>
      </c>
      <c r="W32" s="3"/>
      <c r="X32" s="3"/>
      <c r="Y32" s="5"/>
    </row>
    <row r="33" spans="1:25" ht="30" x14ac:dyDescent="0.25">
      <c r="A33" t="s">
        <v>155</v>
      </c>
      <c r="B33" t="s">
        <v>25</v>
      </c>
      <c r="C33" t="s">
        <v>156</v>
      </c>
      <c r="D33" t="s">
        <v>157</v>
      </c>
      <c r="E33">
        <v>150</v>
      </c>
      <c r="F33" t="s">
        <v>28</v>
      </c>
      <c r="G33" s="3">
        <v>300</v>
      </c>
      <c r="H33" s="3">
        <v>150</v>
      </c>
      <c r="I33" s="5">
        <v>45000</v>
      </c>
      <c r="J33" s="4" t="s">
        <v>158</v>
      </c>
      <c r="K33" s="3">
        <v>187</v>
      </c>
      <c r="L33" s="3">
        <v>150</v>
      </c>
      <c r="M33" s="5">
        <v>28050</v>
      </c>
      <c r="N33" s="4" t="s">
        <v>159</v>
      </c>
      <c r="O33" s="3"/>
      <c r="P33" s="3"/>
      <c r="Q33" s="5"/>
      <c r="S33" s="3">
        <v>140</v>
      </c>
      <c r="T33" s="3">
        <v>150</v>
      </c>
      <c r="U33" s="5">
        <v>21000</v>
      </c>
      <c r="V33" t="s">
        <v>160</v>
      </c>
      <c r="W33" s="3"/>
      <c r="X33" s="3"/>
      <c r="Y33" s="5"/>
    </row>
    <row r="34" spans="1:25" ht="30" x14ac:dyDescent="0.25">
      <c r="A34" t="s">
        <v>161</v>
      </c>
      <c r="B34" t="s">
        <v>25</v>
      </c>
      <c r="C34" t="s">
        <v>162</v>
      </c>
      <c r="D34" s="4" t="s">
        <v>163</v>
      </c>
      <c r="E34">
        <v>100</v>
      </c>
      <c r="F34" t="s">
        <v>28</v>
      </c>
      <c r="G34" s="3">
        <v>1400</v>
      </c>
      <c r="H34" s="3">
        <v>100</v>
      </c>
      <c r="I34" s="5">
        <v>140000</v>
      </c>
      <c r="J34" t="s">
        <v>164</v>
      </c>
      <c r="K34" s="3"/>
      <c r="L34" s="3"/>
      <c r="M34" s="5"/>
      <c r="O34" s="3"/>
      <c r="P34" s="3"/>
      <c r="Q34" s="5"/>
      <c r="S34" s="3">
        <v>95</v>
      </c>
      <c r="T34" s="3">
        <v>100</v>
      </c>
      <c r="U34" s="5">
        <v>9500</v>
      </c>
      <c r="V34" t="s">
        <v>165</v>
      </c>
      <c r="W34" s="3"/>
      <c r="X34" s="3"/>
      <c r="Y34" s="5"/>
    </row>
    <row r="35" spans="1:25" ht="30" x14ac:dyDescent="0.25">
      <c r="A35" t="s">
        <v>166</v>
      </c>
      <c r="B35" t="s">
        <v>25</v>
      </c>
      <c r="C35" t="s">
        <v>167</v>
      </c>
      <c r="D35" s="4" t="s">
        <v>168</v>
      </c>
      <c r="E35">
        <v>1000</v>
      </c>
      <c r="F35" t="s">
        <v>28</v>
      </c>
      <c r="G35" s="3">
        <v>160</v>
      </c>
      <c r="H35" s="3">
        <v>1000</v>
      </c>
      <c r="I35" s="5">
        <v>160000</v>
      </c>
      <c r="J35" t="s">
        <v>169</v>
      </c>
      <c r="K35" s="3">
        <v>120</v>
      </c>
      <c r="L35" s="3">
        <v>1000</v>
      </c>
      <c r="M35" s="5">
        <v>120000</v>
      </c>
      <c r="N35" s="4" t="s">
        <v>170</v>
      </c>
      <c r="O35" s="3"/>
      <c r="P35" s="3"/>
      <c r="Q35" s="5"/>
      <c r="S35" s="3">
        <v>120</v>
      </c>
      <c r="T35" s="3">
        <v>1000</v>
      </c>
      <c r="U35" s="5">
        <v>120000</v>
      </c>
      <c r="V35" t="s">
        <v>171</v>
      </c>
      <c r="W35" s="3"/>
      <c r="X35" s="3"/>
      <c r="Y35" s="5"/>
    </row>
    <row r="36" spans="1:25" ht="30" x14ac:dyDescent="0.25">
      <c r="A36" t="s">
        <v>172</v>
      </c>
      <c r="B36" t="s">
        <v>25</v>
      </c>
      <c r="C36" t="s">
        <v>173</v>
      </c>
      <c r="D36" s="4" t="s">
        <v>174</v>
      </c>
      <c r="E36">
        <v>1200</v>
      </c>
      <c r="F36" t="s">
        <v>28</v>
      </c>
      <c r="G36" s="3">
        <v>80</v>
      </c>
      <c r="H36" s="3">
        <v>1200</v>
      </c>
      <c r="I36" s="5">
        <v>96000</v>
      </c>
      <c r="J36" t="s">
        <v>175</v>
      </c>
      <c r="K36" s="3">
        <v>62</v>
      </c>
      <c r="L36" s="3">
        <v>1200</v>
      </c>
      <c r="M36" s="5">
        <v>74400</v>
      </c>
      <c r="N36" s="4" t="s">
        <v>176</v>
      </c>
      <c r="O36" s="3"/>
      <c r="P36" s="3"/>
      <c r="Q36" s="5"/>
      <c r="S36" s="3">
        <v>95</v>
      </c>
      <c r="T36" s="3">
        <v>1200</v>
      </c>
      <c r="U36" s="5">
        <v>114000</v>
      </c>
      <c r="V36" t="s">
        <v>177</v>
      </c>
      <c r="W36" s="3"/>
      <c r="X36" s="3"/>
      <c r="Y36" s="5"/>
    </row>
    <row r="37" spans="1:25" ht="30" x14ac:dyDescent="0.25">
      <c r="A37" t="s">
        <v>178</v>
      </c>
      <c r="B37" t="s">
        <v>25</v>
      </c>
      <c r="C37" t="s">
        <v>179</v>
      </c>
      <c r="D37" s="4" t="s">
        <v>180</v>
      </c>
      <c r="E37">
        <v>800</v>
      </c>
      <c r="F37" t="s">
        <v>28</v>
      </c>
      <c r="G37" s="3">
        <v>170</v>
      </c>
      <c r="H37" s="3">
        <v>800</v>
      </c>
      <c r="I37" s="5">
        <v>136000</v>
      </c>
      <c r="J37" t="s">
        <v>181</v>
      </c>
      <c r="K37" s="3">
        <v>106</v>
      </c>
      <c r="L37" s="3">
        <v>800</v>
      </c>
      <c r="M37" s="5">
        <v>84800</v>
      </c>
      <c r="N37" s="4" t="s">
        <v>182</v>
      </c>
      <c r="O37" s="3"/>
      <c r="P37" s="3"/>
      <c r="Q37" s="5"/>
      <c r="S37" s="3">
        <v>150</v>
      </c>
      <c r="T37" s="3">
        <v>800</v>
      </c>
      <c r="U37" s="5">
        <v>120000</v>
      </c>
      <c r="V37" t="s">
        <v>183</v>
      </c>
      <c r="W37" s="3"/>
      <c r="X37" s="3"/>
      <c r="Y37" s="5"/>
    </row>
    <row r="38" spans="1:25" ht="30" x14ac:dyDescent="0.25">
      <c r="A38" t="s">
        <v>184</v>
      </c>
      <c r="B38" t="s">
        <v>25</v>
      </c>
      <c r="C38" t="s">
        <v>185</v>
      </c>
      <c r="D38" s="4" t="s">
        <v>186</v>
      </c>
      <c r="E38">
        <v>50</v>
      </c>
      <c r="F38" t="s">
        <v>28</v>
      </c>
      <c r="G38" s="3">
        <v>450</v>
      </c>
      <c r="H38" s="3">
        <v>50</v>
      </c>
      <c r="I38" s="5">
        <v>22500</v>
      </c>
      <c r="J38" t="s">
        <v>187</v>
      </c>
      <c r="K38" s="3">
        <v>510</v>
      </c>
      <c r="L38" s="3">
        <v>50</v>
      </c>
      <c r="M38" s="5">
        <v>25500</v>
      </c>
      <c r="N38" s="4" t="s">
        <v>188</v>
      </c>
      <c r="O38" s="3"/>
      <c r="P38" s="3"/>
      <c r="Q38" s="5"/>
      <c r="S38" s="3">
        <v>600</v>
      </c>
      <c r="T38" s="3">
        <v>50</v>
      </c>
      <c r="U38" s="5">
        <v>30000</v>
      </c>
      <c r="V38" t="s">
        <v>189</v>
      </c>
      <c r="W38" s="3"/>
      <c r="X38" s="3"/>
      <c r="Y38" s="5"/>
    </row>
    <row r="39" spans="1:25" ht="30" x14ac:dyDescent="0.25">
      <c r="A39" t="s">
        <v>190</v>
      </c>
      <c r="B39" t="s">
        <v>25</v>
      </c>
      <c r="C39" t="s">
        <v>191</v>
      </c>
      <c r="D39" s="4" t="s">
        <v>192</v>
      </c>
      <c r="E39">
        <v>5</v>
      </c>
      <c r="F39" t="s">
        <v>28</v>
      </c>
      <c r="G39" s="3">
        <v>2500</v>
      </c>
      <c r="H39" s="3">
        <v>5</v>
      </c>
      <c r="I39" s="5">
        <v>12500</v>
      </c>
      <c r="J39" t="s">
        <v>193</v>
      </c>
      <c r="K39" s="3">
        <v>850</v>
      </c>
      <c r="L39" s="3">
        <v>5</v>
      </c>
      <c r="M39" s="5">
        <v>4250</v>
      </c>
      <c r="N39" s="4" t="s">
        <v>192</v>
      </c>
      <c r="O39" s="3"/>
      <c r="P39" s="3"/>
      <c r="Q39" s="5"/>
      <c r="S39" s="3">
        <v>450</v>
      </c>
      <c r="T39" s="3">
        <v>5</v>
      </c>
      <c r="U39" s="5">
        <v>2250</v>
      </c>
      <c r="V39" t="s">
        <v>194</v>
      </c>
      <c r="W39" s="3"/>
      <c r="X39" s="3"/>
      <c r="Y39" s="5"/>
    </row>
    <row r="40" spans="1:25" ht="30" x14ac:dyDescent="0.25">
      <c r="A40" t="s">
        <v>195</v>
      </c>
      <c r="B40" t="s">
        <v>25</v>
      </c>
      <c r="C40" t="s">
        <v>196</v>
      </c>
      <c r="D40" s="4" t="s">
        <v>197</v>
      </c>
      <c r="E40">
        <v>50</v>
      </c>
      <c r="F40" t="s">
        <v>28</v>
      </c>
      <c r="G40" s="3">
        <v>250</v>
      </c>
      <c r="H40" s="3">
        <v>50</v>
      </c>
      <c r="I40" s="5">
        <v>12500</v>
      </c>
      <c r="J40" t="s">
        <v>198</v>
      </c>
      <c r="K40" s="3">
        <v>130</v>
      </c>
      <c r="L40" s="3">
        <v>50</v>
      </c>
      <c r="M40" s="5">
        <v>6500</v>
      </c>
      <c r="N40" s="4" t="s">
        <v>199</v>
      </c>
      <c r="O40" s="3"/>
      <c r="P40" s="3"/>
      <c r="Q40" s="5"/>
      <c r="S40" s="3">
        <v>140</v>
      </c>
      <c r="T40" s="3">
        <v>50</v>
      </c>
      <c r="U40" s="5">
        <v>7000</v>
      </c>
      <c r="V40" t="s">
        <v>200</v>
      </c>
      <c r="W40" s="3"/>
      <c r="X40" s="3"/>
      <c r="Y40" s="5"/>
    </row>
    <row r="41" spans="1:25" ht="30" x14ac:dyDescent="0.25">
      <c r="A41" t="s">
        <v>201</v>
      </c>
      <c r="B41" t="s">
        <v>25</v>
      </c>
      <c r="C41" t="s">
        <v>202</v>
      </c>
      <c r="D41" s="4" t="s">
        <v>203</v>
      </c>
      <c r="E41">
        <v>90</v>
      </c>
      <c r="F41" t="s">
        <v>28</v>
      </c>
      <c r="G41" s="3">
        <v>1600</v>
      </c>
      <c r="H41" s="3">
        <v>90</v>
      </c>
      <c r="I41" s="5">
        <v>144000</v>
      </c>
      <c r="J41" t="s">
        <v>204</v>
      </c>
      <c r="K41" s="3">
        <v>1190</v>
      </c>
      <c r="L41" s="3">
        <v>90</v>
      </c>
      <c r="M41" s="5">
        <v>107100</v>
      </c>
      <c r="N41" s="4" t="s">
        <v>203</v>
      </c>
      <c r="O41" s="3"/>
      <c r="P41" s="3"/>
      <c r="Q41" s="5"/>
      <c r="S41" s="3">
        <v>1450</v>
      </c>
      <c r="T41" s="3">
        <v>90</v>
      </c>
      <c r="U41" s="5">
        <v>130500</v>
      </c>
      <c r="V41" t="s">
        <v>205</v>
      </c>
      <c r="W41" s="3"/>
      <c r="X41" s="3"/>
      <c r="Y41" s="5"/>
    </row>
    <row r="42" spans="1:25" ht="30" x14ac:dyDescent="0.25">
      <c r="A42" t="s">
        <v>206</v>
      </c>
      <c r="B42" t="s">
        <v>25</v>
      </c>
      <c r="C42" t="s">
        <v>207</v>
      </c>
      <c r="D42" s="4" t="s">
        <v>208</v>
      </c>
      <c r="E42">
        <v>60</v>
      </c>
      <c r="F42" t="s">
        <v>28</v>
      </c>
      <c r="G42" s="3">
        <v>360</v>
      </c>
      <c r="H42" s="3">
        <v>60</v>
      </c>
      <c r="I42" s="5">
        <v>21600</v>
      </c>
      <c r="J42" t="s">
        <v>209</v>
      </c>
      <c r="K42" s="3">
        <v>170</v>
      </c>
      <c r="L42" s="3">
        <v>60</v>
      </c>
      <c r="M42" s="5">
        <v>10200</v>
      </c>
      <c r="N42" s="4" t="s">
        <v>210</v>
      </c>
      <c r="O42" s="3"/>
      <c r="P42" s="3"/>
      <c r="Q42" s="5"/>
      <c r="S42" s="3">
        <v>275</v>
      </c>
      <c r="T42" s="3">
        <v>60</v>
      </c>
      <c r="U42" s="5">
        <v>16500</v>
      </c>
      <c r="V42" t="s">
        <v>211</v>
      </c>
      <c r="W42" s="3"/>
      <c r="X42" s="3"/>
      <c r="Y42" s="5"/>
    </row>
    <row r="43" spans="1:25" ht="30" x14ac:dyDescent="0.25">
      <c r="A43" t="s">
        <v>212</v>
      </c>
      <c r="B43" t="s">
        <v>25</v>
      </c>
      <c r="C43" t="s">
        <v>213</v>
      </c>
      <c r="D43" s="4" t="s">
        <v>214</v>
      </c>
      <c r="E43">
        <v>150</v>
      </c>
      <c r="F43" t="s">
        <v>28</v>
      </c>
      <c r="G43" s="3">
        <v>100</v>
      </c>
      <c r="H43" s="3">
        <v>150</v>
      </c>
      <c r="I43" s="5">
        <v>15000</v>
      </c>
      <c r="J43" t="s">
        <v>215</v>
      </c>
      <c r="K43" s="3">
        <v>68</v>
      </c>
      <c r="L43" s="3">
        <v>150</v>
      </c>
      <c r="M43" s="5">
        <v>10200</v>
      </c>
      <c r="N43" s="4" t="s">
        <v>216</v>
      </c>
      <c r="O43" s="3"/>
      <c r="P43" s="3"/>
      <c r="Q43" s="5"/>
      <c r="S43" s="3"/>
      <c r="T43" s="3"/>
      <c r="U43" s="5"/>
      <c r="W43" s="3"/>
      <c r="X43" s="3"/>
      <c r="Y43" s="5"/>
    </row>
    <row r="44" spans="1:25" ht="30" x14ac:dyDescent="0.25">
      <c r="A44" t="s">
        <v>217</v>
      </c>
      <c r="B44" t="s">
        <v>25</v>
      </c>
      <c r="C44" t="s">
        <v>218</v>
      </c>
      <c r="D44" s="4" t="s">
        <v>219</v>
      </c>
      <c r="E44">
        <v>50</v>
      </c>
      <c r="F44" t="s">
        <v>28</v>
      </c>
      <c r="G44" s="3">
        <v>400</v>
      </c>
      <c r="H44" s="3">
        <v>50</v>
      </c>
      <c r="I44" s="5">
        <v>20000</v>
      </c>
      <c r="J44" t="s">
        <v>220</v>
      </c>
      <c r="K44" s="3">
        <v>510</v>
      </c>
      <c r="L44" s="3">
        <v>50</v>
      </c>
      <c r="M44" s="5">
        <v>25500</v>
      </c>
      <c r="N44" s="4" t="s">
        <v>219</v>
      </c>
      <c r="O44" s="3"/>
      <c r="P44" s="3"/>
      <c r="Q44" s="5"/>
      <c r="S44" s="3"/>
      <c r="T44" s="3"/>
      <c r="U44" s="5"/>
      <c r="W44" s="3"/>
      <c r="X44" s="3"/>
      <c r="Y44" s="5"/>
    </row>
    <row r="45" spans="1:25" ht="45" x14ac:dyDescent="0.25">
      <c r="A45" t="s">
        <v>221</v>
      </c>
      <c r="B45" t="s">
        <v>25</v>
      </c>
      <c r="C45" t="s">
        <v>222</v>
      </c>
      <c r="D45" s="4" t="s">
        <v>223</v>
      </c>
      <c r="E45">
        <v>80</v>
      </c>
      <c r="F45" t="s">
        <v>28</v>
      </c>
      <c r="G45" s="3">
        <v>4500</v>
      </c>
      <c r="H45" s="3">
        <v>80</v>
      </c>
      <c r="I45" s="5">
        <v>360000</v>
      </c>
      <c r="J45" t="s">
        <v>224</v>
      </c>
      <c r="K45" s="3">
        <v>2550</v>
      </c>
      <c r="L45" s="3">
        <v>80</v>
      </c>
      <c r="M45" s="5">
        <v>204000</v>
      </c>
      <c r="N45" s="4" t="s">
        <v>223</v>
      </c>
      <c r="O45" s="3"/>
      <c r="P45" s="3"/>
      <c r="Q45" s="5"/>
      <c r="S45" s="3">
        <v>4200</v>
      </c>
      <c r="T45" s="3">
        <v>80</v>
      </c>
      <c r="U45" s="5">
        <v>336000</v>
      </c>
      <c r="V45" t="s">
        <v>225</v>
      </c>
      <c r="W45" s="3"/>
      <c r="X45" s="3"/>
      <c r="Y45" s="5"/>
    </row>
    <row r="46" spans="1:25" ht="30" x14ac:dyDescent="0.25">
      <c r="A46" t="s">
        <v>226</v>
      </c>
      <c r="B46" t="s">
        <v>25</v>
      </c>
      <c r="C46" t="s">
        <v>227</v>
      </c>
      <c r="D46" s="4" t="s">
        <v>228</v>
      </c>
      <c r="E46">
        <v>80</v>
      </c>
      <c r="F46" t="s">
        <v>28</v>
      </c>
      <c r="G46" s="3">
        <v>2800</v>
      </c>
      <c r="H46" s="3">
        <v>80</v>
      </c>
      <c r="I46" s="5">
        <v>224000</v>
      </c>
      <c r="J46" t="s">
        <v>229</v>
      </c>
      <c r="K46" s="3">
        <v>2380</v>
      </c>
      <c r="L46" s="3">
        <v>80</v>
      </c>
      <c r="M46" s="5">
        <v>190400</v>
      </c>
      <c r="N46" s="4" t="s">
        <v>228</v>
      </c>
      <c r="O46" s="3"/>
      <c r="P46" s="3"/>
      <c r="Q46" s="5"/>
      <c r="S46" s="3">
        <v>2400</v>
      </c>
      <c r="T46" s="3">
        <v>80</v>
      </c>
      <c r="U46" s="5">
        <v>192000</v>
      </c>
      <c r="V46" t="s">
        <v>230</v>
      </c>
      <c r="W46" s="3"/>
      <c r="X46" s="3"/>
      <c r="Y46" s="5"/>
    </row>
    <row r="47" spans="1:25" ht="30" x14ac:dyDescent="0.25">
      <c r="A47" t="s">
        <v>231</v>
      </c>
      <c r="B47" t="s">
        <v>25</v>
      </c>
      <c r="C47" t="s">
        <v>232</v>
      </c>
      <c r="D47" s="4" t="s">
        <v>233</v>
      </c>
      <c r="E47">
        <v>60</v>
      </c>
      <c r="F47" t="s">
        <v>28</v>
      </c>
      <c r="G47" s="3">
        <v>2000</v>
      </c>
      <c r="H47" s="3">
        <v>60</v>
      </c>
      <c r="I47" s="5">
        <v>120000</v>
      </c>
      <c r="J47" t="s">
        <v>234</v>
      </c>
      <c r="K47" s="3">
        <v>1530</v>
      </c>
      <c r="L47" s="3">
        <v>60</v>
      </c>
      <c r="M47" s="5">
        <v>91800</v>
      </c>
      <c r="N47" s="4" t="s">
        <v>235</v>
      </c>
      <c r="O47" s="3"/>
      <c r="P47" s="3"/>
      <c r="Q47" s="5"/>
      <c r="S47" s="3">
        <v>1350</v>
      </c>
      <c r="T47" s="3">
        <v>60</v>
      </c>
      <c r="U47" s="5">
        <v>81000</v>
      </c>
      <c r="V47" t="s">
        <v>236</v>
      </c>
      <c r="W47" s="3"/>
      <c r="X47" s="3"/>
      <c r="Y47" s="5"/>
    </row>
    <row r="48" spans="1:25" ht="30" x14ac:dyDescent="0.25">
      <c r="A48" t="s">
        <v>237</v>
      </c>
      <c r="B48" t="s">
        <v>25</v>
      </c>
      <c r="C48" t="s">
        <v>238</v>
      </c>
      <c r="D48" s="4" t="s">
        <v>239</v>
      </c>
      <c r="E48">
        <v>50</v>
      </c>
      <c r="F48" t="s">
        <v>28</v>
      </c>
      <c r="G48" s="3">
        <v>2500</v>
      </c>
      <c r="H48" s="3">
        <v>50</v>
      </c>
      <c r="I48" s="5">
        <v>125000</v>
      </c>
      <c r="J48" t="s">
        <v>240</v>
      </c>
      <c r="K48" s="3">
        <v>1700</v>
      </c>
      <c r="L48" s="3">
        <v>50</v>
      </c>
      <c r="M48" s="5">
        <v>85000</v>
      </c>
      <c r="N48" s="4" t="s">
        <v>241</v>
      </c>
      <c r="O48" s="3"/>
      <c r="P48" s="3"/>
      <c r="Q48" s="5"/>
      <c r="S48" s="3"/>
      <c r="T48" s="3"/>
      <c r="U48" s="5"/>
      <c r="W48" s="3"/>
      <c r="X48" s="3"/>
      <c r="Y48" s="5"/>
    </row>
    <row r="49" spans="1:25" ht="45" x14ac:dyDescent="0.25">
      <c r="A49" t="s">
        <v>242</v>
      </c>
      <c r="B49" t="s">
        <v>25</v>
      </c>
      <c r="C49" t="s">
        <v>243</v>
      </c>
      <c r="D49" s="4" t="s">
        <v>244</v>
      </c>
      <c r="E49">
        <v>80</v>
      </c>
      <c r="F49" t="s">
        <v>28</v>
      </c>
      <c r="G49" s="3">
        <v>120</v>
      </c>
      <c r="H49" s="3">
        <v>80</v>
      </c>
      <c r="I49" s="5">
        <v>9600</v>
      </c>
      <c r="J49" t="s">
        <v>245</v>
      </c>
      <c r="K49" s="3">
        <v>85</v>
      </c>
      <c r="L49" s="3">
        <v>80</v>
      </c>
      <c r="M49" s="5">
        <v>6800</v>
      </c>
      <c r="N49" s="4" t="s">
        <v>246</v>
      </c>
      <c r="O49" s="3"/>
      <c r="P49" s="3"/>
      <c r="Q49" s="5"/>
      <c r="S49" s="3">
        <v>125</v>
      </c>
      <c r="T49" s="3">
        <v>80</v>
      </c>
      <c r="U49" s="5">
        <v>10000</v>
      </c>
      <c r="V49" s="4" t="s">
        <v>247</v>
      </c>
      <c r="W49" s="3"/>
      <c r="X49" s="3"/>
      <c r="Y49" s="5"/>
    </row>
    <row r="50" spans="1:25" ht="45" x14ac:dyDescent="0.25">
      <c r="A50" t="s">
        <v>248</v>
      </c>
      <c r="B50" t="s">
        <v>25</v>
      </c>
      <c r="C50" t="s">
        <v>249</v>
      </c>
      <c r="D50" s="4" t="s">
        <v>250</v>
      </c>
      <c r="E50">
        <v>80</v>
      </c>
      <c r="F50" t="s">
        <v>28</v>
      </c>
      <c r="G50" s="3">
        <v>120</v>
      </c>
      <c r="H50" s="3">
        <v>80</v>
      </c>
      <c r="I50" s="5">
        <v>9600</v>
      </c>
      <c r="J50" s="4" t="s">
        <v>251</v>
      </c>
      <c r="K50" s="3">
        <v>85</v>
      </c>
      <c r="L50" s="3">
        <v>80</v>
      </c>
      <c r="M50" s="5">
        <v>6800</v>
      </c>
      <c r="N50" s="4" t="s">
        <v>252</v>
      </c>
      <c r="O50" s="3"/>
      <c r="P50" s="3"/>
      <c r="Q50" s="5"/>
      <c r="S50" s="3">
        <v>125</v>
      </c>
      <c r="T50" s="3">
        <v>80</v>
      </c>
      <c r="U50" s="5">
        <v>10000</v>
      </c>
      <c r="V50" s="4" t="s">
        <v>253</v>
      </c>
      <c r="W50" s="3"/>
      <c r="X50" s="3"/>
      <c r="Y50" s="5"/>
    </row>
    <row r="51" spans="1:25" ht="30" x14ac:dyDescent="0.25">
      <c r="A51" t="s">
        <v>254</v>
      </c>
      <c r="B51" t="s">
        <v>25</v>
      </c>
      <c r="C51" t="s">
        <v>255</v>
      </c>
      <c r="D51" s="4" t="s">
        <v>256</v>
      </c>
      <c r="E51">
        <v>60</v>
      </c>
      <c r="F51" t="s">
        <v>28</v>
      </c>
      <c r="G51" s="3">
        <v>1200</v>
      </c>
      <c r="H51" s="3">
        <v>60</v>
      </c>
      <c r="I51" s="5">
        <v>72000</v>
      </c>
      <c r="J51" s="4" t="s">
        <v>257</v>
      </c>
      <c r="K51" s="3"/>
      <c r="L51" s="3"/>
      <c r="M51" s="5"/>
      <c r="O51" s="3"/>
      <c r="P51" s="3"/>
      <c r="Q51" s="5"/>
      <c r="S51" s="3">
        <v>500</v>
      </c>
      <c r="T51" s="3">
        <v>60</v>
      </c>
      <c r="U51" s="5">
        <v>30000</v>
      </c>
      <c r="V51" t="s">
        <v>258</v>
      </c>
      <c r="W51" s="3"/>
      <c r="X51" s="3"/>
      <c r="Y51" s="5"/>
    </row>
    <row r="52" spans="1:25" ht="45" x14ac:dyDescent="0.25">
      <c r="A52" t="s">
        <v>259</v>
      </c>
      <c r="B52" t="s">
        <v>25</v>
      </c>
      <c r="C52" t="s">
        <v>260</v>
      </c>
      <c r="D52" s="4" t="s">
        <v>261</v>
      </c>
      <c r="E52">
        <v>100</v>
      </c>
      <c r="F52" t="s">
        <v>28</v>
      </c>
      <c r="G52" s="3">
        <v>7900</v>
      </c>
      <c r="H52" s="3">
        <v>100</v>
      </c>
      <c r="I52" s="5">
        <v>790000</v>
      </c>
      <c r="J52" t="s">
        <v>262</v>
      </c>
      <c r="K52" s="3">
        <v>7820</v>
      </c>
      <c r="L52" s="3">
        <v>100</v>
      </c>
      <c r="M52" s="5">
        <v>782000</v>
      </c>
      <c r="N52" s="4" t="s">
        <v>263</v>
      </c>
      <c r="O52" s="3">
        <v>5500</v>
      </c>
      <c r="P52" s="3">
        <v>100</v>
      </c>
      <c r="Q52" s="5">
        <v>550000</v>
      </c>
      <c r="R52" s="4" t="s">
        <v>264</v>
      </c>
      <c r="S52" s="3">
        <v>5600</v>
      </c>
      <c r="T52" s="3">
        <v>100</v>
      </c>
      <c r="U52" s="5">
        <v>560000</v>
      </c>
      <c r="V52" t="s">
        <v>265</v>
      </c>
      <c r="W52" s="3"/>
      <c r="X52" s="3"/>
      <c r="Y52" s="5"/>
    </row>
    <row r="53" spans="1:25" ht="60" x14ac:dyDescent="0.25">
      <c r="A53" t="s">
        <v>266</v>
      </c>
      <c r="B53" t="s">
        <v>25</v>
      </c>
      <c r="C53" t="s">
        <v>267</v>
      </c>
      <c r="D53" s="4" t="s">
        <v>268</v>
      </c>
      <c r="E53">
        <v>60</v>
      </c>
      <c r="F53" t="s">
        <v>28</v>
      </c>
      <c r="G53" s="3">
        <v>300</v>
      </c>
      <c r="H53" s="3">
        <v>60</v>
      </c>
      <c r="I53" s="5">
        <v>18000</v>
      </c>
      <c r="J53" t="s">
        <v>269</v>
      </c>
      <c r="K53" s="3">
        <v>2720</v>
      </c>
      <c r="L53" s="3">
        <v>60</v>
      </c>
      <c r="M53" s="5">
        <v>163200</v>
      </c>
      <c r="N53" s="4" t="s">
        <v>270</v>
      </c>
      <c r="O53" s="3"/>
      <c r="P53" s="3"/>
      <c r="Q53" s="5"/>
      <c r="S53" s="3">
        <v>50</v>
      </c>
      <c r="T53" s="3">
        <v>60</v>
      </c>
      <c r="U53" s="5">
        <v>3000</v>
      </c>
      <c r="V53" t="s">
        <v>271</v>
      </c>
      <c r="W53" s="3"/>
      <c r="X53" s="3"/>
      <c r="Y53" s="5"/>
    </row>
    <row r="54" spans="1:25" x14ac:dyDescent="0.25">
      <c r="C54" t="s">
        <v>272</v>
      </c>
      <c r="D54" s="4"/>
      <c r="G54" s="3"/>
      <c r="H54" s="3"/>
      <c r="I54" s="5">
        <f>SUBTOTAL(109,Table2[Total por renglón])</f>
        <v>7117350</v>
      </c>
      <c r="K54" s="3"/>
      <c r="L54" s="3"/>
      <c r="M54" s="5">
        <f>SUBTOTAL(109,Table3[Total por renglón])</f>
        <v>6992037</v>
      </c>
      <c r="N54" s="4"/>
      <c r="O54" s="3"/>
      <c r="P54" s="3"/>
      <c r="Q54" s="5">
        <f>SUBTOTAL(109,Table4[Total por renglón])</f>
        <v>3959000</v>
      </c>
      <c r="S54" s="3"/>
      <c r="T54" s="3"/>
      <c r="U54" s="5">
        <f>SUBTOTAL(109,Table5[Total por renglón])</f>
        <v>5855950</v>
      </c>
      <c r="W54" s="3"/>
      <c r="X54" s="3"/>
      <c r="Y54" s="5">
        <f>SUBTOTAL(109,Table6[Total por renglón])</f>
        <v>315000</v>
      </c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2022-03-15T11:16:22Z</dcterms:created>
  <dcterms:modified xsi:type="dcterms:W3CDTF">2022-03-15T11:17:02Z</dcterms:modified>
</cp:coreProperties>
</file>