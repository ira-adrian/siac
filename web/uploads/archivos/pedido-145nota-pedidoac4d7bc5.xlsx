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AÑO 2021\Adq.Descartables Covid\NOTA 2\"/>
    </mc:Choice>
  </mc:AlternateContent>
  <bookViews>
    <workbookView xWindow="0" yWindow="0" windowWidth="19200" windowHeight="6470"/>
  </bookViews>
  <sheets>
    <sheet name="Hoja1" sheetId="1" r:id="rId1"/>
  </sheets>
  <definedNames>
    <definedName name="_xlnm._FilterDatabase" localSheetId="0" hidden="1">Hoja1!$A$4:$J$72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I72" i="1"/>
  <c r="I71" i="1"/>
  <c r="I70" i="1"/>
  <c r="I69" i="1"/>
  <c r="I68" i="1"/>
  <c r="I67" i="1"/>
  <c r="I66" i="1"/>
  <c r="I58" i="1"/>
  <c r="I57" i="1"/>
  <c r="I65" i="1"/>
  <c r="I64" i="1"/>
  <c r="I63" i="1"/>
  <c r="I62" i="1"/>
  <c r="I61" i="1"/>
  <c r="I59" i="1"/>
  <c r="I60" i="1"/>
  <c r="I54" i="1"/>
  <c r="I55" i="1"/>
  <c r="I56" i="1"/>
  <c r="I53" i="1"/>
  <c r="I52" i="1"/>
  <c r="I51" i="1"/>
  <c r="I50" i="1"/>
  <c r="I46" i="1"/>
  <c r="I45" i="1"/>
  <c r="I49" i="1"/>
  <c r="I48" i="1"/>
  <c r="I47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4" i="1" l="1"/>
  <c r="J79" i="1"/>
  <c r="J82" i="1" s="1"/>
</calcChain>
</file>

<file path=xl/sharedStrings.xml><?xml version="1.0" encoding="utf-8"?>
<sst xmlns="http://schemas.openxmlformats.org/spreadsheetml/2006/main" count="222" uniqueCount="91">
  <si>
    <r>
      <t xml:space="preserve">2do TRIMESTRE - </t>
    </r>
    <r>
      <rPr>
        <b/>
        <u/>
        <sz val="11"/>
        <color theme="1"/>
        <rFont val="Calibri"/>
        <family val="2"/>
        <scheme val="minor"/>
      </rPr>
      <t>OBJETO:</t>
    </r>
    <r>
      <rPr>
        <sz val="11"/>
        <color theme="1"/>
        <rFont val="Calibri"/>
        <family val="2"/>
        <scheme val="minor"/>
      </rPr>
      <t xml:space="preserve"> Adquisicion de Descartables para atender pacientes de COVID-19</t>
    </r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</si>
  <si>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</si>
  <si>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</si>
  <si>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</si>
  <si>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</si>
  <si>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</si>
  <si>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</si>
  <si>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</si>
  <si>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</si>
  <si>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</si>
  <si>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NO-2021-00469928-CAT-SASP#MS (Adq.Descartables Covid)</t>
  </si>
  <si>
    <t>PROD. MEDICO/FARMACEUTICOS/LAB</t>
  </si>
  <si>
    <t>ALCOHOL 70 % X 1000 ML</t>
  </si>
  <si>
    <t>UNIDAD</t>
  </si>
  <si>
    <t>ALCOHOL 70 % X 500 ML</t>
  </si>
  <si>
    <t>ALCOHOL EN GEL X 250 ML</t>
  </si>
  <si>
    <t>ALCOHOL EN GEL X 500 ML.</t>
  </si>
  <si>
    <t>AMONIO CUATERNARIO X 5 LITROS TIPO SURFANIOS</t>
  </si>
  <si>
    <t>BIDON</t>
  </si>
  <si>
    <t>BAJALENGUA X 100 UNIDADES</t>
  </si>
  <si>
    <t>CAJA</t>
  </si>
  <si>
    <t>BARBIJO HEMORREPELENTE QUIRURGICO TRIPLE CAPA</t>
  </si>
  <si>
    <t>BARBIJOS DE ALTA EFICIENCIA TIPO N95</t>
  </si>
  <si>
    <t>CAMISOLIN DESCARTABLE DE TELA SMS 50 GRAMOS CON MANGA Y PUÑOS DE 1,4 M DE LARGO</t>
  </si>
  <si>
    <t xml:space="preserve">CANULA NASAL PARA ALTO FLUJO TIPO GGM  ADULTO 6 mm 4826R1V TAMANO L </t>
  </si>
  <si>
    <t>CANULA NASAL PARA ALTO FLUJO TIPO OPT844 / OPT 944 FISHER PAYKEL TAMAÑO L</t>
  </si>
  <si>
    <t>CANULA NASAL PARA OXIGENOTERAPIA ADULTO</t>
  </si>
  <si>
    <t>CANULA NASAL PARA OXIGENOTERAPIA PEDIATRICO</t>
  </si>
  <si>
    <t>CANULA PARA TRAQUEOSTOMIA Nº 7 1/2</t>
  </si>
  <si>
    <t>CANULA PARA TRAQUEOSTOMIA Nº 8</t>
  </si>
  <si>
    <t>CANULA PARA TRAQUEOTOMIA N° 9</t>
  </si>
  <si>
    <t>CIRCUITO ANESTESIA EXTENSIBLE ADULTO DESCARTABLE</t>
  </si>
  <si>
    <t>CIRCUITO CERRADO P/ASPIRACION 14 FR</t>
  </si>
  <si>
    <t>CIRCUITO CERRADO P/ASPIRACION 16 FR</t>
  </si>
  <si>
    <t>CIRCUITO PARA ALTO FLUJO TIPO  FISHER PAYKEL OPT.561 ADULTO  AIRVO</t>
  </si>
  <si>
    <t>CIRCUITO PARA ALTO FLUJO TIPO  HUMIDOFLO 4823R1V ADULTO</t>
  </si>
  <si>
    <t>CIRCUITO RESPIRADOR CON TRAMPA DE AGUA AUTOCLAVABLE ADULTO</t>
  </si>
  <si>
    <t>CIRCUITO RESPIRADOR CON TRAMPA DE AGUA DESCARTABLE ADULTO</t>
  </si>
  <si>
    <t>COFIAS PLIZADAS CON AJUSTE ELASTIZADO</t>
  </si>
  <si>
    <t xml:space="preserve">FILTRO HME ADULTO HIGROBAC INTERCAMBIADOR CALOR/HUMEDAD </t>
  </si>
  <si>
    <t>FILTRO HME BACTERIAL VIRAL PARA CIRCUITO RESPIRADOR</t>
  </si>
  <si>
    <t>GUANTES DE CIRUGIA ESTERIL Nº 7  PAR. ANATOMICOS . CAÑA LARGA SIN TALCO</t>
  </si>
  <si>
    <t>GUANTES DE CIRUGIA ESTERIL Nº 7 1/2 PAR.  ANATOMICOS . CAÑA LARGA SIN TALCO</t>
  </si>
  <si>
    <t>GUANTES DE CIRUGIA ESTERIL Nº 8 PAR.  ANATOMICOS . CAÑA LARGA SIN TALCO</t>
  </si>
  <si>
    <t>GUANTES DE CIRUGIA ESTERIL Nº 81/2 PAR. ANATOMICOS . CAÑA LARGA SIN TALCO</t>
  </si>
  <si>
    <t>GUANTES DE EXAMINACION TAMAÑO L X 100</t>
  </si>
  <si>
    <t>GUANTES DE EXAMINACION TAMAÑO M X 100</t>
  </si>
  <si>
    <t>GUANTES DE EXAMINACON TAMAÑO S X 100</t>
  </si>
  <si>
    <t>GUANTES DE VINILO TAMAÑO L X 100</t>
  </si>
  <si>
    <t>KIT DESCARTABLE CAMISOLIN 50 GRS + COFIA + BOTAS PAR</t>
  </si>
  <si>
    <t>KIT</t>
  </si>
  <si>
    <t>LLAVE DE TRES VIAS</t>
  </si>
  <si>
    <t>MAMELUCO LAMINADO TALLE L</t>
  </si>
  <si>
    <t>MAMELUCO LAMINADO TALLE M</t>
  </si>
  <si>
    <t>MAMELUCO LAMINADO TALLE XL</t>
  </si>
  <si>
    <t>MAMELUCO LAMINADO TALLE XXL</t>
  </si>
  <si>
    <t>MASCARA CON BOLSA RESERVORIO</t>
  </si>
  <si>
    <t>MASCARA DE OXIGENO CON REGULADORES</t>
  </si>
  <si>
    <t>MASCARA PARA NEBULIZAR ADULTO COMPLETA (MASCARA+PIPETA+TUBULADURA)</t>
  </si>
  <si>
    <t>MASCARA BUCONASAL CPAP CON VALVULA TAMAÑO L</t>
  </si>
  <si>
    <t>MASCARA BUCONASAL CPAP CON VALVULA TAMAÑO M</t>
  </si>
  <si>
    <t>MONOPERSUFATO DE POTASIO DESINFECTANTE DE SUPERFICIE SOBRE PARA PREPARAR UN LITRO DE SOLUCION TIPO LT8</t>
  </si>
  <si>
    <t xml:space="preserve">OXIMETRO DE PULSO </t>
  </si>
  <si>
    <t>SET DE VIA CENTRAL DOBLE LUMEN 7 FRENCH TIPO ARROW</t>
  </si>
  <si>
    <t>SET DE VIA CENTRAL SIMPLE LUMEN 7 FRENCH TIPO ARROW</t>
  </si>
  <si>
    <t>SONDA FOLEY Nº 22 TRIPLE VIA</t>
  </si>
  <si>
    <t>SONDA FOLEY Nº 20 TRIPLE VIA</t>
  </si>
  <si>
    <t>SONDA FOLEY Nº 18 DOBLE VIA</t>
  </si>
  <si>
    <t>SONDA PARA ASPIRACION MUCUS  K32P SIN REGULADOR</t>
  </si>
  <si>
    <t>SONDA PARA ASPIRACION MUCUS  K32P CON REGULADOR</t>
  </si>
  <si>
    <t>SONDA PARA ASPIRACION MUCUS K29P CON REGULADOR</t>
  </si>
  <si>
    <t>SONDA PARA ASPIRACION MUCUS K30P CON REGULADOR</t>
  </si>
  <si>
    <t>SONDA PARA ASPIRACION MUCUS K33P CON REGULADOR</t>
  </si>
  <si>
    <t>SONDA PARA ASPIRACION MUCUS K35P CON REGULADOR</t>
  </si>
  <si>
    <t>SONDA PARA MUESTRA DE SECRECION TRAQUEAL B-2941 TIPO TUBO DE LUKEN</t>
  </si>
  <si>
    <t xml:space="preserve">SONDA K10 NASOGASTRICA </t>
  </si>
  <si>
    <t xml:space="preserve">SONDA K11 NASOGASTRICA </t>
  </si>
  <si>
    <t>TERMOMETRO DIGITAL</t>
  </si>
  <si>
    <t>TUBO ENDOTRAQUEAL CON BALON Nº 7</t>
  </si>
  <si>
    <t>TUBO ENDOTRAQUEAL CON BALON Nº 71/2</t>
  </si>
  <si>
    <t>TUBO ENDOTRAQUEAL CON BALON Nº 8</t>
  </si>
  <si>
    <t>TUBO ENDOTRAQUEAL CON BALON Nº 81/2</t>
  </si>
  <si>
    <t>TUBO MAYO GUEDEL N°5</t>
  </si>
  <si>
    <t xml:space="preserve">TUBULADURA PVC 6X9 X50 </t>
  </si>
  <si>
    <t>DETALLE TECNICO Y ESPECIFICACIONES</t>
  </si>
  <si>
    <t>Calidad Minima esperada:</t>
  </si>
  <si>
    <r>
      <rPr>
        <b/>
        <sz val="11"/>
        <color theme="1"/>
        <rFont val="Calibri"/>
        <family val="2"/>
        <scheme val="minor"/>
      </rPr>
      <t>ANEXO</t>
    </r>
    <r>
      <rPr>
        <sz val="11"/>
        <color theme="1"/>
        <rFont val="Calibri"/>
        <family val="2"/>
        <scheme val="minor"/>
      </rPr>
      <t xml:space="preserve">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  </r>
  </si>
  <si>
    <r>
      <t xml:space="preserve">Plazos de entrega: </t>
    </r>
    <r>
      <rPr>
        <sz val="11"/>
        <color theme="1"/>
        <rFont val="Calibri"/>
        <family val="2"/>
        <scheme val="minor"/>
      </rPr>
      <t>VEINTE (20) dias corridos</t>
    </r>
  </si>
  <si>
    <r>
      <t xml:space="preserve">Lugar de Entrega: </t>
    </r>
    <r>
      <rPr>
        <sz val="11"/>
        <color theme="1"/>
        <rFont val="Calibri"/>
        <family val="2"/>
        <scheme val="minor"/>
      </rPr>
      <t>DIR. PROV. DE FARMACIA E INSUMOS - CHACABUCO N° 169 - en el horario de 8:00hs a 12:00hs de lunes a viernes</t>
    </r>
  </si>
  <si>
    <r>
      <t>Mantenimiento:</t>
    </r>
    <r>
      <rPr>
        <sz val="11"/>
        <color theme="1"/>
        <rFont val="Calibri"/>
        <family val="2"/>
        <scheme val="minor"/>
      </rPr>
      <t xml:space="preserve"> cuarenta y cinco (45) días</t>
    </r>
  </si>
  <si>
    <t>Control 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</si>
</sst>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0" applyFont="1"/>
    <xf numFmtId="44" fontId="0" fillId="0" borderId="0" xfId="0" applyNumberFormat="1"/>
    <xf numFmtId="44" fontId="3" fillId="3" borderId="1" xfId="0" applyNumberFormat="1" applyFont="1" applyFill="1" applyBorder="1"/>
    <xf numFmtId="0" fontId="9" fillId="0" borderId="0" xfId="0" applyFont="1"/>
    <xf numFmtId="0" fontId="4" fillId="0" borderId="0" xfId="0" applyFont="1"/>
    <xf numFmtId="0" fontId="0" fillId="0" borderId="0" xfId="0" applyBorder="1" applyAlignment="1">
      <alignment horizontal="left" wrapText="1"/>
    </xf>
    <xf numFmtId="0" fontId="4" fillId="0" borderId="0" xfId="0" applyFont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4" fontId="6" fillId="2" borderId="5" xfId="1" applyFont="1" applyFill="1" applyBorder="1" applyAlignment="1">
      <alignment horizontal="center" vertical="center" wrapText="1"/>
    </xf>
    <xf numFmtId="44" fontId="0" fillId="0" borderId="10" xfId="0" applyNumberFormat="1" applyBorder="1" applyAlignment="1">
      <alignment vertical="center"/>
    </xf>
    <xf numFmtId="44" fontId="0" fillId="0" borderId="11" xfId="0" applyNumberFormat="1" applyBorder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0" xfId="1" applyFont="1"/>
    <xf numFmtId="44" fontId="0" fillId="0" borderId="12" xfId="1" applyFont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0" fillId="0" borderId="19" xfId="1" applyFont="1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3" fontId="0" fillId="4" borderId="16" xfId="0" applyNumberFormat="1" applyFill="1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/>
    </xf>
    <xf numFmtId="44" fontId="0" fillId="4" borderId="9" xfId="0" applyNumberFormat="1" applyFill="1" applyBorder="1" applyAlignment="1">
      <alignment vertical="center"/>
    </xf>
    <xf numFmtId="44" fontId="0" fillId="4" borderId="10" xfId="0" applyNumberFormat="1" applyFill="1" applyBorder="1" applyAlignment="1">
      <alignment vertical="center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workbookViewId="0">
      <selection activeCell="C9" sqref="C9"/>
    </sheetView>
  </sheetViews>
  <sheetFormatPr baseColWidth="10" defaultRowHeight="14.5" x14ac:dyDescent="0.35"/>
  <cols>
    <col min="1" max="1" width="4.54296875" customWidth="1"/>
    <col min="2" max="2" width="7.90625" customWidth="1"/>
    <col min="3" max="3" width="28.90625" customWidth="1"/>
    <col min="4" max="4" width="8.453125" customWidth="1"/>
    <col min="5" max="5" width="59.81640625" customWidth="1"/>
    <col min="7" max="7" width="12.7265625" customWidth="1"/>
    <col min="8" max="8" width="13.81640625" customWidth="1"/>
    <col min="9" max="9" width="16.1796875" customWidth="1"/>
    <col min="10" max="10" width="16.1796875" bestFit="1" customWidth="1"/>
  </cols>
  <sheetData>
    <row r="1" spans="1:9" x14ac:dyDescent="0.35">
      <c r="B1" t="s">
        <v>0</v>
      </c>
    </row>
    <row r="2" spans="1:9" ht="18.5" x14ac:dyDescent="0.45">
      <c r="B2" s="1" t="s">
        <v>10</v>
      </c>
    </row>
    <row r="3" spans="1:9" ht="15" thickBot="1" x14ac:dyDescent="0.4"/>
    <row r="4" spans="1:9" ht="39.5" thickBot="1" x14ac:dyDescent="0.4">
      <c r="A4" s="8" t="s">
        <v>1</v>
      </c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1" t="s">
        <v>9</v>
      </c>
    </row>
    <row r="5" spans="1:9" x14ac:dyDescent="0.35">
      <c r="A5" s="37">
        <v>1</v>
      </c>
      <c r="B5" s="17">
        <v>0</v>
      </c>
      <c r="C5" s="45" t="s">
        <v>11</v>
      </c>
      <c r="D5" s="34">
        <v>251</v>
      </c>
      <c r="E5" s="22" t="s">
        <v>12</v>
      </c>
      <c r="F5" s="34" t="s">
        <v>13</v>
      </c>
      <c r="G5" s="39">
        <v>16000</v>
      </c>
      <c r="H5" s="29">
        <v>194</v>
      </c>
      <c r="I5" s="41">
        <f t="shared" ref="I5:I36" si="0">G5*H5</f>
        <v>3104000</v>
      </c>
    </row>
    <row r="6" spans="1:9" x14ac:dyDescent="0.35">
      <c r="A6" s="38">
        <f>A5+1</f>
        <v>2</v>
      </c>
      <c r="B6" s="18">
        <v>0</v>
      </c>
      <c r="C6" s="46" t="s">
        <v>11</v>
      </c>
      <c r="D6" s="35">
        <v>251</v>
      </c>
      <c r="E6" s="23" t="s">
        <v>14</v>
      </c>
      <c r="F6" s="35" t="s">
        <v>13</v>
      </c>
      <c r="G6" s="40">
        <v>20000</v>
      </c>
      <c r="H6" s="30">
        <v>90</v>
      </c>
      <c r="I6" s="42">
        <f t="shared" si="0"/>
        <v>1800000</v>
      </c>
    </row>
    <row r="7" spans="1:9" x14ac:dyDescent="0.35">
      <c r="A7" s="38">
        <f t="shared" ref="A7:A70" si="1">A6+1</f>
        <v>3</v>
      </c>
      <c r="B7" s="18">
        <v>0</v>
      </c>
      <c r="C7" s="46" t="s">
        <v>11</v>
      </c>
      <c r="D7" s="35">
        <v>251</v>
      </c>
      <c r="E7" s="23" t="s">
        <v>15</v>
      </c>
      <c r="F7" s="35" t="s">
        <v>13</v>
      </c>
      <c r="G7" s="40">
        <v>4000</v>
      </c>
      <c r="H7" s="30">
        <v>95</v>
      </c>
      <c r="I7" s="42">
        <f t="shared" si="0"/>
        <v>380000</v>
      </c>
    </row>
    <row r="8" spans="1:9" x14ac:dyDescent="0.35">
      <c r="A8" s="38">
        <f t="shared" si="1"/>
        <v>4</v>
      </c>
      <c r="B8" s="18">
        <v>0</v>
      </c>
      <c r="C8" s="46" t="s">
        <v>11</v>
      </c>
      <c r="D8" s="35">
        <v>251</v>
      </c>
      <c r="E8" s="23" t="s">
        <v>16</v>
      </c>
      <c r="F8" s="35" t="s">
        <v>13</v>
      </c>
      <c r="G8" s="40">
        <v>500</v>
      </c>
      <c r="H8" s="30">
        <v>145</v>
      </c>
      <c r="I8" s="42">
        <f t="shared" si="0"/>
        <v>72500</v>
      </c>
    </row>
    <row r="9" spans="1:9" x14ac:dyDescent="0.35">
      <c r="A9" s="38">
        <f t="shared" si="1"/>
        <v>5</v>
      </c>
      <c r="B9" s="18">
        <v>0</v>
      </c>
      <c r="C9" s="46" t="s">
        <v>11</v>
      </c>
      <c r="D9" s="36">
        <v>291</v>
      </c>
      <c r="E9" s="23" t="s">
        <v>17</v>
      </c>
      <c r="F9" s="35" t="s">
        <v>18</v>
      </c>
      <c r="G9" s="40">
        <v>100</v>
      </c>
      <c r="H9" s="30">
        <v>7919.45</v>
      </c>
      <c r="I9" s="42">
        <f t="shared" si="0"/>
        <v>791945</v>
      </c>
    </row>
    <row r="10" spans="1:9" x14ac:dyDescent="0.35">
      <c r="A10" s="20">
        <f t="shared" si="1"/>
        <v>6</v>
      </c>
      <c r="B10" s="18">
        <v>0</v>
      </c>
      <c r="C10" s="27" t="s">
        <v>11</v>
      </c>
      <c r="D10" s="25">
        <v>295</v>
      </c>
      <c r="E10" s="23" t="s">
        <v>19</v>
      </c>
      <c r="F10" s="25" t="s">
        <v>20</v>
      </c>
      <c r="G10" s="32">
        <v>800</v>
      </c>
      <c r="H10" s="30">
        <v>149.72999999999999</v>
      </c>
      <c r="I10" s="12">
        <f t="shared" si="0"/>
        <v>119783.99999999999</v>
      </c>
    </row>
    <row r="11" spans="1:9" x14ac:dyDescent="0.35">
      <c r="A11" s="20">
        <f t="shared" si="1"/>
        <v>7</v>
      </c>
      <c r="B11" s="18">
        <v>0</v>
      </c>
      <c r="C11" s="27" t="s">
        <v>11</v>
      </c>
      <c r="D11" s="25">
        <v>295</v>
      </c>
      <c r="E11" s="23" t="s">
        <v>21</v>
      </c>
      <c r="F11" s="25" t="s">
        <v>13</v>
      </c>
      <c r="G11" s="32">
        <v>2000000</v>
      </c>
      <c r="H11" s="30">
        <v>12</v>
      </c>
      <c r="I11" s="12">
        <f t="shared" si="0"/>
        <v>24000000</v>
      </c>
    </row>
    <row r="12" spans="1:9" x14ac:dyDescent="0.35">
      <c r="A12" s="20">
        <f t="shared" si="1"/>
        <v>8</v>
      </c>
      <c r="B12" s="18">
        <v>0</v>
      </c>
      <c r="C12" s="27" t="s">
        <v>11</v>
      </c>
      <c r="D12" s="25">
        <v>295</v>
      </c>
      <c r="E12" s="23" t="s">
        <v>22</v>
      </c>
      <c r="F12" s="25" t="s">
        <v>13</v>
      </c>
      <c r="G12" s="32">
        <v>15000</v>
      </c>
      <c r="H12" s="30">
        <v>145.19999999999999</v>
      </c>
      <c r="I12" s="12">
        <f t="shared" si="0"/>
        <v>2178000</v>
      </c>
    </row>
    <row r="13" spans="1:9" ht="29" x14ac:dyDescent="0.35">
      <c r="A13" s="20">
        <f t="shared" si="1"/>
        <v>9</v>
      </c>
      <c r="B13" s="18">
        <v>0</v>
      </c>
      <c r="C13" s="27" t="s">
        <v>11</v>
      </c>
      <c r="D13" s="25">
        <v>295</v>
      </c>
      <c r="E13" s="23" t="s">
        <v>23</v>
      </c>
      <c r="F13" s="25" t="s">
        <v>13</v>
      </c>
      <c r="G13" s="32">
        <v>200000</v>
      </c>
      <c r="H13" s="30">
        <v>190</v>
      </c>
      <c r="I13" s="12">
        <f t="shared" si="0"/>
        <v>38000000</v>
      </c>
    </row>
    <row r="14" spans="1:9" ht="29" x14ac:dyDescent="0.35">
      <c r="A14" s="20">
        <f t="shared" si="1"/>
        <v>10</v>
      </c>
      <c r="B14" s="18">
        <v>0</v>
      </c>
      <c r="C14" s="27" t="s">
        <v>11</v>
      </c>
      <c r="D14" s="25">
        <v>295</v>
      </c>
      <c r="E14" s="23" t="s">
        <v>24</v>
      </c>
      <c r="F14" s="25" t="s">
        <v>13</v>
      </c>
      <c r="G14" s="32">
        <v>50</v>
      </c>
      <c r="H14" s="30">
        <v>4200</v>
      </c>
      <c r="I14" s="12">
        <f t="shared" si="0"/>
        <v>210000</v>
      </c>
    </row>
    <row r="15" spans="1:9" ht="29" x14ac:dyDescent="0.35">
      <c r="A15" s="20">
        <f t="shared" si="1"/>
        <v>11</v>
      </c>
      <c r="B15" s="18">
        <v>0</v>
      </c>
      <c r="C15" s="27" t="s">
        <v>11</v>
      </c>
      <c r="D15" s="25">
        <v>295</v>
      </c>
      <c r="E15" s="23" t="s">
        <v>25</v>
      </c>
      <c r="F15" s="25" t="s">
        <v>13</v>
      </c>
      <c r="G15" s="32">
        <v>100</v>
      </c>
      <c r="H15" s="30">
        <v>5750</v>
      </c>
      <c r="I15" s="12">
        <f t="shared" si="0"/>
        <v>575000</v>
      </c>
    </row>
    <row r="16" spans="1:9" x14ac:dyDescent="0.35">
      <c r="A16" s="20">
        <f t="shared" si="1"/>
        <v>12</v>
      </c>
      <c r="B16" s="18">
        <v>0</v>
      </c>
      <c r="C16" s="27" t="s">
        <v>11</v>
      </c>
      <c r="D16" s="25">
        <v>295</v>
      </c>
      <c r="E16" s="23" t="s">
        <v>26</v>
      </c>
      <c r="F16" s="25" t="s">
        <v>13</v>
      </c>
      <c r="G16" s="32">
        <v>2500</v>
      </c>
      <c r="H16" s="30">
        <v>109.8</v>
      </c>
      <c r="I16" s="12">
        <f t="shared" si="0"/>
        <v>274500</v>
      </c>
    </row>
    <row r="17" spans="1:9" x14ac:dyDescent="0.35">
      <c r="A17" s="20">
        <f t="shared" si="1"/>
        <v>13</v>
      </c>
      <c r="B17" s="18">
        <v>0</v>
      </c>
      <c r="C17" s="27" t="s">
        <v>11</v>
      </c>
      <c r="D17" s="25">
        <v>295</v>
      </c>
      <c r="E17" s="23" t="s">
        <v>27</v>
      </c>
      <c r="F17" s="25" t="s">
        <v>13</v>
      </c>
      <c r="G17" s="32">
        <v>100</v>
      </c>
      <c r="H17" s="30">
        <v>65.36</v>
      </c>
      <c r="I17" s="12">
        <f t="shared" si="0"/>
        <v>6536</v>
      </c>
    </row>
    <row r="18" spans="1:9" x14ac:dyDescent="0.35">
      <c r="A18" s="20">
        <f t="shared" si="1"/>
        <v>14</v>
      </c>
      <c r="B18" s="18">
        <v>0</v>
      </c>
      <c r="C18" s="27" t="s">
        <v>11</v>
      </c>
      <c r="D18" s="25">
        <v>295</v>
      </c>
      <c r="E18" s="23" t="s">
        <v>28</v>
      </c>
      <c r="F18" s="25" t="s">
        <v>13</v>
      </c>
      <c r="G18" s="32">
        <v>200</v>
      </c>
      <c r="H18" s="30">
        <v>589.4</v>
      </c>
      <c r="I18" s="12">
        <f t="shared" si="0"/>
        <v>117880</v>
      </c>
    </row>
    <row r="19" spans="1:9" x14ac:dyDescent="0.35">
      <c r="A19" s="20">
        <f t="shared" si="1"/>
        <v>15</v>
      </c>
      <c r="B19" s="18">
        <v>0</v>
      </c>
      <c r="C19" s="27" t="s">
        <v>11</v>
      </c>
      <c r="D19" s="25">
        <v>295</v>
      </c>
      <c r="E19" s="23" t="s">
        <v>29</v>
      </c>
      <c r="F19" s="25" t="s">
        <v>13</v>
      </c>
      <c r="G19" s="32">
        <v>400</v>
      </c>
      <c r="H19" s="30">
        <v>589.4</v>
      </c>
      <c r="I19" s="12">
        <f t="shared" si="0"/>
        <v>235760</v>
      </c>
    </row>
    <row r="20" spans="1:9" x14ac:dyDescent="0.35">
      <c r="A20" s="20">
        <f t="shared" si="1"/>
        <v>16</v>
      </c>
      <c r="B20" s="18">
        <v>0</v>
      </c>
      <c r="C20" s="27" t="s">
        <v>11</v>
      </c>
      <c r="D20" s="25">
        <v>295</v>
      </c>
      <c r="E20" s="23" t="s">
        <v>30</v>
      </c>
      <c r="F20" s="25" t="s">
        <v>13</v>
      </c>
      <c r="G20" s="32">
        <v>50</v>
      </c>
      <c r="H20" s="30">
        <v>589.4</v>
      </c>
      <c r="I20" s="12">
        <f t="shared" si="0"/>
        <v>29470</v>
      </c>
    </row>
    <row r="21" spans="1:9" x14ac:dyDescent="0.35">
      <c r="A21" s="20">
        <f t="shared" si="1"/>
        <v>17</v>
      </c>
      <c r="B21" s="18">
        <v>0</v>
      </c>
      <c r="C21" s="27" t="s">
        <v>11</v>
      </c>
      <c r="D21" s="25">
        <v>295</v>
      </c>
      <c r="E21" s="23" t="s">
        <v>31</v>
      </c>
      <c r="F21" s="25" t="s">
        <v>13</v>
      </c>
      <c r="G21" s="32">
        <v>500</v>
      </c>
      <c r="H21" s="30">
        <v>510</v>
      </c>
      <c r="I21" s="12">
        <f t="shared" si="0"/>
        <v>255000</v>
      </c>
    </row>
    <row r="22" spans="1:9" x14ac:dyDescent="0.35">
      <c r="A22" s="20">
        <f t="shared" si="1"/>
        <v>18</v>
      </c>
      <c r="B22" s="18">
        <v>0</v>
      </c>
      <c r="C22" s="27" t="s">
        <v>11</v>
      </c>
      <c r="D22" s="25">
        <v>295</v>
      </c>
      <c r="E22" s="23" t="s">
        <v>32</v>
      </c>
      <c r="F22" s="25" t="s">
        <v>13</v>
      </c>
      <c r="G22" s="32">
        <v>700</v>
      </c>
      <c r="H22" s="30">
        <v>1200</v>
      </c>
      <c r="I22" s="12">
        <f t="shared" si="0"/>
        <v>840000</v>
      </c>
    </row>
    <row r="23" spans="1:9" x14ac:dyDescent="0.35">
      <c r="A23" s="20">
        <f t="shared" si="1"/>
        <v>19</v>
      </c>
      <c r="B23" s="18">
        <v>0</v>
      </c>
      <c r="C23" s="27" t="s">
        <v>11</v>
      </c>
      <c r="D23" s="25">
        <v>295</v>
      </c>
      <c r="E23" s="23" t="s">
        <v>33</v>
      </c>
      <c r="F23" s="25" t="s">
        <v>13</v>
      </c>
      <c r="G23" s="32">
        <v>300</v>
      </c>
      <c r="H23" s="30">
        <v>1200</v>
      </c>
      <c r="I23" s="12">
        <f t="shared" si="0"/>
        <v>360000</v>
      </c>
    </row>
    <row r="24" spans="1:9" ht="29" x14ac:dyDescent="0.35">
      <c r="A24" s="20">
        <f t="shared" si="1"/>
        <v>20</v>
      </c>
      <c r="B24" s="18">
        <v>0</v>
      </c>
      <c r="C24" s="27" t="s">
        <v>11</v>
      </c>
      <c r="D24" s="25">
        <v>295</v>
      </c>
      <c r="E24" s="23" t="s">
        <v>34</v>
      </c>
      <c r="F24" s="25" t="s">
        <v>13</v>
      </c>
      <c r="G24" s="32">
        <v>50</v>
      </c>
      <c r="H24" s="30">
        <v>18750</v>
      </c>
      <c r="I24" s="12">
        <f t="shared" si="0"/>
        <v>937500</v>
      </c>
    </row>
    <row r="25" spans="1:9" x14ac:dyDescent="0.35">
      <c r="A25" s="20">
        <f t="shared" si="1"/>
        <v>21</v>
      </c>
      <c r="B25" s="18">
        <v>0</v>
      </c>
      <c r="C25" s="27" t="s">
        <v>11</v>
      </c>
      <c r="D25" s="25">
        <v>295</v>
      </c>
      <c r="E25" s="23" t="s">
        <v>35</v>
      </c>
      <c r="F25" s="25" t="s">
        <v>13</v>
      </c>
      <c r="G25" s="32">
        <v>100</v>
      </c>
      <c r="H25" s="30">
        <v>6700</v>
      </c>
      <c r="I25" s="12">
        <f t="shared" si="0"/>
        <v>670000</v>
      </c>
    </row>
    <row r="26" spans="1:9" ht="29" x14ac:dyDescent="0.35">
      <c r="A26" s="20">
        <f t="shared" si="1"/>
        <v>22</v>
      </c>
      <c r="B26" s="18">
        <v>0</v>
      </c>
      <c r="C26" s="27" t="s">
        <v>11</v>
      </c>
      <c r="D26" s="25">
        <v>295</v>
      </c>
      <c r="E26" s="23" t="s">
        <v>36</v>
      </c>
      <c r="F26" s="25" t="s">
        <v>13</v>
      </c>
      <c r="G26" s="32">
        <v>20</v>
      </c>
      <c r="H26" s="30">
        <v>16100</v>
      </c>
      <c r="I26" s="12">
        <f t="shared" si="0"/>
        <v>322000</v>
      </c>
    </row>
    <row r="27" spans="1:9" ht="29" x14ac:dyDescent="0.35">
      <c r="A27" s="20">
        <f t="shared" si="1"/>
        <v>23</v>
      </c>
      <c r="B27" s="18">
        <v>0</v>
      </c>
      <c r="C27" s="27" t="s">
        <v>11</v>
      </c>
      <c r="D27" s="25">
        <v>295</v>
      </c>
      <c r="E27" s="23" t="s">
        <v>37</v>
      </c>
      <c r="F27" s="25" t="s">
        <v>13</v>
      </c>
      <c r="G27" s="32">
        <v>500</v>
      </c>
      <c r="H27" s="30">
        <v>1870</v>
      </c>
      <c r="I27" s="12">
        <f t="shared" si="0"/>
        <v>935000</v>
      </c>
    </row>
    <row r="28" spans="1:9" x14ac:dyDescent="0.35">
      <c r="A28" s="20">
        <f t="shared" si="1"/>
        <v>24</v>
      </c>
      <c r="B28" s="18">
        <v>0</v>
      </c>
      <c r="C28" s="27" t="s">
        <v>11</v>
      </c>
      <c r="D28" s="25">
        <v>295</v>
      </c>
      <c r="E28" s="23" t="s">
        <v>38</v>
      </c>
      <c r="F28" s="25" t="s">
        <v>13</v>
      </c>
      <c r="G28" s="32">
        <v>50000</v>
      </c>
      <c r="H28" s="30">
        <v>7.55</v>
      </c>
      <c r="I28" s="12">
        <f t="shared" si="0"/>
        <v>377500</v>
      </c>
    </row>
    <row r="29" spans="1:9" ht="29" x14ac:dyDescent="0.35">
      <c r="A29" s="20">
        <f t="shared" si="1"/>
        <v>25</v>
      </c>
      <c r="B29" s="18">
        <v>0</v>
      </c>
      <c r="C29" s="27" t="s">
        <v>11</v>
      </c>
      <c r="D29" s="25">
        <v>295</v>
      </c>
      <c r="E29" s="23" t="s">
        <v>39</v>
      </c>
      <c r="F29" s="25" t="s">
        <v>13</v>
      </c>
      <c r="G29" s="32">
        <v>1000</v>
      </c>
      <c r="H29" s="30">
        <v>180</v>
      </c>
      <c r="I29" s="12">
        <f t="shared" si="0"/>
        <v>180000</v>
      </c>
    </row>
    <row r="30" spans="1:9" x14ac:dyDescent="0.35">
      <c r="A30" s="20">
        <f t="shared" si="1"/>
        <v>26</v>
      </c>
      <c r="B30" s="18">
        <v>0</v>
      </c>
      <c r="C30" s="27" t="s">
        <v>11</v>
      </c>
      <c r="D30" s="25">
        <v>295</v>
      </c>
      <c r="E30" s="23" t="s">
        <v>40</v>
      </c>
      <c r="F30" s="25" t="s">
        <v>13</v>
      </c>
      <c r="G30" s="32">
        <v>500</v>
      </c>
      <c r="H30" s="30">
        <v>160</v>
      </c>
      <c r="I30" s="12">
        <f t="shared" si="0"/>
        <v>80000</v>
      </c>
    </row>
    <row r="31" spans="1:9" ht="29" x14ac:dyDescent="0.35">
      <c r="A31" s="20">
        <f t="shared" si="1"/>
        <v>27</v>
      </c>
      <c r="B31" s="18">
        <v>0</v>
      </c>
      <c r="C31" s="27" t="s">
        <v>11</v>
      </c>
      <c r="D31" s="25">
        <v>295</v>
      </c>
      <c r="E31" s="23" t="s">
        <v>41</v>
      </c>
      <c r="F31" s="25" t="s">
        <v>13</v>
      </c>
      <c r="G31" s="32">
        <v>7000</v>
      </c>
      <c r="H31" s="30">
        <v>31</v>
      </c>
      <c r="I31" s="12">
        <f t="shared" si="0"/>
        <v>217000</v>
      </c>
    </row>
    <row r="32" spans="1:9" ht="29" x14ac:dyDescent="0.35">
      <c r="A32" s="20">
        <f t="shared" si="1"/>
        <v>28</v>
      </c>
      <c r="B32" s="18">
        <v>0</v>
      </c>
      <c r="C32" s="27" t="s">
        <v>11</v>
      </c>
      <c r="D32" s="25">
        <v>295</v>
      </c>
      <c r="E32" s="23" t="s">
        <v>42</v>
      </c>
      <c r="F32" s="25" t="s">
        <v>13</v>
      </c>
      <c r="G32" s="32">
        <v>8000</v>
      </c>
      <c r="H32" s="30">
        <v>31</v>
      </c>
      <c r="I32" s="12">
        <f t="shared" si="0"/>
        <v>248000</v>
      </c>
    </row>
    <row r="33" spans="1:9" ht="29" x14ac:dyDescent="0.35">
      <c r="A33" s="20">
        <f t="shared" si="1"/>
        <v>29</v>
      </c>
      <c r="B33" s="18">
        <v>0</v>
      </c>
      <c r="C33" s="27" t="s">
        <v>11</v>
      </c>
      <c r="D33" s="25">
        <v>295</v>
      </c>
      <c r="E33" s="23" t="s">
        <v>43</v>
      </c>
      <c r="F33" s="25" t="s">
        <v>13</v>
      </c>
      <c r="G33" s="32">
        <v>7500</v>
      </c>
      <c r="H33" s="30">
        <v>31</v>
      </c>
      <c r="I33" s="12">
        <f t="shared" si="0"/>
        <v>232500</v>
      </c>
    </row>
    <row r="34" spans="1:9" ht="29" x14ac:dyDescent="0.35">
      <c r="A34" s="20">
        <f t="shared" si="1"/>
        <v>30</v>
      </c>
      <c r="B34" s="18">
        <v>0</v>
      </c>
      <c r="C34" s="27" t="s">
        <v>11</v>
      </c>
      <c r="D34" s="25">
        <v>295</v>
      </c>
      <c r="E34" s="23" t="s">
        <v>44</v>
      </c>
      <c r="F34" s="25" t="s">
        <v>13</v>
      </c>
      <c r="G34" s="32">
        <v>2500</v>
      </c>
      <c r="H34" s="30">
        <v>31</v>
      </c>
      <c r="I34" s="12">
        <f t="shared" si="0"/>
        <v>77500</v>
      </c>
    </row>
    <row r="35" spans="1:9" x14ac:dyDescent="0.35">
      <c r="A35" s="20">
        <f t="shared" si="1"/>
        <v>31</v>
      </c>
      <c r="B35" s="18">
        <v>0</v>
      </c>
      <c r="C35" s="27" t="s">
        <v>11</v>
      </c>
      <c r="D35" s="25">
        <v>295</v>
      </c>
      <c r="E35" s="23" t="s">
        <v>45</v>
      </c>
      <c r="F35" s="25" t="s">
        <v>20</v>
      </c>
      <c r="G35" s="32">
        <v>5000</v>
      </c>
      <c r="H35" s="30">
        <v>990</v>
      </c>
      <c r="I35" s="12">
        <f t="shared" si="0"/>
        <v>4950000</v>
      </c>
    </row>
    <row r="36" spans="1:9" x14ac:dyDescent="0.35">
      <c r="A36" s="20">
        <f t="shared" si="1"/>
        <v>32</v>
      </c>
      <c r="B36" s="18">
        <v>0</v>
      </c>
      <c r="C36" s="27" t="s">
        <v>11</v>
      </c>
      <c r="D36" s="25">
        <v>295</v>
      </c>
      <c r="E36" s="23" t="s">
        <v>46</v>
      </c>
      <c r="F36" s="25" t="s">
        <v>20</v>
      </c>
      <c r="G36" s="32">
        <v>12000</v>
      </c>
      <c r="H36" s="30">
        <v>990</v>
      </c>
      <c r="I36" s="12">
        <f t="shared" si="0"/>
        <v>11880000</v>
      </c>
    </row>
    <row r="37" spans="1:9" x14ac:dyDescent="0.35">
      <c r="A37" s="20">
        <f t="shared" si="1"/>
        <v>33</v>
      </c>
      <c r="B37" s="18">
        <v>0</v>
      </c>
      <c r="C37" s="27" t="s">
        <v>11</v>
      </c>
      <c r="D37" s="25">
        <v>295</v>
      </c>
      <c r="E37" s="23" t="s">
        <v>47</v>
      </c>
      <c r="F37" s="25" t="s">
        <v>20</v>
      </c>
      <c r="G37" s="32">
        <v>7000</v>
      </c>
      <c r="H37" s="30">
        <v>990</v>
      </c>
      <c r="I37" s="12">
        <f t="shared" ref="I37:I68" si="2">G37*H37</f>
        <v>6930000</v>
      </c>
    </row>
    <row r="38" spans="1:9" x14ac:dyDescent="0.35">
      <c r="A38" s="20">
        <f t="shared" si="1"/>
        <v>34</v>
      </c>
      <c r="B38" s="18">
        <v>0</v>
      </c>
      <c r="C38" s="27" t="s">
        <v>11</v>
      </c>
      <c r="D38" s="25">
        <v>295</v>
      </c>
      <c r="E38" s="23" t="s">
        <v>48</v>
      </c>
      <c r="F38" s="25" t="s">
        <v>20</v>
      </c>
      <c r="G38" s="32">
        <v>1000</v>
      </c>
      <c r="H38" s="30">
        <v>890</v>
      </c>
      <c r="I38" s="12">
        <f t="shared" si="2"/>
        <v>890000</v>
      </c>
    </row>
    <row r="39" spans="1:9" x14ac:dyDescent="0.35">
      <c r="A39" s="20">
        <f t="shared" si="1"/>
        <v>35</v>
      </c>
      <c r="B39" s="18">
        <v>0</v>
      </c>
      <c r="C39" s="27" t="s">
        <v>11</v>
      </c>
      <c r="D39" s="25">
        <v>295</v>
      </c>
      <c r="E39" s="23" t="s">
        <v>49</v>
      </c>
      <c r="F39" s="25" t="s">
        <v>50</v>
      </c>
      <c r="G39" s="32">
        <v>100000</v>
      </c>
      <c r="H39" s="30">
        <v>230</v>
      </c>
      <c r="I39" s="12">
        <f t="shared" si="2"/>
        <v>23000000</v>
      </c>
    </row>
    <row r="40" spans="1:9" x14ac:dyDescent="0.35">
      <c r="A40" s="20">
        <f t="shared" si="1"/>
        <v>36</v>
      </c>
      <c r="B40" s="18">
        <v>0</v>
      </c>
      <c r="C40" s="27" t="s">
        <v>11</v>
      </c>
      <c r="D40" s="25">
        <v>295</v>
      </c>
      <c r="E40" s="23" t="s">
        <v>51</v>
      </c>
      <c r="F40" s="25" t="s">
        <v>13</v>
      </c>
      <c r="G40" s="32">
        <v>5000</v>
      </c>
      <c r="H40" s="30">
        <v>24.55</v>
      </c>
      <c r="I40" s="12">
        <f t="shared" si="2"/>
        <v>122750</v>
      </c>
    </row>
    <row r="41" spans="1:9" x14ac:dyDescent="0.35">
      <c r="A41" s="20">
        <f t="shared" si="1"/>
        <v>37</v>
      </c>
      <c r="B41" s="18">
        <v>0</v>
      </c>
      <c r="C41" s="27" t="s">
        <v>11</v>
      </c>
      <c r="D41" s="25">
        <v>295</v>
      </c>
      <c r="E41" s="23" t="s">
        <v>52</v>
      </c>
      <c r="F41" s="25" t="s">
        <v>13</v>
      </c>
      <c r="G41" s="32">
        <v>2000</v>
      </c>
      <c r="H41" s="30">
        <v>1050</v>
      </c>
      <c r="I41" s="12">
        <f t="shared" si="2"/>
        <v>2100000</v>
      </c>
    </row>
    <row r="42" spans="1:9" x14ac:dyDescent="0.35">
      <c r="A42" s="20">
        <f t="shared" si="1"/>
        <v>38</v>
      </c>
      <c r="B42" s="18">
        <v>0</v>
      </c>
      <c r="C42" s="27" t="s">
        <v>11</v>
      </c>
      <c r="D42" s="25">
        <v>295</v>
      </c>
      <c r="E42" s="23" t="s">
        <v>53</v>
      </c>
      <c r="F42" s="25" t="s">
        <v>13</v>
      </c>
      <c r="G42" s="32">
        <v>1000</v>
      </c>
      <c r="H42" s="30">
        <v>1050</v>
      </c>
      <c r="I42" s="12">
        <f t="shared" si="2"/>
        <v>1050000</v>
      </c>
    </row>
    <row r="43" spans="1:9" x14ac:dyDescent="0.35">
      <c r="A43" s="20">
        <f t="shared" si="1"/>
        <v>39</v>
      </c>
      <c r="B43" s="18">
        <v>0</v>
      </c>
      <c r="C43" s="27" t="s">
        <v>11</v>
      </c>
      <c r="D43" s="25">
        <v>295</v>
      </c>
      <c r="E43" s="23" t="s">
        <v>54</v>
      </c>
      <c r="F43" s="25" t="s">
        <v>13</v>
      </c>
      <c r="G43" s="32">
        <v>1500</v>
      </c>
      <c r="H43" s="30">
        <v>1050</v>
      </c>
      <c r="I43" s="12">
        <f t="shared" si="2"/>
        <v>1575000</v>
      </c>
    </row>
    <row r="44" spans="1:9" x14ac:dyDescent="0.35">
      <c r="A44" s="20">
        <f t="shared" si="1"/>
        <v>40</v>
      </c>
      <c r="B44" s="18">
        <v>0</v>
      </c>
      <c r="C44" s="27" t="s">
        <v>11</v>
      </c>
      <c r="D44" s="25">
        <v>295</v>
      </c>
      <c r="E44" s="23" t="s">
        <v>55</v>
      </c>
      <c r="F44" s="25" t="s">
        <v>13</v>
      </c>
      <c r="G44" s="32">
        <v>1500</v>
      </c>
      <c r="H44" s="30">
        <v>1050</v>
      </c>
      <c r="I44" s="12">
        <f t="shared" si="2"/>
        <v>1575000</v>
      </c>
    </row>
    <row r="45" spans="1:9" x14ac:dyDescent="0.35">
      <c r="A45" s="20">
        <f t="shared" si="1"/>
        <v>41</v>
      </c>
      <c r="B45" s="18">
        <v>0</v>
      </c>
      <c r="C45" s="27" t="s">
        <v>11</v>
      </c>
      <c r="D45" s="25">
        <v>295</v>
      </c>
      <c r="E45" s="23" t="s">
        <v>59</v>
      </c>
      <c r="F45" s="25" t="s">
        <v>13</v>
      </c>
      <c r="G45" s="32">
        <v>40</v>
      </c>
      <c r="H45" s="30">
        <v>9760</v>
      </c>
      <c r="I45" s="12">
        <f t="shared" si="2"/>
        <v>390400</v>
      </c>
    </row>
    <row r="46" spans="1:9" x14ac:dyDescent="0.35">
      <c r="A46" s="20">
        <f t="shared" si="1"/>
        <v>42</v>
      </c>
      <c r="B46" s="18">
        <v>0</v>
      </c>
      <c r="C46" s="27" t="s">
        <v>11</v>
      </c>
      <c r="D46" s="25">
        <v>295</v>
      </c>
      <c r="E46" s="23" t="s">
        <v>60</v>
      </c>
      <c r="F46" s="25" t="s">
        <v>13</v>
      </c>
      <c r="G46" s="32">
        <v>10</v>
      </c>
      <c r="H46" s="30">
        <v>9760</v>
      </c>
      <c r="I46" s="12">
        <f t="shared" si="2"/>
        <v>97600</v>
      </c>
    </row>
    <row r="47" spans="1:9" x14ac:dyDescent="0.35">
      <c r="A47" s="20">
        <f t="shared" si="1"/>
        <v>43</v>
      </c>
      <c r="B47" s="18">
        <v>0</v>
      </c>
      <c r="C47" s="27" t="s">
        <v>11</v>
      </c>
      <c r="D47" s="25">
        <v>295</v>
      </c>
      <c r="E47" s="23" t="s">
        <v>56</v>
      </c>
      <c r="F47" s="25" t="s">
        <v>13</v>
      </c>
      <c r="G47" s="32">
        <v>4000</v>
      </c>
      <c r="H47" s="30">
        <v>357</v>
      </c>
      <c r="I47" s="12">
        <f t="shared" si="2"/>
        <v>1428000</v>
      </c>
    </row>
    <row r="48" spans="1:9" x14ac:dyDescent="0.35">
      <c r="A48" s="20">
        <f t="shared" si="1"/>
        <v>44</v>
      </c>
      <c r="B48" s="18">
        <v>0</v>
      </c>
      <c r="C48" s="27" t="s">
        <v>11</v>
      </c>
      <c r="D48" s="25">
        <v>295</v>
      </c>
      <c r="E48" s="23" t="s">
        <v>57</v>
      </c>
      <c r="F48" s="25" t="s">
        <v>13</v>
      </c>
      <c r="G48" s="32">
        <v>200</v>
      </c>
      <c r="H48" s="30">
        <v>187.2</v>
      </c>
      <c r="I48" s="12">
        <f t="shared" si="2"/>
        <v>37440</v>
      </c>
    </row>
    <row r="49" spans="1:9" ht="29" x14ac:dyDescent="0.35">
      <c r="A49" s="20">
        <f t="shared" si="1"/>
        <v>45</v>
      </c>
      <c r="B49" s="18">
        <v>0</v>
      </c>
      <c r="C49" s="27" t="s">
        <v>11</v>
      </c>
      <c r="D49" s="25">
        <v>295</v>
      </c>
      <c r="E49" s="23" t="s">
        <v>58</v>
      </c>
      <c r="F49" s="25" t="s">
        <v>13</v>
      </c>
      <c r="G49" s="32">
        <v>500</v>
      </c>
      <c r="H49" s="30">
        <v>325</v>
      </c>
      <c r="I49" s="12">
        <f t="shared" si="2"/>
        <v>162500</v>
      </c>
    </row>
    <row r="50" spans="1:9" ht="29" x14ac:dyDescent="0.35">
      <c r="A50" s="38">
        <f t="shared" si="1"/>
        <v>46</v>
      </c>
      <c r="B50" s="18">
        <v>0</v>
      </c>
      <c r="C50" s="46" t="s">
        <v>11</v>
      </c>
      <c r="D50" s="35">
        <v>251</v>
      </c>
      <c r="E50" s="23" t="s">
        <v>61</v>
      </c>
      <c r="F50" s="35" t="s">
        <v>13</v>
      </c>
      <c r="G50" s="40">
        <v>200</v>
      </c>
      <c r="H50" s="30">
        <v>160</v>
      </c>
      <c r="I50" s="42">
        <f t="shared" si="2"/>
        <v>32000</v>
      </c>
    </row>
    <row r="51" spans="1:9" x14ac:dyDescent="0.35">
      <c r="A51" s="20">
        <f t="shared" si="1"/>
        <v>47</v>
      </c>
      <c r="B51" s="18">
        <v>0</v>
      </c>
      <c r="C51" s="27" t="s">
        <v>11</v>
      </c>
      <c r="D51" s="25">
        <v>295</v>
      </c>
      <c r="E51" s="23" t="s">
        <v>62</v>
      </c>
      <c r="F51" s="25" t="s">
        <v>13</v>
      </c>
      <c r="G51" s="32">
        <v>2000</v>
      </c>
      <c r="H51" s="30">
        <v>2900</v>
      </c>
      <c r="I51" s="12">
        <f t="shared" si="2"/>
        <v>5800000</v>
      </c>
    </row>
    <row r="52" spans="1:9" x14ac:dyDescent="0.35">
      <c r="A52" s="20">
        <f t="shared" si="1"/>
        <v>48</v>
      </c>
      <c r="B52" s="18">
        <v>0</v>
      </c>
      <c r="C52" s="27" t="s">
        <v>11</v>
      </c>
      <c r="D52" s="25">
        <v>295</v>
      </c>
      <c r="E52" s="23" t="s">
        <v>63</v>
      </c>
      <c r="F52" s="25" t="s">
        <v>13</v>
      </c>
      <c r="G52" s="32">
        <v>200</v>
      </c>
      <c r="H52" s="30">
        <v>4556</v>
      </c>
      <c r="I52" s="12">
        <f t="shared" si="2"/>
        <v>911200</v>
      </c>
    </row>
    <row r="53" spans="1:9" x14ac:dyDescent="0.35">
      <c r="A53" s="20">
        <f t="shared" si="1"/>
        <v>49</v>
      </c>
      <c r="B53" s="18">
        <v>0</v>
      </c>
      <c r="C53" s="27" t="s">
        <v>11</v>
      </c>
      <c r="D53" s="25">
        <v>295</v>
      </c>
      <c r="E53" s="23" t="s">
        <v>64</v>
      </c>
      <c r="F53" s="25" t="s">
        <v>13</v>
      </c>
      <c r="G53" s="32">
        <v>1200</v>
      </c>
      <c r="H53" s="30">
        <v>2499</v>
      </c>
      <c r="I53" s="12">
        <f t="shared" si="2"/>
        <v>2998800</v>
      </c>
    </row>
    <row r="54" spans="1:9" x14ac:dyDescent="0.35">
      <c r="A54" s="20">
        <f t="shared" si="1"/>
        <v>50</v>
      </c>
      <c r="B54" s="18">
        <v>0</v>
      </c>
      <c r="C54" s="27" t="s">
        <v>11</v>
      </c>
      <c r="D54" s="25">
        <v>295</v>
      </c>
      <c r="E54" s="23" t="s">
        <v>67</v>
      </c>
      <c r="F54" s="25" t="s">
        <v>13</v>
      </c>
      <c r="G54" s="32">
        <v>1000</v>
      </c>
      <c r="H54" s="30">
        <v>144</v>
      </c>
      <c r="I54" s="12">
        <f t="shared" si="2"/>
        <v>144000</v>
      </c>
    </row>
    <row r="55" spans="1:9" x14ac:dyDescent="0.35">
      <c r="A55" s="20">
        <f t="shared" si="1"/>
        <v>51</v>
      </c>
      <c r="B55" s="18">
        <v>0</v>
      </c>
      <c r="C55" s="27" t="s">
        <v>11</v>
      </c>
      <c r="D55" s="25">
        <v>295</v>
      </c>
      <c r="E55" s="23" t="s">
        <v>66</v>
      </c>
      <c r="F55" s="25" t="s">
        <v>13</v>
      </c>
      <c r="G55" s="32">
        <v>40</v>
      </c>
      <c r="H55" s="30">
        <v>190</v>
      </c>
      <c r="I55" s="12">
        <f t="shared" si="2"/>
        <v>7600</v>
      </c>
    </row>
    <row r="56" spans="1:9" x14ac:dyDescent="0.35">
      <c r="A56" s="20">
        <f t="shared" si="1"/>
        <v>52</v>
      </c>
      <c r="B56" s="18">
        <v>0</v>
      </c>
      <c r="C56" s="27" t="s">
        <v>11</v>
      </c>
      <c r="D56" s="25">
        <v>295</v>
      </c>
      <c r="E56" s="23" t="s">
        <v>65</v>
      </c>
      <c r="F56" s="25" t="s">
        <v>13</v>
      </c>
      <c r="G56" s="32">
        <v>40</v>
      </c>
      <c r="H56" s="30">
        <v>190</v>
      </c>
      <c r="I56" s="12">
        <f t="shared" si="2"/>
        <v>7600</v>
      </c>
    </row>
    <row r="57" spans="1:9" x14ac:dyDescent="0.35">
      <c r="A57" s="20">
        <f t="shared" si="1"/>
        <v>53</v>
      </c>
      <c r="B57" s="18">
        <v>0</v>
      </c>
      <c r="C57" s="27" t="s">
        <v>11</v>
      </c>
      <c r="D57" s="25">
        <v>295</v>
      </c>
      <c r="E57" s="23" t="s">
        <v>75</v>
      </c>
      <c r="F57" s="25" t="s">
        <v>13</v>
      </c>
      <c r="G57" s="32">
        <v>3000</v>
      </c>
      <c r="H57" s="30">
        <v>35</v>
      </c>
      <c r="I57" s="12">
        <f t="shared" si="2"/>
        <v>105000</v>
      </c>
    </row>
    <row r="58" spans="1:9" x14ac:dyDescent="0.35">
      <c r="A58" s="20">
        <f t="shared" si="1"/>
        <v>54</v>
      </c>
      <c r="B58" s="18">
        <v>0</v>
      </c>
      <c r="C58" s="27" t="s">
        <v>11</v>
      </c>
      <c r="D58" s="25">
        <v>295</v>
      </c>
      <c r="E58" s="23" t="s">
        <v>76</v>
      </c>
      <c r="F58" s="25" t="s">
        <v>13</v>
      </c>
      <c r="G58" s="32">
        <v>400</v>
      </c>
      <c r="H58" s="30">
        <v>35</v>
      </c>
      <c r="I58" s="12">
        <f t="shared" si="2"/>
        <v>14000</v>
      </c>
    </row>
    <row r="59" spans="1:9" x14ac:dyDescent="0.35">
      <c r="A59" s="20">
        <f t="shared" si="1"/>
        <v>55</v>
      </c>
      <c r="B59" s="18">
        <v>0</v>
      </c>
      <c r="C59" s="27" t="s">
        <v>11</v>
      </c>
      <c r="D59" s="25">
        <v>295</v>
      </c>
      <c r="E59" s="23" t="s">
        <v>69</v>
      </c>
      <c r="F59" s="25" t="s">
        <v>13</v>
      </c>
      <c r="G59" s="32">
        <v>3000</v>
      </c>
      <c r="H59" s="30">
        <v>38</v>
      </c>
      <c r="I59" s="12">
        <f t="shared" si="2"/>
        <v>114000</v>
      </c>
    </row>
    <row r="60" spans="1:9" x14ac:dyDescent="0.35">
      <c r="A60" s="20">
        <f t="shared" si="1"/>
        <v>56</v>
      </c>
      <c r="B60" s="18">
        <v>0</v>
      </c>
      <c r="C60" s="27" t="s">
        <v>11</v>
      </c>
      <c r="D60" s="25">
        <v>295</v>
      </c>
      <c r="E60" s="23" t="s">
        <v>68</v>
      </c>
      <c r="F60" s="25" t="s">
        <v>13</v>
      </c>
      <c r="G60" s="32">
        <v>8000</v>
      </c>
      <c r="H60" s="30">
        <v>32</v>
      </c>
      <c r="I60" s="12">
        <f t="shared" si="2"/>
        <v>256000</v>
      </c>
    </row>
    <row r="61" spans="1:9" x14ac:dyDescent="0.35">
      <c r="A61" s="20">
        <f t="shared" si="1"/>
        <v>57</v>
      </c>
      <c r="B61" s="18">
        <v>0</v>
      </c>
      <c r="C61" s="27" t="s">
        <v>11</v>
      </c>
      <c r="D61" s="25">
        <v>295</v>
      </c>
      <c r="E61" s="23" t="s">
        <v>70</v>
      </c>
      <c r="F61" s="25" t="s">
        <v>13</v>
      </c>
      <c r="G61" s="32">
        <v>1500</v>
      </c>
      <c r="H61" s="30">
        <v>37.950000000000003</v>
      </c>
      <c r="I61" s="12">
        <f t="shared" si="2"/>
        <v>56925.000000000007</v>
      </c>
    </row>
    <row r="62" spans="1:9" x14ac:dyDescent="0.35">
      <c r="A62" s="20">
        <f t="shared" si="1"/>
        <v>58</v>
      </c>
      <c r="B62" s="18">
        <v>0</v>
      </c>
      <c r="C62" s="27" t="s">
        <v>11</v>
      </c>
      <c r="D62" s="25">
        <v>295</v>
      </c>
      <c r="E62" s="23" t="s">
        <v>71</v>
      </c>
      <c r="F62" s="25" t="s">
        <v>13</v>
      </c>
      <c r="G62" s="32">
        <v>1000</v>
      </c>
      <c r="H62" s="30">
        <v>33.67</v>
      </c>
      <c r="I62" s="12">
        <f t="shared" si="2"/>
        <v>33670</v>
      </c>
    </row>
    <row r="63" spans="1:9" x14ac:dyDescent="0.35">
      <c r="A63" s="20">
        <f t="shared" si="1"/>
        <v>59</v>
      </c>
      <c r="B63" s="18">
        <v>0</v>
      </c>
      <c r="C63" s="27" t="s">
        <v>11</v>
      </c>
      <c r="D63" s="25">
        <v>295</v>
      </c>
      <c r="E63" s="23" t="s">
        <v>72</v>
      </c>
      <c r="F63" s="25" t="s">
        <v>13</v>
      </c>
      <c r="G63" s="32">
        <v>500</v>
      </c>
      <c r="H63" s="30">
        <v>31.77</v>
      </c>
      <c r="I63" s="12">
        <f t="shared" si="2"/>
        <v>15885</v>
      </c>
    </row>
    <row r="64" spans="1:9" x14ac:dyDescent="0.35">
      <c r="A64" s="20">
        <f t="shared" si="1"/>
        <v>60</v>
      </c>
      <c r="B64" s="18">
        <v>0</v>
      </c>
      <c r="C64" s="27" t="s">
        <v>11</v>
      </c>
      <c r="D64" s="25">
        <v>295</v>
      </c>
      <c r="E64" s="23" t="s">
        <v>73</v>
      </c>
      <c r="F64" s="25" t="s">
        <v>13</v>
      </c>
      <c r="G64" s="32">
        <v>250</v>
      </c>
      <c r="H64" s="30">
        <v>35.43</v>
      </c>
      <c r="I64" s="12">
        <f t="shared" si="2"/>
        <v>8857.5</v>
      </c>
    </row>
    <row r="65" spans="1:10" ht="29" x14ac:dyDescent="0.35">
      <c r="A65" s="20">
        <f t="shared" si="1"/>
        <v>61</v>
      </c>
      <c r="B65" s="18">
        <v>0</v>
      </c>
      <c r="C65" s="27" t="s">
        <v>11</v>
      </c>
      <c r="D65" s="25">
        <v>295</v>
      </c>
      <c r="E65" s="23" t="s">
        <v>74</v>
      </c>
      <c r="F65" s="25" t="s">
        <v>13</v>
      </c>
      <c r="G65" s="32">
        <v>2000</v>
      </c>
      <c r="H65" s="30">
        <v>734</v>
      </c>
      <c r="I65" s="12">
        <f t="shared" si="2"/>
        <v>1468000</v>
      </c>
    </row>
    <row r="66" spans="1:10" x14ac:dyDescent="0.35">
      <c r="A66" s="20">
        <f t="shared" si="1"/>
        <v>62</v>
      </c>
      <c r="B66" s="18">
        <v>0</v>
      </c>
      <c r="C66" s="27" t="s">
        <v>11</v>
      </c>
      <c r="D66" s="25">
        <v>295</v>
      </c>
      <c r="E66" s="23" t="s">
        <v>77</v>
      </c>
      <c r="F66" s="25" t="s">
        <v>13</v>
      </c>
      <c r="G66" s="32">
        <v>2000</v>
      </c>
      <c r="H66" s="30">
        <v>35</v>
      </c>
      <c r="I66" s="12">
        <f t="shared" si="2"/>
        <v>70000</v>
      </c>
    </row>
    <row r="67" spans="1:10" x14ac:dyDescent="0.35">
      <c r="A67" s="20">
        <f t="shared" si="1"/>
        <v>63</v>
      </c>
      <c r="B67" s="18">
        <v>0</v>
      </c>
      <c r="C67" s="27" t="s">
        <v>11</v>
      </c>
      <c r="D67" s="25">
        <v>295</v>
      </c>
      <c r="E67" s="23" t="s">
        <v>78</v>
      </c>
      <c r="F67" s="25" t="s">
        <v>13</v>
      </c>
      <c r="G67" s="32">
        <v>100</v>
      </c>
      <c r="H67" s="30">
        <v>115</v>
      </c>
      <c r="I67" s="12">
        <f t="shared" si="2"/>
        <v>11500</v>
      </c>
    </row>
    <row r="68" spans="1:10" x14ac:dyDescent="0.35">
      <c r="A68" s="20">
        <f t="shared" si="1"/>
        <v>64</v>
      </c>
      <c r="B68" s="18">
        <v>0</v>
      </c>
      <c r="C68" s="27" t="s">
        <v>11</v>
      </c>
      <c r="D68" s="25">
        <v>295</v>
      </c>
      <c r="E68" s="23" t="s">
        <v>79</v>
      </c>
      <c r="F68" s="25" t="s">
        <v>13</v>
      </c>
      <c r="G68" s="32">
        <v>200</v>
      </c>
      <c r="H68" s="30">
        <v>115</v>
      </c>
      <c r="I68" s="12">
        <f t="shared" si="2"/>
        <v>23000</v>
      </c>
    </row>
    <row r="69" spans="1:10" x14ac:dyDescent="0.35">
      <c r="A69" s="20">
        <f t="shared" si="1"/>
        <v>65</v>
      </c>
      <c r="B69" s="18">
        <v>0</v>
      </c>
      <c r="C69" s="27" t="s">
        <v>11</v>
      </c>
      <c r="D69" s="25">
        <v>295</v>
      </c>
      <c r="E69" s="23" t="s">
        <v>80</v>
      </c>
      <c r="F69" s="25" t="s">
        <v>13</v>
      </c>
      <c r="G69" s="32">
        <v>400</v>
      </c>
      <c r="H69" s="30">
        <v>115</v>
      </c>
      <c r="I69" s="12">
        <f t="shared" ref="I69:I100" si="3">G69*H69</f>
        <v>46000</v>
      </c>
    </row>
    <row r="70" spans="1:10" x14ac:dyDescent="0.35">
      <c r="A70" s="20">
        <f t="shared" si="1"/>
        <v>66</v>
      </c>
      <c r="B70" s="18">
        <v>0</v>
      </c>
      <c r="C70" s="27" t="s">
        <v>11</v>
      </c>
      <c r="D70" s="25">
        <v>295</v>
      </c>
      <c r="E70" s="23" t="s">
        <v>81</v>
      </c>
      <c r="F70" s="25" t="s">
        <v>13</v>
      </c>
      <c r="G70" s="32">
        <v>400</v>
      </c>
      <c r="H70" s="30">
        <v>115</v>
      </c>
      <c r="I70" s="12">
        <f t="shared" si="3"/>
        <v>46000</v>
      </c>
    </row>
    <row r="71" spans="1:10" x14ac:dyDescent="0.35">
      <c r="A71" s="20">
        <f t="shared" ref="A71:A72" si="4">A70+1</f>
        <v>67</v>
      </c>
      <c r="B71" s="18">
        <v>0</v>
      </c>
      <c r="C71" s="27" t="s">
        <v>11</v>
      </c>
      <c r="D71" s="25">
        <v>295</v>
      </c>
      <c r="E71" s="23" t="s">
        <v>82</v>
      </c>
      <c r="F71" s="25" t="s">
        <v>13</v>
      </c>
      <c r="G71" s="32">
        <v>500</v>
      </c>
      <c r="H71" s="30">
        <v>58</v>
      </c>
      <c r="I71" s="12">
        <f t="shared" si="3"/>
        <v>29000</v>
      </c>
    </row>
    <row r="72" spans="1:10" ht="15" thickBot="1" x14ac:dyDescent="0.4">
      <c r="A72" s="21">
        <f t="shared" si="4"/>
        <v>68</v>
      </c>
      <c r="B72" s="19">
        <v>0</v>
      </c>
      <c r="C72" s="28" t="s">
        <v>11</v>
      </c>
      <c r="D72" s="26">
        <v>295</v>
      </c>
      <c r="E72" s="24" t="s">
        <v>83</v>
      </c>
      <c r="F72" s="26" t="s">
        <v>13</v>
      </c>
      <c r="G72" s="33">
        <v>15</v>
      </c>
      <c r="H72" s="31">
        <v>1500</v>
      </c>
      <c r="I72" s="13">
        <f t="shared" si="3"/>
        <v>22500</v>
      </c>
    </row>
    <row r="73" spans="1:10" ht="15" thickBot="1" x14ac:dyDescent="0.4"/>
    <row r="74" spans="1:10" ht="15" thickBot="1" x14ac:dyDescent="0.4">
      <c r="I74" s="3">
        <f>SUM(I5:I73)</f>
        <v>146037602.5</v>
      </c>
    </row>
    <row r="75" spans="1:10" x14ac:dyDescent="0.35">
      <c r="C75" s="4" t="s">
        <v>84</v>
      </c>
    </row>
    <row r="76" spans="1:10" ht="14.5" customHeight="1" x14ac:dyDescent="0.35">
      <c r="C76" s="43" t="s">
        <v>86</v>
      </c>
      <c r="D76" s="43"/>
      <c r="E76" s="43"/>
      <c r="F76" s="43"/>
      <c r="G76" s="43"/>
      <c r="H76" s="43"/>
    </row>
    <row r="77" spans="1:10" ht="29" customHeight="1" x14ac:dyDescent="0.35">
      <c r="C77" s="43"/>
      <c r="D77" s="43"/>
      <c r="E77" s="43"/>
      <c r="F77" s="43"/>
      <c r="G77" s="43"/>
      <c r="H77" s="43"/>
      <c r="I77" s="7" t="s">
        <v>90</v>
      </c>
    </row>
    <row r="78" spans="1:10" x14ac:dyDescent="0.35">
      <c r="C78" s="43"/>
      <c r="D78" s="43"/>
      <c r="E78" s="43"/>
      <c r="F78" s="43"/>
      <c r="G78" s="43"/>
      <c r="H78" s="43"/>
      <c r="I78" s="14"/>
    </row>
    <row r="79" spans="1:10" x14ac:dyDescent="0.35">
      <c r="C79" s="43"/>
      <c r="D79" s="43"/>
      <c r="E79" s="43"/>
      <c r="F79" s="43"/>
      <c r="G79" s="43"/>
      <c r="H79" s="43"/>
      <c r="I79" s="14">
        <v>251</v>
      </c>
      <c r="J79" s="2">
        <f>I5+I6+I7+I8+I9+I50</f>
        <v>6180445</v>
      </c>
    </row>
    <row r="80" spans="1:10" ht="15" thickBot="1" x14ac:dyDescent="0.4">
      <c r="C80" s="43"/>
      <c r="D80" s="43"/>
      <c r="E80" s="43"/>
      <c r="F80" s="43"/>
      <c r="G80" s="43"/>
      <c r="H80" s="43"/>
      <c r="I80" s="14">
        <v>295</v>
      </c>
      <c r="J80" s="16">
        <v>139857157.5</v>
      </c>
    </row>
    <row r="81" spans="3:10" x14ac:dyDescent="0.35">
      <c r="C81" s="43"/>
      <c r="D81" s="43"/>
      <c r="E81" s="43"/>
      <c r="F81" s="43"/>
      <c r="G81" s="43"/>
      <c r="H81" s="43"/>
    </row>
    <row r="82" spans="3:10" x14ac:dyDescent="0.35">
      <c r="C82" s="43"/>
      <c r="D82" s="43"/>
      <c r="E82" s="43"/>
      <c r="F82" s="43"/>
      <c r="G82" s="43"/>
      <c r="H82" s="43"/>
      <c r="J82" s="15">
        <f>SUBTOTAL(9,J79:J81)</f>
        <v>146037602.5</v>
      </c>
    </row>
    <row r="83" spans="3:10" x14ac:dyDescent="0.35">
      <c r="C83" s="6"/>
      <c r="D83" s="6"/>
      <c r="E83" s="6"/>
      <c r="F83" s="6"/>
      <c r="G83" s="6"/>
      <c r="H83" s="6"/>
    </row>
    <row r="84" spans="3:10" x14ac:dyDescent="0.35">
      <c r="C84" s="44" t="s">
        <v>87</v>
      </c>
      <c r="D84" s="44"/>
      <c r="E84" s="44"/>
      <c r="F84" s="44"/>
      <c r="G84" s="44"/>
      <c r="H84" s="44"/>
    </row>
    <row r="85" spans="3:10" x14ac:dyDescent="0.35">
      <c r="C85" s="5"/>
    </row>
    <row r="86" spans="3:10" x14ac:dyDescent="0.35">
      <c r="C86" s="44" t="s">
        <v>88</v>
      </c>
      <c r="D86" s="44"/>
      <c r="E86" s="44"/>
      <c r="F86" s="44"/>
      <c r="G86" s="44"/>
      <c r="H86" s="44"/>
    </row>
    <row r="87" spans="3:10" x14ac:dyDescent="0.35">
      <c r="C87" s="5"/>
    </row>
    <row r="88" spans="3:10" x14ac:dyDescent="0.35">
      <c r="C88" s="44" t="s">
        <v>85</v>
      </c>
      <c r="D88" s="44"/>
      <c r="E88" s="44"/>
      <c r="F88" s="44"/>
      <c r="G88" s="44"/>
      <c r="H88" s="44"/>
    </row>
    <row r="89" spans="3:10" x14ac:dyDescent="0.35">
      <c r="C89" s="5"/>
    </row>
    <row r="90" spans="3:10" x14ac:dyDescent="0.35">
      <c r="C90" s="44" t="s">
        <v>89</v>
      </c>
      <c r="D90" s="44"/>
      <c r="E90" s="44"/>
      <c r="F90" s="44"/>
      <c r="G90" s="44"/>
      <c r="H90" s="44"/>
    </row>
  </sheetData>
  <mergeCells count="5">
    <mergeCell ref="C76:H82"/>
    <mergeCell ref="C84:H84"/>
    <mergeCell ref="C86:H86"/>
    <mergeCell ref="C90:H90"/>
    <mergeCell ref="C88:H8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2021-05-31T16:53:05Z</dcterms:created>
  <dcterms:modified xsi:type="dcterms:W3CDTF">2021-05-31T21:39:45Z</dcterms:modified>
</cp:coreProperties>
</file>