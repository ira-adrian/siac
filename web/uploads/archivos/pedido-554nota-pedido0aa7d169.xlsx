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i unidad\CONTRATACIONES 2022\MINIBUS\MINIBUS\"/>
    </mc:Choice>
  </mc:AlternateContent>
  <bookViews>
    <workbookView xWindow="0" yWindow="0" windowWidth="20490" windowHeight="8340"/>
  </bookViews>
  <sheets>
    <sheet name="Necesidades Trimestrales_Trim 4" sheetId="4" r:id="rId1"/>
    <sheet name="NOTA PEDIDO" sheetId="2" r:id="rId2"/>
    <sheet name="APG" sheetId="3" r:id="rId3"/>
  </sheets>
  <definedNames>
    <definedName name="_xlnm.Print_Area" localSheetId="2">APG!$A$1:$Q$25</definedName>
    <definedName name="_xlnm.Print_Area" localSheetId="1">'NOTA PEDIDO'!$A$1:$G$12</definedName>
  </definedNames>
  <calcPr calcId="162913"/>
  <extLst>
    <ext uri="GoogleSheetsCustomDataVersion1">
      <go:sheetsCustomData xmlns:go="http://customooxmlschemas.google.com/" r:id="rId8" roundtripDataSignature="AMtx7mgFNHsqRtNc9HVQ4GhCkfPjQOMLgw=="/>
    </ext>
  </extLst>
</workbook>
</file>

<file path=xl/calcChain.xml><?xml version="1.0" encoding="utf-8"?>
<calcChain xmlns="http://schemas.openxmlformats.org/spreadsheetml/2006/main">
  <c r="I10" i="4" l="1"/>
  <c r="D10" i="4"/>
  <c r="F11" i="2" l="1"/>
  <c r="G12" i="2" l="1"/>
  <c r="H11" i="2" l="1"/>
  <c r="H14" i="2" l="1"/>
  <c r="H12" i="2" l="1"/>
  <c r="L14" i="2"/>
  <c r="Q15" i="3" l="1"/>
  <c r="Q21" i="3" s="1"/>
  <c r="I14" i="2"/>
</calcChain>
</file>

<file path=xl/sharedStrings.xml><?xml version="1.0" encoding="utf-8"?>
<sst xmlns="http://schemas.openxmlformats.org/spreadsheetml/2006/main" count="96" uniqueCount="76">
  <si>
    <t>EJERCICIO:</t>
  </si>
  <si>
    <t>ID</t>
  </si>
  <si>
    <t>CODIGO ITEM</t>
  </si>
  <si>
    <t>DESCRIPCION</t>
  </si>
  <si>
    <t>UNIDAD DE MEDIDA</t>
  </si>
  <si>
    <t>CANTIDAD</t>
  </si>
  <si>
    <t>PRECIO UNITARIO ESTIMADO</t>
  </si>
  <si>
    <t>UNIDAD</t>
  </si>
  <si>
    <t>NOTA DE PEDIDO</t>
  </si>
  <si>
    <t>N° XX -2022</t>
  </si>
  <si>
    <t xml:space="preserve">JURISDICCIÓN: </t>
  </si>
  <si>
    <t>SAF:</t>
  </si>
  <si>
    <t>UNIDAD EJECUTORA:</t>
  </si>
  <si>
    <t>MINISTERIO DE EDUCACIÓN</t>
  </si>
  <si>
    <t xml:space="preserve">DEPENDENCIA SOLICITANTE: </t>
  </si>
  <si>
    <t>PERIODO UTILIZACIÓN:</t>
  </si>
  <si>
    <t>OBJETO:</t>
  </si>
  <si>
    <t>Adjunta Detalle Técnico</t>
  </si>
  <si>
    <t>SI</t>
  </si>
  <si>
    <t>AUTORIZACIÓN PARA GASTAR</t>
  </si>
  <si>
    <t>JURISDICCIÓN:</t>
  </si>
  <si>
    <r>
      <rPr>
        <b/>
        <u/>
        <sz val="11"/>
        <color theme="1"/>
        <rFont val="Times New Roman"/>
        <family val="1"/>
      </rPr>
      <t>AUTORIZACIÓN</t>
    </r>
    <r>
      <rPr>
        <b/>
        <u/>
        <sz val="11"/>
        <color theme="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</si>
  <si>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</si>
  <si>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</si>
  <si>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</si>
  <si>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</si>
  <si>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</si>
  <si>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</si>
  <si>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</si>
  <si>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</si>
  <si>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</si>
  <si>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</si>
  <si>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</si>
  <si>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</si>
  <si>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</si>
  <si>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</si>
  <si>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</si>
  <si>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</si>
  <si>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</si>
  <si>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</si>
  <si>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</si>
  <si>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ADQUISICIÓN DE MINIBUS DESTINADOS A DISTINTAS DEPENDENCIAS DEL MINISTERIO DE EDUCACIÓN</t>
  </si>
  <si>
    <t>EQUIPO DE TRANSPORTE, TRACCION Y ELEVACION</t>
  </si>
  <si>
    <t>1.1</t>
  </si>
  <si>
    <t>SECRETARIA DE COMPRAS Y ABASTECIMIENTO</t>
  </si>
  <si>
    <t>CINCO AÑOS</t>
  </si>
  <si>
    <r>
      <t xml:space="preserve">Autorizo la realización de los  trámites correspondientes, a fin de proveer a este Organismo los bienes que se detallan en Nota de Pedido N° </t>
    </r>
    <r>
      <rPr>
        <sz val="11"/>
        <color rgb="FFFF0000"/>
        <rFont val="Times New Roman"/>
        <family val="1"/>
      </rPr>
      <t>DOCFI-2022-0XXXXX-CAT-ME</t>
    </r>
    <r>
      <rPr>
        <b/>
        <sz val="11"/>
        <color rgb="FFFF0000"/>
        <rFont val="Times New Roman"/>
        <family val="1"/>
      </rPr>
      <t>,</t>
    </r>
    <r>
      <rPr>
        <sz val="11"/>
        <color rgb="FFFF0000"/>
        <rFont val="Times New Roman"/>
        <family val="1"/>
      </rPr>
      <t xml:space="preserve"> </t>
    </r>
    <r>
      <rPr>
        <sz val="11"/>
        <color theme="1"/>
        <rFont val="Times New Roman"/>
        <family val="1"/>
      </rPr>
      <t>afectando la erogación resultante a los créditos presupuestarios aprobados a favor de esta Unidad Ejecutora, conforme al siguiente detalle:</t>
    </r>
  </si>
  <si>
    <t>4.3.2-215.116</t>
  </si>
  <si>
    <t>VEHICULOS UTILITARIOS; TIPO: MINIBUS, ALTURA: 2700 mm, TIPO DE MOTOR: DIESEL, Nº CILINDROS: 4, DISPOSICION: EN LINEA, CILINDRADA: 2100 CM3, PESO P/MARCHA: SIN VALOR, PESO BRUTO ADM: 3250 Kg, POTENCIA: 115 HP, CANT. DE CILINDROS: 4</t>
  </si>
  <si>
    <t>26 DIRECCION PROVINCIAL DE ADMINISTRACION</t>
  </si>
  <si>
    <t>MINISTERIO DE EDUCACIÓN MINISTERIO DE EDUCACIÓN</t>
  </si>
  <si>
    <t>Costo total estimado: PESOS CIENTO SEIS MILLONES SETECIENTOS SESENTA MIL CON 00/100</t>
  </si>
  <si>
    <t>TCV AL 12/10/22</t>
  </si>
  <si>
    <t>TOTAL DE PESOS: CIENTO SEIS MILLONES SETECIENTOS SESENTA MIL CON 00/100</t>
  </si>
  <si>
    <t>Pedido de Necesidades Trimestrales</t>
  </si>
  <si>
    <t>JURISDICCION:</t>
  </si>
  <si>
    <t>50 - Ministerio de Educación</t>
  </si>
  <si>
    <t xml:space="preserve">SAF N°: </t>
  </si>
  <si>
    <t>26- Dirección Provincial de Administración</t>
  </si>
  <si>
    <t>TRIMESTRE:</t>
  </si>
  <si>
    <t>RUBRO DE COMPRA</t>
  </si>
  <si>
    <t xml:space="preserve">I.P.P. </t>
  </si>
  <si>
    <t xml:space="preserve">IMPORTE TOTAL ESTIMADO </t>
  </si>
  <si>
    <t>Especificidades Item N° 1:</t>
  </si>
  <si>
    <t>Descripción técnica</t>
  </si>
  <si>
    <t>Plazos y lugares de entrega</t>
  </si>
  <si>
    <t>Calidad Minima esperada</t>
  </si>
  <si>
    <t>Garantia</t>
  </si>
  <si>
    <t>EQUIPOS</t>
  </si>
  <si>
    <t>Según Anexo de Especificaciones Técnicas</t>
  </si>
  <si>
    <t>Garantía mínima de DOS años o 150.000 Km lo que ocurra primero, estableciendo claramente que partes mecánicas y/o electrónicas alcanzan dicha Garantía.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</si>
  <si>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Provincial de Parque Automotor del Ministerio de Educación, sito en cale 9 de Julio N° 341 San Fernando del Valle de Catamarca.  Se presentará Remito que deberá cumplimentar lo dispuesto por la R.G. AFIP  1415/03, sin excepción.</t>
  </si>
  <si>
    <t>45 dias habiles</t>
  </si>
  <si>
    <t>Mantenimiento oferta</t>
  </si>
  <si>
    <t>• Se deberá adjuntar Folletos con características y especificaciones técnicas, y todo otro detalle que permita individualizar lo cotizado, o en su defecto hacer una apropiada descripción del bien ofertado (marca y modelo).</t>
  </si>
  <si>
    <t>• Condición de calidad: El bien requerido para dar cumplimiento al objeto del presente anexo deberá ser nuevo, sin uso, libre de defectos en el diseño, materiales o de fabricación de acuerdo a las especificaciones técnicas descriptas.-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</si>
</sst>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quot;$&quot;\ * #,##0.00_-;\-&quot;$&quot;\ * #,##0.00_-;_-&quot;$&quot;\ * &quot;-&quot;??_-;_-@_-"/>
    <numFmt numFmtId="43" formatCode="_-* #,##0.00_-;\-* #,##0.00_-;_-* &quot;-&quot;??_-;_-@_-"/>
    <numFmt numFmtId="164" formatCode="[$$-2C0A]\ #,##0.00;[$$-2C0A]&quot; -&quot;#,##0.00"/>
    <numFmt numFmtId="165" formatCode="&quot;$&quot;\ #,##0.00"/>
    <numFmt numFmtId="166" formatCode="_-[$$-2C0A]* #,##0.00_-;\-[$$-2C0A]* #,##0.00_-;_-[$$-2C0A]* &quot;-&quot;??_-;_-@"/>
    <numFmt numFmtId="167" formatCode="[$$-2C0A]\ #,##0.00"/>
    <numFmt numFmtId="168" formatCode="dd\-mm\-yy"/>
    <numFmt numFmtId="169" formatCode="_-* #,##0.00&quot; €&quot;_-;\-* #,##0.00&quot; €&quot;_-;_-* \-??&quot; €&quot;_-;_-@_-"/>
  </numFmts>
  <fonts count="44" x14ac:knownFonts="1">
    <font>
      <sz val="10"/>
      <color rgb="FF000000"/>
      <name val="Arial"/>
      <scheme val="minor"/>
    </font>
    <font>
      <sz val="10"/>
      <color theme="1"/>
      <name val="Times New Roman"/>
      <family val="1"/>
    </font>
    <font>
      <b/>
      <sz val="11"/>
      <color rgb="FF000000"/>
      <name val="Times New Roman"/>
      <family val="1"/>
    </font>
    <font>
      <sz val="10"/>
      <name val="Arial"/>
      <family val="2"/>
    </font>
    <font>
      <sz val="9"/>
      <color theme="1"/>
      <name val="Times New Roman"/>
      <family val="1"/>
    </font>
    <font>
      <b/>
      <u/>
      <sz val="12"/>
      <color theme="1"/>
      <name val="Times New Roman"/>
      <family val="1"/>
    </font>
    <font>
      <b/>
      <sz val="11"/>
      <color rgb="FFFF0000"/>
      <name val="Times New Roman"/>
      <family val="1"/>
    </font>
    <font>
      <sz val="10"/>
      <color theme="1"/>
      <name val="Arial"/>
      <family val="2"/>
    </font>
    <font>
      <b/>
      <u/>
      <sz val="11"/>
      <color theme="1"/>
      <name val="Times New Roman"/>
      <family val="1"/>
    </font>
    <font>
      <b/>
      <u/>
      <sz val="11"/>
      <color theme="1"/>
      <name val="Times New Roman"/>
      <family val="1"/>
    </font>
    <font>
      <b/>
      <u/>
      <sz val="11"/>
      <color theme="1"/>
      <name val="Times New Roman"/>
      <family val="1"/>
    </font>
    <font>
      <sz val="11"/>
      <color theme="1"/>
      <name val="Times New Roman"/>
      <family val="1"/>
    </font>
    <font>
      <b/>
      <sz val="11"/>
      <color theme="1"/>
      <name val="Times New Roman"/>
      <family val="1"/>
    </font>
    <font>
      <sz val="11"/>
      <color theme="0"/>
      <name val="Calibri"/>
      <family val="2"/>
    </font>
    <font>
      <sz val="10"/>
      <color theme="0"/>
      <name val="Arial"/>
      <family val="2"/>
    </font>
    <font>
      <b/>
      <sz val="10"/>
      <color theme="1"/>
      <name val="Times New Roman"/>
      <family val="1"/>
    </font>
    <font>
      <b/>
      <sz val="11"/>
      <color theme="1"/>
      <name val="Calibri"/>
      <family val="2"/>
    </font>
    <font>
      <b/>
      <u/>
      <sz val="10"/>
      <color theme="0"/>
      <name val="Arial"/>
      <family val="2"/>
    </font>
    <font>
      <b/>
      <u/>
      <sz val="10"/>
      <color theme="0"/>
      <name val="Arial"/>
      <family val="2"/>
    </font>
    <font>
      <sz val="11"/>
      <color rgb="FF000000"/>
      <name val="Calibri"/>
      <family val="2"/>
    </font>
    <font>
      <sz val="11"/>
      <color theme="1"/>
      <name val="Calibri"/>
      <family val="2"/>
    </font>
    <font>
      <b/>
      <u/>
      <sz val="11"/>
      <color theme="1"/>
      <name val="Times New Roman"/>
      <family val="1"/>
    </font>
    <font>
      <b/>
      <sz val="9"/>
      <color theme="1"/>
      <name val="Times New Roman"/>
      <family val="1"/>
    </font>
    <font>
      <sz val="9"/>
      <name val="Times New Roman"/>
      <family val="1"/>
    </font>
    <font>
      <sz val="11"/>
      <name val="Times New Roman"/>
      <family val="1"/>
    </font>
    <font>
      <b/>
      <sz val="9"/>
      <name val="Times New Roman"/>
      <family val="1"/>
    </font>
    <font>
      <sz val="9"/>
      <color theme="1"/>
      <name val="Arial"/>
      <family val="2"/>
    </font>
    <font>
      <sz val="11"/>
      <color rgb="FFFF0000"/>
      <name val="Times New Roman"/>
      <family val="1"/>
    </font>
    <font>
      <sz val="10"/>
      <color rgb="FF000000"/>
      <name val="Arial"/>
      <family val="2"/>
      <scheme val="minor"/>
    </font>
    <font>
      <sz val="11"/>
      <name val="Arial"/>
      <family val="2"/>
    </font>
    <font>
      <b/>
      <sz val="11"/>
      <name val="Times New Roman"/>
      <family val="1"/>
    </font>
    <font>
      <sz val="8"/>
      <color theme="1"/>
      <name val="Arial"/>
      <family val="2"/>
    </font>
    <font>
      <sz val="10"/>
      <name val="Arial"/>
      <family val="2"/>
      <scheme val="minor"/>
    </font>
    <font>
      <sz val="11"/>
      <color rgb="FF333333"/>
      <name val="Arial"/>
      <family val="2"/>
      <scheme val="minor"/>
    </font>
    <font>
      <sz val="10"/>
      <color rgb="FF000000"/>
      <name val="Arial"/>
      <scheme val="minor"/>
    </font>
    <font>
      <sz val="10"/>
      <name val="Arial"/>
      <charset val="1"/>
    </font>
    <font>
      <sz val="10"/>
      <name val="Times New Roman"/>
      <family val="1"/>
    </font>
    <font>
      <b/>
      <sz val="22"/>
      <name val="Times New Roman"/>
      <family val="1"/>
    </font>
    <font>
      <b/>
      <sz val="12"/>
      <color rgb="FF000000"/>
      <name val="Times New Roman"/>
      <family val="1"/>
    </font>
    <font>
      <sz val="10"/>
      <color rgb="FF000000"/>
      <name val="Times New Roman"/>
      <family val="1"/>
    </font>
    <font>
      <b/>
      <sz val="10"/>
      <color rgb="FF000000"/>
      <name val="Times New Roman"/>
      <family val="1"/>
    </font>
    <font>
      <sz val="9"/>
      <color rgb="FF000000"/>
      <name val="Times New Roman"/>
      <family val="1"/>
    </font>
    <font>
      <u/>
      <sz val="10"/>
      <name val="Times New Roman"/>
      <family val="1"/>
    </font>
    <font>
      <sz val="10"/>
      <color rgb="FFFF0000"/>
      <name val="Times New Roman"/>
      <family val="1"/>
    </font>
  </fonts>
  <fills count="3">
    <fill>
      <patternFill patternType="none"/>
    </fill>
    <fill>
      <patternFill patternType="gray125"/>
    </fill>
    <fill>
      <patternFill patternType="solid">
        <fgColor theme="0"/>
        <bgColor theme="0"/>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D3D3D"/>
      </left>
      <right/>
      <top style="medium">
        <color rgb="FF000000"/>
      </top>
      <bottom/>
      <diagonal/>
    </border>
    <border>
      <left style="medium">
        <color rgb="FF3D3D3D"/>
      </left>
      <right/>
      <top/>
      <bottom style="medium">
        <color rgb="FF3D3D3D"/>
      </bottom>
      <diagonal/>
    </border>
    <border>
      <left/>
      <right style="medium">
        <color rgb="FF000000"/>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style="medium">
        <color rgb="FF000000"/>
      </left>
      <right/>
      <top style="medium">
        <color rgb="FF3D3D3D"/>
      </top>
      <bottom/>
      <diagonal/>
    </border>
    <border>
      <left/>
      <right/>
      <top style="medium">
        <color rgb="FF3D3D3D"/>
      </top>
      <bottom/>
      <diagonal/>
    </border>
    <border>
      <left/>
      <right style="medium">
        <color rgb="FF000000"/>
      </right>
      <top style="medium">
        <color rgb="FF3D3D3D"/>
      </top>
      <bottom/>
      <diagonal/>
    </border>
    <border>
      <left style="medium">
        <color rgb="FF000000"/>
      </left>
      <right/>
      <top/>
      <bottom style="medium">
        <color rgb="FF3D3D3D"/>
      </bottom>
      <diagonal/>
    </border>
    <border>
      <left/>
      <right/>
      <top/>
      <bottom style="medium">
        <color rgb="FF3D3D3D"/>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
      <left/>
      <right/>
      <top style="medium">
        <color rgb="FFE5E5E5"/>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ck">
        <color auto="1"/>
      </right>
      <top style="medium">
        <color indexed="64"/>
      </top>
      <bottom/>
      <diagonal/>
    </border>
    <border>
      <left style="thick">
        <color auto="1"/>
      </left>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s>
  <cellStyleXfs count="5">
    <xf numFmtId="0" fontId="0" fillId="0" borderId="0"/>
    <xf numFmtId="43" fontId="28" fillId="0" borderId="0" applyFont="0" applyFill="0" applyBorder="0" applyAlignment="0" applyProtection="0"/>
    <xf numFmtId="44" fontId="34" fillId="0" borderId="0" applyFont="0" applyFill="0" applyBorder="0" applyAlignment="0" applyProtection="0"/>
    <xf numFmtId="0" fontId="35" fillId="0" borderId="0"/>
    <xf numFmtId="169" fontId="3" fillId="0" borderId="0" applyBorder="0" applyProtection="0"/>
  </cellStyleXfs>
  <cellXfs count="173">
    <xf numFmtId="0" fontId="0" fillId="0" borderId="0" xfId="0" applyFont="1" applyAlignment="1"/>
    <xf numFmtId="0" fontId="6" fillId="0" borderId="10" xfId="0" applyFont="1" applyBorder="1" applyAlignment="1">
      <alignment horizontal="left" vertical="center"/>
    </xf>
    <xf numFmtId="0" fontId="7" fillId="0" borderId="0" xfId="0" applyFont="1"/>
    <xf numFmtId="0" fontId="8" fillId="0" borderId="5" xfId="0" applyFont="1" applyBorder="1" applyAlignment="1">
      <alignment vertical="center"/>
    </xf>
    <xf numFmtId="0" fontId="9" fillId="0" borderId="0" xfId="0" applyFont="1" applyAlignment="1">
      <alignment vertical="center"/>
    </xf>
    <xf numFmtId="0" fontId="10" fillId="0" borderId="6" xfId="0" applyFont="1" applyBorder="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1" fillId="0" borderId="17" xfId="0" applyFont="1" applyBorder="1" applyAlignment="1">
      <alignment horizontal="center" vertical="center"/>
    </xf>
    <xf numFmtId="0" fontId="1" fillId="0" borderId="17" xfId="0" applyFont="1" applyBorder="1" applyAlignment="1">
      <alignment horizontal="center" vertical="center" wrapText="1"/>
    </xf>
    <xf numFmtId="3" fontId="1" fillId="0" borderId="18" xfId="0" applyNumberFormat="1" applyFont="1" applyBorder="1" applyAlignment="1">
      <alignment horizontal="center" vertical="center"/>
    </xf>
    <xf numFmtId="167" fontId="13" fillId="0" borderId="0" xfId="0" applyNumberFormat="1" applyFont="1"/>
    <xf numFmtId="0" fontId="14" fillId="0" borderId="0" xfId="0" applyFont="1"/>
    <xf numFmtId="167" fontId="14" fillId="0" borderId="0" xfId="0" applyNumberFormat="1" applyFont="1"/>
    <xf numFmtId="0" fontId="15" fillId="0" borderId="19" xfId="0" applyFont="1" applyBorder="1" applyAlignment="1">
      <alignment horizontal="center" vertical="center"/>
    </xf>
    <xf numFmtId="165" fontId="14" fillId="0" borderId="0" xfId="0" applyNumberFormat="1" applyFont="1"/>
    <xf numFmtId="0" fontId="17" fillId="0" borderId="0" xfId="0" applyFont="1"/>
    <xf numFmtId="165" fontId="18" fillId="0" borderId="0" xfId="0" applyNumberFormat="1" applyFont="1"/>
    <xf numFmtId="0" fontId="19" fillId="0" borderId="0" xfId="0" applyFont="1" applyAlignment="1">
      <alignment horizontal="left" vertical="center"/>
    </xf>
    <xf numFmtId="0" fontId="20" fillId="0" borderId="0" xfId="0" applyFont="1"/>
    <xf numFmtId="3" fontId="12" fillId="0" borderId="3" xfId="0" applyNumberFormat="1" applyFont="1" applyBorder="1"/>
    <xf numFmtId="168" fontId="11" fillId="0" borderId="3" xfId="0" applyNumberFormat="1" applyFont="1" applyBorder="1" applyAlignment="1">
      <alignment horizontal="left"/>
    </xf>
    <xf numFmtId="0" fontId="11" fillId="0" borderId="3" xfId="0" applyFont="1" applyBorder="1"/>
    <xf numFmtId="0" fontId="11" fillId="0" borderId="5" xfId="0" applyFont="1" applyBorder="1"/>
    <xf numFmtId="0" fontId="11" fillId="0" borderId="0" xfId="0" applyFont="1"/>
    <xf numFmtId="0" fontId="11" fillId="0" borderId="0" xfId="0" applyFont="1" applyAlignment="1">
      <alignment horizontal="left"/>
    </xf>
    <xf numFmtId="168" fontId="11" fillId="0" borderId="0" xfId="0" applyNumberFormat="1" applyFont="1" applyAlignment="1">
      <alignment horizontal="left"/>
    </xf>
    <xf numFmtId="0" fontId="11" fillId="0" borderId="6" xfId="0" applyFont="1" applyBorder="1"/>
    <xf numFmtId="0" fontId="11" fillId="0" borderId="35" xfId="0" applyFont="1" applyBorder="1"/>
    <xf numFmtId="0" fontId="11" fillId="0" borderId="36" xfId="0" applyFont="1" applyBorder="1"/>
    <xf numFmtId="0" fontId="11" fillId="0" borderId="36" xfId="0" applyFont="1" applyBorder="1" applyAlignment="1">
      <alignment horizontal="left"/>
    </xf>
    <xf numFmtId="0" fontId="11" fillId="0" borderId="26" xfId="0" applyFont="1" applyBorder="1"/>
    <xf numFmtId="0" fontId="22" fillId="0" borderId="39" xfId="0" applyFont="1" applyBorder="1" applyAlignment="1">
      <alignment vertical="center"/>
    </xf>
    <xf numFmtId="0" fontId="22" fillId="0" borderId="40" xfId="0" applyFont="1" applyBorder="1" applyAlignment="1">
      <alignment vertical="center"/>
    </xf>
    <xf numFmtId="0" fontId="22" fillId="0" borderId="41" xfId="0" applyFont="1" applyBorder="1" applyAlignment="1">
      <alignment vertical="center"/>
    </xf>
    <xf numFmtId="0" fontId="22" fillId="0" borderId="42" xfId="0" applyFont="1" applyBorder="1" applyAlignment="1">
      <alignment vertical="center"/>
    </xf>
    <xf numFmtId="0" fontId="4" fillId="0" borderId="45" xfId="0" applyFont="1" applyBorder="1" applyAlignment="1">
      <alignment horizontal="center" vertical="center"/>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11" fillId="0" borderId="51" xfId="0" applyFont="1" applyBorder="1" applyAlignment="1">
      <alignment horizontal="center" vertical="center"/>
    </xf>
    <xf numFmtId="0" fontId="11" fillId="0" borderId="52"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7" xfId="0" applyFont="1" applyBorder="1" applyAlignment="1">
      <alignment horizontal="center" vertical="center"/>
    </xf>
    <xf numFmtId="0" fontId="11" fillId="0" borderId="58" xfId="0" applyFont="1" applyBorder="1" applyAlignment="1">
      <alignment horizontal="center" vertical="center"/>
    </xf>
    <xf numFmtId="0" fontId="11" fillId="0" borderId="59" xfId="0" applyFont="1" applyBorder="1" applyAlignment="1">
      <alignment horizontal="center" vertical="center"/>
    </xf>
    <xf numFmtId="164" fontId="23" fillId="0" borderId="49" xfId="0" applyNumberFormat="1" applyFont="1" applyBorder="1" applyAlignment="1">
      <alignment horizontal="center" vertical="center"/>
    </xf>
    <xf numFmtId="164" fontId="23" fillId="0" borderId="50" xfId="0" applyNumberFormat="1" applyFont="1" applyBorder="1" applyAlignment="1">
      <alignment horizontal="center" vertical="center"/>
    </xf>
    <xf numFmtId="164" fontId="24" fillId="0" borderId="50" xfId="0" applyNumberFormat="1" applyFont="1" applyBorder="1" applyAlignment="1">
      <alignment horizontal="center" vertical="center"/>
    </xf>
    <xf numFmtId="164" fontId="24" fillId="0" borderId="61" xfId="0" applyNumberFormat="1" applyFont="1" applyBorder="1" applyAlignment="1">
      <alignment horizontal="center" vertical="center"/>
    </xf>
    <xf numFmtId="164" fontId="25" fillId="0" borderId="63" xfId="0" applyNumberFormat="1" applyFont="1" applyBorder="1" applyAlignment="1">
      <alignment horizontal="center" vertical="center"/>
    </xf>
    <xf numFmtId="0" fontId="22" fillId="0" borderId="40" xfId="0" applyFont="1" applyBorder="1" applyAlignment="1">
      <alignment horizontal="center" vertical="center"/>
    </xf>
    <xf numFmtId="166" fontId="4" fillId="0" borderId="17" xfId="0" applyNumberFormat="1" applyFont="1" applyBorder="1" applyAlignment="1">
      <alignment vertical="center"/>
    </xf>
    <xf numFmtId="167" fontId="26" fillId="0" borderId="1" xfId="0" applyNumberFormat="1" applyFont="1" applyBorder="1"/>
    <xf numFmtId="43" fontId="31" fillId="0" borderId="0" xfId="1" applyFont="1"/>
    <xf numFmtId="0" fontId="0" fillId="0" borderId="0" xfId="0" applyFont="1" applyAlignment="1"/>
    <xf numFmtId="0" fontId="1" fillId="0" borderId="1" xfId="0" applyFont="1" applyFill="1" applyBorder="1" applyAlignment="1">
      <alignment horizontal="center" vertical="center" wrapText="1"/>
    </xf>
    <xf numFmtId="0" fontId="1" fillId="0" borderId="20" xfId="0" applyFont="1" applyFill="1" applyBorder="1" applyAlignment="1">
      <alignment horizontal="left" vertical="center" wrapText="1"/>
    </xf>
    <xf numFmtId="0" fontId="33" fillId="0" borderId="64" xfId="0" applyFont="1" applyFill="1" applyBorder="1" applyAlignment="1">
      <alignment vertical="center" wrapText="1"/>
    </xf>
    <xf numFmtId="0" fontId="7" fillId="0" borderId="0" xfId="0" applyFont="1" applyFill="1"/>
    <xf numFmtId="0" fontId="19" fillId="0" borderId="0" xfId="0" applyFont="1" applyFill="1" applyAlignment="1">
      <alignment horizontal="left" vertical="center"/>
    </xf>
    <xf numFmtId="0" fontId="19" fillId="0" borderId="0" xfId="0" applyFont="1" applyFill="1" applyAlignment="1">
      <alignment vertical="center"/>
    </xf>
    <xf numFmtId="44" fontId="7" fillId="0" borderId="0" xfId="2" applyFont="1"/>
    <xf numFmtId="0" fontId="36" fillId="0" borderId="0" xfId="3" applyFont="1"/>
    <xf numFmtId="0" fontId="39" fillId="0" borderId="0" xfId="3" applyFont="1" applyAlignment="1">
      <alignment horizontal="left" wrapText="1"/>
    </xf>
    <xf numFmtId="0" fontId="39" fillId="0" borderId="0" xfId="3" applyFont="1" applyAlignment="1">
      <alignment horizontal="center" wrapText="1"/>
    </xf>
    <xf numFmtId="0" fontId="23" fillId="0" borderId="65" xfId="3" applyFont="1" applyBorder="1" applyAlignment="1">
      <alignment horizontal="center" vertical="center"/>
    </xf>
    <xf numFmtId="0" fontId="41" fillId="0" borderId="65" xfId="3" applyFont="1" applyBorder="1" applyAlignment="1">
      <alignment horizontal="left" vertical="center" wrapText="1"/>
    </xf>
    <xf numFmtId="0" fontId="41" fillId="0" borderId="65" xfId="3" applyFont="1" applyBorder="1" applyAlignment="1">
      <alignment horizontal="center" vertical="center" wrapText="1"/>
    </xf>
    <xf numFmtId="0" fontId="41" fillId="0" borderId="65" xfId="3" applyFont="1" applyFill="1" applyBorder="1" applyAlignment="1">
      <alignment horizontal="center" vertical="center" wrapText="1"/>
    </xf>
    <xf numFmtId="164" fontId="23" fillId="0" borderId="65" xfId="4" applyNumberFormat="1" applyFont="1" applyFill="1" applyBorder="1" applyAlignment="1" applyProtection="1">
      <alignment horizontal="right" vertical="center" wrapText="1"/>
    </xf>
    <xf numFmtId="165" fontId="23" fillId="0" borderId="65" xfId="4" applyNumberFormat="1" applyFont="1" applyFill="1" applyBorder="1" applyAlignment="1" applyProtection="1">
      <alignment horizontal="right" vertical="center" wrapText="1"/>
    </xf>
    <xf numFmtId="165" fontId="36" fillId="0" borderId="0" xfId="3" applyNumberFormat="1" applyFont="1"/>
    <xf numFmtId="0" fontId="42" fillId="0" borderId="66" xfId="3" applyFont="1" applyBorder="1"/>
    <xf numFmtId="0" fontId="36" fillId="0" borderId="67" xfId="3" applyFont="1" applyBorder="1"/>
    <xf numFmtId="0" fontId="36" fillId="0" borderId="68" xfId="3" applyFont="1" applyBorder="1"/>
    <xf numFmtId="0" fontId="36" fillId="0" borderId="69" xfId="3" applyFont="1" applyBorder="1"/>
    <xf numFmtId="0" fontId="36" fillId="0" borderId="0" xfId="3" applyFont="1" applyBorder="1"/>
    <xf numFmtId="0" fontId="36" fillId="0" borderId="70" xfId="3" applyFont="1" applyBorder="1"/>
    <xf numFmtId="0" fontId="42" fillId="0" borderId="69" xfId="3" applyFont="1" applyBorder="1" applyAlignment="1">
      <alignment horizontal="left" indent="3"/>
    </xf>
    <xf numFmtId="0" fontId="36" fillId="0" borderId="69" xfId="3" applyFont="1" applyBorder="1" applyAlignment="1">
      <alignment horizontal="left" indent="3"/>
    </xf>
    <xf numFmtId="0" fontId="36" fillId="0" borderId="0" xfId="3" applyFont="1" applyBorder="1" applyAlignment="1">
      <alignment horizontal="center" wrapText="1"/>
    </xf>
    <xf numFmtId="0" fontId="36" fillId="0" borderId="70" xfId="3" applyFont="1" applyBorder="1" applyAlignment="1">
      <alignment horizontal="center" wrapText="1"/>
    </xf>
    <xf numFmtId="0" fontId="36" fillId="0" borderId="71" xfId="3" applyFont="1" applyBorder="1" applyAlignment="1">
      <alignment horizontal="left" indent="3"/>
    </xf>
    <xf numFmtId="0" fontId="36" fillId="0" borderId="72" xfId="3" applyFont="1" applyBorder="1"/>
    <xf numFmtId="0" fontId="36" fillId="0" borderId="73" xfId="3" applyFont="1" applyBorder="1"/>
    <xf numFmtId="0" fontId="40" fillId="0" borderId="74" xfId="3" applyFont="1" applyBorder="1" applyAlignment="1">
      <alignment horizontal="center" vertical="center" wrapText="1"/>
    </xf>
    <xf numFmtId="0" fontId="40" fillId="0" borderId="75" xfId="3" applyFont="1" applyBorder="1" applyAlignment="1">
      <alignment horizontal="center" vertical="center" wrapText="1"/>
    </xf>
    <xf numFmtId="0" fontId="40" fillId="0" borderId="76" xfId="3" applyFont="1" applyBorder="1" applyAlignment="1">
      <alignment horizontal="center" vertical="center" wrapText="1"/>
    </xf>
    <xf numFmtId="0" fontId="40" fillId="0" borderId="77" xfId="3" applyFont="1" applyBorder="1" applyAlignment="1">
      <alignment horizontal="center" vertical="center" wrapText="1"/>
    </xf>
    <xf numFmtId="0" fontId="1" fillId="0" borderId="65" xfId="0" applyFont="1" applyFill="1" applyBorder="1" applyAlignment="1">
      <alignment horizontal="center" vertical="center" wrapText="1"/>
    </xf>
    <xf numFmtId="0" fontId="2" fillId="0" borderId="0" xfId="3" applyFont="1" applyBorder="1" applyAlignment="1">
      <alignment horizontal="left" vertical="center" wrapText="1"/>
    </xf>
    <xf numFmtId="0" fontId="36" fillId="0" borderId="70" xfId="3" applyFont="1" applyFill="1" applyBorder="1" applyAlignment="1">
      <alignment horizontal="left" vertical="center" wrapText="1"/>
    </xf>
    <xf numFmtId="0" fontId="1" fillId="0" borderId="70" xfId="3" applyFont="1" applyFill="1" applyBorder="1" applyAlignment="1">
      <alignment horizontal="left" vertical="center" wrapText="1"/>
    </xf>
    <xf numFmtId="0" fontId="43" fillId="0" borderId="70" xfId="3" applyFont="1" applyFill="1" applyBorder="1" applyAlignment="1">
      <alignment horizontal="center"/>
    </xf>
    <xf numFmtId="0" fontId="36" fillId="0" borderId="70" xfId="3" applyFont="1" applyFill="1" applyBorder="1" applyAlignment="1">
      <alignment horizontal="left" wrapText="1"/>
    </xf>
    <xf numFmtId="0" fontId="37" fillId="0" borderId="0" xfId="3" applyFont="1" applyBorder="1" applyAlignment="1">
      <alignment horizontal="center"/>
    </xf>
    <xf numFmtId="0" fontId="11" fillId="0" borderId="2" xfId="0" applyFont="1" applyBorder="1" applyAlignment="1">
      <alignment horizontal="left" vertical="center"/>
    </xf>
    <xf numFmtId="0" fontId="3" fillId="0" borderId="3" xfId="0" applyFont="1" applyBorder="1"/>
    <xf numFmtId="0" fontId="3" fillId="0" borderId="4" xfId="0" applyFont="1" applyBorder="1"/>
    <xf numFmtId="0" fontId="16" fillId="0" borderId="21" xfId="0" applyFont="1" applyBorder="1" applyAlignment="1">
      <alignment horizontal="left" vertical="top" wrapText="1"/>
    </xf>
    <xf numFmtId="0" fontId="3" fillId="0" borderId="22" xfId="0" applyFont="1" applyBorder="1"/>
    <xf numFmtId="0" fontId="3" fillId="0" borderId="23" xfId="0" applyFont="1" applyBorder="1"/>
    <xf numFmtId="0" fontId="5" fillId="0" borderId="2" xfId="0" applyFont="1" applyBorder="1" applyAlignment="1">
      <alignment horizontal="center" vertical="center" wrapText="1"/>
    </xf>
    <xf numFmtId="0" fontId="11" fillId="0" borderId="11" xfId="0" applyFont="1" applyBorder="1" applyAlignment="1">
      <alignment horizontal="left" vertical="center" wrapText="1"/>
    </xf>
    <xf numFmtId="0" fontId="3" fillId="0" borderId="12" xfId="0" applyFont="1" applyBorder="1"/>
    <xf numFmtId="0" fontId="12" fillId="0" borderId="11" xfId="0" applyFont="1" applyBorder="1" applyAlignment="1">
      <alignment vertical="center" wrapText="1"/>
    </xf>
    <xf numFmtId="0" fontId="3" fillId="0" borderId="13" xfId="0" applyFont="1" applyBorder="1"/>
    <xf numFmtId="0" fontId="12" fillId="0" borderId="11" xfId="0" applyFont="1" applyBorder="1" applyAlignment="1">
      <alignment horizontal="left" vertical="center" wrapText="1"/>
    </xf>
    <xf numFmtId="0" fontId="30" fillId="2" borderId="11" xfId="0" applyFont="1" applyFill="1" applyBorder="1" applyAlignment="1">
      <alignment horizontal="left" vertical="center" wrapText="1"/>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3" fillId="0" borderId="13" xfId="0" applyFont="1" applyBorder="1" applyAlignment="1">
      <alignment vertical="center"/>
    </xf>
    <xf numFmtId="0" fontId="3" fillId="0" borderId="12" xfId="0" applyFont="1" applyBorder="1" applyAlignment="1">
      <alignment vertical="center"/>
    </xf>
    <xf numFmtId="0" fontId="23" fillId="0" borderId="5" xfId="0" applyFont="1" applyBorder="1" applyAlignment="1">
      <alignment horizontal="left" vertical="center" wrapText="1"/>
    </xf>
    <xf numFmtId="0" fontId="32" fillId="0" borderId="0" xfId="0" applyFont="1" applyAlignment="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22" fillId="0" borderId="32" xfId="0" applyFont="1" applyBorder="1" applyAlignment="1">
      <alignment horizontal="center" vertical="center"/>
    </xf>
    <xf numFmtId="0" fontId="3" fillId="0" borderId="33" xfId="0" applyFont="1" applyBorder="1"/>
    <xf numFmtId="0" fontId="3" fillId="0" borderId="34" xfId="0" applyFont="1" applyBorder="1"/>
    <xf numFmtId="0" fontId="22" fillId="0" borderId="27" xfId="0" applyFont="1" applyBorder="1" applyAlignment="1">
      <alignment horizontal="center" vertical="center"/>
    </xf>
    <xf numFmtId="0" fontId="3" fillId="0" borderId="28" xfId="0" applyFont="1" applyBorder="1"/>
    <xf numFmtId="0" fontId="3" fillId="0" borderId="29" xfId="0" applyFont="1" applyBorder="1"/>
    <xf numFmtId="0" fontId="22" fillId="0" borderId="37" xfId="0" applyFont="1" applyBorder="1" applyAlignment="1">
      <alignment horizontal="center" vertical="center" wrapText="1"/>
    </xf>
    <xf numFmtId="0" fontId="3" fillId="0" borderId="38" xfId="0" applyFont="1" applyBorder="1"/>
    <xf numFmtId="0" fontId="3" fillId="0" borderId="43" xfId="0" applyFont="1" applyBorder="1"/>
    <xf numFmtId="0" fontId="3" fillId="0" borderId="44" xfId="0" applyFont="1" applyBorder="1"/>
    <xf numFmtId="0" fontId="22" fillId="0" borderId="34" xfId="0" applyFont="1" applyBorder="1" applyAlignment="1">
      <alignment horizontal="center" vertical="center"/>
    </xf>
    <xf numFmtId="0" fontId="4" fillId="0" borderId="47" xfId="0" applyFont="1" applyBorder="1" applyAlignment="1">
      <alignment horizontal="left" vertical="center" wrapText="1"/>
    </xf>
    <xf numFmtId="0" fontId="3" fillId="0" borderId="48" xfId="0" applyFont="1" applyBorder="1"/>
    <xf numFmtId="0" fontId="11" fillId="0" borderId="59" xfId="0" applyFont="1" applyBorder="1" applyAlignment="1">
      <alignment horizontal="left" vertical="center"/>
    </xf>
    <xf numFmtId="0" fontId="3" fillId="0" borderId="60" xfId="0" applyFont="1" applyBorder="1"/>
    <xf numFmtId="0" fontId="22" fillId="0" borderId="35" xfId="0" applyFont="1" applyBorder="1" applyAlignment="1">
      <alignment horizontal="left" vertical="center" wrapText="1"/>
    </xf>
    <xf numFmtId="0" fontId="3" fillId="0" borderId="36" xfId="0" applyFont="1" applyBorder="1"/>
    <xf numFmtId="0" fontId="3" fillId="0" borderId="62" xfId="0" applyFont="1" applyBorder="1"/>
    <xf numFmtId="0" fontId="4" fillId="0" borderId="32" xfId="0" applyFont="1" applyBorder="1"/>
    <xf numFmtId="0" fontId="22" fillId="0" borderId="11" xfId="0" applyFont="1" applyBorder="1" applyAlignment="1">
      <alignment vertical="center" wrapText="1"/>
    </xf>
    <xf numFmtId="0" fontId="4" fillId="0" borderId="33" xfId="0" applyFont="1" applyBorder="1" applyAlignment="1">
      <alignment vertical="center" wrapText="1"/>
    </xf>
    <xf numFmtId="0" fontId="21" fillId="0" borderId="27" xfId="0" applyFont="1" applyBorder="1" applyAlignment="1">
      <alignment horizontal="left"/>
    </xf>
    <xf numFmtId="0" fontId="3" fillId="0" borderId="31" xfId="0" applyFont="1" applyBorder="1"/>
    <xf numFmtId="0" fontId="11" fillId="0" borderId="32" xfId="0" applyFont="1" applyBorder="1" applyAlignment="1">
      <alignment horizontal="left"/>
    </xf>
    <xf numFmtId="0" fontId="11" fillId="0" borderId="5" xfId="0" applyFont="1" applyBorder="1" applyAlignment="1">
      <alignment horizontal="left" vertical="center" wrapText="1"/>
    </xf>
    <xf numFmtId="0" fontId="0" fillId="0" borderId="0" xfId="0" applyFont="1" applyAlignment="1"/>
    <xf numFmtId="0" fontId="11" fillId="0" borderId="55" xfId="0" applyFont="1" applyBorder="1" applyAlignment="1">
      <alignment horizontal="center" vertical="center"/>
    </xf>
    <xf numFmtId="0" fontId="3" fillId="0" borderId="56" xfId="0" applyFont="1" applyBorder="1"/>
    <xf numFmtId="0" fontId="11" fillId="0" borderId="27" xfId="0" applyFont="1" applyBorder="1" applyAlignment="1">
      <alignment horizontal="left" vertical="center" wrapText="1"/>
    </xf>
    <xf numFmtId="0" fontId="11" fillId="0" borderId="30" xfId="0" applyFont="1" applyBorder="1" applyAlignment="1">
      <alignment wrapText="1"/>
    </xf>
    <xf numFmtId="0" fontId="3" fillId="0" borderId="28" xfId="0" applyFont="1" applyBorder="1" applyAlignment="1">
      <alignment wrapText="1"/>
    </xf>
    <xf numFmtId="0" fontId="3" fillId="0" borderId="31" xfId="0" applyFont="1" applyBorder="1" applyAlignment="1">
      <alignment wrapText="1"/>
    </xf>
    <xf numFmtId="0" fontId="11" fillId="2" borderId="27" xfId="0" applyFont="1" applyFill="1" applyBorder="1" applyAlignment="1">
      <alignment horizontal="left" vertical="center"/>
    </xf>
    <xf numFmtId="0" fontId="24" fillId="2" borderId="30" xfId="0" applyFont="1" applyFill="1" applyBorder="1"/>
    <xf numFmtId="0" fontId="29" fillId="0" borderId="28" xfId="0" applyFont="1" applyBorder="1"/>
    <xf numFmtId="0" fontId="29" fillId="0" borderId="31" xfId="0" applyFont="1" applyBorder="1"/>
    <xf numFmtId="0" fontId="11" fillId="0" borderId="27" xfId="0" applyFont="1" applyBorder="1" applyAlignment="1">
      <alignment horizontal="left" vertical="center"/>
    </xf>
    <xf numFmtId="0" fontId="24" fillId="0" borderId="30" xfId="0" applyFont="1" applyBorder="1"/>
    <xf numFmtId="0" fontId="11" fillId="0" borderId="11" xfId="0" applyFont="1" applyBorder="1" applyAlignment="1">
      <alignment horizontal="center"/>
    </xf>
    <xf numFmtId="0" fontId="12" fillId="0" borderId="13" xfId="0" applyFont="1" applyBorder="1" applyAlignment="1">
      <alignment horizontal="center"/>
    </xf>
    <xf numFmtId="0" fontId="12" fillId="0" borderId="24" xfId="0" applyFont="1" applyBorder="1" applyAlignment="1">
      <alignment horizontal="center" vertical="center" wrapText="1"/>
    </xf>
    <xf numFmtId="0" fontId="3" fillId="0" borderId="25" xfId="0" applyFont="1" applyBorder="1"/>
    <xf numFmtId="0" fontId="3" fillId="0" borderId="26" xfId="0" applyFont="1" applyBorder="1"/>
    <xf numFmtId="0" fontId="11" fillId="0" borderId="27" xfId="0" applyFont="1" applyBorder="1"/>
    <xf numFmtId="0" fontId="11" fillId="0" borderId="30" xfId="0" applyFont="1" applyBorder="1"/>
    <xf numFmtId="0" fontId="36" fillId="0" borderId="69" xfId="3" applyFont="1" applyBorder="1" applyAlignment="1">
      <alignment horizontal="center" wrapText="1"/>
    </xf>
    <xf numFmtId="0" fontId="36" fillId="0" borderId="0" xfId="3" applyFont="1" applyBorder="1" applyAlignment="1">
      <alignment horizontal="center" wrapText="1"/>
    </xf>
    <xf numFmtId="0" fontId="36" fillId="0" borderId="70" xfId="3" applyFont="1" applyBorder="1" applyAlignment="1">
      <alignment horizontal="center" wrapText="1"/>
    </xf>
    <xf numFmtId="0" fontId="38" fillId="0" borderId="0" xfId="3" applyFont="1" applyFill="1" applyBorder="1" applyAlignment="1">
      <alignment horizontal="left" wrapText="1" indent="1"/>
    </xf>
    <xf numFmtId="0" fontId="38" fillId="0" borderId="0" xfId="3" applyFont="1" applyFill="1" applyAlignment="1">
      <alignment horizontal="left" wrapText="1" indent="1"/>
    </xf>
    <xf numFmtId="0" fontId="40" fillId="0" borderId="0" xfId="3" applyFont="1" applyFill="1" applyAlignment="1">
      <alignment horizontal="left" wrapText="1"/>
    </xf>
  </cellXfs>
  <cellStyles count="5">
    <cellStyle name="Millares" xfId="1" builtinId="3"/>
    <cellStyle name="Moneda" xfId="2" builtinId="4"/>
    <cellStyle name="Moneda 2" xfId="4"/>
    <cellStyle name="Normal" xfId="0" builtinId="0"/>
    <cellStyle name="Normal 2" xfId="3"/>
  </cellStyles>
  <dxfs count="24">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s>
  <tableStyles count="6">
    <tableStyle name="cuadro comparativo-style" pivot="0" count="4">
      <tableStyleElement type="headerRow" dxfId="23"/>
      <tableStyleElement type="totalRow" dxfId="22"/>
      <tableStyleElement type="firstRowStripe" dxfId="21"/>
      <tableStyleElement type="secondRowStripe" dxfId="20"/>
    </tableStyle>
    <tableStyle name="cuadro comparativo-style 2" pivot="0" count="4">
      <tableStyleElement type="headerRow" dxfId="19"/>
      <tableStyleElement type="totalRow" dxfId="18"/>
      <tableStyleElement type="firstRowStripe" dxfId="17"/>
      <tableStyleElement type="secondRowStripe" dxfId="16"/>
    </tableStyle>
    <tableStyle name="cuadro comparativo-style 3" pivot="0" count="4">
      <tableStyleElement type="headerRow" dxfId="15"/>
      <tableStyleElement type="totalRow" dxfId="14"/>
      <tableStyleElement type="firstRowStripe" dxfId="13"/>
      <tableStyleElement type="secondRowStripe" dxfId="12"/>
    </tableStyle>
    <tableStyle name="cuadro comparativo-style 4" pivot="0" count="4">
      <tableStyleElement type="headerRow" dxfId="11"/>
      <tableStyleElement type="totalRow" dxfId="10"/>
      <tableStyleElement type="firstRowStripe" dxfId="9"/>
      <tableStyleElement type="secondRowStripe" dxfId="8"/>
    </tableStyle>
    <tableStyle name="cuadro comparativo-style 5" pivot="0" count="4">
      <tableStyleElement type="headerRow" dxfId="7"/>
      <tableStyleElement type="totalRow" dxfId="6"/>
      <tableStyleElement type="firstRowStripe" dxfId="5"/>
      <tableStyleElement type="secondRowStripe" dxfId="4"/>
    </tableStyle>
    <tableStyle name="cuadro comparativo-style 6" pivot="0" count="4">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9"/>
  <sheetViews>
    <sheetView tabSelected="1" topLeftCell="A19" zoomScale="115" zoomScaleNormal="115" workbookViewId="0">
      <selection activeCell="B30" sqref="B30"/>
    </sheetView>
  </sheetViews>
  <sheetFormatPr baseColWidth="10" defaultColWidth="11" defaultRowHeight="12.75" x14ac:dyDescent="0.2"/>
  <cols>
    <col min="1" max="1" width="4.5703125" style="65" customWidth="1"/>
    <col min="2" max="2" width="12.85546875" style="65" customWidth="1"/>
    <col min="3" max="3" width="14.28515625" style="65" customWidth="1"/>
    <col min="4" max="4" width="8.42578125" style="65" customWidth="1"/>
    <col min="5" max="5" width="79" style="65" customWidth="1"/>
    <col min="6" max="6" width="11" style="65"/>
    <col min="7" max="7" width="11" style="65" customWidth="1"/>
    <col min="8" max="8" width="13.85546875" style="65" customWidth="1"/>
    <col min="9" max="9" width="18.5703125" style="65" customWidth="1"/>
    <col min="10" max="16384" width="11" style="65"/>
  </cols>
  <sheetData>
    <row r="2" spans="1:9" ht="27" x14ac:dyDescent="0.35">
      <c r="B2" s="98" t="s">
        <v>54</v>
      </c>
      <c r="C2" s="98"/>
      <c r="D2" s="98"/>
      <c r="E2" s="98"/>
      <c r="F2" s="98"/>
      <c r="G2" s="98"/>
      <c r="H2" s="98"/>
    </row>
    <row r="4" spans="1:9" ht="18" customHeight="1" x14ac:dyDescent="0.25">
      <c r="A4" s="93" t="s">
        <v>55</v>
      </c>
      <c r="B4" s="93"/>
      <c r="C4" s="170" t="s">
        <v>56</v>
      </c>
      <c r="D4" s="170"/>
      <c r="E4" s="170"/>
      <c r="F4" s="66"/>
      <c r="G4" s="67"/>
      <c r="H4" s="66"/>
    </row>
    <row r="5" spans="1:9" ht="18" customHeight="1" x14ac:dyDescent="0.25">
      <c r="A5" s="93" t="s">
        <v>57</v>
      </c>
      <c r="B5" s="93"/>
      <c r="C5" s="170" t="s">
        <v>58</v>
      </c>
      <c r="D5" s="170"/>
      <c r="E5" s="170"/>
      <c r="F5" s="66"/>
      <c r="G5" s="67"/>
      <c r="H5" s="66"/>
    </row>
    <row r="6" spans="1:9" ht="16.899999999999999" customHeight="1" x14ac:dyDescent="0.25">
      <c r="A6" s="93" t="s">
        <v>0</v>
      </c>
      <c r="B6" s="93"/>
      <c r="C6" s="171">
        <v>2022</v>
      </c>
      <c r="D6" s="172"/>
      <c r="E6" s="172"/>
      <c r="F6" s="66"/>
      <c r="G6" s="67"/>
      <c r="H6" s="66"/>
    </row>
    <row r="7" spans="1:9" ht="16.899999999999999" customHeight="1" x14ac:dyDescent="0.25">
      <c r="A7" s="93" t="s">
        <v>59</v>
      </c>
      <c r="B7" s="93"/>
      <c r="C7" s="171">
        <v>4</v>
      </c>
      <c r="D7" s="172"/>
      <c r="E7" s="172"/>
      <c r="F7" s="66"/>
      <c r="G7" s="67"/>
      <c r="H7" s="66"/>
    </row>
    <row r="8" spans="1:9" ht="13.5" thickBot="1" x14ac:dyDescent="0.25">
      <c r="B8" s="66"/>
      <c r="C8" s="67"/>
      <c r="D8" s="66"/>
      <c r="E8" s="66"/>
      <c r="F8" s="66"/>
      <c r="G8" s="67"/>
      <c r="H8" s="66"/>
    </row>
    <row r="9" spans="1:9" ht="38.25" x14ac:dyDescent="0.2">
      <c r="A9" s="88" t="s">
        <v>1</v>
      </c>
      <c r="B9" s="89" t="s">
        <v>2</v>
      </c>
      <c r="C9" s="88" t="s">
        <v>60</v>
      </c>
      <c r="D9" s="90" t="s">
        <v>61</v>
      </c>
      <c r="E9" s="90" t="s">
        <v>3</v>
      </c>
      <c r="F9" s="90" t="s">
        <v>4</v>
      </c>
      <c r="G9" s="90" t="s">
        <v>5</v>
      </c>
      <c r="H9" s="90" t="s">
        <v>6</v>
      </c>
      <c r="I9" s="91" t="s">
        <v>62</v>
      </c>
    </row>
    <row r="10" spans="1:9" ht="44.45" customHeight="1" x14ac:dyDescent="0.2">
      <c r="A10" s="68">
        <v>1</v>
      </c>
      <c r="B10" s="92" t="s">
        <v>47</v>
      </c>
      <c r="C10" s="69" t="s">
        <v>68</v>
      </c>
      <c r="D10" s="70" t="str">
        <f>LEFT(B10,5)</f>
        <v>4.3.2</v>
      </c>
      <c r="E10" s="69" t="s">
        <v>48</v>
      </c>
      <c r="F10" s="71" t="s">
        <v>7</v>
      </c>
      <c r="G10" s="71">
        <v>5</v>
      </c>
      <c r="H10" s="72">
        <v>21352000</v>
      </c>
      <c r="I10" s="73">
        <f>H10*G10</f>
        <v>106760000</v>
      </c>
    </row>
    <row r="11" spans="1:9" x14ac:dyDescent="0.2">
      <c r="I11" s="74"/>
    </row>
    <row r="13" spans="1:9" x14ac:dyDescent="0.2">
      <c r="B13" s="75" t="s">
        <v>63</v>
      </c>
      <c r="C13" s="76"/>
      <c r="D13" s="76"/>
      <c r="E13" s="77"/>
    </row>
    <row r="14" spans="1:9" ht="5.25" customHeight="1" x14ac:dyDescent="0.2">
      <c r="B14" s="78"/>
      <c r="C14" s="79"/>
      <c r="D14" s="79"/>
      <c r="E14" s="80"/>
    </row>
    <row r="15" spans="1:9" x14ac:dyDescent="0.2">
      <c r="B15" s="81" t="s">
        <v>64</v>
      </c>
      <c r="C15" s="79"/>
      <c r="D15" s="79"/>
      <c r="E15" s="80"/>
      <c r="H15" s="79"/>
    </row>
    <row r="16" spans="1:9" ht="50.85" customHeight="1" x14ac:dyDescent="0.2">
      <c r="B16" s="81"/>
      <c r="C16" s="94" t="s">
        <v>69</v>
      </c>
      <c r="D16" s="94"/>
      <c r="E16" s="94"/>
    </row>
    <row r="17" spans="2:5" x14ac:dyDescent="0.2">
      <c r="B17" s="81" t="s">
        <v>65</v>
      </c>
      <c r="C17" s="79"/>
      <c r="D17" s="79"/>
      <c r="E17" s="80"/>
    </row>
    <row r="18" spans="2:5" ht="60.75" customHeight="1" x14ac:dyDescent="0.2">
      <c r="B18" s="82"/>
      <c r="C18" s="95" t="s">
        <v>71</v>
      </c>
      <c r="D18" s="95"/>
      <c r="E18" s="95"/>
    </row>
    <row r="19" spans="2:5" x14ac:dyDescent="0.2">
      <c r="B19" s="82"/>
      <c r="C19" s="96"/>
      <c r="D19" s="96"/>
      <c r="E19" s="96"/>
    </row>
    <row r="20" spans="2:5" x14ac:dyDescent="0.2">
      <c r="B20" s="81" t="s">
        <v>66</v>
      </c>
      <c r="C20" s="79"/>
      <c r="D20" s="79"/>
      <c r="E20" s="80"/>
    </row>
    <row r="21" spans="2:5" ht="26.25" customHeight="1" x14ac:dyDescent="0.2">
      <c r="B21" s="82"/>
      <c r="C21" s="97" t="s">
        <v>69</v>
      </c>
      <c r="D21" s="97"/>
      <c r="E21" s="97"/>
    </row>
    <row r="22" spans="2:5" x14ac:dyDescent="0.2">
      <c r="B22" s="81" t="s">
        <v>73</v>
      </c>
      <c r="C22" s="83"/>
      <c r="D22" s="83"/>
      <c r="E22" s="84"/>
    </row>
    <row r="23" spans="2:5" ht="26.25" customHeight="1" x14ac:dyDescent="0.2">
      <c r="B23" s="82"/>
      <c r="C23" s="97" t="s">
        <v>72</v>
      </c>
      <c r="D23" s="97"/>
      <c r="E23" s="97"/>
    </row>
    <row r="24" spans="2:5" x14ac:dyDescent="0.2">
      <c r="B24" s="81" t="s">
        <v>67</v>
      </c>
      <c r="C24" s="79"/>
      <c r="D24" s="79"/>
      <c r="E24" s="80"/>
    </row>
    <row r="25" spans="2:5" ht="38.25" customHeight="1" x14ac:dyDescent="0.2">
      <c r="B25" s="81"/>
      <c r="C25" s="97" t="s">
        <v>70</v>
      </c>
      <c r="D25" s="97"/>
      <c r="E25" s="97"/>
    </row>
    <row r="26" spans="2:5" x14ac:dyDescent="0.2">
      <c r="B26" s="82"/>
      <c r="C26" s="79"/>
      <c r="D26" s="79"/>
      <c r="E26" s="80"/>
    </row>
    <row r="27" spans="2:5" ht="30.75" customHeight="1" x14ac:dyDescent="0.2">
      <c r="B27" s="167" t="s">
        <v>74</v>
      </c>
      <c r="C27" s="168"/>
      <c r="D27" s="168"/>
      <c r="E27" s="169"/>
    </row>
    <row r="28" spans="2:5" ht="26.25" customHeight="1" x14ac:dyDescent="0.2">
      <c r="B28" s="167" t="s">
        <v>75</v>
      </c>
      <c r="C28" s="168"/>
      <c r="D28" s="168"/>
      <c r="E28" s="169"/>
    </row>
    <row r="29" spans="2:5" ht="13.5" thickBot="1" x14ac:dyDescent="0.25">
      <c r="B29" s="85"/>
      <c r="C29" s="86"/>
      <c r="D29" s="86"/>
      <c r="E29" s="87"/>
    </row>
  </sheetData>
  <mergeCells count="15">
    <mergeCell ref="A6:B6"/>
    <mergeCell ref="B27:E27"/>
    <mergeCell ref="B28:E28"/>
    <mergeCell ref="B2:H2"/>
    <mergeCell ref="A4:B4"/>
    <mergeCell ref="C4:E4"/>
    <mergeCell ref="A5:B5"/>
    <mergeCell ref="C5:E5"/>
    <mergeCell ref="C25:E25"/>
    <mergeCell ref="A7:B7"/>
    <mergeCell ref="C16:E16"/>
    <mergeCell ref="C18:E18"/>
    <mergeCell ref="C19:E19"/>
    <mergeCell ref="C21:E21"/>
    <mergeCell ref="C23:E23"/>
  </mergeCells>
  <pageMargins left="0.70866141732283472" right="0.70866141732283472" top="0.74803149606299213" bottom="0.74803149606299213" header="0.51181102362204722" footer="0.51181102362204722"/>
  <pageSetup paperSize="5" scale="80"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8"/>
  <sheetViews>
    <sheetView workbookViewId="0">
      <selection activeCell="A12" sqref="A12:F12"/>
    </sheetView>
  </sheetViews>
  <sheetFormatPr baseColWidth="10" defaultColWidth="12.5703125" defaultRowHeight="15" customHeight="1" x14ac:dyDescent="0.2"/>
  <cols>
    <col min="1" max="1" width="4.5703125" customWidth="1"/>
    <col min="2" max="2" width="26.5703125" customWidth="1"/>
    <col min="3" max="3" width="53" customWidth="1"/>
    <col min="4" max="4" width="9.42578125" customWidth="1"/>
    <col min="5" max="5" width="11.28515625" customWidth="1"/>
    <col min="6" max="6" width="12.5703125" customWidth="1"/>
    <col min="7" max="7" width="24.7109375" customWidth="1"/>
    <col min="8" max="9" width="13.140625" customWidth="1"/>
    <col min="10" max="10" width="13.85546875" customWidth="1"/>
    <col min="11" max="11" width="14.5703125" customWidth="1"/>
    <col min="12" max="12" width="12.85546875" customWidth="1"/>
    <col min="13" max="26" width="11.42578125" customWidth="1"/>
  </cols>
  <sheetData>
    <row r="1" spans="1:26" ht="12.75" customHeight="1" x14ac:dyDescent="0.2">
      <c r="A1" s="105" t="s">
        <v>8</v>
      </c>
      <c r="B1" s="100"/>
      <c r="C1" s="100"/>
      <c r="D1" s="100"/>
      <c r="E1" s="100"/>
      <c r="F1" s="101"/>
      <c r="G1" s="1" t="s">
        <v>9</v>
      </c>
      <c r="H1" s="2"/>
      <c r="I1" s="2"/>
      <c r="J1" s="2"/>
      <c r="K1" s="2"/>
      <c r="L1" s="2"/>
      <c r="M1" s="2"/>
      <c r="N1" s="2"/>
      <c r="O1" s="2"/>
      <c r="P1" s="2"/>
      <c r="Q1" s="2"/>
      <c r="R1" s="2"/>
      <c r="S1" s="2"/>
      <c r="T1" s="2"/>
      <c r="U1" s="2"/>
      <c r="V1" s="2"/>
      <c r="W1" s="2"/>
      <c r="X1" s="2"/>
      <c r="Y1" s="2"/>
      <c r="Z1" s="2"/>
    </row>
    <row r="2" spans="1:26" ht="12.75" customHeight="1" x14ac:dyDescent="0.2">
      <c r="A2" s="3"/>
      <c r="B2" s="4"/>
      <c r="C2" s="4"/>
      <c r="D2" s="4"/>
      <c r="E2" s="4"/>
      <c r="F2" s="4"/>
      <c r="G2" s="5"/>
      <c r="H2" s="2"/>
      <c r="I2" s="2"/>
      <c r="J2" s="2"/>
      <c r="K2" s="2"/>
      <c r="L2" s="2"/>
      <c r="M2" s="2"/>
      <c r="N2" s="2"/>
      <c r="O2" s="2"/>
      <c r="P2" s="2"/>
      <c r="Q2" s="2"/>
      <c r="R2" s="2"/>
      <c r="S2" s="2"/>
      <c r="T2" s="2"/>
      <c r="U2" s="2"/>
      <c r="V2" s="2"/>
      <c r="W2" s="2"/>
      <c r="X2" s="2"/>
      <c r="Y2" s="2"/>
      <c r="Z2" s="2"/>
    </row>
    <row r="3" spans="1:26" ht="12.75" customHeight="1" x14ac:dyDescent="0.2">
      <c r="A3" s="106" t="s">
        <v>10</v>
      </c>
      <c r="B3" s="107"/>
      <c r="C3" s="108" t="s">
        <v>50</v>
      </c>
      <c r="D3" s="109"/>
      <c r="E3" s="109"/>
      <c r="F3" s="109"/>
      <c r="G3" s="107"/>
      <c r="H3" s="2"/>
      <c r="I3" s="2"/>
      <c r="J3" s="2"/>
      <c r="K3" s="2"/>
      <c r="L3" s="2"/>
      <c r="M3" s="2"/>
      <c r="N3" s="2"/>
      <c r="O3" s="2"/>
      <c r="P3" s="2"/>
      <c r="Q3" s="2"/>
      <c r="R3" s="2"/>
      <c r="S3" s="2"/>
      <c r="T3" s="2"/>
      <c r="U3" s="2"/>
      <c r="V3" s="2"/>
      <c r="W3" s="2"/>
      <c r="X3" s="2"/>
      <c r="Y3" s="2"/>
      <c r="Z3" s="2"/>
    </row>
    <row r="4" spans="1:26" ht="12.75" customHeight="1" x14ac:dyDescent="0.2">
      <c r="A4" s="106" t="s">
        <v>11</v>
      </c>
      <c r="B4" s="107"/>
      <c r="C4" s="110" t="s">
        <v>49</v>
      </c>
      <c r="D4" s="109"/>
      <c r="E4" s="109"/>
      <c r="F4" s="109"/>
      <c r="G4" s="107"/>
      <c r="H4" s="2"/>
      <c r="I4" s="2"/>
      <c r="J4" s="2"/>
      <c r="K4" s="2"/>
      <c r="L4" s="2"/>
      <c r="M4" s="2"/>
      <c r="N4" s="2"/>
      <c r="O4" s="2"/>
      <c r="P4" s="2"/>
      <c r="Q4" s="2"/>
      <c r="R4" s="2"/>
      <c r="S4" s="2"/>
      <c r="T4" s="2"/>
      <c r="U4" s="2"/>
      <c r="V4" s="2"/>
      <c r="W4" s="2"/>
      <c r="X4" s="2"/>
      <c r="Y4" s="2"/>
      <c r="Z4" s="2"/>
    </row>
    <row r="5" spans="1:26" ht="12.75" customHeight="1" x14ac:dyDescent="0.2">
      <c r="A5" s="106" t="s">
        <v>12</v>
      </c>
      <c r="B5" s="107"/>
      <c r="C5" s="111" t="s">
        <v>44</v>
      </c>
      <c r="D5" s="109"/>
      <c r="E5" s="109"/>
      <c r="F5" s="109"/>
      <c r="G5" s="107"/>
      <c r="H5" s="2"/>
      <c r="I5" s="2"/>
      <c r="J5" s="2"/>
      <c r="K5" s="2"/>
      <c r="L5" s="2"/>
      <c r="M5" s="2"/>
      <c r="N5" s="2"/>
      <c r="O5" s="2"/>
      <c r="P5" s="2"/>
      <c r="Q5" s="2"/>
      <c r="R5" s="2"/>
      <c r="S5" s="2"/>
      <c r="T5" s="2"/>
      <c r="U5" s="2"/>
      <c r="V5" s="2"/>
      <c r="W5" s="2"/>
      <c r="X5" s="2"/>
      <c r="Y5" s="2"/>
      <c r="Z5" s="2"/>
    </row>
    <row r="6" spans="1:26" ht="12.75" customHeight="1" x14ac:dyDescent="0.2">
      <c r="A6" s="106" t="s">
        <v>14</v>
      </c>
      <c r="B6" s="107"/>
      <c r="C6" s="112" t="s">
        <v>13</v>
      </c>
      <c r="D6" s="109"/>
      <c r="E6" s="109"/>
      <c r="F6" s="109"/>
      <c r="G6" s="107"/>
      <c r="H6" s="2"/>
      <c r="I6" s="2"/>
      <c r="J6" s="2"/>
      <c r="K6" s="2"/>
      <c r="L6" s="2"/>
      <c r="M6" s="2"/>
      <c r="N6" s="2"/>
      <c r="O6" s="2"/>
      <c r="P6" s="2"/>
      <c r="Q6" s="2"/>
      <c r="R6" s="2"/>
      <c r="S6" s="2"/>
      <c r="T6" s="2"/>
      <c r="U6" s="2"/>
      <c r="V6" s="2"/>
      <c r="W6" s="2"/>
      <c r="X6" s="2"/>
      <c r="Y6" s="2"/>
      <c r="Z6" s="2"/>
    </row>
    <row r="7" spans="1:26" ht="12.75" customHeight="1" x14ac:dyDescent="0.2">
      <c r="A7" s="106" t="s">
        <v>15</v>
      </c>
      <c r="B7" s="107"/>
      <c r="C7" s="113" t="s">
        <v>45</v>
      </c>
      <c r="D7" s="109"/>
      <c r="E7" s="109"/>
      <c r="F7" s="109"/>
      <c r="G7" s="107"/>
      <c r="H7" s="2"/>
      <c r="I7" s="2"/>
      <c r="J7" s="2"/>
      <c r="K7" s="2"/>
      <c r="L7" s="2"/>
      <c r="M7" s="2"/>
      <c r="N7" s="2"/>
      <c r="O7" s="2"/>
      <c r="P7" s="2"/>
      <c r="Q7" s="2"/>
      <c r="R7" s="2"/>
      <c r="S7" s="2"/>
      <c r="T7" s="2"/>
      <c r="U7" s="2"/>
      <c r="V7" s="2"/>
      <c r="W7" s="2"/>
      <c r="X7" s="2"/>
      <c r="Y7" s="2"/>
      <c r="Z7" s="2"/>
    </row>
    <row r="8" spans="1:26" ht="30.75" customHeight="1" x14ac:dyDescent="0.2">
      <c r="A8" s="106" t="s">
        <v>16</v>
      </c>
      <c r="B8" s="107"/>
      <c r="C8" s="113" t="s">
        <v>41</v>
      </c>
      <c r="D8" s="114"/>
      <c r="E8" s="114"/>
      <c r="F8" s="114"/>
      <c r="G8" s="115"/>
      <c r="H8" s="2"/>
      <c r="I8" s="2"/>
      <c r="J8" s="2"/>
      <c r="K8" s="2"/>
      <c r="L8" s="2"/>
      <c r="M8" s="2"/>
      <c r="N8" s="2"/>
      <c r="O8" s="2"/>
      <c r="P8" s="2"/>
      <c r="Q8" s="2"/>
      <c r="R8" s="2"/>
      <c r="S8" s="2"/>
      <c r="T8" s="2"/>
      <c r="U8" s="2"/>
      <c r="V8" s="2"/>
      <c r="W8" s="2"/>
      <c r="X8" s="2"/>
      <c r="Y8" s="2"/>
      <c r="Z8" s="2"/>
    </row>
    <row r="9" spans="1:26" ht="12.75" customHeight="1" x14ac:dyDescent="0.2">
      <c r="A9" s="99"/>
      <c r="B9" s="100"/>
      <c r="C9" s="100"/>
      <c r="D9" s="100"/>
      <c r="E9" s="100"/>
      <c r="F9" s="100"/>
      <c r="G9" s="101"/>
      <c r="H9" s="2"/>
      <c r="I9" s="2"/>
      <c r="J9" s="2"/>
      <c r="K9" s="2"/>
      <c r="L9" s="2"/>
      <c r="M9" s="2"/>
      <c r="N9" s="2"/>
      <c r="O9" s="2"/>
      <c r="P9" s="2"/>
      <c r="Q9" s="2"/>
      <c r="R9" s="2"/>
      <c r="S9" s="2"/>
      <c r="T9" s="2"/>
      <c r="U9" s="2"/>
      <c r="V9" s="2"/>
      <c r="W9" s="2"/>
      <c r="X9" s="2"/>
      <c r="Y9" s="2"/>
      <c r="Z9" s="2"/>
    </row>
    <row r="10" spans="1:26" ht="45" customHeight="1" thickBot="1" x14ac:dyDescent="0.25">
      <c r="A10" s="6" t="s">
        <v>1</v>
      </c>
      <c r="B10" s="7" t="s">
        <v>2</v>
      </c>
      <c r="C10" s="7" t="s">
        <v>3</v>
      </c>
      <c r="D10" s="8" t="s">
        <v>17</v>
      </c>
      <c r="E10" s="7" t="s">
        <v>4</v>
      </c>
      <c r="F10" s="7" t="s">
        <v>6</v>
      </c>
      <c r="G10" s="9" t="s">
        <v>5</v>
      </c>
      <c r="H10" s="2"/>
      <c r="I10" s="2"/>
      <c r="J10" s="2"/>
      <c r="K10" s="2"/>
      <c r="L10" s="2"/>
      <c r="M10" s="2"/>
      <c r="N10" s="2"/>
      <c r="O10" s="2"/>
      <c r="P10" s="2"/>
      <c r="Q10" s="2"/>
      <c r="R10" s="2"/>
      <c r="S10" s="2"/>
      <c r="T10" s="2"/>
      <c r="U10" s="2"/>
      <c r="V10" s="2"/>
      <c r="W10" s="2"/>
      <c r="X10" s="2"/>
      <c r="Y10" s="2"/>
      <c r="Z10" s="2"/>
    </row>
    <row r="11" spans="1:26" s="57" customFormat="1" ht="66.75" customHeight="1" x14ac:dyDescent="0.25">
      <c r="A11" s="16">
        <v>1</v>
      </c>
      <c r="B11" s="58" t="s">
        <v>47</v>
      </c>
      <c r="C11" s="59" t="s">
        <v>48</v>
      </c>
      <c r="D11" s="10" t="s">
        <v>18</v>
      </c>
      <c r="E11" s="11" t="s">
        <v>7</v>
      </c>
      <c r="F11" s="54">
        <f>136000*157</f>
        <v>21352000</v>
      </c>
      <c r="G11" s="12">
        <v>5</v>
      </c>
      <c r="H11" s="13">
        <f t="shared" ref="H11" si="0">F11*G11</f>
        <v>106760000</v>
      </c>
      <c r="I11" s="2"/>
      <c r="J11" s="2"/>
      <c r="K11" s="2"/>
      <c r="L11" s="2"/>
      <c r="M11" s="2"/>
      <c r="N11" s="2"/>
      <c r="O11" s="2"/>
      <c r="P11" s="2"/>
      <c r="Q11" s="2"/>
      <c r="R11" s="2"/>
      <c r="S11" s="2"/>
      <c r="T11" s="2"/>
      <c r="U11" s="2"/>
      <c r="V11" s="2"/>
      <c r="W11" s="2"/>
      <c r="X11" s="2"/>
      <c r="Y11" s="2"/>
      <c r="Z11" s="2"/>
    </row>
    <row r="12" spans="1:26" ht="12.75" customHeight="1" x14ac:dyDescent="0.25">
      <c r="A12" s="102" t="s">
        <v>51</v>
      </c>
      <c r="B12" s="103"/>
      <c r="C12" s="103"/>
      <c r="D12" s="103"/>
      <c r="E12" s="103"/>
      <c r="F12" s="104"/>
      <c r="G12" s="55">
        <f>+(G11*F11)</f>
        <v>106760000</v>
      </c>
      <c r="H12" s="13">
        <f t="shared" ref="H12" si="1">F12*G12</f>
        <v>0</v>
      </c>
      <c r="I12" s="14"/>
      <c r="J12" s="15"/>
      <c r="K12" s="18"/>
      <c r="L12" s="19"/>
      <c r="M12" s="14"/>
      <c r="N12" s="14"/>
      <c r="O12" s="2"/>
      <c r="P12" s="2"/>
      <c r="Q12" s="2"/>
      <c r="R12" s="2"/>
      <c r="S12" s="2"/>
      <c r="T12" s="2"/>
      <c r="U12" s="2"/>
      <c r="V12" s="2"/>
      <c r="W12" s="2"/>
      <c r="X12" s="2"/>
      <c r="Y12" s="2"/>
      <c r="Z12" s="2"/>
    </row>
    <row r="13" spans="1:26" ht="12.75" customHeight="1" x14ac:dyDescent="0.2">
      <c r="A13" s="2"/>
      <c r="B13" s="2"/>
      <c r="C13" s="2"/>
      <c r="D13" s="2"/>
      <c r="E13" s="2"/>
      <c r="F13" s="2"/>
      <c r="G13" s="2"/>
      <c r="H13" s="14"/>
      <c r="I13" s="14"/>
      <c r="J13" s="14"/>
      <c r="K13" s="14"/>
      <c r="L13" s="14"/>
      <c r="M13" s="14"/>
      <c r="N13" s="14"/>
      <c r="O13" s="2"/>
      <c r="P13" s="2"/>
      <c r="Q13" s="2"/>
      <c r="R13" s="2"/>
      <c r="S13" s="2"/>
      <c r="T13" s="2"/>
      <c r="U13" s="2"/>
      <c r="V13" s="2"/>
      <c r="W13" s="2"/>
      <c r="X13" s="2"/>
      <c r="Y13" s="2"/>
      <c r="Z13" s="2"/>
    </row>
    <row r="14" spans="1:26" ht="12.75" customHeight="1" x14ac:dyDescent="0.2">
      <c r="A14" s="2"/>
      <c r="B14" s="2"/>
      <c r="C14" s="2"/>
      <c r="D14" s="2"/>
      <c r="E14" s="2"/>
      <c r="F14" s="2" t="s">
        <v>52</v>
      </c>
      <c r="G14" s="64">
        <v>157</v>
      </c>
      <c r="H14" s="15" t="e">
        <f>#REF!+#REF!+#REF!</f>
        <v>#REF!</v>
      </c>
      <c r="I14" s="17" t="e">
        <f>#REF!+#REF!</f>
        <v>#REF!</v>
      </c>
      <c r="J14" s="14"/>
      <c r="K14" s="14"/>
      <c r="L14" s="15" t="e">
        <f>#REF!+#REF!</f>
        <v>#REF!</v>
      </c>
      <c r="M14" s="14"/>
      <c r="N14" s="14"/>
      <c r="O14" s="2"/>
      <c r="P14" s="2"/>
      <c r="Q14" s="2"/>
      <c r="R14" s="2"/>
      <c r="S14" s="2"/>
      <c r="T14" s="2"/>
      <c r="U14" s="2"/>
      <c r="V14" s="2"/>
      <c r="W14" s="2"/>
      <c r="X14" s="2"/>
      <c r="Y14" s="2"/>
      <c r="Z14" s="2"/>
    </row>
    <row r="15" spans="1:26" ht="12.75" customHeight="1" x14ac:dyDescent="0.2">
      <c r="A15" s="2"/>
      <c r="B15" s="2"/>
      <c r="C15" s="20"/>
      <c r="D15" s="2"/>
      <c r="E15" s="2"/>
      <c r="F15" s="2"/>
      <c r="G15" s="2"/>
      <c r="H15" s="14"/>
      <c r="I15" s="14"/>
      <c r="J15" s="14"/>
      <c r="K15" s="14"/>
      <c r="L15" s="14"/>
      <c r="M15" s="14"/>
      <c r="N15" s="14"/>
      <c r="O15" s="2"/>
      <c r="P15" s="2"/>
      <c r="Q15" s="2"/>
      <c r="R15" s="2"/>
      <c r="S15" s="2"/>
      <c r="T15" s="2"/>
      <c r="U15" s="2"/>
      <c r="V15" s="2"/>
      <c r="W15" s="2"/>
      <c r="X15" s="2"/>
      <c r="Y15" s="2"/>
      <c r="Z15" s="2"/>
    </row>
    <row r="16" spans="1:26" ht="12.75" customHeight="1" thickBot="1" x14ac:dyDescent="0.25">
      <c r="A16" s="2"/>
      <c r="B16" s="2"/>
      <c r="C16" s="20"/>
      <c r="D16" s="2"/>
      <c r="E16" s="2"/>
      <c r="F16" s="56"/>
      <c r="G16" s="2"/>
      <c r="H16" s="14"/>
      <c r="I16" s="14"/>
      <c r="J16" s="14"/>
      <c r="K16" s="14"/>
      <c r="L16" s="14"/>
      <c r="M16" s="14"/>
      <c r="N16" s="14"/>
      <c r="O16" s="2"/>
      <c r="P16" s="2"/>
      <c r="Q16" s="2"/>
      <c r="R16" s="2"/>
      <c r="S16" s="2"/>
      <c r="T16" s="2"/>
      <c r="U16" s="2"/>
      <c r="V16" s="2"/>
      <c r="W16" s="2"/>
      <c r="X16" s="2"/>
      <c r="Y16" s="2"/>
      <c r="Z16" s="2"/>
    </row>
    <row r="17" spans="1:26" ht="12.75" customHeight="1" x14ac:dyDescent="0.2">
      <c r="A17" s="2"/>
      <c r="B17" s="60"/>
      <c r="C17" s="60"/>
      <c r="D17" s="60"/>
      <c r="E17" s="60"/>
      <c r="F17" s="61"/>
      <c r="G17" s="2"/>
      <c r="H17" s="2"/>
      <c r="I17" s="2"/>
      <c r="J17" s="2"/>
      <c r="K17" s="2"/>
      <c r="L17" s="2"/>
      <c r="M17" s="2"/>
      <c r="N17" s="2"/>
      <c r="O17" s="2"/>
      <c r="P17" s="2"/>
      <c r="Q17" s="2"/>
      <c r="R17" s="2"/>
      <c r="S17" s="2"/>
      <c r="T17" s="2"/>
      <c r="U17" s="2"/>
      <c r="V17" s="2"/>
      <c r="W17" s="2"/>
      <c r="X17" s="2"/>
      <c r="Y17" s="2"/>
      <c r="Z17" s="2"/>
    </row>
    <row r="18" spans="1:26" ht="12.75" customHeight="1" x14ac:dyDescent="0.2">
      <c r="A18" s="2"/>
      <c r="B18" s="61"/>
      <c r="C18" s="62"/>
      <c r="D18" s="61"/>
      <c r="E18" s="61"/>
      <c r="F18" s="61"/>
      <c r="G18" s="2"/>
      <c r="H18" s="2"/>
      <c r="I18" s="2"/>
      <c r="J18" s="2"/>
      <c r="K18" s="2"/>
      <c r="L18" s="2"/>
      <c r="M18" s="2"/>
      <c r="N18" s="2"/>
      <c r="O18" s="2"/>
      <c r="P18" s="2"/>
      <c r="Q18" s="2"/>
      <c r="R18" s="2"/>
      <c r="S18" s="2"/>
      <c r="T18" s="2"/>
      <c r="U18" s="2"/>
      <c r="V18" s="2"/>
      <c r="W18" s="2"/>
      <c r="X18" s="2"/>
      <c r="Y18" s="2"/>
      <c r="Z18" s="2"/>
    </row>
    <row r="19" spans="1:26" ht="12.75" customHeight="1" x14ac:dyDescent="0.2">
      <c r="A19" s="2"/>
      <c r="B19" s="61"/>
      <c r="C19" s="62"/>
      <c r="D19" s="61"/>
      <c r="E19" s="61"/>
      <c r="F19" s="61"/>
      <c r="G19" s="2"/>
      <c r="H19" s="2"/>
      <c r="I19" s="2"/>
      <c r="J19" s="2"/>
      <c r="K19" s="2"/>
      <c r="L19" s="2"/>
      <c r="M19" s="2"/>
      <c r="N19" s="2"/>
      <c r="O19" s="2"/>
      <c r="P19" s="2"/>
      <c r="Q19" s="2"/>
      <c r="R19" s="2"/>
      <c r="S19" s="2"/>
      <c r="T19" s="2"/>
      <c r="U19" s="2"/>
      <c r="V19" s="2"/>
      <c r="W19" s="2"/>
      <c r="X19" s="2"/>
      <c r="Y19" s="2"/>
      <c r="Z19" s="2"/>
    </row>
    <row r="20" spans="1:26" ht="12.75" customHeight="1" x14ac:dyDescent="0.2">
      <c r="A20" s="2"/>
      <c r="B20" s="61"/>
      <c r="C20" s="63"/>
      <c r="D20" s="61"/>
      <c r="E20" s="61"/>
      <c r="F20" s="61"/>
      <c r="G20" s="2"/>
      <c r="H20" s="2"/>
      <c r="I20" s="2"/>
      <c r="J20" s="2"/>
      <c r="K20" s="2"/>
      <c r="L20" s="2"/>
      <c r="M20" s="2"/>
      <c r="N20" s="2"/>
      <c r="O20" s="2"/>
      <c r="P20" s="2"/>
      <c r="Q20" s="2"/>
      <c r="R20" s="2"/>
      <c r="S20" s="2"/>
      <c r="T20" s="2"/>
      <c r="U20" s="2"/>
      <c r="V20" s="2"/>
      <c r="W20" s="2"/>
      <c r="X20" s="2"/>
      <c r="Y20" s="2"/>
      <c r="Z20" s="2"/>
    </row>
    <row r="21" spans="1:26" ht="12.75" customHeight="1" x14ac:dyDescent="0.2">
      <c r="A21" s="2"/>
      <c r="B21" s="61"/>
      <c r="C21" s="63"/>
      <c r="D21" s="61"/>
      <c r="E21" s="61"/>
      <c r="F21" s="61"/>
      <c r="G21" s="2"/>
      <c r="H21" s="2"/>
      <c r="I21" s="2"/>
      <c r="J21" s="2"/>
      <c r="K21" s="2"/>
      <c r="L21" s="2"/>
      <c r="M21" s="2"/>
      <c r="N21" s="2"/>
      <c r="O21" s="2"/>
      <c r="P21" s="2"/>
      <c r="Q21" s="2"/>
      <c r="R21" s="2"/>
      <c r="S21" s="2"/>
      <c r="T21" s="2"/>
      <c r="U21" s="2"/>
      <c r="V21" s="2"/>
      <c r="W21" s="2"/>
      <c r="X21" s="2"/>
      <c r="Y21" s="2"/>
      <c r="Z21" s="2"/>
    </row>
    <row r="22" spans="1:26" ht="12.75" customHeight="1" x14ac:dyDescent="0.2">
      <c r="A22" s="2"/>
      <c r="B22" s="61"/>
      <c r="C22" s="61"/>
      <c r="D22" s="61"/>
      <c r="E22" s="61"/>
      <c r="F22" s="61"/>
      <c r="G22" s="2"/>
      <c r="H22" s="2"/>
      <c r="I22" s="2"/>
      <c r="J22" s="2"/>
      <c r="K22" s="2"/>
      <c r="L22" s="2"/>
      <c r="M22" s="2"/>
      <c r="N22" s="2"/>
      <c r="O22" s="2"/>
      <c r="P22" s="2"/>
      <c r="Q22" s="2"/>
      <c r="R22" s="2"/>
      <c r="S22" s="2"/>
      <c r="T22" s="2"/>
      <c r="U22" s="2"/>
      <c r="V22" s="2"/>
      <c r="W22" s="2"/>
      <c r="X22" s="2"/>
      <c r="Y22" s="2"/>
      <c r="Z22" s="2"/>
    </row>
    <row r="23" spans="1:26" ht="12.75" customHeight="1" x14ac:dyDescent="0.2">
      <c r="A23" s="2"/>
      <c r="B23" s="61"/>
      <c r="C23" s="61"/>
      <c r="D23" s="61"/>
      <c r="E23" s="61"/>
      <c r="F23" s="61"/>
      <c r="G23" s="2"/>
      <c r="H23" s="2"/>
      <c r="I23" s="2"/>
      <c r="J23" s="2"/>
      <c r="K23" s="2"/>
      <c r="L23" s="2"/>
      <c r="M23" s="2"/>
      <c r="N23" s="2"/>
      <c r="O23" s="2"/>
      <c r="P23" s="2"/>
      <c r="Q23" s="2"/>
      <c r="R23" s="2"/>
      <c r="S23" s="2"/>
      <c r="T23" s="2"/>
      <c r="U23" s="2"/>
      <c r="V23" s="2"/>
      <c r="W23" s="2"/>
      <c r="X23" s="2"/>
      <c r="Y23" s="2"/>
      <c r="Z23" s="2"/>
    </row>
    <row r="24" spans="1:26" ht="12.75" customHeight="1" x14ac:dyDescent="0.2">
      <c r="A24" s="2"/>
      <c r="B24" s="61"/>
      <c r="C24" s="61"/>
      <c r="D24" s="61"/>
      <c r="E24" s="61"/>
      <c r="F24" s="61"/>
      <c r="G24" s="2"/>
      <c r="H24" s="2"/>
      <c r="I24" s="2"/>
      <c r="J24" s="2"/>
      <c r="K24" s="2"/>
      <c r="L24" s="2"/>
      <c r="M24" s="2"/>
      <c r="N24" s="2"/>
      <c r="O24" s="2"/>
      <c r="P24" s="2"/>
      <c r="Q24" s="2"/>
      <c r="R24" s="2"/>
      <c r="S24" s="2"/>
      <c r="T24" s="2"/>
      <c r="U24" s="2"/>
      <c r="V24" s="2"/>
      <c r="W24" s="2"/>
      <c r="X24" s="2"/>
      <c r="Y24" s="2"/>
      <c r="Z24" s="2"/>
    </row>
    <row r="25" spans="1:26" ht="12.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sheetData>
  <mergeCells count="15">
    <mergeCell ref="A9:G9"/>
    <mergeCell ref="A12:F12"/>
    <mergeCell ref="A1:F1"/>
    <mergeCell ref="A3:B3"/>
    <mergeCell ref="C3:G3"/>
    <mergeCell ref="A4:B4"/>
    <mergeCell ref="C4:G4"/>
    <mergeCell ref="A5:B5"/>
    <mergeCell ref="C5:G5"/>
    <mergeCell ref="A6:B6"/>
    <mergeCell ref="C6:G6"/>
    <mergeCell ref="A7:B7"/>
    <mergeCell ref="C7:G7"/>
    <mergeCell ref="A8:B8"/>
    <mergeCell ref="C8:G8"/>
  </mergeCells>
  <pageMargins left="0.7" right="0.7" top="0.75" bottom="0.75" header="0" footer="0"/>
  <pageSetup paperSize="9" scale="9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opLeftCell="A4" workbookViewId="0">
      <selection activeCell="W20" sqref="W20"/>
    </sheetView>
  </sheetViews>
  <sheetFormatPr baseColWidth="10" defaultColWidth="12.5703125" defaultRowHeight="15" customHeight="1" x14ac:dyDescent="0.2"/>
  <cols>
    <col min="1" max="1" width="3.140625" customWidth="1"/>
    <col min="2" max="2" width="3.42578125" customWidth="1"/>
    <col min="3" max="4" width="3.5703125" customWidth="1"/>
    <col min="5" max="5" width="3.42578125" customWidth="1"/>
    <col min="6" max="6" width="14.710937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 min="18" max="26" width="11.42578125" customWidth="1"/>
  </cols>
  <sheetData>
    <row r="1" spans="1:26" ht="12.75" customHeight="1" x14ac:dyDescent="0.25">
      <c r="A1" s="160" t="s">
        <v>0</v>
      </c>
      <c r="B1" s="109"/>
      <c r="C1" s="109"/>
      <c r="D1" s="161">
        <v>2022</v>
      </c>
      <c r="E1" s="107"/>
      <c r="F1" s="22"/>
      <c r="G1" s="22"/>
      <c r="H1" s="23"/>
      <c r="I1" s="23"/>
      <c r="J1" s="23"/>
      <c r="K1" s="23"/>
      <c r="L1" s="23"/>
      <c r="M1" s="23"/>
      <c r="N1" s="23"/>
      <c r="O1" s="24"/>
      <c r="P1" s="162" t="s">
        <v>19</v>
      </c>
      <c r="Q1" s="101"/>
      <c r="R1" s="2"/>
      <c r="S1" s="2"/>
      <c r="T1" s="2"/>
      <c r="U1" s="2"/>
      <c r="V1" s="2"/>
      <c r="W1" s="2"/>
      <c r="X1" s="2"/>
      <c r="Y1" s="2"/>
      <c r="Z1" s="2"/>
    </row>
    <row r="2" spans="1:26" ht="13.9" customHeight="1" x14ac:dyDescent="0.25">
      <c r="A2" s="25"/>
      <c r="B2" s="26"/>
      <c r="C2" s="26"/>
      <c r="D2" s="26"/>
      <c r="E2" s="26"/>
      <c r="F2" s="26"/>
      <c r="G2" s="27"/>
      <c r="H2" s="28"/>
      <c r="I2" s="28"/>
      <c r="J2" s="28"/>
      <c r="K2" s="28"/>
      <c r="L2" s="28"/>
      <c r="M2" s="28"/>
      <c r="N2" s="28"/>
      <c r="O2" s="26"/>
      <c r="P2" s="163"/>
      <c r="Q2" s="164"/>
      <c r="R2" s="2"/>
      <c r="S2" s="2"/>
      <c r="T2" s="2"/>
      <c r="U2" s="2"/>
      <c r="V2" s="2"/>
      <c r="W2" s="2"/>
      <c r="X2" s="2"/>
      <c r="Y2" s="2"/>
      <c r="Z2" s="2"/>
    </row>
    <row r="3" spans="1:26" ht="12.75" customHeight="1" x14ac:dyDescent="0.25">
      <c r="A3" s="25"/>
      <c r="B3" s="26"/>
      <c r="C3" s="26"/>
      <c r="D3" s="26"/>
      <c r="E3" s="26"/>
      <c r="F3" s="26"/>
      <c r="G3" s="27"/>
      <c r="H3" s="26"/>
      <c r="I3" s="26"/>
      <c r="J3" s="26"/>
      <c r="K3" s="26"/>
      <c r="L3" s="26"/>
      <c r="M3" s="26"/>
      <c r="N3" s="26"/>
      <c r="O3" s="26"/>
      <c r="P3" s="26"/>
      <c r="Q3" s="29"/>
      <c r="R3" s="2"/>
      <c r="S3" s="2"/>
      <c r="T3" s="2"/>
      <c r="U3" s="2"/>
      <c r="V3" s="2"/>
      <c r="W3" s="2"/>
      <c r="X3" s="2"/>
      <c r="Y3" s="2"/>
      <c r="Z3" s="2"/>
    </row>
    <row r="4" spans="1:26" ht="12.75" customHeight="1" x14ac:dyDescent="0.25">
      <c r="A4" s="165" t="s">
        <v>20</v>
      </c>
      <c r="B4" s="126"/>
      <c r="C4" s="126"/>
      <c r="D4" s="126"/>
      <c r="E4" s="126"/>
      <c r="F4" s="127"/>
      <c r="G4" s="166" t="s">
        <v>50</v>
      </c>
      <c r="H4" s="126"/>
      <c r="I4" s="126"/>
      <c r="J4" s="126"/>
      <c r="K4" s="126"/>
      <c r="L4" s="126"/>
      <c r="M4" s="126"/>
      <c r="N4" s="126"/>
      <c r="O4" s="126"/>
      <c r="P4" s="126"/>
      <c r="Q4" s="144"/>
      <c r="R4" s="2"/>
      <c r="S4" s="2"/>
      <c r="T4" s="2"/>
      <c r="U4" s="2"/>
      <c r="V4" s="2"/>
      <c r="W4" s="2"/>
      <c r="X4" s="2"/>
      <c r="Y4" s="2"/>
      <c r="Z4" s="2"/>
    </row>
    <row r="5" spans="1:26" ht="30" customHeight="1" x14ac:dyDescent="0.25">
      <c r="A5" s="150" t="s">
        <v>11</v>
      </c>
      <c r="B5" s="126"/>
      <c r="C5" s="126"/>
      <c r="D5" s="126"/>
      <c r="E5" s="126"/>
      <c r="F5" s="127"/>
      <c r="G5" s="151" t="s">
        <v>49</v>
      </c>
      <c r="H5" s="152"/>
      <c r="I5" s="152"/>
      <c r="J5" s="152"/>
      <c r="K5" s="152"/>
      <c r="L5" s="152"/>
      <c r="M5" s="152"/>
      <c r="N5" s="152"/>
      <c r="O5" s="152"/>
      <c r="P5" s="152"/>
      <c r="Q5" s="153"/>
      <c r="R5" s="2"/>
      <c r="S5" s="2"/>
      <c r="T5" s="2"/>
      <c r="U5" s="2"/>
      <c r="V5" s="2"/>
      <c r="W5" s="2"/>
      <c r="X5" s="2"/>
      <c r="Y5" s="2"/>
      <c r="Z5" s="2"/>
    </row>
    <row r="6" spans="1:26" ht="18" customHeight="1" x14ac:dyDescent="0.25">
      <c r="A6" s="154" t="s">
        <v>12</v>
      </c>
      <c r="B6" s="126"/>
      <c r="C6" s="126"/>
      <c r="D6" s="126"/>
      <c r="E6" s="126"/>
      <c r="F6" s="127"/>
      <c r="G6" s="155" t="s">
        <v>44</v>
      </c>
      <c r="H6" s="156"/>
      <c r="I6" s="156"/>
      <c r="J6" s="156"/>
      <c r="K6" s="156"/>
      <c r="L6" s="156"/>
      <c r="M6" s="156"/>
      <c r="N6" s="156"/>
      <c r="O6" s="156"/>
      <c r="P6" s="156"/>
      <c r="Q6" s="157"/>
      <c r="R6" s="2"/>
      <c r="S6" s="2"/>
      <c r="T6" s="2"/>
      <c r="U6" s="2"/>
      <c r="V6" s="2"/>
      <c r="W6" s="2"/>
      <c r="X6" s="2"/>
      <c r="Y6" s="2"/>
      <c r="Z6" s="2"/>
    </row>
    <row r="7" spans="1:26" ht="12.75" customHeight="1" x14ac:dyDescent="0.25">
      <c r="A7" s="158" t="s">
        <v>14</v>
      </c>
      <c r="B7" s="126"/>
      <c r="C7" s="126"/>
      <c r="D7" s="126"/>
      <c r="E7" s="126"/>
      <c r="F7" s="127"/>
      <c r="G7" s="159" t="s">
        <v>13</v>
      </c>
      <c r="H7" s="126"/>
      <c r="I7" s="126"/>
      <c r="J7" s="126"/>
      <c r="K7" s="126"/>
      <c r="L7" s="126"/>
      <c r="M7" s="126"/>
      <c r="N7" s="126"/>
      <c r="O7" s="126"/>
      <c r="P7" s="126"/>
      <c r="Q7" s="144"/>
      <c r="R7" s="2"/>
      <c r="S7" s="2"/>
      <c r="T7" s="2"/>
      <c r="U7" s="2"/>
      <c r="V7" s="2"/>
      <c r="W7" s="2"/>
      <c r="X7" s="2"/>
      <c r="Y7" s="2"/>
      <c r="Z7" s="2"/>
    </row>
    <row r="8" spans="1:26" ht="12.75" customHeight="1" x14ac:dyDescent="0.2">
      <c r="A8" s="143" t="s">
        <v>21</v>
      </c>
      <c r="B8" s="126"/>
      <c r="C8" s="126"/>
      <c r="D8" s="126"/>
      <c r="E8" s="126"/>
      <c r="F8" s="126"/>
      <c r="G8" s="126"/>
      <c r="H8" s="126"/>
      <c r="I8" s="126"/>
      <c r="J8" s="126"/>
      <c r="K8" s="126"/>
      <c r="L8" s="126"/>
      <c r="M8" s="126"/>
      <c r="N8" s="126"/>
      <c r="O8" s="126"/>
      <c r="P8" s="126"/>
      <c r="Q8" s="144"/>
      <c r="R8" s="2"/>
      <c r="S8" s="2"/>
      <c r="T8" s="2"/>
      <c r="U8" s="2"/>
      <c r="V8" s="2"/>
      <c r="W8" s="2"/>
      <c r="X8" s="2"/>
      <c r="Y8" s="2"/>
      <c r="Z8" s="2"/>
    </row>
    <row r="9" spans="1:26" ht="17.25" customHeight="1" x14ac:dyDescent="0.25">
      <c r="A9" s="145" t="s">
        <v>22</v>
      </c>
      <c r="B9" s="123"/>
      <c r="C9" s="123"/>
      <c r="D9" s="123"/>
      <c r="E9" s="123"/>
      <c r="F9" s="123"/>
      <c r="G9" s="123"/>
      <c r="H9" s="123"/>
      <c r="I9" s="123"/>
      <c r="J9" s="123"/>
      <c r="K9" s="123"/>
      <c r="L9" s="123"/>
      <c r="M9" s="123"/>
      <c r="N9" s="123"/>
      <c r="O9" s="123"/>
      <c r="P9" s="123"/>
      <c r="Q9" s="124"/>
      <c r="R9" s="2"/>
      <c r="S9" s="2"/>
      <c r="T9" s="2"/>
      <c r="U9" s="2"/>
      <c r="V9" s="2"/>
      <c r="W9" s="2"/>
      <c r="X9" s="2"/>
      <c r="Y9" s="2"/>
      <c r="Z9" s="2"/>
    </row>
    <row r="10" spans="1:26" ht="48" customHeight="1" x14ac:dyDescent="0.2">
      <c r="A10" s="146" t="s">
        <v>46</v>
      </c>
      <c r="B10" s="147"/>
      <c r="C10" s="147"/>
      <c r="D10" s="147"/>
      <c r="E10" s="147"/>
      <c r="F10" s="147"/>
      <c r="G10" s="147"/>
      <c r="H10" s="147"/>
      <c r="I10" s="147"/>
      <c r="J10" s="147"/>
      <c r="K10" s="147"/>
      <c r="L10" s="147"/>
      <c r="M10" s="147"/>
      <c r="N10" s="147"/>
      <c r="O10" s="147"/>
      <c r="P10" s="147"/>
      <c r="Q10" s="118"/>
      <c r="R10" s="2"/>
      <c r="S10" s="2"/>
      <c r="T10" s="2"/>
      <c r="U10" s="2"/>
      <c r="V10" s="2"/>
      <c r="W10" s="2"/>
      <c r="X10" s="2"/>
      <c r="Y10" s="2"/>
      <c r="Z10" s="2"/>
    </row>
    <row r="11" spans="1:26" ht="12.75" customHeight="1" x14ac:dyDescent="0.25">
      <c r="A11" s="30"/>
      <c r="B11" s="31"/>
      <c r="C11" s="31"/>
      <c r="D11" s="31"/>
      <c r="E11" s="31"/>
      <c r="F11" s="31"/>
      <c r="G11" s="32"/>
      <c r="H11" s="31"/>
      <c r="I11" s="31"/>
      <c r="J11" s="31"/>
      <c r="K11" s="31"/>
      <c r="L11" s="31"/>
      <c r="M11" s="31"/>
      <c r="N11" s="31"/>
      <c r="O11" s="31"/>
      <c r="P11" s="31"/>
      <c r="Q11" s="33"/>
      <c r="R11" s="2"/>
      <c r="S11" s="2"/>
      <c r="T11" s="2"/>
      <c r="U11" s="2"/>
      <c r="V11" s="2"/>
      <c r="W11" s="2"/>
      <c r="X11" s="2"/>
      <c r="Y11" s="2"/>
      <c r="Z11" s="2"/>
    </row>
    <row r="12" spans="1:26" ht="12.75" customHeight="1" x14ac:dyDescent="0.2">
      <c r="A12" s="122" t="s">
        <v>23</v>
      </c>
      <c r="B12" s="123"/>
      <c r="C12" s="123"/>
      <c r="D12" s="123"/>
      <c r="E12" s="123"/>
      <c r="F12" s="123"/>
      <c r="G12" s="123"/>
      <c r="H12" s="123"/>
      <c r="I12" s="123"/>
      <c r="J12" s="123"/>
      <c r="K12" s="123"/>
      <c r="L12" s="123"/>
      <c r="M12" s="123"/>
      <c r="N12" s="123"/>
      <c r="O12" s="123"/>
      <c r="P12" s="123"/>
      <c r="Q12" s="124"/>
      <c r="R12" s="2"/>
      <c r="S12" s="2"/>
      <c r="T12" s="2"/>
      <c r="U12" s="2"/>
      <c r="V12" s="2"/>
      <c r="W12" s="2"/>
      <c r="X12" s="2"/>
      <c r="Y12" s="2"/>
      <c r="Z12" s="2"/>
    </row>
    <row r="13" spans="1:26" ht="12.75" customHeight="1" x14ac:dyDescent="0.2">
      <c r="A13" s="125" t="s">
        <v>24</v>
      </c>
      <c r="B13" s="126"/>
      <c r="C13" s="126"/>
      <c r="D13" s="126"/>
      <c r="E13" s="126"/>
      <c r="F13" s="126"/>
      <c r="G13" s="126"/>
      <c r="H13" s="126"/>
      <c r="I13" s="126"/>
      <c r="J13" s="126"/>
      <c r="K13" s="126"/>
      <c r="L13" s="126"/>
      <c r="M13" s="126"/>
      <c r="N13" s="127"/>
      <c r="O13" s="128" t="s">
        <v>25</v>
      </c>
      <c r="P13" s="129"/>
      <c r="Q13" s="132" t="s">
        <v>26</v>
      </c>
      <c r="R13" s="2"/>
      <c r="S13" s="2"/>
      <c r="T13" s="2"/>
      <c r="U13" s="2"/>
      <c r="V13" s="2"/>
      <c r="W13" s="2"/>
      <c r="X13" s="2"/>
      <c r="Y13" s="2"/>
      <c r="Z13" s="2"/>
    </row>
    <row r="14" spans="1:26" ht="25.9" customHeight="1" x14ac:dyDescent="0.2">
      <c r="A14" s="34" t="s">
        <v>27</v>
      </c>
      <c r="B14" s="35" t="s">
        <v>28</v>
      </c>
      <c r="C14" s="35" t="s">
        <v>29</v>
      </c>
      <c r="D14" s="35" t="s">
        <v>30</v>
      </c>
      <c r="E14" s="35" t="s">
        <v>31</v>
      </c>
      <c r="F14" s="35" t="s">
        <v>32</v>
      </c>
      <c r="G14" s="35" t="s">
        <v>33</v>
      </c>
      <c r="H14" s="53" t="s">
        <v>34</v>
      </c>
      <c r="I14" s="35" t="s">
        <v>35</v>
      </c>
      <c r="J14" s="35" t="s">
        <v>36</v>
      </c>
      <c r="K14" s="35" t="s">
        <v>36</v>
      </c>
      <c r="L14" s="35" t="s">
        <v>37</v>
      </c>
      <c r="M14" s="36" t="s">
        <v>38</v>
      </c>
      <c r="N14" s="37" t="s">
        <v>39</v>
      </c>
      <c r="O14" s="130"/>
      <c r="P14" s="131"/>
      <c r="Q14" s="118"/>
      <c r="R14" s="2"/>
      <c r="S14" s="2"/>
      <c r="T14" s="2"/>
      <c r="U14" s="2"/>
      <c r="V14" s="2"/>
      <c r="W14" s="2"/>
      <c r="X14" s="2"/>
      <c r="Y14" s="2"/>
      <c r="Z14" s="2"/>
    </row>
    <row r="15" spans="1:26" ht="25.9" customHeight="1" x14ac:dyDescent="0.2">
      <c r="A15" s="38">
        <v>1</v>
      </c>
      <c r="B15" s="39">
        <v>0</v>
      </c>
      <c r="C15" s="39">
        <v>0</v>
      </c>
      <c r="D15" s="39">
        <v>1</v>
      </c>
      <c r="E15" s="39">
        <v>0</v>
      </c>
      <c r="F15" s="39">
        <v>4901</v>
      </c>
      <c r="G15" s="39">
        <v>3</v>
      </c>
      <c r="H15" s="39">
        <v>4</v>
      </c>
      <c r="I15" s="39">
        <v>4</v>
      </c>
      <c r="J15" s="39">
        <v>3</v>
      </c>
      <c r="K15" s="39">
        <v>2</v>
      </c>
      <c r="L15" s="39">
        <v>0</v>
      </c>
      <c r="M15" s="40">
        <v>1</v>
      </c>
      <c r="N15" s="39" t="s">
        <v>43</v>
      </c>
      <c r="O15" s="133" t="s">
        <v>42</v>
      </c>
      <c r="P15" s="134"/>
      <c r="Q15" s="48">
        <f>'NOTA PEDIDO'!G12</f>
        <v>106760000</v>
      </c>
      <c r="R15" s="2"/>
      <c r="S15" s="2"/>
      <c r="T15" s="2"/>
      <c r="U15" s="2"/>
      <c r="V15" s="2"/>
      <c r="W15" s="2"/>
      <c r="X15" s="2"/>
      <c r="Y15" s="2"/>
      <c r="Z15" s="2"/>
    </row>
    <row r="16" spans="1:26" ht="12.75" customHeight="1" x14ac:dyDescent="0.2">
      <c r="A16" s="38"/>
      <c r="B16" s="39"/>
      <c r="C16" s="39"/>
      <c r="D16" s="39"/>
      <c r="E16" s="39"/>
      <c r="F16" s="39"/>
      <c r="G16" s="39"/>
      <c r="H16" s="39"/>
      <c r="I16" s="39"/>
      <c r="J16" s="39"/>
      <c r="K16" s="39"/>
      <c r="L16" s="39"/>
      <c r="M16" s="40"/>
      <c r="N16" s="39"/>
      <c r="O16" s="133"/>
      <c r="P16" s="134"/>
      <c r="Q16" s="49"/>
      <c r="R16" s="2"/>
      <c r="S16" s="2"/>
      <c r="T16" s="2"/>
      <c r="U16" s="2"/>
      <c r="V16" s="2"/>
      <c r="W16" s="2"/>
      <c r="X16" s="2"/>
      <c r="Y16" s="2"/>
      <c r="Z16" s="2"/>
    </row>
    <row r="17" spans="1:26" ht="15.75" customHeight="1" x14ac:dyDescent="0.2">
      <c r="A17" s="41"/>
      <c r="B17" s="42"/>
      <c r="C17" s="42"/>
      <c r="D17" s="42"/>
      <c r="E17" s="42"/>
      <c r="F17" s="42"/>
      <c r="G17" s="42"/>
      <c r="H17" s="42"/>
      <c r="I17" s="42"/>
      <c r="J17" s="42"/>
      <c r="K17" s="42"/>
      <c r="L17" s="42"/>
      <c r="M17" s="43"/>
      <c r="N17" s="44"/>
      <c r="O17" s="133"/>
      <c r="P17" s="134"/>
      <c r="Q17" s="50"/>
      <c r="R17" s="2"/>
      <c r="S17" s="2"/>
      <c r="T17" s="2"/>
      <c r="U17" s="2"/>
      <c r="V17" s="2"/>
      <c r="W17" s="2"/>
      <c r="X17" s="2"/>
      <c r="Y17" s="2"/>
      <c r="Z17" s="2"/>
    </row>
    <row r="18" spans="1:26" ht="12.75" customHeight="1" x14ac:dyDescent="0.2">
      <c r="A18" s="41"/>
      <c r="B18" s="42"/>
      <c r="C18" s="42"/>
      <c r="D18" s="42"/>
      <c r="E18" s="42"/>
      <c r="F18" s="42"/>
      <c r="G18" s="42"/>
      <c r="H18" s="42"/>
      <c r="I18" s="42"/>
      <c r="J18" s="42"/>
      <c r="K18" s="42"/>
      <c r="L18" s="42"/>
      <c r="M18" s="43"/>
      <c r="N18" s="44"/>
      <c r="O18" s="148"/>
      <c r="P18" s="149"/>
      <c r="Q18" s="50"/>
      <c r="R18" s="2"/>
      <c r="S18" s="2"/>
      <c r="T18" s="2"/>
      <c r="U18" s="2"/>
      <c r="V18" s="2"/>
      <c r="W18" s="2"/>
      <c r="X18" s="2"/>
      <c r="Y18" s="2"/>
      <c r="Z18" s="2"/>
    </row>
    <row r="19" spans="1:26" ht="12.75" customHeight="1" x14ac:dyDescent="0.2">
      <c r="A19" s="41"/>
      <c r="B19" s="42"/>
      <c r="C19" s="42"/>
      <c r="D19" s="42"/>
      <c r="E19" s="42"/>
      <c r="F19" s="42"/>
      <c r="G19" s="42"/>
      <c r="H19" s="42"/>
      <c r="I19" s="42"/>
      <c r="J19" s="42"/>
      <c r="K19" s="42"/>
      <c r="L19" s="42"/>
      <c r="M19" s="43"/>
      <c r="N19" s="44"/>
      <c r="O19" s="148"/>
      <c r="P19" s="149"/>
      <c r="Q19" s="50"/>
      <c r="R19" s="2"/>
      <c r="S19" s="2"/>
      <c r="T19" s="2"/>
      <c r="U19" s="2"/>
      <c r="V19" s="2"/>
      <c r="W19" s="2"/>
      <c r="X19" s="2"/>
      <c r="Y19" s="2"/>
      <c r="Z19" s="2"/>
    </row>
    <row r="20" spans="1:26" ht="12.75" customHeight="1" x14ac:dyDescent="0.2">
      <c r="A20" s="45"/>
      <c r="B20" s="46"/>
      <c r="C20" s="46"/>
      <c r="D20" s="46"/>
      <c r="E20" s="46"/>
      <c r="F20" s="46"/>
      <c r="G20" s="46"/>
      <c r="H20" s="46"/>
      <c r="I20" s="46"/>
      <c r="J20" s="46"/>
      <c r="K20" s="46"/>
      <c r="L20" s="46"/>
      <c r="M20" s="47"/>
      <c r="N20" s="46"/>
      <c r="O20" s="135"/>
      <c r="P20" s="136"/>
      <c r="Q20" s="51"/>
      <c r="R20" s="2"/>
      <c r="S20" s="2"/>
      <c r="T20" s="2"/>
      <c r="U20" s="2"/>
      <c r="V20" s="2"/>
      <c r="W20" s="2"/>
      <c r="X20" s="2"/>
      <c r="Y20" s="2"/>
      <c r="Z20" s="2"/>
    </row>
    <row r="21" spans="1:26" ht="26.1" customHeight="1" x14ac:dyDescent="0.2">
      <c r="A21" s="137" t="s">
        <v>53</v>
      </c>
      <c r="B21" s="138"/>
      <c r="C21" s="138"/>
      <c r="D21" s="138"/>
      <c r="E21" s="138"/>
      <c r="F21" s="138"/>
      <c r="G21" s="138"/>
      <c r="H21" s="138"/>
      <c r="I21" s="138"/>
      <c r="J21" s="138"/>
      <c r="K21" s="138"/>
      <c r="L21" s="138"/>
      <c r="M21" s="138"/>
      <c r="N21" s="138"/>
      <c r="O21" s="138"/>
      <c r="P21" s="139"/>
      <c r="Q21" s="52">
        <f>SUM(Q15:Q20)</f>
        <v>106760000</v>
      </c>
      <c r="R21" s="2"/>
      <c r="S21" s="2"/>
      <c r="T21" s="2"/>
      <c r="U21" s="2"/>
      <c r="V21" s="2"/>
      <c r="W21" s="2"/>
      <c r="X21" s="2"/>
      <c r="Y21" s="2"/>
      <c r="Z21" s="2"/>
    </row>
    <row r="22" spans="1:26" ht="12.75" customHeight="1" x14ac:dyDescent="0.2">
      <c r="A22" s="140"/>
      <c r="B22" s="123"/>
      <c r="C22" s="123"/>
      <c r="D22" s="123"/>
      <c r="E22" s="123"/>
      <c r="F22" s="123"/>
      <c r="G22" s="123"/>
      <c r="H22" s="123"/>
      <c r="I22" s="123"/>
      <c r="J22" s="123"/>
      <c r="K22" s="123"/>
      <c r="L22" s="123"/>
      <c r="M22" s="123"/>
      <c r="N22" s="123"/>
      <c r="O22" s="123"/>
      <c r="P22" s="123"/>
      <c r="Q22" s="124"/>
      <c r="R22" s="2"/>
      <c r="S22" s="2"/>
      <c r="T22" s="2"/>
      <c r="U22" s="2"/>
      <c r="V22" s="2"/>
      <c r="W22" s="2"/>
      <c r="X22" s="2"/>
      <c r="Y22" s="2"/>
      <c r="Z22" s="2"/>
    </row>
    <row r="23" spans="1:26" ht="12.75" customHeight="1" x14ac:dyDescent="0.2">
      <c r="A23" s="141" t="s">
        <v>40</v>
      </c>
      <c r="B23" s="109"/>
      <c r="C23" s="109"/>
      <c r="D23" s="109"/>
      <c r="E23" s="109"/>
      <c r="F23" s="107"/>
      <c r="G23" s="142"/>
      <c r="H23" s="123"/>
      <c r="I23" s="123"/>
      <c r="J23" s="123"/>
      <c r="K23" s="123"/>
      <c r="L23" s="123"/>
      <c r="M23" s="123"/>
      <c r="N23" s="123"/>
      <c r="O23" s="123"/>
      <c r="P23" s="123"/>
      <c r="Q23" s="124"/>
      <c r="R23" s="2"/>
      <c r="S23" s="2"/>
      <c r="T23" s="2"/>
      <c r="U23" s="2"/>
      <c r="V23" s="2"/>
      <c r="W23" s="2"/>
      <c r="X23" s="2"/>
      <c r="Y23" s="2"/>
      <c r="Z23" s="2"/>
    </row>
    <row r="24" spans="1:26" ht="12.75" customHeight="1" x14ac:dyDescent="0.2">
      <c r="A24" s="116" t="s">
        <v>41</v>
      </c>
      <c r="B24" s="117"/>
      <c r="C24" s="117"/>
      <c r="D24" s="117"/>
      <c r="E24" s="117"/>
      <c r="F24" s="117"/>
      <c r="G24" s="117"/>
      <c r="H24" s="117"/>
      <c r="I24" s="117"/>
      <c r="J24" s="117"/>
      <c r="K24" s="117"/>
      <c r="L24" s="117"/>
      <c r="M24" s="117"/>
      <c r="N24" s="117"/>
      <c r="O24" s="117"/>
      <c r="P24" s="117"/>
      <c r="Q24" s="118"/>
      <c r="R24" s="2"/>
      <c r="S24" s="2"/>
      <c r="T24" s="2"/>
      <c r="U24" s="2"/>
      <c r="V24" s="2"/>
      <c r="W24" s="2"/>
      <c r="X24" s="2"/>
      <c r="Y24" s="2"/>
      <c r="Z24" s="2"/>
    </row>
    <row r="25" spans="1:26" ht="12.75" customHeight="1" x14ac:dyDescent="0.2">
      <c r="A25" s="119"/>
      <c r="B25" s="120"/>
      <c r="C25" s="120"/>
      <c r="D25" s="120"/>
      <c r="E25" s="120"/>
      <c r="F25" s="120"/>
      <c r="G25" s="120"/>
      <c r="H25" s="120"/>
      <c r="I25" s="120"/>
      <c r="J25" s="120"/>
      <c r="K25" s="120"/>
      <c r="L25" s="120"/>
      <c r="M25" s="120"/>
      <c r="N25" s="120"/>
      <c r="O25" s="120"/>
      <c r="P25" s="120"/>
      <c r="Q25" s="121"/>
      <c r="R25" s="2"/>
      <c r="S25" s="2"/>
      <c r="T25" s="2"/>
      <c r="U25" s="2"/>
      <c r="V25" s="2"/>
      <c r="W25" s="2"/>
      <c r="X25" s="2"/>
      <c r="Y25" s="2"/>
      <c r="Z25" s="2"/>
    </row>
    <row r="26" spans="1:26"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2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2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9">
    <mergeCell ref="A1:C1"/>
    <mergeCell ref="D1:E1"/>
    <mergeCell ref="P1:Q2"/>
    <mergeCell ref="A4:F4"/>
    <mergeCell ref="G4:Q4"/>
    <mergeCell ref="A5:F5"/>
    <mergeCell ref="G5:Q5"/>
    <mergeCell ref="A6:F6"/>
    <mergeCell ref="G6:Q6"/>
    <mergeCell ref="A7:F7"/>
    <mergeCell ref="G7:Q7"/>
    <mergeCell ref="A8:Q8"/>
    <mergeCell ref="A9:Q9"/>
    <mergeCell ref="A10:Q10"/>
    <mergeCell ref="O18:P18"/>
    <mergeCell ref="O19:P19"/>
    <mergeCell ref="A24:Q25"/>
    <mergeCell ref="A12:Q12"/>
    <mergeCell ref="A13:N13"/>
    <mergeCell ref="O13:P14"/>
    <mergeCell ref="Q13:Q14"/>
    <mergeCell ref="O15:P15"/>
    <mergeCell ref="O16:P16"/>
    <mergeCell ref="O17:P17"/>
    <mergeCell ref="O20:P20"/>
    <mergeCell ref="A21:P21"/>
    <mergeCell ref="A22:Q22"/>
    <mergeCell ref="A23:F23"/>
    <mergeCell ref="G23:Q23"/>
  </mergeCells>
  <pageMargins left="0.7" right="0.7" top="0.75" bottom="0.75" header="0" footer="0"/>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Trimestrales_Trim 4</vt:lpstr>
      <vt:lpstr>NOTA PEDIDO</vt:lpstr>
      <vt:lpstr>APG</vt:lpstr>
      <vt:lpstr>APG!Área_de_impresión</vt:lpstr>
      <vt:lpstr>'NOTA 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Jimena</cp:lastModifiedBy>
  <cp:lastPrinted>2022-10-12T16:50:53Z</cp:lastPrinted>
  <dcterms:created xsi:type="dcterms:W3CDTF">2020-07-17T23:44:49Z</dcterms:created>
  <dcterms:modified xsi:type="dcterms:W3CDTF">2022-10-19T13:32:17Z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