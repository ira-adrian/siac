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155E94F-1951-4720-869A-F0FF260616E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NotaPedido'!$A$1:$K$16</definedName>
    <definedName name="_xlnm.Print_Area" localSheetId="2">'Autor Gastar'!$A$1:$Q$21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3" l="1"/>
  <c r="I16" i="3"/>
  <c r="AO11" i="2"/>
  <c r="D12" i="1"/>
  <c r="D7" i="2"/>
  <c r="I13" i="1" l="1"/>
  <c r="I12" i="1"/>
  <c r="I11" i="1"/>
  <c r="I10" i="1"/>
  <c r="J16" i="2"/>
  <c r="I15" i="3" l="1"/>
  <c r="I14" i="1" l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<sst xmlns="http://schemas.openxmlformats.org/spreadsheetml/2006/main" count="133" uniqueCount="87">
  <si>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</si>
  <si>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</si>
  <si>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</si>
  <si>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</si>
  <si>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</si>
  <si>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</si>
  <si>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</si>
  <si>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</si>
  <si>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</si>
  <si>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</si>
  <si>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</si>
  <si>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</si>
  <si>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</si>
  <si>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</si>
  <si>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</si>
  <si>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</si>
  <si>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2.1.2-2888.39</t>
  </si>
  <si>
    <t>ALIMENTOS PARA ANIMALES</t>
  </si>
  <si>
    <t>2.1.2</t>
  </si>
  <si>
    <t>ALIMENTOS Y FORRAJES; TIPO: AVENA FORRAJERA, PRESENTACION: BOLSA X 40 Kg, CAPACIDAD: 40 Kg, DESTINATARIO: GANADO EQUINO, USO: GANADO EQUINO</t>
  </si>
  <si>
    <t>UNIDAD</t>
  </si>
  <si>
    <t>2.1.2-2875.2</t>
  </si>
  <si>
    <t>ALIMENTO P/PERRO; TIPO: PERRO ADULTO, SABOR: POLLO-PESCADO-CARNE, PRESENTACION: BOLSA X 20 Kg, CAPACIDAD: 20 Kg</t>
  </si>
  <si>
    <t>2.1.2-2888.2</t>
  </si>
  <si>
    <t>ALIMENTOS Y FORRAJES; TIPO: HENO DE ALFALFA, PRESENTACION: FARDO X 25 A 40 Kg, CAPACIDAD: 25 A 40 Kg, DESTINATARIO: GANADO EQUINO, USO: GANADO EQUINO</t>
  </si>
  <si>
    <t>2.1.2-2888.16</t>
  </si>
  <si>
    <t>ALIMENTOS Y FORRAJES; TIPO: MAIZ, PRESENTACION: GRANEL, CAPACIDAD: SIN VALOR, DESTINATARIO: GANADO EQUINO, USO: GANADO EQUINO</t>
  </si>
  <si>
    <t>Especificidades de todos los Items.</t>
  </si>
  <si>
    <t>Descripción técnica</t>
  </si>
  <si>
    <t>Para ITEM 1 avena forrajera ventilada envasado en bolsas de 40 kg. Primera calidad.</t>
  </si>
  <si>
    <t>Para ITEM 2: Alimento para canes: Deberá contener: Proteína cruda (min) 30%, grasas (min) (20,0%); Fibra cruda (máx.) 3.0; Calcio (min) 1.2 %, calcio (máx.) 1.3%, fosforo (min) 0.9%. Fósforo (máx.) 1.1%, Humedad (máx) 10%, cenizas 7%. Vitamina A 20.000 UI/KG, Vitamina D3 2.500 UI/Kg., Vitamina E 250 UI/Kg., Vitamina C (ácido ascórbico) 150mg/Kg. Glucosamina 280 mg/kg. Condroilin. Sulfato 250 mg/kg. Omega 3 (min) 0,4%. Omega 6 (min) 2,4%. Energía Metabolizable 4.380 Kcal/Kg.-</t>
  </si>
  <si>
    <t>Para ITEM 4 maríz quebrado envasado en bolsas de 30 kg. Primera calidad.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</si>
  <si>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</si>
  <si>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</si>
  <si>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</si>
  <si>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 xml:space="preserve">Que Cumpla con lo Solicitado de Forma Integra. Primera Calidad.- </t>
  </si>
  <si>
    <t>Mantenimiento</t>
  </si>
  <si>
    <t>30 DIAS</t>
  </si>
  <si>
    <t>Garantia</t>
  </si>
  <si>
    <t>NOTA DE PEDIDO</t>
  </si>
  <si>
    <t>N°</t>
  </si>
  <si>
    <t>23/2021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</si>
  <si>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</si>
  <si>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</si>
  <si>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</si>
  <si>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</si>
  <si>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</si>
  <si>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Policía Montada  y División Canes - Policía de Catamarca.</t>
  </si>
  <si>
    <t>PERIODO UTILIZACIÓN:</t>
  </si>
  <si>
    <t>OBJETO:</t>
  </si>
  <si>
    <t>Adquisición de alimentos para animales.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</si>
  <si>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</si>
  <si>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</si>
  <si>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</si>
  <si>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</si>
  <si>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</si>
  <si>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</si>
  <si>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</si>
  <si>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ALIMENTOS Y FORRAJES; TIPO: AVENA FORRAJERA, PRESENTACION: BOLSA X 30 Kg, CAPACIDAD: 30 Kg, DESTINATARIO: GANADO EQUINO, USO: GANADO EQUINO</t>
  </si>
  <si>
    <t>NO</t>
  </si>
  <si>
    <t>Costo total estimado: Pesos Dos Millones Ciento Trece Mil Cuatrocientos Ochenta y Ocho con 30/100.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</si>
  <si>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</si>
  <si>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</si>
  <si>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</si>
  <si>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</si>
  <si>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</si>
  <si>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</si>
  <si>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</si>
  <si>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</si>
  <si>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</si>
  <si>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</si>
  <si>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</si>
  <si>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</si>
  <si>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</si>
  <si>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</si>
  <si>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</si>
  <si>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</si>
  <si>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</si>
  <si>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</si>
  <si>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</si>
  <si>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</si>
  <si>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</si>
  <si>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</si>
  <si>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</t>
  </si>
  <si>
    <t>Son Pesos Dos Millones Ciento Trece Mil Cuatrocientos Ochenta y Ocho con 30/100.</t>
  </si>
  <si>
    <t>JUSTIFICACIÓN:</t>
  </si>
  <si>
    <t>Adquisición de alimentos para Animales, destinados a la  División Policía Montada y Division Canes de la Policía de la Provincia de Catamarca
con el fin de Realizar las Racciones Diarias que Consumen los Estudiantes Alojados en esta Dependencia.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</si>
</sst>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_-[$$-2C0A]\ * #,##0.00_-;\-[$$-2C0A]\ * #,##0.00_-;_-[$$-2C0A]\ * &quot;-&quot;??_-;_-@_-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sz val="10"/>
      <color rgb="FF000000"/>
      <name val="Century Gothi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8">
    <xf numFmtId="0" fontId="0" fillId="0" borderId="0" xfId="0"/>
    <xf numFmtId="0" fontId="6" fillId="3" borderId="0" xfId="0" applyFont="1" applyFill="1" applyAlignment="1">
      <alignment horizontal="center" vertical="center"/>
    </xf>
    <xf numFmtId="169" fontId="6" fillId="3" borderId="0" xfId="0" applyNumberFormat="1" applyFont="1" applyFill="1" applyAlignment="1">
      <alignment horizontal="center" vertical="center"/>
    </xf>
    <xf numFmtId="0" fontId="6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wrapText="1"/>
    </xf>
    <xf numFmtId="0" fontId="10" fillId="3" borderId="0" xfId="0" applyFont="1" applyFill="1" applyAlignment="1">
      <alignment horizontal="left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center" vertical="center" wrapText="1"/>
    </xf>
    <xf numFmtId="0" fontId="11" fillId="3" borderId="53" xfId="0" applyFont="1" applyFill="1" applyBorder="1" applyAlignment="1">
      <alignment horizontal="center" vertical="center" wrapText="1"/>
    </xf>
    <xf numFmtId="0" fontId="11" fillId="3" borderId="54" xfId="0" applyFont="1" applyFill="1" applyBorder="1" applyAlignment="1">
      <alignment horizontal="left" vertical="center" wrapText="1"/>
    </xf>
    <xf numFmtId="0" fontId="11" fillId="3" borderId="47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69" fontId="11" fillId="3" borderId="2" xfId="0" applyNumberFormat="1" applyFont="1" applyFill="1" applyBorder="1" applyAlignment="1">
      <alignment horizontal="center" vertical="center" wrapText="1"/>
    </xf>
    <xf numFmtId="0" fontId="12" fillId="3" borderId="55" xfId="0" applyFont="1" applyFill="1" applyBorder="1" applyAlignment="1">
      <alignment horizontal="center" vertical="center"/>
    </xf>
    <xf numFmtId="0" fontId="6" fillId="3" borderId="49" xfId="0" applyFont="1" applyFill="1" applyBorder="1"/>
    <xf numFmtId="0" fontId="13" fillId="3" borderId="4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9" fontId="6" fillId="3" borderId="3" xfId="1" applyNumberFormat="1" applyFont="1" applyFill="1" applyBorder="1" applyAlignment="1" applyProtection="1">
      <alignment horizontal="center" vertical="center"/>
    </xf>
    <xf numFmtId="169" fontId="6" fillId="3" borderId="4" xfId="0" applyNumberFormat="1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/>
    </xf>
    <xf numFmtId="0" fontId="6" fillId="3" borderId="50" xfId="0" applyFont="1" applyFill="1" applyBorder="1"/>
    <xf numFmtId="0" fontId="13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wrapText="1"/>
    </xf>
    <xf numFmtId="0" fontId="6" fillId="3" borderId="46" xfId="0" applyFont="1" applyFill="1" applyBorder="1" applyAlignment="1">
      <alignment horizontal="center" vertical="center" wrapText="1"/>
    </xf>
    <xf numFmtId="3" fontId="6" fillId="3" borderId="46" xfId="0" applyNumberFormat="1" applyFont="1" applyFill="1" applyBorder="1" applyAlignment="1">
      <alignment horizontal="center" vertical="center"/>
    </xf>
    <xf numFmtId="169" fontId="6" fillId="3" borderId="46" xfId="1" applyNumberFormat="1" applyFont="1" applyFill="1" applyBorder="1" applyAlignment="1" applyProtection="1">
      <alignment horizontal="center" vertical="center"/>
    </xf>
    <xf numFmtId="169" fontId="6" fillId="3" borderId="48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/>
    </xf>
    <xf numFmtId="169" fontId="6" fillId="3" borderId="18" xfId="0" applyNumberFormat="1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7" xfId="0" applyFont="1" applyFill="1" applyBorder="1"/>
    <xf numFmtId="0" fontId="6" fillId="3" borderId="8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/>
    <xf numFmtId="0" fontId="6" fillId="3" borderId="10" xfId="0" applyFont="1" applyFill="1" applyBorder="1" applyAlignment="1">
      <alignment horizontal="left"/>
    </xf>
    <xf numFmtId="0" fontId="14" fillId="3" borderId="9" xfId="0" applyFont="1" applyFill="1" applyBorder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2" xfId="0" applyFont="1" applyFill="1" applyBorder="1"/>
    <xf numFmtId="0" fontId="6" fillId="3" borderId="13" xfId="0" applyFont="1" applyFill="1" applyBorder="1" applyAlignment="1">
      <alignment horizontal="left"/>
    </xf>
    <xf numFmtId="0" fontId="6" fillId="3" borderId="0" xfId="0" applyFont="1" applyFill="1" applyAlignment="1">
      <alignment horizontal="left" vertical="center"/>
    </xf>
    <xf numFmtId="49" fontId="6" fillId="3" borderId="0" xfId="0" applyNumberFormat="1" applyFont="1" applyFill="1"/>
    <xf numFmtId="0" fontId="16" fillId="3" borderId="14" xfId="0" applyFont="1" applyFill="1" applyBorder="1" applyAlignment="1">
      <alignment horizontal="right" vertical="center"/>
    </xf>
    <xf numFmtId="0" fontId="5" fillId="3" borderId="1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6" fillId="3" borderId="16" xfId="0" applyFont="1" applyFill="1" applyBorder="1" applyAlignment="1">
      <alignment vertical="center"/>
    </xf>
    <xf numFmtId="0" fontId="16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 indent="1"/>
    </xf>
    <xf numFmtId="0" fontId="6" fillId="3" borderId="5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51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/>
    </xf>
    <xf numFmtId="3" fontId="18" fillId="3" borderId="0" xfId="0" applyNumberFormat="1" applyFont="1" applyFill="1" applyBorder="1" applyAlignment="1"/>
    <xf numFmtId="168" fontId="6" fillId="3" borderId="0" xfId="0" applyNumberFormat="1" applyFont="1" applyFill="1" applyAlignment="1">
      <alignment horizontal="left"/>
    </xf>
    <xf numFmtId="0" fontId="6" fillId="3" borderId="14" xfId="0" applyFont="1" applyFill="1" applyBorder="1"/>
    <xf numFmtId="0" fontId="6" fillId="3" borderId="28" xfId="0" applyFont="1" applyFill="1" applyBorder="1"/>
    <xf numFmtId="0" fontId="6" fillId="3" borderId="16" xfId="0" applyFont="1" applyFill="1" applyBorder="1"/>
    <xf numFmtId="0" fontId="6" fillId="3" borderId="16" xfId="0" applyFont="1" applyFill="1" applyBorder="1" applyAlignment="1">
      <alignment horizontal="left"/>
    </xf>
    <xf numFmtId="0" fontId="6" fillId="3" borderId="29" xfId="0" applyFont="1" applyFill="1" applyBorder="1"/>
    <xf numFmtId="0" fontId="15" fillId="3" borderId="31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left" vertical="center"/>
    </xf>
    <xf numFmtId="0" fontId="15" fillId="3" borderId="33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/>
    </xf>
    <xf numFmtId="166" fontId="6" fillId="3" borderId="37" xfId="3" applyNumberFormat="1" applyFont="1" applyFill="1" applyBorder="1" applyAlignment="1" applyProtection="1">
      <alignment horizontal="center" vertical="center"/>
    </xf>
    <xf numFmtId="166" fontId="15" fillId="3" borderId="38" xfId="0" applyNumberFormat="1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>
      <alignment vertical="center"/>
    </xf>
    <xf numFmtId="0" fontId="10" fillId="3" borderId="50" xfId="0" applyFont="1" applyFill="1" applyBorder="1"/>
    <xf numFmtId="0" fontId="10" fillId="3" borderId="46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 wrapText="1"/>
    </xf>
    <xf numFmtId="169" fontId="10" fillId="3" borderId="46" xfId="1" applyNumberFormat="1" applyFont="1" applyFill="1" applyBorder="1" applyAlignment="1" applyProtection="1">
      <alignment horizontal="center" vertical="center"/>
    </xf>
    <xf numFmtId="3" fontId="10" fillId="3" borderId="46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wrapText="1"/>
    </xf>
    <xf numFmtId="0" fontId="6" fillId="3" borderId="10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left" wrapText="1"/>
    </xf>
    <xf numFmtId="0" fontId="6" fillId="3" borderId="68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wrapText="1" indent="1"/>
    </xf>
    <xf numFmtId="0" fontId="5" fillId="3" borderId="23" xfId="0" applyFont="1" applyFill="1" applyBorder="1" applyAlignment="1">
      <alignment horizontal="left" vertical="center" wrapText="1" indent="1"/>
    </xf>
    <xf numFmtId="0" fontId="5" fillId="3" borderId="61" xfId="0" applyFont="1" applyFill="1" applyBorder="1" applyAlignment="1">
      <alignment horizontal="left" vertical="center" wrapText="1" indent="1"/>
    </xf>
    <xf numFmtId="0" fontId="5" fillId="3" borderId="24" xfId="0" applyFont="1" applyFill="1" applyBorder="1" applyAlignment="1">
      <alignment horizontal="left" vertical="center" wrapText="1" indent="1"/>
    </xf>
    <xf numFmtId="167" fontId="17" fillId="3" borderId="18" xfId="0" applyNumberFormat="1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left" vertical="center" wrapText="1" indent="1"/>
    </xf>
    <xf numFmtId="0" fontId="18" fillId="3" borderId="18" xfId="0" applyFont="1" applyFill="1" applyBorder="1" applyAlignment="1">
      <alignment horizontal="center" vertical="center"/>
    </xf>
    <xf numFmtId="0" fontId="18" fillId="3" borderId="59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60" xfId="0" applyFont="1" applyFill="1" applyBorder="1" applyAlignment="1">
      <alignment horizontal="center" vertical="center" wrapText="1"/>
    </xf>
    <xf numFmtId="0" fontId="18" fillId="3" borderId="42" xfId="0" applyFont="1" applyFill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left" vertical="center"/>
    </xf>
    <xf numFmtId="0" fontId="6" fillId="3" borderId="62" xfId="0" applyFont="1" applyFill="1" applyBorder="1" applyAlignment="1">
      <alignment horizontal="left" wrapText="1"/>
    </xf>
    <xf numFmtId="0" fontId="6" fillId="3" borderId="63" xfId="0" applyFont="1" applyFill="1" applyBorder="1" applyAlignment="1">
      <alignment horizontal="left" wrapText="1"/>
    </xf>
    <xf numFmtId="0" fontId="6" fillId="3" borderId="64" xfId="0" applyFont="1" applyFill="1" applyBorder="1" applyAlignment="1">
      <alignment horizontal="left" wrapText="1"/>
    </xf>
    <xf numFmtId="0" fontId="10" fillId="3" borderId="57" xfId="0" applyFont="1" applyFill="1" applyBorder="1" applyAlignment="1">
      <alignment horizontal="left" wrapText="1"/>
    </xf>
    <xf numFmtId="0" fontId="10" fillId="3" borderId="58" xfId="0" applyFont="1" applyFill="1" applyBorder="1" applyAlignment="1">
      <alignment horizontal="left" wrapText="1"/>
    </xf>
    <xf numFmtId="0" fontId="10" fillId="3" borderId="50" xfId="0" applyFont="1" applyFill="1" applyBorder="1" applyAlignment="1">
      <alignment horizontal="left" wrapText="1"/>
    </xf>
    <xf numFmtId="0" fontId="6" fillId="3" borderId="57" xfId="0" applyFont="1" applyFill="1" applyBorder="1" applyAlignment="1">
      <alignment horizontal="left" wrapText="1"/>
    </xf>
    <xf numFmtId="0" fontId="6" fillId="3" borderId="58" xfId="0" applyFont="1" applyFill="1" applyBorder="1" applyAlignment="1">
      <alignment horizontal="left" wrapText="1"/>
    </xf>
    <xf numFmtId="0" fontId="6" fillId="3" borderId="50" xfId="0" applyFont="1" applyFill="1" applyBorder="1" applyAlignment="1">
      <alignment horizontal="left" wrapText="1"/>
    </xf>
    <xf numFmtId="0" fontId="6" fillId="3" borderId="65" xfId="0" applyFont="1" applyFill="1" applyBorder="1" applyAlignment="1">
      <alignment horizontal="left" wrapText="1"/>
    </xf>
    <xf numFmtId="0" fontId="6" fillId="3" borderId="66" xfId="0" applyFont="1" applyFill="1" applyBorder="1" applyAlignment="1">
      <alignment horizontal="left" wrapText="1"/>
    </xf>
    <xf numFmtId="0" fontId="6" fillId="3" borderId="67" xfId="0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 indent="1"/>
    </xf>
    <xf numFmtId="0" fontId="17" fillId="3" borderId="19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 indent="1"/>
    </xf>
    <xf numFmtId="0" fontId="19" fillId="3" borderId="26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0" fontId="19" fillId="3" borderId="14" xfId="0" applyFont="1" applyFill="1" applyBorder="1" applyAlignment="1">
      <alignment horizontal="left" vertical="center" wrapText="1"/>
    </xf>
    <xf numFmtId="0" fontId="19" fillId="3" borderId="28" xfId="0" applyFont="1" applyFill="1" applyBorder="1" applyAlignment="1">
      <alignment horizontal="left" vertical="center" wrapText="1"/>
    </xf>
    <xf numFmtId="0" fontId="19" fillId="3" borderId="16" xfId="0" applyFont="1" applyFill="1" applyBorder="1" applyAlignment="1">
      <alignment horizontal="left" vertical="center" wrapText="1"/>
    </xf>
    <xf numFmtId="0" fontId="19" fillId="3" borderId="29" xfId="0" applyFont="1" applyFill="1" applyBorder="1" applyAlignment="1">
      <alignment horizontal="left" vertical="center" wrapText="1"/>
    </xf>
    <xf numFmtId="0" fontId="18" fillId="3" borderId="38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vertical="center"/>
    </xf>
    <xf numFmtId="0" fontId="15" fillId="3" borderId="45" xfId="0" applyFont="1" applyFill="1" applyBorder="1" applyAlignment="1">
      <alignment vertical="center"/>
    </xf>
    <xf numFmtId="0" fontId="15" fillId="3" borderId="30" xfId="0" applyFont="1" applyFill="1" applyBorder="1" applyAlignment="1">
      <alignment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vertical="center" wrapText="1"/>
    </xf>
    <xf numFmtId="0" fontId="18" fillId="3" borderId="39" xfId="0" applyFont="1" applyFill="1" applyBorder="1" applyAlignment="1">
      <alignment vertical="center" wrapText="1"/>
    </xf>
    <xf numFmtId="0" fontId="18" fillId="3" borderId="21" xfId="0" applyFont="1" applyFill="1" applyBorder="1" applyAlignment="1">
      <alignment vertical="center" wrapText="1"/>
    </xf>
    <xf numFmtId="0" fontId="19" fillId="3" borderId="30" xfId="0" applyFont="1" applyFill="1" applyBorder="1" applyAlignment="1">
      <alignment vertical="center" wrapText="1"/>
    </xf>
    <xf numFmtId="0" fontId="6" fillId="3" borderId="36" xfId="0" applyFont="1" applyFill="1" applyBorder="1" applyAlignment="1">
      <alignment horizontal="left" vertical="center" wrapText="1"/>
    </xf>
    <xf numFmtId="0" fontId="6" fillId="3" borderId="44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/>
    </xf>
    <xf numFmtId="3" fontId="18" fillId="3" borderId="24" xfId="0" applyNumberFormat="1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/>
    <xf numFmtId="0" fontId="19" fillId="3" borderId="15" xfId="0" applyFont="1" applyFill="1" applyBorder="1" applyAlignment="1">
      <alignment horizontal="left" indent="1"/>
    </xf>
    <xf numFmtId="0" fontId="19" fillId="3" borderId="26" xfId="0" applyFont="1" applyFill="1" applyBorder="1" applyAlignment="1"/>
    <xf numFmtId="0" fontId="19" fillId="3" borderId="27" xfId="0" applyFont="1" applyFill="1" applyBorder="1" applyAlignment="1">
      <alignment horizontal="left" vertical="center" wrapText="1" indent="1"/>
    </xf>
    <xf numFmtId="0" fontId="6" fillId="3" borderId="17" xfId="0" applyFont="1" applyFill="1" applyBorder="1" applyAlignment="1">
      <alignment horizontal="left" vertical="center" wrapText="1"/>
    </xf>
    <xf numFmtId="0" fontId="6" fillId="3" borderId="40" xfId="0" applyFont="1" applyFill="1" applyBorder="1" applyAlignment="1">
      <alignment horizontal="left" vertical="center" wrapText="1"/>
    </xf>
    <xf numFmtId="0" fontId="6" fillId="3" borderId="41" xfId="0" applyFont="1" applyFill="1" applyBorder="1" applyAlignment="1">
      <alignment horizontal="left" vertical="center" wrapText="1"/>
    </xf>
    <xf numFmtId="0" fontId="20" fillId="3" borderId="15" xfId="0" applyFont="1" applyFill="1" applyBorder="1" applyAlignment="1">
      <alignment horizontal="left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topLeftCell="A5" zoomScale="70" zoomScaleNormal="70" workbookViewId="0">
      <selection activeCell="B10" sqref="B10"/>
    </sheetView>
  </sheetViews>
  <sheetFormatPr baseColWidth="10" defaultColWidth="11" defaultRowHeight="13.5" x14ac:dyDescent="0.25"/>
  <cols>
    <col min="1" max="1" width="7.140625" style="1" customWidth="1"/>
    <col min="2" max="2" width="14.28515625" style="1" customWidth="1"/>
    <col min="3" max="3" width="23.7109375" style="1" customWidth="1"/>
    <col min="4" max="4" width="8.42578125" style="3" customWidth="1"/>
    <col min="5" max="5" width="147.7109375" style="31" customWidth="1"/>
    <col min="6" max="6" width="11" style="1"/>
    <col min="7" max="7" width="12.7109375" style="1" customWidth="1"/>
    <col min="8" max="8" width="13.85546875" style="1" customWidth="1"/>
    <col min="9" max="9" width="18.5703125" style="2" customWidth="1"/>
    <col min="10" max="16384" width="11" style="3"/>
  </cols>
  <sheetData>
    <row r="2" spans="1:9" ht="28.5" x14ac:dyDescent="0.4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25">
      <c r="A4" s="95" t="s">
        <v>1</v>
      </c>
      <c r="B4" s="95"/>
      <c r="C4" s="96" t="s">
        <v>2</v>
      </c>
      <c r="D4" s="96"/>
      <c r="E4" s="96"/>
      <c r="F4" s="4"/>
      <c r="G4" s="4"/>
      <c r="H4" s="4"/>
    </row>
    <row r="5" spans="1:9" ht="18" customHeight="1" x14ac:dyDescent="0.25">
      <c r="A5" s="95" t="s">
        <v>3</v>
      </c>
      <c r="B5" s="95"/>
      <c r="C5" s="96" t="s">
        <v>4</v>
      </c>
      <c r="D5" s="96"/>
      <c r="E5" s="96"/>
      <c r="F5" s="4"/>
      <c r="G5" s="4"/>
      <c r="H5" s="4"/>
    </row>
    <row r="6" spans="1:9" ht="16.5" customHeight="1" x14ac:dyDescent="0.25">
      <c r="A6" s="95" t="s">
        <v>5</v>
      </c>
      <c r="B6" s="95"/>
      <c r="C6" s="5">
        <v>2021</v>
      </c>
      <c r="D6" s="6"/>
      <c r="E6" s="6"/>
      <c r="F6" s="4"/>
      <c r="G6" s="4"/>
      <c r="H6" s="4"/>
    </row>
    <row r="7" spans="1:9" ht="16.5" customHeight="1" x14ac:dyDescent="0.25">
      <c r="A7" s="95" t="s">
        <v>6</v>
      </c>
      <c r="B7" s="95"/>
      <c r="C7" s="5">
        <v>2</v>
      </c>
      <c r="D7" s="6"/>
      <c r="E7" s="6"/>
      <c r="F7" s="4"/>
      <c r="G7" s="4"/>
      <c r="H7" s="4"/>
    </row>
    <row r="8" spans="1:9" ht="14.25" thickBot="1" x14ac:dyDescent="0.3">
      <c r="B8" s="4"/>
      <c r="C8" s="4"/>
      <c r="D8" s="7"/>
      <c r="E8" s="7"/>
      <c r="F8" s="4"/>
      <c r="G8" s="4"/>
      <c r="H8" s="4"/>
    </row>
    <row r="9" spans="1:9" ht="39.75" thickTop="1" thickBot="1" x14ac:dyDescent="0.3">
      <c r="A9" s="8" t="s">
        <v>7</v>
      </c>
      <c r="B9" s="9" t="s">
        <v>8</v>
      </c>
      <c r="C9" s="10" t="s">
        <v>9</v>
      </c>
      <c r="D9" s="11" t="s">
        <v>10</v>
      </c>
      <c r="E9" s="12" t="s">
        <v>11</v>
      </c>
      <c r="F9" s="13" t="s">
        <v>12</v>
      </c>
      <c r="G9" s="14" t="s">
        <v>13</v>
      </c>
      <c r="H9" s="14" t="s">
        <v>14</v>
      </c>
      <c r="I9" s="15" t="s">
        <v>15</v>
      </c>
    </row>
    <row r="10" spans="1:9" ht="28.5" x14ac:dyDescent="0.25">
      <c r="A10" s="16">
        <v>1</v>
      </c>
      <c r="B10" s="86" t="s">
        <v>16</v>
      </c>
      <c r="C10" s="18" t="s">
        <v>17</v>
      </c>
      <c r="D10" s="18" t="s">
        <v>18</v>
      </c>
      <c r="E10" s="86" t="s">
        <v>19</v>
      </c>
      <c r="F10" s="19" t="s">
        <v>20</v>
      </c>
      <c r="G10" s="20">
        <v>135</v>
      </c>
      <c r="H10" s="21">
        <v>1600</v>
      </c>
      <c r="I10" s="22">
        <f t="shared" ref="I10:I13" si="0">H10*G10</f>
        <v>216000</v>
      </c>
    </row>
    <row r="11" spans="1:9" ht="29.25" thickBot="1" x14ac:dyDescent="0.3">
      <c r="A11" s="23">
        <v>2</v>
      </c>
      <c r="B11" s="24" t="s">
        <v>21</v>
      </c>
      <c r="C11" s="18" t="s">
        <v>17</v>
      </c>
      <c r="D11" s="25" t="s">
        <v>18</v>
      </c>
      <c r="E11" s="26" t="s">
        <v>22</v>
      </c>
      <c r="F11" s="27" t="s">
        <v>20</v>
      </c>
      <c r="G11" s="28">
        <v>90</v>
      </c>
      <c r="H11" s="29">
        <v>4419.87</v>
      </c>
      <c r="I11" s="30">
        <f t="shared" si="0"/>
        <v>397788.3</v>
      </c>
    </row>
    <row r="12" spans="1:9" ht="29.25" thickBot="1" x14ac:dyDescent="0.3">
      <c r="A12" s="23">
        <v>3</v>
      </c>
      <c r="B12" s="24" t="s">
        <v>23</v>
      </c>
      <c r="C12" s="18" t="s">
        <v>17</v>
      </c>
      <c r="D12" s="25" t="str">
        <f t="shared" ref="D12" si="1">LEFT(B12,5)</f>
        <v>2.1.2</v>
      </c>
      <c r="E12" s="26" t="s">
        <v>24</v>
      </c>
      <c r="F12" s="27" t="s">
        <v>20</v>
      </c>
      <c r="G12" s="28">
        <v>3000</v>
      </c>
      <c r="H12" s="29">
        <v>400</v>
      </c>
      <c r="I12" s="30">
        <f t="shared" si="0"/>
        <v>1200000</v>
      </c>
    </row>
    <row r="13" spans="1:9" ht="29.25" thickBot="1" x14ac:dyDescent="0.3">
      <c r="A13" s="23">
        <v>4</v>
      </c>
      <c r="B13" s="24" t="s">
        <v>25</v>
      </c>
      <c r="C13" s="18" t="s">
        <v>17</v>
      </c>
      <c r="D13" s="25" t="s">
        <v>18</v>
      </c>
      <c r="E13" s="26" t="s">
        <v>26</v>
      </c>
      <c r="F13" s="27" t="s">
        <v>20</v>
      </c>
      <c r="G13" s="28">
        <v>270</v>
      </c>
      <c r="H13" s="29">
        <v>1110</v>
      </c>
      <c r="I13" s="30">
        <f t="shared" si="0"/>
        <v>299700</v>
      </c>
    </row>
    <row r="14" spans="1:9" ht="14.25" thickBot="1" x14ac:dyDescent="0.3">
      <c r="I14" s="32">
        <f>SUM(I10:I13)</f>
        <v>2113488.2999999998</v>
      </c>
    </row>
    <row r="15" spans="1:9" x14ac:dyDescent="0.25">
      <c r="B15" s="33" t="s">
        <v>27</v>
      </c>
      <c r="C15" s="34"/>
      <c r="D15" s="35"/>
      <c r="E15" s="36"/>
    </row>
    <row r="16" spans="1:9" x14ac:dyDescent="0.25">
      <c r="B16" s="37"/>
      <c r="C16" s="38"/>
      <c r="D16" s="39"/>
      <c r="E16" s="40"/>
    </row>
    <row r="17" spans="1:9" x14ac:dyDescent="0.25">
      <c r="B17" s="41" t="s">
        <v>28</v>
      </c>
      <c r="C17" s="38"/>
      <c r="D17" s="39"/>
      <c r="E17" s="40"/>
    </row>
    <row r="18" spans="1:9" ht="49.5" customHeight="1" x14ac:dyDescent="0.25">
      <c r="B18" s="41"/>
      <c r="C18" s="89" t="s">
        <v>29</v>
      </c>
      <c r="D18" s="89"/>
      <c r="E18" s="90"/>
    </row>
    <row r="19" spans="1:9" ht="49.5" customHeight="1" x14ac:dyDescent="0.25">
      <c r="B19" s="41"/>
      <c r="C19" s="89" t="s">
        <v>30</v>
      </c>
      <c r="D19" s="89"/>
      <c r="E19" s="90"/>
    </row>
    <row r="20" spans="1:9" ht="49.5" customHeight="1" x14ac:dyDescent="0.25">
      <c r="C20" s="89" t="s">
        <v>31</v>
      </c>
      <c r="D20" s="89"/>
      <c r="E20" s="93"/>
    </row>
    <row r="21" spans="1:9" s="42" customFormat="1" ht="13.5" customHeight="1" x14ac:dyDescent="0.2">
      <c r="A21" s="1"/>
      <c r="B21" s="41"/>
      <c r="C21" s="89"/>
      <c r="D21" s="89"/>
      <c r="E21" s="90"/>
      <c r="F21" s="1"/>
      <c r="G21" s="1"/>
      <c r="H21" s="1"/>
      <c r="I21" s="2"/>
    </row>
    <row r="22" spans="1:9" x14ac:dyDescent="0.25">
      <c r="B22" s="41" t="s">
        <v>32</v>
      </c>
      <c r="C22" s="38"/>
      <c r="D22" s="39"/>
      <c r="E22" s="40"/>
    </row>
    <row r="23" spans="1:9" ht="82.5" customHeight="1" x14ac:dyDescent="0.25">
      <c r="B23" s="37"/>
      <c r="C23" s="89" t="s">
        <v>33</v>
      </c>
      <c r="D23" s="89"/>
      <c r="E23" s="90"/>
    </row>
    <row r="24" spans="1:9" x14ac:dyDescent="0.25">
      <c r="B24" s="37"/>
      <c r="C24" s="88"/>
      <c r="D24" s="88"/>
      <c r="E24" s="88"/>
    </row>
    <row r="25" spans="1:9" x14ac:dyDescent="0.25">
      <c r="B25" s="41" t="s">
        <v>34</v>
      </c>
      <c r="C25" s="38"/>
      <c r="D25" s="39"/>
      <c r="E25" s="40"/>
    </row>
    <row r="26" spans="1:9" ht="25.5" customHeight="1" x14ac:dyDescent="0.25">
      <c r="B26" s="37"/>
      <c r="C26" s="89" t="s">
        <v>35</v>
      </c>
      <c r="D26" s="89"/>
      <c r="E26" s="90"/>
    </row>
    <row r="27" spans="1:9" x14ac:dyDescent="0.25">
      <c r="B27" s="41" t="s">
        <v>36</v>
      </c>
      <c r="C27" s="43"/>
      <c r="D27" s="44"/>
      <c r="E27" s="87"/>
    </row>
    <row r="28" spans="1:9" ht="18.75" customHeight="1" x14ac:dyDescent="0.25">
      <c r="B28" s="37"/>
      <c r="C28" s="91" t="s">
        <v>37</v>
      </c>
      <c r="D28" s="91"/>
      <c r="E28" s="92"/>
    </row>
    <row r="29" spans="1:9" x14ac:dyDescent="0.25">
      <c r="B29" s="41" t="s">
        <v>38</v>
      </c>
      <c r="C29" s="38"/>
      <c r="D29" s="39"/>
      <c r="E29" s="40"/>
    </row>
    <row r="30" spans="1:9" x14ac:dyDescent="0.25">
      <c r="B30" s="41"/>
      <c r="C30" s="88"/>
      <c r="D30" s="88"/>
      <c r="E30" s="88"/>
    </row>
    <row r="31" spans="1:9" ht="14.25" thickBot="1" x14ac:dyDescent="0.3">
      <c r="B31" s="45"/>
      <c r="C31" s="46"/>
      <c r="D31" s="47"/>
      <c r="E31" s="48"/>
    </row>
    <row r="32" spans="1:9" x14ac:dyDescent="0.25">
      <c r="B32" s="49"/>
    </row>
    <row r="33" spans="1:9" x14ac:dyDescent="0.25">
      <c r="B33" s="49"/>
    </row>
    <row r="42" spans="1:9" x14ac:dyDescent="0.25">
      <c r="A42" s="50"/>
      <c r="B42" s="50"/>
      <c r="C42" s="50"/>
      <c r="D42" s="50"/>
      <c r="E42" s="3"/>
      <c r="F42" s="3"/>
      <c r="G42" s="3"/>
      <c r="H42" s="3"/>
      <c r="I42" s="3"/>
    </row>
  </sheetData>
  <mergeCells count="16">
    <mergeCell ref="C19:E19"/>
    <mergeCell ref="C20:E20"/>
    <mergeCell ref="C18:E18"/>
    <mergeCell ref="B2:H2"/>
    <mergeCell ref="A4:B4"/>
    <mergeCell ref="C4:E4"/>
    <mergeCell ref="A5:B5"/>
    <mergeCell ref="C5:E5"/>
    <mergeCell ref="A6:B6"/>
    <mergeCell ref="A7:B7"/>
    <mergeCell ref="C30:E30"/>
    <mergeCell ref="C21:E21"/>
    <mergeCell ref="C23:E23"/>
    <mergeCell ref="C24:E24"/>
    <mergeCell ref="C26:E26"/>
    <mergeCell ref="C28:E2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topLeftCell="A9" zoomScale="85" zoomScaleNormal="85" workbookViewId="0">
      <selection activeCell="C13" sqref="C13:G13"/>
    </sheetView>
  </sheetViews>
  <sheetFormatPr baseColWidth="10" defaultColWidth="9.140625" defaultRowHeight="13.5" x14ac:dyDescent="0.25"/>
  <cols>
    <col min="1" max="1" width="5.42578125" style="53" customWidth="1"/>
    <col min="2" max="2" width="14.57031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71.85546875" style="53" customWidth="1"/>
    <col min="8" max="8" width="8.42578125" style="53" customWidth="1"/>
    <col min="9" max="9" width="12" style="53" customWidth="1"/>
    <col min="10" max="10" width="11.42578125" style="53" customWidth="1"/>
    <col min="11" max="11" width="10.85546875" style="53" customWidth="1"/>
    <col min="12" max="14" width="5.85546875" style="53" customWidth="1"/>
    <col min="15" max="15" width="10.5703125" style="53" customWidth="1"/>
    <col min="16" max="16" width="10.28515625" style="53" customWidth="1"/>
    <col min="17" max="1024" width="9.140625" style="53"/>
    <col min="1025" max="16384" width="9.140625" style="3"/>
  </cols>
  <sheetData>
    <row r="1" spans="1:1024" ht="18" customHeight="1" x14ac:dyDescent="0.25">
      <c r="A1" s="122" t="s">
        <v>39</v>
      </c>
      <c r="B1" s="122"/>
      <c r="C1" s="122"/>
      <c r="D1" s="122"/>
      <c r="E1" s="122"/>
      <c r="F1" s="122"/>
      <c r="G1" s="122"/>
      <c r="H1" s="122"/>
      <c r="I1" s="122"/>
      <c r="J1" s="51" t="s">
        <v>40</v>
      </c>
      <c r="K1" s="52" t="s">
        <v>41</v>
      </c>
    </row>
    <row r="2" spans="1:1024" ht="18.75" customHeight="1" thickBot="1" x14ac:dyDescent="0.3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024" ht="18.75" customHeight="1" thickBot="1" x14ac:dyDescent="0.3">
      <c r="A3" s="123" t="s">
        <v>42</v>
      </c>
      <c r="B3" s="123"/>
      <c r="C3" s="123"/>
      <c r="D3" s="124" t="str">
        <f>'Necesidades Trimestrales'!C4</f>
        <v>90 - Ministerio de Seguridad</v>
      </c>
      <c r="E3" s="124"/>
      <c r="F3" s="124"/>
      <c r="G3" s="124"/>
      <c r="H3" s="124"/>
      <c r="I3" s="124"/>
      <c r="J3" s="124"/>
      <c r="K3" s="124"/>
    </row>
    <row r="4" spans="1:1024" ht="18.75" customHeight="1" thickBot="1" x14ac:dyDescent="0.3">
      <c r="A4" s="125" t="s">
        <v>43</v>
      </c>
      <c r="B4" s="125"/>
      <c r="C4" s="125"/>
      <c r="D4" s="124" t="str">
        <f>'Necesidades Trimestrales'!C5</f>
        <v>7 - Direccion de Administracion de la Policia de la Provincia de Catamarca</v>
      </c>
      <c r="E4" s="124"/>
      <c r="F4" s="124"/>
      <c r="G4" s="124"/>
      <c r="H4" s="124"/>
      <c r="I4" s="124"/>
      <c r="J4" s="124"/>
      <c r="K4" s="124"/>
    </row>
    <row r="5" spans="1:1024" ht="18.75" customHeight="1" thickBot="1" x14ac:dyDescent="0.3">
      <c r="A5" s="125" t="s">
        <v>44</v>
      </c>
      <c r="B5" s="125"/>
      <c r="C5" s="125"/>
      <c r="D5" s="124" t="s">
        <v>45</v>
      </c>
      <c r="E5" s="124"/>
      <c r="F5" s="124"/>
      <c r="G5" s="124"/>
      <c r="H5" s="124"/>
      <c r="I5" s="124"/>
      <c r="J5" s="124"/>
      <c r="K5" s="124"/>
    </row>
    <row r="6" spans="1:1024" ht="16.5" customHeight="1" thickBot="1" x14ac:dyDescent="0.3">
      <c r="A6" s="123" t="s">
        <v>46</v>
      </c>
      <c r="B6" s="123"/>
      <c r="C6" s="123"/>
      <c r="D6" s="124" t="s">
        <v>47</v>
      </c>
      <c r="E6" s="124"/>
      <c r="F6" s="124"/>
      <c r="G6" s="124"/>
      <c r="H6" s="124"/>
      <c r="I6" s="124"/>
      <c r="J6" s="124"/>
      <c r="K6" s="124"/>
    </row>
    <row r="7" spans="1:1024" ht="16.5" customHeight="1" thickBot="1" x14ac:dyDescent="0.3">
      <c r="A7" s="125" t="s">
        <v>48</v>
      </c>
      <c r="B7" s="125"/>
      <c r="C7" s="125"/>
      <c r="D7" s="126" t="str">
        <f>'Necesidades Trimestrales'!C7 &amp; "° Trimestre - Año " &amp; 'Necesidades Trimestrales'!C6</f>
        <v>2° Trimestre - Año 2021</v>
      </c>
      <c r="E7" s="126"/>
      <c r="F7" s="126"/>
      <c r="G7" s="126"/>
      <c r="H7" s="126"/>
      <c r="I7" s="126"/>
      <c r="J7" s="126"/>
      <c r="K7" s="126"/>
    </row>
    <row r="8" spans="1:1024" ht="16.5" customHeight="1" thickBot="1" x14ac:dyDescent="0.3">
      <c r="A8" s="109" t="s">
        <v>49</v>
      </c>
      <c r="B8" s="109"/>
      <c r="C8" s="109"/>
      <c r="D8" s="101" t="s">
        <v>50</v>
      </c>
      <c r="E8" s="98"/>
      <c r="F8" s="98"/>
      <c r="G8" s="98"/>
      <c r="H8" s="98"/>
      <c r="I8" s="98"/>
      <c r="J8" s="98"/>
      <c r="K8" s="99"/>
    </row>
    <row r="9" spans="1:1024" ht="18" thickBot="1" x14ac:dyDescent="0.3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024" ht="14.25" thickBot="1" x14ac:dyDescent="0.3">
      <c r="A10" s="102" t="s">
        <v>51</v>
      </c>
      <c r="B10" s="103" t="s">
        <v>52</v>
      </c>
      <c r="C10" s="104" t="s">
        <v>53</v>
      </c>
      <c r="D10" s="104"/>
      <c r="E10" s="104"/>
      <c r="F10" s="104"/>
      <c r="G10" s="105"/>
      <c r="H10" s="103" t="s">
        <v>54</v>
      </c>
      <c r="I10" s="104" t="s">
        <v>55</v>
      </c>
      <c r="J10" s="104" t="s">
        <v>56</v>
      </c>
      <c r="K10" s="105" t="s">
        <v>57</v>
      </c>
    </row>
    <row r="11" spans="1:1024" ht="14.25" thickBot="1" x14ac:dyDescent="0.3">
      <c r="A11" s="102"/>
      <c r="B11" s="103"/>
      <c r="C11" s="104"/>
      <c r="D11" s="104"/>
      <c r="E11" s="104"/>
      <c r="F11" s="104"/>
      <c r="G11" s="105"/>
      <c r="H11" s="106"/>
      <c r="I11" s="107"/>
      <c r="J11" s="107"/>
      <c r="K11" s="108"/>
      <c r="AO11" s="53">
        <f>1200/30*40</f>
        <v>1600</v>
      </c>
    </row>
    <row r="12" spans="1:1024" ht="28.5" customHeight="1" thickBot="1" x14ac:dyDescent="0.3">
      <c r="A12" s="58">
        <v>1</v>
      </c>
      <c r="B12" s="17" t="s">
        <v>16</v>
      </c>
      <c r="C12" s="110" t="s">
        <v>19</v>
      </c>
      <c r="D12" s="111" t="s">
        <v>58</v>
      </c>
      <c r="E12" s="111" t="s">
        <v>58</v>
      </c>
      <c r="F12" s="111" t="s">
        <v>58</v>
      </c>
      <c r="G12" s="112" t="s">
        <v>58</v>
      </c>
      <c r="H12" s="59" t="s">
        <v>59</v>
      </c>
      <c r="I12" s="19" t="s">
        <v>20</v>
      </c>
      <c r="J12" s="21">
        <v>1600</v>
      </c>
      <c r="K12" s="20">
        <v>135</v>
      </c>
      <c r="P12" s="80"/>
    </row>
    <row r="13" spans="1:1024" ht="28.5" customHeight="1" thickBot="1" x14ac:dyDescent="0.3">
      <c r="A13" s="60">
        <v>2</v>
      </c>
      <c r="B13" s="81" t="s">
        <v>21</v>
      </c>
      <c r="C13" s="113" t="s">
        <v>22</v>
      </c>
      <c r="D13" s="114" t="s">
        <v>22</v>
      </c>
      <c r="E13" s="114" t="s">
        <v>22</v>
      </c>
      <c r="F13" s="114" t="s">
        <v>22</v>
      </c>
      <c r="G13" s="115" t="s">
        <v>22</v>
      </c>
      <c r="H13" s="82" t="s">
        <v>59</v>
      </c>
      <c r="I13" s="83" t="s">
        <v>20</v>
      </c>
      <c r="J13" s="84">
        <v>4419.87</v>
      </c>
      <c r="K13" s="85">
        <v>90</v>
      </c>
      <c r="O13" s="80"/>
    </row>
    <row r="14" spans="1:1024" ht="28.5" customHeight="1" thickBot="1" x14ac:dyDescent="0.3">
      <c r="A14" s="60">
        <v>3</v>
      </c>
      <c r="B14" s="24" t="s">
        <v>23</v>
      </c>
      <c r="C14" s="116" t="s">
        <v>24</v>
      </c>
      <c r="D14" s="117" t="s">
        <v>24</v>
      </c>
      <c r="E14" s="117" t="s">
        <v>24</v>
      </c>
      <c r="F14" s="117" t="s">
        <v>24</v>
      </c>
      <c r="G14" s="118" t="s">
        <v>24</v>
      </c>
      <c r="H14" s="61" t="s">
        <v>59</v>
      </c>
      <c r="I14" s="27" t="s">
        <v>20</v>
      </c>
      <c r="J14" s="29">
        <v>400</v>
      </c>
      <c r="K14" s="28">
        <v>3000</v>
      </c>
    </row>
    <row r="15" spans="1:1024" ht="28.5" customHeight="1" thickBot="1" x14ac:dyDescent="0.3">
      <c r="A15" s="60">
        <v>4</v>
      </c>
      <c r="B15" s="24" t="s">
        <v>25</v>
      </c>
      <c r="C15" s="119" t="s">
        <v>26</v>
      </c>
      <c r="D15" s="120" t="s">
        <v>26</v>
      </c>
      <c r="E15" s="120" t="s">
        <v>26</v>
      </c>
      <c r="F15" s="120" t="s">
        <v>26</v>
      </c>
      <c r="G15" s="121" t="s">
        <v>26</v>
      </c>
      <c r="H15" s="61" t="s">
        <v>59</v>
      </c>
      <c r="I15" s="27" t="s">
        <v>20</v>
      </c>
      <c r="J15" s="29">
        <v>1110</v>
      </c>
      <c r="K15" s="28">
        <v>270</v>
      </c>
    </row>
    <row r="16" spans="1:1024" ht="16.5" customHeight="1" thickBot="1" x14ac:dyDescent="0.3">
      <c r="A16" s="97" t="s">
        <v>60</v>
      </c>
      <c r="B16" s="98"/>
      <c r="C16" s="98"/>
      <c r="D16" s="98"/>
      <c r="E16" s="98"/>
      <c r="F16" s="98"/>
      <c r="G16" s="98"/>
      <c r="H16" s="98"/>
      <c r="I16" s="99"/>
      <c r="J16" s="100">
        <f>SUMPRODUCT(+J12:J15,K12:K15)</f>
        <v>2113488.2999999998</v>
      </c>
      <c r="K16" s="10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</row>
  </sheetData>
  <mergeCells count="2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6:I16"/>
    <mergeCell ref="J16:K16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3:G13"/>
    <mergeCell ref="C14:G14"/>
    <mergeCell ref="C15:G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topLeftCell="A10" zoomScale="115" zoomScaleNormal="115" workbookViewId="0">
      <selection activeCell="A20" sqref="A20:Q21"/>
    </sheetView>
  </sheetViews>
  <sheetFormatPr baseColWidth="10" defaultColWidth="11" defaultRowHeight="13.5" x14ac:dyDescent="0.25"/>
  <cols>
    <col min="1" max="6" width="4.42578125" style="3" customWidth="1"/>
    <col min="7" max="7" width="4.42578125" style="31" customWidth="1"/>
    <col min="8" max="8" width="4.42578125" style="3" customWidth="1"/>
    <col min="9" max="9" width="5.140625" style="3" customWidth="1"/>
    <col min="10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 x14ac:dyDescent="0.25">
      <c r="A1" s="147" t="s">
        <v>5</v>
      </c>
      <c r="B1" s="147"/>
      <c r="C1" s="147"/>
      <c r="D1" s="148">
        <f>'Necesidades Trimestrales'!C6</f>
        <v>2021</v>
      </c>
      <c r="E1" s="148"/>
      <c r="F1" s="62"/>
      <c r="G1" s="62"/>
      <c r="H1" s="63"/>
      <c r="I1" s="63"/>
      <c r="J1" s="63"/>
      <c r="K1" s="63"/>
      <c r="L1" s="63"/>
      <c r="M1" s="63"/>
      <c r="N1" s="63"/>
      <c r="P1" s="149" t="s">
        <v>61</v>
      </c>
      <c r="Q1" s="149"/>
    </row>
    <row r="2" spans="1:17" ht="15.75" customHeight="1" x14ac:dyDescent="0.25">
      <c r="H2" s="63"/>
      <c r="I2" s="63"/>
      <c r="J2" s="63"/>
      <c r="K2" s="63"/>
      <c r="L2" s="63"/>
      <c r="M2" s="63"/>
      <c r="N2" s="63"/>
      <c r="P2" s="149"/>
      <c r="Q2" s="149"/>
    </row>
    <row r="4" spans="1:17" ht="18" customHeight="1" thickBot="1" x14ac:dyDescent="0.35">
      <c r="A4" s="150" t="s">
        <v>62</v>
      </c>
      <c r="B4" s="150"/>
      <c r="C4" s="150"/>
      <c r="D4" s="150"/>
      <c r="E4" s="150"/>
      <c r="F4" s="150"/>
      <c r="G4" s="151" t="str">
        <f>' NotaPedido'!D3</f>
        <v>90 - Ministerio de Seguridad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17" ht="18" customHeight="1" thickBot="1" x14ac:dyDescent="0.35">
      <c r="A5" s="154" t="s">
        <v>43</v>
      </c>
      <c r="B5" s="155"/>
      <c r="C5" s="155"/>
      <c r="D5" s="155"/>
      <c r="E5" s="155"/>
      <c r="F5" s="156"/>
      <c r="G5" s="151" t="str">
        <f>' NotaPedido'!D4</f>
        <v>7 - Direccion de Administracion de la Policia de la Provincia de Catamarca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</row>
    <row r="6" spans="1:17" ht="18" customHeight="1" thickBot="1" x14ac:dyDescent="0.35">
      <c r="A6" s="154" t="s">
        <v>44</v>
      </c>
      <c r="B6" s="155"/>
      <c r="C6" s="155"/>
      <c r="D6" s="155"/>
      <c r="E6" s="155"/>
      <c r="F6" s="156"/>
      <c r="G6" s="151" t="str">
        <f>' NotaPedido'!D5</f>
        <v>Policía de la Provincia de Catamarca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</row>
    <row r="7" spans="1:17" ht="18" customHeight="1" thickBot="1" x14ac:dyDescent="0.35">
      <c r="A7" s="154" t="s">
        <v>46</v>
      </c>
      <c r="B7" s="155"/>
      <c r="C7" s="155"/>
      <c r="D7" s="155"/>
      <c r="E7" s="155"/>
      <c r="F7" s="156"/>
      <c r="G7" s="151" t="str">
        <f>' NotaPedido'!D6</f>
        <v>División Policía Montada  y División Canes - Policía de Catamarca.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</row>
    <row r="8" spans="1:17" ht="18" customHeight="1" thickBot="1" x14ac:dyDescent="0.3">
      <c r="A8" s="157" t="s">
        <v>63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18" customHeight="1" x14ac:dyDescent="0.3">
      <c r="A9" s="152" t="s">
        <v>64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39"/>
      <c r="P9" s="39"/>
      <c r="Q9" s="64"/>
    </row>
    <row r="10" spans="1:17" ht="54.75" customHeight="1" x14ac:dyDescent="0.25">
      <c r="A10" s="15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23/2021,  afectando la erogación resultante a los créditos presupuestarios aprobados a favor de esta Unidad Ejecutora, conforme al siguiente detalle: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17" ht="9" customHeight="1" x14ac:dyDescent="0.25">
      <c r="A11" s="65"/>
      <c r="B11" s="66"/>
      <c r="C11" s="66"/>
      <c r="D11" s="66"/>
      <c r="E11" s="66"/>
      <c r="F11" s="66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8"/>
    </row>
    <row r="12" spans="1:17" ht="15.75" customHeight="1" x14ac:dyDescent="0.25">
      <c r="A12" s="137" t="s">
        <v>65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5">
      <c r="A13" s="138" t="s">
        <v>66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67</v>
      </c>
      <c r="P13" s="139"/>
      <c r="Q13" s="140" t="s">
        <v>68</v>
      </c>
    </row>
    <row r="14" spans="1:17" ht="15.75" customHeight="1" thickBot="1" x14ac:dyDescent="0.3">
      <c r="A14" s="69" t="s">
        <v>69</v>
      </c>
      <c r="B14" s="70" t="s">
        <v>70</v>
      </c>
      <c r="C14" s="70" t="s">
        <v>71</v>
      </c>
      <c r="D14" s="70" t="s">
        <v>72</v>
      </c>
      <c r="E14" s="70" t="s">
        <v>73</v>
      </c>
      <c r="F14" s="70" t="s">
        <v>74</v>
      </c>
      <c r="G14" s="71" t="s">
        <v>75</v>
      </c>
      <c r="H14" s="70" t="s">
        <v>76</v>
      </c>
      <c r="I14" s="70" t="s">
        <v>77</v>
      </c>
      <c r="J14" s="70" t="s">
        <v>78</v>
      </c>
      <c r="K14" s="70" t="s">
        <v>78</v>
      </c>
      <c r="L14" s="70" t="s">
        <v>79</v>
      </c>
      <c r="M14" s="72" t="s">
        <v>80</v>
      </c>
      <c r="N14" s="73" t="s">
        <v>81</v>
      </c>
      <c r="O14" s="139"/>
      <c r="P14" s="139"/>
      <c r="Q14" s="140"/>
    </row>
    <row r="15" spans="1:17" ht="17.25" customHeight="1" x14ac:dyDescent="0.25">
      <c r="A15" s="74">
        <v>16</v>
      </c>
      <c r="B15" s="75">
        <v>0</v>
      </c>
      <c r="C15" s="75">
        <v>0</v>
      </c>
      <c r="D15" s="75">
        <v>1</v>
      </c>
      <c r="E15" s="75">
        <v>0</v>
      </c>
      <c r="F15" s="75">
        <v>10</v>
      </c>
      <c r="G15" s="75">
        <v>2</v>
      </c>
      <c r="H15" s="75">
        <v>1</v>
      </c>
      <c r="I15" s="76" t="str">
        <f t="shared" ref="I15" si="0">LEFT(G15,5)</f>
        <v>2</v>
      </c>
      <c r="J15" s="75">
        <v>1</v>
      </c>
      <c r="K15" s="75">
        <v>2</v>
      </c>
      <c r="L15" s="75">
        <v>0</v>
      </c>
      <c r="M15" s="77">
        <v>1</v>
      </c>
      <c r="N15" s="75" t="s">
        <v>82</v>
      </c>
      <c r="O15" s="145" t="s">
        <v>17</v>
      </c>
      <c r="P15" s="146"/>
      <c r="Q15" s="78">
        <v>453488.3</v>
      </c>
    </row>
    <row r="16" spans="1:17" ht="17.25" customHeight="1" x14ac:dyDescent="0.25">
      <c r="A16" s="74">
        <v>16</v>
      </c>
      <c r="B16" s="75">
        <v>0</v>
      </c>
      <c r="C16" s="75">
        <v>0</v>
      </c>
      <c r="D16" s="75">
        <v>7</v>
      </c>
      <c r="E16" s="75">
        <v>0</v>
      </c>
      <c r="F16" s="75">
        <v>10</v>
      </c>
      <c r="G16" s="75">
        <v>2</v>
      </c>
      <c r="H16" s="75">
        <v>1</v>
      </c>
      <c r="I16" s="76" t="str">
        <f t="shared" ref="I16" si="1">LEFT(G16,5)</f>
        <v>2</v>
      </c>
      <c r="J16" s="75">
        <v>1</v>
      </c>
      <c r="K16" s="75">
        <v>2</v>
      </c>
      <c r="L16" s="75">
        <v>0</v>
      </c>
      <c r="M16" s="77">
        <v>1</v>
      </c>
      <c r="N16" s="75" t="s">
        <v>82</v>
      </c>
      <c r="O16" s="145" t="s">
        <v>17</v>
      </c>
      <c r="P16" s="146"/>
      <c r="Q16" s="78">
        <v>1660000</v>
      </c>
    </row>
    <row r="17" spans="1:17" ht="20.25" customHeight="1" x14ac:dyDescent="0.25">
      <c r="A17" s="133" t="s">
        <v>83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79">
        <f>SUM(Q15:Q16)</f>
        <v>2113488.2999999998</v>
      </c>
    </row>
    <row r="18" spans="1:17" ht="18" customHeight="1" thickBot="1" x14ac:dyDescent="0.3">
      <c r="A18" s="134" t="s">
        <v>84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6"/>
    </row>
    <row r="19" spans="1:17" ht="17.25" customHeight="1" thickBot="1" x14ac:dyDescent="0.3">
      <c r="A19" s="141" t="s">
        <v>85</v>
      </c>
      <c r="B19" s="142"/>
      <c r="C19" s="142"/>
      <c r="D19" s="142"/>
      <c r="E19" s="142"/>
      <c r="F19" s="143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</row>
    <row r="20" spans="1:17" ht="18" customHeight="1" x14ac:dyDescent="0.25">
      <c r="A20" s="127" t="s">
        <v>86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</row>
    <row r="21" spans="1:17" ht="15" customHeight="1" thickBo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2"/>
    </row>
  </sheetData>
  <mergeCells count="25">
    <mergeCell ref="A9:N9"/>
    <mergeCell ref="A10:Q10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20:Q21"/>
    <mergeCell ref="A17:P17"/>
    <mergeCell ref="A18:Q18"/>
    <mergeCell ref="A12:Q12"/>
    <mergeCell ref="A13:N13"/>
    <mergeCell ref="O13:P14"/>
    <mergeCell ref="Q13:Q14"/>
    <mergeCell ref="A19:F19"/>
    <mergeCell ref="G19:Q19"/>
    <mergeCell ref="O16:P16"/>
    <mergeCell ref="O15:P1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ELIAS QUINTAR</cp:lastModifiedBy>
  <cp:revision>2</cp:revision>
  <dcterms:created xsi:type="dcterms:W3CDTF">2020-07-17T23:44:49Z</dcterms:created>
  <dcterms:modified xsi:type="dcterms:W3CDTF">2021-08-11T12:37:33Z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