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medicamentos fracasados 1 trim\corregido\"/>
    </mc:Choice>
  </mc:AlternateContent>
  <xr:revisionPtr revIDLastSave="0" documentId="8_{CABA2D63-4CB2-4E8E-8DC0-396B08364A06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Necesidades Trimestrales" sheetId="1" r:id="rId1"/>
    <sheet name="NP FARMACIA" sheetId="2" r:id="rId2"/>
    <sheet name="APG FARMACIA" sheetId="3" r:id="rId3"/>
    <sheet name="NP SAME" sheetId="4" r:id="rId4"/>
    <sheet name="APG SAME" sheetId="5" r:id="rId5"/>
  </sheets>
  <definedNames>
    <definedName name="_xlnm.Print_Area" localSheetId="0">'Necesidades Trimestrales'!$A$1:$I$20</definedName>
  </definedNames>
  <calcPr calcId="181029"/>
  <extLst>
    <ext uri="GoogleSheetsCustomDataVersion1">
      <go:sheetsCustomData xmlns:go="http://customooxmlschemas.google.com/" r:id="" roundtripDataSignature="AMtx7mgc2NS/dI5u+ECUd8GKnBJJc33GYA=="/>
    </ext>
  </extLst>
</workbook>
</file>

<file path=xl/calcChain.xml><?xml version="1.0" encoding="utf-8"?>
<calcChain xmlns="http://schemas.openxmlformats.org/spreadsheetml/2006/main">
  <c r="K12" i="4" l="1"/>
  <c r="J12" i="4"/>
  <c r="I12" i="4"/>
  <c r="C12" i="4"/>
  <c r="B12" i="4"/>
  <c r="A26" i="5"/>
  <c r="A10" i="5"/>
  <c r="G7" i="5"/>
  <c r="G6" i="5"/>
  <c r="D1" i="5"/>
  <c r="J14" i="4"/>
  <c r="Q15" i="5" s="1"/>
  <c r="Q23" i="5" s="1"/>
  <c r="D4" i="4"/>
  <c r="G5" i="5" s="1"/>
  <c r="D3" i="4"/>
  <c r="G4" i="5" s="1"/>
  <c r="I19" i="1"/>
  <c r="I20" i="1"/>
  <c r="A26" i="3" l="1"/>
  <c r="I13" i="2" l="1"/>
  <c r="I14" i="2"/>
  <c r="I15" i="2"/>
  <c r="I16" i="2"/>
  <c r="I17" i="2"/>
  <c r="I18" i="2"/>
  <c r="I19" i="2"/>
  <c r="I20" i="2"/>
  <c r="I21" i="2"/>
  <c r="C13" i="2"/>
  <c r="C14" i="2"/>
  <c r="C15" i="2"/>
  <c r="C16" i="2"/>
  <c r="C17" i="2"/>
  <c r="C18" i="2"/>
  <c r="C19" i="2"/>
  <c r="C20" i="2"/>
  <c r="C21" i="2"/>
  <c r="K13" i="2"/>
  <c r="K14" i="2"/>
  <c r="K15" i="2"/>
  <c r="K16" i="2"/>
  <c r="K17" i="2"/>
  <c r="K18" i="2"/>
  <c r="K19" i="2"/>
  <c r="K20" i="2"/>
  <c r="K21" i="2"/>
  <c r="J13" i="2"/>
  <c r="J14" i="2"/>
  <c r="J15" i="2"/>
  <c r="J16" i="2"/>
  <c r="J17" i="2"/>
  <c r="J18" i="2"/>
  <c r="J19" i="2"/>
  <c r="J20" i="2"/>
  <c r="J21" i="2"/>
  <c r="B13" i="2"/>
  <c r="B14" i="2"/>
  <c r="B15" i="2"/>
  <c r="B16" i="2"/>
  <c r="B17" i="2"/>
  <c r="B18" i="2"/>
  <c r="B19" i="2"/>
  <c r="B20" i="2"/>
  <c r="B21" i="2"/>
  <c r="I11" i="1" l="1"/>
  <c r="I12" i="1"/>
  <c r="I13" i="1"/>
  <c r="I14" i="1"/>
  <c r="I15" i="1"/>
  <c r="I16" i="1"/>
  <c r="I17" i="1"/>
  <c r="I18" i="1"/>
  <c r="I10" i="1"/>
  <c r="I21" i="1" l="1"/>
  <c r="A10" i="3"/>
  <c r="G7" i="3"/>
  <c r="G6" i="3"/>
  <c r="D1" i="3"/>
  <c r="K12" i="2"/>
  <c r="J12" i="2"/>
  <c r="I12" i="2"/>
  <c r="C12" i="2"/>
  <c r="B12" i="2"/>
  <c r="D4" i="2"/>
  <c r="G5" i="3" s="1"/>
  <c r="D3" i="2"/>
  <c r="G4" i="3" s="1"/>
  <c r="J23" i="2" l="1"/>
  <c r="Q15" i="3" s="1"/>
  <c r="Q23" i="3" s="1"/>
</calcChain>
</file>

<file path=xl/sharedStrings.xml><?xml version="1.0" encoding="utf-8"?>
<sst xmlns="http://schemas.openxmlformats.org/spreadsheetml/2006/main" count="201" uniqueCount="112">
  <si>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</si>
  <si>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</si>
  <si>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</si>
  <si>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</si>
  <si>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</si>
  <si>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</si>
  <si>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</si>
  <si>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</si>
  <si>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</si>
  <si>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</si>
  <si>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</si>
  <si>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</si>
  <si>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</si>
  <si>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</si>
  <si>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</si>
  <si>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2.5.2-1816.3</t>
  </si>
  <si>
    <t>PROD.MEDICO/FARMACEUTICOS/LAB</t>
  </si>
  <si>
    <t>2.5.2</t>
  </si>
  <si>
    <t>ANTIDIARREICOS; TIPO: MONODROGA, DROGA GENERICA: LOPERAMIDA, FORMA FARMACEUTICA: COMPRIMIDO, PRESENTACION: 2 mGr</t>
  </si>
  <si>
    <t>comprimido</t>
  </si>
  <si>
    <t>2.5.2-8078.68</t>
  </si>
  <si>
    <t>EXCIPIENTES; TIPO: MONODROGA, PRESENTACION: ENVASE X 1 Kg, COMPUESTO: CARBON ACTIVADO, CONCENTRACION/PUREZA: 100 %</t>
  </si>
  <si>
    <t>unidad</t>
  </si>
  <si>
    <t>2.5.2-1862.1</t>
  </si>
  <si>
    <t>HIPOGLUCEMIANTES ORALES; TIPO: MONODROGA, DROGA GENERICA: METFORMINA, FORMA FARMACEUTICA: COMPRIMIDO, PRESENTACION: 500 mGr</t>
  </si>
  <si>
    <t>frasco</t>
  </si>
  <si>
    <t>2.5.2-1862.16</t>
  </si>
  <si>
    <t>HIPOGLUCEMIANTES ORALES; TIPO: MONODROGA, DROGA GENERICA: METFORMINA, FORMA FARMACEUTICA: COMPRIMIDO, PRESENTACION: 850 mGr</t>
  </si>
  <si>
    <t>ampolla</t>
  </si>
  <si>
    <t>2.5.2-1901.130</t>
  </si>
  <si>
    <t>VITAMINAS; TIPO: MONODROGA, DROGA GENERICA: VITAMINA D3 2000 UI/ML, FORMA FARMACEUTICA: SOLUCION, PRESENTACION: 2 ML</t>
  </si>
  <si>
    <t>2.5.2-7404.8</t>
  </si>
  <si>
    <t>COAGULANTES P/PERSONAS; TIPO: MONODROGA, DROGA GENERICA: PROTAMINA 50 mGr, FORMA FARMACEUTICA: AMPOLLA, PRESENTACION: ENVASE X 5 mL</t>
  </si>
  <si>
    <t>2.5.2-1865.11</t>
  </si>
  <si>
    <t>ANTIEPILEPTICOS; TIPO: MONODROGA, DROGA GENERICA: CLONAZEPAN, FORMA FARMACEUTICA: COMPRIMIDO, PRESENTACION: 0.50 mGr</t>
  </si>
  <si>
    <t>2.5.2-2233.5</t>
  </si>
  <si>
    <t>ANTICONVULSIVANTES; TIPO: MONODROGA, FORMA FARMACEUTICA: COMPRIMIDO, PRESENTACION: 100 mGr, DROGA GENERICA: FENITOINA</t>
  </si>
  <si>
    <t>2.5.2-1839.26</t>
  </si>
  <si>
    <t>VASODILATADORES CORONARIOS; TIPO: MONODROGA, DROGA GENERICA: DILTIAZEM CLORHIDRATO 25 mGr, FORMA FARMACEUTICA: AMPOLLA, PRESENTACION: ENVASE X 5 mL</t>
  </si>
  <si>
    <t>2.5.2-1837.64</t>
  </si>
  <si>
    <t>HIPOTENSORES; TIPO: MONODROGA, DROGA GENERICA: NITROPRUSIATO DE SODIO, FORMA FARMACEUTICA: FRASCO AMPOLLA, PRESENTACION: ENVASE X 50 mGr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</si>
  <si>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</si>
  <si>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</si>
  <si>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</si>
  <si>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</si>
  <si>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</si>
  <si>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</si>
  <si>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</si>
  <si>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</si>
  <si>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</si>
  <si>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</si>
  <si>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</si>
  <si>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</si>
  <si>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</si>
  <si>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</si>
  <si>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</si>
  <si>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</si>
  <si>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</si>
  <si>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</si>
  <si>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color theme="1"/>
        <rFont val="Arial"/>
      </rPr>
      <t>AUTORIZACIÓN</t>
    </r>
    <r>
      <rPr>
        <b/>
        <u/>
        <sz val="10"/>
        <color theme="1"/>
        <rFont val="Arial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</si>
  <si>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</si>
  <si>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</si>
  <si>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</si>
  <si>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</si>
  <si>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</si>
  <si>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</si>
  <si>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</si>
  <si>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</si>
  <si>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</si>
  <si>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</si>
  <si>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</si>
  <si>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</si>
  <si>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</si>
  <si>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</si>
  <si>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</si>
  <si>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</si>
  <si>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</si>
  <si>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</si>
  <si>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</si>
  <si>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</si>
  <si>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011 - DIRECCION PROVINCIAL DE ADMINISTRACION - MS</t>
  </si>
  <si>
    <t>469 - DIRECCION PROVINCIAL DE FARMACIA E INSUMOS</t>
  </si>
  <si>
    <t>TRIMESTRAL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</si>
  <si>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</si>
  <si>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</si>
  <si>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</si>
  <si>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</si>
  <si>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</si>
  <si>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</si>
  <si>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</si>
  <si>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</si>
  <si>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TOTAL RUBRO</t>
  </si>
  <si>
    <t>PRODUCTOS FARMACEUTICOS Y MEDICINALES</t>
  </si>
  <si>
    <t>TOTAL DE PESOS: DOS MILLONES DOSCIENTOS VEINTITRES MIL con 00/100.</t>
  </si>
  <si>
    <t xml:space="preserve"> 15/2022</t>
  </si>
  <si>
    <t>Costo total estimado: DOS MILLONES DOSCIENTOS VEINTITRES MIL con 00/100.</t>
  </si>
  <si>
    <t>ADQUISICION DE MEDICAMENTOS.</t>
  </si>
  <si>
    <t>caja</t>
  </si>
  <si>
    <r>
      <rPr>
        <u/>
        <sz val="11"/>
        <color theme="1"/>
        <rFont val="Times New Roman"/>
      </rPr>
      <t>Calidad Minima esperada:</t>
    </r>
    <r>
      <rPr>
        <sz val="11"/>
        <color theme="1"/>
        <rFont val="Times New Roman"/>
      </rPr>
      <t xml:space="preserve"> </t>
    </r>
  </si>
  <si>
    <r>
      <rPr>
        <u/>
        <sz val="10"/>
        <color theme="1"/>
        <rFont val="Times New Roman"/>
      </rPr>
      <t>Mantenimiento</t>
    </r>
    <r>
      <rPr>
        <u/>
        <sz val="10"/>
        <color theme="1"/>
        <rFont val="Times New Roman"/>
      </rPr>
      <t xml:space="preserve">: 45 dias habiles </t>
    </r>
  </si>
  <si>
    <t>ITEMS 1, 2, 3, 4, 5, 6, 7, 8, 9 y 11 - DIR. PROV. DE FARMACIA E INSUMOS - CHACABUCO N° 169 - en el horario de 8:00hs a 12:00hs de lunes a viernes</t>
  </si>
  <si>
    <r>
      <rPr>
        <u/>
        <sz val="10"/>
        <color theme="1"/>
        <rFont val="Times New Roman"/>
      </rPr>
      <t xml:space="preserve">Lugar de Entrega: </t>
    </r>
    <r>
      <rPr>
        <sz val="10"/>
        <color theme="1"/>
        <rFont val="Times New Roman"/>
      </rPr>
      <t>D.P.S.A.M.E. - Caseros N° 864 DE 08:00 A 12:00HS., DEBIENDO CORRER LOS GASTOS DE FLETES, ACARREO, CARGA, DESCARGA Y SEGURO A CARGO DEL ADJUDICATARIO.</t>
    </r>
  </si>
  <si>
    <r>
      <rPr>
        <u/>
        <sz val="10"/>
        <color theme="1"/>
        <rFont val="Times New Roman"/>
      </rPr>
      <t>Plazo de entrega:</t>
    </r>
    <r>
      <rPr>
        <sz val="10"/>
        <color theme="1"/>
        <rFont val="Times New Roman"/>
      </rPr>
      <t xml:space="preserve"> veinte (20) dias habiles</t>
    </r>
  </si>
  <si>
    <t>748 - DIR. PROV. DEL SISTEMA DE ATENCION MEDICA DE EMERGENCIA</t>
  </si>
  <si>
    <t>2.5.2-1839.38</t>
  </si>
  <si>
    <t>VASODILATADORES CORONARIOS; TIPO: MONODROGA, DROGA GENERICA: DINITRATO DE ISOSORBIDE 5 mGr, FORMA FARMACEUTICA: COMPRIMIDO, PRESENTACION: ENVASE X 30 UN</t>
  </si>
  <si>
    <t>Costo total estimado:  CINCO MIL NOVECIENTOS NOVENTA Y CINCO con 00/100.</t>
  </si>
  <si>
    <t>TOTAL DE PESOS: CINCO MIL NOVECIENTOS NOVENTA Y CINCO con 00/100.</t>
  </si>
  <si>
    <r>
      <rPr>
        <u/>
        <sz val="10"/>
        <color theme="1"/>
        <rFont val="Times New Roman"/>
      </rPr>
      <t>Especificidades</t>
    </r>
    <r>
      <rPr>
        <sz val="10"/>
        <color theme="1"/>
        <rFont val="Times New Roman"/>
      </rPr>
      <t xml:space="preserve">: VASODILATADORES CORONARIOS; TIPO: MONODROGA, DROGA GENERICA: DINITRATO DE ISOSORBIDE 5 mGr, FORMA FARMACEUTICA: COMPRIMIDO, PRESENTACION: ENVASE X 30 UN </t>
    </r>
    <r>
      <rPr>
        <b/>
        <sz val="10"/>
        <color theme="1"/>
        <rFont val="Times New Roman"/>
      </rPr>
      <t>COMPRIMIDO SUBLINGUAL</t>
    </r>
  </si>
  <si>
    <t>ITEM 10</t>
  </si>
  <si>
    <t>ITEM 10 - DIR. PROV. SIST. DE ATENCION MEDICA DE EMERGENCIA - CASEROS N° 864 - en el horario de 8:00hs a 12:00hs de lunes a viernes</t>
  </si>
  <si>
    <t xml:space="preserve"> 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</si>
</sst>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\ * #,##0.00_-;\-&quot;$&quot;\ * #,##0.00_-;_-&quot;$&quot;\ * &quot;-&quot;??_-;_-@"/>
    <numFmt numFmtId="165" formatCode="[$$-2C0A]\ #,##0.00;[$$-2C0A]&quot; -&quot;#,##0.00"/>
    <numFmt numFmtId="166" formatCode="[$$-2C0A]\ #,##0.00"/>
    <numFmt numFmtId="167" formatCode="dd\-mm\-yy"/>
    <numFmt numFmtId="168" formatCode="_-[$$-2C0A]\ * #,##0.00_-;\-[$$-2C0A]\ * #,##0.00_-;_-[$$-2C0A]\ * &quot;-&quot;??_-;_-@_-"/>
  </numFmts>
  <fonts count="39" x14ac:knownFonts="1">
    <font>
      <sz val="10"/>
      <color rgb="FF000000"/>
      <name val="Arial"/>
      <scheme val="minor"/>
    </font>
    <font>
      <sz val="10"/>
      <color theme="1"/>
      <name val="Times New Roman"/>
    </font>
    <font>
      <sz val="10"/>
      <name val="Arial"/>
    </font>
    <font>
      <sz val="10"/>
      <color theme="1"/>
      <name val="Arial"/>
    </font>
    <font>
      <sz val="8"/>
      <color theme="1"/>
      <name val="Times New Roman"/>
    </font>
    <font>
      <b/>
      <u/>
      <sz val="12"/>
      <color theme="1"/>
      <name val="Times New Roman"/>
    </font>
    <font>
      <b/>
      <u/>
      <sz val="12"/>
      <color theme="1"/>
      <name val="Times New Roman"/>
    </font>
    <font>
      <b/>
      <sz val="12"/>
      <color theme="1"/>
      <name val="Times New Roman"/>
    </font>
    <font>
      <b/>
      <u/>
      <sz val="12"/>
      <color theme="1"/>
      <name val="Times New Roman"/>
    </font>
    <font>
      <b/>
      <u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Times New Roman"/>
    </font>
    <font>
      <b/>
      <sz val="11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u/>
      <sz val="10"/>
      <color theme="1"/>
      <name val="Arial"/>
    </font>
    <font>
      <b/>
      <sz val="10"/>
      <color theme="1"/>
      <name val="Arial"/>
    </font>
    <font>
      <sz val="10"/>
      <name val="Times New Roman"/>
    </font>
    <font>
      <b/>
      <sz val="22"/>
      <name val="Times New Roman"/>
    </font>
    <font>
      <b/>
      <sz val="11"/>
      <name val="Times New Roman"/>
    </font>
    <font>
      <b/>
      <sz val="12"/>
      <name val="Times New Roman"/>
    </font>
    <font>
      <b/>
      <sz val="10"/>
      <name val="Times New Roman"/>
    </font>
    <font>
      <b/>
      <sz val="10"/>
      <name val="Arial"/>
    </font>
    <font>
      <sz val="10"/>
      <name val="Arial"/>
      <family val="2"/>
    </font>
    <font>
      <sz val="10"/>
      <name val="Arial"/>
      <scheme val="minor"/>
    </font>
    <font>
      <sz val="10"/>
      <color theme="1"/>
      <name val="Arial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2"/>
      <color theme="1"/>
      <name val="Times New Roman"/>
      <family val="1"/>
    </font>
    <font>
      <b/>
      <sz val="11"/>
      <color theme="1"/>
      <name val="Arial"/>
      <family val="2"/>
    </font>
    <font>
      <b/>
      <sz val="10"/>
      <color theme="1"/>
      <name val="Times New Roman"/>
    </font>
    <font>
      <u/>
      <sz val="10"/>
      <color theme="1"/>
      <name val="Times New Roman"/>
    </font>
    <font>
      <sz val="11"/>
      <color theme="1"/>
      <name val="Times New Roman"/>
    </font>
    <font>
      <u/>
      <sz val="11"/>
      <color theme="1"/>
      <name val="Times New Roman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3" fillId="0" borderId="8"/>
  </cellStyleXfs>
  <cellXfs count="254">
    <xf numFmtId="0" fontId="0" fillId="0" borderId="0" xfId="0" applyFont="1" applyAlignment="1"/>
    <xf numFmtId="3" fontId="12" fillId="0" borderId="0" xfId="0" applyNumberFormat="1" applyFont="1"/>
    <xf numFmtId="167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1" fillId="0" borderId="1" xfId="0" applyFont="1" applyFill="1" applyBorder="1"/>
    <xf numFmtId="0" fontId="1" fillId="0" borderId="1" xfId="0" applyFont="1" applyFill="1" applyBorder="1" applyAlignment="1">
      <alignment vertical="center"/>
    </xf>
    <xf numFmtId="0" fontId="0" fillId="0" borderId="0" xfId="0" applyFont="1" applyFill="1" applyAlignment="1"/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17" fillId="0" borderId="1" xfId="0" applyFont="1" applyFill="1" applyBorder="1"/>
    <xf numFmtId="0" fontId="22" fillId="0" borderId="64" xfId="0" applyFont="1" applyFill="1" applyBorder="1" applyAlignment="1">
      <alignment horizontal="center" vertical="center" wrapText="1"/>
    </xf>
    <xf numFmtId="0" fontId="22" fillId="0" borderId="65" xfId="0" applyFont="1" applyFill="1" applyBorder="1" applyAlignment="1">
      <alignment horizontal="center" vertical="center" wrapText="1"/>
    </xf>
    <xf numFmtId="0" fontId="2" fillId="0" borderId="63" xfId="0" applyFont="1" applyFill="1" applyBorder="1" applyAlignment="1">
      <alignment horizontal="center" vertical="center"/>
    </xf>
    <xf numFmtId="0" fontId="2" fillId="0" borderId="63" xfId="0" applyFont="1" applyFill="1" applyBorder="1" applyAlignment="1">
      <alignment vertical="center"/>
    </xf>
    <xf numFmtId="0" fontId="2" fillId="0" borderId="63" xfId="0" applyFont="1" applyFill="1" applyBorder="1" applyAlignment="1">
      <alignment horizontal="left" vertical="center" wrapText="1"/>
    </xf>
    <xf numFmtId="0" fontId="2" fillId="0" borderId="63" xfId="0" applyFont="1" applyFill="1" applyBorder="1" applyAlignment="1">
      <alignment horizontal="center" vertical="center" wrapText="1"/>
    </xf>
    <xf numFmtId="0" fontId="2" fillId="0" borderId="63" xfId="0" applyFont="1" applyFill="1" applyBorder="1" applyAlignment="1">
      <alignment vertical="center" wrapText="1"/>
    </xf>
    <xf numFmtId="3" fontId="2" fillId="0" borderId="63" xfId="0" applyNumberFormat="1" applyFont="1" applyFill="1" applyBorder="1" applyAlignment="1">
      <alignment horizontal="center" vertical="center"/>
    </xf>
    <xf numFmtId="164" fontId="2" fillId="0" borderId="63" xfId="0" applyNumberFormat="1" applyFont="1" applyFill="1" applyBorder="1" applyAlignment="1">
      <alignment horizontal="center" vertical="center"/>
    </xf>
    <xf numFmtId="0" fontId="2" fillId="0" borderId="61" xfId="0" applyFont="1" applyFill="1" applyBorder="1" applyAlignment="1">
      <alignment horizontal="center" vertical="center"/>
    </xf>
    <xf numFmtId="0" fontId="2" fillId="0" borderId="61" xfId="0" applyFont="1" applyFill="1" applyBorder="1" applyAlignment="1">
      <alignment horizontal="center" vertical="center" wrapText="1"/>
    </xf>
    <xf numFmtId="0" fontId="2" fillId="0" borderId="61" xfId="0" applyFont="1" applyFill="1" applyBorder="1" applyAlignment="1">
      <alignment horizontal="left" vertical="center" wrapText="1"/>
    </xf>
    <xf numFmtId="3" fontId="2" fillId="0" borderId="61" xfId="0" applyNumberFormat="1" applyFont="1" applyFill="1" applyBorder="1" applyAlignment="1">
      <alignment horizontal="center" vertical="center"/>
    </xf>
    <xf numFmtId="164" fontId="2" fillId="0" borderId="61" xfId="0" applyNumberFormat="1" applyFont="1" applyFill="1" applyBorder="1" applyAlignment="1">
      <alignment horizontal="center" vertical="center"/>
    </xf>
    <xf numFmtId="0" fontId="23" fillId="0" borderId="61" xfId="0" applyFont="1" applyFill="1" applyBorder="1" applyAlignment="1">
      <alignment horizontal="left" vertical="center" wrapText="1"/>
    </xf>
    <xf numFmtId="0" fontId="23" fillId="0" borderId="61" xfId="0" applyFont="1" applyFill="1" applyBorder="1" applyAlignment="1">
      <alignment vertical="center" wrapText="1"/>
    </xf>
    <xf numFmtId="0" fontId="2" fillId="0" borderId="61" xfId="0" applyFont="1" applyFill="1" applyBorder="1" applyAlignment="1">
      <alignment vertical="center" wrapText="1"/>
    </xf>
    <xf numFmtId="0" fontId="24" fillId="0" borderId="0" xfId="0" applyFont="1" applyFill="1" applyAlignment="1"/>
    <xf numFmtId="0" fontId="17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26" fillId="0" borderId="83" xfId="1" applyFont="1" applyFill="1" applyBorder="1" applyAlignment="1">
      <alignment horizontal="center" vertical="center" wrapText="1"/>
    </xf>
    <xf numFmtId="0" fontId="26" fillId="0" borderId="84" xfId="1" applyFont="1" applyFill="1" applyBorder="1" applyAlignment="1">
      <alignment horizontal="center" vertical="center" wrapText="1"/>
    </xf>
    <xf numFmtId="0" fontId="27" fillId="0" borderId="8" xfId="1" applyFont="1" applyFill="1" applyBorder="1" applyAlignment="1">
      <alignment horizontal="left" vertical="center" wrapText="1"/>
    </xf>
    <xf numFmtId="0" fontId="27" fillId="0" borderId="8" xfId="1" applyFont="1" applyFill="1" applyBorder="1" applyAlignment="1">
      <alignment horizontal="left" vertical="center"/>
    </xf>
    <xf numFmtId="0" fontId="27" fillId="0" borderId="8" xfId="1" applyFont="1" applyFill="1" applyBorder="1" applyAlignment="1">
      <alignment horizontal="center" vertical="center"/>
    </xf>
    <xf numFmtId="0" fontId="27" fillId="0" borderId="8" xfId="1" applyFont="1" applyFill="1" applyBorder="1" applyAlignment="1">
      <alignment vertical="center"/>
    </xf>
    <xf numFmtId="0" fontId="27" fillId="0" borderId="8" xfId="1" applyFont="1" applyBorder="1" applyAlignment="1">
      <alignment horizontal="center" vertical="center"/>
    </xf>
    <xf numFmtId="0" fontId="27" fillId="0" borderId="86" xfId="1" applyFont="1" applyBorder="1" applyAlignment="1">
      <alignment horizontal="left" vertical="center"/>
    </xf>
    <xf numFmtId="0" fontId="25" fillId="0" borderId="89" xfId="0" applyFont="1" applyBorder="1" applyAlignment="1">
      <alignment horizontal="left" vertical="center" wrapText="1"/>
    </xf>
    <xf numFmtId="0" fontId="25" fillId="0" borderId="90" xfId="0" applyFont="1" applyBorder="1" applyAlignment="1">
      <alignment horizontal="left" vertical="center" wrapText="1"/>
    </xf>
    <xf numFmtId="0" fontId="2" fillId="0" borderId="69" xfId="0" applyFont="1" applyFill="1" applyBorder="1" applyAlignment="1">
      <alignment horizontal="center" vertical="center"/>
    </xf>
    <xf numFmtId="0" fontId="2" fillId="0" borderId="69" xfId="0" applyFont="1" applyFill="1" applyBorder="1" applyAlignment="1">
      <alignment horizontal="left" vertical="center" wrapText="1"/>
    </xf>
    <xf numFmtId="0" fontId="2" fillId="0" borderId="69" xfId="0" applyFont="1" applyFill="1" applyBorder="1" applyAlignment="1">
      <alignment horizontal="center" vertical="center" wrapText="1"/>
    </xf>
    <xf numFmtId="0" fontId="2" fillId="0" borderId="69" xfId="0" applyFont="1" applyFill="1" applyBorder="1" applyAlignment="1">
      <alignment vertical="center" wrapText="1"/>
    </xf>
    <xf numFmtId="3" fontId="2" fillId="0" borderId="69" xfId="0" applyNumberFormat="1" applyFont="1" applyFill="1" applyBorder="1" applyAlignment="1">
      <alignment horizontal="center" vertical="center"/>
    </xf>
    <xf numFmtId="164" fontId="2" fillId="0" borderId="69" xfId="0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31" fillId="0" borderId="0" xfId="0" applyFont="1" applyFill="1" applyAlignment="1">
      <alignment vertical="center"/>
    </xf>
    <xf numFmtId="0" fontId="6" fillId="0" borderId="10" xfId="0" applyFont="1" applyFill="1" applyBorder="1" applyAlignment="1">
      <alignment horizontal="right" vertical="center"/>
    </xf>
    <xf numFmtId="0" fontId="32" fillId="0" borderId="1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8" fillId="0" borderId="12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1" fillId="0" borderId="63" xfId="0" applyFont="1" applyFill="1" applyBorder="1" applyAlignment="1">
      <alignment horizontal="center" vertical="center"/>
    </xf>
    <xf numFmtId="0" fontId="1" fillId="0" borderId="63" xfId="0" applyFont="1" applyFill="1" applyBorder="1" applyAlignment="1">
      <alignment horizontal="center" vertical="center" wrapText="1"/>
    </xf>
    <xf numFmtId="165" fontId="1" fillId="0" borderId="63" xfId="0" applyNumberFormat="1" applyFont="1" applyFill="1" applyBorder="1" applyAlignment="1">
      <alignment horizontal="right" vertical="center" wrapText="1"/>
    </xf>
    <xf numFmtId="3" fontId="1" fillId="0" borderId="63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vertical="center"/>
    </xf>
    <xf numFmtId="0" fontId="1" fillId="0" borderId="61" xfId="0" applyFont="1" applyFill="1" applyBorder="1" applyAlignment="1">
      <alignment horizontal="center" vertical="center"/>
    </xf>
    <xf numFmtId="165" fontId="1" fillId="0" borderId="61" xfId="0" applyNumberFormat="1" applyFont="1" applyFill="1" applyBorder="1" applyAlignment="1">
      <alignment horizontal="right" vertical="center" wrapText="1"/>
    </xf>
    <xf numFmtId="3" fontId="1" fillId="0" borderId="61" xfId="0" applyNumberFormat="1" applyFont="1" applyFill="1" applyBorder="1" applyAlignment="1">
      <alignment horizontal="center" vertical="center"/>
    </xf>
    <xf numFmtId="0" fontId="1" fillId="0" borderId="69" xfId="0" applyFont="1" applyFill="1" applyBorder="1" applyAlignment="1">
      <alignment horizontal="center" vertical="center"/>
    </xf>
    <xf numFmtId="0" fontId="1" fillId="0" borderId="69" xfId="0" applyFont="1" applyFill="1" applyBorder="1" applyAlignment="1">
      <alignment horizontal="center" vertical="center" wrapText="1"/>
    </xf>
    <xf numFmtId="165" fontId="1" fillId="0" borderId="69" xfId="0" applyNumberFormat="1" applyFont="1" applyFill="1" applyBorder="1" applyAlignment="1">
      <alignment horizontal="right" vertical="center" wrapText="1"/>
    </xf>
    <xf numFmtId="3" fontId="1" fillId="0" borderId="69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8" xfId="0" applyFont="1" applyFill="1" applyBorder="1"/>
    <xf numFmtId="0" fontId="3" fillId="0" borderId="24" xfId="0" applyFont="1" applyFill="1" applyBorder="1"/>
    <xf numFmtId="0" fontId="3" fillId="0" borderId="31" xfId="0" applyFont="1" applyFill="1" applyBorder="1"/>
    <xf numFmtId="0" fontId="3" fillId="0" borderId="31" xfId="0" applyFont="1" applyFill="1" applyBorder="1" applyAlignment="1">
      <alignment horizontal="left"/>
    </xf>
    <xf numFmtId="0" fontId="3" fillId="0" borderId="25" xfId="0" applyFont="1" applyFill="1" applyBorder="1"/>
    <xf numFmtId="0" fontId="16" fillId="0" borderId="33" xfId="0" applyFont="1" applyFill="1" applyBorder="1" applyAlignment="1">
      <alignment horizontal="center" vertical="center"/>
    </xf>
    <xf numFmtId="0" fontId="16" fillId="0" borderId="34" xfId="0" applyFont="1" applyFill="1" applyBorder="1" applyAlignment="1">
      <alignment horizontal="center" vertical="center"/>
    </xf>
    <xf numFmtId="0" fontId="16" fillId="0" borderId="34" xfId="0" applyFont="1" applyFill="1" applyBorder="1" applyAlignment="1">
      <alignment horizontal="left" vertical="center"/>
    </xf>
    <xf numFmtId="0" fontId="16" fillId="0" borderId="35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165" fontId="3" fillId="0" borderId="42" xfId="0" applyNumberFormat="1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165" fontId="3" fillId="0" borderId="49" xfId="0" applyNumberFormat="1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horizontal="center" vertical="center"/>
    </xf>
    <xf numFmtId="0" fontId="14" fillId="0" borderId="44" xfId="0" applyFont="1" applyFill="1" applyBorder="1" applyAlignment="1">
      <alignment horizontal="center" vertical="center"/>
    </xf>
    <xf numFmtId="0" fontId="14" fillId="0" borderId="45" xfId="0" applyFont="1" applyFill="1" applyBorder="1" applyAlignment="1">
      <alignment horizontal="center" vertical="center"/>
    </xf>
    <xf numFmtId="0" fontId="14" fillId="0" borderId="46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165" fontId="3" fillId="0" borderId="54" xfId="0" applyNumberFormat="1" applyFont="1" applyFill="1" applyBorder="1" applyAlignment="1">
      <alignment horizontal="center" vertical="center"/>
    </xf>
    <xf numFmtId="165" fontId="16" fillId="0" borderId="58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0" fillId="0" borderId="0" xfId="0" applyFont="1" applyFill="1" applyAlignment="1"/>
    <xf numFmtId="0" fontId="8" fillId="0" borderId="1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4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168" fontId="17" fillId="0" borderId="1" xfId="0" applyNumberFormat="1" applyFont="1" applyFill="1" applyBorder="1" applyAlignment="1">
      <alignment vertical="center"/>
    </xf>
    <xf numFmtId="168" fontId="29" fillId="0" borderId="62" xfId="0" applyNumberFormat="1" applyFont="1" applyFill="1" applyBorder="1" applyAlignment="1">
      <alignment vertical="center"/>
    </xf>
    <xf numFmtId="168" fontId="24" fillId="0" borderId="0" xfId="0" applyNumberFormat="1" applyFont="1" applyFill="1" applyAlignment="1"/>
    <xf numFmtId="168" fontId="2" fillId="0" borderId="63" xfId="0" applyNumberFormat="1" applyFont="1" applyFill="1" applyBorder="1" applyAlignment="1">
      <alignment horizontal="right" vertical="center"/>
    </xf>
    <xf numFmtId="168" fontId="2" fillId="0" borderId="61" xfId="0" applyNumberFormat="1" applyFont="1" applyFill="1" applyBorder="1" applyAlignment="1">
      <alignment horizontal="right" vertical="center"/>
    </xf>
    <xf numFmtId="168" fontId="17" fillId="0" borderId="1" xfId="0" applyNumberFormat="1" applyFont="1" applyFill="1" applyBorder="1" applyAlignment="1"/>
    <xf numFmtId="0" fontId="34" fillId="2" borderId="94" xfId="0" applyFont="1" applyFill="1" applyBorder="1"/>
    <xf numFmtId="0" fontId="1" fillId="2" borderId="8" xfId="0" applyFont="1" applyFill="1" applyBorder="1"/>
    <xf numFmtId="0" fontId="1" fillId="2" borderId="8" xfId="0" applyFont="1" applyFill="1" applyBorder="1" applyAlignment="1">
      <alignment horizontal="center" wrapText="1"/>
    </xf>
    <xf numFmtId="0" fontId="1" fillId="2" borderId="99" xfId="0" applyFont="1" applyFill="1" applyBorder="1" applyAlignment="1">
      <alignment horizontal="center" wrapText="1"/>
    </xf>
    <xf numFmtId="0" fontId="35" fillId="2" borderId="100" xfId="0" applyFont="1" applyFill="1" applyBorder="1"/>
    <xf numFmtId="0" fontId="1" fillId="2" borderId="101" xfId="0" applyFont="1" applyFill="1" applyBorder="1"/>
    <xf numFmtId="0" fontId="1" fillId="2" borderId="102" xfId="0" applyFont="1" applyFill="1" applyBorder="1"/>
    <xf numFmtId="0" fontId="17" fillId="0" borderId="8" xfId="0" applyFont="1" applyFill="1" applyBorder="1"/>
    <xf numFmtId="168" fontId="17" fillId="0" borderId="8" xfId="0" applyNumberFormat="1" applyFont="1" applyFill="1" applyBorder="1" applyAlignment="1"/>
    <xf numFmtId="0" fontId="1" fillId="0" borderId="8" xfId="0" applyFont="1" applyFill="1" applyBorder="1"/>
    <xf numFmtId="0" fontId="26" fillId="0" borderId="84" xfId="1" applyFont="1" applyBorder="1" applyAlignment="1">
      <alignment horizontal="center" vertical="center" wrapText="1"/>
    </xf>
    <xf numFmtId="0" fontId="26" fillId="0" borderId="85" xfId="1" applyFont="1" applyBorder="1" applyAlignment="1">
      <alignment horizontal="center" vertical="center" wrapText="1"/>
    </xf>
    <xf numFmtId="0" fontId="27" fillId="0" borderId="8" xfId="1" applyFont="1" applyBorder="1" applyAlignment="1">
      <alignment horizontal="left" vertical="center"/>
    </xf>
    <xf numFmtId="17" fontId="32" fillId="0" borderId="11" xfId="0" applyNumberFormat="1" applyFont="1" applyFill="1" applyBorder="1" applyAlignment="1">
      <alignment horizontal="center" vertical="center"/>
    </xf>
    <xf numFmtId="168" fontId="22" fillId="0" borderId="66" xfId="0" applyNumberFormat="1" applyFont="1" applyFill="1" applyBorder="1" applyAlignment="1">
      <alignment horizontal="center" vertical="center" wrapText="1"/>
    </xf>
    <xf numFmtId="0" fontId="2" fillId="0" borderId="103" xfId="0" applyFont="1" applyFill="1" applyBorder="1" applyAlignment="1">
      <alignment horizontal="center" vertical="center"/>
    </xf>
    <xf numFmtId="168" fontId="2" fillId="0" borderId="104" xfId="0" applyNumberFormat="1" applyFont="1" applyFill="1" applyBorder="1" applyAlignment="1">
      <alignment horizontal="right" vertical="center"/>
    </xf>
    <xf numFmtId="0" fontId="2" fillId="0" borderId="105" xfId="0" applyFont="1" applyFill="1" applyBorder="1" applyAlignment="1">
      <alignment horizontal="center" vertical="center"/>
    </xf>
    <xf numFmtId="0" fontId="2" fillId="0" borderId="105" xfId="0" applyFont="1" applyFill="1" applyBorder="1" applyAlignment="1">
      <alignment horizontal="left" vertical="center" wrapText="1"/>
    </xf>
    <xf numFmtId="0" fontId="2" fillId="0" borderId="105" xfId="0" applyFont="1" applyFill="1" applyBorder="1" applyAlignment="1">
      <alignment horizontal="center" vertical="center" wrapText="1"/>
    </xf>
    <xf numFmtId="0" fontId="2" fillId="0" borderId="105" xfId="0" applyFont="1" applyFill="1" applyBorder="1" applyAlignment="1">
      <alignment vertical="center" wrapText="1"/>
    </xf>
    <xf numFmtId="3" fontId="2" fillId="0" borderId="105" xfId="0" applyNumberFormat="1" applyFont="1" applyFill="1" applyBorder="1" applyAlignment="1">
      <alignment horizontal="center" vertical="center"/>
    </xf>
    <xf numFmtId="164" fontId="2" fillId="0" borderId="105" xfId="0" applyNumberFormat="1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0" borderId="61" xfId="0" applyFont="1" applyBorder="1" applyAlignment="1">
      <alignment horizontal="left" vertical="center" wrapText="1"/>
    </xf>
    <xf numFmtId="0" fontId="38" fillId="2" borderId="61" xfId="0" applyFont="1" applyFill="1" applyBorder="1" applyAlignment="1">
      <alignment horizontal="center" vertical="center" wrapText="1"/>
    </xf>
    <xf numFmtId="0" fontId="3" fillId="0" borderId="61" xfId="0" applyFont="1" applyBorder="1" applyAlignment="1">
      <alignment vertical="center" wrapText="1"/>
    </xf>
    <xf numFmtId="3" fontId="3" fillId="2" borderId="61" xfId="0" applyNumberFormat="1" applyFont="1" applyFill="1" applyBorder="1" applyAlignment="1">
      <alignment horizontal="center" vertical="center"/>
    </xf>
    <xf numFmtId="164" fontId="3" fillId="2" borderId="61" xfId="0" applyNumberFormat="1" applyFont="1" applyFill="1" applyBorder="1" applyAlignment="1">
      <alignment horizontal="center" vertical="center"/>
    </xf>
    <xf numFmtId="0" fontId="27" fillId="0" borderId="87" xfId="1" applyFont="1" applyFill="1" applyBorder="1" applyAlignment="1">
      <alignment horizontal="left" vertical="center" wrapText="1"/>
    </xf>
    <xf numFmtId="0" fontId="27" fillId="0" borderId="88" xfId="1" applyFont="1" applyFill="1" applyBorder="1" applyAlignment="1">
      <alignment horizontal="left" vertical="center" wrapText="1"/>
    </xf>
    <xf numFmtId="0" fontId="29" fillId="0" borderId="91" xfId="0" applyFont="1" applyFill="1" applyBorder="1" applyAlignment="1">
      <alignment horizontal="center" vertical="center"/>
    </xf>
    <xf numFmtId="0" fontId="29" fillId="0" borderId="92" xfId="0" applyFont="1" applyFill="1" applyBorder="1" applyAlignment="1">
      <alignment horizontal="center" vertical="center"/>
    </xf>
    <xf numFmtId="0" fontId="29" fillId="0" borderId="93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vertical="center"/>
    </xf>
    <xf numFmtId="0" fontId="18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0" fillId="0" borderId="2" xfId="0" applyFont="1" applyFill="1" applyBorder="1" applyAlignment="1">
      <alignment horizontal="left" vertical="center" wrapText="1"/>
    </xf>
    <xf numFmtId="0" fontId="1" fillId="2" borderId="95" xfId="0" applyFont="1" applyFill="1" applyBorder="1" applyAlignment="1">
      <alignment horizontal="left" vertical="center" wrapText="1"/>
    </xf>
    <xf numFmtId="0" fontId="2" fillId="0" borderId="96" xfId="0" applyFont="1" applyBorder="1"/>
    <xf numFmtId="0" fontId="2" fillId="0" borderId="97" xfId="0" applyFont="1" applyBorder="1"/>
    <xf numFmtId="0" fontId="1" fillId="2" borderId="98" xfId="0" applyFont="1" applyFill="1" applyBorder="1" applyAlignment="1">
      <alignment horizontal="left" wrapText="1"/>
    </xf>
    <xf numFmtId="0" fontId="2" fillId="0" borderId="8" xfId="0" applyFont="1" applyBorder="1"/>
    <xf numFmtId="0" fontId="2" fillId="0" borderId="99" xfId="0" applyFont="1" applyBorder="1"/>
    <xf numFmtId="0" fontId="2" fillId="0" borderId="98" xfId="0" applyFont="1" applyBorder="1"/>
    <xf numFmtId="0" fontId="36" fillId="0" borderId="98" xfId="0" applyFont="1" applyBorder="1" applyAlignment="1">
      <alignment horizontal="left" vertical="center" wrapText="1"/>
    </xf>
    <xf numFmtId="0" fontId="0" fillId="0" borderId="0" xfId="0" applyFont="1" applyAlignment="1"/>
    <xf numFmtId="0" fontId="27" fillId="0" borderId="8" xfId="1" applyFont="1" applyFill="1" applyBorder="1" applyAlignment="1">
      <alignment horizontal="left" vertical="center" wrapText="1"/>
    </xf>
    <xf numFmtId="0" fontId="27" fillId="0" borderId="89" xfId="1" applyFont="1" applyFill="1" applyBorder="1" applyAlignment="1">
      <alignment horizontal="left" vertical="center" wrapText="1"/>
    </xf>
    <xf numFmtId="0" fontId="1" fillId="0" borderId="69" xfId="0" applyFont="1" applyFill="1" applyBorder="1" applyAlignment="1">
      <alignment horizontal="left" vertical="center" wrapText="1"/>
    </xf>
    <xf numFmtId="0" fontId="2" fillId="0" borderId="69" xfId="0" applyFont="1" applyFill="1" applyBorder="1"/>
    <xf numFmtId="0" fontId="32" fillId="0" borderId="64" xfId="0" applyFont="1" applyFill="1" applyBorder="1" applyAlignment="1">
      <alignment horizontal="left" vertical="center" wrapText="1"/>
    </xf>
    <xf numFmtId="0" fontId="2" fillId="0" borderId="65" xfId="0" applyFont="1" applyFill="1" applyBorder="1"/>
    <xf numFmtId="0" fontId="2" fillId="0" borderId="70" xfId="0" applyFont="1" applyFill="1" applyBorder="1"/>
    <xf numFmtId="166" fontId="32" fillId="0" borderId="91" xfId="0" applyNumberFormat="1" applyFont="1" applyFill="1" applyBorder="1" applyAlignment="1">
      <alignment horizontal="center" vertical="center"/>
    </xf>
    <xf numFmtId="166" fontId="32" fillId="0" borderId="93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3" xfId="0" applyFont="1" applyFill="1" applyBorder="1"/>
    <xf numFmtId="0" fontId="2" fillId="0" borderId="4" xfId="0" applyFont="1" applyFill="1" applyBorder="1"/>
    <xf numFmtId="0" fontId="10" fillId="0" borderId="13" xfId="0" applyFont="1" applyFill="1" applyBorder="1" applyAlignment="1">
      <alignment horizontal="left" vertical="center" wrapText="1"/>
    </xf>
    <xf numFmtId="0" fontId="2" fillId="0" borderId="14" xfId="0" applyFont="1" applyFill="1" applyBorder="1"/>
    <xf numFmtId="0" fontId="2" fillId="0" borderId="15" xfId="0" applyFont="1" applyFill="1" applyBorder="1"/>
    <xf numFmtId="0" fontId="7" fillId="0" borderId="16" xfId="0" applyFont="1" applyFill="1" applyBorder="1" applyAlignment="1">
      <alignment horizontal="left" vertical="center" wrapText="1"/>
    </xf>
    <xf numFmtId="0" fontId="2" fillId="0" borderId="5" xfId="0" applyFont="1" applyFill="1" applyBorder="1"/>
    <xf numFmtId="0" fontId="2" fillId="0" borderId="6" xfId="0" applyFont="1" applyFill="1" applyBorder="1"/>
    <xf numFmtId="0" fontId="10" fillId="0" borderId="17" xfId="0" applyFont="1" applyFill="1" applyBorder="1" applyAlignment="1">
      <alignment horizontal="left" vertical="center" wrapText="1"/>
    </xf>
    <xf numFmtId="0" fontId="2" fillId="0" borderId="18" xfId="0" applyFont="1" applyFill="1" applyBorder="1"/>
    <xf numFmtId="0" fontId="2" fillId="0" borderId="19" xfId="0" applyFont="1" applyFill="1" applyBorder="1"/>
    <xf numFmtId="0" fontId="11" fillId="0" borderId="75" xfId="0" applyFont="1" applyFill="1" applyBorder="1" applyAlignment="1">
      <alignment horizontal="center" vertical="center" wrapText="1"/>
    </xf>
    <xf numFmtId="0" fontId="2" fillId="0" borderId="76" xfId="0" applyFont="1" applyFill="1" applyBorder="1"/>
    <xf numFmtId="0" fontId="11" fillId="0" borderId="79" xfId="0" applyFont="1" applyFill="1" applyBorder="1" applyAlignment="1">
      <alignment horizontal="center" vertical="center" wrapText="1"/>
    </xf>
    <xf numFmtId="0" fontId="2" fillId="0" borderId="80" xfId="0" applyFont="1" applyFill="1" applyBorder="1"/>
    <xf numFmtId="0" fontId="11" fillId="0" borderId="81" xfId="0" applyFont="1" applyFill="1" applyBorder="1" applyAlignment="1">
      <alignment horizontal="center" vertical="center" wrapText="1"/>
    </xf>
    <xf numFmtId="0" fontId="2" fillId="0" borderId="82" xfId="0" applyFont="1" applyFill="1" applyBorder="1"/>
    <xf numFmtId="0" fontId="10" fillId="0" borderId="16" xfId="0" applyFont="1" applyFill="1" applyBorder="1" applyAlignment="1">
      <alignment horizontal="left" vertical="center"/>
    </xf>
    <xf numFmtId="0" fontId="2" fillId="0" borderId="20" xfId="0" applyFont="1" applyFill="1" applyBorder="1"/>
    <xf numFmtId="0" fontId="32" fillId="0" borderId="21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11" fillId="0" borderId="71" xfId="0" applyFont="1" applyFill="1" applyBorder="1" applyAlignment="1">
      <alignment horizontal="center" vertical="center"/>
    </xf>
    <xf numFmtId="0" fontId="2" fillId="0" borderId="72" xfId="0" applyFont="1" applyFill="1" applyBorder="1"/>
    <xf numFmtId="0" fontId="2" fillId="0" borderId="76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 vertical="center" wrapText="1"/>
    </xf>
    <xf numFmtId="0" fontId="2" fillId="0" borderId="67" xfId="0" applyFont="1" applyFill="1" applyBorder="1"/>
    <xf numFmtId="0" fontId="2" fillId="0" borderId="77" xfId="0" applyFont="1" applyFill="1" applyBorder="1"/>
    <xf numFmtId="0" fontId="2" fillId="0" borderId="74" xfId="0" applyFont="1" applyFill="1" applyBorder="1"/>
    <xf numFmtId="0" fontId="2" fillId="0" borderId="68" xfId="0" applyFont="1" applyFill="1" applyBorder="1"/>
    <xf numFmtId="0" fontId="2" fillId="0" borderId="78" xfId="0" applyFont="1" applyFill="1" applyBorder="1"/>
    <xf numFmtId="0" fontId="1" fillId="0" borderId="63" xfId="0" applyFont="1" applyFill="1" applyBorder="1" applyAlignment="1">
      <alignment horizontal="left" vertical="center" wrapText="1"/>
    </xf>
    <xf numFmtId="0" fontId="2" fillId="0" borderId="63" xfId="0" applyFont="1" applyFill="1" applyBorder="1"/>
    <xf numFmtId="0" fontId="1" fillId="0" borderId="61" xfId="0" applyFont="1" applyFill="1" applyBorder="1" applyAlignment="1">
      <alignment horizontal="left" vertical="center" wrapText="1"/>
    </xf>
    <xf numFmtId="0" fontId="2" fillId="0" borderId="61" xfId="0" applyFont="1" applyFill="1" applyBorder="1"/>
    <xf numFmtId="0" fontId="3" fillId="0" borderId="16" xfId="0" applyFont="1" applyBorder="1" applyAlignment="1">
      <alignment horizontal="center"/>
    </xf>
    <xf numFmtId="0" fontId="2" fillId="0" borderId="5" xfId="0" applyFont="1" applyBorder="1"/>
    <xf numFmtId="3" fontId="12" fillId="0" borderId="5" xfId="0" applyNumberFormat="1" applyFont="1" applyBorder="1" applyAlignment="1">
      <alignment horizontal="center"/>
    </xf>
    <xf numFmtId="0" fontId="2" fillId="0" borderId="6" xfId="0" applyFont="1" applyBorder="1"/>
    <xf numFmtId="0" fontId="13" fillId="0" borderId="22" xfId="0" applyFont="1" applyBorder="1" applyAlignment="1">
      <alignment horizontal="center" vertical="center" wrapText="1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3" fillId="0" borderId="13" xfId="0" applyFont="1" applyBorder="1"/>
    <xf numFmtId="0" fontId="2" fillId="0" borderId="14" xfId="0" applyFont="1" applyBorder="1"/>
    <xf numFmtId="0" fontId="2" fillId="0" borderId="26" xfId="0" applyFont="1" applyBorder="1"/>
    <xf numFmtId="0" fontId="14" fillId="0" borderId="13" xfId="0" applyFont="1" applyBorder="1" applyAlignment="1">
      <alignment horizontal="left"/>
    </xf>
    <xf numFmtId="0" fontId="1" fillId="0" borderId="13" xfId="0" applyFont="1" applyFill="1" applyBorder="1" applyAlignment="1">
      <alignment horizontal="left" vertical="center" wrapText="1"/>
    </xf>
    <xf numFmtId="0" fontId="2" fillId="0" borderId="26" xfId="0" applyFont="1" applyFill="1" applyBorder="1"/>
    <xf numFmtId="0" fontId="14" fillId="0" borderId="13" xfId="0" applyFont="1" applyFill="1" applyBorder="1" applyAlignment="1">
      <alignment horizontal="left"/>
    </xf>
    <xf numFmtId="0" fontId="15" fillId="0" borderId="13" xfId="0" applyFont="1" applyFill="1" applyBorder="1" applyAlignment="1">
      <alignment horizontal="left"/>
    </xf>
    <xf numFmtId="0" fontId="14" fillId="0" borderId="27" xfId="0" applyFont="1" applyFill="1" applyBorder="1"/>
    <xf numFmtId="0" fontId="0" fillId="0" borderId="0" xfId="0" applyFont="1" applyFill="1" applyAlignment="1"/>
    <xf numFmtId="0" fontId="14" fillId="0" borderId="29" xfId="0" applyFont="1" applyFill="1" applyBorder="1" applyAlignment="1">
      <alignment horizontal="left" vertical="center" wrapText="1"/>
    </xf>
    <xf numFmtId="0" fontId="2" fillId="0" borderId="30" xfId="0" applyFont="1" applyFill="1" applyBorder="1"/>
    <xf numFmtId="0" fontId="16" fillId="0" borderId="22" xfId="0" applyFont="1" applyFill="1" applyBorder="1" applyAlignment="1">
      <alignment horizontal="center" vertical="center"/>
    </xf>
    <xf numFmtId="0" fontId="2" fillId="0" borderId="32" xfId="0" applyFont="1" applyFill="1" applyBorder="1"/>
    <xf numFmtId="0" fontId="2" fillId="0" borderId="23" xfId="0" applyFont="1" applyFill="1" applyBorder="1"/>
    <xf numFmtId="0" fontId="16" fillId="0" borderId="13" xfId="0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 wrapText="1"/>
    </xf>
    <xf numFmtId="0" fontId="2" fillId="0" borderId="27" xfId="0" applyFont="1" applyFill="1" applyBorder="1"/>
    <xf numFmtId="0" fontId="2" fillId="0" borderId="28" xfId="0" applyFont="1" applyFill="1" applyBorder="1"/>
    <xf numFmtId="0" fontId="16" fillId="0" borderId="23" xfId="0" applyFont="1" applyFill="1" applyBorder="1" applyAlignment="1">
      <alignment horizontal="center" vertical="center"/>
    </xf>
    <xf numFmtId="0" fontId="28" fillId="0" borderId="40" xfId="0" applyFont="1" applyFill="1" applyBorder="1" applyAlignment="1">
      <alignment horizontal="left" vertical="center" wrapText="1"/>
    </xf>
    <xf numFmtId="0" fontId="2" fillId="0" borderId="41" xfId="0" applyFont="1" applyFill="1" applyBorder="1"/>
    <xf numFmtId="0" fontId="3" fillId="0" borderId="47" xfId="0" applyFont="1" applyFill="1" applyBorder="1" applyAlignment="1">
      <alignment horizontal="left" vertical="center"/>
    </xf>
    <xf numFmtId="0" fontId="2" fillId="0" borderId="48" xfId="0" applyFont="1" applyFill="1" applyBorder="1"/>
    <xf numFmtId="0" fontId="12" fillId="0" borderId="16" xfId="0" applyFont="1" applyFill="1" applyBorder="1" applyAlignment="1">
      <alignment vertical="center" wrapText="1"/>
    </xf>
    <xf numFmtId="0" fontId="14" fillId="0" borderId="32" xfId="0" applyFont="1" applyFill="1" applyBorder="1" applyAlignment="1">
      <alignment vertical="center" wrapText="1"/>
    </xf>
    <xf numFmtId="0" fontId="14" fillId="0" borderId="59" xfId="0" applyFont="1" applyFill="1" applyBorder="1" applyAlignment="1">
      <alignment horizontal="left" vertical="center" wrapText="1"/>
    </xf>
    <xf numFmtId="0" fontId="2" fillId="0" borderId="7" xfId="0" applyFont="1" applyFill="1" applyBorder="1"/>
    <xf numFmtId="0" fontId="2" fillId="0" borderId="60" xfId="0" applyFont="1" applyFill="1" applyBorder="1"/>
    <xf numFmtId="0" fontId="2" fillId="0" borderId="24" xfId="0" applyFont="1" applyFill="1" applyBorder="1"/>
    <xf numFmtId="0" fontId="2" fillId="0" borderId="31" xfId="0" applyFont="1" applyFill="1" applyBorder="1"/>
    <xf numFmtId="0" fontId="2" fillId="0" borderId="25" xfId="0" applyFont="1" applyFill="1" applyBorder="1"/>
    <xf numFmtId="0" fontId="3" fillId="0" borderId="52" xfId="0" applyFont="1" applyFill="1" applyBorder="1" applyAlignment="1">
      <alignment horizontal="left" vertical="center"/>
    </xf>
    <xf numFmtId="0" fontId="2" fillId="0" borderId="53" xfId="0" applyFont="1" applyFill="1" applyBorder="1"/>
    <xf numFmtId="0" fontId="33" fillId="0" borderId="55" xfId="0" applyFont="1" applyFill="1" applyBorder="1" applyAlignment="1">
      <alignment horizontal="left" vertical="center" wrapText="1"/>
    </xf>
    <xf numFmtId="0" fontId="2" fillId="0" borderId="56" xfId="0" applyFont="1" applyFill="1" applyBorder="1"/>
    <xf numFmtId="0" fontId="2" fillId="0" borderId="57" xfId="0" applyFont="1" applyFill="1" applyBorder="1"/>
    <xf numFmtId="0" fontId="3" fillId="0" borderId="22" xfId="0" applyFont="1" applyFill="1" applyBorder="1"/>
  </cellXfs>
  <cellStyles count="2">
    <cellStyle name="Normal" xfId="0" builtinId="0"/>
    <cellStyle name="Normal 2 2" xfId="1" xr:uid="{00000000-0005-0000-0000-000001000000}"/>
  </cellStyles>
  <dxfs count="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858000" y="0"/>
          <a:ext cx="3810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858000" y="0"/>
          <a:ext cx="3810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858000" y="0"/>
          <a:ext cx="3810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858000" y="0"/>
          <a:ext cx="3810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30"/>
  <sheetViews>
    <sheetView topLeftCell="A10" workbookViewId="0">
      <selection activeCell="D30" sqref="D30"/>
    </sheetView>
  </sheetViews>
  <sheetFormatPr baseColWidth="10" defaultColWidth="12.5703125" defaultRowHeight="15" customHeight="1" x14ac:dyDescent="0.2"/>
  <cols>
    <col min="1" max="1" width="5.5703125" style="28" customWidth="1"/>
    <col min="2" max="2" width="14" style="28" customWidth="1"/>
    <col min="3" max="3" width="38.42578125" style="28" customWidth="1"/>
    <col min="4" max="4" width="8.42578125" style="28" customWidth="1"/>
    <col min="5" max="5" width="93.42578125" style="28" customWidth="1"/>
    <col min="6" max="6" width="13.85546875" style="28" customWidth="1"/>
    <col min="7" max="7" width="10.42578125" style="28" customWidth="1"/>
    <col min="8" max="8" width="15.7109375" style="28" customWidth="1"/>
    <col min="9" max="9" width="18.5703125" style="111" customWidth="1"/>
    <col min="10" max="26" width="11" style="7" customWidth="1"/>
    <col min="27" max="16384" width="12.5703125" style="7"/>
  </cols>
  <sheetData>
    <row r="1" spans="1:26" ht="14.25" customHeight="1" x14ac:dyDescent="0.2">
      <c r="A1" s="29">
        <v>2022</v>
      </c>
      <c r="B1" s="29"/>
      <c r="C1" s="29"/>
      <c r="D1" s="29"/>
      <c r="E1" s="29"/>
      <c r="F1" s="29"/>
      <c r="G1" s="29"/>
      <c r="H1" s="29"/>
      <c r="I1" s="109"/>
      <c r="J1" s="5"/>
      <c r="K1" s="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3.25" customHeight="1" x14ac:dyDescent="0.2">
      <c r="A2" s="29"/>
      <c r="B2" s="151" t="s">
        <v>0</v>
      </c>
      <c r="C2" s="152"/>
      <c r="D2" s="152"/>
      <c r="E2" s="152"/>
      <c r="F2" s="152"/>
      <c r="G2" s="152"/>
      <c r="H2" s="150"/>
      <c r="I2" s="109"/>
      <c r="J2" s="5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" customHeight="1" x14ac:dyDescent="0.2">
      <c r="A3" s="29"/>
      <c r="B3" s="29"/>
      <c r="C3" s="29"/>
      <c r="D3" s="29"/>
      <c r="E3" s="29"/>
      <c r="F3" s="29"/>
      <c r="G3" s="29"/>
      <c r="H3" s="29"/>
      <c r="I3" s="109"/>
      <c r="J3" s="5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8" customHeight="1" x14ac:dyDescent="0.2">
      <c r="A4" s="149" t="s">
        <v>1</v>
      </c>
      <c r="B4" s="150"/>
      <c r="C4" s="153" t="s">
        <v>2</v>
      </c>
      <c r="D4" s="152"/>
      <c r="E4" s="150"/>
      <c r="F4" s="30"/>
      <c r="G4" s="31"/>
      <c r="H4" s="30"/>
      <c r="I4" s="109"/>
      <c r="J4" s="5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" customHeight="1" x14ac:dyDescent="0.2">
      <c r="A5" s="149" t="s">
        <v>3</v>
      </c>
      <c r="B5" s="150"/>
      <c r="C5" s="153" t="s">
        <v>80</v>
      </c>
      <c r="D5" s="152"/>
      <c r="E5" s="150"/>
      <c r="F5" s="30"/>
      <c r="G5" s="31"/>
      <c r="H5" s="30"/>
      <c r="I5" s="109"/>
      <c r="J5" s="5"/>
      <c r="K5" s="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 x14ac:dyDescent="0.2">
      <c r="A6" s="149" t="s">
        <v>4</v>
      </c>
      <c r="B6" s="150"/>
      <c r="C6" s="32">
        <v>2022</v>
      </c>
      <c r="D6" s="33"/>
      <c r="E6" s="33"/>
      <c r="F6" s="30"/>
      <c r="G6" s="31"/>
      <c r="H6" s="30"/>
      <c r="I6" s="109"/>
      <c r="J6" s="5"/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.5" customHeight="1" x14ac:dyDescent="0.2">
      <c r="A7" s="149" t="s">
        <v>5</v>
      </c>
      <c r="B7" s="150"/>
      <c r="C7" s="32">
        <v>1</v>
      </c>
      <c r="D7" s="33"/>
      <c r="E7" s="33"/>
      <c r="F7" s="30"/>
      <c r="G7" s="31"/>
      <c r="H7" s="30"/>
      <c r="I7" s="109"/>
      <c r="J7" s="5"/>
      <c r="K7" s="6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thickBot="1" x14ac:dyDescent="0.25">
      <c r="A8" s="29"/>
      <c r="B8" s="30"/>
      <c r="C8" s="31"/>
      <c r="D8" s="30"/>
      <c r="E8" s="30"/>
      <c r="F8" s="30"/>
      <c r="G8" s="31"/>
      <c r="H8" s="30"/>
      <c r="I8" s="109"/>
      <c r="J8" s="5"/>
      <c r="K8" s="6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s="51" customFormat="1" ht="50.25" customHeight="1" thickBot="1" x14ac:dyDescent="0.25">
      <c r="A9" s="11" t="s">
        <v>6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11</v>
      </c>
      <c r="G9" s="12" t="s">
        <v>12</v>
      </c>
      <c r="H9" s="12" t="s">
        <v>13</v>
      </c>
      <c r="I9" s="129" t="s">
        <v>14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s="51" customFormat="1" ht="36.75" customHeight="1" x14ac:dyDescent="0.2">
      <c r="A10" s="13">
        <v>1</v>
      </c>
      <c r="B10" s="14" t="s">
        <v>15</v>
      </c>
      <c r="C10" s="15" t="s">
        <v>16</v>
      </c>
      <c r="D10" s="16" t="s">
        <v>17</v>
      </c>
      <c r="E10" s="17" t="s">
        <v>18</v>
      </c>
      <c r="F10" s="13" t="s">
        <v>19</v>
      </c>
      <c r="G10" s="18">
        <v>2000</v>
      </c>
      <c r="H10" s="19">
        <v>2.6</v>
      </c>
      <c r="I10" s="112">
        <f>+G10*H10</f>
        <v>5200</v>
      </c>
      <c r="J10" s="8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s="51" customFormat="1" ht="36.75" customHeight="1" x14ac:dyDescent="0.2">
      <c r="A11" s="20">
        <v>2</v>
      </c>
      <c r="B11" s="21" t="s">
        <v>20</v>
      </c>
      <c r="C11" s="22" t="s">
        <v>16</v>
      </c>
      <c r="D11" s="21" t="s">
        <v>17</v>
      </c>
      <c r="E11" s="22" t="s">
        <v>21</v>
      </c>
      <c r="F11" s="20" t="s">
        <v>22</v>
      </c>
      <c r="G11" s="23">
        <v>5</v>
      </c>
      <c r="H11" s="24">
        <v>2700</v>
      </c>
      <c r="I11" s="113">
        <f t="shared" ref="I11:I20" si="0">+G11*H11</f>
        <v>13500</v>
      </c>
      <c r="J11" s="9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s="51" customFormat="1" ht="36.75" customHeight="1" x14ac:dyDescent="0.2">
      <c r="A12" s="20">
        <v>3</v>
      </c>
      <c r="B12" s="21" t="s">
        <v>23</v>
      </c>
      <c r="C12" s="22" t="s">
        <v>16</v>
      </c>
      <c r="D12" s="21" t="s">
        <v>17</v>
      </c>
      <c r="E12" s="25" t="s">
        <v>24</v>
      </c>
      <c r="F12" s="20" t="s">
        <v>19</v>
      </c>
      <c r="G12" s="23">
        <v>20000</v>
      </c>
      <c r="H12" s="24">
        <v>5</v>
      </c>
      <c r="I12" s="113">
        <f t="shared" si="0"/>
        <v>100000</v>
      </c>
      <c r="J12" s="9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s="51" customFormat="1" ht="36.75" customHeight="1" x14ac:dyDescent="0.2">
      <c r="A13" s="20">
        <v>4</v>
      </c>
      <c r="B13" s="20" t="s">
        <v>26</v>
      </c>
      <c r="C13" s="22" t="s">
        <v>16</v>
      </c>
      <c r="D13" s="21" t="s">
        <v>17</v>
      </c>
      <c r="E13" s="25" t="s">
        <v>27</v>
      </c>
      <c r="F13" s="20" t="s">
        <v>19</v>
      </c>
      <c r="G13" s="23">
        <v>30000</v>
      </c>
      <c r="H13" s="24">
        <v>7.2</v>
      </c>
      <c r="I13" s="113">
        <f t="shared" si="0"/>
        <v>216000</v>
      </c>
      <c r="J13" s="9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s="51" customFormat="1" ht="36.75" customHeight="1" x14ac:dyDescent="0.2">
      <c r="A14" s="20">
        <v>5</v>
      </c>
      <c r="B14" s="21" t="s">
        <v>29</v>
      </c>
      <c r="C14" s="22" t="s">
        <v>16</v>
      </c>
      <c r="D14" s="21" t="s">
        <v>17</v>
      </c>
      <c r="E14" s="25" t="s">
        <v>30</v>
      </c>
      <c r="F14" s="20" t="s">
        <v>25</v>
      </c>
      <c r="G14" s="23">
        <v>500</v>
      </c>
      <c r="H14" s="24">
        <v>958</v>
      </c>
      <c r="I14" s="113">
        <f t="shared" si="0"/>
        <v>479000</v>
      </c>
      <c r="J14" s="9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51" customFormat="1" ht="36.75" customHeight="1" x14ac:dyDescent="0.2">
      <c r="A15" s="20">
        <v>6</v>
      </c>
      <c r="B15" s="20" t="s">
        <v>31</v>
      </c>
      <c r="C15" s="22" t="s">
        <v>16</v>
      </c>
      <c r="D15" s="21" t="s">
        <v>17</v>
      </c>
      <c r="E15" s="26" t="s">
        <v>32</v>
      </c>
      <c r="F15" s="20" t="s">
        <v>28</v>
      </c>
      <c r="G15" s="23">
        <v>50</v>
      </c>
      <c r="H15" s="24">
        <v>1100</v>
      </c>
      <c r="I15" s="113">
        <f t="shared" si="0"/>
        <v>55000</v>
      </c>
      <c r="J15" s="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51" customFormat="1" ht="36.75" customHeight="1" x14ac:dyDescent="0.2">
      <c r="A16" s="20">
        <v>7</v>
      </c>
      <c r="B16" s="20" t="s">
        <v>33</v>
      </c>
      <c r="C16" s="22" t="s">
        <v>16</v>
      </c>
      <c r="D16" s="21" t="s">
        <v>17</v>
      </c>
      <c r="E16" s="27" t="s">
        <v>34</v>
      </c>
      <c r="F16" s="20" t="s">
        <v>19</v>
      </c>
      <c r="G16" s="23">
        <v>6000</v>
      </c>
      <c r="H16" s="24">
        <v>4.3</v>
      </c>
      <c r="I16" s="113">
        <f t="shared" si="0"/>
        <v>25800</v>
      </c>
      <c r="J16" s="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s="51" customFormat="1" ht="36.75" customHeight="1" x14ac:dyDescent="0.2">
      <c r="A17" s="20">
        <v>8</v>
      </c>
      <c r="B17" s="20" t="s">
        <v>35</v>
      </c>
      <c r="C17" s="22" t="s">
        <v>16</v>
      </c>
      <c r="D17" s="21" t="s">
        <v>17</v>
      </c>
      <c r="E17" s="27" t="s">
        <v>36</v>
      </c>
      <c r="F17" s="20" t="s">
        <v>19</v>
      </c>
      <c r="G17" s="23">
        <v>50000</v>
      </c>
      <c r="H17" s="24">
        <v>5.87</v>
      </c>
      <c r="I17" s="113">
        <f t="shared" si="0"/>
        <v>293500</v>
      </c>
      <c r="J17" s="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s="51" customFormat="1" ht="36.75" customHeight="1" x14ac:dyDescent="0.2">
      <c r="A18" s="20">
        <v>9</v>
      </c>
      <c r="B18" s="44" t="s">
        <v>37</v>
      </c>
      <c r="C18" s="45" t="s">
        <v>16</v>
      </c>
      <c r="D18" s="46" t="s">
        <v>17</v>
      </c>
      <c r="E18" s="47" t="s">
        <v>38</v>
      </c>
      <c r="F18" s="44" t="s">
        <v>28</v>
      </c>
      <c r="G18" s="48">
        <v>200</v>
      </c>
      <c r="H18" s="49">
        <v>1850</v>
      </c>
      <c r="I18" s="113">
        <f t="shared" si="0"/>
        <v>370000</v>
      </c>
      <c r="J18" s="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s="51" customFormat="1" ht="36.75" customHeight="1" x14ac:dyDescent="0.2">
      <c r="A19" s="130">
        <v>10</v>
      </c>
      <c r="B19" s="138" t="s">
        <v>104</v>
      </c>
      <c r="C19" s="139" t="s">
        <v>16</v>
      </c>
      <c r="D19" s="140" t="s">
        <v>17</v>
      </c>
      <c r="E19" s="141" t="s">
        <v>105</v>
      </c>
      <c r="F19" s="138" t="s">
        <v>97</v>
      </c>
      <c r="G19" s="142">
        <v>5</v>
      </c>
      <c r="H19" s="143">
        <v>1199</v>
      </c>
      <c r="I19" s="131">
        <f t="shared" si="0"/>
        <v>5995</v>
      </c>
      <c r="J19" s="107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s="51" customFormat="1" ht="36.75" customHeight="1" thickBot="1" x14ac:dyDescent="0.25">
      <c r="A20" s="44">
        <v>11</v>
      </c>
      <c r="B20" s="132" t="s">
        <v>39</v>
      </c>
      <c r="C20" s="133" t="s">
        <v>16</v>
      </c>
      <c r="D20" s="134" t="s">
        <v>17</v>
      </c>
      <c r="E20" s="135" t="s">
        <v>40</v>
      </c>
      <c r="F20" s="132" t="s">
        <v>28</v>
      </c>
      <c r="G20" s="136">
        <v>700</v>
      </c>
      <c r="H20" s="137">
        <v>950</v>
      </c>
      <c r="I20" s="113">
        <f t="shared" si="0"/>
        <v>665000</v>
      </c>
      <c r="J20" s="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s="52" customFormat="1" ht="27" customHeight="1" thickBot="1" x14ac:dyDescent="0.25">
      <c r="A21" s="146" t="s">
        <v>91</v>
      </c>
      <c r="B21" s="147"/>
      <c r="C21" s="147"/>
      <c r="D21" s="147"/>
      <c r="E21" s="147"/>
      <c r="F21" s="147"/>
      <c r="G21" s="147"/>
      <c r="H21" s="148"/>
      <c r="I21" s="110">
        <f>SUM(I10:I20)</f>
        <v>2228995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2.75" customHeight="1" x14ac:dyDescent="0.2">
      <c r="A22" s="10"/>
      <c r="B22" s="10"/>
      <c r="C22" s="10"/>
      <c r="D22" s="10"/>
      <c r="E22" s="10"/>
      <c r="F22" s="10"/>
      <c r="G22" s="10"/>
      <c r="H22" s="10"/>
      <c r="I22" s="114"/>
      <c r="J22" s="5"/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thickBot="1" x14ac:dyDescent="0.25">
      <c r="A23" s="10"/>
      <c r="B23" s="10"/>
      <c r="C23" s="10"/>
      <c r="D23" s="10"/>
      <c r="E23" s="10"/>
      <c r="F23" s="10"/>
      <c r="G23" s="10"/>
      <c r="H23" s="10"/>
      <c r="I23" s="114"/>
      <c r="J23" s="5"/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05" customHeight="1" x14ac:dyDescent="0.2">
      <c r="A24" s="10"/>
      <c r="B24" s="10"/>
      <c r="C24" s="34" t="s">
        <v>83</v>
      </c>
      <c r="D24" s="144" t="s">
        <v>84</v>
      </c>
      <c r="E24" s="145"/>
      <c r="F24" s="10"/>
      <c r="G24" s="10"/>
      <c r="H24" s="10"/>
      <c r="I24" s="114"/>
      <c r="J24" s="5"/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10"/>
      <c r="B25" s="10"/>
      <c r="C25" s="35"/>
      <c r="D25" s="36"/>
      <c r="E25" s="42"/>
      <c r="F25" s="10"/>
      <c r="G25" s="10"/>
      <c r="H25" s="10"/>
      <c r="I25" s="114"/>
      <c r="J25" s="5"/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10"/>
      <c r="B26" s="10"/>
      <c r="C26" s="35" t="s">
        <v>85</v>
      </c>
      <c r="D26" s="37" t="s">
        <v>86</v>
      </c>
      <c r="E26" s="42"/>
      <c r="F26" s="10"/>
      <c r="G26" s="10"/>
      <c r="H26" s="10"/>
      <c r="I26" s="114"/>
      <c r="J26" s="5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s="10"/>
      <c r="B27" s="10"/>
      <c r="C27" s="35"/>
      <c r="D27" s="38"/>
      <c r="E27" s="42"/>
      <c r="F27" s="10"/>
      <c r="G27" s="10"/>
      <c r="H27" s="10"/>
      <c r="I27" s="114"/>
      <c r="J27" s="5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7.75" customHeight="1" x14ac:dyDescent="0.2">
      <c r="A28" s="10"/>
      <c r="B28" s="10"/>
      <c r="C28" s="35" t="s">
        <v>87</v>
      </c>
      <c r="D28" s="163" t="s">
        <v>100</v>
      </c>
      <c r="E28" s="164"/>
      <c r="F28" s="10"/>
      <c r="G28" s="10"/>
      <c r="H28" s="10"/>
      <c r="I28" s="114"/>
      <c r="J28" s="5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s="102" customFormat="1" ht="28.5" customHeight="1" x14ac:dyDescent="0.2">
      <c r="A29" s="122"/>
      <c r="B29" s="122"/>
      <c r="C29" s="35"/>
      <c r="D29" s="163" t="s">
        <v>110</v>
      </c>
      <c r="E29" s="164"/>
      <c r="F29" s="122"/>
      <c r="G29" s="122"/>
      <c r="H29" s="122"/>
      <c r="I29" s="123"/>
      <c r="J29" s="124"/>
      <c r="K29" s="108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</row>
    <row r="30" spans="1:26" ht="12.75" customHeight="1" x14ac:dyDescent="0.2">
      <c r="A30" s="10"/>
      <c r="B30" s="10"/>
      <c r="C30" s="35"/>
      <c r="D30" s="39"/>
      <c r="E30" s="42"/>
      <c r="F30" s="10"/>
      <c r="G30" s="10"/>
      <c r="H30" s="10"/>
      <c r="I30" s="114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10"/>
      <c r="B31" s="10"/>
      <c r="C31" s="125" t="s">
        <v>88</v>
      </c>
      <c r="D31" s="40"/>
      <c r="E31" s="42"/>
      <c r="F31" s="10"/>
      <c r="G31" s="10"/>
      <c r="H31" s="10"/>
      <c r="I31" s="114"/>
      <c r="J31" s="5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10"/>
      <c r="B32" s="10"/>
      <c r="C32" s="125"/>
      <c r="D32" s="40"/>
      <c r="E32" s="42"/>
      <c r="F32" s="10"/>
      <c r="G32" s="10"/>
      <c r="H32" s="10"/>
      <c r="I32" s="114"/>
      <c r="J32" s="5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10"/>
      <c r="B33" s="10"/>
      <c r="C33" s="125" t="s">
        <v>89</v>
      </c>
      <c r="D33" s="127" t="s">
        <v>90</v>
      </c>
      <c r="E33" s="42"/>
      <c r="F33" s="10"/>
      <c r="G33" s="10"/>
      <c r="H33" s="10"/>
      <c r="I33" s="114"/>
      <c r="J33" s="5"/>
      <c r="K33" s="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s="102" customFormat="1" ht="12.75" customHeight="1" thickBot="1" x14ac:dyDescent="0.25">
      <c r="A34" s="122"/>
      <c r="B34" s="122"/>
      <c r="C34" s="126"/>
      <c r="D34" s="41"/>
      <c r="E34" s="43"/>
      <c r="F34" s="122"/>
      <c r="G34" s="122"/>
      <c r="H34" s="122"/>
      <c r="I34" s="123"/>
      <c r="J34" s="124"/>
      <c r="K34" s="108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</row>
    <row r="35" spans="1:26" ht="12.75" customHeight="1" thickBot="1" x14ac:dyDescent="0.25">
      <c r="A35" s="10"/>
      <c r="B35" s="10"/>
      <c r="C35" s="10"/>
      <c r="D35" s="10"/>
      <c r="E35" s="10"/>
      <c r="F35" s="10"/>
      <c r="G35" s="10"/>
      <c r="H35" s="10"/>
      <c r="I35" s="114"/>
      <c r="J35" s="5"/>
      <c r="K35" s="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thickBot="1" x14ac:dyDescent="0.25">
      <c r="A36" s="10"/>
      <c r="B36" s="10"/>
      <c r="C36" s="115" t="s">
        <v>109</v>
      </c>
      <c r="D36" s="116"/>
      <c r="E36" s="116"/>
      <c r="F36" s="116"/>
      <c r="G36" s="10"/>
      <c r="H36" s="10"/>
      <c r="I36" s="114"/>
      <c r="J36" s="5"/>
      <c r="K36" s="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x14ac:dyDescent="0.2">
      <c r="A37" s="10"/>
      <c r="B37" s="10"/>
      <c r="C37" s="154" t="s">
        <v>108</v>
      </c>
      <c r="D37" s="155"/>
      <c r="E37" s="155"/>
      <c r="F37" s="156"/>
      <c r="G37" s="10"/>
      <c r="H37" s="10"/>
      <c r="I37" s="114"/>
      <c r="J37" s="5"/>
      <c r="K37" s="6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10"/>
      <c r="B38" s="10"/>
      <c r="C38" s="157" t="s">
        <v>101</v>
      </c>
      <c r="D38" s="158"/>
      <c r="E38" s="158"/>
      <c r="F38" s="159"/>
      <c r="G38" s="10"/>
      <c r="H38" s="10"/>
      <c r="I38" s="114"/>
      <c r="J38" s="5"/>
      <c r="K38" s="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10"/>
      <c r="B39" s="10"/>
      <c r="C39" s="160"/>
      <c r="D39" s="158"/>
      <c r="E39" s="158"/>
      <c r="F39" s="159"/>
      <c r="G39" s="10"/>
      <c r="H39" s="10"/>
      <c r="I39" s="114"/>
      <c r="J39" s="5"/>
      <c r="K39" s="6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10"/>
      <c r="B40" s="10"/>
      <c r="C40" s="157" t="s">
        <v>102</v>
      </c>
      <c r="D40" s="158"/>
      <c r="E40" s="158"/>
      <c r="F40" s="159"/>
      <c r="G40" s="10"/>
      <c r="H40" s="10"/>
      <c r="I40" s="114"/>
      <c r="J40" s="5"/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10"/>
      <c r="B41" s="10"/>
      <c r="C41" s="161" t="s">
        <v>98</v>
      </c>
      <c r="D41" s="162"/>
      <c r="E41" s="117"/>
      <c r="F41" s="118"/>
      <c r="G41" s="10"/>
      <c r="H41" s="10"/>
      <c r="I41" s="114"/>
      <c r="J41" s="5"/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thickBot="1" x14ac:dyDescent="0.25">
      <c r="A42" s="10"/>
      <c r="B42" s="10"/>
      <c r="C42" s="119" t="s">
        <v>99</v>
      </c>
      <c r="D42" s="120"/>
      <c r="E42" s="120"/>
      <c r="F42" s="121"/>
      <c r="G42" s="10"/>
      <c r="H42" s="10"/>
      <c r="I42" s="114"/>
      <c r="J42" s="5"/>
      <c r="K42" s="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10"/>
      <c r="B43" s="10"/>
      <c r="C43" s="10"/>
      <c r="D43" s="10"/>
      <c r="E43" s="10"/>
      <c r="F43" s="10"/>
      <c r="G43" s="10"/>
      <c r="H43" s="10"/>
      <c r="I43" s="114"/>
      <c r="J43" s="5"/>
      <c r="K43" s="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10"/>
      <c r="B44" s="10"/>
      <c r="C44" s="10"/>
      <c r="D44" s="10"/>
      <c r="E44" s="10"/>
      <c r="F44" s="10"/>
      <c r="G44" s="10"/>
      <c r="H44" s="10"/>
      <c r="I44" s="114"/>
      <c r="J44" s="5"/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10"/>
      <c r="B45" s="10"/>
      <c r="C45" s="10"/>
      <c r="D45" s="10"/>
      <c r="E45" s="10"/>
      <c r="F45" s="10"/>
      <c r="G45" s="10"/>
      <c r="H45" s="10"/>
      <c r="I45" s="114"/>
      <c r="J45" s="5"/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10"/>
      <c r="B46" s="10"/>
      <c r="C46" s="10"/>
      <c r="D46" s="10"/>
      <c r="E46" s="10"/>
      <c r="F46" s="10"/>
      <c r="G46" s="10"/>
      <c r="H46" s="10"/>
      <c r="I46" s="114"/>
      <c r="J46" s="5"/>
      <c r="K46" s="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10"/>
      <c r="B47" s="10"/>
      <c r="C47" s="10"/>
      <c r="D47" s="10"/>
      <c r="E47" s="10"/>
      <c r="F47" s="10"/>
      <c r="G47" s="10"/>
      <c r="H47" s="10"/>
      <c r="I47" s="114"/>
      <c r="J47" s="5"/>
      <c r="K47" s="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10"/>
      <c r="B48" s="10"/>
      <c r="C48" s="10"/>
      <c r="D48" s="10"/>
      <c r="E48" s="10"/>
      <c r="F48" s="10"/>
      <c r="G48" s="10"/>
      <c r="H48" s="10"/>
      <c r="I48" s="114"/>
      <c r="J48" s="5"/>
      <c r="K48" s="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10"/>
      <c r="B49" s="10"/>
      <c r="C49" s="10"/>
      <c r="D49" s="10"/>
      <c r="E49" s="10"/>
      <c r="F49" s="10"/>
      <c r="G49" s="10"/>
      <c r="H49" s="10"/>
      <c r="I49" s="114"/>
      <c r="J49" s="5"/>
      <c r="K49" s="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10"/>
      <c r="B50" s="10"/>
      <c r="C50" s="10"/>
      <c r="D50" s="10"/>
      <c r="E50" s="10"/>
      <c r="F50" s="10"/>
      <c r="G50" s="10"/>
      <c r="H50" s="10"/>
      <c r="I50" s="114"/>
      <c r="J50" s="5"/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10"/>
      <c r="B51" s="10"/>
      <c r="C51" s="10"/>
      <c r="D51" s="10"/>
      <c r="E51" s="10"/>
      <c r="F51" s="10"/>
      <c r="G51" s="10"/>
      <c r="H51" s="10"/>
      <c r="I51" s="114"/>
      <c r="J51" s="5"/>
      <c r="K51" s="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10"/>
      <c r="B52" s="10"/>
      <c r="C52" s="10"/>
      <c r="D52" s="10"/>
      <c r="E52" s="10"/>
      <c r="F52" s="10"/>
      <c r="G52" s="10"/>
      <c r="H52" s="10"/>
      <c r="I52" s="114"/>
      <c r="J52" s="5"/>
      <c r="K52" s="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10"/>
      <c r="B53" s="10"/>
      <c r="C53" s="10"/>
      <c r="D53" s="10"/>
      <c r="E53" s="10"/>
      <c r="F53" s="10"/>
      <c r="G53" s="10"/>
      <c r="H53" s="10"/>
      <c r="I53" s="114"/>
      <c r="J53" s="5"/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10"/>
      <c r="B54" s="10"/>
      <c r="C54" s="10"/>
      <c r="D54" s="10"/>
      <c r="E54" s="10"/>
      <c r="F54" s="10"/>
      <c r="G54" s="10"/>
      <c r="H54" s="10"/>
      <c r="I54" s="114"/>
      <c r="J54" s="5"/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10"/>
      <c r="B55" s="10"/>
      <c r="C55" s="10"/>
      <c r="D55" s="10"/>
      <c r="E55" s="10"/>
      <c r="F55" s="10"/>
      <c r="G55" s="10"/>
      <c r="H55" s="10"/>
      <c r="I55" s="114"/>
      <c r="J55" s="5"/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10"/>
      <c r="B56" s="10"/>
      <c r="C56" s="10"/>
      <c r="D56" s="10"/>
      <c r="E56" s="10"/>
      <c r="F56" s="10"/>
      <c r="G56" s="10"/>
      <c r="H56" s="10"/>
      <c r="I56" s="114"/>
      <c r="J56" s="5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10"/>
      <c r="B57" s="10"/>
      <c r="C57" s="10"/>
      <c r="D57" s="10"/>
      <c r="E57" s="10"/>
      <c r="F57" s="10"/>
      <c r="G57" s="10"/>
      <c r="H57" s="10"/>
      <c r="I57" s="114"/>
      <c r="J57" s="5"/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10"/>
      <c r="B58" s="10"/>
      <c r="C58" s="10"/>
      <c r="D58" s="10"/>
      <c r="E58" s="10"/>
      <c r="F58" s="10"/>
      <c r="G58" s="10"/>
      <c r="H58" s="10"/>
      <c r="I58" s="114"/>
      <c r="J58" s="5"/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10"/>
      <c r="B59" s="10"/>
      <c r="C59" s="10"/>
      <c r="D59" s="10"/>
      <c r="E59" s="10"/>
      <c r="F59" s="10"/>
      <c r="G59" s="10"/>
      <c r="H59" s="10"/>
      <c r="I59" s="114"/>
      <c r="J59" s="5"/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10"/>
      <c r="B60" s="10"/>
      <c r="C60" s="10"/>
      <c r="D60" s="10"/>
      <c r="E60" s="10"/>
      <c r="F60" s="10"/>
      <c r="G60" s="10"/>
      <c r="H60" s="10"/>
      <c r="I60" s="114"/>
      <c r="J60" s="5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10"/>
      <c r="B61" s="10"/>
      <c r="C61" s="10"/>
      <c r="D61" s="10"/>
      <c r="E61" s="10"/>
      <c r="F61" s="10"/>
      <c r="G61" s="10"/>
      <c r="H61" s="10"/>
      <c r="I61" s="114"/>
      <c r="J61" s="5"/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10"/>
      <c r="B62" s="10"/>
      <c r="C62" s="10"/>
      <c r="D62" s="10"/>
      <c r="E62" s="10"/>
      <c r="F62" s="10"/>
      <c r="G62" s="10"/>
      <c r="H62" s="10"/>
      <c r="I62" s="114"/>
      <c r="J62" s="5"/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10"/>
      <c r="B63" s="10"/>
      <c r="C63" s="10"/>
      <c r="D63" s="10"/>
      <c r="E63" s="10"/>
      <c r="F63" s="10"/>
      <c r="G63" s="10"/>
      <c r="H63" s="10"/>
      <c r="I63" s="114"/>
      <c r="J63" s="5"/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10"/>
      <c r="B64" s="10"/>
      <c r="C64" s="10"/>
      <c r="D64" s="10"/>
      <c r="E64" s="10"/>
      <c r="F64" s="10"/>
      <c r="G64" s="10"/>
      <c r="H64" s="10"/>
      <c r="I64" s="114"/>
      <c r="J64" s="5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10"/>
      <c r="B65" s="10"/>
      <c r="C65" s="10"/>
      <c r="D65" s="10"/>
      <c r="E65" s="10"/>
      <c r="F65" s="10"/>
      <c r="G65" s="10"/>
      <c r="H65" s="10"/>
      <c r="I65" s="114"/>
      <c r="J65" s="5"/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10"/>
      <c r="B66" s="10"/>
      <c r="C66" s="10"/>
      <c r="D66" s="10"/>
      <c r="E66" s="10"/>
      <c r="F66" s="10"/>
      <c r="G66" s="10"/>
      <c r="H66" s="10"/>
      <c r="I66" s="114"/>
      <c r="J66" s="5"/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10"/>
      <c r="B67" s="10"/>
      <c r="C67" s="10"/>
      <c r="D67" s="10"/>
      <c r="E67" s="10"/>
      <c r="F67" s="10"/>
      <c r="G67" s="10"/>
      <c r="H67" s="10"/>
      <c r="I67" s="114"/>
      <c r="J67" s="5"/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10"/>
      <c r="B68" s="10"/>
      <c r="C68" s="10"/>
      <c r="D68" s="10"/>
      <c r="E68" s="10"/>
      <c r="F68" s="10"/>
      <c r="G68" s="10"/>
      <c r="H68" s="10"/>
      <c r="I68" s="114"/>
      <c r="J68" s="5"/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10"/>
      <c r="B69" s="10"/>
      <c r="C69" s="10"/>
      <c r="D69" s="10"/>
      <c r="E69" s="10"/>
      <c r="F69" s="10"/>
      <c r="G69" s="10"/>
      <c r="H69" s="10"/>
      <c r="I69" s="114"/>
      <c r="J69" s="5"/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10"/>
      <c r="B70" s="10"/>
      <c r="C70" s="10"/>
      <c r="D70" s="10"/>
      <c r="E70" s="10"/>
      <c r="F70" s="10"/>
      <c r="G70" s="10"/>
      <c r="H70" s="10"/>
      <c r="I70" s="114"/>
      <c r="J70" s="5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10"/>
      <c r="B71" s="10"/>
      <c r="C71" s="10"/>
      <c r="D71" s="10"/>
      <c r="E71" s="10"/>
      <c r="F71" s="10"/>
      <c r="G71" s="10"/>
      <c r="H71" s="10"/>
      <c r="I71" s="114"/>
      <c r="J71" s="5"/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10"/>
      <c r="B72" s="10"/>
      <c r="C72" s="10"/>
      <c r="D72" s="10"/>
      <c r="E72" s="10"/>
      <c r="F72" s="10"/>
      <c r="G72" s="10"/>
      <c r="H72" s="10"/>
      <c r="I72" s="114"/>
      <c r="J72" s="5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10"/>
      <c r="B73" s="10"/>
      <c r="C73" s="10"/>
      <c r="D73" s="10"/>
      <c r="E73" s="10"/>
      <c r="F73" s="10"/>
      <c r="G73" s="10"/>
      <c r="H73" s="10"/>
      <c r="I73" s="114"/>
      <c r="J73" s="5"/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10"/>
      <c r="B74" s="10"/>
      <c r="C74" s="10"/>
      <c r="D74" s="10"/>
      <c r="E74" s="10"/>
      <c r="F74" s="10"/>
      <c r="G74" s="10"/>
      <c r="H74" s="10"/>
      <c r="I74" s="114"/>
      <c r="J74" s="5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10"/>
      <c r="B75" s="10"/>
      <c r="C75" s="10"/>
      <c r="D75" s="10"/>
      <c r="E75" s="10"/>
      <c r="F75" s="10"/>
      <c r="G75" s="10"/>
      <c r="H75" s="10"/>
      <c r="I75" s="114"/>
      <c r="J75" s="5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10"/>
      <c r="B76" s="10"/>
      <c r="C76" s="10"/>
      <c r="D76" s="10"/>
      <c r="E76" s="10"/>
      <c r="F76" s="10"/>
      <c r="G76" s="10"/>
      <c r="H76" s="10"/>
      <c r="I76" s="114"/>
      <c r="J76" s="5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10"/>
      <c r="B77" s="10"/>
      <c r="C77" s="10"/>
      <c r="D77" s="10"/>
      <c r="E77" s="10"/>
      <c r="F77" s="10"/>
      <c r="G77" s="10"/>
      <c r="H77" s="10"/>
      <c r="I77" s="114"/>
      <c r="J77" s="5"/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10"/>
      <c r="B78" s="10"/>
      <c r="C78" s="10"/>
      <c r="D78" s="10"/>
      <c r="E78" s="10"/>
      <c r="F78" s="10"/>
      <c r="G78" s="10"/>
      <c r="H78" s="10"/>
      <c r="I78" s="114"/>
      <c r="J78" s="5"/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10"/>
      <c r="B79" s="10"/>
      <c r="C79" s="10"/>
      <c r="D79" s="10"/>
      <c r="E79" s="10"/>
      <c r="F79" s="10"/>
      <c r="G79" s="10"/>
      <c r="H79" s="10"/>
      <c r="I79" s="114"/>
      <c r="J79" s="5"/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10"/>
      <c r="B80" s="10"/>
      <c r="C80" s="10"/>
      <c r="D80" s="10"/>
      <c r="E80" s="10"/>
      <c r="F80" s="10"/>
      <c r="G80" s="10"/>
      <c r="H80" s="10"/>
      <c r="I80" s="114"/>
      <c r="J80" s="5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10"/>
      <c r="B81" s="10"/>
      <c r="C81" s="10"/>
      <c r="D81" s="10"/>
      <c r="E81" s="10"/>
      <c r="F81" s="10"/>
      <c r="G81" s="10"/>
      <c r="H81" s="10"/>
      <c r="I81" s="114"/>
      <c r="J81" s="5"/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10"/>
      <c r="B82" s="10"/>
      <c r="C82" s="10"/>
      <c r="D82" s="10"/>
      <c r="E82" s="10"/>
      <c r="F82" s="10"/>
      <c r="G82" s="10"/>
      <c r="H82" s="10"/>
      <c r="I82" s="114"/>
      <c r="J82" s="5"/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10"/>
      <c r="B83" s="10"/>
      <c r="C83" s="10"/>
      <c r="D83" s="10"/>
      <c r="E83" s="10"/>
      <c r="F83" s="10"/>
      <c r="G83" s="10"/>
      <c r="H83" s="10"/>
      <c r="I83" s="114"/>
      <c r="J83" s="5"/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10"/>
      <c r="B84" s="10"/>
      <c r="C84" s="10"/>
      <c r="D84" s="10"/>
      <c r="E84" s="10"/>
      <c r="F84" s="10"/>
      <c r="G84" s="10"/>
      <c r="H84" s="10"/>
      <c r="I84" s="114"/>
      <c r="J84" s="5"/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10"/>
      <c r="B85" s="10"/>
      <c r="C85" s="10"/>
      <c r="D85" s="10"/>
      <c r="E85" s="10"/>
      <c r="F85" s="10"/>
      <c r="G85" s="10"/>
      <c r="H85" s="10"/>
      <c r="I85" s="114"/>
      <c r="J85" s="5"/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10"/>
      <c r="B86" s="10"/>
      <c r="C86" s="10"/>
      <c r="D86" s="10"/>
      <c r="E86" s="10"/>
      <c r="F86" s="10"/>
      <c r="G86" s="10"/>
      <c r="H86" s="10"/>
      <c r="I86" s="114"/>
      <c r="J86" s="5"/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10"/>
      <c r="B87" s="10"/>
      <c r="C87" s="10"/>
      <c r="D87" s="10"/>
      <c r="E87" s="10"/>
      <c r="F87" s="10"/>
      <c r="G87" s="10"/>
      <c r="H87" s="10"/>
      <c r="I87" s="114"/>
      <c r="J87" s="5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10"/>
      <c r="B88" s="10"/>
      <c r="C88" s="10"/>
      <c r="D88" s="10"/>
      <c r="E88" s="10"/>
      <c r="F88" s="10"/>
      <c r="G88" s="10"/>
      <c r="H88" s="10"/>
      <c r="I88" s="114"/>
      <c r="J88" s="5"/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10"/>
      <c r="B89" s="10"/>
      <c r="C89" s="10"/>
      <c r="D89" s="10"/>
      <c r="E89" s="10"/>
      <c r="F89" s="10"/>
      <c r="G89" s="10"/>
      <c r="H89" s="10"/>
      <c r="I89" s="114"/>
      <c r="J89" s="5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10"/>
      <c r="B90" s="10"/>
      <c r="C90" s="10"/>
      <c r="D90" s="10"/>
      <c r="E90" s="10"/>
      <c r="F90" s="10"/>
      <c r="G90" s="10"/>
      <c r="H90" s="10"/>
      <c r="I90" s="114"/>
      <c r="J90" s="5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10"/>
      <c r="B91" s="10"/>
      <c r="C91" s="10"/>
      <c r="D91" s="10"/>
      <c r="E91" s="10"/>
      <c r="F91" s="10"/>
      <c r="G91" s="10"/>
      <c r="H91" s="10"/>
      <c r="I91" s="114"/>
      <c r="J91" s="5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10"/>
      <c r="B92" s="10"/>
      <c r="C92" s="10"/>
      <c r="D92" s="10"/>
      <c r="E92" s="10"/>
      <c r="F92" s="10"/>
      <c r="G92" s="10"/>
      <c r="H92" s="10"/>
      <c r="I92" s="114"/>
      <c r="J92" s="5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10"/>
      <c r="B93" s="10"/>
      <c r="C93" s="10"/>
      <c r="D93" s="10"/>
      <c r="E93" s="10"/>
      <c r="F93" s="10"/>
      <c r="G93" s="10"/>
      <c r="H93" s="10"/>
      <c r="I93" s="114"/>
      <c r="J93" s="5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10"/>
      <c r="B94" s="10"/>
      <c r="C94" s="10"/>
      <c r="D94" s="10"/>
      <c r="E94" s="10"/>
      <c r="F94" s="10"/>
      <c r="G94" s="10"/>
      <c r="H94" s="10"/>
      <c r="I94" s="114"/>
      <c r="J94" s="5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10"/>
      <c r="B95" s="10"/>
      <c r="C95" s="10"/>
      <c r="D95" s="10"/>
      <c r="E95" s="10"/>
      <c r="F95" s="10"/>
      <c r="G95" s="10"/>
      <c r="H95" s="10"/>
      <c r="I95" s="114"/>
      <c r="J95" s="5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10"/>
      <c r="B96" s="10"/>
      <c r="C96" s="10"/>
      <c r="D96" s="10"/>
      <c r="E96" s="10"/>
      <c r="F96" s="10"/>
      <c r="G96" s="10"/>
      <c r="H96" s="10"/>
      <c r="I96" s="114"/>
      <c r="J96" s="5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10"/>
      <c r="B97" s="10"/>
      <c r="C97" s="10"/>
      <c r="D97" s="10"/>
      <c r="E97" s="10"/>
      <c r="F97" s="10"/>
      <c r="G97" s="10"/>
      <c r="H97" s="10"/>
      <c r="I97" s="114"/>
      <c r="J97" s="5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10"/>
      <c r="B98" s="10"/>
      <c r="C98" s="10"/>
      <c r="D98" s="10"/>
      <c r="E98" s="10"/>
      <c r="F98" s="10"/>
      <c r="G98" s="10"/>
      <c r="H98" s="10"/>
      <c r="I98" s="114"/>
      <c r="J98" s="5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10"/>
      <c r="B99" s="10"/>
      <c r="C99" s="10"/>
      <c r="D99" s="10"/>
      <c r="E99" s="10"/>
      <c r="F99" s="10"/>
      <c r="G99" s="10"/>
      <c r="H99" s="10"/>
      <c r="I99" s="114"/>
      <c r="J99" s="5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14"/>
      <c r="J100" s="5"/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14"/>
      <c r="J101" s="5"/>
      <c r="K101" s="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14"/>
      <c r="J102" s="5"/>
      <c r="K102" s="6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14"/>
      <c r="J103" s="5"/>
      <c r="K103" s="6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14"/>
      <c r="J104" s="5"/>
      <c r="K104" s="6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14"/>
      <c r="J105" s="5"/>
      <c r="K105" s="6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14"/>
      <c r="J106" s="5"/>
      <c r="K106" s="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14"/>
      <c r="J107" s="5"/>
      <c r="K107" s="6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14"/>
      <c r="J108" s="5"/>
      <c r="K108" s="6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14"/>
      <c r="J109" s="5"/>
      <c r="K109" s="6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14"/>
      <c r="J110" s="5"/>
      <c r="K110" s="6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14"/>
      <c r="J111" s="5"/>
      <c r="K111" s="6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14"/>
      <c r="J112" s="5"/>
      <c r="K112" s="6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14"/>
      <c r="J113" s="5"/>
      <c r="K113" s="6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14"/>
      <c r="J114" s="5"/>
      <c r="K114" s="6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14"/>
      <c r="J115" s="5"/>
      <c r="K115" s="6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14"/>
      <c r="J116" s="5"/>
      <c r="K116" s="6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14"/>
      <c r="J117" s="5"/>
      <c r="K117" s="6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14"/>
      <c r="J118" s="5"/>
      <c r="K118" s="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14"/>
      <c r="J119" s="5"/>
      <c r="K119" s="6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14"/>
      <c r="J120" s="5"/>
      <c r="K120" s="6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14"/>
      <c r="J121" s="5"/>
      <c r="K121" s="6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14"/>
      <c r="J122" s="5"/>
      <c r="K122" s="6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14"/>
      <c r="J123" s="5"/>
      <c r="K123" s="6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14"/>
      <c r="J124" s="5"/>
      <c r="K124" s="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14"/>
      <c r="J125" s="5"/>
      <c r="K125" s="6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14"/>
      <c r="J126" s="5"/>
      <c r="K126" s="6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14"/>
      <c r="J127" s="5"/>
      <c r="K127" s="6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14"/>
      <c r="J128" s="5"/>
      <c r="K128" s="6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14"/>
      <c r="J129" s="5"/>
      <c r="K129" s="6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14"/>
      <c r="J130" s="5"/>
      <c r="K130" s="6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14"/>
      <c r="J131" s="5"/>
      <c r="K131" s="6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14"/>
      <c r="J132" s="5"/>
      <c r="K132" s="6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14"/>
      <c r="J133" s="5"/>
      <c r="K133" s="6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14"/>
      <c r="J134" s="5"/>
      <c r="K134" s="6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14"/>
      <c r="J135" s="5"/>
      <c r="K135" s="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14"/>
      <c r="J136" s="5"/>
      <c r="K136" s="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14"/>
      <c r="J137" s="5"/>
      <c r="K137" s="6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14"/>
      <c r="J138" s="5"/>
      <c r="K138" s="6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14"/>
      <c r="J139" s="5"/>
      <c r="K139" s="6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14"/>
      <c r="J140" s="5"/>
      <c r="K140" s="6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14"/>
      <c r="J141" s="5"/>
      <c r="K141" s="6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14"/>
      <c r="J142" s="5"/>
      <c r="K142" s="6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14"/>
      <c r="J143" s="5"/>
      <c r="K143" s="6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14"/>
      <c r="J144" s="5"/>
      <c r="K144" s="6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14"/>
      <c r="J145" s="5"/>
      <c r="K145" s="6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14"/>
      <c r="J146" s="5"/>
      <c r="K146" s="6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14"/>
      <c r="J147" s="5"/>
      <c r="K147" s="6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14"/>
      <c r="J148" s="5"/>
      <c r="K148" s="6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14"/>
      <c r="J149" s="5"/>
      <c r="K149" s="6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14"/>
      <c r="J150" s="5"/>
      <c r="K150" s="6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14"/>
      <c r="J151" s="5"/>
      <c r="K151" s="6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14"/>
      <c r="J152" s="5"/>
      <c r="K152" s="6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14"/>
      <c r="J153" s="5"/>
      <c r="K153" s="6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14"/>
      <c r="J154" s="5"/>
      <c r="K154" s="6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14"/>
      <c r="J155" s="5"/>
      <c r="K155" s="6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14"/>
      <c r="J156" s="5"/>
      <c r="K156" s="6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14"/>
      <c r="J157" s="5"/>
      <c r="K157" s="6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14"/>
      <c r="J158" s="5"/>
      <c r="K158" s="6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14"/>
      <c r="J159" s="5"/>
      <c r="K159" s="6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14"/>
      <c r="J160" s="5"/>
      <c r="K160" s="6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14"/>
      <c r="J161" s="5"/>
      <c r="K161" s="6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14"/>
      <c r="J162" s="5"/>
      <c r="K162" s="6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14"/>
      <c r="J163" s="5"/>
      <c r="K163" s="6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14"/>
      <c r="J164" s="5"/>
      <c r="K164" s="6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14"/>
      <c r="J165" s="5"/>
      <c r="K165" s="6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14"/>
      <c r="J166" s="5"/>
      <c r="K166" s="6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14"/>
      <c r="J167" s="5"/>
      <c r="K167" s="6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14"/>
      <c r="J168" s="5"/>
      <c r="K168" s="6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14"/>
      <c r="J169" s="5"/>
      <c r="K169" s="6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14"/>
      <c r="J170" s="5"/>
      <c r="K170" s="6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14"/>
      <c r="J171" s="5"/>
      <c r="K171" s="6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14"/>
      <c r="J172" s="5"/>
      <c r="K172" s="6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14"/>
      <c r="J173" s="5"/>
      <c r="K173" s="6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14"/>
      <c r="J174" s="5"/>
      <c r="K174" s="6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14"/>
      <c r="J175" s="5"/>
      <c r="K175" s="6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14"/>
      <c r="J176" s="5"/>
      <c r="K176" s="6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14"/>
      <c r="J177" s="5"/>
      <c r="K177" s="6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14"/>
      <c r="J178" s="5"/>
      <c r="K178" s="6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14"/>
      <c r="J179" s="5"/>
      <c r="K179" s="6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14"/>
      <c r="J180" s="5"/>
      <c r="K180" s="6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14"/>
      <c r="J181" s="5"/>
      <c r="K181" s="6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14"/>
      <c r="J182" s="5"/>
      <c r="K182" s="6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14"/>
      <c r="J183" s="5"/>
      <c r="K183" s="6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14"/>
      <c r="J184" s="5"/>
      <c r="K184" s="6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14"/>
      <c r="J185" s="5"/>
      <c r="K185" s="6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14"/>
      <c r="J186" s="5"/>
      <c r="K186" s="6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14"/>
      <c r="J187" s="5"/>
      <c r="K187" s="6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14"/>
      <c r="J188" s="5"/>
      <c r="K188" s="6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14"/>
      <c r="J189" s="5"/>
      <c r="K189" s="6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14"/>
      <c r="J190" s="5"/>
      <c r="K190" s="6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14"/>
      <c r="J191" s="5"/>
      <c r="K191" s="6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14"/>
      <c r="J192" s="5"/>
      <c r="K192" s="6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14"/>
      <c r="J193" s="5"/>
      <c r="K193" s="6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14"/>
      <c r="J194" s="5"/>
      <c r="K194" s="6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14"/>
      <c r="J195" s="5"/>
      <c r="K195" s="6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14"/>
      <c r="J196" s="5"/>
      <c r="K196" s="6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14"/>
      <c r="J197" s="5"/>
      <c r="K197" s="6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14"/>
      <c r="J198" s="5"/>
      <c r="K198" s="6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14"/>
      <c r="J199" s="5"/>
      <c r="K199" s="6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14"/>
      <c r="J200" s="5"/>
      <c r="K200" s="6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14"/>
      <c r="J201" s="5"/>
      <c r="K201" s="6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14"/>
      <c r="J202" s="5"/>
      <c r="K202" s="6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14"/>
      <c r="J203" s="5"/>
      <c r="K203" s="6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14"/>
      <c r="J204" s="5"/>
      <c r="K204" s="6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14"/>
      <c r="J205" s="5"/>
      <c r="K205" s="6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14"/>
      <c r="J206" s="5"/>
      <c r="K206" s="6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14"/>
      <c r="J207" s="5"/>
      <c r="K207" s="6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14"/>
      <c r="J208" s="5"/>
      <c r="K208" s="6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14"/>
      <c r="J209" s="5"/>
      <c r="K209" s="6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14"/>
      <c r="J210" s="5"/>
      <c r="K210" s="6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14"/>
      <c r="J211" s="5"/>
      <c r="K211" s="6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14"/>
      <c r="J212" s="5"/>
      <c r="K212" s="6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14"/>
      <c r="J213" s="5"/>
      <c r="K213" s="6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14"/>
      <c r="J214" s="5"/>
      <c r="K214" s="6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14"/>
      <c r="J215" s="5"/>
      <c r="K215" s="6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14"/>
      <c r="J216" s="5"/>
      <c r="K216" s="6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14"/>
      <c r="J217" s="5"/>
      <c r="K217" s="6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14"/>
      <c r="J218" s="5"/>
      <c r="K218" s="6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14"/>
      <c r="J219" s="5"/>
      <c r="K219" s="6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14"/>
      <c r="J220" s="5"/>
      <c r="K220" s="6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14"/>
      <c r="J221" s="5"/>
      <c r="K221" s="6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14"/>
      <c r="J222" s="5"/>
      <c r="K222" s="6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14"/>
      <c r="J223" s="5"/>
      <c r="K223" s="6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14"/>
      <c r="J224" s="5"/>
      <c r="K224" s="6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14"/>
      <c r="J225" s="5"/>
      <c r="K225" s="6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14"/>
      <c r="J226" s="5"/>
      <c r="K226" s="6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14"/>
      <c r="J227" s="5"/>
      <c r="K227" s="6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14"/>
      <c r="J228" s="5"/>
      <c r="K228" s="6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14"/>
      <c r="J229" s="5"/>
      <c r="K229" s="6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14"/>
      <c r="J230" s="5"/>
      <c r="K230" s="6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14"/>
      <c r="J231" s="5"/>
      <c r="K231" s="6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14"/>
      <c r="J232" s="5"/>
      <c r="K232" s="6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14"/>
      <c r="J233" s="5"/>
      <c r="K233" s="6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14"/>
      <c r="J234" s="5"/>
      <c r="K234" s="6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14"/>
      <c r="J235" s="5"/>
      <c r="K235" s="6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14"/>
      <c r="J236" s="5"/>
      <c r="K236" s="6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14"/>
      <c r="J237" s="5"/>
      <c r="K237" s="6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14"/>
      <c r="J238" s="5"/>
      <c r="K238" s="6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14"/>
      <c r="J239" s="5"/>
      <c r="K239" s="6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14"/>
      <c r="J240" s="5"/>
      <c r="K240" s="6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14"/>
      <c r="J241" s="5"/>
      <c r="K241" s="6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14"/>
      <c r="J242" s="5"/>
      <c r="K242" s="6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14"/>
      <c r="J243" s="5"/>
      <c r="K243" s="6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14"/>
      <c r="J244" s="5"/>
      <c r="K244" s="6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14"/>
      <c r="J245" s="5"/>
      <c r="K245" s="6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14"/>
      <c r="J246" s="5"/>
      <c r="K246" s="6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14"/>
      <c r="J247" s="5"/>
      <c r="K247" s="6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14"/>
      <c r="J248" s="5"/>
      <c r="K248" s="6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14"/>
      <c r="J249" s="5"/>
      <c r="K249" s="6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14"/>
      <c r="J250" s="5"/>
      <c r="K250" s="6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14"/>
      <c r="J251" s="5"/>
      <c r="K251" s="6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14"/>
      <c r="J252" s="5"/>
      <c r="K252" s="6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14"/>
      <c r="J253" s="5"/>
      <c r="K253" s="6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14"/>
      <c r="J254" s="5"/>
      <c r="K254" s="6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14"/>
      <c r="J255" s="5"/>
      <c r="K255" s="6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14"/>
      <c r="J256" s="5"/>
      <c r="K256" s="6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14"/>
      <c r="J257" s="5"/>
      <c r="K257" s="6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14"/>
      <c r="J258" s="5"/>
      <c r="K258" s="6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14"/>
      <c r="J259" s="5"/>
      <c r="K259" s="6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14"/>
      <c r="J260" s="5"/>
      <c r="K260" s="6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14"/>
      <c r="J261" s="5"/>
      <c r="K261" s="6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14"/>
      <c r="J262" s="5"/>
      <c r="K262" s="6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14"/>
      <c r="J263" s="5"/>
      <c r="K263" s="6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14"/>
      <c r="J264" s="5"/>
      <c r="K264" s="6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14"/>
      <c r="J265" s="5"/>
      <c r="K265" s="6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14"/>
      <c r="J266" s="5"/>
      <c r="K266" s="6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14"/>
      <c r="J267" s="5"/>
      <c r="K267" s="6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14"/>
      <c r="J268" s="5"/>
      <c r="K268" s="6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14"/>
      <c r="J269" s="5"/>
      <c r="K269" s="6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14"/>
      <c r="J270" s="5"/>
      <c r="K270" s="6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14"/>
      <c r="J271" s="5"/>
      <c r="K271" s="6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14"/>
      <c r="J272" s="5"/>
      <c r="K272" s="6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14"/>
      <c r="J273" s="5"/>
      <c r="K273" s="6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14"/>
      <c r="J274" s="5"/>
      <c r="K274" s="6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14"/>
      <c r="J275" s="5"/>
      <c r="K275" s="6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14"/>
      <c r="J276" s="5"/>
      <c r="K276" s="6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14"/>
      <c r="J277" s="5"/>
      <c r="K277" s="6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14"/>
      <c r="J278" s="5"/>
      <c r="K278" s="6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14"/>
      <c r="J279" s="5"/>
      <c r="K279" s="6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14"/>
      <c r="J280" s="5"/>
      <c r="K280" s="6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14"/>
      <c r="J281" s="5"/>
      <c r="K281" s="6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14"/>
      <c r="J282" s="5"/>
      <c r="K282" s="6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14"/>
      <c r="J283" s="5"/>
      <c r="K283" s="6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14"/>
      <c r="J284" s="5"/>
      <c r="K284" s="6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14"/>
      <c r="J285" s="5"/>
      <c r="K285" s="6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14"/>
      <c r="J286" s="5"/>
      <c r="K286" s="6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14"/>
      <c r="J287" s="5"/>
      <c r="K287" s="6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14"/>
      <c r="J288" s="5"/>
      <c r="K288" s="6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14"/>
      <c r="J289" s="5"/>
      <c r="K289" s="6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14"/>
      <c r="J290" s="5"/>
      <c r="K290" s="6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14"/>
      <c r="J291" s="5"/>
      <c r="K291" s="6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14"/>
      <c r="J292" s="5"/>
      <c r="K292" s="6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14"/>
      <c r="J293" s="5"/>
      <c r="K293" s="6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14"/>
      <c r="J294" s="5"/>
      <c r="K294" s="6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14"/>
      <c r="J295" s="5"/>
      <c r="K295" s="6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14"/>
      <c r="J296" s="5"/>
      <c r="K296" s="6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14"/>
      <c r="J297" s="5"/>
      <c r="K297" s="6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14"/>
      <c r="J298" s="5"/>
      <c r="K298" s="6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14"/>
      <c r="J299" s="5"/>
      <c r="K299" s="6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14"/>
      <c r="J300" s="5"/>
      <c r="K300" s="6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14"/>
      <c r="J301" s="5"/>
      <c r="K301" s="6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14"/>
      <c r="J302" s="5"/>
      <c r="K302" s="6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14"/>
      <c r="J303" s="5"/>
      <c r="K303" s="6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14"/>
      <c r="J304" s="5"/>
      <c r="K304" s="6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14"/>
      <c r="J305" s="5"/>
      <c r="K305" s="6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14"/>
      <c r="J306" s="5"/>
      <c r="K306" s="6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14"/>
      <c r="J307" s="5"/>
      <c r="K307" s="6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14"/>
      <c r="J308" s="5"/>
      <c r="K308" s="6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14"/>
      <c r="J309" s="5"/>
      <c r="K309" s="6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14"/>
      <c r="J310" s="5"/>
      <c r="K310" s="6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14"/>
      <c r="J311" s="5"/>
      <c r="K311" s="6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14"/>
      <c r="J312" s="5"/>
      <c r="K312" s="6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14"/>
      <c r="J313" s="5"/>
      <c r="K313" s="6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14"/>
      <c r="J314" s="5"/>
      <c r="K314" s="6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14"/>
      <c r="J315" s="5"/>
      <c r="K315" s="6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14"/>
      <c r="J316" s="5"/>
      <c r="K316" s="6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14"/>
      <c r="J317" s="5"/>
      <c r="K317" s="6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14"/>
      <c r="J318" s="5"/>
      <c r="K318" s="6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14"/>
      <c r="J319" s="5"/>
      <c r="K319" s="6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14"/>
      <c r="J320" s="5"/>
      <c r="K320" s="6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14"/>
      <c r="J321" s="5"/>
      <c r="K321" s="6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14"/>
      <c r="J322" s="5"/>
      <c r="K322" s="6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14"/>
      <c r="J323" s="5"/>
      <c r="K323" s="6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14"/>
      <c r="J324" s="5"/>
      <c r="K324" s="6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14"/>
      <c r="J325" s="5"/>
      <c r="K325" s="6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14"/>
      <c r="J326" s="5"/>
      <c r="K326" s="6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14"/>
      <c r="J327" s="5"/>
      <c r="K327" s="6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14"/>
      <c r="J328" s="5"/>
      <c r="K328" s="6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14"/>
      <c r="J329" s="5"/>
      <c r="K329" s="6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14"/>
      <c r="J330" s="5"/>
      <c r="K330" s="6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14"/>
      <c r="J331" s="5"/>
      <c r="K331" s="6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14"/>
      <c r="J332" s="5"/>
      <c r="K332" s="6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14"/>
      <c r="J333" s="5"/>
      <c r="K333" s="6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14"/>
      <c r="J334" s="5"/>
      <c r="K334" s="6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14"/>
      <c r="J335" s="5"/>
      <c r="K335" s="6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14"/>
      <c r="J336" s="5"/>
      <c r="K336" s="6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14"/>
      <c r="J337" s="5"/>
      <c r="K337" s="6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14"/>
      <c r="J338" s="5"/>
      <c r="K338" s="6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14"/>
      <c r="J339" s="5"/>
      <c r="K339" s="6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14"/>
      <c r="J340" s="5"/>
      <c r="K340" s="6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14"/>
      <c r="J341" s="5"/>
      <c r="K341" s="6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14"/>
      <c r="J342" s="5"/>
      <c r="K342" s="6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14"/>
      <c r="J343" s="5"/>
      <c r="K343" s="6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14"/>
      <c r="J344" s="5"/>
      <c r="K344" s="6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14"/>
      <c r="J345" s="5"/>
      <c r="K345" s="6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14"/>
      <c r="J346" s="5"/>
      <c r="K346" s="6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14"/>
      <c r="J347" s="5"/>
      <c r="K347" s="6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14"/>
      <c r="J348" s="5"/>
      <c r="K348" s="6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14"/>
      <c r="J349" s="5"/>
      <c r="K349" s="6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14"/>
      <c r="J350" s="5"/>
      <c r="K350" s="6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14"/>
      <c r="J351" s="5"/>
      <c r="K351" s="6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14"/>
      <c r="J352" s="5"/>
      <c r="K352" s="6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14"/>
      <c r="J353" s="5"/>
      <c r="K353" s="6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14"/>
      <c r="J354" s="5"/>
      <c r="K354" s="6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14"/>
      <c r="J355" s="5"/>
      <c r="K355" s="6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14"/>
      <c r="J356" s="5"/>
      <c r="K356" s="6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14"/>
      <c r="J357" s="5"/>
      <c r="K357" s="6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14"/>
      <c r="J358" s="5"/>
      <c r="K358" s="6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14"/>
      <c r="J359" s="5"/>
      <c r="K359" s="6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14"/>
      <c r="J360" s="5"/>
      <c r="K360" s="6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14"/>
      <c r="J361" s="5"/>
      <c r="K361" s="6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14"/>
      <c r="J362" s="5"/>
      <c r="K362" s="6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14"/>
      <c r="J363" s="5"/>
      <c r="K363" s="6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14"/>
      <c r="J364" s="5"/>
      <c r="K364" s="6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14"/>
      <c r="J365" s="5"/>
      <c r="K365" s="6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14"/>
      <c r="J366" s="5"/>
      <c r="K366" s="6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14"/>
      <c r="J367" s="5"/>
      <c r="K367" s="6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14"/>
      <c r="J368" s="5"/>
      <c r="K368" s="6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14"/>
      <c r="J369" s="5"/>
      <c r="K369" s="6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14"/>
      <c r="J370" s="5"/>
      <c r="K370" s="6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14"/>
      <c r="J371" s="5"/>
      <c r="K371" s="6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14"/>
      <c r="J372" s="5"/>
      <c r="K372" s="6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14"/>
      <c r="J373" s="5"/>
      <c r="K373" s="6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14"/>
      <c r="J374" s="5"/>
      <c r="K374" s="6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14"/>
      <c r="J375" s="5"/>
      <c r="K375" s="6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14"/>
      <c r="J376" s="5"/>
      <c r="K376" s="6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14"/>
      <c r="J377" s="5"/>
      <c r="K377" s="6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14"/>
      <c r="J378" s="5"/>
      <c r="K378" s="6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14"/>
      <c r="J379" s="5"/>
      <c r="K379" s="6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14"/>
      <c r="J380" s="5"/>
      <c r="K380" s="6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14"/>
      <c r="J381" s="5"/>
      <c r="K381" s="6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14"/>
      <c r="J382" s="5"/>
      <c r="K382" s="6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14"/>
      <c r="J383" s="5"/>
      <c r="K383" s="6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14"/>
      <c r="J384" s="5"/>
      <c r="K384" s="6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14"/>
      <c r="J385" s="5"/>
      <c r="K385" s="6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14"/>
      <c r="J386" s="5"/>
      <c r="K386" s="6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14"/>
      <c r="J387" s="5"/>
      <c r="K387" s="6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14"/>
      <c r="J388" s="5"/>
      <c r="K388" s="6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14"/>
      <c r="J389" s="5"/>
      <c r="K389" s="6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14"/>
      <c r="J390" s="5"/>
      <c r="K390" s="6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14"/>
      <c r="J391" s="5"/>
      <c r="K391" s="6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14"/>
      <c r="J392" s="5"/>
      <c r="K392" s="6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14"/>
      <c r="J393" s="5"/>
      <c r="K393" s="6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14"/>
      <c r="J394" s="5"/>
      <c r="K394" s="6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14"/>
      <c r="J395" s="5"/>
      <c r="K395" s="6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14"/>
      <c r="J396" s="5"/>
      <c r="K396" s="6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14"/>
      <c r="J397" s="5"/>
      <c r="K397" s="6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14"/>
      <c r="J398" s="5"/>
      <c r="K398" s="6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14"/>
      <c r="J399" s="5"/>
      <c r="K399" s="6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14"/>
      <c r="J400" s="5"/>
      <c r="K400" s="6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14"/>
      <c r="J401" s="5"/>
      <c r="K401" s="6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14"/>
      <c r="J402" s="5"/>
      <c r="K402" s="6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14"/>
      <c r="J403" s="5"/>
      <c r="K403" s="6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14"/>
      <c r="J404" s="5"/>
      <c r="K404" s="6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14"/>
      <c r="J405" s="5"/>
      <c r="K405" s="6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14"/>
      <c r="J406" s="5"/>
      <c r="K406" s="6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14"/>
      <c r="J407" s="5"/>
      <c r="K407" s="6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14"/>
      <c r="J408" s="5"/>
      <c r="K408" s="6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14"/>
      <c r="J409" s="5"/>
      <c r="K409" s="6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14"/>
      <c r="J410" s="5"/>
      <c r="K410" s="6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14"/>
      <c r="J411" s="5"/>
      <c r="K411" s="6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14"/>
      <c r="J412" s="5"/>
      <c r="K412" s="6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14"/>
      <c r="J413" s="5"/>
      <c r="K413" s="6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14"/>
      <c r="J414" s="5"/>
      <c r="K414" s="6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14"/>
      <c r="J415" s="5"/>
      <c r="K415" s="6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14"/>
      <c r="J416" s="5"/>
      <c r="K416" s="6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14"/>
      <c r="J417" s="5"/>
      <c r="K417" s="6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14"/>
      <c r="J418" s="5"/>
      <c r="K418" s="6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14"/>
      <c r="J419" s="5"/>
      <c r="K419" s="6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14"/>
      <c r="J420" s="5"/>
      <c r="K420" s="6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14"/>
      <c r="J421" s="5"/>
      <c r="K421" s="6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14"/>
      <c r="J422" s="5"/>
      <c r="K422" s="6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14"/>
      <c r="J423" s="5"/>
      <c r="K423" s="6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14"/>
      <c r="J424" s="5"/>
      <c r="K424" s="6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14"/>
      <c r="J425" s="5"/>
      <c r="K425" s="6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14"/>
      <c r="J426" s="5"/>
      <c r="K426" s="6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14"/>
      <c r="J427" s="5"/>
      <c r="K427" s="6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14"/>
      <c r="J428" s="5"/>
      <c r="K428" s="6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14"/>
      <c r="J429" s="5"/>
      <c r="K429" s="6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14"/>
      <c r="J430" s="5"/>
      <c r="K430" s="6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14"/>
      <c r="J431" s="5"/>
      <c r="K431" s="6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14"/>
      <c r="J432" s="5"/>
      <c r="K432" s="6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14"/>
      <c r="J433" s="5"/>
      <c r="K433" s="6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14"/>
      <c r="J434" s="5"/>
      <c r="K434" s="6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14"/>
      <c r="J435" s="5"/>
      <c r="K435" s="6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14"/>
      <c r="J436" s="5"/>
      <c r="K436" s="6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14"/>
      <c r="J437" s="5"/>
      <c r="K437" s="6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14"/>
      <c r="J438" s="5"/>
      <c r="K438" s="6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14"/>
      <c r="J439" s="5"/>
      <c r="K439" s="6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14"/>
      <c r="J440" s="5"/>
      <c r="K440" s="6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14"/>
      <c r="J441" s="5"/>
      <c r="K441" s="6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14"/>
      <c r="J442" s="5"/>
      <c r="K442" s="6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14"/>
      <c r="J443" s="5"/>
      <c r="K443" s="6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14"/>
      <c r="J444" s="5"/>
      <c r="K444" s="6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14"/>
      <c r="J445" s="5"/>
      <c r="K445" s="6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14"/>
      <c r="J446" s="5"/>
      <c r="K446" s="6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14"/>
      <c r="J447" s="5"/>
      <c r="K447" s="6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14"/>
      <c r="J448" s="5"/>
      <c r="K448" s="6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14"/>
      <c r="J449" s="5"/>
      <c r="K449" s="6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14"/>
      <c r="J450" s="5"/>
      <c r="K450" s="6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14"/>
      <c r="J451" s="5"/>
      <c r="K451" s="6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14"/>
      <c r="J452" s="5"/>
      <c r="K452" s="6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14"/>
      <c r="J453" s="5"/>
      <c r="K453" s="6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14"/>
      <c r="J454" s="5"/>
      <c r="K454" s="6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14"/>
      <c r="J455" s="5"/>
      <c r="K455" s="6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14"/>
      <c r="J456" s="5"/>
      <c r="K456" s="6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14"/>
      <c r="J457" s="5"/>
      <c r="K457" s="6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14"/>
      <c r="J458" s="5"/>
      <c r="K458" s="6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14"/>
      <c r="J459" s="5"/>
      <c r="K459" s="6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14"/>
      <c r="J460" s="5"/>
      <c r="K460" s="6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14"/>
      <c r="J461" s="5"/>
      <c r="K461" s="6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14"/>
      <c r="J462" s="5"/>
      <c r="K462" s="6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14"/>
      <c r="J463" s="5"/>
      <c r="K463" s="6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14"/>
      <c r="J464" s="5"/>
      <c r="K464" s="6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14"/>
      <c r="J465" s="5"/>
      <c r="K465" s="6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14"/>
      <c r="J466" s="5"/>
      <c r="K466" s="6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14"/>
      <c r="J467" s="5"/>
      <c r="K467" s="6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14"/>
      <c r="J468" s="5"/>
      <c r="K468" s="6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14"/>
      <c r="J469" s="5"/>
      <c r="K469" s="6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14"/>
      <c r="J470" s="5"/>
      <c r="K470" s="6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14"/>
      <c r="J471" s="5"/>
      <c r="K471" s="6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14"/>
      <c r="J472" s="5"/>
      <c r="K472" s="6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14"/>
      <c r="J473" s="5"/>
      <c r="K473" s="6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14"/>
      <c r="J474" s="5"/>
      <c r="K474" s="6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14"/>
      <c r="J475" s="5"/>
      <c r="K475" s="6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14"/>
      <c r="J476" s="5"/>
      <c r="K476" s="6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14"/>
      <c r="J477" s="5"/>
      <c r="K477" s="6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14"/>
      <c r="J478" s="5"/>
      <c r="K478" s="6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14"/>
      <c r="J479" s="5"/>
      <c r="K479" s="6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14"/>
      <c r="J480" s="5"/>
      <c r="K480" s="6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14"/>
      <c r="J481" s="5"/>
      <c r="K481" s="6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14"/>
      <c r="J482" s="5"/>
      <c r="K482" s="6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14"/>
      <c r="J483" s="5"/>
      <c r="K483" s="6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14"/>
      <c r="J484" s="5"/>
      <c r="K484" s="6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14"/>
      <c r="J485" s="5"/>
      <c r="K485" s="6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14"/>
      <c r="J486" s="5"/>
      <c r="K486" s="6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14"/>
      <c r="J487" s="5"/>
      <c r="K487" s="6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14"/>
      <c r="J488" s="5"/>
      <c r="K488" s="6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14"/>
      <c r="J489" s="5"/>
      <c r="K489" s="6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14"/>
      <c r="J490" s="5"/>
      <c r="K490" s="6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14"/>
      <c r="J491" s="5"/>
      <c r="K491" s="6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14"/>
      <c r="J492" s="5"/>
      <c r="K492" s="6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14"/>
      <c r="J493" s="5"/>
      <c r="K493" s="6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14"/>
      <c r="J494" s="5"/>
      <c r="K494" s="6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14"/>
      <c r="J495" s="5"/>
      <c r="K495" s="6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14"/>
      <c r="J496" s="5"/>
      <c r="K496" s="6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14"/>
      <c r="J497" s="5"/>
      <c r="K497" s="6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14"/>
      <c r="J498" s="5"/>
      <c r="K498" s="6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14"/>
      <c r="J499" s="5"/>
      <c r="K499" s="6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14"/>
      <c r="J500" s="5"/>
      <c r="K500" s="6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14"/>
      <c r="J501" s="5"/>
      <c r="K501" s="6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14"/>
      <c r="J502" s="5"/>
      <c r="K502" s="6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14"/>
      <c r="J503" s="5"/>
      <c r="K503" s="6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14"/>
      <c r="J504" s="5"/>
      <c r="K504" s="6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14"/>
      <c r="J505" s="5"/>
      <c r="K505" s="6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14"/>
      <c r="J506" s="5"/>
      <c r="K506" s="6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14"/>
      <c r="J507" s="5"/>
      <c r="K507" s="6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14"/>
      <c r="J508" s="5"/>
      <c r="K508" s="6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14"/>
      <c r="J509" s="5"/>
      <c r="K509" s="6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14"/>
      <c r="J510" s="5"/>
      <c r="K510" s="6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14"/>
      <c r="J511" s="5"/>
      <c r="K511" s="6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14"/>
      <c r="J512" s="5"/>
      <c r="K512" s="6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14"/>
      <c r="J513" s="5"/>
      <c r="K513" s="6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14"/>
      <c r="J514" s="5"/>
      <c r="K514" s="6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14"/>
      <c r="J515" s="5"/>
      <c r="K515" s="6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14"/>
      <c r="J516" s="5"/>
      <c r="K516" s="6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14"/>
      <c r="J517" s="5"/>
      <c r="K517" s="6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14"/>
      <c r="J518" s="5"/>
      <c r="K518" s="6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14"/>
      <c r="J519" s="5"/>
      <c r="K519" s="6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14"/>
      <c r="J520" s="5"/>
      <c r="K520" s="6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14"/>
      <c r="J521" s="5"/>
      <c r="K521" s="6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14"/>
      <c r="J522" s="5"/>
      <c r="K522" s="6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14"/>
      <c r="J523" s="5"/>
      <c r="K523" s="6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14"/>
      <c r="J524" s="5"/>
      <c r="K524" s="6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14"/>
      <c r="J525" s="5"/>
      <c r="K525" s="6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14"/>
      <c r="J526" s="5"/>
      <c r="K526" s="6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14"/>
      <c r="J527" s="5"/>
      <c r="K527" s="6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14"/>
      <c r="J528" s="5"/>
      <c r="K528" s="6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14"/>
      <c r="J529" s="5"/>
      <c r="K529" s="6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14"/>
      <c r="J530" s="5"/>
      <c r="K530" s="6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14"/>
      <c r="J531" s="5"/>
      <c r="K531" s="6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14"/>
      <c r="J532" s="5"/>
      <c r="K532" s="6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14"/>
      <c r="J533" s="5"/>
      <c r="K533" s="6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14"/>
      <c r="J534" s="5"/>
      <c r="K534" s="6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14"/>
      <c r="J535" s="5"/>
      <c r="K535" s="6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14"/>
      <c r="J536" s="5"/>
      <c r="K536" s="6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14"/>
      <c r="J537" s="5"/>
      <c r="K537" s="6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14"/>
      <c r="J538" s="5"/>
      <c r="K538" s="6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14"/>
      <c r="J539" s="5"/>
      <c r="K539" s="6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14"/>
      <c r="J540" s="5"/>
      <c r="K540" s="6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14"/>
      <c r="J541" s="5"/>
      <c r="K541" s="6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14"/>
      <c r="J542" s="5"/>
      <c r="K542" s="6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14"/>
      <c r="J543" s="5"/>
      <c r="K543" s="6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14"/>
      <c r="J544" s="5"/>
      <c r="K544" s="6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14"/>
      <c r="J545" s="5"/>
      <c r="K545" s="6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14"/>
      <c r="J546" s="5"/>
      <c r="K546" s="6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14"/>
      <c r="J547" s="5"/>
      <c r="K547" s="6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14"/>
      <c r="J548" s="5"/>
      <c r="K548" s="6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14"/>
      <c r="J549" s="5"/>
      <c r="K549" s="6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14"/>
      <c r="J550" s="5"/>
      <c r="K550" s="6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14"/>
      <c r="J551" s="5"/>
      <c r="K551" s="6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14"/>
      <c r="J552" s="5"/>
      <c r="K552" s="6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14"/>
      <c r="J553" s="5"/>
      <c r="K553" s="6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14"/>
      <c r="J554" s="5"/>
      <c r="K554" s="6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14"/>
      <c r="J555" s="5"/>
      <c r="K555" s="6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14"/>
      <c r="J556" s="5"/>
      <c r="K556" s="6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14"/>
      <c r="J557" s="5"/>
      <c r="K557" s="6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14"/>
      <c r="J558" s="5"/>
      <c r="K558" s="6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14"/>
      <c r="J559" s="5"/>
      <c r="K559" s="6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14"/>
      <c r="J560" s="5"/>
      <c r="K560" s="6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14"/>
      <c r="J561" s="5"/>
      <c r="K561" s="6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14"/>
      <c r="J562" s="5"/>
      <c r="K562" s="6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14"/>
      <c r="J563" s="5"/>
      <c r="K563" s="6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14"/>
      <c r="J564" s="5"/>
      <c r="K564" s="6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14"/>
      <c r="J565" s="5"/>
      <c r="K565" s="6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14"/>
      <c r="J566" s="5"/>
      <c r="K566" s="6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14"/>
      <c r="J567" s="5"/>
      <c r="K567" s="6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14"/>
      <c r="J568" s="5"/>
      <c r="K568" s="6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14"/>
      <c r="J569" s="5"/>
      <c r="K569" s="6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14"/>
      <c r="J570" s="5"/>
      <c r="K570" s="6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14"/>
      <c r="J571" s="5"/>
      <c r="K571" s="6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14"/>
      <c r="J572" s="5"/>
      <c r="K572" s="6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14"/>
      <c r="J573" s="5"/>
      <c r="K573" s="6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14"/>
      <c r="J574" s="5"/>
      <c r="K574" s="6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14"/>
      <c r="J575" s="5"/>
      <c r="K575" s="6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14"/>
      <c r="J576" s="5"/>
      <c r="K576" s="6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14"/>
      <c r="J577" s="5"/>
      <c r="K577" s="6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14"/>
      <c r="J578" s="5"/>
      <c r="K578" s="6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14"/>
      <c r="J579" s="5"/>
      <c r="K579" s="6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14"/>
      <c r="J580" s="5"/>
      <c r="K580" s="6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14"/>
      <c r="J581" s="5"/>
      <c r="K581" s="6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14"/>
      <c r="J582" s="5"/>
      <c r="K582" s="6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14"/>
      <c r="J583" s="5"/>
      <c r="K583" s="6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14"/>
      <c r="J584" s="5"/>
      <c r="K584" s="6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14"/>
      <c r="J585" s="5"/>
      <c r="K585" s="6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14"/>
      <c r="J586" s="5"/>
      <c r="K586" s="6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14"/>
      <c r="J587" s="5"/>
      <c r="K587" s="6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14"/>
      <c r="J588" s="5"/>
      <c r="K588" s="6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14"/>
      <c r="J589" s="5"/>
      <c r="K589" s="6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14"/>
      <c r="J590" s="5"/>
      <c r="K590" s="6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14"/>
      <c r="J591" s="5"/>
      <c r="K591" s="6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14"/>
      <c r="J592" s="5"/>
      <c r="K592" s="6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14"/>
      <c r="J593" s="5"/>
      <c r="K593" s="6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14"/>
      <c r="J594" s="5"/>
      <c r="K594" s="6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14"/>
      <c r="J595" s="5"/>
      <c r="K595" s="6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14"/>
      <c r="J596" s="5"/>
      <c r="K596" s="6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14"/>
      <c r="J597" s="5"/>
      <c r="K597" s="6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14"/>
      <c r="J598" s="5"/>
      <c r="K598" s="6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14"/>
      <c r="J599" s="5"/>
      <c r="K599" s="6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14"/>
      <c r="J600" s="5"/>
      <c r="K600" s="6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14"/>
      <c r="J601" s="5"/>
      <c r="K601" s="6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14"/>
      <c r="J602" s="5"/>
      <c r="K602" s="6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14"/>
      <c r="J603" s="5"/>
      <c r="K603" s="6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14"/>
      <c r="J604" s="5"/>
      <c r="K604" s="6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14"/>
      <c r="J605" s="5"/>
      <c r="K605" s="6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14"/>
      <c r="J606" s="5"/>
      <c r="K606" s="6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14"/>
      <c r="J607" s="5"/>
      <c r="K607" s="6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14"/>
      <c r="J608" s="5"/>
      <c r="K608" s="6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14"/>
      <c r="J609" s="5"/>
      <c r="K609" s="6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14"/>
      <c r="J610" s="5"/>
      <c r="K610" s="6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14"/>
      <c r="J611" s="5"/>
      <c r="K611" s="6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14"/>
      <c r="J612" s="5"/>
      <c r="K612" s="6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14"/>
      <c r="J613" s="5"/>
      <c r="K613" s="6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14"/>
      <c r="J614" s="5"/>
      <c r="K614" s="6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14"/>
      <c r="J615" s="5"/>
      <c r="K615" s="6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14"/>
      <c r="J616" s="5"/>
      <c r="K616" s="6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14"/>
      <c r="J617" s="5"/>
      <c r="K617" s="6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14"/>
      <c r="J618" s="5"/>
      <c r="K618" s="6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14"/>
      <c r="J619" s="5"/>
      <c r="K619" s="6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14"/>
      <c r="J620" s="5"/>
      <c r="K620" s="6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14"/>
      <c r="J621" s="5"/>
      <c r="K621" s="6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14"/>
      <c r="J622" s="5"/>
      <c r="K622" s="6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14"/>
      <c r="J623" s="5"/>
      <c r="K623" s="6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14"/>
      <c r="J624" s="5"/>
      <c r="K624" s="6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14"/>
      <c r="J625" s="5"/>
      <c r="K625" s="6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14"/>
      <c r="J626" s="5"/>
      <c r="K626" s="6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14"/>
      <c r="J627" s="5"/>
      <c r="K627" s="6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14"/>
      <c r="J628" s="5"/>
      <c r="K628" s="6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14"/>
      <c r="J629" s="5"/>
      <c r="K629" s="6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14"/>
      <c r="J630" s="5"/>
      <c r="K630" s="6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14"/>
      <c r="J631" s="5"/>
      <c r="K631" s="6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14"/>
      <c r="J632" s="5"/>
      <c r="K632" s="6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14"/>
      <c r="J633" s="5"/>
      <c r="K633" s="6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14"/>
      <c r="J634" s="5"/>
      <c r="K634" s="6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14"/>
      <c r="J635" s="5"/>
      <c r="K635" s="6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14"/>
      <c r="J636" s="5"/>
      <c r="K636" s="6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14"/>
      <c r="J637" s="5"/>
      <c r="K637" s="6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14"/>
      <c r="J638" s="5"/>
      <c r="K638" s="6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14"/>
      <c r="J639" s="5"/>
      <c r="K639" s="6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14"/>
      <c r="J640" s="5"/>
      <c r="K640" s="6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14"/>
      <c r="J641" s="5"/>
      <c r="K641" s="6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14"/>
      <c r="J642" s="5"/>
      <c r="K642" s="6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14"/>
      <c r="J643" s="5"/>
      <c r="K643" s="6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14"/>
      <c r="J644" s="5"/>
      <c r="K644" s="6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14"/>
      <c r="J645" s="5"/>
      <c r="K645" s="6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14"/>
      <c r="J646" s="5"/>
      <c r="K646" s="6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14"/>
      <c r="J647" s="5"/>
      <c r="K647" s="6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14"/>
      <c r="J648" s="5"/>
      <c r="K648" s="6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14"/>
      <c r="J649" s="5"/>
      <c r="K649" s="6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14"/>
      <c r="J650" s="5"/>
      <c r="K650" s="6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14"/>
      <c r="J651" s="5"/>
      <c r="K651" s="6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14"/>
      <c r="J652" s="5"/>
      <c r="K652" s="6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14"/>
      <c r="J653" s="5"/>
      <c r="K653" s="6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14"/>
      <c r="J654" s="5"/>
      <c r="K654" s="6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14"/>
      <c r="J655" s="5"/>
      <c r="K655" s="6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14"/>
      <c r="J656" s="5"/>
      <c r="K656" s="6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14"/>
      <c r="J657" s="5"/>
      <c r="K657" s="6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14"/>
      <c r="J658" s="5"/>
      <c r="K658" s="6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14"/>
      <c r="J659" s="5"/>
      <c r="K659" s="6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14"/>
      <c r="J660" s="5"/>
      <c r="K660" s="6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14"/>
      <c r="J661" s="5"/>
      <c r="K661" s="6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14"/>
      <c r="J662" s="5"/>
      <c r="K662" s="6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14"/>
      <c r="J663" s="5"/>
      <c r="K663" s="6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14"/>
      <c r="J664" s="5"/>
      <c r="K664" s="6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14"/>
      <c r="J665" s="5"/>
      <c r="K665" s="6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14"/>
      <c r="J666" s="5"/>
      <c r="K666" s="6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14"/>
      <c r="J667" s="5"/>
      <c r="K667" s="6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14"/>
      <c r="J668" s="5"/>
      <c r="K668" s="6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14"/>
      <c r="J669" s="5"/>
      <c r="K669" s="6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14"/>
      <c r="J670" s="5"/>
      <c r="K670" s="6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14"/>
      <c r="J671" s="5"/>
      <c r="K671" s="6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14"/>
      <c r="J672" s="5"/>
      <c r="K672" s="6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14"/>
      <c r="J673" s="5"/>
      <c r="K673" s="6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14"/>
      <c r="J674" s="5"/>
      <c r="K674" s="6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14"/>
      <c r="J675" s="5"/>
      <c r="K675" s="6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14"/>
      <c r="J676" s="5"/>
      <c r="K676" s="6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14"/>
      <c r="J677" s="5"/>
      <c r="K677" s="6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14"/>
      <c r="J678" s="5"/>
      <c r="K678" s="6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14"/>
      <c r="J679" s="5"/>
      <c r="K679" s="6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14"/>
      <c r="J680" s="5"/>
      <c r="K680" s="6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14"/>
      <c r="J681" s="5"/>
      <c r="K681" s="6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14"/>
      <c r="J682" s="5"/>
      <c r="K682" s="6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14"/>
      <c r="J683" s="5"/>
      <c r="K683" s="6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14"/>
      <c r="J684" s="5"/>
      <c r="K684" s="6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14"/>
      <c r="J685" s="5"/>
      <c r="K685" s="6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14"/>
      <c r="J686" s="5"/>
      <c r="K686" s="6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14"/>
      <c r="J687" s="5"/>
      <c r="K687" s="6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14"/>
      <c r="J688" s="5"/>
      <c r="K688" s="6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14"/>
      <c r="J689" s="5"/>
      <c r="K689" s="6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14"/>
      <c r="J690" s="5"/>
      <c r="K690" s="6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14"/>
      <c r="J691" s="5"/>
      <c r="K691" s="6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14"/>
      <c r="J692" s="5"/>
      <c r="K692" s="6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14"/>
      <c r="J693" s="5"/>
      <c r="K693" s="6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14"/>
      <c r="J694" s="5"/>
      <c r="K694" s="6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14"/>
      <c r="J695" s="5"/>
      <c r="K695" s="6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14"/>
      <c r="J696" s="5"/>
      <c r="K696" s="6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14"/>
      <c r="J697" s="5"/>
      <c r="K697" s="6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14"/>
      <c r="J698" s="5"/>
      <c r="K698" s="6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14"/>
      <c r="J699" s="5"/>
      <c r="K699" s="6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14"/>
      <c r="J700" s="5"/>
      <c r="K700" s="6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14"/>
      <c r="J701" s="5"/>
      <c r="K701" s="6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14"/>
      <c r="J702" s="5"/>
      <c r="K702" s="6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14"/>
      <c r="J703" s="5"/>
      <c r="K703" s="6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14"/>
      <c r="J704" s="5"/>
      <c r="K704" s="6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14"/>
      <c r="J705" s="5"/>
      <c r="K705" s="6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14"/>
      <c r="J706" s="5"/>
      <c r="K706" s="6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14"/>
      <c r="J707" s="5"/>
      <c r="K707" s="6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14"/>
      <c r="J708" s="5"/>
      <c r="K708" s="6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14"/>
      <c r="J709" s="5"/>
      <c r="K709" s="6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14"/>
      <c r="J710" s="5"/>
      <c r="K710" s="6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14"/>
      <c r="J711" s="5"/>
      <c r="K711" s="6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14"/>
      <c r="J712" s="5"/>
      <c r="K712" s="6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14"/>
      <c r="J713" s="5"/>
      <c r="K713" s="6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14"/>
      <c r="J714" s="5"/>
      <c r="K714" s="6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14"/>
      <c r="J715" s="5"/>
      <c r="K715" s="6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14"/>
      <c r="J716" s="5"/>
      <c r="K716" s="6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14"/>
      <c r="J717" s="5"/>
      <c r="K717" s="6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14"/>
      <c r="J718" s="5"/>
      <c r="K718" s="6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14"/>
      <c r="J719" s="5"/>
      <c r="K719" s="6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14"/>
      <c r="J720" s="5"/>
      <c r="K720" s="6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14"/>
      <c r="J721" s="5"/>
      <c r="K721" s="6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14"/>
      <c r="J722" s="5"/>
      <c r="K722" s="6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14"/>
      <c r="J723" s="5"/>
      <c r="K723" s="6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14"/>
      <c r="J724" s="5"/>
      <c r="K724" s="6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14"/>
      <c r="J725" s="5"/>
      <c r="K725" s="6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14"/>
      <c r="J726" s="5"/>
      <c r="K726" s="6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14"/>
      <c r="J727" s="5"/>
      <c r="K727" s="6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14"/>
      <c r="J728" s="5"/>
      <c r="K728" s="6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14"/>
      <c r="J729" s="5"/>
      <c r="K729" s="6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14"/>
      <c r="J730" s="5"/>
      <c r="K730" s="6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14"/>
      <c r="J731" s="5"/>
      <c r="K731" s="6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14"/>
      <c r="J732" s="5"/>
      <c r="K732" s="6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14"/>
      <c r="J733" s="5"/>
      <c r="K733" s="6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14"/>
      <c r="J734" s="5"/>
      <c r="K734" s="6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14"/>
      <c r="J735" s="5"/>
      <c r="K735" s="6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14"/>
      <c r="J736" s="5"/>
      <c r="K736" s="6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14"/>
      <c r="J737" s="5"/>
      <c r="K737" s="6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14"/>
      <c r="J738" s="5"/>
      <c r="K738" s="6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14"/>
      <c r="J739" s="5"/>
      <c r="K739" s="6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14"/>
      <c r="J740" s="5"/>
      <c r="K740" s="6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14"/>
      <c r="J741" s="5"/>
      <c r="K741" s="6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14"/>
      <c r="J742" s="5"/>
      <c r="K742" s="6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14"/>
      <c r="J743" s="5"/>
      <c r="K743" s="6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14"/>
      <c r="J744" s="5"/>
      <c r="K744" s="6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14"/>
      <c r="J745" s="5"/>
      <c r="K745" s="6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14"/>
      <c r="J746" s="5"/>
      <c r="K746" s="6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14"/>
      <c r="J747" s="5"/>
      <c r="K747" s="6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14"/>
      <c r="J748" s="5"/>
      <c r="K748" s="6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14"/>
      <c r="J749" s="5"/>
      <c r="K749" s="6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14"/>
      <c r="J750" s="5"/>
      <c r="K750" s="6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14"/>
      <c r="J751" s="5"/>
      <c r="K751" s="6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14"/>
      <c r="J752" s="5"/>
      <c r="K752" s="6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14"/>
      <c r="J753" s="5"/>
      <c r="K753" s="6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14"/>
      <c r="J754" s="5"/>
      <c r="K754" s="6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14"/>
      <c r="J755" s="5"/>
      <c r="K755" s="6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14"/>
      <c r="J756" s="5"/>
      <c r="K756" s="6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14"/>
      <c r="J757" s="5"/>
      <c r="K757" s="6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14"/>
      <c r="J758" s="5"/>
      <c r="K758" s="6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14"/>
      <c r="J759" s="5"/>
      <c r="K759" s="6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14"/>
      <c r="J760" s="5"/>
      <c r="K760" s="6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14"/>
      <c r="J761" s="5"/>
      <c r="K761" s="6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14"/>
      <c r="J762" s="5"/>
      <c r="K762" s="6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14"/>
      <c r="J763" s="5"/>
      <c r="K763" s="6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14"/>
      <c r="J764" s="5"/>
      <c r="K764" s="6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14"/>
      <c r="J765" s="5"/>
      <c r="K765" s="6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14"/>
      <c r="J766" s="5"/>
      <c r="K766" s="6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14"/>
      <c r="J767" s="5"/>
      <c r="K767" s="6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14"/>
      <c r="J768" s="5"/>
      <c r="K768" s="6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14"/>
      <c r="J769" s="5"/>
      <c r="K769" s="6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14"/>
      <c r="J770" s="5"/>
      <c r="K770" s="6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14"/>
      <c r="J771" s="5"/>
      <c r="K771" s="6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14"/>
      <c r="J772" s="5"/>
      <c r="K772" s="6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14"/>
      <c r="J773" s="5"/>
      <c r="K773" s="6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14"/>
      <c r="J774" s="5"/>
      <c r="K774" s="6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14"/>
      <c r="J775" s="5"/>
      <c r="K775" s="6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14"/>
      <c r="J776" s="5"/>
      <c r="K776" s="6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14"/>
      <c r="J777" s="5"/>
      <c r="K777" s="6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14"/>
      <c r="J778" s="5"/>
      <c r="K778" s="6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14"/>
      <c r="J779" s="5"/>
      <c r="K779" s="6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14"/>
      <c r="J780" s="5"/>
      <c r="K780" s="6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14"/>
      <c r="J781" s="5"/>
      <c r="K781" s="6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14"/>
      <c r="J782" s="5"/>
      <c r="K782" s="6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14"/>
      <c r="J783" s="5"/>
      <c r="K783" s="6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14"/>
      <c r="J784" s="5"/>
      <c r="K784" s="6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14"/>
      <c r="J785" s="5"/>
      <c r="K785" s="6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14"/>
      <c r="J786" s="5"/>
      <c r="K786" s="6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14"/>
      <c r="J787" s="5"/>
      <c r="K787" s="6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14"/>
      <c r="J788" s="5"/>
      <c r="K788" s="6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14"/>
      <c r="J789" s="5"/>
      <c r="K789" s="6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14"/>
      <c r="J790" s="5"/>
      <c r="K790" s="6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14"/>
      <c r="J791" s="5"/>
      <c r="K791" s="6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14"/>
      <c r="J792" s="5"/>
      <c r="K792" s="6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14"/>
      <c r="J793" s="5"/>
      <c r="K793" s="6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14"/>
      <c r="J794" s="5"/>
      <c r="K794" s="6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14"/>
      <c r="J795" s="5"/>
      <c r="K795" s="6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14"/>
      <c r="J796" s="5"/>
      <c r="K796" s="6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14"/>
      <c r="J797" s="5"/>
      <c r="K797" s="6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14"/>
      <c r="J798" s="5"/>
      <c r="K798" s="6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14"/>
      <c r="J799" s="5"/>
      <c r="K799" s="6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14"/>
      <c r="J800" s="5"/>
      <c r="K800" s="6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14"/>
      <c r="J801" s="5"/>
      <c r="K801" s="6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14"/>
      <c r="J802" s="5"/>
      <c r="K802" s="6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14"/>
      <c r="J803" s="5"/>
      <c r="K803" s="6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14"/>
      <c r="J804" s="5"/>
      <c r="K804" s="6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14"/>
      <c r="J805" s="5"/>
      <c r="K805" s="6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14"/>
      <c r="J806" s="5"/>
      <c r="K806" s="6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14"/>
      <c r="J807" s="5"/>
      <c r="K807" s="6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14"/>
      <c r="J808" s="5"/>
      <c r="K808" s="6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14"/>
      <c r="J809" s="5"/>
      <c r="K809" s="6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14"/>
      <c r="J810" s="5"/>
      <c r="K810" s="6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14"/>
      <c r="J811" s="5"/>
      <c r="K811" s="6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14"/>
      <c r="J812" s="5"/>
      <c r="K812" s="6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14"/>
      <c r="J813" s="5"/>
      <c r="K813" s="6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14"/>
      <c r="J814" s="5"/>
      <c r="K814" s="6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14"/>
      <c r="J815" s="5"/>
      <c r="K815" s="6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14"/>
      <c r="J816" s="5"/>
      <c r="K816" s="6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14"/>
      <c r="J817" s="5"/>
      <c r="K817" s="6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14"/>
      <c r="J818" s="5"/>
      <c r="K818" s="6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14"/>
      <c r="J819" s="5"/>
      <c r="K819" s="6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14"/>
      <c r="J820" s="5"/>
      <c r="K820" s="6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14"/>
      <c r="J821" s="5"/>
      <c r="K821" s="6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14"/>
      <c r="J822" s="5"/>
      <c r="K822" s="6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14"/>
      <c r="J823" s="5"/>
      <c r="K823" s="6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14"/>
      <c r="J824" s="5"/>
      <c r="K824" s="6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14"/>
      <c r="J825" s="5"/>
      <c r="K825" s="6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14"/>
      <c r="J826" s="5"/>
      <c r="K826" s="6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14"/>
      <c r="J827" s="5"/>
      <c r="K827" s="6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14"/>
      <c r="J828" s="5"/>
      <c r="K828" s="6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14"/>
      <c r="J829" s="5"/>
      <c r="K829" s="6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14"/>
      <c r="J830" s="5"/>
      <c r="K830" s="6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14"/>
      <c r="J831" s="5"/>
      <c r="K831" s="6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14"/>
      <c r="J832" s="5"/>
      <c r="K832" s="6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14"/>
      <c r="J833" s="5"/>
      <c r="K833" s="6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14"/>
      <c r="J834" s="5"/>
      <c r="K834" s="6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14"/>
      <c r="J835" s="5"/>
      <c r="K835" s="6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14"/>
      <c r="J836" s="5"/>
      <c r="K836" s="6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14"/>
      <c r="J837" s="5"/>
      <c r="K837" s="6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14"/>
      <c r="J838" s="5"/>
      <c r="K838" s="6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14"/>
      <c r="J839" s="5"/>
      <c r="K839" s="6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14"/>
      <c r="J840" s="5"/>
      <c r="K840" s="6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14"/>
      <c r="J841" s="5"/>
      <c r="K841" s="6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14"/>
      <c r="J842" s="5"/>
      <c r="K842" s="6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14"/>
      <c r="J843" s="5"/>
      <c r="K843" s="6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14"/>
      <c r="J844" s="5"/>
      <c r="K844" s="6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14"/>
      <c r="J845" s="5"/>
      <c r="K845" s="6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14"/>
      <c r="J846" s="5"/>
      <c r="K846" s="6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14"/>
      <c r="J847" s="5"/>
      <c r="K847" s="6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14"/>
      <c r="J848" s="5"/>
      <c r="K848" s="6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14"/>
      <c r="J849" s="5"/>
      <c r="K849" s="6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14"/>
      <c r="J850" s="5"/>
      <c r="K850" s="6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14"/>
      <c r="J851" s="5"/>
      <c r="K851" s="6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14"/>
      <c r="J852" s="5"/>
      <c r="K852" s="6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14"/>
      <c r="J853" s="5"/>
      <c r="K853" s="6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14"/>
      <c r="J854" s="5"/>
      <c r="K854" s="6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14"/>
      <c r="J855" s="5"/>
      <c r="K855" s="6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14"/>
      <c r="J856" s="5"/>
      <c r="K856" s="6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14"/>
      <c r="J857" s="5"/>
      <c r="K857" s="6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14"/>
      <c r="J858" s="5"/>
      <c r="K858" s="6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14"/>
      <c r="J859" s="5"/>
      <c r="K859" s="6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14"/>
      <c r="J860" s="5"/>
      <c r="K860" s="6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14"/>
      <c r="J861" s="5"/>
      <c r="K861" s="6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14"/>
      <c r="J862" s="5"/>
      <c r="K862" s="6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14"/>
      <c r="J863" s="5"/>
      <c r="K863" s="6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14"/>
      <c r="J864" s="5"/>
      <c r="K864" s="6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14"/>
      <c r="J865" s="5"/>
      <c r="K865" s="6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14"/>
      <c r="J866" s="5"/>
      <c r="K866" s="6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14"/>
      <c r="J867" s="5"/>
      <c r="K867" s="6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14"/>
      <c r="J868" s="5"/>
      <c r="K868" s="6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14"/>
      <c r="J869" s="5"/>
      <c r="K869" s="6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14"/>
      <c r="J870" s="5"/>
      <c r="K870" s="6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14"/>
      <c r="J871" s="5"/>
      <c r="K871" s="6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14"/>
      <c r="J872" s="5"/>
      <c r="K872" s="6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14"/>
      <c r="J873" s="5"/>
      <c r="K873" s="6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14"/>
      <c r="J874" s="5"/>
      <c r="K874" s="6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14"/>
      <c r="J875" s="5"/>
      <c r="K875" s="6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14"/>
      <c r="J876" s="5"/>
      <c r="K876" s="6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14"/>
      <c r="J877" s="5"/>
      <c r="K877" s="6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14"/>
      <c r="J878" s="5"/>
      <c r="K878" s="6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14"/>
      <c r="J879" s="5"/>
      <c r="K879" s="6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14"/>
      <c r="J880" s="5"/>
      <c r="K880" s="6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14"/>
      <c r="J881" s="5"/>
      <c r="K881" s="6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14"/>
      <c r="J882" s="5"/>
      <c r="K882" s="6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14"/>
      <c r="J883" s="5"/>
      <c r="K883" s="6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14"/>
      <c r="J884" s="5"/>
      <c r="K884" s="6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14"/>
      <c r="J885" s="5"/>
      <c r="K885" s="6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14"/>
      <c r="J886" s="5"/>
      <c r="K886" s="6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14"/>
      <c r="J887" s="5"/>
      <c r="K887" s="6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14"/>
      <c r="J888" s="5"/>
      <c r="K888" s="6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14"/>
      <c r="J889" s="5"/>
      <c r="K889" s="6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14"/>
      <c r="J890" s="5"/>
      <c r="K890" s="6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14"/>
      <c r="J891" s="5"/>
      <c r="K891" s="6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14"/>
      <c r="J892" s="5"/>
      <c r="K892" s="6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14"/>
      <c r="J893" s="5"/>
      <c r="K893" s="6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14"/>
      <c r="J894" s="5"/>
      <c r="K894" s="6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14"/>
      <c r="J895" s="5"/>
      <c r="K895" s="6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14"/>
      <c r="J896" s="5"/>
      <c r="K896" s="6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14"/>
      <c r="J897" s="5"/>
      <c r="K897" s="6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14"/>
      <c r="J898" s="5"/>
      <c r="K898" s="6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14"/>
      <c r="J899" s="5"/>
      <c r="K899" s="6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14"/>
      <c r="J900" s="5"/>
      <c r="K900" s="6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14"/>
      <c r="J901" s="5"/>
      <c r="K901" s="6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14"/>
      <c r="J902" s="5"/>
      <c r="K902" s="6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14"/>
      <c r="J903" s="5"/>
      <c r="K903" s="6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14"/>
      <c r="J904" s="5"/>
      <c r="K904" s="6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14"/>
      <c r="J905" s="5"/>
      <c r="K905" s="6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14"/>
      <c r="J906" s="5"/>
      <c r="K906" s="6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14"/>
      <c r="J907" s="5"/>
      <c r="K907" s="6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14"/>
      <c r="J908" s="5"/>
      <c r="K908" s="6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14"/>
      <c r="J909" s="5"/>
      <c r="K909" s="6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14"/>
      <c r="J910" s="5"/>
      <c r="K910" s="6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14"/>
      <c r="J911" s="5"/>
      <c r="K911" s="6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14"/>
      <c r="J912" s="5"/>
      <c r="K912" s="6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14"/>
      <c r="J913" s="5"/>
      <c r="K913" s="6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14"/>
      <c r="J914" s="5"/>
      <c r="K914" s="6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14"/>
      <c r="J915" s="5"/>
      <c r="K915" s="6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14"/>
      <c r="J916" s="5"/>
      <c r="K916" s="6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14"/>
      <c r="J917" s="5"/>
      <c r="K917" s="6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14"/>
      <c r="J918" s="5"/>
      <c r="K918" s="6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14"/>
      <c r="J919" s="5"/>
      <c r="K919" s="6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14"/>
      <c r="J920" s="5"/>
      <c r="K920" s="6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14"/>
      <c r="J921" s="5"/>
      <c r="K921" s="6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14"/>
      <c r="J922" s="5"/>
      <c r="K922" s="6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14"/>
      <c r="J923" s="5"/>
      <c r="K923" s="6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14"/>
      <c r="J924" s="5"/>
      <c r="K924" s="6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14"/>
      <c r="J925" s="5"/>
      <c r="K925" s="6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14"/>
      <c r="J926" s="5"/>
      <c r="K926" s="6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14"/>
      <c r="J927" s="5"/>
      <c r="K927" s="6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14"/>
      <c r="J928" s="5"/>
      <c r="K928" s="6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14"/>
      <c r="J929" s="5"/>
      <c r="K929" s="6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14"/>
      <c r="J930" s="5"/>
      <c r="K930" s="6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</sheetData>
  <mergeCells count="15">
    <mergeCell ref="C37:F37"/>
    <mergeCell ref="C38:F39"/>
    <mergeCell ref="C40:F40"/>
    <mergeCell ref="C41:D41"/>
    <mergeCell ref="D28:E28"/>
    <mergeCell ref="D29:E29"/>
    <mergeCell ref="D24:E24"/>
    <mergeCell ref="A21:H21"/>
    <mergeCell ref="A6:B6"/>
    <mergeCell ref="A7:B7"/>
    <mergeCell ref="B2:H2"/>
    <mergeCell ref="A4:B4"/>
    <mergeCell ref="C4:E4"/>
    <mergeCell ref="A5:B5"/>
    <mergeCell ref="C5:E5"/>
  </mergeCells>
  <conditionalFormatting sqref="C26:C34">
    <cfRule type="duplicateValues" dxfId="1" priority="5"/>
  </conditionalFormatting>
  <conditionalFormatting sqref="C26:C34">
    <cfRule type="duplicateValues" dxfId="0" priority="7"/>
  </conditionalFormatting>
  <printOptions horizontalCentered="1"/>
  <pageMargins left="0.25" right="0.25" top="0.75" bottom="0.75" header="0.3" footer="0.3"/>
  <pageSetup paperSize="5"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2"/>
  <sheetViews>
    <sheetView workbookViewId="0">
      <selection activeCell="O20" sqref="O20"/>
    </sheetView>
  </sheetViews>
  <sheetFormatPr baseColWidth="10" defaultColWidth="12.5703125" defaultRowHeight="15" customHeight="1" x14ac:dyDescent="0.2"/>
  <cols>
    <col min="1" max="1" width="5.5703125" style="7" customWidth="1"/>
    <col min="2" max="2" width="15.140625" style="106" customWidth="1"/>
    <col min="3" max="3" width="14.140625" style="7" customWidth="1"/>
    <col min="4" max="4" width="26" style="7" customWidth="1"/>
    <col min="5" max="5" width="8" style="7" customWidth="1"/>
    <col min="6" max="6" width="7.85546875" style="7" customWidth="1"/>
    <col min="7" max="7" width="48.5703125" style="7" customWidth="1"/>
    <col min="8" max="8" width="9.28515625" style="7" customWidth="1"/>
    <col min="9" max="9" width="15.5703125" style="7" customWidth="1"/>
    <col min="10" max="10" width="14.7109375" style="7" customWidth="1"/>
    <col min="11" max="11" width="15.5703125" style="7" customWidth="1"/>
    <col min="12" max="14" width="13.140625" style="7" customWidth="1"/>
    <col min="15" max="15" width="14.42578125" style="7" customWidth="1"/>
    <col min="16" max="26" width="9.140625" style="7" customWidth="1"/>
    <col min="27" max="16384" width="12.5703125" style="7"/>
  </cols>
  <sheetData>
    <row r="1" spans="1:26" ht="18" customHeight="1" x14ac:dyDescent="0.2">
      <c r="A1" s="172" t="s">
        <v>41</v>
      </c>
      <c r="B1" s="173"/>
      <c r="C1" s="173"/>
      <c r="D1" s="173"/>
      <c r="E1" s="173"/>
      <c r="F1" s="173"/>
      <c r="G1" s="173"/>
      <c r="H1" s="173"/>
      <c r="I1" s="174"/>
      <c r="J1" s="53" t="s">
        <v>42</v>
      </c>
      <c r="K1" s="54" t="s">
        <v>94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8.75" customHeight="1" x14ac:dyDescent="0.2">
      <c r="A2" s="56"/>
      <c r="B2" s="103"/>
      <c r="C2" s="56"/>
      <c r="D2" s="57"/>
      <c r="E2" s="57"/>
      <c r="F2" s="57"/>
      <c r="G2" s="57"/>
      <c r="H2" s="57"/>
      <c r="I2" s="57"/>
      <c r="J2" s="57"/>
      <c r="K2" s="57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8.75" customHeight="1" x14ac:dyDescent="0.2">
      <c r="A3" s="175" t="s">
        <v>43</v>
      </c>
      <c r="B3" s="176"/>
      <c r="C3" s="177"/>
      <c r="D3" s="178" t="str">
        <f>'Necesidades Trimestrales'!C4</f>
        <v>040 - Ministerio de Salud</v>
      </c>
      <c r="E3" s="179"/>
      <c r="F3" s="179"/>
      <c r="G3" s="179"/>
      <c r="H3" s="179"/>
      <c r="I3" s="179"/>
      <c r="J3" s="179"/>
      <c r="K3" s="180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8.75" customHeight="1" x14ac:dyDescent="0.2">
      <c r="A4" s="181" t="s">
        <v>44</v>
      </c>
      <c r="B4" s="182"/>
      <c r="C4" s="183"/>
      <c r="D4" s="178" t="str">
        <f>'Necesidades Trimestrales'!C5</f>
        <v>011 - DIRECCION PROVINCIAL DE ADMINISTRACION - MS</v>
      </c>
      <c r="E4" s="179"/>
      <c r="F4" s="179"/>
      <c r="G4" s="179"/>
      <c r="H4" s="179"/>
      <c r="I4" s="179"/>
      <c r="J4" s="179"/>
      <c r="K4" s="180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8.75" customHeight="1" x14ac:dyDescent="0.2">
      <c r="A5" s="181" t="s">
        <v>45</v>
      </c>
      <c r="B5" s="182"/>
      <c r="C5" s="183"/>
      <c r="D5" s="178" t="s">
        <v>81</v>
      </c>
      <c r="E5" s="179"/>
      <c r="F5" s="179"/>
      <c r="G5" s="179"/>
      <c r="H5" s="179"/>
      <c r="I5" s="179"/>
      <c r="J5" s="179"/>
      <c r="K5" s="180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6.5" customHeight="1" x14ac:dyDescent="0.2">
      <c r="A6" s="175" t="s">
        <v>46</v>
      </c>
      <c r="B6" s="176"/>
      <c r="C6" s="177"/>
      <c r="D6" s="178" t="s">
        <v>81</v>
      </c>
      <c r="E6" s="179"/>
      <c r="F6" s="179"/>
      <c r="G6" s="179"/>
      <c r="H6" s="179"/>
      <c r="I6" s="179"/>
      <c r="J6" s="179"/>
      <c r="K6" s="180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6.5" customHeight="1" thickBot="1" x14ac:dyDescent="0.25">
      <c r="A7" s="181" t="s">
        <v>47</v>
      </c>
      <c r="B7" s="182"/>
      <c r="C7" s="183"/>
      <c r="D7" s="178" t="s">
        <v>82</v>
      </c>
      <c r="E7" s="179"/>
      <c r="F7" s="179"/>
      <c r="G7" s="179"/>
      <c r="H7" s="179"/>
      <c r="I7" s="179"/>
      <c r="J7" s="179"/>
      <c r="K7" s="180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6.5" customHeight="1" thickBot="1" x14ac:dyDescent="0.25">
      <c r="A8" s="190" t="s">
        <v>48</v>
      </c>
      <c r="B8" s="179"/>
      <c r="C8" s="191"/>
      <c r="D8" s="192" t="s">
        <v>96</v>
      </c>
      <c r="E8" s="193"/>
      <c r="F8" s="193"/>
      <c r="G8" s="193"/>
      <c r="H8" s="193"/>
      <c r="I8" s="193"/>
      <c r="J8" s="193"/>
      <c r="K8" s="194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2.75" customHeight="1" thickBot="1" x14ac:dyDescent="0.25">
      <c r="A9" s="58"/>
      <c r="B9" s="104"/>
      <c r="C9" s="58"/>
      <c r="D9" s="59"/>
      <c r="E9" s="59"/>
      <c r="F9" s="59"/>
      <c r="G9" s="59"/>
      <c r="H9" s="59"/>
      <c r="I9" s="59"/>
      <c r="J9" s="59"/>
      <c r="K9" s="59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8.75" customHeight="1" x14ac:dyDescent="0.2">
      <c r="A10" s="195" t="s">
        <v>49</v>
      </c>
      <c r="B10" s="184" t="s">
        <v>50</v>
      </c>
      <c r="C10" s="198" t="s">
        <v>51</v>
      </c>
      <c r="D10" s="199"/>
      <c r="E10" s="199"/>
      <c r="F10" s="199"/>
      <c r="G10" s="200"/>
      <c r="H10" s="184" t="s">
        <v>52</v>
      </c>
      <c r="I10" s="186" t="s">
        <v>53</v>
      </c>
      <c r="J10" s="184" t="s">
        <v>54</v>
      </c>
      <c r="K10" s="188" t="s">
        <v>55</v>
      </c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24" customHeight="1" thickBot="1" x14ac:dyDescent="0.25">
      <c r="A11" s="196"/>
      <c r="B11" s="197"/>
      <c r="C11" s="201"/>
      <c r="D11" s="202"/>
      <c r="E11" s="202"/>
      <c r="F11" s="202"/>
      <c r="G11" s="203"/>
      <c r="H11" s="185"/>
      <c r="I11" s="187"/>
      <c r="J11" s="185"/>
      <c r="K11" s="189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30.75" customHeight="1" x14ac:dyDescent="0.2">
      <c r="A12" s="60">
        <v>1</v>
      </c>
      <c r="B12" s="60" t="str">
        <f>+'Necesidades Trimestrales'!B10</f>
        <v>2.5.2-1816.3</v>
      </c>
      <c r="C12" s="204" t="str">
        <f>+'Necesidades Trimestrales'!E10</f>
        <v>ANTIDIARREICOS; TIPO: MONODROGA, DROGA GENERICA: LOPERAMIDA, FORMA FARMACEUTICA: COMPRIMIDO, PRESENTACION: 2 mGr</v>
      </c>
      <c r="D12" s="205"/>
      <c r="E12" s="205"/>
      <c r="F12" s="205"/>
      <c r="G12" s="205"/>
      <c r="H12" s="60" t="s">
        <v>56</v>
      </c>
      <c r="I12" s="61" t="str">
        <f>+'Necesidades Trimestrales'!F10</f>
        <v>comprimido</v>
      </c>
      <c r="J12" s="62">
        <f>+'Necesidades Trimestrales'!H10</f>
        <v>2.6</v>
      </c>
      <c r="K12" s="63">
        <f>+'Necesidades Trimestrales'!G10</f>
        <v>2000</v>
      </c>
      <c r="L12" s="55"/>
      <c r="M12" s="55"/>
      <c r="N12" s="55"/>
      <c r="O12" s="6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30.75" customHeight="1" x14ac:dyDescent="0.2">
      <c r="A13" s="65">
        <v>2</v>
      </c>
      <c r="B13" s="65" t="str">
        <f>+'Necesidades Trimestrales'!B11</f>
        <v>2.5.2-8078.68</v>
      </c>
      <c r="C13" s="206" t="str">
        <f>+'Necesidades Trimestrales'!E11</f>
        <v>EXCIPIENTES; TIPO: MONODROGA, PRESENTACION: ENVASE X 1 Kg, COMPUESTO: CARBON ACTIVADO, CONCENTRACION/PUREZA: 100 %</v>
      </c>
      <c r="D13" s="207"/>
      <c r="E13" s="207"/>
      <c r="F13" s="207"/>
      <c r="G13" s="207"/>
      <c r="H13" s="65" t="s">
        <v>56</v>
      </c>
      <c r="I13" s="61" t="str">
        <f>+'Necesidades Trimestrales'!F11</f>
        <v>unidad</v>
      </c>
      <c r="J13" s="66">
        <f>+'Necesidades Trimestrales'!H11</f>
        <v>2700</v>
      </c>
      <c r="K13" s="67">
        <f>+'Necesidades Trimestrales'!G11</f>
        <v>5</v>
      </c>
      <c r="L13" s="55"/>
      <c r="M13" s="55"/>
      <c r="N13" s="55"/>
      <c r="O13" s="6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30.75" customHeight="1" x14ac:dyDescent="0.2">
      <c r="A14" s="65">
        <v>3</v>
      </c>
      <c r="B14" s="65" t="str">
        <f>+'Necesidades Trimestrales'!B12</f>
        <v>2.5.2-1862.1</v>
      </c>
      <c r="C14" s="206" t="str">
        <f>+'Necesidades Trimestrales'!E12</f>
        <v>HIPOGLUCEMIANTES ORALES; TIPO: MONODROGA, DROGA GENERICA: METFORMINA, FORMA FARMACEUTICA: COMPRIMIDO, PRESENTACION: 500 mGr</v>
      </c>
      <c r="D14" s="207"/>
      <c r="E14" s="207"/>
      <c r="F14" s="207"/>
      <c r="G14" s="207"/>
      <c r="H14" s="65" t="s">
        <v>56</v>
      </c>
      <c r="I14" s="61" t="str">
        <f>+'Necesidades Trimestrales'!F12</f>
        <v>comprimido</v>
      </c>
      <c r="J14" s="66">
        <f>+'Necesidades Trimestrales'!H12</f>
        <v>5</v>
      </c>
      <c r="K14" s="67">
        <f>+'Necesidades Trimestrales'!G12</f>
        <v>20000</v>
      </c>
      <c r="L14" s="55"/>
      <c r="M14" s="55"/>
      <c r="N14" s="55"/>
      <c r="O14" s="64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30.75" customHeight="1" x14ac:dyDescent="0.2">
      <c r="A15" s="65">
        <v>4</v>
      </c>
      <c r="B15" s="65" t="str">
        <f>+'Necesidades Trimestrales'!B13</f>
        <v>2.5.2-1862.16</v>
      </c>
      <c r="C15" s="206" t="str">
        <f>+'Necesidades Trimestrales'!E13</f>
        <v>HIPOGLUCEMIANTES ORALES; TIPO: MONODROGA, DROGA GENERICA: METFORMINA, FORMA FARMACEUTICA: COMPRIMIDO, PRESENTACION: 850 mGr</v>
      </c>
      <c r="D15" s="207"/>
      <c r="E15" s="207"/>
      <c r="F15" s="207"/>
      <c r="G15" s="207"/>
      <c r="H15" s="65" t="s">
        <v>56</v>
      </c>
      <c r="I15" s="61" t="str">
        <f>+'Necesidades Trimestrales'!F13</f>
        <v>comprimido</v>
      </c>
      <c r="J15" s="66">
        <f>+'Necesidades Trimestrales'!H13</f>
        <v>7.2</v>
      </c>
      <c r="K15" s="67">
        <f>+'Necesidades Trimestrales'!G13</f>
        <v>30000</v>
      </c>
      <c r="L15" s="55"/>
      <c r="M15" s="55"/>
      <c r="N15" s="55"/>
      <c r="O15" s="64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30.75" customHeight="1" x14ac:dyDescent="0.2">
      <c r="A16" s="65">
        <v>5</v>
      </c>
      <c r="B16" s="65" t="str">
        <f>+'Necesidades Trimestrales'!B14</f>
        <v>2.5.2-1901.130</v>
      </c>
      <c r="C16" s="206" t="str">
        <f>+'Necesidades Trimestrales'!E14</f>
        <v>VITAMINAS; TIPO: MONODROGA, DROGA GENERICA: VITAMINA D3 2000 UI/ML, FORMA FARMACEUTICA: SOLUCION, PRESENTACION: 2 ML</v>
      </c>
      <c r="D16" s="207"/>
      <c r="E16" s="207"/>
      <c r="F16" s="207"/>
      <c r="G16" s="207"/>
      <c r="H16" s="65" t="s">
        <v>56</v>
      </c>
      <c r="I16" s="61" t="str">
        <f>+'Necesidades Trimestrales'!F14</f>
        <v>frasco</v>
      </c>
      <c r="J16" s="66">
        <f>+'Necesidades Trimestrales'!H14</f>
        <v>958</v>
      </c>
      <c r="K16" s="67">
        <f>+'Necesidades Trimestrales'!G14</f>
        <v>500</v>
      </c>
      <c r="L16" s="55"/>
      <c r="M16" s="55"/>
      <c r="N16" s="55"/>
      <c r="O16" s="6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30.75" customHeight="1" x14ac:dyDescent="0.2">
      <c r="A17" s="65">
        <v>6</v>
      </c>
      <c r="B17" s="65" t="str">
        <f>+'Necesidades Trimestrales'!B15</f>
        <v>2.5.2-7404.8</v>
      </c>
      <c r="C17" s="206" t="str">
        <f>+'Necesidades Trimestrales'!E15</f>
        <v>COAGULANTES P/PERSONAS; TIPO: MONODROGA, DROGA GENERICA: PROTAMINA 50 mGr, FORMA FARMACEUTICA: AMPOLLA, PRESENTACION: ENVASE X 5 mL</v>
      </c>
      <c r="D17" s="207"/>
      <c r="E17" s="207"/>
      <c r="F17" s="207"/>
      <c r="G17" s="207"/>
      <c r="H17" s="65" t="s">
        <v>56</v>
      </c>
      <c r="I17" s="61" t="str">
        <f>+'Necesidades Trimestrales'!F15</f>
        <v>ampolla</v>
      </c>
      <c r="J17" s="66">
        <f>+'Necesidades Trimestrales'!H15</f>
        <v>1100</v>
      </c>
      <c r="K17" s="67">
        <f>+'Necesidades Trimestrales'!G15</f>
        <v>50</v>
      </c>
      <c r="L17" s="55"/>
      <c r="M17" s="55"/>
      <c r="N17" s="55"/>
      <c r="O17" s="64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30.75" customHeight="1" x14ac:dyDescent="0.2">
      <c r="A18" s="65">
        <v>7</v>
      </c>
      <c r="B18" s="65" t="str">
        <f>+'Necesidades Trimestrales'!B16</f>
        <v>2.5.2-1865.11</v>
      </c>
      <c r="C18" s="206" t="str">
        <f>+'Necesidades Trimestrales'!E16</f>
        <v>ANTIEPILEPTICOS; TIPO: MONODROGA, DROGA GENERICA: CLONAZEPAN, FORMA FARMACEUTICA: COMPRIMIDO, PRESENTACION: 0.50 mGr</v>
      </c>
      <c r="D18" s="207"/>
      <c r="E18" s="207"/>
      <c r="F18" s="207"/>
      <c r="G18" s="207"/>
      <c r="H18" s="65" t="s">
        <v>56</v>
      </c>
      <c r="I18" s="61" t="str">
        <f>+'Necesidades Trimestrales'!F16</f>
        <v>comprimido</v>
      </c>
      <c r="J18" s="66">
        <f>+'Necesidades Trimestrales'!H16</f>
        <v>4.3</v>
      </c>
      <c r="K18" s="67">
        <f>+'Necesidades Trimestrales'!G16</f>
        <v>6000</v>
      </c>
      <c r="L18" s="55"/>
      <c r="M18" s="55"/>
      <c r="N18" s="55"/>
      <c r="O18" s="64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30.75" customHeight="1" x14ac:dyDescent="0.2">
      <c r="A19" s="65">
        <v>8</v>
      </c>
      <c r="B19" s="65" t="str">
        <f>+'Necesidades Trimestrales'!B17</f>
        <v>2.5.2-2233.5</v>
      </c>
      <c r="C19" s="206" t="str">
        <f>+'Necesidades Trimestrales'!E17</f>
        <v>ANTICONVULSIVANTES; TIPO: MONODROGA, FORMA FARMACEUTICA: COMPRIMIDO, PRESENTACION: 100 mGr, DROGA GENERICA: FENITOINA</v>
      </c>
      <c r="D19" s="207"/>
      <c r="E19" s="207"/>
      <c r="F19" s="207"/>
      <c r="G19" s="207"/>
      <c r="H19" s="65" t="s">
        <v>56</v>
      </c>
      <c r="I19" s="61" t="str">
        <f>+'Necesidades Trimestrales'!F17</f>
        <v>comprimido</v>
      </c>
      <c r="J19" s="66">
        <f>+'Necesidades Trimestrales'!H17</f>
        <v>5.87</v>
      </c>
      <c r="K19" s="67">
        <f>+'Necesidades Trimestrales'!G17</f>
        <v>50000</v>
      </c>
      <c r="L19" s="55"/>
      <c r="M19" s="55"/>
      <c r="N19" s="55"/>
      <c r="O19" s="64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30.75" customHeight="1" x14ac:dyDescent="0.2">
      <c r="A20" s="65">
        <v>9</v>
      </c>
      <c r="B20" s="65" t="str">
        <f>+'Necesidades Trimestrales'!B18</f>
        <v>2.5.2-1839.26</v>
      </c>
      <c r="C20" s="206" t="str">
        <f>+'Necesidades Trimestrales'!E18</f>
        <v>VASODILATADORES CORONARIOS; TIPO: MONODROGA, DROGA GENERICA: DILTIAZEM CLORHIDRATO 25 mGr, FORMA FARMACEUTICA: AMPOLLA, PRESENTACION: ENVASE X 5 mL</v>
      </c>
      <c r="D20" s="207"/>
      <c r="E20" s="207"/>
      <c r="F20" s="207"/>
      <c r="G20" s="207"/>
      <c r="H20" s="65" t="s">
        <v>56</v>
      </c>
      <c r="I20" s="61" t="str">
        <f>+'Necesidades Trimestrales'!F18</f>
        <v>ampolla</v>
      </c>
      <c r="J20" s="66">
        <f>+'Necesidades Trimestrales'!H18</f>
        <v>1850</v>
      </c>
      <c r="K20" s="67">
        <f>+'Necesidades Trimestrales'!G18</f>
        <v>200</v>
      </c>
      <c r="L20" s="55"/>
      <c r="M20" s="55"/>
      <c r="N20" s="55"/>
      <c r="O20" s="64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30.75" customHeight="1" x14ac:dyDescent="0.2">
      <c r="A21" s="65">
        <v>10</v>
      </c>
      <c r="B21" s="65" t="str">
        <f>+'Necesidades Trimestrales'!B20</f>
        <v>2.5.2-1837.64</v>
      </c>
      <c r="C21" s="206" t="str">
        <f>+'Necesidades Trimestrales'!E20</f>
        <v>HIPOTENSORES; TIPO: MONODROGA, DROGA GENERICA: NITROPRUSIATO DE SODIO, FORMA FARMACEUTICA: FRASCO AMPOLLA, PRESENTACION: ENVASE X 50 mGr</v>
      </c>
      <c r="D21" s="207"/>
      <c r="E21" s="207"/>
      <c r="F21" s="207"/>
      <c r="G21" s="207"/>
      <c r="H21" s="65" t="s">
        <v>56</v>
      </c>
      <c r="I21" s="61" t="str">
        <f>+'Necesidades Trimestrales'!F20</f>
        <v>ampolla</v>
      </c>
      <c r="J21" s="66">
        <f>+'Necesidades Trimestrales'!H20</f>
        <v>950</v>
      </c>
      <c r="K21" s="67">
        <f>+'Necesidades Trimestrales'!G20</f>
        <v>700</v>
      </c>
      <c r="L21" s="55"/>
      <c r="M21" s="55"/>
      <c r="N21" s="55"/>
      <c r="O21" s="64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30.75" customHeight="1" thickBot="1" x14ac:dyDescent="0.25">
      <c r="A22" s="68"/>
      <c r="B22" s="68"/>
      <c r="C22" s="165"/>
      <c r="D22" s="166"/>
      <c r="E22" s="166"/>
      <c r="F22" s="166"/>
      <c r="G22" s="166"/>
      <c r="H22" s="68"/>
      <c r="I22" s="69"/>
      <c r="J22" s="70"/>
      <c r="K22" s="71"/>
      <c r="L22" s="55"/>
      <c r="M22" s="55"/>
      <c r="N22" s="55"/>
      <c r="O22" s="64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20.25" customHeight="1" thickBot="1" x14ac:dyDescent="0.25">
      <c r="A23" s="167" t="s">
        <v>95</v>
      </c>
      <c r="B23" s="168"/>
      <c r="C23" s="168"/>
      <c r="D23" s="168"/>
      <c r="E23" s="168"/>
      <c r="F23" s="168"/>
      <c r="G23" s="168"/>
      <c r="H23" s="168"/>
      <c r="I23" s="169"/>
      <c r="J23" s="170">
        <f>SUMPRODUCT(J12:J22,K12:K22)</f>
        <v>2223000</v>
      </c>
      <c r="K23" s="171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2.75" customHeight="1" x14ac:dyDescent="0.2">
      <c r="A24" s="55"/>
      <c r="B24" s="10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2.75" customHeight="1" x14ac:dyDescent="0.2">
      <c r="A25" s="55"/>
      <c r="B25" s="10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2.75" customHeight="1" x14ac:dyDescent="0.2">
      <c r="A26" s="55"/>
      <c r="B26" s="10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2.75" customHeight="1" x14ac:dyDescent="0.2">
      <c r="A27" s="55"/>
      <c r="B27" s="10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2.75" customHeight="1" x14ac:dyDescent="0.2">
      <c r="A28" s="55"/>
      <c r="B28" s="10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2.75" customHeight="1" x14ac:dyDescent="0.2">
      <c r="A29" s="55"/>
      <c r="B29" s="10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2.75" customHeight="1" x14ac:dyDescent="0.2">
      <c r="A30" s="55"/>
      <c r="B30" s="10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2.75" customHeight="1" x14ac:dyDescent="0.2">
      <c r="A31" s="55"/>
      <c r="B31" s="10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2.75" customHeight="1" x14ac:dyDescent="0.2">
      <c r="A32" s="55"/>
      <c r="B32" s="10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2.75" customHeight="1" x14ac:dyDescent="0.2">
      <c r="A33" s="55"/>
      <c r="B33" s="10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2.75" customHeight="1" x14ac:dyDescent="0.2">
      <c r="A34" s="55"/>
      <c r="B34" s="10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2.75" customHeight="1" x14ac:dyDescent="0.2">
      <c r="A35" s="55"/>
      <c r="B35" s="10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2.75" customHeight="1" x14ac:dyDescent="0.2">
      <c r="A36" s="55"/>
      <c r="B36" s="10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2.75" customHeight="1" x14ac:dyDescent="0.2">
      <c r="A37" s="55"/>
      <c r="B37" s="10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2.75" customHeight="1" x14ac:dyDescent="0.2">
      <c r="A38" s="55"/>
      <c r="B38" s="10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2.75" customHeight="1" x14ac:dyDescent="0.2">
      <c r="A39" s="55"/>
      <c r="B39" s="10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2.75" customHeight="1" x14ac:dyDescent="0.2">
      <c r="A40" s="55"/>
      <c r="B40" s="10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2.75" customHeight="1" x14ac:dyDescent="0.2">
      <c r="A41" s="55"/>
      <c r="B41" s="10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2.75" customHeight="1" x14ac:dyDescent="0.2">
      <c r="A42" s="55"/>
      <c r="B42" s="10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2.75" customHeight="1" x14ac:dyDescent="0.2">
      <c r="A43" s="55"/>
      <c r="B43" s="10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2.75" customHeight="1" x14ac:dyDescent="0.2">
      <c r="A44" s="55"/>
      <c r="B44" s="10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2.75" customHeight="1" x14ac:dyDescent="0.2">
      <c r="A45" s="55"/>
      <c r="B45" s="10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2.75" customHeight="1" x14ac:dyDescent="0.2">
      <c r="A46" s="55"/>
      <c r="B46" s="10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2.75" customHeight="1" x14ac:dyDescent="0.2">
      <c r="A47" s="55"/>
      <c r="B47" s="10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2.75" customHeight="1" x14ac:dyDescent="0.2">
      <c r="A48" s="55"/>
      <c r="B48" s="10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2.75" customHeight="1" x14ac:dyDescent="0.2">
      <c r="A49" s="55"/>
      <c r="B49" s="10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2.75" customHeight="1" x14ac:dyDescent="0.2">
      <c r="A50" s="55"/>
      <c r="B50" s="10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2.75" customHeight="1" x14ac:dyDescent="0.2">
      <c r="A51" s="55"/>
      <c r="B51" s="10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2.75" customHeight="1" x14ac:dyDescent="0.2">
      <c r="A52" s="55"/>
      <c r="B52" s="10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2.75" customHeight="1" x14ac:dyDescent="0.2">
      <c r="A53" s="55"/>
      <c r="B53" s="10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2.75" customHeight="1" x14ac:dyDescent="0.2">
      <c r="A54" s="55"/>
      <c r="B54" s="10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2.75" customHeight="1" x14ac:dyDescent="0.2">
      <c r="A55" s="55"/>
      <c r="B55" s="10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2.75" customHeight="1" x14ac:dyDescent="0.2">
      <c r="A56" s="55"/>
      <c r="B56" s="10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2.75" customHeight="1" x14ac:dyDescent="0.2">
      <c r="A57" s="55"/>
      <c r="B57" s="10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2.75" customHeight="1" x14ac:dyDescent="0.2">
      <c r="A58" s="55"/>
      <c r="B58" s="10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2.75" customHeight="1" x14ac:dyDescent="0.2">
      <c r="A59" s="55"/>
      <c r="B59" s="10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2.75" customHeight="1" x14ac:dyDescent="0.2">
      <c r="A60" s="55"/>
      <c r="B60" s="10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2.75" customHeight="1" x14ac:dyDescent="0.2">
      <c r="A61" s="55"/>
      <c r="B61" s="10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2.75" customHeight="1" x14ac:dyDescent="0.2">
      <c r="A62" s="55"/>
      <c r="B62" s="10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2.75" customHeight="1" x14ac:dyDescent="0.2">
      <c r="A63" s="55"/>
      <c r="B63" s="10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2.75" customHeight="1" x14ac:dyDescent="0.2">
      <c r="A64" s="55"/>
      <c r="B64" s="10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2.75" customHeight="1" x14ac:dyDescent="0.2">
      <c r="A65" s="55"/>
      <c r="B65" s="10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2.75" customHeight="1" x14ac:dyDescent="0.2">
      <c r="A66" s="55"/>
      <c r="B66" s="10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2.75" customHeight="1" x14ac:dyDescent="0.2">
      <c r="A67" s="55"/>
      <c r="B67" s="10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2.75" customHeight="1" x14ac:dyDescent="0.2">
      <c r="A68" s="55"/>
      <c r="B68" s="10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2.75" customHeight="1" x14ac:dyDescent="0.2">
      <c r="A69" s="55"/>
      <c r="B69" s="10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2.75" customHeight="1" x14ac:dyDescent="0.2">
      <c r="A70" s="55"/>
      <c r="B70" s="10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2.75" customHeight="1" x14ac:dyDescent="0.2">
      <c r="A71" s="55"/>
      <c r="B71" s="10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2.75" customHeight="1" x14ac:dyDescent="0.2">
      <c r="A72" s="55"/>
      <c r="B72" s="10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2.75" customHeight="1" x14ac:dyDescent="0.2">
      <c r="A73" s="55"/>
      <c r="B73" s="10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2.75" customHeight="1" x14ac:dyDescent="0.2">
      <c r="A74" s="55"/>
      <c r="B74" s="10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2.75" customHeight="1" x14ac:dyDescent="0.2">
      <c r="A75" s="55"/>
      <c r="B75" s="10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2.75" customHeight="1" x14ac:dyDescent="0.2">
      <c r="A76" s="55"/>
      <c r="B76" s="10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2.75" customHeight="1" x14ac:dyDescent="0.2">
      <c r="A77" s="55"/>
      <c r="B77" s="10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2.75" customHeight="1" x14ac:dyDescent="0.2">
      <c r="A78" s="55"/>
      <c r="B78" s="10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2.75" customHeight="1" x14ac:dyDescent="0.2">
      <c r="A79" s="55"/>
      <c r="B79" s="10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2.75" customHeight="1" x14ac:dyDescent="0.2">
      <c r="A80" s="55"/>
      <c r="B80" s="10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2.75" customHeight="1" x14ac:dyDescent="0.2">
      <c r="A81" s="55"/>
      <c r="B81" s="10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2.75" customHeight="1" x14ac:dyDescent="0.2">
      <c r="A82" s="55"/>
      <c r="B82" s="10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2.75" customHeight="1" x14ac:dyDescent="0.2">
      <c r="A83" s="55"/>
      <c r="B83" s="10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2.75" customHeight="1" x14ac:dyDescent="0.2">
      <c r="A84" s="55"/>
      <c r="B84" s="10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2.75" customHeight="1" x14ac:dyDescent="0.2">
      <c r="A85" s="55"/>
      <c r="B85" s="10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2.75" customHeight="1" x14ac:dyDescent="0.2">
      <c r="A86" s="55"/>
      <c r="B86" s="10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2.75" customHeight="1" x14ac:dyDescent="0.2">
      <c r="A87" s="55"/>
      <c r="B87" s="10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2.75" customHeight="1" x14ac:dyDescent="0.2">
      <c r="A88" s="55"/>
      <c r="B88" s="10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2.75" customHeight="1" x14ac:dyDescent="0.2">
      <c r="A89" s="55"/>
      <c r="B89" s="10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2.75" customHeight="1" x14ac:dyDescent="0.2">
      <c r="A90" s="55"/>
      <c r="B90" s="10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2.75" customHeight="1" x14ac:dyDescent="0.2">
      <c r="A91" s="55"/>
      <c r="B91" s="10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2.75" customHeight="1" x14ac:dyDescent="0.2">
      <c r="A92" s="55"/>
      <c r="B92" s="10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2.75" customHeight="1" x14ac:dyDescent="0.2">
      <c r="A93" s="55"/>
      <c r="B93" s="10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2.75" customHeight="1" x14ac:dyDescent="0.2">
      <c r="A94" s="55"/>
      <c r="B94" s="10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2.75" customHeight="1" x14ac:dyDescent="0.2">
      <c r="A95" s="55"/>
      <c r="B95" s="10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2.75" customHeight="1" x14ac:dyDescent="0.2">
      <c r="A96" s="55"/>
      <c r="B96" s="10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2.75" customHeight="1" x14ac:dyDescent="0.2">
      <c r="A97" s="55"/>
      <c r="B97" s="10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2.75" customHeight="1" x14ac:dyDescent="0.2">
      <c r="A98" s="55"/>
      <c r="B98" s="10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2.75" customHeight="1" x14ac:dyDescent="0.2">
      <c r="A99" s="55"/>
      <c r="B99" s="10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2.75" customHeight="1" x14ac:dyDescent="0.2">
      <c r="A100" s="55"/>
      <c r="B100" s="10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2.75" customHeight="1" x14ac:dyDescent="0.2">
      <c r="A101" s="55"/>
      <c r="B101" s="10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2.75" customHeight="1" x14ac:dyDescent="0.2">
      <c r="A102" s="55"/>
      <c r="B102" s="10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2.75" customHeight="1" x14ac:dyDescent="0.2">
      <c r="A103" s="55"/>
      <c r="B103" s="10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2.75" customHeight="1" x14ac:dyDescent="0.2">
      <c r="A104" s="55"/>
      <c r="B104" s="10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2.75" customHeight="1" x14ac:dyDescent="0.2">
      <c r="A105" s="55"/>
      <c r="B105" s="10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2.75" customHeight="1" x14ac:dyDescent="0.2">
      <c r="A106" s="55"/>
      <c r="B106" s="10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2.75" customHeight="1" x14ac:dyDescent="0.2">
      <c r="A107" s="55"/>
      <c r="B107" s="10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2.75" customHeight="1" x14ac:dyDescent="0.2">
      <c r="A108" s="55"/>
      <c r="B108" s="10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2.75" customHeight="1" x14ac:dyDescent="0.2">
      <c r="A109" s="55"/>
      <c r="B109" s="10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2.75" customHeight="1" x14ac:dyDescent="0.2">
      <c r="A110" s="55"/>
      <c r="B110" s="10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2.75" customHeight="1" x14ac:dyDescent="0.2">
      <c r="A111" s="55"/>
      <c r="B111" s="10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2.75" customHeight="1" x14ac:dyDescent="0.2">
      <c r="A112" s="55"/>
      <c r="B112" s="10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2.75" customHeight="1" x14ac:dyDescent="0.2">
      <c r="A113" s="55"/>
      <c r="B113" s="10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2.75" customHeight="1" x14ac:dyDescent="0.2">
      <c r="A114" s="55"/>
      <c r="B114" s="10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2.75" customHeight="1" x14ac:dyDescent="0.2">
      <c r="A115" s="55"/>
      <c r="B115" s="10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2.75" customHeight="1" x14ac:dyDescent="0.2">
      <c r="A116" s="55"/>
      <c r="B116" s="10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2.75" customHeight="1" x14ac:dyDescent="0.2">
      <c r="A117" s="55"/>
      <c r="B117" s="10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2.75" customHeight="1" x14ac:dyDescent="0.2">
      <c r="A118" s="55"/>
      <c r="B118" s="10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2.75" customHeight="1" x14ac:dyDescent="0.2">
      <c r="A119" s="55"/>
      <c r="B119" s="10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2.75" customHeight="1" x14ac:dyDescent="0.2">
      <c r="A120" s="55"/>
      <c r="B120" s="10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2.75" customHeight="1" x14ac:dyDescent="0.2">
      <c r="A121" s="55"/>
      <c r="B121" s="10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2.75" customHeight="1" x14ac:dyDescent="0.2">
      <c r="A122" s="55"/>
      <c r="B122" s="10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2.75" customHeight="1" x14ac:dyDescent="0.2">
      <c r="A123" s="55"/>
      <c r="B123" s="10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2.75" customHeight="1" x14ac:dyDescent="0.2">
      <c r="A124" s="55"/>
      <c r="B124" s="10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2.75" customHeight="1" x14ac:dyDescent="0.2">
      <c r="A125" s="55"/>
      <c r="B125" s="10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2.75" customHeight="1" x14ac:dyDescent="0.2">
      <c r="A126" s="55"/>
      <c r="B126" s="10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2.75" customHeight="1" x14ac:dyDescent="0.2">
      <c r="A127" s="55"/>
      <c r="B127" s="10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2.75" customHeight="1" x14ac:dyDescent="0.2">
      <c r="A128" s="55"/>
      <c r="B128" s="10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2.75" customHeight="1" x14ac:dyDescent="0.2">
      <c r="A129" s="55"/>
      <c r="B129" s="10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2.75" customHeight="1" x14ac:dyDescent="0.2">
      <c r="A130" s="55"/>
      <c r="B130" s="10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2.75" customHeight="1" x14ac:dyDescent="0.2">
      <c r="A131" s="55"/>
      <c r="B131" s="10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2.75" customHeight="1" x14ac:dyDescent="0.2">
      <c r="A132" s="55"/>
      <c r="B132" s="10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2.75" customHeight="1" x14ac:dyDescent="0.2">
      <c r="A133" s="55"/>
      <c r="B133" s="10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2.75" customHeight="1" x14ac:dyDescent="0.2">
      <c r="A134" s="55"/>
      <c r="B134" s="10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2.75" customHeight="1" x14ac:dyDescent="0.2">
      <c r="A135" s="55"/>
      <c r="B135" s="10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2.75" customHeight="1" x14ac:dyDescent="0.2">
      <c r="A136" s="55"/>
      <c r="B136" s="10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2.75" customHeight="1" x14ac:dyDescent="0.2">
      <c r="A137" s="55"/>
      <c r="B137" s="10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2.75" customHeight="1" x14ac:dyDescent="0.2">
      <c r="A138" s="55"/>
      <c r="B138" s="10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2.75" customHeight="1" x14ac:dyDescent="0.2">
      <c r="A139" s="55"/>
      <c r="B139" s="10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2.75" customHeight="1" x14ac:dyDescent="0.2">
      <c r="A140" s="55"/>
      <c r="B140" s="10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2.75" customHeight="1" x14ac:dyDescent="0.2">
      <c r="A141" s="55"/>
      <c r="B141" s="10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2.75" customHeight="1" x14ac:dyDescent="0.2">
      <c r="A142" s="55"/>
      <c r="B142" s="10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2.75" customHeight="1" x14ac:dyDescent="0.2">
      <c r="A143" s="55"/>
      <c r="B143" s="10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2.75" customHeight="1" x14ac:dyDescent="0.2">
      <c r="A144" s="55"/>
      <c r="B144" s="10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2.75" customHeight="1" x14ac:dyDescent="0.2">
      <c r="A145" s="55"/>
      <c r="B145" s="10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2.75" customHeight="1" x14ac:dyDescent="0.2">
      <c r="A146" s="55"/>
      <c r="B146" s="10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2.75" customHeight="1" x14ac:dyDescent="0.2">
      <c r="A147" s="55"/>
      <c r="B147" s="10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2.75" customHeight="1" x14ac:dyDescent="0.2">
      <c r="A148" s="55"/>
      <c r="B148" s="10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2.75" customHeight="1" x14ac:dyDescent="0.2">
      <c r="A149" s="55"/>
      <c r="B149" s="10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2.75" customHeight="1" x14ac:dyDescent="0.2">
      <c r="A150" s="55"/>
      <c r="B150" s="10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2.75" customHeight="1" x14ac:dyDescent="0.2">
      <c r="A151" s="55"/>
      <c r="B151" s="10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2.75" customHeight="1" x14ac:dyDescent="0.2">
      <c r="A152" s="55"/>
      <c r="B152" s="10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2.75" customHeight="1" x14ac:dyDescent="0.2">
      <c r="A153" s="55"/>
      <c r="B153" s="10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2.75" customHeight="1" x14ac:dyDescent="0.2">
      <c r="A154" s="55"/>
      <c r="B154" s="10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2.75" customHeight="1" x14ac:dyDescent="0.2">
      <c r="A155" s="55"/>
      <c r="B155" s="10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2.75" customHeight="1" x14ac:dyDescent="0.2">
      <c r="A156" s="55"/>
      <c r="B156" s="10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2.75" customHeight="1" x14ac:dyDescent="0.2">
      <c r="A157" s="55"/>
      <c r="B157" s="10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2.75" customHeight="1" x14ac:dyDescent="0.2">
      <c r="A158" s="55"/>
      <c r="B158" s="10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2.75" customHeight="1" x14ac:dyDescent="0.2">
      <c r="A159" s="55"/>
      <c r="B159" s="10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2.75" customHeight="1" x14ac:dyDescent="0.2">
      <c r="A160" s="55"/>
      <c r="B160" s="10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2.75" customHeight="1" x14ac:dyDescent="0.2">
      <c r="A161" s="55"/>
      <c r="B161" s="10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2.75" customHeight="1" x14ac:dyDescent="0.2">
      <c r="A162" s="55"/>
      <c r="B162" s="10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2.75" customHeight="1" x14ac:dyDescent="0.2">
      <c r="A163" s="55"/>
      <c r="B163" s="10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2.75" customHeight="1" x14ac:dyDescent="0.2">
      <c r="A164" s="55"/>
      <c r="B164" s="10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2.75" customHeight="1" x14ac:dyDescent="0.2">
      <c r="A165" s="55"/>
      <c r="B165" s="10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2.75" customHeight="1" x14ac:dyDescent="0.2">
      <c r="A166" s="55"/>
      <c r="B166" s="10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2.75" customHeight="1" x14ac:dyDescent="0.2">
      <c r="A167" s="55"/>
      <c r="B167" s="10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2.75" customHeight="1" x14ac:dyDescent="0.2">
      <c r="A168" s="55"/>
      <c r="B168" s="10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2.75" customHeight="1" x14ac:dyDescent="0.2">
      <c r="A169" s="55"/>
      <c r="B169" s="10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2.75" customHeight="1" x14ac:dyDescent="0.2">
      <c r="A170" s="55"/>
      <c r="B170" s="10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2.75" customHeight="1" x14ac:dyDescent="0.2">
      <c r="A171" s="55"/>
      <c r="B171" s="10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2.75" customHeight="1" x14ac:dyDescent="0.2">
      <c r="A172" s="55"/>
      <c r="B172" s="10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2.75" customHeight="1" x14ac:dyDescent="0.2">
      <c r="A173" s="55"/>
      <c r="B173" s="10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2.75" customHeight="1" x14ac:dyDescent="0.2">
      <c r="A174" s="55"/>
      <c r="B174" s="10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2.75" customHeight="1" x14ac:dyDescent="0.2">
      <c r="A175" s="55"/>
      <c r="B175" s="10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2.75" customHeight="1" x14ac:dyDescent="0.2">
      <c r="A176" s="55"/>
      <c r="B176" s="10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2.75" customHeight="1" x14ac:dyDescent="0.2">
      <c r="A177" s="55"/>
      <c r="B177" s="10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2.75" customHeight="1" x14ac:dyDescent="0.2">
      <c r="A178" s="55"/>
      <c r="B178" s="10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2.75" customHeight="1" x14ac:dyDescent="0.2">
      <c r="A179" s="55"/>
      <c r="B179" s="10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2.75" customHeight="1" x14ac:dyDescent="0.2">
      <c r="A180" s="55"/>
      <c r="B180" s="10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2.75" customHeight="1" x14ac:dyDescent="0.2">
      <c r="A181" s="55"/>
      <c r="B181" s="10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2.75" customHeight="1" x14ac:dyDescent="0.2">
      <c r="A182" s="55"/>
      <c r="B182" s="10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2.75" customHeight="1" x14ac:dyDescent="0.2">
      <c r="A183" s="55"/>
      <c r="B183" s="10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2.75" customHeight="1" x14ac:dyDescent="0.2">
      <c r="A184" s="55"/>
      <c r="B184" s="10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2.75" customHeight="1" x14ac:dyDescent="0.2">
      <c r="A185" s="55"/>
      <c r="B185" s="10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2.75" customHeight="1" x14ac:dyDescent="0.2">
      <c r="A186" s="55"/>
      <c r="B186" s="10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2.75" customHeight="1" x14ac:dyDescent="0.2">
      <c r="A187" s="55"/>
      <c r="B187" s="10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2.75" customHeight="1" x14ac:dyDescent="0.2">
      <c r="A188" s="55"/>
      <c r="B188" s="10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2.75" customHeight="1" x14ac:dyDescent="0.2">
      <c r="A189" s="55"/>
      <c r="B189" s="10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2.75" customHeight="1" x14ac:dyDescent="0.2">
      <c r="A190" s="55"/>
      <c r="B190" s="10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2.75" customHeight="1" x14ac:dyDescent="0.2">
      <c r="A191" s="55"/>
      <c r="B191" s="10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2.75" customHeight="1" x14ac:dyDescent="0.2">
      <c r="A192" s="55"/>
      <c r="B192" s="10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2.75" customHeight="1" x14ac:dyDescent="0.2">
      <c r="A193" s="55"/>
      <c r="B193" s="10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2.75" customHeight="1" x14ac:dyDescent="0.2">
      <c r="A194" s="55"/>
      <c r="B194" s="10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2.75" customHeight="1" x14ac:dyDescent="0.2">
      <c r="A195" s="55"/>
      <c r="B195" s="10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2.75" customHeight="1" x14ac:dyDescent="0.2">
      <c r="A196" s="55"/>
      <c r="B196" s="10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2.75" customHeight="1" x14ac:dyDescent="0.2">
      <c r="A197" s="55"/>
      <c r="B197" s="10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2.75" customHeight="1" x14ac:dyDescent="0.2">
      <c r="A198" s="55"/>
      <c r="B198" s="10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2.75" customHeight="1" x14ac:dyDescent="0.2">
      <c r="A199" s="55"/>
      <c r="B199" s="10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2.75" customHeight="1" x14ac:dyDescent="0.2">
      <c r="A200" s="55"/>
      <c r="B200" s="10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2.75" customHeight="1" x14ac:dyDescent="0.2">
      <c r="A201" s="55"/>
      <c r="B201" s="10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2.75" customHeight="1" x14ac:dyDescent="0.2">
      <c r="A202" s="55"/>
      <c r="B202" s="10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2.75" customHeight="1" x14ac:dyDescent="0.2">
      <c r="A203" s="55"/>
      <c r="B203" s="10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2.75" customHeight="1" x14ac:dyDescent="0.2">
      <c r="A204" s="55"/>
      <c r="B204" s="10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2.75" customHeight="1" x14ac:dyDescent="0.2">
      <c r="A205" s="55"/>
      <c r="B205" s="10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2.75" customHeight="1" x14ac:dyDescent="0.2">
      <c r="A206" s="55"/>
      <c r="B206" s="10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2.75" customHeight="1" x14ac:dyDescent="0.2">
      <c r="A207" s="55"/>
      <c r="B207" s="10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2.75" customHeight="1" x14ac:dyDescent="0.2">
      <c r="A208" s="55"/>
      <c r="B208" s="10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2.75" customHeight="1" x14ac:dyDescent="0.2">
      <c r="A209" s="55"/>
      <c r="B209" s="10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2.75" customHeight="1" x14ac:dyDescent="0.2">
      <c r="A210" s="55"/>
      <c r="B210" s="10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2.75" customHeight="1" x14ac:dyDescent="0.2">
      <c r="A211" s="55"/>
      <c r="B211" s="10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2.75" customHeight="1" x14ac:dyDescent="0.2">
      <c r="A212" s="55"/>
      <c r="B212" s="10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2.75" customHeight="1" x14ac:dyDescent="0.2">
      <c r="A213" s="55"/>
      <c r="B213" s="10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2.75" customHeight="1" x14ac:dyDescent="0.2">
      <c r="A214" s="55"/>
      <c r="B214" s="10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2.75" customHeight="1" x14ac:dyDescent="0.2">
      <c r="A215" s="55"/>
      <c r="B215" s="10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2.75" customHeight="1" x14ac:dyDescent="0.2">
      <c r="A216" s="55"/>
      <c r="B216" s="10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2.75" customHeight="1" x14ac:dyDescent="0.2">
      <c r="A217" s="55"/>
      <c r="B217" s="10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2.75" customHeight="1" x14ac:dyDescent="0.2">
      <c r="A218" s="55"/>
      <c r="B218" s="10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2.75" customHeight="1" x14ac:dyDescent="0.2">
      <c r="A219" s="55"/>
      <c r="B219" s="10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2.75" customHeight="1" x14ac:dyDescent="0.2">
      <c r="A220" s="55"/>
      <c r="B220" s="10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2.75" customHeight="1" x14ac:dyDescent="0.2">
      <c r="A221" s="55"/>
      <c r="B221" s="10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2.75" customHeight="1" x14ac:dyDescent="0.2">
      <c r="A222" s="55"/>
      <c r="B222" s="10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2.75" customHeight="1" x14ac:dyDescent="0.2">
      <c r="A223" s="55"/>
      <c r="B223" s="10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2.75" customHeight="1" x14ac:dyDescent="0.2">
      <c r="A224" s="55"/>
      <c r="B224" s="10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2.75" customHeight="1" x14ac:dyDescent="0.2">
      <c r="A225" s="55"/>
      <c r="B225" s="10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2.75" customHeight="1" x14ac:dyDescent="0.2">
      <c r="A226" s="55"/>
      <c r="B226" s="10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2.75" customHeight="1" x14ac:dyDescent="0.2">
      <c r="A227" s="55"/>
      <c r="B227" s="10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2.75" customHeight="1" x14ac:dyDescent="0.2">
      <c r="A228" s="55"/>
      <c r="B228" s="10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2.75" customHeight="1" x14ac:dyDescent="0.2">
      <c r="A229" s="55"/>
      <c r="B229" s="10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2.75" customHeight="1" x14ac:dyDescent="0.2">
      <c r="A230" s="55"/>
      <c r="B230" s="10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2.75" customHeight="1" x14ac:dyDescent="0.2">
      <c r="A231" s="55"/>
      <c r="B231" s="10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2.75" customHeight="1" x14ac:dyDescent="0.2">
      <c r="A232" s="55"/>
      <c r="B232" s="10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2.75" customHeight="1" x14ac:dyDescent="0.2">
      <c r="A233" s="55"/>
      <c r="B233" s="10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2.75" customHeight="1" x14ac:dyDescent="0.2">
      <c r="A234" s="55"/>
      <c r="B234" s="10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2.75" customHeight="1" x14ac:dyDescent="0.2">
      <c r="A235" s="55"/>
      <c r="B235" s="10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2.75" customHeight="1" x14ac:dyDescent="0.2">
      <c r="A236" s="55"/>
      <c r="B236" s="10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2.75" customHeight="1" x14ac:dyDescent="0.2">
      <c r="A237" s="55"/>
      <c r="B237" s="10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2.75" customHeight="1" x14ac:dyDescent="0.2">
      <c r="A238" s="55"/>
      <c r="B238" s="10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2.75" customHeight="1" x14ac:dyDescent="0.2">
      <c r="A239" s="55"/>
      <c r="B239" s="10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2.75" customHeight="1" x14ac:dyDescent="0.2">
      <c r="A240" s="55"/>
      <c r="B240" s="10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2.75" customHeight="1" x14ac:dyDescent="0.2">
      <c r="A241" s="55"/>
      <c r="B241" s="10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2.75" customHeight="1" x14ac:dyDescent="0.2">
      <c r="A242" s="55"/>
      <c r="B242" s="10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2.75" customHeight="1" x14ac:dyDescent="0.2">
      <c r="A243" s="55"/>
      <c r="B243" s="10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2.75" customHeight="1" x14ac:dyDescent="0.2">
      <c r="A244" s="55"/>
      <c r="B244" s="10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2.75" customHeight="1" x14ac:dyDescent="0.2">
      <c r="A245" s="55"/>
      <c r="B245" s="10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2.75" customHeight="1" x14ac:dyDescent="0.2">
      <c r="A246" s="55"/>
      <c r="B246" s="10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2.75" customHeight="1" x14ac:dyDescent="0.2">
      <c r="A247" s="55"/>
      <c r="B247" s="10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2.75" customHeight="1" x14ac:dyDescent="0.2">
      <c r="A248" s="55"/>
      <c r="B248" s="10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2.75" customHeight="1" x14ac:dyDescent="0.2">
      <c r="A249" s="55"/>
      <c r="B249" s="10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2.75" customHeight="1" x14ac:dyDescent="0.2">
      <c r="A250" s="55"/>
      <c r="B250" s="10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2.75" customHeight="1" x14ac:dyDescent="0.2">
      <c r="A251" s="55"/>
      <c r="B251" s="10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2.75" customHeight="1" x14ac:dyDescent="0.2">
      <c r="A252" s="55"/>
      <c r="B252" s="10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2.75" customHeight="1" x14ac:dyDescent="0.2">
      <c r="A253" s="55"/>
      <c r="B253" s="10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2.75" customHeight="1" x14ac:dyDescent="0.2">
      <c r="A254" s="55"/>
      <c r="B254" s="10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2.75" customHeight="1" x14ac:dyDescent="0.2">
      <c r="A255" s="55"/>
      <c r="B255" s="10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2.75" customHeight="1" x14ac:dyDescent="0.2">
      <c r="A256" s="55"/>
      <c r="B256" s="10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2.75" customHeight="1" x14ac:dyDescent="0.2">
      <c r="A257" s="55"/>
      <c r="B257" s="10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2.75" customHeight="1" x14ac:dyDescent="0.2">
      <c r="A258" s="55"/>
      <c r="B258" s="10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2.75" customHeight="1" x14ac:dyDescent="0.2">
      <c r="A259" s="55"/>
      <c r="B259" s="10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2.75" customHeight="1" x14ac:dyDescent="0.2">
      <c r="A260" s="55"/>
      <c r="B260" s="10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2.75" customHeight="1" x14ac:dyDescent="0.2">
      <c r="A261" s="55"/>
      <c r="B261" s="10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2.75" customHeight="1" x14ac:dyDescent="0.2">
      <c r="A262" s="55"/>
      <c r="B262" s="10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2.75" customHeight="1" x14ac:dyDescent="0.2">
      <c r="A263" s="55"/>
      <c r="B263" s="10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2.75" customHeight="1" x14ac:dyDescent="0.2">
      <c r="A264" s="55"/>
      <c r="B264" s="10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2.75" customHeight="1" x14ac:dyDescent="0.2">
      <c r="A265" s="55"/>
      <c r="B265" s="10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2.75" customHeight="1" x14ac:dyDescent="0.2">
      <c r="A266" s="55"/>
      <c r="B266" s="10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2.75" customHeight="1" x14ac:dyDescent="0.2">
      <c r="A267" s="55"/>
      <c r="B267" s="10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2.75" customHeight="1" x14ac:dyDescent="0.2">
      <c r="A268" s="55"/>
      <c r="B268" s="10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2.75" customHeight="1" x14ac:dyDescent="0.2">
      <c r="A269" s="55"/>
      <c r="B269" s="10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2.75" customHeight="1" x14ac:dyDescent="0.2">
      <c r="A270" s="55"/>
      <c r="B270" s="10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2.75" customHeight="1" x14ac:dyDescent="0.2">
      <c r="A271" s="55"/>
      <c r="B271" s="10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2.75" customHeight="1" x14ac:dyDescent="0.2">
      <c r="A272" s="55"/>
      <c r="B272" s="10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2.75" customHeight="1" x14ac:dyDescent="0.2">
      <c r="A273" s="55"/>
      <c r="B273" s="10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2.75" customHeight="1" x14ac:dyDescent="0.2">
      <c r="A274" s="55"/>
      <c r="B274" s="10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2.75" customHeight="1" x14ac:dyDescent="0.2">
      <c r="A275" s="55"/>
      <c r="B275" s="10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2.75" customHeight="1" x14ac:dyDescent="0.2">
      <c r="A276" s="55"/>
      <c r="B276" s="10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2.75" customHeight="1" x14ac:dyDescent="0.2">
      <c r="A277" s="55"/>
      <c r="B277" s="10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2.75" customHeight="1" x14ac:dyDescent="0.2">
      <c r="A278" s="55"/>
      <c r="B278" s="10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2.75" customHeight="1" x14ac:dyDescent="0.2">
      <c r="A279" s="55"/>
      <c r="B279" s="10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2.75" customHeight="1" x14ac:dyDescent="0.2">
      <c r="A280" s="55"/>
      <c r="B280" s="10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2.75" customHeight="1" x14ac:dyDescent="0.2">
      <c r="A281" s="55"/>
      <c r="B281" s="10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2.75" customHeight="1" x14ac:dyDescent="0.2">
      <c r="A282" s="55"/>
      <c r="B282" s="10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2.75" customHeight="1" x14ac:dyDescent="0.2">
      <c r="A283" s="55"/>
      <c r="B283" s="10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2.75" customHeight="1" x14ac:dyDescent="0.2">
      <c r="A284" s="55"/>
      <c r="B284" s="10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2.75" customHeight="1" x14ac:dyDescent="0.2">
      <c r="A285" s="55"/>
      <c r="B285" s="10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2.75" customHeight="1" x14ac:dyDescent="0.2">
      <c r="A286" s="55"/>
      <c r="B286" s="10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2.75" customHeight="1" x14ac:dyDescent="0.2">
      <c r="A287" s="55"/>
      <c r="B287" s="10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2.75" customHeight="1" x14ac:dyDescent="0.2">
      <c r="A288" s="55"/>
      <c r="B288" s="10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2.75" customHeight="1" x14ac:dyDescent="0.2">
      <c r="A289" s="55"/>
      <c r="B289" s="10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2.75" customHeight="1" x14ac:dyDescent="0.2">
      <c r="A290" s="55"/>
      <c r="B290" s="10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2.75" customHeight="1" x14ac:dyDescent="0.2">
      <c r="A291" s="55"/>
      <c r="B291" s="10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2.75" customHeight="1" x14ac:dyDescent="0.2">
      <c r="A292" s="55"/>
      <c r="B292" s="10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2.75" customHeight="1" x14ac:dyDescent="0.2">
      <c r="A293" s="55"/>
      <c r="B293" s="10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2.75" customHeight="1" x14ac:dyDescent="0.2">
      <c r="A294" s="55"/>
      <c r="B294" s="10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2.75" customHeight="1" x14ac:dyDescent="0.2">
      <c r="A295" s="55"/>
      <c r="B295" s="10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2.75" customHeight="1" x14ac:dyDescent="0.2">
      <c r="A296" s="55"/>
      <c r="B296" s="10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2.75" customHeight="1" x14ac:dyDescent="0.2">
      <c r="A297" s="55"/>
      <c r="B297" s="10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2.75" customHeight="1" x14ac:dyDescent="0.2">
      <c r="A298" s="55"/>
      <c r="B298" s="10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2.75" customHeight="1" x14ac:dyDescent="0.2">
      <c r="A299" s="55"/>
      <c r="B299" s="10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2.75" customHeight="1" x14ac:dyDescent="0.2">
      <c r="A300" s="55"/>
      <c r="B300" s="10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2.75" customHeight="1" x14ac:dyDescent="0.2">
      <c r="A301" s="55"/>
      <c r="B301" s="10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2.75" customHeight="1" x14ac:dyDescent="0.2">
      <c r="A302" s="55"/>
      <c r="B302" s="10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2.75" customHeight="1" x14ac:dyDescent="0.2">
      <c r="A303" s="55"/>
      <c r="B303" s="10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2.75" customHeight="1" x14ac:dyDescent="0.2">
      <c r="A304" s="55"/>
      <c r="B304" s="10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2.75" customHeight="1" x14ac:dyDescent="0.2">
      <c r="A305" s="55"/>
      <c r="B305" s="10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2.75" customHeight="1" x14ac:dyDescent="0.2">
      <c r="A306" s="55"/>
      <c r="B306" s="10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2.75" customHeight="1" x14ac:dyDescent="0.2">
      <c r="A307" s="55"/>
      <c r="B307" s="10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2.75" customHeight="1" x14ac:dyDescent="0.2">
      <c r="A308" s="55"/>
      <c r="B308" s="10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2.75" customHeight="1" x14ac:dyDescent="0.2">
      <c r="A309" s="55"/>
      <c r="B309" s="10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2.75" customHeight="1" x14ac:dyDescent="0.2">
      <c r="A310" s="55"/>
      <c r="B310" s="10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2.75" customHeight="1" x14ac:dyDescent="0.2">
      <c r="A311" s="55"/>
      <c r="B311" s="10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2.75" customHeight="1" x14ac:dyDescent="0.2">
      <c r="A312" s="55"/>
      <c r="B312" s="10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2.75" customHeight="1" x14ac:dyDescent="0.2">
      <c r="A313" s="55"/>
      <c r="B313" s="10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2.75" customHeight="1" x14ac:dyDescent="0.2">
      <c r="A314" s="55"/>
      <c r="B314" s="10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2.75" customHeight="1" x14ac:dyDescent="0.2">
      <c r="A315" s="55"/>
      <c r="B315" s="10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2.75" customHeight="1" x14ac:dyDescent="0.2">
      <c r="A316" s="55"/>
      <c r="B316" s="10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2.75" customHeight="1" x14ac:dyDescent="0.2">
      <c r="A317" s="55"/>
      <c r="B317" s="10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2.75" customHeight="1" x14ac:dyDescent="0.2">
      <c r="A318" s="55"/>
      <c r="B318" s="10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2.75" customHeight="1" x14ac:dyDescent="0.2">
      <c r="A319" s="55"/>
      <c r="B319" s="10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2.75" customHeight="1" x14ac:dyDescent="0.2">
      <c r="A320" s="55"/>
      <c r="B320" s="10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2.75" customHeight="1" x14ac:dyDescent="0.2">
      <c r="A321" s="55"/>
      <c r="B321" s="10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2.75" customHeight="1" x14ac:dyDescent="0.2">
      <c r="A322" s="55"/>
      <c r="B322" s="10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2.75" customHeight="1" x14ac:dyDescent="0.2">
      <c r="A323" s="55"/>
      <c r="B323" s="10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2.75" customHeight="1" x14ac:dyDescent="0.2">
      <c r="A324" s="55"/>
      <c r="B324" s="10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2.75" customHeight="1" x14ac:dyDescent="0.2">
      <c r="A325" s="55"/>
      <c r="B325" s="10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2.75" customHeight="1" x14ac:dyDescent="0.2">
      <c r="A326" s="55"/>
      <c r="B326" s="10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2.75" customHeight="1" x14ac:dyDescent="0.2">
      <c r="A327" s="55"/>
      <c r="B327" s="10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2.75" customHeight="1" x14ac:dyDescent="0.2">
      <c r="A328" s="55"/>
      <c r="B328" s="10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2.75" customHeight="1" x14ac:dyDescent="0.2">
      <c r="A329" s="55"/>
      <c r="B329" s="10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2.75" customHeight="1" x14ac:dyDescent="0.2">
      <c r="A330" s="55"/>
      <c r="B330" s="10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2.75" customHeight="1" x14ac:dyDescent="0.2">
      <c r="A331" s="55"/>
      <c r="B331" s="10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2.75" customHeight="1" x14ac:dyDescent="0.2">
      <c r="A332" s="55"/>
      <c r="B332" s="10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2.75" customHeight="1" x14ac:dyDescent="0.2">
      <c r="A333" s="55"/>
      <c r="B333" s="10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2.75" customHeight="1" x14ac:dyDescent="0.2">
      <c r="A334" s="55"/>
      <c r="B334" s="10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2.75" customHeight="1" x14ac:dyDescent="0.2">
      <c r="A335" s="55"/>
      <c r="B335" s="10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2.75" customHeight="1" x14ac:dyDescent="0.2">
      <c r="A336" s="55"/>
      <c r="B336" s="10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2.75" customHeight="1" x14ac:dyDescent="0.2">
      <c r="A337" s="55"/>
      <c r="B337" s="10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2.75" customHeight="1" x14ac:dyDescent="0.2">
      <c r="A338" s="55"/>
      <c r="B338" s="10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2.75" customHeight="1" x14ac:dyDescent="0.2">
      <c r="A339" s="55"/>
      <c r="B339" s="10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2.75" customHeight="1" x14ac:dyDescent="0.2">
      <c r="A340" s="55"/>
      <c r="B340" s="10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2.75" customHeight="1" x14ac:dyDescent="0.2">
      <c r="A341" s="55"/>
      <c r="B341" s="10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2.75" customHeight="1" x14ac:dyDescent="0.2">
      <c r="A342" s="55"/>
      <c r="B342" s="10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2.75" customHeight="1" x14ac:dyDescent="0.2">
      <c r="A343" s="55"/>
      <c r="B343" s="10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2.75" customHeight="1" x14ac:dyDescent="0.2">
      <c r="A344" s="55"/>
      <c r="B344" s="10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2.75" customHeight="1" x14ac:dyDescent="0.2">
      <c r="A345" s="55"/>
      <c r="B345" s="10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2.75" customHeight="1" x14ac:dyDescent="0.2">
      <c r="A346" s="55"/>
      <c r="B346" s="10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2.75" customHeight="1" x14ac:dyDescent="0.2">
      <c r="A347" s="55"/>
      <c r="B347" s="10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2.75" customHeight="1" x14ac:dyDescent="0.2">
      <c r="A348" s="55"/>
      <c r="B348" s="10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2.75" customHeight="1" x14ac:dyDescent="0.2">
      <c r="A349" s="55"/>
      <c r="B349" s="10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2.75" customHeight="1" x14ac:dyDescent="0.2">
      <c r="A350" s="55"/>
      <c r="B350" s="10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2.75" customHeight="1" x14ac:dyDescent="0.2">
      <c r="A351" s="55"/>
      <c r="B351" s="10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2.75" customHeight="1" x14ac:dyDescent="0.2">
      <c r="A352" s="55"/>
      <c r="B352" s="10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2.75" customHeight="1" x14ac:dyDescent="0.2">
      <c r="A353" s="55"/>
      <c r="B353" s="10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2.75" customHeight="1" x14ac:dyDescent="0.2">
      <c r="A354" s="55"/>
      <c r="B354" s="10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2.75" customHeight="1" x14ac:dyDescent="0.2">
      <c r="A355" s="55"/>
      <c r="B355" s="10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2.75" customHeight="1" x14ac:dyDescent="0.2">
      <c r="A356" s="55"/>
      <c r="B356" s="10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2.75" customHeight="1" x14ac:dyDescent="0.2">
      <c r="A357" s="55"/>
      <c r="B357" s="10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2.75" customHeight="1" x14ac:dyDescent="0.2">
      <c r="A358" s="55"/>
      <c r="B358" s="10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2.75" customHeight="1" x14ac:dyDescent="0.2">
      <c r="A359" s="55"/>
      <c r="B359" s="10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2.75" customHeight="1" x14ac:dyDescent="0.2">
      <c r="A360" s="55"/>
      <c r="B360" s="10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2.75" customHeight="1" x14ac:dyDescent="0.2">
      <c r="A361" s="55"/>
      <c r="B361" s="10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2.75" customHeight="1" x14ac:dyDescent="0.2">
      <c r="A362" s="55"/>
      <c r="B362" s="10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2.75" customHeight="1" x14ac:dyDescent="0.2">
      <c r="A363" s="55"/>
      <c r="B363" s="10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2.75" customHeight="1" x14ac:dyDescent="0.2">
      <c r="A364" s="55"/>
      <c r="B364" s="10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2.75" customHeight="1" x14ac:dyDescent="0.2">
      <c r="A365" s="55"/>
      <c r="B365" s="10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2.75" customHeight="1" x14ac:dyDescent="0.2">
      <c r="A366" s="55"/>
      <c r="B366" s="10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2.75" customHeight="1" x14ac:dyDescent="0.2">
      <c r="A367" s="55"/>
      <c r="B367" s="10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2.75" customHeight="1" x14ac:dyDescent="0.2">
      <c r="A368" s="55"/>
      <c r="B368" s="10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2.75" customHeight="1" x14ac:dyDescent="0.2">
      <c r="A369" s="55"/>
      <c r="B369" s="10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2.75" customHeight="1" x14ac:dyDescent="0.2">
      <c r="A370" s="55"/>
      <c r="B370" s="10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2.75" customHeight="1" x14ac:dyDescent="0.2">
      <c r="A371" s="55"/>
      <c r="B371" s="10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2.75" customHeight="1" x14ac:dyDescent="0.2">
      <c r="A372" s="55"/>
      <c r="B372" s="10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2.75" customHeight="1" x14ac:dyDescent="0.2">
      <c r="A373" s="55"/>
      <c r="B373" s="10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2.75" customHeight="1" x14ac:dyDescent="0.2">
      <c r="A374" s="55"/>
      <c r="B374" s="10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2.75" customHeight="1" x14ac:dyDescent="0.2">
      <c r="A375" s="55"/>
      <c r="B375" s="10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2.75" customHeight="1" x14ac:dyDescent="0.2">
      <c r="A376" s="55"/>
      <c r="B376" s="10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2.75" customHeight="1" x14ac:dyDescent="0.2">
      <c r="A377" s="55"/>
      <c r="B377" s="10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2.75" customHeight="1" x14ac:dyDescent="0.2">
      <c r="A378" s="55"/>
      <c r="B378" s="10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2.75" customHeight="1" x14ac:dyDescent="0.2">
      <c r="A379" s="55"/>
      <c r="B379" s="10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2.75" customHeight="1" x14ac:dyDescent="0.2">
      <c r="A380" s="55"/>
      <c r="B380" s="10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2.75" customHeight="1" x14ac:dyDescent="0.2">
      <c r="A381" s="55"/>
      <c r="B381" s="10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2.75" customHeight="1" x14ac:dyDescent="0.2">
      <c r="A382" s="55"/>
      <c r="B382" s="10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2.75" customHeight="1" x14ac:dyDescent="0.2">
      <c r="A383" s="55"/>
      <c r="B383" s="10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2.75" customHeight="1" x14ac:dyDescent="0.2">
      <c r="A384" s="55"/>
      <c r="B384" s="10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2.75" customHeight="1" x14ac:dyDescent="0.2">
      <c r="A385" s="55"/>
      <c r="B385" s="10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2.75" customHeight="1" x14ac:dyDescent="0.2">
      <c r="A386" s="55"/>
      <c r="B386" s="10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2.75" customHeight="1" x14ac:dyDescent="0.2">
      <c r="A387" s="55"/>
      <c r="B387" s="10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2.75" customHeight="1" x14ac:dyDescent="0.2">
      <c r="A388" s="55"/>
      <c r="B388" s="10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2.75" customHeight="1" x14ac:dyDescent="0.2">
      <c r="A389" s="55"/>
      <c r="B389" s="10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2.75" customHeight="1" x14ac:dyDescent="0.2">
      <c r="A390" s="55"/>
      <c r="B390" s="10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2.75" customHeight="1" x14ac:dyDescent="0.2">
      <c r="A391" s="55"/>
      <c r="B391" s="10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2.75" customHeight="1" x14ac:dyDescent="0.2">
      <c r="A392" s="55"/>
      <c r="B392" s="10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2.75" customHeight="1" x14ac:dyDescent="0.2">
      <c r="A393" s="55"/>
      <c r="B393" s="10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2.75" customHeight="1" x14ac:dyDescent="0.2">
      <c r="A394" s="55"/>
      <c r="B394" s="10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2.75" customHeight="1" x14ac:dyDescent="0.2">
      <c r="A395" s="55"/>
      <c r="B395" s="10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2.75" customHeight="1" x14ac:dyDescent="0.2">
      <c r="A396" s="55"/>
      <c r="B396" s="10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2.75" customHeight="1" x14ac:dyDescent="0.2">
      <c r="A397" s="55"/>
      <c r="B397" s="10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2.75" customHeight="1" x14ac:dyDescent="0.2">
      <c r="A398" s="55"/>
      <c r="B398" s="10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2.75" customHeight="1" x14ac:dyDescent="0.2">
      <c r="A399" s="55"/>
      <c r="B399" s="10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2.75" customHeight="1" x14ac:dyDescent="0.2">
      <c r="A400" s="55"/>
      <c r="B400" s="10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2.75" customHeight="1" x14ac:dyDescent="0.2">
      <c r="A401" s="55"/>
      <c r="B401" s="10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2.75" customHeight="1" x14ac:dyDescent="0.2">
      <c r="A402" s="55"/>
      <c r="B402" s="10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2.75" customHeight="1" x14ac:dyDescent="0.2">
      <c r="A403" s="55"/>
      <c r="B403" s="10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2.75" customHeight="1" x14ac:dyDescent="0.2">
      <c r="A404" s="55"/>
      <c r="B404" s="10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2.75" customHeight="1" x14ac:dyDescent="0.2">
      <c r="A405" s="55"/>
      <c r="B405" s="10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2.75" customHeight="1" x14ac:dyDescent="0.2">
      <c r="A406" s="55"/>
      <c r="B406" s="10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2.75" customHeight="1" x14ac:dyDescent="0.2">
      <c r="A407" s="55"/>
      <c r="B407" s="10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2.75" customHeight="1" x14ac:dyDescent="0.2">
      <c r="A408" s="55"/>
      <c r="B408" s="10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2.75" customHeight="1" x14ac:dyDescent="0.2">
      <c r="A409" s="55"/>
      <c r="B409" s="10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2.75" customHeight="1" x14ac:dyDescent="0.2">
      <c r="A410" s="55"/>
      <c r="B410" s="10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2.75" customHeight="1" x14ac:dyDescent="0.2">
      <c r="A411" s="55"/>
      <c r="B411" s="10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2.75" customHeight="1" x14ac:dyDescent="0.2">
      <c r="A412" s="55"/>
      <c r="B412" s="10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2.75" customHeight="1" x14ac:dyDescent="0.2">
      <c r="A413" s="55"/>
      <c r="B413" s="10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2.75" customHeight="1" x14ac:dyDescent="0.2">
      <c r="A414" s="55"/>
      <c r="B414" s="10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2.75" customHeight="1" x14ac:dyDescent="0.2">
      <c r="A415" s="55"/>
      <c r="B415" s="10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2.75" customHeight="1" x14ac:dyDescent="0.2">
      <c r="A416" s="55"/>
      <c r="B416" s="10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2.75" customHeight="1" x14ac:dyDescent="0.2">
      <c r="A417" s="55"/>
      <c r="B417" s="10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2.75" customHeight="1" x14ac:dyDescent="0.2">
      <c r="A418" s="55"/>
      <c r="B418" s="10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2.75" customHeight="1" x14ac:dyDescent="0.2">
      <c r="A419" s="55"/>
      <c r="B419" s="10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2.75" customHeight="1" x14ac:dyDescent="0.2">
      <c r="A420" s="55"/>
      <c r="B420" s="10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2.75" customHeight="1" x14ac:dyDescent="0.2">
      <c r="A421" s="55"/>
      <c r="B421" s="10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2.75" customHeight="1" x14ac:dyDescent="0.2">
      <c r="A422" s="55"/>
      <c r="B422" s="10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2.75" customHeight="1" x14ac:dyDescent="0.2">
      <c r="A423" s="55"/>
      <c r="B423" s="10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2.75" customHeight="1" x14ac:dyDescent="0.2">
      <c r="A424" s="55"/>
      <c r="B424" s="10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2.75" customHeight="1" x14ac:dyDescent="0.2">
      <c r="A425" s="55"/>
      <c r="B425" s="10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2.75" customHeight="1" x14ac:dyDescent="0.2">
      <c r="A426" s="55"/>
      <c r="B426" s="10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2.75" customHeight="1" x14ac:dyDescent="0.2">
      <c r="A427" s="55"/>
      <c r="B427" s="10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2.75" customHeight="1" x14ac:dyDescent="0.2">
      <c r="A428" s="55"/>
      <c r="B428" s="10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2.75" customHeight="1" x14ac:dyDescent="0.2">
      <c r="A429" s="55"/>
      <c r="B429" s="10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2.75" customHeight="1" x14ac:dyDescent="0.2">
      <c r="A430" s="55"/>
      <c r="B430" s="10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2.75" customHeight="1" x14ac:dyDescent="0.2">
      <c r="A431" s="55"/>
      <c r="B431" s="10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2.75" customHeight="1" x14ac:dyDescent="0.2">
      <c r="A432" s="55"/>
      <c r="B432" s="10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2.75" customHeight="1" x14ac:dyDescent="0.2">
      <c r="A433" s="55"/>
      <c r="B433" s="10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2.75" customHeight="1" x14ac:dyDescent="0.2">
      <c r="A434" s="55"/>
      <c r="B434" s="10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2.75" customHeight="1" x14ac:dyDescent="0.2">
      <c r="A435" s="55"/>
      <c r="B435" s="10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2.75" customHeight="1" x14ac:dyDescent="0.2">
      <c r="A436" s="55"/>
      <c r="B436" s="10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2.75" customHeight="1" x14ac:dyDescent="0.2">
      <c r="A437" s="55"/>
      <c r="B437" s="10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2.75" customHeight="1" x14ac:dyDescent="0.2">
      <c r="A438" s="55"/>
      <c r="B438" s="10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2.75" customHeight="1" x14ac:dyDescent="0.2">
      <c r="A439" s="55"/>
      <c r="B439" s="10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2.75" customHeight="1" x14ac:dyDescent="0.2">
      <c r="A440" s="55"/>
      <c r="B440" s="10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2.75" customHeight="1" x14ac:dyDescent="0.2">
      <c r="A441" s="55"/>
      <c r="B441" s="10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2.75" customHeight="1" x14ac:dyDescent="0.2">
      <c r="A442" s="55"/>
      <c r="B442" s="10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2.75" customHeight="1" x14ac:dyDescent="0.2">
      <c r="A443" s="55"/>
      <c r="B443" s="10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2.75" customHeight="1" x14ac:dyDescent="0.2">
      <c r="A444" s="55"/>
      <c r="B444" s="10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2.75" customHeight="1" x14ac:dyDescent="0.2">
      <c r="A445" s="55"/>
      <c r="B445" s="10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2.75" customHeight="1" x14ac:dyDescent="0.2">
      <c r="A446" s="55"/>
      <c r="B446" s="10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2.75" customHeight="1" x14ac:dyDescent="0.2">
      <c r="A447" s="55"/>
      <c r="B447" s="10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2.75" customHeight="1" x14ac:dyDescent="0.2">
      <c r="A448" s="55"/>
      <c r="B448" s="10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2.75" customHeight="1" x14ac:dyDescent="0.2">
      <c r="A449" s="55"/>
      <c r="B449" s="10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2.75" customHeight="1" x14ac:dyDescent="0.2">
      <c r="A450" s="55"/>
      <c r="B450" s="10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2.75" customHeight="1" x14ac:dyDescent="0.2">
      <c r="A451" s="55"/>
      <c r="B451" s="10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2.75" customHeight="1" x14ac:dyDescent="0.2">
      <c r="A452" s="55"/>
      <c r="B452" s="10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2.75" customHeight="1" x14ac:dyDescent="0.2">
      <c r="A453" s="55"/>
      <c r="B453" s="10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2.75" customHeight="1" x14ac:dyDescent="0.2">
      <c r="A454" s="55"/>
      <c r="B454" s="10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2.75" customHeight="1" x14ac:dyDescent="0.2">
      <c r="A455" s="55"/>
      <c r="B455" s="10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2.75" customHeight="1" x14ac:dyDescent="0.2">
      <c r="A456" s="55"/>
      <c r="B456" s="10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2.75" customHeight="1" x14ac:dyDescent="0.2">
      <c r="A457" s="55"/>
      <c r="B457" s="10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2.75" customHeight="1" x14ac:dyDescent="0.2">
      <c r="A458" s="55"/>
      <c r="B458" s="10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2.75" customHeight="1" x14ac:dyDescent="0.2">
      <c r="A459" s="55"/>
      <c r="B459" s="10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2.75" customHeight="1" x14ac:dyDescent="0.2">
      <c r="A460" s="55"/>
      <c r="B460" s="10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2.75" customHeight="1" x14ac:dyDescent="0.2">
      <c r="A461" s="55"/>
      <c r="B461" s="10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2.75" customHeight="1" x14ac:dyDescent="0.2">
      <c r="A462" s="55"/>
      <c r="B462" s="10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2.75" customHeight="1" x14ac:dyDescent="0.2">
      <c r="A463" s="55"/>
      <c r="B463" s="10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2.75" customHeight="1" x14ac:dyDescent="0.2">
      <c r="A464" s="55"/>
      <c r="B464" s="10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2.75" customHeight="1" x14ac:dyDescent="0.2">
      <c r="A465" s="55"/>
      <c r="B465" s="10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2.75" customHeight="1" x14ac:dyDescent="0.2">
      <c r="A466" s="55"/>
      <c r="B466" s="10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2.75" customHeight="1" x14ac:dyDescent="0.2">
      <c r="A467" s="55"/>
      <c r="B467" s="10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2.75" customHeight="1" x14ac:dyDescent="0.2">
      <c r="A468" s="55"/>
      <c r="B468" s="10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2.75" customHeight="1" x14ac:dyDescent="0.2">
      <c r="A469" s="55"/>
      <c r="B469" s="10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2.75" customHeight="1" x14ac:dyDescent="0.2">
      <c r="A470" s="55"/>
      <c r="B470" s="10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2.75" customHeight="1" x14ac:dyDescent="0.2">
      <c r="A471" s="55"/>
      <c r="B471" s="10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2.75" customHeight="1" x14ac:dyDescent="0.2">
      <c r="A472" s="55"/>
      <c r="B472" s="10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2.75" customHeight="1" x14ac:dyDescent="0.2">
      <c r="A473" s="55"/>
      <c r="B473" s="10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2.75" customHeight="1" x14ac:dyDescent="0.2">
      <c r="A474" s="55"/>
      <c r="B474" s="10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2.75" customHeight="1" x14ac:dyDescent="0.2">
      <c r="A475" s="55"/>
      <c r="B475" s="10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2.75" customHeight="1" x14ac:dyDescent="0.2">
      <c r="A476" s="55"/>
      <c r="B476" s="10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2.75" customHeight="1" x14ac:dyDescent="0.2">
      <c r="A477" s="55"/>
      <c r="B477" s="10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2.75" customHeight="1" x14ac:dyDescent="0.2">
      <c r="A478" s="55"/>
      <c r="B478" s="10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2.75" customHeight="1" x14ac:dyDescent="0.2">
      <c r="A479" s="55"/>
      <c r="B479" s="10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2.75" customHeight="1" x14ac:dyDescent="0.2">
      <c r="A480" s="55"/>
      <c r="B480" s="10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2.75" customHeight="1" x14ac:dyDescent="0.2">
      <c r="A481" s="55"/>
      <c r="B481" s="10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2.75" customHeight="1" x14ac:dyDescent="0.2">
      <c r="A482" s="55"/>
      <c r="B482" s="10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2.75" customHeight="1" x14ac:dyDescent="0.2">
      <c r="A483" s="55"/>
      <c r="B483" s="10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2.75" customHeight="1" x14ac:dyDescent="0.2">
      <c r="A484" s="55"/>
      <c r="B484" s="10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2.75" customHeight="1" x14ac:dyDescent="0.2">
      <c r="A485" s="55"/>
      <c r="B485" s="10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2.75" customHeight="1" x14ac:dyDescent="0.2">
      <c r="A486" s="55"/>
      <c r="B486" s="10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2.75" customHeight="1" x14ac:dyDescent="0.2">
      <c r="A487" s="55"/>
      <c r="B487" s="10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2.75" customHeight="1" x14ac:dyDescent="0.2">
      <c r="A488" s="55"/>
      <c r="B488" s="10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2.75" customHeight="1" x14ac:dyDescent="0.2">
      <c r="A489" s="55"/>
      <c r="B489" s="10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2.75" customHeight="1" x14ac:dyDescent="0.2">
      <c r="A490" s="55"/>
      <c r="B490" s="10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2.75" customHeight="1" x14ac:dyDescent="0.2">
      <c r="A491" s="55"/>
      <c r="B491" s="10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2.75" customHeight="1" x14ac:dyDescent="0.2">
      <c r="A492" s="55"/>
      <c r="B492" s="10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2.75" customHeight="1" x14ac:dyDescent="0.2">
      <c r="A493" s="55"/>
      <c r="B493" s="10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2.75" customHeight="1" x14ac:dyDescent="0.2">
      <c r="A494" s="55"/>
      <c r="B494" s="10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2.75" customHeight="1" x14ac:dyDescent="0.2">
      <c r="A495" s="55"/>
      <c r="B495" s="10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2.75" customHeight="1" x14ac:dyDescent="0.2">
      <c r="A496" s="55"/>
      <c r="B496" s="10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2.75" customHeight="1" x14ac:dyDescent="0.2">
      <c r="A497" s="55"/>
      <c r="B497" s="10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2.75" customHeight="1" x14ac:dyDescent="0.2">
      <c r="A498" s="55"/>
      <c r="B498" s="10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2.75" customHeight="1" x14ac:dyDescent="0.2">
      <c r="A499" s="55"/>
      <c r="B499" s="10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2.75" customHeight="1" x14ac:dyDescent="0.2">
      <c r="A500" s="55"/>
      <c r="B500" s="10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2.75" customHeight="1" x14ac:dyDescent="0.2">
      <c r="A501" s="55"/>
      <c r="B501" s="10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2.75" customHeight="1" x14ac:dyDescent="0.2">
      <c r="A502" s="55"/>
      <c r="B502" s="10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2.75" customHeight="1" x14ac:dyDescent="0.2">
      <c r="A503" s="55"/>
      <c r="B503" s="10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2.75" customHeight="1" x14ac:dyDescent="0.2">
      <c r="A504" s="55"/>
      <c r="B504" s="10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2.75" customHeight="1" x14ac:dyDescent="0.2">
      <c r="A505" s="55"/>
      <c r="B505" s="10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2.75" customHeight="1" x14ac:dyDescent="0.2">
      <c r="A506" s="55"/>
      <c r="B506" s="10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2.75" customHeight="1" x14ac:dyDescent="0.2">
      <c r="A507" s="55"/>
      <c r="B507" s="10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2.75" customHeight="1" x14ac:dyDescent="0.2">
      <c r="A508" s="55"/>
      <c r="B508" s="10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2.75" customHeight="1" x14ac:dyDescent="0.2">
      <c r="A509" s="55"/>
      <c r="B509" s="10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2.75" customHeight="1" x14ac:dyDescent="0.2">
      <c r="A510" s="55"/>
      <c r="B510" s="10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2.75" customHeight="1" x14ac:dyDescent="0.2">
      <c r="A511" s="55"/>
      <c r="B511" s="10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2.75" customHeight="1" x14ac:dyDescent="0.2">
      <c r="A512" s="55"/>
      <c r="B512" s="10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2.75" customHeight="1" x14ac:dyDescent="0.2">
      <c r="A513" s="55"/>
      <c r="B513" s="10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2.75" customHeight="1" x14ac:dyDescent="0.2">
      <c r="A514" s="55"/>
      <c r="B514" s="10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2.75" customHeight="1" x14ac:dyDescent="0.2">
      <c r="A515" s="55"/>
      <c r="B515" s="10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2.75" customHeight="1" x14ac:dyDescent="0.2">
      <c r="A516" s="55"/>
      <c r="B516" s="10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2.75" customHeight="1" x14ac:dyDescent="0.2">
      <c r="A517" s="55"/>
      <c r="B517" s="10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2.75" customHeight="1" x14ac:dyDescent="0.2">
      <c r="A518" s="55"/>
      <c r="B518" s="10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2.75" customHeight="1" x14ac:dyDescent="0.2">
      <c r="A519" s="55"/>
      <c r="B519" s="10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2.75" customHeight="1" x14ac:dyDescent="0.2">
      <c r="A520" s="55"/>
      <c r="B520" s="10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2.75" customHeight="1" x14ac:dyDescent="0.2">
      <c r="A521" s="55"/>
      <c r="B521" s="10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2.75" customHeight="1" x14ac:dyDescent="0.2">
      <c r="A522" s="55"/>
      <c r="B522" s="10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2.75" customHeight="1" x14ac:dyDescent="0.2">
      <c r="A523" s="55"/>
      <c r="B523" s="10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2.75" customHeight="1" x14ac:dyDescent="0.2">
      <c r="A524" s="55"/>
      <c r="B524" s="10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2.75" customHeight="1" x14ac:dyDescent="0.2">
      <c r="A525" s="55"/>
      <c r="B525" s="10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2.75" customHeight="1" x14ac:dyDescent="0.2">
      <c r="A526" s="55"/>
      <c r="B526" s="10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2.75" customHeight="1" x14ac:dyDescent="0.2">
      <c r="A527" s="55"/>
      <c r="B527" s="10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2.75" customHeight="1" x14ac:dyDescent="0.2">
      <c r="A528" s="55"/>
      <c r="B528" s="10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2.75" customHeight="1" x14ac:dyDescent="0.2">
      <c r="A529" s="55"/>
      <c r="B529" s="10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2.75" customHeight="1" x14ac:dyDescent="0.2">
      <c r="A530" s="55"/>
      <c r="B530" s="10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2.75" customHeight="1" x14ac:dyDescent="0.2">
      <c r="A531" s="55"/>
      <c r="B531" s="10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2.75" customHeight="1" x14ac:dyDescent="0.2">
      <c r="A532" s="55"/>
      <c r="B532" s="10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2.75" customHeight="1" x14ac:dyDescent="0.2">
      <c r="A533" s="55"/>
      <c r="B533" s="10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2.75" customHeight="1" x14ac:dyDescent="0.2">
      <c r="A534" s="55"/>
      <c r="B534" s="10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2.75" customHeight="1" x14ac:dyDescent="0.2">
      <c r="A535" s="55"/>
      <c r="B535" s="10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2.75" customHeight="1" x14ac:dyDescent="0.2">
      <c r="A536" s="55"/>
      <c r="B536" s="10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2.75" customHeight="1" x14ac:dyDescent="0.2">
      <c r="A537" s="55"/>
      <c r="B537" s="10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2.75" customHeight="1" x14ac:dyDescent="0.2">
      <c r="A538" s="55"/>
      <c r="B538" s="10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2.75" customHeight="1" x14ac:dyDescent="0.2">
      <c r="A539" s="55"/>
      <c r="B539" s="10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2.75" customHeight="1" x14ac:dyDescent="0.2">
      <c r="A540" s="55"/>
      <c r="B540" s="10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2.75" customHeight="1" x14ac:dyDescent="0.2">
      <c r="A541" s="55"/>
      <c r="B541" s="10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2.75" customHeight="1" x14ac:dyDescent="0.2">
      <c r="A542" s="55"/>
      <c r="B542" s="10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2.75" customHeight="1" x14ac:dyDescent="0.2">
      <c r="A543" s="55"/>
      <c r="B543" s="10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2.75" customHeight="1" x14ac:dyDescent="0.2">
      <c r="A544" s="55"/>
      <c r="B544" s="10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2.75" customHeight="1" x14ac:dyDescent="0.2">
      <c r="A545" s="55"/>
      <c r="B545" s="10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2.75" customHeight="1" x14ac:dyDescent="0.2">
      <c r="A546" s="55"/>
      <c r="B546" s="10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2.75" customHeight="1" x14ac:dyDescent="0.2">
      <c r="A547" s="55"/>
      <c r="B547" s="10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2.75" customHeight="1" x14ac:dyDescent="0.2">
      <c r="A548" s="55"/>
      <c r="B548" s="10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2.75" customHeight="1" x14ac:dyDescent="0.2">
      <c r="A549" s="55"/>
      <c r="B549" s="10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2.75" customHeight="1" x14ac:dyDescent="0.2">
      <c r="A550" s="55"/>
      <c r="B550" s="10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2.75" customHeight="1" x14ac:dyDescent="0.2">
      <c r="A551" s="55"/>
      <c r="B551" s="10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2.75" customHeight="1" x14ac:dyDescent="0.2">
      <c r="A552" s="55"/>
      <c r="B552" s="10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2.75" customHeight="1" x14ac:dyDescent="0.2">
      <c r="A553" s="55"/>
      <c r="B553" s="10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2.75" customHeight="1" x14ac:dyDescent="0.2">
      <c r="A554" s="55"/>
      <c r="B554" s="10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2.75" customHeight="1" x14ac:dyDescent="0.2">
      <c r="A555" s="55"/>
      <c r="B555" s="10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2.75" customHeight="1" x14ac:dyDescent="0.2">
      <c r="A556" s="55"/>
      <c r="B556" s="10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2.75" customHeight="1" x14ac:dyDescent="0.2">
      <c r="A557" s="55"/>
      <c r="B557" s="10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2.75" customHeight="1" x14ac:dyDescent="0.2">
      <c r="A558" s="55"/>
      <c r="B558" s="10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2.75" customHeight="1" x14ac:dyDescent="0.2">
      <c r="A559" s="55"/>
      <c r="B559" s="10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2.75" customHeight="1" x14ac:dyDescent="0.2">
      <c r="A560" s="55"/>
      <c r="B560" s="10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2.75" customHeight="1" x14ac:dyDescent="0.2">
      <c r="A561" s="55"/>
      <c r="B561" s="10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2.75" customHeight="1" x14ac:dyDescent="0.2">
      <c r="A562" s="55"/>
      <c r="B562" s="10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2.75" customHeight="1" x14ac:dyDescent="0.2">
      <c r="A563" s="55"/>
      <c r="B563" s="10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2.75" customHeight="1" x14ac:dyDescent="0.2">
      <c r="A564" s="55"/>
      <c r="B564" s="10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2.75" customHeight="1" x14ac:dyDescent="0.2">
      <c r="A565" s="55"/>
      <c r="B565" s="10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2.75" customHeight="1" x14ac:dyDescent="0.2">
      <c r="A566" s="55"/>
      <c r="B566" s="10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2.75" customHeight="1" x14ac:dyDescent="0.2">
      <c r="A567" s="55"/>
      <c r="B567" s="10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2.75" customHeight="1" x14ac:dyDescent="0.2">
      <c r="A568" s="55"/>
      <c r="B568" s="10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2.75" customHeight="1" x14ac:dyDescent="0.2">
      <c r="A569" s="55"/>
      <c r="B569" s="10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2.75" customHeight="1" x14ac:dyDescent="0.2">
      <c r="A570" s="55"/>
      <c r="B570" s="10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2.75" customHeight="1" x14ac:dyDescent="0.2">
      <c r="A571" s="55"/>
      <c r="B571" s="10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2.75" customHeight="1" x14ac:dyDescent="0.2">
      <c r="A572" s="55"/>
      <c r="B572" s="10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2.75" customHeight="1" x14ac:dyDescent="0.2">
      <c r="A573" s="55"/>
      <c r="B573" s="10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2.75" customHeight="1" x14ac:dyDescent="0.2">
      <c r="A574" s="55"/>
      <c r="B574" s="10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2.75" customHeight="1" x14ac:dyDescent="0.2">
      <c r="A575" s="55"/>
      <c r="B575" s="10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2.75" customHeight="1" x14ac:dyDescent="0.2">
      <c r="A576" s="55"/>
      <c r="B576" s="10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2.75" customHeight="1" x14ac:dyDescent="0.2">
      <c r="A577" s="55"/>
      <c r="B577" s="10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2.75" customHeight="1" x14ac:dyDescent="0.2">
      <c r="A578" s="55"/>
      <c r="B578" s="10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2.75" customHeight="1" x14ac:dyDescent="0.2">
      <c r="A579" s="55"/>
      <c r="B579" s="10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2.75" customHeight="1" x14ac:dyDescent="0.2">
      <c r="A580" s="55"/>
      <c r="B580" s="10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2.75" customHeight="1" x14ac:dyDescent="0.2">
      <c r="A581" s="55"/>
      <c r="B581" s="10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2.75" customHeight="1" x14ac:dyDescent="0.2">
      <c r="A582" s="55"/>
      <c r="B582" s="10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2.75" customHeight="1" x14ac:dyDescent="0.2">
      <c r="A583" s="55"/>
      <c r="B583" s="10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2.75" customHeight="1" x14ac:dyDescent="0.2">
      <c r="A584" s="55"/>
      <c r="B584" s="10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2.75" customHeight="1" x14ac:dyDescent="0.2">
      <c r="A585" s="55"/>
      <c r="B585" s="10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2.75" customHeight="1" x14ac:dyDescent="0.2">
      <c r="A586" s="55"/>
      <c r="B586" s="10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2.75" customHeight="1" x14ac:dyDescent="0.2">
      <c r="A587" s="55"/>
      <c r="B587" s="10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2.75" customHeight="1" x14ac:dyDescent="0.2">
      <c r="A588" s="55"/>
      <c r="B588" s="10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2.75" customHeight="1" x14ac:dyDescent="0.2">
      <c r="A589" s="55"/>
      <c r="B589" s="10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2.75" customHeight="1" x14ac:dyDescent="0.2">
      <c r="A590" s="55"/>
      <c r="B590" s="10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2.75" customHeight="1" x14ac:dyDescent="0.2">
      <c r="A591" s="55"/>
      <c r="B591" s="10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2.75" customHeight="1" x14ac:dyDescent="0.2">
      <c r="A592" s="55"/>
      <c r="B592" s="10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2.75" customHeight="1" x14ac:dyDescent="0.2">
      <c r="A593" s="55"/>
      <c r="B593" s="10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2.75" customHeight="1" x14ac:dyDescent="0.2">
      <c r="A594" s="55"/>
      <c r="B594" s="10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2.75" customHeight="1" x14ac:dyDescent="0.2">
      <c r="A595" s="55"/>
      <c r="B595" s="10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2.75" customHeight="1" x14ac:dyDescent="0.2">
      <c r="A596" s="55"/>
      <c r="B596" s="10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2.75" customHeight="1" x14ac:dyDescent="0.2">
      <c r="A597" s="55"/>
      <c r="B597" s="10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2.75" customHeight="1" x14ac:dyDescent="0.2">
      <c r="A598" s="55"/>
      <c r="B598" s="10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2.75" customHeight="1" x14ac:dyDescent="0.2">
      <c r="A599" s="55"/>
      <c r="B599" s="10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2.75" customHeight="1" x14ac:dyDescent="0.2">
      <c r="A600" s="55"/>
      <c r="B600" s="10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2.75" customHeight="1" x14ac:dyDescent="0.2">
      <c r="A601" s="55"/>
      <c r="B601" s="10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2.75" customHeight="1" x14ac:dyDescent="0.2">
      <c r="A602" s="55"/>
      <c r="B602" s="10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2.75" customHeight="1" x14ac:dyDescent="0.2">
      <c r="A603" s="55"/>
      <c r="B603" s="10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2.75" customHeight="1" x14ac:dyDescent="0.2">
      <c r="A604" s="55"/>
      <c r="B604" s="10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2.75" customHeight="1" x14ac:dyDescent="0.2">
      <c r="A605" s="55"/>
      <c r="B605" s="10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2.75" customHeight="1" x14ac:dyDescent="0.2">
      <c r="A606" s="55"/>
      <c r="B606" s="10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2.75" customHeight="1" x14ac:dyDescent="0.2">
      <c r="A607" s="55"/>
      <c r="B607" s="10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2.75" customHeight="1" x14ac:dyDescent="0.2">
      <c r="A608" s="55"/>
      <c r="B608" s="10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2.75" customHeight="1" x14ac:dyDescent="0.2">
      <c r="A609" s="55"/>
      <c r="B609" s="10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2.75" customHeight="1" x14ac:dyDescent="0.2">
      <c r="A610" s="55"/>
      <c r="B610" s="10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2.75" customHeight="1" x14ac:dyDescent="0.2">
      <c r="A611" s="55"/>
      <c r="B611" s="10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2.75" customHeight="1" x14ac:dyDescent="0.2">
      <c r="A612" s="55"/>
      <c r="B612" s="10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2.75" customHeight="1" x14ac:dyDescent="0.2">
      <c r="A613" s="55"/>
      <c r="B613" s="10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2.75" customHeight="1" x14ac:dyDescent="0.2">
      <c r="A614" s="55"/>
      <c r="B614" s="10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2.75" customHeight="1" x14ac:dyDescent="0.2">
      <c r="A615" s="55"/>
      <c r="B615" s="10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2.75" customHeight="1" x14ac:dyDescent="0.2">
      <c r="A616" s="55"/>
      <c r="B616" s="10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2.75" customHeight="1" x14ac:dyDescent="0.2">
      <c r="A617" s="55"/>
      <c r="B617" s="10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2.75" customHeight="1" x14ac:dyDescent="0.2">
      <c r="A618" s="55"/>
      <c r="B618" s="10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2.75" customHeight="1" x14ac:dyDescent="0.2">
      <c r="A619" s="55"/>
      <c r="B619" s="10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2.75" customHeight="1" x14ac:dyDescent="0.2">
      <c r="A620" s="55"/>
      <c r="B620" s="10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2.75" customHeight="1" x14ac:dyDescent="0.2">
      <c r="A621" s="55"/>
      <c r="B621" s="10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2.75" customHeight="1" x14ac:dyDescent="0.2">
      <c r="A622" s="55"/>
      <c r="B622" s="10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2.75" customHeight="1" x14ac:dyDescent="0.2">
      <c r="A623" s="55"/>
      <c r="B623" s="10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2.75" customHeight="1" x14ac:dyDescent="0.2">
      <c r="A624" s="55"/>
      <c r="B624" s="10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2.75" customHeight="1" x14ac:dyDescent="0.2">
      <c r="A625" s="55"/>
      <c r="B625" s="10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2.75" customHeight="1" x14ac:dyDescent="0.2">
      <c r="A626" s="55"/>
      <c r="B626" s="10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2.75" customHeight="1" x14ac:dyDescent="0.2">
      <c r="A627" s="55"/>
      <c r="B627" s="10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2.75" customHeight="1" x14ac:dyDescent="0.2">
      <c r="A628" s="55"/>
      <c r="B628" s="10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2.75" customHeight="1" x14ac:dyDescent="0.2">
      <c r="A629" s="55"/>
      <c r="B629" s="10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2.75" customHeight="1" x14ac:dyDescent="0.2">
      <c r="A630" s="55"/>
      <c r="B630" s="10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2.75" customHeight="1" x14ac:dyDescent="0.2">
      <c r="A631" s="55"/>
      <c r="B631" s="10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2.75" customHeight="1" x14ac:dyDescent="0.2">
      <c r="A632" s="55"/>
      <c r="B632" s="10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2.75" customHeight="1" x14ac:dyDescent="0.2">
      <c r="A633" s="55"/>
      <c r="B633" s="10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2.75" customHeight="1" x14ac:dyDescent="0.2">
      <c r="A634" s="55"/>
      <c r="B634" s="10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2.75" customHeight="1" x14ac:dyDescent="0.2">
      <c r="A635" s="55"/>
      <c r="B635" s="10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2.75" customHeight="1" x14ac:dyDescent="0.2">
      <c r="A636" s="55"/>
      <c r="B636" s="10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2.75" customHeight="1" x14ac:dyDescent="0.2">
      <c r="A637" s="55"/>
      <c r="B637" s="10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2.75" customHeight="1" x14ac:dyDescent="0.2">
      <c r="A638" s="55"/>
      <c r="B638" s="10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2.75" customHeight="1" x14ac:dyDescent="0.2">
      <c r="A639" s="55"/>
      <c r="B639" s="10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2.75" customHeight="1" x14ac:dyDescent="0.2">
      <c r="A640" s="55"/>
      <c r="B640" s="10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2.75" customHeight="1" x14ac:dyDescent="0.2">
      <c r="A641" s="55"/>
      <c r="B641" s="10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2.75" customHeight="1" x14ac:dyDescent="0.2">
      <c r="A642" s="55"/>
      <c r="B642" s="10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2.75" customHeight="1" x14ac:dyDescent="0.2">
      <c r="A643" s="55"/>
      <c r="B643" s="10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2.75" customHeight="1" x14ac:dyDescent="0.2">
      <c r="A644" s="55"/>
      <c r="B644" s="10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2.75" customHeight="1" x14ac:dyDescent="0.2">
      <c r="A645" s="55"/>
      <c r="B645" s="10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2.75" customHeight="1" x14ac:dyDescent="0.2">
      <c r="A646" s="55"/>
      <c r="B646" s="10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2.75" customHeight="1" x14ac:dyDescent="0.2">
      <c r="A647" s="55"/>
      <c r="B647" s="10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2.75" customHeight="1" x14ac:dyDescent="0.2">
      <c r="A648" s="55"/>
      <c r="B648" s="10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2.75" customHeight="1" x14ac:dyDescent="0.2">
      <c r="A649" s="55"/>
      <c r="B649" s="10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2.75" customHeight="1" x14ac:dyDescent="0.2">
      <c r="A650" s="55"/>
      <c r="B650" s="10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2.75" customHeight="1" x14ac:dyDescent="0.2">
      <c r="A651" s="55"/>
      <c r="B651" s="10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2.75" customHeight="1" x14ac:dyDescent="0.2">
      <c r="A652" s="55"/>
      <c r="B652" s="10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2.75" customHeight="1" x14ac:dyDescent="0.2">
      <c r="A653" s="55"/>
      <c r="B653" s="10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2.75" customHeight="1" x14ac:dyDescent="0.2">
      <c r="A654" s="55"/>
      <c r="B654" s="10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2.75" customHeight="1" x14ac:dyDescent="0.2">
      <c r="A655" s="55"/>
      <c r="B655" s="10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2.75" customHeight="1" x14ac:dyDescent="0.2">
      <c r="A656" s="55"/>
      <c r="B656" s="10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2.75" customHeight="1" x14ac:dyDescent="0.2">
      <c r="A657" s="55"/>
      <c r="B657" s="10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2.75" customHeight="1" x14ac:dyDescent="0.2">
      <c r="A658" s="55"/>
      <c r="B658" s="10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2.75" customHeight="1" x14ac:dyDescent="0.2">
      <c r="A659" s="55"/>
      <c r="B659" s="10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2.75" customHeight="1" x14ac:dyDescent="0.2">
      <c r="A660" s="55"/>
      <c r="B660" s="10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2.75" customHeight="1" x14ac:dyDescent="0.2">
      <c r="A661" s="55"/>
      <c r="B661" s="10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2.75" customHeight="1" x14ac:dyDescent="0.2">
      <c r="A662" s="55"/>
      <c r="B662" s="10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2.75" customHeight="1" x14ac:dyDescent="0.2">
      <c r="A663" s="55"/>
      <c r="B663" s="10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2.75" customHeight="1" x14ac:dyDescent="0.2">
      <c r="A664" s="55"/>
      <c r="B664" s="10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2.75" customHeight="1" x14ac:dyDescent="0.2">
      <c r="A665" s="55"/>
      <c r="B665" s="10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2.75" customHeight="1" x14ac:dyDescent="0.2">
      <c r="A666" s="55"/>
      <c r="B666" s="10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2.75" customHeight="1" x14ac:dyDescent="0.2">
      <c r="A667" s="55"/>
      <c r="B667" s="10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2.75" customHeight="1" x14ac:dyDescent="0.2">
      <c r="A668" s="55"/>
      <c r="B668" s="10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2.75" customHeight="1" x14ac:dyDescent="0.2">
      <c r="A669" s="55"/>
      <c r="B669" s="10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2.75" customHeight="1" x14ac:dyDescent="0.2">
      <c r="A670" s="55"/>
      <c r="B670" s="10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2.75" customHeight="1" x14ac:dyDescent="0.2">
      <c r="A671" s="55"/>
      <c r="B671" s="10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2.75" customHeight="1" x14ac:dyDescent="0.2">
      <c r="A672" s="55"/>
      <c r="B672" s="10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2.75" customHeight="1" x14ac:dyDescent="0.2">
      <c r="A673" s="55"/>
      <c r="B673" s="10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2.75" customHeight="1" x14ac:dyDescent="0.2">
      <c r="A674" s="55"/>
      <c r="B674" s="10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2.75" customHeight="1" x14ac:dyDescent="0.2">
      <c r="A675" s="55"/>
      <c r="B675" s="10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2.75" customHeight="1" x14ac:dyDescent="0.2">
      <c r="A676" s="55"/>
      <c r="B676" s="10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2.75" customHeight="1" x14ac:dyDescent="0.2">
      <c r="A677" s="55"/>
      <c r="B677" s="10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2.75" customHeight="1" x14ac:dyDescent="0.2">
      <c r="A678" s="55"/>
      <c r="B678" s="10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2.75" customHeight="1" x14ac:dyDescent="0.2">
      <c r="A679" s="55"/>
      <c r="B679" s="10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2.75" customHeight="1" x14ac:dyDescent="0.2">
      <c r="A680" s="55"/>
      <c r="B680" s="10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2.75" customHeight="1" x14ac:dyDescent="0.2">
      <c r="A681" s="55"/>
      <c r="B681" s="10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2.75" customHeight="1" x14ac:dyDescent="0.2">
      <c r="A682" s="55"/>
      <c r="B682" s="10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2.75" customHeight="1" x14ac:dyDescent="0.2">
      <c r="A683" s="55"/>
      <c r="B683" s="10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2.75" customHeight="1" x14ac:dyDescent="0.2">
      <c r="A684" s="55"/>
      <c r="B684" s="10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2.75" customHeight="1" x14ac:dyDescent="0.2">
      <c r="A685" s="55"/>
      <c r="B685" s="10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2.75" customHeight="1" x14ac:dyDescent="0.2">
      <c r="A686" s="55"/>
      <c r="B686" s="10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2.75" customHeight="1" x14ac:dyDescent="0.2">
      <c r="A687" s="55"/>
      <c r="B687" s="10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2.75" customHeight="1" x14ac:dyDescent="0.2">
      <c r="A688" s="55"/>
      <c r="B688" s="10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2.75" customHeight="1" x14ac:dyDescent="0.2">
      <c r="A689" s="55"/>
      <c r="B689" s="10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2.75" customHeight="1" x14ac:dyDescent="0.2">
      <c r="A690" s="55"/>
      <c r="B690" s="10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2.75" customHeight="1" x14ac:dyDescent="0.2">
      <c r="A691" s="55"/>
      <c r="B691" s="10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2.75" customHeight="1" x14ac:dyDescent="0.2">
      <c r="A692" s="55"/>
      <c r="B692" s="10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2.75" customHeight="1" x14ac:dyDescent="0.2">
      <c r="A693" s="55"/>
      <c r="B693" s="10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2.75" customHeight="1" x14ac:dyDescent="0.2">
      <c r="A694" s="55"/>
      <c r="B694" s="10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2.75" customHeight="1" x14ac:dyDescent="0.2">
      <c r="A695" s="55"/>
      <c r="B695" s="10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2.75" customHeight="1" x14ac:dyDescent="0.2">
      <c r="A696" s="55"/>
      <c r="B696" s="10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2.75" customHeight="1" x14ac:dyDescent="0.2">
      <c r="A697" s="55"/>
      <c r="B697" s="10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2.75" customHeight="1" x14ac:dyDescent="0.2">
      <c r="A698" s="55"/>
      <c r="B698" s="10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2.75" customHeight="1" x14ac:dyDescent="0.2">
      <c r="A699" s="55"/>
      <c r="B699" s="10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2.75" customHeight="1" x14ac:dyDescent="0.2">
      <c r="A700" s="55"/>
      <c r="B700" s="10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2.75" customHeight="1" x14ac:dyDescent="0.2">
      <c r="A701" s="55"/>
      <c r="B701" s="10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2.75" customHeight="1" x14ac:dyDescent="0.2">
      <c r="A702" s="55"/>
      <c r="B702" s="10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2.75" customHeight="1" x14ac:dyDescent="0.2">
      <c r="A703" s="55"/>
      <c r="B703" s="10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2.75" customHeight="1" x14ac:dyDescent="0.2">
      <c r="A704" s="55"/>
      <c r="B704" s="10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2.75" customHeight="1" x14ac:dyDescent="0.2">
      <c r="A705" s="55"/>
      <c r="B705" s="10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2.75" customHeight="1" x14ac:dyDescent="0.2">
      <c r="A706" s="55"/>
      <c r="B706" s="10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2.75" customHeight="1" x14ac:dyDescent="0.2">
      <c r="A707" s="55"/>
      <c r="B707" s="10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2.75" customHeight="1" x14ac:dyDescent="0.2">
      <c r="A708" s="55"/>
      <c r="B708" s="10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2.75" customHeight="1" x14ac:dyDescent="0.2">
      <c r="A709" s="55"/>
      <c r="B709" s="10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2.75" customHeight="1" x14ac:dyDescent="0.2">
      <c r="A710" s="55"/>
      <c r="B710" s="10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2.75" customHeight="1" x14ac:dyDescent="0.2">
      <c r="A711" s="55"/>
      <c r="B711" s="10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2.75" customHeight="1" x14ac:dyDescent="0.2">
      <c r="A712" s="55"/>
      <c r="B712" s="10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2.75" customHeight="1" x14ac:dyDescent="0.2">
      <c r="A713" s="55"/>
      <c r="B713" s="10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2.75" customHeight="1" x14ac:dyDescent="0.2">
      <c r="A714" s="55"/>
      <c r="B714" s="10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2.75" customHeight="1" x14ac:dyDescent="0.2">
      <c r="A715" s="55"/>
      <c r="B715" s="10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2.75" customHeight="1" x14ac:dyDescent="0.2">
      <c r="A716" s="55"/>
      <c r="B716" s="10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2.75" customHeight="1" x14ac:dyDescent="0.2">
      <c r="A717" s="55"/>
      <c r="B717" s="10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2.75" customHeight="1" x14ac:dyDescent="0.2">
      <c r="A718" s="55"/>
      <c r="B718" s="10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2.75" customHeight="1" x14ac:dyDescent="0.2">
      <c r="A719" s="55"/>
      <c r="B719" s="10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2.75" customHeight="1" x14ac:dyDescent="0.2">
      <c r="A720" s="55"/>
      <c r="B720" s="10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2.75" customHeight="1" x14ac:dyDescent="0.2">
      <c r="A721" s="55"/>
      <c r="B721" s="10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2.75" customHeight="1" x14ac:dyDescent="0.2">
      <c r="A722" s="55"/>
      <c r="B722" s="10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2.75" customHeight="1" x14ac:dyDescent="0.2">
      <c r="A723" s="55"/>
      <c r="B723" s="10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2.75" customHeight="1" x14ac:dyDescent="0.2">
      <c r="A724" s="55"/>
      <c r="B724" s="10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2.75" customHeight="1" x14ac:dyDescent="0.2">
      <c r="A725" s="55"/>
      <c r="B725" s="10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2.75" customHeight="1" x14ac:dyDescent="0.2">
      <c r="A726" s="55"/>
      <c r="B726" s="10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2.75" customHeight="1" x14ac:dyDescent="0.2">
      <c r="A727" s="55"/>
      <c r="B727" s="10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2.75" customHeight="1" x14ac:dyDescent="0.2">
      <c r="A728" s="55"/>
      <c r="B728" s="10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2.75" customHeight="1" x14ac:dyDescent="0.2">
      <c r="A729" s="55"/>
      <c r="B729" s="10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2.75" customHeight="1" x14ac:dyDescent="0.2">
      <c r="A730" s="55"/>
      <c r="B730" s="10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2.75" customHeight="1" x14ac:dyDescent="0.2">
      <c r="A731" s="55"/>
      <c r="B731" s="10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2.75" customHeight="1" x14ac:dyDescent="0.2">
      <c r="A732" s="55"/>
      <c r="B732" s="10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2.75" customHeight="1" x14ac:dyDescent="0.2">
      <c r="A733" s="55"/>
      <c r="B733" s="10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2.75" customHeight="1" x14ac:dyDescent="0.2">
      <c r="A734" s="55"/>
      <c r="B734" s="10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2.75" customHeight="1" x14ac:dyDescent="0.2">
      <c r="A735" s="55"/>
      <c r="B735" s="10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2.75" customHeight="1" x14ac:dyDescent="0.2">
      <c r="A736" s="55"/>
      <c r="B736" s="10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2.75" customHeight="1" x14ac:dyDescent="0.2">
      <c r="A737" s="55"/>
      <c r="B737" s="10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2.75" customHeight="1" x14ac:dyDescent="0.2">
      <c r="A738" s="55"/>
      <c r="B738" s="10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2.75" customHeight="1" x14ac:dyDescent="0.2">
      <c r="A739" s="55"/>
      <c r="B739" s="10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2.75" customHeight="1" x14ac:dyDescent="0.2">
      <c r="A740" s="55"/>
      <c r="B740" s="10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2.75" customHeight="1" x14ac:dyDescent="0.2">
      <c r="A741" s="55"/>
      <c r="B741" s="10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2.75" customHeight="1" x14ac:dyDescent="0.2">
      <c r="A742" s="55"/>
      <c r="B742" s="10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2.75" customHeight="1" x14ac:dyDescent="0.2">
      <c r="A743" s="55"/>
      <c r="B743" s="10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2.75" customHeight="1" x14ac:dyDescent="0.2">
      <c r="A744" s="55"/>
      <c r="B744" s="10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2.75" customHeight="1" x14ac:dyDescent="0.2">
      <c r="A745" s="55"/>
      <c r="B745" s="10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2.75" customHeight="1" x14ac:dyDescent="0.2">
      <c r="A746" s="55"/>
      <c r="B746" s="10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2.75" customHeight="1" x14ac:dyDescent="0.2">
      <c r="A747" s="55"/>
      <c r="B747" s="10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2.75" customHeight="1" x14ac:dyDescent="0.2">
      <c r="A748" s="55"/>
      <c r="B748" s="10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2.75" customHeight="1" x14ac:dyDescent="0.2">
      <c r="A749" s="55"/>
      <c r="B749" s="10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2.75" customHeight="1" x14ac:dyDescent="0.2">
      <c r="A750" s="55"/>
      <c r="B750" s="10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2.75" customHeight="1" x14ac:dyDescent="0.2">
      <c r="A751" s="55"/>
      <c r="B751" s="10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2.75" customHeight="1" x14ac:dyDescent="0.2">
      <c r="A752" s="55"/>
      <c r="B752" s="10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2.75" customHeight="1" x14ac:dyDescent="0.2">
      <c r="A753" s="55"/>
      <c r="B753" s="10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2.75" customHeight="1" x14ac:dyDescent="0.2">
      <c r="A754" s="55"/>
      <c r="B754" s="10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2.75" customHeight="1" x14ac:dyDescent="0.2">
      <c r="A755" s="55"/>
      <c r="B755" s="10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2.75" customHeight="1" x14ac:dyDescent="0.2">
      <c r="A756" s="55"/>
      <c r="B756" s="10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2.75" customHeight="1" x14ac:dyDescent="0.2">
      <c r="A757" s="55"/>
      <c r="B757" s="10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2.75" customHeight="1" x14ac:dyDescent="0.2">
      <c r="A758" s="55"/>
      <c r="B758" s="10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2.75" customHeight="1" x14ac:dyDescent="0.2">
      <c r="A759" s="55"/>
      <c r="B759" s="10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2.75" customHeight="1" x14ac:dyDescent="0.2">
      <c r="A760" s="55"/>
      <c r="B760" s="10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2.75" customHeight="1" x14ac:dyDescent="0.2">
      <c r="A761" s="55"/>
      <c r="B761" s="10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2.75" customHeight="1" x14ac:dyDescent="0.2">
      <c r="A762" s="55"/>
      <c r="B762" s="10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2.75" customHeight="1" x14ac:dyDescent="0.2">
      <c r="A763" s="55"/>
      <c r="B763" s="10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2.75" customHeight="1" x14ac:dyDescent="0.2">
      <c r="A764" s="55"/>
      <c r="B764" s="10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2.75" customHeight="1" x14ac:dyDescent="0.2">
      <c r="A765" s="55"/>
      <c r="B765" s="10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2.75" customHeight="1" x14ac:dyDescent="0.2">
      <c r="A766" s="55"/>
      <c r="B766" s="10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2.75" customHeight="1" x14ac:dyDescent="0.2">
      <c r="A767" s="55"/>
      <c r="B767" s="10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2.75" customHeight="1" x14ac:dyDescent="0.2">
      <c r="A768" s="55"/>
      <c r="B768" s="10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2.75" customHeight="1" x14ac:dyDescent="0.2">
      <c r="A769" s="55"/>
      <c r="B769" s="10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2.75" customHeight="1" x14ac:dyDescent="0.2">
      <c r="A770" s="55"/>
      <c r="B770" s="10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2.75" customHeight="1" x14ac:dyDescent="0.2">
      <c r="A771" s="55"/>
      <c r="B771" s="10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2.75" customHeight="1" x14ac:dyDescent="0.2">
      <c r="A772" s="55"/>
      <c r="B772" s="10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2.75" customHeight="1" x14ac:dyDescent="0.2">
      <c r="A773" s="55"/>
      <c r="B773" s="10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2.75" customHeight="1" x14ac:dyDescent="0.2">
      <c r="A774" s="55"/>
      <c r="B774" s="10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2.75" customHeight="1" x14ac:dyDescent="0.2">
      <c r="A775" s="55"/>
      <c r="B775" s="10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2.75" customHeight="1" x14ac:dyDescent="0.2">
      <c r="A776" s="55"/>
      <c r="B776" s="10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2.75" customHeight="1" x14ac:dyDescent="0.2">
      <c r="A777" s="55"/>
      <c r="B777" s="10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2.75" customHeight="1" x14ac:dyDescent="0.2">
      <c r="A778" s="55"/>
      <c r="B778" s="10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2.75" customHeight="1" x14ac:dyDescent="0.2">
      <c r="A779" s="55"/>
      <c r="B779" s="10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2.75" customHeight="1" x14ac:dyDescent="0.2">
      <c r="A780" s="55"/>
      <c r="B780" s="10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2.75" customHeight="1" x14ac:dyDescent="0.2">
      <c r="A781" s="55"/>
      <c r="B781" s="10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2.75" customHeight="1" x14ac:dyDescent="0.2">
      <c r="A782" s="55"/>
      <c r="B782" s="10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2.75" customHeight="1" x14ac:dyDescent="0.2">
      <c r="A783" s="55"/>
      <c r="B783" s="10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2.75" customHeight="1" x14ac:dyDescent="0.2">
      <c r="A784" s="55"/>
      <c r="B784" s="10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2.75" customHeight="1" x14ac:dyDescent="0.2">
      <c r="A785" s="55"/>
      <c r="B785" s="10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2.75" customHeight="1" x14ac:dyDescent="0.2">
      <c r="A786" s="55"/>
      <c r="B786" s="10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2.75" customHeight="1" x14ac:dyDescent="0.2">
      <c r="A787" s="55"/>
      <c r="B787" s="10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2.75" customHeight="1" x14ac:dyDescent="0.2">
      <c r="A788" s="55"/>
      <c r="B788" s="10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2.75" customHeight="1" x14ac:dyDescent="0.2">
      <c r="A789" s="55"/>
      <c r="B789" s="10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2.75" customHeight="1" x14ac:dyDescent="0.2">
      <c r="A790" s="55"/>
      <c r="B790" s="10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2.75" customHeight="1" x14ac:dyDescent="0.2">
      <c r="A791" s="55"/>
      <c r="B791" s="10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2.75" customHeight="1" x14ac:dyDescent="0.2">
      <c r="A792" s="55"/>
      <c r="B792" s="10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2.75" customHeight="1" x14ac:dyDescent="0.2">
      <c r="A793" s="55"/>
      <c r="B793" s="10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2.75" customHeight="1" x14ac:dyDescent="0.2">
      <c r="A794" s="55"/>
      <c r="B794" s="10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2.75" customHeight="1" x14ac:dyDescent="0.2">
      <c r="A795" s="55"/>
      <c r="B795" s="10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2.75" customHeight="1" x14ac:dyDescent="0.2">
      <c r="A796" s="55"/>
      <c r="B796" s="10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2.75" customHeight="1" x14ac:dyDescent="0.2">
      <c r="A797" s="55"/>
      <c r="B797" s="10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2.75" customHeight="1" x14ac:dyDescent="0.2">
      <c r="A798" s="55"/>
      <c r="B798" s="10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2.75" customHeight="1" x14ac:dyDescent="0.2">
      <c r="A799" s="55"/>
      <c r="B799" s="10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2.75" customHeight="1" x14ac:dyDescent="0.2">
      <c r="A800" s="55"/>
      <c r="B800" s="10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2.75" customHeight="1" x14ac:dyDescent="0.2">
      <c r="A801" s="55"/>
      <c r="B801" s="10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2.75" customHeight="1" x14ac:dyDescent="0.2">
      <c r="A802" s="55"/>
      <c r="B802" s="10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2.75" customHeight="1" x14ac:dyDescent="0.2">
      <c r="A803" s="55"/>
      <c r="B803" s="10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2.75" customHeight="1" x14ac:dyDescent="0.2">
      <c r="A804" s="55"/>
      <c r="B804" s="10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2.75" customHeight="1" x14ac:dyDescent="0.2">
      <c r="A805" s="55"/>
      <c r="B805" s="10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2.75" customHeight="1" x14ac:dyDescent="0.2">
      <c r="A806" s="55"/>
      <c r="B806" s="10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2.75" customHeight="1" x14ac:dyDescent="0.2">
      <c r="A807" s="55"/>
      <c r="B807" s="10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2.75" customHeight="1" x14ac:dyDescent="0.2">
      <c r="A808" s="55"/>
      <c r="B808" s="10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2.75" customHeight="1" x14ac:dyDescent="0.2">
      <c r="A809" s="55"/>
      <c r="B809" s="10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2.75" customHeight="1" x14ac:dyDescent="0.2">
      <c r="A810" s="55"/>
      <c r="B810" s="10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2.75" customHeight="1" x14ac:dyDescent="0.2">
      <c r="A811" s="55"/>
      <c r="B811" s="10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2.75" customHeight="1" x14ac:dyDescent="0.2">
      <c r="A812" s="55"/>
      <c r="B812" s="10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2.75" customHeight="1" x14ac:dyDescent="0.2">
      <c r="A813" s="55"/>
      <c r="B813" s="10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2.75" customHeight="1" x14ac:dyDescent="0.2">
      <c r="A814" s="55"/>
      <c r="B814" s="10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2.75" customHeight="1" x14ac:dyDescent="0.2">
      <c r="A815" s="55"/>
      <c r="B815" s="10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2.75" customHeight="1" x14ac:dyDescent="0.2">
      <c r="A816" s="55"/>
      <c r="B816" s="10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2.75" customHeight="1" x14ac:dyDescent="0.2">
      <c r="A817" s="55"/>
      <c r="B817" s="10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2.75" customHeight="1" x14ac:dyDescent="0.2">
      <c r="A818" s="55"/>
      <c r="B818" s="10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2.75" customHeight="1" x14ac:dyDescent="0.2">
      <c r="A819" s="55"/>
      <c r="B819" s="10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2.75" customHeight="1" x14ac:dyDescent="0.2">
      <c r="A820" s="55"/>
      <c r="B820" s="10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2.75" customHeight="1" x14ac:dyDescent="0.2">
      <c r="A821" s="55"/>
      <c r="B821" s="10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2.75" customHeight="1" x14ac:dyDescent="0.2">
      <c r="A822" s="55"/>
      <c r="B822" s="10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2.75" customHeight="1" x14ac:dyDescent="0.2">
      <c r="A823" s="55"/>
      <c r="B823" s="10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2.75" customHeight="1" x14ac:dyDescent="0.2">
      <c r="A824" s="55"/>
      <c r="B824" s="10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2.75" customHeight="1" x14ac:dyDescent="0.2">
      <c r="A825" s="55"/>
      <c r="B825" s="10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2.75" customHeight="1" x14ac:dyDescent="0.2">
      <c r="A826" s="55"/>
      <c r="B826" s="10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2.75" customHeight="1" x14ac:dyDescent="0.2">
      <c r="A827" s="55"/>
      <c r="B827" s="10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2.75" customHeight="1" x14ac:dyDescent="0.2">
      <c r="A828" s="55"/>
      <c r="B828" s="10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2.75" customHeight="1" x14ac:dyDescent="0.2">
      <c r="A829" s="55"/>
      <c r="B829" s="10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2.75" customHeight="1" x14ac:dyDescent="0.2">
      <c r="A830" s="55"/>
      <c r="B830" s="10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2.75" customHeight="1" x14ac:dyDescent="0.2">
      <c r="A831" s="55"/>
      <c r="B831" s="10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2.75" customHeight="1" x14ac:dyDescent="0.2">
      <c r="A832" s="55"/>
      <c r="B832" s="10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2.75" customHeight="1" x14ac:dyDescent="0.2">
      <c r="A833" s="55"/>
      <c r="B833" s="10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2.75" customHeight="1" x14ac:dyDescent="0.2">
      <c r="A834" s="55"/>
      <c r="B834" s="10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2.75" customHeight="1" x14ac:dyDescent="0.2">
      <c r="A835" s="55"/>
      <c r="B835" s="10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2.75" customHeight="1" x14ac:dyDescent="0.2">
      <c r="A836" s="55"/>
      <c r="B836" s="10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2.75" customHeight="1" x14ac:dyDescent="0.2">
      <c r="A837" s="55"/>
      <c r="B837" s="10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2.75" customHeight="1" x14ac:dyDescent="0.2">
      <c r="A838" s="55"/>
      <c r="B838" s="10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2.75" customHeight="1" x14ac:dyDescent="0.2">
      <c r="A839" s="55"/>
      <c r="B839" s="10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2.75" customHeight="1" x14ac:dyDescent="0.2">
      <c r="A840" s="55"/>
      <c r="B840" s="10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2.75" customHeight="1" x14ac:dyDescent="0.2">
      <c r="A841" s="55"/>
      <c r="B841" s="10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2.75" customHeight="1" x14ac:dyDescent="0.2">
      <c r="A842" s="55"/>
      <c r="B842" s="10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2.75" customHeight="1" x14ac:dyDescent="0.2">
      <c r="A843" s="55"/>
      <c r="B843" s="10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2.75" customHeight="1" x14ac:dyDescent="0.2">
      <c r="A844" s="55"/>
      <c r="B844" s="10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2.75" customHeight="1" x14ac:dyDescent="0.2">
      <c r="A845" s="55"/>
      <c r="B845" s="10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2.75" customHeight="1" x14ac:dyDescent="0.2">
      <c r="A846" s="55"/>
      <c r="B846" s="10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2.75" customHeight="1" x14ac:dyDescent="0.2">
      <c r="A847" s="55"/>
      <c r="B847" s="10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2.75" customHeight="1" x14ac:dyDescent="0.2">
      <c r="A848" s="55"/>
      <c r="B848" s="10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2.75" customHeight="1" x14ac:dyDescent="0.2">
      <c r="A849" s="55"/>
      <c r="B849" s="10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2.75" customHeight="1" x14ac:dyDescent="0.2">
      <c r="A850" s="55"/>
      <c r="B850" s="10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2.75" customHeight="1" x14ac:dyDescent="0.2">
      <c r="A851" s="55"/>
      <c r="B851" s="10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2.75" customHeight="1" x14ac:dyDescent="0.2">
      <c r="A852" s="55"/>
      <c r="B852" s="10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2.75" customHeight="1" x14ac:dyDescent="0.2">
      <c r="A853" s="55"/>
      <c r="B853" s="10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2.75" customHeight="1" x14ac:dyDescent="0.2">
      <c r="A854" s="55"/>
      <c r="B854" s="10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2.75" customHeight="1" x14ac:dyDescent="0.2">
      <c r="A855" s="55"/>
      <c r="B855" s="10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2.75" customHeight="1" x14ac:dyDescent="0.2">
      <c r="A856" s="55"/>
      <c r="B856" s="10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2.75" customHeight="1" x14ac:dyDescent="0.2">
      <c r="A857" s="55"/>
      <c r="B857" s="10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2.75" customHeight="1" x14ac:dyDescent="0.2">
      <c r="A858" s="55"/>
      <c r="B858" s="10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2.75" customHeight="1" x14ac:dyDescent="0.2">
      <c r="A859" s="55"/>
      <c r="B859" s="10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2.75" customHeight="1" x14ac:dyDescent="0.2">
      <c r="A860" s="55"/>
      <c r="B860" s="10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2.75" customHeight="1" x14ac:dyDescent="0.2">
      <c r="A861" s="55"/>
      <c r="B861" s="10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2.75" customHeight="1" x14ac:dyDescent="0.2">
      <c r="A862" s="55"/>
      <c r="B862" s="10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2.75" customHeight="1" x14ac:dyDescent="0.2">
      <c r="A863" s="55"/>
      <c r="B863" s="10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2.75" customHeight="1" x14ac:dyDescent="0.2">
      <c r="A864" s="55"/>
      <c r="B864" s="10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2.75" customHeight="1" x14ac:dyDescent="0.2">
      <c r="A865" s="55"/>
      <c r="B865" s="10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2.75" customHeight="1" x14ac:dyDescent="0.2">
      <c r="A866" s="55"/>
      <c r="B866" s="10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2.75" customHeight="1" x14ac:dyDescent="0.2">
      <c r="A867" s="55"/>
      <c r="B867" s="10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2.75" customHeight="1" x14ac:dyDescent="0.2">
      <c r="A868" s="55"/>
      <c r="B868" s="10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2.75" customHeight="1" x14ac:dyDescent="0.2">
      <c r="A869" s="55"/>
      <c r="B869" s="10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2.75" customHeight="1" x14ac:dyDescent="0.2">
      <c r="A870" s="55"/>
      <c r="B870" s="10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2.75" customHeight="1" x14ac:dyDescent="0.2">
      <c r="A871" s="55"/>
      <c r="B871" s="10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2.75" customHeight="1" x14ac:dyDescent="0.2">
      <c r="A872" s="55"/>
      <c r="B872" s="10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2.75" customHeight="1" x14ac:dyDescent="0.2">
      <c r="A873" s="55"/>
      <c r="B873" s="10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2.75" customHeight="1" x14ac:dyDescent="0.2">
      <c r="A874" s="55"/>
      <c r="B874" s="10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2.75" customHeight="1" x14ac:dyDescent="0.2">
      <c r="A875" s="55"/>
      <c r="B875" s="10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2.75" customHeight="1" x14ac:dyDescent="0.2">
      <c r="A876" s="55"/>
      <c r="B876" s="10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2.75" customHeight="1" x14ac:dyDescent="0.2">
      <c r="A877" s="55"/>
      <c r="B877" s="10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2.75" customHeight="1" x14ac:dyDescent="0.2">
      <c r="A878" s="55"/>
      <c r="B878" s="10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2.75" customHeight="1" x14ac:dyDescent="0.2">
      <c r="A879" s="55"/>
      <c r="B879" s="10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2.75" customHeight="1" x14ac:dyDescent="0.2">
      <c r="A880" s="55"/>
      <c r="B880" s="10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2.75" customHeight="1" x14ac:dyDescent="0.2">
      <c r="A881" s="55"/>
      <c r="B881" s="10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2.75" customHeight="1" x14ac:dyDescent="0.2">
      <c r="A882" s="55"/>
      <c r="B882" s="10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2.75" customHeight="1" x14ac:dyDescent="0.2">
      <c r="A883" s="55"/>
      <c r="B883" s="10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2.75" customHeight="1" x14ac:dyDescent="0.2">
      <c r="A884" s="55"/>
      <c r="B884" s="10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2.75" customHeight="1" x14ac:dyDescent="0.2">
      <c r="A885" s="55"/>
      <c r="B885" s="10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2.75" customHeight="1" x14ac:dyDescent="0.2">
      <c r="A886" s="55"/>
      <c r="B886" s="10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2.75" customHeight="1" x14ac:dyDescent="0.2">
      <c r="A887" s="55"/>
      <c r="B887" s="10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2.75" customHeight="1" x14ac:dyDescent="0.2">
      <c r="A888" s="55"/>
      <c r="B888" s="10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2.75" customHeight="1" x14ac:dyDescent="0.2">
      <c r="A889" s="55"/>
      <c r="B889" s="10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2.75" customHeight="1" x14ac:dyDescent="0.2">
      <c r="A890" s="55"/>
      <c r="B890" s="10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2.75" customHeight="1" x14ac:dyDescent="0.2">
      <c r="A891" s="55"/>
      <c r="B891" s="10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2.75" customHeight="1" x14ac:dyDescent="0.2">
      <c r="A892" s="55"/>
      <c r="B892" s="10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2.75" customHeight="1" x14ac:dyDescent="0.2">
      <c r="A893" s="55"/>
      <c r="B893" s="10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2.75" customHeight="1" x14ac:dyDescent="0.2">
      <c r="A894" s="55"/>
      <c r="B894" s="10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2.75" customHeight="1" x14ac:dyDescent="0.2">
      <c r="A895" s="55"/>
      <c r="B895" s="10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2.75" customHeight="1" x14ac:dyDescent="0.2">
      <c r="A896" s="55"/>
      <c r="B896" s="10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2.75" customHeight="1" x14ac:dyDescent="0.2">
      <c r="A897" s="55"/>
      <c r="B897" s="10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2.75" customHeight="1" x14ac:dyDescent="0.2">
      <c r="A898" s="55"/>
      <c r="B898" s="10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2.75" customHeight="1" x14ac:dyDescent="0.2">
      <c r="A899" s="55"/>
      <c r="B899" s="10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2.75" customHeight="1" x14ac:dyDescent="0.2">
      <c r="A900" s="55"/>
      <c r="B900" s="10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2.75" customHeight="1" x14ac:dyDescent="0.2">
      <c r="A901" s="55"/>
      <c r="B901" s="10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2.75" customHeight="1" x14ac:dyDescent="0.2">
      <c r="A902" s="55"/>
      <c r="B902" s="10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2.75" customHeight="1" x14ac:dyDescent="0.2">
      <c r="A903" s="55"/>
      <c r="B903" s="10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2.75" customHeight="1" x14ac:dyDescent="0.2">
      <c r="A904" s="55"/>
      <c r="B904" s="10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2.75" customHeight="1" x14ac:dyDescent="0.2">
      <c r="A905" s="55"/>
      <c r="B905" s="10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2.75" customHeight="1" x14ac:dyDescent="0.2">
      <c r="A906" s="55"/>
      <c r="B906" s="10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2.75" customHeight="1" x14ac:dyDescent="0.2">
      <c r="A907" s="55"/>
      <c r="B907" s="10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2.75" customHeight="1" x14ac:dyDescent="0.2">
      <c r="A908" s="55"/>
      <c r="B908" s="10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2.75" customHeight="1" x14ac:dyDescent="0.2">
      <c r="A909" s="55"/>
      <c r="B909" s="10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2.75" customHeight="1" x14ac:dyDescent="0.2">
      <c r="A910" s="55"/>
      <c r="B910" s="10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2.75" customHeight="1" x14ac:dyDescent="0.2">
      <c r="A911" s="55"/>
      <c r="B911" s="10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2.75" customHeight="1" x14ac:dyDescent="0.2">
      <c r="A912" s="55"/>
      <c r="B912" s="10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2.75" customHeight="1" x14ac:dyDescent="0.2">
      <c r="A913" s="55"/>
      <c r="B913" s="10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2.75" customHeight="1" x14ac:dyDescent="0.2">
      <c r="A914" s="55"/>
      <c r="B914" s="10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2.75" customHeight="1" x14ac:dyDescent="0.2">
      <c r="A915" s="55"/>
      <c r="B915" s="10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2.75" customHeight="1" x14ac:dyDescent="0.2">
      <c r="A916" s="55"/>
      <c r="B916" s="10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2.75" customHeight="1" x14ac:dyDescent="0.2">
      <c r="A917" s="55"/>
      <c r="B917" s="10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2.75" customHeight="1" x14ac:dyDescent="0.2">
      <c r="A918" s="55"/>
      <c r="B918" s="10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2.75" customHeight="1" x14ac:dyDescent="0.2">
      <c r="A919" s="55"/>
      <c r="B919" s="10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2.75" customHeight="1" x14ac:dyDescent="0.2">
      <c r="A920" s="55"/>
      <c r="B920" s="10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2.75" customHeight="1" x14ac:dyDescent="0.2">
      <c r="A921" s="55"/>
      <c r="B921" s="10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2.75" customHeight="1" x14ac:dyDescent="0.2">
      <c r="A922" s="55"/>
      <c r="B922" s="10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2.75" customHeight="1" x14ac:dyDescent="0.2">
      <c r="A923" s="55"/>
      <c r="B923" s="10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2.75" customHeight="1" x14ac:dyDescent="0.2">
      <c r="A924" s="55"/>
      <c r="B924" s="10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2.75" customHeight="1" x14ac:dyDescent="0.2">
      <c r="A925" s="55"/>
      <c r="B925" s="10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2.75" customHeight="1" x14ac:dyDescent="0.2">
      <c r="A926" s="55"/>
      <c r="B926" s="10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2.75" customHeight="1" x14ac:dyDescent="0.2">
      <c r="A927" s="55"/>
      <c r="B927" s="10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2.75" customHeight="1" x14ac:dyDescent="0.2">
      <c r="A928" s="55"/>
      <c r="B928" s="10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2.75" customHeight="1" x14ac:dyDescent="0.2">
      <c r="A929" s="55"/>
      <c r="B929" s="10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2.75" customHeight="1" x14ac:dyDescent="0.2">
      <c r="A930" s="55"/>
      <c r="B930" s="10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2.75" customHeight="1" x14ac:dyDescent="0.2">
      <c r="A931" s="55"/>
      <c r="B931" s="10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2.75" customHeight="1" x14ac:dyDescent="0.2">
      <c r="A932" s="55"/>
      <c r="B932" s="10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2.75" customHeight="1" x14ac:dyDescent="0.2">
      <c r="A933" s="55"/>
      <c r="B933" s="10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2.75" customHeight="1" x14ac:dyDescent="0.2">
      <c r="A934" s="55"/>
      <c r="B934" s="10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2.75" customHeight="1" x14ac:dyDescent="0.2">
      <c r="A935" s="55"/>
      <c r="B935" s="10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2.75" customHeight="1" x14ac:dyDescent="0.2">
      <c r="A936" s="55"/>
      <c r="B936" s="10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2.75" customHeight="1" x14ac:dyDescent="0.2">
      <c r="A937" s="55"/>
      <c r="B937" s="10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2.75" customHeight="1" x14ac:dyDescent="0.2">
      <c r="A938" s="55"/>
      <c r="B938" s="10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2.75" customHeight="1" x14ac:dyDescent="0.2">
      <c r="A939" s="55"/>
      <c r="B939" s="10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2.75" customHeight="1" x14ac:dyDescent="0.2">
      <c r="A940" s="55"/>
      <c r="B940" s="10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2.75" customHeight="1" x14ac:dyDescent="0.2">
      <c r="A941" s="55"/>
      <c r="B941" s="10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2.75" customHeight="1" x14ac:dyDescent="0.2">
      <c r="A942" s="55"/>
      <c r="B942" s="10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2.75" customHeight="1" x14ac:dyDescent="0.2">
      <c r="A943" s="55"/>
      <c r="B943" s="10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2.75" customHeight="1" x14ac:dyDescent="0.2">
      <c r="A944" s="55"/>
      <c r="B944" s="10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2.75" customHeight="1" x14ac:dyDescent="0.2">
      <c r="A945" s="55"/>
      <c r="B945" s="10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2.75" customHeight="1" x14ac:dyDescent="0.2">
      <c r="A946" s="55"/>
      <c r="B946" s="10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2.75" customHeight="1" x14ac:dyDescent="0.2">
      <c r="A947" s="55"/>
      <c r="B947" s="10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2.75" customHeight="1" x14ac:dyDescent="0.2">
      <c r="A948" s="55"/>
      <c r="B948" s="10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2.75" customHeight="1" x14ac:dyDescent="0.2">
      <c r="A949" s="55"/>
      <c r="B949" s="10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2.75" customHeight="1" x14ac:dyDescent="0.2">
      <c r="A950" s="55"/>
      <c r="B950" s="10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2.75" customHeight="1" x14ac:dyDescent="0.2">
      <c r="A951" s="55"/>
      <c r="B951" s="10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2.75" customHeight="1" x14ac:dyDescent="0.2">
      <c r="A952" s="55"/>
      <c r="B952" s="10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2.75" customHeight="1" x14ac:dyDescent="0.2">
      <c r="A953" s="55"/>
      <c r="B953" s="10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2.75" customHeight="1" x14ac:dyDescent="0.2">
      <c r="A954" s="55"/>
      <c r="B954" s="10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2.75" customHeight="1" x14ac:dyDescent="0.2">
      <c r="A955" s="55"/>
      <c r="B955" s="10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2.75" customHeight="1" x14ac:dyDescent="0.2">
      <c r="A956" s="55"/>
      <c r="B956" s="10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2.75" customHeight="1" x14ac:dyDescent="0.2">
      <c r="A957" s="55"/>
      <c r="B957" s="10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2.75" customHeight="1" x14ac:dyDescent="0.2">
      <c r="A958" s="55"/>
      <c r="B958" s="10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2.75" customHeight="1" x14ac:dyDescent="0.2">
      <c r="A959" s="55"/>
      <c r="B959" s="10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2.75" customHeight="1" x14ac:dyDescent="0.2">
      <c r="A960" s="55"/>
      <c r="B960" s="10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2.75" customHeight="1" x14ac:dyDescent="0.2">
      <c r="A961" s="55"/>
      <c r="B961" s="10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2.75" customHeight="1" x14ac:dyDescent="0.2">
      <c r="A962" s="55"/>
      <c r="B962" s="10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2.75" customHeight="1" x14ac:dyDescent="0.2">
      <c r="A963" s="55"/>
      <c r="B963" s="10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2.75" customHeight="1" x14ac:dyDescent="0.2">
      <c r="A964" s="55"/>
      <c r="B964" s="10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2.75" customHeight="1" x14ac:dyDescent="0.2">
      <c r="A965" s="55"/>
      <c r="B965" s="10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2.75" customHeight="1" x14ac:dyDescent="0.2">
      <c r="A966" s="55"/>
      <c r="B966" s="10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2.75" customHeight="1" x14ac:dyDescent="0.2">
      <c r="A967" s="55"/>
      <c r="B967" s="10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2.75" customHeight="1" x14ac:dyDescent="0.2">
      <c r="A968" s="55"/>
      <c r="B968" s="10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2.75" customHeight="1" x14ac:dyDescent="0.2">
      <c r="A969" s="55"/>
      <c r="B969" s="10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2.75" customHeight="1" x14ac:dyDescent="0.2">
      <c r="A970" s="55"/>
      <c r="B970" s="10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2.75" customHeight="1" x14ac:dyDescent="0.2">
      <c r="A971" s="55"/>
      <c r="B971" s="10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2.75" customHeight="1" x14ac:dyDescent="0.2">
      <c r="A972" s="55"/>
      <c r="B972" s="10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</sheetData>
  <mergeCells count="33"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A7:C7"/>
    <mergeCell ref="D7:K7"/>
    <mergeCell ref="A8:C8"/>
    <mergeCell ref="D8:K8"/>
    <mergeCell ref="A10:A11"/>
    <mergeCell ref="B10:B11"/>
    <mergeCell ref="C10:G11"/>
    <mergeCell ref="C22:G22"/>
    <mergeCell ref="A23:I23"/>
    <mergeCell ref="J23:K23"/>
    <mergeCell ref="A1:I1"/>
    <mergeCell ref="A3:C3"/>
    <mergeCell ref="D3:K3"/>
    <mergeCell ref="A4:C4"/>
    <mergeCell ref="D4:K4"/>
    <mergeCell ref="A5:C5"/>
    <mergeCell ref="D5:K5"/>
    <mergeCell ref="H10:H11"/>
    <mergeCell ref="I10:I11"/>
    <mergeCell ref="J10:J11"/>
    <mergeCell ref="K10:K11"/>
    <mergeCell ref="A6:C6"/>
    <mergeCell ref="D6:K6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6" sqref="A26:Q27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6" width="14.85546875" customWidth="1"/>
    <col min="17" max="17" width="14.7109375" customWidth="1"/>
    <col min="18" max="26" width="11" customWidth="1"/>
  </cols>
  <sheetData>
    <row r="1" spans="1:26" ht="15.75" customHeight="1" x14ac:dyDescent="0.25">
      <c r="A1" s="208" t="s">
        <v>4</v>
      </c>
      <c r="B1" s="209"/>
      <c r="C1" s="209"/>
      <c r="D1" s="210">
        <f>'Necesidades Trimestrales'!C6</f>
        <v>2022</v>
      </c>
      <c r="E1" s="211"/>
      <c r="F1" s="1"/>
      <c r="G1" s="1"/>
      <c r="H1" s="2"/>
      <c r="I1" s="2"/>
      <c r="J1" s="2"/>
      <c r="K1" s="2"/>
      <c r="L1" s="2"/>
      <c r="M1" s="2"/>
      <c r="N1" s="2"/>
      <c r="P1" s="212" t="s">
        <v>57</v>
      </c>
      <c r="Q1" s="213"/>
    </row>
    <row r="2" spans="1:26" ht="15.75" customHeight="1" x14ac:dyDescent="0.2">
      <c r="G2" s="3"/>
      <c r="H2" s="2"/>
      <c r="I2" s="2"/>
      <c r="J2" s="2"/>
      <c r="K2" s="2"/>
      <c r="L2" s="2"/>
      <c r="M2" s="2"/>
      <c r="N2" s="2"/>
      <c r="P2" s="214"/>
      <c r="Q2" s="215"/>
    </row>
    <row r="3" spans="1:26" ht="12.75" customHeight="1" x14ac:dyDescent="0.2">
      <c r="G3" s="3"/>
    </row>
    <row r="4" spans="1:26" ht="18" customHeight="1" x14ac:dyDescent="0.2">
      <c r="A4" s="216" t="s">
        <v>58</v>
      </c>
      <c r="B4" s="217"/>
      <c r="C4" s="217"/>
      <c r="D4" s="217"/>
      <c r="E4" s="217"/>
      <c r="F4" s="218"/>
      <c r="G4" s="219" t="str">
        <f>'NP FARMACIA'!D3</f>
        <v>040 - Ministerio de Salud</v>
      </c>
      <c r="H4" s="217"/>
      <c r="I4" s="217"/>
      <c r="J4" s="217"/>
      <c r="K4" s="217"/>
      <c r="L4" s="217"/>
      <c r="M4" s="217"/>
      <c r="N4" s="217"/>
      <c r="O4" s="217"/>
      <c r="P4" s="217"/>
      <c r="Q4" s="218"/>
      <c r="R4" s="4"/>
      <c r="S4" s="4"/>
      <c r="T4" s="4"/>
      <c r="U4" s="4"/>
      <c r="V4" s="4"/>
      <c r="W4" s="4"/>
      <c r="X4" s="4"/>
      <c r="Y4" s="4"/>
      <c r="Z4" s="4"/>
    </row>
    <row r="5" spans="1:26" s="7" customFormat="1" ht="18" customHeight="1" x14ac:dyDescent="0.2">
      <c r="A5" s="220" t="s">
        <v>44</v>
      </c>
      <c r="B5" s="176"/>
      <c r="C5" s="176"/>
      <c r="D5" s="176"/>
      <c r="E5" s="176"/>
      <c r="F5" s="221"/>
      <c r="G5" s="222" t="str">
        <f>'NP FARMACIA'!D4</f>
        <v>011 - DIRECCION PROVINCIAL DE ADMINISTRACION - MS</v>
      </c>
      <c r="H5" s="176"/>
      <c r="I5" s="176"/>
      <c r="J5" s="176"/>
      <c r="K5" s="176"/>
      <c r="L5" s="176"/>
      <c r="M5" s="176"/>
      <c r="N5" s="176"/>
      <c r="O5" s="176"/>
      <c r="P5" s="176"/>
      <c r="Q5" s="221"/>
      <c r="R5" s="72"/>
      <c r="S5" s="72"/>
      <c r="T5" s="72"/>
      <c r="U5" s="72"/>
      <c r="V5" s="72"/>
      <c r="W5" s="72"/>
      <c r="X5" s="72"/>
      <c r="Y5" s="72"/>
      <c r="Z5" s="72"/>
    </row>
    <row r="6" spans="1:26" s="7" customFormat="1" ht="18" customHeight="1" x14ac:dyDescent="0.2">
      <c r="A6" s="220" t="s">
        <v>45</v>
      </c>
      <c r="B6" s="176"/>
      <c r="C6" s="176"/>
      <c r="D6" s="176"/>
      <c r="E6" s="176"/>
      <c r="F6" s="221"/>
      <c r="G6" s="222" t="str">
        <f>'NP FARMACIA'!D5</f>
        <v>469 - DIRECCION PROVINCIAL DE FARMACIA E INSUMOS</v>
      </c>
      <c r="H6" s="176"/>
      <c r="I6" s="176"/>
      <c r="J6" s="176"/>
      <c r="K6" s="176"/>
      <c r="L6" s="176"/>
      <c r="M6" s="176"/>
      <c r="N6" s="176"/>
      <c r="O6" s="176"/>
      <c r="P6" s="176"/>
      <c r="Q6" s="221"/>
      <c r="R6" s="72"/>
      <c r="S6" s="72"/>
      <c r="T6" s="72"/>
      <c r="U6" s="72"/>
      <c r="V6" s="72"/>
      <c r="W6" s="72"/>
      <c r="X6" s="72"/>
      <c r="Y6" s="72"/>
      <c r="Z6" s="72"/>
    </row>
    <row r="7" spans="1:26" s="7" customFormat="1" ht="18" customHeight="1" x14ac:dyDescent="0.2">
      <c r="A7" s="220" t="s">
        <v>46</v>
      </c>
      <c r="B7" s="176"/>
      <c r="C7" s="176"/>
      <c r="D7" s="176"/>
      <c r="E7" s="176"/>
      <c r="F7" s="221"/>
      <c r="G7" s="222" t="str">
        <f>'NP FARMACIA'!D6</f>
        <v>469 - DIRECCION PROVINCIAL DE FARMACIA E INSUMOS</v>
      </c>
      <c r="H7" s="176"/>
      <c r="I7" s="176"/>
      <c r="J7" s="176"/>
      <c r="K7" s="176"/>
      <c r="L7" s="176"/>
      <c r="M7" s="176"/>
      <c r="N7" s="176"/>
      <c r="O7" s="176"/>
      <c r="P7" s="176"/>
      <c r="Q7" s="221"/>
      <c r="R7" s="72"/>
      <c r="S7" s="72"/>
      <c r="T7" s="72"/>
      <c r="U7" s="72"/>
      <c r="V7" s="72"/>
      <c r="W7" s="72"/>
      <c r="X7" s="72"/>
      <c r="Y7" s="72"/>
      <c r="Z7" s="72"/>
    </row>
    <row r="8" spans="1:26" s="7" customFormat="1" ht="18" customHeight="1" x14ac:dyDescent="0.2">
      <c r="A8" s="223" t="s">
        <v>59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221"/>
    </row>
    <row r="9" spans="1:26" s="7" customFormat="1" ht="18" customHeight="1" x14ac:dyDescent="0.2">
      <c r="A9" s="224" t="s">
        <v>60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72"/>
      <c r="P9" s="72"/>
      <c r="Q9" s="73"/>
    </row>
    <row r="10" spans="1:26" s="7" customFormat="1" ht="54.75" customHeight="1" x14ac:dyDescent="0.2">
      <c r="A10" s="226" t="str">
        <f>"Autorizo la realización de los  trámites correspondientes, a fin de proveer a  este Organismo los bienes y/o servicios que se detallan en Nota  de Pedido N° " &amp; 'NP FARMACIA'!K1&amp;",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 15/2022,  afectando la erogación resultante a los créditos presupuestarios aprobados a favor de esta Unidad Ejecutora, conforme al siguiente detalle:</v>
      </c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227"/>
    </row>
    <row r="11" spans="1:26" s="7" customFormat="1" ht="9" customHeight="1" x14ac:dyDescent="0.2">
      <c r="A11" s="74"/>
      <c r="B11" s="75"/>
      <c r="C11" s="75"/>
      <c r="D11" s="75"/>
      <c r="E11" s="75"/>
      <c r="F11" s="75"/>
      <c r="G11" s="76"/>
      <c r="H11" s="75"/>
      <c r="I11" s="75"/>
      <c r="J11" s="75"/>
      <c r="K11" s="75"/>
      <c r="L11" s="75"/>
      <c r="M11" s="75"/>
      <c r="N11" s="75"/>
      <c r="O11" s="75"/>
      <c r="P11" s="75"/>
      <c r="Q11" s="77"/>
    </row>
    <row r="12" spans="1:26" s="7" customFormat="1" ht="15.75" customHeight="1" x14ac:dyDescent="0.2">
      <c r="A12" s="228" t="s">
        <v>61</v>
      </c>
      <c r="B12" s="229"/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30"/>
    </row>
    <row r="13" spans="1:26" s="7" customFormat="1" ht="15.75" customHeight="1" x14ac:dyDescent="0.2">
      <c r="A13" s="231" t="s">
        <v>62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221"/>
      <c r="O13" s="232" t="s">
        <v>63</v>
      </c>
      <c r="P13" s="230"/>
      <c r="Q13" s="235" t="s">
        <v>64</v>
      </c>
    </row>
    <row r="14" spans="1:26" s="7" customFormat="1" ht="15.75" customHeight="1" x14ac:dyDescent="0.2">
      <c r="A14" s="78" t="s">
        <v>65</v>
      </c>
      <c r="B14" s="79" t="s">
        <v>66</v>
      </c>
      <c r="C14" s="79" t="s">
        <v>67</v>
      </c>
      <c r="D14" s="79" t="s">
        <v>68</v>
      </c>
      <c r="E14" s="79" t="s">
        <v>69</v>
      </c>
      <c r="F14" s="79" t="s">
        <v>70</v>
      </c>
      <c r="G14" s="80" t="s">
        <v>71</v>
      </c>
      <c r="H14" s="79" t="s">
        <v>72</v>
      </c>
      <c r="I14" s="79" t="s">
        <v>73</v>
      </c>
      <c r="J14" s="79" t="s">
        <v>74</v>
      </c>
      <c r="K14" s="79" t="s">
        <v>74</v>
      </c>
      <c r="L14" s="79" t="s">
        <v>75</v>
      </c>
      <c r="M14" s="81" t="s">
        <v>76</v>
      </c>
      <c r="N14" s="82" t="s">
        <v>77</v>
      </c>
      <c r="O14" s="233"/>
      <c r="P14" s="234"/>
      <c r="Q14" s="234"/>
    </row>
    <row r="15" spans="1:26" s="7" customFormat="1" ht="40.5" customHeight="1" x14ac:dyDescent="0.2">
      <c r="A15" s="83">
        <v>30</v>
      </c>
      <c r="B15" s="84"/>
      <c r="C15" s="84"/>
      <c r="D15" s="84">
        <v>1</v>
      </c>
      <c r="E15" s="84"/>
      <c r="F15" s="84">
        <v>4901</v>
      </c>
      <c r="G15" s="84">
        <v>3</v>
      </c>
      <c r="H15" s="84">
        <v>1</v>
      </c>
      <c r="I15" s="84">
        <v>2</v>
      </c>
      <c r="J15" s="84">
        <v>5</v>
      </c>
      <c r="K15" s="84">
        <v>2</v>
      </c>
      <c r="L15" s="84"/>
      <c r="M15" s="85">
        <v>1</v>
      </c>
      <c r="N15" s="84" t="s">
        <v>78</v>
      </c>
      <c r="O15" s="236" t="s">
        <v>92</v>
      </c>
      <c r="P15" s="237"/>
      <c r="Q15" s="86">
        <f>'NP FARMACIA'!J23</f>
        <v>2223000</v>
      </c>
    </row>
    <row r="16" spans="1:26" s="7" customFormat="1" ht="17.25" customHeight="1" x14ac:dyDescent="0.2">
      <c r="A16" s="87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9"/>
      <c r="N16" s="90"/>
      <c r="O16" s="238"/>
      <c r="P16" s="239"/>
      <c r="Q16" s="91"/>
    </row>
    <row r="17" spans="1:18" s="7" customFormat="1" ht="17.25" customHeight="1" x14ac:dyDescent="0.2">
      <c r="A17" s="87"/>
      <c r="B17" s="88"/>
      <c r="C17" s="88"/>
      <c r="D17" s="88"/>
      <c r="E17" s="88"/>
      <c r="F17" s="90"/>
      <c r="G17" s="88"/>
      <c r="H17" s="88"/>
      <c r="I17" s="88"/>
      <c r="J17" s="88"/>
      <c r="K17" s="88"/>
      <c r="L17" s="88"/>
      <c r="M17" s="89"/>
      <c r="N17" s="90"/>
      <c r="O17" s="238"/>
      <c r="P17" s="239"/>
      <c r="Q17" s="91"/>
    </row>
    <row r="18" spans="1:18" s="7" customFormat="1" ht="17.25" customHeight="1" x14ac:dyDescent="0.2">
      <c r="A18" s="87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9"/>
      <c r="N18" s="90"/>
      <c r="O18" s="238"/>
      <c r="P18" s="239"/>
      <c r="Q18" s="91"/>
    </row>
    <row r="19" spans="1:18" s="7" customFormat="1" ht="17.25" customHeight="1" x14ac:dyDescent="0.2">
      <c r="A19" s="87"/>
      <c r="B19" s="88"/>
      <c r="C19" s="88"/>
      <c r="D19" s="88"/>
      <c r="E19" s="88"/>
      <c r="F19" s="90"/>
      <c r="G19" s="88"/>
      <c r="H19" s="88"/>
      <c r="I19" s="88"/>
      <c r="J19" s="88"/>
      <c r="K19" s="88"/>
      <c r="L19" s="88"/>
      <c r="M19" s="89"/>
      <c r="N19" s="90"/>
      <c r="O19" s="238"/>
      <c r="P19" s="239"/>
      <c r="Q19" s="91"/>
    </row>
    <row r="20" spans="1:18" s="7" customFormat="1" ht="17.25" customHeight="1" x14ac:dyDescent="0.2">
      <c r="A20" s="87"/>
      <c r="B20" s="88"/>
      <c r="C20" s="88"/>
      <c r="D20" s="88"/>
      <c r="E20" s="88"/>
      <c r="F20" s="90"/>
      <c r="G20" s="88"/>
      <c r="H20" s="88"/>
      <c r="I20" s="88"/>
      <c r="J20" s="88"/>
      <c r="K20" s="88"/>
      <c r="L20" s="88"/>
      <c r="M20" s="89"/>
      <c r="N20" s="90"/>
      <c r="O20" s="238"/>
      <c r="P20" s="239"/>
      <c r="Q20" s="91"/>
    </row>
    <row r="21" spans="1:18" s="7" customFormat="1" ht="17.25" customHeight="1" x14ac:dyDescent="0.2">
      <c r="A21" s="92"/>
      <c r="B21" s="93"/>
      <c r="C21" s="93"/>
      <c r="D21" s="93"/>
      <c r="E21" s="93"/>
      <c r="F21" s="90"/>
      <c r="G21" s="93"/>
      <c r="H21" s="93"/>
      <c r="I21" s="93"/>
      <c r="J21" s="93"/>
      <c r="K21" s="93"/>
      <c r="L21" s="93"/>
      <c r="M21" s="94"/>
      <c r="N21" s="95"/>
      <c r="O21" s="238"/>
      <c r="P21" s="239"/>
      <c r="Q21" s="91"/>
      <c r="R21" s="72"/>
    </row>
    <row r="22" spans="1:18" s="7" customFormat="1" ht="17.25" customHeight="1" x14ac:dyDescent="0.2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8"/>
      <c r="N22" s="97"/>
      <c r="O22" s="248"/>
      <c r="P22" s="249"/>
      <c r="Q22" s="99"/>
    </row>
    <row r="23" spans="1:18" s="7" customFormat="1" ht="29.25" customHeight="1" x14ac:dyDescent="0.2">
      <c r="A23" s="250" t="s">
        <v>93</v>
      </c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2"/>
      <c r="Q23" s="100">
        <f>SUM(Q15:Q22)</f>
        <v>2223000</v>
      </c>
    </row>
    <row r="24" spans="1:18" s="7" customFormat="1" ht="18" customHeight="1" x14ac:dyDescent="0.2">
      <c r="A24" s="253"/>
      <c r="B24" s="229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30"/>
    </row>
    <row r="25" spans="1:18" s="7" customFormat="1" ht="17.25" customHeight="1" x14ac:dyDescent="0.2">
      <c r="A25" s="240" t="s">
        <v>79</v>
      </c>
      <c r="B25" s="179"/>
      <c r="C25" s="179"/>
      <c r="D25" s="179"/>
      <c r="E25" s="179"/>
      <c r="F25" s="180"/>
      <c r="G25" s="241"/>
      <c r="H25" s="229"/>
      <c r="I25" s="229"/>
      <c r="J25" s="229"/>
      <c r="K25" s="229"/>
      <c r="L25" s="229"/>
      <c r="M25" s="229"/>
      <c r="N25" s="229"/>
      <c r="O25" s="229"/>
      <c r="P25" s="229"/>
      <c r="Q25" s="230"/>
    </row>
    <row r="26" spans="1:18" s="7" customFormat="1" ht="18" customHeight="1" x14ac:dyDescent="0.2">
      <c r="A26" s="242" t="str">
        <f>'NP FARMACIA'!D8</f>
        <v>ADQUISICION DE MEDICAMENTOS.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4"/>
    </row>
    <row r="27" spans="1:18" s="7" customFormat="1" ht="15" customHeight="1" x14ac:dyDescent="0.2">
      <c r="A27" s="245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7"/>
    </row>
    <row r="28" spans="1:18" s="7" customFormat="1" ht="12.75" customHeight="1" x14ac:dyDescent="0.2">
      <c r="G28" s="101"/>
    </row>
    <row r="29" spans="1:18" ht="12.75" customHeight="1" x14ac:dyDescent="0.2">
      <c r="G29" s="3"/>
    </row>
    <row r="30" spans="1:18" ht="12.75" customHeight="1" x14ac:dyDescent="0.2">
      <c r="G30" s="3"/>
    </row>
    <row r="31" spans="1:18" ht="12.75" customHeight="1" x14ac:dyDescent="0.2">
      <c r="G31" s="3"/>
    </row>
    <row r="32" spans="1:18" ht="12.75" customHeight="1" x14ac:dyDescent="0.2">
      <c r="G32" s="3"/>
    </row>
    <row r="33" spans="7:7" ht="12.75" customHeight="1" x14ac:dyDescent="0.2">
      <c r="G33" s="3"/>
    </row>
    <row r="34" spans="7:7" ht="12.75" customHeight="1" x14ac:dyDescent="0.2">
      <c r="G34" s="3"/>
    </row>
    <row r="35" spans="7:7" ht="12.75" customHeight="1" x14ac:dyDescent="0.2">
      <c r="G35" s="3"/>
    </row>
    <row r="36" spans="7:7" ht="12.75" customHeight="1" x14ac:dyDescent="0.2">
      <c r="G36" s="3"/>
    </row>
    <row r="37" spans="7:7" ht="12.75" customHeight="1" x14ac:dyDescent="0.2">
      <c r="G37" s="3"/>
    </row>
    <row r="38" spans="7:7" ht="12.75" customHeight="1" x14ac:dyDescent="0.2">
      <c r="G38" s="3"/>
    </row>
    <row r="39" spans="7:7" ht="12.75" customHeight="1" x14ac:dyDescent="0.2">
      <c r="G39" s="3"/>
    </row>
    <row r="40" spans="7:7" ht="12.75" customHeight="1" x14ac:dyDescent="0.2">
      <c r="G40" s="3"/>
    </row>
    <row r="41" spans="7:7" ht="12.75" customHeight="1" x14ac:dyDescent="0.2">
      <c r="G41" s="3"/>
    </row>
    <row r="42" spans="7:7" ht="12.75" customHeight="1" x14ac:dyDescent="0.2">
      <c r="G42" s="3"/>
    </row>
    <row r="43" spans="7:7" ht="12.75" customHeight="1" x14ac:dyDescent="0.2">
      <c r="G43" s="3"/>
    </row>
    <row r="44" spans="7:7" ht="12.75" customHeight="1" x14ac:dyDescent="0.2">
      <c r="G44" s="3"/>
    </row>
    <row r="45" spans="7:7" ht="12.75" customHeight="1" x14ac:dyDescent="0.2">
      <c r="G45" s="3"/>
    </row>
    <row r="46" spans="7:7" ht="12.75" customHeight="1" x14ac:dyDescent="0.2">
      <c r="G46" s="3"/>
    </row>
    <row r="47" spans="7:7" ht="12.75" customHeight="1" x14ac:dyDescent="0.2">
      <c r="G47" s="3"/>
    </row>
    <row r="48" spans="7:7" ht="12.75" customHeight="1" x14ac:dyDescent="0.2">
      <c r="G48" s="3"/>
    </row>
    <row r="49" spans="7:7" ht="12.75" customHeight="1" x14ac:dyDescent="0.2">
      <c r="G49" s="3"/>
    </row>
    <row r="50" spans="7:7" ht="12.75" customHeight="1" x14ac:dyDescent="0.2">
      <c r="G50" s="3"/>
    </row>
    <row r="51" spans="7:7" ht="12.75" customHeight="1" x14ac:dyDescent="0.2">
      <c r="G51" s="3"/>
    </row>
    <row r="52" spans="7:7" ht="12.75" customHeight="1" x14ac:dyDescent="0.2">
      <c r="G52" s="3"/>
    </row>
    <row r="53" spans="7:7" ht="12.75" customHeight="1" x14ac:dyDescent="0.2">
      <c r="G53" s="3"/>
    </row>
    <row r="54" spans="7:7" ht="12.75" customHeight="1" x14ac:dyDescent="0.2">
      <c r="G54" s="3"/>
    </row>
    <row r="55" spans="7:7" ht="12.75" customHeight="1" x14ac:dyDescent="0.2">
      <c r="G55" s="3"/>
    </row>
    <row r="56" spans="7:7" ht="12.75" customHeight="1" x14ac:dyDescent="0.2">
      <c r="G56" s="3"/>
    </row>
    <row r="57" spans="7:7" ht="12.75" customHeight="1" x14ac:dyDescent="0.2">
      <c r="G57" s="3"/>
    </row>
    <row r="58" spans="7:7" ht="12.75" customHeight="1" x14ac:dyDescent="0.2">
      <c r="G58" s="3"/>
    </row>
    <row r="59" spans="7:7" ht="12.75" customHeight="1" x14ac:dyDescent="0.2">
      <c r="G59" s="3"/>
    </row>
    <row r="60" spans="7:7" ht="12.75" customHeight="1" x14ac:dyDescent="0.2">
      <c r="G60" s="3"/>
    </row>
    <row r="61" spans="7:7" ht="12.75" customHeight="1" x14ac:dyDescent="0.2">
      <c r="G61" s="3"/>
    </row>
    <row r="62" spans="7:7" ht="12.75" customHeight="1" x14ac:dyDescent="0.2">
      <c r="G62" s="3"/>
    </row>
    <row r="63" spans="7:7" ht="12.75" customHeight="1" x14ac:dyDescent="0.2">
      <c r="G63" s="3"/>
    </row>
    <row r="64" spans="7:7" ht="12.75" customHeight="1" x14ac:dyDescent="0.2">
      <c r="G64" s="3"/>
    </row>
    <row r="65" spans="7:7" ht="12.75" customHeight="1" x14ac:dyDescent="0.2">
      <c r="G65" s="3"/>
    </row>
    <row r="66" spans="7:7" ht="12.75" customHeight="1" x14ac:dyDescent="0.2">
      <c r="G66" s="3"/>
    </row>
    <row r="67" spans="7:7" ht="12.75" customHeight="1" x14ac:dyDescent="0.2">
      <c r="G67" s="3"/>
    </row>
    <row r="68" spans="7:7" ht="12.75" customHeight="1" x14ac:dyDescent="0.2">
      <c r="G68" s="3"/>
    </row>
    <row r="69" spans="7:7" ht="12.75" customHeight="1" x14ac:dyDescent="0.2">
      <c r="G69" s="3"/>
    </row>
    <row r="70" spans="7:7" ht="12.75" customHeight="1" x14ac:dyDescent="0.2">
      <c r="G70" s="3"/>
    </row>
    <row r="71" spans="7:7" ht="12.75" customHeight="1" x14ac:dyDescent="0.2">
      <c r="G71" s="3"/>
    </row>
    <row r="72" spans="7:7" ht="12.75" customHeight="1" x14ac:dyDescent="0.2">
      <c r="G72" s="3"/>
    </row>
    <row r="73" spans="7:7" ht="12.75" customHeight="1" x14ac:dyDescent="0.2">
      <c r="G73" s="3"/>
    </row>
    <row r="74" spans="7:7" ht="12.75" customHeight="1" x14ac:dyDescent="0.2">
      <c r="G74" s="3"/>
    </row>
    <row r="75" spans="7:7" ht="12.75" customHeight="1" x14ac:dyDescent="0.2">
      <c r="G75" s="3"/>
    </row>
    <row r="76" spans="7:7" ht="12.75" customHeight="1" x14ac:dyDescent="0.2">
      <c r="G76" s="3"/>
    </row>
    <row r="77" spans="7:7" ht="12.75" customHeight="1" x14ac:dyDescent="0.2">
      <c r="G77" s="3"/>
    </row>
    <row r="78" spans="7:7" ht="12.75" customHeight="1" x14ac:dyDescent="0.2">
      <c r="G78" s="3"/>
    </row>
    <row r="79" spans="7:7" ht="12.75" customHeight="1" x14ac:dyDescent="0.2">
      <c r="G79" s="3"/>
    </row>
    <row r="80" spans="7:7" ht="12.75" customHeight="1" x14ac:dyDescent="0.2">
      <c r="G80" s="3"/>
    </row>
    <row r="81" spans="7:7" ht="12.75" customHeight="1" x14ac:dyDescent="0.2">
      <c r="G81" s="3"/>
    </row>
    <row r="82" spans="7:7" ht="12.75" customHeight="1" x14ac:dyDescent="0.2">
      <c r="G82" s="3"/>
    </row>
    <row r="83" spans="7:7" ht="12.75" customHeight="1" x14ac:dyDescent="0.2">
      <c r="G83" s="3"/>
    </row>
    <row r="84" spans="7:7" ht="12.75" customHeight="1" x14ac:dyDescent="0.2">
      <c r="G84" s="3"/>
    </row>
    <row r="85" spans="7:7" ht="12.75" customHeight="1" x14ac:dyDescent="0.2">
      <c r="G85" s="3"/>
    </row>
    <row r="86" spans="7:7" ht="12.75" customHeight="1" x14ac:dyDescent="0.2">
      <c r="G86" s="3"/>
    </row>
    <row r="87" spans="7:7" ht="12.75" customHeight="1" x14ac:dyDescent="0.2">
      <c r="G87" s="3"/>
    </row>
    <row r="88" spans="7:7" ht="12.75" customHeight="1" x14ac:dyDescent="0.2">
      <c r="G88" s="3"/>
    </row>
    <row r="89" spans="7:7" ht="12.75" customHeight="1" x14ac:dyDescent="0.2">
      <c r="G89" s="3"/>
    </row>
    <row r="90" spans="7:7" ht="12.75" customHeight="1" x14ac:dyDescent="0.2">
      <c r="G90" s="3"/>
    </row>
    <row r="91" spans="7:7" ht="12.75" customHeight="1" x14ac:dyDescent="0.2">
      <c r="G91" s="3"/>
    </row>
    <row r="92" spans="7:7" ht="12.75" customHeight="1" x14ac:dyDescent="0.2">
      <c r="G92" s="3"/>
    </row>
    <row r="93" spans="7:7" ht="12.75" customHeight="1" x14ac:dyDescent="0.2">
      <c r="G93" s="3"/>
    </row>
    <row r="94" spans="7:7" ht="12.75" customHeight="1" x14ac:dyDescent="0.2">
      <c r="G94" s="3"/>
    </row>
    <row r="95" spans="7:7" ht="12.75" customHeight="1" x14ac:dyDescent="0.2">
      <c r="G95" s="3"/>
    </row>
    <row r="96" spans="7:7" ht="12.75" customHeight="1" x14ac:dyDescent="0.2">
      <c r="G96" s="3"/>
    </row>
    <row r="97" spans="7:7" ht="12.75" customHeight="1" x14ac:dyDescent="0.2">
      <c r="G97" s="3"/>
    </row>
    <row r="98" spans="7:7" ht="12.75" customHeight="1" x14ac:dyDescent="0.2">
      <c r="G98" s="3"/>
    </row>
    <row r="99" spans="7:7" ht="12.75" customHeight="1" x14ac:dyDescent="0.2">
      <c r="G99" s="3"/>
    </row>
    <row r="100" spans="7:7" ht="12.75" customHeight="1" x14ac:dyDescent="0.2">
      <c r="G100" s="3"/>
    </row>
    <row r="101" spans="7:7" ht="12.75" customHeight="1" x14ac:dyDescent="0.2">
      <c r="G101" s="3"/>
    </row>
    <row r="102" spans="7:7" ht="12.75" customHeight="1" x14ac:dyDescent="0.2">
      <c r="G102" s="3"/>
    </row>
    <row r="103" spans="7:7" ht="12.75" customHeight="1" x14ac:dyDescent="0.2">
      <c r="G103" s="3"/>
    </row>
    <row r="104" spans="7:7" ht="12.75" customHeight="1" x14ac:dyDescent="0.2">
      <c r="G104" s="3"/>
    </row>
    <row r="105" spans="7:7" ht="12.75" customHeight="1" x14ac:dyDescent="0.2">
      <c r="G105" s="3"/>
    </row>
    <row r="106" spans="7:7" ht="12.75" customHeight="1" x14ac:dyDescent="0.2">
      <c r="G106" s="3"/>
    </row>
    <row r="107" spans="7:7" ht="12.75" customHeight="1" x14ac:dyDescent="0.2">
      <c r="G107" s="3"/>
    </row>
    <row r="108" spans="7:7" ht="12.75" customHeight="1" x14ac:dyDescent="0.2">
      <c r="G108" s="3"/>
    </row>
    <row r="109" spans="7:7" ht="12.75" customHeight="1" x14ac:dyDescent="0.2">
      <c r="G109" s="3"/>
    </row>
    <row r="110" spans="7:7" ht="12.75" customHeight="1" x14ac:dyDescent="0.2">
      <c r="G110" s="3"/>
    </row>
    <row r="111" spans="7:7" ht="12.75" customHeight="1" x14ac:dyDescent="0.2">
      <c r="G111" s="3"/>
    </row>
    <row r="112" spans="7:7" ht="12.75" customHeight="1" x14ac:dyDescent="0.2">
      <c r="G112" s="3"/>
    </row>
    <row r="113" spans="7:7" ht="12.75" customHeight="1" x14ac:dyDescent="0.2">
      <c r="G113" s="3"/>
    </row>
    <row r="114" spans="7:7" ht="12.75" customHeight="1" x14ac:dyDescent="0.2">
      <c r="G114" s="3"/>
    </row>
    <row r="115" spans="7:7" ht="12.75" customHeight="1" x14ac:dyDescent="0.2">
      <c r="G115" s="3"/>
    </row>
    <row r="116" spans="7:7" ht="12.75" customHeight="1" x14ac:dyDescent="0.2">
      <c r="G116" s="3"/>
    </row>
    <row r="117" spans="7:7" ht="12.75" customHeight="1" x14ac:dyDescent="0.2">
      <c r="G117" s="3"/>
    </row>
    <row r="118" spans="7:7" ht="12.75" customHeight="1" x14ac:dyDescent="0.2">
      <c r="G118" s="3"/>
    </row>
    <row r="119" spans="7:7" ht="12.75" customHeight="1" x14ac:dyDescent="0.2">
      <c r="G119" s="3"/>
    </row>
    <row r="120" spans="7:7" ht="12.75" customHeight="1" x14ac:dyDescent="0.2">
      <c r="G120" s="3"/>
    </row>
    <row r="121" spans="7:7" ht="12.75" customHeight="1" x14ac:dyDescent="0.2">
      <c r="G121" s="3"/>
    </row>
    <row r="122" spans="7:7" ht="12.75" customHeight="1" x14ac:dyDescent="0.2">
      <c r="G122" s="3"/>
    </row>
    <row r="123" spans="7:7" ht="12.75" customHeight="1" x14ac:dyDescent="0.2">
      <c r="G123" s="3"/>
    </row>
    <row r="124" spans="7:7" ht="12.75" customHeight="1" x14ac:dyDescent="0.2">
      <c r="G124" s="3"/>
    </row>
    <row r="125" spans="7:7" ht="12.75" customHeight="1" x14ac:dyDescent="0.2">
      <c r="G125" s="3"/>
    </row>
    <row r="126" spans="7:7" ht="12.75" customHeight="1" x14ac:dyDescent="0.2">
      <c r="G126" s="3"/>
    </row>
    <row r="127" spans="7:7" ht="12.75" customHeight="1" x14ac:dyDescent="0.2">
      <c r="G127" s="3"/>
    </row>
    <row r="128" spans="7:7" ht="12.75" customHeight="1" x14ac:dyDescent="0.2">
      <c r="G128" s="3"/>
    </row>
    <row r="129" spans="7:7" ht="12.75" customHeight="1" x14ac:dyDescent="0.2">
      <c r="G129" s="3"/>
    </row>
    <row r="130" spans="7:7" ht="12.75" customHeight="1" x14ac:dyDescent="0.2">
      <c r="G130" s="3"/>
    </row>
    <row r="131" spans="7:7" ht="12.75" customHeight="1" x14ac:dyDescent="0.2">
      <c r="G131" s="3"/>
    </row>
    <row r="132" spans="7:7" ht="12.75" customHeight="1" x14ac:dyDescent="0.2">
      <c r="G132" s="3"/>
    </row>
    <row r="133" spans="7:7" ht="12.75" customHeight="1" x14ac:dyDescent="0.2">
      <c r="G133" s="3"/>
    </row>
    <row r="134" spans="7:7" ht="12.75" customHeight="1" x14ac:dyDescent="0.2">
      <c r="G134" s="3"/>
    </row>
    <row r="135" spans="7:7" ht="12.75" customHeight="1" x14ac:dyDescent="0.2">
      <c r="G135" s="3"/>
    </row>
    <row r="136" spans="7:7" ht="12.75" customHeight="1" x14ac:dyDescent="0.2">
      <c r="G136" s="3"/>
    </row>
    <row r="137" spans="7:7" ht="12.75" customHeight="1" x14ac:dyDescent="0.2">
      <c r="G137" s="3"/>
    </row>
    <row r="138" spans="7:7" ht="12.75" customHeight="1" x14ac:dyDescent="0.2">
      <c r="G138" s="3"/>
    </row>
    <row r="139" spans="7:7" ht="12.75" customHeight="1" x14ac:dyDescent="0.2">
      <c r="G139" s="3"/>
    </row>
    <row r="140" spans="7:7" ht="12.75" customHeight="1" x14ac:dyDescent="0.2">
      <c r="G140" s="3"/>
    </row>
    <row r="141" spans="7:7" ht="12.75" customHeight="1" x14ac:dyDescent="0.2">
      <c r="G141" s="3"/>
    </row>
    <row r="142" spans="7:7" ht="12.75" customHeight="1" x14ac:dyDescent="0.2">
      <c r="G142" s="3"/>
    </row>
    <row r="143" spans="7:7" ht="12.75" customHeight="1" x14ac:dyDescent="0.2">
      <c r="G143" s="3"/>
    </row>
    <row r="144" spans="7:7" ht="12.75" customHeight="1" x14ac:dyDescent="0.2">
      <c r="G144" s="3"/>
    </row>
    <row r="145" spans="7:7" ht="12.75" customHeight="1" x14ac:dyDescent="0.2">
      <c r="G145" s="3"/>
    </row>
    <row r="146" spans="7:7" ht="12.75" customHeight="1" x14ac:dyDescent="0.2">
      <c r="G146" s="3"/>
    </row>
    <row r="147" spans="7:7" ht="12.75" customHeight="1" x14ac:dyDescent="0.2">
      <c r="G147" s="3"/>
    </row>
    <row r="148" spans="7:7" ht="12.75" customHeight="1" x14ac:dyDescent="0.2">
      <c r="G148" s="3"/>
    </row>
    <row r="149" spans="7:7" ht="12.75" customHeight="1" x14ac:dyDescent="0.2">
      <c r="G149" s="3"/>
    </row>
    <row r="150" spans="7:7" ht="12.75" customHeight="1" x14ac:dyDescent="0.2">
      <c r="G150" s="3"/>
    </row>
    <row r="151" spans="7:7" ht="12.75" customHeight="1" x14ac:dyDescent="0.2">
      <c r="G151" s="3"/>
    </row>
    <row r="152" spans="7:7" ht="12.75" customHeight="1" x14ac:dyDescent="0.2">
      <c r="G152" s="3"/>
    </row>
    <row r="153" spans="7:7" ht="12.75" customHeight="1" x14ac:dyDescent="0.2">
      <c r="G153" s="3"/>
    </row>
    <row r="154" spans="7:7" ht="12.75" customHeight="1" x14ac:dyDescent="0.2">
      <c r="G154" s="3"/>
    </row>
    <row r="155" spans="7:7" ht="12.75" customHeight="1" x14ac:dyDescent="0.2">
      <c r="G155" s="3"/>
    </row>
    <row r="156" spans="7:7" ht="12.75" customHeight="1" x14ac:dyDescent="0.2">
      <c r="G156" s="3"/>
    </row>
    <row r="157" spans="7:7" ht="12.75" customHeight="1" x14ac:dyDescent="0.2">
      <c r="G157" s="3"/>
    </row>
    <row r="158" spans="7:7" ht="12.75" customHeight="1" x14ac:dyDescent="0.2">
      <c r="G158" s="3"/>
    </row>
    <row r="159" spans="7:7" ht="12.75" customHeight="1" x14ac:dyDescent="0.2">
      <c r="G159" s="3"/>
    </row>
    <row r="160" spans="7:7" ht="12.75" customHeight="1" x14ac:dyDescent="0.2">
      <c r="G160" s="3"/>
    </row>
    <row r="161" spans="7:7" ht="12.75" customHeight="1" x14ac:dyDescent="0.2">
      <c r="G161" s="3"/>
    </row>
    <row r="162" spans="7:7" ht="12.75" customHeight="1" x14ac:dyDescent="0.2">
      <c r="G162" s="3"/>
    </row>
    <row r="163" spans="7:7" ht="12.75" customHeight="1" x14ac:dyDescent="0.2">
      <c r="G163" s="3"/>
    </row>
    <row r="164" spans="7:7" ht="12.75" customHeight="1" x14ac:dyDescent="0.2">
      <c r="G164" s="3"/>
    </row>
    <row r="165" spans="7:7" ht="12.75" customHeight="1" x14ac:dyDescent="0.2">
      <c r="G165" s="3"/>
    </row>
    <row r="166" spans="7:7" ht="12.75" customHeight="1" x14ac:dyDescent="0.2">
      <c r="G166" s="3"/>
    </row>
    <row r="167" spans="7:7" ht="12.75" customHeight="1" x14ac:dyDescent="0.2">
      <c r="G167" s="3"/>
    </row>
    <row r="168" spans="7:7" ht="12.75" customHeight="1" x14ac:dyDescent="0.2">
      <c r="G168" s="3"/>
    </row>
    <row r="169" spans="7:7" ht="12.75" customHeight="1" x14ac:dyDescent="0.2">
      <c r="G169" s="3"/>
    </row>
    <row r="170" spans="7:7" ht="12.75" customHeight="1" x14ac:dyDescent="0.2">
      <c r="G170" s="3"/>
    </row>
    <row r="171" spans="7:7" ht="12.75" customHeight="1" x14ac:dyDescent="0.2">
      <c r="G171" s="3"/>
    </row>
    <row r="172" spans="7:7" ht="12.75" customHeight="1" x14ac:dyDescent="0.2">
      <c r="G172" s="3"/>
    </row>
    <row r="173" spans="7:7" ht="12.75" customHeight="1" x14ac:dyDescent="0.2">
      <c r="G173" s="3"/>
    </row>
    <row r="174" spans="7:7" ht="12.75" customHeight="1" x14ac:dyDescent="0.2">
      <c r="G174" s="3"/>
    </row>
    <row r="175" spans="7:7" ht="12.75" customHeight="1" x14ac:dyDescent="0.2">
      <c r="G175" s="3"/>
    </row>
    <row r="176" spans="7:7" ht="12.75" customHeight="1" x14ac:dyDescent="0.2">
      <c r="G176" s="3"/>
    </row>
    <row r="177" spans="7:7" ht="12.75" customHeight="1" x14ac:dyDescent="0.2">
      <c r="G177" s="3"/>
    </row>
    <row r="178" spans="7:7" ht="12.75" customHeight="1" x14ac:dyDescent="0.2">
      <c r="G178" s="3"/>
    </row>
    <row r="179" spans="7:7" ht="12.75" customHeight="1" x14ac:dyDescent="0.2">
      <c r="G179" s="3"/>
    </row>
    <row r="180" spans="7:7" ht="12.75" customHeight="1" x14ac:dyDescent="0.2">
      <c r="G180" s="3"/>
    </row>
    <row r="181" spans="7:7" ht="12.75" customHeight="1" x14ac:dyDescent="0.2">
      <c r="G181" s="3"/>
    </row>
    <row r="182" spans="7:7" ht="12.75" customHeight="1" x14ac:dyDescent="0.2">
      <c r="G182" s="3"/>
    </row>
    <row r="183" spans="7:7" ht="12.75" customHeight="1" x14ac:dyDescent="0.2">
      <c r="G183" s="3"/>
    </row>
    <row r="184" spans="7:7" ht="12.75" customHeight="1" x14ac:dyDescent="0.2">
      <c r="G184" s="3"/>
    </row>
    <row r="185" spans="7:7" ht="12.75" customHeight="1" x14ac:dyDescent="0.2">
      <c r="G185" s="3"/>
    </row>
    <row r="186" spans="7:7" ht="12.75" customHeight="1" x14ac:dyDescent="0.2">
      <c r="G186" s="3"/>
    </row>
    <row r="187" spans="7:7" ht="12.75" customHeight="1" x14ac:dyDescent="0.2">
      <c r="G187" s="3"/>
    </row>
    <row r="188" spans="7:7" ht="12.75" customHeight="1" x14ac:dyDescent="0.2">
      <c r="G188" s="3"/>
    </row>
    <row r="189" spans="7:7" ht="12.75" customHeight="1" x14ac:dyDescent="0.2">
      <c r="G189" s="3"/>
    </row>
    <row r="190" spans="7:7" ht="12.75" customHeight="1" x14ac:dyDescent="0.2">
      <c r="G190" s="3"/>
    </row>
    <row r="191" spans="7:7" ht="12.75" customHeight="1" x14ac:dyDescent="0.2">
      <c r="G191" s="3"/>
    </row>
    <row r="192" spans="7:7" ht="12.75" customHeight="1" x14ac:dyDescent="0.2">
      <c r="G192" s="3"/>
    </row>
    <row r="193" spans="7:7" ht="12.75" customHeight="1" x14ac:dyDescent="0.2">
      <c r="G193" s="3"/>
    </row>
    <row r="194" spans="7:7" ht="12.75" customHeight="1" x14ac:dyDescent="0.2">
      <c r="G194" s="3"/>
    </row>
    <row r="195" spans="7:7" ht="12.75" customHeight="1" x14ac:dyDescent="0.2">
      <c r="G195" s="3"/>
    </row>
    <row r="196" spans="7:7" ht="12.75" customHeight="1" x14ac:dyDescent="0.2">
      <c r="G196" s="3"/>
    </row>
    <row r="197" spans="7:7" ht="12.75" customHeight="1" x14ac:dyDescent="0.2">
      <c r="G197" s="3"/>
    </row>
    <row r="198" spans="7:7" ht="12.75" customHeight="1" x14ac:dyDescent="0.2">
      <c r="G198" s="3"/>
    </row>
    <row r="199" spans="7:7" ht="12.75" customHeight="1" x14ac:dyDescent="0.2">
      <c r="G199" s="3"/>
    </row>
    <row r="200" spans="7:7" ht="12.75" customHeight="1" x14ac:dyDescent="0.2">
      <c r="G200" s="3"/>
    </row>
    <row r="201" spans="7:7" ht="12.75" customHeight="1" x14ac:dyDescent="0.2">
      <c r="G201" s="3"/>
    </row>
    <row r="202" spans="7:7" ht="12.75" customHeight="1" x14ac:dyDescent="0.2">
      <c r="G202" s="3"/>
    </row>
    <row r="203" spans="7:7" ht="12.75" customHeight="1" x14ac:dyDescent="0.2">
      <c r="G203" s="3"/>
    </row>
    <row r="204" spans="7:7" ht="12.75" customHeight="1" x14ac:dyDescent="0.2">
      <c r="G204" s="3"/>
    </row>
    <row r="205" spans="7:7" ht="12.75" customHeight="1" x14ac:dyDescent="0.2">
      <c r="G205" s="3"/>
    </row>
    <row r="206" spans="7:7" ht="12.75" customHeight="1" x14ac:dyDescent="0.2">
      <c r="G206" s="3"/>
    </row>
    <row r="207" spans="7:7" ht="12.75" customHeight="1" x14ac:dyDescent="0.2">
      <c r="G207" s="3"/>
    </row>
    <row r="208" spans="7:7" ht="12.75" customHeight="1" x14ac:dyDescent="0.2">
      <c r="G208" s="3"/>
    </row>
    <row r="209" spans="7:7" ht="12.75" customHeight="1" x14ac:dyDescent="0.2">
      <c r="G209" s="3"/>
    </row>
    <row r="210" spans="7:7" ht="12.75" customHeight="1" x14ac:dyDescent="0.2">
      <c r="G210" s="3"/>
    </row>
    <row r="211" spans="7:7" ht="12.75" customHeight="1" x14ac:dyDescent="0.2">
      <c r="G211" s="3"/>
    </row>
    <row r="212" spans="7:7" ht="12.75" customHeight="1" x14ac:dyDescent="0.2">
      <c r="G212" s="3"/>
    </row>
    <row r="213" spans="7:7" ht="12.75" customHeight="1" x14ac:dyDescent="0.2">
      <c r="G213" s="3"/>
    </row>
    <row r="214" spans="7:7" ht="12.75" customHeight="1" x14ac:dyDescent="0.2">
      <c r="G214" s="3"/>
    </row>
    <row r="215" spans="7:7" ht="12.75" customHeight="1" x14ac:dyDescent="0.2">
      <c r="G215" s="3"/>
    </row>
    <row r="216" spans="7:7" ht="12.75" customHeight="1" x14ac:dyDescent="0.2">
      <c r="G216" s="3"/>
    </row>
    <row r="217" spans="7:7" ht="12.75" customHeight="1" x14ac:dyDescent="0.2">
      <c r="G217" s="3"/>
    </row>
    <row r="218" spans="7:7" ht="12.75" customHeight="1" x14ac:dyDescent="0.2">
      <c r="G218" s="3"/>
    </row>
    <row r="219" spans="7:7" ht="12.75" customHeight="1" x14ac:dyDescent="0.2">
      <c r="G219" s="3"/>
    </row>
    <row r="220" spans="7:7" ht="12.75" customHeight="1" x14ac:dyDescent="0.2">
      <c r="G220" s="3"/>
    </row>
    <row r="221" spans="7:7" ht="12.75" customHeight="1" x14ac:dyDescent="0.2">
      <c r="G221" s="3"/>
    </row>
    <row r="222" spans="7:7" ht="12.75" customHeight="1" x14ac:dyDescent="0.2">
      <c r="G222" s="3"/>
    </row>
    <row r="223" spans="7:7" ht="12.75" customHeight="1" x14ac:dyDescent="0.2">
      <c r="G223" s="3"/>
    </row>
    <row r="224" spans="7:7" ht="12.75" customHeight="1" x14ac:dyDescent="0.2">
      <c r="G224" s="3"/>
    </row>
    <row r="225" spans="7:7" ht="12.75" customHeight="1" x14ac:dyDescent="0.2">
      <c r="G225" s="3"/>
    </row>
    <row r="226" spans="7:7" ht="12.75" customHeight="1" x14ac:dyDescent="0.2">
      <c r="G226" s="3"/>
    </row>
    <row r="227" spans="7:7" ht="12.75" customHeight="1" x14ac:dyDescent="0.2">
      <c r="G227" s="3"/>
    </row>
    <row r="228" spans="7:7" ht="12.75" customHeight="1" x14ac:dyDescent="0.2">
      <c r="G228" s="3"/>
    </row>
    <row r="229" spans="7:7" ht="12.75" customHeight="1" x14ac:dyDescent="0.2">
      <c r="G229" s="3"/>
    </row>
    <row r="230" spans="7:7" ht="12.75" customHeight="1" x14ac:dyDescent="0.2">
      <c r="G230" s="3"/>
    </row>
    <row r="231" spans="7:7" ht="12.75" customHeight="1" x14ac:dyDescent="0.2">
      <c r="G231" s="3"/>
    </row>
    <row r="232" spans="7:7" ht="12.75" customHeight="1" x14ac:dyDescent="0.2">
      <c r="G232" s="3"/>
    </row>
    <row r="233" spans="7:7" ht="12.75" customHeight="1" x14ac:dyDescent="0.2">
      <c r="G233" s="3"/>
    </row>
    <row r="234" spans="7:7" ht="12.75" customHeight="1" x14ac:dyDescent="0.2">
      <c r="G234" s="3"/>
    </row>
    <row r="235" spans="7:7" ht="12.75" customHeight="1" x14ac:dyDescent="0.2">
      <c r="G235" s="3"/>
    </row>
    <row r="236" spans="7:7" ht="12.75" customHeight="1" x14ac:dyDescent="0.2">
      <c r="G236" s="3"/>
    </row>
    <row r="237" spans="7:7" ht="12.75" customHeight="1" x14ac:dyDescent="0.2">
      <c r="G237" s="3"/>
    </row>
    <row r="238" spans="7:7" ht="12.75" customHeight="1" x14ac:dyDescent="0.2">
      <c r="G238" s="3"/>
    </row>
    <row r="239" spans="7:7" ht="12.75" customHeight="1" x14ac:dyDescent="0.2">
      <c r="G239" s="3"/>
    </row>
    <row r="240" spans="7:7" ht="12.75" customHeight="1" x14ac:dyDescent="0.2">
      <c r="G240" s="3"/>
    </row>
    <row r="241" spans="7:7" ht="12.75" customHeight="1" x14ac:dyDescent="0.2">
      <c r="G241" s="3"/>
    </row>
    <row r="242" spans="7:7" ht="12.75" customHeight="1" x14ac:dyDescent="0.2">
      <c r="G242" s="3"/>
    </row>
    <row r="243" spans="7:7" ht="12.75" customHeight="1" x14ac:dyDescent="0.2">
      <c r="G243" s="3"/>
    </row>
    <row r="244" spans="7:7" ht="12.75" customHeight="1" x14ac:dyDescent="0.2">
      <c r="G244" s="3"/>
    </row>
    <row r="245" spans="7:7" ht="12.75" customHeight="1" x14ac:dyDescent="0.2">
      <c r="G245" s="3"/>
    </row>
    <row r="246" spans="7:7" ht="12.75" customHeight="1" x14ac:dyDescent="0.2">
      <c r="G246" s="3"/>
    </row>
    <row r="247" spans="7:7" ht="12.75" customHeight="1" x14ac:dyDescent="0.2">
      <c r="G247" s="3"/>
    </row>
    <row r="248" spans="7:7" ht="12.75" customHeight="1" x14ac:dyDescent="0.2">
      <c r="G248" s="3"/>
    </row>
    <row r="249" spans="7:7" ht="12.75" customHeight="1" x14ac:dyDescent="0.2">
      <c r="G249" s="3"/>
    </row>
    <row r="250" spans="7:7" ht="12.75" customHeight="1" x14ac:dyDescent="0.2">
      <c r="G250" s="3"/>
    </row>
    <row r="251" spans="7:7" ht="12.75" customHeight="1" x14ac:dyDescent="0.2">
      <c r="G251" s="3"/>
    </row>
    <row r="252" spans="7:7" ht="12.75" customHeight="1" x14ac:dyDescent="0.2">
      <c r="G252" s="3"/>
    </row>
    <row r="253" spans="7:7" ht="12.75" customHeight="1" x14ac:dyDescent="0.2">
      <c r="G253" s="3"/>
    </row>
    <row r="254" spans="7:7" ht="12.75" customHeight="1" x14ac:dyDescent="0.2">
      <c r="G254" s="3"/>
    </row>
    <row r="255" spans="7:7" ht="12.75" customHeight="1" x14ac:dyDescent="0.2">
      <c r="G255" s="3"/>
    </row>
    <row r="256" spans="7:7" ht="12.75" customHeight="1" x14ac:dyDescent="0.2">
      <c r="G256" s="3"/>
    </row>
    <row r="257" spans="7:7" ht="12.75" customHeight="1" x14ac:dyDescent="0.2">
      <c r="G257" s="3"/>
    </row>
    <row r="258" spans="7:7" ht="12.75" customHeight="1" x14ac:dyDescent="0.2">
      <c r="G258" s="3"/>
    </row>
    <row r="259" spans="7:7" ht="12.75" customHeight="1" x14ac:dyDescent="0.2">
      <c r="G259" s="3"/>
    </row>
    <row r="260" spans="7:7" ht="12.75" customHeight="1" x14ac:dyDescent="0.2">
      <c r="G260" s="3"/>
    </row>
    <row r="261" spans="7:7" ht="12.75" customHeight="1" x14ac:dyDescent="0.2">
      <c r="G261" s="3"/>
    </row>
    <row r="262" spans="7:7" ht="12.75" customHeight="1" x14ac:dyDescent="0.2">
      <c r="G262" s="3"/>
    </row>
    <row r="263" spans="7:7" ht="12.75" customHeight="1" x14ac:dyDescent="0.2">
      <c r="G263" s="3"/>
    </row>
    <row r="264" spans="7:7" ht="12.75" customHeight="1" x14ac:dyDescent="0.2">
      <c r="G264" s="3"/>
    </row>
    <row r="265" spans="7:7" ht="12.75" customHeight="1" x14ac:dyDescent="0.2">
      <c r="G265" s="3"/>
    </row>
    <row r="266" spans="7:7" ht="12.75" customHeight="1" x14ac:dyDescent="0.2">
      <c r="G266" s="3"/>
    </row>
    <row r="267" spans="7:7" ht="12.75" customHeight="1" x14ac:dyDescent="0.2">
      <c r="G267" s="3"/>
    </row>
    <row r="268" spans="7:7" ht="12.75" customHeight="1" x14ac:dyDescent="0.2">
      <c r="G268" s="3"/>
    </row>
    <row r="269" spans="7:7" ht="12.75" customHeight="1" x14ac:dyDescent="0.2">
      <c r="G269" s="3"/>
    </row>
    <row r="270" spans="7:7" ht="12.75" customHeight="1" x14ac:dyDescent="0.2">
      <c r="G270" s="3"/>
    </row>
    <row r="271" spans="7:7" ht="12.75" customHeight="1" x14ac:dyDescent="0.2">
      <c r="G271" s="3"/>
    </row>
    <row r="272" spans="7:7" ht="12.75" customHeight="1" x14ac:dyDescent="0.2">
      <c r="G272" s="3"/>
    </row>
    <row r="273" spans="7:7" ht="12.75" customHeight="1" x14ac:dyDescent="0.2">
      <c r="G273" s="3"/>
    </row>
    <row r="274" spans="7:7" ht="12.75" customHeight="1" x14ac:dyDescent="0.2">
      <c r="G274" s="3"/>
    </row>
    <row r="275" spans="7:7" ht="12.75" customHeight="1" x14ac:dyDescent="0.2">
      <c r="G275" s="3"/>
    </row>
    <row r="276" spans="7:7" ht="12.75" customHeight="1" x14ac:dyDescent="0.2">
      <c r="G276" s="3"/>
    </row>
    <row r="277" spans="7:7" ht="12.75" customHeight="1" x14ac:dyDescent="0.2">
      <c r="G277" s="3"/>
    </row>
    <row r="278" spans="7:7" ht="12.75" customHeight="1" x14ac:dyDescent="0.2">
      <c r="G278" s="3"/>
    </row>
    <row r="279" spans="7:7" ht="12.75" customHeight="1" x14ac:dyDescent="0.2">
      <c r="G279" s="3"/>
    </row>
    <row r="280" spans="7:7" ht="12.75" customHeight="1" x14ac:dyDescent="0.2">
      <c r="G280" s="3"/>
    </row>
    <row r="281" spans="7:7" ht="12.75" customHeight="1" x14ac:dyDescent="0.2">
      <c r="G281" s="3"/>
    </row>
    <row r="282" spans="7:7" ht="12.75" customHeight="1" x14ac:dyDescent="0.2">
      <c r="G282" s="3"/>
    </row>
    <row r="283" spans="7:7" ht="12.75" customHeight="1" x14ac:dyDescent="0.2">
      <c r="G283" s="3"/>
    </row>
    <row r="284" spans="7:7" ht="12.75" customHeight="1" x14ac:dyDescent="0.2">
      <c r="G284" s="3"/>
    </row>
    <row r="285" spans="7:7" ht="12.75" customHeight="1" x14ac:dyDescent="0.2">
      <c r="G285" s="3"/>
    </row>
    <row r="286" spans="7:7" ht="12.75" customHeight="1" x14ac:dyDescent="0.2">
      <c r="G286" s="3"/>
    </row>
    <row r="287" spans="7:7" ht="12.75" customHeight="1" x14ac:dyDescent="0.2">
      <c r="G287" s="3"/>
    </row>
    <row r="288" spans="7:7" ht="12.75" customHeight="1" x14ac:dyDescent="0.2">
      <c r="G288" s="3"/>
    </row>
    <row r="289" spans="7:7" ht="12.75" customHeight="1" x14ac:dyDescent="0.2">
      <c r="G289" s="3"/>
    </row>
    <row r="290" spans="7:7" ht="12.75" customHeight="1" x14ac:dyDescent="0.2">
      <c r="G290" s="3"/>
    </row>
    <row r="291" spans="7:7" ht="12.75" customHeight="1" x14ac:dyDescent="0.2">
      <c r="G291" s="3"/>
    </row>
    <row r="292" spans="7:7" ht="12.75" customHeight="1" x14ac:dyDescent="0.2">
      <c r="G292" s="3"/>
    </row>
    <row r="293" spans="7:7" ht="12.75" customHeight="1" x14ac:dyDescent="0.2">
      <c r="G293" s="3"/>
    </row>
    <row r="294" spans="7:7" ht="12.75" customHeight="1" x14ac:dyDescent="0.2">
      <c r="G294" s="3"/>
    </row>
    <row r="295" spans="7:7" ht="12.75" customHeight="1" x14ac:dyDescent="0.2">
      <c r="G295" s="3"/>
    </row>
    <row r="296" spans="7:7" ht="12.75" customHeight="1" x14ac:dyDescent="0.2">
      <c r="G296" s="3"/>
    </row>
    <row r="297" spans="7:7" ht="12.75" customHeight="1" x14ac:dyDescent="0.2">
      <c r="G297" s="3"/>
    </row>
    <row r="298" spans="7:7" ht="12.75" customHeight="1" x14ac:dyDescent="0.2">
      <c r="G298" s="3"/>
    </row>
    <row r="299" spans="7:7" ht="12.75" customHeight="1" x14ac:dyDescent="0.2">
      <c r="G299" s="3"/>
    </row>
    <row r="300" spans="7:7" ht="12.75" customHeight="1" x14ac:dyDescent="0.2">
      <c r="G300" s="3"/>
    </row>
    <row r="301" spans="7:7" ht="12.75" customHeight="1" x14ac:dyDescent="0.2">
      <c r="G301" s="3"/>
    </row>
    <row r="302" spans="7:7" ht="12.75" customHeight="1" x14ac:dyDescent="0.2">
      <c r="G302" s="3"/>
    </row>
    <row r="303" spans="7:7" ht="12.75" customHeight="1" x14ac:dyDescent="0.2">
      <c r="G303" s="3"/>
    </row>
    <row r="304" spans="7:7" ht="12.75" customHeight="1" x14ac:dyDescent="0.2">
      <c r="G304" s="3"/>
    </row>
    <row r="305" spans="7:7" ht="12.75" customHeight="1" x14ac:dyDescent="0.2">
      <c r="G305" s="3"/>
    </row>
    <row r="306" spans="7:7" ht="12.75" customHeight="1" x14ac:dyDescent="0.2">
      <c r="G306" s="3"/>
    </row>
    <row r="307" spans="7:7" ht="12.75" customHeight="1" x14ac:dyDescent="0.2">
      <c r="G307" s="3"/>
    </row>
    <row r="308" spans="7:7" ht="12.75" customHeight="1" x14ac:dyDescent="0.2">
      <c r="G308" s="3"/>
    </row>
    <row r="309" spans="7:7" ht="12.75" customHeight="1" x14ac:dyDescent="0.2">
      <c r="G309" s="3"/>
    </row>
    <row r="310" spans="7:7" ht="12.75" customHeight="1" x14ac:dyDescent="0.2">
      <c r="G310" s="3"/>
    </row>
    <row r="311" spans="7:7" ht="12.75" customHeight="1" x14ac:dyDescent="0.2">
      <c r="G311" s="3"/>
    </row>
    <row r="312" spans="7:7" ht="12.75" customHeight="1" x14ac:dyDescent="0.2">
      <c r="G312" s="3"/>
    </row>
    <row r="313" spans="7:7" ht="12.75" customHeight="1" x14ac:dyDescent="0.2">
      <c r="G313" s="3"/>
    </row>
    <row r="314" spans="7:7" ht="12.75" customHeight="1" x14ac:dyDescent="0.2">
      <c r="G314" s="3"/>
    </row>
    <row r="315" spans="7:7" ht="12.75" customHeight="1" x14ac:dyDescent="0.2">
      <c r="G315" s="3"/>
    </row>
    <row r="316" spans="7:7" ht="12.75" customHeight="1" x14ac:dyDescent="0.2">
      <c r="G316" s="3"/>
    </row>
    <row r="317" spans="7:7" ht="12.75" customHeight="1" x14ac:dyDescent="0.2">
      <c r="G317" s="3"/>
    </row>
    <row r="318" spans="7:7" ht="12.75" customHeight="1" x14ac:dyDescent="0.2">
      <c r="G318" s="3"/>
    </row>
    <row r="319" spans="7:7" ht="12.75" customHeight="1" x14ac:dyDescent="0.2">
      <c r="G319" s="3"/>
    </row>
    <row r="320" spans="7:7" ht="12.75" customHeight="1" x14ac:dyDescent="0.2">
      <c r="G320" s="3"/>
    </row>
    <row r="321" spans="7:7" ht="12.75" customHeight="1" x14ac:dyDescent="0.2">
      <c r="G321" s="3"/>
    </row>
    <row r="322" spans="7:7" ht="12.75" customHeight="1" x14ac:dyDescent="0.2">
      <c r="G322" s="3"/>
    </row>
    <row r="323" spans="7:7" ht="12.75" customHeight="1" x14ac:dyDescent="0.2">
      <c r="G323" s="3"/>
    </row>
    <row r="324" spans="7:7" ht="12.75" customHeight="1" x14ac:dyDescent="0.2">
      <c r="G324" s="3"/>
    </row>
    <row r="325" spans="7:7" ht="12.75" customHeight="1" x14ac:dyDescent="0.2">
      <c r="G325" s="3"/>
    </row>
    <row r="326" spans="7:7" ht="12.75" customHeight="1" x14ac:dyDescent="0.2">
      <c r="G326" s="3"/>
    </row>
    <row r="327" spans="7:7" ht="12.75" customHeight="1" x14ac:dyDescent="0.2">
      <c r="G327" s="3"/>
    </row>
    <row r="328" spans="7:7" ht="12.75" customHeight="1" x14ac:dyDescent="0.2">
      <c r="G328" s="3"/>
    </row>
    <row r="329" spans="7:7" ht="12.75" customHeight="1" x14ac:dyDescent="0.2">
      <c r="G329" s="3"/>
    </row>
    <row r="330" spans="7:7" ht="12.75" customHeight="1" x14ac:dyDescent="0.2">
      <c r="G330" s="3"/>
    </row>
    <row r="331" spans="7:7" ht="12.75" customHeight="1" x14ac:dyDescent="0.2">
      <c r="G331" s="3"/>
    </row>
    <row r="332" spans="7:7" ht="12.75" customHeight="1" x14ac:dyDescent="0.2">
      <c r="G332" s="3"/>
    </row>
    <row r="333" spans="7:7" ht="12.75" customHeight="1" x14ac:dyDescent="0.2">
      <c r="G333" s="3"/>
    </row>
    <row r="334" spans="7:7" ht="12.75" customHeight="1" x14ac:dyDescent="0.2">
      <c r="G334" s="3"/>
    </row>
    <row r="335" spans="7:7" ht="12.75" customHeight="1" x14ac:dyDescent="0.2">
      <c r="G335" s="3"/>
    </row>
    <row r="336" spans="7:7" ht="12.75" customHeight="1" x14ac:dyDescent="0.2">
      <c r="G336" s="3"/>
    </row>
    <row r="337" spans="7:7" ht="12.75" customHeight="1" x14ac:dyDescent="0.2">
      <c r="G337" s="3"/>
    </row>
    <row r="338" spans="7:7" ht="12.75" customHeight="1" x14ac:dyDescent="0.2">
      <c r="G338" s="3"/>
    </row>
    <row r="339" spans="7:7" ht="12.75" customHeight="1" x14ac:dyDescent="0.2">
      <c r="G339" s="3"/>
    </row>
    <row r="340" spans="7:7" ht="12.75" customHeight="1" x14ac:dyDescent="0.2">
      <c r="G340" s="3"/>
    </row>
    <row r="341" spans="7:7" ht="12.75" customHeight="1" x14ac:dyDescent="0.2">
      <c r="G341" s="3"/>
    </row>
    <row r="342" spans="7:7" ht="12.75" customHeight="1" x14ac:dyDescent="0.2">
      <c r="G342" s="3"/>
    </row>
    <row r="343" spans="7:7" ht="12.75" customHeight="1" x14ac:dyDescent="0.2">
      <c r="G343" s="3"/>
    </row>
    <row r="344" spans="7:7" ht="12.75" customHeight="1" x14ac:dyDescent="0.2">
      <c r="G344" s="3"/>
    </row>
    <row r="345" spans="7:7" ht="12.75" customHeight="1" x14ac:dyDescent="0.2">
      <c r="G345" s="3"/>
    </row>
    <row r="346" spans="7:7" ht="12.75" customHeight="1" x14ac:dyDescent="0.2">
      <c r="G346" s="3"/>
    </row>
    <row r="347" spans="7:7" ht="12.75" customHeight="1" x14ac:dyDescent="0.2">
      <c r="G347" s="3"/>
    </row>
    <row r="348" spans="7:7" ht="12.75" customHeight="1" x14ac:dyDescent="0.2">
      <c r="G348" s="3"/>
    </row>
    <row r="349" spans="7:7" ht="12.75" customHeight="1" x14ac:dyDescent="0.2">
      <c r="G349" s="3"/>
    </row>
    <row r="350" spans="7:7" ht="12.75" customHeight="1" x14ac:dyDescent="0.2">
      <c r="G350" s="3"/>
    </row>
    <row r="351" spans="7:7" ht="12.75" customHeight="1" x14ac:dyDescent="0.2">
      <c r="G351" s="3"/>
    </row>
    <row r="352" spans="7:7" ht="12.75" customHeight="1" x14ac:dyDescent="0.2">
      <c r="G352" s="3"/>
    </row>
    <row r="353" spans="7:7" ht="12.75" customHeight="1" x14ac:dyDescent="0.2">
      <c r="G353" s="3"/>
    </row>
    <row r="354" spans="7:7" ht="12.75" customHeight="1" x14ac:dyDescent="0.2">
      <c r="G354" s="3"/>
    </row>
    <row r="355" spans="7:7" ht="12.75" customHeight="1" x14ac:dyDescent="0.2">
      <c r="G355" s="3"/>
    </row>
    <row r="356" spans="7:7" ht="12.75" customHeight="1" x14ac:dyDescent="0.2">
      <c r="G356" s="3"/>
    </row>
    <row r="357" spans="7:7" ht="12.75" customHeight="1" x14ac:dyDescent="0.2">
      <c r="G357" s="3"/>
    </row>
    <row r="358" spans="7:7" ht="12.75" customHeight="1" x14ac:dyDescent="0.2">
      <c r="G358" s="3"/>
    </row>
    <row r="359" spans="7:7" ht="12.75" customHeight="1" x14ac:dyDescent="0.2">
      <c r="G359" s="3"/>
    </row>
    <row r="360" spans="7:7" ht="12.75" customHeight="1" x14ac:dyDescent="0.2">
      <c r="G360" s="3"/>
    </row>
    <row r="361" spans="7:7" ht="12.75" customHeight="1" x14ac:dyDescent="0.2">
      <c r="G361" s="3"/>
    </row>
    <row r="362" spans="7:7" ht="12.75" customHeight="1" x14ac:dyDescent="0.2">
      <c r="G362" s="3"/>
    </row>
    <row r="363" spans="7:7" ht="12.75" customHeight="1" x14ac:dyDescent="0.2">
      <c r="G363" s="3"/>
    </row>
    <row r="364" spans="7:7" ht="12.75" customHeight="1" x14ac:dyDescent="0.2">
      <c r="G364" s="3"/>
    </row>
    <row r="365" spans="7:7" ht="12.75" customHeight="1" x14ac:dyDescent="0.2">
      <c r="G365" s="3"/>
    </row>
    <row r="366" spans="7:7" ht="12.75" customHeight="1" x14ac:dyDescent="0.2">
      <c r="G366" s="3"/>
    </row>
    <row r="367" spans="7:7" ht="12.75" customHeight="1" x14ac:dyDescent="0.2">
      <c r="G367" s="3"/>
    </row>
    <row r="368" spans="7:7" ht="12.75" customHeight="1" x14ac:dyDescent="0.2">
      <c r="G368" s="3"/>
    </row>
    <row r="369" spans="7:7" ht="12.75" customHeight="1" x14ac:dyDescent="0.2">
      <c r="G369" s="3"/>
    </row>
    <row r="370" spans="7:7" ht="12.75" customHeight="1" x14ac:dyDescent="0.2">
      <c r="G370" s="3"/>
    </row>
    <row r="371" spans="7:7" ht="12.75" customHeight="1" x14ac:dyDescent="0.2">
      <c r="G371" s="3"/>
    </row>
    <row r="372" spans="7:7" ht="12.75" customHeight="1" x14ac:dyDescent="0.2">
      <c r="G372" s="3"/>
    </row>
    <row r="373" spans="7:7" ht="12.75" customHeight="1" x14ac:dyDescent="0.2">
      <c r="G373" s="3"/>
    </row>
    <row r="374" spans="7:7" ht="12.75" customHeight="1" x14ac:dyDescent="0.2">
      <c r="G374" s="3"/>
    </row>
    <row r="375" spans="7:7" ht="12.75" customHeight="1" x14ac:dyDescent="0.2">
      <c r="G375" s="3"/>
    </row>
    <row r="376" spans="7:7" ht="12.75" customHeight="1" x14ac:dyDescent="0.2">
      <c r="G376" s="3"/>
    </row>
    <row r="377" spans="7:7" ht="12.75" customHeight="1" x14ac:dyDescent="0.2">
      <c r="G377" s="3"/>
    </row>
    <row r="378" spans="7:7" ht="12.75" customHeight="1" x14ac:dyDescent="0.2">
      <c r="G378" s="3"/>
    </row>
    <row r="379" spans="7:7" ht="12.75" customHeight="1" x14ac:dyDescent="0.2">
      <c r="G379" s="3"/>
    </row>
    <row r="380" spans="7:7" ht="12.75" customHeight="1" x14ac:dyDescent="0.2">
      <c r="G380" s="3"/>
    </row>
    <row r="381" spans="7:7" ht="12.75" customHeight="1" x14ac:dyDescent="0.2">
      <c r="G381" s="3"/>
    </row>
    <row r="382" spans="7:7" ht="12.75" customHeight="1" x14ac:dyDescent="0.2">
      <c r="G382" s="3"/>
    </row>
    <row r="383" spans="7:7" ht="12.75" customHeight="1" x14ac:dyDescent="0.2">
      <c r="G383" s="3"/>
    </row>
    <row r="384" spans="7:7" ht="12.75" customHeight="1" x14ac:dyDescent="0.2">
      <c r="G384" s="3"/>
    </row>
    <row r="385" spans="7:7" ht="12.75" customHeight="1" x14ac:dyDescent="0.2">
      <c r="G385" s="3"/>
    </row>
    <row r="386" spans="7:7" ht="12.75" customHeight="1" x14ac:dyDescent="0.2">
      <c r="G386" s="3"/>
    </row>
    <row r="387" spans="7:7" ht="12.75" customHeight="1" x14ac:dyDescent="0.2">
      <c r="G387" s="3"/>
    </row>
    <row r="388" spans="7:7" ht="12.75" customHeight="1" x14ac:dyDescent="0.2">
      <c r="G388" s="3"/>
    </row>
    <row r="389" spans="7:7" ht="12.75" customHeight="1" x14ac:dyDescent="0.2">
      <c r="G389" s="3"/>
    </row>
    <row r="390" spans="7:7" ht="12.75" customHeight="1" x14ac:dyDescent="0.2">
      <c r="G390" s="3"/>
    </row>
    <row r="391" spans="7:7" ht="12.75" customHeight="1" x14ac:dyDescent="0.2">
      <c r="G391" s="3"/>
    </row>
    <row r="392" spans="7:7" ht="12.75" customHeight="1" x14ac:dyDescent="0.2">
      <c r="G392" s="3"/>
    </row>
    <row r="393" spans="7:7" ht="12.75" customHeight="1" x14ac:dyDescent="0.2">
      <c r="G393" s="3"/>
    </row>
    <row r="394" spans="7:7" ht="12.75" customHeight="1" x14ac:dyDescent="0.2">
      <c r="G394" s="3"/>
    </row>
    <row r="395" spans="7:7" ht="12.75" customHeight="1" x14ac:dyDescent="0.2">
      <c r="G395" s="3"/>
    </row>
    <row r="396" spans="7:7" ht="12.75" customHeight="1" x14ac:dyDescent="0.2">
      <c r="G396" s="3"/>
    </row>
    <row r="397" spans="7:7" ht="12.75" customHeight="1" x14ac:dyDescent="0.2">
      <c r="G397" s="3"/>
    </row>
    <row r="398" spans="7:7" ht="12.75" customHeight="1" x14ac:dyDescent="0.2">
      <c r="G398" s="3"/>
    </row>
    <row r="399" spans="7:7" ht="12.75" customHeight="1" x14ac:dyDescent="0.2">
      <c r="G399" s="3"/>
    </row>
    <row r="400" spans="7:7" ht="12.75" customHeight="1" x14ac:dyDescent="0.2">
      <c r="G400" s="3"/>
    </row>
    <row r="401" spans="7:7" ht="12.75" customHeight="1" x14ac:dyDescent="0.2">
      <c r="G401" s="3"/>
    </row>
    <row r="402" spans="7:7" ht="12.75" customHeight="1" x14ac:dyDescent="0.2">
      <c r="G402" s="3"/>
    </row>
    <row r="403" spans="7:7" ht="12.75" customHeight="1" x14ac:dyDescent="0.2">
      <c r="G403" s="3"/>
    </row>
    <row r="404" spans="7:7" ht="12.75" customHeight="1" x14ac:dyDescent="0.2">
      <c r="G404" s="3"/>
    </row>
    <row r="405" spans="7:7" ht="12.75" customHeight="1" x14ac:dyDescent="0.2">
      <c r="G405" s="3"/>
    </row>
    <row r="406" spans="7:7" ht="12.75" customHeight="1" x14ac:dyDescent="0.2">
      <c r="G406" s="3"/>
    </row>
    <row r="407" spans="7:7" ht="12.75" customHeight="1" x14ac:dyDescent="0.2">
      <c r="G407" s="3"/>
    </row>
    <row r="408" spans="7:7" ht="12.75" customHeight="1" x14ac:dyDescent="0.2">
      <c r="G408" s="3"/>
    </row>
    <row r="409" spans="7:7" ht="12.75" customHeight="1" x14ac:dyDescent="0.2">
      <c r="G409" s="3"/>
    </row>
    <row r="410" spans="7:7" ht="12.75" customHeight="1" x14ac:dyDescent="0.2">
      <c r="G410" s="3"/>
    </row>
    <row r="411" spans="7:7" ht="12.75" customHeight="1" x14ac:dyDescent="0.2">
      <c r="G411" s="3"/>
    </row>
    <row r="412" spans="7:7" ht="12.75" customHeight="1" x14ac:dyDescent="0.2">
      <c r="G412" s="3"/>
    </row>
    <row r="413" spans="7:7" ht="12.75" customHeight="1" x14ac:dyDescent="0.2">
      <c r="G413" s="3"/>
    </row>
    <row r="414" spans="7:7" ht="12.75" customHeight="1" x14ac:dyDescent="0.2">
      <c r="G414" s="3"/>
    </row>
    <row r="415" spans="7:7" ht="12.75" customHeight="1" x14ac:dyDescent="0.2">
      <c r="G415" s="3"/>
    </row>
    <row r="416" spans="7:7" ht="12.75" customHeight="1" x14ac:dyDescent="0.2">
      <c r="G416" s="3"/>
    </row>
    <row r="417" spans="7:7" ht="12.75" customHeight="1" x14ac:dyDescent="0.2">
      <c r="G417" s="3"/>
    </row>
    <row r="418" spans="7:7" ht="12.75" customHeight="1" x14ac:dyDescent="0.2">
      <c r="G418" s="3"/>
    </row>
    <row r="419" spans="7:7" ht="12.75" customHeight="1" x14ac:dyDescent="0.2">
      <c r="G419" s="3"/>
    </row>
    <row r="420" spans="7:7" ht="12.75" customHeight="1" x14ac:dyDescent="0.2">
      <c r="G420" s="3"/>
    </row>
    <row r="421" spans="7:7" ht="12.75" customHeight="1" x14ac:dyDescent="0.2">
      <c r="G421" s="3"/>
    </row>
    <row r="422" spans="7:7" ht="12.75" customHeight="1" x14ac:dyDescent="0.2">
      <c r="G422" s="3"/>
    </row>
    <row r="423" spans="7:7" ht="12.75" customHeight="1" x14ac:dyDescent="0.2">
      <c r="G423" s="3"/>
    </row>
    <row r="424" spans="7:7" ht="12.75" customHeight="1" x14ac:dyDescent="0.2">
      <c r="G424" s="3"/>
    </row>
    <row r="425" spans="7:7" ht="12.75" customHeight="1" x14ac:dyDescent="0.2">
      <c r="G425" s="3"/>
    </row>
    <row r="426" spans="7:7" ht="12.75" customHeight="1" x14ac:dyDescent="0.2">
      <c r="G426" s="3"/>
    </row>
    <row r="427" spans="7:7" ht="12.75" customHeight="1" x14ac:dyDescent="0.2">
      <c r="G427" s="3"/>
    </row>
    <row r="428" spans="7:7" ht="12.75" customHeight="1" x14ac:dyDescent="0.2">
      <c r="G428" s="3"/>
    </row>
    <row r="429" spans="7:7" ht="12.75" customHeight="1" x14ac:dyDescent="0.2">
      <c r="G429" s="3"/>
    </row>
    <row r="430" spans="7:7" ht="12.75" customHeight="1" x14ac:dyDescent="0.2">
      <c r="G430" s="3"/>
    </row>
    <row r="431" spans="7:7" ht="12.75" customHeight="1" x14ac:dyDescent="0.2">
      <c r="G431" s="3"/>
    </row>
    <row r="432" spans="7:7" ht="12.75" customHeight="1" x14ac:dyDescent="0.2">
      <c r="G432" s="3"/>
    </row>
    <row r="433" spans="7:7" ht="12.75" customHeight="1" x14ac:dyDescent="0.2">
      <c r="G433" s="3"/>
    </row>
    <row r="434" spans="7:7" ht="12.75" customHeight="1" x14ac:dyDescent="0.2">
      <c r="G434" s="3"/>
    </row>
    <row r="435" spans="7:7" ht="12.75" customHeight="1" x14ac:dyDescent="0.2">
      <c r="G435" s="3"/>
    </row>
    <row r="436" spans="7:7" ht="12.75" customHeight="1" x14ac:dyDescent="0.2">
      <c r="G436" s="3"/>
    </row>
    <row r="437" spans="7:7" ht="12.75" customHeight="1" x14ac:dyDescent="0.2">
      <c r="G437" s="3"/>
    </row>
    <row r="438" spans="7:7" ht="12.75" customHeight="1" x14ac:dyDescent="0.2">
      <c r="G438" s="3"/>
    </row>
    <row r="439" spans="7:7" ht="12.75" customHeight="1" x14ac:dyDescent="0.2">
      <c r="G439" s="3"/>
    </row>
    <row r="440" spans="7:7" ht="12.75" customHeight="1" x14ac:dyDescent="0.2">
      <c r="G440" s="3"/>
    </row>
    <row r="441" spans="7:7" ht="12.75" customHeight="1" x14ac:dyDescent="0.2">
      <c r="G441" s="3"/>
    </row>
    <row r="442" spans="7:7" ht="12.75" customHeight="1" x14ac:dyDescent="0.2">
      <c r="G442" s="3"/>
    </row>
    <row r="443" spans="7:7" ht="12.75" customHeight="1" x14ac:dyDescent="0.2">
      <c r="G443" s="3"/>
    </row>
    <row r="444" spans="7:7" ht="12.75" customHeight="1" x14ac:dyDescent="0.2">
      <c r="G444" s="3"/>
    </row>
    <row r="445" spans="7:7" ht="12.75" customHeight="1" x14ac:dyDescent="0.2">
      <c r="G445" s="3"/>
    </row>
    <row r="446" spans="7:7" ht="12.75" customHeight="1" x14ac:dyDescent="0.2">
      <c r="G446" s="3"/>
    </row>
    <row r="447" spans="7:7" ht="12.75" customHeight="1" x14ac:dyDescent="0.2">
      <c r="G447" s="3"/>
    </row>
    <row r="448" spans="7:7" ht="12.75" customHeight="1" x14ac:dyDescent="0.2">
      <c r="G448" s="3"/>
    </row>
    <row r="449" spans="7:7" ht="12.75" customHeight="1" x14ac:dyDescent="0.2">
      <c r="G449" s="3"/>
    </row>
    <row r="450" spans="7:7" ht="12.75" customHeight="1" x14ac:dyDescent="0.2">
      <c r="G450" s="3"/>
    </row>
    <row r="451" spans="7:7" ht="12.75" customHeight="1" x14ac:dyDescent="0.2">
      <c r="G451" s="3"/>
    </row>
    <row r="452" spans="7:7" ht="12.75" customHeight="1" x14ac:dyDescent="0.2">
      <c r="G452" s="3"/>
    </row>
    <row r="453" spans="7:7" ht="12.75" customHeight="1" x14ac:dyDescent="0.2">
      <c r="G453" s="3"/>
    </row>
    <row r="454" spans="7:7" ht="12.75" customHeight="1" x14ac:dyDescent="0.2">
      <c r="G454" s="3"/>
    </row>
    <row r="455" spans="7:7" ht="12.75" customHeight="1" x14ac:dyDescent="0.2">
      <c r="G455" s="3"/>
    </row>
    <row r="456" spans="7:7" ht="12.75" customHeight="1" x14ac:dyDescent="0.2">
      <c r="G456" s="3"/>
    </row>
    <row r="457" spans="7:7" ht="12.75" customHeight="1" x14ac:dyDescent="0.2">
      <c r="G457" s="3"/>
    </row>
    <row r="458" spans="7:7" ht="12.75" customHeight="1" x14ac:dyDescent="0.2">
      <c r="G458" s="3"/>
    </row>
    <row r="459" spans="7:7" ht="12.75" customHeight="1" x14ac:dyDescent="0.2">
      <c r="G459" s="3"/>
    </row>
    <row r="460" spans="7:7" ht="12.75" customHeight="1" x14ac:dyDescent="0.2">
      <c r="G460" s="3"/>
    </row>
    <row r="461" spans="7:7" ht="12.75" customHeight="1" x14ac:dyDescent="0.2">
      <c r="G461" s="3"/>
    </row>
    <row r="462" spans="7:7" ht="12.75" customHeight="1" x14ac:dyDescent="0.2">
      <c r="G462" s="3"/>
    </row>
    <row r="463" spans="7:7" ht="12.75" customHeight="1" x14ac:dyDescent="0.2">
      <c r="G463" s="3"/>
    </row>
    <row r="464" spans="7:7" ht="12.75" customHeight="1" x14ac:dyDescent="0.2">
      <c r="G464" s="3"/>
    </row>
    <row r="465" spans="7:7" ht="12.75" customHeight="1" x14ac:dyDescent="0.2">
      <c r="G465" s="3"/>
    </row>
    <row r="466" spans="7:7" ht="12.75" customHeight="1" x14ac:dyDescent="0.2">
      <c r="G466" s="3"/>
    </row>
    <row r="467" spans="7:7" ht="12.75" customHeight="1" x14ac:dyDescent="0.2">
      <c r="G467" s="3"/>
    </row>
    <row r="468" spans="7:7" ht="12.75" customHeight="1" x14ac:dyDescent="0.2">
      <c r="G468" s="3"/>
    </row>
    <row r="469" spans="7:7" ht="12.75" customHeight="1" x14ac:dyDescent="0.2">
      <c r="G469" s="3"/>
    </row>
    <row r="470" spans="7:7" ht="12.75" customHeight="1" x14ac:dyDescent="0.2">
      <c r="G470" s="3"/>
    </row>
    <row r="471" spans="7:7" ht="12.75" customHeight="1" x14ac:dyDescent="0.2">
      <c r="G471" s="3"/>
    </row>
    <row r="472" spans="7:7" ht="12.75" customHeight="1" x14ac:dyDescent="0.2">
      <c r="G472" s="3"/>
    </row>
    <row r="473" spans="7:7" ht="12.75" customHeight="1" x14ac:dyDescent="0.2">
      <c r="G473" s="3"/>
    </row>
    <row r="474" spans="7:7" ht="12.75" customHeight="1" x14ac:dyDescent="0.2">
      <c r="G474" s="3"/>
    </row>
    <row r="475" spans="7:7" ht="12.75" customHeight="1" x14ac:dyDescent="0.2">
      <c r="G475" s="3"/>
    </row>
    <row r="476" spans="7:7" ht="12.75" customHeight="1" x14ac:dyDescent="0.2">
      <c r="G476" s="3"/>
    </row>
    <row r="477" spans="7:7" ht="12.75" customHeight="1" x14ac:dyDescent="0.2">
      <c r="G477" s="3"/>
    </row>
    <row r="478" spans="7:7" ht="12.75" customHeight="1" x14ac:dyDescent="0.2">
      <c r="G478" s="3"/>
    </row>
    <row r="479" spans="7:7" ht="12.75" customHeight="1" x14ac:dyDescent="0.2">
      <c r="G479" s="3"/>
    </row>
    <row r="480" spans="7:7" ht="12.75" customHeight="1" x14ac:dyDescent="0.2">
      <c r="G480" s="3"/>
    </row>
    <row r="481" spans="7:7" ht="12.75" customHeight="1" x14ac:dyDescent="0.2">
      <c r="G481" s="3"/>
    </row>
    <row r="482" spans="7:7" ht="12.75" customHeight="1" x14ac:dyDescent="0.2">
      <c r="G482" s="3"/>
    </row>
    <row r="483" spans="7:7" ht="12.75" customHeight="1" x14ac:dyDescent="0.2">
      <c r="G483" s="3"/>
    </row>
    <row r="484" spans="7:7" ht="12.75" customHeight="1" x14ac:dyDescent="0.2">
      <c r="G484" s="3"/>
    </row>
    <row r="485" spans="7:7" ht="12.75" customHeight="1" x14ac:dyDescent="0.2">
      <c r="G485" s="3"/>
    </row>
    <row r="486" spans="7:7" ht="12.75" customHeight="1" x14ac:dyDescent="0.2">
      <c r="G486" s="3"/>
    </row>
    <row r="487" spans="7:7" ht="12.75" customHeight="1" x14ac:dyDescent="0.2">
      <c r="G487" s="3"/>
    </row>
    <row r="488" spans="7:7" ht="12.75" customHeight="1" x14ac:dyDescent="0.2">
      <c r="G488" s="3"/>
    </row>
    <row r="489" spans="7:7" ht="12.75" customHeight="1" x14ac:dyDescent="0.2">
      <c r="G489" s="3"/>
    </row>
    <row r="490" spans="7:7" ht="12.75" customHeight="1" x14ac:dyDescent="0.2">
      <c r="G490" s="3"/>
    </row>
    <row r="491" spans="7:7" ht="12.75" customHeight="1" x14ac:dyDescent="0.2">
      <c r="G491" s="3"/>
    </row>
    <row r="492" spans="7:7" ht="12.75" customHeight="1" x14ac:dyDescent="0.2">
      <c r="G492" s="3"/>
    </row>
    <row r="493" spans="7:7" ht="12.75" customHeight="1" x14ac:dyDescent="0.2">
      <c r="G493" s="3"/>
    </row>
    <row r="494" spans="7:7" ht="12.75" customHeight="1" x14ac:dyDescent="0.2">
      <c r="G494" s="3"/>
    </row>
    <row r="495" spans="7:7" ht="12.75" customHeight="1" x14ac:dyDescent="0.2">
      <c r="G495" s="3"/>
    </row>
    <row r="496" spans="7:7" ht="12.75" customHeight="1" x14ac:dyDescent="0.2">
      <c r="G496" s="3"/>
    </row>
    <row r="497" spans="7:7" ht="12.75" customHeight="1" x14ac:dyDescent="0.2">
      <c r="G497" s="3"/>
    </row>
    <row r="498" spans="7:7" ht="12.75" customHeight="1" x14ac:dyDescent="0.2">
      <c r="G498" s="3"/>
    </row>
    <row r="499" spans="7:7" ht="12.75" customHeight="1" x14ac:dyDescent="0.2">
      <c r="G499" s="3"/>
    </row>
    <row r="500" spans="7:7" ht="12.75" customHeight="1" x14ac:dyDescent="0.2">
      <c r="G500" s="3"/>
    </row>
    <row r="501" spans="7:7" ht="12.75" customHeight="1" x14ac:dyDescent="0.2">
      <c r="G501" s="3"/>
    </row>
    <row r="502" spans="7:7" ht="12.75" customHeight="1" x14ac:dyDescent="0.2">
      <c r="G502" s="3"/>
    </row>
    <row r="503" spans="7:7" ht="12.75" customHeight="1" x14ac:dyDescent="0.2">
      <c r="G503" s="3"/>
    </row>
    <row r="504" spans="7:7" ht="12.75" customHeight="1" x14ac:dyDescent="0.2">
      <c r="G504" s="3"/>
    </row>
    <row r="505" spans="7:7" ht="12.75" customHeight="1" x14ac:dyDescent="0.2">
      <c r="G505" s="3"/>
    </row>
    <row r="506" spans="7:7" ht="12.75" customHeight="1" x14ac:dyDescent="0.2">
      <c r="G506" s="3"/>
    </row>
    <row r="507" spans="7:7" ht="12.75" customHeight="1" x14ac:dyDescent="0.2">
      <c r="G507" s="3"/>
    </row>
    <row r="508" spans="7:7" ht="12.75" customHeight="1" x14ac:dyDescent="0.2">
      <c r="G508" s="3"/>
    </row>
    <row r="509" spans="7:7" ht="12.75" customHeight="1" x14ac:dyDescent="0.2">
      <c r="G509" s="3"/>
    </row>
    <row r="510" spans="7:7" ht="12.75" customHeight="1" x14ac:dyDescent="0.2">
      <c r="G510" s="3"/>
    </row>
    <row r="511" spans="7:7" ht="12.75" customHeight="1" x14ac:dyDescent="0.2">
      <c r="G511" s="3"/>
    </row>
    <row r="512" spans="7:7" ht="12.75" customHeight="1" x14ac:dyDescent="0.2">
      <c r="G512" s="3"/>
    </row>
    <row r="513" spans="7:7" ht="12.75" customHeight="1" x14ac:dyDescent="0.2">
      <c r="G513" s="3"/>
    </row>
    <row r="514" spans="7:7" ht="12.75" customHeight="1" x14ac:dyDescent="0.2">
      <c r="G514" s="3"/>
    </row>
    <row r="515" spans="7:7" ht="12.75" customHeight="1" x14ac:dyDescent="0.2">
      <c r="G515" s="3"/>
    </row>
    <row r="516" spans="7:7" ht="12.75" customHeight="1" x14ac:dyDescent="0.2">
      <c r="G516" s="3"/>
    </row>
    <row r="517" spans="7:7" ht="12.75" customHeight="1" x14ac:dyDescent="0.2">
      <c r="G517" s="3"/>
    </row>
    <row r="518" spans="7:7" ht="12.75" customHeight="1" x14ac:dyDescent="0.2">
      <c r="G518" s="3"/>
    </row>
    <row r="519" spans="7:7" ht="12.75" customHeight="1" x14ac:dyDescent="0.2">
      <c r="G519" s="3"/>
    </row>
    <row r="520" spans="7:7" ht="12.75" customHeight="1" x14ac:dyDescent="0.2">
      <c r="G520" s="3"/>
    </row>
    <row r="521" spans="7:7" ht="12.75" customHeight="1" x14ac:dyDescent="0.2">
      <c r="G521" s="3"/>
    </row>
    <row r="522" spans="7:7" ht="12.75" customHeight="1" x14ac:dyDescent="0.2">
      <c r="G522" s="3"/>
    </row>
    <row r="523" spans="7:7" ht="12.75" customHeight="1" x14ac:dyDescent="0.2">
      <c r="G523" s="3"/>
    </row>
    <row r="524" spans="7:7" ht="12.75" customHeight="1" x14ac:dyDescent="0.2">
      <c r="G524" s="3"/>
    </row>
    <row r="525" spans="7:7" ht="12.75" customHeight="1" x14ac:dyDescent="0.2">
      <c r="G525" s="3"/>
    </row>
    <row r="526" spans="7:7" ht="12.75" customHeight="1" x14ac:dyDescent="0.2">
      <c r="G526" s="3"/>
    </row>
    <row r="527" spans="7:7" ht="12.75" customHeight="1" x14ac:dyDescent="0.2">
      <c r="G527" s="3"/>
    </row>
    <row r="528" spans="7:7" ht="12.75" customHeight="1" x14ac:dyDescent="0.2">
      <c r="G528" s="3"/>
    </row>
    <row r="529" spans="7:7" ht="12.75" customHeight="1" x14ac:dyDescent="0.2">
      <c r="G529" s="3"/>
    </row>
    <row r="530" spans="7:7" ht="12.75" customHeight="1" x14ac:dyDescent="0.2">
      <c r="G530" s="3"/>
    </row>
    <row r="531" spans="7:7" ht="12.75" customHeight="1" x14ac:dyDescent="0.2">
      <c r="G531" s="3"/>
    </row>
    <row r="532" spans="7:7" ht="12.75" customHeight="1" x14ac:dyDescent="0.2">
      <c r="G532" s="3"/>
    </row>
    <row r="533" spans="7:7" ht="12.75" customHeight="1" x14ac:dyDescent="0.2">
      <c r="G533" s="3"/>
    </row>
    <row r="534" spans="7:7" ht="12.75" customHeight="1" x14ac:dyDescent="0.2">
      <c r="G534" s="3"/>
    </row>
    <row r="535" spans="7:7" ht="12.75" customHeight="1" x14ac:dyDescent="0.2">
      <c r="G535" s="3"/>
    </row>
    <row r="536" spans="7:7" ht="12.75" customHeight="1" x14ac:dyDescent="0.2">
      <c r="G536" s="3"/>
    </row>
    <row r="537" spans="7:7" ht="12.75" customHeight="1" x14ac:dyDescent="0.2">
      <c r="G537" s="3"/>
    </row>
    <row r="538" spans="7:7" ht="12.75" customHeight="1" x14ac:dyDescent="0.2">
      <c r="G538" s="3"/>
    </row>
    <row r="539" spans="7:7" ht="12.75" customHeight="1" x14ac:dyDescent="0.2">
      <c r="G539" s="3"/>
    </row>
    <row r="540" spans="7:7" ht="12.75" customHeight="1" x14ac:dyDescent="0.2">
      <c r="G540" s="3"/>
    </row>
    <row r="541" spans="7:7" ht="12.75" customHeight="1" x14ac:dyDescent="0.2">
      <c r="G541" s="3"/>
    </row>
    <row r="542" spans="7:7" ht="12.75" customHeight="1" x14ac:dyDescent="0.2">
      <c r="G542" s="3"/>
    </row>
    <row r="543" spans="7:7" ht="12.75" customHeight="1" x14ac:dyDescent="0.2">
      <c r="G543" s="3"/>
    </row>
    <row r="544" spans="7:7" ht="12.75" customHeight="1" x14ac:dyDescent="0.2">
      <c r="G544" s="3"/>
    </row>
    <row r="545" spans="7:7" ht="12.75" customHeight="1" x14ac:dyDescent="0.2">
      <c r="G545" s="3"/>
    </row>
    <row r="546" spans="7:7" ht="12.75" customHeight="1" x14ac:dyDescent="0.2">
      <c r="G546" s="3"/>
    </row>
    <row r="547" spans="7:7" ht="12.75" customHeight="1" x14ac:dyDescent="0.2">
      <c r="G547" s="3"/>
    </row>
    <row r="548" spans="7:7" ht="12.75" customHeight="1" x14ac:dyDescent="0.2">
      <c r="G548" s="3"/>
    </row>
    <row r="549" spans="7:7" ht="12.75" customHeight="1" x14ac:dyDescent="0.2">
      <c r="G549" s="3"/>
    </row>
    <row r="550" spans="7:7" ht="12.75" customHeight="1" x14ac:dyDescent="0.2">
      <c r="G550" s="3"/>
    </row>
    <row r="551" spans="7:7" ht="12.75" customHeight="1" x14ac:dyDescent="0.2">
      <c r="G551" s="3"/>
    </row>
    <row r="552" spans="7:7" ht="12.75" customHeight="1" x14ac:dyDescent="0.2">
      <c r="G552" s="3"/>
    </row>
    <row r="553" spans="7:7" ht="12.75" customHeight="1" x14ac:dyDescent="0.2">
      <c r="G553" s="3"/>
    </row>
    <row r="554" spans="7:7" ht="12.75" customHeight="1" x14ac:dyDescent="0.2">
      <c r="G554" s="3"/>
    </row>
    <row r="555" spans="7:7" ht="12.75" customHeight="1" x14ac:dyDescent="0.2">
      <c r="G555" s="3"/>
    </row>
    <row r="556" spans="7:7" ht="12.75" customHeight="1" x14ac:dyDescent="0.2">
      <c r="G556" s="3"/>
    </row>
    <row r="557" spans="7:7" ht="12.75" customHeight="1" x14ac:dyDescent="0.2">
      <c r="G557" s="3"/>
    </row>
    <row r="558" spans="7:7" ht="12.75" customHeight="1" x14ac:dyDescent="0.2">
      <c r="G558" s="3"/>
    </row>
    <row r="559" spans="7:7" ht="12.75" customHeight="1" x14ac:dyDescent="0.2">
      <c r="G559" s="3"/>
    </row>
    <row r="560" spans="7:7" ht="12.75" customHeight="1" x14ac:dyDescent="0.2">
      <c r="G560" s="3"/>
    </row>
    <row r="561" spans="7:7" ht="12.75" customHeight="1" x14ac:dyDescent="0.2">
      <c r="G561" s="3"/>
    </row>
    <row r="562" spans="7:7" ht="12.75" customHeight="1" x14ac:dyDescent="0.2">
      <c r="G562" s="3"/>
    </row>
    <row r="563" spans="7:7" ht="12.75" customHeight="1" x14ac:dyDescent="0.2">
      <c r="G563" s="3"/>
    </row>
    <row r="564" spans="7:7" ht="12.75" customHeight="1" x14ac:dyDescent="0.2">
      <c r="G564" s="3"/>
    </row>
    <row r="565" spans="7:7" ht="12.75" customHeight="1" x14ac:dyDescent="0.2">
      <c r="G565" s="3"/>
    </row>
    <row r="566" spans="7:7" ht="12.75" customHeight="1" x14ac:dyDescent="0.2">
      <c r="G566" s="3"/>
    </row>
    <row r="567" spans="7:7" ht="12.75" customHeight="1" x14ac:dyDescent="0.2">
      <c r="G567" s="3"/>
    </row>
    <row r="568" spans="7:7" ht="12.75" customHeight="1" x14ac:dyDescent="0.2">
      <c r="G568" s="3"/>
    </row>
    <row r="569" spans="7:7" ht="12.75" customHeight="1" x14ac:dyDescent="0.2">
      <c r="G569" s="3"/>
    </row>
    <row r="570" spans="7:7" ht="12.75" customHeight="1" x14ac:dyDescent="0.2">
      <c r="G570" s="3"/>
    </row>
    <row r="571" spans="7:7" ht="12.75" customHeight="1" x14ac:dyDescent="0.2">
      <c r="G571" s="3"/>
    </row>
    <row r="572" spans="7:7" ht="12.75" customHeight="1" x14ac:dyDescent="0.2">
      <c r="G572" s="3"/>
    </row>
    <row r="573" spans="7:7" ht="12.75" customHeight="1" x14ac:dyDescent="0.2">
      <c r="G573" s="3"/>
    </row>
    <row r="574" spans="7:7" ht="12.75" customHeight="1" x14ac:dyDescent="0.2">
      <c r="G574" s="3"/>
    </row>
    <row r="575" spans="7:7" ht="12.75" customHeight="1" x14ac:dyDescent="0.2">
      <c r="G575" s="3"/>
    </row>
    <row r="576" spans="7:7" ht="12.75" customHeight="1" x14ac:dyDescent="0.2">
      <c r="G576" s="3"/>
    </row>
    <row r="577" spans="7:7" ht="12.75" customHeight="1" x14ac:dyDescent="0.2">
      <c r="G577" s="3"/>
    </row>
    <row r="578" spans="7:7" ht="12.75" customHeight="1" x14ac:dyDescent="0.2">
      <c r="G578" s="3"/>
    </row>
    <row r="579" spans="7:7" ht="12.75" customHeight="1" x14ac:dyDescent="0.2">
      <c r="G579" s="3"/>
    </row>
    <row r="580" spans="7:7" ht="12.75" customHeight="1" x14ac:dyDescent="0.2">
      <c r="G580" s="3"/>
    </row>
    <row r="581" spans="7:7" ht="12.75" customHeight="1" x14ac:dyDescent="0.2">
      <c r="G581" s="3"/>
    </row>
    <row r="582" spans="7:7" ht="12.75" customHeight="1" x14ac:dyDescent="0.2">
      <c r="G582" s="3"/>
    </row>
    <row r="583" spans="7:7" ht="12.75" customHeight="1" x14ac:dyDescent="0.2">
      <c r="G583" s="3"/>
    </row>
    <row r="584" spans="7:7" ht="12.75" customHeight="1" x14ac:dyDescent="0.2">
      <c r="G584" s="3"/>
    </row>
    <row r="585" spans="7:7" ht="12.75" customHeight="1" x14ac:dyDescent="0.2">
      <c r="G585" s="3"/>
    </row>
    <row r="586" spans="7:7" ht="12.75" customHeight="1" x14ac:dyDescent="0.2">
      <c r="G586" s="3"/>
    </row>
    <row r="587" spans="7:7" ht="12.75" customHeight="1" x14ac:dyDescent="0.2">
      <c r="G587" s="3"/>
    </row>
    <row r="588" spans="7:7" ht="12.75" customHeight="1" x14ac:dyDescent="0.2">
      <c r="G588" s="3"/>
    </row>
    <row r="589" spans="7:7" ht="12.75" customHeight="1" x14ac:dyDescent="0.2">
      <c r="G589" s="3"/>
    </row>
    <row r="590" spans="7:7" ht="12.75" customHeight="1" x14ac:dyDescent="0.2">
      <c r="G590" s="3"/>
    </row>
    <row r="591" spans="7:7" ht="12.75" customHeight="1" x14ac:dyDescent="0.2">
      <c r="G591" s="3"/>
    </row>
    <row r="592" spans="7:7" ht="12.75" customHeight="1" x14ac:dyDescent="0.2">
      <c r="G592" s="3"/>
    </row>
    <row r="593" spans="7:7" ht="12.75" customHeight="1" x14ac:dyDescent="0.2">
      <c r="G593" s="3"/>
    </row>
    <row r="594" spans="7:7" ht="12.75" customHeight="1" x14ac:dyDescent="0.2">
      <c r="G594" s="3"/>
    </row>
    <row r="595" spans="7:7" ht="12.75" customHeight="1" x14ac:dyDescent="0.2">
      <c r="G595" s="3"/>
    </row>
    <row r="596" spans="7:7" ht="12.75" customHeight="1" x14ac:dyDescent="0.2">
      <c r="G596" s="3"/>
    </row>
    <row r="597" spans="7:7" ht="12.75" customHeight="1" x14ac:dyDescent="0.2">
      <c r="G597" s="3"/>
    </row>
    <row r="598" spans="7:7" ht="12.75" customHeight="1" x14ac:dyDescent="0.2">
      <c r="G598" s="3"/>
    </row>
    <row r="599" spans="7:7" ht="12.75" customHeight="1" x14ac:dyDescent="0.2">
      <c r="G599" s="3"/>
    </row>
    <row r="600" spans="7:7" ht="12.75" customHeight="1" x14ac:dyDescent="0.2">
      <c r="G600" s="3"/>
    </row>
    <row r="601" spans="7:7" ht="12.75" customHeight="1" x14ac:dyDescent="0.2">
      <c r="G601" s="3"/>
    </row>
    <row r="602" spans="7:7" ht="12.75" customHeight="1" x14ac:dyDescent="0.2">
      <c r="G602" s="3"/>
    </row>
    <row r="603" spans="7:7" ht="12.75" customHeight="1" x14ac:dyDescent="0.2">
      <c r="G603" s="3"/>
    </row>
    <row r="604" spans="7:7" ht="12.75" customHeight="1" x14ac:dyDescent="0.2">
      <c r="G604" s="3"/>
    </row>
    <row r="605" spans="7:7" ht="12.75" customHeight="1" x14ac:dyDescent="0.2">
      <c r="G605" s="3"/>
    </row>
    <row r="606" spans="7:7" ht="12.75" customHeight="1" x14ac:dyDescent="0.2">
      <c r="G606" s="3"/>
    </row>
    <row r="607" spans="7:7" ht="12.75" customHeight="1" x14ac:dyDescent="0.2">
      <c r="G607" s="3"/>
    </row>
    <row r="608" spans="7:7" ht="12.75" customHeight="1" x14ac:dyDescent="0.2">
      <c r="G608" s="3"/>
    </row>
    <row r="609" spans="7:7" ht="12.75" customHeight="1" x14ac:dyDescent="0.2">
      <c r="G609" s="3"/>
    </row>
    <row r="610" spans="7:7" ht="12.75" customHeight="1" x14ac:dyDescent="0.2">
      <c r="G610" s="3"/>
    </row>
    <row r="611" spans="7:7" ht="12.75" customHeight="1" x14ac:dyDescent="0.2">
      <c r="G611" s="3"/>
    </row>
    <row r="612" spans="7:7" ht="12.75" customHeight="1" x14ac:dyDescent="0.2">
      <c r="G612" s="3"/>
    </row>
    <row r="613" spans="7:7" ht="12.75" customHeight="1" x14ac:dyDescent="0.2">
      <c r="G613" s="3"/>
    </row>
    <row r="614" spans="7:7" ht="12.75" customHeight="1" x14ac:dyDescent="0.2">
      <c r="G614" s="3"/>
    </row>
    <row r="615" spans="7:7" ht="12.75" customHeight="1" x14ac:dyDescent="0.2">
      <c r="G615" s="3"/>
    </row>
    <row r="616" spans="7:7" ht="12.75" customHeight="1" x14ac:dyDescent="0.2">
      <c r="G616" s="3"/>
    </row>
    <row r="617" spans="7:7" ht="12.75" customHeight="1" x14ac:dyDescent="0.2">
      <c r="G617" s="3"/>
    </row>
    <row r="618" spans="7:7" ht="12.75" customHeight="1" x14ac:dyDescent="0.2">
      <c r="G618" s="3"/>
    </row>
    <row r="619" spans="7:7" ht="12.75" customHeight="1" x14ac:dyDescent="0.2">
      <c r="G619" s="3"/>
    </row>
    <row r="620" spans="7:7" ht="12.75" customHeight="1" x14ac:dyDescent="0.2">
      <c r="G620" s="3"/>
    </row>
    <row r="621" spans="7:7" ht="12.75" customHeight="1" x14ac:dyDescent="0.2">
      <c r="G621" s="3"/>
    </row>
    <row r="622" spans="7:7" ht="12.75" customHeight="1" x14ac:dyDescent="0.2">
      <c r="G622" s="3"/>
    </row>
    <row r="623" spans="7:7" ht="12.75" customHeight="1" x14ac:dyDescent="0.2">
      <c r="G623" s="3"/>
    </row>
    <row r="624" spans="7:7" ht="12.75" customHeight="1" x14ac:dyDescent="0.2">
      <c r="G624" s="3"/>
    </row>
    <row r="625" spans="7:7" ht="12.75" customHeight="1" x14ac:dyDescent="0.2">
      <c r="G625" s="3"/>
    </row>
    <row r="626" spans="7:7" ht="12.75" customHeight="1" x14ac:dyDescent="0.2">
      <c r="G626" s="3"/>
    </row>
    <row r="627" spans="7:7" ht="12.75" customHeight="1" x14ac:dyDescent="0.2">
      <c r="G627" s="3"/>
    </row>
    <row r="628" spans="7:7" ht="12.75" customHeight="1" x14ac:dyDescent="0.2">
      <c r="G628" s="3"/>
    </row>
    <row r="629" spans="7:7" ht="12.75" customHeight="1" x14ac:dyDescent="0.2">
      <c r="G629" s="3"/>
    </row>
    <row r="630" spans="7:7" ht="12.75" customHeight="1" x14ac:dyDescent="0.2">
      <c r="G630" s="3"/>
    </row>
    <row r="631" spans="7:7" ht="12.75" customHeight="1" x14ac:dyDescent="0.2">
      <c r="G631" s="3"/>
    </row>
    <row r="632" spans="7:7" ht="12.75" customHeight="1" x14ac:dyDescent="0.2">
      <c r="G632" s="3"/>
    </row>
    <row r="633" spans="7:7" ht="12.75" customHeight="1" x14ac:dyDescent="0.2">
      <c r="G633" s="3"/>
    </row>
    <row r="634" spans="7:7" ht="12.75" customHeight="1" x14ac:dyDescent="0.2">
      <c r="G634" s="3"/>
    </row>
    <row r="635" spans="7:7" ht="12.75" customHeight="1" x14ac:dyDescent="0.2">
      <c r="G635" s="3"/>
    </row>
    <row r="636" spans="7:7" ht="12.75" customHeight="1" x14ac:dyDescent="0.2">
      <c r="G636" s="3"/>
    </row>
    <row r="637" spans="7:7" ht="12.75" customHeight="1" x14ac:dyDescent="0.2">
      <c r="G637" s="3"/>
    </row>
    <row r="638" spans="7:7" ht="12.75" customHeight="1" x14ac:dyDescent="0.2">
      <c r="G638" s="3"/>
    </row>
    <row r="639" spans="7:7" ht="12.75" customHeight="1" x14ac:dyDescent="0.2">
      <c r="G639" s="3"/>
    </row>
    <row r="640" spans="7:7" ht="12.75" customHeight="1" x14ac:dyDescent="0.2">
      <c r="G640" s="3"/>
    </row>
    <row r="641" spans="7:7" ht="12.75" customHeight="1" x14ac:dyDescent="0.2">
      <c r="G641" s="3"/>
    </row>
    <row r="642" spans="7:7" ht="12.75" customHeight="1" x14ac:dyDescent="0.2">
      <c r="G642" s="3"/>
    </row>
    <row r="643" spans="7:7" ht="12.75" customHeight="1" x14ac:dyDescent="0.2">
      <c r="G643" s="3"/>
    </row>
    <row r="644" spans="7:7" ht="12.75" customHeight="1" x14ac:dyDescent="0.2">
      <c r="G644" s="3"/>
    </row>
    <row r="645" spans="7:7" ht="12.75" customHeight="1" x14ac:dyDescent="0.2">
      <c r="G645" s="3"/>
    </row>
    <row r="646" spans="7:7" ht="12.75" customHeight="1" x14ac:dyDescent="0.2">
      <c r="G646" s="3"/>
    </row>
    <row r="647" spans="7:7" ht="12.75" customHeight="1" x14ac:dyDescent="0.2">
      <c r="G647" s="3"/>
    </row>
    <row r="648" spans="7:7" ht="12.75" customHeight="1" x14ac:dyDescent="0.2">
      <c r="G648" s="3"/>
    </row>
    <row r="649" spans="7:7" ht="12.75" customHeight="1" x14ac:dyDescent="0.2">
      <c r="G649" s="3"/>
    </row>
    <row r="650" spans="7:7" ht="12.75" customHeight="1" x14ac:dyDescent="0.2">
      <c r="G650" s="3"/>
    </row>
    <row r="651" spans="7:7" ht="12.75" customHeight="1" x14ac:dyDescent="0.2">
      <c r="G651" s="3"/>
    </row>
    <row r="652" spans="7:7" ht="12.75" customHeight="1" x14ac:dyDescent="0.2">
      <c r="G652" s="3"/>
    </row>
    <row r="653" spans="7:7" ht="12.75" customHeight="1" x14ac:dyDescent="0.2">
      <c r="G653" s="3"/>
    </row>
    <row r="654" spans="7:7" ht="12.75" customHeight="1" x14ac:dyDescent="0.2">
      <c r="G654" s="3"/>
    </row>
    <row r="655" spans="7:7" ht="12.75" customHeight="1" x14ac:dyDescent="0.2">
      <c r="G655" s="3"/>
    </row>
    <row r="656" spans="7:7" ht="12.75" customHeight="1" x14ac:dyDescent="0.2">
      <c r="G656" s="3"/>
    </row>
    <row r="657" spans="7:7" ht="12.75" customHeight="1" x14ac:dyDescent="0.2">
      <c r="G657" s="3"/>
    </row>
    <row r="658" spans="7:7" ht="12.75" customHeight="1" x14ac:dyDescent="0.2">
      <c r="G658" s="3"/>
    </row>
    <row r="659" spans="7:7" ht="12.75" customHeight="1" x14ac:dyDescent="0.2">
      <c r="G659" s="3"/>
    </row>
    <row r="660" spans="7:7" ht="12.75" customHeight="1" x14ac:dyDescent="0.2">
      <c r="G660" s="3"/>
    </row>
    <row r="661" spans="7:7" ht="12.75" customHeight="1" x14ac:dyDescent="0.2">
      <c r="G661" s="3"/>
    </row>
    <row r="662" spans="7:7" ht="12.75" customHeight="1" x14ac:dyDescent="0.2">
      <c r="G662" s="3"/>
    </row>
    <row r="663" spans="7:7" ht="12.75" customHeight="1" x14ac:dyDescent="0.2">
      <c r="G663" s="3"/>
    </row>
    <row r="664" spans="7:7" ht="12.75" customHeight="1" x14ac:dyDescent="0.2">
      <c r="G664" s="3"/>
    </row>
    <row r="665" spans="7:7" ht="12.75" customHeight="1" x14ac:dyDescent="0.2">
      <c r="G665" s="3"/>
    </row>
    <row r="666" spans="7:7" ht="12.75" customHeight="1" x14ac:dyDescent="0.2">
      <c r="G666" s="3"/>
    </row>
    <row r="667" spans="7:7" ht="12.75" customHeight="1" x14ac:dyDescent="0.2">
      <c r="G667" s="3"/>
    </row>
    <row r="668" spans="7:7" ht="12.75" customHeight="1" x14ac:dyDescent="0.2">
      <c r="G668" s="3"/>
    </row>
    <row r="669" spans="7:7" ht="12.75" customHeight="1" x14ac:dyDescent="0.2">
      <c r="G669" s="3"/>
    </row>
    <row r="670" spans="7:7" ht="12.75" customHeight="1" x14ac:dyDescent="0.2">
      <c r="G670" s="3"/>
    </row>
    <row r="671" spans="7:7" ht="12.75" customHeight="1" x14ac:dyDescent="0.2">
      <c r="G671" s="3"/>
    </row>
    <row r="672" spans="7:7" ht="12.75" customHeight="1" x14ac:dyDescent="0.2">
      <c r="G672" s="3"/>
    </row>
    <row r="673" spans="7:7" ht="12.75" customHeight="1" x14ac:dyDescent="0.2">
      <c r="G673" s="3"/>
    </row>
    <row r="674" spans="7:7" ht="12.75" customHeight="1" x14ac:dyDescent="0.2">
      <c r="G674" s="3"/>
    </row>
    <row r="675" spans="7:7" ht="12.75" customHeight="1" x14ac:dyDescent="0.2">
      <c r="G675" s="3"/>
    </row>
    <row r="676" spans="7:7" ht="12.75" customHeight="1" x14ac:dyDescent="0.2">
      <c r="G676" s="3"/>
    </row>
    <row r="677" spans="7:7" ht="12.75" customHeight="1" x14ac:dyDescent="0.2">
      <c r="G677" s="3"/>
    </row>
    <row r="678" spans="7:7" ht="12.75" customHeight="1" x14ac:dyDescent="0.2">
      <c r="G678" s="3"/>
    </row>
    <row r="679" spans="7:7" ht="12.75" customHeight="1" x14ac:dyDescent="0.2">
      <c r="G679" s="3"/>
    </row>
    <row r="680" spans="7:7" ht="12.75" customHeight="1" x14ac:dyDescent="0.2">
      <c r="G680" s="3"/>
    </row>
    <row r="681" spans="7:7" ht="12.75" customHeight="1" x14ac:dyDescent="0.2">
      <c r="G681" s="3"/>
    </row>
    <row r="682" spans="7:7" ht="12.75" customHeight="1" x14ac:dyDescent="0.2">
      <c r="G682" s="3"/>
    </row>
    <row r="683" spans="7:7" ht="12.75" customHeight="1" x14ac:dyDescent="0.2">
      <c r="G683" s="3"/>
    </row>
    <row r="684" spans="7:7" ht="12.75" customHeight="1" x14ac:dyDescent="0.2">
      <c r="G684" s="3"/>
    </row>
    <row r="685" spans="7:7" ht="12.75" customHeight="1" x14ac:dyDescent="0.2">
      <c r="G685" s="3"/>
    </row>
    <row r="686" spans="7:7" ht="12.75" customHeight="1" x14ac:dyDescent="0.2">
      <c r="G686" s="3"/>
    </row>
    <row r="687" spans="7:7" ht="12.75" customHeight="1" x14ac:dyDescent="0.2">
      <c r="G687" s="3"/>
    </row>
    <row r="688" spans="7:7" ht="12.75" customHeight="1" x14ac:dyDescent="0.2">
      <c r="G688" s="3"/>
    </row>
    <row r="689" spans="7:7" ht="12.75" customHeight="1" x14ac:dyDescent="0.2">
      <c r="G689" s="3"/>
    </row>
    <row r="690" spans="7:7" ht="12.75" customHeight="1" x14ac:dyDescent="0.2">
      <c r="G690" s="3"/>
    </row>
    <row r="691" spans="7:7" ht="12.75" customHeight="1" x14ac:dyDescent="0.2">
      <c r="G691" s="3"/>
    </row>
    <row r="692" spans="7:7" ht="12.75" customHeight="1" x14ac:dyDescent="0.2">
      <c r="G692" s="3"/>
    </row>
    <row r="693" spans="7:7" ht="12.75" customHeight="1" x14ac:dyDescent="0.2">
      <c r="G693" s="3"/>
    </row>
    <row r="694" spans="7:7" ht="12.75" customHeight="1" x14ac:dyDescent="0.2">
      <c r="G694" s="3"/>
    </row>
    <row r="695" spans="7:7" ht="12.75" customHeight="1" x14ac:dyDescent="0.2">
      <c r="G695" s="3"/>
    </row>
    <row r="696" spans="7:7" ht="12.75" customHeight="1" x14ac:dyDescent="0.2">
      <c r="G696" s="3"/>
    </row>
    <row r="697" spans="7:7" ht="12.75" customHeight="1" x14ac:dyDescent="0.2">
      <c r="G697" s="3"/>
    </row>
    <row r="698" spans="7:7" ht="12.75" customHeight="1" x14ac:dyDescent="0.2">
      <c r="G698" s="3"/>
    </row>
    <row r="699" spans="7:7" ht="12.75" customHeight="1" x14ac:dyDescent="0.2">
      <c r="G699" s="3"/>
    </row>
    <row r="700" spans="7:7" ht="12.75" customHeight="1" x14ac:dyDescent="0.2">
      <c r="G700" s="3"/>
    </row>
    <row r="701" spans="7:7" ht="12.75" customHeight="1" x14ac:dyDescent="0.2">
      <c r="G701" s="3"/>
    </row>
    <row r="702" spans="7:7" ht="12.75" customHeight="1" x14ac:dyDescent="0.2">
      <c r="G702" s="3"/>
    </row>
    <row r="703" spans="7:7" ht="12.75" customHeight="1" x14ac:dyDescent="0.2">
      <c r="G703" s="3"/>
    </row>
    <row r="704" spans="7:7" ht="12.75" customHeight="1" x14ac:dyDescent="0.2">
      <c r="G704" s="3"/>
    </row>
    <row r="705" spans="7:7" ht="12.75" customHeight="1" x14ac:dyDescent="0.2">
      <c r="G705" s="3"/>
    </row>
    <row r="706" spans="7:7" ht="12.75" customHeight="1" x14ac:dyDescent="0.2">
      <c r="G706" s="3"/>
    </row>
    <row r="707" spans="7:7" ht="12.75" customHeight="1" x14ac:dyDescent="0.2">
      <c r="G707" s="3"/>
    </row>
    <row r="708" spans="7:7" ht="12.75" customHeight="1" x14ac:dyDescent="0.2">
      <c r="G708" s="3"/>
    </row>
    <row r="709" spans="7:7" ht="12.75" customHeight="1" x14ac:dyDescent="0.2">
      <c r="G709" s="3"/>
    </row>
    <row r="710" spans="7:7" ht="12.75" customHeight="1" x14ac:dyDescent="0.2">
      <c r="G710" s="3"/>
    </row>
    <row r="711" spans="7:7" ht="12.75" customHeight="1" x14ac:dyDescent="0.2">
      <c r="G711" s="3"/>
    </row>
    <row r="712" spans="7:7" ht="12.75" customHeight="1" x14ac:dyDescent="0.2">
      <c r="G712" s="3"/>
    </row>
    <row r="713" spans="7:7" ht="12.75" customHeight="1" x14ac:dyDescent="0.2">
      <c r="G713" s="3"/>
    </row>
    <row r="714" spans="7:7" ht="12.75" customHeight="1" x14ac:dyDescent="0.2">
      <c r="G714" s="3"/>
    </row>
    <row r="715" spans="7:7" ht="12.75" customHeight="1" x14ac:dyDescent="0.2">
      <c r="G715" s="3"/>
    </row>
    <row r="716" spans="7:7" ht="12.75" customHeight="1" x14ac:dyDescent="0.2">
      <c r="G716" s="3"/>
    </row>
    <row r="717" spans="7:7" ht="12.75" customHeight="1" x14ac:dyDescent="0.2">
      <c r="G717" s="3"/>
    </row>
    <row r="718" spans="7:7" ht="12.75" customHeight="1" x14ac:dyDescent="0.2">
      <c r="G718" s="3"/>
    </row>
    <row r="719" spans="7:7" ht="12.75" customHeight="1" x14ac:dyDescent="0.2">
      <c r="G719" s="3"/>
    </row>
    <row r="720" spans="7:7" ht="12.75" customHeight="1" x14ac:dyDescent="0.2">
      <c r="G720" s="3"/>
    </row>
    <row r="721" spans="7:7" ht="12.75" customHeight="1" x14ac:dyDescent="0.2">
      <c r="G721" s="3"/>
    </row>
    <row r="722" spans="7:7" ht="12.75" customHeight="1" x14ac:dyDescent="0.2">
      <c r="G722" s="3"/>
    </row>
    <row r="723" spans="7:7" ht="12.75" customHeight="1" x14ac:dyDescent="0.2">
      <c r="G723" s="3"/>
    </row>
    <row r="724" spans="7:7" ht="12.75" customHeight="1" x14ac:dyDescent="0.2">
      <c r="G724" s="3"/>
    </row>
    <row r="725" spans="7:7" ht="12.75" customHeight="1" x14ac:dyDescent="0.2">
      <c r="G725" s="3"/>
    </row>
    <row r="726" spans="7:7" ht="12.75" customHeight="1" x14ac:dyDescent="0.2">
      <c r="G726" s="3"/>
    </row>
    <row r="727" spans="7:7" ht="12.75" customHeight="1" x14ac:dyDescent="0.2">
      <c r="G727" s="3"/>
    </row>
    <row r="728" spans="7:7" ht="12.75" customHeight="1" x14ac:dyDescent="0.2">
      <c r="G728" s="3"/>
    </row>
    <row r="729" spans="7:7" ht="12.75" customHeight="1" x14ac:dyDescent="0.2">
      <c r="G729" s="3"/>
    </row>
    <row r="730" spans="7:7" ht="12.75" customHeight="1" x14ac:dyDescent="0.2">
      <c r="G730" s="3"/>
    </row>
    <row r="731" spans="7:7" ht="12.75" customHeight="1" x14ac:dyDescent="0.2">
      <c r="G731" s="3"/>
    </row>
    <row r="732" spans="7:7" ht="12.75" customHeight="1" x14ac:dyDescent="0.2">
      <c r="G732" s="3"/>
    </row>
    <row r="733" spans="7:7" ht="12.75" customHeight="1" x14ac:dyDescent="0.2">
      <c r="G733" s="3"/>
    </row>
    <row r="734" spans="7:7" ht="12.75" customHeight="1" x14ac:dyDescent="0.2">
      <c r="G734" s="3"/>
    </row>
    <row r="735" spans="7:7" ht="12.75" customHeight="1" x14ac:dyDescent="0.2">
      <c r="G735" s="3"/>
    </row>
    <row r="736" spans="7:7" ht="12.75" customHeight="1" x14ac:dyDescent="0.2">
      <c r="G736" s="3"/>
    </row>
    <row r="737" spans="7:7" ht="12.75" customHeight="1" x14ac:dyDescent="0.2">
      <c r="G737" s="3"/>
    </row>
    <row r="738" spans="7:7" ht="12.75" customHeight="1" x14ac:dyDescent="0.2">
      <c r="G738" s="3"/>
    </row>
    <row r="739" spans="7:7" ht="12.75" customHeight="1" x14ac:dyDescent="0.2">
      <c r="G739" s="3"/>
    </row>
    <row r="740" spans="7:7" ht="12.75" customHeight="1" x14ac:dyDescent="0.2">
      <c r="G740" s="3"/>
    </row>
    <row r="741" spans="7:7" ht="12.75" customHeight="1" x14ac:dyDescent="0.2">
      <c r="G741" s="3"/>
    </row>
    <row r="742" spans="7:7" ht="12.75" customHeight="1" x14ac:dyDescent="0.2">
      <c r="G742" s="3"/>
    </row>
    <row r="743" spans="7:7" ht="12.75" customHeight="1" x14ac:dyDescent="0.2">
      <c r="G743" s="3"/>
    </row>
    <row r="744" spans="7:7" ht="12.75" customHeight="1" x14ac:dyDescent="0.2">
      <c r="G744" s="3"/>
    </row>
    <row r="745" spans="7:7" ht="12.75" customHeight="1" x14ac:dyDescent="0.2">
      <c r="G745" s="3"/>
    </row>
    <row r="746" spans="7:7" ht="12.75" customHeight="1" x14ac:dyDescent="0.2">
      <c r="G746" s="3"/>
    </row>
    <row r="747" spans="7:7" ht="12.75" customHeight="1" x14ac:dyDescent="0.2">
      <c r="G747" s="3"/>
    </row>
    <row r="748" spans="7:7" ht="12.75" customHeight="1" x14ac:dyDescent="0.2">
      <c r="G748" s="3"/>
    </row>
    <row r="749" spans="7:7" ht="12.75" customHeight="1" x14ac:dyDescent="0.2">
      <c r="G749" s="3"/>
    </row>
    <row r="750" spans="7:7" ht="12.75" customHeight="1" x14ac:dyDescent="0.2">
      <c r="G750" s="3"/>
    </row>
    <row r="751" spans="7:7" ht="12.75" customHeight="1" x14ac:dyDescent="0.2">
      <c r="G751" s="3"/>
    </row>
    <row r="752" spans="7:7" ht="12.75" customHeight="1" x14ac:dyDescent="0.2">
      <c r="G752" s="3"/>
    </row>
    <row r="753" spans="7:7" ht="12.75" customHeight="1" x14ac:dyDescent="0.2">
      <c r="G753" s="3"/>
    </row>
    <row r="754" spans="7:7" ht="12.75" customHeight="1" x14ac:dyDescent="0.2">
      <c r="G754" s="3"/>
    </row>
    <row r="755" spans="7:7" ht="12.75" customHeight="1" x14ac:dyDescent="0.2">
      <c r="G755" s="3"/>
    </row>
    <row r="756" spans="7:7" ht="12.75" customHeight="1" x14ac:dyDescent="0.2">
      <c r="G756" s="3"/>
    </row>
    <row r="757" spans="7:7" ht="12.75" customHeight="1" x14ac:dyDescent="0.2">
      <c r="G757" s="3"/>
    </row>
    <row r="758" spans="7:7" ht="12.75" customHeight="1" x14ac:dyDescent="0.2">
      <c r="G758" s="3"/>
    </row>
    <row r="759" spans="7:7" ht="12.75" customHeight="1" x14ac:dyDescent="0.2">
      <c r="G759" s="3"/>
    </row>
    <row r="760" spans="7:7" ht="12.75" customHeight="1" x14ac:dyDescent="0.2">
      <c r="G760" s="3"/>
    </row>
    <row r="761" spans="7:7" ht="12.75" customHeight="1" x14ac:dyDescent="0.2">
      <c r="G761" s="3"/>
    </row>
    <row r="762" spans="7:7" ht="12.75" customHeight="1" x14ac:dyDescent="0.2">
      <c r="G762" s="3"/>
    </row>
    <row r="763" spans="7:7" ht="12.75" customHeight="1" x14ac:dyDescent="0.2">
      <c r="G763" s="3"/>
    </row>
    <row r="764" spans="7:7" ht="12.75" customHeight="1" x14ac:dyDescent="0.2">
      <c r="G764" s="3"/>
    </row>
    <row r="765" spans="7:7" ht="12.75" customHeight="1" x14ac:dyDescent="0.2">
      <c r="G765" s="3"/>
    </row>
    <row r="766" spans="7:7" ht="12.75" customHeight="1" x14ac:dyDescent="0.2">
      <c r="G766" s="3"/>
    </row>
    <row r="767" spans="7:7" ht="12.75" customHeight="1" x14ac:dyDescent="0.2">
      <c r="G767" s="3"/>
    </row>
    <row r="768" spans="7:7" ht="12.75" customHeight="1" x14ac:dyDescent="0.2">
      <c r="G768" s="3"/>
    </row>
    <row r="769" spans="7:7" ht="12.75" customHeight="1" x14ac:dyDescent="0.2">
      <c r="G769" s="3"/>
    </row>
    <row r="770" spans="7:7" ht="12.75" customHeight="1" x14ac:dyDescent="0.2">
      <c r="G770" s="3"/>
    </row>
    <row r="771" spans="7:7" ht="12.75" customHeight="1" x14ac:dyDescent="0.2">
      <c r="G771" s="3"/>
    </row>
    <row r="772" spans="7:7" ht="12.75" customHeight="1" x14ac:dyDescent="0.2">
      <c r="G772" s="3"/>
    </row>
    <row r="773" spans="7:7" ht="12.75" customHeight="1" x14ac:dyDescent="0.2">
      <c r="G773" s="3"/>
    </row>
    <row r="774" spans="7:7" ht="12.75" customHeight="1" x14ac:dyDescent="0.2">
      <c r="G774" s="3"/>
    </row>
    <row r="775" spans="7:7" ht="12.75" customHeight="1" x14ac:dyDescent="0.2">
      <c r="G775" s="3"/>
    </row>
    <row r="776" spans="7:7" ht="12.75" customHeight="1" x14ac:dyDescent="0.2">
      <c r="G776" s="3"/>
    </row>
    <row r="777" spans="7:7" ht="12.75" customHeight="1" x14ac:dyDescent="0.2">
      <c r="G777" s="3"/>
    </row>
    <row r="778" spans="7:7" ht="12.75" customHeight="1" x14ac:dyDescent="0.2">
      <c r="G778" s="3"/>
    </row>
    <row r="779" spans="7:7" ht="12.75" customHeight="1" x14ac:dyDescent="0.2">
      <c r="G779" s="3"/>
    </row>
    <row r="780" spans="7:7" ht="12.75" customHeight="1" x14ac:dyDescent="0.2">
      <c r="G780" s="3"/>
    </row>
    <row r="781" spans="7:7" ht="12.75" customHeight="1" x14ac:dyDescent="0.2">
      <c r="G781" s="3"/>
    </row>
    <row r="782" spans="7:7" ht="12.75" customHeight="1" x14ac:dyDescent="0.2">
      <c r="G782" s="3"/>
    </row>
    <row r="783" spans="7:7" ht="12.75" customHeight="1" x14ac:dyDescent="0.2">
      <c r="G783" s="3"/>
    </row>
    <row r="784" spans="7:7" ht="12.75" customHeight="1" x14ac:dyDescent="0.2">
      <c r="G784" s="3"/>
    </row>
    <row r="785" spans="7:7" ht="12.75" customHeight="1" x14ac:dyDescent="0.2">
      <c r="G785" s="3"/>
    </row>
    <row r="786" spans="7:7" ht="12.75" customHeight="1" x14ac:dyDescent="0.2">
      <c r="G786" s="3"/>
    </row>
    <row r="787" spans="7:7" ht="12.75" customHeight="1" x14ac:dyDescent="0.2">
      <c r="G787" s="3"/>
    </row>
    <row r="788" spans="7:7" ht="12.75" customHeight="1" x14ac:dyDescent="0.2">
      <c r="G788" s="3"/>
    </row>
    <row r="789" spans="7:7" ht="12.75" customHeight="1" x14ac:dyDescent="0.2">
      <c r="G789" s="3"/>
    </row>
    <row r="790" spans="7:7" ht="12.75" customHeight="1" x14ac:dyDescent="0.2">
      <c r="G790" s="3"/>
    </row>
    <row r="791" spans="7:7" ht="12.75" customHeight="1" x14ac:dyDescent="0.2">
      <c r="G791" s="3"/>
    </row>
    <row r="792" spans="7:7" ht="12.75" customHeight="1" x14ac:dyDescent="0.2">
      <c r="G792" s="3"/>
    </row>
    <row r="793" spans="7:7" ht="12.75" customHeight="1" x14ac:dyDescent="0.2">
      <c r="G793" s="3"/>
    </row>
    <row r="794" spans="7:7" ht="12.75" customHeight="1" x14ac:dyDescent="0.2">
      <c r="G794" s="3"/>
    </row>
    <row r="795" spans="7:7" ht="12.75" customHeight="1" x14ac:dyDescent="0.2">
      <c r="G795" s="3"/>
    </row>
    <row r="796" spans="7:7" ht="12.75" customHeight="1" x14ac:dyDescent="0.2">
      <c r="G796" s="3"/>
    </row>
    <row r="797" spans="7:7" ht="12.75" customHeight="1" x14ac:dyDescent="0.2">
      <c r="G797" s="3"/>
    </row>
    <row r="798" spans="7:7" ht="12.75" customHeight="1" x14ac:dyDescent="0.2">
      <c r="G798" s="3"/>
    </row>
    <row r="799" spans="7:7" ht="12.75" customHeight="1" x14ac:dyDescent="0.2">
      <c r="G799" s="3"/>
    </row>
    <row r="800" spans="7:7" ht="12.75" customHeight="1" x14ac:dyDescent="0.2">
      <c r="G800" s="3"/>
    </row>
    <row r="801" spans="7:7" ht="12.75" customHeight="1" x14ac:dyDescent="0.2">
      <c r="G801" s="3"/>
    </row>
    <row r="802" spans="7:7" ht="12.75" customHeight="1" x14ac:dyDescent="0.2">
      <c r="G802" s="3"/>
    </row>
    <row r="803" spans="7:7" ht="12.75" customHeight="1" x14ac:dyDescent="0.2">
      <c r="G803" s="3"/>
    </row>
    <row r="804" spans="7:7" ht="12.75" customHeight="1" x14ac:dyDescent="0.2">
      <c r="G804" s="3"/>
    </row>
    <row r="805" spans="7:7" ht="12.75" customHeight="1" x14ac:dyDescent="0.2">
      <c r="G805" s="3"/>
    </row>
    <row r="806" spans="7:7" ht="12.75" customHeight="1" x14ac:dyDescent="0.2">
      <c r="G806" s="3"/>
    </row>
    <row r="807" spans="7:7" ht="12.75" customHeight="1" x14ac:dyDescent="0.2">
      <c r="G807" s="3"/>
    </row>
    <row r="808" spans="7:7" ht="12.75" customHeight="1" x14ac:dyDescent="0.2">
      <c r="G808" s="3"/>
    </row>
    <row r="809" spans="7:7" ht="12.75" customHeight="1" x14ac:dyDescent="0.2">
      <c r="G809" s="3"/>
    </row>
    <row r="810" spans="7:7" ht="12.75" customHeight="1" x14ac:dyDescent="0.2">
      <c r="G810" s="3"/>
    </row>
    <row r="811" spans="7:7" ht="12.75" customHeight="1" x14ac:dyDescent="0.2">
      <c r="G811" s="3"/>
    </row>
    <row r="812" spans="7:7" ht="12.75" customHeight="1" x14ac:dyDescent="0.2">
      <c r="G812" s="3"/>
    </row>
    <row r="813" spans="7:7" ht="12.75" customHeight="1" x14ac:dyDescent="0.2">
      <c r="G813" s="3"/>
    </row>
    <row r="814" spans="7:7" ht="12.75" customHeight="1" x14ac:dyDescent="0.2">
      <c r="G814" s="3"/>
    </row>
    <row r="815" spans="7:7" ht="12.75" customHeight="1" x14ac:dyDescent="0.2">
      <c r="G815" s="3"/>
    </row>
    <row r="816" spans="7:7" ht="12.75" customHeight="1" x14ac:dyDescent="0.2">
      <c r="G816" s="3"/>
    </row>
    <row r="817" spans="7:7" ht="12.75" customHeight="1" x14ac:dyDescent="0.2">
      <c r="G817" s="3"/>
    </row>
    <row r="818" spans="7:7" ht="12.75" customHeight="1" x14ac:dyDescent="0.2">
      <c r="G818" s="3"/>
    </row>
    <row r="819" spans="7:7" ht="12.75" customHeight="1" x14ac:dyDescent="0.2">
      <c r="G819" s="3"/>
    </row>
    <row r="820" spans="7:7" ht="12.75" customHeight="1" x14ac:dyDescent="0.2">
      <c r="G820" s="3"/>
    </row>
    <row r="821" spans="7:7" ht="12.75" customHeight="1" x14ac:dyDescent="0.2">
      <c r="G821" s="3"/>
    </row>
    <row r="822" spans="7:7" ht="12.75" customHeight="1" x14ac:dyDescent="0.2">
      <c r="G822" s="3"/>
    </row>
    <row r="823" spans="7:7" ht="12.75" customHeight="1" x14ac:dyDescent="0.2">
      <c r="G823" s="3"/>
    </row>
    <row r="824" spans="7:7" ht="12.75" customHeight="1" x14ac:dyDescent="0.2">
      <c r="G824" s="3"/>
    </row>
    <row r="825" spans="7:7" ht="12.75" customHeight="1" x14ac:dyDescent="0.2">
      <c r="G825" s="3"/>
    </row>
    <row r="826" spans="7:7" ht="12.75" customHeight="1" x14ac:dyDescent="0.2">
      <c r="G826" s="3"/>
    </row>
    <row r="827" spans="7:7" ht="12.75" customHeight="1" x14ac:dyDescent="0.2">
      <c r="G827" s="3"/>
    </row>
    <row r="828" spans="7:7" ht="12.75" customHeight="1" x14ac:dyDescent="0.2">
      <c r="G828" s="3"/>
    </row>
    <row r="829" spans="7:7" ht="12.75" customHeight="1" x14ac:dyDescent="0.2">
      <c r="G829" s="3"/>
    </row>
    <row r="830" spans="7:7" ht="12.75" customHeight="1" x14ac:dyDescent="0.2">
      <c r="G830" s="3"/>
    </row>
    <row r="831" spans="7:7" ht="12.75" customHeight="1" x14ac:dyDescent="0.2">
      <c r="G831" s="3"/>
    </row>
    <row r="832" spans="7:7" ht="12.75" customHeight="1" x14ac:dyDescent="0.2">
      <c r="G832" s="3"/>
    </row>
    <row r="833" spans="7:7" ht="12.75" customHeight="1" x14ac:dyDescent="0.2">
      <c r="G833" s="3"/>
    </row>
    <row r="834" spans="7:7" ht="12.75" customHeight="1" x14ac:dyDescent="0.2">
      <c r="G834" s="3"/>
    </row>
    <row r="835" spans="7:7" ht="12.75" customHeight="1" x14ac:dyDescent="0.2">
      <c r="G835" s="3"/>
    </row>
    <row r="836" spans="7:7" ht="12.75" customHeight="1" x14ac:dyDescent="0.2">
      <c r="G836" s="3"/>
    </row>
    <row r="837" spans="7:7" ht="12.75" customHeight="1" x14ac:dyDescent="0.2">
      <c r="G837" s="3"/>
    </row>
    <row r="838" spans="7:7" ht="12.75" customHeight="1" x14ac:dyDescent="0.2">
      <c r="G838" s="3"/>
    </row>
    <row r="839" spans="7:7" ht="12.75" customHeight="1" x14ac:dyDescent="0.2">
      <c r="G839" s="3"/>
    </row>
    <row r="840" spans="7:7" ht="12.75" customHeight="1" x14ac:dyDescent="0.2">
      <c r="G840" s="3"/>
    </row>
    <row r="841" spans="7:7" ht="12.75" customHeight="1" x14ac:dyDescent="0.2">
      <c r="G841" s="3"/>
    </row>
    <row r="842" spans="7:7" ht="12.75" customHeight="1" x14ac:dyDescent="0.2">
      <c r="G842" s="3"/>
    </row>
    <row r="843" spans="7:7" ht="12.75" customHeight="1" x14ac:dyDescent="0.2">
      <c r="G843" s="3"/>
    </row>
    <row r="844" spans="7:7" ht="12.75" customHeight="1" x14ac:dyDescent="0.2">
      <c r="G844" s="3"/>
    </row>
    <row r="845" spans="7:7" ht="12.75" customHeight="1" x14ac:dyDescent="0.2">
      <c r="G845" s="3"/>
    </row>
    <row r="846" spans="7:7" ht="12.75" customHeight="1" x14ac:dyDescent="0.2">
      <c r="G846" s="3"/>
    </row>
    <row r="847" spans="7:7" ht="12.75" customHeight="1" x14ac:dyDescent="0.2">
      <c r="G847" s="3"/>
    </row>
    <row r="848" spans="7:7" ht="12.75" customHeight="1" x14ac:dyDescent="0.2">
      <c r="G848" s="3"/>
    </row>
    <row r="849" spans="7:7" ht="12.75" customHeight="1" x14ac:dyDescent="0.2">
      <c r="G849" s="3"/>
    </row>
    <row r="850" spans="7:7" ht="12.75" customHeight="1" x14ac:dyDescent="0.2">
      <c r="G850" s="3"/>
    </row>
    <row r="851" spans="7:7" ht="12.75" customHeight="1" x14ac:dyDescent="0.2">
      <c r="G851" s="3"/>
    </row>
    <row r="852" spans="7:7" ht="12.75" customHeight="1" x14ac:dyDescent="0.2">
      <c r="G852" s="3"/>
    </row>
    <row r="853" spans="7:7" ht="12.75" customHeight="1" x14ac:dyDescent="0.2">
      <c r="G853" s="3"/>
    </row>
    <row r="854" spans="7:7" ht="12.75" customHeight="1" x14ac:dyDescent="0.2">
      <c r="G854" s="3"/>
    </row>
    <row r="855" spans="7:7" ht="12.75" customHeight="1" x14ac:dyDescent="0.2">
      <c r="G855" s="3"/>
    </row>
    <row r="856" spans="7:7" ht="12.75" customHeight="1" x14ac:dyDescent="0.2">
      <c r="G856" s="3"/>
    </row>
    <row r="857" spans="7:7" ht="12.75" customHeight="1" x14ac:dyDescent="0.2">
      <c r="G857" s="3"/>
    </row>
    <row r="858" spans="7:7" ht="12.75" customHeight="1" x14ac:dyDescent="0.2">
      <c r="G858" s="3"/>
    </row>
    <row r="859" spans="7:7" ht="12.75" customHeight="1" x14ac:dyDescent="0.2">
      <c r="G859" s="3"/>
    </row>
    <row r="860" spans="7:7" ht="12.75" customHeight="1" x14ac:dyDescent="0.2">
      <c r="G860" s="3"/>
    </row>
    <row r="861" spans="7:7" ht="12.75" customHeight="1" x14ac:dyDescent="0.2">
      <c r="G861" s="3"/>
    </row>
    <row r="862" spans="7:7" ht="12.75" customHeight="1" x14ac:dyDescent="0.2">
      <c r="G862" s="3"/>
    </row>
    <row r="863" spans="7:7" ht="12.75" customHeight="1" x14ac:dyDescent="0.2">
      <c r="G863" s="3"/>
    </row>
    <row r="864" spans="7:7" ht="12.75" customHeight="1" x14ac:dyDescent="0.2">
      <c r="G864" s="3"/>
    </row>
    <row r="865" spans="7:7" ht="12.75" customHeight="1" x14ac:dyDescent="0.2">
      <c r="G865" s="3"/>
    </row>
    <row r="866" spans="7:7" ht="12.75" customHeight="1" x14ac:dyDescent="0.2">
      <c r="G866" s="3"/>
    </row>
    <row r="867" spans="7:7" ht="12.75" customHeight="1" x14ac:dyDescent="0.2">
      <c r="G867" s="3"/>
    </row>
    <row r="868" spans="7:7" ht="12.75" customHeight="1" x14ac:dyDescent="0.2">
      <c r="G868" s="3"/>
    </row>
    <row r="869" spans="7:7" ht="12.75" customHeight="1" x14ac:dyDescent="0.2">
      <c r="G869" s="3"/>
    </row>
    <row r="870" spans="7:7" ht="12.75" customHeight="1" x14ac:dyDescent="0.2">
      <c r="G870" s="3"/>
    </row>
    <row r="871" spans="7:7" ht="12.75" customHeight="1" x14ac:dyDescent="0.2">
      <c r="G871" s="3"/>
    </row>
    <row r="872" spans="7:7" ht="12.75" customHeight="1" x14ac:dyDescent="0.2">
      <c r="G872" s="3"/>
    </row>
    <row r="873" spans="7:7" ht="12.75" customHeight="1" x14ac:dyDescent="0.2">
      <c r="G873" s="3"/>
    </row>
    <row r="874" spans="7:7" ht="12.75" customHeight="1" x14ac:dyDescent="0.2">
      <c r="G874" s="3"/>
    </row>
    <row r="875" spans="7:7" ht="12.75" customHeight="1" x14ac:dyDescent="0.2">
      <c r="G875" s="3"/>
    </row>
    <row r="876" spans="7:7" ht="12.75" customHeight="1" x14ac:dyDescent="0.2">
      <c r="G876" s="3"/>
    </row>
    <row r="877" spans="7:7" ht="12.75" customHeight="1" x14ac:dyDescent="0.2">
      <c r="G877" s="3"/>
    </row>
    <row r="878" spans="7:7" ht="12.75" customHeight="1" x14ac:dyDescent="0.2">
      <c r="G878" s="3"/>
    </row>
    <row r="879" spans="7:7" ht="12.75" customHeight="1" x14ac:dyDescent="0.2">
      <c r="G879" s="3"/>
    </row>
    <row r="880" spans="7:7" ht="12.75" customHeight="1" x14ac:dyDescent="0.2">
      <c r="G880" s="3"/>
    </row>
    <row r="881" spans="7:7" ht="12.75" customHeight="1" x14ac:dyDescent="0.2">
      <c r="G881" s="3"/>
    </row>
    <row r="882" spans="7:7" ht="12.75" customHeight="1" x14ac:dyDescent="0.2">
      <c r="G882" s="3"/>
    </row>
    <row r="883" spans="7:7" ht="12.75" customHeight="1" x14ac:dyDescent="0.2">
      <c r="G883" s="3"/>
    </row>
    <row r="884" spans="7:7" ht="12.75" customHeight="1" x14ac:dyDescent="0.2">
      <c r="G884" s="3"/>
    </row>
    <row r="885" spans="7:7" ht="12.75" customHeight="1" x14ac:dyDescent="0.2">
      <c r="G885" s="3"/>
    </row>
    <row r="886" spans="7:7" ht="12.75" customHeight="1" x14ac:dyDescent="0.2">
      <c r="G886" s="3"/>
    </row>
    <row r="887" spans="7:7" ht="12.75" customHeight="1" x14ac:dyDescent="0.2">
      <c r="G887" s="3"/>
    </row>
    <row r="888" spans="7:7" ht="12.75" customHeight="1" x14ac:dyDescent="0.2">
      <c r="G888" s="3"/>
    </row>
    <row r="889" spans="7:7" ht="12.75" customHeight="1" x14ac:dyDescent="0.2">
      <c r="G889" s="3"/>
    </row>
    <row r="890" spans="7:7" ht="12.75" customHeight="1" x14ac:dyDescent="0.2">
      <c r="G890" s="3"/>
    </row>
    <row r="891" spans="7:7" ht="12.75" customHeight="1" x14ac:dyDescent="0.2">
      <c r="G891" s="3"/>
    </row>
    <row r="892" spans="7:7" ht="12.75" customHeight="1" x14ac:dyDescent="0.2">
      <c r="G892" s="3"/>
    </row>
    <row r="893" spans="7:7" ht="12.75" customHeight="1" x14ac:dyDescent="0.2">
      <c r="G893" s="3"/>
    </row>
    <row r="894" spans="7:7" ht="12.75" customHeight="1" x14ac:dyDescent="0.2">
      <c r="G894" s="3"/>
    </row>
    <row r="895" spans="7:7" ht="12.75" customHeight="1" x14ac:dyDescent="0.2">
      <c r="G895" s="3"/>
    </row>
    <row r="896" spans="7:7" ht="12.75" customHeight="1" x14ac:dyDescent="0.2">
      <c r="G896" s="3"/>
    </row>
    <row r="897" spans="7:7" ht="12.75" customHeight="1" x14ac:dyDescent="0.2">
      <c r="G897" s="3"/>
    </row>
    <row r="898" spans="7:7" ht="12.75" customHeight="1" x14ac:dyDescent="0.2">
      <c r="G898" s="3"/>
    </row>
    <row r="899" spans="7:7" ht="12.75" customHeight="1" x14ac:dyDescent="0.2">
      <c r="G899" s="3"/>
    </row>
    <row r="900" spans="7:7" ht="12.75" customHeight="1" x14ac:dyDescent="0.2">
      <c r="G900" s="3"/>
    </row>
    <row r="901" spans="7:7" ht="12.75" customHeight="1" x14ac:dyDescent="0.2">
      <c r="G901" s="3"/>
    </row>
    <row r="902" spans="7:7" ht="12.75" customHeight="1" x14ac:dyDescent="0.2">
      <c r="G902" s="3"/>
    </row>
    <row r="903" spans="7:7" ht="12.75" customHeight="1" x14ac:dyDescent="0.2">
      <c r="G903" s="3"/>
    </row>
    <row r="904" spans="7:7" ht="12.75" customHeight="1" x14ac:dyDescent="0.2">
      <c r="G904" s="3"/>
    </row>
    <row r="905" spans="7:7" ht="12.75" customHeight="1" x14ac:dyDescent="0.2">
      <c r="G905" s="3"/>
    </row>
    <row r="906" spans="7:7" ht="12.75" customHeight="1" x14ac:dyDescent="0.2">
      <c r="G906" s="3"/>
    </row>
    <row r="907" spans="7:7" ht="12.75" customHeight="1" x14ac:dyDescent="0.2">
      <c r="G907" s="3"/>
    </row>
    <row r="908" spans="7:7" ht="12.75" customHeight="1" x14ac:dyDescent="0.2">
      <c r="G908" s="3"/>
    </row>
    <row r="909" spans="7:7" ht="12.75" customHeight="1" x14ac:dyDescent="0.2">
      <c r="G909" s="3"/>
    </row>
    <row r="910" spans="7:7" ht="12.75" customHeight="1" x14ac:dyDescent="0.2">
      <c r="G910" s="3"/>
    </row>
    <row r="911" spans="7:7" ht="12.75" customHeight="1" x14ac:dyDescent="0.2">
      <c r="G911" s="3"/>
    </row>
    <row r="912" spans="7:7" ht="12.75" customHeight="1" x14ac:dyDescent="0.2">
      <c r="G912" s="3"/>
    </row>
    <row r="913" spans="7:7" ht="12.75" customHeight="1" x14ac:dyDescent="0.2">
      <c r="G913" s="3"/>
    </row>
    <row r="914" spans="7:7" ht="12.75" customHeight="1" x14ac:dyDescent="0.2">
      <c r="G914" s="3"/>
    </row>
    <row r="915" spans="7:7" ht="12.75" customHeight="1" x14ac:dyDescent="0.2">
      <c r="G915" s="3"/>
    </row>
    <row r="916" spans="7:7" ht="12.75" customHeight="1" x14ac:dyDescent="0.2">
      <c r="G916" s="3"/>
    </row>
    <row r="917" spans="7:7" ht="12.75" customHeight="1" x14ac:dyDescent="0.2">
      <c r="G917" s="3"/>
    </row>
    <row r="918" spans="7:7" ht="12.75" customHeight="1" x14ac:dyDescent="0.2">
      <c r="G918" s="3"/>
    </row>
    <row r="919" spans="7:7" ht="12.75" customHeight="1" x14ac:dyDescent="0.2">
      <c r="G919" s="3"/>
    </row>
    <row r="920" spans="7:7" ht="12.75" customHeight="1" x14ac:dyDescent="0.2">
      <c r="G920" s="3"/>
    </row>
    <row r="921" spans="7:7" ht="12.75" customHeight="1" x14ac:dyDescent="0.2">
      <c r="G921" s="3"/>
    </row>
    <row r="922" spans="7:7" ht="12.75" customHeight="1" x14ac:dyDescent="0.2">
      <c r="G922" s="3"/>
    </row>
    <row r="923" spans="7:7" ht="12.75" customHeight="1" x14ac:dyDescent="0.2">
      <c r="G923" s="3"/>
    </row>
    <row r="924" spans="7:7" ht="12.75" customHeight="1" x14ac:dyDescent="0.2">
      <c r="G924" s="3"/>
    </row>
    <row r="925" spans="7:7" ht="12.75" customHeight="1" x14ac:dyDescent="0.2">
      <c r="G925" s="3"/>
    </row>
    <row r="926" spans="7:7" ht="12.75" customHeight="1" x14ac:dyDescent="0.2">
      <c r="G926" s="3"/>
    </row>
    <row r="927" spans="7:7" ht="12.75" customHeight="1" x14ac:dyDescent="0.2">
      <c r="G927" s="3"/>
    </row>
    <row r="928" spans="7:7" ht="12.75" customHeight="1" x14ac:dyDescent="0.2">
      <c r="G928" s="3"/>
    </row>
    <row r="929" spans="7:7" ht="12.75" customHeight="1" x14ac:dyDescent="0.2">
      <c r="G929" s="3"/>
    </row>
    <row r="930" spans="7:7" ht="12.75" customHeight="1" x14ac:dyDescent="0.2">
      <c r="G930" s="3"/>
    </row>
    <row r="931" spans="7:7" ht="12.75" customHeight="1" x14ac:dyDescent="0.2">
      <c r="G931" s="3"/>
    </row>
    <row r="932" spans="7:7" ht="12.75" customHeight="1" x14ac:dyDescent="0.2">
      <c r="G932" s="3"/>
    </row>
    <row r="933" spans="7:7" ht="12.75" customHeight="1" x14ac:dyDescent="0.2">
      <c r="G933" s="3"/>
    </row>
    <row r="934" spans="7:7" ht="12.75" customHeight="1" x14ac:dyDescent="0.2">
      <c r="G934" s="3"/>
    </row>
    <row r="935" spans="7:7" ht="12.75" customHeight="1" x14ac:dyDescent="0.2">
      <c r="G935" s="3"/>
    </row>
    <row r="936" spans="7:7" ht="12.75" customHeight="1" x14ac:dyDescent="0.2">
      <c r="G936" s="3"/>
    </row>
    <row r="937" spans="7:7" ht="12.75" customHeight="1" x14ac:dyDescent="0.2">
      <c r="G937" s="3"/>
    </row>
    <row r="938" spans="7:7" ht="12.75" customHeight="1" x14ac:dyDescent="0.2">
      <c r="G938" s="3"/>
    </row>
    <row r="939" spans="7:7" ht="12.75" customHeight="1" x14ac:dyDescent="0.2">
      <c r="G939" s="3"/>
    </row>
    <row r="940" spans="7:7" ht="12.75" customHeight="1" x14ac:dyDescent="0.2">
      <c r="G940" s="3"/>
    </row>
    <row r="941" spans="7:7" ht="12.75" customHeight="1" x14ac:dyDescent="0.2">
      <c r="G941" s="3"/>
    </row>
    <row r="942" spans="7:7" ht="12.75" customHeight="1" x14ac:dyDescent="0.2">
      <c r="G942" s="3"/>
    </row>
    <row r="943" spans="7:7" ht="12.75" customHeight="1" x14ac:dyDescent="0.2">
      <c r="G943" s="3"/>
    </row>
    <row r="944" spans="7:7" ht="12.75" customHeight="1" x14ac:dyDescent="0.2">
      <c r="G944" s="3"/>
    </row>
    <row r="945" spans="7:7" ht="12.75" customHeight="1" x14ac:dyDescent="0.2">
      <c r="G945" s="3"/>
    </row>
    <row r="946" spans="7:7" ht="12.75" customHeight="1" x14ac:dyDescent="0.2">
      <c r="G946" s="3"/>
    </row>
    <row r="947" spans="7:7" ht="12.75" customHeight="1" x14ac:dyDescent="0.2">
      <c r="G947" s="3"/>
    </row>
    <row r="948" spans="7:7" ht="12.75" customHeight="1" x14ac:dyDescent="0.2">
      <c r="G948" s="3"/>
    </row>
    <row r="949" spans="7:7" ht="12.75" customHeight="1" x14ac:dyDescent="0.2">
      <c r="G949" s="3"/>
    </row>
    <row r="950" spans="7:7" ht="12.75" customHeight="1" x14ac:dyDescent="0.2">
      <c r="G950" s="3"/>
    </row>
    <row r="951" spans="7:7" ht="12.75" customHeight="1" x14ac:dyDescent="0.2">
      <c r="G951" s="3"/>
    </row>
    <row r="952" spans="7:7" ht="12.75" customHeight="1" x14ac:dyDescent="0.2">
      <c r="G952" s="3"/>
    </row>
    <row r="953" spans="7:7" ht="12.75" customHeight="1" x14ac:dyDescent="0.2">
      <c r="G953" s="3"/>
    </row>
    <row r="954" spans="7:7" ht="12.75" customHeight="1" x14ac:dyDescent="0.2">
      <c r="G954" s="3"/>
    </row>
    <row r="955" spans="7:7" ht="12.75" customHeight="1" x14ac:dyDescent="0.2">
      <c r="G955" s="3"/>
    </row>
    <row r="956" spans="7:7" ht="12.75" customHeight="1" x14ac:dyDescent="0.2">
      <c r="G956" s="3"/>
    </row>
    <row r="957" spans="7:7" ht="12.75" customHeight="1" x14ac:dyDescent="0.2">
      <c r="G957" s="3"/>
    </row>
    <row r="958" spans="7:7" ht="12.75" customHeight="1" x14ac:dyDescent="0.2">
      <c r="G958" s="3"/>
    </row>
    <row r="959" spans="7:7" ht="12.75" customHeight="1" x14ac:dyDescent="0.2">
      <c r="G959" s="3"/>
    </row>
    <row r="960" spans="7:7" ht="12.75" customHeight="1" x14ac:dyDescent="0.2">
      <c r="G960" s="3"/>
    </row>
    <row r="961" spans="7:7" ht="12.75" customHeight="1" x14ac:dyDescent="0.2">
      <c r="G961" s="3"/>
    </row>
    <row r="962" spans="7:7" ht="12.75" customHeight="1" x14ac:dyDescent="0.2">
      <c r="G962" s="3"/>
    </row>
    <row r="963" spans="7:7" ht="12.75" customHeight="1" x14ac:dyDescent="0.2">
      <c r="G963" s="3"/>
    </row>
    <row r="964" spans="7:7" ht="12.75" customHeight="1" x14ac:dyDescent="0.2">
      <c r="G964" s="3"/>
    </row>
    <row r="965" spans="7:7" ht="12.75" customHeight="1" x14ac:dyDescent="0.2">
      <c r="G965" s="3"/>
    </row>
    <row r="966" spans="7:7" ht="12.75" customHeight="1" x14ac:dyDescent="0.2">
      <c r="G966" s="3"/>
    </row>
    <row r="967" spans="7:7" ht="12.75" customHeight="1" x14ac:dyDescent="0.2">
      <c r="G967" s="3"/>
    </row>
    <row r="968" spans="7:7" ht="12.75" customHeight="1" x14ac:dyDescent="0.2">
      <c r="G968" s="3"/>
    </row>
    <row r="969" spans="7:7" ht="12.75" customHeight="1" x14ac:dyDescent="0.2">
      <c r="G969" s="3"/>
    </row>
    <row r="970" spans="7:7" ht="12.75" customHeight="1" x14ac:dyDescent="0.2">
      <c r="G970" s="3"/>
    </row>
    <row r="971" spans="7:7" ht="12.75" customHeight="1" x14ac:dyDescent="0.2">
      <c r="G971" s="3"/>
    </row>
    <row r="972" spans="7:7" ht="12.75" customHeight="1" x14ac:dyDescent="0.2">
      <c r="G972" s="3"/>
    </row>
    <row r="973" spans="7:7" ht="12.75" customHeight="1" x14ac:dyDescent="0.2">
      <c r="G973" s="3"/>
    </row>
    <row r="974" spans="7:7" ht="12.75" customHeight="1" x14ac:dyDescent="0.2">
      <c r="G974" s="3"/>
    </row>
    <row r="975" spans="7:7" ht="12.75" customHeight="1" x14ac:dyDescent="0.2">
      <c r="G975" s="3"/>
    </row>
    <row r="976" spans="7:7" ht="12.75" customHeight="1" x14ac:dyDescent="0.2">
      <c r="G976" s="3"/>
    </row>
    <row r="977" spans="7:7" ht="12.75" customHeight="1" x14ac:dyDescent="0.2">
      <c r="G977" s="3"/>
    </row>
    <row r="978" spans="7:7" ht="12.75" customHeight="1" x14ac:dyDescent="0.2">
      <c r="G978" s="3"/>
    </row>
    <row r="979" spans="7:7" ht="12.75" customHeight="1" x14ac:dyDescent="0.2">
      <c r="G979" s="3"/>
    </row>
    <row r="980" spans="7:7" ht="12.75" customHeight="1" x14ac:dyDescent="0.2">
      <c r="G980" s="3"/>
    </row>
    <row r="981" spans="7:7" ht="12.75" customHeight="1" x14ac:dyDescent="0.2">
      <c r="G981" s="3"/>
    </row>
    <row r="982" spans="7:7" ht="12.75" customHeight="1" x14ac:dyDescent="0.2">
      <c r="G982" s="3"/>
    </row>
    <row r="983" spans="7:7" ht="12.75" customHeight="1" x14ac:dyDescent="0.2">
      <c r="G983" s="3"/>
    </row>
    <row r="984" spans="7:7" ht="12.75" customHeight="1" x14ac:dyDescent="0.2">
      <c r="G984" s="3"/>
    </row>
    <row r="985" spans="7:7" ht="12.75" customHeight="1" x14ac:dyDescent="0.2">
      <c r="G985" s="3"/>
    </row>
    <row r="986" spans="7:7" ht="12.75" customHeight="1" x14ac:dyDescent="0.2">
      <c r="G986" s="3"/>
    </row>
    <row r="987" spans="7:7" ht="12.75" customHeight="1" x14ac:dyDescent="0.2">
      <c r="G987" s="3"/>
    </row>
    <row r="988" spans="7:7" ht="12.75" customHeight="1" x14ac:dyDescent="0.2">
      <c r="G988" s="3"/>
    </row>
    <row r="989" spans="7:7" ht="12.75" customHeight="1" x14ac:dyDescent="0.2">
      <c r="G989" s="3"/>
    </row>
    <row r="990" spans="7:7" ht="12.75" customHeight="1" x14ac:dyDescent="0.2">
      <c r="G990" s="3"/>
    </row>
    <row r="991" spans="7:7" ht="12.75" customHeight="1" x14ac:dyDescent="0.2">
      <c r="G991" s="3"/>
    </row>
    <row r="992" spans="7:7" ht="12.75" customHeight="1" x14ac:dyDescent="0.2">
      <c r="G992" s="3"/>
    </row>
    <row r="993" spans="7:7" ht="12.75" customHeight="1" x14ac:dyDescent="0.2">
      <c r="G993" s="3"/>
    </row>
    <row r="994" spans="7:7" ht="12.75" customHeight="1" x14ac:dyDescent="0.2">
      <c r="G994" s="3"/>
    </row>
    <row r="995" spans="7:7" ht="12.75" customHeight="1" x14ac:dyDescent="0.2">
      <c r="G995" s="3"/>
    </row>
    <row r="996" spans="7:7" ht="12.75" customHeight="1" x14ac:dyDescent="0.2">
      <c r="G996" s="3"/>
    </row>
    <row r="997" spans="7:7" ht="12.75" customHeight="1" x14ac:dyDescent="0.2">
      <c r="G997" s="3"/>
    </row>
    <row r="998" spans="7:7" ht="12.75" customHeight="1" x14ac:dyDescent="0.2">
      <c r="G998" s="3"/>
    </row>
    <row r="999" spans="7:7" ht="12.75" customHeight="1" x14ac:dyDescent="0.2">
      <c r="G999" s="3"/>
    </row>
    <row r="1000" spans="7:7" ht="12.75" customHeight="1" x14ac:dyDescent="0.2">
      <c r="G1000" s="3"/>
    </row>
  </sheetData>
  <mergeCells count="31">
    <mergeCell ref="A26:Q27"/>
    <mergeCell ref="O18:P18"/>
    <mergeCell ref="O19:P19"/>
    <mergeCell ref="O20:P20"/>
    <mergeCell ref="O21:P21"/>
    <mergeCell ref="O22:P22"/>
    <mergeCell ref="A23:P23"/>
    <mergeCell ref="A24:Q24"/>
    <mergeCell ref="O15:P15"/>
    <mergeCell ref="O16:P16"/>
    <mergeCell ref="O17:P17"/>
    <mergeCell ref="A25:F25"/>
    <mergeCell ref="G25:Q25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" footer="0"/>
  <pageSetup paperSize="9" scale="9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63"/>
  <sheetViews>
    <sheetView workbookViewId="0">
      <selection activeCell="K2" sqref="K2"/>
    </sheetView>
  </sheetViews>
  <sheetFormatPr baseColWidth="10" defaultColWidth="12.5703125" defaultRowHeight="15" customHeight="1" x14ac:dyDescent="0.2"/>
  <cols>
    <col min="1" max="1" width="5.5703125" style="102" customWidth="1"/>
    <col min="2" max="2" width="15.140625" style="106" customWidth="1"/>
    <col min="3" max="3" width="14.140625" style="102" customWidth="1"/>
    <col min="4" max="4" width="26" style="102" customWidth="1"/>
    <col min="5" max="5" width="8" style="102" customWidth="1"/>
    <col min="6" max="6" width="7.85546875" style="102" customWidth="1"/>
    <col min="7" max="7" width="48.5703125" style="102" customWidth="1"/>
    <col min="8" max="8" width="9.28515625" style="102" customWidth="1"/>
    <col min="9" max="9" width="15.5703125" style="102" customWidth="1"/>
    <col min="10" max="10" width="14.7109375" style="102" customWidth="1"/>
    <col min="11" max="11" width="15.5703125" style="102" customWidth="1"/>
    <col min="12" max="14" width="13.140625" style="102" customWidth="1"/>
    <col min="15" max="15" width="14.42578125" style="102" customWidth="1"/>
    <col min="16" max="26" width="9.140625" style="102" customWidth="1"/>
    <col min="27" max="16384" width="12.5703125" style="102"/>
  </cols>
  <sheetData>
    <row r="1" spans="1:26" ht="18" customHeight="1" thickBot="1" x14ac:dyDescent="0.25">
      <c r="A1" s="172" t="s">
        <v>41</v>
      </c>
      <c r="B1" s="173"/>
      <c r="C1" s="173"/>
      <c r="D1" s="173"/>
      <c r="E1" s="173"/>
      <c r="F1" s="173"/>
      <c r="G1" s="173"/>
      <c r="H1" s="173"/>
      <c r="I1" s="174"/>
      <c r="J1" s="53" t="s">
        <v>42</v>
      </c>
      <c r="K1" s="128" t="s">
        <v>111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8.75" customHeight="1" thickBot="1" x14ac:dyDescent="0.25">
      <c r="A2" s="56"/>
      <c r="B2" s="103"/>
      <c r="C2" s="56"/>
      <c r="D2" s="57"/>
      <c r="E2" s="57"/>
      <c r="F2" s="57"/>
      <c r="G2" s="57"/>
      <c r="H2" s="57"/>
      <c r="I2" s="57"/>
      <c r="J2" s="57"/>
      <c r="K2" s="57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8.75" customHeight="1" thickBot="1" x14ac:dyDescent="0.25">
      <c r="A3" s="175" t="s">
        <v>43</v>
      </c>
      <c r="B3" s="176"/>
      <c r="C3" s="177"/>
      <c r="D3" s="178" t="str">
        <f>'Necesidades Trimestrales'!C4</f>
        <v>040 - Ministerio de Salud</v>
      </c>
      <c r="E3" s="179"/>
      <c r="F3" s="179"/>
      <c r="G3" s="179"/>
      <c r="H3" s="179"/>
      <c r="I3" s="179"/>
      <c r="J3" s="179"/>
      <c r="K3" s="180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8.75" customHeight="1" thickBot="1" x14ac:dyDescent="0.25">
      <c r="A4" s="181" t="s">
        <v>44</v>
      </c>
      <c r="B4" s="182"/>
      <c r="C4" s="183"/>
      <c r="D4" s="178" t="str">
        <f>'Necesidades Trimestrales'!C5</f>
        <v>011 - DIRECCION PROVINCIAL DE ADMINISTRACION - MS</v>
      </c>
      <c r="E4" s="179"/>
      <c r="F4" s="179"/>
      <c r="G4" s="179"/>
      <c r="H4" s="179"/>
      <c r="I4" s="179"/>
      <c r="J4" s="179"/>
      <c r="K4" s="180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8.75" customHeight="1" thickBot="1" x14ac:dyDescent="0.25">
      <c r="A5" s="181" t="s">
        <v>45</v>
      </c>
      <c r="B5" s="182"/>
      <c r="C5" s="183"/>
      <c r="D5" s="178" t="s">
        <v>103</v>
      </c>
      <c r="E5" s="179"/>
      <c r="F5" s="179"/>
      <c r="G5" s="179"/>
      <c r="H5" s="179"/>
      <c r="I5" s="179"/>
      <c r="J5" s="179"/>
      <c r="K5" s="180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6.5" customHeight="1" thickBot="1" x14ac:dyDescent="0.25">
      <c r="A6" s="175" t="s">
        <v>46</v>
      </c>
      <c r="B6" s="176"/>
      <c r="C6" s="177"/>
      <c r="D6" s="178" t="s">
        <v>103</v>
      </c>
      <c r="E6" s="179"/>
      <c r="F6" s="179"/>
      <c r="G6" s="179"/>
      <c r="H6" s="179"/>
      <c r="I6" s="179"/>
      <c r="J6" s="179"/>
      <c r="K6" s="180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6.5" customHeight="1" thickBot="1" x14ac:dyDescent="0.25">
      <c r="A7" s="181" t="s">
        <v>47</v>
      </c>
      <c r="B7" s="182"/>
      <c r="C7" s="183"/>
      <c r="D7" s="178" t="s">
        <v>82</v>
      </c>
      <c r="E7" s="179"/>
      <c r="F7" s="179"/>
      <c r="G7" s="179"/>
      <c r="H7" s="179"/>
      <c r="I7" s="179"/>
      <c r="J7" s="179"/>
      <c r="K7" s="180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6.5" customHeight="1" thickBot="1" x14ac:dyDescent="0.25">
      <c r="A8" s="190" t="s">
        <v>48</v>
      </c>
      <c r="B8" s="179"/>
      <c r="C8" s="191"/>
      <c r="D8" s="192" t="s">
        <v>96</v>
      </c>
      <c r="E8" s="193"/>
      <c r="F8" s="193"/>
      <c r="G8" s="193"/>
      <c r="H8" s="193"/>
      <c r="I8" s="193"/>
      <c r="J8" s="193"/>
      <c r="K8" s="194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2.75" customHeight="1" thickBot="1" x14ac:dyDescent="0.25">
      <c r="A9" s="58"/>
      <c r="B9" s="104"/>
      <c r="C9" s="58"/>
      <c r="D9" s="59"/>
      <c r="E9" s="59"/>
      <c r="F9" s="59"/>
      <c r="G9" s="59"/>
      <c r="H9" s="59"/>
      <c r="I9" s="59"/>
      <c r="J9" s="59"/>
      <c r="K9" s="59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8.75" customHeight="1" x14ac:dyDescent="0.2">
      <c r="A10" s="195" t="s">
        <v>49</v>
      </c>
      <c r="B10" s="184" t="s">
        <v>50</v>
      </c>
      <c r="C10" s="198" t="s">
        <v>51</v>
      </c>
      <c r="D10" s="199"/>
      <c r="E10" s="199"/>
      <c r="F10" s="199"/>
      <c r="G10" s="200"/>
      <c r="H10" s="184" t="s">
        <v>52</v>
      </c>
      <c r="I10" s="186" t="s">
        <v>53</v>
      </c>
      <c r="J10" s="184" t="s">
        <v>54</v>
      </c>
      <c r="K10" s="188" t="s">
        <v>55</v>
      </c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24" customHeight="1" thickBot="1" x14ac:dyDescent="0.25">
      <c r="A11" s="196"/>
      <c r="B11" s="197"/>
      <c r="C11" s="201"/>
      <c r="D11" s="202"/>
      <c r="E11" s="202"/>
      <c r="F11" s="202"/>
      <c r="G11" s="203"/>
      <c r="H11" s="185"/>
      <c r="I11" s="187"/>
      <c r="J11" s="185"/>
      <c r="K11" s="189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30.75" customHeight="1" x14ac:dyDescent="0.2">
      <c r="A12" s="60">
        <v>1</v>
      </c>
      <c r="B12" s="60" t="str">
        <f>+'Necesidades Trimestrales'!B19</f>
        <v>2.5.2-1839.38</v>
      </c>
      <c r="C12" s="204" t="str">
        <f>+'Necesidades Trimestrales'!E19</f>
        <v>VASODILATADORES CORONARIOS; TIPO: MONODROGA, DROGA GENERICA: DINITRATO DE ISOSORBIDE 5 mGr, FORMA FARMACEUTICA: COMPRIMIDO, PRESENTACION: ENVASE X 30 UN</v>
      </c>
      <c r="D12" s="205"/>
      <c r="E12" s="205"/>
      <c r="F12" s="205"/>
      <c r="G12" s="205"/>
      <c r="H12" s="60" t="s">
        <v>56</v>
      </c>
      <c r="I12" s="61" t="str">
        <f>+'Necesidades Trimestrales'!F19</f>
        <v>caja</v>
      </c>
      <c r="J12" s="62">
        <f>+'Necesidades Trimestrales'!H19</f>
        <v>1199</v>
      </c>
      <c r="K12" s="63">
        <f>+'Necesidades Trimestrales'!G19</f>
        <v>5</v>
      </c>
      <c r="L12" s="55"/>
      <c r="M12" s="55"/>
      <c r="N12" s="55"/>
      <c r="O12" s="6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30.75" customHeight="1" thickBot="1" x14ac:dyDescent="0.25">
      <c r="A13" s="68"/>
      <c r="B13" s="68"/>
      <c r="C13" s="165"/>
      <c r="D13" s="166"/>
      <c r="E13" s="166"/>
      <c r="F13" s="166"/>
      <c r="G13" s="166"/>
      <c r="H13" s="68"/>
      <c r="I13" s="69"/>
      <c r="J13" s="70"/>
      <c r="K13" s="71"/>
      <c r="L13" s="55"/>
      <c r="M13" s="55"/>
      <c r="N13" s="55"/>
      <c r="O13" s="6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20.25" customHeight="1" thickBot="1" x14ac:dyDescent="0.25">
      <c r="A14" s="167" t="s">
        <v>106</v>
      </c>
      <c r="B14" s="168"/>
      <c r="C14" s="168"/>
      <c r="D14" s="168"/>
      <c r="E14" s="168"/>
      <c r="F14" s="168"/>
      <c r="G14" s="168"/>
      <c r="H14" s="168"/>
      <c r="I14" s="169"/>
      <c r="J14" s="170">
        <f>SUMPRODUCT(J12:J13,K12:K13)</f>
        <v>5995</v>
      </c>
      <c r="K14" s="171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2.75" customHeight="1" x14ac:dyDescent="0.2">
      <c r="A15" s="55"/>
      <c r="B15" s="10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2.75" customHeight="1" x14ac:dyDescent="0.2">
      <c r="A16" s="55"/>
      <c r="B16" s="10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2.75" customHeight="1" x14ac:dyDescent="0.2">
      <c r="A17" s="55"/>
      <c r="B17" s="10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2.75" customHeight="1" x14ac:dyDescent="0.2">
      <c r="A18" s="55"/>
      <c r="B18" s="10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2.75" customHeight="1" x14ac:dyDescent="0.2">
      <c r="A19" s="55"/>
      <c r="B19" s="10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2.75" customHeight="1" x14ac:dyDescent="0.2">
      <c r="A20" s="55"/>
      <c r="B20" s="10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2.75" customHeight="1" x14ac:dyDescent="0.2">
      <c r="A21" s="55"/>
      <c r="B21" s="10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2.75" customHeight="1" x14ac:dyDescent="0.2">
      <c r="A22" s="55"/>
      <c r="B22" s="10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2.75" customHeight="1" x14ac:dyDescent="0.2">
      <c r="A23" s="55"/>
      <c r="B23" s="10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2.75" customHeight="1" x14ac:dyDescent="0.2">
      <c r="A24" s="55"/>
      <c r="B24" s="10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2.75" customHeight="1" x14ac:dyDescent="0.2">
      <c r="A25" s="55"/>
      <c r="B25" s="10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2.75" customHeight="1" x14ac:dyDescent="0.2">
      <c r="A26" s="55"/>
      <c r="B26" s="10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2.75" customHeight="1" x14ac:dyDescent="0.2">
      <c r="A27" s="55"/>
      <c r="B27" s="10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2.75" customHeight="1" x14ac:dyDescent="0.2">
      <c r="A28" s="55"/>
      <c r="B28" s="10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2.75" customHeight="1" x14ac:dyDescent="0.2">
      <c r="A29" s="55"/>
      <c r="B29" s="10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2.75" customHeight="1" x14ac:dyDescent="0.2">
      <c r="A30" s="55"/>
      <c r="B30" s="10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2.75" customHeight="1" x14ac:dyDescent="0.2">
      <c r="A31" s="55"/>
      <c r="B31" s="10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2.75" customHeight="1" x14ac:dyDescent="0.2">
      <c r="A32" s="55"/>
      <c r="B32" s="10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2.75" customHeight="1" x14ac:dyDescent="0.2">
      <c r="A33" s="55"/>
      <c r="B33" s="10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2.75" customHeight="1" x14ac:dyDescent="0.2">
      <c r="A34" s="55"/>
      <c r="B34" s="10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2.75" customHeight="1" x14ac:dyDescent="0.2">
      <c r="A35" s="55"/>
      <c r="B35" s="10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2.75" customHeight="1" x14ac:dyDescent="0.2">
      <c r="A36" s="55"/>
      <c r="B36" s="10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2.75" customHeight="1" x14ac:dyDescent="0.2">
      <c r="A37" s="55"/>
      <c r="B37" s="10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2.75" customHeight="1" x14ac:dyDescent="0.2">
      <c r="A38" s="55"/>
      <c r="B38" s="10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2.75" customHeight="1" x14ac:dyDescent="0.2">
      <c r="A39" s="55"/>
      <c r="B39" s="10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2.75" customHeight="1" x14ac:dyDescent="0.2">
      <c r="A40" s="55"/>
      <c r="B40" s="10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2.75" customHeight="1" x14ac:dyDescent="0.2">
      <c r="A41" s="55"/>
      <c r="B41" s="10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2.75" customHeight="1" x14ac:dyDescent="0.2">
      <c r="A42" s="55"/>
      <c r="B42" s="10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2.75" customHeight="1" x14ac:dyDescent="0.2">
      <c r="A43" s="55"/>
      <c r="B43" s="10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2.75" customHeight="1" x14ac:dyDescent="0.2">
      <c r="A44" s="55"/>
      <c r="B44" s="10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2.75" customHeight="1" x14ac:dyDescent="0.2">
      <c r="A45" s="55"/>
      <c r="B45" s="10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2.75" customHeight="1" x14ac:dyDescent="0.2">
      <c r="A46" s="55"/>
      <c r="B46" s="10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2.75" customHeight="1" x14ac:dyDescent="0.2">
      <c r="A47" s="55"/>
      <c r="B47" s="10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2.75" customHeight="1" x14ac:dyDescent="0.2">
      <c r="A48" s="55"/>
      <c r="B48" s="10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2.75" customHeight="1" x14ac:dyDescent="0.2">
      <c r="A49" s="55"/>
      <c r="B49" s="10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2.75" customHeight="1" x14ac:dyDescent="0.2">
      <c r="A50" s="55"/>
      <c r="B50" s="10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2.75" customHeight="1" x14ac:dyDescent="0.2">
      <c r="A51" s="55"/>
      <c r="B51" s="10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2.75" customHeight="1" x14ac:dyDescent="0.2">
      <c r="A52" s="55"/>
      <c r="B52" s="10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2.75" customHeight="1" x14ac:dyDescent="0.2">
      <c r="A53" s="55"/>
      <c r="B53" s="10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2.75" customHeight="1" x14ac:dyDescent="0.2">
      <c r="A54" s="55"/>
      <c r="B54" s="10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2.75" customHeight="1" x14ac:dyDescent="0.2">
      <c r="A55" s="55"/>
      <c r="B55" s="10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2.75" customHeight="1" x14ac:dyDescent="0.2">
      <c r="A56" s="55"/>
      <c r="B56" s="10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2.75" customHeight="1" x14ac:dyDescent="0.2">
      <c r="A57" s="55"/>
      <c r="B57" s="10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2.75" customHeight="1" x14ac:dyDescent="0.2">
      <c r="A58" s="55"/>
      <c r="B58" s="10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2.75" customHeight="1" x14ac:dyDescent="0.2">
      <c r="A59" s="55"/>
      <c r="B59" s="10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2.75" customHeight="1" x14ac:dyDescent="0.2">
      <c r="A60" s="55"/>
      <c r="B60" s="10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2.75" customHeight="1" x14ac:dyDescent="0.2">
      <c r="A61" s="55"/>
      <c r="B61" s="10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2.75" customHeight="1" x14ac:dyDescent="0.2">
      <c r="A62" s="55"/>
      <c r="B62" s="10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2.75" customHeight="1" x14ac:dyDescent="0.2">
      <c r="A63" s="55"/>
      <c r="B63" s="10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2.75" customHeight="1" x14ac:dyDescent="0.2">
      <c r="A64" s="55"/>
      <c r="B64" s="10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2.75" customHeight="1" x14ac:dyDescent="0.2">
      <c r="A65" s="55"/>
      <c r="B65" s="10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2.75" customHeight="1" x14ac:dyDescent="0.2">
      <c r="A66" s="55"/>
      <c r="B66" s="10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2.75" customHeight="1" x14ac:dyDescent="0.2">
      <c r="A67" s="55"/>
      <c r="B67" s="10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2.75" customHeight="1" x14ac:dyDescent="0.2">
      <c r="A68" s="55"/>
      <c r="B68" s="10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2.75" customHeight="1" x14ac:dyDescent="0.2">
      <c r="A69" s="55"/>
      <c r="B69" s="10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2.75" customHeight="1" x14ac:dyDescent="0.2">
      <c r="A70" s="55"/>
      <c r="B70" s="10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2.75" customHeight="1" x14ac:dyDescent="0.2">
      <c r="A71" s="55"/>
      <c r="B71" s="10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2.75" customHeight="1" x14ac:dyDescent="0.2">
      <c r="A72" s="55"/>
      <c r="B72" s="10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2.75" customHeight="1" x14ac:dyDescent="0.2">
      <c r="A73" s="55"/>
      <c r="B73" s="10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2.75" customHeight="1" x14ac:dyDescent="0.2">
      <c r="A74" s="55"/>
      <c r="B74" s="10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2.75" customHeight="1" x14ac:dyDescent="0.2">
      <c r="A75" s="55"/>
      <c r="B75" s="10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2.75" customHeight="1" x14ac:dyDescent="0.2">
      <c r="A76" s="55"/>
      <c r="B76" s="10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2.75" customHeight="1" x14ac:dyDescent="0.2">
      <c r="A77" s="55"/>
      <c r="B77" s="10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2.75" customHeight="1" x14ac:dyDescent="0.2">
      <c r="A78" s="55"/>
      <c r="B78" s="10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2.75" customHeight="1" x14ac:dyDescent="0.2">
      <c r="A79" s="55"/>
      <c r="B79" s="10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2.75" customHeight="1" x14ac:dyDescent="0.2">
      <c r="A80" s="55"/>
      <c r="B80" s="10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2.75" customHeight="1" x14ac:dyDescent="0.2">
      <c r="A81" s="55"/>
      <c r="B81" s="10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2.75" customHeight="1" x14ac:dyDescent="0.2">
      <c r="A82" s="55"/>
      <c r="B82" s="10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2.75" customHeight="1" x14ac:dyDescent="0.2">
      <c r="A83" s="55"/>
      <c r="B83" s="10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2.75" customHeight="1" x14ac:dyDescent="0.2">
      <c r="A84" s="55"/>
      <c r="B84" s="10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2.75" customHeight="1" x14ac:dyDescent="0.2">
      <c r="A85" s="55"/>
      <c r="B85" s="10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2.75" customHeight="1" x14ac:dyDescent="0.2">
      <c r="A86" s="55"/>
      <c r="B86" s="10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2.75" customHeight="1" x14ac:dyDescent="0.2">
      <c r="A87" s="55"/>
      <c r="B87" s="10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2.75" customHeight="1" x14ac:dyDescent="0.2">
      <c r="A88" s="55"/>
      <c r="B88" s="10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2.75" customHeight="1" x14ac:dyDescent="0.2">
      <c r="A89" s="55"/>
      <c r="B89" s="10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2.75" customHeight="1" x14ac:dyDescent="0.2">
      <c r="A90" s="55"/>
      <c r="B90" s="10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2.75" customHeight="1" x14ac:dyDescent="0.2">
      <c r="A91" s="55"/>
      <c r="B91" s="10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2.75" customHeight="1" x14ac:dyDescent="0.2">
      <c r="A92" s="55"/>
      <c r="B92" s="10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2.75" customHeight="1" x14ac:dyDescent="0.2">
      <c r="A93" s="55"/>
      <c r="B93" s="10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2.75" customHeight="1" x14ac:dyDescent="0.2">
      <c r="A94" s="55"/>
      <c r="B94" s="10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2.75" customHeight="1" x14ac:dyDescent="0.2">
      <c r="A95" s="55"/>
      <c r="B95" s="10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2.75" customHeight="1" x14ac:dyDescent="0.2">
      <c r="A96" s="55"/>
      <c r="B96" s="10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2.75" customHeight="1" x14ac:dyDescent="0.2">
      <c r="A97" s="55"/>
      <c r="B97" s="10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2.75" customHeight="1" x14ac:dyDescent="0.2">
      <c r="A98" s="55"/>
      <c r="B98" s="10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2.75" customHeight="1" x14ac:dyDescent="0.2">
      <c r="A99" s="55"/>
      <c r="B99" s="10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2.75" customHeight="1" x14ac:dyDescent="0.2">
      <c r="A100" s="55"/>
      <c r="B100" s="10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2.75" customHeight="1" x14ac:dyDescent="0.2">
      <c r="A101" s="55"/>
      <c r="B101" s="10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2.75" customHeight="1" x14ac:dyDescent="0.2">
      <c r="A102" s="55"/>
      <c r="B102" s="10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2.75" customHeight="1" x14ac:dyDescent="0.2">
      <c r="A103" s="55"/>
      <c r="B103" s="10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2.75" customHeight="1" x14ac:dyDescent="0.2">
      <c r="A104" s="55"/>
      <c r="B104" s="10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2.75" customHeight="1" x14ac:dyDescent="0.2">
      <c r="A105" s="55"/>
      <c r="B105" s="10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2.75" customHeight="1" x14ac:dyDescent="0.2">
      <c r="A106" s="55"/>
      <c r="B106" s="10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2.75" customHeight="1" x14ac:dyDescent="0.2">
      <c r="A107" s="55"/>
      <c r="B107" s="10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2.75" customHeight="1" x14ac:dyDescent="0.2">
      <c r="A108" s="55"/>
      <c r="B108" s="10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2.75" customHeight="1" x14ac:dyDescent="0.2">
      <c r="A109" s="55"/>
      <c r="B109" s="10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2.75" customHeight="1" x14ac:dyDescent="0.2">
      <c r="A110" s="55"/>
      <c r="B110" s="10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2.75" customHeight="1" x14ac:dyDescent="0.2">
      <c r="A111" s="55"/>
      <c r="B111" s="10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2.75" customHeight="1" x14ac:dyDescent="0.2">
      <c r="A112" s="55"/>
      <c r="B112" s="10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2.75" customHeight="1" x14ac:dyDescent="0.2">
      <c r="A113" s="55"/>
      <c r="B113" s="10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2.75" customHeight="1" x14ac:dyDescent="0.2">
      <c r="A114" s="55"/>
      <c r="B114" s="10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2.75" customHeight="1" x14ac:dyDescent="0.2">
      <c r="A115" s="55"/>
      <c r="B115" s="10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2.75" customHeight="1" x14ac:dyDescent="0.2">
      <c r="A116" s="55"/>
      <c r="B116" s="10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2.75" customHeight="1" x14ac:dyDescent="0.2">
      <c r="A117" s="55"/>
      <c r="B117" s="10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2.75" customHeight="1" x14ac:dyDescent="0.2">
      <c r="A118" s="55"/>
      <c r="B118" s="10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2.75" customHeight="1" x14ac:dyDescent="0.2">
      <c r="A119" s="55"/>
      <c r="B119" s="10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2.75" customHeight="1" x14ac:dyDescent="0.2">
      <c r="A120" s="55"/>
      <c r="B120" s="10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2.75" customHeight="1" x14ac:dyDescent="0.2">
      <c r="A121" s="55"/>
      <c r="B121" s="10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2.75" customHeight="1" x14ac:dyDescent="0.2">
      <c r="A122" s="55"/>
      <c r="B122" s="10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2.75" customHeight="1" x14ac:dyDescent="0.2">
      <c r="A123" s="55"/>
      <c r="B123" s="10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2.75" customHeight="1" x14ac:dyDescent="0.2">
      <c r="A124" s="55"/>
      <c r="B124" s="10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2.75" customHeight="1" x14ac:dyDescent="0.2">
      <c r="A125" s="55"/>
      <c r="B125" s="10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2.75" customHeight="1" x14ac:dyDescent="0.2">
      <c r="A126" s="55"/>
      <c r="B126" s="10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2.75" customHeight="1" x14ac:dyDescent="0.2">
      <c r="A127" s="55"/>
      <c r="B127" s="10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2.75" customHeight="1" x14ac:dyDescent="0.2">
      <c r="A128" s="55"/>
      <c r="B128" s="10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2.75" customHeight="1" x14ac:dyDescent="0.2">
      <c r="A129" s="55"/>
      <c r="B129" s="10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2.75" customHeight="1" x14ac:dyDescent="0.2">
      <c r="A130" s="55"/>
      <c r="B130" s="10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2.75" customHeight="1" x14ac:dyDescent="0.2">
      <c r="A131" s="55"/>
      <c r="B131" s="10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2.75" customHeight="1" x14ac:dyDescent="0.2">
      <c r="A132" s="55"/>
      <c r="B132" s="10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2.75" customHeight="1" x14ac:dyDescent="0.2">
      <c r="A133" s="55"/>
      <c r="B133" s="10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2.75" customHeight="1" x14ac:dyDescent="0.2">
      <c r="A134" s="55"/>
      <c r="B134" s="10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2.75" customHeight="1" x14ac:dyDescent="0.2">
      <c r="A135" s="55"/>
      <c r="B135" s="10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2.75" customHeight="1" x14ac:dyDescent="0.2">
      <c r="A136" s="55"/>
      <c r="B136" s="10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2.75" customHeight="1" x14ac:dyDescent="0.2">
      <c r="A137" s="55"/>
      <c r="B137" s="10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2.75" customHeight="1" x14ac:dyDescent="0.2">
      <c r="A138" s="55"/>
      <c r="B138" s="10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2.75" customHeight="1" x14ac:dyDescent="0.2">
      <c r="A139" s="55"/>
      <c r="B139" s="10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2.75" customHeight="1" x14ac:dyDescent="0.2">
      <c r="A140" s="55"/>
      <c r="B140" s="10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2.75" customHeight="1" x14ac:dyDescent="0.2">
      <c r="A141" s="55"/>
      <c r="B141" s="10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2.75" customHeight="1" x14ac:dyDescent="0.2">
      <c r="A142" s="55"/>
      <c r="B142" s="10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2.75" customHeight="1" x14ac:dyDescent="0.2">
      <c r="A143" s="55"/>
      <c r="B143" s="10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2.75" customHeight="1" x14ac:dyDescent="0.2">
      <c r="A144" s="55"/>
      <c r="B144" s="10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2.75" customHeight="1" x14ac:dyDescent="0.2">
      <c r="A145" s="55"/>
      <c r="B145" s="10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2.75" customHeight="1" x14ac:dyDescent="0.2">
      <c r="A146" s="55"/>
      <c r="B146" s="10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2.75" customHeight="1" x14ac:dyDescent="0.2">
      <c r="A147" s="55"/>
      <c r="B147" s="10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2.75" customHeight="1" x14ac:dyDescent="0.2">
      <c r="A148" s="55"/>
      <c r="B148" s="10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2.75" customHeight="1" x14ac:dyDescent="0.2">
      <c r="A149" s="55"/>
      <c r="B149" s="10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2.75" customHeight="1" x14ac:dyDescent="0.2">
      <c r="A150" s="55"/>
      <c r="B150" s="10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2.75" customHeight="1" x14ac:dyDescent="0.2">
      <c r="A151" s="55"/>
      <c r="B151" s="10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2.75" customHeight="1" x14ac:dyDescent="0.2">
      <c r="A152" s="55"/>
      <c r="B152" s="10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2.75" customHeight="1" x14ac:dyDescent="0.2">
      <c r="A153" s="55"/>
      <c r="B153" s="10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2.75" customHeight="1" x14ac:dyDescent="0.2">
      <c r="A154" s="55"/>
      <c r="B154" s="10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2.75" customHeight="1" x14ac:dyDescent="0.2">
      <c r="A155" s="55"/>
      <c r="B155" s="10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2.75" customHeight="1" x14ac:dyDescent="0.2">
      <c r="A156" s="55"/>
      <c r="B156" s="10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2.75" customHeight="1" x14ac:dyDescent="0.2">
      <c r="A157" s="55"/>
      <c r="B157" s="10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2.75" customHeight="1" x14ac:dyDescent="0.2">
      <c r="A158" s="55"/>
      <c r="B158" s="10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2.75" customHeight="1" x14ac:dyDescent="0.2">
      <c r="A159" s="55"/>
      <c r="B159" s="10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2.75" customHeight="1" x14ac:dyDescent="0.2">
      <c r="A160" s="55"/>
      <c r="B160" s="10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2.75" customHeight="1" x14ac:dyDescent="0.2">
      <c r="A161" s="55"/>
      <c r="B161" s="10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2.75" customHeight="1" x14ac:dyDescent="0.2">
      <c r="A162" s="55"/>
      <c r="B162" s="10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2.75" customHeight="1" x14ac:dyDescent="0.2">
      <c r="A163" s="55"/>
      <c r="B163" s="10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2.75" customHeight="1" x14ac:dyDescent="0.2">
      <c r="A164" s="55"/>
      <c r="B164" s="10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2.75" customHeight="1" x14ac:dyDescent="0.2">
      <c r="A165" s="55"/>
      <c r="B165" s="10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2.75" customHeight="1" x14ac:dyDescent="0.2">
      <c r="A166" s="55"/>
      <c r="B166" s="10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2.75" customHeight="1" x14ac:dyDescent="0.2">
      <c r="A167" s="55"/>
      <c r="B167" s="10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2.75" customHeight="1" x14ac:dyDescent="0.2">
      <c r="A168" s="55"/>
      <c r="B168" s="10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2.75" customHeight="1" x14ac:dyDescent="0.2">
      <c r="A169" s="55"/>
      <c r="B169" s="10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2.75" customHeight="1" x14ac:dyDescent="0.2">
      <c r="A170" s="55"/>
      <c r="B170" s="10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2.75" customHeight="1" x14ac:dyDescent="0.2">
      <c r="A171" s="55"/>
      <c r="B171" s="10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2.75" customHeight="1" x14ac:dyDescent="0.2">
      <c r="A172" s="55"/>
      <c r="B172" s="10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2.75" customHeight="1" x14ac:dyDescent="0.2">
      <c r="A173" s="55"/>
      <c r="B173" s="10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2.75" customHeight="1" x14ac:dyDescent="0.2">
      <c r="A174" s="55"/>
      <c r="B174" s="10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2.75" customHeight="1" x14ac:dyDescent="0.2">
      <c r="A175" s="55"/>
      <c r="B175" s="10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2.75" customHeight="1" x14ac:dyDescent="0.2">
      <c r="A176" s="55"/>
      <c r="B176" s="10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2.75" customHeight="1" x14ac:dyDescent="0.2">
      <c r="A177" s="55"/>
      <c r="B177" s="10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2.75" customHeight="1" x14ac:dyDescent="0.2">
      <c r="A178" s="55"/>
      <c r="B178" s="10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2.75" customHeight="1" x14ac:dyDescent="0.2">
      <c r="A179" s="55"/>
      <c r="B179" s="10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2.75" customHeight="1" x14ac:dyDescent="0.2">
      <c r="A180" s="55"/>
      <c r="B180" s="10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2.75" customHeight="1" x14ac:dyDescent="0.2">
      <c r="A181" s="55"/>
      <c r="B181" s="10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2.75" customHeight="1" x14ac:dyDescent="0.2">
      <c r="A182" s="55"/>
      <c r="B182" s="10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2.75" customHeight="1" x14ac:dyDescent="0.2">
      <c r="A183" s="55"/>
      <c r="B183" s="10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2.75" customHeight="1" x14ac:dyDescent="0.2">
      <c r="A184" s="55"/>
      <c r="B184" s="10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2.75" customHeight="1" x14ac:dyDescent="0.2">
      <c r="A185" s="55"/>
      <c r="B185" s="10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2.75" customHeight="1" x14ac:dyDescent="0.2">
      <c r="A186" s="55"/>
      <c r="B186" s="10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2.75" customHeight="1" x14ac:dyDescent="0.2">
      <c r="A187" s="55"/>
      <c r="B187" s="10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2.75" customHeight="1" x14ac:dyDescent="0.2">
      <c r="A188" s="55"/>
      <c r="B188" s="10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2.75" customHeight="1" x14ac:dyDescent="0.2">
      <c r="A189" s="55"/>
      <c r="B189" s="10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2.75" customHeight="1" x14ac:dyDescent="0.2">
      <c r="A190" s="55"/>
      <c r="B190" s="10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2.75" customHeight="1" x14ac:dyDescent="0.2">
      <c r="A191" s="55"/>
      <c r="B191" s="10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2.75" customHeight="1" x14ac:dyDescent="0.2">
      <c r="A192" s="55"/>
      <c r="B192" s="10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2.75" customHeight="1" x14ac:dyDescent="0.2">
      <c r="A193" s="55"/>
      <c r="B193" s="10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2.75" customHeight="1" x14ac:dyDescent="0.2">
      <c r="A194" s="55"/>
      <c r="B194" s="10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2.75" customHeight="1" x14ac:dyDescent="0.2">
      <c r="A195" s="55"/>
      <c r="B195" s="10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2.75" customHeight="1" x14ac:dyDescent="0.2">
      <c r="A196" s="55"/>
      <c r="B196" s="10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2.75" customHeight="1" x14ac:dyDescent="0.2">
      <c r="A197" s="55"/>
      <c r="B197" s="10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2.75" customHeight="1" x14ac:dyDescent="0.2">
      <c r="A198" s="55"/>
      <c r="B198" s="10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2.75" customHeight="1" x14ac:dyDescent="0.2">
      <c r="A199" s="55"/>
      <c r="B199" s="10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2.75" customHeight="1" x14ac:dyDescent="0.2">
      <c r="A200" s="55"/>
      <c r="B200" s="10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2.75" customHeight="1" x14ac:dyDescent="0.2">
      <c r="A201" s="55"/>
      <c r="B201" s="10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2.75" customHeight="1" x14ac:dyDescent="0.2">
      <c r="A202" s="55"/>
      <c r="B202" s="10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2.75" customHeight="1" x14ac:dyDescent="0.2">
      <c r="A203" s="55"/>
      <c r="B203" s="10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2.75" customHeight="1" x14ac:dyDescent="0.2">
      <c r="A204" s="55"/>
      <c r="B204" s="10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2.75" customHeight="1" x14ac:dyDescent="0.2">
      <c r="A205" s="55"/>
      <c r="B205" s="10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2.75" customHeight="1" x14ac:dyDescent="0.2">
      <c r="A206" s="55"/>
      <c r="B206" s="10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2.75" customHeight="1" x14ac:dyDescent="0.2">
      <c r="A207" s="55"/>
      <c r="B207" s="10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2.75" customHeight="1" x14ac:dyDescent="0.2">
      <c r="A208" s="55"/>
      <c r="B208" s="10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2.75" customHeight="1" x14ac:dyDescent="0.2">
      <c r="A209" s="55"/>
      <c r="B209" s="10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2.75" customHeight="1" x14ac:dyDescent="0.2">
      <c r="A210" s="55"/>
      <c r="B210" s="10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2.75" customHeight="1" x14ac:dyDescent="0.2">
      <c r="A211" s="55"/>
      <c r="B211" s="10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2.75" customHeight="1" x14ac:dyDescent="0.2">
      <c r="A212" s="55"/>
      <c r="B212" s="10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2.75" customHeight="1" x14ac:dyDescent="0.2">
      <c r="A213" s="55"/>
      <c r="B213" s="10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2.75" customHeight="1" x14ac:dyDescent="0.2">
      <c r="A214" s="55"/>
      <c r="B214" s="10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2.75" customHeight="1" x14ac:dyDescent="0.2">
      <c r="A215" s="55"/>
      <c r="B215" s="10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2.75" customHeight="1" x14ac:dyDescent="0.2">
      <c r="A216" s="55"/>
      <c r="B216" s="10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2.75" customHeight="1" x14ac:dyDescent="0.2">
      <c r="A217" s="55"/>
      <c r="B217" s="10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2.75" customHeight="1" x14ac:dyDescent="0.2">
      <c r="A218" s="55"/>
      <c r="B218" s="10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2.75" customHeight="1" x14ac:dyDescent="0.2">
      <c r="A219" s="55"/>
      <c r="B219" s="10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2.75" customHeight="1" x14ac:dyDescent="0.2">
      <c r="A220" s="55"/>
      <c r="B220" s="10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2.75" customHeight="1" x14ac:dyDescent="0.2">
      <c r="A221" s="55"/>
      <c r="B221" s="10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2.75" customHeight="1" x14ac:dyDescent="0.2">
      <c r="A222" s="55"/>
      <c r="B222" s="10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2.75" customHeight="1" x14ac:dyDescent="0.2">
      <c r="A223" s="55"/>
      <c r="B223" s="10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2.75" customHeight="1" x14ac:dyDescent="0.2">
      <c r="A224" s="55"/>
      <c r="B224" s="10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2.75" customHeight="1" x14ac:dyDescent="0.2">
      <c r="A225" s="55"/>
      <c r="B225" s="10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2.75" customHeight="1" x14ac:dyDescent="0.2">
      <c r="A226" s="55"/>
      <c r="B226" s="10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2.75" customHeight="1" x14ac:dyDescent="0.2">
      <c r="A227" s="55"/>
      <c r="B227" s="10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2.75" customHeight="1" x14ac:dyDescent="0.2">
      <c r="A228" s="55"/>
      <c r="B228" s="10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2.75" customHeight="1" x14ac:dyDescent="0.2">
      <c r="A229" s="55"/>
      <c r="B229" s="10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2.75" customHeight="1" x14ac:dyDescent="0.2">
      <c r="A230" s="55"/>
      <c r="B230" s="10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2.75" customHeight="1" x14ac:dyDescent="0.2">
      <c r="A231" s="55"/>
      <c r="B231" s="10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2.75" customHeight="1" x14ac:dyDescent="0.2">
      <c r="A232" s="55"/>
      <c r="B232" s="10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2.75" customHeight="1" x14ac:dyDescent="0.2">
      <c r="A233" s="55"/>
      <c r="B233" s="10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2.75" customHeight="1" x14ac:dyDescent="0.2">
      <c r="A234" s="55"/>
      <c r="B234" s="10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2.75" customHeight="1" x14ac:dyDescent="0.2">
      <c r="A235" s="55"/>
      <c r="B235" s="10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2.75" customHeight="1" x14ac:dyDescent="0.2">
      <c r="A236" s="55"/>
      <c r="B236" s="10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2.75" customHeight="1" x14ac:dyDescent="0.2">
      <c r="A237" s="55"/>
      <c r="B237" s="10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2.75" customHeight="1" x14ac:dyDescent="0.2">
      <c r="A238" s="55"/>
      <c r="B238" s="10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2.75" customHeight="1" x14ac:dyDescent="0.2">
      <c r="A239" s="55"/>
      <c r="B239" s="10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2.75" customHeight="1" x14ac:dyDescent="0.2">
      <c r="A240" s="55"/>
      <c r="B240" s="10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2.75" customHeight="1" x14ac:dyDescent="0.2">
      <c r="A241" s="55"/>
      <c r="B241" s="10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2.75" customHeight="1" x14ac:dyDescent="0.2">
      <c r="A242" s="55"/>
      <c r="B242" s="10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2.75" customHeight="1" x14ac:dyDescent="0.2">
      <c r="A243" s="55"/>
      <c r="B243" s="10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2.75" customHeight="1" x14ac:dyDescent="0.2">
      <c r="A244" s="55"/>
      <c r="B244" s="10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2.75" customHeight="1" x14ac:dyDescent="0.2">
      <c r="A245" s="55"/>
      <c r="B245" s="10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2.75" customHeight="1" x14ac:dyDescent="0.2">
      <c r="A246" s="55"/>
      <c r="B246" s="10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2.75" customHeight="1" x14ac:dyDescent="0.2">
      <c r="A247" s="55"/>
      <c r="B247" s="10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2.75" customHeight="1" x14ac:dyDescent="0.2">
      <c r="A248" s="55"/>
      <c r="B248" s="10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2.75" customHeight="1" x14ac:dyDescent="0.2">
      <c r="A249" s="55"/>
      <c r="B249" s="10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2.75" customHeight="1" x14ac:dyDescent="0.2">
      <c r="A250" s="55"/>
      <c r="B250" s="10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2.75" customHeight="1" x14ac:dyDescent="0.2">
      <c r="A251" s="55"/>
      <c r="B251" s="10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2.75" customHeight="1" x14ac:dyDescent="0.2">
      <c r="A252" s="55"/>
      <c r="B252" s="10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2.75" customHeight="1" x14ac:dyDescent="0.2">
      <c r="A253" s="55"/>
      <c r="B253" s="10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2.75" customHeight="1" x14ac:dyDescent="0.2">
      <c r="A254" s="55"/>
      <c r="B254" s="10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2.75" customHeight="1" x14ac:dyDescent="0.2">
      <c r="A255" s="55"/>
      <c r="B255" s="10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2.75" customHeight="1" x14ac:dyDescent="0.2">
      <c r="A256" s="55"/>
      <c r="B256" s="10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2.75" customHeight="1" x14ac:dyDescent="0.2">
      <c r="A257" s="55"/>
      <c r="B257" s="10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2.75" customHeight="1" x14ac:dyDescent="0.2">
      <c r="A258" s="55"/>
      <c r="B258" s="10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2.75" customHeight="1" x14ac:dyDescent="0.2">
      <c r="A259" s="55"/>
      <c r="B259" s="10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2.75" customHeight="1" x14ac:dyDescent="0.2">
      <c r="A260" s="55"/>
      <c r="B260" s="10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2.75" customHeight="1" x14ac:dyDescent="0.2">
      <c r="A261" s="55"/>
      <c r="B261" s="10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2.75" customHeight="1" x14ac:dyDescent="0.2">
      <c r="A262" s="55"/>
      <c r="B262" s="10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2.75" customHeight="1" x14ac:dyDescent="0.2">
      <c r="A263" s="55"/>
      <c r="B263" s="10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2.75" customHeight="1" x14ac:dyDescent="0.2">
      <c r="A264" s="55"/>
      <c r="B264" s="10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2.75" customHeight="1" x14ac:dyDescent="0.2">
      <c r="A265" s="55"/>
      <c r="B265" s="10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2.75" customHeight="1" x14ac:dyDescent="0.2">
      <c r="A266" s="55"/>
      <c r="B266" s="10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2.75" customHeight="1" x14ac:dyDescent="0.2">
      <c r="A267" s="55"/>
      <c r="B267" s="10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2.75" customHeight="1" x14ac:dyDescent="0.2">
      <c r="A268" s="55"/>
      <c r="B268" s="10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2.75" customHeight="1" x14ac:dyDescent="0.2">
      <c r="A269" s="55"/>
      <c r="B269" s="10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2.75" customHeight="1" x14ac:dyDescent="0.2">
      <c r="A270" s="55"/>
      <c r="B270" s="10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2.75" customHeight="1" x14ac:dyDescent="0.2">
      <c r="A271" s="55"/>
      <c r="B271" s="10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2.75" customHeight="1" x14ac:dyDescent="0.2">
      <c r="A272" s="55"/>
      <c r="B272" s="10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2.75" customHeight="1" x14ac:dyDescent="0.2">
      <c r="A273" s="55"/>
      <c r="B273" s="10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2.75" customHeight="1" x14ac:dyDescent="0.2">
      <c r="A274" s="55"/>
      <c r="B274" s="10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2.75" customHeight="1" x14ac:dyDescent="0.2">
      <c r="A275" s="55"/>
      <c r="B275" s="10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2.75" customHeight="1" x14ac:dyDescent="0.2">
      <c r="A276" s="55"/>
      <c r="B276" s="10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2.75" customHeight="1" x14ac:dyDescent="0.2">
      <c r="A277" s="55"/>
      <c r="B277" s="10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2.75" customHeight="1" x14ac:dyDescent="0.2">
      <c r="A278" s="55"/>
      <c r="B278" s="10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2.75" customHeight="1" x14ac:dyDescent="0.2">
      <c r="A279" s="55"/>
      <c r="B279" s="10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2.75" customHeight="1" x14ac:dyDescent="0.2">
      <c r="A280" s="55"/>
      <c r="B280" s="10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2.75" customHeight="1" x14ac:dyDescent="0.2">
      <c r="A281" s="55"/>
      <c r="B281" s="10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2.75" customHeight="1" x14ac:dyDescent="0.2">
      <c r="A282" s="55"/>
      <c r="B282" s="10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2.75" customHeight="1" x14ac:dyDescent="0.2">
      <c r="A283" s="55"/>
      <c r="B283" s="10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2.75" customHeight="1" x14ac:dyDescent="0.2">
      <c r="A284" s="55"/>
      <c r="B284" s="10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2.75" customHeight="1" x14ac:dyDescent="0.2">
      <c r="A285" s="55"/>
      <c r="B285" s="10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2.75" customHeight="1" x14ac:dyDescent="0.2">
      <c r="A286" s="55"/>
      <c r="B286" s="10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2.75" customHeight="1" x14ac:dyDescent="0.2">
      <c r="A287" s="55"/>
      <c r="B287" s="10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2.75" customHeight="1" x14ac:dyDescent="0.2">
      <c r="A288" s="55"/>
      <c r="B288" s="10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2.75" customHeight="1" x14ac:dyDescent="0.2">
      <c r="A289" s="55"/>
      <c r="B289" s="10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2.75" customHeight="1" x14ac:dyDescent="0.2">
      <c r="A290" s="55"/>
      <c r="B290" s="10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2.75" customHeight="1" x14ac:dyDescent="0.2">
      <c r="A291" s="55"/>
      <c r="B291" s="10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2.75" customHeight="1" x14ac:dyDescent="0.2">
      <c r="A292" s="55"/>
      <c r="B292" s="10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2.75" customHeight="1" x14ac:dyDescent="0.2">
      <c r="A293" s="55"/>
      <c r="B293" s="10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2.75" customHeight="1" x14ac:dyDescent="0.2">
      <c r="A294" s="55"/>
      <c r="B294" s="10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2.75" customHeight="1" x14ac:dyDescent="0.2">
      <c r="A295" s="55"/>
      <c r="B295" s="10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2.75" customHeight="1" x14ac:dyDescent="0.2">
      <c r="A296" s="55"/>
      <c r="B296" s="10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2.75" customHeight="1" x14ac:dyDescent="0.2">
      <c r="A297" s="55"/>
      <c r="B297" s="10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2.75" customHeight="1" x14ac:dyDescent="0.2">
      <c r="A298" s="55"/>
      <c r="B298" s="10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2.75" customHeight="1" x14ac:dyDescent="0.2">
      <c r="A299" s="55"/>
      <c r="B299" s="10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2.75" customHeight="1" x14ac:dyDescent="0.2">
      <c r="A300" s="55"/>
      <c r="B300" s="10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2.75" customHeight="1" x14ac:dyDescent="0.2">
      <c r="A301" s="55"/>
      <c r="B301" s="10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2.75" customHeight="1" x14ac:dyDescent="0.2">
      <c r="A302" s="55"/>
      <c r="B302" s="10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2.75" customHeight="1" x14ac:dyDescent="0.2">
      <c r="A303" s="55"/>
      <c r="B303" s="10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2.75" customHeight="1" x14ac:dyDescent="0.2">
      <c r="A304" s="55"/>
      <c r="B304" s="10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2.75" customHeight="1" x14ac:dyDescent="0.2">
      <c r="A305" s="55"/>
      <c r="B305" s="10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2.75" customHeight="1" x14ac:dyDescent="0.2">
      <c r="A306" s="55"/>
      <c r="B306" s="10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2.75" customHeight="1" x14ac:dyDescent="0.2">
      <c r="A307" s="55"/>
      <c r="B307" s="10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2.75" customHeight="1" x14ac:dyDescent="0.2">
      <c r="A308" s="55"/>
      <c r="B308" s="10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2.75" customHeight="1" x14ac:dyDescent="0.2">
      <c r="A309" s="55"/>
      <c r="B309" s="10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2.75" customHeight="1" x14ac:dyDescent="0.2">
      <c r="A310" s="55"/>
      <c r="B310" s="10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2.75" customHeight="1" x14ac:dyDescent="0.2">
      <c r="A311" s="55"/>
      <c r="B311" s="10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2.75" customHeight="1" x14ac:dyDescent="0.2">
      <c r="A312" s="55"/>
      <c r="B312" s="10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2.75" customHeight="1" x14ac:dyDescent="0.2">
      <c r="A313" s="55"/>
      <c r="B313" s="10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2.75" customHeight="1" x14ac:dyDescent="0.2">
      <c r="A314" s="55"/>
      <c r="B314" s="10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2.75" customHeight="1" x14ac:dyDescent="0.2">
      <c r="A315" s="55"/>
      <c r="B315" s="10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2.75" customHeight="1" x14ac:dyDescent="0.2">
      <c r="A316" s="55"/>
      <c r="B316" s="10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2.75" customHeight="1" x14ac:dyDescent="0.2">
      <c r="A317" s="55"/>
      <c r="B317" s="10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2.75" customHeight="1" x14ac:dyDescent="0.2">
      <c r="A318" s="55"/>
      <c r="B318" s="10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2.75" customHeight="1" x14ac:dyDescent="0.2">
      <c r="A319" s="55"/>
      <c r="B319" s="10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2.75" customHeight="1" x14ac:dyDescent="0.2">
      <c r="A320" s="55"/>
      <c r="B320" s="10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2.75" customHeight="1" x14ac:dyDescent="0.2">
      <c r="A321" s="55"/>
      <c r="B321" s="10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2.75" customHeight="1" x14ac:dyDescent="0.2">
      <c r="A322" s="55"/>
      <c r="B322" s="10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2.75" customHeight="1" x14ac:dyDescent="0.2">
      <c r="A323" s="55"/>
      <c r="B323" s="10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2.75" customHeight="1" x14ac:dyDescent="0.2">
      <c r="A324" s="55"/>
      <c r="B324" s="10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2.75" customHeight="1" x14ac:dyDescent="0.2">
      <c r="A325" s="55"/>
      <c r="B325" s="10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2.75" customHeight="1" x14ac:dyDescent="0.2">
      <c r="A326" s="55"/>
      <c r="B326" s="10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2.75" customHeight="1" x14ac:dyDescent="0.2">
      <c r="A327" s="55"/>
      <c r="B327" s="10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2.75" customHeight="1" x14ac:dyDescent="0.2">
      <c r="A328" s="55"/>
      <c r="B328" s="10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2.75" customHeight="1" x14ac:dyDescent="0.2">
      <c r="A329" s="55"/>
      <c r="B329" s="10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2.75" customHeight="1" x14ac:dyDescent="0.2">
      <c r="A330" s="55"/>
      <c r="B330" s="10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2.75" customHeight="1" x14ac:dyDescent="0.2">
      <c r="A331" s="55"/>
      <c r="B331" s="10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2.75" customHeight="1" x14ac:dyDescent="0.2">
      <c r="A332" s="55"/>
      <c r="B332" s="10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2.75" customHeight="1" x14ac:dyDescent="0.2">
      <c r="A333" s="55"/>
      <c r="B333" s="10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2.75" customHeight="1" x14ac:dyDescent="0.2">
      <c r="A334" s="55"/>
      <c r="B334" s="10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2.75" customHeight="1" x14ac:dyDescent="0.2">
      <c r="A335" s="55"/>
      <c r="B335" s="10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2.75" customHeight="1" x14ac:dyDescent="0.2">
      <c r="A336" s="55"/>
      <c r="B336" s="10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2.75" customHeight="1" x14ac:dyDescent="0.2">
      <c r="A337" s="55"/>
      <c r="B337" s="10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2.75" customHeight="1" x14ac:dyDescent="0.2">
      <c r="A338" s="55"/>
      <c r="B338" s="10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2.75" customHeight="1" x14ac:dyDescent="0.2">
      <c r="A339" s="55"/>
      <c r="B339" s="10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2.75" customHeight="1" x14ac:dyDescent="0.2">
      <c r="A340" s="55"/>
      <c r="B340" s="10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2.75" customHeight="1" x14ac:dyDescent="0.2">
      <c r="A341" s="55"/>
      <c r="B341" s="10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2.75" customHeight="1" x14ac:dyDescent="0.2">
      <c r="A342" s="55"/>
      <c r="B342" s="10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2.75" customHeight="1" x14ac:dyDescent="0.2">
      <c r="A343" s="55"/>
      <c r="B343" s="10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2.75" customHeight="1" x14ac:dyDescent="0.2">
      <c r="A344" s="55"/>
      <c r="B344" s="10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2.75" customHeight="1" x14ac:dyDescent="0.2">
      <c r="A345" s="55"/>
      <c r="B345" s="10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2.75" customHeight="1" x14ac:dyDescent="0.2">
      <c r="A346" s="55"/>
      <c r="B346" s="10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2.75" customHeight="1" x14ac:dyDescent="0.2">
      <c r="A347" s="55"/>
      <c r="B347" s="10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2.75" customHeight="1" x14ac:dyDescent="0.2">
      <c r="A348" s="55"/>
      <c r="B348" s="10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2.75" customHeight="1" x14ac:dyDescent="0.2">
      <c r="A349" s="55"/>
      <c r="B349" s="10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2.75" customHeight="1" x14ac:dyDescent="0.2">
      <c r="A350" s="55"/>
      <c r="B350" s="10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2.75" customHeight="1" x14ac:dyDescent="0.2">
      <c r="A351" s="55"/>
      <c r="B351" s="10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2.75" customHeight="1" x14ac:dyDescent="0.2">
      <c r="A352" s="55"/>
      <c r="B352" s="10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2.75" customHeight="1" x14ac:dyDescent="0.2">
      <c r="A353" s="55"/>
      <c r="B353" s="10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2.75" customHeight="1" x14ac:dyDescent="0.2">
      <c r="A354" s="55"/>
      <c r="B354" s="10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2.75" customHeight="1" x14ac:dyDescent="0.2">
      <c r="A355" s="55"/>
      <c r="B355" s="10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2.75" customHeight="1" x14ac:dyDescent="0.2">
      <c r="A356" s="55"/>
      <c r="B356" s="10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2.75" customHeight="1" x14ac:dyDescent="0.2">
      <c r="A357" s="55"/>
      <c r="B357" s="10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2.75" customHeight="1" x14ac:dyDescent="0.2">
      <c r="A358" s="55"/>
      <c r="B358" s="10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2.75" customHeight="1" x14ac:dyDescent="0.2">
      <c r="A359" s="55"/>
      <c r="B359" s="10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2.75" customHeight="1" x14ac:dyDescent="0.2">
      <c r="A360" s="55"/>
      <c r="B360" s="10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2.75" customHeight="1" x14ac:dyDescent="0.2">
      <c r="A361" s="55"/>
      <c r="B361" s="10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2.75" customHeight="1" x14ac:dyDescent="0.2">
      <c r="A362" s="55"/>
      <c r="B362" s="10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2.75" customHeight="1" x14ac:dyDescent="0.2">
      <c r="A363" s="55"/>
      <c r="B363" s="10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2.75" customHeight="1" x14ac:dyDescent="0.2">
      <c r="A364" s="55"/>
      <c r="B364" s="10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2.75" customHeight="1" x14ac:dyDescent="0.2">
      <c r="A365" s="55"/>
      <c r="B365" s="10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2.75" customHeight="1" x14ac:dyDescent="0.2">
      <c r="A366" s="55"/>
      <c r="B366" s="10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2.75" customHeight="1" x14ac:dyDescent="0.2">
      <c r="A367" s="55"/>
      <c r="B367" s="10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2.75" customHeight="1" x14ac:dyDescent="0.2">
      <c r="A368" s="55"/>
      <c r="B368" s="10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2.75" customHeight="1" x14ac:dyDescent="0.2">
      <c r="A369" s="55"/>
      <c r="B369" s="10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2.75" customHeight="1" x14ac:dyDescent="0.2">
      <c r="A370" s="55"/>
      <c r="B370" s="10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2.75" customHeight="1" x14ac:dyDescent="0.2">
      <c r="A371" s="55"/>
      <c r="B371" s="10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2.75" customHeight="1" x14ac:dyDescent="0.2">
      <c r="A372" s="55"/>
      <c r="B372" s="10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2.75" customHeight="1" x14ac:dyDescent="0.2">
      <c r="A373" s="55"/>
      <c r="B373" s="10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2.75" customHeight="1" x14ac:dyDescent="0.2">
      <c r="A374" s="55"/>
      <c r="B374" s="10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2.75" customHeight="1" x14ac:dyDescent="0.2">
      <c r="A375" s="55"/>
      <c r="B375" s="10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2.75" customHeight="1" x14ac:dyDescent="0.2">
      <c r="A376" s="55"/>
      <c r="B376" s="10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2.75" customHeight="1" x14ac:dyDescent="0.2">
      <c r="A377" s="55"/>
      <c r="B377" s="10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2.75" customHeight="1" x14ac:dyDescent="0.2">
      <c r="A378" s="55"/>
      <c r="B378" s="10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2.75" customHeight="1" x14ac:dyDescent="0.2">
      <c r="A379" s="55"/>
      <c r="B379" s="10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2.75" customHeight="1" x14ac:dyDescent="0.2">
      <c r="A380" s="55"/>
      <c r="B380" s="10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2.75" customHeight="1" x14ac:dyDescent="0.2">
      <c r="A381" s="55"/>
      <c r="B381" s="10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2.75" customHeight="1" x14ac:dyDescent="0.2">
      <c r="A382" s="55"/>
      <c r="B382" s="10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2.75" customHeight="1" x14ac:dyDescent="0.2">
      <c r="A383" s="55"/>
      <c r="B383" s="10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2.75" customHeight="1" x14ac:dyDescent="0.2">
      <c r="A384" s="55"/>
      <c r="B384" s="10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2.75" customHeight="1" x14ac:dyDescent="0.2">
      <c r="A385" s="55"/>
      <c r="B385" s="10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2.75" customHeight="1" x14ac:dyDescent="0.2">
      <c r="A386" s="55"/>
      <c r="B386" s="10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2.75" customHeight="1" x14ac:dyDescent="0.2">
      <c r="A387" s="55"/>
      <c r="B387" s="10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2.75" customHeight="1" x14ac:dyDescent="0.2">
      <c r="A388" s="55"/>
      <c r="B388" s="10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2.75" customHeight="1" x14ac:dyDescent="0.2">
      <c r="A389" s="55"/>
      <c r="B389" s="10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2.75" customHeight="1" x14ac:dyDescent="0.2">
      <c r="A390" s="55"/>
      <c r="B390" s="10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2.75" customHeight="1" x14ac:dyDescent="0.2">
      <c r="A391" s="55"/>
      <c r="B391" s="10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2.75" customHeight="1" x14ac:dyDescent="0.2">
      <c r="A392" s="55"/>
      <c r="B392" s="10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2.75" customHeight="1" x14ac:dyDescent="0.2">
      <c r="A393" s="55"/>
      <c r="B393" s="10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2.75" customHeight="1" x14ac:dyDescent="0.2">
      <c r="A394" s="55"/>
      <c r="B394" s="10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2.75" customHeight="1" x14ac:dyDescent="0.2">
      <c r="A395" s="55"/>
      <c r="B395" s="10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2.75" customHeight="1" x14ac:dyDescent="0.2">
      <c r="A396" s="55"/>
      <c r="B396" s="10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2.75" customHeight="1" x14ac:dyDescent="0.2">
      <c r="A397" s="55"/>
      <c r="B397" s="10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2.75" customHeight="1" x14ac:dyDescent="0.2">
      <c r="A398" s="55"/>
      <c r="B398" s="10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2.75" customHeight="1" x14ac:dyDescent="0.2">
      <c r="A399" s="55"/>
      <c r="B399" s="10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2.75" customHeight="1" x14ac:dyDescent="0.2">
      <c r="A400" s="55"/>
      <c r="B400" s="10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2.75" customHeight="1" x14ac:dyDescent="0.2">
      <c r="A401" s="55"/>
      <c r="B401" s="10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2.75" customHeight="1" x14ac:dyDescent="0.2">
      <c r="A402" s="55"/>
      <c r="B402" s="10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2.75" customHeight="1" x14ac:dyDescent="0.2">
      <c r="A403" s="55"/>
      <c r="B403" s="10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2.75" customHeight="1" x14ac:dyDescent="0.2">
      <c r="A404" s="55"/>
      <c r="B404" s="10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2.75" customHeight="1" x14ac:dyDescent="0.2">
      <c r="A405" s="55"/>
      <c r="B405" s="10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2.75" customHeight="1" x14ac:dyDescent="0.2">
      <c r="A406" s="55"/>
      <c r="B406" s="10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2.75" customHeight="1" x14ac:dyDescent="0.2">
      <c r="A407" s="55"/>
      <c r="B407" s="10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2.75" customHeight="1" x14ac:dyDescent="0.2">
      <c r="A408" s="55"/>
      <c r="B408" s="10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2.75" customHeight="1" x14ac:dyDescent="0.2">
      <c r="A409" s="55"/>
      <c r="B409" s="10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2.75" customHeight="1" x14ac:dyDescent="0.2">
      <c r="A410" s="55"/>
      <c r="B410" s="10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2.75" customHeight="1" x14ac:dyDescent="0.2">
      <c r="A411" s="55"/>
      <c r="B411" s="10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2.75" customHeight="1" x14ac:dyDescent="0.2">
      <c r="A412" s="55"/>
      <c r="B412" s="10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2.75" customHeight="1" x14ac:dyDescent="0.2">
      <c r="A413" s="55"/>
      <c r="B413" s="10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2.75" customHeight="1" x14ac:dyDescent="0.2">
      <c r="A414" s="55"/>
      <c r="B414" s="10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2.75" customHeight="1" x14ac:dyDescent="0.2">
      <c r="A415" s="55"/>
      <c r="B415" s="10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2.75" customHeight="1" x14ac:dyDescent="0.2">
      <c r="A416" s="55"/>
      <c r="B416" s="10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2.75" customHeight="1" x14ac:dyDescent="0.2">
      <c r="A417" s="55"/>
      <c r="B417" s="10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2.75" customHeight="1" x14ac:dyDescent="0.2">
      <c r="A418" s="55"/>
      <c r="B418" s="10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2.75" customHeight="1" x14ac:dyDescent="0.2">
      <c r="A419" s="55"/>
      <c r="B419" s="10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2.75" customHeight="1" x14ac:dyDescent="0.2">
      <c r="A420" s="55"/>
      <c r="B420" s="10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2.75" customHeight="1" x14ac:dyDescent="0.2">
      <c r="A421" s="55"/>
      <c r="B421" s="10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2.75" customHeight="1" x14ac:dyDescent="0.2">
      <c r="A422" s="55"/>
      <c r="B422" s="10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2.75" customHeight="1" x14ac:dyDescent="0.2">
      <c r="A423" s="55"/>
      <c r="B423" s="10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2.75" customHeight="1" x14ac:dyDescent="0.2">
      <c r="A424" s="55"/>
      <c r="B424" s="10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2.75" customHeight="1" x14ac:dyDescent="0.2">
      <c r="A425" s="55"/>
      <c r="B425" s="10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2.75" customHeight="1" x14ac:dyDescent="0.2">
      <c r="A426" s="55"/>
      <c r="B426" s="10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2.75" customHeight="1" x14ac:dyDescent="0.2">
      <c r="A427" s="55"/>
      <c r="B427" s="10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2.75" customHeight="1" x14ac:dyDescent="0.2">
      <c r="A428" s="55"/>
      <c r="B428" s="10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2.75" customHeight="1" x14ac:dyDescent="0.2">
      <c r="A429" s="55"/>
      <c r="B429" s="10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2.75" customHeight="1" x14ac:dyDescent="0.2">
      <c r="A430" s="55"/>
      <c r="B430" s="10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2.75" customHeight="1" x14ac:dyDescent="0.2">
      <c r="A431" s="55"/>
      <c r="B431" s="10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2.75" customHeight="1" x14ac:dyDescent="0.2">
      <c r="A432" s="55"/>
      <c r="B432" s="10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2.75" customHeight="1" x14ac:dyDescent="0.2">
      <c r="A433" s="55"/>
      <c r="B433" s="10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2.75" customHeight="1" x14ac:dyDescent="0.2">
      <c r="A434" s="55"/>
      <c r="B434" s="10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2.75" customHeight="1" x14ac:dyDescent="0.2">
      <c r="A435" s="55"/>
      <c r="B435" s="10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2.75" customHeight="1" x14ac:dyDescent="0.2">
      <c r="A436" s="55"/>
      <c r="B436" s="10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2.75" customHeight="1" x14ac:dyDescent="0.2">
      <c r="A437" s="55"/>
      <c r="B437" s="10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2.75" customHeight="1" x14ac:dyDescent="0.2">
      <c r="A438" s="55"/>
      <c r="B438" s="10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2.75" customHeight="1" x14ac:dyDescent="0.2">
      <c r="A439" s="55"/>
      <c r="B439" s="10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2.75" customHeight="1" x14ac:dyDescent="0.2">
      <c r="A440" s="55"/>
      <c r="B440" s="10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2.75" customHeight="1" x14ac:dyDescent="0.2">
      <c r="A441" s="55"/>
      <c r="B441" s="10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2.75" customHeight="1" x14ac:dyDescent="0.2">
      <c r="A442" s="55"/>
      <c r="B442" s="10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2.75" customHeight="1" x14ac:dyDescent="0.2">
      <c r="A443" s="55"/>
      <c r="B443" s="10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2.75" customHeight="1" x14ac:dyDescent="0.2">
      <c r="A444" s="55"/>
      <c r="B444" s="10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2.75" customHeight="1" x14ac:dyDescent="0.2">
      <c r="A445" s="55"/>
      <c r="B445" s="10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2.75" customHeight="1" x14ac:dyDescent="0.2">
      <c r="A446" s="55"/>
      <c r="B446" s="10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2.75" customHeight="1" x14ac:dyDescent="0.2">
      <c r="A447" s="55"/>
      <c r="B447" s="10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2.75" customHeight="1" x14ac:dyDescent="0.2">
      <c r="A448" s="55"/>
      <c r="B448" s="10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2.75" customHeight="1" x14ac:dyDescent="0.2">
      <c r="A449" s="55"/>
      <c r="B449" s="10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2.75" customHeight="1" x14ac:dyDescent="0.2">
      <c r="A450" s="55"/>
      <c r="B450" s="10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2.75" customHeight="1" x14ac:dyDescent="0.2">
      <c r="A451" s="55"/>
      <c r="B451" s="10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2.75" customHeight="1" x14ac:dyDescent="0.2">
      <c r="A452" s="55"/>
      <c r="B452" s="10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2.75" customHeight="1" x14ac:dyDescent="0.2">
      <c r="A453" s="55"/>
      <c r="B453" s="10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2.75" customHeight="1" x14ac:dyDescent="0.2">
      <c r="A454" s="55"/>
      <c r="B454" s="10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2.75" customHeight="1" x14ac:dyDescent="0.2">
      <c r="A455" s="55"/>
      <c r="B455" s="10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2.75" customHeight="1" x14ac:dyDescent="0.2">
      <c r="A456" s="55"/>
      <c r="B456" s="10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2.75" customHeight="1" x14ac:dyDescent="0.2">
      <c r="A457" s="55"/>
      <c r="B457" s="10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2.75" customHeight="1" x14ac:dyDescent="0.2">
      <c r="A458" s="55"/>
      <c r="B458" s="10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2.75" customHeight="1" x14ac:dyDescent="0.2">
      <c r="A459" s="55"/>
      <c r="B459" s="10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2.75" customHeight="1" x14ac:dyDescent="0.2">
      <c r="A460" s="55"/>
      <c r="B460" s="10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2.75" customHeight="1" x14ac:dyDescent="0.2">
      <c r="A461" s="55"/>
      <c r="B461" s="10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2.75" customHeight="1" x14ac:dyDescent="0.2">
      <c r="A462" s="55"/>
      <c r="B462" s="10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2.75" customHeight="1" x14ac:dyDescent="0.2">
      <c r="A463" s="55"/>
      <c r="B463" s="10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2.75" customHeight="1" x14ac:dyDescent="0.2">
      <c r="A464" s="55"/>
      <c r="B464" s="10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2.75" customHeight="1" x14ac:dyDescent="0.2">
      <c r="A465" s="55"/>
      <c r="B465" s="10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2.75" customHeight="1" x14ac:dyDescent="0.2">
      <c r="A466" s="55"/>
      <c r="B466" s="10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2.75" customHeight="1" x14ac:dyDescent="0.2">
      <c r="A467" s="55"/>
      <c r="B467" s="10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2.75" customHeight="1" x14ac:dyDescent="0.2">
      <c r="A468" s="55"/>
      <c r="B468" s="10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2.75" customHeight="1" x14ac:dyDescent="0.2">
      <c r="A469" s="55"/>
      <c r="B469" s="10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2.75" customHeight="1" x14ac:dyDescent="0.2">
      <c r="A470" s="55"/>
      <c r="B470" s="10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2.75" customHeight="1" x14ac:dyDescent="0.2">
      <c r="A471" s="55"/>
      <c r="B471" s="10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2.75" customHeight="1" x14ac:dyDescent="0.2">
      <c r="A472" s="55"/>
      <c r="B472" s="10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2.75" customHeight="1" x14ac:dyDescent="0.2">
      <c r="A473" s="55"/>
      <c r="B473" s="10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2.75" customHeight="1" x14ac:dyDescent="0.2">
      <c r="A474" s="55"/>
      <c r="B474" s="10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2.75" customHeight="1" x14ac:dyDescent="0.2">
      <c r="A475" s="55"/>
      <c r="B475" s="10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2.75" customHeight="1" x14ac:dyDescent="0.2">
      <c r="A476" s="55"/>
      <c r="B476" s="10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2.75" customHeight="1" x14ac:dyDescent="0.2">
      <c r="A477" s="55"/>
      <c r="B477" s="10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2.75" customHeight="1" x14ac:dyDescent="0.2">
      <c r="A478" s="55"/>
      <c r="B478" s="10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2.75" customHeight="1" x14ac:dyDescent="0.2">
      <c r="A479" s="55"/>
      <c r="B479" s="10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2.75" customHeight="1" x14ac:dyDescent="0.2">
      <c r="A480" s="55"/>
      <c r="B480" s="10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2.75" customHeight="1" x14ac:dyDescent="0.2">
      <c r="A481" s="55"/>
      <c r="B481" s="10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2.75" customHeight="1" x14ac:dyDescent="0.2">
      <c r="A482" s="55"/>
      <c r="B482" s="10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2.75" customHeight="1" x14ac:dyDescent="0.2">
      <c r="A483" s="55"/>
      <c r="B483" s="10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2.75" customHeight="1" x14ac:dyDescent="0.2">
      <c r="A484" s="55"/>
      <c r="B484" s="10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2.75" customHeight="1" x14ac:dyDescent="0.2">
      <c r="A485" s="55"/>
      <c r="B485" s="10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2.75" customHeight="1" x14ac:dyDescent="0.2">
      <c r="A486" s="55"/>
      <c r="B486" s="10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2.75" customHeight="1" x14ac:dyDescent="0.2">
      <c r="A487" s="55"/>
      <c r="B487" s="10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2.75" customHeight="1" x14ac:dyDescent="0.2">
      <c r="A488" s="55"/>
      <c r="B488" s="10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2.75" customHeight="1" x14ac:dyDescent="0.2">
      <c r="A489" s="55"/>
      <c r="B489" s="10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2.75" customHeight="1" x14ac:dyDescent="0.2">
      <c r="A490" s="55"/>
      <c r="B490" s="10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2.75" customHeight="1" x14ac:dyDescent="0.2">
      <c r="A491" s="55"/>
      <c r="B491" s="10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2.75" customHeight="1" x14ac:dyDescent="0.2">
      <c r="A492" s="55"/>
      <c r="B492" s="10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2.75" customHeight="1" x14ac:dyDescent="0.2">
      <c r="A493" s="55"/>
      <c r="B493" s="10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2.75" customHeight="1" x14ac:dyDescent="0.2">
      <c r="A494" s="55"/>
      <c r="B494" s="10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2.75" customHeight="1" x14ac:dyDescent="0.2">
      <c r="A495" s="55"/>
      <c r="B495" s="10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2.75" customHeight="1" x14ac:dyDescent="0.2">
      <c r="A496" s="55"/>
      <c r="B496" s="10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2.75" customHeight="1" x14ac:dyDescent="0.2">
      <c r="A497" s="55"/>
      <c r="B497" s="10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2.75" customHeight="1" x14ac:dyDescent="0.2">
      <c r="A498" s="55"/>
      <c r="B498" s="10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2.75" customHeight="1" x14ac:dyDescent="0.2">
      <c r="A499" s="55"/>
      <c r="B499" s="10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2.75" customHeight="1" x14ac:dyDescent="0.2">
      <c r="A500" s="55"/>
      <c r="B500" s="10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2.75" customHeight="1" x14ac:dyDescent="0.2">
      <c r="A501" s="55"/>
      <c r="B501" s="10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2.75" customHeight="1" x14ac:dyDescent="0.2">
      <c r="A502" s="55"/>
      <c r="B502" s="10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2.75" customHeight="1" x14ac:dyDescent="0.2">
      <c r="A503" s="55"/>
      <c r="B503" s="10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2.75" customHeight="1" x14ac:dyDescent="0.2">
      <c r="A504" s="55"/>
      <c r="B504" s="10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2.75" customHeight="1" x14ac:dyDescent="0.2">
      <c r="A505" s="55"/>
      <c r="B505" s="10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2.75" customHeight="1" x14ac:dyDescent="0.2">
      <c r="A506" s="55"/>
      <c r="B506" s="10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2.75" customHeight="1" x14ac:dyDescent="0.2">
      <c r="A507" s="55"/>
      <c r="B507" s="10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2.75" customHeight="1" x14ac:dyDescent="0.2">
      <c r="A508" s="55"/>
      <c r="B508" s="10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2.75" customHeight="1" x14ac:dyDescent="0.2">
      <c r="A509" s="55"/>
      <c r="B509" s="10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2.75" customHeight="1" x14ac:dyDescent="0.2">
      <c r="A510" s="55"/>
      <c r="B510" s="10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2.75" customHeight="1" x14ac:dyDescent="0.2">
      <c r="A511" s="55"/>
      <c r="B511" s="10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2.75" customHeight="1" x14ac:dyDescent="0.2">
      <c r="A512" s="55"/>
      <c r="B512" s="10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2.75" customHeight="1" x14ac:dyDescent="0.2">
      <c r="A513" s="55"/>
      <c r="B513" s="10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2.75" customHeight="1" x14ac:dyDescent="0.2">
      <c r="A514" s="55"/>
      <c r="B514" s="10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2.75" customHeight="1" x14ac:dyDescent="0.2">
      <c r="A515" s="55"/>
      <c r="B515" s="10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2.75" customHeight="1" x14ac:dyDescent="0.2">
      <c r="A516" s="55"/>
      <c r="B516" s="10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2.75" customHeight="1" x14ac:dyDescent="0.2">
      <c r="A517" s="55"/>
      <c r="B517" s="10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2.75" customHeight="1" x14ac:dyDescent="0.2">
      <c r="A518" s="55"/>
      <c r="B518" s="10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2.75" customHeight="1" x14ac:dyDescent="0.2">
      <c r="A519" s="55"/>
      <c r="B519" s="10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2.75" customHeight="1" x14ac:dyDescent="0.2">
      <c r="A520" s="55"/>
      <c r="B520" s="10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2.75" customHeight="1" x14ac:dyDescent="0.2">
      <c r="A521" s="55"/>
      <c r="B521" s="10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2.75" customHeight="1" x14ac:dyDescent="0.2">
      <c r="A522" s="55"/>
      <c r="B522" s="10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2.75" customHeight="1" x14ac:dyDescent="0.2">
      <c r="A523" s="55"/>
      <c r="B523" s="10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2.75" customHeight="1" x14ac:dyDescent="0.2">
      <c r="A524" s="55"/>
      <c r="B524" s="10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2.75" customHeight="1" x14ac:dyDescent="0.2">
      <c r="A525" s="55"/>
      <c r="B525" s="10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2.75" customHeight="1" x14ac:dyDescent="0.2">
      <c r="A526" s="55"/>
      <c r="B526" s="10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2.75" customHeight="1" x14ac:dyDescent="0.2">
      <c r="A527" s="55"/>
      <c r="B527" s="10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2.75" customHeight="1" x14ac:dyDescent="0.2">
      <c r="A528" s="55"/>
      <c r="B528" s="10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2.75" customHeight="1" x14ac:dyDescent="0.2">
      <c r="A529" s="55"/>
      <c r="B529" s="10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2.75" customHeight="1" x14ac:dyDescent="0.2">
      <c r="A530" s="55"/>
      <c r="B530" s="10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2.75" customHeight="1" x14ac:dyDescent="0.2">
      <c r="A531" s="55"/>
      <c r="B531" s="10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2.75" customHeight="1" x14ac:dyDescent="0.2">
      <c r="A532" s="55"/>
      <c r="B532" s="10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2.75" customHeight="1" x14ac:dyDescent="0.2">
      <c r="A533" s="55"/>
      <c r="B533" s="10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2.75" customHeight="1" x14ac:dyDescent="0.2">
      <c r="A534" s="55"/>
      <c r="B534" s="10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2.75" customHeight="1" x14ac:dyDescent="0.2">
      <c r="A535" s="55"/>
      <c r="B535" s="10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2.75" customHeight="1" x14ac:dyDescent="0.2">
      <c r="A536" s="55"/>
      <c r="B536" s="10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2.75" customHeight="1" x14ac:dyDescent="0.2">
      <c r="A537" s="55"/>
      <c r="B537" s="10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2.75" customHeight="1" x14ac:dyDescent="0.2">
      <c r="A538" s="55"/>
      <c r="B538" s="10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2.75" customHeight="1" x14ac:dyDescent="0.2">
      <c r="A539" s="55"/>
      <c r="B539" s="10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2.75" customHeight="1" x14ac:dyDescent="0.2">
      <c r="A540" s="55"/>
      <c r="B540" s="10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2.75" customHeight="1" x14ac:dyDescent="0.2">
      <c r="A541" s="55"/>
      <c r="B541" s="10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2.75" customHeight="1" x14ac:dyDescent="0.2">
      <c r="A542" s="55"/>
      <c r="B542" s="10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2.75" customHeight="1" x14ac:dyDescent="0.2">
      <c r="A543" s="55"/>
      <c r="B543" s="10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2.75" customHeight="1" x14ac:dyDescent="0.2">
      <c r="A544" s="55"/>
      <c r="B544" s="10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2.75" customHeight="1" x14ac:dyDescent="0.2">
      <c r="A545" s="55"/>
      <c r="B545" s="10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2.75" customHeight="1" x14ac:dyDescent="0.2">
      <c r="A546" s="55"/>
      <c r="B546" s="10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2.75" customHeight="1" x14ac:dyDescent="0.2">
      <c r="A547" s="55"/>
      <c r="B547" s="10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2.75" customHeight="1" x14ac:dyDescent="0.2">
      <c r="A548" s="55"/>
      <c r="B548" s="10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2.75" customHeight="1" x14ac:dyDescent="0.2">
      <c r="A549" s="55"/>
      <c r="B549" s="10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2.75" customHeight="1" x14ac:dyDescent="0.2">
      <c r="A550" s="55"/>
      <c r="B550" s="10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2.75" customHeight="1" x14ac:dyDescent="0.2">
      <c r="A551" s="55"/>
      <c r="B551" s="10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2.75" customHeight="1" x14ac:dyDescent="0.2">
      <c r="A552" s="55"/>
      <c r="B552" s="10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2.75" customHeight="1" x14ac:dyDescent="0.2">
      <c r="A553" s="55"/>
      <c r="B553" s="10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2.75" customHeight="1" x14ac:dyDescent="0.2">
      <c r="A554" s="55"/>
      <c r="B554" s="10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2.75" customHeight="1" x14ac:dyDescent="0.2">
      <c r="A555" s="55"/>
      <c r="B555" s="10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2.75" customHeight="1" x14ac:dyDescent="0.2">
      <c r="A556" s="55"/>
      <c r="B556" s="10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2.75" customHeight="1" x14ac:dyDescent="0.2">
      <c r="A557" s="55"/>
      <c r="B557" s="10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2.75" customHeight="1" x14ac:dyDescent="0.2">
      <c r="A558" s="55"/>
      <c r="B558" s="10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2.75" customHeight="1" x14ac:dyDescent="0.2">
      <c r="A559" s="55"/>
      <c r="B559" s="10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2.75" customHeight="1" x14ac:dyDescent="0.2">
      <c r="A560" s="55"/>
      <c r="B560" s="10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2.75" customHeight="1" x14ac:dyDescent="0.2">
      <c r="A561" s="55"/>
      <c r="B561" s="10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2.75" customHeight="1" x14ac:dyDescent="0.2">
      <c r="A562" s="55"/>
      <c r="B562" s="10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2.75" customHeight="1" x14ac:dyDescent="0.2">
      <c r="A563" s="55"/>
      <c r="B563" s="10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2.75" customHeight="1" x14ac:dyDescent="0.2">
      <c r="A564" s="55"/>
      <c r="B564" s="10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2.75" customHeight="1" x14ac:dyDescent="0.2">
      <c r="A565" s="55"/>
      <c r="B565" s="10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2.75" customHeight="1" x14ac:dyDescent="0.2">
      <c r="A566" s="55"/>
      <c r="B566" s="10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2.75" customHeight="1" x14ac:dyDescent="0.2">
      <c r="A567" s="55"/>
      <c r="B567" s="10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2.75" customHeight="1" x14ac:dyDescent="0.2">
      <c r="A568" s="55"/>
      <c r="B568" s="10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2.75" customHeight="1" x14ac:dyDescent="0.2">
      <c r="A569" s="55"/>
      <c r="B569" s="10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2.75" customHeight="1" x14ac:dyDescent="0.2">
      <c r="A570" s="55"/>
      <c r="B570" s="10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2.75" customHeight="1" x14ac:dyDescent="0.2">
      <c r="A571" s="55"/>
      <c r="B571" s="10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2.75" customHeight="1" x14ac:dyDescent="0.2">
      <c r="A572" s="55"/>
      <c r="B572" s="10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2.75" customHeight="1" x14ac:dyDescent="0.2">
      <c r="A573" s="55"/>
      <c r="B573" s="10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2.75" customHeight="1" x14ac:dyDescent="0.2">
      <c r="A574" s="55"/>
      <c r="B574" s="10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2.75" customHeight="1" x14ac:dyDescent="0.2">
      <c r="A575" s="55"/>
      <c r="B575" s="10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2.75" customHeight="1" x14ac:dyDescent="0.2">
      <c r="A576" s="55"/>
      <c r="B576" s="10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2.75" customHeight="1" x14ac:dyDescent="0.2">
      <c r="A577" s="55"/>
      <c r="B577" s="10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2.75" customHeight="1" x14ac:dyDescent="0.2">
      <c r="A578" s="55"/>
      <c r="B578" s="10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2.75" customHeight="1" x14ac:dyDescent="0.2">
      <c r="A579" s="55"/>
      <c r="B579" s="10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2.75" customHeight="1" x14ac:dyDescent="0.2">
      <c r="A580" s="55"/>
      <c r="B580" s="10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2.75" customHeight="1" x14ac:dyDescent="0.2">
      <c r="A581" s="55"/>
      <c r="B581" s="10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2.75" customHeight="1" x14ac:dyDescent="0.2">
      <c r="A582" s="55"/>
      <c r="B582" s="10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2.75" customHeight="1" x14ac:dyDescent="0.2">
      <c r="A583" s="55"/>
      <c r="B583" s="10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2.75" customHeight="1" x14ac:dyDescent="0.2">
      <c r="A584" s="55"/>
      <c r="B584" s="10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2.75" customHeight="1" x14ac:dyDescent="0.2">
      <c r="A585" s="55"/>
      <c r="B585" s="10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2.75" customHeight="1" x14ac:dyDescent="0.2">
      <c r="A586" s="55"/>
      <c r="B586" s="10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2.75" customHeight="1" x14ac:dyDescent="0.2">
      <c r="A587" s="55"/>
      <c r="B587" s="10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2.75" customHeight="1" x14ac:dyDescent="0.2">
      <c r="A588" s="55"/>
      <c r="B588" s="10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2.75" customHeight="1" x14ac:dyDescent="0.2">
      <c r="A589" s="55"/>
      <c r="B589" s="10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2.75" customHeight="1" x14ac:dyDescent="0.2">
      <c r="A590" s="55"/>
      <c r="B590" s="10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2.75" customHeight="1" x14ac:dyDescent="0.2">
      <c r="A591" s="55"/>
      <c r="B591" s="10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2.75" customHeight="1" x14ac:dyDescent="0.2">
      <c r="A592" s="55"/>
      <c r="B592" s="10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2.75" customHeight="1" x14ac:dyDescent="0.2">
      <c r="A593" s="55"/>
      <c r="B593" s="10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2.75" customHeight="1" x14ac:dyDescent="0.2">
      <c r="A594" s="55"/>
      <c r="B594" s="10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2.75" customHeight="1" x14ac:dyDescent="0.2">
      <c r="A595" s="55"/>
      <c r="B595" s="10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2.75" customHeight="1" x14ac:dyDescent="0.2">
      <c r="A596" s="55"/>
      <c r="B596" s="10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2.75" customHeight="1" x14ac:dyDescent="0.2">
      <c r="A597" s="55"/>
      <c r="B597" s="10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2.75" customHeight="1" x14ac:dyDescent="0.2">
      <c r="A598" s="55"/>
      <c r="B598" s="10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2.75" customHeight="1" x14ac:dyDescent="0.2">
      <c r="A599" s="55"/>
      <c r="B599" s="10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2.75" customHeight="1" x14ac:dyDescent="0.2">
      <c r="A600" s="55"/>
      <c r="B600" s="10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2.75" customHeight="1" x14ac:dyDescent="0.2">
      <c r="A601" s="55"/>
      <c r="B601" s="10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2.75" customHeight="1" x14ac:dyDescent="0.2">
      <c r="A602" s="55"/>
      <c r="B602" s="10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2.75" customHeight="1" x14ac:dyDescent="0.2">
      <c r="A603" s="55"/>
      <c r="B603" s="10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2.75" customHeight="1" x14ac:dyDescent="0.2">
      <c r="A604" s="55"/>
      <c r="B604" s="10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2.75" customHeight="1" x14ac:dyDescent="0.2">
      <c r="A605" s="55"/>
      <c r="B605" s="10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2.75" customHeight="1" x14ac:dyDescent="0.2">
      <c r="A606" s="55"/>
      <c r="B606" s="10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2.75" customHeight="1" x14ac:dyDescent="0.2">
      <c r="A607" s="55"/>
      <c r="B607" s="10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2.75" customHeight="1" x14ac:dyDescent="0.2">
      <c r="A608" s="55"/>
      <c r="B608" s="10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2.75" customHeight="1" x14ac:dyDescent="0.2">
      <c r="A609" s="55"/>
      <c r="B609" s="10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2.75" customHeight="1" x14ac:dyDescent="0.2">
      <c r="A610" s="55"/>
      <c r="B610" s="10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2.75" customHeight="1" x14ac:dyDescent="0.2">
      <c r="A611" s="55"/>
      <c r="B611" s="10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2.75" customHeight="1" x14ac:dyDescent="0.2">
      <c r="A612" s="55"/>
      <c r="B612" s="10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2.75" customHeight="1" x14ac:dyDescent="0.2">
      <c r="A613" s="55"/>
      <c r="B613" s="10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2.75" customHeight="1" x14ac:dyDescent="0.2">
      <c r="A614" s="55"/>
      <c r="B614" s="10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2.75" customHeight="1" x14ac:dyDescent="0.2">
      <c r="A615" s="55"/>
      <c r="B615" s="10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2.75" customHeight="1" x14ac:dyDescent="0.2">
      <c r="A616" s="55"/>
      <c r="B616" s="10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2.75" customHeight="1" x14ac:dyDescent="0.2">
      <c r="A617" s="55"/>
      <c r="B617" s="10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2.75" customHeight="1" x14ac:dyDescent="0.2">
      <c r="A618" s="55"/>
      <c r="B618" s="10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2.75" customHeight="1" x14ac:dyDescent="0.2">
      <c r="A619" s="55"/>
      <c r="B619" s="10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2.75" customHeight="1" x14ac:dyDescent="0.2">
      <c r="A620" s="55"/>
      <c r="B620" s="10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2.75" customHeight="1" x14ac:dyDescent="0.2">
      <c r="A621" s="55"/>
      <c r="B621" s="10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2.75" customHeight="1" x14ac:dyDescent="0.2">
      <c r="A622" s="55"/>
      <c r="B622" s="10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2.75" customHeight="1" x14ac:dyDescent="0.2">
      <c r="A623" s="55"/>
      <c r="B623" s="10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2.75" customHeight="1" x14ac:dyDescent="0.2">
      <c r="A624" s="55"/>
      <c r="B624" s="10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2.75" customHeight="1" x14ac:dyDescent="0.2">
      <c r="A625" s="55"/>
      <c r="B625" s="10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2.75" customHeight="1" x14ac:dyDescent="0.2">
      <c r="A626" s="55"/>
      <c r="B626" s="10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2.75" customHeight="1" x14ac:dyDescent="0.2">
      <c r="A627" s="55"/>
      <c r="B627" s="10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2.75" customHeight="1" x14ac:dyDescent="0.2">
      <c r="A628" s="55"/>
      <c r="B628" s="10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2.75" customHeight="1" x14ac:dyDescent="0.2">
      <c r="A629" s="55"/>
      <c r="B629" s="10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2.75" customHeight="1" x14ac:dyDescent="0.2">
      <c r="A630" s="55"/>
      <c r="B630" s="10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2.75" customHeight="1" x14ac:dyDescent="0.2">
      <c r="A631" s="55"/>
      <c r="B631" s="10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2.75" customHeight="1" x14ac:dyDescent="0.2">
      <c r="A632" s="55"/>
      <c r="B632" s="10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2.75" customHeight="1" x14ac:dyDescent="0.2">
      <c r="A633" s="55"/>
      <c r="B633" s="10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2.75" customHeight="1" x14ac:dyDescent="0.2">
      <c r="A634" s="55"/>
      <c r="B634" s="10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2.75" customHeight="1" x14ac:dyDescent="0.2">
      <c r="A635" s="55"/>
      <c r="B635" s="10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2.75" customHeight="1" x14ac:dyDescent="0.2">
      <c r="A636" s="55"/>
      <c r="B636" s="10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2.75" customHeight="1" x14ac:dyDescent="0.2">
      <c r="A637" s="55"/>
      <c r="B637" s="10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2.75" customHeight="1" x14ac:dyDescent="0.2">
      <c r="A638" s="55"/>
      <c r="B638" s="10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2.75" customHeight="1" x14ac:dyDescent="0.2">
      <c r="A639" s="55"/>
      <c r="B639" s="10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2.75" customHeight="1" x14ac:dyDescent="0.2">
      <c r="A640" s="55"/>
      <c r="B640" s="10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2.75" customHeight="1" x14ac:dyDescent="0.2">
      <c r="A641" s="55"/>
      <c r="B641" s="10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2.75" customHeight="1" x14ac:dyDescent="0.2">
      <c r="A642" s="55"/>
      <c r="B642" s="10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2.75" customHeight="1" x14ac:dyDescent="0.2">
      <c r="A643" s="55"/>
      <c r="B643" s="10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2.75" customHeight="1" x14ac:dyDescent="0.2">
      <c r="A644" s="55"/>
      <c r="B644" s="10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2.75" customHeight="1" x14ac:dyDescent="0.2">
      <c r="A645" s="55"/>
      <c r="B645" s="10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2.75" customHeight="1" x14ac:dyDescent="0.2">
      <c r="A646" s="55"/>
      <c r="B646" s="10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2.75" customHeight="1" x14ac:dyDescent="0.2">
      <c r="A647" s="55"/>
      <c r="B647" s="10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2.75" customHeight="1" x14ac:dyDescent="0.2">
      <c r="A648" s="55"/>
      <c r="B648" s="10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2.75" customHeight="1" x14ac:dyDescent="0.2">
      <c r="A649" s="55"/>
      <c r="B649" s="10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2.75" customHeight="1" x14ac:dyDescent="0.2">
      <c r="A650" s="55"/>
      <c r="B650" s="10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2.75" customHeight="1" x14ac:dyDescent="0.2">
      <c r="A651" s="55"/>
      <c r="B651" s="10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2.75" customHeight="1" x14ac:dyDescent="0.2">
      <c r="A652" s="55"/>
      <c r="B652" s="10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2.75" customHeight="1" x14ac:dyDescent="0.2">
      <c r="A653" s="55"/>
      <c r="B653" s="10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2.75" customHeight="1" x14ac:dyDescent="0.2">
      <c r="A654" s="55"/>
      <c r="B654" s="10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2.75" customHeight="1" x14ac:dyDescent="0.2">
      <c r="A655" s="55"/>
      <c r="B655" s="10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2.75" customHeight="1" x14ac:dyDescent="0.2">
      <c r="A656" s="55"/>
      <c r="B656" s="10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2.75" customHeight="1" x14ac:dyDescent="0.2">
      <c r="A657" s="55"/>
      <c r="B657" s="10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2.75" customHeight="1" x14ac:dyDescent="0.2">
      <c r="A658" s="55"/>
      <c r="B658" s="10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2.75" customHeight="1" x14ac:dyDescent="0.2">
      <c r="A659" s="55"/>
      <c r="B659" s="10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2.75" customHeight="1" x14ac:dyDescent="0.2">
      <c r="A660" s="55"/>
      <c r="B660" s="10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2.75" customHeight="1" x14ac:dyDescent="0.2">
      <c r="A661" s="55"/>
      <c r="B661" s="10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2.75" customHeight="1" x14ac:dyDescent="0.2">
      <c r="A662" s="55"/>
      <c r="B662" s="10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2.75" customHeight="1" x14ac:dyDescent="0.2">
      <c r="A663" s="55"/>
      <c r="B663" s="10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2.75" customHeight="1" x14ac:dyDescent="0.2">
      <c r="A664" s="55"/>
      <c r="B664" s="10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2.75" customHeight="1" x14ac:dyDescent="0.2">
      <c r="A665" s="55"/>
      <c r="B665" s="10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2.75" customHeight="1" x14ac:dyDescent="0.2">
      <c r="A666" s="55"/>
      <c r="B666" s="10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2.75" customHeight="1" x14ac:dyDescent="0.2">
      <c r="A667" s="55"/>
      <c r="B667" s="10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2.75" customHeight="1" x14ac:dyDescent="0.2">
      <c r="A668" s="55"/>
      <c r="B668" s="10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2.75" customHeight="1" x14ac:dyDescent="0.2">
      <c r="A669" s="55"/>
      <c r="B669" s="10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2.75" customHeight="1" x14ac:dyDescent="0.2">
      <c r="A670" s="55"/>
      <c r="B670" s="10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2.75" customHeight="1" x14ac:dyDescent="0.2">
      <c r="A671" s="55"/>
      <c r="B671" s="10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2.75" customHeight="1" x14ac:dyDescent="0.2">
      <c r="A672" s="55"/>
      <c r="B672" s="10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2.75" customHeight="1" x14ac:dyDescent="0.2">
      <c r="A673" s="55"/>
      <c r="B673" s="10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2.75" customHeight="1" x14ac:dyDescent="0.2">
      <c r="A674" s="55"/>
      <c r="B674" s="10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2.75" customHeight="1" x14ac:dyDescent="0.2">
      <c r="A675" s="55"/>
      <c r="B675" s="10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2.75" customHeight="1" x14ac:dyDescent="0.2">
      <c r="A676" s="55"/>
      <c r="B676" s="10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2.75" customHeight="1" x14ac:dyDescent="0.2">
      <c r="A677" s="55"/>
      <c r="B677" s="10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2.75" customHeight="1" x14ac:dyDescent="0.2">
      <c r="A678" s="55"/>
      <c r="B678" s="10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2.75" customHeight="1" x14ac:dyDescent="0.2">
      <c r="A679" s="55"/>
      <c r="B679" s="10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2.75" customHeight="1" x14ac:dyDescent="0.2">
      <c r="A680" s="55"/>
      <c r="B680" s="10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2.75" customHeight="1" x14ac:dyDescent="0.2">
      <c r="A681" s="55"/>
      <c r="B681" s="10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2.75" customHeight="1" x14ac:dyDescent="0.2">
      <c r="A682" s="55"/>
      <c r="B682" s="10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2.75" customHeight="1" x14ac:dyDescent="0.2">
      <c r="A683" s="55"/>
      <c r="B683" s="10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2.75" customHeight="1" x14ac:dyDescent="0.2">
      <c r="A684" s="55"/>
      <c r="B684" s="10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2.75" customHeight="1" x14ac:dyDescent="0.2">
      <c r="A685" s="55"/>
      <c r="B685" s="10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2.75" customHeight="1" x14ac:dyDescent="0.2">
      <c r="A686" s="55"/>
      <c r="B686" s="10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2.75" customHeight="1" x14ac:dyDescent="0.2">
      <c r="A687" s="55"/>
      <c r="B687" s="10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2.75" customHeight="1" x14ac:dyDescent="0.2">
      <c r="A688" s="55"/>
      <c r="B688" s="10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2.75" customHeight="1" x14ac:dyDescent="0.2">
      <c r="A689" s="55"/>
      <c r="B689" s="10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2.75" customHeight="1" x14ac:dyDescent="0.2">
      <c r="A690" s="55"/>
      <c r="B690" s="10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2.75" customHeight="1" x14ac:dyDescent="0.2">
      <c r="A691" s="55"/>
      <c r="B691" s="10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2.75" customHeight="1" x14ac:dyDescent="0.2">
      <c r="A692" s="55"/>
      <c r="B692" s="10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2.75" customHeight="1" x14ac:dyDescent="0.2">
      <c r="A693" s="55"/>
      <c r="B693" s="10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2.75" customHeight="1" x14ac:dyDescent="0.2">
      <c r="A694" s="55"/>
      <c r="B694" s="10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2.75" customHeight="1" x14ac:dyDescent="0.2">
      <c r="A695" s="55"/>
      <c r="B695" s="10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2.75" customHeight="1" x14ac:dyDescent="0.2">
      <c r="A696" s="55"/>
      <c r="B696" s="10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2.75" customHeight="1" x14ac:dyDescent="0.2">
      <c r="A697" s="55"/>
      <c r="B697" s="10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2.75" customHeight="1" x14ac:dyDescent="0.2">
      <c r="A698" s="55"/>
      <c r="B698" s="10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2.75" customHeight="1" x14ac:dyDescent="0.2">
      <c r="A699" s="55"/>
      <c r="B699" s="10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2.75" customHeight="1" x14ac:dyDescent="0.2">
      <c r="A700" s="55"/>
      <c r="B700" s="10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2.75" customHeight="1" x14ac:dyDescent="0.2">
      <c r="A701" s="55"/>
      <c r="B701" s="10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2.75" customHeight="1" x14ac:dyDescent="0.2">
      <c r="A702" s="55"/>
      <c r="B702" s="10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2.75" customHeight="1" x14ac:dyDescent="0.2">
      <c r="A703" s="55"/>
      <c r="B703" s="10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2.75" customHeight="1" x14ac:dyDescent="0.2">
      <c r="A704" s="55"/>
      <c r="B704" s="10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2.75" customHeight="1" x14ac:dyDescent="0.2">
      <c r="A705" s="55"/>
      <c r="B705" s="10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2.75" customHeight="1" x14ac:dyDescent="0.2">
      <c r="A706" s="55"/>
      <c r="B706" s="10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2.75" customHeight="1" x14ac:dyDescent="0.2">
      <c r="A707" s="55"/>
      <c r="B707" s="10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2.75" customHeight="1" x14ac:dyDescent="0.2">
      <c r="A708" s="55"/>
      <c r="B708" s="10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2.75" customHeight="1" x14ac:dyDescent="0.2">
      <c r="A709" s="55"/>
      <c r="B709" s="10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2.75" customHeight="1" x14ac:dyDescent="0.2">
      <c r="A710" s="55"/>
      <c r="B710" s="10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2.75" customHeight="1" x14ac:dyDescent="0.2">
      <c r="A711" s="55"/>
      <c r="B711" s="10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2.75" customHeight="1" x14ac:dyDescent="0.2">
      <c r="A712" s="55"/>
      <c r="B712" s="10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2.75" customHeight="1" x14ac:dyDescent="0.2">
      <c r="A713" s="55"/>
      <c r="B713" s="10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2.75" customHeight="1" x14ac:dyDescent="0.2">
      <c r="A714" s="55"/>
      <c r="B714" s="10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2.75" customHeight="1" x14ac:dyDescent="0.2">
      <c r="A715" s="55"/>
      <c r="B715" s="10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2.75" customHeight="1" x14ac:dyDescent="0.2">
      <c r="A716" s="55"/>
      <c r="B716" s="10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2.75" customHeight="1" x14ac:dyDescent="0.2">
      <c r="A717" s="55"/>
      <c r="B717" s="10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2.75" customHeight="1" x14ac:dyDescent="0.2">
      <c r="A718" s="55"/>
      <c r="B718" s="10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2.75" customHeight="1" x14ac:dyDescent="0.2">
      <c r="A719" s="55"/>
      <c r="B719" s="10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2.75" customHeight="1" x14ac:dyDescent="0.2">
      <c r="A720" s="55"/>
      <c r="B720" s="10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2.75" customHeight="1" x14ac:dyDescent="0.2">
      <c r="A721" s="55"/>
      <c r="B721" s="10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2.75" customHeight="1" x14ac:dyDescent="0.2">
      <c r="A722" s="55"/>
      <c r="B722" s="10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2.75" customHeight="1" x14ac:dyDescent="0.2">
      <c r="A723" s="55"/>
      <c r="B723" s="10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2.75" customHeight="1" x14ac:dyDescent="0.2">
      <c r="A724" s="55"/>
      <c r="B724" s="10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2.75" customHeight="1" x14ac:dyDescent="0.2">
      <c r="A725" s="55"/>
      <c r="B725" s="10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2.75" customHeight="1" x14ac:dyDescent="0.2">
      <c r="A726" s="55"/>
      <c r="B726" s="10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2.75" customHeight="1" x14ac:dyDescent="0.2">
      <c r="A727" s="55"/>
      <c r="B727" s="10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2.75" customHeight="1" x14ac:dyDescent="0.2">
      <c r="A728" s="55"/>
      <c r="B728" s="10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2.75" customHeight="1" x14ac:dyDescent="0.2">
      <c r="A729" s="55"/>
      <c r="B729" s="10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2.75" customHeight="1" x14ac:dyDescent="0.2">
      <c r="A730" s="55"/>
      <c r="B730" s="10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2.75" customHeight="1" x14ac:dyDescent="0.2">
      <c r="A731" s="55"/>
      <c r="B731" s="10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2.75" customHeight="1" x14ac:dyDescent="0.2">
      <c r="A732" s="55"/>
      <c r="B732" s="10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2.75" customHeight="1" x14ac:dyDescent="0.2">
      <c r="A733" s="55"/>
      <c r="B733" s="10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2.75" customHeight="1" x14ac:dyDescent="0.2">
      <c r="A734" s="55"/>
      <c r="B734" s="10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2.75" customHeight="1" x14ac:dyDescent="0.2">
      <c r="A735" s="55"/>
      <c r="B735" s="10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2.75" customHeight="1" x14ac:dyDescent="0.2">
      <c r="A736" s="55"/>
      <c r="B736" s="10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2.75" customHeight="1" x14ac:dyDescent="0.2">
      <c r="A737" s="55"/>
      <c r="B737" s="10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2.75" customHeight="1" x14ac:dyDescent="0.2">
      <c r="A738" s="55"/>
      <c r="B738" s="10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2.75" customHeight="1" x14ac:dyDescent="0.2">
      <c r="A739" s="55"/>
      <c r="B739" s="10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2.75" customHeight="1" x14ac:dyDescent="0.2">
      <c r="A740" s="55"/>
      <c r="B740" s="10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2.75" customHeight="1" x14ac:dyDescent="0.2">
      <c r="A741" s="55"/>
      <c r="B741" s="10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2.75" customHeight="1" x14ac:dyDescent="0.2">
      <c r="A742" s="55"/>
      <c r="B742" s="10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2.75" customHeight="1" x14ac:dyDescent="0.2">
      <c r="A743" s="55"/>
      <c r="B743" s="10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2.75" customHeight="1" x14ac:dyDescent="0.2">
      <c r="A744" s="55"/>
      <c r="B744" s="10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2.75" customHeight="1" x14ac:dyDescent="0.2">
      <c r="A745" s="55"/>
      <c r="B745" s="10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2.75" customHeight="1" x14ac:dyDescent="0.2">
      <c r="A746" s="55"/>
      <c r="B746" s="10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2.75" customHeight="1" x14ac:dyDescent="0.2">
      <c r="A747" s="55"/>
      <c r="B747" s="10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2.75" customHeight="1" x14ac:dyDescent="0.2">
      <c r="A748" s="55"/>
      <c r="B748" s="10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2.75" customHeight="1" x14ac:dyDescent="0.2">
      <c r="A749" s="55"/>
      <c r="B749" s="10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2.75" customHeight="1" x14ac:dyDescent="0.2">
      <c r="A750" s="55"/>
      <c r="B750" s="10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2.75" customHeight="1" x14ac:dyDescent="0.2">
      <c r="A751" s="55"/>
      <c r="B751" s="10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2.75" customHeight="1" x14ac:dyDescent="0.2">
      <c r="A752" s="55"/>
      <c r="B752" s="10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2.75" customHeight="1" x14ac:dyDescent="0.2">
      <c r="A753" s="55"/>
      <c r="B753" s="10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2.75" customHeight="1" x14ac:dyDescent="0.2">
      <c r="A754" s="55"/>
      <c r="B754" s="10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2.75" customHeight="1" x14ac:dyDescent="0.2">
      <c r="A755" s="55"/>
      <c r="B755" s="10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2.75" customHeight="1" x14ac:dyDescent="0.2">
      <c r="A756" s="55"/>
      <c r="B756" s="10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2.75" customHeight="1" x14ac:dyDescent="0.2">
      <c r="A757" s="55"/>
      <c r="B757" s="10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2.75" customHeight="1" x14ac:dyDescent="0.2">
      <c r="A758" s="55"/>
      <c r="B758" s="10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2.75" customHeight="1" x14ac:dyDescent="0.2">
      <c r="A759" s="55"/>
      <c r="B759" s="10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2.75" customHeight="1" x14ac:dyDescent="0.2">
      <c r="A760" s="55"/>
      <c r="B760" s="10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2.75" customHeight="1" x14ac:dyDescent="0.2">
      <c r="A761" s="55"/>
      <c r="B761" s="10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2.75" customHeight="1" x14ac:dyDescent="0.2">
      <c r="A762" s="55"/>
      <c r="B762" s="10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2.75" customHeight="1" x14ac:dyDescent="0.2">
      <c r="A763" s="55"/>
      <c r="B763" s="10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2.75" customHeight="1" x14ac:dyDescent="0.2">
      <c r="A764" s="55"/>
      <c r="B764" s="10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2.75" customHeight="1" x14ac:dyDescent="0.2">
      <c r="A765" s="55"/>
      <c r="B765" s="10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2.75" customHeight="1" x14ac:dyDescent="0.2">
      <c r="A766" s="55"/>
      <c r="B766" s="10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2.75" customHeight="1" x14ac:dyDescent="0.2">
      <c r="A767" s="55"/>
      <c r="B767" s="10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2.75" customHeight="1" x14ac:dyDescent="0.2">
      <c r="A768" s="55"/>
      <c r="B768" s="10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2.75" customHeight="1" x14ac:dyDescent="0.2">
      <c r="A769" s="55"/>
      <c r="B769" s="10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2.75" customHeight="1" x14ac:dyDescent="0.2">
      <c r="A770" s="55"/>
      <c r="B770" s="10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2.75" customHeight="1" x14ac:dyDescent="0.2">
      <c r="A771" s="55"/>
      <c r="B771" s="10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2.75" customHeight="1" x14ac:dyDescent="0.2">
      <c r="A772" s="55"/>
      <c r="B772" s="10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2.75" customHeight="1" x14ac:dyDescent="0.2">
      <c r="A773" s="55"/>
      <c r="B773" s="10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2.75" customHeight="1" x14ac:dyDescent="0.2">
      <c r="A774" s="55"/>
      <c r="B774" s="10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2.75" customHeight="1" x14ac:dyDescent="0.2">
      <c r="A775" s="55"/>
      <c r="B775" s="10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2.75" customHeight="1" x14ac:dyDescent="0.2">
      <c r="A776" s="55"/>
      <c r="B776" s="10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2.75" customHeight="1" x14ac:dyDescent="0.2">
      <c r="A777" s="55"/>
      <c r="B777" s="10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2.75" customHeight="1" x14ac:dyDescent="0.2">
      <c r="A778" s="55"/>
      <c r="B778" s="10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2.75" customHeight="1" x14ac:dyDescent="0.2">
      <c r="A779" s="55"/>
      <c r="B779" s="10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2.75" customHeight="1" x14ac:dyDescent="0.2">
      <c r="A780" s="55"/>
      <c r="B780" s="10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2.75" customHeight="1" x14ac:dyDescent="0.2">
      <c r="A781" s="55"/>
      <c r="B781" s="10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2.75" customHeight="1" x14ac:dyDescent="0.2">
      <c r="A782" s="55"/>
      <c r="B782" s="10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2.75" customHeight="1" x14ac:dyDescent="0.2">
      <c r="A783" s="55"/>
      <c r="B783" s="10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2.75" customHeight="1" x14ac:dyDescent="0.2">
      <c r="A784" s="55"/>
      <c r="B784" s="10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2.75" customHeight="1" x14ac:dyDescent="0.2">
      <c r="A785" s="55"/>
      <c r="B785" s="10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2.75" customHeight="1" x14ac:dyDescent="0.2">
      <c r="A786" s="55"/>
      <c r="B786" s="10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2.75" customHeight="1" x14ac:dyDescent="0.2">
      <c r="A787" s="55"/>
      <c r="B787" s="10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2.75" customHeight="1" x14ac:dyDescent="0.2">
      <c r="A788" s="55"/>
      <c r="B788" s="10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2.75" customHeight="1" x14ac:dyDescent="0.2">
      <c r="A789" s="55"/>
      <c r="B789" s="10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2.75" customHeight="1" x14ac:dyDescent="0.2">
      <c r="A790" s="55"/>
      <c r="B790" s="10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2.75" customHeight="1" x14ac:dyDescent="0.2">
      <c r="A791" s="55"/>
      <c r="B791" s="10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2.75" customHeight="1" x14ac:dyDescent="0.2">
      <c r="A792" s="55"/>
      <c r="B792" s="10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2.75" customHeight="1" x14ac:dyDescent="0.2">
      <c r="A793" s="55"/>
      <c r="B793" s="10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2.75" customHeight="1" x14ac:dyDescent="0.2">
      <c r="A794" s="55"/>
      <c r="B794" s="10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2.75" customHeight="1" x14ac:dyDescent="0.2">
      <c r="A795" s="55"/>
      <c r="B795" s="10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2.75" customHeight="1" x14ac:dyDescent="0.2">
      <c r="A796" s="55"/>
      <c r="B796" s="10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2.75" customHeight="1" x14ac:dyDescent="0.2">
      <c r="A797" s="55"/>
      <c r="B797" s="10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2.75" customHeight="1" x14ac:dyDescent="0.2">
      <c r="A798" s="55"/>
      <c r="B798" s="10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2.75" customHeight="1" x14ac:dyDescent="0.2">
      <c r="A799" s="55"/>
      <c r="B799" s="10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2.75" customHeight="1" x14ac:dyDescent="0.2">
      <c r="A800" s="55"/>
      <c r="B800" s="10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2.75" customHeight="1" x14ac:dyDescent="0.2">
      <c r="A801" s="55"/>
      <c r="B801" s="10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2.75" customHeight="1" x14ac:dyDescent="0.2">
      <c r="A802" s="55"/>
      <c r="B802" s="10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2.75" customHeight="1" x14ac:dyDescent="0.2">
      <c r="A803" s="55"/>
      <c r="B803" s="10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2.75" customHeight="1" x14ac:dyDescent="0.2">
      <c r="A804" s="55"/>
      <c r="B804" s="10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2.75" customHeight="1" x14ac:dyDescent="0.2">
      <c r="A805" s="55"/>
      <c r="B805" s="10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2.75" customHeight="1" x14ac:dyDescent="0.2">
      <c r="A806" s="55"/>
      <c r="B806" s="10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2.75" customHeight="1" x14ac:dyDescent="0.2">
      <c r="A807" s="55"/>
      <c r="B807" s="10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2.75" customHeight="1" x14ac:dyDescent="0.2">
      <c r="A808" s="55"/>
      <c r="B808" s="10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2.75" customHeight="1" x14ac:dyDescent="0.2">
      <c r="A809" s="55"/>
      <c r="B809" s="10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2.75" customHeight="1" x14ac:dyDescent="0.2">
      <c r="A810" s="55"/>
      <c r="B810" s="10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2.75" customHeight="1" x14ac:dyDescent="0.2">
      <c r="A811" s="55"/>
      <c r="B811" s="10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2.75" customHeight="1" x14ac:dyDescent="0.2">
      <c r="A812" s="55"/>
      <c r="B812" s="10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2.75" customHeight="1" x14ac:dyDescent="0.2">
      <c r="A813" s="55"/>
      <c r="B813" s="10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2.75" customHeight="1" x14ac:dyDescent="0.2">
      <c r="A814" s="55"/>
      <c r="B814" s="10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2.75" customHeight="1" x14ac:dyDescent="0.2">
      <c r="A815" s="55"/>
      <c r="B815" s="10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2.75" customHeight="1" x14ac:dyDescent="0.2">
      <c r="A816" s="55"/>
      <c r="B816" s="10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2.75" customHeight="1" x14ac:dyDescent="0.2">
      <c r="A817" s="55"/>
      <c r="B817" s="10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2.75" customHeight="1" x14ac:dyDescent="0.2">
      <c r="A818" s="55"/>
      <c r="B818" s="10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2.75" customHeight="1" x14ac:dyDescent="0.2">
      <c r="A819" s="55"/>
      <c r="B819" s="10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2.75" customHeight="1" x14ac:dyDescent="0.2">
      <c r="A820" s="55"/>
      <c r="B820" s="10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2.75" customHeight="1" x14ac:dyDescent="0.2">
      <c r="A821" s="55"/>
      <c r="B821" s="10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2.75" customHeight="1" x14ac:dyDescent="0.2">
      <c r="A822" s="55"/>
      <c r="B822" s="10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2.75" customHeight="1" x14ac:dyDescent="0.2">
      <c r="A823" s="55"/>
      <c r="B823" s="10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2.75" customHeight="1" x14ac:dyDescent="0.2">
      <c r="A824" s="55"/>
      <c r="B824" s="10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2.75" customHeight="1" x14ac:dyDescent="0.2">
      <c r="A825" s="55"/>
      <c r="B825" s="10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2.75" customHeight="1" x14ac:dyDescent="0.2">
      <c r="A826" s="55"/>
      <c r="B826" s="10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2.75" customHeight="1" x14ac:dyDescent="0.2">
      <c r="A827" s="55"/>
      <c r="B827" s="10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2.75" customHeight="1" x14ac:dyDescent="0.2">
      <c r="A828" s="55"/>
      <c r="B828" s="10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2.75" customHeight="1" x14ac:dyDescent="0.2">
      <c r="A829" s="55"/>
      <c r="B829" s="10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2.75" customHeight="1" x14ac:dyDescent="0.2">
      <c r="A830" s="55"/>
      <c r="B830" s="10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2.75" customHeight="1" x14ac:dyDescent="0.2">
      <c r="A831" s="55"/>
      <c r="B831" s="10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2.75" customHeight="1" x14ac:dyDescent="0.2">
      <c r="A832" s="55"/>
      <c r="B832" s="10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2.75" customHeight="1" x14ac:dyDescent="0.2">
      <c r="A833" s="55"/>
      <c r="B833" s="10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2.75" customHeight="1" x14ac:dyDescent="0.2">
      <c r="A834" s="55"/>
      <c r="B834" s="10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2.75" customHeight="1" x14ac:dyDescent="0.2">
      <c r="A835" s="55"/>
      <c r="B835" s="10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2.75" customHeight="1" x14ac:dyDescent="0.2">
      <c r="A836" s="55"/>
      <c r="B836" s="10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2.75" customHeight="1" x14ac:dyDescent="0.2">
      <c r="A837" s="55"/>
      <c r="B837" s="10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2.75" customHeight="1" x14ac:dyDescent="0.2">
      <c r="A838" s="55"/>
      <c r="B838" s="10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2.75" customHeight="1" x14ac:dyDescent="0.2">
      <c r="A839" s="55"/>
      <c r="B839" s="10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2.75" customHeight="1" x14ac:dyDescent="0.2">
      <c r="A840" s="55"/>
      <c r="B840" s="10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2.75" customHeight="1" x14ac:dyDescent="0.2">
      <c r="A841" s="55"/>
      <c r="B841" s="10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2.75" customHeight="1" x14ac:dyDescent="0.2">
      <c r="A842" s="55"/>
      <c r="B842" s="10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2.75" customHeight="1" x14ac:dyDescent="0.2">
      <c r="A843" s="55"/>
      <c r="B843" s="10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2.75" customHeight="1" x14ac:dyDescent="0.2">
      <c r="A844" s="55"/>
      <c r="B844" s="10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2.75" customHeight="1" x14ac:dyDescent="0.2">
      <c r="A845" s="55"/>
      <c r="B845" s="10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2.75" customHeight="1" x14ac:dyDescent="0.2">
      <c r="A846" s="55"/>
      <c r="B846" s="10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2.75" customHeight="1" x14ac:dyDescent="0.2">
      <c r="A847" s="55"/>
      <c r="B847" s="10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2.75" customHeight="1" x14ac:dyDescent="0.2">
      <c r="A848" s="55"/>
      <c r="B848" s="10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2.75" customHeight="1" x14ac:dyDescent="0.2">
      <c r="A849" s="55"/>
      <c r="B849" s="10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2.75" customHeight="1" x14ac:dyDescent="0.2">
      <c r="A850" s="55"/>
      <c r="B850" s="10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2.75" customHeight="1" x14ac:dyDescent="0.2">
      <c r="A851" s="55"/>
      <c r="B851" s="10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2.75" customHeight="1" x14ac:dyDescent="0.2">
      <c r="A852" s="55"/>
      <c r="B852" s="10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2.75" customHeight="1" x14ac:dyDescent="0.2">
      <c r="A853" s="55"/>
      <c r="B853" s="10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2.75" customHeight="1" x14ac:dyDescent="0.2">
      <c r="A854" s="55"/>
      <c r="B854" s="10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2.75" customHeight="1" x14ac:dyDescent="0.2">
      <c r="A855" s="55"/>
      <c r="B855" s="10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2.75" customHeight="1" x14ac:dyDescent="0.2">
      <c r="A856" s="55"/>
      <c r="B856" s="10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2.75" customHeight="1" x14ac:dyDescent="0.2">
      <c r="A857" s="55"/>
      <c r="B857" s="10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2.75" customHeight="1" x14ac:dyDescent="0.2">
      <c r="A858" s="55"/>
      <c r="B858" s="10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2.75" customHeight="1" x14ac:dyDescent="0.2">
      <c r="A859" s="55"/>
      <c r="B859" s="10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2.75" customHeight="1" x14ac:dyDescent="0.2">
      <c r="A860" s="55"/>
      <c r="B860" s="10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2.75" customHeight="1" x14ac:dyDescent="0.2">
      <c r="A861" s="55"/>
      <c r="B861" s="10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2.75" customHeight="1" x14ac:dyDescent="0.2">
      <c r="A862" s="55"/>
      <c r="B862" s="10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2.75" customHeight="1" x14ac:dyDescent="0.2">
      <c r="A863" s="55"/>
      <c r="B863" s="10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2.75" customHeight="1" x14ac:dyDescent="0.2">
      <c r="A864" s="55"/>
      <c r="B864" s="10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2.75" customHeight="1" x14ac:dyDescent="0.2">
      <c r="A865" s="55"/>
      <c r="B865" s="10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2.75" customHeight="1" x14ac:dyDescent="0.2">
      <c r="A866" s="55"/>
      <c r="B866" s="10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2.75" customHeight="1" x14ac:dyDescent="0.2">
      <c r="A867" s="55"/>
      <c r="B867" s="10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2.75" customHeight="1" x14ac:dyDescent="0.2">
      <c r="A868" s="55"/>
      <c r="B868" s="10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2.75" customHeight="1" x14ac:dyDescent="0.2">
      <c r="A869" s="55"/>
      <c r="B869" s="10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2.75" customHeight="1" x14ac:dyDescent="0.2">
      <c r="A870" s="55"/>
      <c r="B870" s="10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2.75" customHeight="1" x14ac:dyDescent="0.2">
      <c r="A871" s="55"/>
      <c r="B871" s="10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2.75" customHeight="1" x14ac:dyDescent="0.2">
      <c r="A872" s="55"/>
      <c r="B872" s="10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2.75" customHeight="1" x14ac:dyDescent="0.2">
      <c r="A873" s="55"/>
      <c r="B873" s="10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2.75" customHeight="1" x14ac:dyDescent="0.2">
      <c r="A874" s="55"/>
      <c r="B874" s="10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2.75" customHeight="1" x14ac:dyDescent="0.2">
      <c r="A875" s="55"/>
      <c r="B875" s="10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2.75" customHeight="1" x14ac:dyDescent="0.2">
      <c r="A876" s="55"/>
      <c r="B876" s="10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2.75" customHeight="1" x14ac:dyDescent="0.2">
      <c r="A877" s="55"/>
      <c r="B877" s="10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2.75" customHeight="1" x14ac:dyDescent="0.2">
      <c r="A878" s="55"/>
      <c r="B878" s="10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2.75" customHeight="1" x14ac:dyDescent="0.2">
      <c r="A879" s="55"/>
      <c r="B879" s="10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2.75" customHeight="1" x14ac:dyDescent="0.2">
      <c r="A880" s="55"/>
      <c r="B880" s="10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2.75" customHeight="1" x14ac:dyDescent="0.2">
      <c r="A881" s="55"/>
      <c r="B881" s="10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2.75" customHeight="1" x14ac:dyDescent="0.2">
      <c r="A882" s="55"/>
      <c r="B882" s="10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2.75" customHeight="1" x14ac:dyDescent="0.2">
      <c r="A883" s="55"/>
      <c r="B883" s="10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2.75" customHeight="1" x14ac:dyDescent="0.2">
      <c r="A884" s="55"/>
      <c r="B884" s="10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2.75" customHeight="1" x14ac:dyDescent="0.2">
      <c r="A885" s="55"/>
      <c r="B885" s="10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2.75" customHeight="1" x14ac:dyDescent="0.2">
      <c r="A886" s="55"/>
      <c r="B886" s="10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2.75" customHeight="1" x14ac:dyDescent="0.2">
      <c r="A887" s="55"/>
      <c r="B887" s="10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2.75" customHeight="1" x14ac:dyDescent="0.2">
      <c r="A888" s="55"/>
      <c r="B888" s="10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2.75" customHeight="1" x14ac:dyDescent="0.2">
      <c r="A889" s="55"/>
      <c r="B889" s="10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2.75" customHeight="1" x14ac:dyDescent="0.2">
      <c r="A890" s="55"/>
      <c r="B890" s="10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2.75" customHeight="1" x14ac:dyDescent="0.2">
      <c r="A891" s="55"/>
      <c r="B891" s="10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2.75" customHeight="1" x14ac:dyDescent="0.2">
      <c r="A892" s="55"/>
      <c r="B892" s="10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2.75" customHeight="1" x14ac:dyDescent="0.2">
      <c r="A893" s="55"/>
      <c r="B893" s="10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2.75" customHeight="1" x14ac:dyDescent="0.2">
      <c r="A894" s="55"/>
      <c r="B894" s="10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2.75" customHeight="1" x14ac:dyDescent="0.2">
      <c r="A895" s="55"/>
      <c r="B895" s="10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2.75" customHeight="1" x14ac:dyDescent="0.2">
      <c r="A896" s="55"/>
      <c r="B896" s="10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2.75" customHeight="1" x14ac:dyDescent="0.2">
      <c r="A897" s="55"/>
      <c r="B897" s="10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2.75" customHeight="1" x14ac:dyDescent="0.2">
      <c r="A898" s="55"/>
      <c r="B898" s="10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2.75" customHeight="1" x14ac:dyDescent="0.2">
      <c r="A899" s="55"/>
      <c r="B899" s="10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2.75" customHeight="1" x14ac:dyDescent="0.2">
      <c r="A900" s="55"/>
      <c r="B900" s="10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2.75" customHeight="1" x14ac:dyDescent="0.2">
      <c r="A901" s="55"/>
      <c r="B901" s="10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2.75" customHeight="1" x14ac:dyDescent="0.2">
      <c r="A902" s="55"/>
      <c r="B902" s="10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2.75" customHeight="1" x14ac:dyDescent="0.2">
      <c r="A903" s="55"/>
      <c r="B903" s="10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2.75" customHeight="1" x14ac:dyDescent="0.2">
      <c r="A904" s="55"/>
      <c r="B904" s="10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2.75" customHeight="1" x14ac:dyDescent="0.2">
      <c r="A905" s="55"/>
      <c r="B905" s="10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2.75" customHeight="1" x14ac:dyDescent="0.2">
      <c r="A906" s="55"/>
      <c r="B906" s="10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2.75" customHeight="1" x14ac:dyDescent="0.2">
      <c r="A907" s="55"/>
      <c r="B907" s="10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2.75" customHeight="1" x14ac:dyDescent="0.2">
      <c r="A908" s="55"/>
      <c r="B908" s="10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2.75" customHeight="1" x14ac:dyDescent="0.2">
      <c r="A909" s="55"/>
      <c r="B909" s="10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2.75" customHeight="1" x14ac:dyDescent="0.2">
      <c r="A910" s="55"/>
      <c r="B910" s="10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2.75" customHeight="1" x14ac:dyDescent="0.2">
      <c r="A911" s="55"/>
      <c r="B911" s="10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2.75" customHeight="1" x14ac:dyDescent="0.2">
      <c r="A912" s="55"/>
      <c r="B912" s="10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2.75" customHeight="1" x14ac:dyDescent="0.2">
      <c r="A913" s="55"/>
      <c r="B913" s="10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2.75" customHeight="1" x14ac:dyDescent="0.2">
      <c r="A914" s="55"/>
      <c r="B914" s="10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2.75" customHeight="1" x14ac:dyDescent="0.2">
      <c r="A915" s="55"/>
      <c r="B915" s="10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2.75" customHeight="1" x14ac:dyDescent="0.2">
      <c r="A916" s="55"/>
      <c r="B916" s="10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2.75" customHeight="1" x14ac:dyDescent="0.2">
      <c r="A917" s="55"/>
      <c r="B917" s="10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2.75" customHeight="1" x14ac:dyDescent="0.2">
      <c r="A918" s="55"/>
      <c r="B918" s="10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2.75" customHeight="1" x14ac:dyDescent="0.2">
      <c r="A919" s="55"/>
      <c r="B919" s="10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2.75" customHeight="1" x14ac:dyDescent="0.2">
      <c r="A920" s="55"/>
      <c r="B920" s="10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2.75" customHeight="1" x14ac:dyDescent="0.2">
      <c r="A921" s="55"/>
      <c r="B921" s="10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2.75" customHeight="1" x14ac:dyDescent="0.2">
      <c r="A922" s="55"/>
      <c r="B922" s="10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2.75" customHeight="1" x14ac:dyDescent="0.2">
      <c r="A923" s="55"/>
      <c r="B923" s="10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2.75" customHeight="1" x14ac:dyDescent="0.2">
      <c r="A924" s="55"/>
      <c r="B924" s="10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2.75" customHeight="1" x14ac:dyDescent="0.2">
      <c r="A925" s="55"/>
      <c r="B925" s="10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2.75" customHeight="1" x14ac:dyDescent="0.2">
      <c r="A926" s="55"/>
      <c r="B926" s="10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2.75" customHeight="1" x14ac:dyDescent="0.2">
      <c r="A927" s="55"/>
      <c r="B927" s="10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2.75" customHeight="1" x14ac:dyDescent="0.2">
      <c r="A928" s="55"/>
      <c r="B928" s="10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2.75" customHeight="1" x14ac:dyDescent="0.2">
      <c r="A929" s="55"/>
      <c r="B929" s="10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2.75" customHeight="1" x14ac:dyDescent="0.2">
      <c r="A930" s="55"/>
      <c r="B930" s="10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2.75" customHeight="1" x14ac:dyDescent="0.2">
      <c r="A931" s="55"/>
      <c r="B931" s="10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2.75" customHeight="1" x14ac:dyDescent="0.2">
      <c r="A932" s="55"/>
      <c r="B932" s="10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2.75" customHeight="1" x14ac:dyDescent="0.2">
      <c r="A933" s="55"/>
      <c r="B933" s="10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2.75" customHeight="1" x14ac:dyDescent="0.2">
      <c r="A934" s="55"/>
      <c r="B934" s="10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2.75" customHeight="1" x14ac:dyDescent="0.2">
      <c r="A935" s="55"/>
      <c r="B935" s="10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2.75" customHeight="1" x14ac:dyDescent="0.2">
      <c r="A936" s="55"/>
      <c r="B936" s="10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2.75" customHeight="1" x14ac:dyDescent="0.2">
      <c r="A937" s="55"/>
      <c r="B937" s="10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2.75" customHeight="1" x14ac:dyDescent="0.2">
      <c r="A938" s="55"/>
      <c r="B938" s="10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2.75" customHeight="1" x14ac:dyDescent="0.2">
      <c r="A939" s="55"/>
      <c r="B939" s="10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2.75" customHeight="1" x14ac:dyDescent="0.2">
      <c r="A940" s="55"/>
      <c r="B940" s="10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2.75" customHeight="1" x14ac:dyDescent="0.2">
      <c r="A941" s="55"/>
      <c r="B941" s="10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2.75" customHeight="1" x14ac:dyDescent="0.2">
      <c r="A942" s="55"/>
      <c r="B942" s="10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2.75" customHeight="1" x14ac:dyDescent="0.2">
      <c r="A943" s="55"/>
      <c r="B943" s="10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2.75" customHeight="1" x14ac:dyDescent="0.2">
      <c r="A944" s="55"/>
      <c r="B944" s="10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2.75" customHeight="1" x14ac:dyDescent="0.2">
      <c r="A945" s="55"/>
      <c r="B945" s="10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2.75" customHeight="1" x14ac:dyDescent="0.2">
      <c r="A946" s="55"/>
      <c r="B946" s="10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2.75" customHeight="1" x14ac:dyDescent="0.2">
      <c r="A947" s="55"/>
      <c r="B947" s="10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2.75" customHeight="1" x14ac:dyDescent="0.2">
      <c r="A948" s="55"/>
      <c r="B948" s="10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2.75" customHeight="1" x14ac:dyDescent="0.2">
      <c r="A949" s="55"/>
      <c r="B949" s="10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2.75" customHeight="1" x14ac:dyDescent="0.2">
      <c r="A950" s="55"/>
      <c r="B950" s="10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2.75" customHeight="1" x14ac:dyDescent="0.2">
      <c r="A951" s="55"/>
      <c r="B951" s="10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2.75" customHeight="1" x14ac:dyDescent="0.2">
      <c r="A952" s="55"/>
      <c r="B952" s="10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2.75" customHeight="1" x14ac:dyDescent="0.2">
      <c r="A953" s="55"/>
      <c r="B953" s="10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2.75" customHeight="1" x14ac:dyDescent="0.2">
      <c r="A954" s="55"/>
      <c r="B954" s="10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2.75" customHeight="1" x14ac:dyDescent="0.2">
      <c r="A955" s="55"/>
      <c r="B955" s="10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2.75" customHeight="1" x14ac:dyDescent="0.2">
      <c r="A956" s="55"/>
      <c r="B956" s="10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2.75" customHeight="1" x14ac:dyDescent="0.2">
      <c r="A957" s="55"/>
      <c r="B957" s="10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2.75" customHeight="1" x14ac:dyDescent="0.2">
      <c r="A958" s="55"/>
      <c r="B958" s="10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2.75" customHeight="1" x14ac:dyDescent="0.2">
      <c r="A959" s="55"/>
      <c r="B959" s="10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2.75" customHeight="1" x14ac:dyDescent="0.2">
      <c r="A960" s="55"/>
      <c r="B960" s="10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2.75" customHeight="1" x14ac:dyDescent="0.2">
      <c r="A961" s="55"/>
      <c r="B961" s="10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2.75" customHeight="1" x14ac:dyDescent="0.2">
      <c r="A962" s="55"/>
      <c r="B962" s="10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2.75" customHeight="1" x14ac:dyDescent="0.2">
      <c r="A963" s="55"/>
      <c r="B963" s="10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</sheetData>
  <mergeCells count="24">
    <mergeCell ref="A14:I14"/>
    <mergeCell ref="J14:K14"/>
    <mergeCell ref="C13:G13"/>
    <mergeCell ref="K10:K11"/>
    <mergeCell ref="C12:G12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A10" sqref="A10:Q10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6" width="14.85546875" customWidth="1"/>
    <col min="17" max="17" width="14.7109375" customWidth="1"/>
    <col min="18" max="26" width="11" customWidth="1"/>
  </cols>
  <sheetData>
    <row r="1" spans="1:26" ht="15.75" customHeight="1" thickBot="1" x14ac:dyDescent="0.3">
      <c r="A1" s="208" t="s">
        <v>4</v>
      </c>
      <c r="B1" s="209"/>
      <c r="C1" s="209"/>
      <c r="D1" s="210">
        <f>'Necesidades Trimestrales'!C6</f>
        <v>2022</v>
      </c>
      <c r="E1" s="211"/>
      <c r="F1" s="1"/>
      <c r="G1" s="1"/>
      <c r="H1" s="2"/>
      <c r="I1" s="2"/>
      <c r="J1" s="2"/>
      <c r="K1" s="2"/>
      <c r="L1" s="2"/>
      <c r="M1" s="2"/>
      <c r="N1" s="2"/>
      <c r="P1" s="212" t="s">
        <v>57</v>
      </c>
      <c r="Q1" s="213"/>
    </row>
    <row r="2" spans="1:26" ht="15.75" customHeight="1" thickBot="1" x14ac:dyDescent="0.25">
      <c r="G2" s="3"/>
      <c r="H2" s="2"/>
      <c r="I2" s="2"/>
      <c r="J2" s="2"/>
      <c r="K2" s="2"/>
      <c r="L2" s="2"/>
      <c r="M2" s="2"/>
      <c r="N2" s="2"/>
      <c r="P2" s="214"/>
      <c r="Q2" s="215"/>
    </row>
    <row r="3" spans="1:26" ht="12.75" customHeight="1" thickBot="1" x14ac:dyDescent="0.25">
      <c r="G3" s="3"/>
    </row>
    <row r="4" spans="1:26" ht="18" customHeight="1" thickBot="1" x14ac:dyDescent="0.25">
      <c r="A4" s="216" t="s">
        <v>58</v>
      </c>
      <c r="B4" s="217"/>
      <c r="C4" s="217"/>
      <c r="D4" s="217"/>
      <c r="E4" s="217"/>
      <c r="F4" s="218"/>
      <c r="G4" s="219" t="str">
        <f>'NP SAME'!D3</f>
        <v>040 - Ministerio de Salud</v>
      </c>
      <c r="H4" s="217"/>
      <c r="I4" s="217"/>
      <c r="J4" s="217"/>
      <c r="K4" s="217"/>
      <c r="L4" s="217"/>
      <c r="M4" s="217"/>
      <c r="N4" s="217"/>
      <c r="O4" s="217"/>
      <c r="P4" s="217"/>
      <c r="Q4" s="218"/>
      <c r="R4" s="4"/>
      <c r="S4" s="4"/>
      <c r="T4" s="4"/>
      <c r="U4" s="4"/>
      <c r="V4" s="4"/>
      <c r="W4" s="4"/>
      <c r="X4" s="4"/>
      <c r="Y4" s="4"/>
      <c r="Z4" s="4"/>
    </row>
    <row r="5" spans="1:26" s="102" customFormat="1" ht="18" customHeight="1" thickBot="1" x14ac:dyDescent="0.25">
      <c r="A5" s="220" t="s">
        <v>44</v>
      </c>
      <c r="B5" s="176"/>
      <c r="C5" s="176"/>
      <c r="D5" s="176"/>
      <c r="E5" s="176"/>
      <c r="F5" s="221"/>
      <c r="G5" s="222" t="str">
        <f>'NP SAME'!D4</f>
        <v>011 - DIRECCION PROVINCIAL DE ADMINISTRACION - MS</v>
      </c>
      <c r="H5" s="176"/>
      <c r="I5" s="176"/>
      <c r="J5" s="176"/>
      <c r="K5" s="176"/>
      <c r="L5" s="176"/>
      <c r="M5" s="176"/>
      <c r="N5" s="176"/>
      <c r="O5" s="176"/>
      <c r="P5" s="176"/>
      <c r="Q5" s="221"/>
      <c r="R5" s="72"/>
      <c r="S5" s="72"/>
      <c r="T5" s="72"/>
      <c r="U5" s="72"/>
      <c r="V5" s="72"/>
      <c r="W5" s="72"/>
      <c r="X5" s="72"/>
      <c r="Y5" s="72"/>
      <c r="Z5" s="72"/>
    </row>
    <row r="6" spans="1:26" s="102" customFormat="1" ht="18" customHeight="1" thickBot="1" x14ac:dyDescent="0.25">
      <c r="A6" s="220" t="s">
        <v>45</v>
      </c>
      <c r="B6" s="176"/>
      <c r="C6" s="176"/>
      <c r="D6" s="176"/>
      <c r="E6" s="176"/>
      <c r="F6" s="221"/>
      <c r="G6" s="222" t="str">
        <f>'NP SAME'!D5</f>
        <v>748 - DIR. PROV. DEL SISTEMA DE ATENCION MEDICA DE EMERGENCIA</v>
      </c>
      <c r="H6" s="176"/>
      <c r="I6" s="176"/>
      <c r="J6" s="176"/>
      <c r="K6" s="176"/>
      <c r="L6" s="176"/>
      <c r="M6" s="176"/>
      <c r="N6" s="176"/>
      <c r="O6" s="176"/>
      <c r="P6" s="176"/>
      <c r="Q6" s="221"/>
      <c r="R6" s="72"/>
      <c r="S6" s="72"/>
      <c r="T6" s="72"/>
      <c r="U6" s="72"/>
      <c r="V6" s="72"/>
      <c r="W6" s="72"/>
      <c r="X6" s="72"/>
      <c r="Y6" s="72"/>
      <c r="Z6" s="72"/>
    </row>
    <row r="7" spans="1:26" s="102" customFormat="1" ht="18" customHeight="1" thickBot="1" x14ac:dyDescent="0.25">
      <c r="A7" s="220" t="s">
        <v>46</v>
      </c>
      <c r="B7" s="176"/>
      <c r="C7" s="176"/>
      <c r="D7" s="176"/>
      <c r="E7" s="176"/>
      <c r="F7" s="221"/>
      <c r="G7" s="222" t="str">
        <f>'NP SAME'!D6</f>
        <v>748 - DIR. PROV. DEL SISTEMA DE ATENCION MEDICA DE EMERGENCIA</v>
      </c>
      <c r="H7" s="176"/>
      <c r="I7" s="176"/>
      <c r="J7" s="176"/>
      <c r="K7" s="176"/>
      <c r="L7" s="176"/>
      <c r="M7" s="176"/>
      <c r="N7" s="176"/>
      <c r="O7" s="176"/>
      <c r="P7" s="176"/>
      <c r="Q7" s="221"/>
      <c r="R7" s="72"/>
      <c r="S7" s="72"/>
      <c r="T7" s="72"/>
      <c r="U7" s="72"/>
      <c r="V7" s="72"/>
      <c r="W7" s="72"/>
      <c r="X7" s="72"/>
      <c r="Y7" s="72"/>
      <c r="Z7" s="72"/>
    </row>
    <row r="8" spans="1:26" s="102" customFormat="1" ht="18" customHeight="1" thickBot="1" x14ac:dyDescent="0.25">
      <c r="A8" s="223" t="s">
        <v>59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221"/>
    </row>
    <row r="9" spans="1:26" s="102" customFormat="1" ht="18" customHeight="1" x14ac:dyDescent="0.2">
      <c r="A9" s="224" t="s">
        <v>60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72"/>
      <c r="P9" s="72"/>
      <c r="Q9" s="73"/>
    </row>
    <row r="10" spans="1:26" s="102" customFormat="1" ht="54.75" customHeight="1" x14ac:dyDescent="0.2">
      <c r="A10" s="226" t="str">
        <f>"Autorizo la realización de los  trámites correspondientes, a fin de proveer a  este Organismo los bienes y/o servicios que se detallan en Nota  de Pedido N° " &amp; 'NP SAME'!K1&amp;",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 11/2022,  afectando la erogación resultante a los créditos presupuestarios aprobados a favor de esta Unidad Ejecutora, conforme al siguiente detalle:</v>
      </c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227"/>
    </row>
    <row r="11" spans="1:26" s="102" customFormat="1" ht="9" customHeight="1" thickBot="1" x14ac:dyDescent="0.25">
      <c r="A11" s="74"/>
      <c r="B11" s="75"/>
      <c r="C11" s="75"/>
      <c r="D11" s="75"/>
      <c r="E11" s="75"/>
      <c r="F11" s="75"/>
      <c r="G11" s="76"/>
      <c r="H11" s="75"/>
      <c r="I11" s="75"/>
      <c r="J11" s="75"/>
      <c r="K11" s="75"/>
      <c r="L11" s="75"/>
      <c r="M11" s="75"/>
      <c r="N11" s="75"/>
      <c r="O11" s="75"/>
      <c r="P11" s="75"/>
      <c r="Q11" s="77"/>
    </row>
    <row r="12" spans="1:26" s="102" customFormat="1" ht="15.75" customHeight="1" thickBot="1" x14ac:dyDescent="0.25">
      <c r="A12" s="228" t="s">
        <v>61</v>
      </c>
      <c r="B12" s="229"/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30"/>
    </row>
    <row r="13" spans="1:26" s="102" customFormat="1" ht="15.75" customHeight="1" thickBot="1" x14ac:dyDescent="0.25">
      <c r="A13" s="231" t="s">
        <v>62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221"/>
      <c r="O13" s="232" t="s">
        <v>63</v>
      </c>
      <c r="P13" s="230"/>
      <c r="Q13" s="235" t="s">
        <v>64</v>
      </c>
    </row>
    <row r="14" spans="1:26" s="102" customFormat="1" ht="15.75" customHeight="1" thickBot="1" x14ac:dyDescent="0.25">
      <c r="A14" s="78" t="s">
        <v>65</v>
      </c>
      <c r="B14" s="79" t="s">
        <v>66</v>
      </c>
      <c r="C14" s="79" t="s">
        <v>67</v>
      </c>
      <c r="D14" s="79" t="s">
        <v>68</v>
      </c>
      <c r="E14" s="79" t="s">
        <v>69</v>
      </c>
      <c r="F14" s="79" t="s">
        <v>70</v>
      </c>
      <c r="G14" s="80" t="s">
        <v>71</v>
      </c>
      <c r="H14" s="79" t="s">
        <v>72</v>
      </c>
      <c r="I14" s="79" t="s">
        <v>73</v>
      </c>
      <c r="J14" s="79" t="s">
        <v>74</v>
      </c>
      <c r="K14" s="79" t="s">
        <v>74</v>
      </c>
      <c r="L14" s="79" t="s">
        <v>75</v>
      </c>
      <c r="M14" s="81" t="s">
        <v>76</v>
      </c>
      <c r="N14" s="82" t="s">
        <v>77</v>
      </c>
      <c r="O14" s="233"/>
      <c r="P14" s="234"/>
      <c r="Q14" s="234"/>
    </row>
    <row r="15" spans="1:26" s="102" customFormat="1" ht="40.5" customHeight="1" x14ac:dyDescent="0.2">
      <c r="A15" s="83">
        <v>31</v>
      </c>
      <c r="B15" s="84"/>
      <c r="C15" s="84"/>
      <c r="D15" s="84">
        <v>1</v>
      </c>
      <c r="E15" s="84"/>
      <c r="F15" s="84">
        <v>4901</v>
      </c>
      <c r="G15" s="84">
        <v>3</v>
      </c>
      <c r="H15" s="84">
        <v>1</v>
      </c>
      <c r="I15" s="84">
        <v>2</v>
      </c>
      <c r="J15" s="84">
        <v>5</v>
      </c>
      <c r="K15" s="84">
        <v>2</v>
      </c>
      <c r="L15" s="84"/>
      <c r="M15" s="85">
        <v>1</v>
      </c>
      <c r="N15" s="84" t="s">
        <v>78</v>
      </c>
      <c r="O15" s="236" t="s">
        <v>92</v>
      </c>
      <c r="P15" s="237"/>
      <c r="Q15" s="86">
        <f>'NP SAME'!J14</f>
        <v>5995</v>
      </c>
    </row>
    <row r="16" spans="1:26" s="102" customFormat="1" ht="17.25" customHeight="1" x14ac:dyDescent="0.2">
      <c r="A16" s="87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9"/>
      <c r="N16" s="90"/>
      <c r="O16" s="238"/>
      <c r="P16" s="239"/>
      <c r="Q16" s="91"/>
    </row>
    <row r="17" spans="1:18" s="102" customFormat="1" ht="17.25" customHeight="1" x14ac:dyDescent="0.2">
      <c r="A17" s="87"/>
      <c r="B17" s="88"/>
      <c r="C17" s="88"/>
      <c r="D17" s="88"/>
      <c r="E17" s="88"/>
      <c r="F17" s="90"/>
      <c r="G17" s="88"/>
      <c r="H17" s="88"/>
      <c r="I17" s="88"/>
      <c r="J17" s="88"/>
      <c r="K17" s="88"/>
      <c r="L17" s="88"/>
      <c r="M17" s="89"/>
      <c r="N17" s="90"/>
      <c r="O17" s="238"/>
      <c r="P17" s="239"/>
      <c r="Q17" s="91"/>
    </row>
    <row r="18" spans="1:18" s="102" customFormat="1" ht="17.25" customHeight="1" x14ac:dyDescent="0.2">
      <c r="A18" s="87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9"/>
      <c r="N18" s="90"/>
      <c r="O18" s="238"/>
      <c r="P18" s="239"/>
      <c r="Q18" s="91"/>
    </row>
    <row r="19" spans="1:18" s="102" customFormat="1" ht="17.25" customHeight="1" x14ac:dyDescent="0.2">
      <c r="A19" s="87"/>
      <c r="B19" s="88"/>
      <c r="C19" s="88"/>
      <c r="D19" s="88"/>
      <c r="E19" s="88"/>
      <c r="F19" s="90"/>
      <c r="G19" s="88"/>
      <c r="H19" s="88"/>
      <c r="I19" s="88"/>
      <c r="J19" s="88"/>
      <c r="K19" s="88"/>
      <c r="L19" s="88"/>
      <c r="M19" s="89"/>
      <c r="N19" s="90"/>
      <c r="O19" s="238"/>
      <c r="P19" s="239"/>
      <c r="Q19" s="91"/>
    </row>
    <row r="20" spans="1:18" s="102" customFormat="1" ht="17.25" customHeight="1" x14ac:dyDescent="0.2">
      <c r="A20" s="87"/>
      <c r="B20" s="88"/>
      <c r="C20" s="88"/>
      <c r="D20" s="88"/>
      <c r="E20" s="88"/>
      <c r="F20" s="90"/>
      <c r="G20" s="88"/>
      <c r="H20" s="88"/>
      <c r="I20" s="88"/>
      <c r="J20" s="88"/>
      <c r="K20" s="88"/>
      <c r="L20" s="88"/>
      <c r="M20" s="89"/>
      <c r="N20" s="90"/>
      <c r="O20" s="238"/>
      <c r="P20" s="239"/>
      <c r="Q20" s="91"/>
    </row>
    <row r="21" spans="1:18" s="102" customFormat="1" ht="17.25" customHeight="1" x14ac:dyDescent="0.2">
      <c r="A21" s="92"/>
      <c r="B21" s="93"/>
      <c r="C21" s="93"/>
      <c r="D21" s="93"/>
      <c r="E21" s="93"/>
      <c r="F21" s="90"/>
      <c r="G21" s="93"/>
      <c r="H21" s="93"/>
      <c r="I21" s="93"/>
      <c r="J21" s="93"/>
      <c r="K21" s="93"/>
      <c r="L21" s="93"/>
      <c r="M21" s="94"/>
      <c r="N21" s="95"/>
      <c r="O21" s="238"/>
      <c r="P21" s="239"/>
      <c r="Q21" s="91"/>
      <c r="R21" s="72"/>
    </row>
    <row r="22" spans="1:18" s="102" customFormat="1" ht="17.25" customHeight="1" thickBot="1" x14ac:dyDescent="0.25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8"/>
      <c r="N22" s="97"/>
      <c r="O22" s="248"/>
      <c r="P22" s="249"/>
      <c r="Q22" s="99"/>
    </row>
    <row r="23" spans="1:18" s="102" customFormat="1" ht="29.25" customHeight="1" thickBot="1" x14ac:dyDescent="0.25">
      <c r="A23" s="250" t="s">
        <v>107</v>
      </c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2"/>
      <c r="Q23" s="100">
        <f>SUM(Q15:Q22)</f>
        <v>5995</v>
      </c>
    </row>
    <row r="24" spans="1:18" s="102" customFormat="1" ht="18" customHeight="1" thickBot="1" x14ac:dyDescent="0.25">
      <c r="A24" s="253"/>
      <c r="B24" s="229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30"/>
    </row>
    <row r="25" spans="1:18" s="102" customFormat="1" ht="17.25" customHeight="1" thickBot="1" x14ac:dyDescent="0.25">
      <c r="A25" s="240" t="s">
        <v>79</v>
      </c>
      <c r="B25" s="179"/>
      <c r="C25" s="179"/>
      <c r="D25" s="179"/>
      <c r="E25" s="179"/>
      <c r="F25" s="180"/>
      <c r="G25" s="241"/>
      <c r="H25" s="229"/>
      <c r="I25" s="229"/>
      <c r="J25" s="229"/>
      <c r="K25" s="229"/>
      <c r="L25" s="229"/>
      <c r="M25" s="229"/>
      <c r="N25" s="229"/>
      <c r="O25" s="229"/>
      <c r="P25" s="229"/>
      <c r="Q25" s="230"/>
    </row>
    <row r="26" spans="1:18" s="102" customFormat="1" ht="18" customHeight="1" x14ac:dyDescent="0.2">
      <c r="A26" s="242" t="str">
        <f>'NP SAME'!D8</f>
        <v>ADQUISICION DE MEDICAMENTOS.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4"/>
    </row>
    <row r="27" spans="1:18" s="102" customFormat="1" ht="15" customHeight="1" thickBot="1" x14ac:dyDescent="0.25">
      <c r="A27" s="245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7"/>
    </row>
    <row r="28" spans="1:18" s="102" customFormat="1" ht="12.75" customHeight="1" x14ac:dyDescent="0.2">
      <c r="G28" s="101"/>
    </row>
    <row r="29" spans="1:18" ht="12.75" customHeight="1" x14ac:dyDescent="0.2">
      <c r="G29" s="3"/>
    </row>
    <row r="30" spans="1:18" ht="12.75" customHeight="1" x14ac:dyDescent="0.2">
      <c r="G30" s="3"/>
    </row>
    <row r="31" spans="1:18" ht="12.75" customHeight="1" x14ac:dyDescent="0.2">
      <c r="G31" s="3"/>
    </row>
    <row r="32" spans="1:18" ht="12.75" customHeight="1" x14ac:dyDescent="0.2">
      <c r="G32" s="3"/>
    </row>
    <row r="33" spans="7:7" ht="12.75" customHeight="1" x14ac:dyDescent="0.2">
      <c r="G33" s="3"/>
    </row>
    <row r="34" spans="7:7" ht="12.75" customHeight="1" x14ac:dyDescent="0.2">
      <c r="G34" s="3"/>
    </row>
    <row r="35" spans="7:7" ht="12.75" customHeight="1" x14ac:dyDescent="0.2">
      <c r="G35" s="3"/>
    </row>
    <row r="36" spans="7:7" ht="12.75" customHeight="1" x14ac:dyDescent="0.2">
      <c r="G36" s="3"/>
    </row>
    <row r="37" spans="7:7" ht="12.75" customHeight="1" x14ac:dyDescent="0.2">
      <c r="G37" s="3"/>
    </row>
    <row r="38" spans="7:7" ht="12.75" customHeight="1" x14ac:dyDescent="0.2">
      <c r="G38" s="3"/>
    </row>
    <row r="39" spans="7:7" ht="12.75" customHeight="1" x14ac:dyDescent="0.2">
      <c r="G39" s="3"/>
    </row>
    <row r="40" spans="7:7" ht="12.75" customHeight="1" x14ac:dyDescent="0.2">
      <c r="G40" s="3"/>
    </row>
    <row r="41" spans="7:7" ht="12.75" customHeight="1" x14ac:dyDescent="0.2">
      <c r="G41" s="3"/>
    </row>
    <row r="42" spans="7:7" ht="12.75" customHeight="1" x14ac:dyDescent="0.2">
      <c r="G42" s="3"/>
    </row>
    <row r="43" spans="7:7" ht="12.75" customHeight="1" x14ac:dyDescent="0.2">
      <c r="G43" s="3"/>
    </row>
    <row r="44" spans="7:7" ht="12.75" customHeight="1" x14ac:dyDescent="0.2">
      <c r="G44" s="3"/>
    </row>
    <row r="45" spans="7:7" ht="12.75" customHeight="1" x14ac:dyDescent="0.2">
      <c r="G45" s="3"/>
    </row>
    <row r="46" spans="7:7" ht="12.75" customHeight="1" x14ac:dyDescent="0.2">
      <c r="G46" s="3"/>
    </row>
    <row r="47" spans="7:7" ht="12.75" customHeight="1" x14ac:dyDescent="0.2">
      <c r="G47" s="3"/>
    </row>
    <row r="48" spans="7:7" ht="12.75" customHeight="1" x14ac:dyDescent="0.2">
      <c r="G48" s="3"/>
    </row>
    <row r="49" spans="7:7" ht="12.75" customHeight="1" x14ac:dyDescent="0.2">
      <c r="G49" s="3"/>
    </row>
    <row r="50" spans="7:7" ht="12.75" customHeight="1" x14ac:dyDescent="0.2">
      <c r="G50" s="3"/>
    </row>
    <row r="51" spans="7:7" ht="12.75" customHeight="1" x14ac:dyDescent="0.2">
      <c r="G51" s="3"/>
    </row>
    <row r="52" spans="7:7" ht="12.75" customHeight="1" x14ac:dyDescent="0.2">
      <c r="G52" s="3"/>
    </row>
    <row r="53" spans="7:7" ht="12.75" customHeight="1" x14ac:dyDescent="0.2">
      <c r="G53" s="3"/>
    </row>
    <row r="54" spans="7:7" ht="12.75" customHeight="1" x14ac:dyDescent="0.2">
      <c r="G54" s="3"/>
    </row>
    <row r="55" spans="7:7" ht="12.75" customHeight="1" x14ac:dyDescent="0.2">
      <c r="G55" s="3"/>
    </row>
    <row r="56" spans="7:7" ht="12.75" customHeight="1" x14ac:dyDescent="0.2">
      <c r="G56" s="3"/>
    </row>
    <row r="57" spans="7:7" ht="12.75" customHeight="1" x14ac:dyDescent="0.2">
      <c r="G57" s="3"/>
    </row>
    <row r="58" spans="7:7" ht="12.75" customHeight="1" x14ac:dyDescent="0.2">
      <c r="G58" s="3"/>
    </row>
    <row r="59" spans="7:7" ht="12.75" customHeight="1" x14ac:dyDescent="0.2">
      <c r="G59" s="3"/>
    </row>
    <row r="60" spans="7:7" ht="12.75" customHeight="1" x14ac:dyDescent="0.2">
      <c r="G60" s="3"/>
    </row>
    <row r="61" spans="7:7" ht="12.75" customHeight="1" x14ac:dyDescent="0.2">
      <c r="G61" s="3"/>
    </row>
    <row r="62" spans="7:7" ht="12.75" customHeight="1" x14ac:dyDescent="0.2">
      <c r="G62" s="3"/>
    </row>
    <row r="63" spans="7:7" ht="12.75" customHeight="1" x14ac:dyDescent="0.2">
      <c r="G63" s="3"/>
    </row>
    <row r="64" spans="7:7" ht="12.75" customHeight="1" x14ac:dyDescent="0.2">
      <c r="G64" s="3"/>
    </row>
    <row r="65" spans="7:7" ht="12.75" customHeight="1" x14ac:dyDescent="0.2">
      <c r="G65" s="3"/>
    </row>
    <row r="66" spans="7:7" ht="12.75" customHeight="1" x14ac:dyDescent="0.2">
      <c r="G66" s="3"/>
    </row>
    <row r="67" spans="7:7" ht="12.75" customHeight="1" x14ac:dyDescent="0.2">
      <c r="G67" s="3"/>
    </row>
    <row r="68" spans="7:7" ht="12.75" customHeight="1" x14ac:dyDescent="0.2">
      <c r="G68" s="3"/>
    </row>
    <row r="69" spans="7:7" ht="12.75" customHeight="1" x14ac:dyDescent="0.2">
      <c r="G69" s="3"/>
    </row>
    <row r="70" spans="7:7" ht="12.75" customHeight="1" x14ac:dyDescent="0.2">
      <c r="G70" s="3"/>
    </row>
    <row r="71" spans="7:7" ht="12.75" customHeight="1" x14ac:dyDescent="0.2">
      <c r="G71" s="3"/>
    </row>
    <row r="72" spans="7:7" ht="12.75" customHeight="1" x14ac:dyDescent="0.2">
      <c r="G72" s="3"/>
    </row>
    <row r="73" spans="7:7" ht="12.75" customHeight="1" x14ac:dyDescent="0.2">
      <c r="G73" s="3"/>
    </row>
    <row r="74" spans="7:7" ht="12.75" customHeight="1" x14ac:dyDescent="0.2">
      <c r="G74" s="3"/>
    </row>
    <row r="75" spans="7:7" ht="12.75" customHeight="1" x14ac:dyDescent="0.2">
      <c r="G75" s="3"/>
    </row>
    <row r="76" spans="7:7" ht="12.75" customHeight="1" x14ac:dyDescent="0.2">
      <c r="G76" s="3"/>
    </row>
    <row r="77" spans="7:7" ht="12.75" customHeight="1" x14ac:dyDescent="0.2">
      <c r="G77" s="3"/>
    </row>
    <row r="78" spans="7:7" ht="12.75" customHeight="1" x14ac:dyDescent="0.2">
      <c r="G78" s="3"/>
    </row>
    <row r="79" spans="7:7" ht="12.75" customHeight="1" x14ac:dyDescent="0.2">
      <c r="G79" s="3"/>
    </row>
    <row r="80" spans="7:7" ht="12.75" customHeight="1" x14ac:dyDescent="0.2">
      <c r="G80" s="3"/>
    </row>
    <row r="81" spans="7:7" ht="12.75" customHeight="1" x14ac:dyDescent="0.2">
      <c r="G81" s="3"/>
    </row>
    <row r="82" spans="7:7" ht="12.75" customHeight="1" x14ac:dyDescent="0.2">
      <c r="G82" s="3"/>
    </row>
    <row r="83" spans="7:7" ht="12.75" customHeight="1" x14ac:dyDescent="0.2">
      <c r="G83" s="3"/>
    </row>
    <row r="84" spans="7:7" ht="12.75" customHeight="1" x14ac:dyDescent="0.2">
      <c r="G84" s="3"/>
    </row>
    <row r="85" spans="7:7" ht="12.75" customHeight="1" x14ac:dyDescent="0.2">
      <c r="G85" s="3"/>
    </row>
    <row r="86" spans="7:7" ht="12.75" customHeight="1" x14ac:dyDescent="0.2">
      <c r="G86" s="3"/>
    </row>
    <row r="87" spans="7:7" ht="12.75" customHeight="1" x14ac:dyDescent="0.2">
      <c r="G87" s="3"/>
    </row>
    <row r="88" spans="7:7" ht="12.75" customHeight="1" x14ac:dyDescent="0.2">
      <c r="G88" s="3"/>
    </row>
    <row r="89" spans="7:7" ht="12.75" customHeight="1" x14ac:dyDescent="0.2">
      <c r="G89" s="3"/>
    </row>
    <row r="90" spans="7:7" ht="12.75" customHeight="1" x14ac:dyDescent="0.2">
      <c r="G90" s="3"/>
    </row>
    <row r="91" spans="7:7" ht="12.75" customHeight="1" x14ac:dyDescent="0.2">
      <c r="G91" s="3"/>
    </row>
    <row r="92" spans="7:7" ht="12.75" customHeight="1" x14ac:dyDescent="0.2">
      <c r="G92" s="3"/>
    </row>
    <row r="93" spans="7:7" ht="12.75" customHeight="1" x14ac:dyDescent="0.2">
      <c r="G93" s="3"/>
    </row>
    <row r="94" spans="7:7" ht="12.75" customHeight="1" x14ac:dyDescent="0.2">
      <c r="G94" s="3"/>
    </row>
    <row r="95" spans="7:7" ht="12.75" customHeight="1" x14ac:dyDescent="0.2">
      <c r="G95" s="3"/>
    </row>
    <row r="96" spans="7:7" ht="12.75" customHeight="1" x14ac:dyDescent="0.2">
      <c r="G96" s="3"/>
    </row>
    <row r="97" spans="7:7" ht="12.75" customHeight="1" x14ac:dyDescent="0.2">
      <c r="G97" s="3"/>
    </row>
    <row r="98" spans="7:7" ht="12.75" customHeight="1" x14ac:dyDescent="0.2">
      <c r="G98" s="3"/>
    </row>
    <row r="99" spans="7:7" ht="12.75" customHeight="1" x14ac:dyDescent="0.2">
      <c r="G99" s="3"/>
    </row>
    <row r="100" spans="7:7" ht="12.75" customHeight="1" x14ac:dyDescent="0.2">
      <c r="G100" s="3"/>
    </row>
    <row r="101" spans="7:7" ht="12.75" customHeight="1" x14ac:dyDescent="0.2">
      <c r="G101" s="3"/>
    </row>
    <row r="102" spans="7:7" ht="12.75" customHeight="1" x14ac:dyDescent="0.2">
      <c r="G102" s="3"/>
    </row>
    <row r="103" spans="7:7" ht="12.75" customHeight="1" x14ac:dyDescent="0.2">
      <c r="G103" s="3"/>
    </row>
    <row r="104" spans="7:7" ht="12.75" customHeight="1" x14ac:dyDescent="0.2">
      <c r="G104" s="3"/>
    </row>
    <row r="105" spans="7:7" ht="12.75" customHeight="1" x14ac:dyDescent="0.2">
      <c r="G105" s="3"/>
    </row>
    <row r="106" spans="7:7" ht="12.75" customHeight="1" x14ac:dyDescent="0.2">
      <c r="G106" s="3"/>
    </row>
    <row r="107" spans="7:7" ht="12.75" customHeight="1" x14ac:dyDescent="0.2">
      <c r="G107" s="3"/>
    </row>
    <row r="108" spans="7:7" ht="12.75" customHeight="1" x14ac:dyDescent="0.2">
      <c r="G108" s="3"/>
    </row>
    <row r="109" spans="7:7" ht="12.75" customHeight="1" x14ac:dyDescent="0.2">
      <c r="G109" s="3"/>
    </row>
    <row r="110" spans="7:7" ht="12.75" customHeight="1" x14ac:dyDescent="0.2">
      <c r="G110" s="3"/>
    </row>
    <row r="111" spans="7:7" ht="12.75" customHeight="1" x14ac:dyDescent="0.2">
      <c r="G111" s="3"/>
    </row>
    <row r="112" spans="7:7" ht="12.75" customHeight="1" x14ac:dyDescent="0.2">
      <c r="G112" s="3"/>
    </row>
    <row r="113" spans="7:7" ht="12.75" customHeight="1" x14ac:dyDescent="0.2">
      <c r="G113" s="3"/>
    </row>
    <row r="114" spans="7:7" ht="12.75" customHeight="1" x14ac:dyDescent="0.2">
      <c r="G114" s="3"/>
    </row>
    <row r="115" spans="7:7" ht="12.75" customHeight="1" x14ac:dyDescent="0.2">
      <c r="G115" s="3"/>
    </row>
    <row r="116" spans="7:7" ht="12.75" customHeight="1" x14ac:dyDescent="0.2">
      <c r="G116" s="3"/>
    </row>
    <row r="117" spans="7:7" ht="12.75" customHeight="1" x14ac:dyDescent="0.2">
      <c r="G117" s="3"/>
    </row>
    <row r="118" spans="7:7" ht="12.75" customHeight="1" x14ac:dyDescent="0.2">
      <c r="G118" s="3"/>
    </row>
    <row r="119" spans="7:7" ht="12.75" customHeight="1" x14ac:dyDescent="0.2">
      <c r="G119" s="3"/>
    </row>
    <row r="120" spans="7:7" ht="12.75" customHeight="1" x14ac:dyDescent="0.2">
      <c r="G120" s="3"/>
    </row>
    <row r="121" spans="7:7" ht="12.75" customHeight="1" x14ac:dyDescent="0.2">
      <c r="G121" s="3"/>
    </row>
    <row r="122" spans="7:7" ht="12.75" customHeight="1" x14ac:dyDescent="0.2">
      <c r="G122" s="3"/>
    </row>
    <row r="123" spans="7:7" ht="12.75" customHeight="1" x14ac:dyDescent="0.2">
      <c r="G123" s="3"/>
    </row>
    <row r="124" spans="7:7" ht="12.75" customHeight="1" x14ac:dyDescent="0.2">
      <c r="G124" s="3"/>
    </row>
    <row r="125" spans="7:7" ht="12.75" customHeight="1" x14ac:dyDescent="0.2">
      <c r="G125" s="3"/>
    </row>
    <row r="126" spans="7:7" ht="12.75" customHeight="1" x14ac:dyDescent="0.2">
      <c r="G126" s="3"/>
    </row>
    <row r="127" spans="7:7" ht="12.75" customHeight="1" x14ac:dyDescent="0.2">
      <c r="G127" s="3"/>
    </row>
    <row r="128" spans="7:7" ht="12.75" customHeight="1" x14ac:dyDescent="0.2">
      <c r="G128" s="3"/>
    </row>
    <row r="129" spans="7:7" ht="12.75" customHeight="1" x14ac:dyDescent="0.2">
      <c r="G129" s="3"/>
    </row>
    <row r="130" spans="7:7" ht="12.75" customHeight="1" x14ac:dyDescent="0.2">
      <c r="G130" s="3"/>
    </row>
    <row r="131" spans="7:7" ht="12.75" customHeight="1" x14ac:dyDescent="0.2">
      <c r="G131" s="3"/>
    </row>
    <row r="132" spans="7:7" ht="12.75" customHeight="1" x14ac:dyDescent="0.2">
      <c r="G132" s="3"/>
    </row>
    <row r="133" spans="7:7" ht="12.75" customHeight="1" x14ac:dyDescent="0.2">
      <c r="G133" s="3"/>
    </row>
    <row r="134" spans="7:7" ht="12.75" customHeight="1" x14ac:dyDescent="0.2">
      <c r="G134" s="3"/>
    </row>
    <row r="135" spans="7:7" ht="12.75" customHeight="1" x14ac:dyDescent="0.2">
      <c r="G135" s="3"/>
    </row>
    <row r="136" spans="7:7" ht="12.75" customHeight="1" x14ac:dyDescent="0.2">
      <c r="G136" s="3"/>
    </row>
    <row r="137" spans="7:7" ht="12.75" customHeight="1" x14ac:dyDescent="0.2">
      <c r="G137" s="3"/>
    </row>
    <row r="138" spans="7:7" ht="12.75" customHeight="1" x14ac:dyDescent="0.2">
      <c r="G138" s="3"/>
    </row>
    <row r="139" spans="7:7" ht="12.75" customHeight="1" x14ac:dyDescent="0.2">
      <c r="G139" s="3"/>
    </row>
    <row r="140" spans="7:7" ht="12.75" customHeight="1" x14ac:dyDescent="0.2">
      <c r="G140" s="3"/>
    </row>
    <row r="141" spans="7:7" ht="12.75" customHeight="1" x14ac:dyDescent="0.2">
      <c r="G141" s="3"/>
    </row>
    <row r="142" spans="7:7" ht="12.75" customHeight="1" x14ac:dyDescent="0.2">
      <c r="G142" s="3"/>
    </row>
    <row r="143" spans="7:7" ht="12.75" customHeight="1" x14ac:dyDescent="0.2">
      <c r="G143" s="3"/>
    </row>
    <row r="144" spans="7:7" ht="12.75" customHeight="1" x14ac:dyDescent="0.2">
      <c r="G144" s="3"/>
    </row>
    <row r="145" spans="7:7" ht="12.75" customHeight="1" x14ac:dyDescent="0.2">
      <c r="G145" s="3"/>
    </row>
    <row r="146" spans="7:7" ht="12.75" customHeight="1" x14ac:dyDescent="0.2">
      <c r="G146" s="3"/>
    </row>
    <row r="147" spans="7:7" ht="12.75" customHeight="1" x14ac:dyDescent="0.2">
      <c r="G147" s="3"/>
    </row>
    <row r="148" spans="7:7" ht="12.75" customHeight="1" x14ac:dyDescent="0.2">
      <c r="G148" s="3"/>
    </row>
    <row r="149" spans="7:7" ht="12.75" customHeight="1" x14ac:dyDescent="0.2">
      <c r="G149" s="3"/>
    </row>
    <row r="150" spans="7:7" ht="12.75" customHeight="1" x14ac:dyDescent="0.2">
      <c r="G150" s="3"/>
    </row>
    <row r="151" spans="7:7" ht="12.75" customHeight="1" x14ac:dyDescent="0.2">
      <c r="G151" s="3"/>
    </row>
    <row r="152" spans="7:7" ht="12.75" customHeight="1" x14ac:dyDescent="0.2">
      <c r="G152" s="3"/>
    </row>
    <row r="153" spans="7:7" ht="12.75" customHeight="1" x14ac:dyDescent="0.2">
      <c r="G153" s="3"/>
    </row>
    <row r="154" spans="7:7" ht="12.75" customHeight="1" x14ac:dyDescent="0.2">
      <c r="G154" s="3"/>
    </row>
    <row r="155" spans="7:7" ht="12.75" customHeight="1" x14ac:dyDescent="0.2">
      <c r="G155" s="3"/>
    </row>
    <row r="156" spans="7:7" ht="12.75" customHeight="1" x14ac:dyDescent="0.2">
      <c r="G156" s="3"/>
    </row>
    <row r="157" spans="7:7" ht="12.75" customHeight="1" x14ac:dyDescent="0.2">
      <c r="G157" s="3"/>
    </row>
    <row r="158" spans="7:7" ht="12.75" customHeight="1" x14ac:dyDescent="0.2">
      <c r="G158" s="3"/>
    </row>
    <row r="159" spans="7:7" ht="12.75" customHeight="1" x14ac:dyDescent="0.2">
      <c r="G159" s="3"/>
    </row>
    <row r="160" spans="7:7" ht="12.75" customHeight="1" x14ac:dyDescent="0.2">
      <c r="G160" s="3"/>
    </row>
    <row r="161" spans="7:7" ht="12.75" customHeight="1" x14ac:dyDescent="0.2">
      <c r="G161" s="3"/>
    </row>
    <row r="162" spans="7:7" ht="12.75" customHeight="1" x14ac:dyDescent="0.2">
      <c r="G162" s="3"/>
    </row>
    <row r="163" spans="7:7" ht="12.75" customHeight="1" x14ac:dyDescent="0.2">
      <c r="G163" s="3"/>
    </row>
    <row r="164" spans="7:7" ht="12.75" customHeight="1" x14ac:dyDescent="0.2">
      <c r="G164" s="3"/>
    </row>
    <row r="165" spans="7:7" ht="12.75" customHeight="1" x14ac:dyDescent="0.2">
      <c r="G165" s="3"/>
    </row>
    <row r="166" spans="7:7" ht="12.75" customHeight="1" x14ac:dyDescent="0.2">
      <c r="G166" s="3"/>
    </row>
    <row r="167" spans="7:7" ht="12.75" customHeight="1" x14ac:dyDescent="0.2">
      <c r="G167" s="3"/>
    </row>
    <row r="168" spans="7:7" ht="12.75" customHeight="1" x14ac:dyDescent="0.2">
      <c r="G168" s="3"/>
    </row>
    <row r="169" spans="7:7" ht="12.75" customHeight="1" x14ac:dyDescent="0.2">
      <c r="G169" s="3"/>
    </row>
    <row r="170" spans="7:7" ht="12.75" customHeight="1" x14ac:dyDescent="0.2">
      <c r="G170" s="3"/>
    </row>
    <row r="171" spans="7:7" ht="12.75" customHeight="1" x14ac:dyDescent="0.2">
      <c r="G171" s="3"/>
    </row>
    <row r="172" spans="7:7" ht="12.75" customHeight="1" x14ac:dyDescent="0.2">
      <c r="G172" s="3"/>
    </row>
    <row r="173" spans="7:7" ht="12.75" customHeight="1" x14ac:dyDescent="0.2">
      <c r="G173" s="3"/>
    </row>
    <row r="174" spans="7:7" ht="12.75" customHeight="1" x14ac:dyDescent="0.2">
      <c r="G174" s="3"/>
    </row>
    <row r="175" spans="7:7" ht="12.75" customHeight="1" x14ac:dyDescent="0.2">
      <c r="G175" s="3"/>
    </row>
    <row r="176" spans="7:7" ht="12.75" customHeight="1" x14ac:dyDescent="0.2">
      <c r="G176" s="3"/>
    </row>
    <row r="177" spans="7:7" ht="12.75" customHeight="1" x14ac:dyDescent="0.2">
      <c r="G177" s="3"/>
    </row>
    <row r="178" spans="7:7" ht="12.75" customHeight="1" x14ac:dyDescent="0.2">
      <c r="G178" s="3"/>
    </row>
    <row r="179" spans="7:7" ht="12.75" customHeight="1" x14ac:dyDescent="0.2">
      <c r="G179" s="3"/>
    </row>
    <row r="180" spans="7:7" ht="12.75" customHeight="1" x14ac:dyDescent="0.2">
      <c r="G180" s="3"/>
    </row>
    <row r="181" spans="7:7" ht="12.75" customHeight="1" x14ac:dyDescent="0.2">
      <c r="G181" s="3"/>
    </row>
    <row r="182" spans="7:7" ht="12.75" customHeight="1" x14ac:dyDescent="0.2">
      <c r="G182" s="3"/>
    </row>
    <row r="183" spans="7:7" ht="12.75" customHeight="1" x14ac:dyDescent="0.2">
      <c r="G183" s="3"/>
    </row>
    <row r="184" spans="7:7" ht="12.75" customHeight="1" x14ac:dyDescent="0.2">
      <c r="G184" s="3"/>
    </row>
    <row r="185" spans="7:7" ht="12.75" customHeight="1" x14ac:dyDescent="0.2">
      <c r="G185" s="3"/>
    </row>
    <row r="186" spans="7:7" ht="12.75" customHeight="1" x14ac:dyDescent="0.2">
      <c r="G186" s="3"/>
    </row>
    <row r="187" spans="7:7" ht="12.75" customHeight="1" x14ac:dyDescent="0.2">
      <c r="G187" s="3"/>
    </row>
    <row r="188" spans="7:7" ht="12.75" customHeight="1" x14ac:dyDescent="0.2">
      <c r="G188" s="3"/>
    </row>
    <row r="189" spans="7:7" ht="12.75" customHeight="1" x14ac:dyDescent="0.2">
      <c r="G189" s="3"/>
    </row>
    <row r="190" spans="7:7" ht="12.75" customHeight="1" x14ac:dyDescent="0.2">
      <c r="G190" s="3"/>
    </row>
    <row r="191" spans="7:7" ht="12.75" customHeight="1" x14ac:dyDescent="0.2">
      <c r="G191" s="3"/>
    </row>
    <row r="192" spans="7:7" ht="12.75" customHeight="1" x14ac:dyDescent="0.2">
      <c r="G192" s="3"/>
    </row>
    <row r="193" spans="7:7" ht="12.75" customHeight="1" x14ac:dyDescent="0.2">
      <c r="G193" s="3"/>
    </row>
    <row r="194" spans="7:7" ht="12.75" customHeight="1" x14ac:dyDescent="0.2">
      <c r="G194" s="3"/>
    </row>
    <row r="195" spans="7:7" ht="12.75" customHeight="1" x14ac:dyDescent="0.2">
      <c r="G195" s="3"/>
    </row>
    <row r="196" spans="7:7" ht="12.75" customHeight="1" x14ac:dyDescent="0.2">
      <c r="G196" s="3"/>
    </row>
    <row r="197" spans="7:7" ht="12.75" customHeight="1" x14ac:dyDescent="0.2">
      <c r="G197" s="3"/>
    </row>
    <row r="198" spans="7:7" ht="12.75" customHeight="1" x14ac:dyDescent="0.2">
      <c r="G198" s="3"/>
    </row>
    <row r="199" spans="7:7" ht="12.75" customHeight="1" x14ac:dyDescent="0.2">
      <c r="G199" s="3"/>
    </row>
    <row r="200" spans="7:7" ht="12.75" customHeight="1" x14ac:dyDescent="0.2">
      <c r="G200" s="3"/>
    </row>
    <row r="201" spans="7:7" ht="12.75" customHeight="1" x14ac:dyDescent="0.2">
      <c r="G201" s="3"/>
    </row>
    <row r="202" spans="7:7" ht="12.75" customHeight="1" x14ac:dyDescent="0.2">
      <c r="G202" s="3"/>
    </row>
    <row r="203" spans="7:7" ht="12.75" customHeight="1" x14ac:dyDescent="0.2">
      <c r="G203" s="3"/>
    </row>
    <row r="204" spans="7:7" ht="12.75" customHeight="1" x14ac:dyDescent="0.2">
      <c r="G204" s="3"/>
    </row>
    <row r="205" spans="7:7" ht="12.75" customHeight="1" x14ac:dyDescent="0.2">
      <c r="G205" s="3"/>
    </row>
    <row r="206" spans="7:7" ht="12.75" customHeight="1" x14ac:dyDescent="0.2">
      <c r="G206" s="3"/>
    </row>
    <row r="207" spans="7:7" ht="12.75" customHeight="1" x14ac:dyDescent="0.2">
      <c r="G207" s="3"/>
    </row>
    <row r="208" spans="7:7" ht="12.75" customHeight="1" x14ac:dyDescent="0.2">
      <c r="G208" s="3"/>
    </row>
    <row r="209" spans="7:7" ht="12.75" customHeight="1" x14ac:dyDescent="0.2">
      <c r="G209" s="3"/>
    </row>
    <row r="210" spans="7:7" ht="12.75" customHeight="1" x14ac:dyDescent="0.2">
      <c r="G210" s="3"/>
    </row>
    <row r="211" spans="7:7" ht="12.75" customHeight="1" x14ac:dyDescent="0.2">
      <c r="G211" s="3"/>
    </row>
    <row r="212" spans="7:7" ht="12.75" customHeight="1" x14ac:dyDescent="0.2">
      <c r="G212" s="3"/>
    </row>
    <row r="213" spans="7:7" ht="12.75" customHeight="1" x14ac:dyDescent="0.2">
      <c r="G213" s="3"/>
    </row>
    <row r="214" spans="7:7" ht="12.75" customHeight="1" x14ac:dyDescent="0.2">
      <c r="G214" s="3"/>
    </row>
    <row r="215" spans="7:7" ht="12.75" customHeight="1" x14ac:dyDescent="0.2">
      <c r="G215" s="3"/>
    </row>
    <row r="216" spans="7:7" ht="12.75" customHeight="1" x14ac:dyDescent="0.2">
      <c r="G216" s="3"/>
    </row>
    <row r="217" spans="7:7" ht="12.75" customHeight="1" x14ac:dyDescent="0.2">
      <c r="G217" s="3"/>
    </row>
    <row r="218" spans="7:7" ht="12.75" customHeight="1" x14ac:dyDescent="0.2">
      <c r="G218" s="3"/>
    </row>
    <row r="219" spans="7:7" ht="12.75" customHeight="1" x14ac:dyDescent="0.2">
      <c r="G219" s="3"/>
    </row>
    <row r="220" spans="7:7" ht="12.75" customHeight="1" x14ac:dyDescent="0.2">
      <c r="G220" s="3"/>
    </row>
    <row r="221" spans="7:7" ht="12.75" customHeight="1" x14ac:dyDescent="0.2">
      <c r="G221" s="3"/>
    </row>
    <row r="222" spans="7:7" ht="12.75" customHeight="1" x14ac:dyDescent="0.2">
      <c r="G222" s="3"/>
    </row>
    <row r="223" spans="7:7" ht="12.75" customHeight="1" x14ac:dyDescent="0.2">
      <c r="G223" s="3"/>
    </row>
    <row r="224" spans="7:7" ht="12.75" customHeight="1" x14ac:dyDescent="0.2">
      <c r="G224" s="3"/>
    </row>
    <row r="225" spans="7:7" ht="12.75" customHeight="1" x14ac:dyDescent="0.2">
      <c r="G225" s="3"/>
    </row>
    <row r="226" spans="7:7" ht="12.75" customHeight="1" x14ac:dyDescent="0.2">
      <c r="G226" s="3"/>
    </row>
    <row r="227" spans="7:7" ht="12.75" customHeight="1" x14ac:dyDescent="0.2">
      <c r="G227" s="3"/>
    </row>
    <row r="228" spans="7:7" ht="12.75" customHeight="1" x14ac:dyDescent="0.2">
      <c r="G228" s="3"/>
    </row>
    <row r="229" spans="7:7" ht="12.75" customHeight="1" x14ac:dyDescent="0.2">
      <c r="G229" s="3"/>
    </row>
    <row r="230" spans="7:7" ht="12.75" customHeight="1" x14ac:dyDescent="0.2">
      <c r="G230" s="3"/>
    </row>
    <row r="231" spans="7:7" ht="12.75" customHeight="1" x14ac:dyDescent="0.2">
      <c r="G231" s="3"/>
    </row>
    <row r="232" spans="7:7" ht="12.75" customHeight="1" x14ac:dyDescent="0.2">
      <c r="G232" s="3"/>
    </row>
    <row r="233" spans="7:7" ht="12.75" customHeight="1" x14ac:dyDescent="0.2">
      <c r="G233" s="3"/>
    </row>
    <row r="234" spans="7:7" ht="12.75" customHeight="1" x14ac:dyDescent="0.2">
      <c r="G234" s="3"/>
    </row>
    <row r="235" spans="7:7" ht="12.75" customHeight="1" x14ac:dyDescent="0.2">
      <c r="G235" s="3"/>
    </row>
    <row r="236" spans="7:7" ht="12.75" customHeight="1" x14ac:dyDescent="0.2">
      <c r="G236" s="3"/>
    </row>
    <row r="237" spans="7:7" ht="12.75" customHeight="1" x14ac:dyDescent="0.2">
      <c r="G237" s="3"/>
    </row>
    <row r="238" spans="7:7" ht="12.75" customHeight="1" x14ac:dyDescent="0.2">
      <c r="G238" s="3"/>
    </row>
    <row r="239" spans="7:7" ht="12.75" customHeight="1" x14ac:dyDescent="0.2">
      <c r="G239" s="3"/>
    </row>
    <row r="240" spans="7:7" ht="12.75" customHeight="1" x14ac:dyDescent="0.2">
      <c r="G240" s="3"/>
    </row>
    <row r="241" spans="7:7" ht="12.75" customHeight="1" x14ac:dyDescent="0.2">
      <c r="G241" s="3"/>
    </row>
    <row r="242" spans="7:7" ht="12.75" customHeight="1" x14ac:dyDescent="0.2">
      <c r="G242" s="3"/>
    </row>
    <row r="243" spans="7:7" ht="12.75" customHeight="1" x14ac:dyDescent="0.2">
      <c r="G243" s="3"/>
    </row>
    <row r="244" spans="7:7" ht="12.75" customHeight="1" x14ac:dyDescent="0.2">
      <c r="G244" s="3"/>
    </row>
    <row r="245" spans="7:7" ht="12.75" customHeight="1" x14ac:dyDescent="0.2">
      <c r="G245" s="3"/>
    </row>
    <row r="246" spans="7:7" ht="12.75" customHeight="1" x14ac:dyDescent="0.2">
      <c r="G246" s="3"/>
    </row>
    <row r="247" spans="7:7" ht="12.75" customHeight="1" x14ac:dyDescent="0.2">
      <c r="G247" s="3"/>
    </row>
    <row r="248" spans="7:7" ht="12.75" customHeight="1" x14ac:dyDescent="0.2">
      <c r="G248" s="3"/>
    </row>
    <row r="249" spans="7:7" ht="12.75" customHeight="1" x14ac:dyDescent="0.2">
      <c r="G249" s="3"/>
    </row>
    <row r="250" spans="7:7" ht="12.75" customHeight="1" x14ac:dyDescent="0.2">
      <c r="G250" s="3"/>
    </row>
    <row r="251" spans="7:7" ht="12.75" customHeight="1" x14ac:dyDescent="0.2">
      <c r="G251" s="3"/>
    </row>
    <row r="252" spans="7:7" ht="12.75" customHeight="1" x14ac:dyDescent="0.2">
      <c r="G252" s="3"/>
    </row>
    <row r="253" spans="7:7" ht="12.75" customHeight="1" x14ac:dyDescent="0.2">
      <c r="G253" s="3"/>
    </row>
    <row r="254" spans="7:7" ht="12.75" customHeight="1" x14ac:dyDescent="0.2">
      <c r="G254" s="3"/>
    </row>
    <row r="255" spans="7:7" ht="12.75" customHeight="1" x14ac:dyDescent="0.2">
      <c r="G255" s="3"/>
    </row>
    <row r="256" spans="7:7" ht="12.75" customHeight="1" x14ac:dyDescent="0.2">
      <c r="G256" s="3"/>
    </row>
    <row r="257" spans="7:7" ht="12.75" customHeight="1" x14ac:dyDescent="0.2">
      <c r="G257" s="3"/>
    </row>
    <row r="258" spans="7:7" ht="12.75" customHeight="1" x14ac:dyDescent="0.2">
      <c r="G258" s="3"/>
    </row>
    <row r="259" spans="7:7" ht="12.75" customHeight="1" x14ac:dyDescent="0.2">
      <c r="G259" s="3"/>
    </row>
    <row r="260" spans="7:7" ht="12.75" customHeight="1" x14ac:dyDescent="0.2">
      <c r="G260" s="3"/>
    </row>
    <row r="261" spans="7:7" ht="12.75" customHeight="1" x14ac:dyDescent="0.2">
      <c r="G261" s="3"/>
    </row>
    <row r="262" spans="7:7" ht="12.75" customHeight="1" x14ac:dyDescent="0.2">
      <c r="G262" s="3"/>
    </row>
    <row r="263" spans="7:7" ht="12.75" customHeight="1" x14ac:dyDescent="0.2">
      <c r="G263" s="3"/>
    </row>
    <row r="264" spans="7:7" ht="12.75" customHeight="1" x14ac:dyDescent="0.2">
      <c r="G264" s="3"/>
    </row>
    <row r="265" spans="7:7" ht="12.75" customHeight="1" x14ac:dyDescent="0.2">
      <c r="G265" s="3"/>
    </row>
    <row r="266" spans="7:7" ht="12.75" customHeight="1" x14ac:dyDescent="0.2">
      <c r="G266" s="3"/>
    </row>
    <row r="267" spans="7:7" ht="12.75" customHeight="1" x14ac:dyDescent="0.2">
      <c r="G267" s="3"/>
    </row>
    <row r="268" spans="7:7" ht="12.75" customHeight="1" x14ac:dyDescent="0.2">
      <c r="G268" s="3"/>
    </row>
    <row r="269" spans="7:7" ht="12.75" customHeight="1" x14ac:dyDescent="0.2">
      <c r="G269" s="3"/>
    </row>
    <row r="270" spans="7:7" ht="12.75" customHeight="1" x14ac:dyDescent="0.2">
      <c r="G270" s="3"/>
    </row>
    <row r="271" spans="7:7" ht="12.75" customHeight="1" x14ac:dyDescent="0.2">
      <c r="G271" s="3"/>
    </row>
    <row r="272" spans="7:7" ht="12.75" customHeight="1" x14ac:dyDescent="0.2">
      <c r="G272" s="3"/>
    </row>
    <row r="273" spans="7:7" ht="12.75" customHeight="1" x14ac:dyDescent="0.2">
      <c r="G273" s="3"/>
    </row>
    <row r="274" spans="7:7" ht="12.75" customHeight="1" x14ac:dyDescent="0.2">
      <c r="G274" s="3"/>
    </row>
    <row r="275" spans="7:7" ht="12.75" customHeight="1" x14ac:dyDescent="0.2">
      <c r="G275" s="3"/>
    </row>
    <row r="276" spans="7:7" ht="12.75" customHeight="1" x14ac:dyDescent="0.2">
      <c r="G276" s="3"/>
    </row>
    <row r="277" spans="7:7" ht="12.75" customHeight="1" x14ac:dyDescent="0.2">
      <c r="G277" s="3"/>
    </row>
    <row r="278" spans="7:7" ht="12.75" customHeight="1" x14ac:dyDescent="0.2">
      <c r="G278" s="3"/>
    </row>
    <row r="279" spans="7:7" ht="12.75" customHeight="1" x14ac:dyDescent="0.2">
      <c r="G279" s="3"/>
    </row>
    <row r="280" spans="7:7" ht="12.75" customHeight="1" x14ac:dyDescent="0.2">
      <c r="G280" s="3"/>
    </row>
    <row r="281" spans="7:7" ht="12.75" customHeight="1" x14ac:dyDescent="0.2">
      <c r="G281" s="3"/>
    </row>
    <row r="282" spans="7:7" ht="12.75" customHeight="1" x14ac:dyDescent="0.2">
      <c r="G282" s="3"/>
    </row>
    <row r="283" spans="7:7" ht="12.75" customHeight="1" x14ac:dyDescent="0.2">
      <c r="G283" s="3"/>
    </row>
    <row r="284" spans="7:7" ht="12.75" customHeight="1" x14ac:dyDescent="0.2">
      <c r="G284" s="3"/>
    </row>
    <row r="285" spans="7:7" ht="12.75" customHeight="1" x14ac:dyDescent="0.2">
      <c r="G285" s="3"/>
    </row>
    <row r="286" spans="7:7" ht="12.75" customHeight="1" x14ac:dyDescent="0.2">
      <c r="G286" s="3"/>
    </row>
    <row r="287" spans="7:7" ht="12.75" customHeight="1" x14ac:dyDescent="0.2">
      <c r="G287" s="3"/>
    </row>
    <row r="288" spans="7:7" ht="12.75" customHeight="1" x14ac:dyDescent="0.2">
      <c r="G288" s="3"/>
    </row>
    <row r="289" spans="7:7" ht="12.75" customHeight="1" x14ac:dyDescent="0.2">
      <c r="G289" s="3"/>
    </row>
    <row r="290" spans="7:7" ht="12.75" customHeight="1" x14ac:dyDescent="0.2">
      <c r="G290" s="3"/>
    </row>
    <row r="291" spans="7:7" ht="12.75" customHeight="1" x14ac:dyDescent="0.2">
      <c r="G291" s="3"/>
    </row>
    <row r="292" spans="7:7" ht="12.75" customHeight="1" x14ac:dyDescent="0.2">
      <c r="G292" s="3"/>
    </row>
    <row r="293" spans="7:7" ht="12.75" customHeight="1" x14ac:dyDescent="0.2">
      <c r="G293" s="3"/>
    </row>
    <row r="294" spans="7:7" ht="12.75" customHeight="1" x14ac:dyDescent="0.2">
      <c r="G294" s="3"/>
    </row>
    <row r="295" spans="7:7" ht="12.75" customHeight="1" x14ac:dyDescent="0.2">
      <c r="G295" s="3"/>
    </row>
    <row r="296" spans="7:7" ht="12.75" customHeight="1" x14ac:dyDescent="0.2">
      <c r="G296" s="3"/>
    </row>
    <row r="297" spans="7:7" ht="12.75" customHeight="1" x14ac:dyDescent="0.2">
      <c r="G297" s="3"/>
    </row>
    <row r="298" spans="7:7" ht="12.75" customHeight="1" x14ac:dyDescent="0.2">
      <c r="G298" s="3"/>
    </row>
    <row r="299" spans="7:7" ht="12.75" customHeight="1" x14ac:dyDescent="0.2">
      <c r="G299" s="3"/>
    </row>
    <row r="300" spans="7:7" ht="12.75" customHeight="1" x14ac:dyDescent="0.2">
      <c r="G300" s="3"/>
    </row>
    <row r="301" spans="7:7" ht="12.75" customHeight="1" x14ac:dyDescent="0.2">
      <c r="G301" s="3"/>
    </row>
    <row r="302" spans="7:7" ht="12.75" customHeight="1" x14ac:dyDescent="0.2">
      <c r="G302" s="3"/>
    </row>
    <row r="303" spans="7:7" ht="12.75" customHeight="1" x14ac:dyDescent="0.2">
      <c r="G303" s="3"/>
    </row>
    <row r="304" spans="7:7" ht="12.75" customHeight="1" x14ac:dyDescent="0.2">
      <c r="G304" s="3"/>
    </row>
    <row r="305" spans="7:7" ht="12.75" customHeight="1" x14ac:dyDescent="0.2">
      <c r="G305" s="3"/>
    </row>
    <row r="306" spans="7:7" ht="12.75" customHeight="1" x14ac:dyDescent="0.2">
      <c r="G306" s="3"/>
    </row>
    <row r="307" spans="7:7" ht="12.75" customHeight="1" x14ac:dyDescent="0.2">
      <c r="G307" s="3"/>
    </row>
    <row r="308" spans="7:7" ht="12.75" customHeight="1" x14ac:dyDescent="0.2">
      <c r="G308" s="3"/>
    </row>
    <row r="309" spans="7:7" ht="12.75" customHeight="1" x14ac:dyDescent="0.2">
      <c r="G309" s="3"/>
    </row>
    <row r="310" spans="7:7" ht="12.75" customHeight="1" x14ac:dyDescent="0.2">
      <c r="G310" s="3"/>
    </row>
    <row r="311" spans="7:7" ht="12.75" customHeight="1" x14ac:dyDescent="0.2">
      <c r="G311" s="3"/>
    </row>
    <row r="312" spans="7:7" ht="12.75" customHeight="1" x14ac:dyDescent="0.2">
      <c r="G312" s="3"/>
    </row>
    <row r="313" spans="7:7" ht="12.75" customHeight="1" x14ac:dyDescent="0.2">
      <c r="G313" s="3"/>
    </row>
    <row r="314" spans="7:7" ht="12.75" customHeight="1" x14ac:dyDescent="0.2">
      <c r="G314" s="3"/>
    </row>
    <row r="315" spans="7:7" ht="12.75" customHeight="1" x14ac:dyDescent="0.2">
      <c r="G315" s="3"/>
    </row>
    <row r="316" spans="7:7" ht="12.75" customHeight="1" x14ac:dyDescent="0.2">
      <c r="G316" s="3"/>
    </row>
    <row r="317" spans="7:7" ht="12.75" customHeight="1" x14ac:dyDescent="0.2">
      <c r="G317" s="3"/>
    </row>
    <row r="318" spans="7:7" ht="12.75" customHeight="1" x14ac:dyDescent="0.2">
      <c r="G318" s="3"/>
    </row>
    <row r="319" spans="7:7" ht="12.75" customHeight="1" x14ac:dyDescent="0.2">
      <c r="G319" s="3"/>
    </row>
    <row r="320" spans="7:7" ht="12.75" customHeight="1" x14ac:dyDescent="0.2">
      <c r="G320" s="3"/>
    </row>
    <row r="321" spans="7:7" ht="12.75" customHeight="1" x14ac:dyDescent="0.2">
      <c r="G321" s="3"/>
    </row>
    <row r="322" spans="7:7" ht="12.75" customHeight="1" x14ac:dyDescent="0.2">
      <c r="G322" s="3"/>
    </row>
    <row r="323" spans="7:7" ht="12.75" customHeight="1" x14ac:dyDescent="0.2">
      <c r="G323" s="3"/>
    </row>
    <row r="324" spans="7:7" ht="12.75" customHeight="1" x14ac:dyDescent="0.2">
      <c r="G324" s="3"/>
    </row>
    <row r="325" spans="7:7" ht="12.75" customHeight="1" x14ac:dyDescent="0.2">
      <c r="G325" s="3"/>
    </row>
    <row r="326" spans="7:7" ht="12.75" customHeight="1" x14ac:dyDescent="0.2">
      <c r="G326" s="3"/>
    </row>
    <row r="327" spans="7:7" ht="12.75" customHeight="1" x14ac:dyDescent="0.2">
      <c r="G327" s="3"/>
    </row>
    <row r="328" spans="7:7" ht="12.75" customHeight="1" x14ac:dyDescent="0.2">
      <c r="G328" s="3"/>
    </row>
    <row r="329" spans="7:7" ht="12.75" customHeight="1" x14ac:dyDescent="0.2">
      <c r="G329" s="3"/>
    </row>
    <row r="330" spans="7:7" ht="12.75" customHeight="1" x14ac:dyDescent="0.2">
      <c r="G330" s="3"/>
    </row>
    <row r="331" spans="7:7" ht="12.75" customHeight="1" x14ac:dyDescent="0.2">
      <c r="G331" s="3"/>
    </row>
    <row r="332" spans="7:7" ht="12.75" customHeight="1" x14ac:dyDescent="0.2">
      <c r="G332" s="3"/>
    </row>
    <row r="333" spans="7:7" ht="12.75" customHeight="1" x14ac:dyDescent="0.2">
      <c r="G333" s="3"/>
    </row>
    <row r="334" spans="7:7" ht="12.75" customHeight="1" x14ac:dyDescent="0.2">
      <c r="G334" s="3"/>
    </row>
    <row r="335" spans="7:7" ht="12.75" customHeight="1" x14ac:dyDescent="0.2">
      <c r="G335" s="3"/>
    </row>
    <row r="336" spans="7:7" ht="12.75" customHeight="1" x14ac:dyDescent="0.2">
      <c r="G336" s="3"/>
    </row>
    <row r="337" spans="7:7" ht="12.75" customHeight="1" x14ac:dyDescent="0.2">
      <c r="G337" s="3"/>
    </row>
    <row r="338" spans="7:7" ht="12.75" customHeight="1" x14ac:dyDescent="0.2">
      <c r="G338" s="3"/>
    </row>
    <row r="339" spans="7:7" ht="12.75" customHeight="1" x14ac:dyDescent="0.2">
      <c r="G339" s="3"/>
    </row>
    <row r="340" spans="7:7" ht="12.75" customHeight="1" x14ac:dyDescent="0.2">
      <c r="G340" s="3"/>
    </row>
    <row r="341" spans="7:7" ht="12.75" customHeight="1" x14ac:dyDescent="0.2">
      <c r="G341" s="3"/>
    </row>
    <row r="342" spans="7:7" ht="12.75" customHeight="1" x14ac:dyDescent="0.2">
      <c r="G342" s="3"/>
    </row>
    <row r="343" spans="7:7" ht="12.75" customHeight="1" x14ac:dyDescent="0.2">
      <c r="G343" s="3"/>
    </row>
    <row r="344" spans="7:7" ht="12.75" customHeight="1" x14ac:dyDescent="0.2">
      <c r="G344" s="3"/>
    </row>
    <row r="345" spans="7:7" ht="12.75" customHeight="1" x14ac:dyDescent="0.2">
      <c r="G345" s="3"/>
    </row>
    <row r="346" spans="7:7" ht="12.75" customHeight="1" x14ac:dyDescent="0.2">
      <c r="G346" s="3"/>
    </row>
    <row r="347" spans="7:7" ht="12.75" customHeight="1" x14ac:dyDescent="0.2">
      <c r="G347" s="3"/>
    </row>
    <row r="348" spans="7:7" ht="12.75" customHeight="1" x14ac:dyDescent="0.2">
      <c r="G348" s="3"/>
    </row>
    <row r="349" spans="7:7" ht="12.75" customHeight="1" x14ac:dyDescent="0.2">
      <c r="G349" s="3"/>
    </row>
    <row r="350" spans="7:7" ht="12.75" customHeight="1" x14ac:dyDescent="0.2">
      <c r="G350" s="3"/>
    </row>
    <row r="351" spans="7:7" ht="12.75" customHeight="1" x14ac:dyDescent="0.2">
      <c r="G351" s="3"/>
    </row>
    <row r="352" spans="7:7" ht="12.75" customHeight="1" x14ac:dyDescent="0.2">
      <c r="G352" s="3"/>
    </row>
    <row r="353" spans="7:7" ht="12.75" customHeight="1" x14ac:dyDescent="0.2">
      <c r="G353" s="3"/>
    </row>
    <row r="354" spans="7:7" ht="12.75" customHeight="1" x14ac:dyDescent="0.2">
      <c r="G354" s="3"/>
    </row>
    <row r="355" spans="7:7" ht="12.75" customHeight="1" x14ac:dyDescent="0.2">
      <c r="G355" s="3"/>
    </row>
    <row r="356" spans="7:7" ht="12.75" customHeight="1" x14ac:dyDescent="0.2">
      <c r="G356" s="3"/>
    </row>
    <row r="357" spans="7:7" ht="12.75" customHeight="1" x14ac:dyDescent="0.2">
      <c r="G357" s="3"/>
    </row>
    <row r="358" spans="7:7" ht="12.75" customHeight="1" x14ac:dyDescent="0.2">
      <c r="G358" s="3"/>
    </row>
    <row r="359" spans="7:7" ht="12.75" customHeight="1" x14ac:dyDescent="0.2">
      <c r="G359" s="3"/>
    </row>
    <row r="360" spans="7:7" ht="12.75" customHeight="1" x14ac:dyDescent="0.2">
      <c r="G360" s="3"/>
    </row>
    <row r="361" spans="7:7" ht="12.75" customHeight="1" x14ac:dyDescent="0.2">
      <c r="G361" s="3"/>
    </row>
    <row r="362" spans="7:7" ht="12.75" customHeight="1" x14ac:dyDescent="0.2">
      <c r="G362" s="3"/>
    </row>
    <row r="363" spans="7:7" ht="12.75" customHeight="1" x14ac:dyDescent="0.2">
      <c r="G363" s="3"/>
    </row>
    <row r="364" spans="7:7" ht="12.75" customHeight="1" x14ac:dyDescent="0.2">
      <c r="G364" s="3"/>
    </row>
    <row r="365" spans="7:7" ht="12.75" customHeight="1" x14ac:dyDescent="0.2">
      <c r="G365" s="3"/>
    </row>
    <row r="366" spans="7:7" ht="12.75" customHeight="1" x14ac:dyDescent="0.2">
      <c r="G366" s="3"/>
    </row>
    <row r="367" spans="7:7" ht="12.75" customHeight="1" x14ac:dyDescent="0.2">
      <c r="G367" s="3"/>
    </row>
    <row r="368" spans="7:7" ht="12.75" customHeight="1" x14ac:dyDescent="0.2">
      <c r="G368" s="3"/>
    </row>
    <row r="369" spans="7:7" ht="12.75" customHeight="1" x14ac:dyDescent="0.2">
      <c r="G369" s="3"/>
    </row>
    <row r="370" spans="7:7" ht="12.75" customHeight="1" x14ac:dyDescent="0.2">
      <c r="G370" s="3"/>
    </row>
    <row r="371" spans="7:7" ht="12.75" customHeight="1" x14ac:dyDescent="0.2">
      <c r="G371" s="3"/>
    </row>
    <row r="372" spans="7:7" ht="12.75" customHeight="1" x14ac:dyDescent="0.2">
      <c r="G372" s="3"/>
    </row>
    <row r="373" spans="7:7" ht="12.75" customHeight="1" x14ac:dyDescent="0.2">
      <c r="G373" s="3"/>
    </row>
    <row r="374" spans="7:7" ht="12.75" customHeight="1" x14ac:dyDescent="0.2">
      <c r="G374" s="3"/>
    </row>
    <row r="375" spans="7:7" ht="12.75" customHeight="1" x14ac:dyDescent="0.2">
      <c r="G375" s="3"/>
    </row>
    <row r="376" spans="7:7" ht="12.75" customHeight="1" x14ac:dyDescent="0.2">
      <c r="G376" s="3"/>
    </row>
    <row r="377" spans="7:7" ht="12.75" customHeight="1" x14ac:dyDescent="0.2">
      <c r="G377" s="3"/>
    </row>
    <row r="378" spans="7:7" ht="12.75" customHeight="1" x14ac:dyDescent="0.2">
      <c r="G378" s="3"/>
    </row>
    <row r="379" spans="7:7" ht="12.75" customHeight="1" x14ac:dyDescent="0.2">
      <c r="G379" s="3"/>
    </row>
    <row r="380" spans="7:7" ht="12.75" customHeight="1" x14ac:dyDescent="0.2">
      <c r="G380" s="3"/>
    </row>
    <row r="381" spans="7:7" ht="12.75" customHeight="1" x14ac:dyDescent="0.2">
      <c r="G381" s="3"/>
    </row>
    <row r="382" spans="7:7" ht="12.75" customHeight="1" x14ac:dyDescent="0.2">
      <c r="G382" s="3"/>
    </row>
    <row r="383" spans="7:7" ht="12.75" customHeight="1" x14ac:dyDescent="0.2">
      <c r="G383" s="3"/>
    </row>
    <row r="384" spans="7:7" ht="12.75" customHeight="1" x14ac:dyDescent="0.2">
      <c r="G384" s="3"/>
    </row>
    <row r="385" spans="7:7" ht="12.75" customHeight="1" x14ac:dyDescent="0.2">
      <c r="G385" s="3"/>
    </row>
    <row r="386" spans="7:7" ht="12.75" customHeight="1" x14ac:dyDescent="0.2">
      <c r="G386" s="3"/>
    </row>
    <row r="387" spans="7:7" ht="12.75" customHeight="1" x14ac:dyDescent="0.2">
      <c r="G387" s="3"/>
    </row>
    <row r="388" spans="7:7" ht="12.75" customHeight="1" x14ac:dyDescent="0.2">
      <c r="G388" s="3"/>
    </row>
    <row r="389" spans="7:7" ht="12.75" customHeight="1" x14ac:dyDescent="0.2">
      <c r="G389" s="3"/>
    </row>
    <row r="390" spans="7:7" ht="12.75" customHeight="1" x14ac:dyDescent="0.2">
      <c r="G390" s="3"/>
    </row>
    <row r="391" spans="7:7" ht="12.75" customHeight="1" x14ac:dyDescent="0.2">
      <c r="G391" s="3"/>
    </row>
    <row r="392" spans="7:7" ht="12.75" customHeight="1" x14ac:dyDescent="0.2">
      <c r="G392" s="3"/>
    </row>
    <row r="393" spans="7:7" ht="12.75" customHeight="1" x14ac:dyDescent="0.2">
      <c r="G393" s="3"/>
    </row>
    <row r="394" spans="7:7" ht="12.75" customHeight="1" x14ac:dyDescent="0.2">
      <c r="G394" s="3"/>
    </row>
    <row r="395" spans="7:7" ht="12.75" customHeight="1" x14ac:dyDescent="0.2">
      <c r="G395" s="3"/>
    </row>
    <row r="396" spans="7:7" ht="12.75" customHeight="1" x14ac:dyDescent="0.2">
      <c r="G396" s="3"/>
    </row>
    <row r="397" spans="7:7" ht="12.75" customHeight="1" x14ac:dyDescent="0.2">
      <c r="G397" s="3"/>
    </row>
    <row r="398" spans="7:7" ht="12.75" customHeight="1" x14ac:dyDescent="0.2">
      <c r="G398" s="3"/>
    </row>
    <row r="399" spans="7:7" ht="12.75" customHeight="1" x14ac:dyDescent="0.2">
      <c r="G399" s="3"/>
    </row>
    <row r="400" spans="7:7" ht="12.75" customHeight="1" x14ac:dyDescent="0.2">
      <c r="G400" s="3"/>
    </row>
    <row r="401" spans="7:7" ht="12.75" customHeight="1" x14ac:dyDescent="0.2">
      <c r="G401" s="3"/>
    </row>
    <row r="402" spans="7:7" ht="12.75" customHeight="1" x14ac:dyDescent="0.2">
      <c r="G402" s="3"/>
    </row>
    <row r="403" spans="7:7" ht="12.75" customHeight="1" x14ac:dyDescent="0.2">
      <c r="G403" s="3"/>
    </row>
    <row r="404" spans="7:7" ht="12.75" customHeight="1" x14ac:dyDescent="0.2">
      <c r="G404" s="3"/>
    </row>
    <row r="405" spans="7:7" ht="12.75" customHeight="1" x14ac:dyDescent="0.2">
      <c r="G405" s="3"/>
    </row>
    <row r="406" spans="7:7" ht="12.75" customHeight="1" x14ac:dyDescent="0.2">
      <c r="G406" s="3"/>
    </row>
    <row r="407" spans="7:7" ht="12.75" customHeight="1" x14ac:dyDescent="0.2">
      <c r="G407" s="3"/>
    </row>
    <row r="408" spans="7:7" ht="12.75" customHeight="1" x14ac:dyDescent="0.2">
      <c r="G408" s="3"/>
    </row>
    <row r="409" spans="7:7" ht="12.75" customHeight="1" x14ac:dyDescent="0.2">
      <c r="G409" s="3"/>
    </row>
    <row r="410" spans="7:7" ht="12.75" customHeight="1" x14ac:dyDescent="0.2">
      <c r="G410" s="3"/>
    </row>
    <row r="411" spans="7:7" ht="12.75" customHeight="1" x14ac:dyDescent="0.2">
      <c r="G411" s="3"/>
    </row>
    <row r="412" spans="7:7" ht="12.75" customHeight="1" x14ac:dyDescent="0.2">
      <c r="G412" s="3"/>
    </row>
    <row r="413" spans="7:7" ht="12.75" customHeight="1" x14ac:dyDescent="0.2">
      <c r="G413" s="3"/>
    </row>
    <row r="414" spans="7:7" ht="12.75" customHeight="1" x14ac:dyDescent="0.2">
      <c r="G414" s="3"/>
    </row>
    <row r="415" spans="7:7" ht="12.75" customHeight="1" x14ac:dyDescent="0.2">
      <c r="G415" s="3"/>
    </row>
    <row r="416" spans="7:7" ht="12.75" customHeight="1" x14ac:dyDescent="0.2">
      <c r="G416" s="3"/>
    </row>
    <row r="417" spans="7:7" ht="12.75" customHeight="1" x14ac:dyDescent="0.2">
      <c r="G417" s="3"/>
    </row>
    <row r="418" spans="7:7" ht="12.75" customHeight="1" x14ac:dyDescent="0.2">
      <c r="G418" s="3"/>
    </row>
    <row r="419" spans="7:7" ht="12.75" customHeight="1" x14ac:dyDescent="0.2">
      <c r="G419" s="3"/>
    </row>
    <row r="420" spans="7:7" ht="12.75" customHeight="1" x14ac:dyDescent="0.2">
      <c r="G420" s="3"/>
    </row>
    <row r="421" spans="7:7" ht="12.75" customHeight="1" x14ac:dyDescent="0.2">
      <c r="G421" s="3"/>
    </row>
    <row r="422" spans="7:7" ht="12.75" customHeight="1" x14ac:dyDescent="0.2">
      <c r="G422" s="3"/>
    </row>
    <row r="423" spans="7:7" ht="12.75" customHeight="1" x14ac:dyDescent="0.2">
      <c r="G423" s="3"/>
    </row>
    <row r="424" spans="7:7" ht="12.75" customHeight="1" x14ac:dyDescent="0.2">
      <c r="G424" s="3"/>
    </row>
    <row r="425" spans="7:7" ht="12.75" customHeight="1" x14ac:dyDescent="0.2">
      <c r="G425" s="3"/>
    </row>
    <row r="426" spans="7:7" ht="12.75" customHeight="1" x14ac:dyDescent="0.2">
      <c r="G426" s="3"/>
    </row>
    <row r="427" spans="7:7" ht="12.75" customHeight="1" x14ac:dyDescent="0.2">
      <c r="G427" s="3"/>
    </row>
    <row r="428" spans="7:7" ht="12.75" customHeight="1" x14ac:dyDescent="0.2">
      <c r="G428" s="3"/>
    </row>
    <row r="429" spans="7:7" ht="12.75" customHeight="1" x14ac:dyDescent="0.2">
      <c r="G429" s="3"/>
    </row>
    <row r="430" spans="7:7" ht="12.75" customHeight="1" x14ac:dyDescent="0.2">
      <c r="G430" s="3"/>
    </row>
    <row r="431" spans="7:7" ht="12.75" customHeight="1" x14ac:dyDescent="0.2">
      <c r="G431" s="3"/>
    </row>
    <row r="432" spans="7:7" ht="12.75" customHeight="1" x14ac:dyDescent="0.2">
      <c r="G432" s="3"/>
    </row>
    <row r="433" spans="7:7" ht="12.75" customHeight="1" x14ac:dyDescent="0.2">
      <c r="G433" s="3"/>
    </row>
    <row r="434" spans="7:7" ht="12.75" customHeight="1" x14ac:dyDescent="0.2">
      <c r="G434" s="3"/>
    </row>
    <row r="435" spans="7:7" ht="12.75" customHeight="1" x14ac:dyDescent="0.2">
      <c r="G435" s="3"/>
    </row>
    <row r="436" spans="7:7" ht="12.75" customHeight="1" x14ac:dyDescent="0.2">
      <c r="G436" s="3"/>
    </row>
    <row r="437" spans="7:7" ht="12.75" customHeight="1" x14ac:dyDescent="0.2">
      <c r="G437" s="3"/>
    </row>
    <row r="438" spans="7:7" ht="12.75" customHeight="1" x14ac:dyDescent="0.2">
      <c r="G438" s="3"/>
    </row>
    <row r="439" spans="7:7" ht="12.75" customHeight="1" x14ac:dyDescent="0.2">
      <c r="G439" s="3"/>
    </row>
    <row r="440" spans="7:7" ht="12.75" customHeight="1" x14ac:dyDescent="0.2">
      <c r="G440" s="3"/>
    </row>
    <row r="441" spans="7:7" ht="12.75" customHeight="1" x14ac:dyDescent="0.2">
      <c r="G441" s="3"/>
    </row>
    <row r="442" spans="7:7" ht="12.75" customHeight="1" x14ac:dyDescent="0.2">
      <c r="G442" s="3"/>
    </row>
    <row r="443" spans="7:7" ht="12.75" customHeight="1" x14ac:dyDescent="0.2">
      <c r="G443" s="3"/>
    </row>
    <row r="444" spans="7:7" ht="12.75" customHeight="1" x14ac:dyDescent="0.2">
      <c r="G444" s="3"/>
    </row>
    <row r="445" spans="7:7" ht="12.75" customHeight="1" x14ac:dyDescent="0.2">
      <c r="G445" s="3"/>
    </row>
    <row r="446" spans="7:7" ht="12.75" customHeight="1" x14ac:dyDescent="0.2">
      <c r="G446" s="3"/>
    </row>
    <row r="447" spans="7:7" ht="12.75" customHeight="1" x14ac:dyDescent="0.2">
      <c r="G447" s="3"/>
    </row>
    <row r="448" spans="7:7" ht="12.75" customHeight="1" x14ac:dyDescent="0.2">
      <c r="G448" s="3"/>
    </row>
    <row r="449" spans="7:7" ht="12.75" customHeight="1" x14ac:dyDescent="0.2">
      <c r="G449" s="3"/>
    </row>
    <row r="450" spans="7:7" ht="12.75" customHeight="1" x14ac:dyDescent="0.2">
      <c r="G450" s="3"/>
    </row>
    <row r="451" spans="7:7" ht="12.75" customHeight="1" x14ac:dyDescent="0.2">
      <c r="G451" s="3"/>
    </row>
    <row r="452" spans="7:7" ht="12.75" customHeight="1" x14ac:dyDescent="0.2">
      <c r="G452" s="3"/>
    </row>
    <row r="453" spans="7:7" ht="12.75" customHeight="1" x14ac:dyDescent="0.2">
      <c r="G453" s="3"/>
    </row>
    <row r="454" spans="7:7" ht="12.75" customHeight="1" x14ac:dyDescent="0.2">
      <c r="G454" s="3"/>
    </row>
    <row r="455" spans="7:7" ht="12.75" customHeight="1" x14ac:dyDescent="0.2">
      <c r="G455" s="3"/>
    </row>
    <row r="456" spans="7:7" ht="12.75" customHeight="1" x14ac:dyDescent="0.2">
      <c r="G456" s="3"/>
    </row>
    <row r="457" spans="7:7" ht="12.75" customHeight="1" x14ac:dyDescent="0.2">
      <c r="G457" s="3"/>
    </row>
    <row r="458" spans="7:7" ht="12.75" customHeight="1" x14ac:dyDescent="0.2">
      <c r="G458" s="3"/>
    </row>
    <row r="459" spans="7:7" ht="12.75" customHeight="1" x14ac:dyDescent="0.2">
      <c r="G459" s="3"/>
    </row>
    <row r="460" spans="7:7" ht="12.75" customHeight="1" x14ac:dyDescent="0.2">
      <c r="G460" s="3"/>
    </row>
    <row r="461" spans="7:7" ht="12.75" customHeight="1" x14ac:dyDescent="0.2">
      <c r="G461" s="3"/>
    </row>
    <row r="462" spans="7:7" ht="12.75" customHeight="1" x14ac:dyDescent="0.2">
      <c r="G462" s="3"/>
    </row>
    <row r="463" spans="7:7" ht="12.75" customHeight="1" x14ac:dyDescent="0.2">
      <c r="G463" s="3"/>
    </row>
    <row r="464" spans="7:7" ht="12.75" customHeight="1" x14ac:dyDescent="0.2">
      <c r="G464" s="3"/>
    </row>
    <row r="465" spans="7:7" ht="12.75" customHeight="1" x14ac:dyDescent="0.2">
      <c r="G465" s="3"/>
    </row>
    <row r="466" spans="7:7" ht="12.75" customHeight="1" x14ac:dyDescent="0.2">
      <c r="G466" s="3"/>
    </row>
    <row r="467" spans="7:7" ht="12.75" customHeight="1" x14ac:dyDescent="0.2">
      <c r="G467" s="3"/>
    </row>
    <row r="468" spans="7:7" ht="12.75" customHeight="1" x14ac:dyDescent="0.2">
      <c r="G468" s="3"/>
    </row>
    <row r="469" spans="7:7" ht="12.75" customHeight="1" x14ac:dyDescent="0.2">
      <c r="G469" s="3"/>
    </row>
    <row r="470" spans="7:7" ht="12.75" customHeight="1" x14ac:dyDescent="0.2">
      <c r="G470" s="3"/>
    </row>
    <row r="471" spans="7:7" ht="12.75" customHeight="1" x14ac:dyDescent="0.2">
      <c r="G471" s="3"/>
    </row>
    <row r="472" spans="7:7" ht="12.75" customHeight="1" x14ac:dyDescent="0.2">
      <c r="G472" s="3"/>
    </row>
    <row r="473" spans="7:7" ht="12.75" customHeight="1" x14ac:dyDescent="0.2">
      <c r="G473" s="3"/>
    </row>
    <row r="474" spans="7:7" ht="12.75" customHeight="1" x14ac:dyDescent="0.2">
      <c r="G474" s="3"/>
    </row>
    <row r="475" spans="7:7" ht="12.75" customHeight="1" x14ac:dyDescent="0.2">
      <c r="G475" s="3"/>
    </row>
    <row r="476" spans="7:7" ht="12.75" customHeight="1" x14ac:dyDescent="0.2">
      <c r="G476" s="3"/>
    </row>
    <row r="477" spans="7:7" ht="12.75" customHeight="1" x14ac:dyDescent="0.2">
      <c r="G477" s="3"/>
    </row>
    <row r="478" spans="7:7" ht="12.75" customHeight="1" x14ac:dyDescent="0.2">
      <c r="G478" s="3"/>
    </row>
    <row r="479" spans="7:7" ht="12.75" customHeight="1" x14ac:dyDescent="0.2">
      <c r="G479" s="3"/>
    </row>
    <row r="480" spans="7:7" ht="12.75" customHeight="1" x14ac:dyDescent="0.2">
      <c r="G480" s="3"/>
    </row>
    <row r="481" spans="7:7" ht="12.75" customHeight="1" x14ac:dyDescent="0.2">
      <c r="G481" s="3"/>
    </row>
    <row r="482" spans="7:7" ht="12.75" customHeight="1" x14ac:dyDescent="0.2">
      <c r="G482" s="3"/>
    </row>
    <row r="483" spans="7:7" ht="12.75" customHeight="1" x14ac:dyDescent="0.2">
      <c r="G483" s="3"/>
    </row>
    <row r="484" spans="7:7" ht="12.75" customHeight="1" x14ac:dyDescent="0.2">
      <c r="G484" s="3"/>
    </row>
    <row r="485" spans="7:7" ht="12.75" customHeight="1" x14ac:dyDescent="0.2">
      <c r="G485" s="3"/>
    </row>
    <row r="486" spans="7:7" ht="12.75" customHeight="1" x14ac:dyDescent="0.2">
      <c r="G486" s="3"/>
    </row>
    <row r="487" spans="7:7" ht="12.75" customHeight="1" x14ac:dyDescent="0.2">
      <c r="G487" s="3"/>
    </row>
    <row r="488" spans="7:7" ht="12.75" customHeight="1" x14ac:dyDescent="0.2">
      <c r="G488" s="3"/>
    </row>
    <row r="489" spans="7:7" ht="12.75" customHeight="1" x14ac:dyDescent="0.2">
      <c r="G489" s="3"/>
    </row>
    <row r="490" spans="7:7" ht="12.75" customHeight="1" x14ac:dyDescent="0.2">
      <c r="G490" s="3"/>
    </row>
    <row r="491" spans="7:7" ht="12.75" customHeight="1" x14ac:dyDescent="0.2">
      <c r="G491" s="3"/>
    </row>
    <row r="492" spans="7:7" ht="12.75" customHeight="1" x14ac:dyDescent="0.2">
      <c r="G492" s="3"/>
    </row>
    <row r="493" spans="7:7" ht="12.75" customHeight="1" x14ac:dyDescent="0.2">
      <c r="G493" s="3"/>
    </row>
    <row r="494" spans="7:7" ht="12.75" customHeight="1" x14ac:dyDescent="0.2">
      <c r="G494" s="3"/>
    </row>
    <row r="495" spans="7:7" ht="12.75" customHeight="1" x14ac:dyDescent="0.2">
      <c r="G495" s="3"/>
    </row>
    <row r="496" spans="7:7" ht="12.75" customHeight="1" x14ac:dyDescent="0.2">
      <c r="G496" s="3"/>
    </row>
    <row r="497" spans="7:7" ht="12.75" customHeight="1" x14ac:dyDescent="0.2">
      <c r="G497" s="3"/>
    </row>
    <row r="498" spans="7:7" ht="12.75" customHeight="1" x14ac:dyDescent="0.2">
      <c r="G498" s="3"/>
    </row>
    <row r="499" spans="7:7" ht="12.75" customHeight="1" x14ac:dyDescent="0.2">
      <c r="G499" s="3"/>
    </row>
    <row r="500" spans="7:7" ht="12.75" customHeight="1" x14ac:dyDescent="0.2">
      <c r="G500" s="3"/>
    </row>
    <row r="501" spans="7:7" ht="12.75" customHeight="1" x14ac:dyDescent="0.2">
      <c r="G501" s="3"/>
    </row>
    <row r="502" spans="7:7" ht="12.75" customHeight="1" x14ac:dyDescent="0.2">
      <c r="G502" s="3"/>
    </row>
    <row r="503" spans="7:7" ht="12.75" customHeight="1" x14ac:dyDescent="0.2">
      <c r="G503" s="3"/>
    </row>
    <row r="504" spans="7:7" ht="12.75" customHeight="1" x14ac:dyDescent="0.2">
      <c r="G504" s="3"/>
    </row>
    <row r="505" spans="7:7" ht="12.75" customHeight="1" x14ac:dyDescent="0.2">
      <c r="G505" s="3"/>
    </row>
    <row r="506" spans="7:7" ht="12.75" customHeight="1" x14ac:dyDescent="0.2">
      <c r="G506" s="3"/>
    </row>
    <row r="507" spans="7:7" ht="12.75" customHeight="1" x14ac:dyDescent="0.2">
      <c r="G507" s="3"/>
    </row>
    <row r="508" spans="7:7" ht="12.75" customHeight="1" x14ac:dyDescent="0.2">
      <c r="G508" s="3"/>
    </row>
    <row r="509" spans="7:7" ht="12.75" customHeight="1" x14ac:dyDescent="0.2">
      <c r="G509" s="3"/>
    </row>
    <row r="510" spans="7:7" ht="12.75" customHeight="1" x14ac:dyDescent="0.2">
      <c r="G510" s="3"/>
    </row>
    <row r="511" spans="7:7" ht="12.75" customHeight="1" x14ac:dyDescent="0.2">
      <c r="G511" s="3"/>
    </row>
    <row r="512" spans="7:7" ht="12.75" customHeight="1" x14ac:dyDescent="0.2">
      <c r="G512" s="3"/>
    </row>
    <row r="513" spans="7:7" ht="12.75" customHeight="1" x14ac:dyDescent="0.2">
      <c r="G513" s="3"/>
    </row>
    <row r="514" spans="7:7" ht="12.75" customHeight="1" x14ac:dyDescent="0.2">
      <c r="G514" s="3"/>
    </row>
    <row r="515" spans="7:7" ht="12.75" customHeight="1" x14ac:dyDescent="0.2">
      <c r="G515" s="3"/>
    </row>
    <row r="516" spans="7:7" ht="12.75" customHeight="1" x14ac:dyDescent="0.2">
      <c r="G516" s="3"/>
    </row>
    <row r="517" spans="7:7" ht="12.75" customHeight="1" x14ac:dyDescent="0.2">
      <c r="G517" s="3"/>
    </row>
    <row r="518" spans="7:7" ht="12.75" customHeight="1" x14ac:dyDescent="0.2">
      <c r="G518" s="3"/>
    </row>
    <row r="519" spans="7:7" ht="12.75" customHeight="1" x14ac:dyDescent="0.2">
      <c r="G519" s="3"/>
    </row>
    <row r="520" spans="7:7" ht="12.75" customHeight="1" x14ac:dyDescent="0.2">
      <c r="G520" s="3"/>
    </row>
    <row r="521" spans="7:7" ht="12.75" customHeight="1" x14ac:dyDescent="0.2">
      <c r="G521" s="3"/>
    </row>
    <row r="522" spans="7:7" ht="12.75" customHeight="1" x14ac:dyDescent="0.2">
      <c r="G522" s="3"/>
    </row>
    <row r="523" spans="7:7" ht="12.75" customHeight="1" x14ac:dyDescent="0.2">
      <c r="G523" s="3"/>
    </row>
    <row r="524" spans="7:7" ht="12.75" customHeight="1" x14ac:dyDescent="0.2">
      <c r="G524" s="3"/>
    </row>
    <row r="525" spans="7:7" ht="12.75" customHeight="1" x14ac:dyDescent="0.2">
      <c r="G525" s="3"/>
    </row>
    <row r="526" spans="7:7" ht="12.75" customHeight="1" x14ac:dyDescent="0.2">
      <c r="G526" s="3"/>
    </row>
    <row r="527" spans="7:7" ht="12.75" customHeight="1" x14ac:dyDescent="0.2">
      <c r="G527" s="3"/>
    </row>
    <row r="528" spans="7:7" ht="12.75" customHeight="1" x14ac:dyDescent="0.2">
      <c r="G528" s="3"/>
    </row>
    <row r="529" spans="7:7" ht="12.75" customHeight="1" x14ac:dyDescent="0.2">
      <c r="G529" s="3"/>
    </row>
    <row r="530" spans="7:7" ht="12.75" customHeight="1" x14ac:dyDescent="0.2">
      <c r="G530" s="3"/>
    </row>
    <row r="531" spans="7:7" ht="12.75" customHeight="1" x14ac:dyDescent="0.2">
      <c r="G531" s="3"/>
    </row>
    <row r="532" spans="7:7" ht="12.75" customHeight="1" x14ac:dyDescent="0.2">
      <c r="G532" s="3"/>
    </row>
    <row r="533" spans="7:7" ht="12.75" customHeight="1" x14ac:dyDescent="0.2">
      <c r="G533" s="3"/>
    </row>
    <row r="534" spans="7:7" ht="12.75" customHeight="1" x14ac:dyDescent="0.2">
      <c r="G534" s="3"/>
    </row>
    <row r="535" spans="7:7" ht="12.75" customHeight="1" x14ac:dyDescent="0.2">
      <c r="G535" s="3"/>
    </row>
    <row r="536" spans="7:7" ht="12.75" customHeight="1" x14ac:dyDescent="0.2">
      <c r="G536" s="3"/>
    </row>
    <row r="537" spans="7:7" ht="12.75" customHeight="1" x14ac:dyDescent="0.2">
      <c r="G537" s="3"/>
    </row>
    <row r="538" spans="7:7" ht="12.75" customHeight="1" x14ac:dyDescent="0.2">
      <c r="G538" s="3"/>
    </row>
    <row r="539" spans="7:7" ht="12.75" customHeight="1" x14ac:dyDescent="0.2">
      <c r="G539" s="3"/>
    </row>
    <row r="540" spans="7:7" ht="12.75" customHeight="1" x14ac:dyDescent="0.2">
      <c r="G540" s="3"/>
    </row>
    <row r="541" spans="7:7" ht="12.75" customHeight="1" x14ac:dyDescent="0.2">
      <c r="G541" s="3"/>
    </row>
    <row r="542" spans="7:7" ht="12.75" customHeight="1" x14ac:dyDescent="0.2">
      <c r="G542" s="3"/>
    </row>
    <row r="543" spans="7:7" ht="12.75" customHeight="1" x14ac:dyDescent="0.2">
      <c r="G543" s="3"/>
    </row>
    <row r="544" spans="7:7" ht="12.75" customHeight="1" x14ac:dyDescent="0.2">
      <c r="G544" s="3"/>
    </row>
    <row r="545" spans="7:7" ht="12.75" customHeight="1" x14ac:dyDescent="0.2">
      <c r="G545" s="3"/>
    </row>
    <row r="546" spans="7:7" ht="12.75" customHeight="1" x14ac:dyDescent="0.2">
      <c r="G546" s="3"/>
    </row>
    <row r="547" spans="7:7" ht="12.75" customHeight="1" x14ac:dyDescent="0.2">
      <c r="G547" s="3"/>
    </row>
    <row r="548" spans="7:7" ht="12.75" customHeight="1" x14ac:dyDescent="0.2">
      <c r="G548" s="3"/>
    </row>
    <row r="549" spans="7:7" ht="12.75" customHeight="1" x14ac:dyDescent="0.2">
      <c r="G549" s="3"/>
    </row>
    <row r="550" spans="7:7" ht="12.75" customHeight="1" x14ac:dyDescent="0.2">
      <c r="G550" s="3"/>
    </row>
    <row r="551" spans="7:7" ht="12.75" customHeight="1" x14ac:dyDescent="0.2">
      <c r="G551" s="3"/>
    </row>
    <row r="552" spans="7:7" ht="12.75" customHeight="1" x14ac:dyDescent="0.2">
      <c r="G552" s="3"/>
    </row>
    <row r="553" spans="7:7" ht="12.75" customHeight="1" x14ac:dyDescent="0.2">
      <c r="G553" s="3"/>
    </row>
    <row r="554" spans="7:7" ht="12.75" customHeight="1" x14ac:dyDescent="0.2">
      <c r="G554" s="3"/>
    </row>
    <row r="555" spans="7:7" ht="12.75" customHeight="1" x14ac:dyDescent="0.2">
      <c r="G555" s="3"/>
    </row>
    <row r="556" spans="7:7" ht="12.75" customHeight="1" x14ac:dyDescent="0.2">
      <c r="G556" s="3"/>
    </row>
    <row r="557" spans="7:7" ht="12.75" customHeight="1" x14ac:dyDescent="0.2">
      <c r="G557" s="3"/>
    </row>
    <row r="558" spans="7:7" ht="12.75" customHeight="1" x14ac:dyDescent="0.2">
      <c r="G558" s="3"/>
    </row>
    <row r="559" spans="7:7" ht="12.75" customHeight="1" x14ac:dyDescent="0.2">
      <c r="G559" s="3"/>
    </row>
    <row r="560" spans="7:7" ht="12.75" customHeight="1" x14ac:dyDescent="0.2">
      <c r="G560" s="3"/>
    </row>
    <row r="561" spans="7:7" ht="12.75" customHeight="1" x14ac:dyDescent="0.2">
      <c r="G561" s="3"/>
    </row>
    <row r="562" spans="7:7" ht="12.75" customHeight="1" x14ac:dyDescent="0.2">
      <c r="G562" s="3"/>
    </row>
    <row r="563" spans="7:7" ht="12.75" customHeight="1" x14ac:dyDescent="0.2">
      <c r="G563" s="3"/>
    </row>
    <row r="564" spans="7:7" ht="12.75" customHeight="1" x14ac:dyDescent="0.2">
      <c r="G564" s="3"/>
    </row>
    <row r="565" spans="7:7" ht="12.75" customHeight="1" x14ac:dyDescent="0.2">
      <c r="G565" s="3"/>
    </row>
    <row r="566" spans="7:7" ht="12.75" customHeight="1" x14ac:dyDescent="0.2">
      <c r="G566" s="3"/>
    </row>
    <row r="567" spans="7:7" ht="12.75" customHeight="1" x14ac:dyDescent="0.2">
      <c r="G567" s="3"/>
    </row>
    <row r="568" spans="7:7" ht="12.75" customHeight="1" x14ac:dyDescent="0.2">
      <c r="G568" s="3"/>
    </row>
    <row r="569" spans="7:7" ht="12.75" customHeight="1" x14ac:dyDescent="0.2">
      <c r="G569" s="3"/>
    </row>
    <row r="570" spans="7:7" ht="12.75" customHeight="1" x14ac:dyDescent="0.2">
      <c r="G570" s="3"/>
    </row>
    <row r="571" spans="7:7" ht="12.75" customHeight="1" x14ac:dyDescent="0.2">
      <c r="G571" s="3"/>
    </row>
    <row r="572" spans="7:7" ht="12.75" customHeight="1" x14ac:dyDescent="0.2">
      <c r="G572" s="3"/>
    </row>
    <row r="573" spans="7:7" ht="12.75" customHeight="1" x14ac:dyDescent="0.2">
      <c r="G573" s="3"/>
    </row>
    <row r="574" spans="7:7" ht="12.75" customHeight="1" x14ac:dyDescent="0.2">
      <c r="G574" s="3"/>
    </row>
    <row r="575" spans="7:7" ht="12.75" customHeight="1" x14ac:dyDescent="0.2">
      <c r="G575" s="3"/>
    </row>
    <row r="576" spans="7:7" ht="12.75" customHeight="1" x14ac:dyDescent="0.2">
      <c r="G576" s="3"/>
    </row>
    <row r="577" spans="7:7" ht="12.75" customHeight="1" x14ac:dyDescent="0.2">
      <c r="G577" s="3"/>
    </row>
    <row r="578" spans="7:7" ht="12.75" customHeight="1" x14ac:dyDescent="0.2">
      <c r="G578" s="3"/>
    </row>
    <row r="579" spans="7:7" ht="12.75" customHeight="1" x14ac:dyDescent="0.2">
      <c r="G579" s="3"/>
    </row>
    <row r="580" spans="7:7" ht="12.75" customHeight="1" x14ac:dyDescent="0.2">
      <c r="G580" s="3"/>
    </row>
    <row r="581" spans="7:7" ht="12.75" customHeight="1" x14ac:dyDescent="0.2">
      <c r="G581" s="3"/>
    </row>
    <row r="582" spans="7:7" ht="12.75" customHeight="1" x14ac:dyDescent="0.2">
      <c r="G582" s="3"/>
    </row>
    <row r="583" spans="7:7" ht="12.75" customHeight="1" x14ac:dyDescent="0.2">
      <c r="G583" s="3"/>
    </row>
    <row r="584" spans="7:7" ht="12.75" customHeight="1" x14ac:dyDescent="0.2">
      <c r="G584" s="3"/>
    </row>
    <row r="585" spans="7:7" ht="12.75" customHeight="1" x14ac:dyDescent="0.2">
      <c r="G585" s="3"/>
    </row>
    <row r="586" spans="7:7" ht="12.75" customHeight="1" x14ac:dyDescent="0.2">
      <c r="G586" s="3"/>
    </row>
    <row r="587" spans="7:7" ht="12.75" customHeight="1" x14ac:dyDescent="0.2">
      <c r="G587" s="3"/>
    </row>
    <row r="588" spans="7:7" ht="12.75" customHeight="1" x14ac:dyDescent="0.2">
      <c r="G588" s="3"/>
    </row>
    <row r="589" spans="7:7" ht="12.75" customHeight="1" x14ac:dyDescent="0.2">
      <c r="G589" s="3"/>
    </row>
    <row r="590" spans="7:7" ht="12.75" customHeight="1" x14ac:dyDescent="0.2">
      <c r="G590" s="3"/>
    </row>
    <row r="591" spans="7:7" ht="12.75" customHeight="1" x14ac:dyDescent="0.2">
      <c r="G591" s="3"/>
    </row>
    <row r="592" spans="7:7" ht="12.75" customHeight="1" x14ac:dyDescent="0.2">
      <c r="G592" s="3"/>
    </row>
    <row r="593" spans="7:7" ht="12.75" customHeight="1" x14ac:dyDescent="0.2">
      <c r="G593" s="3"/>
    </row>
    <row r="594" spans="7:7" ht="12.75" customHeight="1" x14ac:dyDescent="0.2">
      <c r="G594" s="3"/>
    </row>
    <row r="595" spans="7:7" ht="12.75" customHeight="1" x14ac:dyDescent="0.2">
      <c r="G595" s="3"/>
    </row>
    <row r="596" spans="7:7" ht="12.75" customHeight="1" x14ac:dyDescent="0.2">
      <c r="G596" s="3"/>
    </row>
    <row r="597" spans="7:7" ht="12.75" customHeight="1" x14ac:dyDescent="0.2">
      <c r="G597" s="3"/>
    </row>
    <row r="598" spans="7:7" ht="12.75" customHeight="1" x14ac:dyDescent="0.2">
      <c r="G598" s="3"/>
    </row>
    <row r="599" spans="7:7" ht="12.75" customHeight="1" x14ac:dyDescent="0.2">
      <c r="G599" s="3"/>
    </row>
    <row r="600" spans="7:7" ht="12.75" customHeight="1" x14ac:dyDescent="0.2">
      <c r="G600" s="3"/>
    </row>
    <row r="601" spans="7:7" ht="12.75" customHeight="1" x14ac:dyDescent="0.2">
      <c r="G601" s="3"/>
    </row>
    <row r="602" spans="7:7" ht="12.75" customHeight="1" x14ac:dyDescent="0.2">
      <c r="G602" s="3"/>
    </row>
    <row r="603" spans="7:7" ht="12.75" customHeight="1" x14ac:dyDescent="0.2">
      <c r="G603" s="3"/>
    </row>
    <row r="604" spans="7:7" ht="12.75" customHeight="1" x14ac:dyDescent="0.2">
      <c r="G604" s="3"/>
    </row>
    <row r="605" spans="7:7" ht="12.75" customHeight="1" x14ac:dyDescent="0.2">
      <c r="G605" s="3"/>
    </row>
    <row r="606" spans="7:7" ht="12.75" customHeight="1" x14ac:dyDescent="0.2">
      <c r="G606" s="3"/>
    </row>
    <row r="607" spans="7:7" ht="12.75" customHeight="1" x14ac:dyDescent="0.2">
      <c r="G607" s="3"/>
    </row>
    <row r="608" spans="7:7" ht="12.75" customHeight="1" x14ac:dyDescent="0.2">
      <c r="G608" s="3"/>
    </row>
    <row r="609" spans="7:7" ht="12.75" customHeight="1" x14ac:dyDescent="0.2">
      <c r="G609" s="3"/>
    </row>
    <row r="610" spans="7:7" ht="12.75" customHeight="1" x14ac:dyDescent="0.2">
      <c r="G610" s="3"/>
    </row>
    <row r="611" spans="7:7" ht="12.75" customHeight="1" x14ac:dyDescent="0.2">
      <c r="G611" s="3"/>
    </row>
    <row r="612" spans="7:7" ht="12.75" customHeight="1" x14ac:dyDescent="0.2">
      <c r="G612" s="3"/>
    </row>
    <row r="613" spans="7:7" ht="12.75" customHeight="1" x14ac:dyDescent="0.2">
      <c r="G613" s="3"/>
    </row>
    <row r="614" spans="7:7" ht="12.75" customHeight="1" x14ac:dyDescent="0.2">
      <c r="G614" s="3"/>
    </row>
    <row r="615" spans="7:7" ht="12.75" customHeight="1" x14ac:dyDescent="0.2">
      <c r="G615" s="3"/>
    </row>
    <row r="616" spans="7:7" ht="12.75" customHeight="1" x14ac:dyDescent="0.2">
      <c r="G616" s="3"/>
    </row>
    <row r="617" spans="7:7" ht="12.75" customHeight="1" x14ac:dyDescent="0.2">
      <c r="G617" s="3"/>
    </row>
    <row r="618" spans="7:7" ht="12.75" customHeight="1" x14ac:dyDescent="0.2">
      <c r="G618" s="3"/>
    </row>
    <row r="619" spans="7:7" ht="12.75" customHeight="1" x14ac:dyDescent="0.2">
      <c r="G619" s="3"/>
    </row>
    <row r="620" spans="7:7" ht="12.75" customHeight="1" x14ac:dyDescent="0.2">
      <c r="G620" s="3"/>
    </row>
    <row r="621" spans="7:7" ht="12.75" customHeight="1" x14ac:dyDescent="0.2">
      <c r="G621" s="3"/>
    </row>
    <row r="622" spans="7:7" ht="12.75" customHeight="1" x14ac:dyDescent="0.2">
      <c r="G622" s="3"/>
    </row>
    <row r="623" spans="7:7" ht="12.75" customHeight="1" x14ac:dyDescent="0.2">
      <c r="G623" s="3"/>
    </row>
    <row r="624" spans="7:7" ht="12.75" customHeight="1" x14ac:dyDescent="0.2">
      <c r="G624" s="3"/>
    </row>
    <row r="625" spans="7:7" ht="12.75" customHeight="1" x14ac:dyDescent="0.2">
      <c r="G625" s="3"/>
    </row>
    <row r="626" spans="7:7" ht="12.75" customHeight="1" x14ac:dyDescent="0.2">
      <c r="G626" s="3"/>
    </row>
    <row r="627" spans="7:7" ht="12.75" customHeight="1" x14ac:dyDescent="0.2">
      <c r="G627" s="3"/>
    </row>
    <row r="628" spans="7:7" ht="12.75" customHeight="1" x14ac:dyDescent="0.2">
      <c r="G628" s="3"/>
    </row>
    <row r="629" spans="7:7" ht="12.75" customHeight="1" x14ac:dyDescent="0.2">
      <c r="G629" s="3"/>
    </row>
    <row r="630" spans="7:7" ht="12.75" customHeight="1" x14ac:dyDescent="0.2">
      <c r="G630" s="3"/>
    </row>
    <row r="631" spans="7:7" ht="12.75" customHeight="1" x14ac:dyDescent="0.2">
      <c r="G631" s="3"/>
    </row>
    <row r="632" spans="7:7" ht="12.75" customHeight="1" x14ac:dyDescent="0.2">
      <c r="G632" s="3"/>
    </row>
    <row r="633" spans="7:7" ht="12.75" customHeight="1" x14ac:dyDescent="0.2">
      <c r="G633" s="3"/>
    </row>
    <row r="634" spans="7:7" ht="12.75" customHeight="1" x14ac:dyDescent="0.2">
      <c r="G634" s="3"/>
    </row>
    <row r="635" spans="7:7" ht="12.75" customHeight="1" x14ac:dyDescent="0.2">
      <c r="G635" s="3"/>
    </row>
    <row r="636" spans="7:7" ht="12.75" customHeight="1" x14ac:dyDescent="0.2">
      <c r="G636" s="3"/>
    </row>
    <row r="637" spans="7:7" ht="12.75" customHeight="1" x14ac:dyDescent="0.2">
      <c r="G637" s="3"/>
    </row>
    <row r="638" spans="7:7" ht="12.75" customHeight="1" x14ac:dyDescent="0.2">
      <c r="G638" s="3"/>
    </row>
    <row r="639" spans="7:7" ht="12.75" customHeight="1" x14ac:dyDescent="0.2">
      <c r="G639" s="3"/>
    </row>
    <row r="640" spans="7:7" ht="12.75" customHeight="1" x14ac:dyDescent="0.2">
      <c r="G640" s="3"/>
    </row>
    <row r="641" spans="7:7" ht="12.75" customHeight="1" x14ac:dyDescent="0.2">
      <c r="G641" s="3"/>
    </row>
    <row r="642" spans="7:7" ht="12.75" customHeight="1" x14ac:dyDescent="0.2">
      <c r="G642" s="3"/>
    </row>
    <row r="643" spans="7:7" ht="12.75" customHeight="1" x14ac:dyDescent="0.2">
      <c r="G643" s="3"/>
    </row>
    <row r="644" spans="7:7" ht="12.75" customHeight="1" x14ac:dyDescent="0.2">
      <c r="G644" s="3"/>
    </row>
    <row r="645" spans="7:7" ht="12.75" customHeight="1" x14ac:dyDescent="0.2">
      <c r="G645" s="3"/>
    </row>
    <row r="646" spans="7:7" ht="12.75" customHeight="1" x14ac:dyDescent="0.2">
      <c r="G646" s="3"/>
    </row>
    <row r="647" spans="7:7" ht="12.75" customHeight="1" x14ac:dyDescent="0.2">
      <c r="G647" s="3"/>
    </row>
    <row r="648" spans="7:7" ht="12.75" customHeight="1" x14ac:dyDescent="0.2">
      <c r="G648" s="3"/>
    </row>
    <row r="649" spans="7:7" ht="12.75" customHeight="1" x14ac:dyDescent="0.2">
      <c r="G649" s="3"/>
    </row>
    <row r="650" spans="7:7" ht="12.75" customHeight="1" x14ac:dyDescent="0.2">
      <c r="G650" s="3"/>
    </row>
    <row r="651" spans="7:7" ht="12.75" customHeight="1" x14ac:dyDescent="0.2">
      <c r="G651" s="3"/>
    </row>
    <row r="652" spans="7:7" ht="12.75" customHeight="1" x14ac:dyDescent="0.2">
      <c r="G652" s="3"/>
    </row>
    <row r="653" spans="7:7" ht="12.75" customHeight="1" x14ac:dyDescent="0.2">
      <c r="G653" s="3"/>
    </row>
    <row r="654" spans="7:7" ht="12.75" customHeight="1" x14ac:dyDescent="0.2">
      <c r="G654" s="3"/>
    </row>
    <row r="655" spans="7:7" ht="12.75" customHeight="1" x14ac:dyDescent="0.2">
      <c r="G655" s="3"/>
    </row>
    <row r="656" spans="7:7" ht="12.75" customHeight="1" x14ac:dyDescent="0.2">
      <c r="G656" s="3"/>
    </row>
    <row r="657" spans="7:7" ht="12.75" customHeight="1" x14ac:dyDescent="0.2">
      <c r="G657" s="3"/>
    </row>
    <row r="658" spans="7:7" ht="12.75" customHeight="1" x14ac:dyDescent="0.2">
      <c r="G658" s="3"/>
    </row>
    <row r="659" spans="7:7" ht="12.75" customHeight="1" x14ac:dyDescent="0.2">
      <c r="G659" s="3"/>
    </row>
    <row r="660" spans="7:7" ht="12.75" customHeight="1" x14ac:dyDescent="0.2">
      <c r="G660" s="3"/>
    </row>
    <row r="661" spans="7:7" ht="12.75" customHeight="1" x14ac:dyDescent="0.2">
      <c r="G661" s="3"/>
    </row>
    <row r="662" spans="7:7" ht="12.75" customHeight="1" x14ac:dyDescent="0.2">
      <c r="G662" s="3"/>
    </row>
    <row r="663" spans="7:7" ht="12.75" customHeight="1" x14ac:dyDescent="0.2">
      <c r="G663" s="3"/>
    </row>
    <row r="664" spans="7:7" ht="12.75" customHeight="1" x14ac:dyDescent="0.2">
      <c r="G664" s="3"/>
    </row>
    <row r="665" spans="7:7" ht="12.75" customHeight="1" x14ac:dyDescent="0.2">
      <c r="G665" s="3"/>
    </row>
    <row r="666" spans="7:7" ht="12.75" customHeight="1" x14ac:dyDescent="0.2">
      <c r="G666" s="3"/>
    </row>
    <row r="667" spans="7:7" ht="12.75" customHeight="1" x14ac:dyDescent="0.2">
      <c r="G667" s="3"/>
    </row>
    <row r="668" spans="7:7" ht="12.75" customHeight="1" x14ac:dyDescent="0.2">
      <c r="G668" s="3"/>
    </row>
    <row r="669" spans="7:7" ht="12.75" customHeight="1" x14ac:dyDescent="0.2">
      <c r="G669" s="3"/>
    </row>
    <row r="670" spans="7:7" ht="12.75" customHeight="1" x14ac:dyDescent="0.2">
      <c r="G670" s="3"/>
    </row>
    <row r="671" spans="7:7" ht="12.75" customHeight="1" x14ac:dyDescent="0.2">
      <c r="G671" s="3"/>
    </row>
    <row r="672" spans="7:7" ht="12.75" customHeight="1" x14ac:dyDescent="0.2">
      <c r="G672" s="3"/>
    </row>
    <row r="673" spans="7:7" ht="12.75" customHeight="1" x14ac:dyDescent="0.2">
      <c r="G673" s="3"/>
    </row>
    <row r="674" spans="7:7" ht="12.75" customHeight="1" x14ac:dyDescent="0.2">
      <c r="G674" s="3"/>
    </row>
    <row r="675" spans="7:7" ht="12.75" customHeight="1" x14ac:dyDescent="0.2">
      <c r="G675" s="3"/>
    </row>
    <row r="676" spans="7:7" ht="12.75" customHeight="1" x14ac:dyDescent="0.2">
      <c r="G676" s="3"/>
    </row>
    <row r="677" spans="7:7" ht="12.75" customHeight="1" x14ac:dyDescent="0.2">
      <c r="G677" s="3"/>
    </row>
    <row r="678" spans="7:7" ht="12.75" customHeight="1" x14ac:dyDescent="0.2">
      <c r="G678" s="3"/>
    </row>
    <row r="679" spans="7:7" ht="12.75" customHeight="1" x14ac:dyDescent="0.2">
      <c r="G679" s="3"/>
    </row>
    <row r="680" spans="7:7" ht="12.75" customHeight="1" x14ac:dyDescent="0.2">
      <c r="G680" s="3"/>
    </row>
    <row r="681" spans="7:7" ht="12.75" customHeight="1" x14ac:dyDescent="0.2">
      <c r="G681" s="3"/>
    </row>
    <row r="682" spans="7:7" ht="12.75" customHeight="1" x14ac:dyDescent="0.2">
      <c r="G682" s="3"/>
    </row>
    <row r="683" spans="7:7" ht="12.75" customHeight="1" x14ac:dyDescent="0.2">
      <c r="G683" s="3"/>
    </row>
    <row r="684" spans="7:7" ht="12.75" customHeight="1" x14ac:dyDescent="0.2">
      <c r="G684" s="3"/>
    </row>
    <row r="685" spans="7:7" ht="12.75" customHeight="1" x14ac:dyDescent="0.2">
      <c r="G685" s="3"/>
    </row>
    <row r="686" spans="7:7" ht="12.75" customHeight="1" x14ac:dyDescent="0.2">
      <c r="G686" s="3"/>
    </row>
    <row r="687" spans="7:7" ht="12.75" customHeight="1" x14ac:dyDescent="0.2">
      <c r="G687" s="3"/>
    </row>
    <row r="688" spans="7:7" ht="12.75" customHeight="1" x14ac:dyDescent="0.2">
      <c r="G688" s="3"/>
    </row>
    <row r="689" spans="7:7" ht="12.75" customHeight="1" x14ac:dyDescent="0.2">
      <c r="G689" s="3"/>
    </row>
    <row r="690" spans="7:7" ht="12.75" customHeight="1" x14ac:dyDescent="0.2">
      <c r="G690" s="3"/>
    </row>
    <row r="691" spans="7:7" ht="12.75" customHeight="1" x14ac:dyDescent="0.2">
      <c r="G691" s="3"/>
    </row>
    <row r="692" spans="7:7" ht="12.75" customHeight="1" x14ac:dyDescent="0.2">
      <c r="G692" s="3"/>
    </row>
    <row r="693" spans="7:7" ht="12.75" customHeight="1" x14ac:dyDescent="0.2">
      <c r="G693" s="3"/>
    </row>
    <row r="694" spans="7:7" ht="12.75" customHeight="1" x14ac:dyDescent="0.2">
      <c r="G694" s="3"/>
    </row>
    <row r="695" spans="7:7" ht="12.75" customHeight="1" x14ac:dyDescent="0.2">
      <c r="G695" s="3"/>
    </row>
    <row r="696" spans="7:7" ht="12.75" customHeight="1" x14ac:dyDescent="0.2">
      <c r="G696" s="3"/>
    </row>
    <row r="697" spans="7:7" ht="12.75" customHeight="1" x14ac:dyDescent="0.2">
      <c r="G697" s="3"/>
    </row>
    <row r="698" spans="7:7" ht="12.75" customHeight="1" x14ac:dyDescent="0.2">
      <c r="G698" s="3"/>
    </row>
    <row r="699" spans="7:7" ht="12.75" customHeight="1" x14ac:dyDescent="0.2">
      <c r="G699" s="3"/>
    </row>
    <row r="700" spans="7:7" ht="12.75" customHeight="1" x14ac:dyDescent="0.2">
      <c r="G700" s="3"/>
    </row>
    <row r="701" spans="7:7" ht="12.75" customHeight="1" x14ac:dyDescent="0.2">
      <c r="G701" s="3"/>
    </row>
    <row r="702" spans="7:7" ht="12.75" customHeight="1" x14ac:dyDescent="0.2">
      <c r="G702" s="3"/>
    </row>
    <row r="703" spans="7:7" ht="12.75" customHeight="1" x14ac:dyDescent="0.2">
      <c r="G703" s="3"/>
    </row>
    <row r="704" spans="7:7" ht="12.75" customHeight="1" x14ac:dyDescent="0.2">
      <c r="G704" s="3"/>
    </row>
    <row r="705" spans="7:7" ht="12.75" customHeight="1" x14ac:dyDescent="0.2">
      <c r="G705" s="3"/>
    </row>
    <row r="706" spans="7:7" ht="12.75" customHeight="1" x14ac:dyDescent="0.2">
      <c r="G706" s="3"/>
    </row>
    <row r="707" spans="7:7" ht="12.75" customHeight="1" x14ac:dyDescent="0.2">
      <c r="G707" s="3"/>
    </row>
    <row r="708" spans="7:7" ht="12.75" customHeight="1" x14ac:dyDescent="0.2">
      <c r="G708" s="3"/>
    </row>
    <row r="709" spans="7:7" ht="12.75" customHeight="1" x14ac:dyDescent="0.2">
      <c r="G709" s="3"/>
    </row>
    <row r="710" spans="7:7" ht="12.75" customHeight="1" x14ac:dyDescent="0.2">
      <c r="G710" s="3"/>
    </row>
    <row r="711" spans="7:7" ht="12.75" customHeight="1" x14ac:dyDescent="0.2">
      <c r="G711" s="3"/>
    </row>
    <row r="712" spans="7:7" ht="12.75" customHeight="1" x14ac:dyDescent="0.2">
      <c r="G712" s="3"/>
    </row>
    <row r="713" spans="7:7" ht="12.75" customHeight="1" x14ac:dyDescent="0.2">
      <c r="G713" s="3"/>
    </row>
    <row r="714" spans="7:7" ht="12.75" customHeight="1" x14ac:dyDescent="0.2">
      <c r="G714" s="3"/>
    </row>
    <row r="715" spans="7:7" ht="12.75" customHeight="1" x14ac:dyDescent="0.2">
      <c r="G715" s="3"/>
    </row>
    <row r="716" spans="7:7" ht="12.75" customHeight="1" x14ac:dyDescent="0.2">
      <c r="G716" s="3"/>
    </row>
    <row r="717" spans="7:7" ht="12.75" customHeight="1" x14ac:dyDescent="0.2">
      <c r="G717" s="3"/>
    </row>
    <row r="718" spans="7:7" ht="12.75" customHeight="1" x14ac:dyDescent="0.2">
      <c r="G718" s="3"/>
    </row>
    <row r="719" spans="7:7" ht="12.75" customHeight="1" x14ac:dyDescent="0.2">
      <c r="G719" s="3"/>
    </row>
    <row r="720" spans="7:7" ht="12.75" customHeight="1" x14ac:dyDescent="0.2">
      <c r="G720" s="3"/>
    </row>
    <row r="721" spans="7:7" ht="12.75" customHeight="1" x14ac:dyDescent="0.2">
      <c r="G721" s="3"/>
    </row>
    <row r="722" spans="7:7" ht="12.75" customHeight="1" x14ac:dyDescent="0.2">
      <c r="G722" s="3"/>
    </row>
    <row r="723" spans="7:7" ht="12.75" customHeight="1" x14ac:dyDescent="0.2">
      <c r="G723" s="3"/>
    </row>
    <row r="724" spans="7:7" ht="12.75" customHeight="1" x14ac:dyDescent="0.2">
      <c r="G724" s="3"/>
    </row>
    <row r="725" spans="7:7" ht="12.75" customHeight="1" x14ac:dyDescent="0.2">
      <c r="G725" s="3"/>
    </row>
    <row r="726" spans="7:7" ht="12.75" customHeight="1" x14ac:dyDescent="0.2">
      <c r="G726" s="3"/>
    </row>
    <row r="727" spans="7:7" ht="12.75" customHeight="1" x14ac:dyDescent="0.2">
      <c r="G727" s="3"/>
    </row>
    <row r="728" spans="7:7" ht="12.75" customHeight="1" x14ac:dyDescent="0.2">
      <c r="G728" s="3"/>
    </row>
    <row r="729" spans="7:7" ht="12.75" customHeight="1" x14ac:dyDescent="0.2">
      <c r="G729" s="3"/>
    </row>
    <row r="730" spans="7:7" ht="12.75" customHeight="1" x14ac:dyDescent="0.2">
      <c r="G730" s="3"/>
    </row>
    <row r="731" spans="7:7" ht="12.75" customHeight="1" x14ac:dyDescent="0.2">
      <c r="G731" s="3"/>
    </row>
    <row r="732" spans="7:7" ht="12.75" customHeight="1" x14ac:dyDescent="0.2">
      <c r="G732" s="3"/>
    </row>
    <row r="733" spans="7:7" ht="12.75" customHeight="1" x14ac:dyDescent="0.2">
      <c r="G733" s="3"/>
    </row>
    <row r="734" spans="7:7" ht="12.75" customHeight="1" x14ac:dyDescent="0.2">
      <c r="G734" s="3"/>
    </row>
    <row r="735" spans="7:7" ht="12.75" customHeight="1" x14ac:dyDescent="0.2">
      <c r="G735" s="3"/>
    </row>
    <row r="736" spans="7:7" ht="12.75" customHeight="1" x14ac:dyDescent="0.2">
      <c r="G736" s="3"/>
    </row>
    <row r="737" spans="7:7" ht="12.75" customHeight="1" x14ac:dyDescent="0.2">
      <c r="G737" s="3"/>
    </row>
    <row r="738" spans="7:7" ht="12.75" customHeight="1" x14ac:dyDescent="0.2">
      <c r="G738" s="3"/>
    </row>
    <row r="739" spans="7:7" ht="12.75" customHeight="1" x14ac:dyDescent="0.2">
      <c r="G739" s="3"/>
    </row>
    <row r="740" spans="7:7" ht="12.75" customHeight="1" x14ac:dyDescent="0.2">
      <c r="G740" s="3"/>
    </row>
    <row r="741" spans="7:7" ht="12.75" customHeight="1" x14ac:dyDescent="0.2">
      <c r="G741" s="3"/>
    </row>
    <row r="742" spans="7:7" ht="12.75" customHeight="1" x14ac:dyDescent="0.2">
      <c r="G742" s="3"/>
    </row>
    <row r="743" spans="7:7" ht="12.75" customHeight="1" x14ac:dyDescent="0.2">
      <c r="G743" s="3"/>
    </row>
    <row r="744" spans="7:7" ht="12.75" customHeight="1" x14ac:dyDescent="0.2">
      <c r="G744" s="3"/>
    </row>
    <row r="745" spans="7:7" ht="12.75" customHeight="1" x14ac:dyDescent="0.2">
      <c r="G745" s="3"/>
    </row>
    <row r="746" spans="7:7" ht="12.75" customHeight="1" x14ac:dyDescent="0.2">
      <c r="G746" s="3"/>
    </row>
    <row r="747" spans="7:7" ht="12.75" customHeight="1" x14ac:dyDescent="0.2">
      <c r="G747" s="3"/>
    </row>
    <row r="748" spans="7:7" ht="12.75" customHeight="1" x14ac:dyDescent="0.2">
      <c r="G748" s="3"/>
    </row>
    <row r="749" spans="7:7" ht="12.75" customHeight="1" x14ac:dyDescent="0.2">
      <c r="G749" s="3"/>
    </row>
    <row r="750" spans="7:7" ht="12.75" customHeight="1" x14ac:dyDescent="0.2">
      <c r="G750" s="3"/>
    </row>
    <row r="751" spans="7:7" ht="12.75" customHeight="1" x14ac:dyDescent="0.2">
      <c r="G751" s="3"/>
    </row>
    <row r="752" spans="7:7" ht="12.75" customHeight="1" x14ac:dyDescent="0.2">
      <c r="G752" s="3"/>
    </row>
    <row r="753" spans="7:7" ht="12.75" customHeight="1" x14ac:dyDescent="0.2">
      <c r="G753" s="3"/>
    </row>
    <row r="754" spans="7:7" ht="12.75" customHeight="1" x14ac:dyDescent="0.2">
      <c r="G754" s="3"/>
    </row>
    <row r="755" spans="7:7" ht="12.75" customHeight="1" x14ac:dyDescent="0.2">
      <c r="G755" s="3"/>
    </row>
    <row r="756" spans="7:7" ht="12.75" customHeight="1" x14ac:dyDescent="0.2">
      <c r="G756" s="3"/>
    </row>
    <row r="757" spans="7:7" ht="12.75" customHeight="1" x14ac:dyDescent="0.2">
      <c r="G757" s="3"/>
    </row>
    <row r="758" spans="7:7" ht="12.75" customHeight="1" x14ac:dyDescent="0.2">
      <c r="G758" s="3"/>
    </row>
    <row r="759" spans="7:7" ht="12.75" customHeight="1" x14ac:dyDescent="0.2">
      <c r="G759" s="3"/>
    </row>
    <row r="760" spans="7:7" ht="12.75" customHeight="1" x14ac:dyDescent="0.2">
      <c r="G760" s="3"/>
    </row>
    <row r="761" spans="7:7" ht="12.75" customHeight="1" x14ac:dyDescent="0.2">
      <c r="G761" s="3"/>
    </row>
    <row r="762" spans="7:7" ht="12.75" customHeight="1" x14ac:dyDescent="0.2">
      <c r="G762" s="3"/>
    </row>
    <row r="763" spans="7:7" ht="12.75" customHeight="1" x14ac:dyDescent="0.2">
      <c r="G763" s="3"/>
    </row>
    <row r="764" spans="7:7" ht="12.75" customHeight="1" x14ac:dyDescent="0.2">
      <c r="G764" s="3"/>
    </row>
    <row r="765" spans="7:7" ht="12.75" customHeight="1" x14ac:dyDescent="0.2">
      <c r="G765" s="3"/>
    </row>
    <row r="766" spans="7:7" ht="12.75" customHeight="1" x14ac:dyDescent="0.2">
      <c r="G766" s="3"/>
    </row>
    <row r="767" spans="7:7" ht="12.75" customHeight="1" x14ac:dyDescent="0.2">
      <c r="G767" s="3"/>
    </row>
    <row r="768" spans="7:7" ht="12.75" customHeight="1" x14ac:dyDescent="0.2">
      <c r="G768" s="3"/>
    </row>
    <row r="769" spans="7:7" ht="12.75" customHeight="1" x14ac:dyDescent="0.2">
      <c r="G769" s="3"/>
    </row>
    <row r="770" spans="7:7" ht="12.75" customHeight="1" x14ac:dyDescent="0.2">
      <c r="G770" s="3"/>
    </row>
    <row r="771" spans="7:7" ht="12.75" customHeight="1" x14ac:dyDescent="0.2">
      <c r="G771" s="3"/>
    </row>
    <row r="772" spans="7:7" ht="12.75" customHeight="1" x14ac:dyDescent="0.2">
      <c r="G772" s="3"/>
    </row>
    <row r="773" spans="7:7" ht="12.75" customHeight="1" x14ac:dyDescent="0.2">
      <c r="G773" s="3"/>
    </row>
    <row r="774" spans="7:7" ht="12.75" customHeight="1" x14ac:dyDescent="0.2">
      <c r="G774" s="3"/>
    </row>
    <row r="775" spans="7:7" ht="12.75" customHeight="1" x14ac:dyDescent="0.2">
      <c r="G775" s="3"/>
    </row>
    <row r="776" spans="7:7" ht="12.75" customHeight="1" x14ac:dyDescent="0.2">
      <c r="G776" s="3"/>
    </row>
    <row r="777" spans="7:7" ht="12.75" customHeight="1" x14ac:dyDescent="0.2">
      <c r="G777" s="3"/>
    </row>
    <row r="778" spans="7:7" ht="12.75" customHeight="1" x14ac:dyDescent="0.2">
      <c r="G778" s="3"/>
    </row>
    <row r="779" spans="7:7" ht="12.75" customHeight="1" x14ac:dyDescent="0.2">
      <c r="G779" s="3"/>
    </row>
    <row r="780" spans="7:7" ht="12.75" customHeight="1" x14ac:dyDescent="0.2">
      <c r="G780" s="3"/>
    </row>
    <row r="781" spans="7:7" ht="12.75" customHeight="1" x14ac:dyDescent="0.2">
      <c r="G781" s="3"/>
    </row>
    <row r="782" spans="7:7" ht="12.75" customHeight="1" x14ac:dyDescent="0.2">
      <c r="G782" s="3"/>
    </row>
    <row r="783" spans="7:7" ht="12.75" customHeight="1" x14ac:dyDescent="0.2">
      <c r="G783" s="3"/>
    </row>
    <row r="784" spans="7:7" ht="12.75" customHeight="1" x14ac:dyDescent="0.2">
      <c r="G784" s="3"/>
    </row>
    <row r="785" spans="7:7" ht="12.75" customHeight="1" x14ac:dyDescent="0.2">
      <c r="G785" s="3"/>
    </row>
    <row r="786" spans="7:7" ht="12.75" customHeight="1" x14ac:dyDescent="0.2">
      <c r="G786" s="3"/>
    </row>
    <row r="787" spans="7:7" ht="12.75" customHeight="1" x14ac:dyDescent="0.2">
      <c r="G787" s="3"/>
    </row>
    <row r="788" spans="7:7" ht="12.75" customHeight="1" x14ac:dyDescent="0.2">
      <c r="G788" s="3"/>
    </row>
    <row r="789" spans="7:7" ht="12.75" customHeight="1" x14ac:dyDescent="0.2">
      <c r="G789" s="3"/>
    </row>
    <row r="790" spans="7:7" ht="12.75" customHeight="1" x14ac:dyDescent="0.2">
      <c r="G790" s="3"/>
    </row>
    <row r="791" spans="7:7" ht="12.75" customHeight="1" x14ac:dyDescent="0.2">
      <c r="G791" s="3"/>
    </row>
    <row r="792" spans="7:7" ht="12.75" customHeight="1" x14ac:dyDescent="0.2">
      <c r="G792" s="3"/>
    </row>
    <row r="793" spans="7:7" ht="12.75" customHeight="1" x14ac:dyDescent="0.2">
      <c r="G793" s="3"/>
    </row>
    <row r="794" spans="7:7" ht="12.75" customHeight="1" x14ac:dyDescent="0.2">
      <c r="G794" s="3"/>
    </row>
    <row r="795" spans="7:7" ht="12.75" customHeight="1" x14ac:dyDescent="0.2">
      <c r="G795" s="3"/>
    </row>
    <row r="796" spans="7:7" ht="12.75" customHeight="1" x14ac:dyDescent="0.2">
      <c r="G796" s="3"/>
    </row>
    <row r="797" spans="7:7" ht="12.75" customHeight="1" x14ac:dyDescent="0.2">
      <c r="G797" s="3"/>
    </row>
    <row r="798" spans="7:7" ht="12.75" customHeight="1" x14ac:dyDescent="0.2">
      <c r="G798" s="3"/>
    </row>
    <row r="799" spans="7:7" ht="12.75" customHeight="1" x14ac:dyDescent="0.2">
      <c r="G799" s="3"/>
    </row>
    <row r="800" spans="7:7" ht="12.75" customHeight="1" x14ac:dyDescent="0.2">
      <c r="G800" s="3"/>
    </row>
    <row r="801" spans="7:7" ht="12.75" customHeight="1" x14ac:dyDescent="0.2">
      <c r="G801" s="3"/>
    </row>
    <row r="802" spans="7:7" ht="12.75" customHeight="1" x14ac:dyDescent="0.2">
      <c r="G802" s="3"/>
    </row>
    <row r="803" spans="7:7" ht="12.75" customHeight="1" x14ac:dyDescent="0.2">
      <c r="G803" s="3"/>
    </row>
    <row r="804" spans="7:7" ht="12.75" customHeight="1" x14ac:dyDescent="0.2">
      <c r="G804" s="3"/>
    </row>
    <row r="805" spans="7:7" ht="12.75" customHeight="1" x14ac:dyDescent="0.2">
      <c r="G805" s="3"/>
    </row>
    <row r="806" spans="7:7" ht="12.75" customHeight="1" x14ac:dyDescent="0.2">
      <c r="G806" s="3"/>
    </row>
    <row r="807" spans="7:7" ht="12.75" customHeight="1" x14ac:dyDescent="0.2">
      <c r="G807" s="3"/>
    </row>
    <row r="808" spans="7:7" ht="12.75" customHeight="1" x14ac:dyDescent="0.2">
      <c r="G808" s="3"/>
    </row>
    <row r="809" spans="7:7" ht="12.75" customHeight="1" x14ac:dyDescent="0.2">
      <c r="G809" s="3"/>
    </row>
    <row r="810" spans="7:7" ht="12.75" customHeight="1" x14ac:dyDescent="0.2">
      <c r="G810" s="3"/>
    </row>
    <row r="811" spans="7:7" ht="12.75" customHeight="1" x14ac:dyDescent="0.2">
      <c r="G811" s="3"/>
    </row>
    <row r="812" spans="7:7" ht="12.75" customHeight="1" x14ac:dyDescent="0.2">
      <c r="G812" s="3"/>
    </row>
    <row r="813" spans="7:7" ht="12.75" customHeight="1" x14ac:dyDescent="0.2">
      <c r="G813" s="3"/>
    </row>
    <row r="814" spans="7:7" ht="12.75" customHeight="1" x14ac:dyDescent="0.2">
      <c r="G814" s="3"/>
    </row>
    <row r="815" spans="7:7" ht="12.75" customHeight="1" x14ac:dyDescent="0.2">
      <c r="G815" s="3"/>
    </row>
    <row r="816" spans="7:7" ht="12.75" customHeight="1" x14ac:dyDescent="0.2">
      <c r="G816" s="3"/>
    </row>
    <row r="817" spans="7:7" ht="12.75" customHeight="1" x14ac:dyDescent="0.2">
      <c r="G817" s="3"/>
    </row>
    <row r="818" spans="7:7" ht="12.75" customHeight="1" x14ac:dyDescent="0.2">
      <c r="G818" s="3"/>
    </row>
    <row r="819" spans="7:7" ht="12.75" customHeight="1" x14ac:dyDescent="0.2">
      <c r="G819" s="3"/>
    </row>
    <row r="820" spans="7:7" ht="12.75" customHeight="1" x14ac:dyDescent="0.2">
      <c r="G820" s="3"/>
    </row>
    <row r="821" spans="7:7" ht="12.75" customHeight="1" x14ac:dyDescent="0.2">
      <c r="G821" s="3"/>
    </row>
    <row r="822" spans="7:7" ht="12.75" customHeight="1" x14ac:dyDescent="0.2">
      <c r="G822" s="3"/>
    </row>
    <row r="823" spans="7:7" ht="12.75" customHeight="1" x14ac:dyDescent="0.2">
      <c r="G823" s="3"/>
    </row>
    <row r="824" spans="7:7" ht="12.75" customHeight="1" x14ac:dyDescent="0.2">
      <c r="G824" s="3"/>
    </row>
    <row r="825" spans="7:7" ht="12.75" customHeight="1" x14ac:dyDescent="0.2">
      <c r="G825" s="3"/>
    </row>
    <row r="826" spans="7:7" ht="12.75" customHeight="1" x14ac:dyDescent="0.2">
      <c r="G826" s="3"/>
    </row>
    <row r="827" spans="7:7" ht="12.75" customHeight="1" x14ac:dyDescent="0.2">
      <c r="G827" s="3"/>
    </row>
    <row r="828" spans="7:7" ht="12.75" customHeight="1" x14ac:dyDescent="0.2">
      <c r="G828" s="3"/>
    </row>
    <row r="829" spans="7:7" ht="12.75" customHeight="1" x14ac:dyDescent="0.2">
      <c r="G829" s="3"/>
    </row>
    <row r="830" spans="7:7" ht="12.75" customHeight="1" x14ac:dyDescent="0.2">
      <c r="G830" s="3"/>
    </row>
    <row r="831" spans="7:7" ht="12.75" customHeight="1" x14ac:dyDescent="0.2">
      <c r="G831" s="3"/>
    </row>
    <row r="832" spans="7:7" ht="12.75" customHeight="1" x14ac:dyDescent="0.2">
      <c r="G832" s="3"/>
    </row>
    <row r="833" spans="7:7" ht="12.75" customHeight="1" x14ac:dyDescent="0.2">
      <c r="G833" s="3"/>
    </row>
    <row r="834" spans="7:7" ht="12.75" customHeight="1" x14ac:dyDescent="0.2">
      <c r="G834" s="3"/>
    </row>
    <row r="835" spans="7:7" ht="12.75" customHeight="1" x14ac:dyDescent="0.2">
      <c r="G835" s="3"/>
    </row>
    <row r="836" spans="7:7" ht="12.75" customHeight="1" x14ac:dyDescent="0.2">
      <c r="G836" s="3"/>
    </row>
    <row r="837" spans="7:7" ht="12.75" customHeight="1" x14ac:dyDescent="0.2">
      <c r="G837" s="3"/>
    </row>
    <row r="838" spans="7:7" ht="12.75" customHeight="1" x14ac:dyDescent="0.2">
      <c r="G838" s="3"/>
    </row>
    <row r="839" spans="7:7" ht="12.75" customHeight="1" x14ac:dyDescent="0.2">
      <c r="G839" s="3"/>
    </row>
    <row r="840" spans="7:7" ht="12.75" customHeight="1" x14ac:dyDescent="0.2">
      <c r="G840" s="3"/>
    </row>
    <row r="841" spans="7:7" ht="12.75" customHeight="1" x14ac:dyDescent="0.2">
      <c r="G841" s="3"/>
    </row>
    <row r="842" spans="7:7" ht="12.75" customHeight="1" x14ac:dyDescent="0.2">
      <c r="G842" s="3"/>
    </row>
    <row r="843" spans="7:7" ht="12.75" customHeight="1" x14ac:dyDescent="0.2">
      <c r="G843" s="3"/>
    </row>
    <row r="844" spans="7:7" ht="12.75" customHeight="1" x14ac:dyDescent="0.2">
      <c r="G844" s="3"/>
    </row>
    <row r="845" spans="7:7" ht="12.75" customHeight="1" x14ac:dyDescent="0.2">
      <c r="G845" s="3"/>
    </row>
    <row r="846" spans="7:7" ht="12.75" customHeight="1" x14ac:dyDescent="0.2">
      <c r="G846" s="3"/>
    </row>
    <row r="847" spans="7:7" ht="12.75" customHeight="1" x14ac:dyDescent="0.2">
      <c r="G847" s="3"/>
    </row>
    <row r="848" spans="7:7" ht="12.75" customHeight="1" x14ac:dyDescent="0.2">
      <c r="G848" s="3"/>
    </row>
    <row r="849" spans="7:7" ht="12.75" customHeight="1" x14ac:dyDescent="0.2">
      <c r="G849" s="3"/>
    </row>
    <row r="850" spans="7:7" ht="12.75" customHeight="1" x14ac:dyDescent="0.2">
      <c r="G850" s="3"/>
    </row>
    <row r="851" spans="7:7" ht="12.75" customHeight="1" x14ac:dyDescent="0.2">
      <c r="G851" s="3"/>
    </row>
    <row r="852" spans="7:7" ht="12.75" customHeight="1" x14ac:dyDescent="0.2">
      <c r="G852" s="3"/>
    </row>
    <row r="853" spans="7:7" ht="12.75" customHeight="1" x14ac:dyDescent="0.2">
      <c r="G853" s="3"/>
    </row>
    <row r="854" spans="7:7" ht="12.75" customHeight="1" x14ac:dyDescent="0.2">
      <c r="G854" s="3"/>
    </row>
    <row r="855" spans="7:7" ht="12.75" customHeight="1" x14ac:dyDescent="0.2">
      <c r="G855" s="3"/>
    </row>
    <row r="856" spans="7:7" ht="12.75" customHeight="1" x14ac:dyDescent="0.2">
      <c r="G856" s="3"/>
    </row>
    <row r="857" spans="7:7" ht="12.75" customHeight="1" x14ac:dyDescent="0.2">
      <c r="G857" s="3"/>
    </row>
    <row r="858" spans="7:7" ht="12.75" customHeight="1" x14ac:dyDescent="0.2">
      <c r="G858" s="3"/>
    </row>
    <row r="859" spans="7:7" ht="12.75" customHeight="1" x14ac:dyDescent="0.2">
      <c r="G859" s="3"/>
    </row>
    <row r="860" spans="7:7" ht="12.75" customHeight="1" x14ac:dyDescent="0.2">
      <c r="G860" s="3"/>
    </row>
    <row r="861" spans="7:7" ht="12.75" customHeight="1" x14ac:dyDescent="0.2">
      <c r="G861" s="3"/>
    </row>
    <row r="862" spans="7:7" ht="12.75" customHeight="1" x14ac:dyDescent="0.2">
      <c r="G862" s="3"/>
    </row>
    <row r="863" spans="7:7" ht="12.75" customHeight="1" x14ac:dyDescent="0.2">
      <c r="G863" s="3"/>
    </row>
    <row r="864" spans="7:7" ht="12.75" customHeight="1" x14ac:dyDescent="0.2">
      <c r="G864" s="3"/>
    </row>
    <row r="865" spans="7:7" ht="12.75" customHeight="1" x14ac:dyDescent="0.2">
      <c r="G865" s="3"/>
    </row>
    <row r="866" spans="7:7" ht="12.75" customHeight="1" x14ac:dyDescent="0.2">
      <c r="G866" s="3"/>
    </row>
    <row r="867" spans="7:7" ht="12.75" customHeight="1" x14ac:dyDescent="0.2">
      <c r="G867" s="3"/>
    </row>
    <row r="868" spans="7:7" ht="12.75" customHeight="1" x14ac:dyDescent="0.2">
      <c r="G868" s="3"/>
    </row>
    <row r="869" spans="7:7" ht="12.75" customHeight="1" x14ac:dyDescent="0.2">
      <c r="G869" s="3"/>
    </row>
    <row r="870" spans="7:7" ht="12.75" customHeight="1" x14ac:dyDescent="0.2">
      <c r="G870" s="3"/>
    </row>
    <row r="871" spans="7:7" ht="12.75" customHeight="1" x14ac:dyDescent="0.2">
      <c r="G871" s="3"/>
    </row>
    <row r="872" spans="7:7" ht="12.75" customHeight="1" x14ac:dyDescent="0.2">
      <c r="G872" s="3"/>
    </row>
    <row r="873" spans="7:7" ht="12.75" customHeight="1" x14ac:dyDescent="0.2">
      <c r="G873" s="3"/>
    </row>
    <row r="874" spans="7:7" ht="12.75" customHeight="1" x14ac:dyDescent="0.2">
      <c r="G874" s="3"/>
    </row>
    <row r="875" spans="7:7" ht="12.75" customHeight="1" x14ac:dyDescent="0.2">
      <c r="G875" s="3"/>
    </row>
    <row r="876" spans="7:7" ht="12.75" customHeight="1" x14ac:dyDescent="0.2">
      <c r="G876" s="3"/>
    </row>
    <row r="877" spans="7:7" ht="12.75" customHeight="1" x14ac:dyDescent="0.2">
      <c r="G877" s="3"/>
    </row>
    <row r="878" spans="7:7" ht="12.75" customHeight="1" x14ac:dyDescent="0.2">
      <c r="G878" s="3"/>
    </row>
    <row r="879" spans="7:7" ht="12.75" customHeight="1" x14ac:dyDescent="0.2">
      <c r="G879" s="3"/>
    </row>
    <row r="880" spans="7:7" ht="12.75" customHeight="1" x14ac:dyDescent="0.2">
      <c r="G880" s="3"/>
    </row>
    <row r="881" spans="7:7" ht="12.75" customHeight="1" x14ac:dyDescent="0.2">
      <c r="G881" s="3"/>
    </row>
    <row r="882" spans="7:7" ht="12.75" customHeight="1" x14ac:dyDescent="0.2">
      <c r="G882" s="3"/>
    </row>
    <row r="883" spans="7:7" ht="12.75" customHeight="1" x14ac:dyDescent="0.2">
      <c r="G883" s="3"/>
    </row>
    <row r="884" spans="7:7" ht="12.75" customHeight="1" x14ac:dyDescent="0.2">
      <c r="G884" s="3"/>
    </row>
    <row r="885" spans="7:7" ht="12.75" customHeight="1" x14ac:dyDescent="0.2">
      <c r="G885" s="3"/>
    </row>
    <row r="886" spans="7:7" ht="12.75" customHeight="1" x14ac:dyDescent="0.2">
      <c r="G886" s="3"/>
    </row>
    <row r="887" spans="7:7" ht="12.75" customHeight="1" x14ac:dyDescent="0.2">
      <c r="G887" s="3"/>
    </row>
    <row r="888" spans="7:7" ht="12.75" customHeight="1" x14ac:dyDescent="0.2">
      <c r="G888" s="3"/>
    </row>
    <row r="889" spans="7:7" ht="12.75" customHeight="1" x14ac:dyDescent="0.2">
      <c r="G889" s="3"/>
    </row>
    <row r="890" spans="7:7" ht="12.75" customHeight="1" x14ac:dyDescent="0.2">
      <c r="G890" s="3"/>
    </row>
    <row r="891" spans="7:7" ht="12.75" customHeight="1" x14ac:dyDescent="0.2">
      <c r="G891" s="3"/>
    </row>
    <row r="892" spans="7:7" ht="12.75" customHeight="1" x14ac:dyDescent="0.2">
      <c r="G892" s="3"/>
    </row>
    <row r="893" spans="7:7" ht="12.75" customHeight="1" x14ac:dyDescent="0.2">
      <c r="G893" s="3"/>
    </row>
    <row r="894" spans="7:7" ht="12.75" customHeight="1" x14ac:dyDescent="0.2">
      <c r="G894" s="3"/>
    </row>
    <row r="895" spans="7:7" ht="12.75" customHeight="1" x14ac:dyDescent="0.2">
      <c r="G895" s="3"/>
    </row>
    <row r="896" spans="7:7" ht="12.75" customHeight="1" x14ac:dyDescent="0.2">
      <c r="G896" s="3"/>
    </row>
    <row r="897" spans="7:7" ht="12.75" customHeight="1" x14ac:dyDescent="0.2">
      <c r="G897" s="3"/>
    </row>
    <row r="898" spans="7:7" ht="12.75" customHeight="1" x14ac:dyDescent="0.2">
      <c r="G898" s="3"/>
    </row>
    <row r="899" spans="7:7" ht="12.75" customHeight="1" x14ac:dyDescent="0.2">
      <c r="G899" s="3"/>
    </row>
    <row r="900" spans="7:7" ht="12.75" customHeight="1" x14ac:dyDescent="0.2">
      <c r="G900" s="3"/>
    </row>
    <row r="901" spans="7:7" ht="12.75" customHeight="1" x14ac:dyDescent="0.2">
      <c r="G901" s="3"/>
    </row>
    <row r="902" spans="7:7" ht="12.75" customHeight="1" x14ac:dyDescent="0.2">
      <c r="G902" s="3"/>
    </row>
    <row r="903" spans="7:7" ht="12.75" customHeight="1" x14ac:dyDescent="0.2">
      <c r="G903" s="3"/>
    </row>
    <row r="904" spans="7:7" ht="12.75" customHeight="1" x14ac:dyDescent="0.2">
      <c r="G904" s="3"/>
    </row>
    <row r="905" spans="7:7" ht="12.75" customHeight="1" x14ac:dyDescent="0.2">
      <c r="G905" s="3"/>
    </row>
    <row r="906" spans="7:7" ht="12.75" customHeight="1" x14ac:dyDescent="0.2">
      <c r="G906" s="3"/>
    </row>
    <row r="907" spans="7:7" ht="12.75" customHeight="1" x14ac:dyDescent="0.2">
      <c r="G907" s="3"/>
    </row>
    <row r="908" spans="7:7" ht="12.75" customHeight="1" x14ac:dyDescent="0.2">
      <c r="G908" s="3"/>
    </row>
    <row r="909" spans="7:7" ht="12.75" customHeight="1" x14ac:dyDescent="0.2">
      <c r="G909" s="3"/>
    </row>
    <row r="910" spans="7:7" ht="12.75" customHeight="1" x14ac:dyDescent="0.2">
      <c r="G910" s="3"/>
    </row>
    <row r="911" spans="7:7" ht="12.75" customHeight="1" x14ac:dyDescent="0.2">
      <c r="G911" s="3"/>
    </row>
    <row r="912" spans="7:7" ht="12.75" customHeight="1" x14ac:dyDescent="0.2">
      <c r="G912" s="3"/>
    </row>
    <row r="913" spans="7:7" ht="12.75" customHeight="1" x14ac:dyDescent="0.2">
      <c r="G913" s="3"/>
    </row>
    <row r="914" spans="7:7" ht="12.75" customHeight="1" x14ac:dyDescent="0.2">
      <c r="G914" s="3"/>
    </row>
    <row r="915" spans="7:7" ht="12.75" customHeight="1" x14ac:dyDescent="0.2">
      <c r="G915" s="3"/>
    </row>
    <row r="916" spans="7:7" ht="12.75" customHeight="1" x14ac:dyDescent="0.2">
      <c r="G916" s="3"/>
    </row>
    <row r="917" spans="7:7" ht="12.75" customHeight="1" x14ac:dyDescent="0.2">
      <c r="G917" s="3"/>
    </row>
    <row r="918" spans="7:7" ht="12.75" customHeight="1" x14ac:dyDescent="0.2">
      <c r="G918" s="3"/>
    </row>
    <row r="919" spans="7:7" ht="12.75" customHeight="1" x14ac:dyDescent="0.2">
      <c r="G919" s="3"/>
    </row>
    <row r="920" spans="7:7" ht="12.75" customHeight="1" x14ac:dyDescent="0.2">
      <c r="G920" s="3"/>
    </row>
    <row r="921" spans="7:7" ht="12.75" customHeight="1" x14ac:dyDescent="0.2">
      <c r="G921" s="3"/>
    </row>
    <row r="922" spans="7:7" ht="12.75" customHeight="1" x14ac:dyDescent="0.2">
      <c r="G922" s="3"/>
    </row>
    <row r="923" spans="7:7" ht="12.75" customHeight="1" x14ac:dyDescent="0.2">
      <c r="G923" s="3"/>
    </row>
    <row r="924" spans="7:7" ht="12.75" customHeight="1" x14ac:dyDescent="0.2">
      <c r="G924" s="3"/>
    </row>
    <row r="925" spans="7:7" ht="12.75" customHeight="1" x14ac:dyDescent="0.2">
      <c r="G925" s="3"/>
    </row>
    <row r="926" spans="7:7" ht="12.75" customHeight="1" x14ac:dyDescent="0.2">
      <c r="G926" s="3"/>
    </row>
    <row r="927" spans="7:7" ht="12.75" customHeight="1" x14ac:dyDescent="0.2">
      <c r="G927" s="3"/>
    </row>
    <row r="928" spans="7:7" ht="12.75" customHeight="1" x14ac:dyDescent="0.2">
      <c r="G928" s="3"/>
    </row>
    <row r="929" spans="7:7" ht="12.75" customHeight="1" x14ac:dyDescent="0.2">
      <c r="G929" s="3"/>
    </row>
    <row r="930" spans="7:7" ht="12.75" customHeight="1" x14ac:dyDescent="0.2">
      <c r="G930" s="3"/>
    </row>
    <row r="931" spans="7:7" ht="12.75" customHeight="1" x14ac:dyDescent="0.2">
      <c r="G931" s="3"/>
    </row>
    <row r="932" spans="7:7" ht="12.75" customHeight="1" x14ac:dyDescent="0.2">
      <c r="G932" s="3"/>
    </row>
    <row r="933" spans="7:7" ht="12.75" customHeight="1" x14ac:dyDescent="0.2">
      <c r="G933" s="3"/>
    </row>
    <row r="934" spans="7:7" ht="12.75" customHeight="1" x14ac:dyDescent="0.2">
      <c r="G934" s="3"/>
    </row>
    <row r="935" spans="7:7" ht="12.75" customHeight="1" x14ac:dyDescent="0.2">
      <c r="G935" s="3"/>
    </row>
    <row r="936" spans="7:7" ht="12.75" customHeight="1" x14ac:dyDescent="0.2">
      <c r="G936" s="3"/>
    </row>
    <row r="937" spans="7:7" ht="12.75" customHeight="1" x14ac:dyDescent="0.2">
      <c r="G937" s="3"/>
    </row>
    <row r="938" spans="7:7" ht="12.75" customHeight="1" x14ac:dyDescent="0.2">
      <c r="G938" s="3"/>
    </row>
    <row r="939" spans="7:7" ht="12.75" customHeight="1" x14ac:dyDescent="0.2">
      <c r="G939" s="3"/>
    </row>
    <row r="940" spans="7:7" ht="12.75" customHeight="1" x14ac:dyDescent="0.2">
      <c r="G940" s="3"/>
    </row>
    <row r="941" spans="7:7" ht="12.75" customHeight="1" x14ac:dyDescent="0.2">
      <c r="G941" s="3"/>
    </row>
    <row r="942" spans="7:7" ht="12.75" customHeight="1" x14ac:dyDescent="0.2">
      <c r="G942" s="3"/>
    </row>
    <row r="943" spans="7:7" ht="12.75" customHeight="1" x14ac:dyDescent="0.2">
      <c r="G943" s="3"/>
    </row>
    <row r="944" spans="7:7" ht="12.75" customHeight="1" x14ac:dyDescent="0.2">
      <c r="G944" s="3"/>
    </row>
    <row r="945" spans="7:7" ht="12.75" customHeight="1" x14ac:dyDescent="0.2">
      <c r="G945" s="3"/>
    </row>
    <row r="946" spans="7:7" ht="12.75" customHeight="1" x14ac:dyDescent="0.2">
      <c r="G946" s="3"/>
    </row>
    <row r="947" spans="7:7" ht="12.75" customHeight="1" x14ac:dyDescent="0.2">
      <c r="G947" s="3"/>
    </row>
    <row r="948" spans="7:7" ht="12.75" customHeight="1" x14ac:dyDescent="0.2">
      <c r="G948" s="3"/>
    </row>
    <row r="949" spans="7:7" ht="12.75" customHeight="1" x14ac:dyDescent="0.2">
      <c r="G949" s="3"/>
    </row>
    <row r="950" spans="7:7" ht="12.75" customHeight="1" x14ac:dyDescent="0.2">
      <c r="G950" s="3"/>
    </row>
    <row r="951" spans="7:7" ht="12.75" customHeight="1" x14ac:dyDescent="0.2">
      <c r="G951" s="3"/>
    </row>
    <row r="952" spans="7:7" ht="12.75" customHeight="1" x14ac:dyDescent="0.2">
      <c r="G952" s="3"/>
    </row>
    <row r="953" spans="7:7" ht="12.75" customHeight="1" x14ac:dyDescent="0.2">
      <c r="G953" s="3"/>
    </row>
    <row r="954" spans="7:7" ht="12.75" customHeight="1" x14ac:dyDescent="0.2">
      <c r="G954" s="3"/>
    </row>
    <row r="955" spans="7:7" ht="12.75" customHeight="1" x14ac:dyDescent="0.2">
      <c r="G955" s="3"/>
    </row>
    <row r="956" spans="7:7" ht="12.75" customHeight="1" x14ac:dyDescent="0.2">
      <c r="G956" s="3"/>
    </row>
    <row r="957" spans="7:7" ht="12.75" customHeight="1" x14ac:dyDescent="0.2">
      <c r="G957" s="3"/>
    </row>
    <row r="958" spans="7:7" ht="12.75" customHeight="1" x14ac:dyDescent="0.2">
      <c r="G958" s="3"/>
    </row>
    <row r="959" spans="7:7" ht="12.75" customHeight="1" x14ac:dyDescent="0.2">
      <c r="G959" s="3"/>
    </row>
    <row r="960" spans="7:7" ht="12.75" customHeight="1" x14ac:dyDescent="0.2">
      <c r="G960" s="3"/>
    </row>
    <row r="961" spans="7:7" ht="12.75" customHeight="1" x14ac:dyDescent="0.2">
      <c r="G961" s="3"/>
    </row>
    <row r="962" spans="7:7" ht="12.75" customHeight="1" x14ac:dyDescent="0.2">
      <c r="G962" s="3"/>
    </row>
    <row r="963" spans="7:7" ht="12.75" customHeight="1" x14ac:dyDescent="0.2">
      <c r="G963" s="3"/>
    </row>
    <row r="964" spans="7:7" ht="12.75" customHeight="1" x14ac:dyDescent="0.2">
      <c r="G964" s="3"/>
    </row>
    <row r="965" spans="7:7" ht="12.75" customHeight="1" x14ac:dyDescent="0.2">
      <c r="G965" s="3"/>
    </row>
    <row r="966" spans="7:7" ht="12.75" customHeight="1" x14ac:dyDescent="0.2">
      <c r="G966" s="3"/>
    </row>
    <row r="967" spans="7:7" ht="12.75" customHeight="1" x14ac:dyDescent="0.2">
      <c r="G967" s="3"/>
    </row>
    <row r="968" spans="7:7" ht="12.75" customHeight="1" x14ac:dyDescent="0.2">
      <c r="G968" s="3"/>
    </row>
    <row r="969" spans="7:7" ht="12.75" customHeight="1" x14ac:dyDescent="0.2">
      <c r="G969" s="3"/>
    </row>
    <row r="970" spans="7:7" ht="12.75" customHeight="1" x14ac:dyDescent="0.2">
      <c r="G970" s="3"/>
    </row>
    <row r="971" spans="7:7" ht="12.75" customHeight="1" x14ac:dyDescent="0.2">
      <c r="G971" s="3"/>
    </row>
    <row r="972" spans="7:7" ht="12.75" customHeight="1" x14ac:dyDescent="0.2">
      <c r="G972" s="3"/>
    </row>
    <row r="973" spans="7:7" ht="12.75" customHeight="1" x14ac:dyDescent="0.2">
      <c r="G973" s="3"/>
    </row>
    <row r="974" spans="7:7" ht="12.75" customHeight="1" x14ac:dyDescent="0.2">
      <c r="G974" s="3"/>
    </row>
    <row r="975" spans="7:7" ht="12.75" customHeight="1" x14ac:dyDescent="0.2">
      <c r="G975" s="3"/>
    </row>
    <row r="976" spans="7:7" ht="12.75" customHeight="1" x14ac:dyDescent="0.2">
      <c r="G976" s="3"/>
    </row>
    <row r="977" spans="7:7" ht="12.75" customHeight="1" x14ac:dyDescent="0.2">
      <c r="G977" s="3"/>
    </row>
    <row r="978" spans="7:7" ht="12.75" customHeight="1" x14ac:dyDescent="0.2">
      <c r="G978" s="3"/>
    </row>
    <row r="979" spans="7:7" ht="12.75" customHeight="1" x14ac:dyDescent="0.2">
      <c r="G979" s="3"/>
    </row>
    <row r="980" spans="7:7" ht="12.75" customHeight="1" x14ac:dyDescent="0.2">
      <c r="G980" s="3"/>
    </row>
    <row r="981" spans="7:7" ht="12.75" customHeight="1" x14ac:dyDescent="0.2">
      <c r="G981" s="3"/>
    </row>
    <row r="982" spans="7:7" ht="12.75" customHeight="1" x14ac:dyDescent="0.2">
      <c r="G982" s="3"/>
    </row>
    <row r="983" spans="7:7" ht="12.75" customHeight="1" x14ac:dyDescent="0.2">
      <c r="G983" s="3"/>
    </row>
    <row r="984" spans="7:7" ht="12.75" customHeight="1" x14ac:dyDescent="0.2">
      <c r="G984" s="3"/>
    </row>
    <row r="985" spans="7:7" ht="12.75" customHeight="1" x14ac:dyDescent="0.2">
      <c r="G985" s="3"/>
    </row>
    <row r="986" spans="7:7" ht="12.75" customHeight="1" x14ac:dyDescent="0.2">
      <c r="G986" s="3"/>
    </row>
    <row r="987" spans="7:7" ht="12.75" customHeight="1" x14ac:dyDescent="0.2">
      <c r="G987" s="3"/>
    </row>
    <row r="988" spans="7:7" ht="12.75" customHeight="1" x14ac:dyDescent="0.2">
      <c r="G988" s="3"/>
    </row>
    <row r="989" spans="7:7" ht="12.75" customHeight="1" x14ac:dyDescent="0.2">
      <c r="G989" s="3"/>
    </row>
    <row r="990" spans="7:7" ht="12.75" customHeight="1" x14ac:dyDescent="0.2">
      <c r="G990" s="3"/>
    </row>
    <row r="991" spans="7:7" ht="12.75" customHeight="1" x14ac:dyDescent="0.2">
      <c r="G991" s="3"/>
    </row>
    <row r="992" spans="7:7" ht="12.75" customHeight="1" x14ac:dyDescent="0.2">
      <c r="G992" s="3"/>
    </row>
    <row r="993" spans="7:7" ht="12.75" customHeight="1" x14ac:dyDescent="0.2">
      <c r="G993" s="3"/>
    </row>
    <row r="994" spans="7:7" ht="12.75" customHeight="1" x14ac:dyDescent="0.2">
      <c r="G994" s="3"/>
    </row>
    <row r="995" spans="7:7" ht="12.75" customHeight="1" x14ac:dyDescent="0.2">
      <c r="G995" s="3"/>
    </row>
    <row r="996" spans="7:7" ht="12.75" customHeight="1" x14ac:dyDescent="0.2">
      <c r="G996" s="3"/>
    </row>
    <row r="997" spans="7:7" ht="12.75" customHeight="1" x14ac:dyDescent="0.2">
      <c r="G997" s="3"/>
    </row>
    <row r="998" spans="7:7" ht="12.75" customHeight="1" x14ac:dyDescent="0.2">
      <c r="G998" s="3"/>
    </row>
    <row r="999" spans="7:7" ht="12.75" customHeight="1" x14ac:dyDescent="0.2">
      <c r="G999" s="3"/>
    </row>
    <row r="1000" spans="7:7" ht="12.75" customHeight="1" x14ac:dyDescent="0.2">
      <c r="G1000" s="3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" footer="0"/>
  <pageSetup paperSize="9" scale="9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Necesidades Trimestrales</vt:lpstr>
      <vt:lpstr>NP FARMACIA</vt:lpstr>
      <vt:lpstr>APG FARMACIA</vt:lpstr>
      <vt:lpstr>NP SAME</vt:lpstr>
      <vt:lpstr>APG SAME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lastPrinted>2022-04-22T19:22:51Z</cp:lastPrinted>
  <dcterms:created xsi:type="dcterms:W3CDTF">2020-07-17T23:44:49Z</dcterms:created>
  <dcterms:modified xsi:type="dcterms:W3CDTF">2022-05-27T11:36:36Z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