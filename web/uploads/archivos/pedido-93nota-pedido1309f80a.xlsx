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408487-CAT-DPPR#MHP\"/>
    </mc:Choice>
  </mc:AlternateContent>
  <xr:revisionPtr revIDLastSave="0" documentId="8_{3AB95D59-1CE2-439E-AF9D-73D6148D3375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state="hidden" r:id="rId2"/>
    <sheet name="Autor Gastar" sheetId="3" state="hidden" r:id="rId3"/>
  </sheets>
  <definedNames>
    <definedName name="_xlnm.Print_Area" localSheetId="1">' NotaPedido'!$A$1:$K$18</definedName>
    <definedName name="_xlnm.Print_Area" localSheetId="2">'Autor Gastar'!$A$1:$Q$20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1" l="1"/>
  <c r="A10" i="3"/>
  <c r="A19" i="3"/>
  <c r="K12" i="2"/>
  <c r="K13" i="2"/>
  <c r="K14" i="2"/>
  <c r="K15" i="2"/>
  <c r="K16" i="2"/>
  <c r="K17" i="2"/>
  <c r="J12" i="2"/>
  <c r="J13" i="2"/>
  <c r="J14" i="2"/>
  <c r="J15" i="2"/>
  <c r="J16" i="2"/>
  <c r="J17" i="2"/>
  <c r="I12" i="2"/>
  <c r="I13" i="2"/>
  <c r="I14" i="2"/>
  <c r="I15" i="2"/>
  <c r="I16" i="2"/>
  <c r="C12" i="2"/>
  <c r="C13" i="2"/>
  <c r="C14" i="2"/>
  <c r="C15" i="2"/>
  <c r="C16" i="2"/>
  <c r="C17" i="2"/>
  <c r="B12" i="2"/>
  <c r="B13" i="2"/>
  <c r="B14" i="2"/>
  <c r="B15" i="2"/>
  <c r="B16" i="2"/>
  <c r="B17" i="2"/>
  <c r="I10" i="1"/>
  <c r="I11" i="1"/>
  <c r="I12" i="1"/>
  <c r="I13" i="1"/>
  <c r="I14" i="1"/>
  <c r="I15" i="1"/>
  <c r="I17" i="2"/>
  <c r="J18" i="2" l="1"/>
  <c r="Q15" i="3" l="1"/>
  <c r="Q16" i="3" s="1"/>
  <c r="G6" i="3"/>
  <c r="G7" i="3"/>
  <c r="D7" i="2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<sst xmlns="http://schemas.openxmlformats.org/spreadsheetml/2006/main" count="129" uniqueCount="99">
  <si>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</si>
  <si>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</si>
  <si>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</si>
  <si>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</si>
  <si>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</si>
  <si>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</si>
  <si>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</si>
  <si>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</si>
  <si>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</si>
  <si>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</si>
  <si>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</si>
  <si>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</si>
  <si>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</si>
  <si>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</si>
  <si>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</si>
  <si>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</si>
  <si>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2.9.6-4978.8166</t>
  </si>
  <si>
    <t>REPUESTOS</t>
  </si>
  <si>
    <t>2.9.6</t>
  </si>
  <si>
    <t>REP. Y ACC. P/AUTOMOTOR; REPUESTO: BATERIA, MARCA: FIAT, MODELO: SIENA</t>
  </si>
  <si>
    <t>UNIDAD</t>
  </si>
  <si>
    <t>2.9.6-9688.229</t>
  </si>
  <si>
    <t>REP. Y ACC. P/CAMIONETAS; MARCA AUTOMOTOR: TOYOTA, MODELO AUTOMOTOR: HILUX, ELEMENTO: BATERIA</t>
  </si>
  <si>
    <t>2.9.6-4978.8976</t>
  </si>
  <si>
    <t>REP. Y ACC. P/AUTOMOTOR; REPUESTO: BATERIA, MARCA: RENAULT, MODELO: MASTER</t>
  </si>
  <si>
    <t>2.9.6-9686.1424</t>
  </si>
  <si>
    <t>REP. Y ACC. P/CAMIONES; ELEMENTO: BATERIA, MARCA VEHICULO: VOLKSWAGEN, MODELO VEHICULO: 9150</t>
  </si>
  <si>
    <t>2.9.6-3997.459</t>
  </si>
  <si>
    <t>REP. Y ACC. P/MOTOS; REPUESTO: BATERIA, USO: HONDA, MODELO MOTO: XR 250 TORNADO</t>
  </si>
  <si>
    <t>2.9.6-3997.506</t>
  </si>
  <si>
    <t>REP. Y ACC. P/MOTOS; REPUESTO: BATERIA, USO: HONDA, MODELO MOTO: STORM 125 CC</t>
  </si>
  <si>
    <t>Especificidades</t>
  </si>
  <si>
    <t xml:space="preserve"> Item N° : 1</t>
  </si>
  <si>
    <t>Descripción técnica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</si>
  <si>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FIAT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SIENA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2011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BATERIAS 12V.  65 AMP </t>
    </r>
  </si>
  <si>
    <t xml:space="preserve"> Item N° : 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</si>
  <si>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4X2,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2015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BATERIAS 12V.  75 AMP</t>
    </r>
  </si>
  <si>
    <t xml:space="preserve"> Item N° : 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</si>
  <si>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RENAULT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MASTER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2008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BATERIAS 12V.  90 AMP</t>
    </r>
  </si>
  <si>
    <t xml:space="preserve"> Item N° : 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</si>
  <si>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9150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2009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BATERIAS 12V.  180 AMP </t>
    </r>
  </si>
  <si>
    <t xml:space="preserve"> Item N° : 5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</si>
  <si>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HONDA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TORNADO 250 CC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2018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BATERIAS MOTOS 12YTX7-BS</t>
    </r>
  </si>
  <si>
    <t xml:space="preserve"> Item N° : 6</t>
  </si>
  <si>
    <r>
      <t xml:space="preserve">MARCA </t>
    </r>
    <r>
      <rPr>
        <sz val="10"/>
        <rFont val="Century Gothic"/>
        <family val="2"/>
      </rPr>
      <t>HONDA</t>
    </r>
    <r>
      <rPr>
        <u/>
        <sz val="10"/>
        <rFont val="Century Gothic"/>
        <family val="2"/>
      </rPr>
      <t xml:space="preserve"> MODELO:</t>
    </r>
    <r>
      <rPr>
        <sz val="10"/>
        <rFont val="Century Gothic"/>
        <family val="2"/>
      </rPr>
      <t xml:space="preserve"> XR 150CC</t>
    </r>
    <r>
      <rPr>
        <u/>
        <sz val="10"/>
        <rFont val="Century Gothic"/>
        <family val="2"/>
      </rPr>
      <t xml:space="preserve"> AÑO: </t>
    </r>
    <r>
      <rPr>
        <sz val="10"/>
        <rFont val="Century Gothic"/>
        <family val="2"/>
      </rPr>
      <t xml:space="preserve">2017 </t>
    </r>
    <r>
      <rPr>
        <u/>
        <sz val="10"/>
        <rFont val="Century Gothic"/>
        <family val="2"/>
      </rPr>
      <t xml:space="preserve"> ELEMENTO: </t>
    </r>
    <r>
      <rPr>
        <sz val="10"/>
        <rFont val="Century Gothic"/>
        <family val="2"/>
      </rPr>
      <t xml:space="preserve">BATERIAS MOTOS 12YTX5-BS  </t>
    </r>
  </si>
  <si>
    <t>Plazos y lugares de entrega</t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</si>
  <si>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</si>
  <si>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>Calidad Minima esperada</t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</si>
  <si>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</si>
  <si>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>Mantenimiento</t>
  </si>
  <si>
    <t xml:space="preserve">30 (treinta)  días </t>
  </si>
  <si>
    <t>Garantia</t>
  </si>
  <si>
    <t>12 meses</t>
  </si>
  <si>
    <t>NOTA DE PEDIDO</t>
  </si>
  <si>
    <t>N°</t>
  </si>
  <si>
    <t>31/2021</t>
  </si>
  <si>
    <t xml:space="preserve">JURISDICCIÓN: </t>
  </si>
  <si>
    <t>SAF:</t>
  </si>
  <si>
    <t>UNIDAD EJECUTORA:</t>
  </si>
  <si>
    <t>Jefatura de Policía de la Provincia de Catamarca</t>
  </si>
  <si>
    <t xml:space="preserve">DEPENDENCIA SOLICITANTE: </t>
  </si>
  <si>
    <t>División Transporte (D-4)</t>
  </si>
  <si>
    <t>PERIODO UTILIZACIÓN:</t>
  </si>
  <si>
    <t>OBJETO:</t>
  </si>
  <si>
    <t>Adquisición de Repuestos de Automotor destinados a División Transporte (D-4)- Policia de Catamarca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</si>
  <si>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</si>
  <si>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</si>
  <si>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</si>
  <si>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</si>
  <si>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</si>
  <si>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</si>
  <si>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</si>
  <si>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</si>
  <si>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Costo total estimado:  ONCE MILLONES SETECIENTOS CUARENTA Y SEIS MIL QUINIENTOS CUARENTA Y DOS CON 40/100.-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</si>
  <si>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</si>
  <si>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</si>
  <si>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</si>
  <si>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</si>
  <si>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</si>
  <si>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</si>
  <si>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</si>
  <si>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</si>
  <si>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</si>
  <si>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</si>
  <si>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</si>
  <si>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</si>
  <si>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</si>
  <si>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</si>
  <si>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</si>
  <si>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</si>
  <si>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</si>
  <si>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</si>
  <si>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</si>
  <si>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</si>
  <si>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</si>
  <si>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</si>
  <si>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REPUESTOS Y ACCESORIOS</t>
  </si>
  <si>
    <t>TOTAL DE PESOS: ONCE MILLONES SETECIENTOS CUARENTA Y SEIS MIL QUINIENTOS CUARENTA Y DOS CON 40/100.-</t>
  </si>
  <si>
    <t>JUSTIFICACIÓN: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</si>
</sst>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\ #,##0.00;[Red]&quot;$&quot;\ \-#,##0.00"/>
    <numFmt numFmtId="165" formatCode="_ &quot;$&quot;\ * #,##0.00_ ;_ &quot;$&quot;\ * \-#,##0.00_ ;_ &quot;$&quot;\ * &quot;-&quot;??_ ;_ @_ "/>
    <numFmt numFmtId="166" formatCode="_(\$* #,##0.00_);_(\$* \(#,##0.00\);_(\$* \-??_);_(@_)"/>
    <numFmt numFmtId="167" formatCode="_-* #,##0.00&quot; €&quot;_-;\-* #,##0.00&quot; €&quot;_-;_-* \-??&quot; €&quot;_-;_-@_-"/>
    <numFmt numFmtId="168" formatCode="[$$-2C0A]\ #,##0.00;[$$-2C0A]&quot; -&quot;#,##0.00"/>
    <numFmt numFmtId="169" formatCode="[$$-2C0A]\ #,##0.00"/>
    <numFmt numFmtId="170" formatCode="dd\-mm\-yy;@"/>
  </numFmts>
  <fonts count="20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b/>
      <u/>
      <sz val="10"/>
      <name val="Times New Roman"/>
      <family val="1"/>
    </font>
    <font>
      <b/>
      <sz val="10"/>
      <color rgb="FF000000"/>
      <name val="Century Gothic"/>
      <family val="2"/>
    </font>
    <font>
      <sz val="10"/>
      <name val="Century Gothic"/>
      <family val="2"/>
    </font>
    <font>
      <sz val="10"/>
      <color rgb="FF000000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u/>
      <sz val="10"/>
      <name val="Century Gothic"/>
      <family val="2"/>
    </font>
    <font>
      <b/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u/>
      <sz val="10"/>
      <name val="Century Gothic"/>
      <family val="2"/>
    </font>
    <font>
      <sz val="11"/>
      <name val="Century Gothic"/>
      <family val="2"/>
    </font>
    <font>
      <b/>
      <sz val="11"/>
      <name val="Century Gothic"/>
      <family val="2"/>
    </font>
    <font>
      <b/>
      <u/>
      <sz val="16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4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7" fontId="4" fillId="0" borderId="0" applyBorder="0" applyProtection="0"/>
    <xf numFmtId="0" fontId="1" fillId="0" borderId="1" applyProtection="0"/>
    <xf numFmtId="166" fontId="2" fillId="0" borderId="0" applyBorder="0" applyProtection="0"/>
    <xf numFmtId="0" fontId="3" fillId="2" borderId="0" applyBorder="0" applyProtection="0"/>
  </cellStyleXfs>
  <cellXfs count="124">
    <xf numFmtId="0" fontId="0" fillId="0" borderId="0" xfId="0"/>
    <xf numFmtId="0" fontId="11" fillId="3" borderId="10" xfId="0" applyFont="1" applyFill="1" applyBorder="1" applyAlignment="1">
      <alignment horizontal="right" vertical="center"/>
    </xf>
    <xf numFmtId="0" fontId="7" fillId="3" borderId="0" xfId="0" applyFont="1" applyFill="1" applyBorder="1" applyAlignment="1">
      <alignment vertical="center"/>
    </xf>
    <xf numFmtId="0" fontId="7" fillId="3" borderId="0" xfId="0" applyFont="1" applyFill="1"/>
    <xf numFmtId="0" fontId="11" fillId="3" borderId="12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 wrapText="1" indent="1"/>
    </xf>
    <xf numFmtId="0" fontId="12" fillId="3" borderId="38" xfId="0" applyFont="1" applyFill="1" applyBorder="1" applyAlignment="1">
      <alignment horizontal="center" vertical="center"/>
    </xf>
    <xf numFmtId="0" fontId="12" fillId="3" borderId="38" xfId="0" applyFont="1" applyFill="1" applyBorder="1" applyAlignment="1">
      <alignment horizontal="center" vertical="center" wrapText="1"/>
    </xf>
    <xf numFmtId="165" fontId="12" fillId="3" borderId="38" xfId="0" applyNumberFormat="1" applyFont="1" applyFill="1" applyBorder="1" applyAlignment="1">
      <alignment horizontal="center" vertical="center" wrapText="1"/>
    </xf>
    <xf numFmtId="3" fontId="12" fillId="3" borderId="38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left" wrapText="1"/>
    </xf>
    <xf numFmtId="0" fontId="8" fillId="3" borderId="0" xfId="0" applyFont="1" applyFill="1" applyAlignment="1">
      <alignment horizontal="center" wrapText="1"/>
    </xf>
    <xf numFmtId="0" fontId="6" fillId="3" borderId="40" xfId="0" applyFont="1" applyFill="1" applyBorder="1" applyAlignment="1">
      <alignment horizontal="center" vertical="center" wrapText="1"/>
    </xf>
    <xf numFmtId="168" fontId="7" fillId="3" borderId="39" xfId="1" applyNumberFormat="1" applyFont="1" applyFill="1" applyBorder="1" applyAlignment="1" applyProtection="1">
      <alignment horizontal="right" vertical="center" wrapText="1"/>
    </xf>
    <xf numFmtId="0" fontId="7" fillId="3" borderId="41" xfId="0" applyFont="1" applyFill="1" applyBorder="1" applyAlignment="1">
      <alignment horizontal="center" vertical="center"/>
    </xf>
    <xf numFmtId="0" fontId="8" fillId="3" borderId="41" xfId="0" applyFont="1" applyFill="1" applyBorder="1" applyAlignment="1">
      <alignment horizontal="center" vertical="center" wrapText="1"/>
    </xf>
    <xf numFmtId="168" fontId="12" fillId="3" borderId="42" xfId="0" applyNumberFormat="1" applyFont="1" applyFill="1" applyBorder="1"/>
    <xf numFmtId="168" fontId="12" fillId="3" borderId="0" xfId="0" applyNumberFormat="1" applyFont="1" applyFill="1" applyBorder="1"/>
    <xf numFmtId="0" fontId="7" fillId="3" borderId="0" xfId="0" applyFont="1" applyFill="1" applyBorder="1"/>
    <xf numFmtId="0" fontId="15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7" fillId="3" borderId="41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 wrapText="1"/>
    </xf>
    <xf numFmtId="3" fontId="18" fillId="3" borderId="0" xfId="0" applyNumberFormat="1" applyFont="1" applyFill="1" applyBorder="1" applyAlignment="1"/>
    <xf numFmtId="170" fontId="7" fillId="3" borderId="0" xfId="0" applyNumberFormat="1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7" fillId="3" borderId="10" xfId="0" applyFont="1" applyFill="1" applyBorder="1"/>
    <xf numFmtId="0" fontId="7" fillId="3" borderId="24" xfId="0" applyFont="1" applyFill="1" applyBorder="1"/>
    <xf numFmtId="0" fontId="7" fillId="3" borderId="12" xfId="0" applyFont="1" applyFill="1" applyBorder="1"/>
    <xf numFmtId="0" fontId="7" fillId="3" borderId="12" xfId="0" applyFont="1" applyFill="1" applyBorder="1" applyAlignment="1">
      <alignment horizontal="left"/>
    </xf>
    <xf numFmtId="0" fontId="7" fillId="3" borderId="25" xfId="0" applyFont="1" applyFill="1" applyBorder="1"/>
    <xf numFmtId="0" fontId="12" fillId="3" borderId="27" xfId="0" applyFont="1" applyFill="1" applyBorder="1" applyAlignment="1">
      <alignment horizontal="center" vertical="center"/>
    </xf>
    <xf numFmtId="0" fontId="12" fillId="3" borderId="28" xfId="0" applyFont="1" applyFill="1" applyBorder="1" applyAlignment="1">
      <alignment horizontal="center" vertical="center"/>
    </xf>
    <xf numFmtId="0" fontId="12" fillId="3" borderId="28" xfId="0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0" fontId="12" fillId="3" borderId="23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168" fontId="7" fillId="3" borderId="33" xfId="3" applyNumberFormat="1" applyFont="1" applyFill="1" applyBorder="1" applyAlignment="1" applyProtection="1">
      <alignment horizontal="center" vertical="center"/>
    </xf>
    <xf numFmtId="168" fontId="12" fillId="3" borderId="34" xfId="0" applyNumberFormat="1" applyFont="1" applyFill="1" applyBorder="1" applyAlignment="1">
      <alignment horizontal="center" vertical="center"/>
    </xf>
    <xf numFmtId="49" fontId="0" fillId="0" borderId="41" xfId="0" applyNumberFormat="1" applyBorder="1"/>
    <xf numFmtId="49" fontId="0" fillId="0" borderId="41" xfId="0" applyNumberFormat="1" applyBorder="1" applyAlignment="1">
      <alignment wrapText="1"/>
    </xf>
    <xf numFmtId="164" fontId="7" fillId="3" borderId="41" xfId="1" applyNumberFormat="1" applyFont="1" applyFill="1" applyBorder="1" applyAlignment="1">
      <alignment horizontal="right" vertical="center"/>
    </xf>
    <xf numFmtId="0" fontId="8" fillId="3" borderId="38" xfId="0" applyFont="1" applyFill="1" applyBorder="1" applyAlignment="1">
      <alignment horizontal="left" vertical="center" wrapText="1"/>
    </xf>
    <xf numFmtId="0" fontId="7" fillId="3" borderId="38" xfId="0" applyFont="1" applyFill="1" applyBorder="1" applyAlignment="1">
      <alignment horizontal="center" vertical="center"/>
    </xf>
    <xf numFmtId="0" fontId="7" fillId="3" borderId="38" xfId="0" applyFont="1" applyFill="1" applyBorder="1" applyAlignment="1">
      <alignment vertical="top" wrapText="1"/>
    </xf>
    <xf numFmtId="0" fontId="8" fillId="3" borderId="38" xfId="0" applyFont="1" applyFill="1" applyBorder="1" applyAlignment="1">
      <alignment horizontal="center" vertical="center" wrapText="1"/>
    </xf>
    <xf numFmtId="3" fontId="7" fillId="3" borderId="38" xfId="0" applyNumberFormat="1" applyFont="1" applyFill="1" applyBorder="1" applyAlignment="1">
      <alignment horizontal="center" vertical="center"/>
    </xf>
    <xf numFmtId="165" fontId="7" fillId="3" borderId="38" xfId="1" applyNumberFormat="1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left" vertical="center"/>
    </xf>
    <xf numFmtId="0" fontId="7" fillId="4" borderId="3" xfId="0" applyFont="1" applyFill="1" applyBorder="1"/>
    <xf numFmtId="0" fontId="7" fillId="4" borderId="4" xfId="0" applyFont="1" applyFill="1" applyBorder="1"/>
    <xf numFmtId="0" fontId="7" fillId="4" borderId="5" xfId="0" applyFont="1" applyFill="1" applyBorder="1" applyAlignment="1">
      <alignment vertical="center"/>
    </xf>
    <xf numFmtId="0" fontId="7" fillId="4" borderId="0" xfId="0" applyFont="1" applyFill="1" applyBorder="1" applyAlignment="1">
      <alignment horizontal="left" vertical="center"/>
    </xf>
    <xf numFmtId="0" fontId="7" fillId="4" borderId="0" xfId="0" applyFont="1" applyFill="1" applyBorder="1"/>
    <xf numFmtId="0" fontId="7" fillId="4" borderId="6" xfId="0" applyFont="1" applyFill="1" applyBorder="1"/>
    <xf numFmtId="0" fontId="16" fillId="4" borderId="0" xfId="0" applyFont="1" applyFill="1" applyBorder="1" applyAlignment="1">
      <alignment horizontal="left" vertical="center"/>
    </xf>
    <xf numFmtId="0" fontId="7" fillId="4" borderId="0" xfId="0" applyFont="1" applyFill="1" applyBorder="1" applyAlignment="1">
      <alignment vertical="center"/>
    </xf>
    <xf numFmtId="0" fontId="7" fillId="4" borderId="0" xfId="0" applyFont="1" applyFill="1" applyBorder="1" applyAlignment="1"/>
    <xf numFmtId="0" fontId="16" fillId="4" borderId="0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left" vertical="center"/>
    </xf>
    <xf numFmtId="0" fontId="16" fillId="4" borderId="5" xfId="0" applyFont="1" applyFill="1" applyBorder="1" applyAlignment="1">
      <alignment horizontal="left" vertical="center"/>
    </xf>
    <xf numFmtId="0" fontId="11" fillId="4" borderId="5" xfId="0" applyFont="1" applyFill="1" applyBorder="1" applyAlignment="1">
      <alignment vertical="center"/>
    </xf>
    <xf numFmtId="0" fontId="7" fillId="4" borderId="0" xfId="0" applyFont="1" applyFill="1" applyBorder="1" applyAlignment="1">
      <alignment horizontal="left"/>
    </xf>
    <xf numFmtId="0" fontId="7" fillId="4" borderId="0" xfId="0" applyFont="1" applyFill="1" applyBorder="1" applyAlignment="1">
      <alignment horizontal="center" wrapText="1"/>
    </xf>
    <xf numFmtId="0" fontId="7" fillId="4" borderId="7" xfId="0" applyFont="1" applyFill="1" applyBorder="1" applyAlignment="1">
      <alignment vertical="center"/>
    </xf>
    <xf numFmtId="0" fontId="7" fillId="4" borderId="8" xfId="0" applyFont="1" applyFill="1" applyBorder="1" applyAlignment="1">
      <alignment horizontal="left" vertical="center"/>
    </xf>
    <xf numFmtId="0" fontId="7" fillId="4" borderId="8" xfId="0" applyFont="1" applyFill="1" applyBorder="1"/>
    <xf numFmtId="0" fontId="7" fillId="4" borderId="9" xfId="0" applyFont="1" applyFill="1" applyBorder="1"/>
    <xf numFmtId="0" fontId="9" fillId="3" borderId="11" xfId="0" applyNumberFormat="1" applyFont="1" applyFill="1" applyBorder="1" applyAlignment="1">
      <alignment horizontal="center" vertical="center"/>
    </xf>
    <xf numFmtId="0" fontId="6" fillId="3" borderId="43" xfId="0" applyFont="1" applyFill="1" applyBorder="1" applyAlignment="1">
      <alignment horizontal="center" vertical="center" wrapText="1"/>
    </xf>
    <xf numFmtId="168" fontId="7" fillId="3" borderId="38" xfId="1" applyNumberFormat="1" applyFont="1" applyFill="1" applyBorder="1" applyAlignment="1" applyProtection="1">
      <alignment horizontal="right" vertical="center" wrapText="1"/>
    </xf>
    <xf numFmtId="0" fontId="6" fillId="3" borderId="44" xfId="0" applyFont="1" applyFill="1" applyBorder="1" applyAlignment="1">
      <alignment horizontal="center" vertical="center" wrapText="1"/>
    </xf>
    <xf numFmtId="0" fontId="6" fillId="3" borderId="45" xfId="0" applyFont="1" applyFill="1" applyBorder="1" applyAlignment="1">
      <alignment horizontal="left" vertical="center" wrapText="1"/>
    </xf>
    <xf numFmtId="0" fontId="6" fillId="3" borderId="45" xfId="0" applyFont="1" applyFill="1" applyBorder="1" applyAlignment="1">
      <alignment horizontal="center" vertical="center" wrapText="1"/>
    </xf>
    <xf numFmtId="0" fontId="6" fillId="3" borderId="46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left" vertical="center" wrapText="1"/>
    </xf>
    <xf numFmtId="0" fontId="7" fillId="3" borderId="38" xfId="0" applyFont="1" applyFill="1" applyBorder="1" applyAlignment="1">
      <alignment horizontal="left" vertical="center" wrapText="1"/>
    </xf>
    <xf numFmtId="0" fontId="7" fillId="4" borderId="0" xfId="0" applyFont="1" applyFill="1" applyBorder="1" applyAlignment="1">
      <alignment horizontal="left" vertical="center" wrapText="1"/>
    </xf>
    <xf numFmtId="0" fontId="7" fillId="4" borderId="0" xfId="0" applyFont="1" applyFill="1" applyBorder="1" applyAlignment="1">
      <alignment horizontal="left" wrapText="1"/>
    </xf>
    <xf numFmtId="0" fontId="13" fillId="3" borderId="0" xfId="0" applyFont="1" applyFill="1" applyBorder="1" applyAlignment="1">
      <alignment horizontal="center"/>
    </xf>
    <xf numFmtId="0" fontId="14" fillId="3" borderId="0" xfId="0" applyFont="1" applyFill="1" applyBorder="1" applyAlignment="1">
      <alignment horizontal="left" vertical="center" wrapText="1"/>
    </xf>
    <xf numFmtId="0" fontId="15" fillId="3" borderId="0" xfId="0" applyFont="1" applyFill="1" applyBorder="1" applyAlignment="1">
      <alignment horizontal="left" vertical="center" wrapText="1" indent="1"/>
    </xf>
    <xf numFmtId="0" fontId="15" fillId="3" borderId="0" xfId="0" applyFont="1" applyFill="1" applyBorder="1" applyAlignment="1">
      <alignment horizontal="left" vertical="center" wrapText="1"/>
    </xf>
    <xf numFmtId="0" fontId="19" fillId="3" borderId="0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left" vertical="center" wrapText="1"/>
    </xf>
    <xf numFmtId="0" fontId="9" fillId="3" borderId="14" xfId="0" applyFont="1" applyFill="1" applyBorder="1" applyAlignment="1">
      <alignment horizontal="left" vertical="center" wrapText="1" indent="1"/>
    </xf>
    <xf numFmtId="0" fontId="10" fillId="3" borderId="15" xfId="0" applyFont="1" applyFill="1" applyBorder="1" applyAlignment="1">
      <alignment horizontal="left" vertical="center" wrapText="1"/>
    </xf>
    <xf numFmtId="0" fontId="10" fillId="3" borderId="16" xfId="0" applyFont="1" applyFill="1" applyBorder="1" applyAlignment="1">
      <alignment horizontal="left" vertical="center"/>
    </xf>
    <xf numFmtId="0" fontId="9" fillId="3" borderId="17" xfId="0" applyFont="1" applyFill="1" applyBorder="1" applyAlignment="1">
      <alignment horizontal="left" vertical="center" wrapText="1" indent="1"/>
    </xf>
    <xf numFmtId="0" fontId="12" fillId="3" borderId="16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169" fontId="12" fillId="3" borderId="14" xfId="0" applyNumberFormat="1" applyFont="1" applyFill="1" applyBorder="1" applyAlignment="1">
      <alignment horizontal="center" vertical="center"/>
    </xf>
    <xf numFmtId="0" fontId="7" fillId="3" borderId="38" xfId="0" applyFont="1" applyFill="1" applyBorder="1" applyAlignment="1">
      <alignment horizontal="left" vertical="center" wrapText="1"/>
    </xf>
    <xf numFmtId="0" fontId="12" fillId="3" borderId="14" xfId="0" applyFont="1" applyFill="1" applyBorder="1" applyAlignment="1">
      <alignment horizontal="left" vertical="center" wrapText="1" indent="1"/>
    </xf>
    <xf numFmtId="0" fontId="7" fillId="3" borderId="19" xfId="0" applyFont="1" applyFill="1" applyBorder="1" applyAlignment="1">
      <alignment horizontal="center"/>
    </xf>
    <xf numFmtId="3" fontId="18" fillId="3" borderId="20" xfId="0" applyNumberFormat="1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/>
    <xf numFmtId="0" fontId="17" fillId="3" borderId="11" xfId="0" applyFont="1" applyFill="1" applyBorder="1" applyAlignment="1">
      <alignment horizontal="left" indent="1"/>
    </xf>
    <xf numFmtId="0" fontId="7" fillId="3" borderId="13" xfId="0" applyFont="1" applyFill="1" applyBorder="1" applyAlignment="1">
      <alignment horizontal="left" vertical="center" wrapText="1"/>
    </xf>
    <xf numFmtId="0" fontId="7" fillId="3" borderId="36" xfId="0" applyFont="1" applyFill="1" applyBorder="1" applyAlignment="1">
      <alignment horizontal="left" vertical="center" wrapText="1"/>
    </xf>
    <xf numFmtId="0" fontId="7" fillId="3" borderId="37" xfId="0" applyFont="1" applyFill="1" applyBorder="1" applyAlignment="1">
      <alignment horizontal="left" vertical="center" wrapText="1"/>
    </xf>
    <xf numFmtId="0" fontId="11" fillId="3" borderId="11" xfId="0" applyFont="1" applyFill="1" applyBorder="1" applyAlignment="1">
      <alignment horizontal="left"/>
    </xf>
    <xf numFmtId="0" fontId="17" fillId="3" borderId="22" xfId="0" applyFont="1" applyFill="1" applyBorder="1" applyAlignment="1"/>
    <xf numFmtId="0" fontId="17" fillId="3" borderId="23" xfId="0" applyFont="1" applyFill="1" applyBorder="1" applyAlignment="1">
      <alignment horizontal="left" vertical="center" wrapText="1" indent="1"/>
    </xf>
    <xf numFmtId="0" fontId="12" fillId="3" borderId="2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21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left" vertical="center" wrapText="1"/>
    </xf>
    <xf numFmtId="0" fontId="18" fillId="3" borderId="19" xfId="0" applyFont="1" applyFill="1" applyBorder="1" applyAlignment="1">
      <alignment vertical="center" wrapText="1"/>
    </xf>
    <xf numFmtId="0" fontId="18" fillId="3" borderId="35" xfId="0" applyFont="1" applyFill="1" applyBorder="1" applyAlignment="1">
      <alignment vertical="center" wrapText="1"/>
    </xf>
    <xf numFmtId="0" fontId="18" fillId="3" borderId="17" xfId="0" applyFont="1" applyFill="1" applyBorder="1" applyAlignment="1">
      <alignment vertical="center" wrapText="1"/>
    </xf>
    <xf numFmtId="0" fontId="17" fillId="3" borderId="26" xfId="0" applyFont="1" applyFill="1" applyBorder="1" applyAlignment="1">
      <alignment vertical="center" wrapText="1"/>
    </xf>
    <xf numFmtId="0" fontId="17" fillId="3" borderId="34" xfId="0" applyFont="1" applyFill="1" applyBorder="1" applyAlignment="1">
      <alignment horizontal="left" vertical="center" wrapText="1" indent="1"/>
    </xf>
    <xf numFmtId="0" fontId="18" fillId="3" borderId="34" xfId="0" applyFont="1" applyFill="1" applyBorder="1" applyAlignment="1">
      <alignment horizontal="left" vertical="center" wrapText="1"/>
    </xf>
    <xf numFmtId="0" fontId="7" fillId="3" borderId="21" xfId="0" applyFont="1" applyFill="1" applyBorder="1" applyAlignment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3"/>
  <sheetViews>
    <sheetView tabSelected="1" topLeftCell="A5" zoomScale="85" zoomScaleNormal="85" workbookViewId="0">
      <selection activeCell="E14" sqref="E14"/>
    </sheetView>
  </sheetViews>
  <sheetFormatPr baseColWidth="10" defaultColWidth="11" defaultRowHeight="13.5" x14ac:dyDescent="0.25"/>
  <cols>
    <col min="1" max="1" width="4.5703125" style="3" customWidth="1"/>
    <col min="2" max="2" width="14.7109375" style="24" customWidth="1"/>
    <col min="3" max="3" width="19.42578125" style="24" customWidth="1"/>
    <col min="4" max="4" width="8.42578125" style="3" customWidth="1"/>
    <col min="5" max="5" width="76.28515625" style="3" customWidth="1"/>
    <col min="6" max="6" width="11" style="3"/>
    <col min="7" max="7" width="10.7109375" style="3" customWidth="1"/>
    <col min="8" max="8" width="13.85546875" style="3" customWidth="1"/>
    <col min="9" max="9" width="18.5703125" style="3" customWidth="1"/>
    <col min="10" max="10" width="11" style="3"/>
    <col min="11" max="11" width="11.7109375" style="3" bestFit="1" customWidth="1"/>
    <col min="12" max="16384" width="11" style="3"/>
  </cols>
  <sheetData>
    <row r="2" spans="1:9" ht="28.5" x14ac:dyDescent="0.4">
      <c r="B2" s="85" t="s">
        <v>0</v>
      </c>
      <c r="C2" s="85"/>
      <c r="D2" s="85"/>
      <c r="E2" s="85"/>
      <c r="F2" s="85"/>
      <c r="G2" s="85"/>
      <c r="H2" s="85"/>
    </row>
    <row r="4" spans="1:9" ht="18" customHeight="1" x14ac:dyDescent="0.25">
      <c r="A4" s="86" t="s">
        <v>1</v>
      </c>
      <c r="B4" s="86"/>
      <c r="C4" s="87" t="s">
        <v>2</v>
      </c>
      <c r="D4" s="87"/>
      <c r="E4" s="87"/>
      <c r="F4" s="12"/>
      <c r="G4" s="13"/>
      <c r="H4" s="12"/>
    </row>
    <row r="5" spans="1:9" ht="27" customHeight="1" x14ac:dyDescent="0.25">
      <c r="A5" s="86" t="s">
        <v>3</v>
      </c>
      <c r="B5" s="86"/>
      <c r="C5" s="88" t="s">
        <v>4</v>
      </c>
      <c r="D5" s="88"/>
      <c r="E5" s="88"/>
      <c r="F5" s="88"/>
      <c r="G5" s="88"/>
      <c r="H5" s="88"/>
      <c r="I5" s="88"/>
    </row>
    <row r="6" spans="1:9" ht="16.5" customHeight="1" x14ac:dyDescent="0.25">
      <c r="A6" s="86" t="s">
        <v>5</v>
      </c>
      <c r="B6" s="86"/>
      <c r="C6" s="21">
        <v>2021</v>
      </c>
      <c r="D6" s="25"/>
      <c r="E6" s="25"/>
      <c r="F6" s="12"/>
      <c r="G6" s="13"/>
      <c r="H6" s="12"/>
    </row>
    <row r="7" spans="1:9" ht="16.5" customHeight="1" x14ac:dyDescent="0.25">
      <c r="A7" s="86" t="s">
        <v>6</v>
      </c>
      <c r="B7" s="86"/>
      <c r="C7" s="21">
        <v>2</v>
      </c>
      <c r="D7" s="25"/>
      <c r="E7" s="25"/>
      <c r="F7" s="12"/>
      <c r="G7" s="13"/>
      <c r="H7" s="12"/>
    </row>
    <row r="8" spans="1:9" ht="14.25" thickBot="1" x14ac:dyDescent="0.3">
      <c r="B8" s="22"/>
      <c r="C8" s="22"/>
      <c r="D8" s="12"/>
      <c r="E8" s="12"/>
      <c r="F8" s="12"/>
      <c r="G8" s="13"/>
      <c r="H8" s="12"/>
    </row>
    <row r="9" spans="1:9" ht="39" thickBot="1" x14ac:dyDescent="0.3">
      <c r="A9" s="77" t="s">
        <v>7</v>
      </c>
      <c r="B9" s="78" t="s">
        <v>8</v>
      </c>
      <c r="C9" s="78" t="s">
        <v>9</v>
      </c>
      <c r="D9" s="79" t="s">
        <v>10</v>
      </c>
      <c r="E9" s="79" t="s">
        <v>11</v>
      </c>
      <c r="F9" s="79" t="s">
        <v>12</v>
      </c>
      <c r="G9" s="79" t="s">
        <v>13</v>
      </c>
      <c r="H9" s="79" t="s">
        <v>14</v>
      </c>
      <c r="I9" s="80" t="s">
        <v>15</v>
      </c>
    </row>
    <row r="10" spans="1:9" ht="28.5" customHeight="1" thickBot="1" x14ac:dyDescent="0.3">
      <c r="A10" s="75">
        <v>1</v>
      </c>
      <c r="B10" s="47" t="s">
        <v>16</v>
      </c>
      <c r="C10" s="82" t="s">
        <v>17</v>
      </c>
      <c r="D10" s="48" t="s">
        <v>18</v>
      </c>
      <c r="E10" s="49" t="s">
        <v>19</v>
      </c>
      <c r="F10" s="50" t="s">
        <v>20</v>
      </c>
      <c r="G10" s="51">
        <v>100</v>
      </c>
      <c r="H10" s="52">
        <v>11805</v>
      </c>
      <c r="I10" s="76">
        <f t="shared" ref="I10:I15" si="0">G10*H10</f>
        <v>1180500</v>
      </c>
    </row>
    <row r="11" spans="1:9" ht="28.5" customHeight="1" thickBot="1" x14ac:dyDescent="0.3">
      <c r="A11" s="14">
        <v>2</v>
      </c>
      <c r="B11" s="47" t="s">
        <v>21</v>
      </c>
      <c r="C11" s="82" t="s">
        <v>17</v>
      </c>
      <c r="D11" s="48" t="s">
        <v>18</v>
      </c>
      <c r="E11" s="49" t="s">
        <v>22</v>
      </c>
      <c r="F11" s="50" t="s">
        <v>20</v>
      </c>
      <c r="G11" s="51">
        <v>100</v>
      </c>
      <c r="H11" s="52">
        <v>19890</v>
      </c>
      <c r="I11" s="15">
        <f t="shared" si="0"/>
        <v>1989000</v>
      </c>
    </row>
    <row r="12" spans="1:9" ht="28.5" customHeight="1" thickBot="1" x14ac:dyDescent="0.3">
      <c r="A12" s="14">
        <v>3</v>
      </c>
      <c r="B12" s="47" t="s">
        <v>23</v>
      </c>
      <c r="C12" s="82" t="s">
        <v>17</v>
      </c>
      <c r="D12" s="48" t="s">
        <v>18</v>
      </c>
      <c r="E12" s="49" t="s">
        <v>24</v>
      </c>
      <c r="F12" s="50" t="s">
        <v>20</v>
      </c>
      <c r="G12" s="51">
        <v>100</v>
      </c>
      <c r="H12" s="52">
        <v>26767.91</v>
      </c>
      <c r="I12" s="15">
        <f t="shared" si="0"/>
        <v>2676791</v>
      </c>
    </row>
    <row r="13" spans="1:9" ht="28.5" customHeight="1" thickBot="1" x14ac:dyDescent="0.3">
      <c r="A13" s="14">
        <v>4</v>
      </c>
      <c r="B13" s="47" t="s">
        <v>25</v>
      </c>
      <c r="C13" s="82" t="s">
        <v>17</v>
      </c>
      <c r="D13" s="48" t="s">
        <v>18</v>
      </c>
      <c r="E13" s="49" t="s">
        <v>26</v>
      </c>
      <c r="F13" s="50" t="s">
        <v>20</v>
      </c>
      <c r="G13" s="51">
        <v>20</v>
      </c>
      <c r="H13" s="52">
        <v>40302.67</v>
      </c>
      <c r="I13" s="15">
        <f t="shared" si="0"/>
        <v>806053.39999999991</v>
      </c>
    </row>
    <row r="14" spans="1:9" ht="28.5" customHeight="1" thickBot="1" x14ac:dyDescent="0.3">
      <c r="A14" s="14">
        <v>5</v>
      </c>
      <c r="B14" s="47" t="s">
        <v>27</v>
      </c>
      <c r="C14" s="82" t="s">
        <v>17</v>
      </c>
      <c r="D14" s="48" t="s">
        <v>18</v>
      </c>
      <c r="E14" s="49" t="s">
        <v>28</v>
      </c>
      <c r="F14" s="50" t="s">
        <v>20</v>
      </c>
      <c r="G14" s="51">
        <v>200</v>
      </c>
      <c r="H14" s="52">
        <v>9090.99</v>
      </c>
      <c r="I14" s="15">
        <f t="shared" si="0"/>
        <v>1818198</v>
      </c>
    </row>
    <row r="15" spans="1:9" ht="28.5" customHeight="1" thickBot="1" x14ac:dyDescent="0.3">
      <c r="A15" s="14">
        <v>6</v>
      </c>
      <c r="B15" s="44" t="s">
        <v>29</v>
      </c>
      <c r="C15" s="23" t="s">
        <v>17</v>
      </c>
      <c r="D15" s="16" t="s">
        <v>18</v>
      </c>
      <c r="E15" s="45" t="s">
        <v>30</v>
      </c>
      <c r="F15" s="17" t="s">
        <v>20</v>
      </c>
      <c r="G15" s="16">
        <v>200</v>
      </c>
      <c r="H15" s="46">
        <v>16380</v>
      </c>
      <c r="I15" s="15">
        <f t="shared" si="0"/>
        <v>3276000</v>
      </c>
    </row>
    <row r="16" spans="1:9" ht="21" customHeight="1" thickBot="1" x14ac:dyDescent="0.3">
      <c r="I16" s="18">
        <f>SUM(I10:I15)</f>
        <v>11746542.4</v>
      </c>
    </row>
    <row r="17" spans="2:9" ht="6" customHeight="1" thickBot="1" x14ac:dyDescent="0.3">
      <c r="I17" s="19"/>
    </row>
    <row r="18" spans="2:9" x14ac:dyDescent="0.25">
      <c r="B18" s="53" t="s">
        <v>31</v>
      </c>
      <c r="C18" s="54"/>
      <c r="D18" s="55"/>
      <c r="E18" s="55"/>
      <c r="F18" s="55"/>
      <c r="G18" s="55"/>
      <c r="H18" s="55"/>
      <c r="I18" s="56"/>
    </row>
    <row r="19" spans="2:9" x14ac:dyDescent="0.25">
      <c r="B19" s="65" t="s">
        <v>32</v>
      </c>
      <c r="C19" s="58"/>
      <c r="D19" s="59"/>
      <c r="E19" s="59"/>
      <c r="F19" s="59"/>
      <c r="G19" s="59"/>
      <c r="H19" s="59"/>
      <c r="I19" s="60"/>
    </row>
    <row r="20" spans="2:9" x14ac:dyDescent="0.25">
      <c r="B20" s="65"/>
      <c r="C20" s="61" t="s">
        <v>33</v>
      </c>
      <c r="D20" s="62" t="s">
        <v>34</v>
      </c>
      <c r="E20" s="63"/>
      <c r="F20" s="59"/>
      <c r="G20" s="59"/>
      <c r="H20" s="59"/>
      <c r="I20" s="60"/>
    </row>
    <row r="21" spans="2:9" x14ac:dyDescent="0.25">
      <c r="B21" s="65"/>
      <c r="C21" s="61"/>
      <c r="D21" s="62"/>
      <c r="E21" s="63"/>
      <c r="F21" s="59"/>
      <c r="G21" s="59"/>
      <c r="H21" s="59"/>
      <c r="I21" s="60"/>
    </row>
    <row r="22" spans="2:9" x14ac:dyDescent="0.25">
      <c r="B22" s="65" t="s">
        <v>35</v>
      </c>
      <c r="C22" s="58"/>
      <c r="D22" s="59"/>
      <c r="E22" s="59"/>
      <c r="F22" s="59"/>
      <c r="G22" s="59"/>
      <c r="H22" s="59"/>
      <c r="I22" s="60"/>
    </row>
    <row r="23" spans="2:9" x14ac:dyDescent="0.25">
      <c r="B23" s="65"/>
      <c r="C23" s="61" t="s">
        <v>33</v>
      </c>
      <c r="D23" s="62" t="s">
        <v>36</v>
      </c>
      <c r="E23" s="63"/>
      <c r="F23" s="59"/>
      <c r="G23" s="59"/>
      <c r="H23" s="59"/>
      <c r="I23" s="60"/>
    </row>
    <row r="24" spans="2:9" x14ac:dyDescent="0.25">
      <c r="B24" s="65"/>
      <c r="C24" s="61"/>
      <c r="D24" s="62"/>
      <c r="E24" s="63"/>
      <c r="F24" s="59"/>
      <c r="G24" s="59"/>
      <c r="H24" s="59"/>
      <c r="I24" s="60"/>
    </row>
    <row r="25" spans="2:9" x14ac:dyDescent="0.25">
      <c r="B25" s="65" t="s">
        <v>37</v>
      </c>
      <c r="C25" s="58"/>
      <c r="D25" s="59"/>
      <c r="E25" s="59"/>
      <c r="F25" s="59"/>
      <c r="G25" s="59"/>
      <c r="H25" s="59"/>
      <c r="I25" s="60"/>
    </row>
    <row r="26" spans="2:9" x14ac:dyDescent="0.25">
      <c r="B26" s="66"/>
      <c r="C26" s="61" t="s">
        <v>33</v>
      </c>
      <c r="D26" s="62" t="s">
        <v>38</v>
      </c>
      <c r="E26" s="63"/>
      <c r="F26" s="59"/>
      <c r="G26" s="59"/>
      <c r="H26" s="59"/>
      <c r="I26" s="60"/>
    </row>
    <row r="27" spans="2:9" x14ac:dyDescent="0.25">
      <c r="B27" s="66"/>
      <c r="C27" s="61"/>
      <c r="D27" s="62"/>
      <c r="E27" s="63"/>
      <c r="F27" s="59"/>
      <c r="G27" s="59"/>
      <c r="H27" s="59"/>
      <c r="I27" s="60"/>
    </row>
    <row r="28" spans="2:9" x14ac:dyDescent="0.25">
      <c r="B28" s="65" t="s">
        <v>39</v>
      </c>
      <c r="C28" s="58"/>
      <c r="D28" s="59"/>
      <c r="E28" s="59"/>
      <c r="F28" s="59"/>
      <c r="G28" s="59"/>
      <c r="H28" s="59"/>
      <c r="I28" s="60"/>
    </row>
    <row r="29" spans="2:9" x14ac:dyDescent="0.25">
      <c r="B29" s="65"/>
      <c r="C29" s="61" t="s">
        <v>33</v>
      </c>
      <c r="D29" s="62" t="s">
        <v>40</v>
      </c>
      <c r="E29" s="63"/>
      <c r="F29" s="59"/>
      <c r="G29" s="59"/>
      <c r="H29" s="59"/>
      <c r="I29" s="60"/>
    </row>
    <row r="30" spans="2:9" x14ac:dyDescent="0.25">
      <c r="B30" s="65" t="s">
        <v>41</v>
      </c>
      <c r="C30" s="58"/>
      <c r="D30" s="59"/>
      <c r="E30" s="59"/>
      <c r="F30" s="59"/>
      <c r="G30" s="59"/>
      <c r="H30" s="59"/>
      <c r="I30" s="60"/>
    </row>
    <row r="31" spans="2:9" x14ac:dyDescent="0.25">
      <c r="B31" s="65"/>
      <c r="C31" s="61" t="s">
        <v>33</v>
      </c>
      <c r="D31" s="62" t="s">
        <v>42</v>
      </c>
      <c r="E31" s="63"/>
      <c r="F31" s="59"/>
      <c r="G31" s="59"/>
      <c r="H31" s="59"/>
      <c r="I31" s="60"/>
    </row>
    <row r="32" spans="2:9" x14ac:dyDescent="0.25">
      <c r="B32" s="66"/>
      <c r="C32" s="61"/>
      <c r="D32" s="62"/>
      <c r="E32" s="63"/>
      <c r="F32" s="59"/>
      <c r="G32" s="59"/>
      <c r="H32" s="59"/>
      <c r="I32" s="60"/>
    </row>
    <row r="33" spans="2:9" x14ac:dyDescent="0.25">
      <c r="B33" s="65" t="s">
        <v>43</v>
      </c>
      <c r="C33" s="58"/>
      <c r="D33" s="59"/>
      <c r="E33" s="59"/>
      <c r="F33" s="59"/>
      <c r="G33" s="59"/>
      <c r="H33" s="59"/>
      <c r="I33" s="60"/>
    </row>
    <row r="34" spans="2:9" x14ac:dyDescent="0.25">
      <c r="B34" s="65"/>
      <c r="C34" s="61" t="s">
        <v>33</v>
      </c>
      <c r="D34" s="64" t="s">
        <v>44</v>
      </c>
      <c r="E34" s="63"/>
      <c r="F34" s="59"/>
      <c r="G34" s="59"/>
      <c r="H34" s="59"/>
      <c r="I34" s="60"/>
    </row>
    <row r="35" spans="2:9" x14ac:dyDescent="0.25">
      <c r="B35" s="65"/>
      <c r="C35" s="61"/>
      <c r="D35" s="62"/>
      <c r="E35" s="63"/>
      <c r="F35" s="59"/>
      <c r="G35" s="59"/>
      <c r="H35" s="59"/>
      <c r="I35" s="60"/>
    </row>
    <row r="36" spans="2:9" x14ac:dyDescent="0.25">
      <c r="B36" s="67" t="s">
        <v>45</v>
      </c>
      <c r="C36" s="58"/>
      <c r="D36" s="59"/>
      <c r="E36" s="68"/>
      <c r="F36" s="59"/>
      <c r="G36" s="59"/>
      <c r="H36" s="59"/>
      <c r="I36" s="60"/>
    </row>
    <row r="37" spans="2:9" ht="119.25" customHeight="1" x14ac:dyDescent="0.25">
      <c r="B37" s="57"/>
      <c r="C37" s="83" t="s">
        <v>46</v>
      </c>
      <c r="D37" s="83"/>
      <c r="E37" s="83"/>
      <c r="F37" s="59"/>
      <c r="G37" s="59"/>
      <c r="H37" s="59"/>
      <c r="I37" s="60"/>
    </row>
    <row r="38" spans="2:9" x14ac:dyDescent="0.25">
      <c r="B38" s="67" t="s">
        <v>47</v>
      </c>
      <c r="C38" s="58"/>
      <c r="D38" s="59"/>
      <c r="E38" s="68"/>
      <c r="F38" s="59"/>
      <c r="G38" s="59"/>
      <c r="H38" s="59"/>
      <c r="I38" s="60"/>
    </row>
    <row r="39" spans="2:9" ht="19.5" customHeight="1" x14ac:dyDescent="0.25">
      <c r="B39" s="57"/>
      <c r="C39" s="83" t="s">
        <v>48</v>
      </c>
      <c r="D39" s="83"/>
      <c r="E39" s="83"/>
      <c r="F39" s="59"/>
      <c r="G39" s="59"/>
      <c r="H39" s="59"/>
      <c r="I39" s="60"/>
    </row>
    <row r="40" spans="2:9" x14ac:dyDescent="0.25">
      <c r="B40" s="67" t="s">
        <v>49</v>
      </c>
      <c r="C40" s="81"/>
      <c r="D40" s="69"/>
      <c r="E40" s="69"/>
      <c r="F40" s="59"/>
      <c r="G40" s="59"/>
      <c r="H40" s="59"/>
      <c r="I40" s="60"/>
    </row>
    <row r="41" spans="2:9" x14ac:dyDescent="0.25">
      <c r="B41" s="57"/>
      <c r="C41" s="84" t="s">
        <v>50</v>
      </c>
      <c r="D41" s="84"/>
      <c r="E41" s="84"/>
      <c r="F41" s="59"/>
      <c r="G41" s="59"/>
      <c r="H41" s="59"/>
      <c r="I41" s="60"/>
    </row>
    <row r="42" spans="2:9" x14ac:dyDescent="0.25">
      <c r="B42" s="67" t="s">
        <v>51</v>
      </c>
      <c r="C42" s="58"/>
      <c r="D42" s="59"/>
      <c r="E42" s="59"/>
      <c r="F42" s="59"/>
      <c r="G42" s="59"/>
      <c r="H42" s="59"/>
      <c r="I42" s="60"/>
    </row>
    <row r="43" spans="2:9" ht="14.25" thickBot="1" x14ac:dyDescent="0.3">
      <c r="B43" s="70"/>
      <c r="C43" s="71" t="s">
        <v>52</v>
      </c>
      <c r="D43" s="72"/>
      <c r="E43" s="72"/>
      <c r="F43" s="72"/>
      <c r="G43" s="72"/>
      <c r="H43" s="72"/>
      <c r="I43" s="73"/>
    </row>
  </sheetData>
  <mergeCells count="10">
    <mergeCell ref="C37:E37"/>
    <mergeCell ref="C39:E39"/>
    <mergeCell ref="C41:E41"/>
    <mergeCell ref="B2:H2"/>
    <mergeCell ref="A4:B4"/>
    <mergeCell ref="C4:E4"/>
    <mergeCell ref="A5:B5"/>
    <mergeCell ref="C5:I5"/>
    <mergeCell ref="A6:B6"/>
    <mergeCell ref="A7:B7"/>
  </mergeCells>
  <pageMargins left="0.7" right="0.234375" top="0.52696078431372551" bottom="0.31862745098039214" header="0.51180555555555496" footer="0.51180555555555496"/>
  <pageSetup paperSize="190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8"/>
  <sheetViews>
    <sheetView topLeftCell="A12" zoomScale="85" zoomScaleNormal="85" workbookViewId="0">
      <selection activeCell="D22" sqref="D22"/>
    </sheetView>
  </sheetViews>
  <sheetFormatPr baseColWidth="10" defaultColWidth="9.140625" defaultRowHeight="13.5" x14ac:dyDescent="0.25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  <col min="1025" max="16384" width="9.140625" style="3"/>
  </cols>
  <sheetData>
    <row r="1" spans="1:11" ht="26.25" customHeight="1" x14ac:dyDescent="0.25">
      <c r="A1" s="89" t="s">
        <v>53</v>
      </c>
      <c r="B1" s="89"/>
      <c r="C1" s="89"/>
      <c r="D1" s="89"/>
      <c r="E1" s="89"/>
      <c r="F1" s="89"/>
      <c r="G1" s="89"/>
      <c r="H1" s="89"/>
      <c r="I1" s="89"/>
      <c r="J1" s="1" t="s">
        <v>54</v>
      </c>
      <c r="K1" s="74" t="s">
        <v>55</v>
      </c>
    </row>
    <row r="2" spans="1:11" ht="18.75" customHeight="1" thickBot="1" x14ac:dyDescent="0.3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3">
      <c r="A3" s="90" t="s">
        <v>56</v>
      </c>
      <c r="B3" s="90"/>
      <c r="C3" s="90"/>
      <c r="D3" s="91" t="str">
        <f>'Necesidades Trimestrales'!C4</f>
        <v>90 - Ministerio de Seguridad</v>
      </c>
      <c r="E3" s="91"/>
      <c r="F3" s="91"/>
      <c r="G3" s="91"/>
      <c r="H3" s="91"/>
      <c r="I3" s="91"/>
      <c r="J3" s="91"/>
      <c r="K3" s="91"/>
    </row>
    <row r="4" spans="1:11" ht="18.75" customHeight="1" thickBot="1" x14ac:dyDescent="0.3">
      <c r="A4" s="92" t="s">
        <v>57</v>
      </c>
      <c r="B4" s="92"/>
      <c r="C4" s="92"/>
      <c r="D4" s="91" t="str">
        <f>'Necesidades Trimestrales'!C5</f>
        <v>7- Dirección Provincial de Administración de la Policía de la Provincia de Catamarca</v>
      </c>
      <c r="E4" s="91"/>
      <c r="F4" s="91"/>
      <c r="G4" s="91"/>
      <c r="H4" s="91"/>
      <c r="I4" s="91"/>
      <c r="J4" s="91"/>
      <c r="K4" s="91"/>
    </row>
    <row r="5" spans="1:11" ht="18.75" customHeight="1" thickBot="1" x14ac:dyDescent="0.3">
      <c r="A5" s="92" t="s">
        <v>58</v>
      </c>
      <c r="B5" s="92"/>
      <c r="C5" s="92"/>
      <c r="D5" s="91" t="s">
        <v>59</v>
      </c>
      <c r="E5" s="91"/>
      <c r="F5" s="91"/>
      <c r="G5" s="91"/>
      <c r="H5" s="91"/>
      <c r="I5" s="91"/>
      <c r="J5" s="91"/>
      <c r="K5" s="91"/>
    </row>
    <row r="6" spans="1:11" ht="16.5" customHeight="1" thickBot="1" x14ac:dyDescent="0.3">
      <c r="A6" s="90" t="s">
        <v>60</v>
      </c>
      <c r="B6" s="90"/>
      <c r="C6" s="90"/>
      <c r="D6" s="91" t="s">
        <v>61</v>
      </c>
      <c r="E6" s="91"/>
      <c r="F6" s="91"/>
      <c r="G6" s="91"/>
      <c r="H6" s="91"/>
      <c r="I6" s="91"/>
      <c r="J6" s="91"/>
      <c r="K6" s="91"/>
    </row>
    <row r="7" spans="1:11" ht="16.5" customHeight="1" x14ac:dyDescent="0.25">
      <c r="A7" s="92" t="s">
        <v>62</v>
      </c>
      <c r="B7" s="92"/>
      <c r="C7" s="92"/>
      <c r="D7" s="91" t="str">
        <f>'Necesidades Trimestrales'!C7 &amp; "° Trimestre - Año " &amp; 'Necesidades Trimestrales'!C6</f>
        <v>2° Trimestre - Año 2021</v>
      </c>
      <c r="E7" s="91"/>
      <c r="F7" s="91"/>
      <c r="G7" s="91"/>
      <c r="H7" s="91"/>
      <c r="I7" s="91"/>
      <c r="J7" s="91"/>
      <c r="K7" s="91"/>
    </row>
    <row r="8" spans="1:11" ht="16.5" customHeight="1" x14ac:dyDescent="0.25">
      <c r="A8" s="93" t="s">
        <v>63</v>
      </c>
      <c r="B8" s="93"/>
      <c r="C8" s="93"/>
      <c r="D8" s="94" t="s">
        <v>64</v>
      </c>
      <c r="E8" s="94"/>
      <c r="F8" s="94"/>
      <c r="G8" s="94"/>
      <c r="H8" s="94"/>
      <c r="I8" s="94"/>
      <c r="J8" s="94"/>
      <c r="K8" s="94"/>
    </row>
    <row r="9" spans="1:11" ht="14.25" thickBot="1" x14ac:dyDescent="0.3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thickBot="1" x14ac:dyDescent="0.3">
      <c r="A10" s="95" t="s">
        <v>65</v>
      </c>
      <c r="B10" s="96" t="s">
        <v>66</v>
      </c>
      <c r="C10" s="96" t="s">
        <v>67</v>
      </c>
      <c r="D10" s="96"/>
      <c r="E10" s="96"/>
      <c r="F10" s="96"/>
      <c r="G10" s="96"/>
      <c r="H10" s="96" t="s">
        <v>68</v>
      </c>
      <c r="I10" s="96" t="s">
        <v>69</v>
      </c>
      <c r="J10" s="96" t="s">
        <v>70</v>
      </c>
      <c r="K10" s="97" t="s">
        <v>71</v>
      </c>
    </row>
    <row r="11" spans="1:11" ht="24" customHeight="1" thickBot="1" x14ac:dyDescent="0.3">
      <c r="A11" s="95"/>
      <c r="B11" s="96"/>
      <c r="C11" s="96"/>
      <c r="D11" s="96"/>
      <c r="E11" s="96"/>
      <c r="F11" s="96"/>
      <c r="G11" s="96"/>
      <c r="H11" s="96"/>
      <c r="I11" s="96"/>
      <c r="J11" s="96"/>
      <c r="K11" s="97"/>
    </row>
    <row r="12" spans="1:11" ht="29.25" customHeight="1" x14ac:dyDescent="0.25">
      <c r="A12" s="8">
        <v>1</v>
      </c>
      <c r="B12" s="9" t="str">
        <f>'Necesidades Trimestrales'!B10</f>
        <v>2.9.6-4978.8166</v>
      </c>
      <c r="C12" s="99" t="str">
        <f>'Necesidades Trimestrales'!E10</f>
        <v>REP. Y ACC. P/AUTOMOTOR; REPUESTO: BATERIA, MARCA: FIAT, MODELO: SIENA</v>
      </c>
      <c r="D12" s="99"/>
      <c r="E12" s="99"/>
      <c r="F12" s="99"/>
      <c r="G12" s="99"/>
      <c r="H12" s="9" t="s">
        <v>72</v>
      </c>
      <c r="I12" s="9" t="str">
        <f>'Necesidades Trimestrales'!F10</f>
        <v>UNIDAD</v>
      </c>
      <c r="J12" s="10">
        <f>'Necesidades Trimestrales'!H10</f>
        <v>11805</v>
      </c>
      <c r="K12" s="11">
        <f>'Necesidades Trimestrales'!G10</f>
        <v>100</v>
      </c>
    </row>
    <row r="13" spans="1:11" ht="29.25" customHeight="1" x14ac:dyDescent="0.25">
      <c r="A13" s="8">
        <v>2</v>
      </c>
      <c r="B13" s="9" t="str">
        <f>'Necesidades Trimestrales'!B11</f>
        <v>2.9.6-9688.229</v>
      </c>
      <c r="C13" s="99" t="str">
        <f>'Necesidades Trimestrales'!E11</f>
        <v>REP. Y ACC. P/CAMIONETAS; MARCA AUTOMOTOR: TOYOTA, MODELO AUTOMOTOR: HILUX, ELEMENTO: BATERIA</v>
      </c>
      <c r="D13" s="99"/>
      <c r="E13" s="99"/>
      <c r="F13" s="99"/>
      <c r="G13" s="99"/>
      <c r="H13" s="9" t="s">
        <v>72</v>
      </c>
      <c r="I13" s="9" t="str">
        <f>'Necesidades Trimestrales'!F11</f>
        <v>UNIDAD</v>
      </c>
      <c r="J13" s="10">
        <f>'Necesidades Trimestrales'!H11</f>
        <v>19890</v>
      </c>
      <c r="K13" s="11">
        <f>'Necesidades Trimestrales'!G11</f>
        <v>100</v>
      </c>
    </row>
    <row r="14" spans="1:11" ht="29.25" customHeight="1" x14ac:dyDescent="0.25">
      <c r="A14" s="8">
        <v>3</v>
      </c>
      <c r="B14" s="9" t="str">
        <f>'Necesidades Trimestrales'!B12</f>
        <v>2.9.6-4978.8976</v>
      </c>
      <c r="C14" s="99" t="str">
        <f>'Necesidades Trimestrales'!E12</f>
        <v>REP. Y ACC. P/AUTOMOTOR; REPUESTO: BATERIA, MARCA: RENAULT, MODELO: MASTER</v>
      </c>
      <c r="D14" s="99"/>
      <c r="E14" s="99"/>
      <c r="F14" s="99"/>
      <c r="G14" s="99"/>
      <c r="H14" s="9" t="s">
        <v>72</v>
      </c>
      <c r="I14" s="9" t="str">
        <f>'Necesidades Trimestrales'!F12</f>
        <v>UNIDAD</v>
      </c>
      <c r="J14" s="10">
        <f>'Necesidades Trimestrales'!H12</f>
        <v>26767.91</v>
      </c>
      <c r="K14" s="11">
        <f>'Necesidades Trimestrales'!G12</f>
        <v>100</v>
      </c>
    </row>
    <row r="15" spans="1:11" ht="29.25" customHeight="1" x14ac:dyDescent="0.25">
      <c r="A15" s="8">
        <v>4</v>
      </c>
      <c r="B15" s="9" t="str">
        <f>'Necesidades Trimestrales'!B13</f>
        <v>2.9.6-9686.1424</v>
      </c>
      <c r="C15" s="99" t="str">
        <f>'Necesidades Trimestrales'!E13</f>
        <v>REP. Y ACC. P/CAMIONES; ELEMENTO: BATERIA, MARCA VEHICULO: VOLKSWAGEN, MODELO VEHICULO: 9150</v>
      </c>
      <c r="D15" s="99"/>
      <c r="E15" s="99"/>
      <c r="F15" s="99"/>
      <c r="G15" s="99"/>
      <c r="H15" s="9" t="s">
        <v>72</v>
      </c>
      <c r="I15" s="9" t="str">
        <f>'Necesidades Trimestrales'!F13</f>
        <v>UNIDAD</v>
      </c>
      <c r="J15" s="10">
        <f>'Necesidades Trimestrales'!H13</f>
        <v>40302.67</v>
      </c>
      <c r="K15" s="11">
        <f>'Necesidades Trimestrales'!G13</f>
        <v>20</v>
      </c>
    </row>
    <row r="16" spans="1:11" ht="29.25" customHeight="1" x14ac:dyDescent="0.25">
      <c r="A16" s="8">
        <v>5</v>
      </c>
      <c r="B16" s="9" t="str">
        <f>'Necesidades Trimestrales'!B14</f>
        <v>2.9.6-3997.459</v>
      </c>
      <c r="C16" s="99" t="str">
        <f>'Necesidades Trimestrales'!E14</f>
        <v>REP. Y ACC. P/MOTOS; REPUESTO: BATERIA, USO: HONDA, MODELO MOTO: XR 250 TORNADO</v>
      </c>
      <c r="D16" s="99"/>
      <c r="E16" s="99"/>
      <c r="F16" s="99"/>
      <c r="G16" s="99"/>
      <c r="H16" s="9" t="s">
        <v>72</v>
      </c>
      <c r="I16" s="9" t="str">
        <f>'Necesidades Trimestrales'!F14</f>
        <v>UNIDAD</v>
      </c>
      <c r="J16" s="10">
        <f>'Necesidades Trimestrales'!H14</f>
        <v>9090.99</v>
      </c>
      <c r="K16" s="11">
        <f>'Necesidades Trimestrales'!G14</f>
        <v>200</v>
      </c>
    </row>
    <row r="17" spans="1:11" ht="29.25" customHeight="1" thickBot="1" x14ac:dyDescent="0.3">
      <c r="A17" s="8">
        <v>6</v>
      </c>
      <c r="B17" s="9" t="str">
        <f>'Necesidades Trimestrales'!B15</f>
        <v>2.9.6-3997.506</v>
      </c>
      <c r="C17" s="99" t="str">
        <f>'Necesidades Trimestrales'!E15</f>
        <v>REP. Y ACC. P/MOTOS; REPUESTO: BATERIA, USO: HONDA, MODELO MOTO: STORM 125 CC</v>
      </c>
      <c r="D17" s="99"/>
      <c r="E17" s="99"/>
      <c r="F17" s="99"/>
      <c r="G17" s="99"/>
      <c r="H17" s="9" t="s">
        <v>72</v>
      </c>
      <c r="I17" s="9" t="str">
        <f>'Necesidades Trimestrales'!F15</f>
        <v>UNIDAD</v>
      </c>
      <c r="J17" s="10">
        <f>'Necesidades Trimestrales'!H15</f>
        <v>16380</v>
      </c>
      <c r="K17" s="11">
        <f>'Necesidades Trimestrales'!G15</f>
        <v>200</v>
      </c>
    </row>
    <row r="18" spans="1:11" ht="20.25" customHeight="1" thickBot="1" x14ac:dyDescent="0.3">
      <c r="A18" s="100" t="s">
        <v>73</v>
      </c>
      <c r="B18" s="100"/>
      <c r="C18" s="100"/>
      <c r="D18" s="100"/>
      <c r="E18" s="100"/>
      <c r="F18" s="100"/>
      <c r="G18" s="100"/>
      <c r="H18" s="100"/>
      <c r="I18" s="100"/>
      <c r="J18" s="98">
        <f>SUMPRODUCT(J12:J17,K12:K17)</f>
        <v>11746542.4</v>
      </c>
      <c r="K18" s="98"/>
    </row>
  </sheetData>
  <mergeCells count="28">
    <mergeCell ref="J18:K18"/>
    <mergeCell ref="C12:G12"/>
    <mergeCell ref="C13:G13"/>
    <mergeCell ref="C14:G14"/>
    <mergeCell ref="C17:G17"/>
    <mergeCell ref="C15:G15"/>
    <mergeCell ref="A18:I18"/>
    <mergeCell ref="C16:G1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"/>
  <sheetViews>
    <sheetView zoomScale="115" zoomScaleNormal="115" workbookViewId="0">
      <selection activeCell="T11" sqref="T11"/>
    </sheetView>
  </sheetViews>
  <sheetFormatPr baseColWidth="10" defaultColWidth="11" defaultRowHeight="13.5" x14ac:dyDescent="0.25"/>
  <cols>
    <col min="1" max="6" width="4.42578125" style="3" customWidth="1"/>
    <col min="7" max="7" width="4.42578125" style="28" customWidth="1"/>
    <col min="8" max="14" width="4.42578125" style="3" customWidth="1"/>
    <col min="15" max="16" width="14.85546875" style="3" customWidth="1"/>
    <col min="17" max="17" width="27.140625" style="3" customWidth="1"/>
    <col min="18" max="16384" width="11" style="3"/>
  </cols>
  <sheetData>
    <row r="1" spans="1:17" ht="15.75" customHeight="1" x14ac:dyDescent="0.25">
      <c r="A1" s="101" t="s">
        <v>5</v>
      </c>
      <c r="B1" s="101"/>
      <c r="C1" s="101"/>
      <c r="D1" s="102">
        <f>'Necesidades Trimestrales'!C6</f>
        <v>2021</v>
      </c>
      <c r="E1" s="102"/>
      <c r="F1" s="26"/>
      <c r="G1" s="26"/>
      <c r="H1" s="27"/>
      <c r="I1" s="27"/>
      <c r="J1" s="27"/>
      <c r="K1" s="27"/>
      <c r="L1" s="27"/>
      <c r="M1" s="27"/>
      <c r="N1" s="27"/>
      <c r="P1" s="103" t="s">
        <v>74</v>
      </c>
      <c r="Q1" s="103"/>
    </row>
    <row r="2" spans="1:17" ht="15.75" customHeight="1" x14ac:dyDescent="0.25">
      <c r="H2" s="27"/>
      <c r="I2" s="27"/>
      <c r="J2" s="27"/>
      <c r="K2" s="27"/>
      <c r="L2" s="27"/>
      <c r="M2" s="27"/>
      <c r="N2" s="27"/>
      <c r="P2" s="103"/>
      <c r="Q2" s="103"/>
    </row>
    <row r="4" spans="1:17" ht="18" customHeight="1" thickBot="1" x14ac:dyDescent="0.35">
      <c r="A4" s="104" t="s">
        <v>75</v>
      </c>
      <c r="B4" s="104"/>
      <c r="C4" s="104"/>
      <c r="D4" s="104"/>
      <c r="E4" s="104"/>
      <c r="F4" s="104"/>
      <c r="G4" s="105" t="str">
        <f>' NotaPedido'!D3</f>
        <v>90 - Ministerio de Seguridad</v>
      </c>
      <c r="H4" s="105"/>
      <c r="I4" s="105"/>
      <c r="J4" s="105"/>
      <c r="K4" s="105"/>
      <c r="L4" s="105"/>
      <c r="M4" s="105"/>
      <c r="N4" s="105"/>
      <c r="O4" s="105"/>
      <c r="P4" s="105"/>
      <c r="Q4" s="105"/>
    </row>
    <row r="5" spans="1:17" ht="18" customHeight="1" thickBot="1" x14ac:dyDescent="0.35">
      <c r="A5" s="106" t="s">
        <v>57</v>
      </c>
      <c r="B5" s="107"/>
      <c r="C5" s="107"/>
      <c r="D5" s="107"/>
      <c r="E5" s="107"/>
      <c r="F5" s="108"/>
      <c r="G5" s="105" t="str">
        <f>' NotaPedido'!D4</f>
        <v>7- Dirección Provincial de Administración de la Policía de la Provincia de Catamarca</v>
      </c>
      <c r="H5" s="105"/>
      <c r="I5" s="105"/>
      <c r="J5" s="105"/>
      <c r="K5" s="105"/>
      <c r="L5" s="105"/>
      <c r="M5" s="105"/>
      <c r="N5" s="105"/>
      <c r="O5" s="105"/>
      <c r="P5" s="105"/>
      <c r="Q5" s="105"/>
    </row>
    <row r="6" spans="1:17" ht="18" customHeight="1" thickBot="1" x14ac:dyDescent="0.35">
      <c r="A6" s="106" t="s">
        <v>58</v>
      </c>
      <c r="B6" s="107"/>
      <c r="C6" s="107"/>
      <c r="D6" s="107"/>
      <c r="E6" s="107"/>
      <c r="F6" s="108"/>
      <c r="G6" s="105" t="str">
        <f>' NotaPedido'!D5</f>
        <v>Jefatura de Policía de la Provincia de Catamarca</v>
      </c>
      <c r="H6" s="105"/>
      <c r="I6" s="105"/>
      <c r="J6" s="105"/>
      <c r="K6" s="105"/>
      <c r="L6" s="105"/>
      <c r="M6" s="105"/>
      <c r="N6" s="105"/>
      <c r="O6" s="105"/>
      <c r="P6" s="105"/>
      <c r="Q6" s="105"/>
    </row>
    <row r="7" spans="1:17" ht="18" customHeight="1" thickBot="1" x14ac:dyDescent="0.35">
      <c r="A7" s="106" t="s">
        <v>60</v>
      </c>
      <c r="B7" s="107"/>
      <c r="C7" s="107"/>
      <c r="D7" s="107"/>
      <c r="E7" s="107"/>
      <c r="F7" s="108"/>
      <c r="G7" s="105" t="str">
        <f>' NotaPedido'!D6</f>
        <v>División Transporte (D-4)</v>
      </c>
      <c r="H7" s="105"/>
      <c r="I7" s="105"/>
      <c r="J7" s="105"/>
      <c r="K7" s="105"/>
      <c r="L7" s="105"/>
      <c r="M7" s="105"/>
      <c r="N7" s="105"/>
      <c r="O7" s="105"/>
      <c r="P7" s="105"/>
      <c r="Q7" s="105"/>
    </row>
    <row r="8" spans="1:17" ht="18" customHeight="1" thickBot="1" x14ac:dyDescent="0.3">
      <c r="A8" s="109" t="s">
        <v>76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</row>
    <row r="9" spans="1:17" ht="18" customHeight="1" x14ac:dyDescent="0.3">
      <c r="A9" s="110" t="s">
        <v>77</v>
      </c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20"/>
      <c r="P9" s="20"/>
      <c r="Q9" s="29"/>
    </row>
    <row r="10" spans="1:17" ht="65.25" customHeight="1" x14ac:dyDescent="0.25">
      <c r="A10" s="111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31/2021,  afectando la erogación resultante a los créditos presupuestarios aprobados a favor de esta Unidad Ejecutora, conforme al siguiente detalle:</v>
      </c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</row>
    <row r="11" spans="1:17" ht="9" customHeight="1" x14ac:dyDescent="0.25">
      <c r="A11" s="30"/>
      <c r="B11" s="31"/>
      <c r="C11" s="31"/>
      <c r="D11" s="31"/>
      <c r="E11" s="31"/>
      <c r="F11" s="31"/>
      <c r="G11" s="32"/>
      <c r="H11" s="31"/>
      <c r="I11" s="31"/>
      <c r="J11" s="31"/>
      <c r="K11" s="31"/>
      <c r="L11" s="31"/>
      <c r="M11" s="31"/>
      <c r="N11" s="31"/>
      <c r="O11" s="31"/>
      <c r="P11" s="31"/>
      <c r="Q11" s="33"/>
    </row>
    <row r="12" spans="1:17" ht="15.75" customHeight="1" x14ac:dyDescent="0.25">
      <c r="A12" s="112" t="s">
        <v>78</v>
      </c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</row>
    <row r="13" spans="1:17" ht="15.75" customHeight="1" x14ac:dyDescent="0.25">
      <c r="A13" s="113" t="s">
        <v>79</v>
      </c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4" t="s">
        <v>80</v>
      </c>
      <c r="P13" s="114"/>
      <c r="Q13" s="115" t="s">
        <v>81</v>
      </c>
    </row>
    <row r="14" spans="1:17" ht="15.75" customHeight="1" x14ac:dyDescent="0.25">
      <c r="A14" s="34" t="s">
        <v>82</v>
      </c>
      <c r="B14" s="35" t="s">
        <v>83</v>
      </c>
      <c r="C14" s="35" t="s">
        <v>84</v>
      </c>
      <c r="D14" s="35" t="s">
        <v>85</v>
      </c>
      <c r="E14" s="35" t="s">
        <v>86</v>
      </c>
      <c r="F14" s="35" t="s">
        <v>87</v>
      </c>
      <c r="G14" s="36" t="s">
        <v>88</v>
      </c>
      <c r="H14" s="35" t="s">
        <v>89</v>
      </c>
      <c r="I14" s="35" t="s">
        <v>90</v>
      </c>
      <c r="J14" s="35" t="s">
        <v>91</v>
      </c>
      <c r="K14" s="35" t="s">
        <v>91</v>
      </c>
      <c r="L14" s="35" t="s">
        <v>92</v>
      </c>
      <c r="M14" s="37" t="s">
        <v>93</v>
      </c>
      <c r="N14" s="38" t="s">
        <v>94</v>
      </c>
      <c r="O14" s="114"/>
      <c r="P14" s="114"/>
      <c r="Q14" s="115"/>
    </row>
    <row r="15" spans="1:17" ht="17.25" customHeight="1" x14ac:dyDescent="0.25">
      <c r="A15" s="39">
        <v>16</v>
      </c>
      <c r="B15" s="40">
        <v>0</v>
      </c>
      <c r="C15" s="40">
        <v>0</v>
      </c>
      <c r="D15" s="40">
        <v>1</v>
      </c>
      <c r="E15" s="40">
        <v>0</v>
      </c>
      <c r="F15" s="40">
        <v>10</v>
      </c>
      <c r="G15" s="40">
        <v>2</v>
      </c>
      <c r="H15" s="40">
        <v>1</v>
      </c>
      <c r="I15" s="40">
        <v>2</v>
      </c>
      <c r="J15" s="40">
        <v>9</v>
      </c>
      <c r="K15" s="40">
        <v>6</v>
      </c>
      <c r="L15" s="40">
        <v>0</v>
      </c>
      <c r="M15" s="41">
        <v>1</v>
      </c>
      <c r="N15" s="40" t="s">
        <v>95</v>
      </c>
      <c r="O15" s="116" t="s">
        <v>96</v>
      </c>
      <c r="P15" s="116"/>
      <c r="Q15" s="42">
        <f>'Necesidades Trimestrales'!I16</f>
        <v>11746542.4</v>
      </c>
    </row>
    <row r="16" spans="1:17" ht="28.5" customHeight="1" thickBot="1" x14ac:dyDescent="0.3">
      <c r="A16" s="122" t="s">
        <v>97</v>
      </c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43">
        <f>SUM(Q15:Q15)</f>
        <v>11746542.4</v>
      </c>
    </row>
    <row r="17" spans="1:17" ht="18" customHeight="1" thickBot="1" x14ac:dyDescent="0.3">
      <c r="A17" s="123"/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</row>
    <row r="18" spans="1:17" ht="17.25" customHeight="1" thickBot="1" x14ac:dyDescent="0.3">
      <c r="A18" s="117" t="s">
        <v>98</v>
      </c>
      <c r="B18" s="118"/>
      <c r="C18" s="118"/>
      <c r="D18" s="118"/>
      <c r="E18" s="118"/>
      <c r="F18" s="119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</row>
    <row r="19" spans="1:17" ht="18" customHeight="1" thickBot="1" x14ac:dyDescent="0.3">
      <c r="A19" s="121" t="str">
        <f>' NotaPedido'!D8</f>
        <v>Adquisición de Repuestos de Automotor destinados a División Transporte (D-4)- Policia de Catamarca</v>
      </c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</row>
    <row r="20" spans="1:17" ht="15" customHeight="1" x14ac:dyDescent="0.25">
      <c r="A20" s="121"/>
      <c r="B20" s="121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</row>
  </sheetData>
  <mergeCells count="24">
    <mergeCell ref="O15:P15"/>
    <mergeCell ref="A18:F18"/>
    <mergeCell ref="G18:Q18"/>
    <mergeCell ref="A19:Q20"/>
    <mergeCell ref="A16:P16"/>
    <mergeCell ref="A17:Q17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COMPRAS</dc:creator>
  <cp:keywords/>
  <dc:description/>
  <cp:lastModifiedBy>COMPRAS</cp:lastModifiedBy>
  <cp:revision>2</cp:revision>
  <dcterms:created xsi:type="dcterms:W3CDTF">2020-07-17T23:44:49Z</dcterms:created>
  <dcterms:modified xsi:type="dcterms:W3CDTF">2021-08-11T12:38:03Z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