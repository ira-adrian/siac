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05" yWindow="-105" windowWidth="19410" windowHeight="11010" tabRatio="500" activeTab="1"/>
  </bookViews>
  <sheets>
    <sheet name="Necesidades Trimestrales" sheetId="1" r:id="rId1"/>
    <sheet name="NotaPedido" sheetId="2" r:id="rId2"/>
    <sheet name="Autor Gastar" sheetId="3" r:id="rId3"/>
  </sheets>
  <definedNames>
    <definedName name="_xlnm.Print_Area" localSheetId="2">'Autor Gastar'!$A$1:$Q$27</definedName>
    <definedName name="_xlnm.Print_Area" localSheetId="1">NotaPedido!$A$1:$K$38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5" i="2" l="1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A26" i="3"/>
  <c r="A10" i="3"/>
  <c r="J17" i="2"/>
  <c r="K16" i="2"/>
  <c r="J16" i="2"/>
  <c r="I16" i="2"/>
  <c r="K15" i="2"/>
  <c r="J15" i="2"/>
  <c r="I15" i="2"/>
  <c r="C15" i="2"/>
  <c r="K14" i="2"/>
  <c r="J14" i="2"/>
  <c r="I14" i="2"/>
  <c r="C14" i="2"/>
  <c r="B14" i="2"/>
  <c r="K13" i="2"/>
  <c r="J13" i="2"/>
  <c r="I13" i="2"/>
  <c r="C13" i="2"/>
  <c r="B13" i="2"/>
  <c r="K12" i="2"/>
  <c r="J12" i="2"/>
  <c r="I12" i="2"/>
  <c r="C12" i="2"/>
  <c r="B12" i="2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J38" i="2" l="1"/>
  <c r="G6" i="3" l="1"/>
  <c r="G7" i="3"/>
  <c r="D3" i="2"/>
  <c r="G4" i="3" s="1"/>
  <c r="D4" i="2"/>
  <c r="G5" i="3" s="1"/>
  <c r="D1" i="3" l="1"/>
  <c r="Q23" i="3"/>
</calcChain>
</file>

<file path=xl/sharedStrings.xml><?xml version="1.0" encoding="utf-8"?>
<sst xmlns="http://schemas.openxmlformats.org/spreadsheetml/2006/main" count="209" uniqueCount="103">
  <si>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</si>
  <si>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</si>
  <si>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</si>
  <si>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</si>
  <si>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</si>
  <si>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</si>
  <si>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</si>
  <si>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</si>
  <si>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</si>
  <si>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</si>
  <si>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</si>
  <si>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</si>
  <si>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</si>
  <si>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</si>
  <si>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Descripción técnica</t>
  </si>
  <si>
    <t>Plazos y lugares de entrega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</si>
  <si>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</si>
  <si>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</si>
  <si>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</si>
  <si>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</si>
  <si>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</si>
  <si>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</si>
  <si>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</si>
  <si>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</si>
  <si>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</si>
  <si>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</si>
  <si>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</si>
  <si>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</si>
  <si>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</si>
  <si>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</si>
  <si>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</si>
  <si>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</si>
  <si>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</si>
  <si>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</si>
  <si>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</si>
  <si>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</si>
  <si>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</si>
  <si>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</si>
  <si>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</si>
  <si>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</si>
  <si>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</si>
  <si>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</si>
  <si>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</si>
  <si>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</si>
  <si>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</si>
  <si>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</si>
  <si>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</si>
  <si>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</si>
  <si>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</si>
  <si>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</si>
  <si>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</si>
  <si>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</si>
  <si>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</si>
  <si>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</si>
  <si>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</si>
  <si>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</si>
  <si>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NO</t>
  </si>
  <si>
    <t>40 - Ministerio de Salud</t>
  </si>
  <si>
    <t>23 - Hospital Interzonal San Juan Bautista</t>
  </si>
  <si>
    <t>168 - Direccion Asistencial</t>
  </si>
  <si>
    <t>Servicio de Farmacia</t>
  </si>
  <si>
    <t xml:space="preserve">45 dias habiles </t>
  </si>
  <si>
    <t>3.1</t>
  </si>
  <si>
    <t>1.1</t>
  </si>
  <si>
    <t>Utiles Menores Med. Quir. y de Lab.</t>
  </si>
  <si>
    <t>014 - 2022</t>
  </si>
  <si>
    <t>HILO DE SUTURA CATGUT CROMICO Nro 2 CON AGUJA CT   1/2 CIRC 40 mm TIPO ETHICON 916  T X UNIDAD</t>
  </si>
  <si>
    <t>HILO DE SUTURA CATGUT CROMICO Nro 2 CON AGUJA CT -1  1/2 CIRC 36.4 mm TIPO ETHICON 814 T  X UNIDAD</t>
  </si>
  <si>
    <t>SUT.ABS.CATGUT  SIMP. 1  SIN AGUJA X 150 CM X UNIDAD</t>
  </si>
  <si>
    <t>SUT.ABS.CATGUT SIMP.  0 SIN AGUJA X 150 CM X UNIDAD</t>
  </si>
  <si>
    <t>SUT.ABS.CATGUT SIMP. 2  SIN AGUJA X 150 CM X UNIDAD</t>
  </si>
  <si>
    <t>SUT.N/ABS.MONONYLON  5/0  TIPO DAFILON BRAUN COD OFTAL. 0936090  X 1 UNID.</t>
  </si>
  <si>
    <t>SUT.N/ABS.MONONYLON 10-0 (OFTAL.)tipo TAGUN CODIGO NN06VZF*X 1 UNID.</t>
  </si>
  <si>
    <t>SUTURA QUIRURGICA ACIDO POLIGLICOLICO Nª 8/0 OFTALMOLOGICO TIPO VICRYL  J 547 G  X UNIDAD</t>
  </si>
  <si>
    <t>SUTURA QUIRURGICA ACIDO POLIGLICOLICO TRENZADA ABSORBIBLE T/VICRYL N°4-0 J 304 H X 1 UNID.</t>
  </si>
  <si>
    <t>SUTURA QUIRURGICA ACIDO POLIGLICOLICO TRENZADA ABSORBIBLE TIPO VIRYL Nº 3-0 CODIGO J316 C / AGUJA</t>
  </si>
  <si>
    <t>SUTURA QUIRURGICA ACIDO POLIGLICOLICO TRENZADA ABSROBIBLE TIPO VICRYL  1  J 353 H x UNIDAD</t>
  </si>
  <si>
    <t>SUTURA QUIRURGICA ACIDO POLIGLICOLICO TRENZADA ABSROBIBLE TIPO VICRYL 2/0 J317H CON AGUJA X UNIDAD</t>
  </si>
  <si>
    <t>SUTURA QUIRURGICA POLIPROPILENO NO ABSORBIBLE TIPO PROLENE 0 CT 8424 X UNIDAD</t>
  </si>
  <si>
    <t>SUTURA QUIRURGICA POLIPROPILENO NO ABSORBIBLE  2/0  CON AGUJA SC-26 3/08 CIRC 19 mm TIPO PROLENE 8185 T CON UNIDAD</t>
  </si>
  <si>
    <t>SUTURA QUIRURGICA POLIPROPILENO NO ABSORBIBLE  2/0  TIPO PROLENE con aguja recta 8423 T POR UNIDAD</t>
  </si>
  <si>
    <t>SUTURA QUIRURGICA POLIPROPILENO NO ABSORBIBLE  3/0 TIPO PROLENE  8622  H Con aguja recta POR UNIDAD</t>
  </si>
  <si>
    <t>SUTURA QUIRURGICA POLIPROPILENO NO ABSORBIBLE 4/0 TIPO PROLENE  8521 T POR UNIDAD</t>
  </si>
  <si>
    <t>SUTURA QUIRURGICA POLIPROPILENO NO ABSORBIBLE TIPO PROLENE 6/0 P8697 T PLASTICA POR UNIDAD</t>
  </si>
  <si>
    <t>2.9.5</t>
  </si>
  <si>
    <t>UNIDAD</t>
  </si>
  <si>
    <t>Especificidades Item N° :</t>
  </si>
  <si>
    <t>Presentar copia certificada de Resolución de Habilitación expedida por la Subsecretaria de Asistencia en Salud  Publica o copia certificada de Certificado de Habilitación de Establecimiento y/o copia certificada de Certificado de Transito Interjurisdiccional emitido por A.N.M.A.T, el que correspondiere conforme a la situación de cada establecimiento cotizante (Laboratorio, Droguería, etc.), en caso de corresponder. Indicar Marca y Numero de Certificado de ANMAT por ítem. VENCIMIENTO DE LOS PRESENTES INSUMOS: UN PLAZO NO MENOR A 12 MESES DE LA FECHA DE RECEPCION</t>
  </si>
  <si>
    <t xml:space="preserve">PLAZO DE MANTENIMIENTO DE LA OFERTA: 45 DIAS HABILES </t>
  </si>
  <si>
    <t xml:space="preserve">PLAZO DE ENTREGA: 15 DIAS HABILES - SERVICIO DE FARMACIA - ADVA. ILLIA Y MARIANO MORENO - DE LUNES A VIERNES DE 08:00 A 11:00 HORAS </t>
  </si>
  <si>
    <t xml:space="preserve">15 dias habiles  - Servicio de Farmacia del HISJB - Avda. Illia y Mariano Moreno de lunes a viernes de 08 a 11 horas </t>
  </si>
  <si>
    <t>Adquisición de Suturas</t>
  </si>
  <si>
    <t>Costo total estimado: DOS MILLONES SETECIENTOS SETENTA Y OCHO MIL TRESCIENTOS NOVENTA Y DOS CON 00/100.---</t>
  </si>
  <si>
    <t>TOTAL DE PESOS: DOS MILLONES SETECIENTOS SETENTA Y OCHO MIL TRESCIENTOS NOVENTA Y DOS CON 00/100.---</t>
  </si>
  <si>
    <t>SUTURA QUIRURGICA ACIDO POLIGLICOLICO TRENZADA ABSORBIBLE TIPO VICRYL Nº 4-0 CODIGO J315 C / AGUJA</t>
  </si>
  <si>
    <t xml:space="preserve">SUTURA QUIRURGICA ACIDO POLIGLICOLICO TRENZADA ABSORBIBLE TIPO VICRYL  1 J 347 H x  UNIDAD </t>
  </si>
  <si>
    <t>SUTURA QUIRURGICA POLIPROPILENO NO ABSORBIBLE TIPO PROLENE 7/0  M 8727 T  POR UNIDAD</t>
  </si>
  <si>
    <t>SUTURA QUIRURGICA ACIDO POLIGLICOLICO TRENZADA ABSORBIBLE TIPO VICRYL 2 J 536 H X UNIDAD</t>
  </si>
  <si>
    <t>SUTURA QUIRURGICA POLIPROPILENO NO ABSORBIBLE TIPO PROLENE 1 CT   8425 H X UNIDAD</t>
  </si>
  <si>
    <t>SUTURA QUIRURGICA POLIPROPILENO NO ABSORBIBLE  3/0  TIPO PROLENE  8822 T AGUJA CURVA POR UNIDAD</t>
  </si>
  <si>
    <t>SUTURA QUIRURGICA ACIDO POLIGLICOLICO ABSORBIBLE 0  TIPO VICRYL J318 H  X UNIDAD</t>
  </si>
  <si>
    <t>SUTURA QUIRURGICA ACIDO POLIGLICOLICO ABSORBIBLE 3/0 TIPO VICRYL J 311 H X UNIDAD</t>
  </si>
  <si>
    <t xml:space="preserve">Un año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</si>
</sst>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_-[$$-2C0A]\ * #,##0.00_-;\-[$$-2C0A]\ * #,##0.00_-;_-[$$-2C0A]\ * &quot;-&quot;??_-;_-@_-"/>
  </numFmts>
  <fonts count="29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9"/>
      <name val="Arial"/>
      <family val="2"/>
    </font>
    <font>
      <sz val="10"/>
      <color rgb="FF000000"/>
      <name val="Arial"/>
      <family val="2"/>
    </font>
    <font>
      <b/>
      <sz val="10"/>
      <name val="Times New Roman"/>
      <family val="1"/>
      <charset val="1"/>
    </font>
    <font>
      <sz val="10"/>
      <color theme="1"/>
      <name val="Arial"/>
      <family val="2"/>
    </font>
    <font>
      <b/>
      <sz val="8"/>
      <name val="Arial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D8D8D8"/>
      </patternFill>
    </fill>
  </fills>
  <borders count="49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6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  <xf numFmtId="0" fontId="25" fillId="0" borderId="0"/>
  </cellStyleXfs>
  <cellXfs count="146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10" xfId="0" applyFont="1" applyBorder="1" applyAlignment="1">
      <alignment horizontal="right" vertical="center"/>
    </xf>
    <xf numFmtId="0" fontId="5" fillId="0" borderId="12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4" fillId="0" borderId="19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0" xfId="0" applyBorder="1"/>
    <xf numFmtId="0" fontId="0" fillId="0" borderId="25" xfId="0" applyBorder="1"/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26" xfId="0" applyBorder="1"/>
    <xf numFmtId="0" fontId="13" fillId="0" borderId="28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29" xfId="0" applyFont="1" applyBorder="1" applyAlignment="1">
      <alignment horizontal="left" vertical="center"/>
    </xf>
    <xf numFmtId="0" fontId="13" fillId="0" borderId="30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166" fontId="0" fillId="0" borderId="34" xfId="3" applyNumberFormat="1" applyFont="1" applyBorder="1" applyAlignment="1" applyProtection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166" fontId="0" fillId="0" borderId="39" xfId="3" applyNumberFormat="1" applyFont="1" applyBorder="1" applyAlignment="1" applyProtection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166" fontId="0" fillId="0" borderId="43" xfId="3" applyNumberFormat="1" applyFont="1" applyBorder="1" applyAlignment="1" applyProtection="1">
      <alignment horizontal="center" vertical="center"/>
    </xf>
    <xf numFmtId="166" fontId="13" fillId="0" borderId="44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22" fillId="0" borderId="2" xfId="0" applyFont="1" applyBorder="1"/>
    <xf numFmtId="0" fontId="15" fillId="0" borderId="3" xfId="0" applyFont="1" applyBorder="1"/>
    <xf numFmtId="0" fontId="15" fillId="0" borderId="4" xfId="0" applyFont="1" applyBorder="1"/>
    <xf numFmtId="0" fontId="15" fillId="0" borderId="5" xfId="0" applyFont="1" applyBorder="1"/>
    <xf numFmtId="0" fontId="15" fillId="0" borderId="0" xfId="0" applyFont="1" applyBorder="1"/>
    <xf numFmtId="0" fontId="15" fillId="0" borderId="6" xfId="0" applyFont="1" applyBorder="1"/>
    <xf numFmtId="0" fontId="22" fillId="0" borderId="5" xfId="0" applyFont="1" applyBorder="1" applyAlignment="1">
      <alignment horizontal="left" indent="3"/>
    </xf>
    <xf numFmtId="0" fontId="15" fillId="0" borderId="5" xfId="0" applyFont="1" applyBorder="1" applyAlignment="1">
      <alignment horizontal="left" indent="3"/>
    </xf>
    <xf numFmtId="0" fontId="15" fillId="0" borderId="0" xfId="0" applyFont="1" applyBorder="1" applyAlignment="1">
      <alignment horizontal="center" wrapText="1"/>
    </xf>
    <xf numFmtId="0" fontId="15" fillId="0" borderId="6" xfId="0" applyFont="1" applyBorder="1" applyAlignment="1">
      <alignment horizontal="center" wrapText="1"/>
    </xf>
    <xf numFmtId="0" fontId="15" fillId="0" borderId="7" xfId="0" applyFont="1" applyBorder="1" applyAlignment="1">
      <alignment horizontal="left" indent="3"/>
    </xf>
    <xf numFmtId="0" fontId="15" fillId="0" borderId="8" xfId="0" applyFont="1" applyBorder="1"/>
    <xf numFmtId="0" fontId="15" fillId="0" borderId="9" xfId="0" applyFont="1" applyBorder="1"/>
    <xf numFmtId="0" fontId="19" fillId="0" borderId="14" xfId="0" applyFont="1" applyBorder="1" applyAlignment="1">
      <alignment horizontal="center" vertical="center" wrapText="1"/>
    </xf>
    <xf numFmtId="0" fontId="23" fillId="4" borderId="0" xfId="0" applyFont="1" applyFill="1" applyAlignment="1">
      <alignment horizontal="left" wrapText="1" indent="1"/>
    </xf>
    <xf numFmtId="0" fontId="19" fillId="5" borderId="0" xfId="0" applyFont="1" applyFill="1" applyAlignment="1">
      <alignment horizontal="left" wrapText="1"/>
    </xf>
    <xf numFmtId="0" fontId="6" fillId="4" borderId="11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left" vertical="center"/>
    </xf>
    <xf numFmtId="0" fontId="4" fillId="4" borderId="19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 wrapText="1"/>
    </xf>
    <xf numFmtId="166" fontId="4" fillId="5" borderId="19" xfId="1" applyNumberFormat="1" applyFont="1" applyFill="1" applyBorder="1" applyAlignment="1" applyProtection="1">
      <alignment horizontal="right" vertical="center" wrapText="1"/>
    </xf>
    <xf numFmtId="3" fontId="4" fillId="5" borderId="19" xfId="0" applyNumberFormat="1" applyFont="1" applyFill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0" fillId="4" borderId="31" xfId="0" applyFont="1" applyFill="1" applyBorder="1" applyAlignment="1">
      <alignment horizontal="center" vertical="center"/>
    </xf>
    <xf numFmtId="0" fontId="0" fillId="4" borderId="32" xfId="0" applyFont="1" applyFill="1" applyBorder="1" applyAlignment="1">
      <alignment horizontal="center" vertical="center"/>
    </xf>
    <xf numFmtId="0" fontId="14" fillId="4" borderId="32" xfId="0" applyFont="1" applyFill="1" applyBorder="1" applyAlignment="1">
      <alignment horizontal="center" vertical="center"/>
    </xf>
    <xf numFmtId="0" fontId="0" fillId="5" borderId="32" xfId="0" applyFont="1" applyFill="1" applyBorder="1" applyAlignment="1">
      <alignment horizontal="center" vertical="center"/>
    </xf>
    <xf numFmtId="0" fontId="0" fillId="4" borderId="33" xfId="0" applyFont="1" applyFill="1" applyBorder="1" applyAlignment="1">
      <alignment horizontal="center" vertical="center"/>
    </xf>
    <xf numFmtId="166" fontId="0" fillId="0" borderId="0" xfId="0" applyNumberFormat="1"/>
    <xf numFmtId="0" fontId="15" fillId="0" borderId="0" xfId="0" applyFont="1" applyAlignment="1"/>
    <xf numFmtId="0" fontId="20" fillId="5" borderId="14" xfId="0" applyFont="1" applyFill="1" applyBorder="1" applyAlignment="1">
      <alignment horizontal="center" vertical="center"/>
    </xf>
    <xf numFmtId="0" fontId="21" fillId="4" borderId="14" xfId="0" applyFont="1" applyFill="1" applyBorder="1" applyAlignment="1">
      <alignment horizontal="center" vertical="center" wrapText="1"/>
    </xf>
    <xf numFmtId="0" fontId="21" fillId="5" borderId="14" xfId="0" applyFont="1" applyFill="1" applyBorder="1" applyAlignment="1">
      <alignment horizontal="left" vertical="center" wrapText="1"/>
    </xf>
    <xf numFmtId="0" fontId="21" fillId="5" borderId="14" xfId="0" applyFont="1" applyFill="1" applyBorder="1" applyAlignment="1">
      <alignment horizontal="center" vertical="center" wrapText="1"/>
    </xf>
    <xf numFmtId="0" fontId="14" fillId="5" borderId="14" xfId="5" applyFont="1" applyFill="1" applyBorder="1" applyAlignment="1">
      <alignment vertical="center" wrapText="1"/>
    </xf>
    <xf numFmtId="0" fontId="14" fillId="5" borderId="14" xfId="0" applyFont="1" applyFill="1" applyBorder="1" applyAlignment="1">
      <alignment horizontal="center" vertical="center" wrapText="1"/>
    </xf>
    <xf numFmtId="0" fontId="26" fillId="5" borderId="14" xfId="0" applyFont="1" applyFill="1" applyBorder="1" applyAlignment="1">
      <alignment horizontal="center" vertical="center"/>
    </xf>
    <xf numFmtId="169" fontId="14" fillId="5" borderId="14" xfId="1" applyNumberFormat="1" applyFill="1" applyBorder="1"/>
    <xf numFmtId="166" fontId="20" fillId="4" borderId="14" xfId="1" applyNumberFormat="1" applyFont="1" applyFill="1" applyBorder="1" applyAlignment="1" applyProtection="1">
      <alignment horizontal="right" vertical="center" wrapText="1"/>
    </xf>
    <xf numFmtId="0" fontId="14" fillId="5" borderId="14" xfId="5" applyFont="1" applyFill="1" applyBorder="1" applyAlignment="1">
      <alignment horizontal="left" vertical="center" wrapText="1"/>
    </xf>
    <xf numFmtId="0" fontId="27" fillId="5" borderId="14" xfId="0" applyFont="1" applyFill="1" applyBorder="1" applyAlignment="1">
      <alignment horizontal="center" vertical="center"/>
    </xf>
    <xf numFmtId="0" fontId="14" fillId="7" borderId="14" xfId="5" applyFont="1" applyFill="1" applyBorder="1" applyAlignment="1">
      <alignment vertical="center"/>
    </xf>
    <xf numFmtId="0" fontId="14" fillId="7" borderId="14" xfId="5" applyFont="1" applyFill="1" applyBorder="1" applyAlignment="1">
      <alignment vertical="center" wrapText="1"/>
    </xf>
    <xf numFmtId="0" fontId="14" fillId="7" borderId="14" xfId="5" applyFont="1" applyFill="1" applyBorder="1" applyAlignment="1">
      <alignment horizontal="left" vertical="center" wrapText="1"/>
    </xf>
    <xf numFmtId="169" fontId="14" fillId="5" borderId="14" xfId="1" applyNumberFormat="1" applyFill="1" applyBorder="1" applyAlignment="1">
      <alignment vertical="center"/>
    </xf>
    <xf numFmtId="0" fontId="15" fillId="3" borderId="6" xfId="0" applyFont="1" applyFill="1" applyBorder="1" applyAlignment="1">
      <alignment horizontal="center" wrapText="1"/>
    </xf>
    <xf numFmtId="0" fontId="15" fillId="3" borderId="6" xfId="0" applyFont="1" applyFill="1" applyBorder="1" applyAlignment="1">
      <alignment horizontal="left" wrapText="1"/>
    </xf>
    <xf numFmtId="0" fontId="15" fillId="3" borderId="6" xfId="0" applyFont="1" applyFill="1" applyBorder="1" applyAlignment="1">
      <alignment horizontal="center"/>
    </xf>
    <xf numFmtId="0" fontId="17" fillId="0" borderId="0" xfId="0" applyFont="1" applyBorder="1" applyAlignment="1">
      <alignment horizontal="left" vertical="center" wrapText="1"/>
    </xf>
    <xf numFmtId="0" fontId="15" fillId="3" borderId="0" xfId="0" applyFont="1" applyFill="1" applyBorder="1" applyAlignment="1">
      <alignment horizontal="left" vertical="center"/>
    </xf>
    <xf numFmtId="0" fontId="15" fillId="3" borderId="6" xfId="0" applyFont="1" applyFill="1" applyBorder="1" applyAlignment="1">
      <alignment horizontal="left" vertical="center"/>
    </xf>
    <xf numFmtId="0" fontId="15" fillId="4" borderId="6" xfId="0" applyFont="1" applyFill="1" applyBorder="1" applyAlignment="1">
      <alignment horizontal="center"/>
    </xf>
    <xf numFmtId="0" fontId="21" fillId="6" borderId="20" xfId="0" applyFont="1" applyFill="1" applyBorder="1" applyAlignment="1">
      <alignment horizontal="center" vertical="center" wrapText="1"/>
    </xf>
    <xf numFmtId="0" fontId="21" fillId="6" borderId="48" xfId="0" applyFont="1" applyFill="1" applyBorder="1" applyAlignment="1">
      <alignment horizontal="center" vertical="center" wrapText="1"/>
    </xf>
    <xf numFmtId="0" fontId="21" fillId="6" borderId="21" xfId="0" applyFont="1" applyFill="1" applyBorder="1" applyAlignment="1">
      <alignment horizontal="center" vertical="center" wrapText="1"/>
    </xf>
    <xf numFmtId="0" fontId="15" fillId="6" borderId="20" xfId="0" applyFont="1" applyFill="1" applyBorder="1" applyAlignment="1">
      <alignment horizontal="center" vertical="center"/>
    </xf>
    <xf numFmtId="0" fontId="15" fillId="6" borderId="48" xfId="0" applyFont="1" applyFill="1" applyBorder="1" applyAlignment="1">
      <alignment horizontal="center" vertical="center"/>
    </xf>
    <xf numFmtId="0" fontId="15" fillId="6" borderId="21" xfId="0" applyFont="1" applyFill="1" applyBorder="1" applyAlignment="1">
      <alignment horizontal="center" vertical="center"/>
    </xf>
    <xf numFmtId="0" fontId="15" fillId="6" borderId="20" xfId="0" applyFont="1" applyFill="1" applyBorder="1" applyAlignment="1">
      <alignment horizontal="center" vertical="center" wrapText="1"/>
    </xf>
    <xf numFmtId="0" fontId="15" fillId="6" borderId="48" xfId="0" applyFont="1" applyFill="1" applyBorder="1" applyAlignment="1">
      <alignment horizontal="center" vertical="center" wrapText="1"/>
    </xf>
    <xf numFmtId="0" fontId="15" fillId="6" borderId="21" xfId="0" applyFont="1" applyFill="1" applyBorder="1" applyAlignment="1">
      <alignment horizontal="center" vertical="center" wrapText="1"/>
    </xf>
    <xf numFmtId="0" fontId="16" fillId="0" borderId="0" xfId="0" applyFont="1" applyBorder="1" applyAlignment="1">
      <alignment horizontal="center"/>
    </xf>
    <xf numFmtId="0" fontId="23" fillId="4" borderId="0" xfId="0" applyFont="1" applyFill="1" applyBorder="1" applyAlignment="1">
      <alignment horizontal="left" wrapText="1" indent="1"/>
    </xf>
    <xf numFmtId="0" fontId="4" fillId="5" borderId="19" xfId="0" applyFont="1" applyFill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 indent="1"/>
    </xf>
    <xf numFmtId="167" fontId="7" fillId="0" borderId="14" xfId="0" applyNumberFormat="1" applyFont="1" applyBorder="1" applyAlignment="1">
      <alignment horizontal="center" vertical="center"/>
    </xf>
    <xf numFmtId="0" fontId="7" fillId="0" borderId="16" xfId="0" applyFont="1" applyBorder="1" applyAlignment="1">
      <alignment horizontal="left" vertical="center"/>
    </xf>
    <xf numFmtId="0" fontId="6" fillId="4" borderId="17" xfId="0" applyFont="1" applyFill="1" applyBorder="1" applyAlignment="1">
      <alignment horizontal="left" vertical="center" wrapText="1" indent="1"/>
    </xf>
    <xf numFmtId="0" fontId="8" fillId="0" borderId="16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7" fillId="0" borderId="13" xfId="0" applyFont="1" applyBorder="1" applyAlignment="1">
      <alignment horizontal="left" vertical="center" wrapText="1"/>
    </xf>
    <xf numFmtId="0" fontId="6" fillId="5" borderId="14" xfId="0" applyFont="1" applyFill="1" applyBorder="1" applyAlignment="1">
      <alignment horizontal="left" vertical="center" wrapText="1" indent="1"/>
    </xf>
    <xf numFmtId="0" fontId="7" fillId="0" borderId="15" xfId="0" applyFont="1" applyBorder="1" applyAlignment="1">
      <alignment horizontal="left" vertical="center" wrapText="1"/>
    </xf>
    <xf numFmtId="0" fontId="9" fillId="0" borderId="20" xfId="0" applyFont="1" applyBorder="1" applyAlignment="1">
      <alignment vertical="center" wrapText="1"/>
    </xf>
    <xf numFmtId="0" fontId="9" fillId="0" borderId="45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11" fillId="0" borderId="27" xfId="0" applyFont="1" applyBorder="1" applyAlignment="1">
      <alignment vertical="center" wrapText="1"/>
    </xf>
    <xf numFmtId="0" fontId="11" fillId="4" borderId="44" xfId="0" applyFont="1" applyFill="1" applyBorder="1" applyAlignment="1">
      <alignment horizontal="left" vertical="center" wrapText="1" indent="1"/>
    </xf>
    <xf numFmtId="0" fontId="0" fillId="0" borderId="38" xfId="0" applyFont="1" applyBorder="1" applyAlignment="1">
      <alignment horizontal="left" vertical="center"/>
    </xf>
    <xf numFmtId="0" fontId="0" fillId="0" borderId="38" xfId="0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0" fontId="28" fillId="0" borderId="44" xfId="0" applyFont="1" applyBorder="1" applyAlignment="1">
      <alignment horizontal="left" vertical="center" wrapText="1"/>
    </xf>
    <xf numFmtId="0" fontId="0" fillId="0" borderId="22" xfId="0" applyBorder="1"/>
    <xf numFmtId="0" fontId="24" fillId="0" borderId="32" xfId="0" applyFont="1" applyBorder="1" applyAlignment="1">
      <alignment horizontal="left" vertical="center" wrapText="1"/>
    </xf>
    <xf numFmtId="0" fontId="24" fillId="0" borderId="38" xfId="0" applyFont="1" applyBorder="1" applyAlignment="1">
      <alignment horizontal="left" vertical="center"/>
    </xf>
    <xf numFmtId="0" fontId="14" fillId="0" borderId="38" xfId="0" applyFont="1" applyBorder="1" applyAlignment="1">
      <alignment horizontal="left" vertical="center"/>
    </xf>
    <xf numFmtId="0" fontId="11" fillId="0" borderId="23" xfId="0" applyFont="1" applyBorder="1"/>
    <xf numFmtId="0" fontId="11" fillId="0" borderId="24" xfId="0" applyFont="1" applyBorder="1" applyAlignment="1">
      <alignment horizontal="left" vertical="center" wrapText="1" indent="1"/>
    </xf>
    <xf numFmtId="0" fontId="13" fillId="0" borderId="22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wrapText="1"/>
    </xf>
    <xf numFmtId="0" fontId="4" fillId="0" borderId="46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left" vertical="center" wrapText="1"/>
    </xf>
    <xf numFmtId="0" fontId="11" fillId="0" borderId="11" xfId="0" applyFont="1" applyBorder="1" applyAlignment="1">
      <alignment horizontal="left" indent="1"/>
    </xf>
    <xf numFmtId="0" fontId="12" fillId="0" borderId="11" xfId="0" applyFont="1" applyBorder="1" applyAlignment="1">
      <alignment horizontal="left"/>
    </xf>
    <xf numFmtId="0" fontId="0" fillId="0" borderId="20" xfId="0" applyFont="1" applyBorder="1" applyAlignment="1">
      <alignment horizontal="center"/>
    </xf>
    <xf numFmtId="3" fontId="9" fillId="0" borderId="21" xfId="0" applyNumberFormat="1" applyFont="1" applyBorder="1" applyAlignment="1">
      <alignment horizontal="center"/>
    </xf>
    <xf numFmtId="0" fontId="10" fillId="0" borderId="11" xfId="0" applyFont="1" applyBorder="1" applyAlignment="1">
      <alignment horizontal="center" vertical="center" wrapText="1"/>
    </xf>
    <xf numFmtId="0" fontId="2" fillId="0" borderId="11" xfId="0" applyFont="1" applyBorder="1"/>
  </cellXfs>
  <cellStyles count="6">
    <cellStyle name="Encabezado 1" xfId="2"/>
    <cellStyle name="Moneda" xfId="1" builtinId="4"/>
    <cellStyle name="Moneda_AUTORIZACION Y NOTA DE PEDIDO" xfId="3"/>
    <cellStyle name="Neutral 1" xfId="4"/>
    <cellStyle name="Normal" xfId="0" builtinId="0"/>
    <cellStyle name="Normal 2" xf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54"/>
  <sheetViews>
    <sheetView zoomScale="85" zoomScaleNormal="85" workbookViewId="0">
      <selection activeCell="L16" sqref="L16"/>
    </sheetView>
  </sheetViews>
  <sheetFormatPr baseColWidth="10" defaultColWidth="11" defaultRowHeight="12.75" x14ac:dyDescent="0.2"/>
  <cols>
    <col min="1" max="1" width="4.5703125" style="39" customWidth="1"/>
    <col min="2" max="2" width="12.85546875" style="39" customWidth="1"/>
    <col min="3" max="3" width="32.42578125" style="39" customWidth="1"/>
    <col min="4" max="4" width="8.42578125" style="39" customWidth="1"/>
    <col min="5" max="5" width="79" style="39" customWidth="1"/>
    <col min="6" max="6" width="11" style="39"/>
    <col min="7" max="7" width="12.7109375" style="39" customWidth="1"/>
    <col min="8" max="8" width="13.85546875" style="39" customWidth="1"/>
    <col min="9" max="9" width="18.5703125" style="39" customWidth="1"/>
    <col min="10" max="16384" width="11" style="39"/>
  </cols>
  <sheetData>
    <row r="2" spans="1:9" ht="27" x14ac:dyDescent="0.35">
      <c r="B2" s="104" t="s">
        <v>0</v>
      </c>
      <c r="C2" s="104"/>
      <c r="D2" s="104"/>
      <c r="E2" s="104"/>
      <c r="F2" s="104"/>
      <c r="G2" s="104"/>
      <c r="H2" s="104"/>
    </row>
    <row r="4" spans="1:9" ht="18" customHeight="1" x14ac:dyDescent="0.25">
      <c r="A4" s="91" t="s">
        <v>1</v>
      </c>
      <c r="B4" s="91"/>
      <c r="C4" s="105" t="s">
        <v>57</v>
      </c>
      <c r="D4" s="105"/>
      <c r="E4" s="105"/>
      <c r="F4" s="40"/>
      <c r="G4" s="41"/>
      <c r="H4" s="40"/>
    </row>
    <row r="5" spans="1:9" ht="18" customHeight="1" x14ac:dyDescent="0.25">
      <c r="A5" s="91" t="s">
        <v>2</v>
      </c>
      <c r="B5" s="91"/>
      <c r="C5" s="105" t="s">
        <v>58</v>
      </c>
      <c r="D5" s="105"/>
      <c r="E5" s="105"/>
      <c r="F5" s="40"/>
      <c r="G5" s="41"/>
      <c r="H5" s="40"/>
    </row>
    <row r="6" spans="1:9" ht="16.5" customHeight="1" x14ac:dyDescent="0.25">
      <c r="A6" s="91" t="s">
        <v>3</v>
      </c>
      <c r="B6" s="91"/>
      <c r="C6" s="56">
        <v>2022</v>
      </c>
      <c r="D6" s="57"/>
      <c r="E6" s="57"/>
      <c r="F6" s="40"/>
      <c r="G6" s="41"/>
      <c r="H6" s="40"/>
    </row>
    <row r="7" spans="1:9" ht="16.5" customHeight="1" x14ac:dyDescent="0.25">
      <c r="A7" s="91" t="s">
        <v>4</v>
      </c>
      <c r="B7" s="91"/>
      <c r="C7" s="56">
        <v>1</v>
      </c>
      <c r="D7" s="57"/>
      <c r="E7" s="57"/>
      <c r="F7" s="40"/>
      <c r="G7" s="41"/>
      <c r="H7" s="40"/>
    </row>
    <row r="8" spans="1:9" ht="13.5" thickBot="1" x14ac:dyDescent="0.25">
      <c r="B8" s="40"/>
      <c r="C8" s="41"/>
      <c r="D8" s="40"/>
      <c r="E8" s="40"/>
      <c r="F8" s="40"/>
      <c r="G8" s="41"/>
      <c r="H8" s="40"/>
    </row>
    <row r="9" spans="1:9" ht="39" thickBot="1" x14ac:dyDescent="0.25">
      <c r="A9" s="55" t="s">
        <v>5</v>
      </c>
      <c r="B9" s="55" t="s">
        <v>6</v>
      </c>
      <c r="C9" s="55" t="s">
        <v>7</v>
      </c>
      <c r="D9" s="55" t="s">
        <v>8</v>
      </c>
      <c r="E9" s="55" t="s">
        <v>9</v>
      </c>
      <c r="F9" s="55" t="s">
        <v>10</v>
      </c>
      <c r="G9" s="55" t="s">
        <v>11</v>
      </c>
      <c r="H9" s="55" t="s">
        <v>12</v>
      </c>
      <c r="I9" s="55" t="s">
        <v>13</v>
      </c>
    </row>
    <row r="10" spans="1:9" ht="35.25" customHeight="1" thickBot="1" x14ac:dyDescent="0.25">
      <c r="A10" s="73">
        <v>1</v>
      </c>
      <c r="B10" s="74"/>
      <c r="C10" s="75" t="s">
        <v>64</v>
      </c>
      <c r="D10" s="76" t="s">
        <v>84</v>
      </c>
      <c r="E10" s="77" t="s">
        <v>66</v>
      </c>
      <c r="F10" s="78" t="s">
        <v>85</v>
      </c>
      <c r="G10" s="79">
        <v>144</v>
      </c>
      <c r="H10" s="80">
        <v>345</v>
      </c>
      <c r="I10" s="81">
        <f t="shared" ref="I10:I35" si="0">G10*H10</f>
        <v>49680</v>
      </c>
    </row>
    <row r="11" spans="1:9" ht="36" customHeight="1" thickBot="1" x14ac:dyDescent="0.25">
      <c r="A11" s="73">
        <v>2</v>
      </c>
      <c r="B11" s="74"/>
      <c r="C11" s="75" t="s">
        <v>64</v>
      </c>
      <c r="D11" s="76" t="s">
        <v>84</v>
      </c>
      <c r="E11" s="77" t="s">
        <v>67</v>
      </c>
      <c r="F11" s="78" t="s">
        <v>85</v>
      </c>
      <c r="G11" s="79">
        <v>144</v>
      </c>
      <c r="H11" s="80">
        <v>345</v>
      </c>
      <c r="I11" s="81">
        <f t="shared" si="0"/>
        <v>49680</v>
      </c>
    </row>
    <row r="12" spans="1:9" ht="31.9" customHeight="1" thickBot="1" x14ac:dyDescent="0.25">
      <c r="A12" s="73">
        <v>3</v>
      </c>
      <c r="B12" s="74"/>
      <c r="C12" s="75" t="s">
        <v>64</v>
      </c>
      <c r="D12" s="76" t="s">
        <v>84</v>
      </c>
      <c r="E12" s="82" t="s">
        <v>68</v>
      </c>
      <c r="F12" s="78" t="s">
        <v>85</v>
      </c>
      <c r="G12" s="83">
        <v>48</v>
      </c>
      <c r="H12" s="80">
        <v>340</v>
      </c>
      <c r="I12" s="81">
        <f t="shared" si="0"/>
        <v>16320</v>
      </c>
    </row>
    <row r="13" spans="1:9" ht="31.9" customHeight="1" thickBot="1" x14ac:dyDescent="0.25">
      <c r="A13" s="73">
        <v>4</v>
      </c>
      <c r="B13" s="74"/>
      <c r="C13" s="75" t="s">
        <v>64</v>
      </c>
      <c r="D13" s="76" t="s">
        <v>84</v>
      </c>
      <c r="E13" s="82" t="s">
        <v>69</v>
      </c>
      <c r="F13" s="78" t="s">
        <v>85</v>
      </c>
      <c r="G13" s="79">
        <v>48</v>
      </c>
      <c r="H13" s="80">
        <v>340</v>
      </c>
      <c r="I13" s="81">
        <f t="shared" si="0"/>
        <v>16320</v>
      </c>
    </row>
    <row r="14" spans="1:9" ht="31.9" customHeight="1" thickBot="1" x14ac:dyDescent="0.25">
      <c r="A14" s="73">
        <v>5</v>
      </c>
      <c r="B14" s="74"/>
      <c r="C14" s="75" t="s">
        <v>64</v>
      </c>
      <c r="D14" s="76" t="s">
        <v>84</v>
      </c>
      <c r="E14" s="82" t="s">
        <v>70</v>
      </c>
      <c r="F14" s="78" t="s">
        <v>85</v>
      </c>
      <c r="G14" s="79">
        <v>72</v>
      </c>
      <c r="H14" s="80">
        <v>340</v>
      </c>
      <c r="I14" s="81">
        <f t="shared" si="0"/>
        <v>24480</v>
      </c>
    </row>
    <row r="15" spans="1:9" ht="31.9" customHeight="1" thickBot="1" x14ac:dyDescent="0.25">
      <c r="A15" s="73">
        <v>6</v>
      </c>
      <c r="B15" s="74"/>
      <c r="C15" s="75" t="s">
        <v>64</v>
      </c>
      <c r="D15" s="76" t="s">
        <v>84</v>
      </c>
      <c r="E15" s="77" t="s">
        <v>71</v>
      </c>
      <c r="F15" s="78" t="s">
        <v>85</v>
      </c>
      <c r="G15" s="79">
        <v>48</v>
      </c>
      <c r="H15" s="80">
        <v>245</v>
      </c>
      <c r="I15" s="81">
        <f t="shared" si="0"/>
        <v>11760</v>
      </c>
    </row>
    <row r="16" spans="1:9" ht="31.9" customHeight="1" thickBot="1" x14ac:dyDescent="0.25">
      <c r="A16" s="73">
        <v>7</v>
      </c>
      <c r="B16" s="74"/>
      <c r="C16" s="75" t="s">
        <v>64</v>
      </c>
      <c r="D16" s="76" t="s">
        <v>84</v>
      </c>
      <c r="E16" s="84" t="s">
        <v>72</v>
      </c>
      <c r="F16" s="78" t="s">
        <v>85</v>
      </c>
      <c r="G16" s="79">
        <v>48</v>
      </c>
      <c r="H16" s="80">
        <v>245</v>
      </c>
      <c r="I16" s="81">
        <f t="shared" si="0"/>
        <v>11760</v>
      </c>
    </row>
    <row r="17" spans="1:9" ht="39.75" customHeight="1" thickBot="1" x14ac:dyDescent="0.25">
      <c r="A17" s="73">
        <v>8</v>
      </c>
      <c r="B17" s="74"/>
      <c r="C17" s="75" t="s">
        <v>64</v>
      </c>
      <c r="D17" s="76" t="s">
        <v>84</v>
      </c>
      <c r="E17" s="82" t="s">
        <v>73</v>
      </c>
      <c r="F17" s="78" t="s">
        <v>85</v>
      </c>
      <c r="G17" s="79">
        <v>48</v>
      </c>
      <c r="H17" s="80">
        <v>445</v>
      </c>
      <c r="I17" s="81">
        <f t="shared" si="0"/>
        <v>21360</v>
      </c>
    </row>
    <row r="18" spans="1:9" ht="37.5" customHeight="1" thickBot="1" x14ac:dyDescent="0.25">
      <c r="A18" s="73">
        <v>9</v>
      </c>
      <c r="B18" s="74"/>
      <c r="C18" s="75" t="s">
        <v>64</v>
      </c>
      <c r="D18" s="76" t="s">
        <v>84</v>
      </c>
      <c r="E18" s="85" t="s">
        <v>74</v>
      </c>
      <c r="F18" s="78" t="s">
        <v>85</v>
      </c>
      <c r="G18" s="79">
        <v>144</v>
      </c>
      <c r="H18" s="80">
        <v>280</v>
      </c>
      <c r="I18" s="81">
        <f t="shared" si="0"/>
        <v>40320</v>
      </c>
    </row>
    <row r="19" spans="1:9" ht="37.5" customHeight="1" thickBot="1" x14ac:dyDescent="0.25">
      <c r="A19" s="73">
        <v>10</v>
      </c>
      <c r="B19" s="74"/>
      <c r="C19" s="75" t="s">
        <v>64</v>
      </c>
      <c r="D19" s="76" t="s">
        <v>84</v>
      </c>
      <c r="E19" s="85" t="s">
        <v>75</v>
      </c>
      <c r="F19" s="78" t="s">
        <v>85</v>
      </c>
      <c r="G19" s="79">
        <v>192</v>
      </c>
      <c r="H19" s="80">
        <v>280</v>
      </c>
      <c r="I19" s="81">
        <f t="shared" si="0"/>
        <v>53760</v>
      </c>
    </row>
    <row r="20" spans="1:9" ht="36.75" customHeight="1" thickBot="1" x14ac:dyDescent="0.25">
      <c r="A20" s="73">
        <v>11</v>
      </c>
      <c r="B20" s="74"/>
      <c r="C20" s="75" t="s">
        <v>64</v>
      </c>
      <c r="D20" s="76" t="s">
        <v>84</v>
      </c>
      <c r="E20" s="85" t="s">
        <v>94</v>
      </c>
      <c r="F20" s="78" t="s">
        <v>85</v>
      </c>
      <c r="G20" s="79">
        <v>144</v>
      </c>
      <c r="H20" s="80">
        <v>280</v>
      </c>
      <c r="I20" s="81">
        <f t="shared" si="0"/>
        <v>40320</v>
      </c>
    </row>
    <row r="21" spans="1:9" ht="39.75" customHeight="1" thickBot="1" x14ac:dyDescent="0.25">
      <c r="A21" s="73">
        <v>12</v>
      </c>
      <c r="B21" s="74"/>
      <c r="C21" s="75" t="s">
        <v>64</v>
      </c>
      <c r="D21" s="76" t="s">
        <v>84</v>
      </c>
      <c r="E21" s="86" t="s">
        <v>76</v>
      </c>
      <c r="F21" s="78" t="s">
        <v>85</v>
      </c>
      <c r="G21" s="79">
        <v>144</v>
      </c>
      <c r="H21" s="80">
        <v>235</v>
      </c>
      <c r="I21" s="81">
        <f t="shared" si="0"/>
        <v>33840</v>
      </c>
    </row>
    <row r="22" spans="1:9" ht="38.25" customHeight="1" thickBot="1" x14ac:dyDescent="0.25">
      <c r="A22" s="73">
        <v>13</v>
      </c>
      <c r="B22" s="74"/>
      <c r="C22" s="75" t="s">
        <v>64</v>
      </c>
      <c r="D22" s="76" t="s">
        <v>84</v>
      </c>
      <c r="E22" s="86" t="s">
        <v>95</v>
      </c>
      <c r="F22" s="78" t="s">
        <v>85</v>
      </c>
      <c r="G22" s="79">
        <v>188</v>
      </c>
      <c r="H22" s="80">
        <v>235</v>
      </c>
      <c r="I22" s="81">
        <f t="shared" si="0"/>
        <v>44180</v>
      </c>
    </row>
    <row r="23" spans="1:9" ht="40.5" customHeight="1" thickBot="1" x14ac:dyDescent="0.25">
      <c r="A23" s="73">
        <v>14</v>
      </c>
      <c r="B23" s="74"/>
      <c r="C23" s="75" t="s">
        <v>64</v>
      </c>
      <c r="D23" s="76" t="s">
        <v>84</v>
      </c>
      <c r="E23" s="85" t="s">
        <v>97</v>
      </c>
      <c r="F23" s="78" t="s">
        <v>85</v>
      </c>
      <c r="G23" s="79">
        <v>720</v>
      </c>
      <c r="H23" s="80">
        <v>444</v>
      </c>
      <c r="I23" s="81">
        <f t="shared" si="0"/>
        <v>319680</v>
      </c>
    </row>
    <row r="24" spans="1:9" ht="39.75" customHeight="1" thickBot="1" x14ac:dyDescent="0.25">
      <c r="A24" s="73">
        <v>15</v>
      </c>
      <c r="B24" s="74"/>
      <c r="C24" s="75" t="s">
        <v>64</v>
      </c>
      <c r="D24" s="76" t="s">
        <v>84</v>
      </c>
      <c r="E24" s="85" t="s">
        <v>77</v>
      </c>
      <c r="F24" s="78" t="s">
        <v>85</v>
      </c>
      <c r="G24" s="79">
        <v>480</v>
      </c>
      <c r="H24" s="80">
        <v>289</v>
      </c>
      <c r="I24" s="81">
        <f t="shared" si="0"/>
        <v>138720</v>
      </c>
    </row>
    <row r="25" spans="1:9" ht="39.75" customHeight="1" thickBot="1" x14ac:dyDescent="0.25">
      <c r="A25" s="73">
        <v>16</v>
      </c>
      <c r="B25" s="74"/>
      <c r="C25" s="75" t="s">
        <v>64</v>
      </c>
      <c r="D25" s="76" t="s">
        <v>84</v>
      </c>
      <c r="E25" s="82" t="s">
        <v>100</v>
      </c>
      <c r="F25" s="78" t="s">
        <v>85</v>
      </c>
      <c r="G25" s="79">
        <v>288</v>
      </c>
      <c r="H25" s="87">
        <v>235</v>
      </c>
      <c r="I25" s="81">
        <f t="shared" si="0"/>
        <v>67680</v>
      </c>
    </row>
    <row r="26" spans="1:9" ht="40.5" customHeight="1" thickBot="1" x14ac:dyDescent="0.25">
      <c r="A26" s="73">
        <v>17</v>
      </c>
      <c r="B26" s="74"/>
      <c r="C26" s="75" t="s">
        <v>64</v>
      </c>
      <c r="D26" s="76" t="s">
        <v>84</v>
      </c>
      <c r="E26" s="82" t="s">
        <v>101</v>
      </c>
      <c r="F26" s="78" t="s">
        <v>85</v>
      </c>
      <c r="G26" s="79">
        <v>480</v>
      </c>
      <c r="H26" s="80">
        <v>285</v>
      </c>
      <c r="I26" s="81">
        <f t="shared" si="0"/>
        <v>136800</v>
      </c>
    </row>
    <row r="27" spans="1:9" ht="38.25" customHeight="1" thickBot="1" x14ac:dyDescent="0.25">
      <c r="A27" s="73">
        <v>18</v>
      </c>
      <c r="B27" s="74"/>
      <c r="C27" s="75" t="s">
        <v>64</v>
      </c>
      <c r="D27" s="76" t="s">
        <v>84</v>
      </c>
      <c r="E27" s="84" t="s">
        <v>78</v>
      </c>
      <c r="F27" s="78" t="s">
        <v>85</v>
      </c>
      <c r="G27" s="79">
        <v>480</v>
      </c>
      <c r="H27" s="80">
        <v>780</v>
      </c>
      <c r="I27" s="81">
        <f t="shared" si="0"/>
        <v>374400</v>
      </c>
    </row>
    <row r="28" spans="1:9" ht="35.25" customHeight="1" thickBot="1" x14ac:dyDescent="0.25">
      <c r="A28" s="73">
        <v>19</v>
      </c>
      <c r="B28" s="74"/>
      <c r="C28" s="75" t="s">
        <v>64</v>
      </c>
      <c r="D28" s="76" t="s">
        <v>84</v>
      </c>
      <c r="E28" s="86" t="s">
        <v>98</v>
      </c>
      <c r="F28" s="78" t="s">
        <v>85</v>
      </c>
      <c r="G28" s="79">
        <v>300</v>
      </c>
      <c r="H28" s="80">
        <v>765</v>
      </c>
      <c r="I28" s="81">
        <f t="shared" si="0"/>
        <v>229500</v>
      </c>
    </row>
    <row r="29" spans="1:9" ht="31.9" customHeight="1" thickBot="1" x14ac:dyDescent="0.25">
      <c r="A29" s="73">
        <v>20</v>
      </c>
      <c r="B29" s="74"/>
      <c r="C29" s="75" t="s">
        <v>64</v>
      </c>
      <c r="D29" s="76" t="s">
        <v>84</v>
      </c>
      <c r="E29" s="85" t="s">
        <v>79</v>
      </c>
      <c r="F29" s="78" t="s">
        <v>85</v>
      </c>
      <c r="G29" s="79">
        <v>96</v>
      </c>
      <c r="H29" s="80">
        <v>782</v>
      </c>
      <c r="I29" s="81">
        <f t="shared" si="0"/>
        <v>75072</v>
      </c>
    </row>
    <row r="30" spans="1:9" ht="31.9" customHeight="1" thickBot="1" x14ac:dyDescent="0.25">
      <c r="A30" s="73">
        <v>21</v>
      </c>
      <c r="B30" s="74"/>
      <c r="C30" s="75" t="s">
        <v>64</v>
      </c>
      <c r="D30" s="76" t="s">
        <v>84</v>
      </c>
      <c r="E30" s="82" t="s">
        <v>80</v>
      </c>
      <c r="F30" s="78" t="s">
        <v>85</v>
      </c>
      <c r="G30" s="79">
        <v>48</v>
      </c>
      <c r="H30" s="80">
        <v>782</v>
      </c>
      <c r="I30" s="81">
        <f t="shared" si="0"/>
        <v>37536</v>
      </c>
    </row>
    <row r="31" spans="1:9" ht="31.9" customHeight="1" thickBot="1" x14ac:dyDescent="0.25">
      <c r="A31" s="73">
        <v>22</v>
      </c>
      <c r="B31" s="74"/>
      <c r="C31" s="75" t="s">
        <v>64</v>
      </c>
      <c r="D31" s="76" t="s">
        <v>84</v>
      </c>
      <c r="E31" s="86" t="s">
        <v>81</v>
      </c>
      <c r="F31" s="78" t="s">
        <v>85</v>
      </c>
      <c r="G31" s="79">
        <v>420</v>
      </c>
      <c r="H31" s="80">
        <v>782</v>
      </c>
      <c r="I31" s="81">
        <f t="shared" si="0"/>
        <v>328440</v>
      </c>
    </row>
    <row r="32" spans="1:9" ht="31.9" customHeight="1" thickBot="1" x14ac:dyDescent="0.25">
      <c r="A32" s="73">
        <v>23</v>
      </c>
      <c r="B32" s="74"/>
      <c r="C32" s="75" t="s">
        <v>64</v>
      </c>
      <c r="D32" s="76" t="s">
        <v>84</v>
      </c>
      <c r="E32" s="85" t="s">
        <v>99</v>
      </c>
      <c r="F32" s="78" t="s">
        <v>85</v>
      </c>
      <c r="G32" s="79">
        <v>360</v>
      </c>
      <c r="H32" s="80">
        <v>782</v>
      </c>
      <c r="I32" s="81">
        <f t="shared" si="0"/>
        <v>281520</v>
      </c>
    </row>
    <row r="33" spans="1:9" ht="31.9" customHeight="1" thickBot="1" x14ac:dyDescent="0.25">
      <c r="A33" s="73">
        <v>24</v>
      </c>
      <c r="B33" s="74"/>
      <c r="C33" s="75" t="s">
        <v>64</v>
      </c>
      <c r="D33" s="76" t="s">
        <v>84</v>
      </c>
      <c r="E33" s="86" t="s">
        <v>82</v>
      </c>
      <c r="F33" s="78" t="s">
        <v>85</v>
      </c>
      <c r="G33" s="79">
        <v>192</v>
      </c>
      <c r="H33" s="80">
        <v>782</v>
      </c>
      <c r="I33" s="81">
        <f t="shared" si="0"/>
        <v>150144</v>
      </c>
    </row>
    <row r="34" spans="1:9" ht="31.9" customHeight="1" thickBot="1" x14ac:dyDescent="0.25">
      <c r="A34" s="73">
        <v>25</v>
      </c>
      <c r="B34" s="74"/>
      <c r="C34" s="75" t="s">
        <v>64</v>
      </c>
      <c r="D34" s="76" t="s">
        <v>84</v>
      </c>
      <c r="E34" s="86" t="s">
        <v>83</v>
      </c>
      <c r="F34" s="78" t="s">
        <v>85</v>
      </c>
      <c r="G34" s="79">
        <v>192</v>
      </c>
      <c r="H34" s="80">
        <v>780</v>
      </c>
      <c r="I34" s="81">
        <f t="shared" si="0"/>
        <v>149760</v>
      </c>
    </row>
    <row r="35" spans="1:9" ht="38.25" customHeight="1" thickBot="1" x14ac:dyDescent="0.25">
      <c r="A35" s="73">
        <v>26</v>
      </c>
      <c r="B35" s="74"/>
      <c r="C35" s="75" t="s">
        <v>64</v>
      </c>
      <c r="D35" s="76" t="s">
        <v>84</v>
      </c>
      <c r="E35" s="86" t="s">
        <v>96</v>
      </c>
      <c r="F35" s="78" t="s">
        <v>85</v>
      </c>
      <c r="G35" s="79">
        <v>96</v>
      </c>
      <c r="H35" s="80">
        <v>785</v>
      </c>
      <c r="I35" s="81">
        <f t="shared" si="0"/>
        <v>75360</v>
      </c>
    </row>
    <row r="36" spans="1:9" ht="13.5" thickBot="1" x14ac:dyDescent="0.25">
      <c r="E36" s="72"/>
    </row>
    <row r="37" spans="1:9" ht="55.5" customHeight="1" thickBot="1" x14ac:dyDescent="0.25">
      <c r="C37" s="95" t="s">
        <v>87</v>
      </c>
      <c r="D37" s="96"/>
      <c r="E37" s="97"/>
    </row>
    <row r="38" spans="1:9" ht="33.75" customHeight="1" thickBot="1" x14ac:dyDescent="0.25">
      <c r="C38" s="98" t="s">
        <v>88</v>
      </c>
      <c r="D38" s="99"/>
      <c r="E38" s="100"/>
    </row>
    <row r="39" spans="1:9" ht="48.75" customHeight="1" thickBot="1" x14ac:dyDescent="0.25">
      <c r="C39" s="101" t="s">
        <v>89</v>
      </c>
      <c r="D39" s="102"/>
      <c r="E39" s="103"/>
    </row>
    <row r="40" spans="1:9" ht="13.5" thickBot="1" x14ac:dyDescent="0.25"/>
    <row r="41" spans="1:9" x14ac:dyDescent="0.2">
      <c r="B41" s="42" t="s">
        <v>86</v>
      </c>
      <c r="C41" s="43"/>
      <c r="D41" s="43"/>
      <c r="E41" s="44"/>
    </row>
    <row r="42" spans="1:9" ht="5.25" customHeight="1" x14ac:dyDescent="0.2">
      <c r="B42" s="45"/>
      <c r="C42" s="46"/>
      <c r="D42" s="46"/>
      <c r="E42" s="47"/>
    </row>
    <row r="43" spans="1:9" x14ac:dyDescent="0.2">
      <c r="B43" s="48" t="s">
        <v>14</v>
      </c>
      <c r="C43" s="46"/>
      <c r="D43" s="46"/>
      <c r="E43" s="47"/>
    </row>
    <row r="44" spans="1:9" ht="41.25" customHeight="1" x14ac:dyDescent="0.2">
      <c r="B44" s="48"/>
      <c r="C44" s="88"/>
      <c r="D44" s="88"/>
      <c r="E44" s="88"/>
    </row>
    <row r="45" spans="1:9" x14ac:dyDescent="0.2">
      <c r="B45" s="48" t="s">
        <v>15</v>
      </c>
      <c r="C45" s="46"/>
      <c r="D45" s="46"/>
      <c r="E45" s="47"/>
    </row>
    <row r="46" spans="1:9" ht="23.25" customHeight="1" x14ac:dyDescent="0.2">
      <c r="B46" s="49"/>
      <c r="C46" s="92" t="s">
        <v>90</v>
      </c>
      <c r="D46" s="92"/>
      <c r="E46" s="93"/>
    </row>
    <row r="47" spans="1:9" x14ac:dyDescent="0.2">
      <c r="B47" s="49"/>
      <c r="C47" s="94"/>
      <c r="D47" s="94"/>
      <c r="E47" s="94"/>
    </row>
    <row r="48" spans="1:9" x14ac:dyDescent="0.2">
      <c r="B48" s="48" t="s">
        <v>16</v>
      </c>
      <c r="C48" s="46"/>
      <c r="D48" s="46"/>
      <c r="E48" s="47"/>
    </row>
    <row r="49" spans="2:5" ht="26.25" customHeight="1" x14ac:dyDescent="0.2">
      <c r="B49" s="49"/>
      <c r="C49" s="88"/>
      <c r="D49" s="88"/>
      <c r="E49" s="88"/>
    </row>
    <row r="50" spans="2:5" x14ac:dyDescent="0.2">
      <c r="B50" s="48" t="s">
        <v>17</v>
      </c>
      <c r="C50" s="50"/>
      <c r="D50" s="50"/>
      <c r="E50" s="51"/>
    </row>
    <row r="51" spans="2:5" ht="26.25" customHeight="1" x14ac:dyDescent="0.2">
      <c r="B51" s="49"/>
      <c r="C51" s="89" t="s">
        <v>61</v>
      </c>
      <c r="D51" s="89"/>
      <c r="E51" s="89"/>
    </row>
    <row r="52" spans="2:5" x14ac:dyDescent="0.2">
      <c r="B52" s="48" t="s">
        <v>18</v>
      </c>
      <c r="C52" s="46"/>
      <c r="D52" s="46"/>
      <c r="E52" s="47"/>
    </row>
    <row r="53" spans="2:5" ht="23.25" customHeight="1" x14ac:dyDescent="0.2">
      <c r="B53" s="48"/>
      <c r="C53" s="90"/>
      <c r="D53" s="90"/>
      <c r="E53" s="90"/>
    </row>
    <row r="54" spans="2:5" x14ac:dyDescent="0.2">
      <c r="B54" s="52"/>
      <c r="C54" s="53"/>
      <c r="D54" s="53"/>
      <c r="E54" s="54"/>
    </row>
  </sheetData>
  <mergeCells count="16">
    <mergeCell ref="B2:H2"/>
    <mergeCell ref="A4:B4"/>
    <mergeCell ref="C4:E4"/>
    <mergeCell ref="A5:B5"/>
    <mergeCell ref="C5:E5"/>
    <mergeCell ref="C49:E49"/>
    <mergeCell ref="C51:E51"/>
    <mergeCell ref="C53:E53"/>
    <mergeCell ref="A6:B6"/>
    <mergeCell ref="A7:B7"/>
    <mergeCell ref="C44:E44"/>
    <mergeCell ref="C46:E46"/>
    <mergeCell ref="C47:E47"/>
    <mergeCell ref="C37:E37"/>
    <mergeCell ref="C38:E38"/>
    <mergeCell ref="C39:E39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38"/>
  <sheetViews>
    <sheetView tabSelected="1" topLeftCell="A4" zoomScale="70" zoomScaleNormal="70" workbookViewId="0">
      <selection activeCell="P21" sqref="P21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114" t="s">
        <v>19</v>
      </c>
      <c r="B1" s="114"/>
      <c r="C1" s="114"/>
      <c r="D1" s="114"/>
      <c r="E1" s="114"/>
      <c r="F1" s="114"/>
      <c r="G1" s="114"/>
      <c r="H1" s="114"/>
      <c r="I1" s="114"/>
      <c r="J1" s="3" t="s">
        <v>20</v>
      </c>
      <c r="K1" s="58" t="s">
        <v>65</v>
      </c>
    </row>
    <row r="2" spans="1:11" ht="18.75" customHeight="1" thickBo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1" ht="18.75" customHeight="1" thickBot="1" x14ac:dyDescent="0.25">
      <c r="A3" s="115" t="s">
        <v>53</v>
      </c>
      <c r="B3" s="115"/>
      <c r="C3" s="115"/>
      <c r="D3" s="116" t="str">
        <f>'Necesidades Trimestrales'!C4</f>
        <v>40 - Ministerio de Salud</v>
      </c>
      <c r="E3" s="116"/>
      <c r="F3" s="116"/>
      <c r="G3" s="116"/>
      <c r="H3" s="116"/>
      <c r="I3" s="116"/>
      <c r="J3" s="116"/>
      <c r="K3" s="116"/>
    </row>
    <row r="4" spans="1:11" ht="18.75" customHeight="1" thickBot="1" x14ac:dyDescent="0.25">
      <c r="A4" s="117" t="s">
        <v>54</v>
      </c>
      <c r="B4" s="117"/>
      <c r="C4" s="117"/>
      <c r="D4" s="116" t="str">
        <f>'Necesidades Trimestrales'!C5</f>
        <v>23 - Hospital Interzonal San Juan Bautista</v>
      </c>
      <c r="E4" s="116"/>
      <c r="F4" s="116"/>
      <c r="G4" s="116"/>
      <c r="H4" s="116"/>
      <c r="I4" s="116"/>
      <c r="J4" s="116"/>
      <c r="K4" s="116"/>
    </row>
    <row r="5" spans="1:11" ht="18.75" customHeight="1" thickBot="1" x14ac:dyDescent="0.25">
      <c r="A5" s="117" t="s">
        <v>32</v>
      </c>
      <c r="B5" s="117"/>
      <c r="C5" s="117"/>
      <c r="D5" s="116" t="s">
        <v>59</v>
      </c>
      <c r="E5" s="116"/>
      <c r="F5" s="116"/>
      <c r="G5" s="116"/>
      <c r="H5" s="116"/>
      <c r="I5" s="116"/>
      <c r="J5" s="116"/>
      <c r="K5" s="116"/>
    </row>
    <row r="6" spans="1:11" ht="16.5" customHeight="1" thickBot="1" x14ac:dyDescent="0.25">
      <c r="A6" s="115" t="s">
        <v>55</v>
      </c>
      <c r="B6" s="115"/>
      <c r="C6" s="115"/>
      <c r="D6" s="116" t="s">
        <v>60</v>
      </c>
      <c r="E6" s="116"/>
      <c r="F6" s="116"/>
      <c r="G6" s="116"/>
      <c r="H6" s="116"/>
      <c r="I6" s="116"/>
      <c r="J6" s="116"/>
      <c r="K6" s="116"/>
    </row>
    <row r="7" spans="1:11" ht="16.5" customHeight="1" x14ac:dyDescent="0.2">
      <c r="A7" s="117" t="s">
        <v>21</v>
      </c>
      <c r="B7" s="117"/>
      <c r="C7" s="117"/>
      <c r="D7" s="116" t="s">
        <v>102</v>
      </c>
      <c r="E7" s="116"/>
      <c r="F7" s="116"/>
      <c r="G7" s="116"/>
      <c r="H7" s="116"/>
      <c r="I7" s="116"/>
      <c r="J7" s="116"/>
      <c r="K7" s="116"/>
    </row>
    <row r="8" spans="1:11" ht="16.5" customHeight="1" x14ac:dyDescent="0.2">
      <c r="A8" s="109" t="s">
        <v>22</v>
      </c>
      <c r="B8" s="109"/>
      <c r="C8" s="109"/>
      <c r="D8" s="110" t="s">
        <v>91</v>
      </c>
      <c r="E8" s="110"/>
      <c r="F8" s="110"/>
      <c r="G8" s="110"/>
      <c r="H8" s="110"/>
      <c r="I8" s="110"/>
      <c r="J8" s="110"/>
      <c r="K8" s="110"/>
    </row>
    <row r="9" spans="1:11" ht="15.75" x14ac:dyDescent="0.2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1" ht="18.75" customHeight="1" x14ac:dyDescent="0.2">
      <c r="A10" s="111" t="s">
        <v>23</v>
      </c>
      <c r="B10" s="112" t="s">
        <v>24</v>
      </c>
      <c r="C10" s="112" t="s">
        <v>25</v>
      </c>
      <c r="D10" s="112"/>
      <c r="E10" s="112"/>
      <c r="F10" s="112"/>
      <c r="G10" s="112"/>
      <c r="H10" s="112" t="s">
        <v>26</v>
      </c>
      <c r="I10" s="112" t="s">
        <v>27</v>
      </c>
      <c r="J10" s="112" t="s">
        <v>28</v>
      </c>
      <c r="K10" s="113" t="s">
        <v>29</v>
      </c>
    </row>
    <row r="11" spans="1:11" ht="24" customHeight="1" thickBot="1" x14ac:dyDescent="0.25">
      <c r="A11" s="111"/>
      <c r="B11" s="112"/>
      <c r="C11" s="112"/>
      <c r="D11" s="112"/>
      <c r="E11" s="112"/>
      <c r="F11" s="112"/>
      <c r="G11" s="112"/>
      <c r="H11" s="112"/>
      <c r="I11" s="112"/>
      <c r="J11" s="112"/>
      <c r="K11" s="113"/>
    </row>
    <row r="12" spans="1:11" ht="20.25" customHeight="1" thickBot="1" x14ac:dyDescent="0.25">
      <c r="A12" s="8">
        <v>1</v>
      </c>
      <c r="B12" s="59">
        <f>'Necesidades Trimestrales'!B10</f>
        <v>0</v>
      </c>
      <c r="C12" s="106" t="str">
        <f>'Necesidades Trimestrales'!E10</f>
        <v>HILO DE SUTURA CATGUT CROMICO Nro 2 CON AGUJA CT   1/2 CIRC 40 mm TIPO ETHICON 916  T X UNIDAD</v>
      </c>
      <c r="D12" s="106"/>
      <c r="E12" s="106"/>
      <c r="F12" s="106"/>
      <c r="G12" s="106"/>
      <c r="H12" s="60" t="s">
        <v>56</v>
      </c>
      <c r="I12" s="61" t="str">
        <f>'Necesidades Trimestrales'!F10</f>
        <v>UNIDAD</v>
      </c>
      <c r="J12" s="62">
        <f>'Necesidades Trimestrales'!H10</f>
        <v>345</v>
      </c>
      <c r="K12" s="63">
        <f>'Necesidades Trimestrales'!G10</f>
        <v>144</v>
      </c>
    </row>
    <row r="13" spans="1:11" ht="34.5" customHeight="1" thickBot="1" x14ac:dyDescent="0.25">
      <c r="A13" s="8">
        <v>2</v>
      </c>
      <c r="B13" s="59">
        <f>'Necesidades Trimestrales'!B11</f>
        <v>0</v>
      </c>
      <c r="C13" s="106" t="str">
        <f>'Necesidades Trimestrales'!E11</f>
        <v>HILO DE SUTURA CATGUT CROMICO Nro 2 CON AGUJA CT -1  1/2 CIRC 36.4 mm TIPO ETHICON 814 T  X UNIDAD</v>
      </c>
      <c r="D13" s="106"/>
      <c r="E13" s="106"/>
      <c r="F13" s="106"/>
      <c r="G13" s="106"/>
      <c r="H13" s="60" t="s">
        <v>56</v>
      </c>
      <c r="I13" s="61" t="str">
        <f>'Necesidades Trimestrales'!F11</f>
        <v>UNIDAD</v>
      </c>
      <c r="J13" s="62">
        <f>'Necesidades Trimestrales'!H11</f>
        <v>345</v>
      </c>
      <c r="K13" s="63">
        <f>'Necesidades Trimestrales'!G11</f>
        <v>144</v>
      </c>
    </row>
    <row r="14" spans="1:11" ht="20.25" customHeight="1" thickBot="1" x14ac:dyDescent="0.25">
      <c r="A14" s="8">
        <v>3</v>
      </c>
      <c r="B14" s="59">
        <f>'Necesidades Trimestrales'!B12</f>
        <v>0</v>
      </c>
      <c r="C14" s="106" t="str">
        <f>'Necesidades Trimestrales'!E12</f>
        <v>SUT.ABS.CATGUT  SIMP. 1  SIN AGUJA X 150 CM X UNIDAD</v>
      </c>
      <c r="D14" s="106"/>
      <c r="E14" s="106"/>
      <c r="F14" s="106"/>
      <c r="G14" s="106"/>
      <c r="H14" s="60" t="s">
        <v>56</v>
      </c>
      <c r="I14" s="61" t="str">
        <f>'Necesidades Trimestrales'!F12</f>
        <v>UNIDAD</v>
      </c>
      <c r="J14" s="62">
        <f>'Necesidades Trimestrales'!H12</f>
        <v>340</v>
      </c>
      <c r="K14" s="63">
        <f>'Necesidades Trimestrales'!G12</f>
        <v>48</v>
      </c>
    </row>
    <row r="15" spans="1:11" ht="20.25" customHeight="1" thickBot="1" x14ac:dyDescent="0.25">
      <c r="A15" s="8">
        <v>4</v>
      </c>
      <c r="B15" s="59">
        <f>'Necesidades Trimestrales'!B13</f>
        <v>0</v>
      </c>
      <c r="C15" s="106" t="str">
        <f>'Necesidades Trimestrales'!E13</f>
        <v>SUT.ABS.CATGUT SIMP.  0 SIN AGUJA X 150 CM X UNIDAD</v>
      </c>
      <c r="D15" s="106"/>
      <c r="E15" s="106"/>
      <c r="F15" s="106"/>
      <c r="G15" s="106"/>
      <c r="H15" s="60" t="s">
        <v>56</v>
      </c>
      <c r="I15" s="61" t="str">
        <f>'Necesidades Trimestrales'!F13</f>
        <v>UNIDAD</v>
      </c>
      <c r="J15" s="62">
        <f>'Necesidades Trimestrales'!H13</f>
        <v>340</v>
      </c>
      <c r="K15" s="63">
        <f>'Necesidades Trimestrales'!G13</f>
        <v>48</v>
      </c>
    </row>
    <row r="16" spans="1:11" ht="20.25" customHeight="1" thickBot="1" x14ac:dyDescent="0.25">
      <c r="A16" s="8">
        <v>5</v>
      </c>
      <c r="B16" s="59">
        <f>'Necesidades Trimestrales'!B14</f>
        <v>0</v>
      </c>
      <c r="C16" s="106" t="str">
        <f>'Necesidades Trimestrales'!E14</f>
        <v>SUT.ABS.CATGUT SIMP. 2  SIN AGUJA X 150 CM X UNIDAD</v>
      </c>
      <c r="D16" s="106"/>
      <c r="E16" s="106"/>
      <c r="F16" s="106"/>
      <c r="G16" s="106"/>
      <c r="H16" s="60" t="s">
        <v>56</v>
      </c>
      <c r="I16" s="61" t="str">
        <f>'Necesidades Trimestrales'!F14</f>
        <v>UNIDAD</v>
      </c>
      <c r="J16" s="62">
        <f>'Necesidades Trimestrales'!H14</f>
        <v>340</v>
      </c>
      <c r="K16" s="63">
        <f>'Necesidades Trimestrales'!G14</f>
        <v>72</v>
      </c>
    </row>
    <row r="17" spans="1:11" ht="20.25" customHeight="1" thickBot="1" x14ac:dyDescent="0.25">
      <c r="A17" s="8">
        <v>6</v>
      </c>
      <c r="B17" s="59">
        <f>'Necesidades Trimestrales'!B15</f>
        <v>0</v>
      </c>
      <c r="C17" s="106" t="str">
        <f>'Necesidades Trimestrales'!E15</f>
        <v>SUT.N/ABS.MONONYLON  5/0  TIPO DAFILON BRAUN COD OFTAL. 0936090  X 1 UNID.</v>
      </c>
      <c r="D17" s="106"/>
      <c r="E17" s="106"/>
      <c r="F17" s="106"/>
      <c r="G17" s="106"/>
      <c r="H17" s="60" t="s">
        <v>56</v>
      </c>
      <c r="I17" s="61" t="str">
        <f>'Necesidades Trimestrales'!F15</f>
        <v>UNIDAD</v>
      </c>
      <c r="J17" s="62">
        <f>'Necesidades Trimestrales'!H15</f>
        <v>245</v>
      </c>
      <c r="K17" s="63">
        <f>'Necesidades Trimestrales'!G15</f>
        <v>48</v>
      </c>
    </row>
    <row r="18" spans="1:11" ht="28.5" customHeight="1" thickBot="1" x14ac:dyDescent="0.25">
      <c r="A18" s="8">
        <v>7</v>
      </c>
      <c r="B18" s="59">
        <f>'Necesidades Trimestrales'!B16</f>
        <v>0</v>
      </c>
      <c r="C18" s="106" t="str">
        <f>'Necesidades Trimestrales'!E16</f>
        <v>SUT.N/ABS.MONONYLON 10-0 (OFTAL.)tipo TAGUN CODIGO NN06VZF*X 1 UNID.</v>
      </c>
      <c r="D18" s="106"/>
      <c r="E18" s="106"/>
      <c r="F18" s="106"/>
      <c r="G18" s="106"/>
      <c r="H18" s="60" t="s">
        <v>56</v>
      </c>
      <c r="I18" s="61" t="str">
        <f>'Necesidades Trimestrales'!F16</f>
        <v>UNIDAD</v>
      </c>
      <c r="J18" s="62">
        <f>'Necesidades Trimestrales'!H16</f>
        <v>245</v>
      </c>
      <c r="K18" s="63">
        <f>'Necesidades Trimestrales'!G16</f>
        <v>48</v>
      </c>
    </row>
    <row r="19" spans="1:11" ht="30" customHeight="1" thickBot="1" x14ac:dyDescent="0.25">
      <c r="A19" s="8">
        <v>8</v>
      </c>
      <c r="B19" s="59">
        <f>'Necesidades Trimestrales'!B17</f>
        <v>0</v>
      </c>
      <c r="C19" s="106" t="str">
        <f>'Necesidades Trimestrales'!E17</f>
        <v>SUTURA QUIRURGICA ACIDO POLIGLICOLICO Nª 8/0 OFTALMOLOGICO TIPO VICRYL  J 547 G  X UNIDAD</v>
      </c>
      <c r="D19" s="106"/>
      <c r="E19" s="106"/>
      <c r="F19" s="106"/>
      <c r="G19" s="106"/>
      <c r="H19" s="60" t="s">
        <v>56</v>
      </c>
      <c r="I19" s="61" t="str">
        <f>'Necesidades Trimestrales'!F17</f>
        <v>UNIDAD</v>
      </c>
      <c r="J19" s="62">
        <f>'Necesidades Trimestrales'!H17</f>
        <v>445</v>
      </c>
      <c r="K19" s="63">
        <f>'Necesidades Trimestrales'!G17</f>
        <v>48</v>
      </c>
    </row>
    <row r="20" spans="1:11" ht="30.75" customHeight="1" thickBot="1" x14ac:dyDescent="0.25">
      <c r="A20" s="8">
        <v>9</v>
      </c>
      <c r="B20" s="59">
        <f>'Necesidades Trimestrales'!B18</f>
        <v>0</v>
      </c>
      <c r="C20" s="106" t="str">
        <f>'Necesidades Trimestrales'!E18</f>
        <v>SUTURA QUIRURGICA ACIDO POLIGLICOLICO TRENZADA ABSORBIBLE T/VICRYL N°4-0 J 304 H X 1 UNID.</v>
      </c>
      <c r="D20" s="106"/>
      <c r="E20" s="106"/>
      <c r="F20" s="106"/>
      <c r="G20" s="106"/>
      <c r="H20" s="60" t="s">
        <v>56</v>
      </c>
      <c r="I20" s="61" t="str">
        <f>'Necesidades Trimestrales'!F18</f>
        <v>UNIDAD</v>
      </c>
      <c r="J20" s="62">
        <f>'Necesidades Trimestrales'!H18</f>
        <v>280</v>
      </c>
      <c r="K20" s="63">
        <f>'Necesidades Trimestrales'!G18</f>
        <v>144</v>
      </c>
    </row>
    <row r="21" spans="1:11" ht="30.75" customHeight="1" thickBot="1" x14ac:dyDescent="0.25">
      <c r="A21" s="8">
        <v>10</v>
      </c>
      <c r="B21" s="59">
        <f>'Necesidades Trimestrales'!B19</f>
        <v>0</v>
      </c>
      <c r="C21" s="106" t="str">
        <f>'Necesidades Trimestrales'!E19</f>
        <v>SUTURA QUIRURGICA ACIDO POLIGLICOLICO TRENZADA ABSORBIBLE TIPO VIRYL Nº 3-0 CODIGO J316 C / AGUJA</v>
      </c>
      <c r="D21" s="106"/>
      <c r="E21" s="106"/>
      <c r="F21" s="106"/>
      <c r="G21" s="106"/>
      <c r="H21" s="60" t="s">
        <v>56</v>
      </c>
      <c r="I21" s="61" t="str">
        <f>'Necesidades Trimestrales'!F19</f>
        <v>UNIDAD</v>
      </c>
      <c r="J21" s="62">
        <f>'Necesidades Trimestrales'!H19</f>
        <v>280</v>
      </c>
      <c r="K21" s="63">
        <f>'Necesidades Trimestrales'!G19</f>
        <v>192</v>
      </c>
    </row>
    <row r="22" spans="1:11" ht="42.75" customHeight="1" thickBot="1" x14ac:dyDescent="0.25">
      <c r="A22" s="8">
        <v>11</v>
      </c>
      <c r="B22" s="59">
        <f>'Necesidades Trimestrales'!B20</f>
        <v>0</v>
      </c>
      <c r="C22" s="106" t="str">
        <f>'Necesidades Trimestrales'!E20</f>
        <v>SUTURA QUIRURGICA ACIDO POLIGLICOLICO TRENZADA ABSORBIBLE TIPO VICRYL Nº 4-0 CODIGO J315 C / AGUJA</v>
      </c>
      <c r="D22" s="106"/>
      <c r="E22" s="106"/>
      <c r="F22" s="106"/>
      <c r="G22" s="106"/>
      <c r="H22" s="60" t="s">
        <v>56</v>
      </c>
      <c r="I22" s="61" t="str">
        <f>'Necesidades Trimestrales'!F20</f>
        <v>UNIDAD</v>
      </c>
      <c r="J22" s="62">
        <f>'Necesidades Trimestrales'!H20</f>
        <v>280</v>
      </c>
      <c r="K22" s="63">
        <f>'Necesidades Trimestrales'!G20</f>
        <v>144</v>
      </c>
    </row>
    <row r="23" spans="1:11" ht="24.75" customHeight="1" thickBot="1" x14ac:dyDescent="0.25">
      <c r="A23" s="8">
        <v>12</v>
      </c>
      <c r="B23" s="59">
        <f>'Necesidades Trimestrales'!B21</f>
        <v>0</v>
      </c>
      <c r="C23" s="106" t="str">
        <f>'Necesidades Trimestrales'!E21</f>
        <v>SUTURA QUIRURGICA ACIDO POLIGLICOLICO TRENZADA ABSROBIBLE TIPO VICRYL  1  J 353 H x UNIDAD</v>
      </c>
      <c r="D23" s="106"/>
      <c r="E23" s="106"/>
      <c r="F23" s="106"/>
      <c r="G23" s="106"/>
      <c r="H23" s="60" t="s">
        <v>56</v>
      </c>
      <c r="I23" s="61" t="str">
        <f>'Necesidades Trimestrales'!F21</f>
        <v>UNIDAD</v>
      </c>
      <c r="J23" s="62">
        <f>'Necesidades Trimestrales'!H21</f>
        <v>235</v>
      </c>
      <c r="K23" s="63">
        <f>'Necesidades Trimestrales'!G21</f>
        <v>144</v>
      </c>
    </row>
    <row r="24" spans="1:11" ht="36" customHeight="1" thickBot="1" x14ac:dyDescent="0.25">
      <c r="A24" s="8">
        <v>13</v>
      </c>
      <c r="B24" s="59">
        <f>'Necesidades Trimestrales'!B22</f>
        <v>0</v>
      </c>
      <c r="C24" s="106" t="str">
        <f>'Necesidades Trimestrales'!E22</f>
        <v xml:space="preserve">SUTURA QUIRURGICA ACIDO POLIGLICOLICO TRENZADA ABSORBIBLE TIPO VICRYL  1 J 347 H x  UNIDAD </v>
      </c>
      <c r="D24" s="106"/>
      <c r="E24" s="106"/>
      <c r="F24" s="106"/>
      <c r="G24" s="106"/>
      <c r="H24" s="60" t="s">
        <v>56</v>
      </c>
      <c r="I24" s="61" t="str">
        <f>'Necesidades Trimestrales'!F22</f>
        <v>UNIDAD</v>
      </c>
      <c r="J24" s="62">
        <f>'Necesidades Trimestrales'!H22</f>
        <v>235</v>
      </c>
      <c r="K24" s="63">
        <f>'Necesidades Trimestrales'!G22</f>
        <v>188</v>
      </c>
    </row>
    <row r="25" spans="1:11" ht="38.25" customHeight="1" thickBot="1" x14ac:dyDescent="0.25">
      <c r="A25" s="8">
        <v>14</v>
      </c>
      <c r="B25" s="59">
        <f>'Necesidades Trimestrales'!B23</f>
        <v>0</v>
      </c>
      <c r="C25" s="106" t="str">
        <f>'Necesidades Trimestrales'!E23</f>
        <v>SUTURA QUIRURGICA ACIDO POLIGLICOLICO TRENZADA ABSORBIBLE TIPO VICRYL 2 J 536 H X UNIDAD</v>
      </c>
      <c r="D25" s="106"/>
      <c r="E25" s="106"/>
      <c r="F25" s="106"/>
      <c r="G25" s="106"/>
      <c r="H25" s="60" t="s">
        <v>56</v>
      </c>
      <c r="I25" s="61" t="str">
        <f>'Necesidades Trimestrales'!F23</f>
        <v>UNIDAD</v>
      </c>
      <c r="J25" s="62">
        <f>'Necesidades Trimestrales'!H23</f>
        <v>444</v>
      </c>
      <c r="K25" s="63">
        <f>'Necesidades Trimestrales'!G23</f>
        <v>720</v>
      </c>
    </row>
    <row r="26" spans="1:11" ht="45.75" customHeight="1" thickBot="1" x14ac:dyDescent="0.25">
      <c r="A26" s="8">
        <v>15</v>
      </c>
      <c r="B26" s="59">
        <f>'Necesidades Trimestrales'!B24</f>
        <v>0</v>
      </c>
      <c r="C26" s="106" t="str">
        <f>'Necesidades Trimestrales'!E24</f>
        <v>SUTURA QUIRURGICA ACIDO POLIGLICOLICO TRENZADA ABSROBIBLE TIPO VICRYL 2/0 J317H CON AGUJA X UNIDAD</v>
      </c>
      <c r="D26" s="106"/>
      <c r="E26" s="106"/>
      <c r="F26" s="106"/>
      <c r="G26" s="106"/>
      <c r="H26" s="60" t="s">
        <v>56</v>
      </c>
      <c r="I26" s="61" t="str">
        <f>'Necesidades Trimestrales'!F24</f>
        <v>UNIDAD</v>
      </c>
      <c r="J26" s="62">
        <f>'Necesidades Trimestrales'!H24</f>
        <v>289</v>
      </c>
      <c r="K26" s="63">
        <f>'Necesidades Trimestrales'!G24</f>
        <v>480</v>
      </c>
    </row>
    <row r="27" spans="1:11" ht="27.75" customHeight="1" thickBot="1" x14ac:dyDescent="0.25">
      <c r="A27" s="8">
        <v>16</v>
      </c>
      <c r="B27" s="59">
        <f>'Necesidades Trimestrales'!B25</f>
        <v>0</v>
      </c>
      <c r="C27" s="106" t="str">
        <f>'Necesidades Trimestrales'!E25</f>
        <v>SUTURA QUIRURGICA ACIDO POLIGLICOLICO ABSORBIBLE 0  TIPO VICRYL J318 H  X UNIDAD</v>
      </c>
      <c r="D27" s="106"/>
      <c r="E27" s="106"/>
      <c r="F27" s="106"/>
      <c r="G27" s="106"/>
      <c r="H27" s="60" t="s">
        <v>56</v>
      </c>
      <c r="I27" s="61" t="str">
        <f>'Necesidades Trimestrales'!F25</f>
        <v>UNIDAD</v>
      </c>
      <c r="J27" s="62">
        <f>'Necesidades Trimestrales'!H25</f>
        <v>235</v>
      </c>
      <c r="K27" s="63">
        <f>'Necesidades Trimestrales'!G25</f>
        <v>288</v>
      </c>
    </row>
    <row r="28" spans="1:11" ht="27.75" customHeight="1" thickBot="1" x14ac:dyDescent="0.25">
      <c r="A28" s="8">
        <v>17</v>
      </c>
      <c r="B28" s="59">
        <f>'Necesidades Trimestrales'!B26</f>
        <v>0</v>
      </c>
      <c r="C28" s="106" t="str">
        <f>'Necesidades Trimestrales'!E26</f>
        <v>SUTURA QUIRURGICA ACIDO POLIGLICOLICO ABSORBIBLE 3/0 TIPO VICRYL J 311 H X UNIDAD</v>
      </c>
      <c r="D28" s="106"/>
      <c r="E28" s="106"/>
      <c r="F28" s="106"/>
      <c r="G28" s="106"/>
      <c r="H28" s="60" t="s">
        <v>56</v>
      </c>
      <c r="I28" s="61" t="str">
        <f>'Necesidades Trimestrales'!F26</f>
        <v>UNIDAD</v>
      </c>
      <c r="J28" s="62">
        <f>'Necesidades Trimestrales'!H26</f>
        <v>285</v>
      </c>
      <c r="K28" s="63">
        <f>'Necesidades Trimestrales'!G26</f>
        <v>480</v>
      </c>
    </row>
    <row r="29" spans="1:11" ht="27.75" customHeight="1" thickBot="1" x14ac:dyDescent="0.25">
      <c r="A29" s="8">
        <v>18</v>
      </c>
      <c r="B29" s="59">
        <f>'Necesidades Trimestrales'!B27</f>
        <v>0</v>
      </c>
      <c r="C29" s="106" t="str">
        <f>'Necesidades Trimestrales'!E27</f>
        <v>SUTURA QUIRURGICA POLIPROPILENO NO ABSORBIBLE TIPO PROLENE 0 CT 8424 X UNIDAD</v>
      </c>
      <c r="D29" s="106"/>
      <c r="E29" s="106"/>
      <c r="F29" s="106"/>
      <c r="G29" s="106"/>
      <c r="H29" s="60" t="s">
        <v>56</v>
      </c>
      <c r="I29" s="61" t="str">
        <f>'Necesidades Trimestrales'!F27</f>
        <v>UNIDAD</v>
      </c>
      <c r="J29" s="62">
        <f>'Necesidades Trimestrales'!H27</f>
        <v>780</v>
      </c>
      <c r="K29" s="63">
        <f>'Necesidades Trimestrales'!G27</f>
        <v>480</v>
      </c>
    </row>
    <row r="30" spans="1:11" ht="33" customHeight="1" thickBot="1" x14ac:dyDescent="0.25">
      <c r="A30" s="8">
        <v>19</v>
      </c>
      <c r="B30" s="59">
        <f>'Necesidades Trimestrales'!B28</f>
        <v>0</v>
      </c>
      <c r="C30" s="106" t="str">
        <f>'Necesidades Trimestrales'!E28</f>
        <v>SUTURA QUIRURGICA POLIPROPILENO NO ABSORBIBLE TIPO PROLENE 1 CT   8425 H X UNIDAD</v>
      </c>
      <c r="D30" s="106"/>
      <c r="E30" s="106"/>
      <c r="F30" s="106"/>
      <c r="G30" s="106"/>
      <c r="H30" s="60" t="s">
        <v>56</v>
      </c>
      <c r="I30" s="61" t="str">
        <f>'Necesidades Trimestrales'!F28</f>
        <v>UNIDAD</v>
      </c>
      <c r="J30" s="62">
        <f>'Necesidades Trimestrales'!H28</f>
        <v>765</v>
      </c>
      <c r="K30" s="63">
        <f>'Necesidades Trimestrales'!G28</f>
        <v>300</v>
      </c>
    </row>
    <row r="31" spans="1:11" ht="40.5" customHeight="1" thickBot="1" x14ac:dyDescent="0.25">
      <c r="A31" s="8">
        <v>20</v>
      </c>
      <c r="B31" s="59">
        <f>'Necesidades Trimestrales'!B29</f>
        <v>0</v>
      </c>
      <c r="C31" s="106" t="str">
        <f>'Necesidades Trimestrales'!E29</f>
        <v>SUTURA QUIRURGICA POLIPROPILENO NO ABSORBIBLE  2/0  CON AGUJA SC-26 3/08 CIRC 19 mm TIPO PROLENE 8185 T CON UNIDAD</v>
      </c>
      <c r="D31" s="106"/>
      <c r="E31" s="106"/>
      <c r="F31" s="106"/>
      <c r="G31" s="106"/>
      <c r="H31" s="60" t="s">
        <v>56</v>
      </c>
      <c r="I31" s="61" t="str">
        <f>'Necesidades Trimestrales'!F29</f>
        <v>UNIDAD</v>
      </c>
      <c r="J31" s="62">
        <f>'Necesidades Trimestrales'!H29</f>
        <v>782</v>
      </c>
      <c r="K31" s="63">
        <f>'Necesidades Trimestrales'!G29</f>
        <v>96</v>
      </c>
    </row>
    <row r="32" spans="1:11" ht="49.5" customHeight="1" thickBot="1" x14ac:dyDescent="0.25">
      <c r="A32" s="8">
        <v>21</v>
      </c>
      <c r="B32" s="59">
        <f>'Necesidades Trimestrales'!B30</f>
        <v>0</v>
      </c>
      <c r="C32" s="106" t="str">
        <f>'Necesidades Trimestrales'!E30</f>
        <v>SUTURA QUIRURGICA POLIPROPILENO NO ABSORBIBLE  2/0  TIPO PROLENE con aguja recta 8423 T POR UNIDAD</v>
      </c>
      <c r="D32" s="106"/>
      <c r="E32" s="106"/>
      <c r="F32" s="106"/>
      <c r="G32" s="106"/>
      <c r="H32" s="60" t="s">
        <v>56</v>
      </c>
      <c r="I32" s="61" t="str">
        <f>'Necesidades Trimestrales'!F30</f>
        <v>UNIDAD</v>
      </c>
      <c r="J32" s="62">
        <f>'Necesidades Trimestrales'!H30</f>
        <v>782</v>
      </c>
      <c r="K32" s="63">
        <f>'Necesidades Trimestrales'!G30</f>
        <v>48</v>
      </c>
    </row>
    <row r="33" spans="1:1024" ht="43.5" customHeight="1" thickBot="1" x14ac:dyDescent="0.25">
      <c r="A33" s="8">
        <v>22</v>
      </c>
      <c r="B33" s="59">
        <f>'Necesidades Trimestrales'!B31</f>
        <v>0</v>
      </c>
      <c r="C33" s="106" t="str">
        <f>'Necesidades Trimestrales'!E31</f>
        <v>SUTURA QUIRURGICA POLIPROPILENO NO ABSORBIBLE  3/0 TIPO PROLENE  8622  H Con aguja recta POR UNIDAD</v>
      </c>
      <c r="D33" s="106"/>
      <c r="E33" s="106"/>
      <c r="F33" s="106"/>
      <c r="G33" s="106"/>
      <c r="H33" s="60" t="s">
        <v>56</v>
      </c>
      <c r="I33" s="61" t="str">
        <f>'Necesidades Trimestrales'!F31</f>
        <v>UNIDAD</v>
      </c>
      <c r="J33" s="62">
        <f>'Necesidades Trimestrales'!H31</f>
        <v>782</v>
      </c>
      <c r="K33" s="63">
        <f>'Necesidades Trimestrales'!G31</f>
        <v>420</v>
      </c>
    </row>
    <row r="34" spans="1:1024" ht="55.5" customHeight="1" thickBot="1" x14ac:dyDescent="0.25">
      <c r="A34" s="8">
        <v>23</v>
      </c>
      <c r="B34" s="59">
        <f>'Necesidades Trimestrales'!B32</f>
        <v>0</v>
      </c>
      <c r="C34" s="106" t="str">
        <f>'Necesidades Trimestrales'!E32</f>
        <v>SUTURA QUIRURGICA POLIPROPILENO NO ABSORBIBLE  3/0  TIPO PROLENE  8822 T AGUJA CURVA POR UNIDAD</v>
      </c>
      <c r="D34" s="106"/>
      <c r="E34" s="106"/>
      <c r="F34" s="106"/>
      <c r="G34" s="106"/>
      <c r="H34" s="60" t="s">
        <v>56</v>
      </c>
      <c r="I34" s="61" t="str">
        <f>'Necesidades Trimestrales'!F32</f>
        <v>UNIDAD</v>
      </c>
      <c r="J34" s="62">
        <f>'Necesidades Trimestrales'!H32</f>
        <v>782</v>
      </c>
      <c r="K34" s="63">
        <f>'Necesidades Trimestrales'!G32</f>
        <v>360</v>
      </c>
    </row>
    <row r="35" spans="1:1024" ht="37.5" customHeight="1" thickBot="1" x14ac:dyDescent="0.25">
      <c r="A35" s="8">
        <v>24</v>
      </c>
      <c r="B35" s="59">
        <f>'Necesidades Trimestrales'!B33</f>
        <v>0</v>
      </c>
      <c r="C35" s="106" t="str">
        <f>'Necesidades Trimestrales'!E33</f>
        <v>SUTURA QUIRURGICA POLIPROPILENO NO ABSORBIBLE 4/0 TIPO PROLENE  8521 T POR UNIDAD</v>
      </c>
      <c r="D35" s="106"/>
      <c r="E35" s="106"/>
      <c r="F35" s="106"/>
      <c r="G35" s="106"/>
      <c r="H35" s="60" t="s">
        <v>56</v>
      </c>
      <c r="I35" s="61" t="str">
        <f>'Necesidades Trimestrales'!F33</f>
        <v>UNIDAD</v>
      </c>
      <c r="J35" s="62">
        <f>'Necesidades Trimestrales'!H33</f>
        <v>782</v>
      </c>
      <c r="K35" s="63">
        <f>'Necesidades Trimestrales'!G33</f>
        <v>192</v>
      </c>
    </row>
    <row r="36" spans="1:1024" ht="38.25" customHeight="1" thickBot="1" x14ac:dyDescent="0.25">
      <c r="A36" s="8">
        <v>25</v>
      </c>
      <c r="B36" s="59">
        <f>'Necesidades Trimestrales'!B34</f>
        <v>0</v>
      </c>
      <c r="C36" s="106" t="str">
        <f>'Necesidades Trimestrales'!E34</f>
        <v>SUTURA QUIRURGICA POLIPROPILENO NO ABSORBIBLE TIPO PROLENE 6/0 P8697 T PLASTICA POR UNIDAD</v>
      </c>
      <c r="D36" s="106"/>
      <c r="E36" s="106"/>
      <c r="F36" s="106"/>
      <c r="G36" s="106"/>
      <c r="H36" s="60" t="s">
        <v>56</v>
      </c>
      <c r="I36" s="61" t="str">
        <f>'Necesidades Trimestrales'!F34</f>
        <v>UNIDAD</v>
      </c>
      <c r="J36" s="62">
        <f>'Necesidades Trimestrales'!H34</f>
        <v>780</v>
      </c>
      <c r="K36" s="63">
        <f>'Necesidades Trimestrales'!G34</f>
        <v>192</v>
      </c>
    </row>
    <row r="37" spans="1:1024" ht="32.25" customHeight="1" thickBot="1" x14ac:dyDescent="0.25">
      <c r="A37" s="8">
        <v>26</v>
      </c>
      <c r="B37" s="59">
        <f>'Necesidades Trimestrales'!B35</f>
        <v>0</v>
      </c>
      <c r="C37" s="106" t="str">
        <f>'Necesidades Trimestrales'!E35</f>
        <v>SUTURA QUIRURGICA POLIPROPILENO NO ABSORBIBLE TIPO PROLENE 7/0  M 8727 T  POR UNIDAD</v>
      </c>
      <c r="D37" s="106"/>
      <c r="E37" s="106"/>
      <c r="F37" s="106"/>
      <c r="G37" s="106"/>
      <c r="H37" s="60" t="s">
        <v>56</v>
      </c>
      <c r="I37" s="61" t="str">
        <f>'Necesidades Trimestrales'!F35</f>
        <v>UNIDAD</v>
      </c>
      <c r="J37" s="62">
        <f>'Necesidades Trimestrales'!H35</f>
        <v>785</v>
      </c>
      <c r="K37" s="63">
        <f>'Necesidades Trimestrales'!G35</f>
        <v>96</v>
      </c>
    </row>
    <row r="38" spans="1:1024" ht="20.25" customHeight="1" thickBot="1" x14ac:dyDescent="0.25">
      <c r="A38" s="107" t="s">
        <v>92</v>
      </c>
      <c r="B38" s="107"/>
      <c r="C38" s="107"/>
      <c r="D38" s="107"/>
      <c r="E38" s="107"/>
      <c r="F38" s="107"/>
      <c r="G38" s="107"/>
      <c r="H38" s="107"/>
      <c r="I38" s="107"/>
      <c r="J38" s="108">
        <f>SUMPRODUCT(J12:J37,K12:K37)</f>
        <v>2778392</v>
      </c>
      <c r="K38" s="10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  <c r="IW38"/>
      <c r="IX38"/>
      <c r="IY38"/>
      <c r="IZ38"/>
      <c r="JA38"/>
      <c r="JB38"/>
      <c r="JC38"/>
      <c r="JD38"/>
      <c r="JE38"/>
      <c r="JF38"/>
      <c r="JG38"/>
      <c r="JH38"/>
      <c r="JI38"/>
      <c r="JJ38"/>
      <c r="JK38"/>
      <c r="JL38"/>
      <c r="JM38"/>
      <c r="JN38"/>
      <c r="JO38"/>
      <c r="JP38"/>
      <c r="JQ38"/>
      <c r="JR38"/>
      <c r="JS38"/>
      <c r="JT38"/>
      <c r="JU38"/>
      <c r="JV38"/>
      <c r="JW38"/>
      <c r="JX38"/>
      <c r="JY38"/>
      <c r="JZ38"/>
      <c r="KA38"/>
      <c r="KB38"/>
      <c r="KC38"/>
      <c r="KD38"/>
      <c r="KE38"/>
      <c r="KF38"/>
      <c r="KG38"/>
      <c r="KH38"/>
      <c r="KI38"/>
      <c r="KJ38"/>
      <c r="KK38"/>
      <c r="KL38"/>
      <c r="KM38"/>
      <c r="KN38"/>
      <c r="KO38"/>
      <c r="KP38"/>
      <c r="KQ38"/>
      <c r="KR38"/>
      <c r="KS38"/>
      <c r="KT38"/>
      <c r="KU38"/>
      <c r="KV38"/>
      <c r="KW38"/>
      <c r="KX38"/>
      <c r="KY38"/>
      <c r="KZ38"/>
      <c r="LA38"/>
      <c r="LB38"/>
      <c r="LC38"/>
      <c r="LD38"/>
      <c r="LE38"/>
      <c r="LF38"/>
      <c r="LG38"/>
      <c r="LH38"/>
      <c r="LI38"/>
      <c r="LJ38"/>
      <c r="LK38"/>
      <c r="LL38"/>
      <c r="LM38"/>
      <c r="LN38"/>
      <c r="LO38"/>
      <c r="LP38"/>
      <c r="LQ38"/>
      <c r="LR38"/>
      <c r="LS38"/>
      <c r="LT38"/>
      <c r="LU38"/>
      <c r="LV38"/>
      <c r="LW38"/>
      <c r="LX38"/>
      <c r="LY38"/>
      <c r="LZ38"/>
      <c r="MA38"/>
      <c r="MB38"/>
      <c r="MC38"/>
      <c r="MD38"/>
      <c r="ME38"/>
      <c r="MF38"/>
      <c r="MG38"/>
      <c r="MH38"/>
      <c r="MI38"/>
      <c r="MJ38"/>
      <c r="MK38"/>
      <c r="ML38"/>
      <c r="MM38"/>
      <c r="MN38"/>
      <c r="MO38"/>
      <c r="MP38"/>
      <c r="MQ38"/>
      <c r="MR38"/>
      <c r="MS38"/>
      <c r="MT38"/>
      <c r="MU38"/>
      <c r="MV38"/>
      <c r="MW38"/>
      <c r="MX38"/>
      <c r="MY38"/>
      <c r="MZ38"/>
      <c r="NA38"/>
      <c r="NB38"/>
      <c r="NC38"/>
      <c r="ND38"/>
      <c r="NE38"/>
      <c r="NF38"/>
      <c r="NG38"/>
      <c r="NH38"/>
      <c r="NI38"/>
      <c r="NJ38"/>
      <c r="NK38"/>
      <c r="NL38"/>
      <c r="NM38"/>
      <c r="NN38"/>
      <c r="NO38"/>
      <c r="NP38"/>
      <c r="NQ38"/>
      <c r="NR38"/>
      <c r="NS38"/>
      <c r="NT38"/>
      <c r="NU38"/>
      <c r="NV38"/>
      <c r="NW38"/>
      <c r="NX38"/>
      <c r="NY38"/>
      <c r="NZ38"/>
      <c r="OA38"/>
      <c r="OB38"/>
      <c r="OC38"/>
      <c r="OD38"/>
      <c r="OE38"/>
      <c r="OF38"/>
      <c r="OG38"/>
      <c r="OH38"/>
      <c r="OI38"/>
      <c r="OJ38"/>
      <c r="OK38"/>
      <c r="OL38"/>
      <c r="OM38"/>
      <c r="ON38"/>
      <c r="OO38"/>
      <c r="OP38"/>
      <c r="OQ38"/>
      <c r="OR38"/>
      <c r="OS38"/>
      <c r="OT38"/>
      <c r="OU38"/>
      <c r="OV38"/>
      <c r="OW38"/>
      <c r="OX38"/>
      <c r="OY38"/>
      <c r="OZ38"/>
      <c r="PA38"/>
      <c r="PB38"/>
      <c r="PC38"/>
      <c r="PD38"/>
      <c r="PE38"/>
      <c r="PF38"/>
      <c r="PG38"/>
      <c r="PH38"/>
      <c r="PI38"/>
      <c r="PJ38"/>
      <c r="PK38"/>
      <c r="PL38"/>
      <c r="PM38"/>
      <c r="PN38"/>
      <c r="PO38"/>
      <c r="PP38"/>
      <c r="PQ38"/>
      <c r="PR38"/>
      <c r="PS38"/>
      <c r="PT38"/>
      <c r="PU38"/>
      <c r="PV38"/>
      <c r="PW38"/>
      <c r="PX38"/>
      <c r="PY38"/>
      <c r="PZ38"/>
      <c r="QA38"/>
      <c r="QB38"/>
      <c r="QC38"/>
      <c r="QD38"/>
      <c r="QE38"/>
      <c r="QF38"/>
      <c r="QG38"/>
      <c r="QH38"/>
      <c r="QI38"/>
      <c r="QJ38"/>
      <c r="QK38"/>
      <c r="QL38"/>
      <c r="QM38"/>
      <c r="QN38"/>
      <c r="QO38"/>
      <c r="QP38"/>
      <c r="QQ38"/>
      <c r="QR38"/>
      <c r="QS38"/>
      <c r="QT38"/>
      <c r="QU38"/>
      <c r="QV38"/>
      <c r="QW38"/>
      <c r="QX38"/>
      <c r="QY38"/>
      <c r="QZ38"/>
      <c r="RA38"/>
      <c r="RB38"/>
      <c r="RC38"/>
      <c r="RD38"/>
      <c r="RE38"/>
      <c r="RF38"/>
      <c r="RG38"/>
      <c r="RH38"/>
      <c r="RI38"/>
      <c r="RJ38"/>
      <c r="RK38"/>
      <c r="RL38"/>
      <c r="RM38"/>
      <c r="RN38"/>
      <c r="RO38"/>
      <c r="RP38"/>
      <c r="RQ38"/>
      <c r="RR38"/>
      <c r="RS38"/>
      <c r="RT38"/>
      <c r="RU38"/>
      <c r="RV38"/>
      <c r="RW38"/>
      <c r="RX38"/>
      <c r="RY38"/>
      <c r="RZ38"/>
      <c r="SA38"/>
      <c r="SB38"/>
      <c r="SC38"/>
      <c r="SD38"/>
      <c r="SE38"/>
      <c r="SF38"/>
      <c r="SG38"/>
      <c r="SH38"/>
      <c r="SI38"/>
      <c r="SJ38"/>
      <c r="SK38"/>
      <c r="SL38"/>
      <c r="SM38"/>
      <c r="SN38"/>
      <c r="SO38"/>
      <c r="SP38"/>
      <c r="SQ38"/>
      <c r="SR38"/>
      <c r="SS38"/>
      <c r="ST38"/>
      <c r="SU38"/>
      <c r="SV38"/>
      <c r="SW38"/>
      <c r="SX38"/>
      <c r="SY38"/>
      <c r="SZ38"/>
      <c r="TA38"/>
      <c r="TB38"/>
      <c r="TC38"/>
      <c r="TD38"/>
      <c r="TE38"/>
      <c r="TF38"/>
      <c r="TG38"/>
      <c r="TH38"/>
      <c r="TI38"/>
      <c r="TJ38"/>
      <c r="TK38"/>
      <c r="TL38"/>
      <c r="TM38"/>
      <c r="TN38"/>
      <c r="TO38"/>
      <c r="TP38"/>
      <c r="TQ38"/>
      <c r="TR38"/>
      <c r="TS38"/>
      <c r="TT38"/>
      <c r="TU38"/>
      <c r="TV38"/>
      <c r="TW38"/>
      <c r="TX38"/>
      <c r="TY38"/>
      <c r="TZ38"/>
      <c r="UA38"/>
      <c r="UB38"/>
      <c r="UC38"/>
      <c r="UD38"/>
      <c r="UE38"/>
      <c r="UF38"/>
      <c r="UG38"/>
      <c r="UH38"/>
      <c r="UI38"/>
      <c r="UJ38"/>
      <c r="UK38"/>
      <c r="UL38"/>
      <c r="UM38"/>
      <c r="UN38"/>
      <c r="UO38"/>
      <c r="UP38"/>
      <c r="UQ38"/>
      <c r="UR38"/>
      <c r="US38"/>
      <c r="UT38"/>
      <c r="UU38"/>
      <c r="UV38"/>
      <c r="UW38"/>
      <c r="UX38"/>
      <c r="UY38"/>
      <c r="UZ38"/>
      <c r="VA38"/>
      <c r="VB38"/>
      <c r="VC38"/>
      <c r="VD38"/>
      <c r="VE38"/>
      <c r="VF38"/>
      <c r="VG38"/>
      <c r="VH38"/>
      <c r="VI38"/>
      <c r="VJ38"/>
      <c r="VK38"/>
      <c r="VL38"/>
      <c r="VM38"/>
      <c r="VN38"/>
      <c r="VO38"/>
      <c r="VP38"/>
      <c r="VQ38"/>
      <c r="VR38"/>
      <c r="VS38"/>
      <c r="VT38"/>
      <c r="VU38"/>
      <c r="VV38"/>
      <c r="VW38"/>
      <c r="VX38"/>
      <c r="VY38"/>
      <c r="VZ38"/>
      <c r="WA38"/>
      <c r="WB38"/>
      <c r="WC38"/>
      <c r="WD38"/>
      <c r="WE38"/>
      <c r="WF38"/>
      <c r="WG38"/>
      <c r="WH38"/>
      <c r="WI38"/>
      <c r="WJ38"/>
      <c r="WK38"/>
      <c r="WL38"/>
      <c r="WM38"/>
      <c r="WN38"/>
      <c r="WO38"/>
      <c r="WP38"/>
      <c r="WQ38"/>
      <c r="WR38"/>
      <c r="WS38"/>
      <c r="WT38"/>
      <c r="WU38"/>
      <c r="WV38"/>
      <c r="WW38"/>
      <c r="WX38"/>
      <c r="WY38"/>
      <c r="WZ38"/>
      <c r="XA38"/>
      <c r="XB38"/>
      <c r="XC38"/>
      <c r="XD38"/>
      <c r="XE38"/>
      <c r="XF38"/>
      <c r="XG38"/>
      <c r="XH38"/>
      <c r="XI38"/>
      <c r="XJ38"/>
      <c r="XK38"/>
      <c r="XL38"/>
      <c r="XM38"/>
      <c r="XN38"/>
      <c r="XO38"/>
      <c r="XP38"/>
      <c r="XQ38"/>
      <c r="XR38"/>
      <c r="XS38"/>
      <c r="XT38"/>
      <c r="XU38"/>
      <c r="XV38"/>
      <c r="XW38"/>
      <c r="XX38"/>
      <c r="XY38"/>
      <c r="XZ38"/>
      <c r="YA38"/>
      <c r="YB38"/>
      <c r="YC38"/>
      <c r="YD38"/>
      <c r="YE38"/>
      <c r="YF38"/>
      <c r="YG38"/>
      <c r="YH38"/>
      <c r="YI38"/>
      <c r="YJ38"/>
      <c r="YK38"/>
      <c r="YL38"/>
      <c r="YM38"/>
      <c r="YN38"/>
      <c r="YO38"/>
      <c r="YP38"/>
      <c r="YQ38"/>
      <c r="YR38"/>
      <c r="YS38"/>
      <c r="YT38"/>
      <c r="YU38"/>
      <c r="YV38"/>
      <c r="YW38"/>
      <c r="YX38"/>
      <c r="YY38"/>
      <c r="YZ38"/>
      <c r="ZA38"/>
      <c r="ZB38"/>
      <c r="ZC38"/>
      <c r="ZD38"/>
      <c r="ZE38"/>
      <c r="ZF38"/>
      <c r="ZG38"/>
      <c r="ZH38"/>
      <c r="ZI38"/>
      <c r="ZJ38"/>
      <c r="ZK38"/>
      <c r="ZL38"/>
      <c r="ZM38"/>
      <c r="ZN38"/>
      <c r="ZO38"/>
      <c r="ZP38"/>
      <c r="ZQ38"/>
      <c r="ZR38"/>
      <c r="ZS38"/>
      <c r="ZT38"/>
      <c r="ZU38"/>
      <c r="ZV38"/>
      <c r="ZW38"/>
      <c r="ZX38"/>
      <c r="ZY38"/>
      <c r="ZZ38"/>
      <c r="AAA38"/>
      <c r="AAB38"/>
      <c r="AAC38"/>
      <c r="AAD38"/>
      <c r="AAE38"/>
      <c r="AAF38"/>
      <c r="AAG38"/>
      <c r="AAH38"/>
      <c r="AAI38"/>
      <c r="AAJ38"/>
      <c r="AAK38"/>
      <c r="AAL38"/>
      <c r="AAM38"/>
      <c r="AAN38"/>
      <c r="AAO38"/>
      <c r="AAP38"/>
      <c r="AAQ38"/>
      <c r="AAR38"/>
      <c r="AAS38"/>
      <c r="AAT38"/>
      <c r="AAU38"/>
      <c r="AAV38"/>
      <c r="AAW38"/>
      <c r="AAX38"/>
      <c r="AAY38"/>
      <c r="AAZ38"/>
      <c r="ABA38"/>
      <c r="ABB38"/>
      <c r="ABC38"/>
      <c r="ABD38"/>
      <c r="ABE38"/>
      <c r="ABF38"/>
      <c r="ABG38"/>
      <c r="ABH38"/>
      <c r="ABI38"/>
      <c r="ABJ38"/>
      <c r="ABK38"/>
      <c r="ABL38"/>
      <c r="ABM38"/>
      <c r="ABN38"/>
      <c r="ABO38"/>
      <c r="ABP38"/>
      <c r="ABQ38"/>
      <c r="ABR38"/>
      <c r="ABS38"/>
      <c r="ABT38"/>
      <c r="ABU38"/>
      <c r="ABV38"/>
      <c r="ABW38"/>
      <c r="ABX38"/>
      <c r="ABY38"/>
      <c r="ABZ38"/>
      <c r="ACA38"/>
      <c r="ACB38"/>
      <c r="ACC38"/>
      <c r="ACD38"/>
      <c r="ACE38"/>
      <c r="ACF38"/>
      <c r="ACG38"/>
      <c r="ACH38"/>
      <c r="ACI38"/>
      <c r="ACJ38"/>
      <c r="ACK38"/>
      <c r="ACL38"/>
      <c r="ACM38"/>
      <c r="ACN38"/>
      <c r="ACO38"/>
      <c r="ACP38"/>
      <c r="ACQ38"/>
      <c r="ACR38"/>
      <c r="ACS38"/>
      <c r="ACT38"/>
      <c r="ACU38"/>
      <c r="ACV38"/>
      <c r="ACW38"/>
      <c r="ACX38"/>
      <c r="ACY38"/>
      <c r="ACZ38"/>
      <c r="ADA38"/>
      <c r="ADB38"/>
      <c r="ADC38"/>
      <c r="ADD38"/>
      <c r="ADE38"/>
      <c r="ADF38"/>
      <c r="ADG38"/>
      <c r="ADH38"/>
      <c r="ADI38"/>
      <c r="ADJ38"/>
      <c r="ADK38"/>
      <c r="ADL38"/>
      <c r="ADM38"/>
      <c r="ADN38"/>
      <c r="ADO38"/>
      <c r="ADP38"/>
      <c r="ADQ38"/>
      <c r="ADR38"/>
      <c r="ADS38"/>
      <c r="ADT38"/>
      <c r="ADU38"/>
      <c r="ADV38"/>
      <c r="ADW38"/>
      <c r="ADX38"/>
      <c r="ADY38"/>
      <c r="ADZ38"/>
      <c r="AEA38"/>
      <c r="AEB38"/>
      <c r="AEC38"/>
      <c r="AED38"/>
      <c r="AEE38"/>
      <c r="AEF38"/>
      <c r="AEG38"/>
      <c r="AEH38"/>
      <c r="AEI38"/>
      <c r="AEJ38"/>
      <c r="AEK38"/>
      <c r="AEL38"/>
      <c r="AEM38"/>
      <c r="AEN38"/>
      <c r="AEO38"/>
      <c r="AEP38"/>
      <c r="AEQ38"/>
      <c r="AER38"/>
      <c r="AES38"/>
      <c r="AET38"/>
      <c r="AEU38"/>
      <c r="AEV38"/>
      <c r="AEW38"/>
      <c r="AEX38"/>
      <c r="AEY38"/>
      <c r="AEZ38"/>
      <c r="AFA38"/>
      <c r="AFB38"/>
      <c r="AFC38"/>
      <c r="AFD38"/>
      <c r="AFE38"/>
      <c r="AFF38"/>
      <c r="AFG38"/>
      <c r="AFH38"/>
      <c r="AFI38"/>
      <c r="AFJ38"/>
      <c r="AFK38"/>
      <c r="AFL38"/>
      <c r="AFM38"/>
      <c r="AFN38"/>
      <c r="AFO38"/>
      <c r="AFP38"/>
      <c r="AFQ38"/>
      <c r="AFR38"/>
      <c r="AFS38"/>
      <c r="AFT38"/>
      <c r="AFU38"/>
      <c r="AFV38"/>
      <c r="AFW38"/>
      <c r="AFX38"/>
      <c r="AFY38"/>
      <c r="AFZ38"/>
      <c r="AGA38"/>
      <c r="AGB38"/>
      <c r="AGC38"/>
      <c r="AGD38"/>
      <c r="AGE38"/>
      <c r="AGF38"/>
      <c r="AGG38"/>
      <c r="AGH38"/>
      <c r="AGI38"/>
      <c r="AGJ38"/>
      <c r="AGK38"/>
      <c r="AGL38"/>
      <c r="AGM38"/>
      <c r="AGN38"/>
      <c r="AGO38"/>
      <c r="AGP38"/>
      <c r="AGQ38"/>
      <c r="AGR38"/>
      <c r="AGS38"/>
      <c r="AGT38"/>
      <c r="AGU38"/>
      <c r="AGV38"/>
      <c r="AGW38"/>
      <c r="AGX38"/>
      <c r="AGY38"/>
      <c r="AGZ38"/>
      <c r="AHA38"/>
      <c r="AHB38"/>
      <c r="AHC38"/>
      <c r="AHD38"/>
      <c r="AHE38"/>
      <c r="AHF38"/>
      <c r="AHG38"/>
      <c r="AHH38"/>
      <c r="AHI38"/>
      <c r="AHJ38"/>
      <c r="AHK38"/>
      <c r="AHL38"/>
      <c r="AHM38"/>
      <c r="AHN38"/>
      <c r="AHO38"/>
      <c r="AHP38"/>
      <c r="AHQ38"/>
      <c r="AHR38"/>
      <c r="AHS38"/>
      <c r="AHT38"/>
      <c r="AHU38"/>
      <c r="AHV38"/>
      <c r="AHW38"/>
      <c r="AHX38"/>
      <c r="AHY38"/>
      <c r="AHZ38"/>
      <c r="AIA38"/>
      <c r="AIB38"/>
      <c r="AIC38"/>
      <c r="AID38"/>
      <c r="AIE38"/>
      <c r="AIF38"/>
      <c r="AIG38"/>
      <c r="AIH38"/>
      <c r="AII38"/>
      <c r="AIJ38"/>
      <c r="AIK38"/>
      <c r="AIL38"/>
      <c r="AIM38"/>
      <c r="AIN38"/>
      <c r="AIO38"/>
      <c r="AIP38"/>
      <c r="AIQ38"/>
      <c r="AIR38"/>
      <c r="AIS38"/>
      <c r="AIT38"/>
      <c r="AIU38"/>
      <c r="AIV38"/>
      <c r="AIW38"/>
      <c r="AIX38"/>
      <c r="AIY38"/>
      <c r="AIZ38"/>
      <c r="AJA38"/>
      <c r="AJB38"/>
      <c r="AJC38"/>
      <c r="AJD38"/>
      <c r="AJE38"/>
      <c r="AJF38"/>
      <c r="AJG38"/>
      <c r="AJH38"/>
      <c r="AJI38"/>
      <c r="AJJ38"/>
      <c r="AJK38"/>
      <c r="AJL38"/>
      <c r="AJM38"/>
      <c r="AJN38"/>
      <c r="AJO38"/>
      <c r="AJP38"/>
      <c r="AJQ38"/>
      <c r="AJR38"/>
      <c r="AJS38"/>
      <c r="AJT38"/>
      <c r="AJU38"/>
      <c r="AJV38"/>
      <c r="AJW38"/>
      <c r="AJX38"/>
      <c r="AJY38"/>
      <c r="AJZ38"/>
      <c r="AKA38"/>
      <c r="AKB38"/>
      <c r="AKC38"/>
      <c r="AKD38"/>
      <c r="AKE38"/>
      <c r="AKF38"/>
      <c r="AKG38"/>
      <c r="AKH38"/>
      <c r="AKI38"/>
      <c r="AKJ38"/>
      <c r="AKK38"/>
      <c r="AKL38"/>
      <c r="AKM38"/>
      <c r="AKN38"/>
      <c r="AKO38"/>
      <c r="AKP38"/>
      <c r="AKQ38"/>
      <c r="AKR38"/>
      <c r="AKS38"/>
      <c r="AKT38"/>
      <c r="AKU38"/>
      <c r="AKV38"/>
      <c r="AKW38"/>
      <c r="AKX38"/>
      <c r="AKY38"/>
      <c r="AKZ38"/>
      <c r="ALA38"/>
      <c r="ALB38"/>
      <c r="ALC38"/>
      <c r="ALD38"/>
      <c r="ALE38"/>
      <c r="ALF38"/>
      <c r="ALG38"/>
      <c r="ALH38"/>
      <c r="ALI38"/>
      <c r="ALJ38"/>
      <c r="ALK38"/>
      <c r="ALL38"/>
      <c r="ALM38"/>
      <c r="ALN38"/>
      <c r="ALO38"/>
      <c r="ALP38"/>
      <c r="ALQ38"/>
      <c r="ALR38"/>
      <c r="ALS38"/>
      <c r="ALT38"/>
      <c r="ALU38"/>
      <c r="ALV38"/>
      <c r="ALW38"/>
      <c r="ALX38"/>
      <c r="ALY38"/>
      <c r="ALZ38"/>
      <c r="AMA38"/>
      <c r="AMB38"/>
      <c r="AMC38"/>
      <c r="AMD38"/>
      <c r="AME38"/>
      <c r="AMF38"/>
      <c r="AMG38"/>
      <c r="AMH38"/>
      <c r="AMI38"/>
      <c r="AMJ38"/>
    </row>
  </sheetData>
  <mergeCells count="48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38:I38"/>
    <mergeCell ref="J38:K38"/>
    <mergeCell ref="C12:G12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  <mergeCell ref="C24:G24"/>
    <mergeCell ref="C25:G25"/>
    <mergeCell ref="C26:G26"/>
    <mergeCell ref="C27:G27"/>
    <mergeCell ref="C28:G28"/>
    <mergeCell ref="C29:G29"/>
    <mergeCell ref="C30:G30"/>
    <mergeCell ref="C36:G36"/>
    <mergeCell ref="C37:G37"/>
    <mergeCell ref="C31:G31"/>
    <mergeCell ref="C32:G32"/>
    <mergeCell ref="C33:G33"/>
    <mergeCell ref="C34:G34"/>
    <mergeCell ref="C35:G3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topLeftCell="A10" zoomScale="130" zoomScaleNormal="130" workbookViewId="0">
      <selection activeCell="S18" sqref="S18"/>
    </sheetView>
  </sheetViews>
  <sheetFormatPr baseColWidth="10" defaultColWidth="11" defaultRowHeight="12.75" x14ac:dyDescent="0.2"/>
  <cols>
    <col min="1" max="4" width="4.42578125" customWidth="1"/>
    <col min="5" max="5" width="4.140625" customWidth="1"/>
    <col min="6" max="6" width="5.140625" customWidth="1"/>
    <col min="7" max="7" width="4.42578125" style="9" customWidth="1"/>
    <col min="8" max="14" width="4.42578125" customWidth="1"/>
    <col min="15" max="16" width="14.85546875" customWidth="1"/>
    <col min="17" max="17" width="14.7109375" customWidth="1"/>
    <col min="19" max="19" width="13.28515625" bestFit="1" customWidth="1"/>
  </cols>
  <sheetData>
    <row r="1" spans="1:17" ht="15.75" customHeight="1" x14ac:dyDescent="0.25">
      <c r="A1" s="142" t="s">
        <v>3</v>
      </c>
      <c r="B1" s="142"/>
      <c r="C1" s="142"/>
      <c r="D1" s="143">
        <f>'Necesidades Trimestrales'!C6</f>
        <v>2022</v>
      </c>
      <c r="E1" s="143"/>
      <c r="F1" s="10"/>
      <c r="G1" s="10"/>
      <c r="H1" s="11"/>
      <c r="I1" s="11"/>
      <c r="J1" s="11"/>
      <c r="K1" s="11"/>
      <c r="L1" s="11"/>
      <c r="M1" s="11"/>
      <c r="N1" s="11"/>
      <c r="P1" s="144" t="s">
        <v>30</v>
      </c>
      <c r="Q1" s="144"/>
    </row>
    <row r="2" spans="1:17" ht="15.75" customHeight="1" x14ac:dyDescent="0.2">
      <c r="H2" s="11"/>
      <c r="I2" s="11"/>
      <c r="J2" s="11"/>
      <c r="K2" s="11"/>
      <c r="L2" s="11"/>
      <c r="M2" s="11"/>
      <c r="N2" s="11"/>
      <c r="P2" s="144"/>
      <c r="Q2" s="144"/>
    </row>
    <row r="4" spans="1:17" s="12" customFormat="1" ht="18" customHeight="1" thickBot="1" x14ac:dyDescent="0.25">
      <c r="A4" s="145" t="s">
        <v>31</v>
      </c>
      <c r="B4" s="145"/>
      <c r="C4" s="145"/>
      <c r="D4" s="145"/>
      <c r="E4" s="145"/>
      <c r="F4" s="145"/>
      <c r="G4" s="140" t="str">
        <f>NotaPedido!D3</f>
        <v>40 - Ministerio de Salud</v>
      </c>
      <c r="H4" s="140"/>
      <c r="I4" s="140"/>
      <c r="J4" s="140"/>
      <c r="K4" s="140"/>
      <c r="L4" s="140"/>
      <c r="M4" s="140"/>
      <c r="N4" s="140"/>
      <c r="O4" s="140"/>
      <c r="P4" s="140"/>
      <c r="Q4" s="140"/>
    </row>
    <row r="5" spans="1:17" s="12" customFormat="1" ht="18" customHeight="1" thickBot="1" x14ac:dyDescent="0.25">
      <c r="A5" s="137" t="s">
        <v>54</v>
      </c>
      <c r="B5" s="138"/>
      <c r="C5" s="138"/>
      <c r="D5" s="138"/>
      <c r="E5" s="138"/>
      <c r="F5" s="139"/>
      <c r="G5" s="140" t="str">
        <f>NotaPedido!D4</f>
        <v>23 - Hospital Interzonal San Juan Bautista</v>
      </c>
      <c r="H5" s="140"/>
      <c r="I5" s="140"/>
      <c r="J5" s="140"/>
      <c r="K5" s="140"/>
      <c r="L5" s="140"/>
      <c r="M5" s="140"/>
      <c r="N5" s="140"/>
      <c r="O5" s="140"/>
      <c r="P5" s="140"/>
      <c r="Q5" s="140"/>
    </row>
    <row r="6" spans="1:17" s="12" customFormat="1" ht="18" customHeight="1" thickBot="1" x14ac:dyDescent="0.25">
      <c r="A6" s="137" t="s">
        <v>32</v>
      </c>
      <c r="B6" s="138"/>
      <c r="C6" s="138"/>
      <c r="D6" s="138"/>
      <c r="E6" s="138"/>
      <c r="F6" s="139"/>
      <c r="G6" s="140" t="str">
        <f>NotaPedido!D5</f>
        <v>168 - Direccion Asistencial</v>
      </c>
      <c r="H6" s="140"/>
      <c r="I6" s="140"/>
      <c r="J6" s="140"/>
      <c r="K6" s="140"/>
      <c r="L6" s="140"/>
      <c r="M6" s="140"/>
      <c r="N6" s="140"/>
      <c r="O6" s="140"/>
      <c r="P6" s="140"/>
      <c r="Q6" s="140"/>
    </row>
    <row r="7" spans="1:17" s="12" customFormat="1" ht="18" customHeight="1" thickBot="1" x14ac:dyDescent="0.25">
      <c r="A7" s="137" t="s">
        <v>55</v>
      </c>
      <c r="B7" s="138"/>
      <c r="C7" s="138"/>
      <c r="D7" s="138"/>
      <c r="E7" s="138"/>
      <c r="F7" s="139"/>
      <c r="G7" s="140" t="str">
        <f>NotaPedido!D6</f>
        <v>Servicio de Farmacia</v>
      </c>
      <c r="H7" s="140"/>
      <c r="I7" s="140"/>
      <c r="J7" s="140"/>
      <c r="K7" s="140"/>
      <c r="L7" s="140"/>
      <c r="M7" s="140"/>
      <c r="N7" s="140"/>
      <c r="O7" s="140"/>
      <c r="P7" s="140"/>
      <c r="Q7" s="140"/>
    </row>
    <row r="8" spans="1:17" ht="18" customHeight="1" thickBot="1" x14ac:dyDescent="0.25">
      <c r="A8" s="141" t="s">
        <v>33</v>
      </c>
      <c r="B8" s="141"/>
      <c r="C8" s="141"/>
      <c r="D8" s="141"/>
      <c r="E8" s="141"/>
      <c r="F8" s="141"/>
      <c r="G8" s="141"/>
      <c r="H8" s="141"/>
      <c r="I8" s="141"/>
      <c r="J8" s="141"/>
      <c r="K8" s="141"/>
      <c r="L8" s="141"/>
      <c r="M8" s="141"/>
      <c r="N8" s="141"/>
      <c r="O8" s="141"/>
      <c r="P8" s="141"/>
      <c r="Q8" s="141"/>
    </row>
    <row r="9" spans="1:17" ht="18" customHeight="1" x14ac:dyDescent="0.2">
      <c r="A9" s="131" t="s">
        <v>34</v>
      </c>
      <c r="B9" s="131"/>
      <c r="C9" s="131"/>
      <c r="D9" s="131"/>
      <c r="E9" s="131"/>
      <c r="F9" s="131"/>
      <c r="G9" s="131"/>
      <c r="H9" s="131"/>
      <c r="I9" s="131"/>
      <c r="J9" s="131"/>
      <c r="K9" s="131"/>
      <c r="L9" s="131"/>
      <c r="M9" s="131"/>
      <c r="N9" s="131"/>
      <c r="O9" s="1"/>
      <c r="P9" s="1"/>
      <c r="Q9" s="13"/>
    </row>
    <row r="10" spans="1:17" ht="54.75" customHeight="1" x14ac:dyDescent="0.2">
      <c r="A10" s="132" t="str">
        <f>"Autorizo la realización de los  trámites correspondientes, a fin de proveer a  este Organismo los bienes y/o servicios que se detallan en Nota de Pedido N° " &amp; NotaPedido!K1&amp;",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de Pedido N° 014 - 2022,  afectando la erogación resultante a los créditos presupuestarios aprobados a favor de esta Unidad Ejecutora, conforme al siguiente detalle:</v>
      </c>
      <c r="B10" s="132"/>
      <c r="C10" s="132"/>
      <c r="D10" s="132"/>
      <c r="E10" s="132"/>
      <c r="F10" s="132"/>
      <c r="G10" s="132"/>
      <c r="H10" s="132"/>
      <c r="I10" s="132"/>
      <c r="J10" s="132"/>
      <c r="K10" s="132"/>
      <c r="L10" s="132"/>
      <c r="M10" s="132"/>
      <c r="N10" s="132"/>
      <c r="O10" s="132"/>
      <c r="P10" s="132"/>
      <c r="Q10" s="132"/>
    </row>
    <row r="11" spans="1:17" ht="9" customHeight="1" x14ac:dyDescent="0.2">
      <c r="A11" s="14"/>
      <c r="B11" s="15"/>
      <c r="C11" s="15"/>
      <c r="D11" s="15"/>
      <c r="E11" s="15"/>
      <c r="F11" s="15"/>
      <c r="G11" s="16"/>
      <c r="H11" s="15"/>
      <c r="I11" s="15"/>
      <c r="J11" s="15"/>
      <c r="K11" s="15"/>
      <c r="L11" s="15"/>
      <c r="M11" s="15"/>
      <c r="N11" s="15"/>
      <c r="O11" s="15"/>
      <c r="P11" s="15"/>
      <c r="Q11" s="17"/>
    </row>
    <row r="12" spans="1:17" ht="15.75" customHeight="1" x14ac:dyDescent="0.2">
      <c r="A12" s="133" t="s">
        <v>35</v>
      </c>
      <c r="B12" s="133"/>
      <c r="C12" s="133"/>
      <c r="D12" s="133"/>
      <c r="E12" s="133"/>
      <c r="F12" s="133"/>
      <c r="G12" s="133"/>
      <c r="H12" s="133"/>
      <c r="I12" s="133"/>
      <c r="J12" s="133"/>
      <c r="K12" s="133"/>
      <c r="L12" s="133"/>
      <c r="M12" s="133"/>
      <c r="N12" s="133"/>
      <c r="O12" s="133"/>
      <c r="P12" s="133"/>
      <c r="Q12" s="133"/>
    </row>
    <row r="13" spans="1:17" ht="15.75" customHeight="1" x14ac:dyDescent="0.2">
      <c r="A13" s="134" t="s">
        <v>36</v>
      </c>
      <c r="B13" s="134"/>
      <c r="C13" s="134"/>
      <c r="D13" s="134"/>
      <c r="E13" s="134"/>
      <c r="F13" s="134"/>
      <c r="G13" s="134"/>
      <c r="H13" s="134"/>
      <c r="I13" s="134"/>
      <c r="J13" s="134"/>
      <c r="K13" s="134"/>
      <c r="L13" s="134"/>
      <c r="M13" s="134"/>
      <c r="N13" s="134"/>
      <c r="O13" s="135" t="s">
        <v>37</v>
      </c>
      <c r="P13" s="135"/>
      <c r="Q13" s="136" t="s">
        <v>38</v>
      </c>
    </row>
    <row r="14" spans="1:17" ht="15.75" customHeight="1" x14ac:dyDescent="0.2">
      <c r="A14" s="18" t="s">
        <v>39</v>
      </c>
      <c r="B14" s="19" t="s">
        <v>40</v>
      </c>
      <c r="C14" s="19" t="s">
        <v>41</v>
      </c>
      <c r="D14" s="19" t="s">
        <v>42</v>
      </c>
      <c r="E14" s="19" t="s">
        <v>43</v>
      </c>
      <c r="F14" s="19" t="s">
        <v>44</v>
      </c>
      <c r="G14" s="20" t="s">
        <v>45</v>
      </c>
      <c r="H14" s="19" t="s">
        <v>46</v>
      </c>
      <c r="I14" s="19" t="s">
        <v>47</v>
      </c>
      <c r="J14" s="19" t="s">
        <v>48</v>
      </c>
      <c r="K14" s="19" t="s">
        <v>48</v>
      </c>
      <c r="L14" s="19" t="s">
        <v>49</v>
      </c>
      <c r="M14" s="21" t="s">
        <v>50</v>
      </c>
      <c r="N14" s="22" t="s">
        <v>51</v>
      </c>
      <c r="O14" s="135"/>
      <c r="P14" s="135"/>
      <c r="Q14" s="136"/>
    </row>
    <row r="15" spans="1:17" ht="17.25" customHeight="1" x14ac:dyDescent="0.2">
      <c r="A15" s="66">
        <v>33</v>
      </c>
      <c r="B15" s="67"/>
      <c r="C15" s="67"/>
      <c r="D15" s="67">
        <v>2</v>
      </c>
      <c r="E15" s="67"/>
      <c r="F15" s="67">
        <v>4901</v>
      </c>
      <c r="G15" s="67">
        <v>3</v>
      </c>
      <c r="H15" s="68" t="s">
        <v>62</v>
      </c>
      <c r="I15" s="69">
        <v>2</v>
      </c>
      <c r="J15" s="69">
        <v>9</v>
      </c>
      <c r="K15" s="69">
        <v>5</v>
      </c>
      <c r="L15" s="67"/>
      <c r="M15" s="70">
        <v>1</v>
      </c>
      <c r="N15" s="68" t="s">
        <v>63</v>
      </c>
      <c r="O15" s="128" t="s">
        <v>64</v>
      </c>
      <c r="P15" s="128"/>
      <c r="Q15" s="23">
        <v>2778392</v>
      </c>
    </row>
    <row r="16" spans="1:17" ht="17.25" customHeight="1" x14ac:dyDescent="0.2">
      <c r="A16" s="24"/>
      <c r="B16" s="25"/>
      <c r="C16" s="25"/>
      <c r="D16" s="25"/>
      <c r="E16" s="25"/>
      <c r="F16" s="25"/>
      <c r="G16" s="25"/>
      <c r="H16" s="64"/>
      <c r="I16" s="25"/>
      <c r="J16" s="25"/>
      <c r="K16" s="25"/>
      <c r="L16" s="25"/>
      <c r="M16" s="26"/>
      <c r="N16" s="65"/>
      <c r="O16" s="129"/>
      <c r="P16" s="129"/>
      <c r="Q16" s="28"/>
    </row>
    <row r="17" spans="1:19" ht="17.25" customHeight="1" x14ac:dyDescent="0.2">
      <c r="A17" s="24"/>
      <c r="B17" s="25"/>
      <c r="C17" s="25"/>
      <c r="D17" s="25"/>
      <c r="E17" s="25"/>
      <c r="F17" s="27"/>
      <c r="G17" s="25"/>
      <c r="H17" s="64"/>
      <c r="I17" s="25"/>
      <c r="J17" s="25"/>
      <c r="K17" s="25"/>
      <c r="L17" s="25"/>
      <c r="M17" s="26"/>
      <c r="N17" s="65"/>
      <c r="O17" s="129"/>
      <c r="P17" s="129"/>
      <c r="Q17" s="28"/>
      <c r="S17" s="71"/>
    </row>
    <row r="18" spans="1:19" ht="17.25" customHeight="1" x14ac:dyDescent="0.2">
      <c r="A18" s="24"/>
      <c r="B18" s="25"/>
      <c r="C18" s="25"/>
      <c r="D18" s="25"/>
      <c r="E18" s="25"/>
      <c r="F18" s="25"/>
      <c r="G18" s="25"/>
      <c r="H18" s="64"/>
      <c r="I18" s="25"/>
      <c r="J18" s="25"/>
      <c r="K18" s="25"/>
      <c r="L18" s="25"/>
      <c r="M18" s="26"/>
      <c r="N18" s="65"/>
      <c r="O18" s="130"/>
      <c r="P18" s="123"/>
      <c r="Q18" s="28"/>
    </row>
    <row r="19" spans="1:19" ht="17.25" customHeight="1" x14ac:dyDescent="0.2">
      <c r="A19" s="24"/>
      <c r="B19" s="25"/>
      <c r="C19" s="25"/>
      <c r="D19" s="25"/>
      <c r="E19" s="25"/>
      <c r="F19" s="27"/>
      <c r="G19" s="25"/>
      <c r="H19" s="25"/>
      <c r="I19" s="25"/>
      <c r="J19" s="25"/>
      <c r="K19" s="25"/>
      <c r="L19" s="25"/>
      <c r="M19" s="26"/>
      <c r="N19" s="27"/>
      <c r="O19" s="123"/>
      <c r="P19" s="123"/>
      <c r="Q19" s="28"/>
    </row>
    <row r="20" spans="1:19" ht="17.25" customHeight="1" x14ac:dyDescent="0.2">
      <c r="A20" s="24"/>
      <c r="B20" s="25"/>
      <c r="C20" s="25"/>
      <c r="D20" s="25"/>
      <c r="E20" s="25"/>
      <c r="F20" s="27"/>
      <c r="G20" s="25"/>
      <c r="H20" s="25"/>
      <c r="I20" s="25"/>
      <c r="J20" s="25"/>
      <c r="K20" s="25"/>
      <c r="L20" s="25"/>
      <c r="M20" s="26"/>
      <c r="N20" s="27"/>
      <c r="O20" s="123"/>
      <c r="P20" s="123"/>
      <c r="Q20" s="28"/>
    </row>
    <row r="21" spans="1:19" ht="17.25" customHeight="1" x14ac:dyDescent="0.2">
      <c r="A21" s="29"/>
      <c r="B21" s="30"/>
      <c r="C21" s="30"/>
      <c r="D21" s="30"/>
      <c r="E21" s="30"/>
      <c r="F21" s="31"/>
      <c r="G21" s="30"/>
      <c r="H21" s="30"/>
      <c r="I21" s="30"/>
      <c r="J21" s="30"/>
      <c r="K21" s="30"/>
      <c r="L21" s="30"/>
      <c r="M21" s="32"/>
      <c r="N21" s="33"/>
      <c r="O21" s="124"/>
      <c r="P21" s="124"/>
      <c r="Q21" s="28"/>
      <c r="R21" s="1"/>
    </row>
    <row r="22" spans="1:19" ht="17.25" customHeight="1" x14ac:dyDescent="0.2">
      <c r="A22" s="34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6"/>
      <c r="N22" s="35"/>
      <c r="O22" s="125"/>
      <c r="P22" s="125"/>
      <c r="Q22" s="37"/>
    </row>
    <row r="23" spans="1:19" ht="20.25" customHeight="1" x14ac:dyDescent="0.2">
      <c r="A23" s="126" t="s">
        <v>93</v>
      </c>
      <c r="B23" s="126"/>
      <c r="C23" s="126"/>
      <c r="D23" s="126"/>
      <c r="E23" s="126"/>
      <c r="F23" s="126"/>
      <c r="G23" s="126"/>
      <c r="H23" s="126"/>
      <c r="I23" s="126"/>
      <c r="J23" s="126"/>
      <c r="K23" s="126"/>
      <c r="L23" s="126"/>
      <c r="M23" s="126"/>
      <c r="N23" s="126"/>
      <c r="O23" s="126"/>
      <c r="P23" s="126"/>
      <c r="Q23" s="38">
        <f>SUM(Q15:Q22)</f>
        <v>2778392</v>
      </c>
    </row>
    <row r="24" spans="1:19" ht="18" customHeight="1" thickBot="1" x14ac:dyDescent="0.25">
      <c r="A24" s="127"/>
      <c r="B24" s="127"/>
      <c r="C24" s="127"/>
      <c r="D24" s="127"/>
      <c r="E24" s="127"/>
      <c r="F24" s="127"/>
      <c r="G24" s="127"/>
      <c r="H24" s="127"/>
      <c r="I24" s="127"/>
      <c r="J24" s="127"/>
      <c r="K24" s="127"/>
      <c r="L24" s="127"/>
      <c r="M24" s="127"/>
      <c r="N24" s="127"/>
      <c r="O24" s="127"/>
      <c r="P24" s="127"/>
      <c r="Q24" s="127"/>
    </row>
    <row r="25" spans="1:19" ht="17.25" customHeight="1" thickBot="1" x14ac:dyDescent="0.25">
      <c r="A25" s="118" t="s">
        <v>52</v>
      </c>
      <c r="B25" s="119"/>
      <c r="C25" s="119"/>
      <c r="D25" s="119"/>
      <c r="E25" s="119"/>
      <c r="F25" s="120"/>
      <c r="G25" s="121"/>
      <c r="H25" s="121"/>
      <c r="I25" s="121"/>
      <c r="J25" s="121"/>
      <c r="K25" s="121"/>
      <c r="L25" s="121"/>
      <c r="M25" s="121"/>
      <c r="N25" s="121"/>
      <c r="O25" s="121"/>
      <c r="P25" s="121"/>
      <c r="Q25" s="121"/>
    </row>
    <row r="26" spans="1:19" ht="18" customHeight="1" thickBot="1" x14ac:dyDescent="0.25">
      <c r="A26" s="122" t="str">
        <f>"Para la "&amp; NotaPedido!D8 &amp;" para ser destinados al " &amp; NotaPedido!D6 &amp;"  del HISJB del Ministerio de Salud."</f>
        <v>Para la Adquisición de Suturas para ser destinados al Servicio de Farmacia  del HISJB del Ministerio de Salud.</v>
      </c>
      <c r="B26" s="122"/>
      <c r="C26" s="122"/>
      <c r="D26" s="122"/>
      <c r="E26" s="122"/>
      <c r="F26" s="122"/>
      <c r="G26" s="122"/>
      <c r="H26" s="122"/>
      <c r="I26" s="122"/>
      <c r="J26" s="122"/>
      <c r="K26" s="122"/>
      <c r="L26" s="122"/>
      <c r="M26" s="122"/>
      <c r="N26" s="122"/>
      <c r="O26" s="122"/>
      <c r="P26" s="122"/>
      <c r="Q26" s="122"/>
    </row>
    <row r="27" spans="1:19" ht="15" customHeight="1" x14ac:dyDescent="0.2">
      <c r="A27" s="122"/>
      <c r="B27" s="122"/>
      <c r="C27" s="122"/>
      <c r="D27" s="122"/>
      <c r="E27" s="122"/>
      <c r="F27" s="122"/>
      <c r="G27" s="122"/>
      <c r="H27" s="122"/>
      <c r="I27" s="122"/>
      <c r="J27" s="122"/>
      <c r="K27" s="122"/>
      <c r="L27" s="122"/>
      <c r="M27" s="122"/>
      <c r="N27" s="122"/>
      <c r="O27" s="122"/>
      <c r="P27" s="122"/>
      <c r="Q27" s="122"/>
    </row>
  </sheetData>
  <mergeCells count="31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A25:F25"/>
    <mergeCell ref="G25:Q25"/>
    <mergeCell ref="A26:Q27"/>
    <mergeCell ref="O20:P20"/>
    <mergeCell ref="O21:P21"/>
    <mergeCell ref="O22:P22"/>
    <mergeCell ref="A23:P23"/>
    <mergeCell ref="A24:Q2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NotaPedido</vt:lpstr>
      <vt:lpstr>Autor Gastar</vt:lpstr>
      <vt:lpstr>'Autor Gastar'!Área_de_impresión</vt:lpstr>
      <vt:lpstr>NotaPedido!Área_de_impresión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llicta6</dc:creator>
  <cp:lastModifiedBy>LICITACION23</cp:lastModifiedBy>
  <cp:revision>2</cp:revision>
  <cp:lastPrinted>2020-07-17T22:18:48Z</cp:lastPrinted>
  <dcterms:created xsi:type="dcterms:W3CDTF">2020-07-17T23:44:49Z</dcterms:created>
  <dcterms:modified xsi:type="dcterms:W3CDTF">2022-02-21T11:59:42Z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