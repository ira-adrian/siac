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40" windowHeight="1257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5" i="2" l="1"/>
  <c r="J15" i="2"/>
  <c r="I15" i="2"/>
  <c r="C15" i="2"/>
  <c r="B15" i="2"/>
  <c r="K14" i="2"/>
  <c r="J14" i="2"/>
  <c r="I14" i="2"/>
  <c r="C14" i="2"/>
  <c r="B14" i="2"/>
  <c r="K13" i="2"/>
  <c r="J13" i="2"/>
  <c r="I13" i="2"/>
  <c r="C13" i="2"/>
  <c r="B13" i="2"/>
  <c r="I13" i="1"/>
  <c r="I12" i="1"/>
  <c r="I11" i="1"/>
  <c r="D13" i="1"/>
  <c r="D12" i="1"/>
  <c r="D11" i="1"/>
  <c r="B12" i="2" l="1"/>
  <c r="G6" i="3" l="1"/>
  <c r="G7" i="3"/>
  <c r="D7" i="2"/>
  <c r="D3" i="2"/>
  <c r="G4" i="3" s="1"/>
  <c r="D4" i="2"/>
  <c r="G5" i="3" s="1"/>
  <c r="A10" i="3" l="1"/>
  <c r="D1" i="3"/>
  <c r="K12" i="2"/>
  <c r="J12" i="2"/>
  <c r="J17" i="2" s="1"/>
  <c r="I12" i="2"/>
  <c r="C12" i="2"/>
  <c r="I10" i="1"/>
  <c r="Q15" i="3" s="1"/>
  <c r="Q23" i="3" s="1"/>
  <c r="D10" i="1"/>
</calcChain>
</file>

<file path=xl/sharedStrings.xml><?xml version="1.0" encoding="utf-8"?>
<sst xmlns="http://schemas.openxmlformats.org/spreadsheetml/2006/main" count="138" uniqueCount="91">
  <si>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</si>
  <si>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</si>
  <si>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</si>
  <si>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</si>
  <si>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</si>
  <si>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</si>
  <si>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</si>
  <si>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</si>
  <si>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</si>
  <si>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</si>
  <si>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</si>
  <si>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</si>
  <si>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</si>
  <si>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</si>
  <si>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</si>
  <si>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</si>
  <si>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</si>
  <si>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</si>
  <si>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</si>
  <si>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</si>
  <si>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</si>
  <si>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</si>
  <si>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</si>
  <si>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</si>
  <si>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</si>
  <si>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</si>
  <si>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</si>
  <si>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</si>
  <si>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</si>
  <si>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</si>
  <si>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</si>
  <si>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</si>
  <si>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</si>
  <si>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</si>
  <si>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</si>
  <si>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</si>
  <si>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</si>
  <si>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</si>
  <si>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</si>
  <si>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</si>
  <si>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</si>
  <si>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</si>
  <si>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</si>
  <si>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</si>
  <si>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</si>
  <si>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</si>
  <si>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</si>
  <si>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</si>
  <si>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</si>
  <si>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</si>
  <si>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</si>
  <si>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</si>
  <si>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</si>
  <si>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</si>
  <si>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</si>
  <si>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</si>
  <si>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</si>
  <si>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</si>
  <si>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</si>
  <si>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</si>
  <si>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NUEVO</t>
  </si>
  <si>
    <t>35 - Ministerio de Vivienda y Urbanizacion</t>
  </si>
  <si>
    <t>48 - Direccion Provincial de Gestion de Administracion y Recursos Humanos</t>
  </si>
  <si>
    <t>Ministerio de Vivienda y Urbanizacion</t>
  </si>
  <si>
    <t>1.1</t>
  </si>
  <si>
    <t>30 Dias.-</t>
  </si>
  <si>
    <t>MATERIALES DE CONSTRUCCION</t>
  </si>
  <si>
    <t>SI</t>
  </si>
  <si>
    <t>DENTRO DE LOS 15 DIAS HABILES, A PARTIR DEL PERFECCIONAMIENTO DEL DOCUMENTO CONTRACTUAL.</t>
  </si>
  <si>
    <t>DEBIENDO CORRER LOS GASTOS DE FLETES, ACARREO, CARGA Y DESCARGA POR PARTE DEL ADJUDICATARIO.</t>
  </si>
  <si>
    <t>2.7.4-2123.145</t>
  </si>
  <si>
    <t>CONSTRUCCION</t>
  </si>
  <si>
    <t>CAÑOS ESTRUCTURALES; MATERIAL: ACERO SAE 1010, TIPO: RECTANGULAR, SECCION: 50 X 50 mm, ESPESOR: 2 mm, LARGO: 6 M</t>
  </si>
  <si>
    <t>2.7.1-1061.101</t>
  </si>
  <si>
    <t>HIERRO ANGULO; TRATAMIENTO: SAE 1010, LADO X LADO X ESP: 1 X 1 X 3/16 pulg</t>
  </si>
  <si>
    <t>2.6.4-6085.5</t>
  </si>
  <si>
    <t>CHAPAS FIBROCEMENTO; LARGO: 122 Cm, ANCHO: 244 Cm, ESPESOR: 10 mm, TIPO: PLACA CEMENTICIDA</t>
  </si>
  <si>
    <t>2.7.1-331.83</t>
  </si>
  <si>
    <t>CHAPAS GALVANIZADAS; ANCHO: 1000 mm, CALIBRE BWG: 27 mm, LARGO: 2000 mm</t>
  </si>
  <si>
    <t>Especificidades Item N° 3:</t>
  </si>
  <si>
    <t>Especificidades Item N° 4:</t>
  </si>
  <si>
    <t>ESTRUCTURAS METALICAS ACABADAS</t>
  </si>
  <si>
    <t>PRODUCTOS DE CEMENTO, ASBESTOS Y YESO</t>
  </si>
  <si>
    <t>PRODUCTOS FERROSOS</t>
  </si>
  <si>
    <t>Costo total estimado: Seis Millones Cuatrocientos Cincuenta y Ocho Mil Quinientos con 00/100</t>
  </si>
  <si>
    <r>
      <t xml:space="preserve">TOTAL DE PESOS: </t>
    </r>
    <r>
      <rPr>
        <b/>
        <sz val="10"/>
        <rFont val="Arial"/>
        <family val="2"/>
      </rPr>
      <t>Seis Millones Cuatrocientos Cincuenta y Ocho Mil Quinientos con 00/100</t>
    </r>
  </si>
  <si>
    <t>CAÑO ESTRUCTURAL DE ACERO RECTANGULAR DE 50X50mm, ESPESOR 2mm. 6 METROS DE LARGO</t>
  </si>
  <si>
    <t>CHAPA DE FIBROCEMENTO 1.22 METROS DE LARGO X 2.44 METROS DE ANCHO X 10mm ESPESOR. TIPO CEMENTICIA.</t>
  </si>
  <si>
    <t>CHAPA GALVANIZADA DE 1 METRO DE ANCHO X 2 MTROS DE LARGO. CALIBRE BWG: 27mm.</t>
  </si>
  <si>
    <t>HIERRO ANGULO DE 1 X 1 X 3/16 Pulgadas.</t>
  </si>
  <si>
    <t>ADQUISICION DE HIERROS Y CHAPAS PARA CUBRIR EMERGENCIAS.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</si>
</sst>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  <charset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0" fillId="3" borderId="40" xfId="0" applyFont="1" applyFill="1" applyBorder="1" applyAlignment="1">
      <alignment horizontal="center" vertical="center"/>
    </xf>
    <xf numFmtId="0" fontId="0" fillId="3" borderId="41" xfId="0" applyFont="1" applyFill="1" applyBorder="1" applyAlignment="1">
      <alignment horizontal="center" vertical="center"/>
    </xf>
    <xf numFmtId="0" fontId="0" fillId="4" borderId="41" xfId="0" applyFont="1" applyFill="1" applyBorder="1" applyAlignment="1">
      <alignment horizontal="center" vertical="center"/>
    </xf>
    <xf numFmtId="0" fontId="0" fillId="3" borderId="42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right" vertical="center"/>
    </xf>
    <xf numFmtId="0" fontId="6" fillId="3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4" fillId="4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/>
    </xf>
    <xf numFmtId="0" fontId="4" fillId="3" borderId="2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166" fontId="4" fillId="4" borderId="26" xfId="1" applyNumberFormat="1" applyFont="1" applyFill="1" applyBorder="1" applyAlignment="1" applyProtection="1">
      <alignment horizontal="right" vertical="center" wrapText="1"/>
    </xf>
    <xf numFmtId="3" fontId="4" fillId="4" borderId="26" xfId="0" applyNumberFormat="1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left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3" fontId="4" fillId="4" borderId="28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16" fillId="4" borderId="0" xfId="0" applyFont="1" applyFill="1"/>
    <xf numFmtId="0" fontId="19" fillId="4" borderId="0" xfId="0" applyFont="1" applyFill="1" applyAlignment="1">
      <alignment horizontal="left" wrapText="1"/>
    </xf>
    <xf numFmtId="0" fontId="19" fillId="4" borderId="0" xfId="0" applyFont="1" applyFill="1" applyAlignment="1">
      <alignment horizontal="center" wrapText="1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0" fillId="4" borderId="2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center" wrapText="1"/>
    </xf>
    <xf numFmtId="0" fontId="19" fillId="4" borderId="8" xfId="0" applyFont="1" applyFill="1" applyBorder="1" applyAlignment="1">
      <alignment horizontal="right" wrapText="1"/>
    </xf>
    <xf numFmtId="0" fontId="23" fillId="4" borderId="9" xfId="0" applyFont="1" applyFill="1" applyBorder="1"/>
    <xf numFmtId="0" fontId="16" fillId="4" borderId="10" xfId="0" applyFont="1" applyFill="1" applyBorder="1"/>
    <xf numFmtId="0" fontId="16" fillId="4" borderId="11" xfId="0" applyFont="1" applyFill="1" applyBorder="1"/>
    <xf numFmtId="0" fontId="16" fillId="4" borderId="12" xfId="0" applyFont="1" applyFill="1" applyBorder="1"/>
    <xf numFmtId="0" fontId="16" fillId="4" borderId="0" xfId="0" applyFont="1" applyFill="1" applyBorder="1"/>
    <xf numFmtId="0" fontId="16" fillId="4" borderId="13" xfId="0" applyFont="1" applyFill="1" applyBorder="1"/>
    <xf numFmtId="0" fontId="23" fillId="4" borderId="12" xfId="0" applyFont="1" applyFill="1" applyBorder="1" applyAlignment="1">
      <alignment horizontal="left" indent="3"/>
    </xf>
    <xf numFmtId="0" fontId="16" fillId="4" borderId="12" xfId="0" applyFont="1" applyFill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13" xfId="0" applyFont="1" applyFill="1" applyBorder="1" applyAlignment="1">
      <alignment horizontal="center" wrapText="1"/>
    </xf>
    <xf numFmtId="0" fontId="16" fillId="4" borderId="14" xfId="0" applyFont="1" applyFill="1" applyBorder="1" applyAlignment="1">
      <alignment horizontal="left" indent="3"/>
    </xf>
    <xf numFmtId="0" fontId="16" fillId="4" borderId="15" xfId="0" applyFont="1" applyFill="1" applyBorder="1"/>
    <xf numFmtId="0" fontId="16" fillId="4" borderId="16" xfId="0" applyFont="1" applyFill="1" applyBorder="1"/>
    <xf numFmtId="0" fontId="16" fillId="3" borderId="0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 wrapText="1"/>
    </xf>
    <xf numFmtId="0" fontId="18" fillId="4" borderId="0" xfId="0" applyFont="1" applyFill="1" applyBorder="1" applyAlignment="1">
      <alignment horizontal="left" vertical="center" wrapText="1"/>
    </xf>
    <xf numFmtId="0" fontId="17" fillId="4" borderId="0" xfId="0" applyFont="1" applyFill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4" borderId="21" xfId="0" applyFont="1" applyFill="1" applyBorder="1" applyAlignment="1">
      <alignment horizontal="left" vertical="center" wrapText="1" indent="1"/>
    </xf>
    <xf numFmtId="167" fontId="7" fillId="4" borderId="21" xfId="0" applyNumberFormat="1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left" vertical="center"/>
    </xf>
    <xf numFmtId="0" fontId="25" fillId="3" borderId="24" xfId="0" applyFont="1" applyFill="1" applyBorder="1" applyAlignment="1">
      <alignment horizontal="left" vertical="center" wrapText="1" indent="1"/>
    </xf>
    <xf numFmtId="0" fontId="8" fillId="4" borderId="23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3" borderId="53" xfId="0" applyFont="1" applyFill="1" applyBorder="1" applyAlignment="1">
      <alignment horizontal="left" vertical="center" wrapText="1" indent="1"/>
    </xf>
    <xf numFmtId="0" fontId="0" fillId="0" borderId="47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0" fillId="0" borderId="53" xfId="0" applyFont="1" applyBorder="1" applyAlignment="1">
      <alignment horizontal="left" vertical="center" wrapText="1"/>
    </xf>
    <xf numFmtId="0" fontId="0" fillId="0" borderId="31" xfId="0" applyBorder="1"/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indent="1"/>
    </xf>
    <xf numFmtId="0" fontId="13" fillId="0" borderId="18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3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0" fillId="4" borderId="5" xfId="0" applyFill="1" applyBorder="1" applyAlignment="1">
      <alignment horizontal="center" vertical="center" wrapText="1"/>
    </xf>
    <xf numFmtId="0" fontId="22" fillId="4" borderId="57" xfId="0" applyFont="1" applyFill="1" applyBorder="1" applyAlignment="1">
      <alignment horizontal="center" vertical="center" wrapText="1"/>
    </xf>
    <xf numFmtId="0" fontId="0" fillId="4" borderId="57" xfId="0" applyFill="1" applyBorder="1" applyAlignment="1">
      <alignment horizontal="center" vertical="center" wrapText="1"/>
    </xf>
    <xf numFmtId="0" fontId="22" fillId="3" borderId="58" xfId="0" applyFont="1" applyFill="1" applyBorder="1" applyAlignment="1">
      <alignment horizontal="center" vertical="center" wrapText="1"/>
    </xf>
    <xf numFmtId="166" fontId="21" fillId="3" borderId="58" xfId="1" applyNumberFormat="1" applyFont="1" applyFill="1" applyBorder="1" applyAlignment="1" applyProtection="1">
      <alignment horizontal="center" vertical="center" wrapText="1"/>
    </xf>
    <xf numFmtId="166" fontId="21" fillId="3" borderId="59" xfId="1" applyNumberFormat="1" applyFont="1" applyFill="1" applyBorder="1" applyAlignment="1" applyProtection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166" fontId="21" fillId="3" borderId="5" xfId="1" applyNumberFormat="1" applyFont="1" applyFill="1" applyBorder="1" applyAlignment="1" applyProtection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/>
    <xf numFmtId="0" fontId="16" fillId="3" borderId="13" xfId="0" applyFont="1" applyFill="1" applyBorder="1" applyAlignment="1"/>
    <xf numFmtId="0" fontId="15" fillId="0" borderId="41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5" fillId="4" borderId="57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2"/>
  <sheetViews>
    <sheetView zoomScale="85" zoomScaleNormal="85" workbookViewId="0">
      <selection activeCell="C68" sqref="C68:E68"/>
    </sheetView>
  </sheetViews>
  <sheetFormatPr baseColWidth="10" defaultColWidth="11" defaultRowHeight="12.75" x14ac:dyDescent="0.2"/>
  <cols>
    <col min="1" max="1" width="4.5703125" style="33" customWidth="1"/>
    <col min="2" max="2" width="16.7109375" style="33" customWidth="1"/>
    <col min="3" max="3" width="32.42578125" style="33" customWidth="1"/>
    <col min="4" max="4" width="8.42578125" style="33" customWidth="1"/>
    <col min="5" max="5" width="79" style="33" customWidth="1"/>
    <col min="6" max="6" width="11" style="33"/>
    <col min="7" max="7" width="12.7109375" style="33" customWidth="1"/>
    <col min="8" max="8" width="13.85546875" style="33" customWidth="1"/>
    <col min="9" max="9" width="18.5703125" style="33" customWidth="1"/>
    <col min="10" max="16384" width="11" style="33"/>
  </cols>
  <sheetData>
    <row r="2" spans="1:9" ht="27" x14ac:dyDescent="0.35">
      <c r="A2" s="57"/>
      <c r="B2" s="86" t="s">
        <v>0</v>
      </c>
      <c r="C2" s="86"/>
      <c r="D2" s="86"/>
      <c r="E2" s="86"/>
      <c r="F2" s="86"/>
      <c r="G2" s="86"/>
      <c r="H2" s="86"/>
      <c r="I2" s="57"/>
    </row>
    <row r="3" spans="1:9" x14ac:dyDescent="0.2">
      <c r="A3" s="57"/>
      <c r="B3" s="57"/>
      <c r="C3" s="57"/>
      <c r="D3" s="57"/>
      <c r="E3" s="57"/>
      <c r="F3" s="57"/>
      <c r="G3" s="57"/>
      <c r="H3" s="57"/>
      <c r="I3" s="57"/>
    </row>
    <row r="4" spans="1:9" ht="18" customHeight="1" x14ac:dyDescent="0.25">
      <c r="A4" s="85" t="s">
        <v>1</v>
      </c>
      <c r="B4" s="85"/>
      <c r="C4" s="87" t="s">
        <v>61</v>
      </c>
      <c r="D4" s="87"/>
      <c r="E4" s="87"/>
      <c r="F4" s="58"/>
      <c r="G4" s="59"/>
      <c r="H4" s="58"/>
      <c r="I4" s="57"/>
    </row>
    <row r="5" spans="1:9" ht="18" customHeight="1" x14ac:dyDescent="0.25">
      <c r="A5" s="85" t="s">
        <v>2</v>
      </c>
      <c r="B5" s="85"/>
      <c r="C5" s="87" t="s">
        <v>62</v>
      </c>
      <c r="D5" s="87"/>
      <c r="E5" s="87"/>
      <c r="F5" s="58"/>
      <c r="G5" s="59"/>
      <c r="H5" s="58"/>
      <c r="I5" s="57"/>
    </row>
    <row r="6" spans="1:9" ht="16.5" customHeight="1" x14ac:dyDescent="0.25">
      <c r="A6" s="85" t="s">
        <v>3</v>
      </c>
      <c r="B6" s="85"/>
      <c r="C6" s="60">
        <v>2022</v>
      </c>
      <c r="D6" s="61"/>
      <c r="E6" s="61"/>
      <c r="F6" s="58"/>
      <c r="G6" s="59"/>
      <c r="H6" s="58"/>
      <c r="I6" s="57"/>
    </row>
    <row r="7" spans="1:9" ht="16.5" customHeight="1" x14ac:dyDescent="0.25">
      <c r="A7" s="85" t="s">
        <v>4</v>
      </c>
      <c r="B7" s="85"/>
      <c r="C7" s="60">
        <v>3</v>
      </c>
      <c r="D7" s="61"/>
      <c r="E7" s="61"/>
      <c r="F7" s="58"/>
      <c r="G7" s="59"/>
      <c r="H7" s="58"/>
      <c r="I7" s="57"/>
    </row>
    <row r="8" spans="1:9" x14ac:dyDescent="0.2">
      <c r="A8" s="57"/>
      <c r="B8" s="58"/>
      <c r="C8" s="59"/>
      <c r="D8" s="58"/>
      <c r="E8" s="58"/>
      <c r="F8" s="58"/>
      <c r="G8" s="59"/>
      <c r="H8" s="58"/>
      <c r="I8" s="57"/>
    </row>
    <row r="9" spans="1:9" ht="39.75" thickTop="1" thickBot="1" x14ac:dyDescent="0.25">
      <c r="A9" s="62" t="s">
        <v>5</v>
      </c>
      <c r="B9" s="62" t="s">
        <v>6</v>
      </c>
      <c r="C9" s="62" t="s">
        <v>7</v>
      </c>
      <c r="D9" s="62" t="s">
        <v>8</v>
      </c>
      <c r="E9" s="62" t="s">
        <v>9</v>
      </c>
      <c r="F9" s="62" t="s">
        <v>10</v>
      </c>
      <c r="G9" s="62" t="s">
        <v>11</v>
      </c>
      <c r="H9" s="62" t="s">
        <v>12</v>
      </c>
      <c r="I9" s="62" t="s">
        <v>13</v>
      </c>
    </row>
    <row r="10" spans="1:9" ht="26.25" customHeight="1" x14ac:dyDescent="0.2">
      <c r="A10" s="134">
        <v>1</v>
      </c>
      <c r="B10" s="143" t="s">
        <v>70</v>
      </c>
      <c r="C10" s="127" t="s">
        <v>71</v>
      </c>
      <c r="D10" s="126" t="str">
        <f>LEFT(B10,5)</f>
        <v>2.7.4</v>
      </c>
      <c r="E10" s="127" t="s">
        <v>72</v>
      </c>
      <c r="F10" s="128" t="s">
        <v>14</v>
      </c>
      <c r="G10" s="128">
        <v>275</v>
      </c>
      <c r="H10" s="129">
        <v>7900</v>
      </c>
      <c r="I10" s="130">
        <f>H10*G10</f>
        <v>2172500</v>
      </c>
    </row>
    <row r="11" spans="1:9" ht="26.25" customHeight="1" x14ac:dyDescent="0.2">
      <c r="A11" s="135">
        <v>2</v>
      </c>
      <c r="B11" s="144" t="s">
        <v>75</v>
      </c>
      <c r="C11" s="125" t="s">
        <v>66</v>
      </c>
      <c r="D11" s="63" t="str">
        <f>LEFT(B11,5)</f>
        <v>2.6.4</v>
      </c>
      <c r="E11" s="125" t="s">
        <v>76</v>
      </c>
      <c r="F11" s="131" t="s">
        <v>14</v>
      </c>
      <c r="G11" s="131">
        <v>270</v>
      </c>
      <c r="H11" s="132">
        <v>5400</v>
      </c>
      <c r="I11" s="132">
        <f>H11*G11</f>
        <v>1458000</v>
      </c>
    </row>
    <row r="12" spans="1:9" ht="26.25" customHeight="1" x14ac:dyDescent="0.2">
      <c r="A12" s="135">
        <v>3</v>
      </c>
      <c r="B12" s="144" t="s">
        <v>77</v>
      </c>
      <c r="C12" s="125" t="s">
        <v>66</v>
      </c>
      <c r="D12" s="63" t="str">
        <f>LEFT(B12,5)</f>
        <v>2.7.1</v>
      </c>
      <c r="E12" s="125" t="s">
        <v>78</v>
      </c>
      <c r="F12" s="131" t="s">
        <v>14</v>
      </c>
      <c r="G12" s="131">
        <v>280</v>
      </c>
      <c r="H12" s="132">
        <v>7100</v>
      </c>
      <c r="I12" s="132">
        <f>H12*G12</f>
        <v>1988000</v>
      </c>
    </row>
    <row r="13" spans="1:9" ht="26.25" customHeight="1" x14ac:dyDescent="0.2">
      <c r="A13" s="135">
        <v>4</v>
      </c>
      <c r="B13" s="63" t="s">
        <v>73</v>
      </c>
      <c r="C13" s="63" t="s">
        <v>66</v>
      </c>
      <c r="D13" s="63" t="str">
        <f>LEFT(B13,5)</f>
        <v>2.7.1</v>
      </c>
      <c r="E13" s="63" t="s">
        <v>74</v>
      </c>
      <c r="F13" s="131" t="s">
        <v>14</v>
      </c>
      <c r="G13" s="133">
        <v>240</v>
      </c>
      <c r="H13" s="133">
        <v>3500</v>
      </c>
      <c r="I13" s="132">
        <f>H13*G13</f>
        <v>840000</v>
      </c>
    </row>
    <row r="14" spans="1:9" ht="13.5" thickBot="1" x14ac:dyDescent="0.25">
      <c r="A14" s="64"/>
      <c r="B14" s="65"/>
      <c r="C14" s="66"/>
      <c r="D14" s="65"/>
      <c r="E14" s="66"/>
      <c r="F14" s="67"/>
      <c r="G14" s="67"/>
      <c r="H14" s="67"/>
      <c r="I14" s="68"/>
    </row>
    <row r="15" spans="1:9" x14ac:dyDescent="0.2">
      <c r="A15" s="57"/>
      <c r="B15" s="57"/>
      <c r="C15" s="57"/>
      <c r="D15" s="57"/>
      <c r="E15" s="57"/>
      <c r="F15" s="57"/>
      <c r="G15" s="57"/>
      <c r="H15" s="57"/>
      <c r="I15" s="57"/>
    </row>
    <row r="16" spans="1:9" x14ac:dyDescent="0.2">
      <c r="A16" s="57"/>
      <c r="B16" s="57"/>
      <c r="C16" s="57"/>
      <c r="D16" s="57"/>
      <c r="E16" s="57"/>
      <c r="F16" s="57"/>
      <c r="G16" s="57"/>
      <c r="H16" s="57"/>
      <c r="I16" s="57"/>
    </row>
    <row r="17" spans="1:9" x14ac:dyDescent="0.2">
      <c r="A17" s="57"/>
      <c r="B17" s="69" t="s">
        <v>15</v>
      </c>
      <c r="C17" s="70"/>
      <c r="D17" s="70"/>
      <c r="E17" s="71"/>
      <c r="F17" s="57"/>
      <c r="G17" s="57"/>
      <c r="H17" s="57"/>
      <c r="I17" s="57"/>
    </row>
    <row r="18" spans="1:9" ht="5.25" customHeight="1" x14ac:dyDescent="0.2">
      <c r="A18" s="57"/>
      <c r="B18" s="72"/>
      <c r="C18" s="73"/>
      <c r="D18" s="73"/>
      <c r="E18" s="74"/>
      <c r="F18" s="57"/>
      <c r="G18" s="57"/>
      <c r="H18" s="57"/>
      <c r="I18" s="57"/>
    </row>
    <row r="19" spans="1:9" x14ac:dyDescent="0.2">
      <c r="A19" s="57"/>
      <c r="B19" s="75" t="s">
        <v>16</v>
      </c>
      <c r="C19" s="73"/>
      <c r="D19" s="73"/>
      <c r="E19" s="74"/>
      <c r="F19" s="57"/>
      <c r="G19" s="57"/>
      <c r="H19" s="57"/>
      <c r="I19" s="57"/>
    </row>
    <row r="20" spans="1:9" ht="18" customHeight="1" x14ac:dyDescent="0.2">
      <c r="A20" s="57"/>
      <c r="B20" s="75"/>
      <c r="C20" s="84" t="s">
        <v>86</v>
      </c>
      <c r="D20" s="84"/>
      <c r="E20" s="84"/>
      <c r="F20" s="57"/>
      <c r="G20" s="57"/>
      <c r="H20" s="57"/>
      <c r="I20" s="57"/>
    </row>
    <row r="21" spans="1:9" x14ac:dyDescent="0.2">
      <c r="A21" s="57"/>
      <c r="B21" s="75" t="s">
        <v>17</v>
      </c>
      <c r="C21" s="73"/>
      <c r="D21" s="73"/>
      <c r="E21" s="74"/>
      <c r="F21" s="57"/>
      <c r="G21" s="57"/>
      <c r="H21" s="57"/>
      <c r="I21" s="57"/>
    </row>
    <row r="22" spans="1:9" x14ac:dyDescent="0.2">
      <c r="A22" s="57"/>
      <c r="B22" s="76"/>
      <c r="C22" s="83" t="s">
        <v>68</v>
      </c>
      <c r="D22" s="83"/>
      <c r="E22" s="83"/>
      <c r="F22" s="57"/>
      <c r="G22" s="57"/>
      <c r="H22" s="57"/>
      <c r="I22" s="57"/>
    </row>
    <row r="23" spans="1:9" x14ac:dyDescent="0.2">
      <c r="A23" s="57"/>
      <c r="B23" s="76"/>
      <c r="C23" s="83" t="s">
        <v>59</v>
      </c>
      <c r="D23" s="83"/>
      <c r="E23" s="83"/>
      <c r="F23" s="57"/>
      <c r="G23" s="57"/>
      <c r="H23" s="57"/>
      <c r="I23" s="57"/>
    </row>
    <row r="24" spans="1:9" x14ac:dyDescent="0.2">
      <c r="A24" s="57"/>
      <c r="B24" s="76"/>
      <c r="C24" s="82" t="s">
        <v>69</v>
      </c>
      <c r="D24" s="82"/>
      <c r="E24" s="83"/>
      <c r="F24" s="57"/>
      <c r="G24" s="57"/>
      <c r="H24" s="57"/>
      <c r="I24" s="57"/>
    </row>
    <row r="25" spans="1:9" x14ac:dyDescent="0.2">
      <c r="A25" s="57"/>
      <c r="B25" s="75" t="s">
        <v>18</v>
      </c>
      <c r="C25" s="73"/>
      <c r="D25" s="73"/>
      <c r="E25" s="74"/>
      <c r="F25" s="57"/>
      <c r="G25" s="57"/>
      <c r="H25" s="57"/>
      <c r="I25" s="57"/>
    </row>
    <row r="26" spans="1:9" ht="14.25" customHeight="1" x14ac:dyDescent="0.2">
      <c r="A26" s="57"/>
      <c r="B26" s="76"/>
      <c r="C26" s="84" t="s">
        <v>60</v>
      </c>
      <c r="D26" s="84"/>
      <c r="E26" s="84"/>
      <c r="F26" s="57"/>
      <c r="G26" s="57"/>
      <c r="H26" s="57"/>
      <c r="I26" s="57"/>
    </row>
    <row r="27" spans="1:9" x14ac:dyDescent="0.2">
      <c r="A27" s="57"/>
      <c r="B27" s="75" t="s">
        <v>19</v>
      </c>
      <c r="C27" s="77"/>
      <c r="D27" s="77"/>
      <c r="E27" s="78"/>
      <c r="F27" s="57"/>
      <c r="G27" s="57"/>
      <c r="H27" s="57"/>
      <c r="I27" s="57"/>
    </row>
    <row r="28" spans="1:9" ht="15" customHeight="1" x14ac:dyDescent="0.2">
      <c r="A28" s="57"/>
      <c r="B28" s="76"/>
      <c r="C28" s="84" t="s">
        <v>65</v>
      </c>
      <c r="D28" s="84"/>
      <c r="E28" s="84"/>
      <c r="F28" s="57"/>
      <c r="G28" s="57"/>
      <c r="H28" s="57"/>
      <c r="I28" s="57"/>
    </row>
    <row r="29" spans="1:9" x14ac:dyDescent="0.2">
      <c r="A29" s="57"/>
      <c r="B29" s="75" t="s">
        <v>20</v>
      </c>
      <c r="C29" s="73"/>
      <c r="D29" s="73"/>
      <c r="E29" s="74"/>
      <c r="F29" s="57"/>
      <c r="G29" s="57"/>
      <c r="H29" s="57"/>
      <c r="I29" s="57"/>
    </row>
    <row r="30" spans="1:9" ht="9.75" customHeight="1" x14ac:dyDescent="0.2">
      <c r="A30" s="57"/>
      <c r="B30" s="75"/>
      <c r="C30" s="83"/>
      <c r="D30" s="83"/>
      <c r="E30" s="83"/>
      <c r="F30" s="57"/>
      <c r="G30" s="57"/>
      <c r="H30" s="57"/>
      <c r="I30" s="57"/>
    </row>
    <row r="31" spans="1:9" x14ac:dyDescent="0.2">
      <c r="A31" s="57"/>
      <c r="B31" s="79"/>
      <c r="C31" s="80"/>
      <c r="D31" s="80"/>
      <c r="E31" s="81"/>
      <c r="F31" s="57"/>
      <c r="G31" s="57"/>
      <c r="H31" s="57"/>
      <c r="I31" s="57"/>
    </row>
    <row r="32" spans="1:9" x14ac:dyDescent="0.2">
      <c r="A32" s="57"/>
      <c r="B32" s="57"/>
      <c r="C32" s="57"/>
      <c r="D32" s="57"/>
      <c r="E32" s="57"/>
      <c r="F32" s="57"/>
      <c r="G32" s="57"/>
      <c r="H32" s="57"/>
      <c r="I32" s="57"/>
    </row>
    <row r="33" spans="1:9" x14ac:dyDescent="0.2">
      <c r="A33" s="57"/>
      <c r="B33" s="69" t="s">
        <v>21</v>
      </c>
      <c r="C33" s="70"/>
      <c r="D33" s="70"/>
      <c r="E33" s="71"/>
      <c r="F33" s="57"/>
      <c r="G33" s="57"/>
      <c r="H33" s="57"/>
      <c r="I33" s="57"/>
    </row>
    <row r="34" spans="1:9" ht="7.5" customHeight="1" x14ac:dyDescent="0.2">
      <c r="A34" s="57"/>
      <c r="B34" s="72"/>
      <c r="C34" s="73"/>
      <c r="D34" s="73"/>
      <c r="E34" s="74"/>
      <c r="F34" s="57"/>
      <c r="G34" s="57"/>
      <c r="H34" s="57"/>
      <c r="I34" s="57"/>
    </row>
    <row r="35" spans="1:9" x14ac:dyDescent="0.2">
      <c r="A35" s="57"/>
      <c r="B35" s="75" t="s">
        <v>16</v>
      </c>
      <c r="C35" s="73"/>
      <c r="D35" s="73"/>
      <c r="E35" s="74"/>
      <c r="F35" s="57"/>
      <c r="G35" s="57"/>
      <c r="H35" s="57"/>
      <c r="I35" s="57"/>
    </row>
    <row r="36" spans="1:9" ht="21" customHeight="1" x14ac:dyDescent="0.2">
      <c r="A36" s="57"/>
      <c r="B36" s="75"/>
      <c r="C36" s="84" t="s">
        <v>87</v>
      </c>
      <c r="D36" s="84"/>
      <c r="E36" s="84"/>
      <c r="F36" s="57"/>
      <c r="G36" s="57"/>
      <c r="H36" s="57"/>
      <c r="I36" s="57"/>
    </row>
    <row r="37" spans="1:9" x14ac:dyDescent="0.2">
      <c r="A37" s="57"/>
      <c r="B37" s="75" t="s">
        <v>17</v>
      </c>
      <c r="C37" s="73"/>
      <c r="D37" s="73"/>
      <c r="E37" s="74"/>
      <c r="F37" s="57"/>
      <c r="G37" s="57"/>
      <c r="H37" s="57"/>
      <c r="I37" s="57"/>
    </row>
    <row r="38" spans="1:9" x14ac:dyDescent="0.2">
      <c r="A38" s="57"/>
      <c r="B38" s="76"/>
      <c r="C38" s="83" t="s">
        <v>68</v>
      </c>
      <c r="D38" s="83"/>
      <c r="E38" s="83"/>
      <c r="F38" s="57"/>
      <c r="G38" s="57"/>
      <c r="H38" s="57"/>
      <c r="I38" s="57"/>
    </row>
    <row r="39" spans="1:9" x14ac:dyDescent="0.2">
      <c r="A39" s="57"/>
      <c r="B39" s="76"/>
      <c r="C39" s="83" t="s">
        <v>59</v>
      </c>
      <c r="D39" s="83"/>
      <c r="E39" s="83"/>
      <c r="F39" s="57"/>
      <c r="G39" s="57"/>
      <c r="H39" s="57"/>
      <c r="I39" s="57"/>
    </row>
    <row r="40" spans="1:9" x14ac:dyDescent="0.2">
      <c r="A40" s="57"/>
      <c r="B40" s="76"/>
      <c r="C40" s="82" t="s">
        <v>69</v>
      </c>
      <c r="D40" s="82"/>
      <c r="E40" s="83"/>
      <c r="F40" s="57"/>
      <c r="G40" s="57"/>
      <c r="H40" s="57"/>
      <c r="I40" s="57"/>
    </row>
    <row r="41" spans="1:9" ht="16.5" customHeight="1" x14ac:dyDescent="0.2">
      <c r="A41" s="57"/>
      <c r="B41" s="75" t="s">
        <v>18</v>
      </c>
      <c r="C41" s="136"/>
      <c r="D41" s="136"/>
      <c r="E41" s="137"/>
      <c r="F41" s="57"/>
      <c r="G41" s="57"/>
      <c r="H41" s="57"/>
      <c r="I41" s="57"/>
    </row>
    <row r="42" spans="1:9" x14ac:dyDescent="0.2">
      <c r="A42" s="57"/>
      <c r="B42" s="76"/>
      <c r="C42" s="84" t="s">
        <v>60</v>
      </c>
      <c r="D42" s="84"/>
      <c r="E42" s="84"/>
      <c r="F42" s="57"/>
      <c r="G42" s="57"/>
      <c r="H42" s="57"/>
      <c r="I42" s="57"/>
    </row>
    <row r="43" spans="1:9" x14ac:dyDescent="0.2">
      <c r="A43" s="57"/>
      <c r="B43" s="75" t="s">
        <v>19</v>
      </c>
      <c r="C43" s="77"/>
      <c r="D43" s="77"/>
      <c r="E43" s="78"/>
      <c r="F43" s="57"/>
      <c r="G43" s="57"/>
      <c r="H43" s="57"/>
      <c r="I43" s="57"/>
    </row>
    <row r="44" spans="1:9" x14ac:dyDescent="0.2">
      <c r="A44" s="57"/>
      <c r="B44" s="76"/>
      <c r="C44" s="84" t="s">
        <v>65</v>
      </c>
      <c r="D44" s="84"/>
      <c r="E44" s="84"/>
      <c r="F44" s="57"/>
      <c r="G44" s="57"/>
      <c r="H44" s="57"/>
      <c r="I44" s="57"/>
    </row>
    <row r="45" spans="1:9" x14ac:dyDescent="0.2">
      <c r="A45" s="57"/>
      <c r="B45" s="75" t="s">
        <v>20</v>
      </c>
      <c r="C45" s="73"/>
      <c r="D45" s="73"/>
      <c r="E45" s="74"/>
      <c r="F45" s="57"/>
      <c r="G45" s="57"/>
      <c r="H45" s="57"/>
      <c r="I45" s="57"/>
    </row>
    <row r="46" spans="1:9" x14ac:dyDescent="0.2">
      <c r="A46" s="57"/>
      <c r="B46" s="75"/>
      <c r="C46" s="83"/>
      <c r="D46" s="83"/>
      <c r="E46" s="83"/>
      <c r="F46" s="57"/>
      <c r="G46" s="57"/>
      <c r="H46" s="57"/>
      <c r="I46" s="57"/>
    </row>
    <row r="47" spans="1:9" x14ac:dyDescent="0.2">
      <c r="A47" s="57"/>
      <c r="B47" s="79"/>
      <c r="C47" s="80"/>
      <c r="D47" s="80"/>
      <c r="E47" s="81"/>
      <c r="F47" s="57"/>
      <c r="G47" s="57"/>
      <c r="H47" s="57"/>
      <c r="I47" s="57"/>
    </row>
    <row r="48" spans="1:9" ht="13.5" thickBot="1" x14ac:dyDescent="0.25">
      <c r="A48" s="57"/>
      <c r="B48" s="57"/>
      <c r="C48" s="57"/>
      <c r="D48" s="57"/>
      <c r="E48" s="57"/>
      <c r="F48" s="57"/>
      <c r="G48" s="57"/>
      <c r="H48" s="57"/>
      <c r="I48" s="57"/>
    </row>
    <row r="49" spans="1:9" x14ac:dyDescent="0.2">
      <c r="A49" s="57"/>
      <c r="B49" s="69" t="s">
        <v>79</v>
      </c>
      <c r="C49" s="70"/>
      <c r="D49" s="70"/>
      <c r="E49" s="71"/>
      <c r="F49" s="57"/>
      <c r="G49" s="57"/>
      <c r="H49" s="57"/>
      <c r="I49" s="57"/>
    </row>
    <row r="50" spans="1:9" x14ac:dyDescent="0.2">
      <c r="A50" s="57"/>
      <c r="B50" s="72"/>
      <c r="C50" s="73"/>
      <c r="D50" s="73"/>
      <c r="E50" s="74"/>
      <c r="F50" s="57"/>
      <c r="G50" s="57"/>
      <c r="H50" s="57"/>
      <c r="I50" s="57"/>
    </row>
    <row r="51" spans="1:9" x14ac:dyDescent="0.2">
      <c r="A51" s="57"/>
      <c r="B51" s="75" t="s">
        <v>16</v>
      </c>
      <c r="C51" s="73"/>
      <c r="D51" s="73"/>
      <c r="E51" s="74"/>
      <c r="F51" s="57"/>
      <c r="G51" s="57"/>
      <c r="H51" s="57"/>
      <c r="I51" s="57"/>
    </row>
    <row r="52" spans="1:9" ht="21.75" customHeight="1" x14ac:dyDescent="0.2">
      <c r="A52" s="57"/>
      <c r="B52" s="75"/>
      <c r="C52" s="84" t="s">
        <v>88</v>
      </c>
      <c r="D52" s="84"/>
      <c r="E52" s="84"/>
      <c r="F52" s="57"/>
      <c r="G52" s="57"/>
      <c r="H52" s="57"/>
      <c r="I52" s="57"/>
    </row>
    <row r="53" spans="1:9" x14ac:dyDescent="0.2">
      <c r="A53" s="57"/>
      <c r="B53" s="75" t="s">
        <v>17</v>
      </c>
      <c r="C53" s="73"/>
      <c r="D53" s="73"/>
      <c r="E53" s="74"/>
      <c r="F53" s="57"/>
      <c r="G53" s="57"/>
      <c r="H53" s="57"/>
      <c r="I53" s="57"/>
    </row>
    <row r="54" spans="1:9" x14ac:dyDescent="0.2">
      <c r="A54" s="57"/>
      <c r="B54" s="76"/>
      <c r="C54" s="83" t="s">
        <v>68</v>
      </c>
      <c r="D54" s="83"/>
      <c r="E54" s="83"/>
      <c r="F54" s="57"/>
      <c r="G54" s="57"/>
      <c r="H54" s="57"/>
      <c r="I54" s="57"/>
    </row>
    <row r="55" spans="1:9" x14ac:dyDescent="0.2">
      <c r="A55" s="57"/>
      <c r="B55" s="76"/>
      <c r="C55" s="83" t="s">
        <v>59</v>
      </c>
      <c r="D55" s="83"/>
      <c r="E55" s="83"/>
      <c r="F55" s="57"/>
      <c r="G55" s="57"/>
      <c r="H55" s="57"/>
      <c r="I55" s="57"/>
    </row>
    <row r="56" spans="1:9" x14ac:dyDescent="0.2">
      <c r="A56" s="57"/>
      <c r="B56" s="76"/>
      <c r="C56" s="82" t="s">
        <v>69</v>
      </c>
      <c r="D56" s="82"/>
      <c r="E56" s="83"/>
      <c r="F56" s="57"/>
      <c r="G56" s="57"/>
      <c r="H56" s="57"/>
      <c r="I56" s="57"/>
    </row>
    <row r="57" spans="1:9" x14ac:dyDescent="0.2">
      <c r="A57" s="57"/>
      <c r="B57" s="75" t="s">
        <v>18</v>
      </c>
      <c r="C57" s="73"/>
      <c r="D57" s="73"/>
      <c r="E57" s="74"/>
      <c r="F57" s="57"/>
      <c r="G57" s="57"/>
      <c r="H57" s="57"/>
      <c r="I57" s="57"/>
    </row>
    <row r="58" spans="1:9" ht="15" customHeight="1" x14ac:dyDescent="0.2">
      <c r="A58" s="57"/>
      <c r="B58" s="76"/>
      <c r="C58" s="84" t="s">
        <v>60</v>
      </c>
      <c r="D58" s="84"/>
      <c r="E58" s="84"/>
      <c r="F58" s="57"/>
      <c r="G58" s="57"/>
      <c r="H58" s="57"/>
      <c r="I58" s="57"/>
    </row>
    <row r="59" spans="1:9" x14ac:dyDescent="0.2">
      <c r="A59" s="57"/>
      <c r="B59" s="75" t="s">
        <v>19</v>
      </c>
      <c r="C59" s="77"/>
      <c r="D59" s="77"/>
      <c r="E59" s="78"/>
      <c r="F59" s="57"/>
      <c r="G59" s="57"/>
      <c r="H59" s="57"/>
      <c r="I59" s="57"/>
    </row>
    <row r="60" spans="1:9" x14ac:dyDescent="0.2">
      <c r="A60" s="57"/>
      <c r="B60" s="76"/>
      <c r="C60" s="84" t="s">
        <v>65</v>
      </c>
      <c r="D60" s="84"/>
      <c r="E60" s="84"/>
      <c r="F60" s="57"/>
      <c r="G60" s="57"/>
      <c r="H60" s="57"/>
      <c r="I60" s="57"/>
    </row>
    <row r="61" spans="1:9" x14ac:dyDescent="0.2">
      <c r="A61" s="57"/>
      <c r="B61" s="75" t="s">
        <v>20</v>
      </c>
      <c r="C61" s="73"/>
      <c r="D61" s="73"/>
      <c r="E61" s="74"/>
      <c r="F61" s="57"/>
      <c r="G61" s="57"/>
      <c r="H61" s="57"/>
      <c r="I61" s="57"/>
    </row>
    <row r="62" spans="1:9" x14ac:dyDescent="0.2">
      <c r="A62" s="57"/>
      <c r="B62" s="75"/>
      <c r="C62" s="83"/>
      <c r="D62" s="83"/>
      <c r="E62" s="83"/>
      <c r="F62" s="57"/>
      <c r="G62" s="57"/>
      <c r="H62" s="57"/>
      <c r="I62" s="57"/>
    </row>
    <row r="63" spans="1:9" ht="13.5" thickBot="1" x14ac:dyDescent="0.25">
      <c r="A63" s="57"/>
      <c r="B63" s="79"/>
      <c r="C63" s="80"/>
      <c r="D63" s="80"/>
      <c r="E63" s="81"/>
      <c r="F63" s="57"/>
      <c r="G63" s="57"/>
      <c r="H63" s="57"/>
      <c r="I63" s="57"/>
    </row>
    <row r="64" spans="1:9" ht="13.5" thickBot="1" x14ac:dyDescent="0.25">
      <c r="A64" s="57"/>
      <c r="B64" s="57"/>
      <c r="C64" s="57"/>
      <c r="D64" s="57"/>
      <c r="E64" s="57"/>
      <c r="F64" s="57"/>
      <c r="G64" s="57"/>
      <c r="H64" s="57"/>
      <c r="I64" s="57"/>
    </row>
    <row r="65" spans="1:9" x14ac:dyDescent="0.2">
      <c r="A65" s="57"/>
      <c r="B65" s="69" t="s">
        <v>80</v>
      </c>
      <c r="C65" s="70"/>
      <c r="D65" s="70"/>
      <c r="E65" s="71"/>
      <c r="F65" s="57"/>
      <c r="G65" s="57"/>
      <c r="H65" s="57"/>
      <c r="I65" s="57"/>
    </row>
    <row r="66" spans="1:9" x14ac:dyDescent="0.2">
      <c r="A66" s="57"/>
      <c r="B66" s="72"/>
      <c r="C66" s="73"/>
      <c r="D66" s="73"/>
      <c r="E66" s="74"/>
      <c r="F66" s="57"/>
      <c r="G66" s="57"/>
      <c r="H66" s="57"/>
      <c r="I66" s="57"/>
    </row>
    <row r="67" spans="1:9" x14ac:dyDescent="0.2">
      <c r="A67" s="57"/>
      <c r="B67" s="75" t="s">
        <v>16</v>
      </c>
      <c r="C67" s="73"/>
      <c r="D67" s="73"/>
      <c r="E67" s="74"/>
      <c r="F67" s="57"/>
      <c r="G67" s="57"/>
      <c r="H67" s="57"/>
      <c r="I67" s="57"/>
    </row>
    <row r="68" spans="1:9" ht="22.5" customHeight="1" x14ac:dyDescent="0.2">
      <c r="A68" s="57"/>
      <c r="B68" s="75"/>
      <c r="C68" s="84" t="s">
        <v>89</v>
      </c>
      <c r="D68" s="84"/>
      <c r="E68" s="84"/>
      <c r="F68" s="57"/>
      <c r="G68" s="57"/>
      <c r="H68" s="57"/>
      <c r="I68" s="57"/>
    </row>
    <row r="69" spans="1:9" x14ac:dyDescent="0.2">
      <c r="A69" s="57"/>
      <c r="B69" s="75" t="s">
        <v>17</v>
      </c>
      <c r="C69" s="73"/>
      <c r="D69" s="73"/>
      <c r="E69" s="74"/>
      <c r="F69" s="57"/>
      <c r="G69" s="57"/>
      <c r="H69" s="57"/>
      <c r="I69" s="57"/>
    </row>
    <row r="70" spans="1:9" x14ac:dyDescent="0.2">
      <c r="A70" s="57"/>
      <c r="B70" s="76"/>
      <c r="C70" s="83" t="s">
        <v>68</v>
      </c>
      <c r="D70" s="83"/>
      <c r="E70" s="83"/>
      <c r="F70" s="57"/>
      <c r="G70" s="57"/>
      <c r="H70" s="57"/>
      <c r="I70" s="57"/>
    </row>
    <row r="71" spans="1:9" x14ac:dyDescent="0.2">
      <c r="A71" s="57"/>
      <c r="B71" s="76"/>
      <c r="C71" s="83" t="s">
        <v>59</v>
      </c>
      <c r="D71" s="83"/>
      <c r="E71" s="83"/>
      <c r="F71" s="57"/>
      <c r="G71" s="57"/>
      <c r="H71" s="57"/>
      <c r="I71" s="57"/>
    </row>
    <row r="72" spans="1:9" x14ac:dyDescent="0.2">
      <c r="A72" s="57"/>
      <c r="B72" s="76"/>
      <c r="C72" s="82" t="s">
        <v>69</v>
      </c>
      <c r="D72" s="82"/>
      <c r="E72" s="83"/>
      <c r="F72" s="57"/>
      <c r="G72" s="57"/>
      <c r="H72" s="57"/>
      <c r="I72" s="57"/>
    </row>
    <row r="73" spans="1:9" x14ac:dyDescent="0.2">
      <c r="A73" s="57"/>
      <c r="B73" s="75" t="s">
        <v>18</v>
      </c>
      <c r="C73" s="73"/>
      <c r="D73" s="73"/>
      <c r="E73" s="74"/>
      <c r="F73" s="57"/>
      <c r="G73" s="57"/>
      <c r="H73" s="57"/>
      <c r="I73" s="57"/>
    </row>
    <row r="74" spans="1:9" x14ac:dyDescent="0.2">
      <c r="A74" s="57"/>
      <c r="B74" s="76"/>
      <c r="C74" s="84" t="s">
        <v>60</v>
      </c>
      <c r="D74" s="84"/>
      <c r="E74" s="84"/>
      <c r="F74" s="57"/>
      <c r="G74" s="57"/>
      <c r="H74" s="57"/>
      <c r="I74" s="57"/>
    </row>
    <row r="75" spans="1:9" x14ac:dyDescent="0.2">
      <c r="A75" s="57"/>
      <c r="B75" s="75" t="s">
        <v>19</v>
      </c>
      <c r="C75" s="77"/>
      <c r="D75" s="77"/>
      <c r="E75" s="78"/>
      <c r="F75" s="57"/>
      <c r="G75" s="57"/>
      <c r="H75" s="57"/>
      <c r="I75" s="57"/>
    </row>
    <row r="76" spans="1:9" x14ac:dyDescent="0.2">
      <c r="A76" s="57"/>
      <c r="B76" s="76"/>
      <c r="C76" s="84" t="s">
        <v>65</v>
      </c>
      <c r="D76" s="84"/>
      <c r="E76" s="84"/>
      <c r="F76" s="57"/>
      <c r="G76" s="57"/>
      <c r="H76" s="57"/>
      <c r="I76" s="57"/>
    </row>
    <row r="77" spans="1:9" x14ac:dyDescent="0.2">
      <c r="A77" s="57"/>
      <c r="B77" s="75" t="s">
        <v>20</v>
      </c>
      <c r="C77" s="73"/>
      <c r="D77" s="73"/>
      <c r="E77" s="74"/>
      <c r="F77" s="57"/>
      <c r="G77" s="57"/>
      <c r="H77" s="57"/>
      <c r="I77" s="57"/>
    </row>
    <row r="78" spans="1:9" x14ac:dyDescent="0.2">
      <c r="A78" s="57"/>
      <c r="B78" s="75"/>
      <c r="C78" s="83"/>
      <c r="D78" s="83"/>
      <c r="E78" s="83"/>
      <c r="F78" s="57"/>
      <c r="G78" s="57"/>
      <c r="H78" s="57"/>
      <c r="I78" s="57"/>
    </row>
    <row r="79" spans="1:9" ht="13.5" thickBot="1" x14ac:dyDescent="0.25">
      <c r="A79" s="57"/>
      <c r="B79" s="79"/>
      <c r="C79" s="80"/>
      <c r="D79" s="80"/>
      <c r="E79" s="81"/>
      <c r="F79" s="57"/>
      <c r="G79" s="57"/>
      <c r="H79" s="57"/>
      <c r="I79" s="57"/>
    </row>
    <row r="80" spans="1:9" x14ac:dyDescent="0.2">
      <c r="A80" s="57"/>
      <c r="B80" s="57"/>
      <c r="C80" s="57"/>
      <c r="D80" s="57"/>
      <c r="E80" s="57"/>
      <c r="F80" s="57"/>
      <c r="G80" s="57"/>
      <c r="H80" s="57"/>
      <c r="I80" s="57"/>
    </row>
    <row r="81" spans="1:9" x14ac:dyDescent="0.2">
      <c r="A81" s="57"/>
      <c r="B81" s="57"/>
      <c r="C81" s="57"/>
      <c r="D81" s="57"/>
      <c r="E81" s="57"/>
      <c r="F81" s="57"/>
      <c r="G81" s="57"/>
      <c r="H81" s="57"/>
      <c r="I81" s="57"/>
    </row>
    <row r="82" spans="1:9" x14ac:dyDescent="0.2">
      <c r="A82" s="57"/>
      <c r="B82" s="57"/>
      <c r="C82" s="57"/>
      <c r="D82" s="57"/>
      <c r="E82" s="57"/>
      <c r="F82" s="57"/>
      <c r="G82" s="57"/>
      <c r="H82" s="57"/>
      <c r="I82" s="57"/>
    </row>
    <row r="83" spans="1:9" x14ac:dyDescent="0.2">
      <c r="A83" s="57"/>
      <c r="B83" s="57"/>
      <c r="C83" s="57"/>
      <c r="D83" s="57"/>
      <c r="E83" s="57"/>
      <c r="F83" s="57"/>
      <c r="G83" s="57"/>
      <c r="H83" s="57"/>
      <c r="I83" s="57"/>
    </row>
    <row r="84" spans="1:9" x14ac:dyDescent="0.2">
      <c r="A84" s="57"/>
      <c r="B84" s="57"/>
      <c r="C84" s="57"/>
      <c r="D84" s="57"/>
      <c r="E84" s="57"/>
      <c r="F84" s="57"/>
      <c r="G84" s="57"/>
      <c r="H84" s="57"/>
      <c r="I84" s="57"/>
    </row>
    <row r="85" spans="1:9" x14ac:dyDescent="0.2">
      <c r="A85" s="57"/>
      <c r="B85" s="57"/>
      <c r="C85" s="57"/>
      <c r="D85" s="57"/>
      <c r="E85" s="57"/>
      <c r="F85" s="57"/>
      <c r="G85" s="57"/>
      <c r="H85" s="57"/>
      <c r="I85" s="57"/>
    </row>
    <row r="86" spans="1:9" x14ac:dyDescent="0.2">
      <c r="A86" s="57"/>
      <c r="B86" s="57"/>
      <c r="C86" s="57"/>
      <c r="D86" s="57"/>
      <c r="E86" s="57"/>
      <c r="F86" s="57"/>
      <c r="G86" s="57"/>
      <c r="H86" s="57"/>
      <c r="I86" s="57"/>
    </row>
    <row r="87" spans="1:9" x14ac:dyDescent="0.2">
      <c r="A87" s="57"/>
      <c r="B87" s="57"/>
      <c r="C87" s="57"/>
      <c r="D87" s="57"/>
      <c r="E87" s="57"/>
      <c r="F87" s="57"/>
      <c r="G87" s="57"/>
      <c r="H87" s="57"/>
      <c r="I87" s="57"/>
    </row>
    <row r="88" spans="1:9" x14ac:dyDescent="0.2">
      <c r="A88" s="57"/>
      <c r="B88" s="57"/>
      <c r="C88" s="57"/>
      <c r="D88" s="57"/>
      <c r="E88" s="57"/>
      <c r="F88" s="57"/>
      <c r="G88" s="57"/>
      <c r="H88" s="57"/>
      <c r="I88" s="57"/>
    </row>
    <row r="89" spans="1:9" x14ac:dyDescent="0.2">
      <c r="A89" s="57"/>
      <c r="B89" s="57"/>
      <c r="C89" s="57"/>
      <c r="D89" s="57"/>
      <c r="E89" s="57"/>
      <c r="F89" s="57"/>
      <c r="G89" s="57"/>
      <c r="H89" s="57"/>
      <c r="I89" s="57"/>
    </row>
    <row r="90" spans="1:9" x14ac:dyDescent="0.2">
      <c r="A90" s="57"/>
      <c r="B90" s="57"/>
      <c r="C90" s="57"/>
      <c r="D90" s="57"/>
      <c r="E90" s="57"/>
      <c r="F90" s="57"/>
      <c r="G90" s="57"/>
      <c r="H90" s="57"/>
      <c r="I90" s="57"/>
    </row>
    <row r="91" spans="1:9" x14ac:dyDescent="0.2">
      <c r="A91" s="57"/>
      <c r="B91" s="57"/>
      <c r="C91" s="57"/>
      <c r="D91" s="57"/>
      <c r="E91" s="57"/>
      <c r="F91" s="57"/>
      <c r="G91" s="57"/>
      <c r="H91" s="57"/>
      <c r="I91" s="57"/>
    </row>
    <row r="92" spans="1:9" x14ac:dyDescent="0.2">
      <c r="A92" s="57"/>
      <c r="B92" s="57"/>
      <c r="C92" s="57"/>
      <c r="D92" s="57"/>
      <c r="E92" s="57"/>
      <c r="F92" s="57"/>
      <c r="G92" s="57"/>
      <c r="H92" s="57"/>
      <c r="I92" s="57"/>
    </row>
    <row r="93" spans="1:9" x14ac:dyDescent="0.2">
      <c r="A93" s="57"/>
      <c r="B93" s="57"/>
      <c r="C93" s="57"/>
      <c r="D93" s="57"/>
      <c r="E93" s="57"/>
      <c r="F93" s="57"/>
      <c r="G93" s="57"/>
      <c r="H93" s="57"/>
      <c r="I93" s="57"/>
    </row>
    <row r="94" spans="1:9" x14ac:dyDescent="0.2">
      <c r="A94" s="57"/>
      <c r="B94" s="57"/>
      <c r="C94" s="57"/>
      <c r="D94" s="57"/>
      <c r="E94" s="57"/>
      <c r="F94" s="57"/>
      <c r="G94" s="57"/>
      <c r="H94" s="57"/>
      <c r="I94" s="57"/>
    </row>
    <row r="95" spans="1:9" x14ac:dyDescent="0.2">
      <c r="A95" s="57"/>
      <c r="B95" s="57"/>
      <c r="C95" s="57"/>
      <c r="D95" s="57"/>
      <c r="E95" s="57"/>
      <c r="F95" s="57"/>
      <c r="G95" s="57"/>
      <c r="H95" s="57"/>
      <c r="I95" s="57"/>
    </row>
    <row r="96" spans="1:9" x14ac:dyDescent="0.2">
      <c r="A96" s="57"/>
      <c r="B96" s="57"/>
      <c r="C96" s="57"/>
      <c r="D96" s="57"/>
      <c r="E96" s="57"/>
      <c r="F96" s="57"/>
      <c r="G96" s="57"/>
      <c r="H96" s="57"/>
      <c r="I96" s="57"/>
    </row>
    <row r="97" spans="1:9" x14ac:dyDescent="0.2">
      <c r="A97" s="57"/>
      <c r="B97" s="57"/>
      <c r="C97" s="57"/>
      <c r="D97" s="57"/>
      <c r="E97" s="57"/>
      <c r="F97" s="57"/>
      <c r="G97" s="57"/>
      <c r="H97" s="57"/>
      <c r="I97" s="57"/>
    </row>
    <row r="98" spans="1:9" x14ac:dyDescent="0.2">
      <c r="A98" s="57"/>
      <c r="B98" s="57"/>
      <c r="C98" s="57"/>
      <c r="D98" s="57"/>
      <c r="E98" s="57"/>
      <c r="F98" s="57"/>
      <c r="G98" s="57"/>
      <c r="H98" s="57"/>
      <c r="I98" s="57"/>
    </row>
    <row r="99" spans="1:9" x14ac:dyDescent="0.2">
      <c r="A99" s="57"/>
      <c r="B99" s="57"/>
      <c r="C99" s="57"/>
      <c r="D99" s="57"/>
      <c r="E99" s="57"/>
      <c r="F99" s="57"/>
      <c r="G99" s="57"/>
      <c r="H99" s="57"/>
      <c r="I99" s="57"/>
    </row>
    <row r="100" spans="1:9" x14ac:dyDescent="0.2">
      <c r="A100" s="57"/>
      <c r="B100" s="57"/>
      <c r="C100" s="57"/>
      <c r="D100" s="57"/>
      <c r="E100" s="57"/>
      <c r="F100" s="57"/>
      <c r="G100" s="57"/>
      <c r="H100" s="57"/>
      <c r="I100" s="57"/>
    </row>
    <row r="101" spans="1:9" x14ac:dyDescent="0.2">
      <c r="A101" s="57"/>
      <c r="B101" s="57"/>
      <c r="C101" s="57"/>
      <c r="D101" s="57"/>
      <c r="E101" s="57"/>
      <c r="F101" s="57"/>
      <c r="G101" s="57"/>
      <c r="H101" s="57"/>
      <c r="I101" s="57"/>
    </row>
    <row r="102" spans="1:9" x14ac:dyDescent="0.2">
      <c r="A102" s="57"/>
      <c r="B102" s="57"/>
      <c r="C102" s="57"/>
      <c r="D102" s="57"/>
      <c r="E102" s="57"/>
      <c r="F102" s="57"/>
      <c r="G102" s="57"/>
      <c r="H102" s="57"/>
      <c r="I102" s="57"/>
    </row>
    <row r="103" spans="1:9" x14ac:dyDescent="0.2">
      <c r="A103" s="57"/>
      <c r="B103" s="57"/>
      <c r="C103" s="57"/>
      <c r="D103" s="57"/>
      <c r="E103" s="57"/>
      <c r="F103" s="57"/>
      <c r="G103" s="57"/>
      <c r="H103" s="57"/>
      <c r="I103" s="57"/>
    </row>
    <row r="104" spans="1:9" x14ac:dyDescent="0.2">
      <c r="A104" s="57"/>
      <c r="B104" s="57"/>
      <c r="C104" s="57"/>
      <c r="D104" s="57"/>
      <c r="E104" s="57"/>
      <c r="F104" s="57"/>
      <c r="G104" s="57"/>
      <c r="H104" s="57"/>
      <c r="I104" s="57"/>
    </row>
    <row r="105" spans="1:9" x14ac:dyDescent="0.2">
      <c r="A105" s="57"/>
      <c r="B105" s="57"/>
      <c r="C105" s="57"/>
      <c r="D105" s="57"/>
      <c r="E105" s="57"/>
      <c r="F105" s="57"/>
      <c r="G105" s="57"/>
      <c r="H105" s="57"/>
      <c r="I105" s="57"/>
    </row>
    <row r="106" spans="1:9" x14ac:dyDescent="0.2">
      <c r="A106" s="57"/>
      <c r="B106" s="57"/>
      <c r="C106" s="57"/>
      <c r="D106" s="57"/>
      <c r="E106" s="57"/>
      <c r="F106" s="57"/>
      <c r="G106" s="57"/>
      <c r="H106" s="57"/>
      <c r="I106" s="57"/>
    </row>
    <row r="107" spans="1:9" x14ac:dyDescent="0.2">
      <c r="A107" s="57"/>
      <c r="B107" s="57"/>
      <c r="C107" s="57"/>
      <c r="D107" s="57"/>
      <c r="E107" s="57"/>
      <c r="F107" s="57"/>
      <c r="G107" s="57"/>
      <c r="H107" s="57"/>
      <c r="I107" s="57"/>
    </row>
    <row r="108" spans="1:9" x14ac:dyDescent="0.2">
      <c r="A108" s="57"/>
      <c r="B108" s="57"/>
      <c r="C108" s="57"/>
      <c r="D108" s="57"/>
      <c r="E108" s="57"/>
      <c r="F108" s="57"/>
      <c r="G108" s="57"/>
      <c r="H108" s="57"/>
      <c r="I108" s="57"/>
    </row>
    <row r="109" spans="1:9" x14ac:dyDescent="0.2">
      <c r="A109" s="57"/>
      <c r="B109" s="57"/>
      <c r="C109" s="57"/>
      <c r="D109" s="57"/>
      <c r="E109" s="57"/>
      <c r="F109" s="57"/>
      <c r="G109" s="57"/>
      <c r="H109" s="57"/>
      <c r="I109" s="57"/>
    </row>
    <row r="110" spans="1:9" x14ac:dyDescent="0.2">
      <c r="A110" s="57"/>
      <c r="B110" s="57"/>
      <c r="C110" s="57"/>
      <c r="D110" s="57"/>
      <c r="E110" s="57"/>
      <c r="F110" s="57"/>
      <c r="G110" s="57"/>
      <c r="H110" s="57"/>
      <c r="I110" s="57"/>
    </row>
    <row r="111" spans="1:9" x14ac:dyDescent="0.2">
      <c r="A111" s="57"/>
      <c r="B111" s="57"/>
      <c r="C111" s="57"/>
      <c r="D111" s="57"/>
      <c r="E111" s="57"/>
      <c r="F111" s="57"/>
      <c r="G111" s="57"/>
      <c r="H111" s="57"/>
      <c r="I111" s="57"/>
    </row>
    <row r="112" spans="1:9" x14ac:dyDescent="0.2">
      <c r="A112" s="57"/>
      <c r="B112" s="57"/>
      <c r="C112" s="57"/>
      <c r="D112" s="57"/>
      <c r="E112" s="57"/>
      <c r="F112" s="57"/>
      <c r="G112" s="57"/>
      <c r="H112" s="57"/>
      <c r="I112" s="57"/>
    </row>
    <row r="113" spans="1:9" x14ac:dyDescent="0.2">
      <c r="A113" s="57"/>
      <c r="B113" s="57"/>
      <c r="C113" s="57"/>
      <c r="D113" s="57"/>
      <c r="E113" s="57"/>
      <c r="F113" s="57"/>
      <c r="G113" s="57"/>
      <c r="H113" s="57"/>
      <c r="I113" s="57"/>
    </row>
    <row r="114" spans="1:9" x14ac:dyDescent="0.2">
      <c r="A114" s="57"/>
      <c r="B114" s="57"/>
      <c r="C114" s="57"/>
      <c r="D114" s="57"/>
      <c r="E114" s="57"/>
      <c r="F114" s="57"/>
      <c r="G114" s="57"/>
      <c r="H114" s="57"/>
      <c r="I114" s="57"/>
    </row>
    <row r="115" spans="1:9" x14ac:dyDescent="0.2">
      <c r="A115" s="57"/>
      <c r="B115" s="57"/>
      <c r="C115" s="57"/>
      <c r="D115" s="57"/>
      <c r="E115" s="57"/>
      <c r="F115" s="57"/>
      <c r="G115" s="57"/>
      <c r="H115" s="57"/>
      <c r="I115" s="57"/>
    </row>
    <row r="116" spans="1:9" x14ac:dyDescent="0.2">
      <c r="A116" s="57"/>
      <c r="B116" s="57"/>
      <c r="C116" s="57"/>
      <c r="D116" s="57"/>
      <c r="E116" s="57"/>
      <c r="F116" s="57"/>
      <c r="G116" s="57"/>
      <c r="H116" s="57"/>
      <c r="I116" s="57"/>
    </row>
    <row r="117" spans="1:9" x14ac:dyDescent="0.2">
      <c r="A117" s="57"/>
      <c r="B117" s="57"/>
      <c r="C117" s="57"/>
      <c r="D117" s="57"/>
      <c r="E117" s="57"/>
      <c r="F117" s="57"/>
      <c r="G117" s="57"/>
      <c r="H117" s="57"/>
      <c r="I117" s="57"/>
    </row>
    <row r="118" spans="1:9" x14ac:dyDescent="0.2">
      <c r="A118" s="57"/>
      <c r="B118" s="57"/>
      <c r="C118" s="57"/>
      <c r="D118" s="57"/>
      <c r="E118" s="57"/>
      <c r="F118" s="57"/>
      <c r="G118" s="57"/>
      <c r="H118" s="57"/>
      <c r="I118" s="57"/>
    </row>
    <row r="119" spans="1:9" x14ac:dyDescent="0.2">
      <c r="A119" s="57"/>
      <c r="B119" s="57"/>
      <c r="C119" s="57"/>
      <c r="D119" s="57"/>
      <c r="E119" s="57"/>
      <c r="F119" s="57"/>
      <c r="G119" s="57"/>
      <c r="H119" s="57"/>
      <c r="I119" s="57"/>
    </row>
    <row r="120" spans="1:9" x14ac:dyDescent="0.2">
      <c r="A120" s="57"/>
      <c r="B120" s="57"/>
      <c r="C120" s="57"/>
      <c r="D120" s="57"/>
      <c r="E120" s="57"/>
      <c r="F120" s="57"/>
      <c r="G120" s="57"/>
      <c r="H120" s="57"/>
      <c r="I120" s="57"/>
    </row>
    <row r="121" spans="1:9" x14ac:dyDescent="0.2">
      <c r="A121" s="57"/>
      <c r="B121" s="57"/>
      <c r="C121" s="57"/>
      <c r="D121" s="57"/>
      <c r="E121" s="57"/>
      <c r="F121" s="57"/>
      <c r="G121" s="57"/>
      <c r="H121" s="57"/>
      <c r="I121" s="57"/>
    </row>
    <row r="122" spans="1:9" x14ac:dyDescent="0.2">
      <c r="A122" s="57"/>
      <c r="B122" s="57"/>
      <c r="C122" s="57"/>
      <c r="D122" s="57"/>
      <c r="E122" s="57"/>
      <c r="F122" s="57"/>
      <c r="G122" s="57"/>
      <c r="H122" s="57"/>
      <c r="I122" s="57"/>
    </row>
  </sheetData>
  <mergeCells count="35">
    <mergeCell ref="C76:E76"/>
    <mergeCell ref="C78:E78"/>
    <mergeCell ref="C40:E40"/>
    <mergeCell ref="C56:E56"/>
    <mergeCell ref="C68:E68"/>
    <mergeCell ref="C70:E70"/>
    <mergeCell ref="C71:E71"/>
    <mergeCell ref="C72:E72"/>
    <mergeCell ref="C74:E74"/>
    <mergeCell ref="B2:H2"/>
    <mergeCell ref="A4:B4"/>
    <mergeCell ref="C4:E4"/>
    <mergeCell ref="A5:B5"/>
    <mergeCell ref="C5:E5"/>
    <mergeCell ref="A6:B6"/>
    <mergeCell ref="A7:B7"/>
    <mergeCell ref="C20:E20"/>
    <mergeCell ref="C22:E22"/>
    <mergeCell ref="C23:E23"/>
    <mergeCell ref="C24:E24"/>
    <mergeCell ref="C62:E62"/>
    <mergeCell ref="C52:E52"/>
    <mergeCell ref="C54:E54"/>
    <mergeCell ref="C55:E55"/>
    <mergeCell ref="C58:E58"/>
    <mergeCell ref="C60:E60"/>
    <mergeCell ref="C39:E39"/>
    <mergeCell ref="C42:E42"/>
    <mergeCell ref="C44:E44"/>
    <mergeCell ref="C46:E46"/>
    <mergeCell ref="C26:E26"/>
    <mergeCell ref="C28:E28"/>
    <mergeCell ref="C30:E30"/>
    <mergeCell ref="C36:E36"/>
    <mergeCell ref="C38:E38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9"/>
  <sheetViews>
    <sheetView zoomScaleNormal="100" workbookViewId="0">
      <selection activeCell="C12" sqref="C12:G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7" t="s">
        <v>22</v>
      </c>
      <c r="B1" s="97"/>
      <c r="C1" s="97"/>
      <c r="D1" s="97"/>
      <c r="E1" s="97"/>
      <c r="F1" s="97"/>
      <c r="G1" s="97"/>
      <c r="H1" s="97"/>
      <c r="I1" s="97"/>
      <c r="J1" s="38" t="s">
        <v>23</v>
      </c>
      <c r="K1" s="39"/>
    </row>
    <row r="2" spans="1:11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1" ht="18.75" customHeight="1" thickBot="1" x14ac:dyDescent="0.25">
      <c r="A3" s="98" t="s">
        <v>56</v>
      </c>
      <c r="B3" s="98"/>
      <c r="C3" s="98"/>
      <c r="D3" s="88" t="str">
        <f>'Necesidades Trimestrales'!C4</f>
        <v>35 - Ministerio de Vivienda y Urbanizacion</v>
      </c>
      <c r="E3" s="88"/>
      <c r="F3" s="88"/>
      <c r="G3" s="88"/>
      <c r="H3" s="88"/>
      <c r="I3" s="88"/>
      <c r="J3" s="88"/>
      <c r="K3" s="88"/>
    </row>
    <row r="4" spans="1:11" ht="18.75" customHeight="1" thickBot="1" x14ac:dyDescent="0.25">
      <c r="A4" s="99" t="s">
        <v>57</v>
      </c>
      <c r="B4" s="99"/>
      <c r="C4" s="99"/>
      <c r="D4" s="88" t="str">
        <f>'Necesidades Trimestrales'!C5</f>
        <v>48 - Direccion Provincial de Gestion de Administracion y Recursos Humanos</v>
      </c>
      <c r="E4" s="88"/>
      <c r="F4" s="88"/>
      <c r="G4" s="88"/>
      <c r="H4" s="88"/>
      <c r="I4" s="88"/>
      <c r="J4" s="88"/>
      <c r="K4" s="88"/>
    </row>
    <row r="5" spans="1:11" ht="18.75" customHeight="1" thickBot="1" x14ac:dyDescent="0.25">
      <c r="A5" s="99" t="s">
        <v>35</v>
      </c>
      <c r="B5" s="99"/>
      <c r="C5" s="99"/>
      <c r="D5" s="88" t="s">
        <v>63</v>
      </c>
      <c r="E5" s="88"/>
      <c r="F5" s="88"/>
      <c r="G5" s="88"/>
      <c r="H5" s="88"/>
      <c r="I5" s="88"/>
      <c r="J5" s="88"/>
      <c r="K5" s="88"/>
    </row>
    <row r="6" spans="1:11" ht="16.5" customHeight="1" thickBot="1" x14ac:dyDescent="0.25">
      <c r="A6" s="98" t="s">
        <v>58</v>
      </c>
      <c r="B6" s="98"/>
      <c r="C6" s="98"/>
      <c r="D6" s="88" t="s">
        <v>63</v>
      </c>
      <c r="E6" s="88"/>
      <c r="F6" s="88"/>
      <c r="G6" s="88"/>
      <c r="H6" s="88"/>
      <c r="I6" s="88"/>
      <c r="J6" s="88"/>
      <c r="K6" s="88"/>
    </row>
    <row r="7" spans="1:11" ht="16.5" customHeight="1" thickBot="1" x14ac:dyDescent="0.25">
      <c r="A7" s="99" t="s">
        <v>24</v>
      </c>
      <c r="B7" s="99"/>
      <c r="C7" s="99"/>
      <c r="D7" s="88" t="str">
        <f>'Necesidades Trimestrales'!C7 &amp; "° Trimestre - Año " &amp; 'Necesidades Trimestrales'!C6</f>
        <v>3° Trimestre - Año 2022</v>
      </c>
      <c r="E7" s="88"/>
      <c r="F7" s="88"/>
      <c r="G7" s="88"/>
      <c r="H7" s="88"/>
      <c r="I7" s="88"/>
      <c r="J7" s="88"/>
      <c r="K7" s="88"/>
    </row>
    <row r="8" spans="1:11" ht="16.5" customHeight="1" x14ac:dyDescent="0.2">
      <c r="A8" s="92" t="s">
        <v>25</v>
      </c>
      <c r="B8" s="92"/>
      <c r="C8" s="92"/>
      <c r="D8" s="93" t="s">
        <v>90</v>
      </c>
      <c r="E8" s="93"/>
      <c r="F8" s="93"/>
      <c r="G8" s="93"/>
      <c r="H8" s="93"/>
      <c r="I8" s="93"/>
      <c r="J8" s="93"/>
      <c r="K8" s="93"/>
    </row>
    <row r="9" spans="1:11" ht="15.75" x14ac:dyDescent="0.2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1" ht="18.75" customHeight="1" x14ac:dyDescent="0.2">
      <c r="A10" s="94" t="s">
        <v>26</v>
      </c>
      <c r="B10" s="95" t="s">
        <v>27</v>
      </c>
      <c r="C10" s="95" t="s">
        <v>28</v>
      </c>
      <c r="D10" s="95"/>
      <c r="E10" s="95"/>
      <c r="F10" s="95"/>
      <c r="G10" s="95"/>
      <c r="H10" s="95" t="s">
        <v>29</v>
      </c>
      <c r="I10" s="95" t="s">
        <v>30</v>
      </c>
      <c r="J10" s="95" t="s">
        <v>31</v>
      </c>
      <c r="K10" s="96" t="s">
        <v>32</v>
      </c>
    </row>
    <row r="11" spans="1:11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1" ht="31.5" customHeight="1" thickBot="1" x14ac:dyDescent="0.25">
      <c r="A12" s="44">
        <v>1</v>
      </c>
      <c r="B12" s="45" t="str">
        <f>'Necesidades Trimestrales'!B10</f>
        <v>2.7.4-2123.145</v>
      </c>
      <c r="C12" s="90" t="str">
        <f>'Necesidades Trimestrales'!E10</f>
        <v>CAÑOS ESTRUCTURALES; MATERIAL: ACERO SAE 1010, TIPO: RECTANGULAR, SECCION: 50 X 50 mm, ESPESOR: 2 mm, LARGO: 6 M</v>
      </c>
      <c r="D12" s="90"/>
      <c r="E12" s="90"/>
      <c r="F12" s="90"/>
      <c r="G12" s="90"/>
      <c r="H12" s="46" t="s">
        <v>67</v>
      </c>
      <c r="I12" s="47" t="str">
        <f>'Necesidades Trimestrales'!F10</f>
        <v>UNIDAD</v>
      </c>
      <c r="J12" s="48">
        <f>'Necesidades Trimestrales'!H10</f>
        <v>7900</v>
      </c>
      <c r="K12" s="49">
        <f>'Necesidades Trimestrales'!G10</f>
        <v>275</v>
      </c>
    </row>
    <row r="13" spans="1:11" ht="20.25" customHeight="1" thickBot="1" x14ac:dyDescent="0.25">
      <c r="A13" s="50">
        <v>2</v>
      </c>
      <c r="B13" s="45" t="str">
        <f>'Necesidades Trimestrales'!B11</f>
        <v>2.6.4-6085.5</v>
      </c>
      <c r="C13" s="90" t="str">
        <f>'Necesidades Trimestrales'!E11</f>
        <v>CHAPAS FIBROCEMENTO; LARGO: 122 Cm, ANCHO: 244 Cm, ESPESOR: 10 mm, TIPO: PLACA CEMENTICIDA</v>
      </c>
      <c r="D13" s="90"/>
      <c r="E13" s="90"/>
      <c r="F13" s="90"/>
      <c r="G13" s="90"/>
      <c r="H13" s="46" t="s">
        <v>67</v>
      </c>
      <c r="I13" s="47" t="str">
        <f>'Necesidades Trimestrales'!F11</f>
        <v>UNIDAD</v>
      </c>
      <c r="J13" s="48">
        <f>'Necesidades Trimestrales'!H11</f>
        <v>5400</v>
      </c>
      <c r="K13" s="49">
        <f>'Necesidades Trimestrales'!G11</f>
        <v>270</v>
      </c>
    </row>
    <row r="14" spans="1:11" ht="20.25" customHeight="1" thickBot="1" x14ac:dyDescent="0.25">
      <c r="A14" s="50">
        <v>3</v>
      </c>
      <c r="B14" s="45" t="str">
        <f>'Necesidades Trimestrales'!B12</f>
        <v>2.7.1-331.83</v>
      </c>
      <c r="C14" s="90" t="str">
        <f>'Necesidades Trimestrales'!E12</f>
        <v>CHAPAS GALVANIZADAS; ANCHO: 1000 mm, CALIBRE BWG: 27 mm, LARGO: 2000 mm</v>
      </c>
      <c r="D14" s="90"/>
      <c r="E14" s="90"/>
      <c r="F14" s="90"/>
      <c r="G14" s="90"/>
      <c r="H14" s="46" t="s">
        <v>67</v>
      </c>
      <c r="I14" s="47" t="str">
        <f>'Necesidades Trimestrales'!F12</f>
        <v>UNIDAD</v>
      </c>
      <c r="J14" s="48">
        <f>'Necesidades Trimestrales'!H12</f>
        <v>7100</v>
      </c>
      <c r="K14" s="49">
        <f>'Necesidades Trimestrales'!G12</f>
        <v>280</v>
      </c>
    </row>
    <row r="15" spans="1:11" ht="20.25" customHeight="1" x14ac:dyDescent="0.2">
      <c r="A15" s="50">
        <v>4</v>
      </c>
      <c r="B15" s="45" t="str">
        <f>'Necesidades Trimestrales'!B13</f>
        <v>2.7.1-1061.101</v>
      </c>
      <c r="C15" s="90" t="str">
        <f>'Necesidades Trimestrales'!E13</f>
        <v>HIERRO ANGULO; TRATAMIENTO: SAE 1010, LADO X LADO X ESP: 1 X 1 X 3/16 pulg</v>
      </c>
      <c r="D15" s="90"/>
      <c r="E15" s="90"/>
      <c r="F15" s="90"/>
      <c r="G15" s="90"/>
      <c r="H15" s="46" t="s">
        <v>67</v>
      </c>
      <c r="I15" s="47" t="str">
        <f>'Necesidades Trimestrales'!F13</f>
        <v>UNIDAD</v>
      </c>
      <c r="J15" s="48">
        <f>'Necesidades Trimestrales'!H13</f>
        <v>3500</v>
      </c>
      <c r="K15" s="49">
        <f>'Necesidades Trimestrales'!G13</f>
        <v>240</v>
      </c>
    </row>
    <row r="16" spans="1:11" ht="20.25" customHeight="1" thickBot="1" x14ac:dyDescent="0.25">
      <c r="A16" s="51">
        <v>5</v>
      </c>
      <c r="B16" s="52"/>
      <c r="C16" s="91"/>
      <c r="D16" s="91"/>
      <c r="E16" s="91"/>
      <c r="F16" s="91"/>
      <c r="G16" s="91"/>
      <c r="H16" s="53"/>
      <c r="I16" s="54"/>
      <c r="J16" s="54"/>
      <c r="K16" s="55"/>
    </row>
    <row r="17" spans="1:11" ht="20.25" customHeight="1" x14ac:dyDescent="0.2">
      <c r="A17" s="88" t="s">
        <v>84</v>
      </c>
      <c r="B17" s="88"/>
      <c r="C17" s="88"/>
      <c r="D17" s="88"/>
      <c r="E17" s="88"/>
      <c r="F17" s="88"/>
      <c r="G17" s="88"/>
      <c r="H17" s="88"/>
      <c r="I17" s="88"/>
      <c r="J17" s="89">
        <f>SUMPRODUCT(J12:J16,K12:K16)</f>
        <v>6458500</v>
      </c>
      <c r="K17" s="89"/>
    </row>
    <row r="18" spans="1:11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</row>
    <row r="19" spans="1:11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</row>
  </sheetData>
  <mergeCells count="2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7:I17"/>
    <mergeCell ref="J17:K17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130" zoomScaleNormal="130" workbookViewId="0">
      <selection activeCell="G4" sqref="G4:Q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1" t="s">
        <v>3</v>
      </c>
      <c r="B1" s="121"/>
      <c r="C1" s="121"/>
      <c r="D1" s="122">
        <f>'Necesidades Trimestrales'!C6</f>
        <v>2022</v>
      </c>
      <c r="E1" s="122"/>
      <c r="F1" s="4"/>
      <c r="G1" s="4"/>
      <c r="H1" s="5"/>
      <c r="I1" s="5"/>
      <c r="J1" s="5"/>
      <c r="K1" s="5"/>
      <c r="L1" s="5"/>
      <c r="M1" s="5"/>
      <c r="N1" s="5"/>
      <c r="P1" s="123" t="s">
        <v>33</v>
      </c>
      <c r="Q1" s="123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23"/>
      <c r="Q2" s="123"/>
    </row>
    <row r="4" spans="1:17" s="6" customFormat="1" ht="18" customHeight="1" thickBot="1" x14ac:dyDescent="0.25">
      <c r="A4" s="124" t="s">
        <v>34</v>
      </c>
      <c r="B4" s="124"/>
      <c r="C4" s="124"/>
      <c r="D4" s="124"/>
      <c r="E4" s="124"/>
      <c r="F4" s="124"/>
      <c r="G4" s="119" t="str">
        <f>' NotaPedido'!D3</f>
        <v>35 - Ministerio de Vivienda y Urbanizacion</v>
      </c>
      <c r="H4" s="119"/>
      <c r="I4" s="119"/>
      <c r="J4" s="119"/>
      <c r="K4" s="119"/>
      <c r="L4" s="119"/>
      <c r="M4" s="119"/>
      <c r="N4" s="119"/>
      <c r="O4" s="119"/>
      <c r="P4" s="119"/>
      <c r="Q4" s="119"/>
    </row>
    <row r="5" spans="1:17" s="6" customFormat="1" ht="18" customHeight="1" thickBot="1" x14ac:dyDescent="0.25">
      <c r="A5" s="116" t="s">
        <v>57</v>
      </c>
      <c r="B5" s="117"/>
      <c r="C5" s="117"/>
      <c r="D5" s="117"/>
      <c r="E5" s="117"/>
      <c r="F5" s="118"/>
      <c r="G5" s="119" t="str">
        <f>' NotaPedido'!D4</f>
        <v>48 - Direccion Provincial de Gestion de Administracion y Recursos Humanos</v>
      </c>
      <c r="H5" s="119"/>
      <c r="I5" s="119"/>
      <c r="J5" s="119"/>
      <c r="K5" s="119"/>
      <c r="L5" s="119"/>
      <c r="M5" s="119"/>
      <c r="N5" s="119"/>
      <c r="O5" s="119"/>
      <c r="P5" s="119"/>
      <c r="Q5" s="119"/>
    </row>
    <row r="6" spans="1:17" s="6" customFormat="1" ht="18" customHeight="1" thickBot="1" x14ac:dyDescent="0.25">
      <c r="A6" s="116" t="s">
        <v>35</v>
      </c>
      <c r="B6" s="117"/>
      <c r="C6" s="117"/>
      <c r="D6" s="117"/>
      <c r="E6" s="117"/>
      <c r="F6" s="118"/>
      <c r="G6" s="119" t="str">
        <f>' NotaPedido'!D5</f>
        <v>Ministerio de Vivienda y Urbanizacion</v>
      </c>
      <c r="H6" s="119"/>
      <c r="I6" s="119"/>
      <c r="J6" s="119"/>
      <c r="K6" s="119"/>
      <c r="L6" s="119"/>
      <c r="M6" s="119"/>
      <c r="N6" s="119"/>
      <c r="O6" s="119"/>
      <c r="P6" s="119"/>
      <c r="Q6" s="119"/>
    </row>
    <row r="7" spans="1:17" s="6" customFormat="1" ht="18" customHeight="1" thickBot="1" x14ac:dyDescent="0.25">
      <c r="A7" s="116" t="s">
        <v>58</v>
      </c>
      <c r="B7" s="117"/>
      <c r="C7" s="117"/>
      <c r="D7" s="117"/>
      <c r="E7" s="117"/>
      <c r="F7" s="118"/>
      <c r="G7" s="119" t="str">
        <f>' NotaPedido'!D6</f>
        <v>Ministerio de Vivienda y Urbanizacion</v>
      </c>
      <c r="H7" s="119"/>
      <c r="I7" s="119"/>
      <c r="J7" s="119"/>
      <c r="K7" s="119"/>
      <c r="L7" s="119"/>
      <c r="M7" s="119"/>
      <c r="N7" s="119"/>
      <c r="O7" s="119"/>
      <c r="P7" s="119"/>
      <c r="Q7" s="119"/>
    </row>
    <row r="8" spans="1:17" ht="18" customHeight="1" thickBot="1" x14ac:dyDescent="0.25">
      <c r="A8" s="120" t="s">
        <v>36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2">
      <c r="A9" s="110" t="s">
        <v>37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"/>
      <c r="P9" s="1"/>
      <c r="Q9" s="7"/>
    </row>
    <row r="10" spans="1:17" ht="54.75" customHeight="1" x14ac:dyDescent="0.2">
      <c r="A10" s="11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,  afectando la erogación resultante a los créditos presupuestarios aprobados a favor de esta Unidad Ejecutora, conforme al siguiente detalle: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12" t="s">
        <v>38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</row>
    <row r="13" spans="1:17" ht="15.75" customHeight="1" x14ac:dyDescent="0.2">
      <c r="A13" s="113" t="s">
        <v>39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4" t="s">
        <v>40</v>
      </c>
      <c r="P13" s="114"/>
      <c r="Q13" s="115" t="s">
        <v>41</v>
      </c>
    </row>
    <row r="14" spans="1:17" ht="15.75" customHeight="1" x14ac:dyDescent="0.2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13" t="s">
        <v>47</v>
      </c>
      <c r="G14" s="14" t="s">
        <v>48</v>
      </c>
      <c r="H14" s="13" t="s">
        <v>49</v>
      </c>
      <c r="I14" s="13" t="s">
        <v>50</v>
      </c>
      <c r="J14" s="13" t="s">
        <v>51</v>
      </c>
      <c r="K14" s="13" t="s">
        <v>51</v>
      </c>
      <c r="L14" s="13" t="s">
        <v>52</v>
      </c>
      <c r="M14" s="15" t="s">
        <v>53</v>
      </c>
      <c r="N14" s="16" t="s">
        <v>54</v>
      </c>
      <c r="O14" s="114"/>
      <c r="P14" s="114"/>
      <c r="Q14" s="115"/>
    </row>
    <row r="15" spans="1:17" ht="27" customHeight="1" thickBot="1" x14ac:dyDescent="0.25">
      <c r="A15" s="34">
        <v>21</v>
      </c>
      <c r="B15" s="35">
        <v>0</v>
      </c>
      <c r="C15" s="35">
        <v>0</v>
      </c>
      <c r="D15" s="35">
        <v>1</v>
      </c>
      <c r="E15" s="35">
        <v>0</v>
      </c>
      <c r="F15" s="35">
        <v>4901</v>
      </c>
      <c r="G15" s="35">
        <v>3</v>
      </c>
      <c r="H15" s="35">
        <v>370</v>
      </c>
      <c r="I15" s="36">
        <v>2</v>
      </c>
      <c r="J15" s="36">
        <v>7</v>
      </c>
      <c r="K15" s="36">
        <v>4</v>
      </c>
      <c r="L15" s="35">
        <v>0</v>
      </c>
      <c r="M15" s="37">
        <v>1</v>
      </c>
      <c r="N15" s="35" t="s">
        <v>64</v>
      </c>
      <c r="O15" s="138" t="s">
        <v>81</v>
      </c>
      <c r="P15" s="138"/>
      <c r="Q15" s="17">
        <f>'Necesidades Trimestrales'!I10</f>
        <v>2172500</v>
      </c>
    </row>
    <row r="16" spans="1:17" ht="27" customHeight="1" thickBot="1" x14ac:dyDescent="0.25">
      <c r="A16" s="34">
        <v>21</v>
      </c>
      <c r="B16" s="35">
        <v>0</v>
      </c>
      <c r="C16" s="35">
        <v>0</v>
      </c>
      <c r="D16" s="35">
        <v>1</v>
      </c>
      <c r="E16" s="35">
        <v>0</v>
      </c>
      <c r="F16" s="35">
        <v>4901</v>
      </c>
      <c r="G16" s="35">
        <v>3</v>
      </c>
      <c r="H16" s="35">
        <v>370</v>
      </c>
      <c r="I16" s="19">
        <v>2</v>
      </c>
      <c r="J16" s="19">
        <v>6</v>
      </c>
      <c r="K16" s="19">
        <v>4</v>
      </c>
      <c r="L16" s="35">
        <v>0</v>
      </c>
      <c r="M16" s="37">
        <v>1</v>
      </c>
      <c r="N16" s="35" t="s">
        <v>64</v>
      </c>
      <c r="O16" s="139" t="s">
        <v>82</v>
      </c>
      <c r="P16" s="140"/>
      <c r="Q16" s="22">
        <v>1458000</v>
      </c>
    </row>
    <row r="17" spans="1:18" ht="17.25" customHeight="1" x14ac:dyDescent="0.2">
      <c r="A17" s="34">
        <v>21</v>
      </c>
      <c r="B17" s="35">
        <v>0</v>
      </c>
      <c r="C17" s="35">
        <v>0</v>
      </c>
      <c r="D17" s="35">
        <v>1</v>
      </c>
      <c r="E17" s="35">
        <v>0</v>
      </c>
      <c r="F17" s="35">
        <v>4901</v>
      </c>
      <c r="G17" s="35">
        <v>3</v>
      </c>
      <c r="H17" s="35">
        <v>370</v>
      </c>
      <c r="I17" s="19">
        <v>2</v>
      </c>
      <c r="J17" s="19">
        <v>7</v>
      </c>
      <c r="K17" s="19">
        <v>1</v>
      </c>
      <c r="L17" s="35">
        <v>0</v>
      </c>
      <c r="M17" s="37">
        <v>1</v>
      </c>
      <c r="N17" s="35" t="s">
        <v>64</v>
      </c>
      <c r="O17" s="141" t="s">
        <v>83</v>
      </c>
      <c r="P17" s="142"/>
      <c r="Q17" s="22">
        <v>2828000</v>
      </c>
    </row>
    <row r="18" spans="1:18" ht="17.25" customHeight="1" x14ac:dyDescent="0.2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20"/>
      <c r="N18" s="21"/>
      <c r="O18" s="105"/>
      <c r="P18" s="105"/>
      <c r="Q18" s="22"/>
    </row>
    <row r="19" spans="1:18" ht="17.25" customHeight="1" x14ac:dyDescent="0.2">
      <c r="A19" s="18"/>
      <c r="B19" s="19"/>
      <c r="C19" s="19"/>
      <c r="D19" s="19"/>
      <c r="E19" s="19"/>
      <c r="F19" s="21"/>
      <c r="G19" s="19"/>
      <c r="H19" s="19"/>
      <c r="I19" s="19"/>
      <c r="J19" s="19"/>
      <c r="K19" s="19"/>
      <c r="L19" s="19"/>
      <c r="M19" s="20"/>
      <c r="N19" s="21"/>
      <c r="O19" s="105"/>
      <c r="P19" s="105"/>
      <c r="Q19" s="22"/>
    </row>
    <row r="20" spans="1:18" ht="17.25" customHeight="1" x14ac:dyDescent="0.2">
      <c r="A20" s="18"/>
      <c r="B20" s="19"/>
      <c r="C20" s="19"/>
      <c r="D20" s="19"/>
      <c r="E20" s="19"/>
      <c r="F20" s="21"/>
      <c r="G20" s="19"/>
      <c r="H20" s="19"/>
      <c r="I20" s="19"/>
      <c r="J20" s="19"/>
      <c r="K20" s="19"/>
      <c r="L20" s="19"/>
      <c r="M20" s="20"/>
      <c r="N20" s="21"/>
      <c r="O20" s="105"/>
      <c r="P20" s="105"/>
      <c r="Q20" s="22"/>
    </row>
    <row r="21" spans="1:18" ht="17.25" customHeight="1" x14ac:dyDescent="0.2">
      <c r="A21" s="23"/>
      <c r="B21" s="24"/>
      <c r="C21" s="24"/>
      <c r="D21" s="24"/>
      <c r="E21" s="24"/>
      <c r="F21" s="25"/>
      <c r="G21" s="24"/>
      <c r="H21" s="24"/>
      <c r="I21" s="24"/>
      <c r="J21" s="24"/>
      <c r="K21" s="24"/>
      <c r="L21" s="24"/>
      <c r="M21" s="26"/>
      <c r="N21" s="27"/>
      <c r="O21" s="106"/>
      <c r="P21" s="106"/>
      <c r="Q21" s="22"/>
      <c r="R21" s="1"/>
    </row>
    <row r="22" spans="1:18" ht="17.25" customHeight="1" x14ac:dyDescent="0.2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30"/>
      <c r="N22" s="29"/>
      <c r="O22" s="107"/>
      <c r="P22" s="107"/>
      <c r="Q22" s="31"/>
    </row>
    <row r="23" spans="1:18" ht="27.75" customHeight="1" x14ac:dyDescent="0.2">
      <c r="A23" s="108" t="s">
        <v>85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32">
        <f>SUM(Q15:Q22)</f>
        <v>6458500</v>
      </c>
    </row>
    <row r="24" spans="1:18" ht="18" customHeight="1" thickBot="1" x14ac:dyDescent="0.25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</row>
    <row r="25" spans="1:18" ht="17.25" customHeight="1" thickBot="1" x14ac:dyDescent="0.25">
      <c r="A25" s="100" t="s">
        <v>55</v>
      </c>
      <c r="B25" s="101"/>
      <c r="C25" s="101"/>
      <c r="D25" s="101"/>
      <c r="E25" s="101"/>
      <c r="F25" s="102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</row>
    <row r="26" spans="1:18" ht="18" customHeight="1" thickBot="1" x14ac:dyDescent="0.25">
      <c r="A26" s="104" t="s">
        <v>90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</row>
    <row r="27" spans="1:18" ht="15" customHeight="1" x14ac:dyDescent="0.2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2022-06-23T12:38:20Z</cp:lastPrinted>
  <dcterms:created xsi:type="dcterms:W3CDTF">2020-07-17T23:44:49Z</dcterms:created>
  <dcterms:modified xsi:type="dcterms:W3CDTF">2022-06-23T12:52:10Z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