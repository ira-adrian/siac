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NotaPedido!$A$1:$K$72</definedName>
  </definedNames>
  <calcPr calcId="144525"/>
</workbook>
</file>

<file path=xl/calcChain.xml><?xml version="1.0" encoding="utf-8"?>
<calcChain xmlns="http://schemas.openxmlformats.org/spreadsheetml/2006/main">
  <c r="I59" i="2" l="1"/>
  <c r="I60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13" i="2"/>
  <c r="C14" i="2"/>
  <c r="C15" i="2"/>
  <c r="C1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A25" i="3" l="1"/>
  <c r="Q22" i="3"/>
  <c r="A10" i="3"/>
  <c r="G7" i="3"/>
  <c r="G6" i="3"/>
  <c r="D1" i="3"/>
  <c r="I71" i="2"/>
  <c r="I70" i="2"/>
  <c r="I69" i="2"/>
  <c r="I68" i="2"/>
  <c r="I67" i="2"/>
  <c r="I66" i="2"/>
  <c r="I65" i="2"/>
  <c r="I64" i="2"/>
  <c r="I63" i="2"/>
  <c r="I62" i="2"/>
  <c r="I61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J72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C12" i="2"/>
  <c r="B12" i="2"/>
  <c r="D4" i="2"/>
  <c r="G5" i="3" s="1"/>
  <c r="D3" i="2"/>
  <c r="G4" i="3" s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70" i="1" l="1"/>
</calcChain>
</file>

<file path=xl/sharedStrings.xml><?xml version="1.0" encoding="utf-8"?>
<sst xmlns="http://schemas.openxmlformats.org/spreadsheetml/2006/main" count="390" uniqueCount="202">
  <si>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</si>
  <si>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</si>
  <si>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</si>
  <si>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</si>
  <si>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</si>
  <si>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</si>
  <si>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</si>
  <si>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</si>
  <si>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</si>
  <si>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</si>
  <si>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</si>
  <si>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</si>
  <si>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</si>
  <si>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</si>
  <si>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</si>
  <si>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</si>
  <si>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2.1.1-439.60</t>
  </si>
  <si>
    <t>ALIMENTOS</t>
  </si>
  <si>
    <t>ACEITES COMESTIBLES; TIPO: MEZCLA, PRESENTACION: ENVASE X 900 CM3, MATERIAL ENVASE: PLASTICO 1 (PET), ELEM. TRANSPORTE: SIN, MATERIAL ELEM. TRANSPORTE : SIN, LIBRE DE GLUTEN: SI</t>
  </si>
  <si>
    <t>UNIDAD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</si>
  <si>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</si>
  <si>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</si>
  <si>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</si>
  <si>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</si>
  <si>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2.1.1-2124.3</t>
  </si>
  <si>
    <t>AVENAS; TIPO: ARROLLADA, ESTADO: NATURAL, PRESENTACION: BOLSA, PESO: 1 Kg</t>
  </si>
  <si>
    <t>2.1.1-481.38</t>
  </si>
  <si>
    <t>AZUCARES; TIPO: "A" COMUN, ESTADO: MOLIDA, PESO: 1 Kg, MATERIAL ENVASE: PLASTICO, CERTIFICADO FORESTAL (GFS): SIN, ELEM. TRANSPORTE: SIN, MATERIAL ELEM. TRANSPORTE: SIN</t>
  </si>
  <si>
    <t>2.1.1-5917.8</t>
  </si>
  <si>
    <t>CEREALES; TIPO: TRIGO BURGOL, PRESENTACION: ENVASE X 1 Kg</t>
  </si>
  <si>
    <t>2.1.1-597.41</t>
  </si>
  <si>
    <t>CONSERVAS DE FRUTAS; VARIEDAD: COCTEL, ENVASE: LATA, PESO: 800 GR, ELEM. TRANSPORTE: SIN, MATERIAL ELEM. TRANSPORTE: SIN, LIBRE DE GLUTEN: NO</t>
  </si>
  <si>
    <t>2.1.1-597.43</t>
  </si>
  <si>
    <t>CONSERVAS DE FRUTAS; VARIEDAD: COCTEL, ENVASE: LATA, PESO: 820 GR, ELEM. TRANSPORTE: SIN, MATERIAL ELEM. TRANSPORTE: SIN, LIBRE DE GLUTEN: SI</t>
  </si>
  <si>
    <t>2.1.1-708.43</t>
  </si>
  <si>
    <t>CONSERVAS PESCADO Y FRUTOS MAR; TIPO: ATUN, ESTADO: AL NATURAL, PESO: 170 GR, ENVASE: LATA, ELEM. TRANSPORTE: SIN, MATERIAL ELEM. TRANSPORTE: SIN</t>
  </si>
  <si>
    <t>2.1.1-455.16</t>
  </si>
  <si>
    <t>DULCE DE LECHE; ENVASE: DE CARTON, CAPACIDAD: 5000 GR, TIPO: DE REPOSTERIA, PRESENTACION: ENVASE DE CARTON X 5 Kg</t>
  </si>
  <si>
    <t>2.1.1-2113.2</t>
  </si>
  <si>
    <t>DULCES; TIPO: DE MEMBRILLO, PRESENTACION: LATA, PESO: 5 Kg</t>
  </si>
  <si>
    <t>2.1.1-595.2</t>
  </si>
  <si>
    <t>EDULCORANTES; PRESENTACION: LIQUIDO, ENVASE: BOTELLA PLASTICA, CONTENIDO: 500 CM3</t>
  </si>
  <si>
    <t>2.1.1-489.66</t>
  </si>
  <si>
    <t>2.1.1-489.68</t>
  </si>
  <si>
    <t>ESPECIAS; PRESENTACION: BOLSA DE 1 Kg, TIPO: AJI MOLIDO</t>
  </si>
  <si>
    <t>2.1.1-489.119</t>
  </si>
  <si>
    <t>ESPECIAS; TIPO: COMINO, PRESENTACION: BOLSA X 1 Kg</t>
  </si>
  <si>
    <t>2.1.1-489.53</t>
  </si>
  <si>
    <t>ESPECIAS; TIPO: NUEZ MOSCADA, PRESENTACION: POLVO</t>
  </si>
  <si>
    <t>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</si>
  <si>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</si>
  <si>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</si>
  <si>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</si>
  <si>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</si>
  <si>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2.1.1-613.9</t>
  </si>
  <si>
    <t>FECULA DE MAIZ; ENVASE: BOLSA, PESO: 500 GR,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</si>
  <si>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</si>
  <si>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</si>
  <si>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</si>
  <si>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</si>
  <si>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</si>
  <si>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</si>
  <si>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</si>
  <si>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</si>
  <si>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</si>
  <si>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</si>
  <si>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2.1.1-2868.65</t>
  </si>
  <si>
    <t>FIDEOS SECOS; VARIEDAD: SPAGHETTI VERDES, RELLENO: SIN, PRESENTACION: ENVASE X 5 Kg, MATERIAL ENVASE: PLASTICO 1 (PET), ELEM. TRANSPORTE: SIN, MATERIAL ELEM. TRANSPORTE: SIN, CERTIFICADO FORESTAL (GFS): SIN, LIBRE DE GLUTEN: NO</t>
  </si>
  <si>
    <t>2.1.1-2868.85</t>
  </si>
  <si>
    <t>FIDEOS SECOS; VARIEDAD: TAGLIATELLE, RELLENO: SIN, PRESENTACION: ENVASE X 500 GR, MATERIAL ENVASE: POLIETILENO,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</si>
  <si>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</si>
  <si>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</si>
  <si>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</si>
  <si>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</si>
  <si>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2.1.1-513.9</t>
  </si>
  <si>
    <t>FLANES; PESO: 60 GR, ENVASE: CAJA CARTON, ESTADO PREPARACION: CON COCCION, SABOR: VAINILLA, TIPO: SIN VALOR, PRESENTACION: 60 GR</t>
  </si>
  <si>
    <t>2.1.1-6539.38</t>
  </si>
  <si>
    <t>FRUTAS; VARIEDAD: ANANA, PRESENTACION: ENVASE X 850 GR, PESO: 850 GR, ESTADO: CONSERVA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</si>
  <si>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</si>
  <si>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</si>
  <si>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</si>
  <si>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</si>
  <si>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2.1.1-788.224</t>
  </si>
  <si>
    <t>GALLETITAS; VARIEDAD: SALADA, RELLENO: SIN, PRESENTACION: ENVASE X 275 GR, ELEM. TRANSPORTE: SIN, MATERIAL ELEM. TRANSPORTE: SIN, LIBRE DE GLUTEN: SI</t>
  </si>
  <si>
    <t>2.1.1-788.229</t>
  </si>
  <si>
    <t>GALLETITAS; VARIEDAD: VAINILLA, RELLENO: SIN, PRESENTACION: ENVASE X 792 GR, ELEM. TRANSPORTE: SIN, MATERIAL ELEM. TRANSPORTE: SIN, LIBRE DE GLUTEN: NO</t>
  </si>
  <si>
    <t>2.1.1-510.5</t>
  </si>
  <si>
    <t>GELATINAS; ENVASE: CAJA DE CARTON, PESO: 30 GR, TIPO: BAJAS CALORIAS, SABOR: FRUTILLA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</si>
  <si>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</si>
  <si>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</si>
  <si>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</si>
  <si>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</si>
  <si>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</si>
  <si>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</si>
  <si>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</si>
  <si>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</si>
  <si>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</si>
  <si>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</si>
  <si>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</si>
  <si>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</si>
  <si>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2.1.1-6547.70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</si>
  <si>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</si>
  <si>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</si>
  <si>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2.1.1-6547.88</t>
  </si>
  <si>
    <t>LEGUMBRES; VARIEDAD: LENTEJA, ESTADO: SECO, PRESENTACION: BOLSA, PESO: 450 GR, MATERIAL ENVASE: PLASTICO, ELEM. TRANSPORTE: SIN, MATERIAL ELEM. TRANSPORTE: SIN, LIBRE DE GLUTEN: SI</t>
  </si>
  <si>
    <t>2.1.1-706.6</t>
  </si>
  <si>
    <t>MATE COCIDO; ENVASE: CAJA CARTON, PRESENTACION: ENSOBRADO, SAQUITOS P/CAJA: 100 UN, PESO X SAQ.: 3 GR</t>
  </si>
  <si>
    <t>2.1.1-517.86</t>
  </si>
  <si>
    <t>POSTRES; ESTADO PREPARACION: CON COCCION, TIPO: POLVO, ENVASE: CAJA DE CARTON, PESO: 80 GR, SABOR: VAINILLA, LIBRE DE GLUTEN: SI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</si>
  <si>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</si>
  <si>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</si>
  <si>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</si>
  <si>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</si>
  <si>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2.1.1-2126.13</t>
  </si>
  <si>
    <t>SEMOLAS; TIPO: VITINA, PRESENTACION: BOLSA, PESO: 500 GR, MATERIAL ENVASE: PLASTICO 1 (PET), CERTICADO FORESTAL (GFS): SIN, LIBRE DE GLUTEN: NO</t>
  </si>
  <si>
    <t>2.1.1-511.8</t>
  </si>
  <si>
    <t>TE; SAQUITOS 2G P/CAJA: 50, PESO: SIN VALOR, TIPO: SIN VALOR, PRESENTACION: EN SAQUITOS</t>
  </si>
  <si>
    <t>2.1.1-6546.336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</si>
  <si>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</si>
  <si>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</si>
  <si>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</si>
  <si>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2.1.1-6546.183</t>
  </si>
  <si>
    <t>VERDURAS Y HORTALIZAS; VARIEDAD: TOMATE PERITA, ESTADO: NATURAL, PRESENTACION: LATA, PESO: 380 GR</t>
  </si>
  <si>
    <t>2.1.1-6546.81</t>
  </si>
  <si>
    <t>VERDURAS Y HORTALIZAS; VARIEDAD: TOMATE, ESTADO: PURE NATURAL, PRESENTACION: CAJA, PESO: 500 GR</t>
  </si>
  <si>
    <t>2.1.1-519.23</t>
  </si>
  <si>
    <t>VINAGRES; TIPO: MANZANA, PRESENTACION: ENVASE X 1 L, MATERIAL ENVASE: PLASTICO 1 (PET)</t>
  </si>
  <si>
    <t>2.1.1-519.27</t>
  </si>
  <si>
    <t>VINAGRES; TIPO: VINO, PRESENTACION: ENVASE X 1 L, MATERIAL ENVASE: PLASTICO 1 (PET), LIBRE DE GLUTEN: NO</t>
  </si>
  <si>
    <t>2.1.1-454.25</t>
  </si>
  <si>
    <t>YERBAS; PALO: CON, PESO: 1 Kg, MATERIAL ENVASE : PAPEL, CERTIFICADO FORESTAL (GFS): CON, ELEM. TRANSPORTE: SIN, MATERIAL ELEM. TRANSPORTE: SIN, LIBRE DE GLUTEN: SI</t>
  </si>
  <si>
    <t>MANTENIMIENTO DE OFERTA: 45 DIAS HABILES</t>
  </si>
  <si>
    <t>Descripción técnica</t>
  </si>
  <si>
    <t>Plazos y lugares de entrega</t>
  </si>
  <si>
    <t>Calidad Minima esperada</t>
  </si>
  <si>
    <t>Mantenimiento</t>
  </si>
  <si>
    <t xml:space="preserve">45 dias habiles </t>
  </si>
  <si>
    <t>Garantia</t>
  </si>
  <si>
    <t>NOTA DE PEDIDO</t>
  </si>
  <si>
    <t>N°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</si>
  <si>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</si>
  <si>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</si>
  <si>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</si>
  <si>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</si>
  <si>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</si>
  <si>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</si>
  <si>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</si>
  <si>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</si>
  <si>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Adquisición de Alimentos no perecederos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</si>
  <si>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</si>
  <si>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</si>
  <si>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</si>
  <si>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</si>
  <si>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</si>
  <si>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</si>
  <si>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</si>
  <si>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</si>
  <si>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</si>
  <si>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</si>
  <si>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</si>
  <si>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</si>
  <si>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</si>
  <si>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</si>
  <si>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</si>
  <si>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</si>
  <si>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</si>
  <si>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</si>
  <si>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</si>
  <si>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</si>
  <si>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</si>
  <si>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</si>
  <si>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</si>
  <si>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</si>
  <si>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</si>
  <si>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</si>
  <si>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</si>
  <si>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</si>
  <si>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</si>
  <si>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</si>
  <si>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</si>
  <si>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Alimentos para personas</t>
  </si>
  <si>
    <t>JUSTIFICACIÓN:</t>
  </si>
  <si>
    <t>ESPECIAS; TIPO: OREGANO, PRESENTACION: BOLSA DE 1 Kg</t>
  </si>
  <si>
    <t>LEGUMBRES; VARIEDAD: LENTEJA, ESTADO: SECO, PRESENTACION: BOLSA, PESO: 1 Kg</t>
  </si>
  <si>
    <t xml:space="preserve">PLAZO DE ENTREGA: 10 DIAS HABILES - LUGAR DE ENTREGA: SERVICIO DE NUTRICION - HOSPITAL INTERZONAL SAN JUAN BAUTISTA - AV. ILLIA ESQ. MARIANO MORENO - DE LUNES A VIERNES DE 08:00 HORAS A 11:00 HORAS. </t>
  </si>
  <si>
    <t>10 DIAS HABILES - LUGAR DE ENTREGA: SERVICIO DE NUTRICION - HOSPITAL INTERZONAL SAN JUAN BAUTISTA - AV. ILLIA ESQ. MARIANO MORENO - DE LUNES A VIERNES DE 08:00 HORAS A 11:00 HORAS</t>
  </si>
  <si>
    <t xml:space="preserve"> </t>
  </si>
  <si>
    <t>2° TRIMESTRE  - AÑO 2022</t>
  </si>
  <si>
    <t>Costo total estimado: PESOS DOS MILLONES TREINTA Y NUEVE MIL CUATROCIENTOS OCHENTA Y SEIS CON 00/100.---</t>
  </si>
  <si>
    <t>042 - 2022</t>
  </si>
  <si>
    <t>Especificidades Item N° 06</t>
  </si>
  <si>
    <t xml:space="preserve">TRIGO BURGOL FINO </t>
  </si>
  <si>
    <t>DULCES; TIPO: BATATA A LA VAINILLA, PRESENTACION: LATA, PESO: 5 Kg</t>
  </si>
  <si>
    <t>2.1.1-2113.21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</si>
  <si>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</si>
  <si>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2.1.1-2868.71</t>
  </si>
  <si>
    <t>FRUTAS; VARIEDAD: DURAZNO, PRESENTACION: ENVASE X 820 GR, ESTADO: NATURAL, PESO: 820 GR</t>
  </si>
  <si>
    <t>2.1.1-6539.54</t>
  </si>
  <si>
    <t>Especificidades Item N° 50</t>
  </si>
  <si>
    <t xml:space="preserve">SAL DE MESA TIPO COMUN </t>
  </si>
  <si>
    <t>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</si>
  <si>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TOTAL DE PESOS: DOS MILLONES TREINTA Y NUEVE MIL CUATROCIENTOS OCHENTA Y SEIS CON 00/100.-----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</si>
</sst>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\-??_);_(@_)"/>
    <numFmt numFmtId="165" formatCode="_-* #,##0.00&quot; €&quot;_-;\-* #,##0.00&quot; €&quot;_-;_-* \-??&quot; €&quot;_-;_-@_-"/>
    <numFmt numFmtId="166" formatCode="dd\-mm\-yy;@"/>
    <numFmt numFmtId="167" formatCode="[$$-2C0A]\ #,##0.00;[$$-2C0A]&quot; -&quot;#,##0.00"/>
    <numFmt numFmtId="168" formatCode="[$$-2C0A]\ #,##0.00"/>
  </numFmts>
  <fonts count="30" x14ac:knownFonts="1">
    <font>
      <sz val="1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1"/>
      <color rgb="FF993300"/>
      <name val="Calibri"/>
      <family val="2"/>
    </font>
    <font>
      <b/>
      <sz val="15"/>
      <color rgb="FF666699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5" fontId="6" fillId="0" borderId="0" applyBorder="0" applyProtection="0"/>
    <xf numFmtId="164" fontId="23" fillId="0" borderId="0" applyBorder="0" applyProtection="0"/>
    <xf numFmtId="0" fontId="22" fillId="0" borderId="50" applyProtection="0"/>
    <xf numFmtId="0" fontId="21" fillId="5" borderId="0" applyBorder="0" applyProtection="0"/>
  </cellStyleXfs>
  <cellXfs count="149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Border="1" applyAlignment="1"/>
    <xf numFmtId="166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/>
    <xf numFmtId="0" fontId="5" fillId="0" borderId="2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7" fontId="0" fillId="0" borderId="31" xfId="2" applyNumberFormat="1" applyFont="1" applyBorder="1" applyAlignment="1" applyProtection="1">
      <alignment horizontal="center" vertical="center"/>
    </xf>
    <xf numFmtId="167" fontId="0" fillId="0" borderId="32" xfId="2" applyNumberFormat="1" applyFont="1" applyBorder="1" applyAlignment="1" applyProtection="1">
      <alignment horizontal="center" vertical="center"/>
    </xf>
    <xf numFmtId="167" fontId="0" fillId="0" borderId="0" xfId="0" applyNumberFormat="1"/>
    <xf numFmtId="167" fontId="0" fillId="0" borderId="33" xfId="2" applyNumberFormat="1" applyFont="1" applyBorder="1" applyAlignment="1" applyProtection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3" fillId="0" borderId="38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11" fillId="2" borderId="3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6" fillId="2" borderId="0" xfId="0" applyFont="1" applyFill="1" applyAlignment="1">
      <alignment horizontal="left" wrapText="1" indent="1"/>
    </xf>
    <xf numFmtId="0" fontId="18" fillId="3" borderId="0" xfId="0" applyFont="1" applyFill="1" applyAlignment="1">
      <alignment horizontal="left" wrapText="1"/>
    </xf>
    <xf numFmtId="0" fontId="18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20" fillId="0" borderId="42" xfId="0" applyFont="1" applyBorder="1" applyAlignment="1">
      <alignment horizontal="left" vertical="center"/>
    </xf>
    <xf numFmtId="0" fontId="13" fillId="0" borderId="43" xfId="0" applyFont="1" applyBorder="1" applyAlignment="1">
      <alignment horizontal="left"/>
    </xf>
    <xf numFmtId="0" fontId="13" fillId="0" borderId="43" xfId="0" applyFont="1" applyBorder="1"/>
    <xf numFmtId="0" fontId="13" fillId="0" borderId="44" xfId="0" applyFont="1" applyBorder="1"/>
    <xf numFmtId="0" fontId="13" fillId="0" borderId="45" xfId="0" applyFont="1" applyBorder="1" applyAlignment="1">
      <alignment horizontal="center" vertical="center"/>
    </xf>
    <xf numFmtId="0" fontId="13" fillId="0" borderId="0" xfId="0" applyFont="1" applyBorder="1"/>
    <xf numFmtId="0" fontId="13" fillId="0" borderId="46" xfId="0" applyFont="1" applyBorder="1"/>
    <xf numFmtId="0" fontId="20" fillId="0" borderId="45" xfId="0" applyFont="1" applyBorder="1" applyAlignment="1">
      <alignment horizontal="left" vertical="center"/>
    </xf>
    <xf numFmtId="0" fontId="20" fillId="0" borderId="45" xfId="0" applyFont="1" applyBorder="1" applyAlignment="1">
      <alignment horizontal="center" vertical="center"/>
    </xf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 wrapText="1"/>
    </xf>
    <xf numFmtId="0" fontId="13" fillId="0" borderId="46" xfId="0" applyFont="1" applyBorder="1" applyAlignment="1">
      <alignment horizontal="center" wrapText="1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/>
    <xf numFmtId="0" fontId="13" fillId="0" borderId="49" xfId="0" applyFont="1" applyBorder="1"/>
    <xf numFmtId="167" fontId="13" fillId="0" borderId="0" xfId="0" applyNumberFormat="1" applyFont="1"/>
    <xf numFmtId="0" fontId="24" fillId="0" borderId="34" xfId="0" applyFont="1" applyBorder="1" applyAlignment="1">
      <alignment horizontal="center" vertical="center"/>
    </xf>
    <xf numFmtId="0" fontId="25" fillId="2" borderId="34" xfId="0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8" fillId="0" borderId="34" xfId="0" applyFont="1" applyFill="1" applyBorder="1" applyAlignment="1">
      <alignment vertical="center" wrapText="1"/>
    </xf>
    <xf numFmtId="167" fontId="26" fillId="3" borderId="38" xfId="1" applyNumberFormat="1" applyFont="1" applyFill="1" applyBorder="1" applyAlignment="1" applyProtection="1">
      <alignment horizontal="right" vertical="center" wrapText="1"/>
    </xf>
    <xf numFmtId="167" fontId="26" fillId="2" borderId="34" xfId="1" applyNumberFormat="1" applyFont="1" applyFill="1" applyBorder="1" applyAlignment="1" applyProtection="1">
      <alignment horizontal="right" vertical="center" wrapText="1"/>
    </xf>
    <xf numFmtId="0" fontId="26" fillId="0" borderId="0" xfId="0" applyFont="1"/>
    <xf numFmtId="0" fontId="26" fillId="0" borderId="0" xfId="0" applyFont="1" applyAlignment="1">
      <alignment wrapText="1"/>
    </xf>
    <xf numFmtId="0" fontId="17" fillId="2" borderId="34" xfId="0" applyFont="1" applyFill="1" applyBorder="1" applyAlignment="1">
      <alignment horizontal="center" vertical="center" wrapText="1"/>
    </xf>
    <xf numFmtId="167" fontId="26" fillId="3" borderId="34" xfId="1" applyNumberFormat="1" applyFont="1" applyFill="1" applyBorder="1" applyAlignment="1" applyProtection="1">
      <alignment horizontal="right" vertical="center" wrapText="1"/>
    </xf>
    <xf numFmtId="0" fontId="24" fillId="3" borderId="34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left" vertical="center" wrapText="1"/>
    </xf>
    <xf numFmtId="0" fontId="27" fillId="3" borderId="34" xfId="0" applyFont="1" applyFill="1" applyBorder="1" applyAlignment="1">
      <alignment horizontal="center" vertical="center" wrapText="1"/>
    </xf>
    <xf numFmtId="0" fontId="28" fillId="3" borderId="34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/>
    </xf>
    <xf numFmtId="0" fontId="13" fillId="4" borderId="46" xfId="0" applyFont="1" applyFill="1" applyBorder="1" applyAlignment="1">
      <alignment horizontal="center" wrapText="1"/>
    </xf>
    <xf numFmtId="0" fontId="13" fillId="4" borderId="0" xfId="0" applyFont="1" applyFill="1" applyBorder="1" applyAlignment="1">
      <alignment horizontal="left" vertical="center" wrapText="1"/>
    </xf>
    <xf numFmtId="0" fontId="13" fillId="4" borderId="46" xfId="0" applyFont="1" applyFill="1" applyBorder="1" applyAlignment="1">
      <alignment horizontal="left" vertical="center" wrapText="1"/>
    </xf>
    <xf numFmtId="0" fontId="13" fillId="4" borderId="46" xfId="0" applyFont="1" applyFill="1" applyBorder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6" fillId="2" borderId="0" xfId="0" applyFont="1" applyFill="1" applyBorder="1" applyAlignment="1">
      <alignment horizontal="left" wrapText="1" indent="1"/>
    </xf>
    <xf numFmtId="0" fontId="3" fillId="3" borderId="38" xfId="0" applyFont="1" applyFill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 indent="1"/>
    </xf>
    <xf numFmtId="168" fontId="10" fillId="0" borderId="34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 wrapText="1" indent="1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1" fillId="3" borderId="34" xfId="0" applyFont="1" applyFill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1" xfId="0" applyBorder="1"/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indent="1"/>
    </xf>
    <xf numFmtId="0" fontId="4" fillId="0" borderId="3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0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left" vertical="center" wrapText="1"/>
    </xf>
  </cellXfs>
  <cellStyles count="5">
    <cellStyle name="Encabezado 1" xfId="3"/>
    <cellStyle name="Moneda" xfId="1" builtinId="4"/>
    <cellStyle name="Moneda_AUTORIZACION Y NOTA DE PEDIDO" xfId="2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5"/>
  <sheetViews>
    <sheetView tabSelected="1" zoomScale="85" zoomScaleNormal="85" workbookViewId="0">
      <selection activeCell="I72" sqref="I72"/>
    </sheetView>
  </sheetViews>
  <sheetFormatPr baseColWidth="10" defaultColWidth="11" defaultRowHeight="12.75" x14ac:dyDescent="0.2"/>
  <cols>
    <col min="1" max="1" width="4.5703125" style="51" customWidth="1"/>
    <col min="2" max="2" width="13.85546875" style="51" customWidth="1"/>
    <col min="3" max="3" width="32.42578125" style="51" customWidth="1"/>
    <col min="4" max="4" width="8.42578125" style="51" customWidth="1"/>
    <col min="5" max="5" width="79" style="52" customWidth="1"/>
    <col min="6" max="6" width="11" style="51"/>
    <col min="7" max="7" width="12.7109375" style="51" customWidth="1"/>
    <col min="8" max="8" width="13.85546875" style="51" customWidth="1"/>
    <col min="9" max="9" width="18.5703125" style="51" customWidth="1"/>
    <col min="10" max="16384" width="11" style="51"/>
  </cols>
  <sheetData>
    <row r="2" spans="1:9" ht="27" x14ac:dyDescent="0.35">
      <c r="B2" s="103" t="s">
        <v>0</v>
      </c>
      <c r="C2" s="103"/>
      <c r="D2" s="103"/>
      <c r="E2" s="103"/>
      <c r="F2" s="103"/>
      <c r="G2" s="103"/>
      <c r="H2" s="103"/>
    </row>
    <row r="4" spans="1:9" ht="18" customHeight="1" x14ac:dyDescent="0.25">
      <c r="A4" s="99" t="s">
        <v>1</v>
      </c>
      <c r="B4" s="99"/>
      <c r="C4" s="104" t="s">
        <v>2</v>
      </c>
      <c r="D4" s="104"/>
      <c r="E4" s="104"/>
      <c r="F4" s="53"/>
      <c r="G4" s="54"/>
      <c r="H4" s="53"/>
    </row>
    <row r="5" spans="1:9" ht="18" customHeight="1" x14ac:dyDescent="0.25">
      <c r="A5" s="99" t="s">
        <v>3</v>
      </c>
      <c r="B5" s="99"/>
      <c r="C5" s="104" t="s">
        <v>4</v>
      </c>
      <c r="D5" s="104"/>
      <c r="E5" s="104"/>
      <c r="F5" s="53"/>
      <c r="G5" s="54"/>
      <c r="H5" s="53"/>
    </row>
    <row r="6" spans="1:9" ht="16.5" customHeight="1" x14ac:dyDescent="0.25">
      <c r="A6" s="99" t="s">
        <v>5</v>
      </c>
      <c r="B6" s="99"/>
      <c r="C6" s="55">
        <v>2022</v>
      </c>
      <c r="D6" s="56"/>
      <c r="E6" s="56"/>
      <c r="F6" s="53"/>
      <c r="G6" s="54"/>
      <c r="H6" s="53"/>
    </row>
    <row r="7" spans="1:9" ht="16.5" customHeight="1" x14ac:dyDescent="0.25">
      <c r="A7" s="99" t="s">
        <v>6</v>
      </c>
      <c r="B7" s="99"/>
      <c r="C7" s="55">
        <v>2</v>
      </c>
      <c r="D7" s="56"/>
      <c r="E7" s="56"/>
      <c r="F7" s="53"/>
      <c r="G7" s="54"/>
      <c r="H7" s="53"/>
    </row>
    <row r="8" spans="1:9" x14ac:dyDescent="0.2">
      <c r="B8" s="53"/>
      <c r="C8" s="54"/>
      <c r="D8" s="53"/>
      <c r="E8" s="53"/>
      <c r="F8" s="53"/>
      <c r="G8" s="54"/>
      <c r="H8" s="53"/>
    </row>
    <row r="9" spans="1:9" ht="38.25" x14ac:dyDescent="0.2">
      <c r="A9" s="57" t="s">
        <v>7</v>
      </c>
      <c r="B9" s="57" t="s">
        <v>8</v>
      </c>
      <c r="C9" s="57" t="s">
        <v>9</v>
      </c>
      <c r="D9" s="57" t="s">
        <v>10</v>
      </c>
      <c r="E9" s="57" t="s">
        <v>11</v>
      </c>
      <c r="F9" s="57" t="s">
        <v>12</v>
      </c>
      <c r="G9" s="57" t="s">
        <v>13</v>
      </c>
      <c r="H9" s="57" t="s">
        <v>14</v>
      </c>
      <c r="I9" s="57" t="s">
        <v>15</v>
      </c>
    </row>
    <row r="10" spans="1:9" ht="56.45" customHeight="1" x14ac:dyDescent="0.2">
      <c r="A10" s="76">
        <v>1</v>
      </c>
      <c r="B10" s="77" t="s">
        <v>16</v>
      </c>
      <c r="C10" s="78" t="s">
        <v>17</v>
      </c>
      <c r="D10" s="80" t="str">
        <f>LEFT(B10,5)</f>
        <v>2.1.1</v>
      </c>
      <c r="E10" s="81" t="s">
        <v>18</v>
      </c>
      <c r="F10" s="79" t="s">
        <v>19</v>
      </c>
      <c r="G10" s="79">
        <v>800</v>
      </c>
      <c r="H10" s="82">
        <v>275</v>
      </c>
      <c r="I10" s="83">
        <f t="shared" ref="I10:I69" si="0">G10*H10</f>
        <v>220000</v>
      </c>
    </row>
    <row r="11" spans="1:9" ht="70.900000000000006" customHeight="1" x14ac:dyDescent="0.2">
      <c r="A11" s="76">
        <v>2</v>
      </c>
      <c r="B11" s="77" t="s">
        <v>20</v>
      </c>
      <c r="C11" s="78" t="s">
        <v>17</v>
      </c>
      <c r="D11" s="80" t="str">
        <f t="shared" ref="D11:D69" si="1">LEFT(B11,5)</f>
        <v>2.1.1</v>
      </c>
      <c r="E11" s="81" t="s">
        <v>21</v>
      </c>
      <c r="F11" s="79" t="s">
        <v>19</v>
      </c>
      <c r="G11" s="79">
        <v>500</v>
      </c>
      <c r="H11" s="82">
        <v>233.5</v>
      </c>
      <c r="I11" s="83">
        <f t="shared" si="0"/>
        <v>116750</v>
      </c>
    </row>
    <row r="12" spans="1:9" ht="66.599999999999994" customHeight="1" x14ac:dyDescent="0.2">
      <c r="A12" s="76">
        <v>3</v>
      </c>
      <c r="B12" s="77" t="s">
        <v>22</v>
      </c>
      <c r="C12" s="78" t="s">
        <v>17</v>
      </c>
      <c r="D12" s="80" t="str">
        <f t="shared" si="1"/>
        <v>2.1.1</v>
      </c>
      <c r="E12" s="81" t="s">
        <v>23</v>
      </c>
      <c r="F12" s="79" t="s">
        <v>19</v>
      </c>
      <c r="G12" s="79">
        <v>50</v>
      </c>
      <c r="H12" s="82">
        <v>130</v>
      </c>
      <c r="I12" s="83">
        <f t="shared" si="0"/>
        <v>6500</v>
      </c>
    </row>
    <row r="13" spans="1:9" ht="42" customHeight="1" x14ac:dyDescent="0.2">
      <c r="A13" s="76">
        <v>4</v>
      </c>
      <c r="B13" s="77" t="s">
        <v>24</v>
      </c>
      <c r="C13" s="78" t="s">
        <v>17</v>
      </c>
      <c r="D13" s="80" t="str">
        <f t="shared" si="1"/>
        <v>2.1.1</v>
      </c>
      <c r="E13" s="81" t="s">
        <v>25</v>
      </c>
      <c r="F13" s="79" t="s">
        <v>19</v>
      </c>
      <c r="G13" s="79">
        <v>15</v>
      </c>
      <c r="H13" s="82">
        <v>338</v>
      </c>
      <c r="I13" s="83">
        <f t="shared" si="0"/>
        <v>5070</v>
      </c>
    </row>
    <row r="14" spans="1:9" ht="51.75" customHeight="1" x14ac:dyDescent="0.2">
      <c r="A14" s="76">
        <v>5</v>
      </c>
      <c r="B14" s="77" t="s">
        <v>26</v>
      </c>
      <c r="C14" s="78" t="s">
        <v>17</v>
      </c>
      <c r="D14" s="80" t="str">
        <f t="shared" si="1"/>
        <v>2.1.1</v>
      </c>
      <c r="E14" s="81" t="s">
        <v>27</v>
      </c>
      <c r="F14" s="79" t="s">
        <v>19</v>
      </c>
      <c r="G14" s="79">
        <v>1200</v>
      </c>
      <c r="H14" s="82">
        <v>87</v>
      </c>
      <c r="I14" s="83">
        <f t="shared" si="0"/>
        <v>104400</v>
      </c>
    </row>
    <row r="15" spans="1:9" ht="40.5" customHeight="1" x14ac:dyDescent="0.2">
      <c r="A15" s="76">
        <v>6</v>
      </c>
      <c r="B15" s="77" t="s">
        <v>28</v>
      </c>
      <c r="C15" s="78" t="s">
        <v>17</v>
      </c>
      <c r="D15" s="80" t="str">
        <f t="shared" si="1"/>
        <v>2.1.1</v>
      </c>
      <c r="E15" s="81" t="s">
        <v>29</v>
      </c>
      <c r="F15" s="79" t="s">
        <v>19</v>
      </c>
      <c r="G15" s="79">
        <v>15</v>
      </c>
      <c r="H15" s="82">
        <v>260</v>
      </c>
      <c r="I15" s="83">
        <f t="shared" si="0"/>
        <v>3900</v>
      </c>
    </row>
    <row r="16" spans="1:9" ht="52.9" customHeight="1" x14ac:dyDescent="0.2">
      <c r="A16" s="76">
        <v>7</v>
      </c>
      <c r="B16" s="77" t="s">
        <v>30</v>
      </c>
      <c r="C16" s="78" t="s">
        <v>17</v>
      </c>
      <c r="D16" s="80" t="str">
        <f t="shared" si="1"/>
        <v>2.1.1</v>
      </c>
      <c r="E16" s="81" t="s">
        <v>31</v>
      </c>
      <c r="F16" s="79" t="s">
        <v>19</v>
      </c>
      <c r="G16" s="79">
        <v>300</v>
      </c>
      <c r="H16" s="82">
        <v>422</v>
      </c>
      <c r="I16" s="83">
        <f t="shared" si="0"/>
        <v>126600</v>
      </c>
    </row>
    <row r="17" spans="1:9" ht="52.9" customHeight="1" x14ac:dyDescent="0.2">
      <c r="A17" s="76">
        <v>8</v>
      </c>
      <c r="B17" s="77" t="s">
        <v>32</v>
      </c>
      <c r="C17" s="78" t="s">
        <v>17</v>
      </c>
      <c r="D17" s="80" t="str">
        <f t="shared" si="1"/>
        <v>2.1.1</v>
      </c>
      <c r="E17" s="81" t="s">
        <v>33</v>
      </c>
      <c r="F17" s="79" t="s">
        <v>19</v>
      </c>
      <c r="G17" s="79">
        <v>300</v>
      </c>
      <c r="H17" s="82">
        <v>422</v>
      </c>
      <c r="I17" s="83">
        <f t="shared" si="0"/>
        <v>126600</v>
      </c>
    </row>
    <row r="18" spans="1:9" ht="46.9" customHeight="1" x14ac:dyDescent="0.2">
      <c r="A18" s="76">
        <v>9</v>
      </c>
      <c r="B18" s="77" t="s">
        <v>34</v>
      </c>
      <c r="C18" s="78" t="s">
        <v>17</v>
      </c>
      <c r="D18" s="80" t="str">
        <f t="shared" si="1"/>
        <v>2.1.1</v>
      </c>
      <c r="E18" s="81" t="s">
        <v>35</v>
      </c>
      <c r="F18" s="79" t="s">
        <v>19</v>
      </c>
      <c r="G18" s="79">
        <v>150</v>
      </c>
      <c r="H18" s="82">
        <v>140.9</v>
      </c>
      <c r="I18" s="83">
        <f t="shared" si="0"/>
        <v>21135</v>
      </c>
    </row>
    <row r="19" spans="1:9" ht="37.5" customHeight="1" x14ac:dyDescent="0.2">
      <c r="A19" s="76">
        <v>10</v>
      </c>
      <c r="B19" s="77" t="s">
        <v>36</v>
      </c>
      <c r="C19" s="78" t="s">
        <v>17</v>
      </c>
      <c r="D19" s="80" t="str">
        <f t="shared" si="1"/>
        <v>2.1.1</v>
      </c>
      <c r="E19" s="81" t="s">
        <v>37</v>
      </c>
      <c r="F19" s="79" t="s">
        <v>19</v>
      </c>
      <c r="G19" s="79">
        <v>5</v>
      </c>
      <c r="H19" s="82">
        <v>1990</v>
      </c>
      <c r="I19" s="83">
        <f t="shared" si="0"/>
        <v>9950</v>
      </c>
    </row>
    <row r="20" spans="1:9" ht="31.9" customHeight="1" x14ac:dyDescent="0.2">
      <c r="A20" s="76">
        <v>11</v>
      </c>
      <c r="B20" s="86" t="s">
        <v>193</v>
      </c>
      <c r="C20" s="78" t="s">
        <v>17</v>
      </c>
      <c r="D20" s="80" t="str">
        <f t="shared" si="1"/>
        <v>2.1.1</v>
      </c>
      <c r="E20" s="81" t="s">
        <v>192</v>
      </c>
      <c r="F20" s="79" t="s">
        <v>19</v>
      </c>
      <c r="G20" s="79">
        <v>20</v>
      </c>
      <c r="H20" s="82">
        <v>1485</v>
      </c>
      <c r="I20" s="83">
        <f t="shared" si="0"/>
        <v>29700</v>
      </c>
    </row>
    <row r="21" spans="1:9" ht="31.9" customHeight="1" x14ac:dyDescent="0.2">
      <c r="A21" s="76">
        <v>12</v>
      </c>
      <c r="B21" s="77" t="s">
        <v>38</v>
      </c>
      <c r="C21" s="78" t="s">
        <v>17</v>
      </c>
      <c r="D21" s="80" t="str">
        <f t="shared" si="1"/>
        <v>2.1.1</v>
      </c>
      <c r="E21" s="81" t="s">
        <v>39</v>
      </c>
      <c r="F21" s="79" t="s">
        <v>19</v>
      </c>
      <c r="G21" s="79">
        <v>20</v>
      </c>
      <c r="H21" s="82">
        <v>1716</v>
      </c>
      <c r="I21" s="83">
        <f t="shared" si="0"/>
        <v>34320</v>
      </c>
    </row>
    <row r="22" spans="1:9" ht="31.9" customHeight="1" x14ac:dyDescent="0.2">
      <c r="A22" s="76">
        <v>13</v>
      </c>
      <c r="B22" s="77" t="s">
        <v>40</v>
      </c>
      <c r="C22" s="78" t="s">
        <v>17</v>
      </c>
      <c r="D22" s="80" t="str">
        <f t="shared" si="1"/>
        <v>2.1.1</v>
      </c>
      <c r="E22" s="81" t="s">
        <v>41</v>
      </c>
      <c r="F22" s="79" t="s">
        <v>19</v>
      </c>
      <c r="G22" s="79">
        <v>150</v>
      </c>
      <c r="H22" s="82">
        <v>250.5</v>
      </c>
      <c r="I22" s="83">
        <f t="shared" si="0"/>
        <v>37575</v>
      </c>
    </row>
    <row r="23" spans="1:9" ht="31.9" customHeight="1" x14ac:dyDescent="0.2">
      <c r="A23" s="76">
        <v>14</v>
      </c>
      <c r="B23" s="77" t="s">
        <v>42</v>
      </c>
      <c r="C23" s="78" t="s">
        <v>17</v>
      </c>
      <c r="D23" s="80" t="str">
        <f t="shared" si="1"/>
        <v>2.1.1</v>
      </c>
      <c r="E23" s="81" t="s">
        <v>182</v>
      </c>
      <c r="F23" s="79" t="s">
        <v>19</v>
      </c>
      <c r="G23" s="79">
        <v>9</v>
      </c>
      <c r="H23" s="82">
        <v>600</v>
      </c>
      <c r="I23" s="83">
        <f t="shared" si="0"/>
        <v>5400</v>
      </c>
    </row>
    <row r="24" spans="1:9" ht="31.9" customHeight="1" x14ac:dyDescent="0.2">
      <c r="A24" s="76">
        <v>15</v>
      </c>
      <c r="B24" s="77" t="s">
        <v>43</v>
      </c>
      <c r="C24" s="78" t="s">
        <v>17</v>
      </c>
      <c r="D24" s="80" t="str">
        <f t="shared" si="1"/>
        <v>2.1.1</v>
      </c>
      <c r="E24" s="81" t="s">
        <v>44</v>
      </c>
      <c r="F24" s="79" t="s">
        <v>19</v>
      </c>
      <c r="G24" s="79">
        <v>4</v>
      </c>
      <c r="H24" s="82">
        <v>600</v>
      </c>
      <c r="I24" s="83">
        <f t="shared" si="0"/>
        <v>2400</v>
      </c>
    </row>
    <row r="25" spans="1:9" ht="31.9" customHeight="1" x14ac:dyDescent="0.2">
      <c r="A25" s="76">
        <v>16</v>
      </c>
      <c r="B25" s="77" t="s">
        <v>45</v>
      </c>
      <c r="C25" s="78" t="s">
        <v>17</v>
      </c>
      <c r="D25" s="80" t="str">
        <f t="shared" si="1"/>
        <v>2.1.1</v>
      </c>
      <c r="E25" s="81" t="s">
        <v>46</v>
      </c>
      <c r="F25" s="79" t="s">
        <v>19</v>
      </c>
      <c r="G25" s="79">
        <v>2</v>
      </c>
      <c r="H25" s="82">
        <v>500</v>
      </c>
      <c r="I25" s="83">
        <f t="shared" si="0"/>
        <v>1000</v>
      </c>
    </row>
    <row r="26" spans="1:9" ht="31.9" customHeight="1" x14ac:dyDescent="0.2">
      <c r="A26" s="88">
        <v>17</v>
      </c>
      <c r="B26" s="77" t="s">
        <v>47</v>
      </c>
      <c r="C26" s="89" t="s">
        <v>17</v>
      </c>
      <c r="D26" s="90" t="str">
        <f t="shared" si="1"/>
        <v>2.1.1</v>
      </c>
      <c r="E26" s="91" t="s">
        <v>48</v>
      </c>
      <c r="F26" s="79" t="s">
        <v>49</v>
      </c>
      <c r="G26" s="79">
        <v>3</v>
      </c>
      <c r="H26" s="82">
        <v>2025</v>
      </c>
      <c r="I26" s="83">
        <f t="shared" si="0"/>
        <v>6075</v>
      </c>
    </row>
    <row r="27" spans="1:9" ht="31.9" customHeight="1" x14ac:dyDescent="0.2">
      <c r="A27" s="88">
        <v>18</v>
      </c>
      <c r="B27" s="77" t="s">
        <v>50</v>
      </c>
      <c r="C27" s="89" t="s">
        <v>17</v>
      </c>
      <c r="D27" s="90" t="str">
        <f t="shared" si="1"/>
        <v>2.1.1</v>
      </c>
      <c r="E27" s="91" t="s">
        <v>51</v>
      </c>
      <c r="F27" s="79" t="s">
        <v>19</v>
      </c>
      <c r="G27" s="79">
        <v>9</v>
      </c>
      <c r="H27" s="82">
        <v>500</v>
      </c>
      <c r="I27" s="83">
        <f t="shared" si="0"/>
        <v>4500</v>
      </c>
    </row>
    <row r="28" spans="1:9" ht="31.9" customHeight="1" x14ac:dyDescent="0.2">
      <c r="A28" s="88">
        <v>19</v>
      </c>
      <c r="B28" s="77" t="s">
        <v>52</v>
      </c>
      <c r="C28" s="89" t="s">
        <v>17</v>
      </c>
      <c r="D28" s="90" t="str">
        <f t="shared" si="1"/>
        <v>2.1.1</v>
      </c>
      <c r="E28" s="91" t="s">
        <v>53</v>
      </c>
      <c r="F28" s="79" t="s">
        <v>19</v>
      </c>
      <c r="G28" s="79">
        <v>3</v>
      </c>
      <c r="H28" s="82">
        <v>560</v>
      </c>
      <c r="I28" s="83">
        <f t="shared" si="0"/>
        <v>1680</v>
      </c>
    </row>
    <row r="29" spans="1:9" ht="31.9" customHeight="1" x14ac:dyDescent="0.2">
      <c r="A29" s="88">
        <v>20</v>
      </c>
      <c r="B29" s="77" t="s">
        <v>54</v>
      </c>
      <c r="C29" s="89" t="s">
        <v>17</v>
      </c>
      <c r="D29" s="90" t="str">
        <f t="shared" si="1"/>
        <v>2.1.1</v>
      </c>
      <c r="E29" s="91" t="s">
        <v>55</v>
      </c>
      <c r="F29" s="79" t="s">
        <v>19</v>
      </c>
      <c r="G29" s="79">
        <v>50</v>
      </c>
      <c r="H29" s="82">
        <v>129.75</v>
      </c>
      <c r="I29" s="83">
        <f t="shared" si="0"/>
        <v>6487.5</v>
      </c>
    </row>
    <row r="30" spans="1:9" ht="66" customHeight="1" x14ac:dyDescent="0.2">
      <c r="A30" s="88">
        <v>21</v>
      </c>
      <c r="B30" s="77" t="s">
        <v>56</v>
      </c>
      <c r="C30" s="89" t="s">
        <v>17</v>
      </c>
      <c r="D30" s="90" t="str">
        <f t="shared" si="1"/>
        <v>2.1.1</v>
      </c>
      <c r="E30" s="91" t="s">
        <v>57</v>
      </c>
      <c r="F30" s="79" t="s">
        <v>19</v>
      </c>
      <c r="G30" s="79">
        <v>50</v>
      </c>
      <c r="H30" s="82">
        <v>131.75</v>
      </c>
      <c r="I30" s="83">
        <f t="shared" si="0"/>
        <v>6587.5</v>
      </c>
    </row>
    <row r="31" spans="1:9" ht="57" customHeight="1" x14ac:dyDescent="0.2">
      <c r="A31" s="88">
        <v>22</v>
      </c>
      <c r="B31" s="86" t="s">
        <v>195</v>
      </c>
      <c r="C31" s="89" t="s">
        <v>17</v>
      </c>
      <c r="D31" s="90" t="str">
        <f t="shared" si="1"/>
        <v>2.1.1</v>
      </c>
      <c r="E31" s="91" t="s">
        <v>194</v>
      </c>
      <c r="F31" s="79" t="s">
        <v>19</v>
      </c>
      <c r="G31" s="79">
        <v>50</v>
      </c>
      <c r="H31" s="82">
        <v>62.25</v>
      </c>
      <c r="I31" s="83">
        <f t="shared" si="0"/>
        <v>3112.5</v>
      </c>
    </row>
    <row r="32" spans="1:9" ht="74.45" customHeight="1" x14ac:dyDescent="0.2">
      <c r="A32" s="88">
        <v>23</v>
      </c>
      <c r="B32" s="77" t="s">
        <v>58</v>
      </c>
      <c r="C32" s="89" t="s">
        <v>17</v>
      </c>
      <c r="D32" s="90" t="str">
        <f t="shared" si="1"/>
        <v>2.1.1</v>
      </c>
      <c r="E32" s="91" t="s">
        <v>59</v>
      </c>
      <c r="F32" s="79" t="s">
        <v>19</v>
      </c>
      <c r="G32" s="79">
        <v>50</v>
      </c>
      <c r="H32" s="82">
        <v>62.25</v>
      </c>
      <c r="I32" s="83">
        <f t="shared" si="0"/>
        <v>3112.5</v>
      </c>
    </row>
    <row r="33" spans="1:9" ht="72" customHeight="1" x14ac:dyDescent="0.2">
      <c r="A33" s="88">
        <v>24</v>
      </c>
      <c r="B33" s="77" t="s">
        <v>60</v>
      </c>
      <c r="C33" s="89" t="s">
        <v>17</v>
      </c>
      <c r="D33" s="90" t="str">
        <f t="shared" si="1"/>
        <v>2.1.1</v>
      </c>
      <c r="E33" s="91" t="s">
        <v>61</v>
      </c>
      <c r="F33" s="79" t="s">
        <v>19</v>
      </c>
      <c r="G33" s="79">
        <v>30</v>
      </c>
      <c r="H33" s="82">
        <v>62.25</v>
      </c>
      <c r="I33" s="83">
        <f t="shared" si="0"/>
        <v>1867.5</v>
      </c>
    </row>
    <row r="34" spans="1:9" ht="68.45" customHeight="1" x14ac:dyDescent="0.2">
      <c r="A34" s="88">
        <v>25</v>
      </c>
      <c r="B34" s="77" t="s">
        <v>62</v>
      </c>
      <c r="C34" s="89" t="s">
        <v>17</v>
      </c>
      <c r="D34" s="90" t="str">
        <f t="shared" si="1"/>
        <v>2.1.1</v>
      </c>
      <c r="E34" s="91" t="s">
        <v>63</v>
      </c>
      <c r="F34" s="79" t="s">
        <v>19</v>
      </c>
      <c r="G34" s="79">
        <v>30</v>
      </c>
      <c r="H34" s="82">
        <v>62.25</v>
      </c>
      <c r="I34" s="83">
        <f t="shared" si="0"/>
        <v>1867.5</v>
      </c>
    </row>
    <row r="35" spans="1:9" ht="66" customHeight="1" x14ac:dyDescent="0.2">
      <c r="A35" s="88">
        <v>26</v>
      </c>
      <c r="B35" s="77" t="s">
        <v>64</v>
      </c>
      <c r="C35" s="89" t="s">
        <v>17</v>
      </c>
      <c r="D35" s="90" t="str">
        <f t="shared" si="1"/>
        <v>2.1.1</v>
      </c>
      <c r="E35" s="91" t="s">
        <v>65</v>
      </c>
      <c r="F35" s="79" t="s">
        <v>19</v>
      </c>
      <c r="G35" s="79">
        <v>150</v>
      </c>
      <c r="H35" s="82">
        <v>62.25</v>
      </c>
      <c r="I35" s="83">
        <f t="shared" si="0"/>
        <v>9337.5</v>
      </c>
    </row>
    <row r="36" spans="1:9" ht="64.900000000000006" customHeight="1" x14ac:dyDescent="0.2">
      <c r="A36" s="88">
        <v>27</v>
      </c>
      <c r="B36" s="77" t="s">
        <v>66</v>
      </c>
      <c r="C36" s="89" t="s">
        <v>17</v>
      </c>
      <c r="D36" s="90" t="str">
        <f t="shared" si="1"/>
        <v>2.1.1</v>
      </c>
      <c r="E36" s="91" t="s">
        <v>67</v>
      </c>
      <c r="F36" s="79" t="s">
        <v>19</v>
      </c>
      <c r="G36" s="79">
        <v>50</v>
      </c>
      <c r="H36" s="82">
        <v>609</v>
      </c>
      <c r="I36" s="83">
        <f t="shared" si="0"/>
        <v>30450</v>
      </c>
    </row>
    <row r="37" spans="1:9" ht="70.150000000000006" customHeight="1" x14ac:dyDescent="0.2">
      <c r="A37" s="88">
        <v>28</v>
      </c>
      <c r="B37" s="77" t="s">
        <v>68</v>
      </c>
      <c r="C37" s="89" t="s">
        <v>17</v>
      </c>
      <c r="D37" s="90" t="str">
        <f t="shared" si="1"/>
        <v>2.1.1</v>
      </c>
      <c r="E37" s="91" t="s">
        <v>69</v>
      </c>
      <c r="F37" s="79" t="s">
        <v>19</v>
      </c>
      <c r="G37" s="79">
        <v>50</v>
      </c>
      <c r="H37" s="82">
        <v>62.25</v>
      </c>
      <c r="I37" s="83">
        <f t="shared" si="0"/>
        <v>3112.5</v>
      </c>
    </row>
    <row r="38" spans="1:9" ht="64.150000000000006" customHeight="1" x14ac:dyDescent="0.2">
      <c r="A38" s="88">
        <v>29</v>
      </c>
      <c r="B38" s="77" t="s">
        <v>70</v>
      </c>
      <c r="C38" s="89" t="s">
        <v>17</v>
      </c>
      <c r="D38" s="90" t="str">
        <f t="shared" si="1"/>
        <v>2.1.1</v>
      </c>
      <c r="E38" s="91" t="s">
        <v>71</v>
      </c>
      <c r="F38" s="79" t="s">
        <v>19</v>
      </c>
      <c r="G38" s="79">
        <v>150</v>
      </c>
      <c r="H38" s="82">
        <v>62.25</v>
      </c>
      <c r="I38" s="83">
        <f t="shared" si="0"/>
        <v>9337.5</v>
      </c>
    </row>
    <row r="39" spans="1:9" ht="64.150000000000006" customHeight="1" x14ac:dyDescent="0.2">
      <c r="A39" s="88">
        <v>30</v>
      </c>
      <c r="B39" s="77" t="s">
        <v>72</v>
      </c>
      <c r="C39" s="89" t="s">
        <v>17</v>
      </c>
      <c r="D39" s="90" t="str">
        <f t="shared" si="1"/>
        <v>2.1.1</v>
      </c>
      <c r="E39" s="91" t="s">
        <v>73</v>
      </c>
      <c r="F39" s="79" t="s">
        <v>19</v>
      </c>
      <c r="G39" s="79">
        <v>120</v>
      </c>
      <c r="H39" s="82">
        <v>62.25</v>
      </c>
      <c r="I39" s="83">
        <f t="shared" si="0"/>
        <v>7470</v>
      </c>
    </row>
    <row r="40" spans="1:9" ht="51" customHeight="1" x14ac:dyDescent="0.2">
      <c r="A40" s="88">
        <v>31</v>
      </c>
      <c r="B40" s="77" t="s">
        <v>74</v>
      </c>
      <c r="C40" s="89" t="s">
        <v>17</v>
      </c>
      <c r="D40" s="90" t="str">
        <f t="shared" si="1"/>
        <v>2.1.1</v>
      </c>
      <c r="E40" s="91" t="s">
        <v>75</v>
      </c>
      <c r="F40" s="79" t="s">
        <v>19</v>
      </c>
      <c r="G40" s="79">
        <v>200</v>
      </c>
      <c r="H40" s="82">
        <v>57</v>
      </c>
      <c r="I40" s="83">
        <f t="shared" si="0"/>
        <v>11400</v>
      </c>
    </row>
    <row r="41" spans="1:9" ht="41.25" customHeight="1" x14ac:dyDescent="0.2">
      <c r="A41" s="88">
        <v>32</v>
      </c>
      <c r="B41" s="77" t="s">
        <v>76</v>
      </c>
      <c r="C41" s="89" t="s">
        <v>17</v>
      </c>
      <c r="D41" s="90" t="str">
        <f t="shared" si="1"/>
        <v>2.1.1</v>
      </c>
      <c r="E41" s="91" t="s">
        <v>77</v>
      </c>
      <c r="F41" s="79" t="s">
        <v>19</v>
      </c>
      <c r="G41" s="79">
        <v>200</v>
      </c>
      <c r="H41" s="82">
        <v>732.5</v>
      </c>
      <c r="I41" s="83">
        <f t="shared" si="0"/>
        <v>146500</v>
      </c>
    </row>
    <row r="42" spans="1:9" ht="40.5" customHeight="1" x14ac:dyDescent="0.2">
      <c r="A42" s="88">
        <v>33</v>
      </c>
      <c r="B42" s="77" t="s">
        <v>78</v>
      </c>
      <c r="C42" s="89" t="s">
        <v>17</v>
      </c>
      <c r="D42" s="90" t="str">
        <f t="shared" si="1"/>
        <v>2.1.1</v>
      </c>
      <c r="E42" s="91" t="s">
        <v>79</v>
      </c>
      <c r="F42" s="79" t="s">
        <v>19</v>
      </c>
      <c r="G42" s="79">
        <v>3</v>
      </c>
      <c r="H42" s="82">
        <v>1200</v>
      </c>
      <c r="I42" s="83">
        <f t="shared" si="0"/>
        <v>3600</v>
      </c>
    </row>
    <row r="43" spans="1:9" ht="51" customHeight="1" x14ac:dyDescent="0.2">
      <c r="A43" s="88">
        <v>34</v>
      </c>
      <c r="B43" s="86" t="s">
        <v>80</v>
      </c>
      <c r="C43" s="89" t="s">
        <v>17</v>
      </c>
      <c r="D43" s="90" t="str">
        <f t="shared" si="1"/>
        <v>2.1.1</v>
      </c>
      <c r="E43" s="91" t="s">
        <v>81</v>
      </c>
      <c r="F43" s="79" t="s">
        <v>19</v>
      </c>
      <c r="G43" s="79">
        <v>3</v>
      </c>
      <c r="H43" s="82">
        <v>1200</v>
      </c>
      <c r="I43" s="83">
        <f t="shared" si="0"/>
        <v>3600</v>
      </c>
    </row>
    <row r="44" spans="1:9" ht="42" customHeight="1" x14ac:dyDescent="0.2">
      <c r="A44" s="88">
        <v>35</v>
      </c>
      <c r="B44" s="86" t="s">
        <v>197</v>
      </c>
      <c r="C44" s="89" t="s">
        <v>17</v>
      </c>
      <c r="D44" s="90" t="str">
        <f t="shared" si="1"/>
        <v>2.1.1</v>
      </c>
      <c r="E44" s="91" t="s">
        <v>196</v>
      </c>
      <c r="F44" s="79" t="s">
        <v>19</v>
      </c>
      <c r="G44" s="79">
        <v>400</v>
      </c>
      <c r="H44" s="82">
        <v>435</v>
      </c>
      <c r="I44" s="83">
        <f t="shared" si="0"/>
        <v>174000</v>
      </c>
    </row>
    <row r="45" spans="1:9" ht="54.6" customHeight="1" x14ac:dyDescent="0.2">
      <c r="A45" s="88">
        <v>36</v>
      </c>
      <c r="B45" s="86" t="s">
        <v>82</v>
      </c>
      <c r="C45" s="89" t="s">
        <v>17</v>
      </c>
      <c r="D45" s="90" t="str">
        <f t="shared" si="1"/>
        <v>2.1.1</v>
      </c>
      <c r="E45" s="91" t="s">
        <v>83</v>
      </c>
      <c r="F45" s="79" t="s">
        <v>19</v>
      </c>
      <c r="G45" s="79">
        <v>30</v>
      </c>
      <c r="H45" s="82">
        <v>445</v>
      </c>
      <c r="I45" s="83">
        <f t="shared" si="0"/>
        <v>13350</v>
      </c>
    </row>
    <row r="46" spans="1:9" ht="52.15" customHeight="1" x14ac:dyDescent="0.2">
      <c r="A46" s="88">
        <v>37</v>
      </c>
      <c r="B46" s="86" t="s">
        <v>84</v>
      </c>
      <c r="C46" s="89" t="s">
        <v>17</v>
      </c>
      <c r="D46" s="90" t="str">
        <f t="shared" si="1"/>
        <v>2.1.1</v>
      </c>
      <c r="E46" s="91" t="s">
        <v>85</v>
      </c>
      <c r="F46" s="79" t="s">
        <v>19</v>
      </c>
      <c r="G46" s="79">
        <v>50</v>
      </c>
      <c r="H46" s="82">
        <v>445</v>
      </c>
      <c r="I46" s="83">
        <f t="shared" si="0"/>
        <v>22250</v>
      </c>
    </row>
    <row r="47" spans="1:9" ht="38.25" customHeight="1" x14ac:dyDescent="0.2">
      <c r="A47" s="88">
        <v>38</v>
      </c>
      <c r="B47" s="86" t="s">
        <v>86</v>
      </c>
      <c r="C47" s="89" t="s">
        <v>17</v>
      </c>
      <c r="D47" s="90" t="str">
        <f t="shared" si="1"/>
        <v>2.1.1</v>
      </c>
      <c r="E47" s="91" t="s">
        <v>87</v>
      </c>
      <c r="F47" s="79" t="s">
        <v>19</v>
      </c>
      <c r="G47" s="79">
        <v>300</v>
      </c>
      <c r="H47" s="82">
        <v>90</v>
      </c>
      <c r="I47" s="83">
        <f t="shared" si="0"/>
        <v>27000</v>
      </c>
    </row>
    <row r="48" spans="1:9" ht="38.25" customHeight="1" x14ac:dyDescent="0.2">
      <c r="A48" s="88">
        <v>39</v>
      </c>
      <c r="B48" s="86" t="s">
        <v>88</v>
      </c>
      <c r="C48" s="89" t="s">
        <v>17</v>
      </c>
      <c r="D48" s="90" t="str">
        <f t="shared" si="1"/>
        <v>2.1.1</v>
      </c>
      <c r="E48" s="91" t="s">
        <v>89</v>
      </c>
      <c r="F48" s="79" t="s">
        <v>19</v>
      </c>
      <c r="G48" s="79">
        <v>300</v>
      </c>
      <c r="H48" s="82">
        <v>90</v>
      </c>
      <c r="I48" s="83">
        <f t="shared" si="0"/>
        <v>27000</v>
      </c>
    </row>
    <row r="49" spans="1:9" ht="63.6" customHeight="1" x14ac:dyDescent="0.2">
      <c r="A49" s="88">
        <v>40</v>
      </c>
      <c r="B49" s="86" t="s">
        <v>90</v>
      </c>
      <c r="C49" s="89" t="s">
        <v>17</v>
      </c>
      <c r="D49" s="90" t="str">
        <f t="shared" si="1"/>
        <v>2.1.1</v>
      </c>
      <c r="E49" s="91" t="s">
        <v>91</v>
      </c>
      <c r="F49" s="79" t="s">
        <v>19</v>
      </c>
      <c r="G49" s="79">
        <v>30</v>
      </c>
      <c r="H49" s="82">
        <v>70.25</v>
      </c>
      <c r="I49" s="83">
        <f t="shared" si="0"/>
        <v>2107.5</v>
      </c>
    </row>
    <row r="50" spans="1:9" ht="61.15" customHeight="1" x14ac:dyDescent="0.2">
      <c r="A50" s="88">
        <v>41</v>
      </c>
      <c r="B50" s="86" t="s">
        <v>92</v>
      </c>
      <c r="C50" s="89" t="s">
        <v>17</v>
      </c>
      <c r="D50" s="90" t="str">
        <f t="shared" si="1"/>
        <v>2.1.1</v>
      </c>
      <c r="E50" s="91" t="s">
        <v>93</v>
      </c>
      <c r="F50" s="79" t="s">
        <v>19</v>
      </c>
      <c r="G50" s="79">
        <v>70</v>
      </c>
      <c r="H50" s="82">
        <v>119.8</v>
      </c>
      <c r="I50" s="83">
        <f t="shared" si="0"/>
        <v>8386</v>
      </c>
    </row>
    <row r="51" spans="1:9" ht="51" customHeight="1" x14ac:dyDescent="0.2">
      <c r="A51" s="88">
        <v>42</v>
      </c>
      <c r="B51" s="86" t="s">
        <v>94</v>
      </c>
      <c r="C51" s="89" t="s">
        <v>17</v>
      </c>
      <c r="D51" s="90" t="str">
        <f t="shared" si="1"/>
        <v>2.1.1</v>
      </c>
      <c r="E51" s="91" t="s">
        <v>95</v>
      </c>
      <c r="F51" s="79" t="s">
        <v>19</v>
      </c>
      <c r="G51" s="79">
        <v>50</v>
      </c>
      <c r="H51" s="82">
        <v>101.5</v>
      </c>
      <c r="I51" s="83">
        <f t="shared" si="0"/>
        <v>5075</v>
      </c>
    </row>
    <row r="52" spans="1:9" ht="55.9" customHeight="1" x14ac:dyDescent="0.2">
      <c r="A52" s="88">
        <v>43</v>
      </c>
      <c r="B52" s="86" t="s">
        <v>96</v>
      </c>
      <c r="C52" s="89" t="s">
        <v>17</v>
      </c>
      <c r="D52" s="90" t="str">
        <f t="shared" si="1"/>
        <v>2.1.1</v>
      </c>
      <c r="E52" s="91" t="s">
        <v>97</v>
      </c>
      <c r="F52" s="79" t="s">
        <v>19</v>
      </c>
      <c r="G52" s="79">
        <v>300</v>
      </c>
      <c r="H52" s="82">
        <v>102.6</v>
      </c>
      <c r="I52" s="83">
        <f t="shared" si="0"/>
        <v>30780</v>
      </c>
    </row>
    <row r="53" spans="1:9" ht="82.15" customHeight="1" x14ac:dyDescent="0.2">
      <c r="A53" s="88">
        <v>44</v>
      </c>
      <c r="B53" s="86" t="s">
        <v>98</v>
      </c>
      <c r="C53" s="89" t="s">
        <v>17</v>
      </c>
      <c r="D53" s="90" t="str">
        <f t="shared" si="1"/>
        <v>2.1.1</v>
      </c>
      <c r="E53" s="91" t="s">
        <v>99</v>
      </c>
      <c r="F53" s="79" t="s">
        <v>19</v>
      </c>
      <c r="G53" s="79">
        <v>1800</v>
      </c>
      <c r="H53" s="82">
        <v>118</v>
      </c>
      <c r="I53" s="83">
        <f t="shared" si="0"/>
        <v>212400</v>
      </c>
    </row>
    <row r="54" spans="1:9" ht="31.9" customHeight="1" x14ac:dyDescent="0.2">
      <c r="A54" s="88">
        <v>45</v>
      </c>
      <c r="B54" s="86" t="s">
        <v>100</v>
      </c>
      <c r="C54" s="89" t="s">
        <v>17</v>
      </c>
      <c r="D54" s="90" t="str">
        <f t="shared" si="1"/>
        <v>2.1.1</v>
      </c>
      <c r="E54" s="91" t="s">
        <v>183</v>
      </c>
      <c r="F54" s="79" t="s">
        <v>19</v>
      </c>
      <c r="G54" s="79">
        <v>70</v>
      </c>
      <c r="H54" s="82">
        <v>288</v>
      </c>
      <c r="I54" s="83">
        <f t="shared" si="0"/>
        <v>20160</v>
      </c>
    </row>
    <row r="55" spans="1:9" ht="48" customHeight="1" x14ac:dyDescent="0.2">
      <c r="A55" s="88">
        <v>46</v>
      </c>
      <c r="B55" s="86" t="s">
        <v>101</v>
      </c>
      <c r="C55" s="89" t="s">
        <v>17</v>
      </c>
      <c r="D55" s="90" t="str">
        <f t="shared" si="1"/>
        <v>2.1.1</v>
      </c>
      <c r="E55" s="91" t="s">
        <v>102</v>
      </c>
      <c r="F55" s="79" t="s">
        <v>19</v>
      </c>
      <c r="G55" s="79">
        <v>300</v>
      </c>
      <c r="H55" s="82">
        <v>48</v>
      </c>
      <c r="I55" s="83">
        <f t="shared" si="0"/>
        <v>14400</v>
      </c>
    </row>
    <row r="56" spans="1:9" ht="64.150000000000006" customHeight="1" thickBot="1" x14ac:dyDescent="0.25">
      <c r="A56" s="88">
        <v>47</v>
      </c>
      <c r="B56" s="86" t="s">
        <v>103</v>
      </c>
      <c r="C56" s="89" t="s">
        <v>17</v>
      </c>
      <c r="D56" s="90" t="str">
        <f t="shared" si="1"/>
        <v>2.1.1</v>
      </c>
      <c r="E56" s="91" t="s">
        <v>104</v>
      </c>
      <c r="F56" s="79" t="s">
        <v>19</v>
      </c>
      <c r="G56" s="79">
        <v>10</v>
      </c>
      <c r="H56" s="82">
        <v>158</v>
      </c>
      <c r="I56" s="83">
        <f t="shared" si="0"/>
        <v>1580</v>
      </c>
    </row>
    <row r="57" spans="1:9" ht="31.9" customHeight="1" thickBot="1" x14ac:dyDescent="0.25">
      <c r="A57" s="88">
        <v>48</v>
      </c>
      <c r="B57" s="86" t="s">
        <v>105</v>
      </c>
      <c r="C57" s="89" t="s">
        <v>17</v>
      </c>
      <c r="D57" s="90" t="str">
        <f t="shared" si="1"/>
        <v>2.1.1</v>
      </c>
      <c r="E57" s="91" t="s">
        <v>106</v>
      </c>
      <c r="F57" s="79" t="s">
        <v>19</v>
      </c>
      <c r="G57" s="79">
        <v>300</v>
      </c>
      <c r="H57" s="82">
        <v>356.8</v>
      </c>
      <c r="I57" s="83">
        <f t="shared" si="0"/>
        <v>107040</v>
      </c>
    </row>
    <row r="58" spans="1:9" ht="31.9" customHeight="1" x14ac:dyDescent="0.2">
      <c r="A58" s="88">
        <v>49</v>
      </c>
      <c r="B58" s="86" t="s">
        <v>107</v>
      </c>
      <c r="C58" s="89" t="s">
        <v>17</v>
      </c>
      <c r="D58" s="90" t="str">
        <f t="shared" si="1"/>
        <v>2.1.1</v>
      </c>
      <c r="E58" s="91" t="s">
        <v>108</v>
      </c>
      <c r="F58" s="79" t="s">
        <v>19</v>
      </c>
      <c r="G58" s="79">
        <v>120</v>
      </c>
      <c r="H58" s="82">
        <v>73</v>
      </c>
      <c r="I58" s="83">
        <f t="shared" si="0"/>
        <v>8760</v>
      </c>
    </row>
    <row r="59" spans="1:9" ht="31.9" customHeight="1" x14ac:dyDescent="0.2">
      <c r="A59" s="88">
        <v>50</v>
      </c>
      <c r="B59" s="86" t="s">
        <v>109</v>
      </c>
      <c r="C59" s="89" t="s">
        <v>17</v>
      </c>
      <c r="D59" s="90" t="str">
        <f t="shared" si="1"/>
        <v>2.1.1</v>
      </c>
      <c r="E59" s="91" t="s">
        <v>110</v>
      </c>
      <c r="F59" s="79" t="s">
        <v>19</v>
      </c>
      <c r="G59" s="79">
        <v>100</v>
      </c>
      <c r="H59" s="82">
        <v>43</v>
      </c>
      <c r="I59" s="83">
        <f t="shared" si="0"/>
        <v>4300</v>
      </c>
    </row>
    <row r="60" spans="1:9" ht="31.9" customHeight="1" x14ac:dyDescent="0.2">
      <c r="A60" s="88">
        <v>51</v>
      </c>
      <c r="B60" s="86" t="s">
        <v>111</v>
      </c>
      <c r="C60" s="89" t="s">
        <v>17</v>
      </c>
      <c r="D60" s="90" t="str">
        <f t="shared" si="1"/>
        <v>2.1.1</v>
      </c>
      <c r="E60" s="91" t="s">
        <v>112</v>
      </c>
      <c r="F60" s="79" t="s">
        <v>19</v>
      </c>
      <c r="G60" s="79">
        <v>15</v>
      </c>
      <c r="H60" s="82">
        <v>63</v>
      </c>
      <c r="I60" s="83">
        <f t="shared" si="0"/>
        <v>945</v>
      </c>
    </row>
    <row r="61" spans="1:9" ht="53.45" customHeight="1" x14ac:dyDescent="0.2">
      <c r="A61" s="88">
        <v>52</v>
      </c>
      <c r="B61" s="86" t="s">
        <v>113</v>
      </c>
      <c r="C61" s="89" t="s">
        <v>17</v>
      </c>
      <c r="D61" s="90" t="str">
        <f t="shared" si="1"/>
        <v>2.1.1</v>
      </c>
      <c r="E61" s="91" t="s">
        <v>114</v>
      </c>
      <c r="F61" s="79" t="s">
        <v>19</v>
      </c>
      <c r="G61" s="79">
        <v>20</v>
      </c>
      <c r="H61" s="82">
        <v>197</v>
      </c>
      <c r="I61" s="83">
        <f t="shared" si="0"/>
        <v>3940</v>
      </c>
    </row>
    <row r="62" spans="1:9" ht="40.5" customHeight="1" x14ac:dyDescent="0.2">
      <c r="A62" s="88">
        <v>53</v>
      </c>
      <c r="B62" s="86" t="s">
        <v>115</v>
      </c>
      <c r="C62" s="89" t="s">
        <v>17</v>
      </c>
      <c r="D62" s="90" t="str">
        <f t="shared" si="1"/>
        <v>2.1.1</v>
      </c>
      <c r="E62" s="91" t="s">
        <v>116</v>
      </c>
      <c r="F62" s="79" t="s">
        <v>19</v>
      </c>
      <c r="G62" s="79">
        <v>700</v>
      </c>
      <c r="H62" s="82">
        <v>185.8</v>
      </c>
      <c r="I62" s="83">
        <f t="shared" si="0"/>
        <v>130060.00000000001</v>
      </c>
    </row>
    <row r="63" spans="1:9" ht="48.6" customHeight="1" x14ac:dyDescent="0.2">
      <c r="A63" s="88">
        <v>54</v>
      </c>
      <c r="B63" s="86" t="s">
        <v>117</v>
      </c>
      <c r="C63" s="89" t="s">
        <v>17</v>
      </c>
      <c r="D63" s="90" t="str">
        <f t="shared" si="1"/>
        <v>2.1.1</v>
      </c>
      <c r="E63" s="91" t="s">
        <v>118</v>
      </c>
      <c r="F63" s="79" t="s">
        <v>19</v>
      </c>
      <c r="G63" s="79">
        <v>200</v>
      </c>
      <c r="H63" s="82">
        <v>118</v>
      </c>
      <c r="I63" s="83">
        <f t="shared" si="0"/>
        <v>23600</v>
      </c>
    </row>
    <row r="64" spans="1:9" ht="31.9" customHeight="1" x14ac:dyDescent="0.2">
      <c r="A64" s="88">
        <v>55</v>
      </c>
      <c r="B64" s="86" t="s">
        <v>119</v>
      </c>
      <c r="C64" s="89" t="s">
        <v>17</v>
      </c>
      <c r="D64" s="90" t="str">
        <f t="shared" si="1"/>
        <v>2.1.1</v>
      </c>
      <c r="E64" s="91" t="s">
        <v>120</v>
      </c>
      <c r="F64" s="79" t="s">
        <v>19</v>
      </c>
      <c r="G64" s="79">
        <v>200</v>
      </c>
      <c r="H64" s="82">
        <v>133</v>
      </c>
      <c r="I64" s="83">
        <f t="shared" si="0"/>
        <v>26600</v>
      </c>
    </row>
    <row r="65" spans="1:9" ht="38.25" customHeight="1" x14ac:dyDescent="0.2">
      <c r="A65" s="88">
        <v>56</v>
      </c>
      <c r="B65" s="86" t="s">
        <v>121</v>
      </c>
      <c r="C65" s="89" t="s">
        <v>17</v>
      </c>
      <c r="D65" s="90" t="str">
        <f t="shared" si="1"/>
        <v>2.1.1</v>
      </c>
      <c r="E65" s="91" t="s">
        <v>122</v>
      </c>
      <c r="F65" s="79" t="s">
        <v>19</v>
      </c>
      <c r="G65" s="79">
        <v>300</v>
      </c>
      <c r="H65" s="82">
        <v>88.25</v>
      </c>
      <c r="I65" s="83">
        <f t="shared" si="0"/>
        <v>26475</v>
      </c>
    </row>
    <row r="66" spans="1:9" ht="31.9" customHeight="1" x14ac:dyDescent="0.2">
      <c r="A66" s="88">
        <v>57</v>
      </c>
      <c r="B66" s="86" t="s">
        <v>123</v>
      </c>
      <c r="C66" s="89" t="s">
        <v>17</v>
      </c>
      <c r="D66" s="90" t="str">
        <f t="shared" si="1"/>
        <v>2.1.1</v>
      </c>
      <c r="E66" s="91" t="s">
        <v>124</v>
      </c>
      <c r="F66" s="79" t="s">
        <v>19</v>
      </c>
      <c r="G66" s="79">
        <v>300</v>
      </c>
      <c r="H66" s="82">
        <v>77</v>
      </c>
      <c r="I66" s="83">
        <f t="shared" si="0"/>
        <v>23100</v>
      </c>
    </row>
    <row r="67" spans="1:9" ht="42.75" customHeight="1" x14ac:dyDescent="0.2">
      <c r="A67" s="88">
        <v>58</v>
      </c>
      <c r="B67" s="86" t="s">
        <v>125</v>
      </c>
      <c r="C67" s="89" t="s">
        <v>17</v>
      </c>
      <c r="D67" s="90" t="str">
        <f t="shared" si="1"/>
        <v>2.1.1</v>
      </c>
      <c r="E67" s="91" t="s">
        <v>126</v>
      </c>
      <c r="F67" s="79" t="s">
        <v>19</v>
      </c>
      <c r="G67" s="79">
        <v>30</v>
      </c>
      <c r="H67" s="82">
        <v>179</v>
      </c>
      <c r="I67" s="83">
        <f t="shared" si="0"/>
        <v>5370</v>
      </c>
    </row>
    <row r="68" spans="1:9" ht="42.75" customHeight="1" thickBot="1" x14ac:dyDescent="0.25">
      <c r="A68" s="88">
        <v>59</v>
      </c>
      <c r="B68" s="86" t="s">
        <v>127</v>
      </c>
      <c r="C68" s="89" t="s">
        <v>17</v>
      </c>
      <c r="D68" s="90" t="str">
        <f t="shared" si="1"/>
        <v>2.1.1</v>
      </c>
      <c r="E68" s="91" t="s">
        <v>128</v>
      </c>
      <c r="F68" s="79" t="s">
        <v>19</v>
      </c>
      <c r="G68" s="79">
        <v>30</v>
      </c>
      <c r="H68" s="82">
        <v>164</v>
      </c>
      <c r="I68" s="83">
        <f t="shared" si="0"/>
        <v>4920</v>
      </c>
    </row>
    <row r="69" spans="1:9" ht="50.45" customHeight="1" thickBot="1" x14ac:dyDescent="0.25">
      <c r="A69" s="88">
        <v>60</v>
      </c>
      <c r="B69" s="86" t="s">
        <v>129</v>
      </c>
      <c r="C69" s="89" t="s">
        <v>17</v>
      </c>
      <c r="D69" s="90" t="str">
        <f t="shared" si="1"/>
        <v>2.1.1</v>
      </c>
      <c r="E69" s="91" t="s">
        <v>130</v>
      </c>
      <c r="F69" s="79" t="s">
        <v>19</v>
      </c>
      <c r="G69" s="79">
        <v>10</v>
      </c>
      <c r="H69" s="87">
        <v>449</v>
      </c>
      <c r="I69" s="83">
        <f t="shared" si="0"/>
        <v>4490</v>
      </c>
    </row>
    <row r="70" spans="1:9" ht="15.75" thickBot="1" x14ac:dyDescent="0.3">
      <c r="D70" s="84"/>
      <c r="E70" s="85"/>
      <c r="F70" s="84"/>
      <c r="G70" s="84"/>
      <c r="H70" s="84" t="s">
        <v>186</v>
      </c>
      <c r="I70" s="84">
        <f>SUM(I10:I69)</f>
        <v>2039486</v>
      </c>
    </row>
    <row r="71" spans="1:9" ht="37.5" customHeight="1" thickTop="1" thickBot="1" x14ac:dyDescent="0.25">
      <c r="B71" s="100" t="s">
        <v>184</v>
      </c>
      <c r="C71" s="101"/>
      <c r="D71" s="101"/>
      <c r="E71" s="102"/>
      <c r="G71" s="58"/>
      <c r="H71" s="58"/>
      <c r="I71" s="75"/>
    </row>
    <row r="72" spans="1:9" ht="126" customHeight="1" thickTop="1" thickBot="1" x14ac:dyDescent="0.25">
      <c r="B72" s="145" t="s">
        <v>200</v>
      </c>
      <c r="C72" s="146"/>
      <c r="D72" s="146"/>
      <c r="E72" s="147"/>
      <c r="G72" s="58"/>
      <c r="H72" s="58"/>
      <c r="I72" s="75"/>
    </row>
    <row r="73" spans="1:9" ht="35.25" customHeight="1" thickTop="1" thickBot="1" x14ac:dyDescent="0.25">
      <c r="B73" s="100" t="s">
        <v>131</v>
      </c>
      <c r="C73" s="101"/>
      <c r="D73" s="101"/>
      <c r="E73" s="102"/>
      <c r="G73" s="58"/>
      <c r="H73" s="58"/>
      <c r="I73" s="75"/>
    </row>
    <row r="74" spans="1:9" x14ac:dyDescent="0.2">
      <c r="B74" s="58"/>
      <c r="E74" s="51"/>
      <c r="G74" s="58"/>
      <c r="H74" s="58"/>
      <c r="I74" s="75"/>
    </row>
    <row r="75" spans="1:9" x14ac:dyDescent="0.2">
      <c r="B75" s="58"/>
      <c r="E75" s="51"/>
      <c r="G75" s="58"/>
      <c r="H75" s="58"/>
    </row>
    <row r="76" spans="1:9" x14ac:dyDescent="0.2">
      <c r="A76" s="59"/>
      <c r="B76" s="60" t="s">
        <v>190</v>
      </c>
      <c r="C76" s="61"/>
      <c r="D76" s="62"/>
      <c r="E76" s="63"/>
      <c r="G76" s="58"/>
      <c r="H76" s="58"/>
    </row>
    <row r="77" spans="1:9" ht="5.25" customHeight="1" x14ac:dyDescent="0.2">
      <c r="B77" s="64"/>
      <c r="C77" s="65"/>
      <c r="D77" s="65"/>
      <c r="E77" s="66"/>
      <c r="G77" s="58"/>
      <c r="H77" s="58"/>
    </row>
    <row r="78" spans="1:9" x14ac:dyDescent="0.2">
      <c r="B78" s="67" t="s">
        <v>132</v>
      </c>
      <c r="C78" s="65"/>
      <c r="D78" s="65"/>
      <c r="E78" s="66"/>
      <c r="G78" s="58"/>
      <c r="H78" s="58"/>
    </row>
    <row r="79" spans="1:9" ht="41.25" customHeight="1" x14ac:dyDescent="0.2">
      <c r="B79" s="68"/>
      <c r="C79" s="144" t="s">
        <v>191</v>
      </c>
      <c r="D79" s="96"/>
      <c r="E79" s="97"/>
      <c r="G79" s="58"/>
      <c r="H79" s="58"/>
    </row>
    <row r="80" spans="1:9" x14ac:dyDescent="0.2">
      <c r="A80" s="59"/>
      <c r="B80" s="67" t="s">
        <v>133</v>
      </c>
      <c r="C80" s="69"/>
      <c r="D80" s="65"/>
      <c r="E80" s="66"/>
      <c r="G80" s="58"/>
      <c r="H80" s="58"/>
    </row>
    <row r="81" spans="1:8" ht="46.5" customHeight="1" x14ac:dyDescent="0.2">
      <c r="B81" s="64"/>
      <c r="C81" s="92" t="s">
        <v>185</v>
      </c>
      <c r="D81" s="92"/>
      <c r="E81" s="93"/>
      <c r="G81" s="58"/>
      <c r="H81" s="58"/>
    </row>
    <row r="82" spans="1:8" x14ac:dyDescent="0.2">
      <c r="B82" s="64"/>
      <c r="C82" s="94"/>
      <c r="D82" s="94"/>
      <c r="E82" s="94"/>
      <c r="G82" s="58"/>
      <c r="H82" s="58"/>
    </row>
    <row r="83" spans="1:8" x14ac:dyDescent="0.2">
      <c r="A83" s="59"/>
      <c r="B83" s="67" t="s">
        <v>134</v>
      </c>
      <c r="C83" s="65"/>
      <c r="D83" s="65"/>
      <c r="E83" s="66"/>
      <c r="G83" s="58"/>
      <c r="H83" s="58"/>
    </row>
    <row r="84" spans="1:8" ht="26.25" customHeight="1" x14ac:dyDescent="0.2">
      <c r="B84" s="64"/>
      <c r="C84" s="95"/>
      <c r="D84" s="95"/>
      <c r="E84" s="95"/>
      <c r="G84" s="58"/>
      <c r="H84" s="58"/>
    </row>
    <row r="85" spans="1:8" x14ac:dyDescent="0.2">
      <c r="B85" s="68" t="s">
        <v>135</v>
      </c>
      <c r="C85" s="70"/>
      <c r="D85" s="70"/>
      <c r="E85" s="71"/>
      <c r="G85" s="58"/>
      <c r="H85" s="58"/>
    </row>
    <row r="86" spans="1:8" ht="26.25" customHeight="1" x14ac:dyDescent="0.2">
      <c r="B86" s="64"/>
      <c r="C86" s="96" t="s">
        <v>136</v>
      </c>
      <c r="D86" s="96"/>
      <c r="E86" s="97"/>
      <c r="G86" s="58"/>
      <c r="H86" s="58"/>
    </row>
    <row r="87" spans="1:8" x14ac:dyDescent="0.2">
      <c r="B87" s="68" t="s">
        <v>137</v>
      </c>
      <c r="C87" s="65"/>
      <c r="D87" s="65"/>
      <c r="E87" s="66"/>
      <c r="G87" s="58"/>
      <c r="H87" s="58"/>
    </row>
    <row r="88" spans="1:8" ht="23.25" customHeight="1" x14ac:dyDescent="0.2">
      <c r="B88" s="68"/>
      <c r="C88" s="98"/>
      <c r="D88" s="98"/>
      <c r="E88" s="98"/>
      <c r="G88" s="58"/>
      <c r="H88" s="58"/>
    </row>
    <row r="89" spans="1:8" x14ac:dyDescent="0.2">
      <c r="B89" s="72"/>
      <c r="C89" s="73"/>
      <c r="D89" s="73"/>
      <c r="E89" s="74"/>
      <c r="G89" s="58"/>
      <c r="H89" s="58"/>
    </row>
    <row r="90" spans="1:8" x14ac:dyDescent="0.2">
      <c r="B90" s="58"/>
      <c r="E90" s="51"/>
      <c r="G90" s="58"/>
      <c r="H90" s="58"/>
    </row>
    <row r="91" spans="1:8" ht="13.5" thickBot="1" x14ac:dyDescent="0.25"/>
    <row r="92" spans="1:8" x14ac:dyDescent="0.2">
      <c r="B92" s="60" t="s">
        <v>198</v>
      </c>
      <c r="C92" s="61"/>
      <c r="D92" s="62"/>
      <c r="E92" s="63"/>
    </row>
    <row r="93" spans="1:8" x14ac:dyDescent="0.2">
      <c r="B93" s="64"/>
      <c r="C93" s="65"/>
      <c r="D93" s="65"/>
      <c r="E93" s="66"/>
    </row>
    <row r="94" spans="1:8" x14ac:dyDescent="0.2">
      <c r="B94" s="67" t="s">
        <v>132</v>
      </c>
      <c r="C94" s="65"/>
      <c r="D94" s="65"/>
      <c r="E94" s="66"/>
    </row>
    <row r="95" spans="1:8" ht="28.5" customHeight="1" x14ac:dyDescent="0.2">
      <c r="B95" s="68"/>
      <c r="C95" s="144" t="s">
        <v>199</v>
      </c>
      <c r="D95" s="96"/>
      <c r="E95" s="97"/>
    </row>
    <row r="96" spans="1:8" x14ac:dyDescent="0.2">
      <c r="B96" s="67" t="s">
        <v>133</v>
      </c>
      <c r="C96" s="69"/>
      <c r="D96" s="65"/>
      <c r="E96" s="66"/>
    </row>
    <row r="97" spans="2:5" ht="31.5" customHeight="1" x14ac:dyDescent="0.2">
      <c r="B97" s="64"/>
      <c r="C97" s="92" t="s">
        <v>185</v>
      </c>
      <c r="D97" s="92"/>
      <c r="E97" s="93"/>
    </row>
    <row r="98" spans="2:5" x14ac:dyDescent="0.2">
      <c r="B98" s="64"/>
      <c r="C98" s="94"/>
      <c r="D98" s="94"/>
      <c r="E98" s="94"/>
    </row>
    <row r="99" spans="2:5" x14ac:dyDescent="0.2">
      <c r="B99" s="67" t="s">
        <v>134</v>
      </c>
      <c r="C99" s="65"/>
      <c r="D99" s="65"/>
      <c r="E99" s="66"/>
    </row>
    <row r="100" spans="2:5" x14ac:dyDescent="0.2">
      <c r="B100" s="64"/>
      <c r="C100" s="95"/>
      <c r="D100" s="95"/>
      <c r="E100" s="95"/>
    </row>
    <row r="101" spans="2:5" x14ac:dyDescent="0.2">
      <c r="B101" s="68" t="s">
        <v>135</v>
      </c>
      <c r="C101" s="70"/>
      <c r="D101" s="70"/>
      <c r="E101" s="71"/>
    </row>
    <row r="102" spans="2:5" x14ac:dyDescent="0.2">
      <c r="B102" s="64"/>
      <c r="C102" s="96" t="s">
        <v>136</v>
      </c>
      <c r="D102" s="96"/>
      <c r="E102" s="97"/>
    </row>
    <row r="103" spans="2:5" x14ac:dyDescent="0.2">
      <c r="B103" s="68" t="s">
        <v>137</v>
      </c>
      <c r="C103" s="65"/>
      <c r="D103" s="65"/>
      <c r="E103" s="66"/>
    </row>
    <row r="104" spans="2:5" ht="18" customHeight="1" x14ac:dyDescent="0.2">
      <c r="B104" s="68"/>
      <c r="C104" s="98"/>
      <c r="D104" s="98"/>
      <c r="E104" s="98"/>
    </row>
    <row r="105" spans="2:5" ht="24" customHeight="1" thickBot="1" x14ac:dyDescent="0.25">
      <c r="B105" s="72"/>
      <c r="C105" s="73"/>
      <c r="D105" s="73"/>
      <c r="E105" s="74"/>
    </row>
  </sheetData>
  <mergeCells count="22">
    <mergeCell ref="C104:E104"/>
    <mergeCell ref="B72:E72"/>
    <mergeCell ref="C95:E95"/>
    <mergeCell ref="C97:E97"/>
    <mergeCell ref="C98:E98"/>
    <mergeCell ref="C100:E100"/>
    <mergeCell ref="C102:E102"/>
    <mergeCell ref="B2:H2"/>
    <mergeCell ref="A4:B4"/>
    <mergeCell ref="C4:E4"/>
    <mergeCell ref="A5:B5"/>
    <mergeCell ref="C5:E5"/>
    <mergeCell ref="A6:B6"/>
    <mergeCell ref="A7:B7"/>
    <mergeCell ref="B71:E71"/>
    <mergeCell ref="B73:E73"/>
    <mergeCell ref="C79:E79"/>
    <mergeCell ref="C81:E81"/>
    <mergeCell ref="C82:E82"/>
    <mergeCell ref="C84:E84"/>
    <mergeCell ref="C86:E86"/>
    <mergeCell ref="C88:E88"/>
  </mergeCells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2"/>
  <sheetViews>
    <sheetView topLeftCell="A64" zoomScale="90" zoomScaleNormal="90" workbookViewId="0">
      <selection activeCell="K2" sqref="K2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2" style="40" customWidth="1"/>
    <col min="8" max="8" width="9.28515625" style="40" customWidth="1"/>
    <col min="9" max="9" width="15.5703125" style="40" customWidth="1"/>
    <col min="10" max="10" width="14.7109375" style="40" customWidth="1"/>
    <col min="11" max="11" width="15.5703125" style="40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ht="18" customHeight="1" x14ac:dyDescent="0.2">
      <c r="A1" s="116" t="s">
        <v>138</v>
      </c>
      <c r="B1" s="116"/>
      <c r="C1" s="116"/>
      <c r="D1" s="116"/>
      <c r="E1" s="116"/>
      <c r="F1" s="116"/>
      <c r="G1" s="116"/>
      <c r="H1" s="116"/>
      <c r="I1" s="116"/>
      <c r="J1" s="48" t="s">
        <v>139</v>
      </c>
      <c r="K1" s="49" t="s">
        <v>189</v>
      </c>
    </row>
    <row r="2" spans="1:11" ht="18.75" customHeight="1" x14ac:dyDescent="0.2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x14ac:dyDescent="0.2">
      <c r="A3" s="115" t="s">
        <v>140</v>
      </c>
      <c r="B3" s="115"/>
      <c r="C3" s="115"/>
      <c r="D3" s="114" t="str">
        <f>'Necesidades Trimestrales'!C4</f>
        <v>40 - Ministerio de Salud</v>
      </c>
      <c r="E3" s="114"/>
      <c r="F3" s="114"/>
      <c r="G3" s="114"/>
      <c r="H3" s="114"/>
      <c r="I3" s="114"/>
      <c r="J3" s="114"/>
      <c r="K3" s="114"/>
    </row>
    <row r="4" spans="1:11" ht="18.75" customHeight="1" x14ac:dyDescent="0.2">
      <c r="A4" s="113" t="s">
        <v>141</v>
      </c>
      <c r="B4" s="113"/>
      <c r="C4" s="113"/>
      <c r="D4" s="114" t="str">
        <f>'Necesidades Trimestrales'!C5</f>
        <v>23 - Hospital Interzonal San Juan Bautista</v>
      </c>
      <c r="E4" s="114"/>
      <c r="F4" s="114"/>
      <c r="G4" s="114"/>
      <c r="H4" s="114"/>
      <c r="I4" s="114"/>
      <c r="J4" s="114"/>
      <c r="K4" s="114"/>
    </row>
    <row r="5" spans="1:11" ht="18.75" customHeight="1" x14ac:dyDescent="0.2">
      <c r="A5" s="113" t="s">
        <v>142</v>
      </c>
      <c r="B5" s="113"/>
      <c r="C5" s="113"/>
      <c r="D5" s="114" t="s">
        <v>143</v>
      </c>
      <c r="E5" s="114"/>
      <c r="F5" s="114"/>
      <c r="G5" s="114"/>
      <c r="H5" s="114"/>
      <c r="I5" s="114"/>
      <c r="J5" s="114"/>
      <c r="K5" s="114"/>
    </row>
    <row r="6" spans="1:11" ht="16.5" customHeight="1" x14ac:dyDescent="0.2">
      <c r="A6" s="115" t="s">
        <v>144</v>
      </c>
      <c r="B6" s="115"/>
      <c r="C6" s="115"/>
      <c r="D6" s="114" t="s">
        <v>145</v>
      </c>
      <c r="E6" s="114"/>
      <c r="F6" s="114"/>
      <c r="G6" s="114"/>
      <c r="H6" s="114"/>
      <c r="I6" s="114"/>
      <c r="J6" s="114"/>
      <c r="K6" s="114"/>
    </row>
    <row r="7" spans="1:11" ht="16.5" customHeight="1" x14ac:dyDescent="0.2">
      <c r="A7" s="113" t="s">
        <v>146</v>
      </c>
      <c r="B7" s="113"/>
      <c r="C7" s="113"/>
      <c r="D7" s="114" t="s">
        <v>187</v>
      </c>
      <c r="E7" s="114"/>
      <c r="F7" s="114"/>
      <c r="G7" s="114"/>
      <c r="H7" s="114"/>
      <c r="I7" s="114"/>
      <c r="J7" s="114"/>
      <c r="K7" s="114"/>
    </row>
    <row r="8" spans="1:11" ht="16.5" customHeight="1" x14ac:dyDescent="0.2">
      <c r="A8" s="108" t="s">
        <v>147</v>
      </c>
      <c r="B8" s="108"/>
      <c r="C8" s="108"/>
      <c r="D8" s="109" t="s">
        <v>148</v>
      </c>
      <c r="E8" s="109"/>
      <c r="F8" s="109"/>
      <c r="G8" s="109"/>
      <c r="H8" s="109"/>
      <c r="I8" s="109"/>
      <c r="J8" s="109"/>
      <c r="K8" s="109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10" t="s">
        <v>149</v>
      </c>
      <c r="B10" s="111" t="s">
        <v>150</v>
      </c>
      <c r="C10" s="111" t="s">
        <v>151</v>
      </c>
      <c r="D10" s="111"/>
      <c r="E10" s="111"/>
      <c r="F10" s="111"/>
      <c r="G10" s="111"/>
      <c r="H10" s="111" t="s">
        <v>152</v>
      </c>
      <c r="I10" s="111" t="s">
        <v>153</v>
      </c>
      <c r="J10" s="111" t="s">
        <v>154</v>
      </c>
      <c r="K10" s="112" t="s">
        <v>155</v>
      </c>
    </row>
    <row r="11" spans="1:11" ht="24" customHeight="1" thickBot="1" x14ac:dyDescent="0.25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11" ht="32.450000000000003" customHeight="1" thickBot="1" x14ac:dyDescent="0.25">
      <c r="A12" s="45">
        <v>1</v>
      </c>
      <c r="B12" s="46" t="str">
        <f>'Necesidades Trimestrales'!B10</f>
        <v>2.1.1-439.60</v>
      </c>
      <c r="C12" s="105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105"/>
      <c r="E12" s="105"/>
      <c r="F12" s="105"/>
      <c r="G12" s="105"/>
      <c r="H12" s="47" t="s">
        <v>156</v>
      </c>
      <c r="I12" s="50" t="str">
        <f>'Necesidades Trimestrales'!F10</f>
        <v>UNIDAD</v>
      </c>
      <c r="J12" s="82">
        <v>275</v>
      </c>
      <c r="K12" s="79">
        <v>800</v>
      </c>
    </row>
    <row r="13" spans="1:11" ht="45" customHeight="1" thickBot="1" x14ac:dyDescent="0.25">
      <c r="A13" s="45">
        <v>2</v>
      </c>
      <c r="B13" s="46" t="str">
        <f>'Necesidades Trimestrales'!B11</f>
        <v>2.1.1-435.38</v>
      </c>
      <c r="C13" s="105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05"/>
      <c r="E13" s="105"/>
      <c r="F13" s="105"/>
      <c r="G13" s="105"/>
      <c r="H13" s="47" t="s">
        <v>156</v>
      </c>
      <c r="I13" s="50" t="str">
        <f>'Necesidades Trimestrales'!F11</f>
        <v>UNIDAD</v>
      </c>
      <c r="J13" s="82">
        <v>233.5</v>
      </c>
      <c r="K13" s="79">
        <v>500</v>
      </c>
    </row>
    <row r="14" spans="1:11" ht="45" customHeight="1" thickBot="1" x14ac:dyDescent="0.25">
      <c r="A14" s="45">
        <v>3</v>
      </c>
      <c r="B14" s="46" t="str">
        <f>'Necesidades Trimestrales'!B12</f>
        <v>2.1.1-435.50</v>
      </c>
      <c r="C14" s="105" t="str">
        <f>'Necesidades Trimestrales'!E12</f>
        <v>ARROZ; TIPO GRANO: ENTERO, TIPO: BLANCO, PROCESO: FORTIFICADO, PRESENTACION: ENVASE X 1 Kg, MATERIAL ENVASE: PLASTICO 1 (PET), CERTIFICADO FORESTAL (GFS): SIN, ELEM. TRANSPORTE: SIN, MATERIAL ELEM. TRANSPORTE: SIN, LIBRE DE GLUTEN: NO</v>
      </c>
      <c r="D14" s="105"/>
      <c r="E14" s="105"/>
      <c r="F14" s="105"/>
      <c r="G14" s="105"/>
      <c r="H14" s="47" t="s">
        <v>156</v>
      </c>
      <c r="I14" s="50" t="str">
        <f>'Necesidades Trimestrales'!F12</f>
        <v>UNIDAD</v>
      </c>
      <c r="J14" s="82">
        <v>130</v>
      </c>
      <c r="K14" s="79">
        <v>50</v>
      </c>
    </row>
    <row r="15" spans="1:11" ht="32.450000000000003" customHeight="1" thickBot="1" x14ac:dyDescent="0.25">
      <c r="A15" s="45">
        <v>4</v>
      </c>
      <c r="B15" s="46" t="str">
        <f>'Necesidades Trimestrales'!B13</f>
        <v>2.1.1-2124.3</v>
      </c>
      <c r="C15" s="105" t="str">
        <f>'Necesidades Trimestrales'!E13</f>
        <v>AVENAS; TIPO: ARROLLADA, ESTADO: NATURAL, PRESENTACION: BOLSA, PESO: 1 Kg</v>
      </c>
      <c r="D15" s="105"/>
      <c r="E15" s="105"/>
      <c r="F15" s="105"/>
      <c r="G15" s="105"/>
      <c r="H15" s="47" t="s">
        <v>156</v>
      </c>
      <c r="I15" s="50" t="str">
        <f>'Necesidades Trimestrales'!F13</f>
        <v>UNIDAD</v>
      </c>
      <c r="J15" s="82">
        <v>338</v>
      </c>
      <c r="K15" s="79">
        <v>15</v>
      </c>
    </row>
    <row r="16" spans="1:11" ht="33.6" customHeight="1" thickBot="1" x14ac:dyDescent="0.25">
      <c r="A16" s="45">
        <v>5</v>
      </c>
      <c r="B16" s="46" t="str">
        <f>'Necesidades Trimestrales'!B14</f>
        <v>2.1.1-481.38</v>
      </c>
      <c r="C16" s="105" t="str">
        <f>'Necesidades Trimestrales'!E14</f>
        <v>AZUCARES; TIPO: "A" COMUN, ESTADO: MOLIDA, PESO: 1 Kg, MATERIAL ENVASE: PLASTICO, CERTIFICADO FORESTAL (GFS): SIN, ELEM. TRANSPORTE: SIN, MATERIAL ELEM. TRANSPORTE: SIN</v>
      </c>
      <c r="D16" s="105"/>
      <c r="E16" s="105"/>
      <c r="F16" s="105"/>
      <c r="G16" s="105"/>
      <c r="H16" s="47" t="s">
        <v>156</v>
      </c>
      <c r="I16" s="50" t="str">
        <f>'Necesidades Trimestrales'!F14</f>
        <v>UNIDAD</v>
      </c>
      <c r="J16" s="82">
        <v>87</v>
      </c>
      <c r="K16" s="79">
        <v>1200</v>
      </c>
    </row>
    <row r="17" spans="1:11" ht="32.450000000000003" customHeight="1" thickBot="1" x14ac:dyDescent="0.25">
      <c r="A17" s="45">
        <v>6</v>
      </c>
      <c r="B17" s="46" t="str">
        <f>'Necesidades Trimestrales'!B15</f>
        <v>2.1.1-5917.8</v>
      </c>
      <c r="C17" s="105" t="str">
        <f>'Necesidades Trimestrales'!E15</f>
        <v>CEREALES; TIPO: TRIGO BURGOL, PRESENTACION: ENVASE X 1 Kg</v>
      </c>
      <c r="D17" s="105"/>
      <c r="E17" s="105"/>
      <c r="F17" s="105"/>
      <c r="G17" s="105"/>
      <c r="H17" s="47" t="s">
        <v>156</v>
      </c>
      <c r="I17" s="50" t="str">
        <f>'Necesidades Trimestrales'!F15</f>
        <v>UNIDAD</v>
      </c>
      <c r="J17" s="82">
        <v>260</v>
      </c>
      <c r="K17" s="79">
        <v>15</v>
      </c>
    </row>
    <row r="18" spans="1:11" ht="32.450000000000003" customHeight="1" thickBot="1" x14ac:dyDescent="0.25">
      <c r="A18" s="45">
        <v>7</v>
      </c>
      <c r="B18" s="46" t="str">
        <f>'Necesidades Trimestrales'!B16</f>
        <v>2.1.1-597.41</v>
      </c>
      <c r="C18" s="105" t="str">
        <f>'Necesidades Trimestrales'!E16</f>
        <v>CONSERVAS DE FRUTAS; VARIEDAD: COCTEL, ENVASE: LATA, PESO: 800 GR, ELEM. TRANSPORTE: SIN, MATERIAL ELEM. TRANSPORTE: SIN, LIBRE DE GLUTEN: NO</v>
      </c>
      <c r="D18" s="105"/>
      <c r="E18" s="105"/>
      <c r="F18" s="105"/>
      <c r="G18" s="105"/>
      <c r="H18" s="47" t="s">
        <v>156</v>
      </c>
      <c r="I18" s="50" t="str">
        <f>'Necesidades Trimestrales'!F16</f>
        <v>UNIDAD</v>
      </c>
      <c r="J18" s="82">
        <v>422</v>
      </c>
      <c r="K18" s="79">
        <v>300</v>
      </c>
    </row>
    <row r="19" spans="1:11" ht="32.450000000000003" customHeight="1" thickBot="1" x14ac:dyDescent="0.25">
      <c r="A19" s="45">
        <v>8</v>
      </c>
      <c r="B19" s="46" t="str">
        <f>'Necesidades Trimestrales'!B17</f>
        <v>2.1.1-597.43</v>
      </c>
      <c r="C19" s="105" t="str">
        <f>'Necesidades Trimestrales'!E17</f>
        <v>CONSERVAS DE FRUTAS; VARIEDAD: COCTEL, ENVASE: LATA, PESO: 820 GR, ELEM. TRANSPORTE: SIN, MATERIAL ELEM. TRANSPORTE: SIN, LIBRE DE GLUTEN: SI</v>
      </c>
      <c r="D19" s="105"/>
      <c r="E19" s="105"/>
      <c r="F19" s="105"/>
      <c r="G19" s="105"/>
      <c r="H19" s="47" t="s">
        <v>156</v>
      </c>
      <c r="I19" s="50" t="str">
        <f>'Necesidades Trimestrales'!F17</f>
        <v>UNIDAD</v>
      </c>
      <c r="J19" s="82">
        <v>422</v>
      </c>
      <c r="K19" s="79">
        <v>300</v>
      </c>
    </row>
    <row r="20" spans="1:11" ht="32.450000000000003" customHeight="1" thickBot="1" x14ac:dyDescent="0.25">
      <c r="A20" s="45">
        <v>9</v>
      </c>
      <c r="B20" s="46" t="str">
        <f>'Necesidades Trimestrales'!B18</f>
        <v>2.1.1-708.43</v>
      </c>
      <c r="C20" s="105" t="str">
        <f>'Necesidades Trimestrales'!E18</f>
        <v>CONSERVAS PESCADO Y FRUTOS MAR; TIPO: ATUN, ESTADO: AL NATURAL, PESO: 170 GR, ENVASE: LATA, ELEM. TRANSPORTE: SIN, MATERIAL ELEM. TRANSPORTE: SIN</v>
      </c>
      <c r="D20" s="105"/>
      <c r="E20" s="105"/>
      <c r="F20" s="105"/>
      <c r="G20" s="105"/>
      <c r="H20" s="47" t="s">
        <v>156</v>
      </c>
      <c r="I20" s="50" t="str">
        <f>'Necesidades Trimestrales'!F18</f>
        <v>UNIDAD</v>
      </c>
      <c r="J20" s="82">
        <v>140.9</v>
      </c>
      <c r="K20" s="79">
        <v>150</v>
      </c>
    </row>
    <row r="21" spans="1:11" ht="32.450000000000003" customHeight="1" thickBot="1" x14ac:dyDescent="0.25">
      <c r="A21" s="45">
        <v>10</v>
      </c>
      <c r="B21" s="46" t="str">
        <f>'Necesidades Trimestrales'!B19</f>
        <v>2.1.1-455.16</v>
      </c>
      <c r="C21" s="105" t="str">
        <f>'Necesidades Trimestrales'!E19</f>
        <v>DULCE DE LECHE; ENVASE: DE CARTON, CAPACIDAD: 5000 GR, TIPO: DE REPOSTERIA, PRESENTACION: ENVASE DE CARTON X 5 Kg</v>
      </c>
      <c r="D21" s="105"/>
      <c r="E21" s="105"/>
      <c r="F21" s="105"/>
      <c r="G21" s="105"/>
      <c r="H21" s="47" t="s">
        <v>156</v>
      </c>
      <c r="I21" s="50" t="str">
        <f>'Necesidades Trimestrales'!F19</f>
        <v>UNIDAD</v>
      </c>
      <c r="J21" s="82">
        <v>1990</v>
      </c>
      <c r="K21" s="79">
        <v>5</v>
      </c>
    </row>
    <row r="22" spans="1:11" ht="32.450000000000003" customHeight="1" thickBot="1" x14ac:dyDescent="0.25">
      <c r="A22" s="45">
        <v>11</v>
      </c>
      <c r="B22" s="46" t="str">
        <f>'Necesidades Trimestrales'!B20</f>
        <v>2.1.1-2113.21</v>
      </c>
      <c r="C22" s="105" t="str">
        <f>'Necesidades Trimestrales'!E20</f>
        <v>DULCES; TIPO: BATATA A LA VAINILLA, PRESENTACION: LATA, PESO: 5 Kg</v>
      </c>
      <c r="D22" s="105"/>
      <c r="E22" s="105"/>
      <c r="F22" s="105"/>
      <c r="G22" s="105"/>
      <c r="H22" s="47" t="s">
        <v>156</v>
      </c>
      <c r="I22" s="50" t="str">
        <f>'Necesidades Trimestrales'!F20</f>
        <v>UNIDAD</v>
      </c>
      <c r="J22" s="82">
        <v>1485</v>
      </c>
      <c r="K22" s="79">
        <v>20</v>
      </c>
    </row>
    <row r="23" spans="1:11" ht="32.450000000000003" customHeight="1" thickBot="1" x14ac:dyDescent="0.25">
      <c r="A23" s="45">
        <v>12</v>
      </c>
      <c r="B23" s="46" t="str">
        <f>'Necesidades Trimestrales'!B21</f>
        <v>2.1.1-2113.2</v>
      </c>
      <c r="C23" s="105" t="str">
        <f>'Necesidades Trimestrales'!E21</f>
        <v>DULCES; TIPO: DE MEMBRILLO, PRESENTACION: LATA, PESO: 5 Kg</v>
      </c>
      <c r="D23" s="105"/>
      <c r="E23" s="105"/>
      <c r="F23" s="105"/>
      <c r="G23" s="105"/>
      <c r="H23" s="47" t="s">
        <v>156</v>
      </c>
      <c r="I23" s="50" t="str">
        <f>'Necesidades Trimestrales'!F21</f>
        <v>UNIDAD</v>
      </c>
      <c r="J23" s="82">
        <v>1716</v>
      </c>
      <c r="K23" s="79">
        <v>20</v>
      </c>
    </row>
    <row r="24" spans="1:11" ht="32.450000000000003" customHeight="1" thickBot="1" x14ac:dyDescent="0.25">
      <c r="A24" s="45">
        <v>13</v>
      </c>
      <c r="B24" s="46" t="str">
        <f>'Necesidades Trimestrales'!B22</f>
        <v>2.1.1-595.2</v>
      </c>
      <c r="C24" s="105" t="str">
        <f>'Necesidades Trimestrales'!E22</f>
        <v>EDULCORANTES; PRESENTACION: LIQUIDO, ENVASE: BOTELLA PLASTICA, CONTENIDO: 500 CM3</v>
      </c>
      <c r="D24" s="105"/>
      <c r="E24" s="105"/>
      <c r="F24" s="105"/>
      <c r="G24" s="105"/>
      <c r="H24" s="47" t="s">
        <v>156</v>
      </c>
      <c r="I24" s="50" t="str">
        <f>'Necesidades Trimestrales'!F22</f>
        <v>UNIDAD</v>
      </c>
      <c r="J24" s="82">
        <v>250.5</v>
      </c>
      <c r="K24" s="79">
        <v>150</v>
      </c>
    </row>
    <row r="25" spans="1:11" ht="32.450000000000003" customHeight="1" thickBot="1" x14ac:dyDescent="0.25">
      <c r="A25" s="45">
        <v>14</v>
      </c>
      <c r="B25" s="46" t="str">
        <f>'Necesidades Trimestrales'!B23</f>
        <v>2.1.1-489.66</v>
      </c>
      <c r="C25" s="105" t="str">
        <f>'Necesidades Trimestrales'!E23</f>
        <v>ESPECIAS; TIPO: OREGANO, PRESENTACION: BOLSA DE 1 Kg</v>
      </c>
      <c r="D25" s="105"/>
      <c r="E25" s="105"/>
      <c r="F25" s="105"/>
      <c r="G25" s="105"/>
      <c r="H25" s="47" t="s">
        <v>156</v>
      </c>
      <c r="I25" s="50" t="str">
        <f>'Necesidades Trimestrales'!F23</f>
        <v>UNIDAD</v>
      </c>
      <c r="J25" s="82">
        <v>600</v>
      </c>
      <c r="K25" s="79">
        <v>9</v>
      </c>
    </row>
    <row r="26" spans="1:11" ht="32.450000000000003" customHeight="1" thickBot="1" x14ac:dyDescent="0.25">
      <c r="A26" s="45">
        <v>15</v>
      </c>
      <c r="B26" s="46" t="str">
        <f>'Necesidades Trimestrales'!B24</f>
        <v>2.1.1-489.68</v>
      </c>
      <c r="C26" s="105" t="str">
        <f>'Necesidades Trimestrales'!E24</f>
        <v>ESPECIAS; PRESENTACION: BOLSA DE 1 Kg, TIPO: AJI MOLIDO</v>
      </c>
      <c r="D26" s="105"/>
      <c r="E26" s="105"/>
      <c r="F26" s="105"/>
      <c r="G26" s="105"/>
      <c r="H26" s="47" t="s">
        <v>156</v>
      </c>
      <c r="I26" s="50" t="str">
        <f>'Necesidades Trimestrales'!F24</f>
        <v>UNIDAD</v>
      </c>
      <c r="J26" s="82">
        <v>600</v>
      </c>
      <c r="K26" s="79">
        <v>4</v>
      </c>
    </row>
    <row r="27" spans="1:11" ht="32.450000000000003" customHeight="1" thickBot="1" x14ac:dyDescent="0.25">
      <c r="A27" s="45">
        <v>16</v>
      </c>
      <c r="B27" s="46" t="str">
        <f>'Necesidades Trimestrales'!B25</f>
        <v>2.1.1-489.119</v>
      </c>
      <c r="C27" s="105" t="str">
        <f>'Necesidades Trimestrales'!E25</f>
        <v>ESPECIAS; TIPO: COMINO, PRESENTACION: BOLSA X 1 Kg</v>
      </c>
      <c r="D27" s="105"/>
      <c r="E27" s="105"/>
      <c r="F27" s="105"/>
      <c r="G27" s="105"/>
      <c r="H27" s="47" t="s">
        <v>156</v>
      </c>
      <c r="I27" s="50" t="str">
        <f>'Necesidades Trimestrales'!F25</f>
        <v>UNIDAD</v>
      </c>
      <c r="J27" s="82">
        <v>500</v>
      </c>
      <c r="K27" s="79">
        <v>2</v>
      </c>
    </row>
    <row r="28" spans="1:11" ht="32.450000000000003" customHeight="1" thickBot="1" x14ac:dyDescent="0.25">
      <c r="A28" s="45">
        <v>17</v>
      </c>
      <c r="B28" s="46" t="str">
        <f>'Necesidades Trimestrales'!B26</f>
        <v>2.1.1-489.53</v>
      </c>
      <c r="C28" s="105" t="str">
        <f>'Necesidades Trimestrales'!E26</f>
        <v>ESPECIAS; TIPO: NUEZ MOSCADA, PRESENTACION: POLVO</v>
      </c>
      <c r="D28" s="105"/>
      <c r="E28" s="105"/>
      <c r="F28" s="105"/>
      <c r="G28" s="105"/>
      <c r="H28" s="47" t="s">
        <v>156</v>
      </c>
      <c r="I28" s="50" t="str">
        <f>'Necesidades Trimestrales'!F26</f>
        <v>KG</v>
      </c>
      <c r="J28" s="82">
        <v>2025</v>
      </c>
      <c r="K28" s="79">
        <v>3</v>
      </c>
    </row>
    <row r="29" spans="1:11" ht="32.450000000000003" customHeight="1" thickBot="1" x14ac:dyDescent="0.25">
      <c r="A29" s="45">
        <v>18</v>
      </c>
      <c r="B29" s="46" t="str">
        <f>'Necesidades Trimestrales'!B27</f>
        <v>2.1.1-489.67</v>
      </c>
      <c r="C29" s="105" t="str">
        <f>'Necesidades Trimestrales'!E27</f>
        <v>ESPECIAS; TIPO: PIMENTON, PRESENTACION: BOLSA DE 1 Kg</v>
      </c>
      <c r="D29" s="105"/>
      <c r="E29" s="105"/>
      <c r="F29" s="105"/>
      <c r="G29" s="105"/>
      <c r="H29" s="47" t="s">
        <v>156</v>
      </c>
      <c r="I29" s="50" t="str">
        <f>'Necesidades Trimestrales'!F27</f>
        <v>UNIDAD</v>
      </c>
      <c r="J29" s="82">
        <v>500</v>
      </c>
      <c r="K29" s="79">
        <v>9</v>
      </c>
    </row>
    <row r="30" spans="1:11" ht="32.450000000000003" customHeight="1" thickBot="1" x14ac:dyDescent="0.25">
      <c r="A30" s="45">
        <v>19</v>
      </c>
      <c r="B30" s="46" t="str">
        <f>'Necesidades Trimestrales'!B28</f>
        <v>2.1.1-489.132</v>
      </c>
      <c r="C30" s="105" t="str">
        <f>'Necesidades Trimestrales'!E28</f>
        <v>ESPECIAS; TIPO: PIMIENTA BLANCA, PRESENTACION: ENVASE X 1 Kg</v>
      </c>
      <c r="D30" s="105"/>
      <c r="E30" s="105"/>
      <c r="F30" s="105"/>
      <c r="G30" s="105"/>
      <c r="H30" s="47" t="s">
        <v>156</v>
      </c>
      <c r="I30" s="50" t="str">
        <f>'Necesidades Trimestrales'!F28</f>
        <v>UNIDAD</v>
      </c>
      <c r="J30" s="82">
        <v>560</v>
      </c>
      <c r="K30" s="79">
        <v>3</v>
      </c>
    </row>
    <row r="31" spans="1:11" ht="32.450000000000003" customHeight="1" thickBot="1" x14ac:dyDescent="0.25">
      <c r="A31" s="45">
        <v>20</v>
      </c>
      <c r="B31" s="46" t="str">
        <f>'Necesidades Trimestrales'!B29</f>
        <v>2.1.1-613.9</v>
      </c>
      <c r="C31" s="105" t="str">
        <f>'Necesidades Trimestrales'!E29</f>
        <v>FECULA DE MAIZ; ENVASE: BOLSA, PESO: 500 GR, LIBRE DE GLUTEN: SI</v>
      </c>
      <c r="D31" s="105"/>
      <c r="E31" s="105"/>
      <c r="F31" s="105"/>
      <c r="G31" s="105"/>
      <c r="H31" s="47" t="s">
        <v>156</v>
      </c>
      <c r="I31" s="50" t="str">
        <f>'Necesidades Trimestrales'!F29</f>
        <v>UNIDAD</v>
      </c>
      <c r="J31" s="82">
        <v>129.75</v>
      </c>
      <c r="K31" s="79">
        <v>50</v>
      </c>
    </row>
    <row r="32" spans="1:11" ht="45" customHeight="1" thickBot="1" x14ac:dyDescent="0.25">
      <c r="A32" s="45">
        <v>21</v>
      </c>
      <c r="B32" s="46" t="str">
        <f>'Necesidades Trimestrales'!B30</f>
        <v>2.1.1-2868.56</v>
      </c>
      <c r="C32" s="105" t="str">
        <f>'Necesidades Trimestrales'!E30</f>
        <v>FIDEOS SECOS; VARIEDAD: CABELLO DE ANGEL, RELLENO: SIN, PRESENTACION: ENVASE X 500 GR, MATERIAL ENVASE: PVC, ELEM. TRANSPORTE: CAJA, MATERIAL ELEM. TRANSPORTE: CARTON, CERTIFICADO FORESTAL (GFS): SIN, LIBRE DE GLUTEN: NO</v>
      </c>
      <c r="D32" s="105"/>
      <c r="E32" s="105"/>
      <c r="F32" s="105"/>
      <c r="G32" s="105"/>
      <c r="H32" s="47" t="s">
        <v>156</v>
      </c>
      <c r="I32" s="50" t="str">
        <f>'Necesidades Trimestrales'!F30</f>
        <v>UNIDAD</v>
      </c>
      <c r="J32" s="82">
        <v>131.75</v>
      </c>
      <c r="K32" s="79">
        <v>50</v>
      </c>
    </row>
    <row r="33" spans="1:11" ht="45" customHeight="1" thickBot="1" x14ac:dyDescent="0.25">
      <c r="A33" s="45">
        <v>22</v>
      </c>
      <c r="B33" s="46" t="str">
        <f>'Necesidades Trimestrales'!B31</f>
        <v>2.1.1-2868.71</v>
      </c>
      <c r="C33" s="105" t="str">
        <f>'Necesidades Trimestrales'!E31</f>
        <v>FIDEOS SECOS; VARIEDAD: GUISERO, RELLENO: SIN, PRESENTACION: ENVASE X 500 GR, MATERIAL ENVASE: PLASTICO 1 (PET), ELEM. TRANSPORTE: SIN, MATERIAL ELEM. TRANSPORTE: SIN, CERTIFICADO FORESTAL (GFS): SIN, LIBRE DE GLUTEN: NO</v>
      </c>
      <c r="D33" s="105"/>
      <c r="E33" s="105"/>
      <c r="F33" s="105"/>
      <c r="G33" s="105"/>
      <c r="H33" s="47" t="s">
        <v>156</v>
      </c>
      <c r="I33" s="50" t="str">
        <f>'Necesidades Trimestrales'!F31</f>
        <v>UNIDAD</v>
      </c>
      <c r="J33" s="82">
        <v>62.25</v>
      </c>
      <c r="K33" s="79">
        <v>50</v>
      </c>
    </row>
    <row r="34" spans="1:11" ht="45" customHeight="1" thickBot="1" x14ac:dyDescent="0.25">
      <c r="A34" s="45">
        <v>23</v>
      </c>
      <c r="B34" s="46" t="str">
        <f>'Necesidades Trimestrales'!B32</f>
        <v>2.1.1-2868.59</v>
      </c>
      <c r="C34" s="105" t="str">
        <f>'Necesidades Trimestrales'!E32</f>
        <v>FIDEOS SECOS; VARIEDAD: MOSTACHOLES, RELLENO: SIN, PRESENTACION: ENVASE X 500 GR, MATERIAL ENVASE: PVC, ELEM. TRANSPORTE: CAJA, MATERIAL ELEM. TRANSPORTE: CARTON, CERTIFICADO FORESTAL (GFS): SIN, LIBRE DE GLUTEN: NO</v>
      </c>
      <c r="D34" s="105"/>
      <c r="E34" s="105"/>
      <c r="F34" s="105"/>
      <c r="G34" s="105"/>
      <c r="H34" s="47" t="s">
        <v>156</v>
      </c>
      <c r="I34" s="50" t="str">
        <f>'Necesidades Trimestrales'!F32</f>
        <v>UNIDAD</v>
      </c>
      <c r="J34" s="82">
        <v>62.25</v>
      </c>
      <c r="K34" s="79">
        <v>50</v>
      </c>
    </row>
    <row r="35" spans="1:11" ht="45" customHeight="1" thickBot="1" x14ac:dyDescent="0.25">
      <c r="A35" s="45">
        <v>24</v>
      </c>
      <c r="B35" s="46" t="str">
        <f>'Necesidades Trimestrales'!B33</f>
        <v>2.1.1-2868.58</v>
      </c>
      <c r="C35" s="105" t="str">
        <f>'Necesidades Trimestrales'!E33</f>
        <v>FIDEOS SECOS; VARIEDAD: MUNICION, RELLENO: SIN, PRESENTACION: ENVASE X 500 GR, MATERIAL ENVASE: PVC, ELEM. TRANSPORTE: CAJA, MATERIAL ELEM. TRANSPORTE: CARTON, CERTIFICADO FORESTAL (GFS): SIN, LIBRE DE GLUTEN: NO</v>
      </c>
      <c r="D35" s="105"/>
      <c r="E35" s="105"/>
      <c r="F35" s="105"/>
      <c r="G35" s="105"/>
      <c r="H35" s="47" t="s">
        <v>156</v>
      </c>
      <c r="I35" s="50" t="str">
        <f>'Necesidades Trimestrales'!F33</f>
        <v>UNIDAD</v>
      </c>
      <c r="J35" s="82">
        <v>62.25</v>
      </c>
      <c r="K35" s="79">
        <v>30</v>
      </c>
    </row>
    <row r="36" spans="1:11" ht="45" customHeight="1" thickBot="1" x14ac:dyDescent="0.25">
      <c r="A36" s="45">
        <v>25</v>
      </c>
      <c r="B36" s="46" t="str">
        <f>'Necesidades Trimestrales'!B34</f>
        <v>2.1.1-2868.54</v>
      </c>
      <c r="C36" s="105" t="str">
        <f>'Necesidades Trimestrales'!E34</f>
        <v>FIDEOS SECOS; VARIEDAD: SOPERO, RELLENO: SIN, PRESENTACION: ENVASE X 500 GR, MATERIAL ENVASE: PLASTICO 1 (PET), ELEM. TRANSPORTE: SIN, MATERIAL ELEM. TRANSPORTE: SIN, CERTIFICADO FORESTAL (GFS): SIN, LIBRE DE GLUTEN: NO</v>
      </c>
      <c r="D36" s="105"/>
      <c r="E36" s="105"/>
      <c r="F36" s="105"/>
      <c r="G36" s="105"/>
      <c r="H36" s="47" t="s">
        <v>156</v>
      </c>
      <c r="I36" s="50" t="str">
        <f>'Necesidades Trimestrales'!F34</f>
        <v>UNIDAD</v>
      </c>
      <c r="J36" s="82">
        <v>62.25</v>
      </c>
      <c r="K36" s="79">
        <v>30</v>
      </c>
    </row>
    <row r="37" spans="1:11" ht="45" customHeight="1" thickBot="1" x14ac:dyDescent="0.25">
      <c r="A37" s="45">
        <v>26</v>
      </c>
      <c r="B37" s="46" t="str">
        <f>'Necesidades Trimestrales'!B35</f>
        <v>2.1.1-2868.86</v>
      </c>
      <c r="C37" s="105" t="str">
        <f>'Necesidades Trimestrales'!E35</f>
        <v>FIDEOS SECOS; VARIEDAD: SPAGHETTI AL HUEVO, RELLENO: SIN, PRESENTACION: PAQUETE X 500 GR, MATERIAL ENVASE: PLASTICO 1 (PET), ELEM. TRANSPORTE: SIN, MATERIAL ELEM. TRANSPORTE: SIN, CERTIFICADO FORESTAL (GFS): SIN, LIBRE DE GLUTEN: NO</v>
      </c>
      <c r="D37" s="105"/>
      <c r="E37" s="105"/>
      <c r="F37" s="105"/>
      <c r="G37" s="105"/>
      <c r="H37" s="47" t="s">
        <v>156</v>
      </c>
      <c r="I37" s="50" t="str">
        <f>'Necesidades Trimestrales'!F35</f>
        <v>UNIDAD</v>
      </c>
      <c r="J37" s="82">
        <v>62.25</v>
      </c>
      <c r="K37" s="79">
        <v>150</v>
      </c>
    </row>
    <row r="38" spans="1:11" ht="45" customHeight="1" thickBot="1" x14ac:dyDescent="0.25">
      <c r="A38" s="45">
        <v>27</v>
      </c>
      <c r="B38" s="46" t="str">
        <f>'Necesidades Trimestrales'!B36</f>
        <v>2.1.1-2868.65</v>
      </c>
      <c r="C38" s="105" t="str">
        <f>'Necesidades Trimestrales'!E36</f>
        <v>FIDEOS SECOS; VARIEDAD: SPAGHETTI VERDES, RELLENO: SIN, PRESENTACION: ENVASE X 5 Kg, MATERIAL ENVASE: PLASTICO 1 (PET), ELEM. TRANSPORTE: SIN, MATERIAL ELEM. TRANSPORTE: SIN, CERTIFICADO FORESTAL (GFS): SIN, LIBRE DE GLUTEN: NO</v>
      </c>
      <c r="D38" s="105"/>
      <c r="E38" s="105"/>
      <c r="F38" s="105"/>
      <c r="G38" s="105"/>
      <c r="H38" s="47" t="s">
        <v>156</v>
      </c>
      <c r="I38" s="50" t="str">
        <f>'Necesidades Trimestrales'!F36</f>
        <v>UNIDAD</v>
      </c>
      <c r="J38" s="82">
        <v>609</v>
      </c>
      <c r="K38" s="79">
        <v>50</v>
      </c>
    </row>
    <row r="39" spans="1:11" ht="45" customHeight="1" thickBot="1" x14ac:dyDescent="0.25">
      <c r="A39" s="45">
        <v>28</v>
      </c>
      <c r="B39" s="46" t="str">
        <f>'Necesidades Trimestrales'!B37</f>
        <v>2.1.1-2868.85</v>
      </c>
      <c r="C39" s="105" t="str">
        <f>'Necesidades Trimestrales'!E37</f>
        <v>FIDEOS SECOS; VARIEDAD: TAGLIATELLE, RELLENO: SIN, PRESENTACION: ENVASE X 500 GR, MATERIAL ENVASE: POLIETILENO, ELEM. TRANSPORTE: SIN, MATERIAL ELEM. TRANSPORTE: SIN, CERTIFICADO FORESTAL (GFS): SIN, LIBRE DE GLUTEN: NO</v>
      </c>
      <c r="D39" s="105"/>
      <c r="E39" s="105"/>
      <c r="F39" s="105"/>
      <c r="G39" s="105"/>
      <c r="H39" s="47" t="s">
        <v>156</v>
      </c>
      <c r="I39" s="50" t="str">
        <f>'Necesidades Trimestrales'!F37</f>
        <v>UNIDAD</v>
      </c>
      <c r="J39" s="82">
        <v>62.25</v>
      </c>
      <c r="K39" s="79">
        <v>50</v>
      </c>
    </row>
    <row r="40" spans="1:11" ht="45" customHeight="1" thickBot="1" x14ac:dyDescent="0.25">
      <c r="A40" s="45">
        <v>29</v>
      </c>
      <c r="B40" s="46" t="str">
        <f>'Necesidades Trimestrales'!B38</f>
        <v>2.1.1-2868.55</v>
      </c>
      <c r="C40" s="105" t="str">
        <f>'Necesidades Trimestrales'!E38</f>
        <v>FIDEOS SECOS; VARIEDAD: TALLARIN, RELLENO: SIN, PRESENTACION: ENVASE X 500 GR, MATERIAL ENVASE: PLASTICO 1 (PET), ELEM. TRANSPORTE: SIN, MATERIAL ELEM. TRANSPORTE: SIN, CERTIFICADO FORESTAL (GFS): SIN, LIBRE DE GLUTEN: NO</v>
      </c>
      <c r="D40" s="105"/>
      <c r="E40" s="105"/>
      <c r="F40" s="105"/>
      <c r="G40" s="105"/>
      <c r="H40" s="47" t="s">
        <v>156</v>
      </c>
      <c r="I40" s="50" t="str">
        <f>'Necesidades Trimestrales'!F38</f>
        <v>UNIDAD</v>
      </c>
      <c r="J40" s="82">
        <v>62.25</v>
      </c>
      <c r="K40" s="79">
        <v>150</v>
      </c>
    </row>
    <row r="41" spans="1:11" ht="45" customHeight="1" thickBot="1" x14ac:dyDescent="0.25">
      <c r="A41" s="45">
        <v>30</v>
      </c>
      <c r="B41" s="46" t="str">
        <f>'Necesidades Trimestrales'!B39</f>
        <v>2.1.1-2868.53</v>
      </c>
      <c r="C41" s="105" t="str">
        <f>'Necesidades Trimestrales'!E39</f>
        <v>FIDEOS SECOS; VARIEDAD: TIRABUZON, RELLENO: SIN, PRESENTACION: ENVASE X 500 GR, MATERIAL ENVASE: PLASTICO 1 (PET), ELEM. TRANSPORTE: SIN, MATERIAL ELEM. TRANSPORTE: SIN, CERTIFICADO FORESTAL (GFS): SIN, LIBRE DE GLUTEN: NO</v>
      </c>
      <c r="D41" s="105"/>
      <c r="E41" s="105"/>
      <c r="F41" s="105"/>
      <c r="G41" s="105"/>
      <c r="H41" s="47" t="s">
        <v>156</v>
      </c>
      <c r="I41" s="50" t="str">
        <f>'Necesidades Trimestrales'!F39</f>
        <v>UNIDAD</v>
      </c>
      <c r="J41" s="82">
        <v>62.25</v>
      </c>
      <c r="K41" s="79">
        <v>120</v>
      </c>
    </row>
    <row r="42" spans="1:11" ht="32.450000000000003" customHeight="1" thickBot="1" x14ac:dyDescent="0.25">
      <c r="A42" s="45">
        <v>31</v>
      </c>
      <c r="B42" s="46" t="str">
        <f>'Necesidades Trimestrales'!B40</f>
        <v>2.1.1-513.9</v>
      </c>
      <c r="C42" s="105" t="str">
        <f>'Necesidades Trimestrales'!E40</f>
        <v>FLANES; PESO: 60 GR, ENVASE: CAJA CARTON, ESTADO PREPARACION: CON COCCION, SABOR: VAINILLA, TIPO: SIN VALOR, PRESENTACION: 60 GR</v>
      </c>
      <c r="D42" s="105"/>
      <c r="E42" s="105"/>
      <c r="F42" s="105"/>
      <c r="G42" s="105"/>
      <c r="H42" s="47" t="s">
        <v>156</v>
      </c>
      <c r="I42" s="50" t="str">
        <f>'Necesidades Trimestrales'!F40</f>
        <v>UNIDAD</v>
      </c>
      <c r="J42" s="82">
        <v>57</v>
      </c>
      <c r="K42" s="79">
        <v>200</v>
      </c>
    </row>
    <row r="43" spans="1:11" ht="32.450000000000003" customHeight="1" thickBot="1" x14ac:dyDescent="0.25">
      <c r="A43" s="45">
        <v>32</v>
      </c>
      <c r="B43" s="46" t="str">
        <f>'Necesidades Trimestrales'!B41</f>
        <v>2.1.1-6539.38</v>
      </c>
      <c r="C43" s="105" t="str">
        <f>'Necesidades Trimestrales'!E41</f>
        <v>FRUTAS; VARIEDAD: ANANA, PRESENTACION: ENVASE X 850 GR, PESO: 850 GR, ESTADO: CONSERVA</v>
      </c>
      <c r="D43" s="105"/>
      <c r="E43" s="105"/>
      <c r="F43" s="105"/>
      <c r="G43" s="105"/>
      <c r="H43" s="47" t="s">
        <v>156</v>
      </c>
      <c r="I43" s="50" t="str">
        <f>'Necesidades Trimestrales'!F41</f>
        <v>UNIDAD</v>
      </c>
      <c r="J43" s="82">
        <v>732.5</v>
      </c>
      <c r="K43" s="79">
        <v>200</v>
      </c>
    </row>
    <row r="44" spans="1:11" ht="32.450000000000003" customHeight="1" thickBot="1" x14ac:dyDescent="0.25">
      <c r="A44" s="45">
        <v>33</v>
      </c>
      <c r="B44" s="46" t="str">
        <f>'Necesidades Trimestrales'!B42</f>
        <v>2.1.1-6539.114</v>
      </c>
      <c r="C44" s="105" t="str">
        <f>'Necesidades Trimestrales'!E42</f>
        <v>FRUTAS; VARIEDAD: CIRUELA ( SIN CAROZO ), ESTADO: DESECADA, PRESENTACION: ENVASE X 10 Kg, PESO: 10 Kg</v>
      </c>
      <c r="D44" s="105"/>
      <c r="E44" s="105"/>
      <c r="F44" s="105"/>
      <c r="G44" s="105"/>
      <c r="H44" s="47" t="s">
        <v>156</v>
      </c>
      <c r="I44" s="50" t="str">
        <f>'Necesidades Trimestrales'!F42</f>
        <v>UNIDAD</v>
      </c>
      <c r="J44" s="82">
        <v>1200</v>
      </c>
      <c r="K44" s="79">
        <v>3</v>
      </c>
    </row>
    <row r="45" spans="1:11" ht="32.450000000000003" customHeight="1" thickBot="1" x14ac:dyDescent="0.25">
      <c r="A45" s="45">
        <v>34</v>
      </c>
      <c r="B45" s="46" t="str">
        <f>'Necesidades Trimestrales'!B43</f>
        <v>2.1.1-6539.178</v>
      </c>
      <c r="C45" s="105" t="str">
        <f>'Necesidades Trimestrales'!E43</f>
        <v>FRUTAS; VARIEDAD: DURAZNO ( SIN CAROZO ), ESTADO: DESECADA, PRESENTACION: ENVASE X 5 Kg, ELEM. TRANSPORTE: SIN, MATERIAL ELEM. TRANSPORTE: SIN</v>
      </c>
      <c r="D45" s="105"/>
      <c r="E45" s="105"/>
      <c r="F45" s="105"/>
      <c r="G45" s="105"/>
      <c r="H45" s="47" t="s">
        <v>156</v>
      </c>
      <c r="I45" s="50" t="str">
        <f>'Necesidades Trimestrales'!F43</f>
        <v>UNIDAD</v>
      </c>
      <c r="J45" s="82">
        <v>1200</v>
      </c>
      <c r="K45" s="79">
        <v>3</v>
      </c>
    </row>
    <row r="46" spans="1:11" ht="32.450000000000003" customHeight="1" thickBot="1" x14ac:dyDescent="0.25">
      <c r="A46" s="45">
        <v>35</v>
      </c>
      <c r="B46" s="46" t="str">
        <f>'Necesidades Trimestrales'!B44</f>
        <v>2.1.1-6539.54</v>
      </c>
      <c r="C46" s="105" t="str">
        <f>'Necesidades Trimestrales'!E44</f>
        <v>FRUTAS; VARIEDAD: DURAZNO, PRESENTACION: ENVASE X 820 GR, ESTADO: NATURAL, PESO: 820 GR</v>
      </c>
      <c r="D46" s="105"/>
      <c r="E46" s="105"/>
      <c r="F46" s="105"/>
      <c r="G46" s="105"/>
      <c r="H46" s="47" t="s">
        <v>156</v>
      </c>
      <c r="I46" s="50" t="str">
        <f>'Necesidades Trimestrales'!F44</f>
        <v>UNIDAD</v>
      </c>
      <c r="J46" s="82">
        <v>435</v>
      </c>
      <c r="K46" s="79">
        <v>400</v>
      </c>
    </row>
    <row r="47" spans="1:11" ht="32.450000000000003" customHeight="1" thickBot="1" x14ac:dyDescent="0.25">
      <c r="A47" s="45">
        <v>36</v>
      </c>
      <c r="B47" s="46" t="str">
        <f>'Necesidades Trimestrales'!B45</f>
        <v>2.1.1-788.224</v>
      </c>
      <c r="C47" s="105" t="str">
        <f>'Necesidades Trimestrales'!E45</f>
        <v>GALLETITAS; VARIEDAD: SALADA, RELLENO: SIN, PRESENTACION: ENVASE X 275 GR, ELEM. TRANSPORTE: SIN, MATERIAL ELEM. TRANSPORTE: SIN, LIBRE DE GLUTEN: SI</v>
      </c>
      <c r="D47" s="105"/>
      <c r="E47" s="105"/>
      <c r="F47" s="105"/>
      <c r="G47" s="105"/>
      <c r="H47" s="47" t="s">
        <v>156</v>
      </c>
      <c r="I47" s="50" t="str">
        <f>'Necesidades Trimestrales'!F45</f>
        <v>UNIDAD</v>
      </c>
      <c r="J47" s="82">
        <v>445</v>
      </c>
      <c r="K47" s="79">
        <v>30</v>
      </c>
    </row>
    <row r="48" spans="1:11" ht="32.450000000000003" customHeight="1" thickBot="1" x14ac:dyDescent="0.25">
      <c r="A48" s="45">
        <v>37</v>
      </c>
      <c r="B48" s="46" t="str">
        <f>'Necesidades Trimestrales'!B46</f>
        <v>2.1.1-788.229</v>
      </c>
      <c r="C48" s="105" t="str">
        <f>'Necesidades Trimestrales'!E46</f>
        <v>GALLETITAS; VARIEDAD: VAINILLA, RELLENO: SIN, PRESENTACION: ENVASE X 792 GR, ELEM. TRANSPORTE: SIN, MATERIAL ELEM. TRANSPORTE: SIN, LIBRE DE GLUTEN: NO</v>
      </c>
      <c r="D48" s="105"/>
      <c r="E48" s="105"/>
      <c r="F48" s="105"/>
      <c r="G48" s="105"/>
      <c r="H48" s="47" t="s">
        <v>156</v>
      </c>
      <c r="I48" s="50" t="str">
        <f>'Necesidades Trimestrales'!F46</f>
        <v>UNIDAD</v>
      </c>
      <c r="J48" s="82">
        <v>445</v>
      </c>
      <c r="K48" s="79">
        <v>50</v>
      </c>
    </row>
    <row r="49" spans="1:11" ht="32.450000000000003" customHeight="1" thickBot="1" x14ac:dyDescent="0.25">
      <c r="A49" s="45">
        <v>38</v>
      </c>
      <c r="B49" s="46" t="str">
        <f>'Necesidades Trimestrales'!B47</f>
        <v>2.1.1-510.5</v>
      </c>
      <c r="C49" s="105" t="str">
        <f>'Necesidades Trimestrales'!E47</f>
        <v>GELATINAS; ENVASE: CAJA DE CARTON, PESO: 30 GR, TIPO: BAJAS CALORIAS, SABOR: FRUTILLA</v>
      </c>
      <c r="D49" s="105"/>
      <c r="E49" s="105"/>
      <c r="F49" s="105"/>
      <c r="G49" s="105"/>
      <c r="H49" s="47" t="s">
        <v>156</v>
      </c>
      <c r="I49" s="50" t="str">
        <f>'Necesidades Trimestrales'!F47</f>
        <v>UNIDAD</v>
      </c>
      <c r="J49" s="82">
        <v>90</v>
      </c>
      <c r="K49" s="79">
        <v>300</v>
      </c>
    </row>
    <row r="50" spans="1:11" ht="32.450000000000003" customHeight="1" thickBot="1" x14ac:dyDescent="0.25">
      <c r="A50" s="45">
        <v>39</v>
      </c>
      <c r="B50" s="46" t="str">
        <f>'Necesidades Trimestrales'!B48</f>
        <v>2.1.1-510.3</v>
      </c>
      <c r="C50" s="105" t="str">
        <f>'Necesidades Trimestrales'!E48</f>
        <v>GELATINAS; TIPO: BAJAS CALORIAS, ENVASE: CAJA DE CARTON, PESO: 30 GR, SABOR: CEREZA</v>
      </c>
      <c r="D50" s="105"/>
      <c r="E50" s="105"/>
      <c r="F50" s="105"/>
      <c r="G50" s="105"/>
      <c r="H50" s="47" t="s">
        <v>156</v>
      </c>
      <c r="I50" s="50" t="str">
        <f>'Necesidades Trimestrales'!F48</f>
        <v>UNIDAD</v>
      </c>
      <c r="J50" s="82">
        <v>90</v>
      </c>
      <c r="K50" s="79">
        <v>300</v>
      </c>
    </row>
    <row r="51" spans="1:11" ht="45" customHeight="1" thickBot="1" x14ac:dyDescent="0.25">
      <c r="A51" s="45">
        <v>40</v>
      </c>
      <c r="B51" s="46" t="str">
        <f>'Necesidades Trimestrales'!B49</f>
        <v>2.1.1-482.80</v>
      </c>
      <c r="C51" s="105" t="str">
        <f>'Necesidades Trimestrales'!E49</f>
        <v>HARINAS; TIPO: DE TRIGO 000, PRESENTACION: ENVASE X 1 Kg, MATERIAL ENVASE: PAPEL, CERTICADO FORESTAL (GFS): SIN, ELEM. TRANSPORTE: SIN, MATERIAL ELEM. TRANSPORTE: SIN, LIBRE DE GLUTEN: NO</v>
      </c>
      <c r="D51" s="105"/>
      <c r="E51" s="105"/>
      <c r="F51" s="105"/>
      <c r="G51" s="105"/>
      <c r="H51" s="47" t="s">
        <v>156</v>
      </c>
      <c r="I51" s="50" t="str">
        <f>'Necesidades Trimestrales'!F49</f>
        <v>UNIDAD</v>
      </c>
      <c r="J51" s="82">
        <v>70.25</v>
      </c>
      <c r="K51" s="79">
        <v>30</v>
      </c>
    </row>
    <row r="52" spans="1:11" ht="45" customHeight="1" thickBot="1" x14ac:dyDescent="0.25">
      <c r="A52" s="45">
        <v>41</v>
      </c>
      <c r="B52" s="46" t="str">
        <f>'Necesidades Trimestrales'!B50</f>
        <v>2.1.1-482.61</v>
      </c>
      <c r="C52" s="105" t="str">
        <f>'Necesidades Trimestrales'!E50</f>
        <v>HARINAS; TIPO: LEUDANTE, PRESENTACION: ENVASE X 1 Kg, MATERIAL ENVASE: PAPEL, CERTICADO FORESTAL (GFS): SIN, ELEM. TRANSPORTE: PALLET RETORNABLE, MATERIAL ELEM. TRANSPORTE: MADERA</v>
      </c>
      <c r="D52" s="105"/>
      <c r="E52" s="105"/>
      <c r="F52" s="105"/>
      <c r="G52" s="105"/>
      <c r="H52" s="47" t="s">
        <v>156</v>
      </c>
      <c r="I52" s="50" t="str">
        <f>'Necesidades Trimestrales'!F50</f>
        <v>UNIDAD</v>
      </c>
      <c r="J52" s="82">
        <v>119.8</v>
      </c>
      <c r="K52" s="79">
        <v>70</v>
      </c>
    </row>
    <row r="53" spans="1:11" ht="45" customHeight="1" thickBot="1" x14ac:dyDescent="0.25">
      <c r="A53" s="45">
        <v>42</v>
      </c>
      <c r="B53" s="46" t="str">
        <f>'Necesidades Trimestrales'!B51</f>
        <v>2.1.1-482.69</v>
      </c>
      <c r="C53" s="105" t="str">
        <f>'Necesidades Trimestrales'!E51</f>
        <v>HARINAS; TIPO: MAIZ, PRESENTACION: ENVASE X 1 Kg, MATERIAL ENVASE: PAPEL, CERTICADO FORESTAL (GFS): SIN, ELEM. TRANSPORTE: SIN, MATERIAL ELEM. TRANSPORTE: SIN, LIBRE DE GLUTEN: NO</v>
      </c>
      <c r="D53" s="105"/>
      <c r="E53" s="105"/>
      <c r="F53" s="105"/>
      <c r="G53" s="105"/>
      <c r="H53" s="47" t="s">
        <v>156</v>
      </c>
      <c r="I53" s="50" t="str">
        <f>'Necesidades Trimestrales'!F51</f>
        <v>UNIDAD</v>
      </c>
      <c r="J53" s="82">
        <v>101.5</v>
      </c>
      <c r="K53" s="79">
        <v>50</v>
      </c>
    </row>
    <row r="54" spans="1:11" ht="32.450000000000003" customHeight="1" thickBot="1" x14ac:dyDescent="0.25">
      <c r="A54" s="45">
        <v>43</v>
      </c>
      <c r="B54" s="46" t="str">
        <f>'Necesidades Trimestrales'!B52</f>
        <v>2.1.1-6558.8</v>
      </c>
      <c r="C54" s="105" t="str">
        <f>'Necesidades Trimestrales'!E52</f>
        <v>JARDINERA; PRESENTACION: ENVASE X 350 GR, PESO: SIN VALOR, MATERIAL ENVASE: METAL, ELEM. TRANSPORTE: SIN, MATERIAL ELEM. TRANSPORTE: SIN</v>
      </c>
      <c r="D54" s="105"/>
      <c r="E54" s="105"/>
      <c r="F54" s="105"/>
      <c r="G54" s="105"/>
      <c r="H54" s="47" t="s">
        <v>156</v>
      </c>
      <c r="I54" s="50" t="str">
        <f>'Necesidades Trimestrales'!F52</f>
        <v>UNIDAD</v>
      </c>
      <c r="J54" s="82">
        <v>102.6</v>
      </c>
      <c r="K54" s="79">
        <v>300</v>
      </c>
    </row>
    <row r="55" spans="1:11" ht="45" customHeight="1" thickBot="1" x14ac:dyDescent="0.25">
      <c r="A55" s="45">
        <v>44</v>
      </c>
      <c r="B55" s="46" t="str">
        <f>'Necesidades Trimestrales'!B53</f>
        <v>2.1.1-705.116</v>
      </c>
      <c r="C55" s="105" t="str">
        <f>'Necesidades Trimestrales'!E53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55" s="105"/>
      <c r="E55" s="105"/>
      <c r="F55" s="105"/>
      <c r="G55" s="105"/>
      <c r="H55" s="47" t="s">
        <v>156</v>
      </c>
      <c r="I55" s="50" t="str">
        <f>'Necesidades Trimestrales'!F53</f>
        <v>UNIDAD</v>
      </c>
      <c r="J55" s="82">
        <v>118</v>
      </c>
      <c r="K55" s="79">
        <v>1800</v>
      </c>
    </row>
    <row r="56" spans="1:11" ht="32.450000000000003" customHeight="1" thickBot="1" x14ac:dyDescent="0.25">
      <c r="A56" s="45">
        <v>45</v>
      </c>
      <c r="B56" s="46" t="str">
        <f>'Necesidades Trimestrales'!B54</f>
        <v>2.1.1-6547.70</v>
      </c>
      <c r="C56" s="105" t="str">
        <f>'Necesidades Trimestrales'!E54</f>
        <v>LEGUMBRES; VARIEDAD: LENTEJA, ESTADO: SECO, PRESENTACION: BOLSA, PESO: 1 Kg</v>
      </c>
      <c r="D56" s="105"/>
      <c r="E56" s="105"/>
      <c r="F56" s="105"/>
      <c r="G56" s="105"/>
      <c r="H56" s="47" t="s">
        <v>156</v>
      </c>
      <c r="I56" s="50" t="str">
        <f>'Necesidades Trimestrales'!F54</f>
        <v>UNIDAD</v>
      </c>
      <c r="J56" s="82">
        <v>288</v>
      </c>
      <c r="K56" s="79">
        <v>70</v>
      </c>
    </row>
    <row r="57" spans="1:11" ht="32.450000000000003" customHeight="1" thickBot="1" x14ac:dyDescent="0.25">
      <c r="A57" s="45">
        <v>46</v>
      </c>
      <c r="B57" s="46" t="str">
        <f>'Necesidades Trimestrales'!B55</f>
        <v>2.1.1-6547.84</v>
      </c>
      <c r="C57" s="105" t="str">
        <f>'Necesidades Trimestrales'!E55</f>
        <v>LEGUMBRES; VARIEDAD: ARVEJAS, ESTADO: CONSERVA, PRESENTACION: LATA, PESO: 350 GR, MATERIAL ENVASE: METAL, ELEM. TRANSPORTE: SIN, MATERIAL ELEM. TRANSPORTE: SIN, LIBRE DE GLUTEN: NO</v>
      </c>
      <c r="D57" s="105"/>
      <c r="E57" s="105"/>
      <c r="F57" s="105"/>
      <c r="G57" s="105"/>
      <c r="H57" s="47" t="s">
        <v>156</v>
      </c>
      <c r="I57" s="50" t="str">
        <f>'Necesidades Trimestrales'!F55</f>
        <v>UNIDAD</v>
      </c>
      <c r="J57" s="82">
        <v>48</v>
      </c>
      <c r="K57" s="79">
        <v>300</v>
      </c>
    </row>
    <row r="58" spans="1:11" ht="32.450000000000003" customHeight="1" thickBot="1" x14ac:dyDescent="0.25">
      <c r="A58" s="45">
        <v>47</v>
      </c>
      <c r="B58" s="46" t="str">
        <f>'Necesidades Trimestrales'!B56</f>
        <v>2.1.1-6547.88</v>
      </c>
      <c r="C58" s="105" t="str">
        <f>'Necesidades Trimestrales'!E56</f>
        <v>LEGUMBRES; VARIEDAD: LENTEJA, ESTADO: SECO, PRESENTACION: BOLSA, PESO: 450 GR, MATERIAL ENVASE: PLASTICO, ELEM. TRANSPORTE: SIN, MATERIAL ELEM. TRANSPORTE: SIN, LIBRE DE GLUTEN: SI</v>
      </c>
      <c r="D58" s="105"/>
      <c r="E58" s="105"/>
      <c r="F58" s="105"/>
      <c r="G58" s="105"/>
      <c r="H58" s="47" t="s">
        <v>156</v>
      </c>
      <c r="I58" s="50" t="str">
        <f>'Necesidades Trimestrales'!F56</f>
        <v>UNIDAD</v>
      </c>
      <c r="J58" s="82">
        <v>158</v>
      </c>
      <c r="K58" s="79">
        <v>10</v>
      </c>
    </row>
    <row r="59" spans="1:11" ht="32.450000000000003" customHeight="1" thickBot="1" x14ac:dyDescent="0.25">
      <c r="A59" s="45">
        <v>48</v>
      </c>
      <c r="B59" s="46" t="str">
        <f>'Necesidades Trimestrales'!B57</f>
        <v>2.1.1-706.6</v>
      </c>
      <c r="C59" s="105" t="str">
        <f>'Necesidades Trimestrales'!E57</f>
        <v>MATE COCIDO; ENVASE: CAJA CARTON, PRESENTACION: ENSOBRADO, SAQUITOS P/CAJA: 100 UN, PESO X SAQ.: 3 GR</v>
      </c>
      <c r="D59" s="105"/>
      <c r="E59" s="105"/>
      <c r="F59" s="105"/>
      <c r="G59" s="105"/>
      <c r="H59" s="47" t="s">
        <v>156</v>
      </c>
      <c r="I59" s="50" t="str">
        <f>'Necesidades Trimestrales'!F57</f>
        <v>UNIDAD</v>
      </c>
      <c r="J59" s="82">
        <v>356.8</v>
      </c>
      <c r="K59" s="79">
        <v>300</v>
      </c>
    </row>
    <row r="60" spans="1:11" ht="32.450000000000003" customHeight="1" thickBot="1" x14ac:dyDescent="0.25">
      <c r="A60" s="45">
        <v>49</v>
      </c>
      <c r="B60" s="46" t="str">
        <f>'Necesidades Trimestrales'!B58</f>
        <v>2.1.1-517.86</v>
      </c>
      <c r="C60" s="105" t="str">
        <f>'Necesidades Trimestrales'!E58</f>
        <v>POSTRES; ESTADO PREPARACION: CON COCCION, TIPO: POLVO, ENVASE: CAJA DE CARTON, PESO: 80 GR, SABOR: VAINILLA, LIBRE DE GLUTEN: SI</v>
      </c>
      <c r="D60" s="105"/>
      <c r="E60" s="105"/>
      <c r="F60" s="105"/>
      <c r="G60" s="105"/>
      <c r="H60" s="47" t="s">
        <v>156</v>
      </c>
      <c r="I60" s="50" t="str">
        <f>'Necesidades Trimestrales'!F58</f>
        <v>UNIDAD</v>
      </c>
      <c r="J60" s="82">
        <v>73</v>
      </c>
      <c r="K60" s="79">
        <v>120</v>
      </c>
    </row>
    <row r="61" spans="1:11" ht="32.450000000000003" customHeight="1" thickBot="1" x14ac:dyDescent="0.25">
      <c r="A61" s="45">
        <v>50</v>
      </c>
      <c r="B61" s="46" t="str">
        <f>'Necesidades Trimestrales'!B59</f>
        <v>2.1.1-514.2</v>
      </c>
      <c r="C61" s="105" t="str">
        <f>'Necesidades Trimestrales'!E59</f>
        <v>SAL DE MESA; CONSISTENCIA: FINA, PESO: 500 GR, TIPO: SIN VALOR, ENVASE: PAQUETE</v>
      </c>
      <c r="D61" s="105"/>
      <c r="E61" s="105"/>
      <c r="F61" s="105"/>
      <c r="G61" s="105"/>
      <c r="H61" s="47" t="s">
        <v>156</v>
      </c>
      <c r="I61" s="50" t="str">
        <f>'Necesidades Trimestrales'!F58</f>
        <v>UNIDAD</v>
      </c>
      <c r="J61" s="82">
        <v>43</v>
      </c>
      <c r="K61" s="79">
        <v>100</v>
      </c>
    </row>
    <row r="62" spans="1:11" ht="32.450000000000003" customHeight="1" thickBot="1" x14ac:dyDescent="0.25">
      <c r="A62" s="45">
        <v>51</v>
      </c>
      <c r="B62" s="46" t="str">
        <f>'Necesidades Trimestrales'!B60</f>
        <v>2.1.1-514.15</v>
      </c>
      <c r="C62" s="105" t="str">
        <f>'Necesidades Trimestrales'!E60</f>
        <v>SAL DE MESA; CONSISTENCIA: GRUESA, ENVASE: BOLSA, PESO: 1 Kg, TIPO: SIN VALOR</v>
      </c>
      <c r="D62" s="105"/>
      <c r="E62" s="105"/>
      <c r="F62" s="105"/>
      <c r="G62" s="105"/>
      <c r="H62" s="47" t="s">
        <v>156</v>
      </c>
      <c r="I62" s="50" t="str">
        <f>'Necesidades Trimestrales'!F59</f>
        <v>UNIDAD</v>
      </c>
      <c r="J62" s="82">
        <v>63</v>
      </c>
      <c r="K62" s="79">
        <v>15</v>
      </c>
    </row>
    <row r="63" spans="1:11" ht="32.450000000000003" customHeight="1" thickBot="1" x14ac:dyDescent="0.25">
      <c r="A63" s="45">
        <v>52</v>
      </c>
      <c r="B63" s="46" t="str">
        <f>'Necesidades Trimestrales'!B61</f>
        <v>2.1.1-2126.13</v>
      </c>
      <c r="C63" s="105" t="str">
        <f>'Necesidades Trimestrales'!E61</f>
        <v>SEMOLAS; TIPO: VITINA, PRESENTACION: BOLSA, PESO: 500 GR, MATERIAL ENVASE: PLASTICO 1 (PET), CERTICADO FORESTAL (GFS): SIN, LIBRE DE GLUTEN: NO</v>
      </c>
      <c r="D63" s="105"/>
      <c r="E63" s="105"/>
      <c r="F63" s="105"/>
      <c r="G63" s="105"/>
      <c r="H63" s="47" t="s">
        <v>156</v>
      </c>
      <c r="I63" s="50" t="str">
        <f>'Necesidades Trimestrales'!F60</f>
        <v>UNIDAD</v>
      </c>
      <c r="J63" s="82">
        <v>197</v>
      </c>
      <c r="K63" s="79">
        <v>20</v>
      </c>
    </row>
    <row r="64" spans="1:11" ht="32.450000000000003" customHeight="1" thickBot="1" x14ac:dyDescent="0.25">
      <c r="A64" s="45">
        <v>53</v>
      </c>
      <c r="B64" s="46" t="str">
        <f>'Necesidades Trimestrales'!B62</f>
        <v>2.1.1-511.8</v>
      </c>
      <c r="C64" s="105" t="str">
        <f>'Necesidades Trimestrales'!E62</f>
        <v>TE; SAQUITOS 2G P/CAJA: 50, PESO: SIN VALOR, TIPO: SIN VALOR, PRESENTACION: EN SAQUITOS</v>
      </c>
      <c r="D64" s="105"/>
      <c r="E64" s="105"/>
      <c r="F64" s="105"/>
      <c r="G64" s="105"/>
      <c r="H64" s="47" t="s">
        <v>156</v>
      </c>
      <c r="I64" s="50" t="str">
        <f>'Necesidades Trimestrales'!F61</f>
        <v>UNIDAD</v>
      </c>
      <c r="J64" s="82">
        <v>185.8</v>
      </c>
      <c r="K64" s="79">
        <v>700</v>
      </c>
    </row>
    <row r="65" spans="1:1024" ht="32.450000000000003" customHeight="1" thickBot="1" x14ac:dyDescent="0.25">
      <c r="A65" s="45">
        <v>54</v>
      </c>
      <c r="B65" s="46" t="str">
        <f>'Necesidades Trimestrales'!B63</f>
        <v>2.1.1-6546.336</v>
      </c>
      <c r="C65" s="105" t="str">
        <f>'Necesidades Trimestrales'!E63</f>
        <v>VERDURAS Y HORTALIZAS; VARIEDAD: CHOCLO, ESTADO: CREMOSO, PRESENTACION: LATA, PESO: 350 GR, ELEM. TRANSPORTE: SIN, MATERIAL ELEM. TRANSPORTE: SIN, LIBRE DE GLUTEN: NO</v>
      </c>
      <c r="D65" s="105"/>
      <c r="E65" s="105"/>
      <c r="F65" s="105"/>
      <c r="G65" s="105"/>
      <c r="H65" s="47" t="s">
        <v>156</v>
      </c>
      <c r="I65" s="50" t="str">
        <f>'Necesidades Trimestrales'!F62</f>
        <v>UNIDAD</v>
      </c>
      <c r="J65" s="82">
        <v>118</v>
      </c>
      <c r="K65" s="79">
        <v>200</v>
      </c>
    </row>
    <row r="66" spans="1:1024" ht="32.450000000000003" customHeight="1" thickBot="1" x14ac:dyDescent="0.25">
      <c r="A66" s="45">
        <v>55</v>
      </c>
      <c r="B66" s="46" t="str">
        <f>'Necesidades Trimestrales'!B64</f>
        <v>2.1.1-6546.269</v>
      </c>
      <c r="C66" s="105" t="str">
        <f>'Necesidades Trimestrales'!E64</f>
        <v>VERDURAS Y HORTALIZAS; VARIEDAD: CHOCLO, ESTADO: GRANO, PRESENTACION: LATA, PESO: 350 GR</v>
      </c>
      <c r="D66" s="105"/>
      <c r="E66" s="105"/>
      <c r="F66" s="105"/>
      <c r="G66" s="105"/>
      <c r="H66" s="47" t="s">
        <v>156</v>
      </c>
      <c r="I66" s="50" t="str">
        <f>'Necesidades Trimestrales'!F63</f>
        <v>UNIDAD</v>
      </c>
      <c r="J66" s="82">
        <v>133</v>
      </c>
      <c r="K66" s="79">
        <v>200</v>
      </c>
    </row>
    <row r="67" spans="1:1024" ht="32.450000000000003" customHeight="1" thickBot="1" x14ac:dyDescent="0.25">
      <c r="A67" s="45">
        <v>56</v>
      </c>
      <c r="B67" s="46" t="str">
        <f>'Necesidades Trimestrales'!B65</f>
        <v>2.1.1-6546.183</v>
      </c>
      <c r="C67" s="105" t="str">
        <f>'Necesidades Trimestrales'!E65</f>
        <v>VERDURAS Y HORTALIZAS; VARIEDAD: TOMATE PERITA, ESTADO: NATURAL, PRESENTACION: LATA, PESO: 380 GR</v>
      </c>
      <c r="D67" s="105"/>
      <c r="E67" s="105"/>
      <c r="F67" s="105"/>
      <c r="G67" s="105"/>
      <c r="H67" s="47" t="s">
        <v>156</v>
      </c>
      <c r="I67" s="50" t="str">
        <f>'Necesidades Trimestrales'!F64</f>
        <v>UNIDAD</v>
      </c>
      <c r="J67" s="82">
        <v>88.25</v>
      </c>
      <c r="K67" s="79">
        <v>300</v>
      </c>
    </row>
    <row r="68" spans="1:1024" ht="32.450000000000003" customHeight="1" thickBot="1" x14ac:dyDescent="0.25">
      <c r="A68" s="45">
        <v>57</v>
      </c>
      <c r="B68" s="46" t="str">
        <f>'Necesidades Trimestrales'!B66</f>
        <v>2.1.1-6546.81</v>
      </c>
      <c r="C68" s="105" t="str">
        <f>'Necesidades Trimestrales'!E66</f>
        <v>VERDURAS Y HORTALIZAS; VARIEDAD: TOMATE, ESTADO: PURE NATURAL, PRESENTACION: CAJA, PESO: 500 GR</v>
      </c>
      <c r="D68" s="105"/>
      <c r="E68" s="105"/>
      <c r="F68" s="105"/>
      <c r="G68" s="105"/>
      <c r="H68" s="47" t="s">
        <v>156</v>
      </c>
      <c r="I68" s="50" t="str">
        <f>'Necesidades Trimestrales'!F65</f>
        <v>UNIDAD</v>
      </c>
      <c r="J68" s="82">
        <v>77</v>
      </c>
      <c r="K68" s="79">
        <v>300</v>
      </c>
    </row>
    <row r="69" spans="1:1024" ht="32.450000000000003" customHeight="1" thickBot="1" x14ac:dyDescent="0.25">
      <c r="A69" s="45">
        <v>58</v>
      </c>
      <c r="B69" s="46" t="str">
        <f>'Necesidades Trimestrales'!B67</f>
        <v>2.1.1-519.23</v>
      </c>
      <c r="C69" s="105" t="str">
        <f>'Necesidades Trimestrales'!E67</f>
        <v>VINAGRES; TIPO: MANZANA, PRESENTACION: ENVASE X 1 L, MATERIAL ENVASE: PLASTICO 1 (PET)</v>
      </c>
      <c r="D69" s="105"/>
      <c r="E69" s="105"/>
      <c r="F69" s="105"/>
      <c r="G69" s="105"/>
      <c r="H69" s="47" t="s">
        <v>156</v>
      </c>
      <c r="I69" s="50" t="str">
        <f>'Necesidades Trimestrales'!F66</f>
        <v>UNIDAD</v>
      </c>
      <c r="J69" s="82">
        <v>179</v>
      </c>
      <c r="K69" s="79">
        <v>30</v>
      </c>
    </row>
    <row r="70" spans="1:1024" ht="32.450000000000003" customHeight="1" thickBot="1" x14ac:dyDescent="0.25">
      <c r="A70" s="45">
        <v>59</v>
      </c>
      <c r="B70" s="46" t="str">
        <f>'Necesidades Trimestrales'!B68</f>
        <v>2.1.1-519.27</v>
      </c>
      <c r="C70" s="105" t="str">
        <f>'Necesidades Trimestrales'!E68</f>
        <v>VINAGRES; TIPO: VINO, PRESENTACION: ENVASE X 1 L, MATERIAL ENVASE: PLASTICO 1 (PET), LIBRE DE GLUTEN: NO</v>
      </c>
      <c r="D70" s="105"/>
      <c r="E70" s="105"/>
      <c r="F70" s="105"/>
      <c r="G70" s="105"/>
      <c r="H70" s="47" t="s">
        <v>156</v>
      </c>
      <c r="I70" s="50" t="str">
        <f>'Necesidades Trimestrales'!F67</f>
        <v>UNIDAD</v>
      </c>
      <c r="J70" s="82">
        <v>164</v>
      </c>
      <c r="K70" s="79">
        <v>30</v>
      </c>
    </row>
    <row r="71" spans="1:1024" ht="32.450000000000003" customHeight="1" thickBot="1" x14ac:dyDescent="0.25">
      <c r="A71" s="45">
        <v>60</v>
      </c>
      <c r="B71" s="46" t="str">
        <f>'Necesidades Trimestrales'!B69</f>
        <v>2.1.1-454.25</v>
      </c>
      <c r="C71" s="105" t="str">
        <f>'Necesidades Trimestrales'!E69</f>
        <v>YERBAS; PALO: CON, PESO: 1 Kg, MATERIAL ENVASE : PAPEL, CERTIFICADO FORESTAL (GFS): CON, ELEM. TRANSPORTE: SIN, MATERIAL ELEM. TRANSPORTE: SIN, LIBRE DE GLUTEN: SI</v>
      </c>
      <c r="D71" s="105"/>
      <c r="E71" s="105"/>
      <c r="F71" s="105"/>
      <c r="G71" s="105"/>
      <c r="H71" s="47" t="s">
        <v>156</v>
      </c>
      <c r="I71" s="50" t="str">
        <f>'Necesidades Trimestrales'!F68</f>
        <v>UNIDAD</v>
      </c>
      <c r="J71" s="87">
        <v>449</v>
      </c>
      <c r="K71" s="79">
        <v>10</v>
      </c>
    </row>
    <row r="72" spans="1:1024" ht="20.25" customHeight="1" thickBot="1" x14ac:dyDescent="0.25">
      <c r="A72" s="106" t="s">
        <v>188</v>
      </c>
      <c r="B72" s="106"/>
      <c r="C72" s="106"/>
      <c r="D72" s="106"/>
      <c r="E72" s="106"/>
      <c r="F72" s="106"/>
      <c r="G72" s="106"/>
      <c r="H72" s="106"/>
      <c r="I72" s="106"/>
      <c r="J72" s="107">
        <f>SUMPRODUCT(J12:J71,K12:K71)</f>
        <v>2039486</v>
      </c>
      <c r="K72" s="107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</sheetData>
  <mergeCells count="82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C12:G12"/>
    <mergeCell ref="C13:G13"/>
    <mergeCell ref="C14:G14"/>
    <mergeCell ref="A10:A11"/>
    <mergeCell ref="B10:B11"/>
    <mergeCell ref="H10:H11"/>
    <mergeCell ref="I10:I11"/>
    <mergeCell ref="J10:J11"/>
    <mergeCell ref="K10:K11"/>
    <mergeCell ref="C10:G11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70:G70"/>
    <mergeCell ref="C71:G71"/>
    <mergeCell ref="A72:I72"/>
    <mergeCell ref="J72:K72"/>
    <mergeCell ref="C65:G65"/>
    <mergeCell ref="C66:G66"/>
    <mergeCell ref="C67:G67"/>
    <mergeCell ref="C68:G68"/>
    <mergeCell ref="C69:G69"/>
  </mergeCells>
  <printOptions horizontalCentered="1"/>
  <pageMargins left="0.196850393700787" right="0.196850393700787" top="0.98425196850393704" bottom="0.98425196850393704" header="0.511811023622047" footer="0.511811023622047"/>
  <pageSetup paperSize="5" scale="90" firstPageNumber="0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30" zoomScaleNormal="130" workbookViewId="0">
      <selection activeCell="S22" sqref="S2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customWidth="1"/>
  </cols>
  <sheetData>
    <row r="1" spans="1:17" ht="15.75" customHeight="1" x14ac:dyDescent="0.25">
      <c r="A1" s="140" t="s">
        <v>5</v>
      </c>
      <c r="B1" s="140"/>
      <c r="C1" s="140"/>
      <c r="D1" s="141">
        <f>'Necesidades Trimestrales'!C6</f>
        <v>2022</v>
      </c>
      <c r="E1" s="141"/>
      <c r="F1" s="3"/>
      <c r="G1" s="3"/>
      <c r="H1" s="4"/>
      <c r="I1" s="4"/>
      <c r="J1" s="4"/>
      <c r="K1" s="4"/>
      <c r="L1" s="4"/>
      <c r="M1" s="4"/>
      <c r="N1" s="4"/>
      <c r="P1" s="143" t="s">
        <v>157</v>
      </c>
      <c r="Q1" s="14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7" s="1" customFormat="1" ht="18" customHeight="1" x14ac:dyDescent="0.2">
      <c r="A4" s="142" t="s">
        <v>158</v>
      </c>
      <c r="B4" s="142"/>
      <c r="C4" s="142"/>
      <c r="D4" s="142"/>
      <c r="E4" s="142"/>
      <c r="F4" s="142"/>
      <c r="G4" s="138" t="str">
        <f>NotaPedido!D3</f>
        <v>40 -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1" customFormat="1" ht="18" customHeight="1" x14ac:dyDescent="0.2">
      <c r="A5" s="135" t="s">
        <v>141</v>
      </c>
      <c r="B5" s="136"/>
      <c r="C5" s="136"/>
      <c r="D5" s="136"/>
      <c r="E5" s="136"/>
      <c r="F5" s="137"/>
      <c r="G5" s="138" t="str">
        <f>NotaPedido!D4</f>
        <v>23 - Hospital Interzonal San Juan Bautista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1" customFormat="1" ht="18" customHeight="1" x14ac:dyDescent="0.2">
      <c r="A6" s="135" t="s">
        <v>142</v>
      </c>
      <c r="B6" s="136"/>
      <c r="C6" s="136"/>
      <c r="D6" s="136"/>
      <c r="E6" s="136"/>
      <c r="F6" s="137"/>
      <c r="G6" s="138" t="str">
        <f>NotaPedido!D5</f>
        <v>168 - Direccion Asistencial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1" customFormat="1" ht="18" customHeight="1" x14ac:dyDescent="0.2">
      <c r="A7" s="135" t="s">
        <v>144</v>
      </c>
      <c r="B7" s="136"/>
      <c r="C7" s="136"/>
      <c r="D7" s="136"/>
      <c r="E7" s="136"/>
      <c r="F7" s="137"/>
      <c r="G7" s="138" t="str">
        <f>NotaPedido!D6</f>
        <v>Servicio de Nutricion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x14ac:dyDescent="0.2">
      <c r="A8" s="139" t="s">
        <v>159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">
      <c r="A9" s="128" t="s">
        <v>160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23"/>
      <c r="P9" s="23"/>
      <c r="Q9" s="33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de Pedido N° "&amp;NotaPedido!K1&amp;",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042 - 2022,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34"/>
    </row>
    <row r="12" spans="1:17" ht="15.75" customHeight="1" x14ac:dyDescent="0.2">
      <c r="A12" s="130" t="s">
        <v>161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x14ac:dyDescent="0.2">
      <c r="A13" s="131" t="s">
        <v>162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4" t="s">
        <v>163</v>
      </c>
      <c r="P13" s="134"/>
      <c r="Q13" s="133" t="s">
        <v>164</v>
      </c>
    </row>
    <row r="14" spans="1:17" ht="15.75" customHeight="1" x14ac:dyDescent="0.2">
      <c r="A14" s="8" t="s">
        <v>165</v>
      </c>
      <c r="B14" s="9" t="s">
        <v>166</v>
      </c>
      <c r="C14" s="9" t="s">
        <v>167</v>
      </c>
      <c r="D14" s="9" t="s">
        <v>168</v>
      </c>
      <c r="E14" s="9" t="s">
        <v>169</v>
      </c>
      <c r="F14" s="9" t="s">
        <v>170</v>
      </c>
      <c r="G14" s="10" t="s">
        <v>171</v>
      </c>
      <c r="H14" s="9" t="s">
        <v>172</v>
      </c>
      <c r="I14" s="9" t="s">
        <v>173</v>
      </c>
      <c r="J14" s="9" t="s">
        <v>174</v>
      </c>
      <c r="K14" s="9" t="s">
        <v>174</v>
      </c>
      <c r="L14" s="9" t="s">
        <v>175</v>
      </c>
      <c r="M14" s="24" t="s">
        <v>176</v>
      </c>
      <c r="N14" s="25" t="s">
        <v>177</v>
      </c>
      <c r="O14" s="134"/>
      <c r="P14" s="134"/>
      <c r="Q14" s="133"/>
    </row>
    <row r="15" spans="1:17" ht="17.25" customHeight="1" x14ac:dyDescent="0.2">
      <c r="A15" s="11">
        <v>33</v>
      </c>
      <c r="B15" s="12"/>
      <c r="C15" s="12"/>
      <c r="D15" s="12">
        <v>2</v>
      </c>
      <c r="E15" s="12"/>
      <c r="F15" s="12">
        <v>4901</v>
      </c>
      <c r="G15" s="12">
        <v>3</v>
      </c>
      <c r="H15" s="13" t="s">
        <v>178</v>
      </c>
      <c r="I15" s="26">
        <v>2</v>
      </c>
      <c r="J15" s="26">
        <v>1</v>
      </c>
      <c r="K15" s="26">
        <v>1</v>
      </c>
      <c r="L15" s="12"/>
      <c r="M15" s="27">
        <v>1</v>
      </c>
      <c r="N15" s="13" t="s">
        <v>179</v>
      </c>
      <c r="O15" s="132" t="s">
        <v>180</v>
      </c>
      <c r="P15" s="132"/>
      <c r="Q15" s="35">
        <v>2039486</v>
      </c>
    </row>
    <row r="16" spans="1:17" ht="17.25" customHeight="1" x14ac:dyDescent="0.2">
      <c r="A16" s="14"/>
      <c r="B16" s="15"/>
      <c r="C16" s="15"/>
      <c r="D16" s="15"/>
      <c r="E16" s="15"/>
      <c r="F16" s="15"/>
      <c r="G16" s="15"/>
      <c r="H16" s="16"/>
      <c r="I16" s="15"/>
      <c r="J16" s="15"/>
      <c r="K16" s="15"/>
      <c r="L16" s="15"/>
      <c r="M16" s="28"/>
      <c r="N16" s="29"/>
      <c r="O16" s="117"/>
      <c r="P16" s="117"/>
      <c r="Q16" s="36"/>
    </row>
    <row r="17" spans="1:19" ht="17.25" customHeight="1" x14ac:dyDescent="0.2">
      <c r="A17" s="14"/>
      <c r="B17" s="15"/>
      <c r="C17" s="15"/>
      <c r="D17" s="15"/>
      <c r="E17" s="15"/>
      <c r="F17" s="17"/>
      <c r="G17" s="15"/>
      <c r="H17" s="16"/>
      <c r="I17" s="15"/>
      <c r="J17" s="15"/>
      <c r="K17" s="15"/>
      <c r="L17" s="15"/>
      <c r="M17" s="28"/>
      <c r="N17" s="29"/>
      <c r="O17" s="117"/>
      <c r="P17" s="117"/>
      <c r="Q17" s="36"/>
      <c r="S17" s="37"/>
    </row>
    <row r="18" spans="1:19" ht="17.25" customHeight="1" x14ac:dyDescent="0.2">
      <c r="A18" s="14"/>
      <c r="B18" s="15"/>
      <c r="C18" s="15"/>
      <c r="D18" s="15"/>
      <c r="E18" s="15"/>
      <c r="F18" s="15"/>
      <c r="G18" s="15"/>
      <c r="H18" s="16"/>
      <c r="I18" s="15"/>
      <c r="J18" s="15"/>
      <c r="K18" s="15"/>
      <c r="L18" s="15"/>
      <c r="M18" s="28"/>
      <c r="N18" s="29"/>
      <c r="O18" s="118"/>
      <c r="P18" s="119"/>
      <c r="Q18" s="36"/>
    </row>
    <row r="19" spans="1:19" ht="17.25" customHeight="1" x14ac:dyDescent="0.2">
      <c r="A19" s="14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28"/>
      <c r="N19" s="17"/>
      <c r="O19" s="119"/>
      <c r="P19" s="119"/>
      <c r="Q19" s="36"/>
    </row>
    <row r="20" spans="1:19" ht="17.25" customHeight="1" x14ac:dyDescent="0.2">
      <c r="A20" s="18"/>
      <c r="B20" s="19"/>
      <c r="C20" s="19"/>
      <c r="D20" s="19"/>
      <c r="E20" s="19"/>
      <c r="F20" s="20"/>
      <c r="G20" s="19"/>
      <c r="H20" s="19"/>
      <c r="I20" s="19"/>
      <c r="J20" s="19"/>
      <c r="K20" s="19"/>
      <c r="L20" s="19"/>
      <c r="M20" s="30"/>
      <c r="N20" s="31"/>
      <c r="O20" s="121"/>
      <c r="P20" s="121"/>
      <c r="Q20" s="36"/>
      <c r="R20" s="23"/>
    </row>
    <row r="21" spans="1:19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32"/>
      <c r="N21" s="22"/>
      <c r="O21" s="122"/>
      <c r="P21" s="122"/>
      <c r="Q21" s="38"/>
    </row>
    <row r="22" spans="1:19" ht="33" customHeight="1" x14ac:dyDescent="0.2">
      <c r="A22" s="148" t="s">
        <v>201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39">
        <f>SUM(Q15:Q21)</f>
        <v>2039486</v>
      </c>
    </row>
    <row r="23" spans="1:19" ht="18" customHeight="1" x14ac:dyDescent="0.2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</row>
    <row r="24" spans="1:19" ht="17.25" customHeight="1" x14ac:dyDescent="0.2">
      <c r="A24" s="124" t="s">
        <v>181</v>
      </c>
      <c r="B24" s="125"/>
      <c r="C24" s="125"/>
      <c r="D24" s="125"/>
      <c r="E24" s="125"/>
      <c r="F24" s="126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9" ht="18" customHeight="1" x14ac:dyDescent="0.2">
      <c r="A25" s="120" t="str">
        <f>"Para la "&amp;NotaPedido!D8&amp;" para ser destinados al "&amp;NotaPedido!D6&amp;"  del HISJB del Ministerio de Salud."</f>
        <v>Para la Adquisición de Alimentos no perecederos para ser destinados al Servicio de Nutricion  del HISJB del Ministerio de Salud.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9" ht="15" customHeight="1" x14ac:dyDescent="0.2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</row>
  </sheetData>
  <mergeCells count="30">
    <mergeCell ref="A1:C1"/>
    <mergeCell ref="D1:E1"/>
    <mergeCell ref="A4:F4"/>
    <mergeCell ref="G4:Q4"/>
    <mergeCell ref="A5:F5"/>
    <mergeCell ref="G5:Q5"/>
    <mergeCell ref="P1:Q2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5:P15"/>
    <mergeCell ref="Q13:Q14"/>
    <mergeCell ref="O13:P14"/>
    <mergeCell ref="O16:P16"/>
    <mergeCell ref="O17:P17"/>
    <mergeCell ref="O18:P18"/>
    <mergeCell ref="O19:P19"/>
    <mergeCell ref="A25:Q26"/>
    <mergeCell ref="O20:P20"/>
    <mergeCell ref="O21:P21"/>
    <mergeCell ref="A22:P22"/>
    <mergeCell ref="A23:Q23"/>
    <mergeCell ref="A24:F24"/>
    <mergeCell ref="G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2021-08-26T12:28:00Z</cp:lastPrinted>
  <dcterms:created xsi:type="dcterms:W3CDTF">2020-07-17T23:44:00Z</dcterms:created>
  <dcterms:modified xsi:type="dcterms:W3CDTF">2022-03-30T15:01:11Z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7F7E96C778DD46138C1E51C59CB5D597</vt:lpwstr>
  </property>
  <property fmtid="{D5CDD505-2E9C-101B-9397-08002B2CF9AE}" pid="9" name="KSOProductBuildVer">
    <vt:lpwstr>1033-11.2.0.10463</vt:lpwstr>
  </property>
</Properties>
</file>