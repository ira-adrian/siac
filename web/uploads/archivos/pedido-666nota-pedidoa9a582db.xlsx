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5° trimestre 2022\PROGRAMACION\ACUERDOS MARCO\DESCARTABLES COMUNES\"/>
    </mc:Choice>
  </mc:AlternateContent>
  <xr:revisionPtr revIDLastSave="0" documentId="13_ncr:1_{E4FB1462-51C3-41BE-B32C-657C101ECCF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Trimestrales'!$A$9:$K$47</definedName>
    <definedName name="_xlnm.Print_Area" localSheetId="0">'Necesidades Trimestrales'!$E$9:$E$47</definedName>
  </definedNames>
  <calcPr calcId="181029"/>
</workbook>
</file>

<file path=xl/calcChain.xml><?xml version="1.0" encoding="utf-8"?>
<calcChain xmlns="http://schemas.openxmlformats.org/spreadsheetml/2006/main">
  <c r="I46" i="1" l="1"/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7" i="1"/>
</calcChain>
</file>

<file path=xl/sharedStrings.xml><?xml version="1.0" encoding="utf-8"?>
<sst xmlns="http://schemas.openxmlformats.org/spreadsheetml/2006/main" count="178" uniqueCount="101">
  <si>
    <t>Pedido de Necesidades Trimestrales</t>
  </si>
  <si>
    <t>JURISDICCION:</t>
  </si>
  <si>
    <t xml:space="preserve">SAF N°: </t>
  </si>
  <si>
    <t>EJERCICIO:</t>
  </si>
  <si>
    <t>TRIMESTRE:</t>
  </si>
  <si>
    <t>ID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</si>
  <si>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</si>
  <si>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</si>
  <si>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</si>
  <si>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</si>
  <si>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</si>
  <si>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</si>
  <si>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</si>
  <si>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040 - Ministerio de Salud</t>
  </si>
  <si>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</si>
  <si>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</si>
  <si>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t>UNIDAD</t>
  </si>
  <si>
    <t>CODIGO ITEM COMPRAR</t>
  </si>
  <si>
    <t>2.9.5-441.319</t>
  </si>
  <si>
    <t>2.9.5-441.469</t>
  </si>
  <si>
    <t>AGUJAS QUIRURGICAS; TIPO: BUTTERFLY, ESPECIFICACION: 27, PRESENTACION: ENVASE ESTERIL</t>
  </si>
  <si>
    <t>AGUJAS QUIRURGICAS; TIPO: BUTTERFLY, ESPECIFICACION: 25G, PRESENTACION: UNIDAD</t>
  </si>
  <si>
    <t>PROD. MEDICO/FARMACEUTICOS/LAB</t>
  </si>
  <si>
    <t>2.9.5-427.31</t>
  </si>
  <si>
    <t>APOSITOS; TIPO: P/SUJECION DE CATETER, TAMAÑO: 10 X 12 Cm</t>
  </si>
  <si>
    <t>2.9.5-427.84</t>
  </si>
  <si>
    <t>APOSITOS; TIPO: P/SUJECION DE CATETER, TAMAÑO: 6 X 7 Cm</t>
  </si>
  <si>
    <t>CATETERES/SONDAS; NUMERO: K-33, TIPO: NASOGASTRICA</t>
  </si>
  <si>
    <t>2.9.5-2161.188</t>
  </si>
  <si>
    <t>CATETERES/SONDAS; NUMERO: K-9, TIPO: NASOGASTRICA</t>
  </si>
  <si>
    <t>CATETERES/SONDAS; NUMERO: K10, TIPO: NASOGASTRICA</t>
  </si>
  <si>
    <t>2.9.5-2161.156</t>
  </si>
  <si>
    <t>2.9.5-2161.179</t>
  </si>
  <si>
    <t>CATETERES/SONDAS; NUMERO: K11, TIPO: NASOGASTRICA</t>
  </si>
  <si>
    <t>2.9.5-2161.157</t>
  </si>
  <si>
    <t>CATETERES/SONDAS; NUMERO: 20, TIPO: RECTAL</t>
  </si>
  <si>
    <t>2.9.5-2161.176</t>
  </si>
  <si>
    <t>CATETERES/SONDAS; NUMERO: 26, TIPO: RECTAL</t>
  </si>
  <si>
    <t>2.9.5-2161.228</t>
  </si>
  <si>
    <t>2.9.5-2505.6</t>
  </si>
  <si>
    <t>BOLSAS COLECTORAS; TIPO: DE ORINA C/DESAGOTE, USO: ADULTO, CAPACIDAD: 2000 mL</t>
  </si>
  <si>
    <t>2.9.5-2205.13</t>
  </si>
  <si>
    <t>CATETERES/SONDAS; NUMERO: 18, TIPO: FOLEY DOBLE VIA</t>
  </si>
  <si>
    <t>2.9.5-2161.222</t>
  </si>
  <si>
    <t>CATETERES/SONDAS; NUMERO: 16, TIPO: FOLEY DOBLE VIA</t>
  </si>
  <si>
    <t>2.9.5-2161.221</t>
  </si>
  <si>
    <t>CATETERES/SONDAS; NUMERO: K93, TIPO: URETRAL</t>
  </si>
  <si>
    <t>2.9.5-2161.158</t>
  </si>
  <si>
    <t>2.9.5-2204.51</t>
  </si>
  <si>
    <t>2.9.5-2204.30</t>
  </si>
  <si>
    <t>GUIAS DE SUERO; USO: ADMINISTRACION DE SOLUCIONES, AGUJA: SIN, MODELO: P/EQUIPO, TIPO: PARA BOMBA INFUSORA</t>
  </si>
  <si>
    <t>2.9.5-2204.55</t>
  </si>
  <si>
    <t>2.9.5-2161.2</t>
  </si>
  <si>
    <t>CATETERES/SONDAS; NUMERO: 16, TIPO: INTRAVENOSO</t>
  </si>
  <si>
    <t>2.9.5-2161.1</t>
  </si>
  <si>
    <t>2.9.5-2161.7</t>
  </si>
  <si>
    <t>2.9.5-2161.10</t>
  </si>
  <si>
    <t>CATETERES/SONDAS; NUMERO: 26 G, TIPO: CANALIZACION</t>
  </si>
  <si>
    <t>2.9.5-2161.412</t>
  </si>
  <si>
    <t>CONECTORES P/MEDICINA; USO: SIST. INYECCION INTERMITENTE, CONECTOR: ESTANDAR</t>
  </si>
  <si>
    <t>2.9.5-2226.33</t>
  </si>
  <si>
    <t>CATÉTER INTRAVENOSO Nº 14; TIPO: INTRAVENOSO/CANALIZACIÓN</t>
  </si>
  <si>
    <t>CATÉTER INTRAVENOSO Nº 18; TIPO: INTRAVENOSO/CANALIZACIÓN</t>
  </si>
  <si>
    <t>CATÉTER INTRAVENOSO Nº 20; TIPO: INTRAVENOSO/CANALIZACIÓN</t>
  </si>
  <si>
    <t>2.9.5-2161.557</t>
  </si>
  <si>
    <t>CATÉTER INTRAVENOSO Nº 24; TIPO: INTRAVENOSO/CANALIZACIÓN</t>
  </si>
  <si>
    <t>GUÍA DE SUERO; USO: ADMINISTRACIÓN FRACC. SANGRE; TIPO: MACROGOTERO Y FILTRO TIPO V-104</t>
  </si>
  <si>
    <t>2.9.5-2204.57</t>
  </si>
  <si>
    <t>GUÍA DE SUERO; USO: ADMINISTRACIÓN DE SOLUCIONES, MODELO CON BURETRA VOLUMÉTRICA; TIPO: MACROGOTERO</t>
  </si>
  <si>
    <t>2.9.5-2204.58</t>
  </si>
  <si>
    <t>GUÍAS DE SUERO; USO: ADMINISTRACIÓN DE SOLUCIONES; AGUJA: SIN; MODELO: V14, TIPO: MACROGOTERO CON ROLLER LUER SLIP</t>
  </si>
  <si>
    <t>2.9.5-2204.42</t>
  </si>
  <si>
    <t>2.9.5-2204.43</t>
  </si>
  <si>
    <t>GUÍAS DE SUERO; USO: PARA TRANFUSIÓN DE PLASMA Y SANGRE; AGUJA: SIN; MODELO: V20; TIPO: CONTÍNUO; CON CONEXIÓN ROLLER LUER SLIP</t>
  </si>
  <si>
    <t>CONECTORES P/MEDICINA; USO: SISTEMA CERRADO P/INYECCIÓN; CONECTOR: CONTROL DE FLUJO PARA VARIAS VÍAS</t>
  </si>
  <si>
    <t>2.9.5-2226.36</t>
  </si>
  <si>
    <t>CATÉTERES/SONDAS; NÚMERO: 16; TIPO: FOLEY DOBLE VÍA, 100% DE SILICONA</t>
  </si>
  <si>
    <t>2.9.5-2161.562</t>
  </si>
  <si>
    <t>CATÉTERES/SONDAS; NÚMERO: 18; TIPO: FOLEY DOBLE VÍA, 100% DE SILICONA</t>
  </si>
  <si>
    <t>2.9.5-2161.563</t>
  </si>
  <si>
    <t>PROLONGADORES P/GUÍA SUERO; USO: ADMINISTRACIÓN DE SOLUCIONES; MODELO: C/LLAVE DE 3 VÍAS ESTERIL 360° LUERLOCK C/PROLONGADOR DE 15CM</t>
  </si>
  <si>
    <t>PROLONGADORES P/GUÍA SUERO; USO: ADMINISTRACIÓN DE SOLUCIONES; MODELO: C/LLAVE DE 3 VÍAS ESTERIL 360° LUERLOCK C/PROLONGADOR DE 30CM</t>
  </si>
  <si>
    <t>2.9.5-2205.33</t>
  </si>
  <si>
    <t>PROLONGADORES P/GUÍA SUERO; USO: ADMINISTRACIÓN DE SOLUCIONES; MODELO: C/LLAVE DE 3 VÍAS ESTERIL 360° LUERLOCK C/PROLONGADOR DE 50CM</t>
  </si>
  <si>
    <t>2.9.5-2205.34</t>
  </si>
  <si>
    <t>GUÍAS DE SUERO; USO: ADMINISTRACIÓN DE SOLUCIONES; AGUJA: CON; MODELO: V17; TIPO: FOTOSENSIBLE; MICROGOTERO CON CONEXIÓN ROLLER LUER SLIP</t>
  </si>
  <si>
    <t>GUÍAS DE SUERO; USO: ADMINISTRACIÓN DE SOLUCIONES; AGUJA: SIN; MODELO: V17, TIPO: MICROGOTERO CON ROLLER LUER SLIP</t>
  </si>
  <si>
    <t>2.9.5-2161.187</t>
  </si>
  <si>
    <t>CATETERES/SONDAS; NUMERO: K-35, TIPO: NASOGASTRICA PARA PREMATUROS</t>
  </si>
  <si>
    <t>ASPIRADORES MEDICOS; TIPO: MANUAL, CAPACIDAD: 60 CM3, USO: ENDOUTERINO</t>
  </si>
  <si>
    <t>2.9.5-6752.8</t>
  </si>
  <si>
    <t>CATETERES/SONDAS; NUMERO: K30, TIPO: NASOGASTRICA</t>
  </si>
  <si>
    <t>2.9.5-2161.155</t>
  </si>
  <si>
    <t>CATÉTERES/SONDAS; NÚMERO: K31; TIPO: NASOGÁSTRICA</t>
  </si>
  <si>
    <t>2.9.5-2161.198</t>
  </si>
  <si>
    <t>28- Maternidad Provincial 25 de Mayo</t>
  </si>
  <si>
    <r>
      <rPr>
        <u/>
        <sz val="10"/>
        <rFont val="Times New Roman"/>
        <family val="1"/>
      </rPr>
      <t xml:space="preserve">Lugar de Entrega: </t>
    </r>
    <r>
      <rPr>
        <b/>
        <u/>
        <sz val="11"/>
        <rFont val="Times New Roman"/>
        <family val="1"/>
      </rPr>
      <t>SERVICIO DE FARMACIA</t>
    </r>
    <r>
      <rPr>
        <b/>
        <sz val="11"/>
        <rFont val="Times New Roman"/>
        <family val="1"/>
      </rPr>
      <t xml:space="preserve"> DE 08:00 A 13:00HS.,HERNANDO DE PEDRAZA 1650- DEBIENDO CORRER LOS GASTOS DE FLETES, ACARREO, CARGA, DESCARGA Y SEGURO A CARGO DEL ADJUDICATARIO.</t>
    </r>
  </si>
  <si>
    <t>Especificidades Ítem 18: GUIA UNIVERSAL TIPO MP 1000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</si>
  <si>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>10 dias habiles desde la Solicitud de Provision.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</si>
  <si>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10 DIAS HABILES desde la Solicitud de Provision</t>
    </r>
  </si>
  <si>
    <t xml:space="preserve">Especificidades Ítem1 al 38: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</si>
</sst>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-* #,##0.00&quot; €&quot;_-;\-* #,##0.00&quot; €&quot;_-;_-* \-??&quot; €&quot;_-;_-@_-"/>
    <numFmt numFmtId="166" formatCode="&quot;$&quot;\ #,##0.00"/>
  </numFmts>
  <fonts count="2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sz val="10"/>
      <color rgb="FF000000"/>
      <name val="Arial"/>
      <family val="2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165" fontId="3" fillId="0" borderId="0" applyBorder="0" applyProtection="0"/>
    <xf numFmtId="0" fontId="1" fillId="0" borderId="1" applyProtection="0"/>
    <xf numFmtId="0" fontId="2" fillId="2" borderId="0" applyBorder="0" applyProtection="0"/>
    <xf numFmtId="0" fontId="3" fillId="0" borderId="0"/>
    <xf numFmtId="0" fontId="3" fillId="0" borderId="0"/>
    <xf numFmtId="0" fontId="3" fillId="0" borderId="0"/>
    <xf numFmtId="0" fontId="16" fillId="0" borderId="0"/>
  </cellStyleXfs>
  <cellXfs count="58">
    <xf numFmtId="0" fontId="0" fillId="0" borderId="0" xfId="0"/>
    <xf numFmtId="0" fontId="11" fillId="4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0" fontId="4" fillId="3" borderId="0" xfId="0" applyFont="1" applyFill="1"/>
    <xf numFmtId="0" fontId="7" fillId="3" borderId="0" xfId="0" applyFont="1" applyFill="1" applyAlignment="1">
      <alignment horizontal="left" wrapText="1"/>
    </xf>
    <xf numFmtId="0" fontId="7" fillId="3" borderId="0" xfId="0" applyFont="1" applyFill="1" applyAlignment="1">
      <alignment horizontal="center" wrapText="1"/>
    </xf>
    <xf numFmtId="0" fontId="4" fillId="3" borderId="3" xfId="0" applyFont="1" applyFill="1" applyBorder="1"/>
    <xf numFmtId="0" fontId="4" fillId="3" borderId="4" xfId="0" applyFont="1" applyFill="1" applyBorder="1"/>
    <xf numFmtId="0" fontId="4" fillId="3" borderId="0" xfId="0" applyFont="1" applyFill="1" applyAlignment="1">
      <alignment horizontal="center" vertical="center"/>
    </xf>
    <xf numFmtId="166" fontId="9" fillId="3" borderId="0" xfId="0" applyNumberFormat="1" applyFont="1" applyFill="1"/>
    <xf numFmtId="166" fontId="9" fillId="3" borderId="0" xfId="0" applyNumberFormat="1" applyFont="1" applyFill="1" applyAlignment="1">
      <alignment horizontal="center" vertical="center"/>
    </xf>
    <xf numFmtId="0" fontId="10" fillId="3" borderId="7" xfId="0" applyFont="1" applyFill="1" applyBorder="1"/>
    <xf numFmtId="164" fontId="4" fillId="3" borderId="0" xfId="0" applyNumberFormat="1" applyFont="1" applyFill="1"/>
    <xf numFmtId="0" fontId="4" fillId="3" borderId="0" xfId="0" applyFont="1" applyFill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8" xfId="0" applyFont="1" applyFill="1" applyBorder="1"/>
    <xf numFmtId="0" fontId="4" fillId="3" borderId="9" xfId="0" applyFont="1" applyFill="1" applyBorder="1"/>
    <xf numFmtId="0" fontId="4" fillId="3" borderId="0" xfId="0" applyFont="1" applyFill="1" applyAlignment="1">
      <alignment vertical="center"/>
    </xf>
    <xf numFmtId="0" fontId="14" fillId="0" borderId="5" xfId="6" applyFont="1" applyBorder="1" applyAlignment="1">
      <alignment horizontal="left" vertical="center"/>
    </xf>
    <xf numFmtId="0" fontId="12" fillId="3" borderId="10" xfId="0" applyFont="1" applyFill="1" applyBorder="1" applyAlignment="1">
      <alignment horizontal="center" vertical="center" wrapText="1"/>
    </xf>
    <xf numFmtId="164" fontId="12" fillId="3" borderId="10" xfId="0" applyNumberFormat="1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13" fillId="3" borderId="10" xfId="0" applyFont="1" applyFill="1" applyBorder="1" applyAlignment="1">
      <alignment horizontal="center" vertical="center" wrapText="1"/>
    </xf>
    <xf numFmtId="3" fontId="3" fillId="3" borderId="10" xfId="0" applyNumberFormat="1" applyFont="1" applyFill="1" applyBorder="1" applyAlignment="1">
      <alignment horizontal="center" vertical="center"/>
    </xf>
    <xf numFmtId="44" fontId="3" fillId="3" borderId="10" xfId="1" applyNumberFormat="1" applyFill="1" applyBorder="1" applyAlignment="1">
      <alignment horizontal="center" vertical="center"/>
    </xf>
    <xf numFmtId="164" fontId="3" fillId="4" borderId="10" xfId="1" applyNumberFormat="1" applyFill="1" applyBorder="1" applyAlignment="1" applyProtection="1">
      <alignment horizontal="center" vertical="center" wrapText="1"/>
    </xf>
    <xf numFmtId="0" fontId="0" fillId="3" borderId="10" xfId="0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10" fillId="3" borderId="0" xfId="0" applyFont="1" applyFill="1"/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4" fillId="3" borderId="5" xfId="5" applyFont="1" applyFill="1" applyBorder="1" applyAlignment="1">
      <alignment horizontal="left" wrapText="1"/>
    </xf>
    <xf numFmtId="0" fontId="4" fillId="3" borderId="0" xfId="5" applyFont="1" applyFill="1" applyAlignment="1">
      <alignment horizontal="left" wrapText="1"/>
    </xf>
    <xf numFmtId="0" fontId="4" fillId="3" borderId="6" xfId="5" applyFont="1" applyFill="1" applyBorder="1" applyAlignment="1">
      <alignment horizontal="left" wrapText="1"/>
    </xf>
    <xf numFmtId="0" fontId="10" fillId="3" borderId="5" xfId="0" applyFont="1" applyFill="1" applyBorder="1"/>
    <xf numFmtId="0" fontId="4" fillId="3" borderId="6" xfId="0" applyFont="1" applyFill="1" applyBorder="1"/>
    <xf numFmtId="0" fontId="4" fillId="3" borderId="5" xfId="5" applyFont="1" applyFill="1" applyBorder="1" applyAlignment="1">
      <alignment horizontal="left" wrapText="1"/>
    </xf>
    <xf numFmtId="0" fontId="4" fillId="3" borderId="0" xfId="5" applyFont="1" applyFill="1" applyAlignment="1">
      <alignment horizontal="left" wrapText="1"/>
    </xf>
    <xf numFmtId="0" fontId="4" fillId="3" borderId="6" xfId="5" applyFont="1" applyFill="1" applyBorder="1" applyAlignment="1">
      <alignment horizontal="left" wrapText="1"/>
    </xf>
    <xf numFmtId="0" fontId="6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/>
    </xf>
    <xf numFmtId="0" fontId="11" fillId="4" borderId="0" xfId="0" applyFont="1" applyFill="1" applyAlignment="1">
      <alignment horizontal="left" wrapText="1" inden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9" fillId="3" borderId="2" xfId="0" applyFont="1" applyFill="1" applyBorder="1"/>
    <xf numFmtId="0" fontId="20" fillId="3" borderId="3" xfId="0" applyFont="1" applyFill="1" applyBorder="1"/>
  </cellXfs>
  <cellStyles count="8">
    <cellStyle name="Encabezado 1" xfId="2" xr:uid="{00000000-0005-0000-0000-000000000000}"/>
    <cellStyle name="Moneda" xfId="1" builtinId="4"/>
    <cellStyle name="Neutral 1" xfId="3" xr:uid="{00000000-0005-0000-0000-000003000000}"/>
    <cellStyle name="Normal" xfId="0" builtinId="0"/>
    <cellStyle name="Normal 2" xfId="4" xr:uid="{00000000-0005-0000-0000-000005000000}"/>
    <cellStyle name="Normal 2 2" xfId="6" xr:uid="{00000000-0005-0000-0000-000006000000}"/>
    <cellStyle name="Normal 2 3" xfId="5" xr:uid="{00000000-0005-0000-0000-000007000000}"/>
    <cellStyle name="Normal 3" xfId="7" xr:uid="{00000000-0005-0000-0000-000008000000}"/>
  </cellStyles>
  <dxfs count="8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68"/>
  <sheetViews>
    <sheetView tabSelected="1" zoomScale="64" zoomScaleNormal="64" workbookViewId="0">
      <selection activeCell="K60" sqref="K60"/>
    </sheetView>
  </sheetViews>
  <sheetFormatPr baseColWidth="10" defaultColWidth="11" defaultRowHeight="12.75" x14ac:dyDescent="0.2"/>
  <cols>
    <col min="1" max="1" width="4.5703125" style="3" customWidth="1"/>
    <col min="2" max="2" width="16.7109375" style="3" customWidth="1"/>
    <col min="3" max="3" width="35.7109375" style="3" customWidth="1"/>
    <col min="4" max="4" width="8.7109375" style="3" customWidth="1"/>
    <col min="5" max="5" width="93.42578125" style="3" customWidth="1"/>
    <col min="6" max="6" width="11" style="3"/>
    <col min="7" max="7" width="10.42578125" style="3" bestFit="1" customWidth="1"/>
    <col min="8" max="8" width="15.7109375" style="3" customWidth="1"/>
    <col min="9" max="9" width="18.5703125" style="12" customWidth="1"/>
    <col min="10" max="10" width="31.42578125" style="3" customWidth="1"/>
    <col min="11" max="11" width="20.28515625" style="3" customWidth="1"/>
    <col min="12" max="16384" width="11" style="3"/>
  </cols>
  <sheetData>
    <row r="2" spans="1:11" ht="27" x14ac:dyDescent="0.35">
      <c r="B2" s="48" t="s">
        <v>0</v>
      </c>
      <c r="C2" s="48"/>
      <c r="D2" s="48"/>
      <c r="E2" s="48"/>
      <c r="F2" s="48"/>
      <c r="G2" s="48"/>
      <c r="H2" s="48"/>
    </row>
    <row r="3" spans="1:11" ht="12" customHeight="1" x14ac:dyDescent="0.2"/>
    <row r="4" spans="1:11" ht="18" customHeight="1" x14ac:dyDescent="0.25">
      <c r="A4" s="47" t="s">
        <v>1</v>
      </c>
      <c r="B4" s="47"/>
      <c r="C4" s="49" t="s">
        <v>13</v>
      </c>
      <c r="D4" s="49"/>
      <c r="E4" s="49"/>
      <c r="F4" s="4"/>
      <c r="G4" s="5"/>
      <c r="H4" s="4"/>
    </row>
    <row r="5" spans="1:11" ht="18" customHeight="1" x14ac:dyDescent="0.25">
      <c r="A5" s="47" t="s">
        <v>2</v>
      </c>
      <c r="B5" s="47"/>
      <c r="C5" s="49" t="s">
        <v>95</v>
      </c>
      <c r="D5" s="49"/>
      <c r="E5" s="49"/>
      <c r="F5" s="4"/>
      <c r="G5" s="5"/>
      <c r="H5" s="4"/>
    </row>
    <row r="6" spans="1:11" ht="16.5" customHeight="1" x14ac:dyDescent="0.25">
      <c r="A6" s="47" t="s">
        <v>3</v>
      </c>
      <c r="B6" s="47"/>
      <c r="C6" s="1">
        <v>2023</v>
      </c>
      <c r="D6" s="2"/>
      <c r="E6" s="2"/>
      <c r="F6" s="4"/>
      <c r="G6" s="5"/>
      <c r="H6" s="4"/>
    </row>
    <row r="7" spans="1:11" ht="16.5" customHeight="1" x14ac:dyDescent="0.25">
      <c r="A7" s="47" t="s">
        <v>4</v>
      </c>
      <c r="B7" s="47"/>
      <c r="C7" s="1">
        <v>1</v>
      </c>
      <c r="D7" s="2"/>
      <c r="E7" s="2"/>
      <c r="F7" s="4"/>
      <c r="G7" s="5"/>
      <c r="H7" s="4"/>
    </row>
    <row r="8" spans="1:11" ht="13.5" thickBot="1" x14ac:dyDescent="0.25">
      <c r="B8" s="4"/>
      <c r="C8" s="5"/>
      <c r="D8" s="4"/>
      <c r="E8" s="4"/>
      <c r="F8" s="4"/>
      <c r="G8" s="5"/>
      <c r="H8" s="4"/>
    </row>
    <row r="9" spans="1:11" ht="39" thickBot="1" x14ac:dyDescent="0.25">
      <c r="A9" s="19" t="s">
        <v>5</v>
      </c>
      <c r="B9" s="19" t="s">
        <v>17</v>
      </c>
      <c r="C9" s="19" t="s">
        <v>6</v>
      </c>
      <c r="D9" s="19" t="s">
        <v>7</v>
      </c>
      <c r="E9" s="19" t="s">
        <v>8</v>
      </c>
      <c r="F9" s="19" t="s">
        <v>9</v>
      </c>
      <c r="G9" s="19" t="s">
        <v>10</v>
      </c>
      <c r="H9" s="19" t="s">
        <v>11</v>
      </c>
      <c r="I9" s="20" t="s">
        <v>12</v>
      </c>
    </row>
    <row r="10" spans="1:11" ht="24.95" customHeight="1" thickBot="1" x14ac:dyDescent="0.25">
      <c r="A10" s="21">
        <v>1</v>
      </c>
      <c r="B10" s="22" t="s">
        <v>18</v>
      </c>
      <c r="C10" s="23" t="s">
        <v>22</v>
      </c>
      <c r="D10" s="24">
        <v>295</v>
      </c>
      <c r="E10" s="23" t="s">
        <v>21</v>
      </c>
      <c r="F10" s="21" t="s">
        <v>16</v>
      </c>
      <c r="G10" s="25">
        <v>60</v>
      </c>
      <c r="H10" s="26">
        <v>13</v>
      </c>
      <c r="I10" s="27">
        <f t="shared" ref="I10:I47" si="0">+G10*H10</f>
        <v>780</v>
      </c>
    </row>
    <row r="11" spans="1:11" ht="24.95" customHeight="1" thickBot="1" x14ac:dyDescent="0.25">
      <c r="A11" s="21">
        <v>2</v>
      </c>
      <c r="B11" s="22" t="s">
        <v>19</v>
      </c>
      <c r="C11" s="23" t="s">
        <v>22</v>
      </c>
      <c r="D11" s="24">
        <v>295</v>
      </c>
      <c r="E11" s="22" t="s">
        <v>20</v>
      </c>
      <c r="F11" s="21" t="s">
        <v>16</v>
      </c>
      <c r="G11" s="25">
        <v>60</v>
      </c>
      <c r="H11" s="26">
        <v>13</v>
      </c>
      <c r="I11" s="27">
        <f t="shared" si="0"/>
        <v>780</v>
      </c>
    </row>
    <row r="12" spans="1:11" ht="24.95" customHeight="1" thickBot="1" x14ac:dyDescent="0.25">
      <c r="A12" s="21">
        <v>3</v>
      </c>
      <c r="B12" s="22" t="s">
        <v>23</v>
      </c>
      <c r="C12" s="23" t="s">
        <v>22</v>
      </c>
      <c r="D12" s="24">
        <v>295</v>
      </c>
      <c r="E12" s="22" t="s">
        <v>24</v>
      </c>
      <c r="F12" s="21" t="s">
        <v>16</v>
      </c>
      <c r="G12" s="25">
        <v>200</v>
      </c>
      <c r="H12" s="26">
        <v>67</v>
      </c>
      <c r="I12" s="27">
        <f t="shared" si="0"/>
        <v>13400</v>
      </c>
    </row>
    <row r="13" spans="1:11" ht="24.95" customHeight="1" thickBot="1" x14ac:dyDescent="0.25">
      <c r="A13" s="21">
        <v>4</v>
      </c>
      <c r="B13" s="22" t="s">
        <v>25</v>
      </c>
      <c r="C13" s="23" t="s">
        <v>22</v>
      </c>
      <c r="D13" s="24">
        <v>295</v>
      </c>
      <c r="E13" s="22" t="s">
        <v>26</v>
      </c>
      <c r="F13" s="21" t="s">
        <v>16</v>
      </c>
      <c r="G13" s="25">
        <v>250</v>
      </c>
      <c r="H13" s="26">
        <v>37.5</v>
      </c>
      <c r="I13" s="27">
        <f t="shared" si="0"/>
        <v>9375</v>
      </c>
    </row>
    <row r="14" spans="1:11" ht="24.95" customHeight="1" thickBot="1" x14ac:dyDescent="0.25">
      <c r="A14" s="21">
        <v>5</v>
      </c>
      <c r="B14" s="22" t="s">
        <v>39</v>
      </c>
      <c r="C14" s="23" t="s">
        <v>22</v>
      </c>
      <c r="D14" s="24">
        <v>295</v>
      </c>
      <c r="E14" s="22" t="s">
        <v>40</v>
      </c>
      <c r="F14" s="21" t="s">
        <v>16</v>
      </c>
      <c r="G14" s="25">
        <v>200</v>
      </c>
      <c r="H14" s="26">
        <v>75</v>
      </c>
      <c r="I14" s="27">
        <f t="shared" si="0"/>
        <v>15000</v>
      </c>
    </row>
    <row r="15" spans="1:11" ht="24.95" customHeight="1" thickBot="1" x14ac:dyDescent="0.25">
      <c r="A15" s="21">
        <v>6</v>
      </c>
      <c r="B15" s="28" t="s">
        <v>55</v>
      </c>
      <c r="C15" s="23" t="s">
        <v>22</v>
      </c>
      <c r="D15" s="24">
        <v>295</v>
      </c>
      <c r="E15" s="22" t="s">
        <v>61</v>
      </c>
      <c r="F15" s="21" t="s">
        <v>16</v>
      </c>
      <c r="G15" s="25">
        <v>50</v>
      </c>
      <c r="H15" s="26">
        <v>120</v>
      </c>
      <c r="I15" s="27">
        <f t="shared" si="0"/>
        <v>6000</v>
      </c>
      <c r="J15" s="17"/>
      <c r="K15" s="17"/>
    </row>
    <row r="16" spans="1:11" ht="24.95" customHeight="1" thickBot="1" x14ac:dyDescent="0.25">
      <c r="A16" s="21">
        <v>7</v>
      </c>
      <c r="B16" s="28" t="s">
        <v>54</v>
      </c>
      <c r="C16" s="23" t="s">
        <v>22</v>
      </c>
      <c r="D16" s="24">
        <v>295</v>
      </c>
      <c r="E16" s="28" t="s">
        <v>53</v>
      </c>
      <c r="F16" s="21" t="s">
        <v>16</v>
      </c>
      <c r="G16" s="25">
        <v>60</v>
      </c>
      <c r="H16" s="26">
        <v>120</v>
      </c>
      <c r="I16" s="27">
        <f t="shared" si="0"/>
        <v>7200</v>
      </c>
      <c r="J16" s="17"/>
      <c r="K16" s="17"/>
    </row>
    <row r="17" spans="1:11" ht="24.95" customHeight="1" thickBot="1" x14ac:dyDescent="0.25">
      <c r="A17" s="21">
        <v>8</v>
      </c>
      <c r="B17" s="28" t="s">
        <v>52</v>
      </c>
      <c r="C17" s="23" t="s">
        <v>22</v>
      </c>
      <c r="D17" s="24">
        <v>295</v>
      </c>
      <c r="E17" s="22" t="s">
        <v>62</v>
      </c>
      <c r="F17" s="21" t="s">
        <v>16</v>
      </c>
      <c r="G17" s="25">
        <v>2600</v>
      </c>
      <c r="H17" s="26">
        <v>120</v>
      </c>
      <c r="I17" s="27">
        <f t="shared" si="0"/>
        <v>312000</v>
      </c>
      <c r="J17" s="17"/>
      <c r="K17" s="17"/>
    </row>
    <row r="18" spans="1:11" ht="33" customHeight="1" thickBot="1" x14ac:dyDescent="0.25">
      <c r="A18" s="21">
        <v>9</v>
      </c>
      <c r="B18" s="22" t="s">
        <v>64</v>
      </c>
      <c r="C18" s="23" t="s">
        <v>22</v>
      </c>
      <c r="D18" s="24">
        <v>295</v>
      </c>
      <c r="E18" s="22" t="s">
        <v>63</v>
      </c>
      <c r="F18" s="21" t="s">
        <v>16</v>
      </c>
      <c r="G18" s="25">
        <v>1200</v>
      </c>
      <c r="H18" s="26">
        <v>120</v>
      </c>
      <c r="I18" s="27">
        <f t="shared" si="0"/>
        <v>144000</v>
      </c>
      <c r="J18" s="50"/>
      <c r="K18" s="50"/>
    </row>
    <row r="19" spans="1:11" ht="24.95" customHeight="1" thickBot="1" x14ac:dyDescent="0.25">
      <c r="A19" s="21">
        <v>10</v>
      </c>
      <c r="B19" s="22" t="s">
        <v>56</v>
      </c>
      <c r="C19" s="23" t="s">
        <v>22</v>
      </c>
      <c r="D19" s="24">
        <v>295</v>
      </c>
      <c r="E19" s="22" t="s">
        <v>65</v>
      </c>
      <c r="F19" s="21" t="s">
        <v>16</v>
      </c>
      <c r="G19" s="25">
        <v>2000</v>
      </c>
      <c r="H19" s="26">
        <v>120</v>
      </c>
      <c r="I19" s="27">
        <f t="shared" si="0"/>
        <v>240000</v>
      </c>
      <c r="J19" s="17"/>
      <c r="K19" s="17"/>
    </row>
    <row r="20" spans="1:11" ht="30.75" customHeight="1" thickBot="1" x14ac:dyDescent="0.25">
      <c r="A20" s="21">
        <v>11</v>
      </c>
      <c r="B20" s="28" t="s">
        <v>58</v>
      </c>
      <c r="C20" s="23" t="s">
        <v>22</v>
      </c>
      <c r="D20" s="24">
        <v>295</v>
      </c>
      <c r="E20" s="29" t="s">
        <v>57</v>
      </c>
      <c r="F20" s="21" t="s">
        <v>16</v>
      </c>
      <c r="G20" s="25">
        <v>750</v>
      </c>
      <c r="H20" s="26">
        <v>95</v>
      </c>
      <c r="I20" s="27">
        <f t="shared" si="0"/>
        <v>71250</v>
      </c>
      <c r="J20" s="50"/>
      <c r="K20" s="50"/>
    </row>
    <row r="21" spans="1:11" ht="40.5" customHeight="1" thickBot="1" x14ac:dyDescent="0.25">
      <c r="A21" s="21">
        <v>12</v>
      </c>
      <c r="B21" s="29" t="s">
        <v>67</v>
      </c>
      <c r="C21" s="30" t="s">
        <v>22</v>
      </c>
      <c r="D21" s="24">
        <v>295</v>
      </c>
      <c r="E21" s="30" t="s">
        <v>66</v>
      </c>
      <c r="F21" s="21" t="s">
        <v>16</v>
      </c>
      <c r="G21" s="25">
        <v>250</v>
      </c>
      <c r="H21" s="26">
        <v>2500</v>
      </c>
      <c r="I21" s="27">
        <f t="shared" si="0"/>
        <v>625000</v>
      </c>
    </row>
    <row r="22" spans="1:11" ht="39" customHeight="1" thickBot="1" x14ac:dyDescent="0.25">
      <c r="A22" s="21">
        <v>13</v>
      </c>
      <c r="B22" s="31" t="s">
        <v>69</v>
      </c>
      <c r="C22" s="30" t="s">
        <v>22</v>
      </c>
      <c r="D22" s="24">
        <v>295</v>
      </c>
      <c r="E22" s="31" t="s">
        <v>68</v>
      </c>
      <c r="F22" s="21" t="s">
        <v>16</v>
      </c>
      <c r="G22" s="25">
        <v>200</v>
      </c>
      <c r="H22" s="26">
        <v>1350</v>
      </c>
      <c r="I22" s="27">
        <f t="shared" si="0"/>
        <v>270000</v>
      </c>
    </row>
    <row r="23" spans="1:11" ht="34.5" customHeight="1" thickBot="1" x14ac:dyDescent="0.25">
      <c r="A23" s="21">
        <v>14</v>
      </c>
      <c r="B23" s="22" t="s">
        <v>71</v>
      </c>
      <c r="C23" s="23" t="s">
        <v>22</v>
      </c>
      <c r="D23" s="24">
        <v>295</v>
      </c>
      <c r="E23" s="32" t="s">
        <v>70</v>
      </c>
      <c r="F23" s="21" t="s">
        <v>16</v>
      </c>
      <c r="G23" s="25">
        <v>2600</v>
      </c>
      <c r="H23" s="26">
        <v>65</v>
      </c>
      <c r="I23" s="27">
        <f t="shared" si="0"/>
        <v>169000</v>
      </c>
      <c r="J23" s="52"/>
      <c r="K23" s="53"/>
    </row>
    <row r="24" spans="1:11" ht="36.75" customHeight="1" thickBot="1" x14ac:dyDescent="0.25">
      <c r="A24" s="21">
        <v>15</v>
      </c>
      <c r="B24" s="29" t="s">
        <v>72</v>
      </c>
      <c r="C24" s="30" t="s">
        <v>22</v>
      </c>
      <c r="D24" s="24">
        <v>295</v>
      </c>
      <c r="E24" s="32" t="s">
        <v>86</v>
      </c>
      <c r="F24" s="21" t="s">
        <v>16</v>
      </c>
      <c r="G24" s="25">
        <v>300</v>
      </c>
      <c r="H24" s="26">
        <v>59</v>
      </c>
      <c r="I24" s="27">
        <f t="shared" si="0"/>
        <v>17700</v>
      </c>
      <c r="J24" s="53"/>
      <c r="K24" s="53"/>
    </row>
    <row r="25" spans="1:11" ht="37.5" customHeight="1" thickBot="1" x14ac:dyDescent="0.25">
      <c r="A25" s="21">
        <v>16</v>
      </c>
      <c r="B25" s="29" t="s">
        <v>48</v>
      </c>
      <c r="C25" s="23" t="s">
        <v>22</v>
      </c>
      <c r="D25" s="24">
        <v>295</v>
      </c>
      <c r="E25" s="31" t="s">
        <v>85</v>
      </c>
      <c r="F25" s="21" t="s">
        <v>16</v>
      </c>
      <c r="G25" s="25">
        <v>100</v>
      </c>
      <c r="H25" s="26">
        <v>186</v>
      </c>
      <c r="I25" s="27">
        <f t="shared" si="0"/>
        <v>18600</v>
      </c>
      <c r="J25" s="54"/>
      <c r="K25" s="54"/>
    </row>
    <row r="26" spans="1:11" ht="36.75" customHeight="1" thickBot="1" x14ac:dyDescent="0.25">
      <c r="A26" s="21">
        <v>17</v>
      </c>
      <c r="B26" s="28" t="s">
        <v>49</v>
      </c>
      <c r="C26" s="23" t="s">
        <v>22</v>
      </c>
      <c r="D26" s="24">
        <v>295</v>
      </c>
      <c r="E26" s="32" t="s">
        <v>73</v>
      </c>
      <c r="F26" s="21" t="s">
        <v>16</v>
      </c>
      <c r="G26" s="25">
        <v>250</v>
      </c>
      <c r="H26" s="26">
        <v>730</v>
      </c>
      <c r="I26" s="27">
        <f t="shared" si="0"/>
        <v>182500</v>
      </c>
      <c r="J26" s="54"/>
      <c r="K26" s="54"/>
    </row>
    <row r="27" spans="1:11" ht="30.75" customHeight="1" thickBot="1" x14ac:dyDescent="0.25">
      <c r="A27" s="21">
        <v>18</v>
      </c>
      <c r="B27" s="28" t="s">
        <v>51</v>
      </c>
      <c r="C27" s="30" t="s">
        <v>22</v>
      </c>
      <c r="D27" s="24">
        <v>295</v>
      </c>
      <c r="E27" s="30" t="s">
        <v>50</v>
      </c>
      <c r="F27" s="21" t="s">
        <v>16</v>
      </c>
      <c r="G27" s="25">
        <v>300</v>
      </c>
      <c r="H27" s="26">
        <v>350</v>
      </c>
      <c r="I27" s="27">
        <f t="shared" si="0"/>
        <v>105000</v>
      </c>
      <c r="J27" s="55"/>
      <c r="K27" s="55"/>
    </row>
    <row r="28" spans="1:11" ht="31.5" customHeight="1" thickBot="1" x14ac:dyDescent="0.25">
      <c r="A28" s="21">
        <v>19</v>
      </c>
      <c r="B28" s="28" t="s">
        <v>41</v>
      </c>
      <c r="C28" s="30" t="s">
        <v>22</v>
      </c>
      <c r="D28" s="24">
        <v>295</v>
      </c>
      <c r="E28" s="31" t="s">
        <v>80</v>
      </c>
      <c r="F28" s="21" t="s">
        <v>16</v>
      </c>
      <c r="G28" s="25">
        <v>300</v>
      </c>
      <c r="H28" s="26">
        <v>85</v>
      </c>
      <c r="I28" s="27">
        <f t="shared" si="0"/>
        <v>25500</v>
      </c>
      <c r="J28" s="17"/>
    </row>
    <row r="29" spans="1:11" ht="30.75" customHeight="1" thickBot="1" x14ac:dyDescent="0.25">
      <c r="A29" s="21">
        <v>20</v>
      </c>
      <c r="B29" s="28" t="s">
        <v>82</v>
      </c>
      <c r="C29" s="23" t="s">
        <v>22</v>
      </c>
      <c r="D29" s="24">
        <v>295</v>
      </c>
      <c r="E29" s="32" t="s">
        <v>81</v>
      </c>
      <c r="F29" s="21" t="s">
        <v>16</v>
      </c>
      <c r="G29" s="25">
        <v>300</v>
      </c>
      <c r="H29" s="26">
        <v>85</v>
      </c>
      <c r="I29" s="27">
        <f t="shared" si="0"/>
        <v>25500</v>
      </c>
      <c r="J29" s="17"/>
    </row>
    <row r="30" spans="1:11" ht="36.75" customHeight="1" thickBot="1" x14ac:dyDescent="0.25">
      <c r="A30" s="21">
        <v>21</v>
      </c>
      <c r="B30" s="28" t="s">
        <v>84</v>
      </c>
      <c r="C30" s="23" t="s">
        <v>22</v>
      </c>
      <c r="D30" s="24">
        <v>295</v>
      </c>
      <c r="E30" s="32" t="s">
        <v>83</v>
      </c>
      <c r="F30" s="21" t="s">
        <v>16</v>
      </c>
      <c r="G30" s="25">
        <v>300</v>
      </c>
      <c r="H30" s="26">
        <v>85</v>
      </c>
      <c r="I30" s="27">
        <f t="shared" si="0"/>
        <v>25500</v>
      </c>
      <c r="J30" s="17"/>
    </row>
    <row r="31" spans="1:11" ht="31.5" customHeight="1" thickBot="1" x14ac:dyDescent="0.25">
      <c r="A31" s="21">
        <v>22</v>
      </c>
      <c r="B31" s="31" t="s">
        <v>75</v>
      </c>
      <c r="C31" s="30" t="s">
        <v>22</v>
      </c>
      <c r="D31" s="24">
        <v>295</v>
      </c>
      <c r="E31" s="32" t="s">
        <v>74</v>
      </c>
      <c r="F31" s="33" t="s">
        <v>16</v>
      </c>
      <c r="G31" s="25">
        <v>1000</v>
      </c>
      <c r="H31" s="26">
        <v>55</v>
      </c>
      <c r="I31" s="27">
        <f t="shared" si="0"/>
        <v>55000</v>
      </c>
    </row>
    <row r="32" spans="1:11" ht="24.95" customHeight="1" thickBot="1" x14ac:dyDescent="0.25">
      <c r="A32" s="21">
        <v>23</v>
      </c>
      <c r="B32" s="29" t="s">
        <v>77</v>
      </c>
      <c r="C32" s="23" t="s">
        <v>22</v>
      </c>
      <c r="D32" s="24">
        <v>295</v>
      </c>
      <c r="E32" s="34" t="s">
        <v>76</v>
      </c>
      <c r="F32" s="21" t="s">
        <v>16</v>
      </c>
      <c r="G32" s="25">
        <v>50</v>
      </c>
      <c r="H32" s="26">
        <v>460</v>
      </c>
      <c r="I32" s="27">
        <f t="shared" si="0"/>
        <v>23000</v>
      </c>
    </row>
    <row r="33" spans="1:11" ht="24.95" customHeight="1" thickBot="1" x14ac:dyDescent="0.25">
      <c r="A33" s="21">
        <v>24</v>
      </c>
      <c r="B33" s="29" t="s">
        <v>79</v>
      </c>
      <c r="C33" s="23" t="s">
        <v>22</v>
      </c>
      <c r="D33" s="24">
        <v>295</v>
      </c>
      <c r="E33" s="34" t="s">
        <v>78</v>
      </c>
      <c r="F33" s="21" t="s">
        <v>16</v>
      </c>
      <c r="G33" s="25">
        <v>50</v>
      </c>
      <c r="H33" s="26">
        <v>460</v>
      </c>
      <c r="I33" s="27">
        <f t="shared" si="0"/>
        <v>23000</v>
      </c>
    </row>
    <row r="34" spans="1:11" ht="24.95" customHeight="1" thickBot="1" x14ac:dyDescent="0.25">
      <c r="A34" s="21">
        <v>25</v>
      </c>
      <c r="B34" s="28" t="s">
        <v>45</v>
      </c>
      <c r="C34" s="23" t="s">
        <v>22</v>
      </c>
      <c r="D34" s="24">
        <v>295</v>
      </c>
      <c r="E34" s="22" t="s">
        <v>44</v>
      </c>
      <c r="F34" s="21" t="s">
        <v>16</v>
      </c>
      <c r="G34" s="25">
        <v>200</v>
      </c>
      <c r="H34" s="26">
        <v>120</v>
      </c>
      <c r="I34" s="27">
        <f t="shared" si="0"/>
        <v>24000</v>
      </c>
    </row>
    <row r="35" spans="1:11" ht="24.95" customHeight="1" thickBot="1" x14ac:dyDescent="0.25">
      <c r="A35" s="21">
        <v>26</v>
      </c>
      <c r="B35" s="28" t="s">
        <v>43</v>
      </c>
      <c r="C35" s="23" t="s">
        <v>22</v>
      </c>
      <c r="D35" s="24">
        <v>295</v>
      </c>
      <c r="E35" s="28" t="s">
        <v>42</v>
      </c>
      <c r="F35" s="21" t="s">
        <v>16</v>
      </c>
      <c r="G35" s="25">
        <v>100</v>
      </c>
      <c r="H35" s="26">
        <v>120</v>
      </c>
      <c r="I35" s="27">
        <f t="shared" si="0"/>
        <v>12000</v>
      </c>
    </row>
    <row r="36" spans="1:11" ht="24.95" customHeight="1" thickBot="1" x14ac:dyDescent="0.25">
      <c r="A36" s="21">
        <v>27</v>
      </c>
      <c r="B36" s="36" t="s">
        <v>92</v>
      </c>
      <c r="C36" s="23" t="s">
        <v>22</v>
      </c>
      <c r="D36" s="24">
        <v>295</v>
      </c>
      <c r="E36" s="37" t="s">
        <v>91</v>
      </c>
      <c r="F36" s="21" t="s">
        <v>16</v>
      </c>
      <c r="G36" s="25">
        <v>100</v>
      </c>
      <c r="H36" s="26">
        <v>63</v>
      </c>
      <c r="I36" s="27">
        <f t="shared" si="0"/>
        <v>6300</v>
      </c>
    </row>
    <row r="37" spans="1:11" ht="24.95" customHeight="1" thickBot="1" x14ac:dyDescent="0.25">
      <c r="A37" s="21">
        <v>28</v>
      </c>
      <c r="B37" s="28" t="s">
        <v>94</v>
      </c>
      <c r="C37" s="30" t="s">
        <v>22</v>
      </c>
      <c r="D37" s="24">
        <v>295</v>
      </c>
      <c r="E37" s="38" t="s">
        <v>93</v>
      </c>
      <c r="F37" s="21" t="s">
        <v>16</v>
      </c>
      <c r="G37" s="25">
        <v>300</v>
      </c>
      <c r="H37" s="26">
        <v>63</v>
      </c>
      <c r="I37" s="27">
        <f t="shared" si="0"/>
        <v>18900</v>
      </c>
    </row>
    <row r="38" spans="1:11" ht="24.95" customHeight="1" thickBot="1" x14ac:dyDescent="0.25">
      <c r="A38" s="21">
        <v>29</v>
      </c>
      <c r="B38" s="22" t="s">
        <v>28</v>
      </c>
      <c r="C38" s="23" t="s">
        <v>22</v>
      </c>
      <c r="D38" s="24">
        <v>295</v>
      </c>
      <c r="E38" s="22" t="s">
        <v>27</v>
      </c>
      <c r="F38" s="21" t="s">
        <v>16</v>
      </c>
      <c r="G38" s="25">
        <v>3000</v>
      </c>
      <c r="H38" s="26">
        <v>63</v>
      </c>
      <c r="I38" s="27">
        <f t="shared" si="0"/>
        <v>189000</v>
      </c>
    </row>
    <row r="39" spans="1:11" ht="24.95" customHeight="1" thickBot="1" x14ac:dyDescent="0.25">
      <c r="A39" s="21">
        <v>30</v>
      </c>
      <c r="B39" s="22" t="s">
        <v>87</v>
      </c>
      <c r="C39" s="23" t="s">
        <v>22</v>
      </c>
      <c r="D39" s="24">
        <v>295</v>
      </c>
      <c r="E39" s="22" t="s">
        <v>88</v>
      </c>
      <c r="F39" s="21" t="s">
        <v>16</v>
      </c>
      <c r="G39" s="25">
        <v>700</v>
      </c>
      <c r="H39" s="26">
        <v>63</v>
      </c>
      <c r="I39" s="27">
        <f t="shared" si="0"/>
        <v>44100</v>
      </c>
    </row>
    <row r="40" spans="1:11" ht="24.95" customHeight="1" thickBot="1" x14ac:dyDescent="0.25">
      <c r="A40" s="21">
        <v>31</v>
      </c>
      <c r="B40" s="22" t="s">
        <v>47</v>
      </c>
      <c r="C40" s="23" t="s">
        <v>22</v>
      </c>
      <c r="D40" s="24">
        <v>295</v>
      </c>
      <c r="E40" s="22" t="s">
        <v>46</v>
      </c>
      <c r="F40" s="21" t="s">
        <v>16</v>
      </c>
      <c r="G40" s="25">
        <v>600</v>
      </c>
      <c r="H40" s="26">
        <v>95</v>
      </c>
      <c r="I40" s="27">
        <f t="shared" si="0"/>
        <v>57000</v>
      </c>
    </row>
    <row r="41" spans="1:11" ht="24.95" customHeight="1" thickBot="1" x14ac:dyDescent="0.25">
      <c r="A41" s="21">
        <v>32</v>
      </c>
      <c r="B41" s="22" t="s">
        <v>31</v>
      </c>
      <c r="C41" s="23" t="s">
        <v>22</v>
      </c>
      <c r="D41" s="24">
        <v>295</v>
      </c>
      <c r="E41" s="22" t="s">
        <v>30</v>
      </c>
      <c r="F41" s="21" t="s">
        <v>16</v>
      </c>
      <c r="G41" s="25">
        <v>100</v>
      </c>
      <c r="H41" s="26">
        <v>75</v>
      </c>
      <c r="I41" s="27">
        <f t="shared" si="0"/>
        <v>7500</v>
      </c>
    </row>
    <row r="42" spans="1:11" ht="24.95" customHeight="1" thickBot="1" x14ac:dyDescent="0.25">
      <c r="A42" s="21">
        <v>33</v>
      </c>
      <c r="B42" s="22" t="s">
        <v>32</v>
      </c>
      <c r="C42" s="23" t="s">
        <v>22</v>
      </c>
      <c r="D42" s="24">
        <v>295</v>
      </c>
      <c r="E42" s="22" t="s">
        <v>29</v>
      </c>
      <c r="F42" s="21" t="s">
        <v>16</v>
      </c>
      <c r="G42" s="25">
        <v>100</v>
      </c>
      <c r="H42" s="26">
        <v>75</v>
      </c>
      <c r="I42" s="27">
        <f t="shared" si="0"/>
        <v>7500</v>
      </c>
    </row>
    <row r="43" spans="1:11" ht="24.95" customHeight="1" thickBot="1" x14ac:dyDescent="0.25">
      <c r="A43" s="21">
        <v>34</v>
      </c>
      <c r="B43" s="22" t="s">
        <v>34</v>
      </c>
      <c r="C43" s="23" t="s">
        <v>22</v>
      </c>
      <c r="D43" s="24">
        <v>295</v>
      </c>
      <c r="E43" s="22" t="s">
        <v>33</v>
      </c>
      <c r="F43" s="21" t="s">
        <v>16</v>
      </c>
      <c r="G43" s="25">
        <v>100</v>
      </c>
      <c r="H43" s="26">
        <v>75</v>
      </c>
      <c r="I43" s="27">
        <f t="shared" si="0"/>
        <v>7500</v>
      </c>
    </row>
    <row r="44" spans="1:11" ht="24.95" customHeight="1" thickBot="1" x14ac:dyDescent="0.25">
      <c r="A44" s="21">
        <v>35</v>
      </c>
      <c r="B44" s="22" t="s">
        <v>36</v>
      </c>
      <c r="C44" s="23" t="s">
        <v>22</v>
      </c>
      <c r="D44" s="24">
        <v>295</v>
      </c>
      <c r="E44" s="22" t="s">
        <v>35</v>
      </c>
      <c r="F44" s="21" t="s">
        <v>16</v>
      </c>
      <c r="G44" s="25">
        <v>50</v>
      </c>
      <c r="H44" s="26">
        <v>120</v>
      </c>
      <c r="I44" s="27">
        <f t="shared" si="0"/>
        <v>6000</v>
      </c>
    </row>
    <row r="45" spans="1:11" ht="24.95" customHeight="1" thickBot="1" x14ac:dyDescent="0.25">
      <c r="A45" s="21">
        <v>36</v>
      </c>
      <c r="B45" s="22" t="s">
        <v>38</v>
      </c>
      <c r="C45" s="23" t="s">
        <v>22</v>
      </c>
      <c r="D45" s="24">
        <v>295</v>
      </c>
      <c r="E45" s="22" t="s">
        <v>37</v>
      </c>
      <c r="F45" s="21" t="s">
        <v>16</v>
      </c>
      <c r="G45" s="25">
        <v>50</v>
      </c>
      <c r="H45" s="26">
        <v>120</v>
      </c>
      <c r="I45" s="27">
        <f t="shared" si="0"/>
        <v>6000</v>
      </c>
    </row>
    <row r="46" spans="1:11" ht="24.95" customHeight="1" thickBot="1" x14ac:dyDescent="0.25">
      <c r="A46" s="21">
        <v>37</v>
      </c>
      <c r="B46" s="28" t="s">
        <v>60</v>
      </c>
      <c r="C46" s="30" t="s">
        <v>22</v>
      </c>
      <c r="D46" s="24">
        <v>295</v>
      </c>
      <c r="E46" s="28" t="s">
        <v>59</v>
      </c>
      <c r="F46" s="21" t="s">
        <v>16</v>
      </c>
      <c r="G46" s="25">
        <v>1000</v>
      </c>
      <c r="H46" s="26">
        <v>35</v>
      </c>
      <c r="I46" s="27">
        <f t="shared" ref="I46" si="1">+G46*H46</f>
        <v>35000</v>
      </c>
    </row>
    <row r="47" spans="1:11" ht="24.95" customHeight="1" thickBot="1" x14ac:dyDescent="0.25">
      <c r="A47" s="21">
        <v>38</v>
      </c>
      <c r="B47" s="28" t="s">
        <v>90</v>
      </c>
      <c r="C47" s="30" t="s">
        <v>22</v>
      </c>
      <c r="D47" s="24">
        <v>295</v>
      </c>
      <c r="E47" s="34" t="s">
        <v>89</v>
      </c>
      <c r="F47" s="21" t="s">
        <v>16</v>
      </c>
      <c r="G47" s="25">
        <v>3</v>
      </c>
      <c r="H47" s="27">
        <v>46500</v>
      </c>
      <c r="I47" s="27">
        <f t="shared" si="0"/>
        <v>139500</v>
      </c>
      <c r="J47" s="51"/>
      <c r="K47" s="51"/>
    </row>
    <row r="48" spans="1:11" ht="13.5" thickBot="1" x14ac:dyDescent="0.25"/>
    <row r="49" spans="2:8" x14ac:dyDescent="0.2">
      <c r="B49" s="56" t="s">
        <v>100</v>
      </c>
      <c r="C49" s="57"/>
      <c r="D49" s="6"/>
      <c r="E49" s="7"/>
    </row>
    <row r="50" spans="2:8" x14ac:dyDescent="0.2">
      <c r="B50" s="42"/>
      <c r="E50" s="43"/>
    </row>
    <row r="51" spans="2:8" x14ac:dyDescent="0.2">
      <c r="B51" s="44" t="s">
        <v>96</v>
      </c>
      <c r="C51" s="45"/>
      <c r="D51" s="45"/>
      <c r="E51" s="46"/>
    </row>
    <row r="52" spans="2:8" x14ac:dyDescent="0.2">
      <c r="B52" s="44"/>
      <c r="C52" s="45"/>
      <c r="D52" s="45"/>
      <c r="E52" s="46"/>
    </row>
    <row r="53" spans="2:8" x14ac:dyDescent="0.2">
      <c r="B53" s="39"/>
      <c r="C53" s="40"/>
      <c r="D53" s="40"/>
      <c r="E53" s="41"/>
    </row>
    <row r="54" spans="2:8" x14ac:dyDescent="0.2">
      <c r="B54" s="44" t="s">
        <v>98</v>
      </c>
      <c r="C54" s="45"/>
      <c r="D54" s="45"/>
      <c r="E54" s="46"/>
    </row>
    <row r="55" spans="2:8" x14ac:dyDescent="0.2">
      <c r="B55" s="39"/>
      <c r="C55" s="40"/>
      <c r="D55" s="40"/>
      <c r="E55" s="41"/>
    </row>
    <row r="56" spans="2:8" ht="15" x14ac:dyDescent="0.2">
      <c r="B56" s="18" t="s">
        <v>15</v>
      </c>
      <c r="C56" s="13"/>
      <c r="D56" s="13"/>
      <c r="E56" s="14"/>
    </row>
    <row r="57" spans="2:8" ht="13.5" thickBot="1" x14ac:dyDescent="0.25">
      <c r="B57" s="11" t="s">
        <v>14</v>
      </c>
      <c r="C57" s="15"/>
      <c r="D57" s="15"/>
      <c r="E57" s="16"/>
    </row>
    <row r="58" spans="2:8" ht="13.5" thickBot="1" x14ac:dyDescent="0.25"/>
    <row r="59" spans="2:8" ht="21.75" customHeight="1" x14ac:dyDescent="0.2">
      <c r="B59" s="56" t="s">
        <v>97</v>
      </c>
      <c r="C59" s="57"/>
      <c r="D59" s="57"/>
      <c r="E59" s="7"/>
      <c r="F59" s="8"/>
      <c r="G59" s="8"/>
      <c r="H59" s="9"/>
    </row>
    <row r="60" spans="2:8" ht="21.75" customHeight="1" x14ac:dyDescent="0.2">
      <c r="B60" s="42"/>
      <c r="E60" s="43"/>
      <c r="F60" s="8"/>
      <c r="G60" s="8"/>
      <c r="H60" s="9"/>
    </row>
    <row r="61" spans="2:8" ht="12.75" customHeight="1" x14ac:dyDescent="0.2">
      <c r="B61" s="44" t="s">
        <v>96</v>
      </c>
      <c r="C61" s="45"/>
      <c r="D61" s="45"/>
      <c r="E61" s="46"/>
      <c r="F61" s="8"/>
      <c r="G61" s="10"/>
      <c r="H61" s="9"/>
    </row>
    <row r="62" spans="2:8" ht="24.75" customHeight="1" x14ac:dyDescent="0.2">
      <c r="B62" s="44"/>
      <c r="C62" s="45"/>
      <c r="D62" s="45"/>
      <c r="E62" s="46"/>
      <c r="F62" s="8"/>
      <c r="G62" s="8"/>
      <c r="H62" s="9"/>
    </row>
    <row r="63" spans="2:8" x14ac:dyDescent="0.2">
      <c r="B63" s="39"/>
      <c r="C63" s="40"/>
      <c r="D63" s="40"/>
      <c r="E63" s="41"/>
      <c r="F63" s="8"/>
      <c r="G63" s="8"/>
      <c r="H63" s="9"/>
    </row>
    <row r="64" spans="2:8" x14ac:dyDescent="0.2">
      <c r="B64" s="44" t="s">
        <v>99</v>
      </c>
      <c r="C64" s="45"/>
      <c r="D64" s="45"/>
      <c r="E64" s="46"/>
      <c r="F64" s="8"/>
      <c r="G64" s="8"/>
      <c r="H64" s="9"/>
    </row>
    <row r="65" spans="2:8" ht="15" x14ac:dyDescent="0.2">
      <c r="B65" s="18" t="s">
        <v>15</v>
      </c>
      <c r="C65" s="13"/>
      <c r="D65" s="13"/>
      <c r="E65" s="14"/>
      <c r="F65" s="8"/>
      <c r="G65" s="8"/>
      <c r="H65" s="9"/>
    </row>
    <row r="66" spans="2:8" ht="13.5" thickBot="1" x14ac:dyDescent="0.25">
      <c r="B66" s="11" t="s">
        <v>14</v>
      </c>
      <c r="C66" s="15"/>
      <c r="D66" s="15"/>
      <c r="E66" s="16"/>
    </row>
    <row r="67" spans="2:8" x14ac:dyDescent="0.2">
      <c r="B67" s="35"/>
    </row>
    <row r="68" spans="2:8" x14ac:dyDescent="0.2">
      <c r="B68" s="35"/>
    </row>
  </sheetData>
  <mergeCells count="18">
    <mergeCell ref="J18:K18"/>
    <mergeCell ref="J47:K47"/>
    <mergeCell ref="J23:K24"/>
    <mergeCell ref="J25:K25"/>
    <mergeCell ref="J26:K26"/>
    <mergeCell ref="J27:K27"/>
    <mergeCell ref="J20:K20"/>
    <mergeCell ref="B2:H2"/>
    <mergeCell ref="A4:B4"/>
    <mergeCell ref="C4:E4"/>
    <mergeCell ref="A5:B5"/>
    <mergeCell ref="C5:E5"/>
    <mergeCell ref="B51:E52"/>
    <mergeCell ref="B54:E54"/>
    <mergeCell ref="B61:E62"/>
    <mergeCell ref="B64:E64"/>
    <mergeCell ref="A6:B6"/>
    <mergeCell ref="A7:B7"/>
  </mergeCells>
  <conditionalFormatting sqref="B65">
    <cfRule type="duplicateValues" dxfId="7" priority="25"/>
  </conditionalFormatting>
  <conditionalFormatting sqref="B65">
    <cfRule type="duplicateValues" dxfId="6" priority="26"/>
  </conditionalFormatting>
  <conditionalFormatting sqref="B65">
    <cfRule type="duplicateValues" dxfId="5" priority="27"/>
  </conditionalFormatting>
  <conditionalFormatting sqref="B65">
    <cfRule type="duplicateValues" dxfId="4" priority="28"/>
  </conditionalFormatting>
  <conditionalFormatting sqref="B56">
    <cfRule type="duplicateValues" dxfId="3" priority="1"/>
  </conditionalFormatting>
  <conditionalFormatting sqref="B56">
    <cfRule type="duplicateValues" dxfId="2" priority="2"/>
  </conditionalFormatting>
  <conditionalFormatting sqref="B56">
    <cfRule type="duplicateValues" dxfId="1" priority="3"/>
  </conditionalFormatting>
  <conditionalFormatting sqref="B56">
    <cfRule type="duplicateValues" dxfId="0" priority="4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2022-12-15T11:23:40Z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