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heckCompatibility="1" defaultThemeVersion="124226"/>
  <bookViews>
    <workbookView xWindow="-120" yWindow="-120" windowWidth="19425" windowHeight="11025" tabRatio="500"/>
  </bookViews>
  <sheets>
    <sheet name="Necesidades Trimestrales " sheetId="4" r:id="rId1"/>
  </sheets>
  <definedNames>
    <definedName name="_xlnm._FilterDatabase" localSheetId="0" hidden="1">'Necesidades Trimestrales '!$A$9:$I$25</definedName>
    <definedName name="_xlnm.Print_Area" localSheetId="0">'Necesidades Trimestrales '!#REF!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1" i="4" l="1"/>
  <c r="I25" i="4" l="1"/>
  <c r="I24" i="4"/>
  <c r="I23" i="4"/>
  <c r="I22" i="4"/>
  <c r="I20" i="4"/>
  <c r="I19" i="4"/>
  <c r="I18" i="4"/>
  <c r="I17" i="4"/>
  <c r="I16" i="4"/>
  <c r="I15" i="4"/>
  <c r="I14" i="4"/>
  <c r="I13" i="4"/>
  <c r="I12" i="4"/>
  <c r="I11" i="4"/>
  <c r="I10" i="4"/>
</calcChain>
</file>

<file path=xl/sharedStrings.xml><?xml version="1.0" encoding="utf-8"?>
<sst xmlns="http://schemas.openxmlformats.org/spreadsheetml/2006/main" count="82" uniqueCount="54">
  <si>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</si>
  <si>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</si>
  <si>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</si>
  <si>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</si>
  <si>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</si>
  <si>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</si>
  <si>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</si>
  <si>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</si>
  <si>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</si>
  <si>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</si>
  <si>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</si>
  <si>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</si>
  <si>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</si>
  <si>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</si>
  <si>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040 - Ministerio de Salud</t>
  </si>
  <si>
    <t>AMPOLLA</t>
  </si>
  <si>
    <t>PROD. MEDICO/FARMACEUTICOS/LAB</t>
  </si>
  <si>
    <t>SOLUCIONES P/MEDICINA; TIPO: AGUA DESTILADA, PRESENTACION: AMPOLLA DE 10 ML</t>
  </si>
  <si>
    <t>SOLUCIONES P/MEDICINA; TIPO: AGUA DESTILADA, PRESENTACION: ENVASE X 500 mL</t>
  </si>
  <si>
    <t>EXPANSORES PLASMATICOS; PRINCIPIO ACTIVO: ALBUMINA HUMANA, CONCENTRACION: 20 %, PRESENTACION: 50ML</t>
  </si>
  <si>
    <t>SUPLEMENTOS DIETARIOS; TIPO: ASOCIACION, DROGA GENERICA: S. PARENTERAL ADULTO 1501-2000 ML, PRESENTACION: UNIDAD</t>
  </si>
  <si>
    <t>SOLUCIONES P/MEDICINA; TIPO: BICARBONATO 1 MOLAR, PRESENTACION: SACHET DE 100 mL</t>
  </si>
  <si>
    <t>SOLUCIONES P/MEDICINA; PRESENTACION: AMPOLLA X 20 ML, TIPO: CLORURO DE SODIO MOLAR AL 20 %</t>
  </si>
  <si>
    <t>SOLUCIONES P/MEDICINA; TIPO: CLORURO DE POTASIO MOLAR, PRESENTACION: ENVASE X 100 mL</t>
  </si>
  <si>
    <t>SOLUCIONES P/MEDICINA; PRESENTACION: SACHET X 500 mL, TIPO: DEXTROSA AL 10 %</t>
  </si>
  <si>
    <t>SOLUCIONES P/MEDICINA; TIPO: DEXTROSA AL 25 %, PRESENTACION: ENVASE X 500 mL</t>
  </si>
  <si>
    <t>SOLUCIONES P/MEDICINA; TIPO: DEXTROSA AL 5%, PRESENTACION: ENVASE X 500 mL</t>
  </si>
  <si>
    <t>SOLUCIONES P/MEDICINA; TIPO: DEXTROSA AL 5%, PRESENTACION: ENVASE X 100 mL</t>
  </si>
  <si>
    <t>SOLUCIONES P/MEDICINA; TIPO: FISIOLOGICA CLORURO DE SODIO, PRESENTACION: 500 CM3</t>
  </si>
  <si>
    <t>SOLUCIONES P/MEDICINA; TIPO: FISIOLOGICA, PRESENTACION: ENVASE X 100 mL</t>
  </si>
  <si>
    <t>SOLUCIONES P/MEDICINA; TIPO: FISIOLOGICA, PRESENTACION: ENVASE X 10 mL</t>
  </si>
  <si>
    <t>SOLUCIONES P/MEDICINA; TIPO: RINGER LACTATO, PRESENTACION: ENVASE X 500 mL</t>
  </si>
  <si>
    <t>SOLUCIONES P/MEDICINA; TIPO: SULFATO DE MAGNESIO AL 25%, PRESENTACION: ENVASE X 5 mL</t>
  </si>
  <si>
    <t>2.5.2-1726.520</t>
  </si>
  <si>
    <t>2.5.2-1726.186</t>
  </si>
  <si>
    <t>2.5.2-2183.7</t>
  </si>
  <si>
    <t>2.1.1-4227.56</t>
  </si>
  <si>
    <t>2.5.2-1726.9</t>
  </si>
  <si>
    <t>2.5.2-1726.519</t>
  </si>
  <si>
    <t>2.5.2-1726.382</t>
  </si>
  <si>
    <t>2.5.2-1726.14</t>
  </si>
  <si>
    <t>2.5.2-1726.377</t>
  </si>
  <si>
    <t>2.5.2-1726.24</t>
  </si>
  <si>
    <t>2.5.2-1726.376</t>
  </si>
  <si>
    <t>2.5.2-1726.17</t>
  </si>
  <si>
    <t>2.5.2-1726.369</t>
  </si>
  <si>
    <t>2.5.2-1726.419</t>
  </si>
  <si>
    <t>2.5.2-1726.182</t>
  </si>
  <si>
    <t>2.5.2-1726.371</t>
  </si>
  <si>
    <t>SACHET</t>
  </si>
  <si>
    <t xml:space="preserve">UNIDAD  </t>
  </si>
  <si>
    <r>
      <t xml:space="preserve">a) LUGAR DE ENTREGA:   --SERVICIO DE FARMACIA -HOSPITAL INT. DE NIÑOS EVA PERON – AV. VIRGEN DEL VALLE N° 1050-CATAMARCA DE 8:00 A 12:00H De 08 a 12 horas. 
</t>
    </r>
    <r>
      <rPr>
        <b/>
        <sz val="11"/>
        <color rgb="FF000000"/>
        <rFont val="Calibri"/>
      </rPr>
      <t>b)</t>
    </r>
    <r>
      <rPr>
        <sz val="11"/>
        <color rgb="FF000000"/>
        <rFont val="Calibri"/>
      </rPr>
      <t xml:space="preserve"> FORMA DE LA ENTREGA: Libre de flete, acarreo y embalaje, como así también, de todo riesgo de pérdida o destrucción total o parcial, por causas ajenas a la Institución. 
</t>
    </r>
    <r>
      <rPr>
        <b/>
        <sz val="11"/>
        <color rgb="FF000000"/>
        <rFont val="Calibri"/>
      </rPr>
      <t>c)</t>
    </r>
    <r>
      <rPr>
        <sz val="11"/>
        <color rgb="FF000000"/>
        <rFont val="Calibri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</si>
  <si>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4 EMULSION CON AMINOACIDOS , GLUCOSA ,LIPIDOS Y SALES TIPO SMOFKABIVEN CENTRAL X 1970 ML DE 2200 KCAL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</si>
  <si>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:ITEMS 8,9,10,11,12 y 13 DEBERAN CUMPLIR CON LA DISPOSICION ANMAT 11857/2017  SOLUCIONES PARENTERALES DE GRAN VOLUMEN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</si>
</sst>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$&quot;* #,##0.00_-;\-&quot;$&quot;* #,##0.00_-;_-&quot;$&quot;* &quot;-&quot;??_-;_-@_-"/>
    <numFmt numFmtId="166" formatCode="_-* #,##0.00&quot; €&quot;_-;\-* #,##0.00&quot; €&quot;_-;_-* \-??&quot; €&quot;_-;_-@_-"/>
    <numFmt numFmtId="170" formatCode="&quot;$&quot;\ #,##0.00"/>
    <numFmt numFmtId="171" formatCode="_-&quot;$&quot;\ * #,##0.00_-;\-&quot;$&quot;\ * #,##0.00_-;_-&quot;$&quot;\ * &quot;-&quot;??_-;_-@"/>
  </numFmts>
  <fonts count="1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1"/>
      <color rgb="FF424242"/>
      <name val="Calibri"/>
      <family val="2"/>
    </font>
    <font>
      <sz val="11"/>
      <name val="Calibri"/>
      <family val="2"/>
    </font>
    <font>
      <sz val="10"/>
      <color rgb="FF000000"/>
      <name val="Times New Roman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6" fontId="4" fillId="0" borderId="0" applyBorder="0" applyProtection="0"/>
    <xf numFmtId="0" fontId="2" fillId="0" borderId="1" applyProtection="0"/>
    <xf numFmtId="0" fontId="3" fillId="2" borderId="0" applyBorder="0" applyProtection="0"/>
    <xf numFmtId="0" fontId="4" fillId="0" borderId="0"/>
    <xf numFmtId="0" fontId="4" fillId="0" borderId="0"/>
    <xf numFmtId="0" fontId="4" fillId="0" borderId="0"/>
    <xf numFmtId="0" fontId="1" fillId="0" borderId="0"/>
  </cellStyleXfs>
  <cellXfs count="50">
    <xf numFmtId="0" fontId="0" fillId="0" borderId="0" xfId="0"/>
    <xf numFmtId="0" fontId="0" fillId="0" borderId="15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/>
    </xf>
    <xf numFmtId="0" fontId="5" fillId="0" borderId="0" xfId="4" applyFont="1" applyFill="1"/>
    <xf numFmtId="164" fontId="5" fillId="0" borderId="0" xfId="4" applyNumberFormat="1" applyFont="1" applyFill="1"/>
    <xf numFmtId="0" fontId="5" fillId="0" borderId="0" xfId="4" applyFont="1" applyFill="1" applyAlignment="1">
      <alignment horizontal="left" vertical="center"/>
    </xf>
    <xf numFmtId="0" fontId="8" fillId="0" borderId="0" xfId="4" applyFont="1" applyFill="1" applyAlignment="1">
      <alignment horizontal="left" wrapText="1"/>
    </xf>
    <xf numFmtId="0" fontId="8" fillId="0" borderId="0" xfId="4" applyFont="1" applyFill="1" applyAlignment="1">
      <alignment horizontal="center" wrapText="1"/>
    </xf>
    <xf numFmtId="0" fontId="12" fillId="0" borderId="0" xfId="4" applyFont="1" applyFill="1" applyAlignment="1">
      <alignment horizontal="left" wrapText="1" indent="1"/>
    </xf>
    <xf numFmtId="0" fontId="9" fillId="0" borderId="0" xfId="4" applyFont="1" applyFill="1" applyAlignment="1">
      <alignment horizontal="left" wrapText="1"/>
    </xf>
    <xf numFmtId="0" fontId="8" fillId="0" borderId="0" xfId="4" applyFont="1" applyFill="1" applyAlignment="1">
      <alignment horizontal="left" vertical="center" wrapText="1"/>
    </xf>
    <xf numFmtId="0" fontId="13" fillId="0" borderId="10" xfId="4" applyFont="1" applyFill="1" applyBorder="1" applyAlignment="1">
      <alignment horizontal="center" vertical="center" wrapText="1"/>
    </xf>
    <xf numFmtId="164" fontId="13" fillId="0" borderId="10" xfId="4" applyNumberFormat="1" applyFont="1" applyFill="1" applyBorder="1" applyAlignment="1">
      <alignment horizontal="center" vertical="center" wrapText="1"/>
    </xf>
    <xf numFmtId="0" fontId="5" fillId="0" borderId="0" xfId="4" applyFont="1" applyFill="1" applyAlignment="1">
      <alignment horizontal="center" vertical="center"/>
    </xf>
    <xf numFmtId="0" fontId="4" fillId="0" borderId="10" xfId="4" applyFill="1" applyBorder="1" applyAlignment="1">
      <alignment horizontal="center" vertical="center"/>
    </xf>
    <xf numFmtId="0" fontId="4" fillId="0" borderId="10" xfId="4" applyFill="1" applyBorder="1" applyAlignment="1">
      <alignment horizontal="left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3" fontId="4" fillId="0" borderId="10" xfId="4" applyNumberFormat="1" applyFill="1" applyBorder="1" applyAlignment="1">
      <alignment horizontal="center" vertical="center"/>
    </xf>
    <xf numFmtId="171" fontId="0" fillId="0" borderId="15" xfId="0" applyNumberFormat="1" applyFont="1" applyFill="1" applyBorder="1" applyAlignment="1">
      <alignment horizontal="center" vertical="center"/>
    </xf>
    <xf numFmtId="164" fontId="4" fillId="0" borderId="10" xfId="1" applyNumberFormat="1" applyFill="1" applyBorder="1" applyAlignment="1" applyProtection="1">
      <alignment horizontal="right" vertical="center" wrapText="1"/>
    </xf>
    <xf numFmtId="0" fontId="5" fillId="0" borderId="0" xfId="4" applyFont="1" applyFill="1" applyAlignment="1">
      <alignment vertical="center"/>
    </xf>
    <xf numFmtId="0" fontId="14" fillId="0" borderId="15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wrapText="1"/>
    </xf>
    <xf numFmtId="0" fontId="15" fillId="0" borderId="15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/>
    </xf>
    <xf numFmtId="0" fontId="5" fillId="0" borderId="2" xfId="4" applyFont="1" applyFill="1" applyBorder="1" applyAlignment="1">
      <alignment horizontal="left" vertical="center"/>
    </xf>
    <xf numFmtId="0" fontId="5" fillId="0" borderId="3" xfId="4" applyFont="1" applyFill="1" applyBorder="1"/>
    <xf numFmtId="0" fontId="5" fillId="0" borderId="4" xfId="4" applyFont="1" applyFill="1" applyBorder="1"/>
    <xf numFmtId="170" fontId="10" fillId="0" borderId="0" xfId="4" applyNumberFormat="1" applyFont="1" applyFill="1"/>
    <xf numFmtId="0" fontId="5" fillId="0" borderId="5" xfId="5" applyFont="1" applyFill="1" applyBorder="1" applyAlignment="1">
      <alignment horizontal="left" vertical="center" wrapText="1"/>
    </xf>
    <xf numFmtId="0" fontId="5" fillId="0" borderId="6" xfId="5" applyFont="1" applyFill="1" applyBorder="1" applyAlignment="1">
      <alignment horizontal="left" wrapText="1"/>
    </xf>
    <xf numFmtId="0" fontId="5" fillId="0" borderId="7" xfId="5" applyFont="1" applyFill="1" applyBorder="1" applyAlignment="1">
      <alignment horizontal="left" wrapText="1"/>
    </xf>
    <xf numFmtId="0" fontId="16" fillId="0" borderId="0" xfId="0" applyFont="1" applyFill="1" applyProtection="1"/>
    <xf numFmtId="0" fontId="0" fillId="0" borderId="0" xfId="0" applyFill="1" applyProtection="1"/>
    <xf numFmtId="0" fontId="7" fillId="0" borderId="0" xfId="4" applyFont="1" applyFill="1" applyAlignment="1">
      <alignment horizontal="left" vertical="center" wrapText="1"/>
    </xf>
    <xf numFmtId="0" fontId="5" fillId="0" borderId="11" xfId="4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6" fillId="0" borderId="0" xfId="4" applyFont="1" applyFill="1" applyAlignment="1">
      <alignment horizontal="center"/>
    </xf>
    <xf numFmtId="0" fontId="12" fillId="0" borderId="0" xfId="4" applyFont="1" applyFill="1" applyAlignment="1">
      <alignment horizontal="left" wrapText="1" indent="1"/>
    </xf>
    <xf numFmtId="0" fontId="17" fillId="0" borderId="8" xfId="0" applyFont="1" applyFill="1" applyBorder="1" applyAlignment="1" applyProtection="1">
      <alignment horizontal="left" vertical="center" wrapText="1"/>
    </xf>
    <xf numFmtId="0" fontId="17" fillId="0" borderId="16" xfId="0" applyFont="1" applyFill="1" applyBorder="1" applyAlignment="1" applyProtection="1">
      <alignment horizontal="left" vertical="center" wrapText="1"/>
    </xf>
    <xf numFmtId="0" fontId="17" fillId="0" borderId="9" xfId="0" applyFont="1" applyFill="1" applyBorder="1" applyAlignment="1" applyProtection="1">
      <alignment horizontal="left" vertical="center" wrapText="1"/>
    </xf>
    <xf numFmtId="0" fontId="5" fillId="0" borderId="8" xfId="4" applyFont="1" applyFill="1" applyBorder="1" applyAlignment="1">
      <alignment horizontal="left" vertical="center"/>
    </xf>
    <xf numFmtId="0" fontId="5" fillId="0" borderId="16" xfId="4" applyFont="1" applyFill="1" applyBorder="1"/>
    <xf numFmtId="0" fontId="5" fillId="0" borderId="9" xfId="4" applyFont="1" applyFill="1" applyBorder="1"/>
  </cellXfs>
  <cellStyles count="8">
    <cellStyle name="Encabezado 1" xfId="2"/>
    <cellStyle name="Moneda" xfId="1" builtinId="4"/>
    <cellStyle name="Neutral 1" xfId="3"/>
    <cellStyle name="Normal" xfId="0" builtinId="0"/>
    <cellStyle name="Normal 2" xfId="4"/>
    <cellStyle name="Normal 2 2" xfId="6"/>
    <cellStyle name="Normal 2 3" xfId="5"/>
    <cellStyle name="Normal 3" xfId="7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3"/>
  <sheetViews>
    <sheetView tabSelected="1" zoomScale="75" zoomScaleNormal="75" workbookViewId="0">
      <selection activeCell="C40" sqref="C40"/>
    </sheetView>
  </sheetViews>
  <sheetFormatPr baseColWidth="10" defaultColWidth="11" defaultRowHeight="12.75" x14ac:dyDescent="0.2"/>
  <cols>
    <col min="1" max="1" width="4.5703125" style="3" customWidth="1"/>
    <col min="2" max="2" width="14" style="5" customWidth="1"/>
    <col min="3" max="3" width="37.42578125" style="3" customWidth="1"/>
    <col min="4" max="4" width="8.5703125" style="3" customWidth="1"/>
    <col min="5" max="5" width="91.140625" style="3" customWidth="1"/>
    <col min="6" max="6" width="14.7109375" style="3" customWidth="1"/>
    <col min="7" max="7" width="10.42578125" style="3" bestFit="1" customWidth="1"/>
    <col min="8" max="8" width="15.7109375" style="3" customWidth="1"/>
    <col min="9" max="9" width="18.42578125" style="4" customWidth="1"/>
    <col min="10" max="16384" width="11" style="3"/>
  </cols>
  <sheetData>
    <row r="2" spans="1:12" ht="27" x14ac:dyDescent="0.35">
      <c r="B2" s="42" t="s">
        <v>0</v>
      </c>
      <c r="C2" s="42"/>
      <c r="D2" s="42"/>
      <c r="E2" s="42"/>
      <c r="F2" s="42"/>
      <c r="G2" s="42"/>
      <c r="H2" s="42"/>
    </row>
    <row r="3" spans="1:12" ht="12" customHeight="1" x14ac:dyDescent="0.2"/>
    <row r="4" spans="1:12" ht="18" customHeight="1" x14ac:dyDescent="0.25">
      <c r="A4" s="39" t="s">
        <v>1</v>
      </c>
      <c r="B4" s="39"/>
      <c r="C4" s="43" t="s">
        <v>14</v>
      </c>
      <c r="D4" s="43"/>
      <c r="E4" s="43"/>
      <c r="F4" s="6"/>
      <c r="G4" s="7"/>
      <c r="H4" s="6"/>
    </row>
    <row r="5" spans="1:12" ht="18" customHeight="1" x14ac:dyDescent="0.25">
      <c r="A5" s="39" t="s">
        <v>2</v>
      </c>
      <c r="B5" s="39"/>
      <c r="C5" s="43">
        <v>24</v>
      </c>
      <c r="D5" s="43"/>
      <c r="E5" s="43"/>
      <c r="F5" s="6"/>
      <c r="G5" s="7"/>
      <c r="H5" s="6"/>
    </row>
    <row r="6" spans="1:12" ht="16.5" customHeight="1" x14ac:dyDescent="0.25">
      <c r="A6" s="39" t="s">
        <v>3</v>
      </c>
      <c r="B6" s="39"/>
      <c r="C6" s="8">
        <v>2023</v>
      </c>
      <c r="D6" s="9"/>
      <c r="E6" s="9"/>
      <c r="F6" s="6"/>
      <c r="G6" s="7"/>
      <c r="H6" s="6"/>
    </row>
    <row r="7" spans="1:12" ht="16.5" customHeight="1" x14ac:dyDescent="0.25">
      <c r="A7" s="39" t="s">
        <v>4</v>
      </c>
      <c r="B7" s="39"/>
      <c r="C7" s="8">
        <v>1</v>
      </c>
      <c r="D7" s="9"/>
      <c r="E7" s="9"/>
      <c r="F7" s="6"/>
      <c r="G7" s="7"/>
      <c r="H7" s="6"/>
    </row>
    <row r="8" spans="1:12" x14ac:dyDescent="0.2">
      <c r="B8" s="10"/>
      <c r="C8" s="7"/>
      <c r="D8" s="6"/>
      <c r="E8" s="6"/>
      <c r="F8" s="6"/>
      <c r="G8" s="7"/>
      <c r="H8" s="6"/>
    </row>
    <row r="9" spans="1:12" s="13" customFormat="1" ht="38.25" x14ac:dyDescent="0.2">
      <c r="A9" s="11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2" t="s">
        <v>13</v>
      </c>
    </row>
    <row r="10" spans="1:12" s="21" customFormat="1" ht="27.75" customHeight="1" x14ac:dyDescent="0.2">
      <c r="A10" s="14">
        <v>1</v>
      </c>
      <c r="B10" s="22" t="s">
        <v>33</v>
      </c>
      <c r="C10" s="15" t="s">
        <v>16</v>
      </c>
      <c r="D10" s="16">
        <v>252</v>
      </c>
      <c r="E10" s="17" t="s">
        <v>17</v>
      </c>
      <c r="F10" s="1" t="s">
        <v>15</v>
      </c>
      <c r="G10" s="18">
        <v>7000</v>
      </c>
      <c r="H10" s="19">
        <v>45</v>
      </c>
      <c r="I10" s="20">
        <f t="shared" ref="I10:I25" si="0">+G10*H10</f>
        <v>315000</v>
      </c>
    </row>
    <row r="11" spans="1:12" s="21" customFormat="1" ht="36" customHeight="1" x14ac:dyDescent="0.2">
      <c r="A11" s="14">
        <v>2</v>
      </c>
      <c r="B11" s="23" t="s">
        <v>34</v>
      </c>
      <c r="C11" s="15" t="s">
        <v>16</v>
      </c>
      <c r="D11" s="16">
        <v>252</v>
      </c>
      <c r="E11" s="24" t="s">
        <v>18</v>
      </c>
      <c r="F11" s="1" t="s">
        <v>49</v>
      </c>
      <c r="G11" s="18">
        <v>3000</v>
      </c>
      <c r="H11" s="19">
        <v>212</v>
      </c>
      <c r="I11" s="20">
        <f t="shared" si="0"/>
        <v>636000</v>
      </c>
    </row>
    <row r="12" spans="1:12" s="21" customFormat="1" ht="31.5" customHeight="1" x14ac:dyDescent="0.2">
      <c r="A12" s="14">
        <v>3</v>
      </c>
      <c r="B12" s="23" t="s">
        <v>35</v>
      </c>
      <c r="C12" s="15" t="s">
        <v>16</v>
      </c>
      <c r="D12" s="16">
        <v>252</v>
      </c>
      <c r="E12" s="25" t="s">
        <v>19</v>
      </c>
      <c r="F12" s="26" t="s">
        <v>49</v>
      </c>
      <c r="G12" s="18">
        <v>120</v>
      </c>
      <c r="H12" s="19">
        <v>3600</v>
      </c>
      <c r="I12" s="20">
        <f t="shared" si="0"/>
        <v>432000</v>
      </c>
      <c r="J12" s="40"/>
      <c r="K12" s="41"/>
      <c r="L12" s="41"/>
    </row>
    <row r="13" spans="1:12" s="21" customFormat="1" ht="43.5" customHeight="1" x14ac:dyDescent="0.2">
      <c r="A13" s="14">
        <v>4</v>
      </c>
      <c r="B13" s="2" t="s">
        <v>36</v>
      </c>
      <c r="C13" s="15" t="s">
        <v>16</v>
      </c>
      <c r="D13" s="16">
        <v>252</v>
      </c>
      <c r="E13" s="27" t="s">
        <v>20</v>
      </c>
      <c r="F13" s="1" t="s">
        <v>50</v>
      </c>
      <c r="G13" s="18">
        <v>12</v>
      </c>
      <c r="H13" s="19">
        <v>14800</v>
      </c>
      <c r="I13" s="20">
        <f t="shared" si="0"/>
        <v>177600</v>
      </c>
    </row>
    <row r="14" spans="1:12" s="21" customFormat="1" ht="36" customHeight="1" x14ac:dyDescent="0.2">
      <c r="A14" s="14">
        <v>5</v>
      </c>
      <c r="B14" s="2" t="s">
        <v>37</v>
      </c>
      <c r="C14" s="15" t="s">
        <v>16</v>
      </c>
      <c r="D14" s="16">
        <v>252</v>
      </c>
      <c r="E14" s="17" t="s">
        <v>21</v>
      </c>
      <c r="F14" s="1" t="s">
        <v>49</v>
      </c>
      <c r="G14" s="18">
        <v>200</v>
      </c>
      <c r="H14" s="19">
        <v>388</v>
      </c>
      <c r="I14" s="20">
        <f t="shared" si="0"/>
        <v>77600</v>
      </c>
    </row>
    <row r="15" spans="1:12" s="21" customFormat="1" ht="30.75" customHeight="1" x14ac:dyDescent="0.2">
      <c r="A15" s="14">
        <v>6</v>
      </c>
      <c r="B15" s="22" t="s">
        <v>38</v>
      </c>
      <c r="C15" s="15" t="s">
        <v>16</v>
      </c>
      <c r="D15" s="16">
        <v>252</v>
      </c>
      <c r="E15" s="17" t="s">
        <v>22</v>
      </c>
      <c r="F15" s="1" t="s">
        <v>15</v>
      </c>
      <c r="G15" s="18">
        <v>6000</v>
      </c>
      <c r="H15" s="19">
        <v>77.8</v>
      </c>
      <c r="I15" s="20">
        <f t="shared" si="0"/>
        <v>466800</v>
      </c>
    </row>
    <row r="16" spans="1:12" s="21" customFormat="1" ht="39" customHeight="1" x14ac:dyDescent="0.2">
      <c r="A16" s="14">
        <v>7</v>
      </c>
      <c r="B16" s="2" t="s">
        <v>39</v>
      </c>
      <c r="C16" s="15" t="s">
        <v>16</v>
      </c>
      <c r="D16" s="16">
        <v>252</v>
      </c>
      <c r="E16" s="17" t="s">
        <v>23</v>
      </c>
      <c r="F16" s="1" t="s">
        <v>49</v>
      </c>
      <c r="G16" s="18">
        <v>3000</v>
      </c>
      <c r="H16" s="19">
        <v>320</v>
      </c>
      <c r="I16" s="20">
        <f t="shared" si="0"/>
        <v>960000</v>
      </c>
    </row>
    <row r="17" spans="1:10" s="21" customFormat="1" ht="36.75" customHeight="1" x14ac:dyDescent="0.2">
      <c r="A17" s="14">
        <v>8</v>
      </c>
      <c r="B17" s="2" t="s">
        <v>40</v>
      </c>
      <c r="C17" s="15" t="s">
        <v>16</v>
      </c>
      <c r="D17" s="16">
        <v>252</v>
      </c>
      <c r="E17" s="17" t="s">
        <v>24</v>
      </c>
      <c r="F17" s="1" t="s">
        <v>49</v>
      </c>
      <c r="G17" s="18">
        <v>100</v>
      </c>
      <c r="H17" s="19">
        <v>164.23</v>
      </c>
      <c r="I17" s="20">
        <f t="shared" si="0"/>
        <v>16423</v>
      </c>
    </row>
    <row r="18" spans="1:10" s="21" customFormat="1" ht="30.75" customHeight="1" x14ac:dyDescent="0.2">
      <c r="A18" s="14">
        <v>9</v>
      </c>
      <c r="B18" s="2" t="s">
        <v>41</v>
      </c>
      <c r="C18" s="15" t="s">
        <v>16</v>
      </c>
      <c r="D18" s="16">
        <v>252</v>
      </c>
      <c r="E18" s="24" t="s">
        <v>25</v>
      </c>
      <c r="F18" s="1" t="s">
        <v>49</v>
      </c>
      <c r="G18" s="18">
        <v>200</v>
      </c>
      <c r="H18" s="19">
        <v>275</v>
      </c>
      <c r="I18" s="20">
        <f t="shared" si="0"/>
        <v>55000</v>
      </c>
    </row>
    <row r="19" spans="1:10" s="21" customFormat="1" ht="34.5" customHeight="1" x14ac:dyDescent="0.2">
      <c r="A19" s="14">
        <v>10</v>
      </c>
      <c r="B19" s="2" t="s">
        <v>42</v>
      </c>
      <c r="C19" s="15" t="s">
        <v>16</v>
      </c>
      <c r="D19" s="16">
        <v>252</v>
      </c>
      <c r="E19" s="17" t="s">
        <v>26</v>
      </c>
      <c r="F19" s="1" t="s">
        <v>49</v>
      </c>
      <c r="G19" s="18">
        <v>6000</v>
      </c>
      <c r="H19" s="19">
        <v>228.37</v>
      </c>
      <c r="I19" s="20">
        <f t="shared" si="0"/>
        <v>1370220</v>
      </c>
    </row>
    <row r="20" spans="1:10" s="21" customFormat="1" ht="33" customHeight="1" x14ac:dyDescent="0.2">
      <c r="A20" s="14">
        <v>11</v>
      </c>
      <c r="B20" s="2" t="s">
        <v>43</v>
      </c>
      <c r="C20" s="15" t="s">
        <v>16</v>
      </c>
      <c r="D20" s="16">
        <v>252</v>
      </c>
      <c r="E20" s="28" t="s">
        <v>27</v>
      </c>
      <c r="F20" s="1" t="s">
        <v>49</v>
      </c>
      <c r="G20" s="18">
        <v>3000</v>
      </c>
      <c r="H20" s="19">
        <v>187.2</v>
      </c>
      <c r="I20" s="20">
        <f t="shared" si="0"/>
        <v>561600</v>
      </c>
    </row>
    <row r="21" spans="1:10" s="21" customFormat="1" ht="37.5" customHeight="1" x14ac:dyDescent="0.2">
      <c r="A21" s="14">
        <v>12</v>
      </c>
      <c r="B21" s="1" t="s">
        <v>44</v>
      </c>
      <c r="C21" s="15" t="s">
        <v>16</v>
      </c>
      <c r="D21" s="16">
        <v>252</v>
      </c>
      <c r="E21" s="27" t="s">
        <v>28</v>
      </c>
      <c r="F21" s="1" t="s">
        <v>49</v>
      </c>
      <c r="G21" s="18">
        <v>6000</v>
      </c>
      <c r="H21" s="19">
        <v>198.5</v>
      </c>
      <c r="I21" s="20">
        <f t="shared" si="0"/>
        <v>1191000</v>
      </c>
    </row>
    <row r="22" spans="1:10" s="21" customFormat="1" ht="32.25" customHeight="1" x14ac:dyDescent="0.2">
      <c r="A22" s="14">
        <v>13</v>
      </c>
      <c r="B22" s="2" t="s">
        <v>45</v>
      </c>
      <c r="C22" s="15" t="s">
        <v>16</v>
      </c>
      <c r="D22" s="16">
        <v>252</v>
      </c>
      <c r="E22" s="29" t="s">
        <v>29</v>
      </c>
      <c r="F22" s="1" t="s">
        <v>49</v>
      </c>
      <c r="G22" s="18">
        <v>3000</v>
      </c>
      <c r="H22" s="19">
        <v>186</v>
      </c>
      <c r="I22" s="20">
        <f t="shared" si="0"/>
        <v>558000</v>
      </c>
    </row>
    <row r="23" spans="1:10" s="21" customFormat="1" ht="44.25" customHeight="1" x14ac:dyDescent="0.2">
      <c r="A23" s="14">
        <v>14</v>
      </c>
      <c r="B23" s="2" t="s">
        <v>46</v>
      </c>
      <c r="C23" s="15" t="s">
        <v>16</v>
      </c>
      <c r="D23" s="16">
        <v>252</v>
      </c>
      <c r="E23" s="24" t="s">
        <v>30</v>
      </c>
      <c r="F23" s="1" t="s">
        <v>15</v>
      </c>
      <c r="G23" s="18">
        <v>7000</v>
      </c>
      <c r="H23" s="19">
        <v>46</v>
      </c>
      <c r="I23" s="20">
        <f t="shared" si="0"/>
        <v>322000</v>
      </c>
      <c r="J23" s="13"/>
    </row>
    <row r="24" spans="1:10" s="21" customFormat="1" ht="40.5" customHeight="1" x14ac:dyDescent="0.2">
      <c r="A24" s="14">
        <v>15</v>
      </c>
      <c r="B24" s="2" t="s">
        <v>47</v>
      </c>
      <c r="C24" s="15" t="s">
        <v>16</v>
      </c>
      <c r="D24" s="16">
        <v>252</v>
      </c>
      <c r="E24" s="24" t="s">
        <v>31</v>
      </c>
      <c r="F24" s="2" t="s">
        <v>49</v>
      </c>
      <c r="G24" s="18">
        <v>500</v>
      </c>
      <c r="H24" s="19">
        <v>275.2</v>
      </c>
      <c r="I24" s="20">
        <f t="shared" si="0"/>
        <v>137600</v>
      </c>
    </row>
    <row r="25" spans="1:10" s="21" customFormat="1" ht="34.5" customHeight="1" x14ac:dyDescent="0.2">
      <c r="A25" s="14">
        <v>16</v>
      </c>
      <c r="B25" s="23" t="s">
        <v>48</v>
      </c>
      <c r="C25" s="15" t="s">
        <v>16</v>
      </c>
      <c r="D25" s="16">
        <v>252</v>
      </c>
      <c r="E25" s="17" t="s">
        <v>32</v>
      </c>
      <c r="F25" s="1" t="s">
        <v>15</v>
      </c>
      <c r="G25" s="18">
        <v>200</v>
      </c>
      <c r="H25" s="19">
        <v>42.5</v>
      </c>
      <c r="I25" s="20">
        <f t="shared" si="0"/>
        <v>8500</v>
      </c>
    </row>
    <row r="26" spans="1:10" ht="13.5" thickBot="1" x14ac:dyDescent="0.25"/>
    <row r="27" spans="1:10" ht="21" customHeight="1" x14ac:dyDescent="0.2">
      <c r="B27" s="30" t="s">
        <v>52</v>
      </c>
      <c r="C27" s="31"/>
      <c r="D27" s="31"/>
      <c r="E27" s="32"/>
    </row>
    <row r="28" spans="1:10" ht="17.25" customHeight="1" thickBot="1" x14ac:dyDescent="0.25">
      <c r="B28" s="34"/>
      <c r="C28" s="35"/>
      <c r="D28" s="35"/>
      <c r="E28" s="36"/>
    </row>
    <row r="29" spans="1:10" ht="13.5" thickBot="1" x14ac:dyDescent="0.25"/>
    <row r="30" spans="1:10" ht="36.75" customHeight="1" thickBot="1" x14ac:dyDescent="0.25">
      <c r="B30" s="47" t="s">
        <v>53</v>
      </c>
      <c r="C30" s="48"/>
      <c r="D30" s="48"/>
      <c r="E30" s="49"/>
      <c r="F30" s="13"/>
      <c r="G30" s="13"/>
      <c r="H30" s="33"/>
    </row>
    <row r="32" spans="1:10" ht="13.5" thickBot="1" x14ac:dyDescent="0.25"/>
    <row r="33" spans="1:10" s="38" customFormat="1" ht="128.25" customHeight="1" thickBot="1" x14ac:dyDescent="0.25">
      <c r="A33" s="37"/>
      <c r="B33" s="44" t="s">
        <v>51</v>
      </c>
      <c r="C33" s="45"/>
      <c r="D33" s="45"/>
      <c r="E33" s="46"/>
      <c r="F33" s="37"/>
      <c r="G33" s="37"/>
      <c r="H33" s="37"/>
      <c r="I33" s="37"/>
      <c r="J33" s="37"/>
    </row>
  </sheetData>
  <autoFilter ref="A9:I25"/>
  <mergeCells count="9">
    <mergeCell ref="B33:E33"/>
    <mergeCell ref="A6:B6"/>
    <mergeCell ref="J12:L12"/>
    <mergeCell ref="B2:H2"/>
    <mergeCell ref="A4:B4"/>
    <mergeCell ref="C4:E4"/>
    <mergeCell ref="A5:B5"/>
    <mergeCell ref="C5:E5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2022-12-05T13:59:04Z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