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9425" windowHeight="11025"/>
  </bookViews>
  <sheets>
    <sheet name="PEDIDO" sheetId="4" r:id="rId1"/>
    <sheet name="NP" sheetId="2" r:id="rId2"/>
    <sheet name="APG" sheetId="3" r:id="rId3"/>
  </sheets>
  <calcPr calcId="145621"/>
</workbook>
</file>

<file path=xl/calcChain.xml><?xml version="1.0" encoding="utf-8"?>
<calcChain xmlns="http://schemas.openxmlformats.org/spreadsheetml/2006/main">
  <c r="L38" i="4" l="1"/>
  <c r="G6" i="3" l="1"/>
  <c r="G7" i="3"/>
  <c r="G4" i="3"/>
  <c r="G5" i="3"/>
  <c r="M38" i="2" l="1"/>
</calcChain>
</file>

<file path=xl/sharedStrings.xml><?xml version="1.0" encoding="utf-8"?>
<sst xmlns="http://schemas.openxmlformats.org/spreadsheetml/2006/main" count="243" uniqueCount="104">
  <si>
    <t>EJERCICIO: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</si>
  <si>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</si>
  <si>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</si>
  <si>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</si>
  <si>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</si>
  <si>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</si>
  <si>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</si>
  <si>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</si>
  <si>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</si>
  <si>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</si>
  <si>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</si>
  <si>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</si>
  <si>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</si>
  <si>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</si>
  <si>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</si>
  <si>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</si>
  <si>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</si>
  <si>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</si>
  <si>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</si>
  <si>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</si>
  <si>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</si>
  <si>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</si>
  <si>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</si>
  <si>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</si>
  <si>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</si>
  <si>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</si>
  <si>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</si>
  <si>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</si>
  <si>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</si>
  <si>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</si>
  <si>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</si>
  <si>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</si>
  <si>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</si>
  <si>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</si>
  <si>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</si>
  <si>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</si>
  <si>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</si>
  <si>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</si>
  <si>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DIRECCION PROVINCIAL DE FARMACIA E INSUMOS</t>
  </si>
  <si>
    <t>1.1</t>
  </si>
  <si>
    <t>PRODUCTOS FARMACEUTICOS Y MEDICINALES</t>
  </si>
  <si>
    <t>Autorizo la realización de los  trámites correspondientes, a fin de proveer a  este Organismo los bienes que se detallan en Nota  de Pedido N° ------------------------- afectando la erogación resultante a los créditos presupuestarios aprobados a favor de esta Unidad Ejecutora, conforme al siguiente detalle:</t>
  </si>
  <si>
    <t>2.5.2-1873.18</t>
  </si>
  <si>
    <t>2.5.2-1872.49</t>
  </si>
  <si>
    <t>2.5.2-2228.18</t>
  </si>
  <si>
    <t>2.5.2-1834.10</t>
  </si>
  <si>
    <t>2.5.2-1838.13</t>
  </si>
  <si>
    <t>2.5.2-1834.2</t>
  </si>
  <si>
    <t>2.5.2-2482.2</t>
  </si>
  <si>
    <t>2.5.2-1837.56</t>
  </si>
  <si>
    <t>2.5.2-1837.30</t>
  </si>
  <si>
    <t>2.5.2-1837.42</t>
  </si>
  <si>
    <t>2.5.2-1873.14</t>
  </si>
  <si>
    <t>2.5.2-2693.14</t>
  </si>
  <si>
    <t>2.5.2-2693.4</t>
  </si>
  <si>
    <t>2.5.2-1821.402</t>
  </si>
  <si>
    <t>2.5.2-1724.80</t>
  </si>
  <si>
    <t>2.5.2-1835.10</t>
  </si>
  <si>
    <t>2.5.2-1835.11</t>
  </si>
  <si>
    <t>2.5.2-1873.46</t>
  </si>
  <si>
    <t>2.5.2-1872.56</t>
  </si>
  <si>
    <t>2.5.2-4817.49</t>
  </si>
  <si>
    <t>2.5.2-4817.65</t>
  </si>
  <si>
    <t>2.5.2-1837.21</t>
  </si>
  <si>
    <t>2.5.2-1837.20</t>
  </si>
  <si>
    <t>2.5.2-1872.14</t>
  </si>
  <si>
    <t>2.5.2-1901.100</t>
  </si>
  <si>
    <t>2.5.2-1901.39</t>
  </si>
  <si>
    <t>ANTICOAGULANTES P/PERSONAS; TIPO: MONODROGA, DROGA GENERICA: AMINOCAPROICO, FORMA FARMACEUTICA: AMPOLLA, PRESENTACION: 2 GR</t>
  </si>
  <si>
    <t>ANTIANEMICOS; TIPO: MONODROGA, DROGA GENERICA: ACIDO FOLICO 5 MG, FORMA FARMACEUTICA: COMPRIMIDO, PRESENTACION: UNIDAD</t>
  </si>
  <si>
    <t>HEMOSTÁTICOS; TIPO: MONODROGA, DROGA GENÉRICA: ÁCIDO TRANEXÁMICO, FORMA FARMACEÚTICA: AMPOLLA 1 MG, PRESENTACIÓN: ENVASE X 10 ML</t>
  </si>
  <si>
    <t>ANTIARRITMICOS; TIPO: MONODROGA, DROGA GENERICA: ADENOSINA 3 MG/ML, FORMA FARMACEUTICA: AMPOLLA, PRESENTACION: 6 mGr</t>
  </si>
  <si>
    <t>INOTROPICOS; TIPO: MONODROGA, DROGA GENERICA: ADRENALINA 1 %, FORMA FARMACEUTICA: AMPOLLA, PRESENTACION: ENVASE X 1 mL</t>
  </si>
  <si>
    <t>ANTIARRITMICOS; TIPO: MONODROGA, DROGA GENERICA: AMIODARONA, FORMA FARMACEUTICA: AMPOLLA, PRESENTACION: 150 mGr</t>
  </si>
  <si>
    <t>ANTIANGINOSOS; TIPO: MONODROGA, DROGA GENERICA: AMIODARONA, FORMA FARMACEUTICA: COMPRIMIDO, PRESENTACION: 200 mGr</t>
  </si>
  <si>
    <t>HIPOTENSORES; TIPO: MONODROGA, DROGA GENERICA: CARVEDILOL, FORMA FARMACEUTICA: COMPRIMIDO, PRESENTACION: 12,5 mGr</t>
  </si>
  <si>
    <t>HIPOTENSORES; DROGA GENERICA: CARVEDILOL, FORMA FARMACEUTICA: COMPRIMIDO, TIPO: MONODROGA, PRESENTACION: 25 mGr</t>
  </si>
  <si>
    <t>HIPOTENSORES; TIPO: MONODROGA, DROGA GENERICA: CARVEDILOL, FORMA FARMACEUTICA: COMPRIMIDO, PRESENTACION: 6,25 mGr</t>
  </si>
  <si>
    <t>ANTICOAGULANTES P/PERSONAS; TIPO: MONODROGA, DROGA GENÉRICA: CLOPIDOGREL, FORMA FARMACEÚTICA: COMPRIMIDO, PRESENTACIÓN: 75 MGR</t>
  </si>
  <si>
    <t>CARDIOTONICOS; TIPO: MONODROGA, DROGA GENERICA: DIGOXINA, FORMA FARMACEUTICA: AMPOLLA, PRESENTACION: 0,25 mGr</t>
  </si>
  <si>
    <t>CARDIOTONICOS; TIPO: MONODROGA, DROGA GENERICA: DIGOXINA, FORMA FARMACEUTICA: COMPRIMIDO, PRESENTACION: 0,25 mGr</t>
  </si>
  <si>
    <t>ANTIBIOTICOS P/PERSONAS; TIPO: MONODROGA, DROGA GENERICA: ESTREPTOQUINASA 1,500,000 UI, FORMA FARMACEUTICA: AMPOLLA, PRESENTACION: UNIDAD</t>
  </si>
  <si>
    <t>ANALGESICOS ; TIPO: MONODROGA, DROGA GENERICA: ETILEFRINA CLORHIDRATO, FORMA FARMACEUTICA: AMPOLLA, PRESENTACION: 1 mL</t>
  </si>
  <si>
    <t>DIURETICOS; TIPO: MONODROGA, DROGA GENERICA: FUROSEMIDA, FORMA FARMACEUTICA: COMPRIMIDO, PRESENTACION: 40 mGr</t>
  </si>
  <si>
    <t>DIURETICOS; TIPO: MONODROGA, DROGA GENERICA: FUROSEMIDA, FORMA FARMACEUTICA: AMPOLLA, PRESENTACION: 20 mGr</t>
  </si>
  <si>
    <t>ANTICOAGULANTES P/PERSONAS; TIPO: MONODROGA, DROGA GENERICA: HEPARINA SODICA 5000 UI / ML, FORMA FARMACEUTICA: AMPOLLA, PRESENTACION: ENVASE X 5 mL</t>
  </si>
  <si>
    <t>ANTIANEMICOS; TIPO: MONODROGA, DROGA GENERICA: HIERRO DEXTRAN 50 mGr/ML, FORMA FARMACEUTICA: AMPOLLA, PRESENTACION: 2 mL</t>
  </si>
  <si>
    <t>ANTIHIPERTENSIVOS; TIPO: MONODROGA, DROGA GENERICA: LOSARTAN POTASICO 100 mGr, FORMA FARMACEUTICA: COMPRIMIDO, PRESENTACION: UNIDAD</t>
  </si>
  <si>
    <t>ANTIHIPERTENSIVOS; TIPO: MONODROGA, DROGA GENERICA: LOSARTAN, FORMA FARMACEUTICA: COMPRIMIDO, PRESENTACION: 50 mGr</t>
  </si>
  <si>
    <t>HIPOTENSORES; TIPO: MONODROGA, DROGA GENERICA: METILDOPA, FORMA FARMACEUTICA: COMPRIMIDO, PRESENTACION: 500 mGr</t>
  </si>
  <si>
    <t>HIPOTENSORES; TIPO: MONODROGA, DROGA GENERICA: NITROPRUSIATO DE SODIO, FORMA FARMACEUTICA: AMPOLLA, PRESENTACION: 50 mGr</t>
  </si>
  <si>
    <t>ANTIANEMICOS; TIPO: MONODROGA, DROGA GENERICA: SULFATO FERROSO 200 mGr, FORMA FARMACEUTICA: COMPRIMIDO, PRESENTACION: SIN VALOR</t>
  </si>
  <si>
    <t>VITAMINAS; TIPO: MONODROGA, DROGA GENERICA: VITAMINA K, FORMA FARMACEUTICA: AMPOLLA, PRESENTACION: 1 mGr</t>
  </si>
  <si>
    <t>VITAMINAS; TIPO: MONODROGA, DROGA GENERICA: VITAMINA K, FORMA FARMACEUTICA: AMPOLLA, PRESENTACION: 10 mGr</t>
  </si>
  <si>
    <t xml:space="preserve">UNIDAD </t>
  </si>
  <si>
    <t>SI</t>
  </si>
  <si>
    <t>SON PESOS CINCO MILLONES QUINIENTOS TRES MIL QUINIENTOS DOCE CON CERO CENTAVO.-</t>
  </si>
  <si>
    <t>ADQUISICION DEL RUBRO SANGRE Y ORGANOS HEMATOPOYETICOS /SISTEMA CARDIOVASCULAR</t>
  </si>
  <si>
    <t xml:space="preserve"> 4 MESES</t>
  </si>
  <si>
    <t>TOTAL DE PESOS: CINCO MILLONES QUINIENTOS  TRES MIL QUINIENTOS DOCE CON CERO CENTAVO.-</t>
  </si>
  <si>
    <t>PEDIDO CONVENIO MARCO GRUPO TERAPEUTICO SANGRE , ORGANOS HEMATOPOYETICOS Y SISTEMA CARDIOVASCULAR.-        PROCESO:100-0057-CPR22                                                                    EX2022-01506900- -CAT-DPCBS#MEC</t>
  </si>
  <si>
    <t>040- MINISTERIO DE SALUD</t>
  </si>
  <si>
    <t>011-DIRECCION PROVINCIAL DE ADMINISTRACION-MINISTERIO DE SALUD.-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</si>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</sst>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 &quot;$&quot;\ * #,##0.00_ ;_ &quot;$&quot;\ * \-#,##0.00_ ;_ &quot;$&quot;\ * &quot;-&quot;??_ ;_ @_ "/>
    <numFmt numFmtId="164" formatCode="_-* #,##0.00_-;\-* #,##0.00_-;_-* &quot;-&quot;??_-;_-@_-"/>
    <numFmt numFmtId="165" formatCode="_-[$$-2C0A]\ * #,##0.00_-;\-[$$-2C0A]\ * #,##0.00_-;_-[$$-2C0A]\ * &quot;-&quot;??_-;_-@_-"/>
    <numFmt numFmtId="166" formatCode="[$$-2C0A]\ #,##0.00"/>
    <numFmt numFmtId="167" formatCode="dd\-mm\-yy;@"/>
    <numFmt numFmtId="168" formatCode="_(\$* #,##0.00_);_(\$* \(#,##0.00\);_(\$* \-??_);_(@_)"/>
    <numFmt numFmtId="169" formatCode="[$$-2C0A]\ #,##0.00;[$$-2C0A]&quot; -&quot;#,##0.00"/>
    <numFmt numFmtId="170" formatCode="_-* #,##0.00&quot; €&quot;_-;\-* #,##0.00&quot; €&quot;_-;_-* \-??&quot; €&quot;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sz val="11"/>
      <name val="Calibri"/>
      <family val="2"/>
      <scheme val="minor"/>
    </font>
    <font>
      <sz val="11"/>
      <color rgb="FF333333"/>
      <name val="Helvetica"/>
      <family val="2"/>
    </font>
    <font>
      <sz val="12"/>
      <color rgb="FF000000"/>
      <name val="Tahoma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indexed="64"/>
      </bottom>
      <diagonal/>
    </border>
    <border>
      <left/>
      <right style="medium">
        <color auto="1"/>
      </right>
      <top style="medium">
        <color rgb="FF3D3D3D"/>
      </top>
      <bottom style="medium">
        <color indexed="64"/>
      </bottom>
      <diagonal/>
    </border>
  </borders>
  <cellStyleXfs count="32">
    <xf numFmtId="0" fontId="0" fillId="0" borderId="0"/>
    <xf numFmtId="0" fontId="2" fillId="0" borderId="0"/>
    <xf numFmtId="44" fontId="2" fillId="0" borderId="0" applyBorder="0" applyAlignment="0" applyProtection="0"/>
    <xf numFmtId="0" fontId="1" fillId="0" borderId="0"/>
    <xf numFmtId="0" fontId="2" fillId="0" borderId="0"/>
    <xf numFmtId="0" fontId="2" fillId="0" borderId="0"/>
    <xf numFmtId="168" fontId="12" fillId="0" borderId="0" applyBorder="0" applyProtection="0"/>
    <xf numFmtId="0" fontId="16" fillId="0" borderId="49" applyProtection="0"/>
    <xf numFmtId="0" fontId="16" fillId="0" borderId="49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2" fillId="0" borderId="0" applyBorder="0" applyAlignment="0" applyProtection="0"/>
    <xf numFmtId="170" fontId="2" fillId="0" borderId="0" applyBorder="0" applyProtection="0"/>
    <xf numFmtId="170" fontId="2" fillId="0" borderId="0" applyBorder="0" applyProtection="0"/>
    <xf numFmtId="170" fontId="2" fillId="0" borderId="0" applyBorder="0" applyProtection="0"/>
    <xf numFmtId="0" fontId="17" fillId="3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21">
    <xf numFmtId="0" fontId="0" fillId="0" borderId="0" xfId="0"/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horizontal="left" vertical="center" wrapText="1" indent="1"/>
    </xf>
    <xf numFmtId="3" fontId="10" fillId="0" borderId="21" xfId="0" applyNumberFormat="1" applyFont="1" applyBorder="1" applyAlignment="1"/>
    <xf numFmtId="167" fontId="0" fillId="0" borderId="21" xfId="0" applyNumberFormat="1" applyBorder="1" applyAlignment="1">
      <alignment horizontal="left"/>
    </xf>
    <xf numFmtId="0" fontId="0" fillId="0" borderId="21" xfId="0" applyBorder="1"/>
    <xf numFmtId="0" fontId="0" fillId="0" borderId="15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7" xfId="0" applyBorder="1"/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1" xfId="0" applyFont="1" applyBorder="1" applyAlignment="1">
      <alignment horizontal="left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9" fontId="0" fillId="0" borderId="42" xfId="6" applyNumberFormat="1" applyFont="1" applyBorder="1" applyAlignment="1" applyProtection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9" fontId="0" fillId="0" borderId="46" xfId="6" applyNumberFormat="1" applyFont="1" applyBorder="1" applyAlignment="1" applyProtection="1">
      <alignment horizontal="center" vertical="center"/>
    </xf>
    <xf numFmtId="165" fontId="4" fillId="0" borderId="5" xfId="0" applyNumberFormat="1" applyFont="1" applyBorder="1" applyAlignment="1">
      <alignment horizontal="right" vertical="center"/>
    </xf>
    <xf numFmtId="165" fontId="4" fillId="0" borderId="0" xfId="0" applyNumberFormat="1" applyFont="1" applyBorder="1" applyAlignment="1">
      <alignment vertical="center"/>
    </xf>
    <xf numFmtId="165" fontId="5" fillId="0" borderId="0" xfId="0" applyNumberFormat="1" applyFont="1" applyBorder="1" applyAlignment="1">
      <alignment horizontal="left" vertical="center" wrapText="1" indent="1"/>
    </xf>
    <xf numFmtId="165" fontId="0" fillId="0" borderId="0" xfId="0" applyNumberFormat="1"/>
    <xf numFmtId="165" fontId="18" fillId="0" borderId="0" xfId="0" applyNumberFormat="1" applyFont="1"/>
    <xf numFmtId="0" fontId="2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 indent="1"/>
    </xf>
    <xf numFmtId="166" fontId="22" fillId="0" borderId="1" xfId="0" applyNumberFormat="1" applyFont="1" applyBorder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169" fontId="11" fillId="0" borderId="48" xfId="0" applyNumberFormat="1" applyFont="1" applyBorder="1" applyAlignment="1">
      <alignment horizontal="center" vertical="center"/>
    </xf>
    <xf numFmtId="169" fontId="27" fillId="0" borderId="37" xfId="6" applyNumberFormat="1" applyFont="1" applyBorder="1" applyAlignment="1" applyProtection="1">
      <alignment horizontal="center" vertical="center"/>
    </xf>
    <xf numFmtId="0" fontId="21" fillId="2" borderId="54" xfId="0" applyFont="1" applyFill="1" applyBorder="1" applyAlignment="1">
      <alignment vertical="center" wrapText="1"/>
    </xf>
    <xf numFmtId="0" fontId="21" fillId="2" borderId="55" xfId="0" applyFont="1" applyFill="1" applyBorder="1" applyAlignment="1">
      <alignment vertical="center" wrapText="1"/>
    </xf>
    <xf numFmtId="0" fontId="21" fillId="2" borderId="3" xfId="0" applyFont="1" applyFill="1" applyBorder="1" applyAlignment="1">
      <alignment vertical="center" wrapText="1"/>
    </xf>
    <xf numFmtId="0" fontId="23" fillId="0" borderId="19" xfId="0" applyFont="1" applyBorder="1" applyAlignment="1">
      <alignment horizontal="left" vertical="center"/>
    </xf>
    <xf numFmtId="0" fontId="23" fillId="0" borderId="56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1" fillId="2" borderId="57" xfId="0" applyFont="1" applyFill="1" applyBorder="1" applyAlignment="1">
      <alignment vertical="center" wrapText="1"/>
    </xf>
    <xf numFmtId="0" fontId="21" fillId="2" borderId="58" xfId="0" applyFont="1" applyFill="1" applyBorder="1" applyAlignment="1">
      <alignment vertical="center" wrapText="1"/>
    </xf>
    <xf numFmtId="0" fontId="21" fillId="2" borderId="59" xfId="0" applyFont="1" applyFill="1" applyBorder="1" applyAlignment="1">
      <alignment vertical="center" wrapText="1"/>
    </xf>
    <xf numFmtId="166" fontId="19" fillId="0" borderId="11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65" fontId="7" fillId="0" borderId="17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 indent="1"/>
    </xf>
    <xf numFmtId="0" fontId="5" fillId="0" borderId="56" xfId="0" applyFont="1" applyBorder="1" applyAlignment="1">
      <alignment horizontal="left" vertical="center" wrapText="1" indent="1"/>
    </xf>
    <xf numFmtId="0" fontId="5" fillId="0" borderId="20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vertical="center" wrapText="1"/>
    </xf>
    <xf numFmtId="0" fontId="10" fillId="0" borderId="56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3" fillId="0" borderId="61" xfId="0" applyFont="1" applyBorder="1" applyAlignment="1">
      <alignment vertical="center" wrapText="1"/>
    </xf>
    <xf numFmtId="0" fontId="13" fillId="0" borderId="62" xfId="0" applyFont="1" applyBorder="1" applyAlignment="1">
      <alignment vertical="center" wrapText="1"/>
    </xf>
    <xf numFmtId="0" fontId="13" fillId="0" borderId="63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25" fillId="0" borderId="21" xfId="0" applyFont="1" applyBorder="1" applyAlignment="1">
      <alignment vertical="center" wrapText="1"/>
    </xf>
    <xf numFmtId="0" fontId="25" fillId="0" borderId="52" xfId="0" applyFont="1" applyBorder="1" applyAlignment="1">
      <alignment vertical="center" wrapText="1"/>
    </xf>
    <xf numFmtId="0" fontId="25" fillId="0" borderId="50" xfId="0" applyFont="1" applyBorder="1" applyAlignment="1">
      <alignment vertical="center" wrapText="1"/>
    </xf>
    <xf numFmtId="0" fontId="25" fillId="0" borderId="51" xfId="0" applyFont="1" applyBorder="1" applyAlignment="1">
      <alignment vertical="center" wrapText="1"/>
    </xf>
    <xf numFmtId="0" fontId="25" fillId="0" borderId="53" xfId="0" applyFont="1" applyBorder="1" applyAlignment="1">
      <alignment vertical="center" wrapText="1"/>
    </xf>
    <xf numFmtId="0" fontId="0" fillId="0" borderId="41" xfId="0" applyFont="1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0" fillId="0" borderId="47" xfId="0" applyFont="1" applyBorder="1" applyAlignment="1">
      <alignment horizontal="left" vertical="center" wrapText="1"/>
    </xf>
    <xf numFmtId="0" fontId="0" fillId="0" borderId="25" xfId="0" applyBorder="1"/>
    <xf numFmtId="0" fontId="0" fillId="0" borderId="41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justify" vertical="center" wrapText="1"/>
    </xf>
    <xf numFmtId="0" fontId="15" fillId="0" borderId="25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13" fillId="0" borderId="25" xfId="0" applyFont="1" applyBorder="1" applyAlignment="1">
      <alignment horizontal="left"/>
    </xf>
    <xf numFmtId="0" fontId="0" fillId="0" borderId="19" xfId="0" applyFont="1" applyBorder="1" applyAlignment="1">
      <alignment horizontal="center"/>
    </xf>
    <xf numFmtId="3" fontId="10" fillId="0" borderId="20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2" fillId="0" borderId="22" xfId="0" applyFont="1" applyBorder="1"/>
    <xf numFmtId="0" fontId="13" fillId="0" borderId="23" xfId="0" applyFont="1" applyBorder="1" applyAlignment="1">
      <alignment horizontal="left" indent="1"/>
    </xf>
    <xf numFmtId="0" fontId="8" fillId="0" borderId="22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/>
    </xf>
    <xf numFmtId="165" fontId="4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</cellXfs>
  <cellStyles count="32">
    <cellStyle name="Encabezado 1" xfId="7"/>
    <cellStyle name="Encabezado 1 2" xfId="8"/>
    <cellStyle name="Millares 2" xfId="9"/>
    <cellStyle name="Millares 2 2" xfId="10"/>
    <cellStyle name="Moneda 2" xfId="2"/>
    <cellStyle name="Moneda 2 2" xfId="11"/>
    <cellStyle name="Moneda 3" xfId="12"/>
    <cellStyle name="Moneda 4" xfId="13"/>
    <cellStyle name="Moneda 5" xfId="14"/>
    <cellStyle name="Moneda_AUTORIZACION Y NOTA DE PEDIDO" xfId="6"/>
    <cellStyle name="Neutral 1" xfId="15"/>
    <cellStyle name="Normal" xfId="0" builtinId="0"/>
    <cellStyle name="Normal 2" xfId="1"/>
    <cellStyle name="Normal 2 2" xfId="4"/>
    <cellStyle name="Normal 3" xfId="16"/>
    <cellStyle name="Normal 3 2" xfId="17"/>
    <cellStyle name="Normal 3 2 2" xfId="18"/>
    <cellStyle name="Normal 3 3" xfId="19"/>
    <cellStyle name="Normal 3 4" xfId="20"/>
    <cellStyle name="Normal 3 4 2" xfId="21"/>
    <cellStyle name="Normal 4" xfId="5"/>
    <cellStyle name="Normal 4 2" xfId="22"/>
    <cellStyle name="Normal 4 3" xfId="23"/>
    <cellStyle name="Normal 4 3 2" xfId="24"/>
    <cellStyle name="Normal 5" xfId="3"/>
    <cellStyle name="Normal 5 2" xfId="25"/>
    <cellStyle name="Normal 6" xfId="26"/>
    <cellStyle name="Normal 7" xfId="27"/>
    <cellStyle name="Normal 8" xfId="28"/>
    <cellStyle name="Normal 8 2" xfId="29"/>
    <cellStyle name="Normal 8 3" xfId="30"/>
    <cellStyle name="Normal 8 4" xfId="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5"/>
  <sheetViews>
    <sheetView tabSelected="1" workbookViewId="0">
      <selection activeCell="C17" sqref="C17:G17"/>
    </sheetView>
  </sheetViews>
  <sheetFormatPr baseColWidth="10" defaultRowHeight="15" x14ac:dyDescent="0.25"/>
  <cols>
    <col min="1" max="1" width="5.5703125" customWidth="1"/>
    <col min="2" max="2" width="17.425781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1.28515625" customWidth="1"/>
    <col min="8" max="8" width="15.5703125" customWidth="1"/>
    <col min="9" max="9" width="14.7109375" style="44" customWidth="1"/>
    <col min="10" max="10" width="15.5703125" customWidth="1"/>
    <col min="12" max="12" width="15.5703125" style="45" bestFit="1" customWidth="1"/>
  </cols>
  <sheetData>
    <row r="1" spans="1:10" ht="30" x14ac:dyDescent="0.25">
      <c r="A1" s="119"/>
      <c r="B1" s="119"/>
      <c r="C1" s="119"/>
      <c r="D1" s="119"/>
      <c r="E1" s="119"/>
      <c r="F1" s="119"/>
      <c r="G1" s="119"/>
      <c r="H1" s="119"/>
      <c r="I1" s="117"/>
      <c r="J1" s="118"/>
    </row>
    <row r="2" spans="1:10" ht="15.75" x14ac:dyDescent="0.25">
      <c r="A2" s="4"/>
      <c r="B2" s="4"/>
      <c r="C2" s="4"/>
      <c r="D2" s="4"/>
      <c r="E2" s="4"/>
      <c r="F2" s="4"/>
      <c r="G2" s="4"/>
      <c r="H2" s="4"/>
      <c r="I2" s="42"/>
      <c r="J2" s="4"/>
    </row>
    <row r="3" spans="1:10" ht="16.5" customHeight="1" x14ac:dyDescent="0.25">
      <c r="A3" s="120"/>
      <c r="B3" s="120"/>
      <c r="C3" s="120"/>
      <c r="D3" s="8"/>
      <c r="E3" s="8"/>
      <c r="F3" s="8"/>
      <c r="G3" s="8"/>
      <c r="H3" s="8"/>
      <c r="I3" s="8"/>
      <c r="J3" s="8"/>
    </row>
    <row r="4" spans="1:10" ht="15.75" x14ac:dyDescent="0.25">
      <c r="A4" s="120"/>
      <c r="B4" s="120"/>
      <c r="C4" s="120"/>
      <c r="D4" s="8"/>
      <c r="E4" s="8"/>
      <c r="F4" s="8"/>
      <c r="G4" s="8"/>
      <c r="H4" s="8"/>
      <c r="I4" s="8"/>
      <c r="J4" s="8"/>
    </row>
    <row r="5" spans="1:10" ht="15.75" x14ac:dyDescent="0.25">
      <c r="A5" s="120"/>
      <c r="B5" s="120"/>
      <c r="C5" s="120"/>
      <c r="D5" s="8"/>
      <c r="E5" s="8"/>
      <c r="F5" s="8"/>
      <c r="G5" s="8"/>
      <c r="H5" s="8"/>
      <c r="I5" s="8"/>
      <c r="J5" s="8"/>
    </row>
    <row r="6" spans="1:10" ht="15.75" x14ac:dyDescent="0.25">
      <c r="A6" s="120"/>
      <c r="B6" s="120"/>
      <c r="C6" s="120"/>
      <c r="D6" s="8"/>
      <c r="E6" s="8"/>
      <c r="F6" s="8"/>
      <c r="G6" s="8"/>
      <c r="H6" s="8"/>
      <c r="I6" s="8"/>
      <c r="J6" s="8"/>
    </row>
    <row r="7" spans="1:10" ht="15.75" x14ac:dyDescent="0.25">
      <c r="A7" s="120"/>
      <c r="B7" s="120"/>
      <c r="C7" s="120"/>
      <c r="D7" s="8"/>
      <c r="E7" s="8"/>
      <c r="F7" s="8"/>
      <c r="G7" s="8"/>
      <c r="H7" s="8"/>
      <c r="I7" s="8"/>
      <c r="J7" s="8"/>
    </row>
    <row r="8" spans="1:10" ht="38.25" customHeight="1" x14ac:dyDescent="0.25">
      <c r="A8" s="7"/>
      <c r="B8" s="7"/>
      <c r="C8" s="7"/>
      <c r="D8" s="8"/>
      <c r="E8" s="8"/>
      <c r="F8" s="8"/>
      <c r="G8" s="8"/>
      <c r="H8" s="8"/>
      <c r="I8" s="8"/>
      <c r="J8" s="8"/>
    </row>
    <row r="9" spans="1:10" ht="16.5" thickBot="1" x14ac:dyDescent="0.3">
      <c r="A9" s="6"/>
      <c r="B9" s="7"/>
      <c r="C9" s="7"/>
      <c r="D9" s="8"/>
      <c r="E9" s="8"/>
      <c r="F9" s="8"/>
      <c r="G9" s="8"/>
      <c r="H9" s="8"/>
      <c r="I9" s="43"/>
      <c r="J9" s="9"/>
    </row>
    <row r="10" spans="1:10" ht="15.75" customHeight="1" thickBot="1" x14ac:dyDescent="0.3">
      <c r="A10" s="73" t="s">
        <v>103</v>
      </c>
      <c r="B10" s="71" t="s">
        <v>10</v>
      </c>
      <c r="C10" s="71" t="s">
        <v>11</v>
      </c>
      <c r="D10" s="71"/>
      <c r="E10" s="71"/>
      <c r="F10" s="71"/>
      <c r="G10" s="71"/>
      <c r="H10" s="71" t="s">
        <v>13</v>
      </c>
      <c r="I10" s="72" t="s">
        <v>14</v>
      </c>
      <c r="J10" s="70" t="s">
        <v>15</v>
      </c>
    </row>
    <row r="11" spans="1:10" ht="29.25" customHeight="1" x14ac:dyDescent="0.25">
      <c r="A11" s="73"/>
      <c r="B11" s="71"/>
      <c r="C11" s="71"/>
      <c r="D11" s="71"/>
      <c r="E11" s="71"/>
      <c r="F11" s="71"/>
      <c r="G11" s="71"/>
      <c r="H11" s="71"/>
      <c r="I11" s="72"/>
      <c r="J11" s="70"/>
    </row>
    <row r="12" spans="1:10" ht="33" customHeight="1" x14ac:dyDescent="0.25">
      <c r="A12" s="47">
        <v>2</v>
      </c>
      <c r="B12" s="46" t="s">
        <v>42</v>
      </c>
      <c r="C12" s="60" t="s">
        <v>68</v>
      </c>
      <c r="D12" s="61"/>
      <c r="E12" s="61"/>
      <c r="F12" s="61"/>
      <c r="G12" s="62"/>
      <c r="H12" s="49" t="s">
        <v>94</v>
      </c>
      <c r="I12" s="53">
        <v>149</v>
      </c>
      <c r="J12" s="49">
        <v>50</v>
      </c>
    </row>
    <row r="13" spans="1:10" ht="33" customHeight="1" x14ac:dyDescent="0.25">
      <c r="A13" s="47">
        <v>4</v>
      </c>
      <c r="B13" s="46" t="s">
        <v>43</v>
      </c>
      <c r="C13" s="60" t="s">
        <v>69</v>
      </c>
      <c r="D13" s="61"/>
      <c r="E13" s="61"/>
      <c r="F13" s="61"/>
      <c r="G13" s="62"/>
      <c r="H13" s="49" t="s">
        <v>94</v>
      </c>
      <c r="I13" s="53">
        <v>4.7</v>
      </c>
      <c r="J13" s="49">
        <v>3000</v>
      </c>
    </row>
    <row r="14" spans="1:10" ht="33" customHeight="1" x14ac:dyDescent="0.25">
      <c r="A14" s="47">
        <v>5</v>
      </c>
      <c r="B14" s="46" t="s">
        <v>44</v>
      </c>
      <c r="C14" s="60" t="s">
        <v>70</v>
      </c>
      <c r="D14" s="61"/>
      <c r="E14" s="61"/>
      <c r="F14" s="61"/>
      <c r="G14" s="62"/>
      <c r="H14" s="49" t="s">
        <v>94</v>
      </c>
      <c r="I14" s="53">
        <v>1807.5</v>
      </c>
      <c r="J14" s="49">
        <v>50</v>
      </c>
    </row>
    <row r="15" spans="1:10" ht="33" customHeight="1" x14ac:dyDescent="0.25">
      <c r="A15" s="47">
        <v>7</v>
      </c>
      <c r="B15" s="46" t="s">
        <v>45</v>
      </c>
      <c r="C15" s="60" t="s">
        <v>71</v>
      </c>
      <c r="D15" s="61"/>
      <c r="E15" s="61"/>
      <c r="F15" s="61"/>
      <c r="G15" s="62"/>
      <c r="H15" s="49" t="s">
        <v>94</v>
      </c>
      <c r="I15" s="53">
        <v>115.58</v>
      </c>
      <c r="J15" s="49">
        <v>200</v>
      </c>
    </row>
    <row r="16" spans="1:10" ht="33" customHeight="1" x14ac:dyDescent="0.25">
      <c r="A16" s="47">
        <v>8</v>
      </c>
      <c r="B16" s="46" t="s">
        <v>46</v>
      </c>
      <c r="C16" s="60" t="s">
        <v>72</v>
      </c>
      <c r="D16" s="61"/>
      <c r="E16" s="61"/>
      <c r="F16" s="61"/>
      <c r="G16" s="62"/>
      <c r="H16" s="49" t="s">
        <v>94</v>
      </c>
      <c r="I16" s="53">
        <v>37.99</v>
      </c>
      <c r="J16" s="49">
        <v>1000</v>
      </c>
    </row>
    <row r="17" spans="1:10" ht="33" customHeight="1" x14ac:dyDescent="0.25">
      <c r="A17" s="47">
        <v>10</v>
      </c>
      <c r="B17" s="46" t="s">
        <v>47</v>
      </c>
      <c r="C17" s="60" t="s">
        <v>73</v>
      </c>
      <c r="D17" s="61"/>
      <c r="E17" s="61"/>
      <c r="F17" s="61"/>
      <c r="G17" s="62"/>
      <c r="H17" s="49" t="s">
        <v>94</v>
      </c>
      <c r="I17" s="53">
        <v>201.6</v>
      </c>
      <c r="J17" s="49">
        <v>1000</v>
      </c>
    </row>
    <row r="18" spans="1:10" ht="33" customHeight="1" x14ac:dyDescent="0.25">
      <c r="A18" s="47">
        <v>11</v>
      </c>
      <c r="B18" s="46" t="s">
        <v>48</v>
      </c>
      <c r="C18" s="60" t="s">
        <v>74</v>
      </c>
      <c r="D18" s="61"/>
      <c r="E18" s="61"/>
      <c r="F18" s="61"/>
      <c r="G18" s="62"/>
      <c r="H18" s="49" t="s">
        <v>94</v>
      </c>
      <c r="I18" s="53">
        <v>19.739999999999998</v>
      </c>
      <c r="J18" s="49">
        <v>2000</v>
      </c>
    </row>
    <row r="19" spans="1:10" ht="33" customHeight="1" x14ac:dyDescent="0.25">
      <c r="A19" s="48">
        <v>17</v>
      </c>
      <c r="B19" s="46" t="s">
        <v>49</v>
      </c>
      <c r="C19" s="60" t="s">
        <v>75</v>
      </c>
      <c r="D19" s="61"/>
      <c r="E19" s="61"/>
      <c r="F19" s="61"/>
      <c r="G19" s="62"/>
      <c r="H19" s="49" t="s">
        <v>94</v>
      </c>
      <c r="I19" s="53">
        <v>4.9000000000000004</v>
      </c>
      <c r="J19" s="49">
        <v>15000</v>
      </c>
    </row>
    <row r="20" spans="1:10" ht="33" customHeight="1" x14ac:dyDescent="0.25">
      <c r="A20" s="48">
        <v>18</v>
      </c>
      <c r="B20" s="46" t="s">
        <v>50</v>
      </c>
      <c r="C20" s="60" t="s">
        <v>76</v>
      </c>
      <c r="D20" s="61"/>
      <c r="E20" s="61"/>
      <c r="F20" s="61"/>
      <c r="G20" s="62"/>
      <c r="H20" s="49" t="s">
        <v>94</v>
      </c>
      <c r="I20" s="53">
        <v>6.04</v>
      </c>
      <c r="J20" s="49">
        <v>10000</v>
      </c>
    </row>
    <row r="21" spans="1:10" ht="33" customHeight="1" x14ac:dyDescent="0.25">
      <c r="A21" s="48">
        <v>19</v>
      </c>
      <c r="B21" s="46" t="s">
        <v>51</v>
      </c>
      <c r="C21" s="60" t="s">
        <v>77</v>
      </c>
      <c r="D21" s="61"/>
      <c r="E21" s="61"/>
      <c r="F21" s="61"/>
      <c r="G21" s="62"/>
      <c r="H21" s="49" t="s">
        <v>94</v>
      </c>
      <c r="I21" s="53">
        <v>4.04</v>
      </c>
      <c r="J21" s="49">
        <v>30000</v>
      </c>
    </row>
    <row r="22" spans="1:10" ht="33" customHeight="1" x14ac:dyDescent="0.25">
      <c r="A22" s="48">
        <v>20</v>
      </c>
      <c r="B22" s="46" t="s">
        <v>52</v>
      </c>
      <c r="C22" s="60" t="s">
        <v>78</v>
      </c>
      <c r="D22" s="61"/>
      <c r="E22" s="61"/>
      <c r="F22" s="61"/>
      <c r="G22" s="62"/>
      <c r="H22" s="49" t="s">
        <v>94</v>
      </c>
      <c r="I22" s="53">
        <v>10.72</v>
      </c>
      <c r="J22" s="49">
        <v>1000</v>
      </c>
    </row>
    <row r="23" spans="1:10" ht="33" customHeight="1" x14ac:dyDescent="0.25">
      <c r="A23" s="48">
        <v>22</v>
      </c>
      <c r="B23" s="46" t="s">
        <v>53</v>
      </c>
      <c r="C23" s="60" t="s">
        <v>79</v>
      </c>
      <c r="D23" s="61"/>
      <c r="E23" s="61"/>
      <c r="F23" s="61"/>
      <c r="G23" s="62"/>
      <c r="H23" s="49" t="s">
        <v>94</v>
      </c>
      <c r="I23" s="53">
        <v>42.85</v>
      </c>
      <c r="J23" s="49">
        <v>1000</v>
      </c>
    </row>
    <row r="24" spans="1:10" ht="33" customHeight="1" x14ac:dyDescent="0.25">
      <c r="A24" s="48">
        <v>23</v>
      </c>
      <c r="B24" s="46" t="s">
        <v>54</v>
      </c>
      <c r="C24" s="60" t="s">
        <v>80</v>
      </c>
      <c r="D24" s="61"/>
      <c r="E24" s="61"/>
      <c r="F24" s="61"/>
      <c r="G24" s="62"/>
      <c r="H24" s="49" t="s">
        <v>94</v>
      </c>
      <c r="I24" s="53">
        <v>29.8</v>
      </c>
      <c r="J24" s="49">
        <v>1000</v>
      </c>
    </row>
    <row r="25" spans="1:10" ht="33" customHeight="1" x14ac:dyDescent="0.25">
      <c r="A25" s="48">
        <v>33</v>
      </c>
      <c r="B25" s="46" t="s">
        <v>55</v>
      </c>
      <c r="C25" s="60" t="s">
        <v>81</v>
      </c>
      <c r="D25" s="61"/>
      <c r="E25" s="61"/>
      <c r="F25" s="61"/>
      <c r="G25" s="62"/>
      <c r="H25" s="49" t="s">
        <v>94</v>
      </c>
      <c r="I25" s="53">
        <v>126240</v>
      </c>
      <c r="J25" s="49">
        <v>10</v>
      </c>
    </row>
    <row r="26" spans="1:10" ht="33" customHeight="1" x14ac:dyDescent="0.25">
      <c r="A26" s="48">
        <v>34</v>
      </c>
      <c r="B26" s="46" t="s">
        <v>56</v>
      </c>
      <c r="C26" s="60" t="s">
        <v>82</v>
      </c>
      <c r="D26" s="61"/>
      <c r="E26" s="61"/>
      <c r="F26" s="61"/>
      <c r="G26" s="62"/>
      <c r="H26" s="49" t="s">
        <v>94</v>
      </c>
      <c r="I26" s="53">
        <v>98.45</v>
      </c>
      <c r="J26" s="49">
        <v>300</v>
      </c>
    </row>
    <row r="27" spans="1:10" ht="33" customHeight="1" x14ac:dyDescent="0.25">
      <c r="A27" s="48">
        <v>36</v>
      </c>
      <c r="B27" s="46" t="s">
        <v>57</v>
      </c>
      <c r="C27" s="60" t="s">
        <v>83</v>
      </c>
      <c r="D27" s="61"/>
      <c r="E27" s="61"/>
      <c r="F27" s="61"/>
      <c r="G27" s="62"/>
      <c r="H27" s="49" t="s">
        <v>94</v>
      </c>
      <c r="I27" s="53">
        <v>3.62</v>
      </c>
      <c r="J27" s="49">
        <v>2000</v>
      </c>
    </row>
    <row r="28" spans="1:10" ht="33" customHeight="1" x14ac:dyDescent="0.25">
      <c r="A28" s="48">
        <v>37</v>
      </c>
      <c r="B28" s="46" t="s">
        <v>58</v>
      </c>
      <c r="C28" s="60" t="s">
        <v>84</v>
      </c>
      <c r="D28" s="61"/>
      <c r="E28" s="61"/>
      <c r="F28" s="61"/>
      <c r="G28" s="62"/>
      <c r="H28" s="49" t="s">
        <v>94</v>
      </c>
      <c r="I28" s="53">
        <v>28.89</v>
      </c>
      <c r="J28" s="49">
        <v>12000</v>
      </c>
    </row>
    <row r="29" spans="1:10" ht="33" customHeight="1" x14ac:dyDescent="0.25">
      <c r="A29" s="48">
        <v>38</v>
      </c>
      <c r="B29" s="46" t="s">
        <v>59</v>
      </c>
      <c r="C29" s="60" t="s">
        <v>85</v>
      </c>
      <c r="D29" s="61"/>
      <c r="E29" s="61"/>
      <c r="F29" s="61"/>
      <c r="G29" s="62"/>
      <c r="H29" s="49" t="s">
        <v>94</v>
      </c>
      <c r="I29" s="53">
        <v>581</v>
      </c>
      <c r="J29" s="49">
        <v>1000</v>
      </c>
    </row>
    <row r="30" spans="1:10" ht="33" customHeight="1" x14ac:dyDescent="0.25">
      <c r="A30" s="48">
        <v>40</v>
      </c>
      <c r="B30" s="46" t="s">
        <v>60</v>
      </c>
      <c r="C30" s="60" t="s">
        <v>86</v>
      </c>
      <c r="D30" s="61"/>
      <c r="E30" s="61"/>
      <c r="F30" s="61"/>
      <c r="G30" s="62"/>
      <c r="H30" s="49" t="s">
        <v>94</v>
      </c>
      <c r="I30" s="53">
        <v>498.75</v>
      </c>
      <c r="J30" s="49">
        <v>100</v>
      </c>
    </row>
    <row r="31" spans="1:10" ht="33" customHeight="1" x14ac:dyDescent="0.25">
      <c r="A31" s="48">
        <v>47</v>
      </c>
      <c r="B31" s="46" t="s">
        <v>61</v>
      </c>
      <c r="C31" s="60" t="s">
        <v>87</v>
      </c>
      <c r="D31" s="61"/>
      <c r="E31" s="61"/>
      <c r="F31" s="61"/>
      <c r="G31" s="62"/>
      <c r="H31" s="49" t="s">
        <v>94</v>
      </c>
      <c r="I31" s="53">
        <v>7.04</v>
      </c>
      <c r="J31" s="49">
        <v>50000</v>
      </c>
    </row>
    <row r="32" spans="1:10" ht="33" customHeight="1" x14ac:dyDescent="0.25">
      <c r="A32" s="48">
        <v>48</v>
      </c>
      <c r="B32" s="46" t="s">
        <v>62</v>
      </c>
      <c r="C32" s="60" t="s">
        <v>88</v>
      </c>
      <c r="D32" s="61"/>
      <c r="E32" s="61"/>
      <c r="F32" s="61"/>
      <c r="G32" s="62"/>
      <c r="H32" s="49" t="s">
        <v>94</v>
      </c>
      <c r="I32" s="53">
        <v>4.22</v>
      </c>
      <c r="J32" s="49">
        <v>70000</v>
      </c>
    </row>
    <row r="33" spans="1:12" ht="33" customHeight="1" x14ac:dyDescent="0.25">
      <c r="A33" s="48">
        <v>49</v>
      </c>
      <c r="B33" s="46" t="s">
        <v>63</v>
      </c>
      <c r="C33" s="60" t="s">
        <v>89</v>
      </c>
      <c r="D33" s="61"/>
      <c r="E33" s="61"/>
      <c r="F33" s="61"/>
      <c r="G33" s="62"/>
      <c r="H33" s="49" t="s">
        <v>94</v>
      </c>
      <c r="I33" s="53">
        <v>73.599999999999994</v>
      </c>
      <c r="J33" s="49">
        <v>20000</v>
      </c>
    </row>
    <row r="34" spans="1:12" ht="33" customHeight="1" x14ac:dyDescent="0.25">
      <c r="A34" s="48">
        <v>53</v>
      </c>
      <c r="B34" s="46" t="s">
        <v>64</v>
      </c>
      <c r="C34" s="60" t="s">
        <v>90</v>
      </c>
      <c r="D34" s="61"/>
      <c r="E34" s="61"/>
      <c r="F34" s="61"/>
      <c r="G34" s="62"/>
      <c r="H34" s="49" t="s">
        <v>94</v>
      </c>
      <c r="I34" s="53">
        <v>972.31</v>
      </c>
      <c r="J34" s="49">
        <v>100</v>
      </c>
    </row>
    <row r="35" spans="1:12" ht="33" customHeight="1" x14ac:dyDescent="0.25">
      <c r="A35" s="48">
        <v>59</v>
      </c>
      <c r="B35" s="46" t="s">
        <v>65</v>
      </c>
      <c r="C35" s="60" t="s">
        <v>91</v>
      </c>
      <c r="D35" s="61"/>
      <c r="E35" s="61"/>
      <c r="F35" s="61"/>
      <c r="G35" s="62"/>
      <c r="H35" s="49" t="s">
        <v>94</v>
      </c>
      <c r="I35" s="53">
        <v>7.65</v>
      </c>
      <c r="J35" s="49">
        <v>20000</v>
      </c>
    </row>
    <row r="36" spans="1:12" ht="33" customHeight="1" x14ac:dyDescent="0.25">
      <c r="A36" s="48">
        <v>60</v>
      </c>
      <c r="B36" s="46" t="s">
        <v>66</v>
      </c>
      <c r="C36" s="60" t="s">
        <v>92</v>
      </c>
      <c r="D36" s="61"/>
      <c r="E36" s="61"/>
      <c r="F36" s="61"/>
      <c r="G36" s="62"/>
      <c r="H36" s="49" t="s">
        <v>94</v>
      </c>
      <c r="I36" s="53">
        <v>39.979999999999997</v>
      </c>
      <c r="J36" s="49">
        <v>1000</v>
      </c>
    </row>
    <row r="37" spans="1:12" ht="33" customHeight="1" thickBot="1" x14ac:dyDescent="0.3">
      <c r="A37" s="48">
        <v>61</v>
      </c>
      <c r="B37" s="46" t="s">
        <v>67</v>
      </c>
      <c r="C37" s="66" t="s">
        <v>93</v>
      </c>
      <c r="D37" s="67"/>
      <c r="E37" s="67"/>
      <c r="F37" s="67"/>
      <c r="G37" s="68"/>
      <c r="H37" s="49" t="s">
        <v>94</v>
      </c>
      <c r="I37" s="54">
        <v>64.59</v>
      </c>
      <c r="J37" s="49">
        <v>1000</v>
      </c>
    </row>
    <row r="38" spans="1:12" ht="34.5" customHeight="1" thickBot="1" x14ac:dyDescent="0.3">
      <c r="A38" s="63" t="s">
        <v>96</v>
      </c>
      <c r="B38" s="64"/>
      <c r="C38" s="64"/>
      <c r="D38" s="64"/>
      <c r="E38" s="64"/>
      <c r="F38" s="64"/>
      <c r="G38" s="64"/>
      <c r="H38" s="65"/>
      <c r="I38" s="69">
        <v>5503512</v>
      </c>
      <c r="J38" s="69"/>
      <c r="L38" s="45" t="e">
        <f>SUM(#REF!)</f>
        <v>#REF!</v>
      </c>
    </row>
    <row r="39" spans="1:12" x14ac:dyDescent="0.25">
      <c r="A39" s="50"/>
    </row>
    <row r="40" spans="1:12" x14ac:dyDescent="0.25">
      <c r="A40" s="50"/>
    </row>
    <row r="41" spans="1:12" x14ac:dyDescent="0.25">
      <c r="A41" s="50"/>
    </row>
    <row r="42" spans="1:12" x14ac:dyDescent="0.25">
      <c r="A42" s="50"/>
    </row>
    <row r="43" spans="1:12" x14ac:dyDescent="0.25">
      <c r="A43" s="50"/>
    </row>
    <row r="44" spans="1:12" x14ac:dyDescent="0.25">
      <c r="A44" s="50"/>
    </row>
    <row r="45" spans="1:12" x14ac:dyDescent="0.25">
      <c r="A45" s="50"/>
    </row>
    <row r="46" spans="1:12" x14ac:dyDescent="0.25">
      <c r="A46" s="50"/>
    </row>
    <row r="47" spans="1:12" x14ac:dyDescent="0.25">
      <c r="A47" s="50"/>
    </row>
    <row r="48" spans="1:12" x14ac:dyDescent="0.25">
      <c r="A48" s="50"/>
    </row>
    <row r="49" spans="1:1" x14ac:dyDescent="0.25">
      <c r="A49" s="50"/>
    </row>
    <row r="50" spans="1:1" x14ac:dyDescent="0.25">
      <c r="A50" s="50"/>
    </row>
    <row r="51" spans="1:1" x14ac:dyDescent="0.25">
      <c r="A51" s="50"/>
    </row>
    <row r="52" spans="1:1" x14ac:dyDescent="0.25">
      <c r="A52" s="50"/>
    </row>
    <row r="53" spans="1:1" x14ac:dyDescent="0.25">
      <c r="A53" s="50"/>
    </row>
    <row r="54" spans="1:1" x14ac:dyDescent="0.25">
      <c r="A54" s="50"/>
    </row>
    <row r="55" spans="1:1" x14ac:dyDescent="0.25">
      <c r="A55" s="50"/>
    </row>
    <row r="56" spans="1:1" x14ac:dyDescent="0.25">
      <c r="A56" s="50"/>
    </row>
    <row r="57" spans="1:1" x14ac:dyDescent="0.25">
      <c r="A57" s="50"/>
    </row>
    <row r="58" spans="1:1" x14ac:dyDescent="0.25">
      <c r="A58" s="51"/>
    </row>
    <row r="59" spans="1:1" x14ac:dyDescent="0.25">
      <c r="A59" s="51"/>
    </row>
    <row r="60" spans="1:1" x14ac:dyDescent="0.25">
      <c r="A60" s="51"/>
    </row>
    <row r="61" spans="1:1" x14ac:dyDescent="0.25">
      <c r="A61" s="51"/>
    </row>
    <row r="62" spans="1:1" x14ac:dyDescent="0.25">
      <c r="A62" s="51"/>
    </row>
    <row r="63" spans="1:1" x14ac:dyDescent="0.25">
      <c r="A63" s="51"/>
    </row>
    <row r="64" spans="1:1" x14ac:dyDescent="0.25">
      <c r="A64" s="51"/>
    </row>
    <row r="65" spans="1:1" ht="18.75" x14ac:dyDescent="0.25">
      <c r="A65" s="52"/>
    </row>
  </sheetData>
  <mergeCells count="34">
    <mergeCell ref="C35:G35"/>
    <mergeCell ref="C36:G36"/>
    <mergeCell ref="C37:G37"/>
    <mergeCell ref="A38:H38"/>
    <mergeCell ref="I38:J38"/>
    <mergeCell ref="C29:G29"/>
    <mergeCell ref="C30:G30"/>
    <mergeCell ref="C31:G31"/>
    <mergeCell ref="C32:G32"/>
    <mergeCell ref="C33:G33"/>
    <mergeCell ref="C34:G34"/>
    <mergeCell ref="C23:G23"/>
    <mergeCell ref="C24:G24"/>
    <mergeCell ref="C25:G25"/>
    <mergeCell ref="C26:G26"/>
    <mergeCell ref="C27:G27"/>
    <mergeCell ref="C28:G28"/>
    <mergeCell ref="C17:G17"/>
    <mergeCell ref="C18:G18"/>
    <mergeCell ref="C19:G19"/>
    <mergeCell ref="C20:G20"/>
    <mergeCell ref="C21:G21"/>
    <mergeCell ref="C22:G22"/>
    <mergeCell ref="J10:J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</mergeCells>
  <pageMargins left="0.7" right="0.7" top="0.75" bottom="0.75" header="0.3" footer="0.3"/>
  <pageSetup paperSize="5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5"/>
  <sheetViews>
    <sheetView workbookViewId="0">
      <selection activeCell="C20" sqref="C20:G20"/>
    </sheetView>
  </sheetViews>
  <sheetFormatPr baseColWidth="10" defaultRowHeight="15" x14ac:dyDescent="0.25"/>
  <cols>
    <col min="1" max="1" width="5.5703125" customWidth="1"/>
    <col min="2" max="2" width="17.425781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1.28515625" customWidth="1"/>
    <col min="8" max="8" width="13.28515625" customWidth="1"/>
    <col min="9" max="9" width="15.5703125" customWidth="1"/>
    <col min="10" max="10" width="14.7109375" style="44" customWidth="1"/>
    <col min="11" max="11" width="15.5703125" customWidth="1"/>
    <col min="13" max="13" width="15.5703125" style="45" bestFit="1" customWidth="1"/>
  </cols>
  <sheetData>
    <row r="1" spans="1:11" ht="30.75" thickBot="1" x14ac:dyDescent="0.3">
      <c r="A1" s="79" t="s">
        <v>1</v>
      </c>
      <c r="B1" s="79"/>
      <c r="C1" s="79"/>
      <c r="D1" s="79"/>
      <c r="E1" s="79"/>
      <c r="F1" s="79"/>
      <c r="G1" s="79"/>
      <c r="H1" s="79"/>
      <c r="I1" s="79"/>
      <c r="J1" s="41" t="s">
        <v>2</v>
      </c>
      <c r="K1" s="1">
        <v>2022</v>
      </c>
    </row>
    <row r="2" spans="1:11" ht="16.5" thickBot="1" x14ac:dyDescent="0.3">
      <c r="A2" s="2"/>
      <c r="B2" s="3"/>
      <c r="C2" s="3"/>
      <c r="D2" s="4"/>
      <c r="E2" s="4"/>
      <c r="F2" s="4"/>
      <c r="G2" s="4"/>
      <c r="H2" s="4"/>
      <c r="I2" s="4"/>
      <c r="J2" s="42"/>
      <c r="K2" s="5"/>
    </row>
    <row r="3" spans="1:11" ht="16.5" customHeight="1" thickBot="1" x14ac:dyDescent="0.3">
      <c r="A3" s="74" t="s">
        <v>3</v>
      </c>
      <c r="B3" s="74"/>
      <c r="C3" s="74"/>
      <c r="D3" s="80" t="s">
        <v>101</v>
      </c>
      <c r="E3" s="81"/>
      <c r="F3" s="81"/>
      <c r="G3" s="81"/>
      <c r="H3" s="81"/>
      <c r="I3" s="81"/>
      <c r="J3" s="81"/>
      <c r="K3" s="82"/>
    </row>
    <row r="4" spans="1:11" ht="16.5" thickBot="1" x14ac:dyDescent="0.3">
      <c r="A4" s="76" t="s">
        <v>4</v>
      </c>
      <c r="B4" s="76"/>
      <c r="C4" s="76"/>
      <c r="D4" s="80" t="s">
        <v>102</v>
      </c>
      <c r="E4" s="81"/>
      <c r="F4" s="81"/>
      <c r="G4" s="81"/>
      <c r="H4" s="81"/>
      <c r="I4" s="81"/>
      <c r="J4" s="81"/>
      <c r="K4" s="82"/>
    </row>
    <row r="5" spans="1:11" ht="16.5" thickBot="1" x14ac:dyDescent="0.3">
      <c r="A5" s="76" t="s">
        <v>5</v>
      </c>
      <c r="B5" s="76"/>
      <c r="C5" s="76"/>
      <c r="D5" s="75" t="s">
        <v>38</v>
      </c>
      <c r="E5" s="75"/>
      <c r="F5" s="75"/>
      <c r="G5" s="75"/>
      <c r="H5" s="75"/>
      <c r="I5" s="75"/>
      <c r="J5" s="75"/>
      <c r="K5" s="75"/>
    </row>
    <row r="6" spans="1:11" ht="16.5" thickBot="1" x14ac:dyDescent="0.3">
      <c r="A6" s="74" t="s">
        <v>6</v>
      </c>
      <c r="B6" s="74"/>
      <c r="C6" s="74"/>
      <c r="D6" s="75" t="s">
        <v>38</v>
      </c>
      <c r="E6" s="75"/>
      <c r="F6" s="75"/>
      <c r="G6" s="75"/>
      <c r="H6" s="75"/>
      <c r="I6" s="75"/>
      <c r="J6" s="75"/>
      <c r="K6" s="75"/>
    </row>
    <row r="7" spans="1:11" ht="16.5" thickBot="1" x14ac:dyDescent="0.3">
      <c r="A7" s="76" t="s">
        <v>7</v>
      </c>
      <c r="B7" s="76"/>
      <c r="C7" s="76"/>
      <c r="D7" s="75" t="s">
        <v>98</v>
      </c>
      <c r="E7" s="75"/>
      <c r="F7" s="75"/>
      <c r="G7" s="75"/>
      <c r="H7" s="75"/>
      <c r="I7" s="75"/>
      <c r="J7" s="75"/>
      <c r="K7" s="75"/>
    </row>
    <row r="8" spans="1:11" ht="38.25" customHeight="1" thickBot="1" x14ac:dyDescent="0.3">
      <c r="A8" s="77" t="s">
        <v>8</v>
      </c>
      <c r="B8" s="77"/>
      <c r="C8" s="77"/>
      <c r="D8" s="78" t="s">
        <v>97</v>
      </c>
      <c r="E8" s="78"/>
      <c r="F8" s="78"/>
      <c r="G8" s="78"/>
      <c r="H8" s="78"/>
      <c r="I8" s="78"/>
      <c r="J8" s="78"/>
      <c r="K8" s="78"/>
    </row>
    <row r="9" spans="1:11" ht="16.5" thickBot="1" x14ac:dyDescent="0.3">
      <c r="A9" s="6"/>
      <c r="B9" s="7"/>
      <c r="C9" s="7"/>
      <c r="D9" s="8"/>
      <c r="E9" s="8"/>
      <c r="F9" s="8"/>
      <c r="G9" s="8"/>
      <c r="H9" s="8"/>
      <c r="I9" s="8"/>
      <c r="J9" s="43"/>
      <c r="K9" s="9"/>
    </row>
    <row r="10" spans="1:11" ht="15.75" thickBot="1" x14ac:dyDescent="0.3">
      <c r="A10" s="73" t="s">
        <v>9</v>
      </c>
      <c r="B10" s="71" t="s">
        <v>10</v>
      </c>
      <c r="C10" s="71" t="s">
        <v>11</v>
      </c>
      <c r="D10" s="71"/>
      <c r="E10" s="71"/>
      <c r="F10" s="71"/>
      <c r="G10" s="71"/>
      <c r="H10" s="71" t="s">
        <v>12</v>
      </c>
      <c r="I10" s="71" t="s">
        <v>13</v>
      </c>
      <c r="J10" s="72" t="s">
        <v>14</v>
      </c>
      <c r="K10" s="70" t="s">
        <v>15</v>
      </c>
    </row>
    <row r="11" spans="1:11" ht="29.25" customHeight="1" x14ac:dyDescent="0.25">
      <c r="A11" s="73"/>
      <c r="B11" s="71"/>
      <c r="C11" s="71"/>
      <c r="D11" s="71"/>
      <c r="E11" s="71"/>
      <c r="F11" s="71"/>
      <c r="G11" s="71"/>
      <c r="H11" s="71"/>
      <c r="I11" s="71"/>
      <c r="J11" s="72"/>
      <c r="K11" s="70"/>
    </row>
    <row r="12" spans="1:11" ht="33" customHeight="1" x14ac:dyDescent="0.25">
      <c r="A12" s="47">
        <v>2</v>
      </c>
      <c r="B12" s="46" t="s">
        <v>42</v>
      </c>
      <c r="C12" s="60" t="s">
        <v>68</v>
      </c>
      <c r="D12" s="61"/>
      <c r="E12" s="61"/>
      <c r="F12" s="61"/>
      <c r="G12" s="62"/>
      <c r="H12" s="49" t="s">
        <v>95</v>
      </c>
      <c r="I12" s="49" t="s">
        <v>94</v>
      </c>
      <c r="J12" s="53">
        <v>149</v>
      </c>
      <c r="K12" s="49">
        <v>50</v>
      </c>
    </row>
    <row r="13" spans="1:11" ht="33" customHeight="1" x14ac:dyDescent="0.25">
      <c r="A13" s="47">
        <v>4</v>
      </c>
      <c r="B13" s="46" t="s">
        <v>43</v>
      </c>
      <c r="C13" s="60" t="s">
        <v>69</v>
      </c>
      <c r="D13" s="61"/>
      <c r="E13" s="61"/>
      <c r="F13" s="61"/>
      <c r="G13" s="62"/>
      <c r="H13" s="49" t="s">
        <v>95</v>
      </c>
      <c r="I13" s="49" t="s">
        <v>94</v>
      </c>
      <c r="J13" s="53">
        <v>4.7</v>
      </c>
      <c r="K13" s="49">
        <v>3000</v>
      </c>
    </row>
    <row r="14" spans="1:11" ht="33" customHeight="1" x14ac:dyDescent="0.25">
      <c r="A14" s="47">
        <v>5</v>
      </c>
      <c r="B14" s="46" t="s">
        <v>44</v>
      </c>
      <c r="C14" s="60" t="s">
        <v>70</v>
      </c>
      <c r="D14" s="61"/>
      <c r="E14" s="61"/>
      <c r="F14" s="61"/>
      <c r="G14" s="62"/>
      <c r="H14" s="49" t="s">
        <v>95</v>
      </c>
      <c r="I14" s="49" t="s">
        <v>94</v>
      </c>
      <c r="J14" s="53">
        <v>1807.5</v>
      </c>
      <c r="K14" s="49">
        <v>50</v>
      </c>
    </row>
    <row r="15" spans="1:11" ht="33" customHeight="1" x14ac:dyDescent="0.25">
      <c r="A15" s="47">
        <v>7</v>
      </c>
      <c r="B15" s="46" t="s">
        <v>45</v>
      </c>
      <c r="C15" s="60" t="s">
        <v>71</v>
      </c>
      <c r="D15" s="61"/>
      <c r="E15" s="61"/>
      <c r="F15" s="61"/>
      <c r="G15" s="62"/>
      <c r="H15" s="49" t="s">
        <v>95</v>
      </c>
      <c r="I15" s="49" t="s">
        <v>94</v>
      </c>
      <c r="J15" s="53">
        <v>115.58</v>
      </c>
      <c r="K15" s="49">
        <v>200</v>
      </c>
    </row>
    <row r="16" spans="1:11" ht="33" customHeight="1" x14ac:dyDescent="0.25">
      <c r="A16" s="47">
        <v>8</v>
      </c>
      <c r="B16" s="46" t="s">
        <v>46</v>
      </c>
      <c r="C16" s="60" t="s">
        <v>72</v>
      </c>
      <c r="D16" s="61"/>
      <c r="E16" s="61"/>
      <c r="F16" s="61"/>
      <c r="G16" s="62"/>
      <c r="H16" s="49" t="s">
        <v>95</v>
      </c>
      <c r="I16" s="49" t="s">
        <v>94</v>
      </c>
      <c r="J16" s="53">
        <v>37.99</v>
      </c>
      <c r="K16" s="49">
        <v>1000</v>
      </c>
    </row>
    <row r="17" spans="1:11" ht="33" customHeight="1" x14ac:dyDescent="0.25">
      <c r="A17" s="47">
        <v>10</v>
      </c>
      <c r="B17" s="46" t="s">
        <v>47</v>
      </c>
      <c r="C17" s="60" t="s">
        <v>73</v>
      </c>
      <c r="D17" s="61"/>
      <c r="E17" s="61"/>
      <c r="F17" s="61"/>
      <c r="G17" s="62"/>
      <c r="H17" s="49" t="s">
        <v>95</v>
      </c>
      <c r="I17" s="49" t="s">
        <v>94</v>
      </c>
      <c r="J17" s="53">
        <v>201.6</v>
      </c>
      <c r="K17" s="49">
        <v>1000</v>
      </c>
    </row>
    <row r="18" spans="1:11" ht="33" customHeight="1" x14ac:dyDescent="0.25">
      <c r="A18" s="47">
        <v>11</v>
      </c>
      <c r="B18" s="46" t="s">
        <v>48</v>
      </c>
      <c r="C18" s="60" t="s">
        <v>74</v>
      </c>
      <c r="D18" s="61"/>
      <c r="E18" s="61"/>
      <c r="F18" s="61"/>
      <c r="G18" s="62"/>
      <c r="H18" s="49" t="s">
        <v>95</v>
      </c>
      <c r="I18" s="49" t="s">
        <v>94</v>
      </c>
      <c r="J18" s="53">
        <v>19.739999999999998</v>
      </c>
      <c r="K18" s="49">
        <v>2000</v>
      </c>
    </row>
    <row r="19" spans="1:11" ht="33" customHeight="1" x14ac:dyDescent="0.25">
      <c r="A19" s="48">
        <v>17</v>
      </c>
      <c r="B19" s="46" t="s">
        <v>49</v>
      </c>
      <c r="C19" s="60" t="s">
        <v>75</v>
      </c>
      <c r="D19" s="61"/>
      <c r="E19" s="61"/>
      <c r="F19" s="61"/>
      <c r="G19" s="62"/>
      <c r="H19" s="49" t="s">
        <v>95</v>
      </c>
      <c r="I19" s="49" t="s">
        <v>94</v>
      </c>
      <c r="J19" s="53">
        <v>4.9000000000000004</v>
      </c>
      <c r="K19" s="49">
        <v>15000</v>
      </c>
    </row>
    <row r="20" spans="1:11" ht="33" customHeight="1" x14ac:dyDescent="0.25">
      <c r="A20" s="48">
        <v>18</v>
      </c>
      <c r="B20" s="46" t="s">
        <v>50</v>
      </c>
      <c r="C20" s="60" t="s">
        <v>76</v>
      </c>
      <c r="D20" s="61"/>
      <c r="E20" s="61"/>
      <c r="F20" s="61"/>
      <c r="G20" s="62"/>
      <c r="H20" s="49" t="s">
        <v>95</v>
      </c>
      <c r="I20" s="49" t="s">
        <v>94</v>
      </c>
      <c r="J20" s="53">
        <v>6.04</v>
      </c>
      <c r="K20" s="49">
        <v>10000</v>
      </c>
    </row>
    <row r="21" spans="1:11" ht="33" customHeight="1" x14ac:dyDescent="0.25">
      <c r="A21" s="48">
        <v>19</v>
      </c>
      <c r="B21" s="46" t="s">
        <v>51</v>
      </c>
      <c r="C21" s="60" t="s">
        <v>77</v>
      </c>
      <c r="D21" s="61"/>
      <c r="E21" s="61"/>
      <c r="F21" s="61"/>
      <c r="G21" s="62"/>
      <c r="H21" s="49" t="s">
        <v>95</v>
      </c>
      <c r="I21" s="49" t="s">
        <v>94</v>
      </c>
      <c r="J21" s="53">
        <v>4.04</v>
      </c>
      <c r="K21" s="49">
        <v>30000</v>
      </c>
    </row>
    <row r="22" spans="1:11" ht="33" customHeight="1" x14ac:dyDescent="0.25">
      <c r="A22" s="48">
        <v>20</v>
      </c>
      <c r="B22" s="46" t="s">
        <v>52</v>
      </c>
      <c r="C22" s="60" t="s">
        <v>78</v>
      </c>
      <c r="D22" s="61"/>
      <c r="E22" s="61"/>
      <c r="F22" s="61"/>
      <c r="G22" s="62"/>
      <c r="H22" s="49" t="s">
        <v>95</v>
      </c>
      <c r="I22" s="49" t="s">
        <v>94</v>
      </c>
      <c r="J22" s="53">
        <v>10.72</v>
      </c>
      <c r="K22" s="49">
        <v>1000</v>
      </c>
    </row>
    <row r="23" spans="1:11" ht="33" customHeight="1" x14ac:dyDescent="0.25">
      <c r="A23" s="48">
        <v>22</v>
      </c>
      <c r="B23" s="46" t="s">
        <v>53</v>
      </c>
      <c r="C23" s="60" t="s">
        <v>79</v>
      </c>
      <c r="D23" s="61"/>
      <c r="E23" s="61"/>
      <c r="F23" s="61"/>
      <c r="G23" s="62"/>
      <c r="H23" s="49" t="s">
        <v>95</v>
      </c>
      <c r="I23" s="49" t="s">
        <v>94</v>
      </c>
      <c r="J23" s="53">
        <v>42.85</v>
      </c>
      <c r="K23" s="49">
        <v>1000</v>
      </c>
    </row>
    <row r="24" spans="1:11" ht="33" customHeight="1" x14ac:dyDescent="0.25">
      <c r="A24" s="48">
        <v>23</v>
      </c>
      <c r="B24" s="46" t="s">
        <v>54</v>
      </c>
      <c r="C24" s="60" t="s">
        <v>80</v>
      </c>
      <c r="D24" s="61"/>
      <c r="E24" s="61"/>
      <c r="F24" s="61"/>
      <c r="G24" s="62"/>
      <c r="H24" s="49" t="s">
        <v>95</v>
      </c>
      <c r="I24" s="49" t="s">
        <v>94</v>
      </c>
      <c r="J24" s="53">
        <v>29.8</v>
      </c>
      <c r="K24" s="49">
        <v>1000</v>
      </c>
    </row>
    <row r="25" spans="1:11" ht="33" customHeight="1" x14ac:dyDescent="0.25">
      <c r="A25" s="48">
        <v>33</v>
      </c>
      <c r="B25" s="46" t="s">
        <v>55</v>
      </c>
      <c r="C25" s="60" t="s">
        <v>81</v>
      </c>
      <c r="D25" s="61"/>
      <c r="E25" s="61"/>
      <c r="F25" s="61"/>
      <c r="G25" s="62"/>
      <c r="H25" s="49" t="s">
        <v>95</v>
      </c>
      <c r="I25" s="49" t="s">
        <v>94</v>
      </c>
      <c r="J25" s="53">
        <v>126240</v>
      </c>
      <c r="K25" s="49">
        <v>10</v>
      </c>
    </row>
    <row r="26" spans="1:11" ht="33" customHeight="1" x14ac:dyDescent="0.25">
      <c r="A26" s="48">
        <v>34</v>
      </c>
      <c r="B26" s="46" t="s">
        <v>56</v>
      </c>
      <c r="C26" s="60" t="s">
        <v>82</v>
      </c>
      <c r="D26" s="61"/>
      <c r="E26" s="61"/>
      <c r="F26" s="61"/>
      <c r="G26" s="62"/>
      <c r="H26" s="49" t="s">
        <v>95</v>
      </c>
      <c r="I26" s="49" t="s">
        <v>94</v>
      </c>
      <c r="J26" s="53">
        <v>98.45</v>
      </c>
      <c r="K26" s="49">
        <v>300</v>
      </c>
    </row>
    <row r="27" spans="1:11" ht="33" customHeight="1" x14ac:dyDescent="0.25">
      <c r="A27" s="48">
        <v>36</v>
      </c>
      <c r="B27" s="46" t="s">
        <v>57</v>
      </c>
      <c r="C27" s="60" t="s">
        <v>83</v>
      </c>
      <c r="D27" s="61"/>
      <c r="E27" s="61"/>
      <c r="F27" s="61"/>
      <c r="G27" s="62"/>
      <c r="H27" s="49" t="s">
        <v>95</v>
      </c>
      <c r="I27" s="49" t="s">
        <v>94</v>
      </c>
      <c r="J27" s="53">
        <v>3.62</v>
      </c>
      <c r="K27" s="49">
        <v>2000</v>
      </c>
    </row>
    <row r="28" spans="1:11" ht="33" customHeight="1" x14ac:dyDescent="0.25">
      <c r="A28" s="48">
        <v>37</v>
      </c>
      <c r="B28" s="46" t="s">
        <v>58</v>
      </c>
      <c r="C28" s="60" t="s">
        <v>84</v>
      </c>
      <c r="D28" s="61"/>
      <c r="E28" s="61"/>
      <c r="F28" s="61"/>
      <c r="G28" s="62"/>
      <c r="H28" s="49" t="s">
        <v>95</v>
      </c>
      <c r="I28" s="49" t="s">
        <v>94</v>
      </c>
      <c r="J28" s="53">
        <v>28.89</v>
      </c>
      <c r="K28" s="49">
        <v>12000</v>
      </c>
    </row>
    <row r="29" spans="1:11" ht="33" customHeight="1" x14ac:dyDescent="0.25">
      <c r="A29" s="48">
        <v>38</v>
      </c>
      <c r="B29" s="46" t="s">
        <v>59</v>
      </c>
      <c r="C29" s="60" t="s">
        <v>85</v>
      </c>
      <c r="D29" s="61"/>
      <c r="E29" s="61"/>
      <c r="F29" s="61"/>
      <c r="G29" s="62"/>
      <c r="H29" s="49" t="s">
        <v>95</v>
      </c>
      <c r="I29" s="49" t="s">
        <v>94</v>
      </c>
      <c r="J29" s="53">
        <v>581</v>
      </c>
      <c r="K29" s="49">
        <v>1000</v>
      </c>
    </row>
    <row r="30" spans="1:11" ht="33" customHeight="1" x14ac:dyDescent="0.25">
      <c r="A30" s="48">
        <v>40</v>
      </c>
      <c r="B30" s="46" t="s">
        <v>60</v>
      </c>
      <c r="C30" s="60" t="s">
        <v>86</v>
      </c>
      <c r="D30" s="61"/>
      <c r="E30" s="61"/>
      <c r="F30" s="61"/>
      <c r="G30" s="62"/>
      <c r="H30" s="49" t="s">
        <v>95</v>
      </c>
      <c r="I30" s="49" t="s">
        <v>94</v>
      </c>
      <c r="J30" s="53">
        <v>498.75</v>
      </c>
      <c r="K30" s="49">
        <v>100</v>
      </c>
    </row>
    <row r="31" spans="1:11" ht="33" customHeight="1" x14ac:dyDescent="0.25">
      <c r="A31" s="48">
        <v>47</v>
      </c>
      <c r="B31" s="46" t="s">
        <v>61</v>
      </c>
      <c r="C31" s="60" t="s">
        <v>87</v>
      </c>
      <c r="D31" s="61"/>
      <c r="E31" s="61"/>
      <c r="F31" s="61"/>
      <c r="G31" s="62"/>
      <c r="H31" s="49" t="s">
        <v>95</v>
      </c>
      <c r="I31" s="49" t="s">
        <v>94</v>
      </c>
      <c r="J31" s="53">
        <v>7.04</v>
      </c>
      <c r="K31" s="49">
        <v>50000</v>
      </c>
    </row>
    <row r="32" spans="1:11" ht="33" customHeight="1" x14ac:dyDescent="0.25">
      <c r="A32" s="48">
        <v>48</v>
      </c>
      <c r="B32" s="46" t="s">
        <v>62</v>
      </c>
      <c r="C32" s="60" t="s">
        <v>88</v>
      </c>
      <c r="D32" s="61"/>
      <c r="E32" s="61"/>
      <c r="F32" s="61"/>
      <c r="G32" s="62"/>
      <c r="H32" s="49" t="s">
        <v>95</v>
      </c>
      <c r="I32" s="49" t="s">
        <v>94</v>
      </c>
      <c r="J32" s="53">
        <v>4.22</v>
      </c>
      <c r="K32" s="49">
        <v>70000</v>
      </c>
    </row>
    <row r="33" spans="1:13" ht="33" customHeight="1" x14ac:dyDescent="0.25">
      <c r="A33" s="48">
        <v>49</v>
      </c>
      <c r="B33" s="46" t="s">
        <v>63</v>
      </c>
      <c r="C33" s="60" t="s">
        <v>89</v>
      </c>
      <c r="D33" s="61"/>
      <c r="E33" s="61"/>
      <c r="F33" s="61"/>
      <c r="G33" s="62"/>
      <c r="H33" s="49" t="s">
        <v>95</v>
      </c>
      <c r="I33" s="49" t="s">
        <v>94</v>
      </c>
      <c r="J33" s="53">
        <v>73.599999999999994</v>
      </c>
      <c r="K33" s="49">
        <v>20000</v>
      </c>
    </row>
    <row r="34" spans="1:13" ht="33" customHeight="1" x14ac:dyDescent="0.25">
      <c r="A34" s="48">
        <v>53</v>
      </c>
      <c r="B34" s="46" t="s">
        <v>64</v>
      </c>
      <c r="C34" s="60" t="s">
        <v>90</v>
      </c>
      <c r="D34" s="61"/>
      <c r="E34" s="61"/>
      <c r="F34" s="61"/>
      <c r="G34" s="62"/>
      <c r="H34" s="49" t="s">
        <v>95</v>
      </c>
      <c r="I34" s="49" t="s">
        <v>94</v>
      </c>
      <c r="J34" s="53">
        <v>972.31</v>
      </c>
      <c r="K34" s="49">
        <v>100</v>
      </c>
    </row>
    <row r="35" spans="1:13" ht="33" customHeight="1" x14ac:dyDescent="0.25">
      <c r="A35" s="48">
        <v>59</v>
      </c>
      <c r="B35" s="46" t="s">
        <v>65</v>
      </c>
      <c r="C35" s="60" t="s">
        <v>91</v>
      </c>
      <c r="D35" s="61"/>
      <c r="E35" s="61"/>
      <c r="F35" s="61"/>
      <c r="G35" s="62"/>
      <c r="H35" s="49" t="s">
        <v>95</v>
      </c>
      <c r="I35" s="49" t="s">
        <v>94</v>
      </c>
      <c r="J35" s="53">
        <v>7.65</v>
      </c>
      <c r="K35" s="49">
        <v>20000</v>
      </c>
    </row>
    <row r="36" spans="1:13" ht="33" customHeight="1" x14ac:dyDescent="0.25">
      <c r="A36" s="48">
        <v>60</v>
      </c>
      <c r="B36" s="46" t="s">
        <v>66</v>
      </c>
      <c r="C36" s="60" t="s">
        <v>92</v>
      </c>
      <c r="D36" s="61"/>
      <c r="E36" s="61"/>
      <c r="F36" s="61"/>
      <c r="G36" s="62"/>
      <c r="H36" s="49" t="s">
        <v>95</v>
      </c>
      <c r="I36" s="49" t="s">
        <v>94</v>
      </c>
      <c r="J36" s="53">
        <v>39.979999999999997</v>
      </c>
      <c r="K36" s="49">
        <v>1000</v>
      </c>
    </row>
    <row r="37" spans="1:13" ht="33" customHeight="1" thickBot="1" x14ac:dyDescent="0.3">
      <c r="A37" s="48">
        <v>61</v>
      </c>
      <c r="B37" s="46" t="s">
        <v>67</v>
      </c>
      <c r="C37" s="66" t="s">
        <v>93</v>
      </c>
      <c r="D37" s="67"/>
      <c r="E37" s="67"/>
      <c r="F37" s="67"/>
      <c r="G37" s="68"/>
      <c r="H37" s="49" t="s">
        <v>95</v>
      </c>
      <c r="I37" s="49" t="s">
        <v>94</v>
      </c>
      <c r="J37" s="54">
        <v>64.59</v>
      </c>
      <c r="K37" s="49">
        <v>1000</v>
      </c>
    </row>
    <row r="38" spans="1:13" ht="34.5" customHeight="1" thickBot="1" x14ac:dyDescent="0.3">
      <c r="A38" s="63" t="s">
        <v>96</v>
      </c>
      <c r="B38" s="64"/>
      <c r="C38" s="64"/>
      <c r="D38" s="64"/>
      <c r="E38" s="64"/>
      <c r="F38" s="64"/>
      <c r="G38" s="64"/>
      <c r="H38" s="64"/>
      <c r="I38" s="65"/>
      <c r="J38" s="69">
        <v>5503512</v>
      </c>
      <c r="K38" s="69"/>
      <c r="M38" s="45" t="e">
        <f>SUM(#REF!)</f>
        <v>#REF!</v>
      </c>
    </row>
    <row r="39" spans="1:13" x14ac:dyDescent="0.25">
      <c r="A39" s="50"/>
    </row>
    <row r="40" spans="1:13" x14ac:dyDescent="0.25">
      <c r="A40" s="50"/>
    </row>
    <row r="41" spans="1:13" x14ac:dyDescent="0.25">
      <c r="A41" s="50"/>
    </row>
    <row r="42" spans="1:13" x14ac:dyDescent="0.25">
      <c r="A42" s="50"/>
    </row>
    <row r="43" spans="1:13" x14ac:dyDescent="0.25">
      <c r="A43" s="50"/>
    </row>
    <row r="44" spans="1:13" x14ac:dyDescent="0.25">
      <c r="A44" s="50"/>
    </row>
    <row r="45" spans="1:13" x14ac:dyDescent="0.25">
      <c r="A45" s="50"/>
    </row>
    <row r="46" spans="1:13" x14ac:dyDescent="0.25">
      <c r="A46" s="50"/>
    </row>
    <row r="47" spans="1:13" x14ac:dyDescent="0.25">
      <c r="A47" s="50"/>
    </row>
    <row r="48" spans="1:13" x14ac:dyDescent="0.25">
      <c r="A48" s="50"/>
    </row>
    <row r="49" spans="1:1" x14ac:dyDescent="0.25">
      <c r="A49" s="50"/>
    </row>
    <row r="50" spans="1:1" x14ac:dyDescent="0.25">
      <c r="A50" s="50"/>
    </row>
    <row r="51" spans="1:1" x14ac:dyDescent="0.25">
      <c r="A51" s="50"/>
    </row>
    <row r="52" spans="1:1" x14ac:dyDescent="0.25">
      <c r="A52" s="50"/>
    </row>
    <row r="53" spans="1:1" x14ac:dyDescent="0.25">
      <c r="A53" s="50"/>
    </row>
    <row r="54" spans="1:1" x14ac:dyDescent="0.25">
      <c r="A54" s="50"/>
    </row>
    <row r="55" spans="1:1" x14ac:dyDescent="0.25">
      <c r="A55" s="50"/>
    </row>
    <row r="56" spans="1:1" x14ac:dyDescent="0.25">
      <c r="A56" s="50"/>
    </row>
    <row r="57" spans="1:1" x14ac:dyDescent="0.25">
      <c r="A57" s="50"/>
    </row>
    <row r="58" spans="1:1" x14ac:dyDescent="0.25">
      <c r="A58" s="51"/>
    </row>
    <row r="59" spans="1:1" x14ac:dyDescent="0.25">
      <c r="A59" s="51"/>
    </row>
    <row r="60" spans="1:1" x14ac:dyDescent="0.25">
      <c r="A60" s="51"/>
    </row>
    <row r="61" spans="1:1" x14ac:dyDescent="0.25">
      <c r="A61" s="51"/>
    </row>
    <row r="62" spans="1:1" x14ac:dyDescent="0.25">
      <c r="A62" s="51"/>
    </row>
    <row r="63" spans="1:1" x14ac:dyDescent="0.25">
      <c r="A63" s="51"/>
    </row>
    <row r="64" spans="1:1" x14ac:dyDescent="0.25">
      <c r="A64" s="51"/>
    </row>
    <row r="65" spans="1:1" ht="18.75" x14ac:dyDescent="0.25">
      <c r="A65" s="52"/>
    </row>
  </sheetData>
  <mergeCells count="4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J38:K38"/>
    <mergeCell ref="K10:K11"/>
    <mergeCell ref="I10:I11"/>
    <mergeCell ref="J10:J11"/>
    <mergeCell ref="A10:A11"/>
    <mergeCell ref="B10:B11"/>
    <mergeCell ref="C10:G11"/>
    <mergeCell ref="H10:H11"/>
    <mergeCell ref="C36:G36"/>
    <mergeCell ref="C25:G25"/>
    <mergeCell ref="C26:G26"/>
    <mergeCell ref="C29:G29"/>
    <mergeCell ref="C30:G30"/>
    <mergeCell ref="C31:G31"/>
    <mergeCell ref="C28:G28"/>
    <mergeCell ref="C32:G32"/>
    <mergeCell ref="C33:G33"/>
    <mergeCell ref="C34:G34"/>
    <mergeCell ref="C35:G35"/>
    <mergeCell ref="A38:I38"/>
    <mergeCell ref="C37:G37"/>
    <mergeCell ref="C12:G12"/>
    <mergeCell ref="C13:G13"/>
    <mergeCell ref="C14:G14"/>
    <mergeCell ref="C15:G15"/>
    <mergeCell ref="C16:G16"/>
    <mergeCell ref="C22:G22"/>
    <mergeCell ref="C23:G23"/>
    <mergeCell ref="C24:G24"/>
    <mergeCell ref="C27:G27"/>
    <mergeCell ref="C17:G17"/>
    <mergeCell ref="C18:G18"/>
    <mergeCell ref="C19:G19"/>
    <mergeCell ref="C20:G20"/>
    <mergeCell ref="C21:G21"/>
  </mergeCells>
  <pageMargins left="0.7" right="0.7" top="0.75" bottom="0.75" header="0.3" footer="0.3"/>
  <pageSetup paperSize="5"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6" workbookViewId="0">
      <selection activeCell="O20" sqref="O20:P20"/>
    </sheetView>
  </sheetViews>
  <sheetFormatPr baseColWidth="10" defaultRowHeight="15" x14ac:dyDescent="0.25"/>
  <cols>
    <col min="1" max="5" width="4.42578125" customWidth="1"/>
    <col min="6" max="6" width="7.85546875" customWidth="1"/>
    <col min="7" max="11" width="4.42578125" customWidth="1"/>
    <col min="12" max="12" width="5.28515625" customWidth="1"/>
    <col min="13" max="14" width="4.42578125" customWidth="1"/>
    <col min="15" max="16" width="14.85546875" customWidth="1"/>
    <col min="17" max="17" width="19.42578125" customWidth="1"/>
  </cols>
  <sheetData>
    <row r="1" spans="1:17" ht="15.75" thickBot="1" x14ac:dyDescent="0.3">
      <c r="A1" s="110" t="s">
        <v>0</v>
      </c>
      <c r="B1" s="110"/>
      <c r="C1" s="110"/>
      <c r="D1" s="111">
        <v>2022</v>
      </c>
      <c r="E1" s="111"/>
      <c r="F1" s="10"/>
      <c r="G1" s="10"/>
      <c r="H1" s="11"/>
      <c r="I1" s="11"/>
      <c r="J1" s="11"/>
      <c r="K1" s="11"/>
      <c r="L1" s="11"/>
      <c r="M1" s="11"/>
      <c r="N1" s="11"/>
      <c r="O1" s="12"/>
      <c r="P1" s="112" t="s">
        <v>16</v>
      </c>
      <c r="Q1" s="112"/>
    </row>
    <row r="2" spans="1:17" ht="15.75" thickBot="1" x14ac:dyDescent="0.3">
      <c r="A2" s="13"/>
      <c r="B2" s="14"/>
      <c r="C2" s="14"/>
      <c r="D2" s="14"/>
      <c r="E2" s="14"/>
      <c r="F2" s="14"/>
      <c r="G2" s="15"/>
      <c r="H2" s="16"/>
      <c r="I2" s="16"/>
      <c r="J2" s="16"/>
      <c r="K2" s="16"/>
      <c r="L2" s="16"/>
      <c r="M2" s="16"/>
      <c r="N2" s="16"/>
      <c r="O2" s="14"/>
      <c r="P2" s="112"/>
      <c r="Q2" s="112"/>
    </row>
    <row r="3" spans="1:17" ht="15.75" thickBot="1" x14ac:dyDescent="0.3">
      <c r="A3" s="13"/>
      <c r="B3" s="14"/>
      <c r="C3" s="14"/>
      <c r="D3" s="14"/>
      <c r="E3" s="14"/>
      <c r="F3" s="14"/>
      <c r="G3" s="15"/>
      <c r="H3" s="14"/>
      <c r="I3" s="14"/>
      <c r="J3" s="14"/>
      <c r="K3" s="14"/>
      <c r="L3" s="14"/>
      <c r="M3" s="14"/>
      <c r="N3" s="14"/>
      <c r="O3" s="14"/>
      <c r="P3" s="14"/>
      <c r="Q3" s="17"/>
    </row>
    <row r="4" spans="1:17" ht="15.75" thickBot="1" x14ac:dyDescent="0.3">
      <c r="A4" s="113" t="s">
        <v>17</v>
      </c>
      <c r="B4" s="113"/>
      <c r="C4" s="113"/>
      <c r="D4" s="113"/>
      <c r="E4" s="113"/>
      <c r="F4" s="113"/>
      <c r="G4" s="114" t="str">
        <f>NP!D3</f>
        <v>040- MINISTERIO DE SALUD</v>
      </c>
      <c r="H4" s="114"/>
      <c r="I4" s="114"/>
      <c r="J4" s="114"/>
      <c r="K4" s="114"/>
      <c r="L4" s="114"/>
      <c r="M4" s="114"/>
      <c r="N4" s="114"/>
      <c r="O4" s="114"/>
      <c r="P4" s="114"/>
      <c r="Q4" s="114"/>
    </row>
    <row r="5" spans="1:17" ht="15.75" thickBot="1" x14ac:dyDescent="0.3">
      <c r="A5" s="115" t="s">
        <v>4</v>
      </c>
      <c r="B5" s="115"/>
      <c r="C5" s="115"/>
      <c r="D5" s="115"/>
      <c r="E5" s="115"/>
      <c r="F5" s="115"/>
      <c r="G5" s="114" t="str">
        <f>NP!D4</f>
        <v>011-DIRECCION PROVINCIAL DE ADMINISTRACION-MINISTERIO DE SALUD.-</v>
      </c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1:17" ht="15.75" thickBot="1" x14ac:dyDescent="0.3">
      <c r="A6" s="115" t="s">
        <v>5</v>
      </c>
      <c r="B6" s="115"/>
      <c r="C6" s="115"/>
      <c r="D6" s="115"/>
      <c r="E6" s="115"/>
      <c r="F6" s="115"/>
      <c r="G6" s="114" t="str">
        <f>NP!D5</f>
        <v>DIRECCION PROVINCIAL DE FARMACIA E INSUMOS</v>
      </c>
      <c r="H6" s="114"/>
      <c r="I6" s="114"/>
      <c r="J6" s="114"/>
      <c r="K6" s="114"/>
      <c r="L6" s="114"/>
      <c r="M6" s="114"/>
      <c r="N6" s="114"/>
      <c r="O6" s="114"/>
      <c r="P6" s="114"/>
      <c r="Q6" s="114"/>
    </row>
    <row r="7" spans="1:17" ht="15.75" thickBot="1" x14ac:dyDescent="0.3">
      <c r="A7" s="115" t="s">
        <v>6</v>
      </c>
      <c r="B7" s="115"/>
      <c r="C7" s="115"/>
      <c r="D7" s="115"/>
      <c r="E7" s="115"/>
      <c r="F7" s="115"/>
      <c r="G7" s="114" t="str">
        <f>NP!D6</f>
        <v>DIRECCION PROVINCIAL DE FARMACIA E INSUMOS</v>
      </c>
      <c r="H7" s="114"/>
      <c r="I7" s="114"/>
      <c r="J7" s="114"/>
      <c r="K7" s="114"/>
      <c r="L7" s="114"/>
      <c r="M7" s="114"/>
      <c r="N7" s="114"/>
      <c r="O7" s="114"/>
      <c r="P7" s="114"/>
      <c r="Q7" s="114"/>
    </row>
    <row r="8" spans="1:17" ht="15.75" thickBot="1" x14ac:dyDescent="0.3">
      <c r="A8" s="116" t="s">
        <v>18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</row>
    <row r="9" spans="1:17" ht="20.25" customHeight="1" x14ac:dyDescent="0.25">
      <c r="A9" s="109" t="s">
        <v>19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</row>
    <row r="10" spans="1:17" ht="69" customHeight="1" x14ac:dyDescent="0.25">
      <c r="A10" s="101" t="s">
        <v>41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</row>
    <row r="11" spans="1:17" ht="15.75" thickBot="1" x14ac:dyDescent="0.3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thickBot="1" x14ac:dyDescent="0.3">
      <c r="A12" s="102" t="s">
        <v>20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</row>
    <row r="13" spans="1:17" ht="15.75" thickBot="1" x14ac:dyDescent="0.3">
      <c r="A13" s="103" t="s">
        <v>21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 t="s">
        <v>22</v>
      </c>
      <c r="P13" s="104"/>
      <c r="Q13" s="105" t="s">
        <v>23</v>
      </c>
    </row>
    <row r="14" spans="1:17" ht="15.75" thickBot="1" x14ac:dyDescent="0.3">
      <c r="A14" s="22" t="s">
        <v>24</v>
      </c>
      <c r="B14" s="23" t="s">
        <v>25</v>
      </c>
      <c r="C14" s="23" t="s">
        <v>26</v>
      </c>
      <c r="D14" s="23" t="s">
        <v>27</v>
      </c>
      <c r="E14" s="23" t="s">
        <v>28</v>
      </c>
      <c r="F14" s="23" t="s">
        <v>29</v>
      </c>
      <c r="G14" s="24" t="s">
        <v>30</v>
      </c>
      <c r="H14" s="23" t="s">
        <v>31</v>
      </c>
      <c r="I14" s="23" t="s">
        <v>32</v>
      </c>
      <c r="J14" s="23" t="s">
        <v>33</v>
      </c>
      <c r="K14" s="23" t="s">
        <v>33</v>
      </c>
      <c r="L14" s="23" t="s">
        <v>34</v>
      </c>
      <c r="M14" s="25" t="s">
        <v>35</v>
      </c>
      <c r="N14" s="26" t="s">
        <v>36</v>
      </c>
      <c r="O14" s="104"/>
      <c r="P14" s="104"/>
      <c r="Q14" s="105"/>
    </row>
    <row r="15" spans="1:17" ht="45.75" customHeight="1" x14ac:dyDescent="0.25">
      <c r="A15" s="55">
        <v>30</v>
      </c>
      <c r="B15" s="56"/>
      <c r="C15" s="56"/>
      <c r="D15" s="56">
        <v>1</v>
      </c>
      <c r="E15" s="56"/>
      <c r="F15" s="56">
        <v>4901</v>
      </c>
      <c r="G15" s="56">
        <v>3</v>
      </c>
      <c r="H15" s="56">
        <v>1</v>
      </c>
      <c r="I15" s="56">
        <v>2</v>
      </c>
      <c r="J15" s="56">
        <v>5</v>
      </c>
      <c r="K15" s="56">
        <v>2</v>
      </c>
      <c r="L15" s="56"/>
      <c r="M15" s="57">
        <v>1</v>
      </c>
      <c r="N15" s="56" t="s">
        <v>39</v>
      </c>
      <c r="O15" s="106" t="s">
        <v>40</v>
      </c>
      <c r="P15" s="107"/>
      <c r="Q15" s="59">
        <v>5503512</v>
      </c>
    </row>
    <row r="16" spans="1:17" x14ac:dyDescent="0.25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  <c r="N16" s="30"/>
      <c r="O16" s="95"/>
      <c r="P16" s="95"/>
      <c r="Q16" s="31"/>
    </row>
    <row r="17" spans="1:17" x14ac:dyDescent="0.25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08"/>
      <c r="P17" s="108"/>
      <c r="Q17" s="31"/>
    </row>
    <row r="18" spans="1:17" x14ac:dyDescent="0.25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0"/>
      <c r="O18" s="100"/>
      <c r="P18" s="100"/>
      <c r="Q18" s="31"/>
    </row>
    <row r="19" spans="1:17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30"/>
      <c r="O19" s="100"/>
      <c r="P19" s="100"/>
      <c r="Q19" s="31"/>
    </row>
    <row r="20" spans="1:1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0"/>
      <c r="O20" s="100"/>
      <c r="P20" s="100"/>
      <c r="Q20" s="31"/>
    </row>
    <row r="21" spans="1:17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0"/>
      <c r="O21" s="100"/>
      <c r="P21" s="100"/>
      <c r="Q21" s="31"/>
    </row>
    <row r="22" spans="1:1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100"/>
      <c r="P22" s="100"/>
      <c r="Q22" s="31"/>
    </row>
    <row r="23" spans="1:17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30"/>
      <c r="O23" s="100"/>
      <c r="P23" s="100"/>
      <c r="Q23" s="31"/>
    </row>
    <row r="24" spans="1:17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0"/>
      <c r="O24" s="100"/>
      <c r="P24" s="100"/>
      <c r="Q24" s="31"/>
    </row>
    <row r="25" spans="1:17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30"/>
      <c r="O25" s="100"/>
      <c r="P25" s="100"/>
      <c r="Q25" s="31"/>
    </row>
    <row r="26" spans="1:17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30"/>
      <c r="O26" s="100"/>
      <c r="P26" s="100"/>
      <c r="Q26" s="31"/>
    </row>
    <row r="27" spans="1:17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30"/>
      <c r="O27" s="100"/>
      <c r="P27" s="100"/>
      <c r="Q27" s="31"/>
    </row>
    <row r="28" spans="1:17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30"/>
      <c r="O28" s="100"/>
      <c r="P28" s="100"/>
      <c r="Q28" s="31"/>
    </row>
    <row r="29" spans="1:17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9"/>
      <c r="N29" s="30"/>
      <c r="O29" s="100"/>
      <c r="P29" s="100"/>
      <c r="Q29" s="31"/>
    </row>
    <row r="30" spans="1:17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9"/>
      <c r="N30" s="30"/>
      <c r="O30" s="100"/>
      <c r="P30" s="100"/>
      <c r="Q30" s="31"/>
    </row>
    <row r="31" spans="1:17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9"/>
      <c r="N31" s="30"/>
      <c r="O31" s="100"/>
      <c r="P31" s="100"/>
      <c r="Q31" s="31"/>
    </row>
    <row r="32" spans="1:17" x14ac:dyDescent="0.25">
      <c r="A32" s="27"/>
      <c r="B32" s="28"/>
      <c r="C32" s="28"/>
      <c r="D32" s="28"/>
      <c r="E32" s="28"/>
      <c r="F32" s="30"/>
      <c r="G32" s="28"/>
      <c r="H32" s="28"/>
      <c r="I32" s="28"/>
      <c r="J32" s="28"/>
      <c r="K32" s="28"/>
      <c r="L32" s="28"/>
      <c r="M32" s="29"/>
      <c r="N32" s="30"/>
      <c r="O32" s="95"/>
      <c r="P32" s="95"/>
      <c r="Q32" s="31"/>
    </row>
    <row r="33" spans="1:17" x14ac:dyDescent="0.2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9"/>
      <c r="N33" s="30"/>
      <c r="O33" s="95"/>
      <c r="P33" s="95"/>
      <c r="Q33" s="31"/>
    </row>
    <row r="34" spans="1:17" x14ac:dyDescent="0.25">
      <c r="A34" s="27"/>
      <c r="B34" s="28"/>
      <c r="C34" s="28"/>
      <c r="D34" s="28"/>
      <c r="E34" s="28"/>
      <c r="F34" s="30"/>
      <c r="G34" s="28"/>
      <c r="H34" s="28"/>
      <c r="I34" s="28"/>
      <c r="J34" s="28"/>
      <c r="K34" s="28"/>
      <c r="L34" s="28"/>
      <c r="M34" s="29"/>
      <c r="N34" s="30"/>
      <c r="O34" s="95"/>
      <c r="P34" s="95"/>
      <c r="Q34" s="31"/>
    </row>
    <row r="35" spans="1:17" x14ac:dyDescent="0.25">
      <c r="A35" s="27"/>
      <c r="B35" s="28"/>
      <c r="C35" s="28"/>
      <c r="D35" s="28"/>
      <c r="E35" s="28"/>
      <c r="F35" s="30"/>
      <c r="G35" s="28"/>
      <c r="H35" s="28"/>
      <c r="I35" s="28"/>
      <c r="J35" s="28"/>
      <c r="K35" s="28"/>
      <c r="L35" s="28"/>
      <c r="M35" s="29"/>
      <c r="N35" s="30"/>
      <c r="O35" s="95"/>
      <c r="P35" s="95"/>
      <c r="Q35" s="31"/>
    </row>
    <row r="36" spans="1:17" x14ac:dyDescent="0.25">
      <c r="A36" s="32"/>
      <c r="B36" s="33"/>
      <c r="C36" s="33"/>
      <c r="D36" s="33"/>
      <c r="E36" s="33"/>
      <c r="F36" s="34"/>
      <c r="G36" s="33"/>
      <c r="H36" s="33"/>
      <c r="I36" s="33"/>
      <c r="J36" s="33"/>
      <c r="K36" s="33"/>
      <c r="L36" s="33"/>
      <c r="M36" s="35"/>
      <c r="N36" s="36"/>
      <c r="O36" s="96"/>
      <c r="P36" s="96"/>
      <c r="Q36" s="31"/>
    </row>
    <row r="37" spans="1:17" ht="15.75" thickBot="1" x14ac:dyDescent="0.3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9"/>
      <c r="N37" s="38"/>
      <c r="O37" s="97"/>
      <c r="P37" s="97"/>
      <c r="Q37" s="40"/>
    </row>
    <row r="38" spans="1:17" ht="54" customHeight="1" thickBot="1" x14ac:dyDescent="0.3">
      <c r="A38" s="98" t="s">
        <v>99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58">
        <v>5503512</v>
      </c>
    </row>
    <row r="39" spans="1:17" ht="15.75" thickBot="1" x14ac:dyDescent="0.3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</row>
    <row r="40" spans="1:17" ht="24" customHeight="1" thickBot="1" x14ac:dyDescent="0.3">
      <c r="A40" s="83" t="s">
        <v>37</v>
      </c>
      <c r="B40" s="84"/>
      <c r="C40" s="84"/>
      <c r="D40" s="84"/>
      <c r="E40" s="84"/>
      <c r="F40" s="85"/>
      <c r="G40" s="86"/>
      <c r="H40" s="87"/>
      <c r="I40" s="87"/>
      <c r="J40" s="87"/>
      <c r="K40" s="87"/>
      <c r="L40" s="87"/>
      <c r="M40" s="87"/>
      <c r="N40" s="87"/>
      <c r="O40" s="87"/>
      <c r="P40" s="87"/>
      <c r="Q40" s="88"/>
    </row>
    <row r="41" spans="1:17" ht="15.75" customHeight="1" x14ac:dyDescent="0.25">
      <c r="A41" s="89" t="s">
        <v>100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1"/>
    </row>
    <row r="42" spans="1:17" ht="44.25" customHeight="1" thickBot="1" x14ac:dyDescent="0.3">
      <c r="A42" s="92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PEDIDO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de Windows</cp:lastModifiedBy>
  <cp:lastPrinted>2022-10-03T13:22:01Z</cp:lastPrinted>
  <dcterms:created xsi:type="dcterms:W3CDTF">2021-12-21T17:55:07Z</dcterms:created>
  <dcterms:modified xsi:type="dcterms:W3CDTF">2022-10-04T14:11:10Z</dcterms:modified>
</cp:coreProperties>
</file>