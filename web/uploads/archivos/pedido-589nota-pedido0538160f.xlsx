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617"/>
  <workbookPr defaultThemeVersion="124226"/>
  <xr:revisionPtr revIDLastSave="0" documentId="11_63EF34C8343461E50125F70BF98E54182D0C2B9A" xr6:coauthVersionLast="47" xr6:coauthVersionMax="47" xr10:uidLastSave="{00000000-0000-0000-0000-000000000000}"/>
  <bookViews>
    <workbookView xWindow="-105" yWindow="-45" windowWidth="15600" windowHeight="9435" tabRatio="500" xr2:uid="{00000000-000D-0000-FFFF-FFFF00000000}"/>
  </bookViews>
  <sheets>
    <sheet name="Necesidades Trimestrales" sheetId="1" r:id="rId1"/>
    <sheet name=" NotaPedido" sheetId="2" state="hidden" r:id="rId2"/>
  </sheets>
  <externalReferences>
    <externalReference r:id="rId3"/>
  </externalReferences>
  <definedNames>
    <definedName name="_xlnm.Print_Area" localSheetId="1">' NotaPedido'!$A$1:$K$14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2" l="1"/>
  <c r="C13" i="2"/>
  <c r="B13" i="2"/>
  <c r="C12" i="2"/>
  <c r="B12" i="2"/>
  <c r="D7" i="2"/>
  <c r="I11" i="1"/>
  <c r="I10" i="1"/>
  <c r="I12" i="1" l="1"/>
  <c r="D11" i="1"/>
  <c r="D10" i="1"/>
  <c r="D3" i="2" l="1"/>
  <c r="D4" i="2"/>
</calcChain>
</file>

<file path=xl/sharedStrings.xml><?xml version="1.0" encoding="utf-8"?>
<sst xmlns="http://schemas.openxmlformats.org/spreadsheetml/2006/main" count="61" uniqueCount="56">
  <si>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</si>
  <si>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</si>
  <si>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</si>
  <si>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</si>
  <si>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</si>
  <si>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</si>
  <si>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</si>
  <si>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</si>
  <si>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</si>
  <si>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</si>
  <si>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</si>
  <si>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</si>
  <si>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</si>
  <si>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</si>
  <si>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</si>
  <si>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</si>
  <si>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2.2.2- 6734.54</t>
  </si>
  <si>
    <t>INDUMENT TEXTIL Y CONFECCIONES</t>
  </si>
  <si>
    <t>CAMPERAS; CONFECCION: ALGODON POLIESTER, CIERRE: SIN, CAPUCHA: SIN, TIPO: CHAQUETA, MATERIAL: ALGODON POLIESTER</t>
  </si>
  <si>
    <t>UNIDAD</t>
  </si>
  <si>
    <t>2.2.2-6738.13</t>
  </si>
  <si>
    <t>PANTALONES; TIPO: P/SEGURIDAD, TELA: ALGODON - POLIESTER, SEXO: UNISEX</t>
  </si>
  <si>
    <t>Especificidades de todos los Items.</t>
  </si>
  <si>
    <t>Descripción técnica</t>
  </si>
  <si>
    <t>ITEM 1</t>
  </si>
  <si>
    <r>
      <rPr>
        <b/>
        <u/>
        <sz val="10"/>
        <rFont val="Century Gothic"/>
        <family val="2"/>
      </rPr>
      <t>CARACTERISTICAS:</t>
    </r>
    <r>
      <rPr>
        <sz val="10"/>
        <rFont val="Century Gothic"/>
        <family val="2"/>
      </rPr>
      <t xml:space="preserve"> Detalles de confección y composición de materiales CHAQUETA MODELO: americano. Material: Tela antidesgarro RIP-STOP, compuesta (60% POLIESTER 40% ALGODON), cuyo peso será de 380gr/m2 como mínimo, de color mimetizado, dibujo: “CAMUFLADO DIGITAL” en tonos azul, celeste y negro. Prende en la parte frontal con cierre en material plástico de monofilamento reforzado con cremallera metálica al tono de la tela. Cuello: Mao, con terminación en extremos chanfleados, llevara un cintillo de ajuste en tela principal de de 18cm de largo x 3cm de ancho, prendido en cuello desde la costura de hombro izquierdo unido hacia el lado derecho de cuello mediante velcro. Parte frontal: de corte recto, llevara dos bolsillos horizontales inclinados, con tapa rectangular, ubicados desde la unión de hombros a 20cm hacia abajo prenden de derecha a izquierda (ambos), mediante velcro oculto al tono de la tela. En la parte superior de bolsillos inclinados, a 15cm medidos desde la unión de hombros hacia abajo llevara aplicado velcro para agarre de porta insignias. Parte trasera: de corte recto. Mangas: Mangas largas con terminación en puño llevara velcro oculto de ajuste para regular el diámetro de apertura de la manga. : contara de tres bolsillos. Un bolsillo superior, con tapa de 7cm de alto x 12cm de ancho llevara un velcro de 13cm x 9cm en parte frontal del mismo, para la aplicación de porta escudo de identificación ubicado desde la unión de sisa en hombros a 7cm hacia debajo de 12cm de ancho x 16cm de alto se adhiere a la prenda mediante velcro al tono de la tela. Bolsillo de usos varios. coderas reforzadas con entretela, , ajustes regulables en espalda con velcro oculto al tono .
</t>
    </r>
    <r>
      <rPr>
        <b/>
        <sz val="10"/>
        <rFont val="Century Gothic"/>
        <family val="2"/>
      </rPr>
      <t>PRESENTACIÓN:</t>
    </r>
    <r>
      <rPr>
        <sz val="10"/>
        <rFont val="Century Gothic"/>
        <family val="2"/>
      </rPr>
      <t xml:space="preserve"> todas las prendas deberán presentarse libre de adherencias de hilos, pelusas, etc., perfectamente planchadas, dobladas y colocadas en sus correspondientes envases. Identificación de garantía y origen: deberá llevar la etiqueta donde conste, la marca, el talle, composición y conservación de la prenda</t>
    </r>
    <r>
      <rPr>
        <b/>
        <u/>
        <sz val="10"/>
        <rFont val="Century Gothic"/>
        <family val="2"/>
      </rPr>
      <t xml:space="preserve">
</t>
    </r>
    <r>
      <rPr>
        <sz val="10"/>
        <rFont val="Century Gothic"/>
        <family val="2"/>
      </rPr>
      <t xml:space="preserve">  </t>
    </r>
    <r>
      <rPr>
        <b/>
        <u/>
        <sz val="10"/>
        <rFont val="Century Gothic"/>
        <family val="2"/>
      </rPr>
      <t>TALLES</t>
    </r>
    <r>
      <rPr>
        <sz val="10"/>
        <rFont val="Century Gothic"/>
        <family val="2"/>
      </rPr>
      <t>: L (15), XL (25), XXL (10).</t>
    </r>
  </si>
  <si>
    <t>ITEM 2</t>
  </si>
  <si>
    <r>
      <t>CARACTERISTICAS:</t>
    </r>
    <r>
      <rPr>
        <sz val="10"/>
        <rFont val="Century Gothic"/>
        <family val="2"/>
      </rPr>
      <t xml:space="preserve"> PANTALÓN AMERICANO 8 BOLSILLOS material: Tela antidesgarro RIP-STOP, compuesta (60% POLIESTER 40% ALGODON), cuyo peso será de 380gr/m2 como mínimo, de color mimetizado, dibujo: “CAMUFLADO DIGITAL” en tonos azul, celeste y negro. DOS BOLSILLOS UBICADOS EN LA PARTE LATERAL DEL PANTALON A LA ALTURA DE LA CINTURA DOS BOLSILLOS TRASEROS CON FUELLE EXPANDIBLE DOS BOLSILLOS CON TAPA Y VELCRO AL TONO COSTURA INVISIBLE Y FUELLE DOBLE EXPANDIBLE A LA ALTURA SOBRE LAS RODILLAS. DOS BOLSILLOS CON TAPA Y VELCRO AL TONO CON FUELLE UBICADOS EN LA PARTE INFERIOR A LA ALTURA DE LA PANTORRILLAS PASACINTOS ANCHOS REFORZADOS PORTA LLAVE,RODILLERAS REFORZADAS .Y REFUERZO EN ENTREPIERNAS Y FUNDILLO CIERRE REFORZADO AL TONO, CINTURA CON BOTÓN AJUSTES REGULABLES EN RODILLAS CON VELCRO AL TONO AJUSTES REGULABLES EN TOBILLO CON VELCRO AL TONO
</t>
    </r>
    <r>
      <rPr>
        <b/>
        <sz val="10"/>
        <rFont val="Century Gothic"/>
        <family val="2"/>
      </rPr>
      <t>Presentación:</t>
    </r>
    <r>
      <rPr>
        <sz val="10"/>
        <rFont val="Century Gothic"/>
        <family val="2"/>
      </rPr>
      <t xml:space="preserve"> todas las prendas deberán presentarse libre de adherencias de hilos, pelusas, etc., perfectamente planchadas, dobladas y colocadas en sus correspondientes envases.. Identificación de garantía y origen: deberá llevar la etiqueta donde conste, la marca, el talle, composición y conservación de la prenda.</t>
    </r>
    <r>
      <rPr>
        <b/>
        <u/>
        <sz val="10"/>
        <rFont val="Century Gothic"/>
        <family val="2"/>
      </rPr>
      <t xml:space="preserve">
</t>
    </r>
    <r>
      <rPr>
        <sz val="10"/>
        <rFont val="Century Gothic"/>
        <family val="2"/>
      </rPr>
      <t xml:space="preserve"> </t>
    </r>
    <r>
      <rPr>
        <b/>
        <u/>
        <sz val="10"/>
        <rFont val="Century Gothic"/>
        <family val="2"/>
      </rPr>
      <t xml:space="preserve">TALLES: </t>
    </r>
    <r>
      <rPr>
        <b/>
        <sz val="10"/>
        <rFont val="Century Gothic"/>
        <family val="2"/>
      </rPr>
      <t xml:space="preserve">  </t>
    </r>
    <r>
      <rPr>
        <sz val="10"/>
        <rFont val="Century Gothic"/>
        <family val="2"/>
      </rPr>
      <t xml:space="preserve"> 44 (15), 48 (25), 52 (10).</t>
    </r>
  </si>
  <si>
    <t>Plazos y lugares de entrega</t>
  </si>
  <si>
    <t>a) LUGAR DE ENTREGA:Departamento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Treinta (30) días hábiles, contados a partir de la recepción de la comunicación prevista en el Artículo 80° de del Reglamento Pracial N° 2 de la ley 4938.</t>
  </si>
  <si>
    <t>Calidad Minima esperada</t>
  </si>
  <si>
    <t>Que Cumpla con lo Solicitado de Forma Integra. Presentar Muestras para todos los  ítems, en su empaque original, en el cual puedan observase en forma clara la marca del mismo y sus características.
c.1) La recepción de las muestras se realizará en el Departamento Logística (D-4) de la Policía de Catamarca, hasta una hora  antes de la apertura, sito en Ruta Provincial Nº 33, Sumalao - Valle Viejo. Provincia de Catamarca.
c.2) Debidamente rotuladas por ítems e identificando claramente el oferente   cotizante. No se aceptaran muestras distintas a lo cotizado.</t>
  </si>
  <si>
    <t>Mantenimiento</t>
  </si>
  <si>
    <t>Garantia</t>
  </si>
  <si>
    <t>30 DIAS</t>
  </si>
  <si>
    <t>NOTA DE PEDIDO</t>
  </si>
  <si>
    <t>N°</t>
  </si>
  <si>
    <t>75/2020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</si>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</sst>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&quot; €&quot;_-;\-* #,##0.00&quot; €&quot;_-;_-* \-??&quot; €&quot;_-;_-@_-"/>
    <numFmt numFmtId="165" formatCode="[$$-2C0A]\ #,##0.00"/>
    <numFmt numFmtId="166" formatCode="_ [$$-2C0A]\ * #,##0.00_ ;_ [$$-2C0A]\ * \-#,##0.00_ ;_ [$$-2C0A]\ * &quot;-&quot;??_ ;_ @_ "/>
  </numFmts>
  <fonts count="23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b/>
      <sz val="12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sz val="9"/>
      <name val="Century Gothic"/>
      <family val="2"/>
    </font>
    <font>
      <sz val="9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3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4" fontId="10" fillId="0" borderId="0" applyBorder="0" applyProtection="0"/>
    <xf numFmtId="0" fontId="1" fillId="0" borderId="1" applyProtection="0"/>
    <xf numFmtId="0" fontId="3" fillId="2" borderId="0" applyBorder="0" applyProtection="0"/>
  </cellStyleXfs>
  <cellXfs count="119">
    <xf numFmtId="0" fontId="0" fillId="0" borderId="0" xfId="0"/>
    <xf numFmtId="0" fontId="2" fillId="0" borderId="0" xfId="0" applyFont="1" applyBorder="1" applyAlignment="1">
      <alignment vertical="center"/>
    </xf>
    <xf numFmtId="0" fontId="5" fillId="0" borderId="17" xfId="0" applyFont="1" applyBorder="1" applyAlignment="1">
      <alignment horizontal="right" vertical="center"/>
    </xf>
    <xf numFmtId="0" fontId="5" fillId="0" borderId="1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11" fillId="0" borderId="0" xfId="0" applyFont="1"/>
    <xf numFmtId="0" fontId="4" fillId="0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4" fillId="0" borderId="4" xfId="0" applyFont="1" applyFill="1" applyBorder="1" applyAlignment="1">
      <alignment horizontal="center" vertical="center" wrapText="1"/>
    </xf>
    <xf numFmtId="166" fontId="11" fillId="0" borderId="0" xfId="0" applyNumberFormat="1" applyFont="1" applyAlignment="1">
      <alignment horizontal="center" vertical="center"/>
    </xf>
    <xf numFmtId="166" fontId="10" fillId="0" borderId="4" xfId="1" applyNumberFormat="1" applyBorder="1" applyAlignment="1" applyProtection="1">
      <alignment horizontal="center" vertical="center"/>
    </xf>
    <xf numFmtId="166" fontId="10" fillId="0" borderId="7" xfId="1" applyNumberForma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3" fontId="4" fillId="0" borderId="5" xfId="0" applyNumberFormat="1" applyFont="1" applyFill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/>
    <xf numFmtId="0" fontId="11" fillId="0" borderId="0" xfId="0" applyFont="1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left"/>
    </xf>
    <xf numFmtId="166" fontId="1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5" fillId="0" borderId="0" xfId="0" applyFont="1" applyFill="1" applyAlignment="1">
      <alignment horizontal="center" vertical="center" wrapText="1"/>
    </xf>
    <xf numFmtId="0" fontId="17" fillId="0" borderId="0" xfId="0" applyFont="1" applyFill="1" applyAlignment="1">
      <alignment horizontal="left" wrapText="1"/>
    </xf>
    <xf numFmtId="0" fontId="16" fillId="0" borderId="0" xfId="0" applyFont="1" applyAlignment="1">
      <alignment horizontal="left" wrapText="1"/>
    </xf>
    <xf numFmtId="0" fontId="17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166" fontId="17" fillId="0" borderId="2" xfId="0" applyNumberFormat="1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2" fillId="0" borderId="7" xfId="0" applyFont="1" applyFill="1" applyBorder="1"/>
    <xf numFmtId="0" fontId="12" fillId="0" borderId="7" xfId="0" applyFont="1" applyBorder="1"/>
    <xf numFmtId="0" fontId="19" fillId="0" borderId="7" xfId="0" applyFont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3" fontId="12" fillId="0" borderId="7" xfId="0" applyNumberFormat="1" applyFont="1" applyFill="1" applyBorder="1" applyAlignment="1">
      <alignment horizontal="center" vertical="center"/>
    </xf>
    <xf numFmtId="166" fontId="12" fillId="0" borderId="7" xfId="1" applyNumberFormat="1" applyFont="1" applyBorder="1" applyAlignment="1" applyProtection="1">
      <alignment horizontal="center" vertical="center"/>
    </xf>
    <xf numFmtId="166" fontId="12" fillId="0" borderId="7" xfId="0" applyNumberFormat="1" applyFont="1" applyFill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/>
    </xf>
    <xf numFmtId="166" fontId="12" fillId="0" borderId="7" xfId="1" applyNumberFormat="1" applyFont="1" applyBorder="1" applyAlignment="1">
      <alignment horizontal="center" vertical="center"/>
    </xf>
    <xf numFmtId="166" fontId="12" fillId="0" borderId="7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/>
    <xf numFmtId="0" fontId="12" fillId="0" borderId="11" xfId="0" applyFont="1" applyBorder="1" applyAlignment="1">
      <alignment horizontal="left"/>
    </xf>
    <xf numFmtId="0" fontId="12" fillId="0" borderId="1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Border="1"/>
    <xf numFmtId="0" fontId="12" fillId="0" borderId="13" xfId="0" applyFont="1" applyBorder="1" applyAlignment="1">
      <alignment horizontal="left"/>
    </xf>
    <xf numFmtId="0" fontId="20" fillId="0" borderId="12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12" fillId="0" borderId="33" xfId="0" applyFont="1" applyFill="1" applyBorder="1" applyAlignment="1">
      <alignment horizontal="justify" vertical="justify" wrapText="1"/>
    </xf>
    <xf numFmtId="0" fontId="12" fillId="0" borderId="32" xfId="0" applyFont="1" applyFill="1" applyBorder="1" applyAlignment="1">
      <alignment horizontal="justify" vertical="justify" wrapText="1"/>
    </xf>
    <xf numFmtId="0" fontId="21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justify" vertical="justify" wrapText="1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wrapText="1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Fill="1" applyBorder="1" applyAlignment="1">
      <alignment horizontal="center" vertical="center"/>
    </xf>
    <xf numFmtId="0" fontId="12" fillId="0" borderId="15" xfId="0" applyFont="1" applyFill="1" applyBorder="1"/>
    <xf numFmtId="0" fontId="12" fillId="0" borderId="16" xfId="0" applyFont="1" applyFill="1" applyBorder="1" applyAlignment="1">
      <alignment horizontal="left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/>
    <xf numFmtId="0" fontId="12" fillId="0" borderId="0" xfId="0" applyFont="1" applyFill="1" applyAlignment="1">
      <alignment horizontal="left"/>
    </xf>
    <xf numFmtId="0" fontId="12" fillId="0" borderId="7" xfId="0" applyFont="1" applyBorder="1" applyAlignment="1">
      <alignment horizontal="left" vertical="center" wrapText="1"/>
    </xf>
    <xf numFmtId="0" fontId="0" fillId="0" borderId="35" xfId="0" applyBorder="1" applyAlignment="1">
      <alignment vertical="center"/>
    </xf>
    <xf numFmtId="0" fontId="0" fillId="0" borderId="38" xfId="0" applyBorder="1" applyAlignment="1">
      <alignment vertical="center"/>
    </xf>
    <xf numFmtId="0" fontId="12" fillId="0" borderId="13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wrapText="1"/>
    </xf>
    <xf numFmtId="0" fontId="12" fillId="0" borderId="13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0" fontId="12" fillId="0" borderId="13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 wrapText="1"/>
    </xf>
    <xf numFmtId="0" fontId="12" fillId="0" borderId="13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wrapText="1"/>
    </xf>
    <xf numFmtId="0" fontId="12" fillId="0" borderId="13" xfId="0" applyFont="1" applyFill="1" applyBorder="1" applyAlignment="1">
      <alignment horizontal="left" wrapText="1"/>
    </xf>
    <xf numFmtId="0" fontId="21" fillId="0" borderId="33" xfId="0" applyFont="1" applyBorder="1" applyAlignment="1">
      <alignment horizontal="left" vertical="center" wrapText="1"/>
    </xf>
    <xf numFmtId="0" fontId="21" fillId="0" borderId="32" xfId="0" applyFont="1" applyBorder="1" applyAlignment="1">
      <alignment horizontal="left" vertical="center" wrapText="1"/>
    </xf>
    <xf numFmtId="0" fontId="21" fillId="0" borderId="36" xfId="0" applyFont="1" applyBorder="1" applyAlignment="1">
      <alignment horizontal="left" vertical="center" wrapText="1"/>
    </xf>
    <xf numFmtId="0" fontId="21" fillId="0" borderId="37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 wrapText="1"/>
    </xf>
    <xf numFmtId="0" fontId="12" fillId="0" borderId="33" xfId="0" applyFont="1" applyFill="1" applyBorder="1" applyAlignment="1">
      <alignment horizontal="left" vertical="center" wrapText="1"/>
    </xf>
    <xf numFmtId="0" fontId="12" fillId="0" borderId="32" xfId="0" applyFont="1" applyFill="1" applyBorder="1" applyAlignment="1">
      <alignment horizontal="left" vertical="center" wrapText="1"/>
    </xf>
    <xf numFmtId="0" fontId="12" fillId="0" borderId="35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37" xfId="0" applyFont="1" applyFill="1" applyBorder="1" applyAlignment="1">
      <alignment horizontal="left" vertical="center" wrapText="1"/>
    </xf>
    <xf numFmtId="0" fontId="12" fillId="0" borderId="38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center"/>
    </xf>
    <xf numFmtId="0" fontId="15" fillId="0" borderId="0" xfId="0" applyFont="1" applyFill="1" applyBorder="1" applyAlignment="1">
      <alignment horizontal="left" wrapText="1" indent="1"/>
    </xf>
    <xf numFmtId="0" fontId="6" fillId="0" borderId="29" xfId="0" applyFont="1" applyFill="1" applyBorder="1" applyAlignment="1">
      <alignment horizontal="left" vertical="center" wrapText="1" indent="1"/>
    </xf>
    <xf numFmtId="165" fontId="7" fillId="0" borderId="29" xfId="0" applyNumberFormat="1" applyFont="1" applyFill="1" applyBorder="1" applyAlignment="1">
      <alignment horizontal="center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20" xfId="0" applyFont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Border="1" applyAlignment="1">
      <alignment horizontal="left" vertical="center" wrapTex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OTA%20DE%20PEDIDO%20Y%20AUTORIZACION%20PARA%20GAST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2020</v>
          </cell>
        </row>
        <row r="7">
          <cell r="C7">
            <v>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zoomScale="85" zoomScaleNormal="85" workbookViewId="0">
      <selection activeCell="C5" sqref="C5:E5"/>
    </sheetView>
  </sheetViews>
  <sheetFormatPr defaultColWidth="11" defaultRowHeight="12.75"/>
  <cols>
    <col min="1" max="1" width="7.140625" style="14" customWidth="1"/>
    <col min="2" max="2" width="12.85546875" style="14" customWidth="1"/>
    <col min="3" max="3" width="36.85546875" style="14" customWidth="1"/>
    <col min="4" max="4" width="8.42578125" style="7" customWidth="1"/>
    <col min="5" max="5" width="112.28515625" style="9" customWidth="1"/>
    <col min="6" max="6" width="11" style="14"/>
    <col min="7" max="7" width="12.7109375" style="14" customWidth="1"/>
    <col min="8" max="8" width="13.85546875" style="14" customWidth="1"/>
    <col min="9" max="9" width="18.5703125" style="11" customWidth="1"/>
    <col min="10" max="16384" width="11" style="7"/>
  </cols>
  <sheetData>
    <row r="1" spans="1:9" ht="13.5">
      <c r="A1" s="25"/>
      <c r="B1" s="25"/>
      <c r="C1" s="25"/>
      <c r="D1" s="26"/>
      <c r="E1" s="27"/>
      <c r="F1" s="25"/>
      <c r="G1" s="25"/>
      <c r="H1" s="25"/>
      <c r="I1" s="28"/>
    </row>
    <row r="2" spans="1:9" ht="28.5">
      <c r="A2" s="25"/>
      <c r="B2" s="101" t="s">
        <v>0</v>
      </c>
      <c r="C2" s="101"/>
      <c r="D2" s="101"/>
      <c r="E2" s="101"/>
      <c r="F2" s="101"/>
      <c r="G2" s="101"/>
      <c r="H2" s="101"/>
      <c r="I2" s="28"/>
    </row>
    <row r="3" spans="1:9" ht="13.5">
      <c r="A3" s="25"/>
      <c r="B3" s="25"/>
      <c r="C3" s="25"/>
      <c r="D3" s="26"/>
      <c r="E3" s="27"/>
      <c r="F3" s="25"/>
      <c r="G3" s="25"/>
      <c r="H3" s="25"/>
      <c r="I3" s="28"/>
    </row>
    <row r="4" spans="1:9" ht="18" customHeight="1">
      <c r="A4" s="94" t="s">
        <v>1</v>
      </c>
      <c r="B4" s="94"/>
      <c r="C4" s="102" t="s">
        <v>2</v>
      </c>
      <c r="D4" s="102"/>
      <c r="E4" s="102"/>
      <c r="F4" s="29"/>
      <c r="G4" s="29"/>
      <c r="H4" s="29"/>
      <c r="I4" s="28"/>
    </row>
    <row r="5" spans="1:9" ht="18" customHeight="1">
      <c r="A5" s="94" t="s">
        <v>3</v>
      </c>
      <c r="B5" s="94"/>
      <c r="C5" s="102" t="s">
        <v>4</v>
      </c>
      <c r="D5" s="102"/>
      <c r="E5" s="102"/>
      <c r="F5" s="29"/>
      <c r="G5" s="29"/>
      <c r="H5" s="29"/>
      <c r="I5" s="28"/>
    </row>
    <row r="6" spans="1:9" ht="16.5" customHeight="1">
      <c r="A6" s="94" t="s">
        <v>5</v>
      </c>
      <c r="B6" s="94"/>
      <c r="C6" s="30">
        <v>2021</v>
      </c>
      <c r="D6" s="31"/>
      <c r="E6" s="31"/>
      <c r="F6" s="29"/>
      <c r="G6" s="29"/>
      <c r="H6" s="29"/>
      <c r="I6" s="28"/>
    </row>
    <row r="7" spans="1:9" ht="16.5" customHeight="1">
      <c r="A7" s="94" t="s">
        <v>6</v>
      </c>
      <c r="B7" s="94"/>
      <c r="C7" s="30">
        <v>4</v>
      </c>
      <c r="D7" s="31"/>
      <c r="E7" s="31"/>
      <c r="F7" s="29"/>
      <c r="G7" s="29"/>
      <c r="H7" s="29"/>
      <c r="I7" s="28"/>
    </row>
    <row r="8" spans="1:9" ht="13.5">
      <c r="A8" s="25"/>
      <c r="B8" s="29"/>
      <c r="C8" s="29"/>
      <c r="D8" s="32"/>
      <c r="E8" s="32"/>
      <c r="F8" s="29"/>
      <c r="G8" s="29"/>
      <c r="H8" s="29"/>
      <c r="I8" s="28"/>
    </row>
    <row r="9" spans="1:9" ht="39.75" thickTop="1" thickBot="1">
      <c r="A9" s="33" t="s">
        <v>7</v>
      </c>
      <c r="B9" s="33" t="s">
        <v>8</v>
      </c>
      <c r="C9" s="33" t="s">
        <v>9</v>
      </c>
      <c r="D9" s="33" t="s">
        <v>10</v>
      </c>
      <c r="E9" s="34" t="s">
        <v>11</v>
      </c>
      <c r="F9" s="33" t="s">
        <v>12</v>
      </c>
      <c r="G9" s="33" t="s">
        <v>13</v>
      </c>
      <c r="H9" s="33" t="s">
        <v>14</v>
      </c>
      <c r="I9" s="35" t="s">
        <v>15</v>
      </c>
    </row>
    <row r="10" spans="1:9" ht="27" customHeight="1">
      <c r="A10" s="36">
        <v>1</v>
      </c>
      <c r="B10" s="37" t="s">
        <v>16</v>
      </c>
      <c r="C10" s="38" t="s">
        <v>17</v>
      </c>
      <c r="D10" s="39" t="str">
        <f t="shared" ref="D10:D11" si="0">LEFT(B10,5)</f>
        <v>2.2.2</v>
      </c>
      <c r="E10" s="74" t="s">
        <v>18</v>
      </c>
      <c r="F10" s="40" t="s">
        <v>19</v>
      </c>
      <c r="G10" s="41">
        <v>50</v>
      </c>
      <c r="H10" s="42">
        <v>3400</v>
      </c>
      <c r="I10" s="43">
        <f>+H10*G10</f>
        <v>170000</v>
      </c>
    </row>
    <row r="11" spans="1:9" ht="14.25">
      <c r="A11" s="44">
        <v>2</v>
      </c>
      <c r="B11" s="38" t="s">
        <v>20</v>
      </c>
      <c r="C11" s="38" t="s">
        <v>17</v>
      </c>
      <c r="D11" s="39" t="str">
        <f t="shared" si="0"/>
        <v>2.2.2</v>
      </c>
      <c r="E11" s="38" t="s">
        <v>21</v>
      </c>
      <c r="F11" s="45" t="s">
        <v>19</v>
      </c>
      <c r="G11" s="46">
        <v>50</v>
      </c>
      <c r="H11" s="47">
        <v>3300</v>
      </c>
      <c r="I11" s="43">
        <f t="shared" ref="I11" si="1">+H11*G11</f>
        <v>165000</v>
      </c>
    </row>
    <row r="12" spans="1:9" ht="14.25" thickBot="1">
      <c r="A12" s="25"/>
      <c r="B12" s="25"/>
      <c r="C12" s="25"/>
      <c r="D12" s="26"/>
      <c r="E12" s="27"/>
      <c r="F12" s="25"/>
      <c r="G12" s="25"/>
      <c r="H12" s="25"/>
      <c r="I12" s="48">
        <f>SUM(I10:I11)</f>
        <v>335000</v>
      </c>
    </row>
    <row r="13" spans="1:9" ht="13.5">
      <c r="A13" s="25"/>
      <c r="B13" s="49" t="s">
        <v>22</v>
      </c>
      <c r="C13" s="50"/>
      <c r="D13" s="51"/>
      <c r="E13" s="52"/>
      <c r="F13" s="25"/>
      <c r="G13" s="25"/>
      <c r="H13" s="25"/>
      <c r="I13" s="28"/>
    </row>
    <row r="14" spans="1:9" ht="13.5">
      <c r="A14" s="25"/>
      <c r="B14" s="53"/>
      <c r="C14" s="54"/>
      <c r="D14" s="55"/>
      <c r="E14" s="56"/>
      <c r="F14" s="25"/>
      <c r="G14" s="25"/>
      <c r="H14" s="25"/>
      <c r="I14" s="28"/>
    </row>
    <row r="15" spans="1:9" ht="13.5">
      <c r="A15" s="25"/>
      <c r="B15" s="57" t="s">
        <v>23</v>
      </c>
      <c r="C15" s="54"/>
      <c r="D15" s="55"/>
      <c r="E15" s="56"/>
      <c r="F15" s="25"/>
      <c r="G15" s="25"/>
      <c r="H15" s="25"/>
      <c r="I15" s="28"/>
    </row>
    <row r="16" spans="1:9" ht="95.25" customHeight="1">
      <c r="A16" s="25"/>
      <c r="B16" s="82" t="s">
        <v>24</v>
      </c>
      <c r="C16" s="95" t="s">
        <v>25</v>
      </c>
      <c r="D16" s="96"/>
      <c r="E16" s="96"/>
      <c r="F16" s="97"/>
      <c r="G16" s="25"/>
      <c r="H16" s="25"/>
      <c r="I16" s="28"/>
    </row>
    <row r="17" spans="1:9" ht="106.5" customHeight="1">
      <c r="A17" s="25"/>
      <c r="B17" s="83"/>
      <c r="C17" s="98"/>
      <c r="D17" s="99"/>
      <c r="E17" s="99"/>
      <c r="F17" s="100"/>
      <c r="G17" s="25"/>
      <c r="H17" s="25"/>
      <c r="I17" s="28"/>
    </row>
    <row r="18" spans="1:9" ht="13.5" customHeight="1">
      <c r="A18" s="25"/>
      <c r="B18" s="58"/>
      <c r="C18" s="59"/>
      <c r="D18" s="60"/>
      <c r="E18" s="60"/>
      <c r="F18" s="60"/>
      <c r="G18" s="25"/>
      <c r="H18" s="25"/>
      <c r="I18" s="28"/>
    </row>
    <row r="19" spans="1:9" ht="128.25" customHeight="1">
      <c r="A19" s="25"/>
      <c r="B19" s="82" t="s">
        <v>26</v>
      </c>
      <c r="C19" s="90" t="s">
        <v>27</v>
      </c>
      <c r="D19" s="91"/>
      <c r="E19" s="91"/>
      <c r="F19" s="75"/>
      <c r="G19" s="25"/>
      <c r="H19" s="25"/>
      <c r="I19" s="28"/>
    </row>
    <row r="20" spans="1:9" ht="27.75" hidden="1" customHeight="1">
      <c r="A20" s="25"/>
      <c r="B20" s="83"/>
      <c r="C20" s="92"/>
      <c r="D20" s="93"/>
      <c r="E20" s="93"/>
      <c r="F20" s="76"/>
      <c r="G20" s="25"/>
      <c r="H20" s="25"/>
      <c r="I20" s="28"/>
    </row>
    <row r="21" spans="1:9" ht="6.75" customHeight="1">
      <c r="A21" s="25"/>
      <c r="B21" s="61"/>
      <c r="C21" s="62"/>
      <c r="D21" s="62"/>
      <c r="E21" s="62"/>
      <c r="F21" s="62"/>
      <c r="G21" s="25"/>
      <c r="H21" s="25"/>
      <c r="I21" s="28"/>
    </row>
    <row r="22" spans="1:9" ht="0.75" customHeight="1">
      <c r="A22" s="25"/>
      <c r="B22" s="57"/>
      <c r="C22" s="78"/>
      <c r="D22" s="78"/>
      <c r="E22" s="79"/>
      <c r="F22" s="25"/>
      <c r="G22" s="25"/>
      <c r="H22" s="25"/>
      <c r="I22" s="28"/>
    </row>
    <row r="23" spans="1:9" ht="27" customHeight="1">
      <c r="A23" s="25"/>
      <c r="B23" s="57"/>
      <c r="C23" s="78"/>
      <c r="D23" s="78"/>
      <c r="E23" s="79"/>
      <c r="F23" s="25"/>
      <c r="G23" s="25"/>
      <c r="H23" s="25"/>
      <c r="I23" s="28"/>
    </row>
    <row r="24" spans="1:9" ht="13.5">
      <c r="A24" s="25"/>
      <c r="B24" s="57" t="s">
        <v>28</v>
      </c>
      <c r="C24" s="54"/>
      <c r="D24" s="55"/>
      <c r="E24" s="56"/>
      <c r="F24" s="25"/>
      <c r="G24" s="25"/>
      <c r="H24" s="25"/>
      <c r="I24" s="28"/>
    </row>
    <row r="25" spans="1:9" ht="88.5" customHeight="1">
      <c r="A25" s="25"/>
      <c r="B25" s="53"/>
      <c r="C25" s="86" t="s">
        <v>29</v>
      </c>
      <c r="D25" s="86"/>
      <c r="E25" s="87"/>
      <c r="F25" s="25"/>
      <c r="G25" s="25"/>
      <c r="H25" s="25"/>
      <c r="I25" s="28"/>
    </row>
    <row r="26" spans="1:9" ht="13.5">
      <c r="A26" s="25"/>
      <c r="B26" s="57" t="s">
        <v>30</v>
      </c>
      <c r="C26" s="63"/>
      <c r="D26" s="64"/>
      <c r="E26" s="77"/>
      <c r="F26" s="25"/>
      <c r="G26" s="25"/>
      <c r="H26" s="25"/>
      <c r="I26" s="28"/>
    </row>
    <row r="27" spans="1:9" ht="97.5" customHeight="1">
      <c r="A27" s="25"/>
      <c r="B27" s="53"/>
      <c r="C27" s="86" t="s">
        <v>31</v>
      </c>
      <c r="D27" s="86"/>
      <c r="E27" s="87"/>
      <c r="F27" s="25"/>
      <c r="G27" s="25"/>
      <c r="H27" s="25"/>
      <c r="I27" s="28"/>
    </row>
    <row r="28" spans="1:9" ht="13.5">
      <c r="A28" s="25"/>
      <c r="B28" s="57" t="s">
        <v>32</v>
      </c>
      <c r="C28" s="65"/>
      <c r="D28" s="66"/>
      <c r="E28" s="79"/>
      <c r="F28" s="25"/>
      <c r="G28" s="25"/>
      <c r="H28" s="25"/>
      <c r="I28" s="28"/>
    </row>
    <row r="29" spans="1:9" ht="18.75" customHeight="1">
      <c r="A29" s="25"/>
      <c r="B29" s="53"/>
      <c r="C29" s="88"/>
      <c r="D29" s="88"/>
      <c r="E29" s="89"/>
      <c r="F29" s="25"/>
      <c r="G29" s="25"/>
      <c r="H29" s="25"/>
      <c r="I29" s="28"/>
    </row>
    <row r="30" spans="1:9" ht="13.5">
      <c r="A30" s="25"/>
      <c r="B30" s="57" t="s">
        <v>33</v>
      </c>
      <c r="C30" s="63"/>
      <c r="D30" s="64"/>
      <c r="E30" s="77"/>
      <c r="F30" s="25"/>
      <c r="G30" s="25"/>
      <c r="H30" s="25"/>
      <c r="I30" s="28"/>
    </row>
    <row r="31" spans="1:9" ht="13.5">
      <c r="A31" s="25"/>
      <c r="B31" s="57"/>
      <c r="C31" s="84" t="s">
        <v>34</v>
      </c>
      <c r="D31" s="84"/>
      <c r="E31" s="85"/>
      <c r="F31" s="25"/>
      <c r="G31" s="25"/>
      <c r="H31" s="25"/>
      <c r="I31" s="28"/>
    </row>
    <row r="32" spans="1:9" ht="14.25" thickBot="1">
      <c r="A32" s="25"/>
      <c r="B32" s="67"/>
      <c r="C32" s="68"/>
      <c r="D32" s="69"/>
      <c r="E32" s="70"/>
      <c r="F32" s="25"/>
      <c r="G32" s="25"/>
      <c r="H32" s="25"/>
      <c r="I32" s="28"/>
    </row>
    <row r="33" spans="1:9" ht="13.5">
      <c r="A33" s="25"/>
      <c r="B33" s="25"/>
      <c r="C33" s="71"/>
      <c r="D33" s="72"/>
      <c r="E33" s="73"/>
      <c r="F33" s="25"/>
      <c r="G33" s="25"/>
      <c r="H33" s="25"/>
      <c r="I33" s="28"/>
    </row>
    <row r="34" spans="1:9" ht="13.5">
      <c r="A34" s="25"/>
      <c r="B34" s="25"/>
      <c r="C34" s="71"/>
      <c r="D34" s="72"/>
      <c r="E34" s="73"/>
      <c r="F34" s="25"/>
      <c r="G34" s="25"/>
      <c r="H34" s="25"/>
      <c r="I34" s="28"/>
    </row>
    <row r="35" spans="1:9" ht="13.5">
      <c r="A35" s="25"/>
      <c r="B35" s="25"/>
      <c r="C35" s="71"/>
      <c r="D35" s="72"/>
      <c r="E35" s="73"/>
      <c r="F35" s="25"/>
      <c r="G35" s="25"/>
      <c r="H35" s="25"/>
      <c r="I35" s="28"/>
    </row>
    <row r="36" spans="1:9" ht="13.5">
      <c r="A36" s="25"/>
      <c r="B36" s="25"/>
      <c r="C36" s="71"/>
      <c r="D36" s="72"/>
      <c r="E36" s="73"/>
      <c r="F36" s="25"/>
      <c r="G36" s="25"/>
      <c r="H36" s="25"/>
      <c r="I36" s="28"/>
    </row>
    <row r="37" spans="1:9" ht="13.5">
      <c r="A37" s="25"/>
      <c r="B37" s="25"/>
      <c r="C37" s="71"/>
      <c r="D37" s="72"/>
      <c r="E37" s="73"/>
      <c r="F37" s="25"/>
      <c r="G37" s="25"/>
      <c r="H37" s="25"/>
      <c r="I37" s="28"/>
    </row>
    <row r="38" spans="1:9" ht="13.5">
      <c r="A38" s="25"/>
      <c r="B38" s="25"/>
      <c r="C38" s="71"/>
      <c r="D38" s="72"/>
      <c r="E38" s="73"/>
      <c r="F38" s="25"/>
      <c r="G38" s="25"/>
      <c r="H38" s="25"/>
      <c r="I38" s="28"/>
    </row>
    <row r="39" spans="1:9" ht="13.5">
      <c r="A39" s="25"/>
      <c r="B39" s="25"/>
      <c r="C39" s="71"/>
      <c r="D39" s="72"/>
      <c r="E39" s="73"/>
      <c r="F39" s="25"/>
      <c r="G39" s="25"/>
      <c r="H39" s="25"/>
      <c r="I39" s="28"/>
    </row>
    <row r="40" spans="1:9">
      <c r="C40" s="22"/>
      <c r="D40" s="23"/>
      <c r="E40" s="24"/>
    </row>
    <row r="41" spans="1:9">
      <c r="C41" s="22"/>
      <c r="D41" s="23"/>
      <c r="E41" s="24"/>
    </row>
    <row r="42" spans="1:9">
      <c r="C42" s="22"/>
      <c r="D42" s="23"/>
      <c r="E42" s="24"/>
    </row>
    <row r="43" spans="1:9">
      <c r="C43" s="22"/>
      <c r="D43" s="23"/>
      <c r="E43" s="24"/>
    </row>
    <row r="44" spans="1:9">
      <c r="C44" s="22"/>
      <c r="D44" s="23"/>
      <c r="E44" s="24"/>
    </row>
    <row r="45" spans="1:9">
      <c r="C45" s="22"/>
      <c r="D45" s="23"/>
      <c r="E45" s="24"/>
    </row>
    <row r="46" spans="1:9">
      <c r="C46" s="22"/>
      <c r="D46" s="23"/>
      <c r="E46" s="24"/>
    </row>
    <row r="47" spans="1:9">
      <c r="C47" s="22"/>
      <c r="D47" s="23"/>
      <c r="E47" s="24"/>
    </row>
  </sheetData>
  <mergeCells count="15">
    <mergeCell ref="A6:B6"/>
    <mergeCell ref="A7:B7"/>
    <mergeCell ref="C16:F17"/>
    <mergeCell ref="B16:B17"/>
    <mergeCell ref="B2:H2"/>
    <mergeCell ref="A4:B4"/>
    <mergeCell ref="C4:E4"/>
    <mergeCell ref="A5:B5"/>
    <mergeCell ref="C5:E5"/>
    <mergeCell ref="B19:B20"/>
    <mergeCell ref="C31:E31"/>
    <mergeCell ref="C25:E25"/>
    <mergeCell ref="C27:E27"/>
    <mergeCell ref="C29:E29"/>
    <mergeCell ref="C19:E20"/>
  </mergeCells>
  <pageMargins left="0.7" right="0.7" top="0.75" bottom="0.75" header="0.51180555555555496" footer="0.51180555555555496"/>
  <pageSetup paperSize="190" firstPageNumber="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110" zoomScaleNormal="110" workbookViewId="0">
      <selection activeCell="J14" sqref="J14:K14"/>
    </sheetView>
  </sheetViews>
  <sheetFormatPr defaultColWidth="9.140625" defaultRowHeight="12.75"/>
  <cols>
    <col min="1" max="1" width="5.42578125" style="1" customWidth="1"/>
    <col min="2" max="2" width="12.28515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44.7109375" style="1" customWidth="1"/>
    <col min="8" max="8" width="8.42578125" style="1" customWidth="1"/>
    <col min="9" max="9" width="12" style="1" customWidth="1"/>
    <col min="10" max="10" width="11.42578125" style="1" customWidth="1"/>
    <col min="11" max="11" width="10.85546875" style="1" customWidth="1"/>
    <col min="12" max="14" width="5.85546875" style="1" customWidth="1"/>
    <col min="15" max="15" width="12.5703125" style="1" customWidth="1"/>
    <col min="16" max="1024" width="9.140625" style="1"/>
  </cols>
  <sheetData>
    <row r="1" spans="1:1024" ht="18" customHeight="1">
      <c r="A1" s="115" t="s">
        <v>35</v>
      </c>
      <c r="B1" s="115"/>
      <c r="C1" s="115"/>
      <c r="D1" s="115"/>
      <c r="E1" s="115"/>
      <c r="F1" s="115"/>
      <c r="G1" s="115"/>
      <c r="H1" s="115"/>
      <c r="I1" s="115"/>
      <c r="J1" s="2" t="s">
        <v>36</v>
      </c>
      <c r="K1" s="15" t="s">
        <v>37</v>
      </c>
    </row>
    <row r="2" spans="1:1024" ht="18.75" customHeight="1" thickBot="1">
      <c r="A2" s="3"/>
      <c r="B2" s="3"/>
      <c r="C2" s="3"/>
      <c r="D2" s="4"/>
      <c r="E2" s="4"/>
      <c r="F2" s="4"/>
      <c r="G2" s="4"/>
      <c r="H2" s="4"/>
      <c r="I2" s="4"/>
      <c r="J2" s="4"/>
      <c r="K2" s="4"/>
    </row>
    <row r="3" spans="1:1024" ht="18.75" customHeight="1" thickBot="1">
      <c r="A3" s="116" t="s">
        <v>38</v>
      </c>
      <c r="B3" s="116"/>
      <c r="C3" s="116"/>
      <c r="D3" s="117" t="str">
        <f>'Necesidades Trimestrales'!C4</f>
        <v>90 - Ministerio de Seguridad</v>
      </c>
      <c r="E3" s="117"/>
      <c r="F3" s="117"/>
      <c r="G3" s="117"/>
      <c r="H3" s="117"/>
      <c r="I3" s="117"/>
      <c r="J3" s="117"/>
      <c r="K3" s="117"/>
    </row>
    <row r="4" spans="1:1024" ht="18.75" customHeight="1" thickBot="1">
      <c r="A4" s="118" t="s">
        <v>39</v>
      </c>
      <c r="B4" s="118"/>
      <c r="C4" s="118"/>
      <c r="D4" s="117" t="str">
        <f>'Necesidades Trimestrales'!C5</f>
        <v>7 - Direccion de Administracion de la Policia de la Provincia de Catamarca</v>
      </c>
      <c r="E4" s="117"/>
      <c r="F4" s="117"/>
      <c r="G4" s="117"/>
      <c r="H4" s="117"/>
      <c r="I4" s="117"/>
      <c r="J4" s="117"/>
      <c r="K4" s="117"/>
    </row>
    <row r="5" spans="1:1024" ht="18.75" customHeight="1" thickBot="1">
      <c r="A5" s="118" t="s">
        <v>40</v>
      </c>
      <c r="B5" s="118"/>
      <c r="C5" s="118"/>
      <c r="D5" s="117" t="s">
        <v>41</v>
      </c>
      <c r="E5" s="117"/>
      <c r="F5" s="117"/>
      <c r="G5" s="117"/>
      <c r="H5" s="117"/>
      <c r="I5" s="117"/>
      <c r="J5" s="117"/>
      <c r="K5" s="117"/>
    </row>
    <row r="6" spans="1:1024" ht="16.5" customHeight="1" thickBot="1">
      <c r="A6" s="116" t="s">
        <v>42</v>
      </c>
      <c r="B6" s="116"/>
      <c r="C6" s="116"/>
      <c r="D6" s="117" t="s">
        <v>43</v>
      </c>
      <c r="E6" s="117"/>
      <c r="F6" s="117"/>
      <c r="G6" s="117"/>
      <c r="H6" s="117"/>
      <c r="I6" s="117"/>
      <c r="J6" s="117"/>
      <c r="K6" s="117"/>
    </row>
    <row r="7" spans="1:1024" ht="16.5" customHeight="1" thickBot="1">
      <c r="A7" s="118" t="s">
        <v>44</v>
      </c>
      <c r="B7" s="118"/>
      <c r="C7" s="118"/>
      <c r="D7" s="117" t="str">
        <f>'[1]Necesidades Trimestrales'!C7 &amp; "° Trimestre - Año " &amp; '[1]Necesidades Trimestrales'!C6</f>
        <v>3° Trimestre - Año 2020</v>
      </c>
      <c r="E7" s="117"/>
      <c r="F7" s="117"/>
      <c r="G7" s="117"/>
      <c r="H7" s="117"/>
      <c r="I7" s="117"/>
      <c r="J7" s="117"/>
      <c r="K7" s="117"/>
    </row>
    <row r="8" spans="1:1024" ht="16.5" customHeight="1" thickBot="1">
      <c r="A8" s="112" t="s">
        <v>45</v>
      </c>
      <c r="B8" s="112"/>
      <c r="C8" s="112"/>
      <c r="D8" s="105" t="s">
        <v>46</v>
      </c>
      <c r="E8" s="105"/>
      <c r="F8" s="105"/>
      <c r="G8" s="105"/>
      <c r="H8" s="105"/>
      <c r="I8" s="105"/>
      <c r="J8" s="105"/>
      <c r="K8" s="105"/>
    </row>
    <row r="9" spans="1:1024" ht="16.5" thickBot="1">
      <c r="A9" s="5"/>
      <c r="B9" s="5"/>
      <c r="C9" s="5"/>
      <c r="D9" s="6"/>
      <c r="E9" s="6"/>
      <c r="F9" s="6"/>
      <c r="G9" s="6"/>
      <c r="H9" s="6"/>
      <c r="I9" s="6"/>
      <c r="J9" s="6"/>
      <c r="K9" s="6"/>
    </row>
    <row r="10" spans="1:1024" ht="13.5" thickBot="1">
      <c r="A10" s="106" t="s">
        <v>47</v>
      </c>
      <c r="B10" s="108" t="s">
        <v>48</v>
      </c>
      <c r="C10" s="108" t="s">
        <v>49</v>
      </c>
      <c r="D10" s="108"/>
      <c r="E10" s="108"/>
      <c r="F10" s="108"/>
      <c r="G10" s="108"/>
      <c r="H10" s="108" t="s">
        <v>50</v>
      </c>
      <c r="I10" s="108" t="s">
        <v>51</v>
      </c>
      <c r="J10" s="108" t="s">
        <v>52</v>
      </c>
      <c r="K10" s="110" t="s">
        <v>53</v>
      </c>
    </row>
    <row r="11" spans="1:1024" ht="13.5" thickBot="1">
      <c r="A11" s="107"/>
      <c r="B11" s="109"/>
      <c r="C11" s="109"/>
      <c r="D11" s="109"/>
      <c r="E11" s="109"/>
      <c r="F11" s="109"/>
      <c r="G11" s="109"/>
      <c r="H11" s="109"/>
      <c r="I11" s="109"/>
      <c r="J11" s="109"/>
      <c r="K11" s="111"/>
    </row>
    <row r="12" spans="1:1024" ht="28.5" customHeight="1">
      <c r="A12" s="16">
        <v>1</v>
      </c>
      <c r="B12" s="80" t="str">
        <f>+'Necesidades Trimestrales'!B10</f>
        <v>2.2.2- 6734.54</v>
      </c>
      <c r="C12" s="113" t="str">
        <f>+'Necesidades Trimestrales'!E10</f>
        <v>CAMPERAS; CONFECCION: ALGODON POLIESTER, CIERRE: SIN, CAPUCHA: SIN, TIPO: CHAQUETA, MATERIAL: ALGODON POLIESTER</v>
      </c>
      <c r="D12" s="113"/>
      <c r="E12" s="113"/>
      <c r="F12" s="113"/>
      <c r="G12" s="113"/>
      <c r="H12" s="17" t="s">
        <v>54</v>
      </c>
      <c r="I12" s="10" t="s">
        <v>19</v>
      </c>
      <c r="J12" s="12">
        <v>1192</v>
      </c>
      <c r="K12" s="20">
        <v>4640</v>
      </c>
    </row>
    <row r="13" spans="1:1024" ht="28.5" customHeight="1">
      <c r="A13" s="18">
        <v>2</v>
      </c>
      <c r="B13" s="81" t="str">
        <f>+'Necesidades Trimestrales'!B11</f>
        <v>2.2.2-6738.13</v>
      </c>
      <c r="C13" s="114" t="str">
        <f>+'Necesidades Trimestrales'!E11</f>
        <v>PANTALONES; TIPO: P/SEGURIDAD, TELA: ALGODON - POLIESTER, SEXO: UNISEX</v>
      </c>
      <c r="D13" s="114"/>
      <c r="E13" s="114"/>
      <c r="F13" s="114"/>
      <c r="G13" s="114"/>
      <c r="H13" s="19" t="s">
        <v>54</v>
      </c>
      <c r="I13" s="8" t="s">
        <v>19</v>
      </c>
      <c r="J13" s="13">
        <v>1872</v>
      </c>
      <c r="K13" s="21">
        <v>4639</v>
      </c>
    </row>
    <row r="14" spans="1:1024" ht="16.5" thickBot="1">
      <c r="A14" s="103" t="s">
        <v>55</v>
      </c>
      <c r="B14" s="103"/>
      <c r="C14" s="103"/>
      <c r="D14" s="103"/>
      <c r="E14" s="103"/>
      <c r="F14" s="103"/>
      <c r="G14" s="103"/>
      <c r="H14" s="103"/>
      <c r="I14" s="103"/>
      <c r="J14" s="104">
        <f>SUMPRODUCT(+J12:J13,K12:K13)</f>
        <v>14215088</v>
      </c>
      <c r="K14" s="10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</sheetData>
  <mergeCells count="24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4:I14"/>
    <mergeCell ref="J14:K1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Javier Ponce</cp:lastModifiedBy>
  <cp:revision>2</cp:revision>
  <dcterms:created xsi:type="dcterms:W3CDTF">2020-07-17T23:44:49Z</dcterms:created>
  <dcterms:modified xsi:type="dcterms:W3CDTF">2021-10-27T12:03:52Z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