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LVINA\AGOSTO 2021\CONSOLIDADO DESCARTABLE (Desier.yFracas.II trimestre)\"/>
    </mc:Choice>
  </mc:AlternateContent>
  <xr:revisionPtr revIDLastSave="0" documentId="13_ncr:1_{D3EBE5AB-A420-41BD-ADDF-55476B05C8E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Trimestrales'!$A$9:$I$66</definedName>
  </definedNames>
  <calcPr calcId="181029"/>
</workbook>
</file>

<file path=xl/calcChain.xml><?xml version="1.0" encoding="utf-8"?>
<calcChain xmlns="http://schemas.openxmlformats.org/spreadsheetml/2006/main">
  <c r="I66" i="1" l="1"/>
  <c r="I65" i="1" l="1"/>
  <c r="I64" i="1" l="1"/>
  <c r="I63" i="1"/>
  <c r="I62" i="1"/>
  <c r="I61" i="1"/>
  <c r="I60" i="1"/>
  <c r="I59" i="1"/>
  <c r="I58" i="1"/>
  <c r="I52" i="1" l="1"/>
  <c r="I51" i="1"/>
  <c r="I50" i="1"/>
  <c r="I49" i="1"/>
  <c r="I48" i="1"/>
  <c r="I29" i="1"/>
  <c r="I24" i="1"/>
  <c r="I25" i="1"/>
  <c r="I10" i="1"/>
  <c r="I33" i="1" l="1"/>
  <c r="I17" i="1"/>
  <c r="I55" i="1"/>
  <c r="I54" i="1" l="1"/>
  <c r="I53" i="1"/>
  <c r="I47" i="1"/>
  <c r="I46" i="1"/>
  <c r="I45" i="1"/>
  <c r="I44" i="1"/>
  <c r="I43" i="1"/>
  <c r="I42" i="1"/>
  <c r="I40" i="1"/>
  <c r="I38" i="1"/>
  <c r="I32" i="1"/>
  <c r="I28" i="1"/>
  <c r="I26" i="1"/>
  <c r="I19" i="1"/>
  <c r="I18" i="1"/>
  <c r="I37" i="1" l="1"/>
  <c r="I36" i="1"/>
  <c r="I35" i="1"/>
  <c r="I34" i="1"/>
  <c r="I57" i="1"/>
  <c r="I56" i="1"/>
  <c r="I41" i="1"/>
  <c r="I39" i="1"/>
  <c r="I31" i="1"/>
  <c r="I30" i="1"/>
  <c r="I27" i="1"/>
  <c r="I23" i="1"/>
  <c r="I22" i="1"/>
  <c r="I21" i="1"/>
  <c r="I20" i="1"/>
  <c r="I16" i="1"/>
  <c r="I15" i="1"/>
  <c r="I14" i="1"/>
  <c r="I13" i="1"/>
  <c r="I12" i="1"/>
  <c r="I11" i="1"/>
</calcChain>
</file>

<file path=xl/sharedStrings.xml><?xml version="1.0" encoding="utf-8"?>
<sst xmlns="http://schemas.openxmlformats.org/spreadsheetml/2006/main" count="271" uniqueCount="108">
  <si>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</si>
  <si>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</si>
  <si>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</si>
  <si>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</si>
  <si>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</si>
  <si>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</si>
  <si>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</si>
  <si>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</si>
  <si>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</si>
  <si>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</si>
  <si>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</si>
  <si>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</si>
  <si>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</si>
  <si>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</si>
  <si>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</si>
  <si>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</si>
  <si>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</si>
  <si>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</si>
  <si>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</si>
  <si>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</si>
  <si>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</si>
  <si>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Plazos de entrega:</t>
  </si>
  <si>
    <t>Lugar de entrega:</t>
  </si>
  <si>
    <t>Servio de Farmacia - MATERNIDAD PROVINCIAL 25 DE MAYO- HERNANDO. DE PEDRAZA 1650</t>
  </si>
  <si>
    <t>AGUJA ESPINAL 25G 31/2 PUNTA LAPIZ</t>
  </si>
  <si>
    <t>Aguja ESPINAL 26 G 31/2  PUNTA LAPIZ</t>
  </si>
  <si>
    <t xml:space="preserve">AGUJA ESPINAL 27G 3 1/2 PUNTA LAPIZ </t>
  </si>
  <si>
    <t>Aguja espinal para obesos  25 G  punta lapiz</t>
  </si>
  <si>
    <t xml:space="preserve">Aguja espinal para obesos  27 G </t>
  </si>
  <si>
    <t>AGUJA P/SUTURA RECTA X 1</t>
  </si>
  <si>
    <t>BRAZALETE PNI 1 TUBO  Nº 1  TIPO  WELCH ALLYN/DRAGUER</t>
  </si>
  <si>
    <t>BRAZALETE PNI 1 TUBO  Nº 2  TIPO  WELCH ALLYN/DRAGUER</t>
  </si>
  <si>
    <t>BRAZALETE PNI 2 TUBO  Nº 3  TIPO  WELCH ALLYN/DRAGUER</t>
  </si>
  <si>
    <t>BRAZALETE PNI 2 TUBO  Nº 4  TIPO  WELCH ALLYN/DRAGUER</t>
  </si>
  <si>
    <t>CANULA DE ASPIRACION DE CAMPO QUIRURGICO TIPO K 66</t>
  </si>
  <si>
    <t>Collar Philadelfia Grande 1unidad (UNICA x 1)</t>
  </si>
  <si>
    <t>Collar Philadelfia Mediano 1unidad (UNICA x 1)</t>
  </si>
  <si>
    <t xml:space="preserve">JERINGA DESCARTABLE PARA INSULINA 100 UI CON AGUJA </t>
  </si>
  <si>
    <t>MANOPLAS DE POLIETILENO X 100</t>
  </si>
  <si>
    <t>TIRAS REACTIVAS PARA DETERMINACION GLUCOSA X 50 UNIDADES</t>
  </si>
  <si>
    <t>TUBO CONECTOR EN "Y" KT-95 EST. X 1</t>
  </si>
  <si>
    <t>HILO DE SUTURA CATGUT  CROMICO Nº0</t>
  </si>
  <si>
    <t>HILO DE SUTURA CATGUT CROMICO Nro 1 CON AGUJA TIPO TAGUM</t>
  </si>
  <si>
    <t>HILO DE SUTURA CATGUT CROMICO Nro 2 CON AGUJA TIPO TAGUM</t>
  </si>
  <si>
    <t>HISOPOS NO EST.GINECOL.X 15 CM X 100 UNID.</t>
  </si>
  <si>
    <t>2.9.5</t>
  </si>
  <si>
    <t>20 dias corridos desde la firma del instrumento contractual</t>
  </si>
  <si>
    <t xml:space="preserve">30 dias </t>
  </si>
  <si>
    <t>horario: de 08:00 a 12:00</t>
  </si>
  <si>
    <t>2.5.1</t>
  </si>
  <si>
    <t>INSUMOS COMPLEJOS</t>
  </si>
  <si>
    <t>SUTURAS</t>
  </si>
  <si>
    <t>INSUMOS COMUNES</t>
  </si>
  <si>
    <t xml:space="preserve">ESTERILIZACION </t>
  </si>
  <si>
    <t>2.5.8</t>
  </si>
  <si>
    <t>Bolsas Termosellables P/bib 145 X 50 X 330mm Tipo Yellow Pack x 1000</t>
  </si>
  <si>
    <t>Caja</t>
  </si>
  <si>
    <t>Bolsas Termosellables P/bib 250 X 100 X 380mm TipoYellow Pack x 1000</t>
  </si>
  <si>
    <t>Unidad</t>
  </si>
  <si>
    <t>Camisolin P/Cirugia de tela verde brin con puño caña larga</t>
  </si>
  <si>
    <t>Cassettes P/Sterrad NX x 5 unidades Tipo ASP</t>
  </si>
  <si>
    <r>
      <t xml:space="preserve">Envoltorio para esterilización de Tela no tejida </t>
    </r>
    <r>
      <rPr>
        <b/>
        <sz val="10"/>
        <color theme="1"/>
        <rFont val="Arial"/>
        <family val="2"/>
      </rPr>
      <t>100% a base de Polipropileno</t>
    </r>
    <r>
      <rPr>
        <sz val="10"/>
        <color theme="1"/>
        <rFont val="Arial"/>
        <family val="2"/>
      </rPr>
      <t xml:space="preserve"> SMS</t>
    </r>
    <r>
      <rPr>
        <b/>
        <sz val="10"/>
        <color theme="1"/>
        <rFont val="Arial"/>
        <family val="2"/>
      </rPr>
      <t>. Gramaje 4</t>
    </r>
    <r>
      <rPr>
        <sz val="10"/>
        <color theme="1"/>
        <rFont val="Arial"/>
        <family val="2"/>
      </rPr>
      <t xml:space="preserve">5 gr/m2 </t>
    </r>
    <r>
      <rPr>
        <b/>
        <sz val="10"/>
        <color theme="1"/>
        <rFont val="Arial"/>
        <family val="2"/>
      </rPr>
      <t>Bobina x 200 metros</t>
    </r>
    <r>
      <rPr>
        <sz val="10"/>
        <color theme="1"/>
        <rFont val="Arial"/>
        <family val="2"/>
      </rPr>
      <t xml:space="preserve"> </t>
    </r>
  </si>
  <si>
    <t>Bobina</t>
  </si>
  <si>
    <t>2.2.1</t>
  </si>
  <si>
    <t>Indicador Quimico P/Sterrad NX x 1000 Tiras Tipo ASP</t>
  </si>
  <si>
    <t>LUPAS; POTENCIA: 75 Diop, DIAMETRO: 65 mm, MATERIAL LENTE: VIDRIO, ACCESORIO: C/LUZ, ARMAZON: PLASTICO, ESTRUCTURA: PLASTICO</t>
  </si>
  <si>
    <t>Paño de micro fibra de 40 x 40 cm Tipo  Mister Trapo</t>
  </si>
  <si>
    <t>2.9.1</t>
  </si>
  <si>
    <t>2.3.4</t>
  </si>
  <si>
    <t>PAPEL GRADO MEDICO 120 CM X 100 MTS</t>
  </si>
  <si>
    <t>Rollo</t>
  </si>
  <si>
    <t>Pouch Rollo de 450 mm x 200 mts.</t>
  </si>
  <si>
    <t>ROLLO EN PAPEL TERMICO  ORIGINALES 57 mm. X 20 mts.</t>
  </si>
  <si>
    <t>ROLLO EN PAPEL TERMICO ORIGINALES 80 mm. X 45 mts.</t>
  </si>
  <si>
    <t>Tela de Lienzo rollo 100 mts largo x 1,60 mts ancho</t>
  </si>
  <si>
    <t>ALCOHOL IODADO AL  2% X 1 LITRO</t>
  </si>
  <si>
    <t>ANTISEPTICO/DESINFECTANTE</t>
  </si>
  <si>
    <t>GLUTARALDEHIDO 2% CON SURFACTANTE BIDON X 4 LITROS</t>
  </si>
  <si>
    <t xml:space="preserve">AEROCAMARA C/ MASCARA PEDIATRICA  </t>
  </si>
  <si>
    <t xml:space="preserve">DESCARTABLES COMUNES </t>
  </si>
  <si>
    <t>BUTERFLY Nº 25</t>
  </si>
  <si>
    <t>BUTERFLY N 27</t>
  </si>
  <si>
    <t xml:space="preserve">CATETER INTRAVENOSO Nº 26 </t>
  </si>
  <si>
    <t>SONDA FOLEY DOBLE VIA DE LATEX RECUBIERTA CON SILICONA  Nº 16</t>
  </si>
  <si>
    <t>SONDA FOLEY DOBLE VIA DE LATEX RECUBIERTA CON SILICONA Nº 18</t>
  </si>
  <si>
    <t>SONDA NELATON PVC N° 12 T/K93</t>
  </si>
  <si>
    <t>SONDA PARA INTUBACION GASTRICA K 9</t>
  </si>
  <si>
    <t>SONDA PARA INTUBACION GASTRICA K11</t>
  </si>
  <si>
    <t>Cinta Testigo p/calor seco  (en rollo) Tipo Kims</t>
  </si>
  <si>
    <t xml:space="preserve">Espuma deterg. - desinf. de dispositivos medicos.Pulverizador x 750 CC. </t>
  </si>
  <si>
    <t>GASA HIDROFILA PIEZA X 1,8 KGS. TIPO HIDROSAN</t>
  </si>
  <si>
    <t>Pieza</t>
  </si>
  <si>
    <t>Polietileno de 40 micrones 25cm. X  100 mts. Tipo MP</t>
  </si>
  <si>
    <t>Polietileno de 40 micrones 55cm. X  100 mts. Tipo MP</t>
  </si>
  <si>
    <t>Polietileno de 50 micrones 15cm. X  100 mts. Tipo MP</t>
  </si>
  <si>
    <t>Polietileno de 50 micrones 30cm. X  100 mts. Tipo MP</t>
  </si>
  <si>
    <t>Polietileno de 50 micrones 40cm. X  100 mts. Tipo MP</t>
  </si>
  <si>
    <t>Tyvek Rollo de 50 cm Tipo  ASP/KIMS</t>
  </si>
  <si>
    <t>Especificidades Item N° : 1 a 62</t>
  </si>
  <si>
    <t>2.5.2</t>
  </si>
  <si>
    <t xml:space="preserve">
</t>
  </si>
  <si>
    <t xml:space="preserve"> </t>
  </si>
  <si>
    <t>Especificidades Item N° : 47</t>
  </si>
  <si>
    <t>3° trimestre</t>
  </si>
  <si>
    <t>Tela de Toalla rollo 50 mts largo ( doble ancho) x 1,50 mt de ancho</t>
  </si>
  <si>
    <t>Tela verde brin de algodón rollo 50 mtrs largo (doble ancho) x 1,50 mt de ancho. Indantrend</t>
  </si>
  <si>
    <t xml:space="preserve">Rollo de lienzo Ecologico 1,50 mt de ancho x 50 mt de largo </t>
  </si>
  <si>
    <t>Tiras reactivas tipo one touch compatibles con equipo on call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</si>
</sst>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[$$-2C0A]\ #,##0.00;[$$-2C0A]&quot; -&quot;#,##0.00"/>
    <numFmt numFmtId="168" formatCode="&quot;$&quot;\ #,##0.00"/>
    <numFmt numFmtId="169" formatCode="[$$-2C0A]\ #,##0.00;[Red][$$-2C0A]\ #,##0.00"/>
    <numFmt numFmtId="170" formatCode="[$$-2C0A]\ #,##0;[Red][$$-2C0A]\ #,##0"/>
  </numFmts>
  <fonts count="3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0">
    <xf numFmtId="0" fontId="0" fillId="0" borderId="0"/>
    <xf numFmtId="0" fontId="14" fillId="0" borderId="1" applyProtection="0"/>
    <xf numFmtId="0" fontId="16" fillId="2" borderId="0" applyBorder="0" applyProtection="0"/>
    <xf numFmtId="165" fontId="17" fillId="0" borderId="0" applyBorder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13" fillId="6" borderId="0" applyNumberFormat="0" applyBorder="0" applyAlignment="0" applyProtection="0"/>
    <xf numFmtId="0" fontId="11" fillId="7" borderId="0" applyNumberFormat="0" applyBorder="0" applyAlignment="0" applyProtection="0"/>
    <xf numFmtId="0" fontId="17" fillId="0" borderId="0"/>
    <xf numFmtId="0" fontId="6" fillId="0" borderId="0"/>
  </cellStyleXfs>
  <cellXfs count="102">
    <xf numFmtId="0" fontId="0" fillId="0" borderId="0" xfId="0"/>
    <xf numFmtId="0" fontId="18" fillId="0" borderId="0" xfId="0" applyFont="1"/>
    <xf numFmtId="165" fontId="17" fillId="0" borderId="0" xfId="3"/>
    <xf numFmtId="0" fontId="21" fillId="3" borderId="0" xfId="0" applyFont="1" applyFill="1"/>
    <xf numFmtId="0" fontId="21" fillId="3" borderId="0" xfId="0" applyFont="1" applyFill="1" applyAlignment="1">
      <alignment horizontal="left" wrapText="1"/>
    </xf>
    <xf numFmtId="0" fontId="12" fillId="3" borderId="2" xfId="6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left" wrapText="1"/>
    </xf>
    <xf numFmtId="0" fontId="24" fillId="3" borderId="0" xfId="0" applyFont="1" applyFill="1" applyAlignment="1"/>
    <xf numFmtId="0" fontId="18" fillId="0" borderId="10" xfId="0" applyFont="1" applyBorder="1"/>
    <xf numFmtId="0" fontId="18" fillId="0" borderId="0" xfId="0" applyFont="1" applyAlignment="1">
      <alignment horizontal="center" wrapText="1"/>
    </xf>
    <xf numFmtId="0" fontId="18" fillId="0" borderId="14" xfId="0" applyFont="1" applyBorder="1"/>
    <xf numFmtId="0" fontId="0" fillId="0" borderId="14" xfId="0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18" fillId="0" borderId="0" xfId="0" applyFont="1" applyAlignment="1"/>
    <xf numFmtId="0" fontId="18" fillId="0" borderId="0" xfId="0" applyFont="1" applyAlignment="1">
      <alignment wrapText="1"/>
    </xf>
    <xf numFmtId="0" fontId="26" fillId="3" borderId="17" xfId="0" applyFont="1" applyFill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 wrapText="1"/>
    </xf>
    <xf numFmtId="0" fontId="26" fillId="3" borderId="19" xfId="0" applyFont="1" applyFill="1" applyBorder="1" applyAlignment="1">
      <alignment horizontal="center" vertical="center" wrapText="1"/>
    </xf>
    <xf numFmtId="169" fontId="26" fillId="3" borderId="3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31" fillId="3" borderId="0" xfId="0" applyFont="1" applyFill="1"/>
    <xf numFmtId="169" fontId="12" fillId="3" borderId="6" xfId="6" applyNumberFormat="1" applyFont="1" applyFill="1" applyBorder="1" applyAlignment="1">
      <alignment horizontal="center" vertical="center" wrapText="1"/>
    </xf>
    <xf numFmtId="170" fontId="28" fillId="0" borderId="20" xfId="0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6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1" fontId="30" fillId="3" borderId="7" xfId="4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vertical="center"/>
    </xf>
    <xf numFmtId="0" fontId="27" fillId="3" borderId="16" xfId="0" applyFont="1" applyFill="1" applyBorder="1" applyAlignment="1">
      <alignment horizontal="center" vertical="center"/>
    </xf>
    <xf numFmtId="169" fontId="24" fillId="3" borderId="0" xfId="0" applyNumberFormat="1" applyFont="1" applyFill="1" applyAlignment="1">
      <alignment horizontal="center"/>
    </xf>
    <xf numFmtId="169" fontId="21" fillId="3" borderId="0" xfId="0" applyNumberFormat="1" applyFont="1" applyFill="1" applyAlignment="1">
      <alignment horizontal="center"/>
    </xf>
    <xf numFmtId="169" fontId="18" fillId="0" borderId="0" xfId="0" applyNumberFormat="1" applyFont="1" applyAlignment="1">
      <alignment horizontal="center"/>
    </xf>
    <xf numFmtId="0" fontId="18" fillId="0" borderId="0" xfId="0" applyFont="1" applyBorder="1"/>
    <xf numFmtId="168" fontId="0" fillId="0" borderId="2" xfId="0" applyNumberFormat="1" applyBorder="1" applyAlignment="1">
      <alignment horizontal="center" vertical="center"/>
    </xf>
    <xf numFmtId="0" fontId="10" fillId="3" borderId="4" xfId="5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wrapText="1"/>
    </xf>
    <xf numFmtId="0" fontId="26" fillId="0" borderId="18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/>
    </xf>
    <xf numFmtId="0" fontId="9" fillId="3" borderId="4" xfId="5" applyFont="1" applyFill="1" applyBorder="1" applyAlignment="1">
      <alignment horizontal="center" vertical="center" wrapText="1"/>
    </xf>
    <xf numFmtId="0" fontId="12" fillId="0" borderId="2" xfId="6" applyFont="1" applyFill="1" applyBorder="1" applyAlignment="1">
      <alignment horizontal="center" vertical="center" wrapText="1"/>
    </xf>
    <xf numFmtId="0" fontId="8" fillId="3" borderId="4" xfId="5" applyFont="1" applyFill="1" applyBorder="1" applyAlignment="1">
      <alignment horizontal="center" vertical="center" wrapText="1"/>
    </xf>
    <xf numFmtId="0" fontId="6" fillId="3" borderId="2" xfId="6" applyFont="1" applyFill="1" applyBorder="1" applyAlignment="1">
      <alignment horizontal="center" vertical="center" wrapText="1"/>
    </xf>
    <xf numFmtId="0" fontId="6" fillId="3" borderId="4" xfId="5" applyFont="1" applyFill="1" applyBorder="1" applyAlignment="1">
      <alignment horizontal="center" vertical="center" wrapText="1"/>
    </xf>
    <xf numFmtId="0" fontId="5" fillId="0" borderId="4" xfId="5" applyFont="1" applyFill="1" applyBorder="1" applyAlignment="1">
      <alignment horizontal="center" vertical="center" wrapText="1"/>
    </xf>
    <xf numFmtId="0" fontId="5" fillId="0" borderId="2" xfId="6" applyFont="1" applyFill="1" applyBorder="1" applyAlignment="1">
      <alignment horizontal="center" vertical="center" wrapText="1"/>
    </xf>
    <xf numFmtId="1" fontId="30" fillId="0" borderId="7" xfId="4" applyNumberFormat="1" applyFont="1" applyFill="1" applyBorder="1" applyAlignment="1">
      <alignment horizontal="center" vertical="center" wrapText="1"/>
    </xf>
    <xf numFmtId="168" fontId="0" fillId="0" borderId="2" xfId="0" applyNumberFormat="1" applyFill="1" applyBorder="1" applyAlignment="1">
      <alignment horizontal="center" vertical="center"/>
    </xf>
    <xf numFmtId="0" fontId="12" fillId="0" borderId="7" xfId="6" applyFont="1" applyFill="1" applyBorder="1" applyAlignment="1">
      <alignment horizontal="center" vertical="center" wrapText="1"/>
    </xf>
    <xf numFmtId="0" fontId="4" fillId="3" borderId="4" xfId="5" applyFont="1" applyFill="1" applyBorder="1" applyAlignment="1">
      <alignment horizontal="center" vertical="center" wrapText="1"/>
    </xf>
    <xf numFmtId="0" fontId="4" fillId="0" borderId="2" xfId="6" applyFont="1" applyFill="1" applyBorder="1" applyAlignment="1">
      <alignment horizontal="center" vertical="center" wrapText="1"/>
    </xf>
    <xf numFmtId="0" fontId="4" fillId="3" borderId="2" xfId="6" applyFont="1" applyFill="1" applyBorder="1" applyAlignment="1">
      <alignment horizontal="center" vertical="center" wrapText="1"/>
    </xf>
    <xf numFmtId="0" fontId="3" fillId="3" borderId="4" xfId="5" applyFont="1" applyFill="1" applyBorder="1" applyAlignment="1">
      <alignment horizontal="center" vertical="center" wrapText="1"/>
    </xf>
    <xf numFmtId="0" fontId="3" fillId="3" borderId="2" xfId="6" applyFont="1" applyFill="1" applyBorder="1" applyAlignment="1">
      <alignment horizontal="center" vertical="center" wrapText="1"/>
    </xf>
    <xf numFmtId="0" fontId="21" fillId="0" borderId="0" xfId="0" applyFont="1" applyFill="1" applyAlignment="1">
      <alignment wrapText="1"/>
    </xf>
    <xf numFmtId="0" fontId="7" fillId="0" borderId="2" xfId="6" applyFont="1" applyFill="1" applyBorder="1" applyAlignment="1">
      <alignment horizontal="center" vertical="center" wrapText="1"/>
    </xf>
    <xf numFmtId="0" fontId="6" fillId="0" borderId="2" xfId="6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0" xfId="0" applyFont="1" applyFill="1" applyAlignment="1">
      <alignment vertical="center" wrapText="1"/>
    </xf>
    <xf numFmtId="0" fontId="18" fillId="0" borderId="0" xfId="0" applyFont="1" applyFill="1" applyAlignment="1">
      <alignment wrapText="1"/>
    </xf>
    <xf numFmtId="0" fontId="18" fillId="0" borderId="0" xfId="0" applyFont="1" applyFill="1" applyAlignment="1">
      <alignment horizontal="center" vertical="center" wrapText="1"/>
    </xf>
    <xf numFmtId="0" fontId="18" fillId="0" borderId="14" xfId="0" applyFont="1" applyFill="1" applyBorder="1" applyAlignment="1">
      <alignment vertical="center" wrapText="1"/>
    </xf>
    <xf numFmtId="0" fontId="3" fillId="0" borderId="2" xfId="6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/>
    </xf>
    <xf numFmtId="0" fontId="2" fillId="0" borderId="4" xfId="5" applyFont="1" applyFill="1" applyBorder="1" applyAlignment="1">
      <alignment horizontal="center" vertical="center" wrapText="1"/>
    </xf>
    <xf numFmtId="0" fontId="2" fillId="3" borderId="4" xfId="5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" fillId="0" borderId="2" xfId="6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 wrapText="1"/>
    </xf>
    <xf numFmtId="0" fontId="27" fillId="3" borderId="2" xfId="9" applyFont="1" applyFill="1" applyBorder="1" applyAlignment="1">
      <alignment horizontal="center" vertical="center" wrapText="1"/>
    </xf>
    <xf numFmtId="0" fontId="17" fillId="3" borderId="2" xfId="8" applyFont="1" applyFill="1" applyBorder="1" applyAlignment="1">
      <alignment horizontal="center" vertical="center"/>
    </xf>
    <xf numFmtId="0" fontId="17" fillId="3" borderId="7" xfId="8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8" fillId="0" borderId="11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 wrapText="1"/>
    </xf>
    <xf numFmtId="0" fontId="18" fillId="0" borderId="15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32" fillId="3" borderId="0" xfId="7" applyFont="1" applyFill="1" applyAlignment="1">
      <alignment horizontal="center" vertical="center"/>
    </xf>
    <xf numFmtId="0" fontId="25" fillId="3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22" fillId="3" borderId="0" xfId="0" applyFont="1" applyFill="1" applyAlignment="1">
      <alignment horizontal="left" wrapText="1" indent="1"/>
    </xf>
    <xf numFmtId="0" fontId="18" fillId="0" borderId="0" xfId="0" applyFont="1" applyFill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8" fillId="0" borderId="0" xfId="0" applyFont="1" applyFill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</cellXfs>
  <cellStyles count="10">
    <cellStyle name="20% - Énfasis2" xfId="6" builtinId="34"/>
    <cellStyle name="20% - Énfasis5" xfId="7" builtinId="46"/>
    <cellStyle name="Bueno" xfId="4" builtinId="26"/>
    <cellStyle name="Encabezado 1" xfId="1" xr:uid="{00000000-0005-0000-0000-000003000000}"/>
    <cellStyle name="Incorrecto" xfId="5" builtinId="27"/>
    <cellStyle name="Moneda 2" xfId="3" xr:uid="{00000000-0005-0000-0000-000005000000}"/>
    <cellStyle name="Neutral 1" xfId="2" xr:uid="{00000000-0005-0000-0000-000007000000}"/>
    <cellStyle name="Normal" xfId="0" builtinId="0"/>
    <cellStyle name="Normal 2" xfId="8" xr:uid="{00000000-0005-0000-0000-000009000000}"/>
    <cellStyle name="Normal 4" xfId="9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88"/>
  <sheetViews>
    <sheetView tabSelected="1" zoomScale="110" zoomScaleNormal="110" workbookViewId="0">
      <selection activeCell="E105" sqref="E105"/>
    </sheetView>
  </sheetViews>
  <sheetFormatPr baseColWidth="10" defaultColWidth="11" defaultRowHeight="12.75" x14ac:dyDescent="0.2"/>
  <cols>
    <col min="1" max="1" width="7" style="33" customWidth="1"/>
    <col min="2" max="2" width="16.85546875" style="3" customWidth="1"/>
    <col min="3" max="3" width="23.5703125" style="60" customWidth="1"/>
    <col min="4" max="4" width="12.140625" style="3" customWidth="1"/>
    <col min="5" max="5" width="79" style="44" customWidth="1"/>
    <col min="6" max="6" width="11" style="3"/>
    <col min="7" max="7" width="12.7109375" style="33" customWidth="1"/>
    <col min="8" max="8" width="13.85546875" style="24" customWidth="1"/>
    <col min="9" max="9" width="27" style="36" customWidth="1"/>
    <col min="10" max="16384" width="11" style="1"/>
  </cols>
  <sheetData>
    <row r="2" spans="1:9" ht="27" x14ac:dyDescent="0.35">
      <c r="E2" s="76" t="s">
        <v>0</v>
      </c>
      <c r="F2" s="7"/>
      <c r="G2" s="29"/>
      <c r="I2" s="35"/>
    </row>
    <row r="4" spans="1:9" ht="18" customHeight="1" x14ac:dyDescent="0.25">
      <c r="A4" s="92" t="s">
        <v>1</v>
      </c>
      <c r="B4" s="92"/>
      <c r="C4" s="93"/>
      <c r="D4" s="92"/>
      <c r="E4" s="94" t="s">
        <v>20</v>
      </c>
      <c r="F4" s="94"/>
      <c r="G4" s="94"/>
    </row>
    <row r="5" spans="1:9" ht="18" customHeight="1" x14ac:dyDescent="0.25">
      <c r="A5" s="92" t="s">
        <v>2</v>
      </c>
      <c r="B5" s="92"/>
      <c r="C5" s="93"/>
      <c r="D5" s="92"/>
      <c r="E5" s="94" t="s">
        <v>15</v>
      </c>
      <c r="F5" s="94"/>
      <c r="G5" s="94"/>
    </row>
    <row r="6" spans="1:9" ht="16.5" customHeight="1" x14ac:dyDescent="0.25">
      <c r="A6" s="92" t="s">
        <v>3</v>
      </c>
      <c r="B6" s="92"/>
      <c r="C6" s="93"/>
      <c r="D6" s="92"/>
      <c r="E6" s="77">
        <v>2021</v>
      </c>
      <c r="F6" s="6"/>
      <c r="G6" s="30"/>
    </row>
    <row r="7" spans="1:9" ht="16.5" customHeight="1" x14ac:dyDescent="0.25">
      <c r="A7" s="92" t="s">
        <v>4</v>
      </c>
      <c r="B7" s="92"/>
      <c r="C7" s="93"/>
      <c r="D7" s="92"/>
      <c r="E7" s="77" t="s">
        <v>103</v>
      </c>
      <c r="F7" s="6"/>
      <c r="G7" s="30"/>
    </row>
    <row r="8" spans="1:9" ht="13.5" thickBot="1" x14ac:dyDescent="0.25">
      <c r="E8" s="41"/>
      <c r="F8" s="4"/>
      <c r="G8" s="31"/>
    </row>
    <row r="9" spans="1:9" ht="39" thickBot="1" x14ac:dyDescent="0.25">
      <c r="A9" s="20" t="s">
        <v>5</v>
      </c>
      <c r="B9" s="21" t="s">
        <v>6</v>
      </c>
      <c r="C9" s="42" t="s">
        <v>13</v>
      </c>
      <c r="D9" s="21" t="s">
        <v>14</v>
      </c>
      <c r="E9" s="42" t="s">
        <v>7</v>
      </c>
      <c r="F9" s="21" t="s">
        <v>8</v>
      </c>
      <c r="G9" s="22" t="s">
        <v>9</v>
      </c>
      <c r="H9" s="27" t="s">
        <v>10</v>
      </c>
      <c r="I9" s="23" t="s">
        <v>11</v>
      </c>
    </row>
    <row r="10" spans="1:9" s="2" customFormat="1" ht="42" customHeight="1" thickBot="1" x14ac:dyDescent="0.25">
      <c r="A10" s="34">
        <v>1</v>
      </c>
      <c r="B10" s="5"/>
      <c r="C10" s="56" t="s">
        <v>79</v>
      </c>
      <c r="D10" s="55" t="s">
        <v>45</v>
      </c>
      <c r="E10" s="56" t="s">
        <v>78</v>
      </c>
      <c r="F10" s="57" t="s">
        <v>12</v>
      </c>
      <c r="G10" s="32">
        <v>20</v>
      </c>
      <c r="H10" s="39">
        <v>230</v>
      </c>
      <c r="I10" s="26">
        <f t="shared" ref="I10:I35" si="0">G10*H10</f>
        <v>4600</v>
      </c>
    </row>
    <row r="11" spans="1:9" s="2" customFormat="1" ht="42" customHeight="1" thickBot="1" x14ac:dyDescent="0.25">
      <c r="A11" s="34">
        <v>2</v>
      </c>
      <c r="B11" s="5"/>
      <c r="C11" s="61" t="s">
        <v>50</v>
      </c>
      <c r="D11" s="45" t="s">
        <v>45</v>
      </c>
      <c r="E11" s="46" t="s">
        <v>24</v>
      </c>
      <c r="F11" s="5" t="s">
        <v>12</v>
      </c>
      <c r="G11" s="32">
        <v>100</v>
      </c>
      <c r="H11" s="39">
        <v>520</v>
      </c>
      <c r="I11" s="26">
        <f t="shared" si="0"/>
        <v>52000</v>
      </c>
    </row>
    <row r="12" spans="1:9" s="2" customFormat="1" ht="42" customHeight="1" thickBot="1" x14ac:dyDescent="0.25">
      <c r="A12" s="34">
        <v>3</v>
      </c>
      <c r="B12" s="5"/>
      <c r="C12" s="61" t="s">
        <v>50</v>
      </c>
      <c r="D12" s="40" t="s">
        <v>45</v>
      </c>
      <c r="E12" s="46" t="s">
        <v>25</v>
      </c>
      <c r="F12" s="5" t="s">
        <v>12</v>
      </c>
      <c r="G12" s="32">
        <v>100</v>
      </c>
      <c r="H12" s="39">
        <v>520</v>
      </c>
      <c r="I12" s="26">
        <f t="shared" si="0"/>
        <v>52000</v>
      </c>
    </row>
    <row r="13" spans="1:9" s="2" customFormat="1" ht="42" customHeight="1" thickBot="1" x14ac:dyDescent="0.25">
      <c r="A13" s="34">
        <v>4</v>
      </c>
      <c r="B13" s="5"/>
      <c r="C13" s="61" t="s">
        <v>50</v>
      </c>
      <c r="D13" s="40" t="s">
        <v>45</v>
      </c>
      <c r="E13" s="46" t="s">
        <v>26</v>
      </c>
      <c r="F13" s="5" t="s">
        <v>12</v>
      </c>
      <c r="G13" s="32">
        <v>1500</v>
      </c>
      <c r="H13" s="39">
        <v>520</v>
      </c>
      <c r="I13" s="26">
        <f t="shared" si="0"/>
        <v>780000</v>
      </c>
    </row>
    <row r="14" spans="1:9" s="2" customFormat="1" ht="42" customHeight="1" thickBot="1" x14ac:dyDescent="0.25">
      <c r="A14" s="34">
        <v>5</v>
      </c>
      <c r="B14" s="5"/>
      <c r="C14" s="61" t="s">
        <v>50</v>
      </c>
      <c r="D14" s="40" t="s">
        <v>45</v>
      </c>
      <c r="E14" s="46" t="s">
        <v>27</v>
      </c>
      <c r="F14" s="5" t="s">
        <v>12</v>
      </c>
      <c r="G14" s="32">
        <v>100</v>
      </c>
      <c r="H14" s="39">
        <v>620</v>
      </c>
      <c r="I14" s="26">
        <f t="shared" si="0"/>
        <v>62000</v>
      </c>
    </row>
    <row r="15" spans="1:9" s="2" customFormat="1" ht="42" customHeight="1" thickBot="1" x14ac:dyDescent="0.25">
      <c r="A15" s="34">
        <v>6</v>
      </c>
      <c r="B15" s="5"/>
      <c r="C15" s="61" t="s">
        <v>50</v>
      </c>
      <c r="D15" s="40" t="s">
        <v>45</v>
      </c>
      <c r="E15" s="46" t="s">
        <v>28</v>
      </c>
      <c r="F15" s="5" t="s">
        <v>12</v>
      </c>
      <c r="G15" s="32">
        <v>100</v>
      </c>
      <c r="H15" s="39">
        <v>620</v>
      </c>
      <c r="I15" s="26">
        <f t="shared" si="0"/>
        <v>62000</v>
      </c>
    </row>
    <row r="16" spans="1:9" s="2" customFormat="1" ht="42" customHeight="1" thickBot="1" x14ac:dyDescent="0.25">
      <c r="A16" s="34">
        <v>7</v>
      </c>
      <c r="B16" s="5"/>
      <c r="C16" s="61" t="s">
        <v>50</v>
      </c>
      <c r="D16" s="40" t="s">
        <v>45</v>
      </c>
      <c r="E16" s="46" t="s">
        <v>29</v>
      </c>
      <c r="F16" s="5" t="s">
        <v>12</v>
      </c>
      <c r="G16" s="32">
        <v>20</v>
      </c>
      <c r="H16" s="39">
        <v>200</v>
      </c>
      <c r="I16" s="26">
        <f t="shared" si="0"/>
        <v>4000</v>
      </c>
    </row>
    <row r="17" spans="1:11" s="2" customFormat="1" ht="42" customHeight="1" thickBot="1" x14ac:dyDescent="0.25">
      <c r="A17" s="34">
        <v>8</v>
      </c>
      <c r="B17" s="5"/>
      <c r="C17" s="62" t="s">
        <v>76</v>
      </c>
      <c r="D17" s="71" t="s">
        <v>99</v>
      </c>
      <c r="E17" s="51" t="s">
        <v>75</v>
      </c>
      <c r="F17" s="51" t="s">
        <v>12</v>
      </c>
      <c r="G17" s="52">
        <v>15</v>
      </c>
      <c r="H17" s="53">
        <v>850</v>
      </c>
      <c r="I17" s="26">
        <f t="shared" si="0"/>
        <v>12750</v>
      </c>
    </row>
    <row r="18" spans="1:11" s="2" customFormat="1" ht="42" customHeight="1" thickBot="1" x14ac:dyDescent="0.25">
      <c r="A18" s="34">
        <v>9</v>
      </c>
      <c r="B18" s="5"/>
      <c r="C18" s="62" t="s">
        <v>53</v>
      </c>
      <c r="D18" s="40" t="s">
        <v>54</v>
      </c>
      <c r="E18" s="46" t="s">
        <v>55</v>
      </c>
      <c r="F18" s="5" t="s">
        <v>56</v>
      </c>
      <c r="G18" s="32">
        <v>24</v>
      </c>
      <c r="H18" s="39">
        <v>18900</v>
      </c>
      <c r="I18" s="26">
        <f t="shared" si="0"/>
        <v>453600</v>
      </c>
    </row>
    <row r="19" spans="1:11" s="2" customFormat="1" ht="42" customHeight="1" thickBot="1" x14ac:dyDescent="0.25">
      <c r="A19" s="34">
        <v>10</v>
      </c>
      <c r="B19" s="5"/>
      <c r="C19" s="62" t="s">
        <v>53</v>
      </c>
      <c r="D19" s="40" t="s">
        <v>54</v>
      </c>
      <c r="E19" s="46" t="s">
        <v>57</v>
      </c>
      <c r="F19" s="5" t="s">
        <v>56</v>
      </c>
      <c r="G19" s="32">
        <v>45</v>
      </c>
      <c r="H19" s="39">
        <v>5460</v>
      </c>
      <c r="I19" s="26">
        <f t="shared" si="0"/>
        <v>245700</v>
      </c>
    </row>
    <row r="20" spans="1:11" s="2" customFormat="1" ht="42" customHeight="1" thickBot="1" x14ac:dyDescent="0.25">
      <c r="A20" s="34">
        <v>11</v>
      </c>
      <c r="B20" s="5"/>
      <c r="C20" s="61" t="s">
        <v>50</v>
      </c>
      <c r="D20" s="40" t="s">
        <v>45</v>
      </c>
      <c r="E20" s="46" t="s">
        <v>30</v>
      </c>
      <c r="F20" s="5" t="s">
        <v>12</v>
      </c>
      <c r="G20" s="32">
        <v>240</v>
      </c>
      <c r="H20" s="39">
        <v>787</v>
      </c>
      <c r="I20" s="26">
        <f t="shared" si="0"/>
        <v>188880</v>
      </c>
    </row>
    <row r="21" spans="1:11" s="2" customFormat="1" ht="42" customHeight="1" thickBot="1" x14ac:dyDescent="0.25">
      <c r="A21" s="34">
        <v>12</v>
      </c>
      <c r="B21" s="5"/>
      <c r="C21" s="61" t="s">
        <v>50</v>
      </c>
      <c r="D21" s="40" t="s">
        <v>45</v>
      </c>
      <c r="E21" s="46" t="s">
        <v>31</v>
      </c>
      <c r="F21" s="5" t="s">
        <v>12</v>
      </c>
      <c r="G21" s="32">
        <v>240</v>
      </c>
      <c r="H21" s="39">
        <v>787</v>
      </c>
      <c r="I21" s="26">
        <f t="shared" si="0"/>
        <v>188880</v>
      </c>
    </row>
    <row r="22" spans="1:11" s="2" customFormat="1" ht="42" customHeight="1" thickBot="1" x14ac:dyDescent="0.25">
      <c r="A22" s="34">
        <v>13</v>
      </c>
      <c r="B22" s="5"/>
      <c r="C22" s="61" t="s">
        <v>50</v>
      </c>
      <c r="D22" s="40" t="s">
        <v>45</v>
      </c>
      <c r="E22" s="46" t="s">
        <v>32</v>
      </c>
      <c r="F22" s="5" t="s">
        <v>12</v>
      </c>
      <c r="G22" s="32">
        <v>6</v>
      </c>
      <c r="H22" s="39">
        <v>3090</v>
      </c>
      <c r="I22" s="26">
        <f t="shared" si="0"/>
        <v>18540</v>
      </c>
      <c r="K22" s="1"/>
    </row>
    <row r="23" spans="1:11" s="2" customFormat="1" ht="42" customHeight="1" thickBot="1" x14ac:dyDescent="0.25">
      <c r="A23" s="34">
        <v>14</v>
      </c>
      <c r="B23" s="5"/>
      <c r="C23" s="61" t="s">
        <v>50</v>
      </c>
      <c r="D23" s="40" t="s">
        <v>45</v>
      </c>
      <c r="E23" s="46" t="s">
        <v>33</v>
      </c>
      <c r="F23" s="5" t="s">
        <v>12</v>
      </c>
      <c r="G23" s="32">
        <v>6</v>
      </c>
      <c r="H23" s="39">
        <v>3090</v>
      </c>
      <c r="I23" s="26">
        <f t="shared" si="0"/>
        <v>18540</v>
      </c>
      <c r="K23" s="1"/>
    </row>
    <row r="24" spans="1:11" s="2" customFormat="1" ht="42" customHeight="1" thickBot="1" x14ac:dyDescent="0.25">
      <c r="A24" s="34">
        <v>15</v>
      </c>
      <c r="B24" s="5"/>
      <c r="C24" s="56" t="s">
        <v>79</v>
      </c>
      <c r="D24" s="40" t="s">
        <v>45</v>
      </c>
      <c r="E24" s="46" t="s">
        <v>81</v>
      </c>
      <c r="F24" s="5" t="s">
        <v>12</v>
      </c>
      <c r="G24" s="32">
        <v>100</v>
      </c>
      <c r="H24" s="39">
        <v>14.5</v>
      </c>
      <c r="I24" s="26">
        <f t="shared" si="0"/>
        <v>1450</v>
      </c>
      <c r="K24" s="1"/>
    </row>
    <row r="25" spans="1:11" s="2" customFormat="1" ht="42" customHeight="1" thickBot="1" x14ac:dyDescent="0.25">
      <c r="A25" s="34">
        <v>16</v>
      </c>
      <c r="B25" s="5"/>
      <c r="C25" s="56" t="s">
        <v>79</v>
      </c>
      <c r="D25" s="55" t="s">
        <v>45</v>
      </c>
      <c r="E25" s="56" t="s">
        <v>80</v>
      </c>
      <c r="F25" s="57" t="s">
        <v>12</v>
      </c>
      <c r="G25" s="32">
        <v>100</v>
      </c>
      <c r="H25" s="39">
        <v>14.5</v>
      </c>
      <c r="I25" s="26">
        <f t="shared" si="0"/>
        <v>1450</v>
      </c>
      <c r="K25" s="1"/>
    </row>
    <row r="26" spans="1:11" ht="42" customHeight="1" thickBot="1" x14ac:dyDescent="0.25">
      <c r="A26" s="34">
        <v>17</v>
      </c>
      <c r="B26" s="5"/>
      <c r="C26" s="62" t="s">
        <v>53</v>
      </c>
      <c r="D26" s="49" t="s">
        <v>45</v>
      </c>
      <c r="E26" s="46" t="s">
        <v>59</v>
      </c>
      <c r="F26" s="5" t="s">
        <v>58</v>
      </c>
      <c r="G26" s="32">
        <v>400</v>
      </c>
      <c r="H26" s="39">
        <v>1990</v>
      </c>
      <c r="I26" s="26">
        <f t="shared" si="0"/>
        <v>796000</v>
      </c>
      <c r="J26" s="2"/>
      <c r="K26" s="2"/>
    </row>
    <row r="27" spans="1:11" ht="42" customHeight="1" thickBot="1" x14ac:dyDescent="0.25">
      <c r="A27" s="34">
        <v>18</v>
      </c>
      <c r="B27" s="5"/>
      <c r="C27" s="61" t="s">
        <v>50</v>
      </c>
      <c r="D27" s="40" t="s">
        <v>45</v>
      </c>
      <c r="E27" s="46" t="s">
        <v>34</v>
      </c>
      <c r="F27" s="5" t="s">
        <v>12</v>
      </c>
      <c r="G27" s="32">
        <v>400</v>
      </c>
      <c r="H27" s="39">
        <v>150</v>
      </c>
      <c r="I27" s="26">
        <f t="shared" si="0"/>
        <v>60000</v>
      </c>
      <c r="J27" s="2"/>
      <c r="K27" s="2"/>
    </row>
    <row r="28" spans="1:11" ht="42" customHeight="1" thickBot="1" x14ac:dyDescent="0.25">
      <c r="A28" s="34">
        <v>19</v>
      </c>
      <c r="B28" s="5"/>
      <c r="C28" s="62" t="s">
        <v>53</v>
      </c>
      <c r="D28" s="40" t="s">
        <v>45</v>
      </c>
      <c r="E28" s="46" t="s">
        <v>60</v>
      </c>
      <c r="F28" s="5" t="s">
        <v>56</v>
      </c>
      <c r="G28" s="32">
        <v>50</v>
      </c>
      <c r="H28" s="39">
        <v>82500</v>
      </c>
      <c r="I28" s="26">
        <f t="shared" si="0"/>
        <v>4125000</v>
      </c>
      <c r="J28" s="2"/>
      <c r="K28" s="2"/>
    </row>
    <row r="29" spans="1:11" ht="42" customHeight="1" thickBot="1" x14ac:dyDescent="0.25">
      <c r="A29" s="34">
        <v>20</v>
      </c>
      <c r="B29" s="5"/>
      <c r="C29" s="56" t="s">
        <v>79</v>
      </c>
      <c r="D29" s="40" t="s">
        <v>45</v>
      </c>
      <c r="E29" s="46" t="s">
        <v>82</v>
      </c>
      <c r="F29" s="5" t="s">
        <v>12</v>
      </c>
      <c r="G29" s="32">
        <v>100</v>
      </c>
      <c r="H29" s="39">
        <v>50</v>
      </c>
      <c r="I29" s="26">
        <f t="shared" si="0"/>
        <v>5000</v>
      </c>
      <c r="J29" s="2"/>
      <c r="K29" s="2"/>
    </row>
    <row r="30" spans="1:11" ht="42" customHeight="1" thickBot="1" x14ac:dyDescent="0.25">
      <c r="A30" s="34">
        <v>21</v>
      </c>
      <c r="B30" s="5"/>
      <c r="C30" s="61" t="s">
        <v>50</v>
      </c>
      <c r="D30" s="40" t="s">
        <v>45</v>
      </c>
      <c r="E30" s="46" t="s">
        <v>35</v>
      </c>
      <c r="F30" s="5" t="s">
        <v>12</v>
      </c>
      <c r="G30" s="32">
        <v>10</v>
      </c>
      <c r="H30" s="39">
        <v>1160</v>
      </c>
      <c r="I30" s="26">
        <f t="shared" si="0"/>
        <v>11600</v>
      </c>
      <c r="J30" s="2"/>
      <c r="K30" s="2"/>
    </row>
    <row r="31" spans="1:11" ht="42" customHeight="1" thickBot="1" x14ac:dyDescent="0.25">
      <c r="A31" s="34">
        <v>22</v>
      </c>
      <c r="B31" s="5"/>
      <c r="C31" s="61" t="s">
        <v>50</v>
      </c>
      <c r="D31" s="40" t="s">
        <v>45</v>
      </c>
      <c r="E31" s="46" t="s">
        <v>36</v>
      </c>
      <c r="F31" s="5" t="s">
        <v>12</v>
      </c>
      <c r="G31" s="32">
        <v>10</v>
      </c>
      <c r="H31" s="39">
        <v>1160</v>
      </c>
      <c r="I31" s="26">
        <f t="shared" si="0"/>
        <v>11600</v>
      </c>
      <c r="J31" s="2"/>
      <c r="K31" s="2"/>
    </row>
    <row r="32" spans="1:11" ht="42" customHeight="1" thickBot="1" x14ac:dyDescent="0.25">
      <c r="A32" s="34">
        <v>23</v>
      </c>
      <c r="B32" s="5"/>
      <c r="C32" s="62" t="s">
        <v>53</v>
      </c>
      <c r="D32" s="72" t="s">
        <v>45</v>
      </c>
      <c r="E32" s="78" t="s">
        <v>61</v>
      </c>
      <c r="F32" s="48" t="s">
        <v>62</v>
      </c>
      <c r="G32" s="32">
        <v>6</v>
      </c>
      <c r="H32" s="39">
        <v>22400</v>
      </c>
      <c r="I32" s="26">
        <f t="shared" si="0"/>
        <v>134400</v>
      </c>
      <c r="J32" s="2"/>
      <c r="K32" s="2"/>
    </row>
    <row r="33" spans="1:11" ht="42" customHeight="1" thickBot="1" x14ac:dyDescent="0.25">
      <c r="A33" s="34">
        <v>24</v>
      </c>
      <c r="B33" s="5"/>
      <c r="C33" s="62" t="s">
        <v>76</v>
      </c>
      <c r="D33" s="50" t="s">
        <v>49</v>
      </c>
      <c r="E33" s="51" t="s">
        <v>77</v>
      </c>
      <c r="F33" s="51" t="s">
        <v>12</v>
      </c>
      <c r="G33" s="52">
        <v>20</v>
      </c>
      <c r="H33" s="53">
        <v>1100</v>
      </c>
      <c r="I33" s="26">
        <f t="shared" si="0"/>
        <v>22000</v>
      </c>
      <c r="J33" s="2"/>
      <c r="K33" s="2"/>
    </row>
    <row r="34" spans="1:11" ht="42" customHeight="1" thickBot="1" x14ac:dyDescent="0.25">
      <c r="A34" s="34">
        <v>25</v>
      </c>
      <c r="B34" s="5"/>
      <c r="C34" s="61" t="s">
        <v>51</v>
      </c>
      <c r="D34" s="40" t="s">
        <v>45</v>
      </c>
      <c r="E34" s="46" t="s">
        <v>41</v>
      </c>
      <c r="F34" s="5" t="s">
        <v>12</v>
      </c>
      <c r="G34" s="32">
        <v>30</v>
      </c>
      <c r="H34" s="39">
        <v>320</v>
      </c>
      <c r="I34" s="26">
        <f t="shared" si="0"/>
        <v>9600</v>
      </c>
      <c r="J34" s="2"/>
      <c r="K34" s="2"/>
    </row>
    <row r="35" spans="1:11" ht="42" customHeight="1" thickBot="1" x14ac:dyDescent="0.25">
      <c r="A35" s="34">
        <v>26</v>
      </c>
      <c r="B35" s="5"/>
      <c r="C35" s="61" t="s">
        <v>51</v>
      </c>
      <c r="D35" s="40" t="s">
        <v>45</v>
      </c>
      <c r="E35" s="46" t="s">
        <v>42</v>
      </c>
      <c r="F35" s="5" t="s">
        <v>12</v>
      </c>
      <c r="G35" s="32">
        <v>200</v>
      </c>
      <c r="H35" s="39">
        <v>320</v>
      </c>
      <c r="I35" s="26">
        <f t="shared" si="0"/>
        <v>64000</v>
      </c>
      <c r="J35" s="2"/>
      <c r="K35" s="2"/>
    </row>
    <row r="36" spans="1:11" ht="42" customHeight="1" thickBot="1" x14ac:dyDescent="0.25">
      <c r="A36" s="34">
        <v>27</v>
      </c>
      <c r="B36" s="5"/>
      <c r="C36" s="61" t="s">
        <v>51</v>
      </c>
      <c r="D36" s="40" t="s">
        <v>45</v>
      </c>
      <c r="E36" s="46" t="s">
        <v>43</v>
      </c>
      <c r="F36" s="5" t="s">
        <v>12</v>
      </c>
      <c r="G36" s="32">
        <v>8000</v>
      </c>
      <c r="H36" s="39">
        <v>320</v>
      </c>
      <c r="I36" s="26">
        <f t="shared" ref="I36:I64" si="1">G36*H36</f>
        <v>2560000</v>
      </c>
      <c r="J36" s="2"/>
      <c r="K36" s="2"/>
    </row>
    <row r="37" spans="1:11" ht="42" customHeight="1" thickBot="1" x14ac:dyDescent="0.25">
      <c r="A37" s="34">
        <v>28</v>
      </c>
      <c r="B37" s="5"/>
      <c r="C37" s="61" t="s">
        <v>51</v>
      </c>
      <c r="D37" s="40" t="s">
        <v>45</v>
      </c>
      <c r="E37" s="46" t="s">
        <v>44</v>
      </c>
      <c r="F37" s="5" t="s">
        <v>12</v>
      </c>
      <c r="G37" s="32">
        <v>100</v>
      </c>
      <c r="H37" s="39">
        <v>50</v>
      </c>
      <c r="I37" s="26">
        <f t="shared" si="1"/>
        <v>5000</v>
      </c>
      <c r="J37" s="2"/>
      <c r="K37" s="2"/>
    </row>
    <row r="38" spans="1:11" ht="42" customHeight="1" thickBot="1" x14ac:dyDescent="0.25">
      <c r="A38" s="34">
        <v>29</v>
      </c>
      <c r="B38" s="5"/>
      <c r="C38" s="62" t="s">
        <v>53</v>
      </c>
      <c r="D38" s="49" t="s">
        <v>49</v>
      </c>
      <c r="E38" s="79" t="s">
        <v>64</v>
      </c>
      <c r="F38" s="48" t="s">
        <v>56</v>
      </c>
      <c r="G38" s="32">
        <v>12</v>
      </c>
      <c r="H38" s="39">
        <v>26500</v>
      </c>
      <c r="I38" s="26">
        <f t="shared" si="1"/>
        <v>318000</v>
      </c>
      <c r="J38" s="2"/>
      <c r="K38" s="2"/>
    </row>
    <row r="39" spans="1:11" ht="42" customHeight="1" thickBot="1" x14ac:dyDescent="0.25">
      <c r="A39" s="34">
        <v>30</v>
      </c>
      <c r="B39" s="5"/>
      <c r="C39" s="61" t="s">
        <v>52</v>
      </c>
      <c r="D39" s="40" t="s">
        <v>45</v>
      </c>
      <c r="E39" s="46" t="s">
        <v>37</v>
      </c>
      <c r="F39" s="5" t="s">
        <v>12</v>
      </c>
      <c r="G39" s="32">
        <v>1000</v>
      </c>
      <c r="H39" s="39">
        <v>3.15</v>
      </c>
      <c r="I39" s="26">
        <f t="shared" si="1"/>
        <v>3150</v>
      </c>
      <c r="J39" s="2"/>
      <c r="K39" s="2"/>
    </row>
    <row r="40" spans="1:11" ht="42" customHeight="1" thickBot="1" x14ac:dyDescent="0.25">
      <c r="A40" s="34">
        <v>31</v>
      </c>
      <c r="B40" s="5"/>
      <c r="C40" s="62" t="s">
        <v>53</v>
      </c>
      <c r="D40" s="40" t="s">
        <v>45</v>
      </c>
      <c r="E40" s="54" t="s">
        <v>65</v>
      </c>
      <c r="F40" s="5" t="s">
        <v>58</v>
      </c>
      <c r="G40" s="32">
        <v>2</v>
      </c>
      <c r="H40" s="39">
        <v>900</v>
      </c>
      <c r="I40" s="26">
        <f t="shared" si="1"/>
        <v>1800</v>
      </c>
      <c r="J40" s="2"/>
      <c r="K40" s="2"/>
    </row>
    <row r="41" spans="1:11" ht="42" customHeight="1" thickBot="1" x14ac:dyDescent="0.25">
      <c r="A41" s="34">
        <v>32</v>
      </c>
      <c r="B41" s="5"/>
      <c r="C41" s="61" t="s">
        <v>52</v>
      </c>
      <c r="D41" s="40" t="s">
        <v>45</v>
      </c>
      <c r="E41" s="46" t="s">
        <v>38</v>
      </c>
      <c r="F41" s="5" t="s">
        <v>12</v>
      </c>
      <c r="G41" s="32">
        <v>50</v>
      </c>
      <c r="H41" s="39">
        <v>79.900000000000006</v>
      </c>
      <c r="I41" s="26">
        <f t="shared" si="1"/>
        <v>3995.0000000000005</v>
      </c>
      <c r="J41" s="2"/>
      <c r="K41" s="2"/>
    </row>
    <row r="42" spans="1:11" ht="42" customHeight="1" thickBot="1" x14ac:dyDescent="0.25">
      <c r="A42" s="34">
        <v>33</v>
      </c>
      <c r="B42" s="5"/>
      <c r="C42" s="62" t="s">
        <v>53</v>
      </c>
      <c r="D42" s="49" t="s">
        <v>67</v>
      </c>
      <c r="E42" s="46" t="s">
        <v>66</v>
      </c>
      <c r="F42" s="5" t="s">
        <v>58</v>
      </c>
      <c r="G42" s="32">
        <v>60</v>
      </c>
      <c r="H42" s="39">
        <v>380</v>
      </c>
      <c r="I42" s="26">
        <f t="shared" si="1"/>
        <v>22800</v>
      </c>
      <c r="J42" s="2"/>
      <c r="K42" s="2"/>
    </row>
    <row r="43" spans="1:11" ht="42" customHeight="1" thickBot="1" x14ac:dyDescent="0.25">
      <c r="A43" s="34">
        <v>34</v>
      </c>
      <c r="B43" s="5"/>
      <c r="C43" s="62" t="s">
        <v>53</v>
      </c>
      <c r="D43" s="49" t="s">
        <v>68</v>
      </c>
      <c r="E43" s="80" t="s">
        <v>69</v>
      </c>
      <c r="F43" s="48" t="s">
        <v>70</v>
      </c>
      <c r="G43" s="32">
        <v>160</v>
      </c>
      <c r="H43" s="39">
        <v>4500</v>
      </c>
      <c r="I43" s="26">
        <f t="shared" si="1"/>
        <v>720000</v>
      </c>
      <c r="J43" s="2"/>
      <c r="K43" s="2"/>
    </row>
    <row r="44" spans="1:11" ht="42" customHeight="1" thickBot="1" x14ac:dyDescent="0.25">
      <c r="A44" s="34">
        <v>35</v>
      </c>
      <c r="B44" s="5"/>
      <c r="C44" s="62" t="s">
        <v>53</v>
      </c>
      <c r="D44" s="49" t="s">
        <v>68</v>
      </c>
      <c r="E44" s="79" t="s">
        <v>71</v>
      </c>
      <c r="F44" s="48" t="s">
        <v>70</v>
      </c>
      <c r="G44" s="32">
        <v>15</v>
      </c>
      <c r="H44" s="39">
        <v>6800</v>
      </c>
      <c r="I44" s="26">
        <f t="shared" si="1"/>
        <v>102000</v>
      </c>
      <c r="J44" s="2"/>
      <c r="K44" s="2"/>
    </row>
    <row r="45" spans="1:11" ht="42" customHeight="1" thickBot="1" x14ac:dyDescent="0.25">
      <c r="A45" s="34">
        <v>36</v>
      </c>
      <c r="B45" s="5"/>
      <c r="C45" s="62" t="s">
        <v>53</v>
      </c>
      <c r="D45" s="40" t="s">
        <v>63</v>
      </c>
      <c r="E45" s="75" t="s">
        <v>106</v>
      </c>
      <c r="F45" s="5" t="s">
        <v>70</v>
      </c>
      <c r="G45" s="32">
        <v>20</v>
      </c>
      <c r="H45" s="39">
        <v>2900</v>
      </c>
      <c r="I45" s="26">
        <f t="shared" si="1"/>
        <v>58000</v>
      </c>
      <c r="J45" s="2"/>
      <c r="K45" s="2"/>
    </row>
    <row r="46" spans="1:11" ht="42" customHeight="1" thickBot="1" x14ac:dyDescent="0.25">
      <c r="A46" s="34">
        <v>37</v>
      </c>
      <c r="B46" s="5"/>
      <c r="C46" s="62" t="s">
        <v>53</v>
      </c>
      <c r="D46" s="49" t="s">
        <v>68</v>
      </c>
      <c r="E46" s="81" t="s">
        <v>72</v>
      </c>
      <c r="F46" s="48" t="s">
        <v>70</v>
      </c>
      <c r="G46" s="32">
        <v>24</v>
      </c>
      <c r="H46" s="39">
        <v>220</v>
      </c>
      <c r="I46" s="26">
        <f t="shared" si="1"/>
        <v>5280</v>
      </c>
      <c r="J46" s="2"/>
      <c r="K46" s="2"/>
    </row>
    <row r="47" spans="1:11" ht="42" customHeight="1" thickBot="1" x14ac:dyDescent="0.25">
      <c r="A47" s="34">
        <v>38</v>
      </c>
      <c r="B47" s="5"/>
      <c r="C47" s="62" t="s">
        <v>53</v>
      </c>
      <c r="D47" s="49" t="s">
        <v>68</v>
      </c>
      <c r="E47" s="81" t="s">
        <v>73</v>
      </c>
      <c r="F47" s="48" t="s">
        <v>70</v>
      </c>
      <c r="G47" s="32">
        <v>24</v>
      </c>
      <c r="H47" s="39">
        <v>380</v>
      </c>
      <c r="I47" s="26">
        <f t="shared" si="1"/>
        <v>9120</v>
      </c>
      <c r="J47" s="2"/>
      <c r="K47" s="2"/>
    </row>
    <row r="48" spans="1:11" ht="42" customHeight="1" thickBot="1" x14ac:dyDescent="0.25">
      <c r="A48" s="34">
        <v>39</v>
      </c>
      <c r="B48" s="5"/>
      <c r="C48" s="56" t="s">
        <v>79</v>
      </c>
      <c r="D48" s="40" t="s">
        <v>45</v>
      </c>
      <c r="E48" s="46" t="s">
        <v>83</v>
      </c>
      <c r="F48" s="5" t="s">
        <v>12</v>
      </c>
      <c r="G48" s="32">
        <v>400</v>
      </c>
      <c r="H48" s="39">
        <v>85</v>
      </c>
      <c r="I48" s="26">
        <f t="shared" si="1"/>
        <v>34000</v>
      </c>
      <c r="J48" s="2"/>
      <c r="K48" s="2"/>
    </row>
    <row r="49" spans="1:11" ht="42" customHeight="1" thickBot="1" x14ac:dyDescent="0.25">
      <c r="A49" s="34">
        <v>40</v>
      </c>
      <c r="B49" s="5"/>
      <c r="C49" s="56" t="s">
        <v>79</v>
      </c>
      <c r="D49" s="40" t="s">
        <v>45</v>
      </c>
      <c r="E49" s="46" t="s">
        <v>84</v>
      </c>
      <c r="F49" s="5" t="s">
        <v>12</v>
      </c>
      <c r="G49" s="32">
        <v>200</v>
      </c>
      <c r="H49" s="39">
        <v>85</v>
      </c>
      <c r="I49" s="26">
        <f t="shared" si="1"/>
        <v>17000</v>
      </c>
      <c r="J49" s="2"/>
      <c r="K49" s="2"/>
    </row>
    <row r="50" spans="1:11" ht="42" customHeight="1" thickBot="1" x14ac:dyDescent="0.25">
      <c r="A50" s="34">
        <v>41</v>
      </c>
      <c r="B50" s="5"/>
      <c r="C50" s="56" t="s">
        <v>79</v>
      </c>
      <c r="D50" s="40" t="s">
        <v>45</v>
      </c>
      <c r="E50" s="46" t="s">
        <v>85</v>
      </c>
      <c r="F50" s="5" t="s">
        <v>12</v>
      </c>
      <c r="G50" s="32">
        <v>300</v>
      </c>
      <c r="H50" s="39">
        <v>44</v>
      </c>
      <c r="I50" s="26">
        <f t="shared" si="1"/>
        <v>13200</v>
      </c>
      <c r="J50" s="2"/>
      <c r="K50" s="2"/>
    </row>
    <row r="51" spans="1:11" ht="42" customHeight="1" thickBot="1" x14ac:dyDescent="0.25">
      <c r="A51" s="34">
        <v>42</v>
      </c>
      <c r="B51" s="5"/>
      <c r="C51" s="56" t="s">
        <v>79</v>
      </c>
      <c r="D51" s="40" t="s">
        <v>45</v>
      </c>
      <c r="E51" s="46" t="s">
        <v>86</v>
      </c>
      <c r="F51" s="5" t="s">
        <v>12</v>
      </c>
      <c r="G51" s="32">
        <v>100</v>
      </c>
      <c r="H51" s="39">
        <v>19.5</v>
      </c>
      <c r="I51" s="26">
        <f t="shared" si="1"/>
        <v>1950</v>
      </c>
      <c r="J51" s="2"/>
      <c r="K51" s="2"/>
    </row>
    <row r="52" spans="1:11" ht="42" customHeight="1" thickBot="1" x14ac:dyDescent="0.25">
      <c r="A52" s="34">
        <v>43</v>
      </c>
      <c r="B52" s="5"/>
      <c r="C52" s="56" t="s">
        <v>79</v>
      </c>
      <c r="D52" s="40" t="s">
        <v>45</v>
      </c>
      <c r="E52" s="46" t="s">
        <v>87</v>
      </c>
      <c r="F52" s="5" t="s">
        <v>12</v>
      </c>
      <c r="G52" s="32">
        <v>100</v>
      </c>
      <c r="H52" s="39">
        <v>58.2</v>
      </c>
      <c r="I52" s="26">
        <f t="shared" si="1"/>
        <v>5820</v>
      </c>
      <c r="J52" s="2"/>
      <c r="K52" s="2"/>
    </row>
    <row r="53" spans="1:11" ht="42" customHeight="1" thickBot="1" x14ac:dyDescent="0.25">
      <c r="A53" s="34">
        <v>44</v>
      </c>
      <c r="B53" s="5"/>
      <c r="C53" s="62" t="s">
        <v>53</v>
      </c>
      <c r="D53" s="40" t="s">
        <v>63</v>
      </c>
      <c r="E53" s="46" t="s">
        <v>74</v>
      </c>
      <c r="F53" s="5" t="s">
        <v>70</v>
      </c>
      <c r="G53" s="32">
        <v>8</v>
      </c>
      <c r="H53" s="39">
        <v>28000</v>
      </c>
      <c r="I53" s="26">
        <f t="shared" si="1"/>
        <v>224000</v>
      </c>
      <c r="J53" s="2"/>
      <c r="K53" s="2"/>
    </row>
    <row r="54" spans="1:11" ht="42" customHeight="1" thickBot="1" x14ac:dyDescent="0.25">
      <c r="A54" s="34">
        <v>45</v>
      </c>
      <c r="B54" s="5"/>
      <c r="C54" s="62" t="s">
        <v>53</v>
      </c>
      <c r="D54" s="49" t="s">
        <v>63</v>
      </c>
      <c r="E54" s="79" t="s">
        <v>104</v>
      </c>
      <c r="F54" s="48" t="s">
        <v>70</v>
      </c>
      <c r="G54" s="32">
        <v>10</v>
      </c>
      <c r="H54" s="39">
        <v>11000</v>
      </c>
      <c r="I54" s="26">
        <f t="shared" si="1"/>
        <v>110000</v>
      </c>
      <c r="J54" s="2"/>
      <c r="K54" s="2"/>
    </row>
    <row r="55" spans="1:11" ht="42" customHeight="1" thickBot="1" x14ac:dyDescent="0.25">
      <c r="A55" s="34">
        <v>46</v>
      </c>
      <c r="B55" s="5"/>
      <c r="C55" s="62" t="s">
        <v>53</v>
      </c>
      <c r="D55" s="49" t="s">
        <v>63</v>
      </c>
      <c r="E55" s="79" t="s">
        <v>105</v>
      </c>
      <c r="F55" s="48" t="s">
        <v>70</v>
      </c>
      <c r="G55" s="32">
        <v>15</v>
      </c>
      <c r="H55" s="39">
        <v>22500</v>
      </c>
      <c r="I55" s="26">
        <f t="shared" si="1"/>
        <v>337500</v>
      </c>
      <c r="J55" s="2"/>
      <c r="K55" s="2"/>
    </row>
    <row r="56" spans="1:11" ht="42" customHeight="1" thickBot="1" x14ac:dyDescent="0.25">
      <c r="A56" s="34">
        <v>47</v>
      </c>
      <c r="B56" s="5"/>
      <c r="C56" s="61" t="s">
        <v>52</v>
      </c>
      <c r="D56" s="47" t="s">
        <v>49</v>
      </c>
      <c r="E56" s="46" t="s">
        <v>39</v>
      </c>
      <c r="F56" s="5" t="s">
        <v>12</v>
      </c>
      <c r="G56" s="32">
        <v>40</v>
      </c>
      <c r="H56" s="39">
        <v>1400</v>
      </c>
      <c r="I56" s="26">
        <f t="shared" si="1"/>
        <v>56000</v>
      </c>
      <c r="J56" s="2"/>
      <c r="K56" s="2" t="s">
        <v>101</v>
      </c>
    </row>
    <row r="57" spans="1:11" ht="42" customHeight="1" thickBot="1" x14ac:dyDescent="0.25">
      <c r="A57" s="34">
        <v>48</v>
      </c>
      <c r="B57" s="5"/>
      <c r="C57" s="61" t="s">
        <v>52</v>
      </c>
      <c r="D57" s="40" t="s">
        <v>45</v>
      </c>
      <c r="E57" s="46" t="s">
        <v>40</v>
      </c>
      <c r="F57" s="5" t="s">
        <v>12</v>
      </c>
      <c r="G57" s="32">
        <v>50</v>
      </c>
      <c r="H57" s="39">
        <v>100</v>
      </c>
      <c r="I57" s="26">
        <f t="shared" si="1"/>
        <v>5000</v>
      </c>
      <c r="J57" s="2"/>
      <c r="K57" s="2"/>
    </row>
    <row r="58" spans="1:11" ht="42" customHeight="1" thickBot="1" x14ac:dyDescent="0.25">
      <c r="A58" s="34">
        <v>49</v>
      </c>
      <c r="B58" s="5"/>
      <c r="C58" s="69" t="s">
        <v>53</v>
      </c>
      <c r="D58" s="72" t="s">
        <v>45</v>
      </c>
      <c r="E58" s="46" t="s">
        <v>88</v>
      </c>
      <c r="F58" s="5" t="s">
        <v>70</v>
      </c>
      <c r="G58" s="32">
        <v>60</v>
      </c>
      <c r="H58" s="39">
        <v>290</v>
      </c>
      <c r="I58" s="26">
        <f t="shared" si="1"/>
        <v>17400</v>
      </c>
      <c r="J58" s="2"/>
      <c r="K58" s="2"/>
    </row>
    <row r="59" spans="1:11" ht="42" customHeight="1" thickBot="1" x14ac:dyDescent="0.25">
      <c r="A59" s="34">
        <v>50</v>
      </c>
      <c r="B59" s="5"/>
      <c r="C59" s="61" t="s">
        <v>53</v>
      </c>
      <c r="D59" s="58" t="s">
        <v>49</v>
      </c>
      <c r="E59" s="80" t="s">
        <v>89</v>
      </c>
      <c r="F59" s="59" t="s">
        <v>58</v>
      </c>
      <c r="G59" s="32">
        <v>60</v>
      </c>
      <c r="H59" s="39">
        <v>2900</v>
      </c>
      <c r="I59" s="26">
        <f t="shared" si="1"/>
        <v>174000</v>
      </c>
      <c r="J59" s="2"/>
      <c r="K59" s="2"/>
    </row>
    <row r="60" spans="1:11" ht="42" customHeight="1" thickBot="1" x14ac:dyDescent="0.25">
      <c r="A60" s="34">
        <v>51</v>
      </c>
      <c r="B60" s="5"/>
      <c r="C60" s="61" t="s">
        <v>53</v>
      </c>
      <c r="D60" s="58" t="s">
        <v>45</v>
      </c>
      <c r="E60" s="82" t="s">
        <v>90</v>
      </c>
      <c r="F60" s="59" t="s">
        <v>91</v>
      </c>
      <c r="G60" s="32">
        <v>800</v>
      </c>
      <c r="H60" s="39">
        <v>1500</v>
      </c>
      <c r="I60" s="26">
        <f t="shared" si="1"/>
        <v>1200000</v>
      </c>
      <c r="J60" s="2"/>
      <c r="K60" s="2"/>
    </row>
    <row r="61" spans="1:11" ht="42" customHeight="1" thickBot="1" x14ac:dyDescent="0.25">
      <c r="A61" s="34">
        <v>52</v>
      </c>
      <c r="B61" s="5"/>
      <c r="C61" s="61" t="s">
        <v>53</v>
      </c>
      <c r="D61" s="40" t="s">
        <v>54</v>
      </c>
      <c r="E61" s="46" t="s">
        <v>92</v>
      </c>
      <c r="F61" s="5" t="s">
        <v>70</v>
      </c>
      <c r="G61" s="32">
        <v>12</v>
      </c>
      <c r="H61" s="39">
        <v>3900</v>
      </c>
      <c r="I61" s="26">
        <f t="shared" si="1"/>
        <v>46800</v>
      </c>
      <c r="J61" s="2"/>
      <c r="K61" s="2"/>
    </row>
    <row r="62" spans="1:11" ht="42" customHeight="1" thickBot="1" x14ac:dyDescent="0.25">
      <c r="A62" s="34">
        <v>53</v>
      </c>
      <c r="B62" s="5"/>
      <c r="C62" s="61" t="s">
        <v>53</v>
      </c>
      <c r="D62" s="40" t="s">
        <v>54</v>
      </c>
      <c r="E62" s="46" t="s">
        <v>93</v>
      </c>
      <c r="F62" s="5" t="s">
        <v>70</v>
      </c>
      <c r="G62" s="32">
        <v>12</v>
      </c>
      <c r="H62" s="39">
        <v>6800</v>
      </c>
      <c r="I62" s="26">
        <f t="shared" si="1"/>
        <v>81600</v>
      </c>
      <c r="J62" s="2"/>
      <c r="K62" s="2"/>
    </row>
    <row r="63" spans="1:11" ht="42" customHeight="1" thickBot="1" x14ac:dyDescent="0.25">
      <c r="A63" s="34">
        <v>54</v>
      </c>
      <c r="B63" s="5"/>
      <c r="C63" s="61" t="s">
        <v>53</v>
      </c>
      <c r="D63" s="40" t="s">
        <v>54</v>
      </c>
      <c r="E63" s="46" t="s">
        <v>94</v>
      </c>
      <c r="F63" s="5" t="s">
        <v>70</v>
      </c>
      <c r="G63" s="32">
        <v>12</v>
      </c>
      <c r="H63" s="39">
        <v>4800</v>
      </c>
      <c r="I63" s="26">
        <f t="shared" si="1"/>
        <v>57600</v>
      </c>
      <c r="J63" s="2"/>
      <c r="K63" s="2"/>
    </row>
    <row r="64" spans="1:11" ht="42" customHeight="1" thickBot="1" x14ac:dyDescent="0.25">
      <c r="A64" s="34">
        <v>55</v>
      </c>
      <c r="B64" s="5"/>
      <c r="C64" s="61" t="s">
        <v>53</v>
      </c>
      <c r="D64" s="40" t="s">
        <v>54</v>
      </c>
      <c r="E64" s="46" t="s">
        <v>95</v>
      </c>
      <c r="F64" s="5" t="s">
        <v>70</v>
      </c>
      <c r="G64" s="32">
        <v>16</v>
      </c>
      <c r="H64" s="39">
        <v>8900</v>
      </c>
      <c r="I64" s="26">
        <f t="shared" si="1"/>
        <v>142400</v>
      </c>
      <c r="J64" s="2"/>
      <c r="K64" s="2"/>
    </row>
    <row r="65" spans="1:11" ht="42" customHeight="1" thickBot="1" x14ac:dyDescent="0.25">
      <c r="A65" s="34">
        <v>56</v>
      </c>
      <c r="B65" s="5"/>
      <c r="C65" s="61" t="s">
        <v>53</v>
      </c>
      <c r="D65" s="40" t="s">
        <v>54</v>
      </c>
      <c r="E65" s="46" t="s">
        <v>96</v>
      </c>
      <c r="F65" s="5" t="s">
        <v>70</v>
      </c>
      <c r="G65" s="32">
        <v>12</v>
      </c>
      <c r="H65" s="39">
        <v>9500</v>
      </c>
      <c r="I65" s="26">
        <f t="shared" ref="I65:I66" si="2">G65*H65</f>
        <v>114000</v>
      </c>
      <c r="J65" s="2"/>
      <c r="K65" s="2"/>
    </row>
    <row r="66" spans="1:11" ht="42" customHeight="1" x14ac:dyDescent="0.2">
      <c r="A66" s="34">
        <v>57</v>
      </c>
      <c r="B66" s="5"/>
      <c r="C66" s="61" t="s">
        <v>53</v>
      </c>
      <c r="D66" s="58" t="s">
        <v>68</v>
      </c>
      <c r="E66" s="79" t="s">
        <v>97</v>
      </c>
      <c r="F66" s="59" t="s">
        <v>70</v>
      </c>
      <c r="G66" s="32">
        <v>12</v>
      </c>
      <c r="H66" s="39">
        <v>23620</v>
      </c>
      <c r="I66" s="26">
        <f t="shared" si="2"/>
        <v>283440</v>
      </c>
      <c r="J66" s="2"/>
      <c r="K66" s="2"/>
    </row>
    <row r="67" spans="1:11" ht="15.75" x14ac:dyDescent="0.25">
      <c r="A67" s="12"/>
      <c r="B67" s="25"/>
      <c r="I67" s="37"/>
    </row>
    <row r="68" spans="1:11" ht="15.75" x14ac:dyDescent="0.25">
      <c r="A68" s="12"/>
      <c r="B68" s="25"/>
      <c r="I68" s="37"/>
    </row>
    <row r="69" spans="1:11" ht="15.75" x14ac:dyDescent="0.25">
      <c r="A69" s="12"/>
      <c r="B69" s="25"/>
      <c r="I69" s="37"/>
    </row>
    <row r="70" spans="1:11" ht="15.75" x14ac:dyDescent="0.25">
      <c r="A70" s="12"/>
      <c r="B70" s="25"/>
      <c r="I70" s="37"/>
    </row>
    <row r="71" spans="1:11" ht="15.75" x14ac:dyDescent="0.25">
      <c r="A71" s="12"/>
      <c r="B71" s="25"/>
      <c r="I71" s="37"/>
    </row>
    <row r="72" spans="1:11" ht="15.75" x14ac:dyDescent="0.25">
      <c r="A72" s="12"/>
      <c r="B72" s="25"/>
      <c r="I72" s="37"/>
    </row>
    <row r="73" spans="1:11" x14ac:dyDescent="0.2">
      <c r="A73" s="12"/>
      <c r="B73" s="1"/>
      <c r="D73" s="1"/>
      <c r="E73" s="70"/>
      <c r="F73" s="1"/>
      <c r="I73" s="37"/>
    </row>
    <row r="74" spans="1:11" ht="13.5" customHeight="1" thickBot="1" x14ac:dyDescent="0.25">
      <c r="A74" s="12"/>
      <c r="B74" s="28"/>
      <c r="C74" s="63"/>
      <c r="D74" s="11"/>
      <c r="E74" s="83"/>
      <c r="F74" s="1"/>
      <c r="G74" s="91"/>
      <c r="H74" s="1"/>
      <c r="I74" s="1"/>
    </row>
    <row r="75" spans="1:11" ht="12.75" customHeight="1" thickBot="1" x14ac:dyDescent="0.25">
      <c r="A75" s="12"/>
      <c r="B75" s="28"/>
      <c r="C75" s="64"/>
      <c r="D75" s="38"/>
      <c r="E75" s="74"/>
      <c r="F75" s="1"/>
      <c r="G75" s="91"/>
      <c r="H75" s="1"/>
      <c r="I75" s="1"/>
    </row>
    <row r="76" spans="1:11" x14ac:dyDescent="0.2">
      <c r="B76" s="17" t="s">
        <v>98</v>
      </c>
      <c r="C76" s="65"/>
      <c r="D76" s="8"/>
      <c r="E76" s="84"/>
      <c r="I76" s="37"/>
    </row>
    <row r="77" spans="1:11" x14ac:dyDescent="0.2">
      <c r="B77" s="13"/>
      <c r="C77" s="65"/>
      <c r="D77" s="1"/>
      <c r="E77" s="73"/>
      <c r="I77" s="37"/>
    </row>
    <row r="78" spans="1:11" x14ac:dyDescent="0.2">
      <c r="B78" s="14" t="s">
        <v>16</v>
      </c>
      <c r="C78" s="65"/>
      <c r="D78" s="1"/>
      <c r="E78" s="73"/>
      <c r="I78" s="37"/>
    </row>
    <row r="79" spans="1:11" ht="13.5" customHeight="1" x14ac:dyDescent="0.2">
      <c r="B79" s="14"/>
      <c r="C79" s="95" t="s">
        <v>100</v>
      </c>
      <c r="D79" s="96"/>
      <c r="E79" s="97"/>
      <c r="I79" s="37"/>
    </row>
    <row r="80" spans="1:11" x14ac:dyDescent="0.2">
      <c r="B80" s="15" t="s">
        <v>21</v>
      </c>
      <c r="C80" s="88" t="s">
        <v>46</v>
      </c>
      <c r="D80" s="89"/>
      <c r="E80" s="89"/>
      <c r="I80" s="37"/>
    </row>
    <row r="81" spans="2:9" ht="27" customHeight="1" x14ac:dyDescent="0.2">
      <c r="B81" s="98"/>
      <c r="C81" s="99"/>
      <c r="D81" s="98"/>
      <c r="E81" s="98"/>
      <c r="I81" s="37"/>
    </row>
    <row r="82" spans="2:9" x14ac:dyDescent="0.2">
      <c r="B82" s="13" t="s">
        <v>22</v>
      </c>
      <c r="C82" s="88" t="s">
        <v>23</v>
      </c>
      <c r="D82" s="89"/>
      <c r="E82" s="90"/>
      <c r="I82" s="37"/>
    </row>
    <row r="83" spans="2:9" x14ac:dyDescent="0.2">
      <c r="B83" s="13"/>
      <c r="C83" s="66"/>
      <c r="D83" s="18" t="s">
        <v>48</v>
      </c>
      <c r="E83" s="85"/>
      <c r="I83" s="37"/>
    </row>
    <row r="84" spans="2:9" x14ac:dyDescent="0.2">
      <c r="B84" s="14" t="s">
        <v>17</v>
      </c>
      <c r="C84" s="88"/>
      <c r="D84" s="89"/>
      <c r="E84" s="90"/>
      <c r="I84" s="37"/>
    </row>
    <row r="85" spans="2:9" x14ac:dyDescent="0.2">
      <c r="B85" s="13"/>
      <c r="C85" s="66"/>
      <c r="D85" s="19"/>
      <c r="E85" s="86"/>
      <c r="I85" s="37"/>
    </row>
    <row r="86" spans="2:9" x14ac:dyDescent="0.2">
      <c r="B86" s="14" t="s">
        <v>18</v>
      </c>
      <c r="C86" s="67"/>
      <c r="D86" s="9"/>
      <c r="E86" s="43"/>
      <c r="I86" s="37"/>
    </row>
    <row r="87" spans="2:9" x14ac:dyDescent="0.2">
      <c r="B87" s="13"/>
      <c r="C87" s="66"/>
      <c r="D87" s="19"/>
      <c r="E87" s="86" t="s">
        <v>47</v>
      </c>
      <c r="I87" s="37"/>
    </row>
    <row r="88" spans="2:9" x14ac:dyDescent="0.2">
      <c r="B88" s="14" t="s">
        <v>19</v>
      </c>
      <c r="C88" s="65"/>
      <c r="D88" s="1"/>
      <c r="E88" s="73"/>
      <c r="I88" s="37"/>
    </row>
    <row r="89" spans="2:9" x14ac:dyDescent="0.2">
      <c r="B89" s="14"/>
      <c r="C89" s="66"/>
      <c r="D89" s="18"/>
      <c r="E89" s="85"/>
      <c r="I89" s="37"/>
    </row>
    <row r="90" spans="2:9" ht="13.5" thickBot="1" x14ac:dyDescent="0.25">
      <c r="B90" s="16"/>
      <c r="C90" s="68"/>
      <c r="D90" s="10"/>
      <c r="E90" s="87"/>
      <c r="I90" s="37"/>
    </row>
    <row r="91" spans="2:9" x14ac:dyDescent="0.2">
      <c r="I91" s="37"/>
    </row>
    <row r="92" spans="2:9" x14ac:dyDescent="0.2">
      <c r="I92" s="37"/>
    </row>
    <row r="93" spans="2:9" x14ac:dyDescent="0.2">
      <c r="I93" s="37"/>
    </row>
    <row r="94" spans="2:9" x14ac:dyDescent="0.2">
      <c r="I94" s="37"/>
    </row>
    <row r="95" spans="2:9" ht="13.5" thickBot="1" x14ac:dyDescent="0.25">
      <c r="I95" s="37"/>
    </row>
    <row r="96" spans="2:9" x14ac:dyDescent="0.2">
      <c r="B96" s="17" t="s">
        <v>102</v>
      </c>
      <c r="C96" s="65"/>
      <c r="D96" s="8"/>
      <c r="E96" s="84"/>
      <c r="I96" s="37"/>
    </row>
    <row r="97" spans="2:9" x14ac:dyDescent="0.2">
      <c r="B97" s="13"/>
      <c r="C97" s="65"/>
      <c r="D97" s="1"/>
      <c r="E97" s="73"/>
      <c r="I97" s="37"/>
    </row>
    <row r="98" spans="2:9" x14ac:dyDescent="0.2">
      <c r="B98" s="14" t="s">
        <v>16</v>
      </c>
      <c r="C98" s="65"/>
      <c r="D98" s="100" t="s">
        <v>107</v>
      </c>
      <c r="E98" s="101"/>
      <c r="I98" s="37"/>
    </row>
    <row r="99" spans="2:9" x14ac:dyDescent="0.2">
      <c r="B99" s="14"/>
      <c r="C99" s="95" t="s">
        <v>100</v>
      </c>
      <c r="D99" s="96"/>
      <c r="E99" s="97"/>
      <c r="I99" s="37"/>
    </row>
    <row r="100" spans="2:9" x14ac:dyDescent="0.2">
      <c r="B100" s="15" t="s">
        <v>21</v>
      </c>
      <c r="C100" s="88" t="s">
        <v>46</v>
      </c>
      <c r="D100" s="89"/>
      <c r="E100" s="89"/>
      <c r="I100" s="37"/>
    </row>
    <row r="101" spans="2:9" x14ac:dyDescent="0.2">
      <c r="B101" s="98"/>
      <c r="C101" s="99"/>
      <c r="D101" s="98"/>
      <c r="E101" s="98"/>
      <c r="I101" s="37"/>
    </row>
    <row r="102" spans="2:9" x14ac:dyDescent="0.2">
      <c r="B102" s="13" t="s">
        <v>22</v>
      </c>
      <c r="C102" s="88" t="s">
        <v>23</v>
      </c>
      <c r="D102" s="89"/>
      <c r="E102" s="90"/>
      <c r="I102" s="37"/>
    </row>
    <row r="103" spans="2:9" x14ac:dyDescent="0.2">
      <c r="B103" s="13"/>
      <c r="C103" s="66"/>
      <c r="D103" s="18" t="s">
        <v>48</v>
      </c>
      <c r="E103" s="85"/>
      <c r="I103" s="37"/>
    </row>
    <row r="104" spans="2:9" x14ac:dyDescent="0.2">
      <c r="B104" s="14" t="s">
        <v>17</v>
      </c>
      <c r="C104" s="88"/>
      <c r="D104" s="89"/>
      <c r="E104" s="90"/>
      <c r="I104" s="37"/>
    </row>
    <row r="105" spans="2:9" x14ac:dyDescent="0.2">
      <c r="B105" s="13"/>
      <c r="C105" s="66"/>
      <c r="D105" s="19"/>
      <c r="E105" s="86"/>
      <c r="I105" s="37"/>
    </row>
    <row r="106" spans="2:9" x14ac:dyDescent="0.2">
      <c r="B106" s="14" t="s">
        <v>18</v>
      </c>
      <c r="C106" s="67"/>
      <c r="D106" s="9"/>
      <c r="E106" s="43"/>
      <c r="I106" s="37"/>
    </row>
    <row r="107" spans="2:9" x14ac:dyDescent="0.2">
      <c r="B107" s="13"/>
      <c r="C107" s="66"/>
      <c r="D107" s="19"/>
      <c r="E107" s="86" t="s">
        <v>47</v>
      </c>
      <c r="I107" s="37"/>
    </row>
    <row r="108" spans="2:9" x14ac:dyDescent="0.2">
      <c r="B108" s="14" t="s">
        <v>19</v>
      </c>
      <c r="C108" s="65"/>
      <c r="D108" s="1"/>
      <c r="E108" s="73"/>
      <c r="I108" s="37"/>
    </row>
    <row r="109" spans="2:9" x14ac:dyDescent="0.2">
      <c r="B109" s="14"/>
      <c r="C109" s="66"/>
      <c r="D109" s="18"/>
      <c r="E109" s="85"/>
      <c r="I109" s="37"/>
    </row>
    <row r="110" spans="2:9" ht="13.5" thickBot="1" x14ac:dyDescent="0.25">
      <c r="B110" s="16"/>
      <c r="C110" s="68"/>
      <c r="D110" s="10"/>
      <c r="E110" s="87"/>
      <c r="I110" s="37"/>
    </row>
    <row r="111" spans="2:9" x14ac:dyDescent="0.2">
      <c r="I111" s="37"/>
    </row>
    <row r="112" spans="2:9" x14ac:dyDescent="0.2">
      <c r="I112" s="37"/>
    </row>
    <row r="113" spans="9:9" x14ac:dyDescent="0.2">
      <c r="I113" s="37"/>
    </row>
    <row r="114" spans="9:9" x14ac:dyDescent="0.2">
      <c r="I114" s="37"/>
    </row>
    <row r="115" spans="9:9" x14ac:dyDescent="0.2">
      <c r="I115" s="37"/>
    </row>
    <row r="116" spans="9:9" x14ac:dyDescent="0.2">
      <c r="I116" s="37"/>
    </row>
    <row r="117" spans="9:9" x14ac:dyDescent="0.2">
      <c r="I117" s="37"/>
    </row>
    <row r="118" spans="9:9" x14ac:dyDescent="0.2">
      <c r="I118" s="37"/>
    </row>
    <row r="119" spans="9:9" x14ac:dyDescent="0.2">
      <c r="I119" s="37"/>
    </row>
    <row r="120" spans="9:9" x14ac:dyDescent="0.2">
      <c r="I120" s="37"/>
    </row>
    <row r="121" spans="9:9" x14ac:dyDescent="0.2">
      <c r="I121" s="37"/>
    </row>
    <row r="122" spans="9:9" x14ac:dyDescent="0.2">
      <c r="I122" s="37"/>
    </row>
    <row r="123" spans="9:9" x14ac:dyDescent="0.2">
      <c r="I123" s="37"/>
    </row>
    <row r="124" spans="9:9" x14ac:dyDescent="0.2">
      <c r="I124" s="37"/>
    </row>
    <row r="125" spans="9:9" x14ac:dyDescent="0.2">
      <c r="I125" s="37"/>
    </row>
    <row r="126" spans="9:9" x14ac:dyDescent="0.2">
      <c r="I126" s="37"/>
    </row>
    <row r="127" spans="9:9" x14ac:dyDescent="0.2">
      <c r="I127" s="37"/>
    </row>
    <row r="128" spans="9:9" x14ac:dyDescent="0.2">
      <c r="I128" s="37"/>
    </row>
    <row r="129" spans="9:9" x14ac:dyDescent="0.2">
      <c r="I129" s="37"/>
    </row>
    <row r="130" spans="9:9" x14ac:dyDescent="0.2">
      <c r="I130" s="37"/>
    </row>
    <row r="131" spans="9:9" x14ac:dyDescent="0.2">
      <c r="I131" s="37"/>
    </row>
    <row r="132" spans="9:9" x14ac:dyDescent="0.2">
      <c r="I132" s="37"/>
    </row>
    <row r="133" spans="9:9" x14ac:dyDescent="0.2">
      <c r="I133" s="37"/>
    </row>
    <row r="134" spans="9:9" x14ac:dyDescent="0.2">
      <c r="I134" s="37"/>
    </row>
    <row r="135" spans="9:9" x14ac:dyDescent="0.2">
      <c r="I135" s="37"/>
    </row>
    <row r="136" spans="9:9" x14ac:dyDescent="0.2">
      <c r="I136" s="37"/>
    </row>
    <row r="137" spans="9:9" x14ac:dyDescent="0.2">
      <c r="I137" s="37"/>
    </row>
    <row r="138" spans="9:9" x14ac:dyDescent="0.2">
      <c r="I138" s="37"/>
    </row>
    <row r="139" spans="9:9" x14ac:dyDescent="0.2">
      <c r="I139" s="37"/>
    </row>
    <row r="140" spans="9:9" x14ac:dyDescent="0.2">
      <c r="I140" s="37"/>
    </row>
    <row r="141" spans="9:9" x14ac:dyDescent="0.2">
      <c r="I141" s="37"/>
    </row>
    <row r="142" spans="9:9" x14ac:dyDescent="0.2">
      <c r="I142" s="37"/>
    </row>
    <row r="143" spans="9:9" x14ac:dyDescent="0.2">
      <c r="I143" s="37"/>
    </row>
    <row r="144" spans="9:9" x14ac:dyDescent="0.2">
      <c r="I144" s="37"/>
    </row>
    <row r="145" spans="9:9" x14ac:dyDescent="0.2">
      <c r="I145" s="37"/>
    </row>
    <row r="146" spans="9:9" x14ac:dyDescent="0.2">
      <c r="I146" s="37"/>
    </row>
    <row r="147" spans="9:9" x14ac:dyDescent="0.2">
      <c r="I147" s="37"/>
    </row>
    <row r="148" spans="9:9" x14ac:dyDescent="0.2">
      <c r="I148" s="37"/>
    </row>
    <row r="149" spans="9:9" x14ac:dyDescent="0.2">
      <c r="I149" s="37"/>
    </row>
    <row r="150" spans="9:9" x14ac:dyDescent="0.2">
      <c r="I150" s="37"/>
    </row>
    <row r="151" spans="9:9" x14ac:dyDescent="0.2">
      <c r="I151" s="37"/>
    </row>
    <row r="152" spans="9:9" x14ac:dyDescent="0.2">
      <c r="I152" s="37"/>
    </row>
    <row r="153" spans="9:9" x14ac:dyDescent="0.2">
      <c r="I153" s="37"/>
    </row>
    <row r="154" spans="9:9" x14ac:dyDescent="0.2">
      <c r="I154" s="37"/>
    </row>
    <row r="155" spans="9:9" x14ac:dyDescent="0.2">
      <c r="I155" s="37"/>
    </row>
    <row r="156" spans="9:9" x14ac:dyDescent="0.2">
      <c r="I156" s="37"/>
    </row>
    <row r="157" spans="9:9" x14ac:dyDescent="0.2">
      <c r="I157" s="37"/>
    </row>
    <row r="158" spans="9:9" x14ac:dyDescent="0.2">
      <c r="I158" s="37"/>
    </row>
    <row r="159" spans="9:9" x14ac:dyDescent="0.2">
      <c r="I159" s="37"/>
    </row>
    <row r="160" spans="9:9" x14ac:dyDescent="0.2">
      <c r="I160" s="37"/>
    </row>
    <row r="161" spans="9:9" x14ac:dyDescent="0.2">
      <c r="I161" s="37"/>
    </row>
    <row r="162" spans="9:9" x14ac:dyDescent="0.2">
      <c r="I162" s="37"/>
    </row>
    <row r="163" spans="9:9" x14ac:dyDescent="0.2">
      <c r="I163" s="37"/>
    </row>
    <row r="164" spans="9:9" x14ac:dyDescent="0.2">
      <c r="I164" s="37"/>
    </row>
    <row r="165" spans="9:9" x14ac:dyDescent="0.2">
      <c r="I165" s="37"/>
    </row>
    <row r="166" spans="9:9" x14ac:dyDescent="0.2">
      <c r="I166" s="37"/>
    </row>
    <row r="167" spans="9:9" x14ac:dyDescent="0.2">
      <c r="I167" s="37"/>
    </row>
    <row r="168" spans="9:9" x14ac:dyDescent="0.2">
      <c r="I168" s="37"/>
    </row>
    <row r="169" spans="9:9" x14ac:dyDescent="0.2">
      <c r="I169" s="37"/>
    </row>
    <row r="170" spans="9:9" x14ac:dyDescent="0.2">
      <c r="I170" s="37"/>
    </row>
    <row r="171" spans="9:9" x14ac:dyDescent="0.2">
      <c r="I171" s="37"/>
    </row>
    <row r="172" spans="9:9" x14ac:dyDescent="0.2">
      <c r="I172" s="37"/>
    </row>
    <row r="173" spans="9:9" x14ac:dyDescent="0.2">
      <c r="I173" s="37"/>
    </row>
    <row r="174" spans="9:9" x14ac:dyDescent="0.2">
      <c r="I174" s="37"/>
    </row>
    <row r="175" spans="9:9" x14ac:dyDescent="0.2">
      <c r="I175" s="37"/>
    </row>
    <row r="176" spans="9:9" x14ac:dyDescent="0.2">
      <c r="I176" s="37"/>
    </row>
    <row r="177" spans="9:9" x14ac:dyDescent="0.2">
      <c r="I177" s="37"/>
    </row>
    <row r="178" spans="9:9" x14ac:dyDescent="0.2">
      <c r="I178" s="37"/>
    </row>
    <row r="179" spans="9:9" x14ac:dyDescent="0.2">
      <c r="I179" s="37"/>
    </row>
    <row r="180" spans="9:9" x14ac:dyDescent="0.2">
      <c r="I180" s="37"/>
    </row>
    <row r="181" spans="9:9" x14ac:dyDescent="0.2">
      <c r="I181" s="37"/>
    </row>
    <row r="182" spans="9:9" x14ac:dyDescent="0.2">
      <c r="I182" s="37"/>
    </row>
    <row r="183" spans="9:9" x14ac:dyDescent="0.2">
      <c r="I183" s="37"/>
    </row>
    <row r="184" spans="9:9" x14ac:dyDescent="0.2">
      <c r="I184" s="37"/>
    </row>
    <row r="185" spans="9:9" x14ac:dyDescent="0.2">
      <c r="I185" s="37"/>
    </row>
    <row r="186" spans="9:9" x14ac:dyDescent="0.2">
      <c r="I186" s="37"/>
    </row>
    <row r="187" spans="9:9" x14ac:dyDescent="0.2">
      <c r="I187" s="37"/>
    </row>
    <row r="188" spans="9:9" x14ac:dyDescent="0.2">
      <c r="I188" s="37"/>
    </row>
  </sheetData>
  <autoFilter ref="A9:I66" xr:uid="{00000000-0009-0000-0000-000000000000}">
    <sortState xmlns:xlrd2="http://schemas.microsoft.com/office/spreadsheetml/2017/richdata2" ref="A10:I77">
      <sortCondition ref="E9:E77"/>
    </sortState>
  </autoFilter>
  <mergeCells count="18">
    <mergeCell ref="B101:E101"/>
    <mergeCell ref="C102:E102"/>
    <mergeCell ref="C104:E104"/>
    <mergeCell ref="G74:G75"/>
    <mergeCell ref="A4:D4"/>
    <mergeCell ref="A5:D5"/>
    <mergeCell ref="A6:D6"/>
    <mergeCell ref="A7:D7"/>
    <mergeCell ref="E4:G4"/>
    <mergeCell ref="E5:G5"/>
    <mergeCell ref="C79:E79"/>
    <mergeCell ref="C80:E80"/>
    <mergeCell ref="B81:E81"/>
    <mergeCell ref="C82:E82"/>
    <mergeCell ref="C84:E84"/>
    <mergeCell ref="D98:E98"/>
    <mergeCell ref="C99:E99"/>
    <mergeCell ref="C100:E100"/>
  </mergeCells>
  <phoneticPr fontId="23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SILVINA ATENCIO</cp:lastModifiedBy>
  <cp:revision>2</cp:revision>
  <cp:lastPrinted>2021-02-26T14:25:47Z</cp:lastPrinted>
  <dcterms:created xsi:type="dcterms:W3CDTF">2020-07-17T23:44:49Z</dcterms:created>
  <dcterms:modified xsi:type="dcterms:W3CDTF">2021-08-12T15:37:44Z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