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5480" windowHeight="11640" tabRatio="703" activeTab="2"/>
  </bookViews>
  <sheets>
    <sheet name="Necesidades Trimestrales" sheetId="5" r:id="rId1"/>
    <sheet name=" NotaPedido" sheetId="9" r:id="rId2"/>
    <sheet name="Autor Gastar" sheetId="3" r:id="rId3"/>
  </sheets>
  <definedNames>
    <definedName name="_xlnm._FilterDatabase" localSheetId="0" hidden="1">'Necesidades Trimestrales'!$E$2:$E$63</definedName>
    <definedName name="_xlnm.Print_Area" localSheetId="1">' NotaPedido'!$A$1:$K$17</definedName>
    <definedName name="_xlnm.Print_Area" localSheetId="2">'Autor Gastar'!$A$1:$Q$27</definedName>
    <definedName name="_xlnm.Print_Area" localSheetId="0">'Necesidades Trimestrales'!$E$10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6" i="9"/>
  <c r="I10" i="5" l="1"/>
  <c r="I11" s="1"/>
  <c r="I12" s="1"/>
  <c r="Q23" i="3" l="1"/>
</calcChain>
</file>

<file path=xl/sharedStrings.xml><?xml version="1.0" encoding="utf-8"?>
<sst xmlns="http://schemas.openxmlformats.org/spreadsheetml/2006/main" count="99" uniqueCount="87">
  <si>
    <t>Pedido de Necesidades Trimestrales</t>
  </si>
  <si>
    <t>JURISDICCION: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</si>
  <si>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</si>
  <si>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</si>
  <si>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</si>
  <si>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</si>
  <si>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</si>
  <si>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</si>
  <si>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</si>
  <si>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</si>
  <si>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</si>
  <si>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</si>
  <si>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</si>
  <si>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</si>
  <si>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</si>
  <si>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</si>
  <si>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</si>
  <si>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</si>
  <si>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</si>
  <si>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</si>
  <si>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</si>
  <si>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</si>
  <si>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</si>
  <si>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</si>
  <si>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</si>
  <si>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</si>
  <si>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</si>
  <si>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</si>
  <si>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</si>
  <si>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</si>
  <si>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</si>
  <si>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</si>
  <si>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</si>
  <si>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</si>
  <si>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</si>
  <si>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</si>
  <si>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</si>
  <si>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</si>
  <si>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</si>
  <si>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</si>
  <si>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</si>
  <si>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</si>
  <si>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</si>
  <si>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</si>
  <si>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</si>
  <si>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</si>
  <si>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</si>
  <si>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</si>
  <si>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</si>
  <si>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</si>
  <si>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</si>
  <si>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</si>
  <si>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</si>
  <si>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</si>
  <si>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</si>
  <si>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 xml:space="preserve">SAF N°: </t>
  </si>
  <si>
    <t>011 - Direccion Provincial de Administración - Ministerio de Salud</t>
  </si>
  <si>
    <t>TOTAL DEL RUBRO</t>
  </si>
  <si>
    <t>TOTAL</t>
  </si>
  <si>
    <t>Especificidades Item N° 1</t>
  </si>
  <si>
    <t>Ver anexo I</t>
  </si>
  <si>
    <t>Chacabuco N° 169</t>
  </si>
  <si>
    <t>040 - Ministerio de Salud</t>
  </si>
  <si>
    <t>011- Dirección Provincial de Administración</t>
  </si>
  <si>
    <t>UNIDAD</t>
  </si>
  <si>
    <t>1.1</t>
  </si>
  <si>
    <t>Equipo Sanitario y de Laboratorio</t>
  </si>
  <si>
    <t>10 años</t>
  </si>
  <si>
    <t>SI</t>
  </si>
  <si>
    <t>040 - MINISTERIO DE SALUD</t>
  </si>
  <si>
    <t>EQUIPOS</t>
  </si>
  <si>
    <t>45 días</t>
  </si>
  <si>
    <t xml:space="preserve">12 meses </t>
  </si>
  <si>
    <t xml:space="preserve">Contacto de referencia: ING. SAUCEDO, Santiago - cel 3834-403800 </t>
  </si>
  <si>
    <t>Adquisición de Equipos Sanitarios (Mamógrafos Digitales) con destino a los Hospitales de los Departamentos Belén (Área Prog. 11) y Santa María (Área Prog. 12) dependientes del Ministerio de Salud de la Provincia de Catamarca.</t>
  </si>
  <si>
    <t>743 - Secretaria de Asistencia en Salud Publica</t>
  </si>
  <si>
    <t>743 - Secretaria de Asistencia de Salud Publica</t>
  </si>
  <si>
    <t>Adquisicion de mamografo digital</t>
  </si>
  <si>
    <t>4.3.3-4084.38</t>
  </si>
  <si>
    <t>EQUIPOS DE RAYOS X; USO: MAMOGRAFIA, FRECUENCIA: 120 KHZ, REGULACION: 22 - 49 Kv, AMPLIACION DE APLIQUE: 1,8 X, COMANDO: DIGITAL</t>
  </si>
  <si>
    <t>Costo total estimado: CINCUENTA Y DOS MILLONES QUINIENTOS NUEVE MIL SEISCIENTOS CON 00/100</t>
  </si>
  <si>
    <t>Autorizo la realización de los  trámites correspondientes, a fin de proveer a  este Organismo los bienes que se detallan en Nota de pedido y Entrega N° 09/2021,  afectando la erogación resultante a los créditos presupuestarios aprobados a favor de esta Unidad Ejecutora, conforme al siguiente detalle:</t>
  </si>
  <si>
    <t>Plazo de entrega: ciento veinte (120) dias</t>
  </si>
  <si>
    <t>Secretaria de Asistencia en Salud Publica</t>
  </si>
  <si>
    <t xml:space="preserve"> 09/2021</t>
  </si>
  <si>
    <t>SEGUNDO</t>
  </si>
  <si>
    <t>TOTAL DE PESOS: Cincuenta y Dos Millones Quinientos Nueve Mil Seiscientos con 00/100</t>
  </si>
</sst>
</file>

<file path=xl/styles.xml><?xml version="1.0" encoding="utf-8"?>
<styleSheet xmlns="http://schemas.openxmlformats.org/spreadsheetml/2006/main">
  <numFmts count="9">
    <numFmt numFmtId="164" formatCode="_-&quot;$&quot;\ * #,##0.00_-;\-&quot;$&quot;\ * #,##0.00_-;_-&quot;$&quot;\ 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&quot;$ &quot;* #,##0.00_ ;_ &quot;$ &quot;* \-#,##0.00_ ;_ &quot;$ &quot;* \-??_ ;_ @_ "/>
    <numFmt numFmtId="171" formatCode="_-[$$-2C0A]\ * #,##0.00_-;\-[$$-2C0A]\ * #,##0.00_-;_-[$$-2C0A]\ * &quot;-&quot;??_-;_-@_-"/>
    <numFmt numFmtId="172" formatCode="_-&quot;$&quot;\ * #,##0.000_-;\-&quot;$&quot;\ * #,##0.000_-;_-&quot;$&quot;\ * &quot;-&quot;??_-;_-@_-"/>
  </numFmts>
  <fonts count="38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Cambria"/>
      <family val="1"/>
      <scheme val="major"/>
    </font>
    <font>
      <b/>
      <sz val="14"/>
      <name val="Arial"/>
      <family val="2"/>
    </font>
    <font>
      <b/>
      <sz val="14"/>
      <name val="Cambria"/>
      <family val="1"/>
      <scheme val="major"/>
    </font>
    <font>
      <u/>
      <sz val="9"/>
      <name val="Times New Roman"/>
      <family val="1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2">
    <xf numFmtId="0" fontId="0" fillId="0" borderId="0"/>
    <xf numFmtId="166" fontId="16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25" fillId="0" borderId="0"/>
    <xf numFmtId="170" fontId="26" fillId="0" borderId="0" applyBorder="0" applyProtection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</cellStyleXfs>
  <cellXfs count="197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3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7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3" xfId="3" applyNumberFormat="1" applyFont="1" applyBorder="1" applyAlignment="1" applyProtection="1">
      <alignment horizontal="center" vertical="center"/>
    </xf>
    <xf numFmtId="167" fontId="15" fillId="0" borderId="44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center" wrapText="1"/>
    </xf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171" fontId="17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171" fontId="26" fillId="0" borderId="0" xfId="6" applyNumberFormat="1" applyAlignment="1">
      <alignment horizontal="right" vertical="center"/>
    </xf>
    <xf numFmtId="0" fontId="21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left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 wrapText="1"/>
    </xf>
    <xf numFmtId="171" fontId="28" fillId="0" borderId="52" xfId="6" applyNumberFormat="1" applyFont="1" applyBorder="1" applyAlignment="1">
      <alignment horizontal="center" vertical="center" wrapText="1"/>
    </xf>
    <xf numFmtId="171" fontId="27" fillId="0" borderId="53" xfId="0" applyNumberFormat="1" applyFont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left" vertical="center" wrapText="1"/>
    </xf>
    <xf numFmtId="0" fontId="30" fillId="0" borderId="49" xfId="0" applyFont="1" applyFill="1" applyBorder="1" applyAlignment="1">
      <alignment horizontal="left" vertical="center" wrapText="1"/>
    </xf>
    <xf numFmtId="0" fontId="29" fillId="0" borderId="50" xfId="7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vertical="center" wrapText="1"/>
    </xf>
    <xf numFmtId="0" fontId="29" fillId="0" borderId="49" xfId="7" applyFont="1" applyFill="1" applyBorder="1" applyAlignment="1">
      <alignment horizontal="center" vertical="center" wrapText="1"/>
    </xf>
    <xf numFmtId="3" fontId="5" fillId="0" borderId="49" xfId="8" applyNumberFormat="1" applyFont="1" applyBorder="1" applyAlignment="1">
      <alignment horizontal="center" vertical="center"/>
    </xf>
    <xf numFmtId="171" fontId="29" fillId="0" borderId="53" xfId="6" applyNumberFormat="1" applyFont="1" applyFill="1" applyBorder="1" applyAlignment="1">
      <alignment horizontal="right" vertical="center" wrapText="1"/>
    </xf>
    <xf numFmtId="0" fontId="17" fillId="0" borderId="0" xfId="0" applyFont="1" applyFill="1"/>
    <xf numFmtId="171" fontId="31" fillId="0" borderId="53" xfId="0" applyNumberFormat="1" applyFont="1" applyBorder="1" applyAlignment="1">
      <alignment wrapText="1"/>
    </xf>
    <xf numFmtId="0" fontId="2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171" fontId="33" fillId="0" borderId="57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3" fontId="5" fillId="0" borderId="0" xfId="7" applyNumberFormat="1" applyFont="1" applyBorder="1" applyAlignment="1">
      <alignment horizontal="center" vertical="center"/>
    </xf>
    <xf numFmtId="166" fontId="5" fillId="0" borderId="0" xfId="6" applyNumberFormat="1" applyFont="1" applyBorder="1" applyAlignment="1">
      <alignment horizontal="center" vertical="center" wrapText="1"/>
    </xf>
    <xf numFmtId="166" fontId="26" fillId="0" borderId="0" xfId="6" applyNumberFormat="1" applyFont="1" applyBorder="1" applyAlignment="1">
      <alignment horizontal="center" vertical="center"/>
    </xf>
    <xf numFmtId="0" fontId="17" fillId="0" borderId="0" xfId="0" applyFont="1" applyFill="1" applyAlignment="1">
      <alignment wrapText="1"/>
    </xf>
    <xf numFmtId="0" fontId="22" fillId="0" borderId="7" xfId="0" applyFont="1" applyBorder="1" applyAlignment="1">
      <alignment horizontal="left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64" fontId="26" fillId="4" borderId="17" xfId="1" applyNumberFormat="1" applyFont="1" applyFill="1" applyBorder="1" applyAlignment="1" applyProtection="1">
      <alignment horizontal="center" vertical="center" wrapText="1"/>
    </xf>
    <xf numFmtId="3" fontId="0" fillId="4" borderId="17" xfId="0" applyNumberFormat="1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164" fontId="26" fillId="0" borderId="18" xfId="1" applyNumberFormat="1" applyFont="1" applyBorder="1" applyAlignment="1">
      <alignment vertical="center"/>
    </xf>
    <xf numFmtId="3" fontId="0" fillId="4" borderId="18" xfId="0" applyNumberFormat="1" applyFont="1" applyFill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64" fontId="0" fillId="0" borderId="0" xfId="0" applyNumberFormat="1"/>
    <xf numFmtId="0" fontId="10" fillId="0" borderId="66" xfId="0" applyFont="1" applyBorder="1" applyAlignment="1">
      <alignment horizontal="left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3" fontId="5" fillId="0" borderId="66" xfId="0" applyNumberFormat="1" applyFont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164" fontId="5" fillId="0" borderId="52" xfId="8" applyNumberFormat="1" applyFont="1" applyBorder="1" applyAlignment="1">
      <alignment horizontal="center" vertical="center" wrapText="1"/>
    </xf>
    <xf numFmtId="17" fontId="7" fillId="3" borderId="11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left" wrapText="1"/>
    </xf>
    <xf numFmtId="0" fontId="17" fillId="0" borderId="6" xfId="0" applyFont="1" applyFill="1" applyBorder="1" applyAlignment="1">
      <alignment horizontal="left" wrapText="1"/>
    </xf>
    <xf numFmtId="0" fontId="17" fillId="0" borderId="0" xfId="0" applyFont="1" applyAlignment="1">
      <alignment horizontal="left"/>
    </xf>
    <xf numFmtId="0" fontId="17" fillId="0" borderId="6" xfId="0" applyFont="1" applyBorder="1" applyAlignment="1">
      <alignment horizontal="left"/>
    </xf>
    <xf numFmtId="0" fontId="19" fillId="0" borderId="0" xfId="0" applyFont="1" applyBorder="1" applyAlignment="1">
      <alignment horizontal="left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32" fillId="0" borderId="57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left" wrapText="1" indent="1"/>
    </xf>
    <xf numFmtId="0" fontId="24" fillId="0" borderId="0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right" vertical="center"/>
    </xf>
    <xf numFmtId="0" fontId="8" fillId="0" borderId="14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 indent="1"/>
    </xf>
    <xf numFmtId="0" fontId="6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5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 indent="1"/>
    </xf>
    <xf numFmtId="0" fontId="9" fillId="0" borderId="15" xfId="0" applyFont="1" applyBorder="1" applyAlignment="1">
      <alignment horizontal="center" vertical="center" wrapText="1"/>
    </xf>
    <xf numFmtId="0" fontId="36" fillId="4" borderId="60" xfId="0" applyFont="1" applyFill="1" applyBorder="1" applyAlignment="1">
      <alignment horizontal="left" vertical="center" wrapText="1"/>
    </xf>
    <xf numFmtId="0" fontId="36" fillId="4" borderId="59" xfId="0" applyFont="1" applyFill="1" applyBorder="1" applyAlignment="1">
      <alignment horizontal="left" vertical="center" wrapText="1"/>
    </xf>
    <xf numFmtId="0" fontId="36" fillId="4" borderId="61" xfId="0" applyFont="1" applyFill="1" applyBorder="1" applyAlignment="1">
      <alignment horizontal="left" vertical="center" wrapText="1"/>
    </xf>
    <xf numFmtId="0" fontId="36" fillId="4" borderId="63" xfId="0" applyFont="1" applyFill="1" applyBorder="1" applyAlignment="1">
      <alignment horizontal="left" vertical="center" wrapText="1"/>
    </xf>
    <xf numFmtId="0" fontId="36" fillId="4" borderId="64" xfId="0" applyFont="1" applyFill="1" applyBorder="1" applyAlignment="1">
      <alignment horizontal="left" vertical="center" wrapText="1"/>
    </xf>
    <xf numFmtId="0" fontId="36" fillId="4" borderId="65" xfId="0" applyFont="1" applyFill="1" applyBorder="1" applyAlignment="1">
      <alignment horizontal="left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 indent="1"/>
    </xf>
    <xf numFmtId="168" fontId="8" fillId="0" borderId="0" xfId="0" applyNumberFormat="1" applyFont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6" fillId="0" borderId="68" xfId="0" applyFont="1" applyBorder="1" applyAlignment="1">
      <alignment horizontal="left" vertical="center"/>
    </xf>
    <xf numFmtId="0" fontId="26" fillId="0" borderId="69" xfId="0" applyFont="1" applyBorder="1" applyAlignment="1">
      <alignment horizontal="left" vertical="center"/>
    </xf>
    <xf numFmtId="0" fontId="26" fillId="0" borderId="70" xfId="0" applyFont="1" applyBorder="1" applyAlignment="1">
      <alignment horizontal="left" vertical="center"/>
    </xf>
    <xf numFmtId="0" fontId="35" fillId="0" borderId="54" xfId="0" applyFont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35" fillId="0" borderId="56" xfId="0" applyFont="1" applyBorder="1" applyAlignment="1">
      <alignment horizontal="left" vertical="center"/>
    </xf>
    <xf numFmtId="172" fontId="37" fillId="0" borderId="55" xfId="0" applyNumberFormat="1" applyFont="1" applyBorder="1" applyAlignment="1">
      <alignment horizontal="center" vertical="center" wrapText="1"/>
    </xf>
    <xf numFmtId="172" fontId="37" fillId="0" borderId="56" xfId="0" applyNumberFormat="1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0" fontId="11" fillId="0" borderId="2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3" fillId="0" borderId="11" xfId="0" applyFont="1" applyBorder="1" applyAlignment="1">
      <alignment horizontal="left" indent="1"/>
    </xf>
    <xf numFmtId="0" fontId="5" fillId="0" borderId="13" xfId="0" applyFont="1" applyBorder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/>
    </xf>
    <xf numFmtId="0" fontId="13" fillId="0" borderId="23" xfId="0" applyFont="1" applyBorder="1"/>
    <xf numFmtId="0" fontId="15" fillId="0" borderId="2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0" xfId="0" applyFont="1" applyBorder="1" applyAlignment="1">
      <alignment vertical="center" wrapText="1"/>
    </xf>
    <xf numFmtId="0" fontId="11" fillId="0" borderId="45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3" borderId="44" xfId="0" applyFont="1" applyFill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/>
    </xf>
    <xf numFmtId="0" fontId="11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0" xfId="0" applyFont="1" applyFill="1" applyAlignment="1">
      <alignment horizontal="left" vertical="center" wrapText="1"/>
    </xf>
    <xf numFmtId="0" fontId="13" fillId="0" borderId="23" xfId="0" applyNumberFormat="1" applyFont="1" applyBorder="1" applyAlignment="1">
      <alignment horizontal="left" vertical="justify" wrapText="1" indent="1"/>
    </xf>
    <xf numFmtId="0" fontId="13" fillId="0" borderId="0" xfId="0" applyNumberFormat="1" applyFont="1" applyBorder="1" applyAlignment="1">
      <alignment horizontal="left" vertical="justify" wrapText="1" indent="1"/>
    </xf>
    <xf numFmtId="0" fontId="13" fillId="0" borderId="10" xfId="0" applyNumberFormat="1" applyFont="1" applyBorder="1" applyAlignment="1">
      <alignment horizontal="left" vertical="justify" wrapText="1" indent="1"/>
    </xf>
  </cellXfs>
  <cellStyles count="12">
    <cellStyle name="Encabezado 1" xfId="2"/>
    <cellStyle name="Moneda" xfId="1" builtinId="4"/>
    <cellStyle name="Moneda 2" xfId="6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3" xfId="9"/>
    <cellStyle name="Normal 3 2" xfId="10"/>
    <cellStyle name="Normal 4" xfId="11"/>
    <cellStyle name="Normal 5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30"/>
  <sheetViews>
    <sheetView topLeftCell="C3" zoomScale="70" zoomScaleNormal="70" workbookViewId="0">
      <selection activeCell="C10" sqref="C10"/>
    </sheetView>
  </sheetViews>
  <sheetFormatPr baseColWidth="10" defaultColWidth="11" defaultRowHeight="12.75"/>
  <cols>
    <col min="1" max="1" width="8.42578125" style="44" customWidth="1"/>
    <col min="2" max="2" width="17.5703125" style="73" customWidth="1"/>
    <col min="3" max="3" width="32.42578125" style="74" customWidth="1"/>
    <col min="4" max="4" width="8.42578125" style="75" customWidth="1"/>
    <col min="5" max="5" width="79" style="74" customWidth="1"/>
    <col min="6" max="6" width="11" style="75"/>
    <col min="7" max="7" width="13.42578125" style="77" customWidth="1"/>
    <col min="8" max="8" width="16.42578125" style="51" customWidth="1"/>
    <col min="9" max="9" width="23.5703125" style="49" customWidth="1"/>
    <col min="10" max="10" width="11" style="44"/>
    <col min="11" max="11" width="14.7109375" style="44" customWidth="1"/>
    <col min="12" max="12" width="13.7109375" style="44" customWidth="1"/>
    <col min="13" max="16384" width="11" style="44"/>
  </cols>
  <sheetData>
    <row r="2" spans="1:9" ht="27">
      <c r="B2" s="136" t="s">
        <v>0</v>
      </c>
      <c r="C2" s="136"/>
      <c r="D2" s="136"/>
      <c r="E2" s="136"/>
      <c r="F2" s="136"/>
      <c r="G2" s="137"/>
      <c r="H2" s="138"/>
    </row>
    <row r="3" spans="1:9" ht="18" customHeight="1">
      <c r="A3" s="120"/>
      <c r="B3" s="120"/>
      <c r="C3" s="134"/>
      <c r="D3" s="135"/>
      <c r="E3" s="134"/>
      <c r="F3" s="45"/>
      <c r="G3" s="50"/>
    </row>
    <row r="4" spans="1:9" ht="18" customHeight="1">
      <c r="A4" s="120" t="s">
        <v>1</v>
      </c>
      <c r="B4" s="120"/>
      <c r="C4" s="134" t="s">
        <v>69</v>
      </c>
      <c r="D4" s="135"/>
      <c r="E4" s="134"/>
      <c r="F4" s="45"/>
      <c r="G4" s="50"/>
    </row>
    <row r="5" spans="1:9" ht="18" customHeight="1">
      <c r="A5" s="120" t="s">
        <v>55</v>
      </c>
      <c r="B5" s="120"/>
      <c r="C5" s="134" t="s">
        <v>56</v>
      </c>
      <c r="D5" s="135"/>
      <c r="E5" s="134"/>
      <c r="F5" s="45"/>
      <c r="G5" s="50"/>
    </row>
    <row r="6" spans="1:9" ht="16.5" customHeight="1">
      <c r="A6" s="120" t="s">
        <v>2</v>
      </c>
      <c r="B6" s="120"/>
      <c r="C6" s="193">
        <v>2021</v>
      </c>
      <c r="D6" s="52"/>
      <c r="E6" s="53"/>
      <c r="F6" s="45"/>
      <c r="G6" s="50"/>
    </row>
    <row r="7" spans="1:9" ht="15.75">
      <c r="A7" s="120" t="s">
        <v>3</v>
      </c>
      <c r="B7" s="120"/>
      <c r="C7" s="193" t="s">
        <v>85</v>
      </c>
      <c r="D7" s="52"/>
      <c r="E7" s="53"/>
      <c r="F7" s="45"/>
      <c r="G7" s="50"/>
    </row>
    <row r="8" spans="1:9" ht="13.5" thickBot="1">
      <c r="B8" s="54"/>
      <c r="C8" s="55"/>
      <c r="D8" s="45"/>
      <c r="E8" s="55"/>
      <c r="F8" s="45"/>
      <c r="G8" s="50"/>
    </row>
    <row r="9" spans="1:9" ht="51" customHeight="1" thickBot="1">
      <c r="A9" s="56" t="s">
        <v>4</v>
      </c>
      <c r="B9" s="57" t="s">
        <v>5</v>
      </c>
      <c r="C9" s="58" t="s">
        <v>6</v>
      </c>
      <c r="D9" s="59" t="s">
        <v>7</v>
      </c>
      <c r="E9" s="60" t="s">
        <v>8</v>
      </c>
      <c r="F9" s="61" t="s">
        <v>9</v>
      </c>
      <c r="G9" s="58" t="s">
        <v>10</v>
      </c>
      <c r="H9" s="62" t="s">
        <v>11</v>
      </c>
      <c r="I9" s="63" t="s">
        <v>12</v>
      </c>
    </row>
    <row r="10" spans="1:9" s="71" customFormat="1" ht="93" customHeight="1" thickBot="1">
      <c r="A10" s="64">
        <v>1</v>
      </c>
      <c r="B10" s="65" t="s">
        <v>78</v>
      </c>
      <c r="C10" s="68" t="s">
        <v>70</v>
      </c>
      <c r="D10" s="66">
        <v>433</v>
      </c>
      <c r="E10" s="67" t="s">
        <v>79</v>
      </c>
      <c r="F10" s="68" t="s">
        <v>64</v>
      </c>
      <c r="G10" s="69">
        <v>2</v>
      </c>
      <c r="H10" s="109">
        <v>26254800</v>
      </c>
      <c r="I10" s="70">
        <f>G10*H10</f>
        <v>52509600</v>
      </c>
    </row>
    <row r="11" spans="1:9" ht="43.5" customHeight="1" thickBot="1">
      <c r="A11" s="121"/>
      <c r="B11" s="122"/>
      <c r="C11" s="122"/>
      <c r="D11" s="123"/>
      <c r="E11" s="124" t="s">
        <v>57</v>
      </c>
      <c r="F11" s="125"/>
      <c r="G11" s="125"/>
      <c r="H11" s="126"/>
      <c r="I11" s="72">
        <f>SUM(I10:I10)</f>
        <v>52509600</v>
      </c>
    </row>
    <row r="12" spans="1:9" ht="18.75" thickBot="1">
      <c r="E12" s="127" t="s">
        <v>58</v>
      </c>
      <c r="F12" s="127"/>
      <c r="G12" s="127"/>
      <c r="H12" s="127"/>
      <c r="I12" s="76">
        <f>+I11</f>
        <v>52509600</v>
      </c>
    </row>
    <row r="13" spans="1:9" ht="27" customHeight="1" thickTop="1" thickBot="1"/>
    <row r="14" spans="1:9" ht="24">
      <c r="B14" s="78" t="s">
        <v>59</v>
      </c>
      <c r="C14" s="79" t="s">
        <v>60</v>
      </c>
      <c r="D14" s="80"/>
      <c r="E14" s="81"/>
    </row>
    <row r="15" spans="1:9" ht="24.75" customHeight="1">
      <c r="B15" s="82"/>
      <c r="C15" s="83"/>
      <c r="D15" s="84"/>
      <c r="E15" s="85"/>
    </row>
    <row r="16" spans="1:9" ht="24.75" customHeight="1">
      <c r="B16" s="86" t="s">
        <v>13</v>
      </c>
      <c r="C16" s="128"/>
      <c r="D16" s="128"/>
      <c r="E16" s="129"/>
    </row>
    <row r="17" spans="1:12" ht="24.75" customHeight="1">
      <c r="B17" s="86"/>
      <c r="C17" s="115"/>
      <c r="D17" s="115"/>
      <c r="E17" s="115"/>
    </row>
    <row r="18" spans="1:12" ht="24.75" customHeight="1">
      <c r="B18" s="86" t="s">
        <v>14</v>
      </c>
      <c r="C18" s="130" t="s">
        <v>82</v>
      </c>
      <c r="D18" s="130"/>
      <c r="E18" s="131"/>
    </row>
    <row r="19" spans="1:12" ht="24.75" customHeight="1">
      <c r="B19" s="86"/>
      <c r="C19" s="130" t="s">
        <v>83</v>
      </c>
      <c r="D19" s="130"/>
      <c r="E19" s="131"/>
    </row>
    <row r="20" spans="1:12" ht="24.75" customHeight="1">
      <c r="B20" s="86"/>
      <c r="C20" s="130" t="s">
        <v>61</v>
      </c>
      <c r="D20" s="130"/>
      <c r="E20" s="131"/>
    </row>
    <row r="21" spans="1:12" s="90" customFormat="1" ht="24.75" customHeight="1">
      <c r="A21" s="44"/>
      <c r="B21" s="82"/>
      <c r="C21" s="132" t="s">
        <v>73</v>
      </c>
      <c r="D21" s="132"/>
      <c r="E21" s="133"/>
      <c r="F21" s="75"/>
      <c r="G21" s="77"/>
      <c r="H21" s="51"/>
      <c r="I21" s="49"/>
      <c r="J21" s="87"/>
      <c r="K21" s="88"/>
      <c r="L21" s="89"/>
    </row>
    <row r="22" spans="1:12" ht="24.75" customHeight="1">
      <c r="B22" s="82"/>
      <c r="C22" s="114"/>
      <c r="D22" s="114"/>
      <c r="E22" s="114"/>
      <c r="J22" s="87"/>
      <c r="K22" s="88"/>
      <c r="L22" s="89"/>
    </row>
    <row r="23" spans="1:12" ht="24.75" customHeight="1">
      <c r="B23" s="86" t="s">
        <v>15</v>
      </c>
      <c r="C23" s="113"/>
      <c r="D23" s="113"/>
      <c r="E23" s="114"/>
      <c r="J23" s="87"/>
      <c r="K23" s="88"/>
      <c r="L23" s="89"/>
    </row>
    <row r="24" spans="1:12" ht="24.75" customHeight="1">
      <c r="B24" s="82"/>
      <c r="C24" s="115"/>
      <c r="D24" s="115"/>
      <c r="E24" s="115"/>
      <c r="J24" s="87"/>
      <c r="K24" s="88"/>
      <c r="L24" s="89"/>
    </row>
    <row r="25" spans="1:12" ht="24.75" customHeight="1">
      <c r="B25" s="86" t="s">
        <v>16</v>
      </c>
      <c r="C25" s="116" t="s">
        <v>71</v>
      </c>
      <c r="D25" s="116"/>
      <c r="E25" s="117"/>
      <c r="J25" s="87"/>
      <c r="K25" s="88"/>
      <c r="L25" s="89"/>
    </row>
    <row r="26" spans="1:12" ht="24.75" customHeight="1">
      <c r="B26" s="82"/>
      <c r="C26" s="115"/>
      <c r="D26" s="115"/>
      <c r="E26" s="115"/>
    </row>
    <row r="27" spans="1:12" ht="24.75" customHeight="1">
      <c r="B27" s="86" t="s">
        <v>17</v>
      </c>
      <c r="C27" s="118" t="s">
        <v>72</v>
      </c>
      <c r="D27" s="118"/>
      <c r="E27" s="119"/>
    </row>
    <row r="28" spans="1:12" ht="24.75" customHeight="1">
      <c r="B28" s="86"/>
      <c r="C28" s="114"/>
      <c r="D28" s="114"/>
      <c r="E28" s="114"/>
    </row>
    <row r="29" spans="1:12" ht="24.75" customHeight="1" thickBot="1">
      <c r="B29" s="91"/>
      <c r="C29" s="111"/>
      <c r="D29" s="111"/>
      <c r="E29" s="112"/>
    </row>
    <row r="30" spans="1:12">
      <c r="J30" s="87"/>
      <c r="K30" s="88"/>
      <c r="L30" s="89"/>
    </row>
  </sheetData>
  <mergeCells count="26">
    <mergeCell ref="A5:B5"/>
    <mergeCell ref="C5:E5"/>
    <mergeCell ref="B2:H2"/>
    <mergeCell ref="A3:B3"/>
    <mergeCell ref="C3:E3"/>
    <mergeCell ref="A4:B4"/>
    <mergeCell ref="C4:E4"/>
    <mergeCell ref="C22:E22"/>
    <mergeCell ref="A6:B6"/>
    <mergeCell ref="A7:B7"/>
    <mergeCell ref="A11:D11"/>
    <mergeCell ref="E11:H11"/>
    <mergeCell ref="E12:H12"/>
    <mergeCell ref="C16:E16"/>
    <mergeCell ref="C17:E17"/>
    <mergeCell ref="C18:E18"/>
    <mergeCell ref="C19:E19"/>
    <mergeCell ref="C20:E20"/>
    <mergeCell ref="C21:E21"/>
    <mergeCell ref="C29:E29"/>
    <mergeCell ref="C23:E23"/>
    <mergeCell ref="C24:E24"/>
    <mergeCell ref="C25:E25"/>
    <mergeCell ref="C26:E26"/>
    <mergeCell ref="C27:E27"/>
    <mergeCell ref="C28:E28"/>
  </mergeCells>
  <pageMargins left="0.7" right="0.7" top="0.75" bottom="0.75" header="0.51180555555555496" footer="0.51180555555555496"/>
  <pageSetup paperSize="9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66"/>
  <sheetViews>
    <sheetView zoomScale="80" zoomScaleNormal="80" workbookViewId="0">
      <selection activeCell="D29" sqref="D29"/>
    </sheetView>
  </sheetViews>
  <sheetFormatPr baseColWidth="10" defaultColWidth="9.140625" defaultRowHeight="12.75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4.5703125" style="2" customWidth="1"/>
    <col min="10" max="10" width="16" style="2" customWidth="1"/>
    <col min="11" max="11" width="15.5703125" style="2" customWidth="1"/>
    <col min="12" max="12" width="5.85546875" style="2" customWidth="1"/>
    <col min="13" max="13" width="15.7109375" style="2" customWidth="1"/>
    <col min="14" max="14" width="5.85546875" style="2" customWidth="1"/>
    <col min="15" max="15" width="12.5703125" style="2" customWidth="1"/>
    <col min="16" max="1024" width="9.140625" style="2"/>
  </cols>
  <sheetData>
    <row r="1" spans="1:13" ht="18" customHeight="1" thickBot="1">
      <c r="A1" s="141" t="s">
        <v>18</v>
      </c>
      <c r="B1" s="141"/>
      <c r="C1" s="141"/>
      <c r="D1" s="141"/>
      <c r="E1" s="141"/>
      <c r="F1" s="141"/>
      <c r="G1" s="141"/>
      <c r="H1" s="141"/>
      <c r="I1" s="141"/>
      <c r="J1" s="3" t="s">
        <v>19</v>
      </c>
      <c r="K1" s="110" t="s">
        <v>84</v>
      </c>
    </row>
    <row r="2" spans="1:13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3" ht="18.75" customHeight="1" thickBot="1">
      <c r="A3" s="142" t="s">
        <v>52</v>
      </c>
      <c r="B3" s="142"/>
      <c r="C3" s="142"/>
      <c r="D3" s="140" t="s">
        <v>62</v>
      </c>
      <c r="E3" s="140"/>
      <c r="F3" s="140"/>
      <c r="G3" s="140"/>
      <c r="H3" s="140"/>
      <c r="I3" s="140"/>
      <c r="J3" s="140"/>
      <c r="K3" s="140"/>
    </row>
    <row r="4" spans="1:13" ht="18.75" customHeight="1" thickBot="1">
      <c r="A4" s="139" t="s">
        <v>53</v>
      </c>
      <c r="B4" s="139"/>
      <c r="C4" s="139"/>
      <c r="D4" s="140" t="s">
        <v>56</v>
      </c>
      <c r="E4" s="140"/>
      <c r="F4" s="140"/>
      <c r="G4" s="140"/>
      <c r="H4" s="140"/>
      <c r="I4" s="140"/>
      <c r="J4" s="140"/>
      <c r="K4" s="140"/>
    </row>
    <row r="5" spans="1:13" ht="18.75" customHeight="1" thickBot="1">
      <c r="A5" s="139" t="s">
        <v>31</v>
      </c>
      <c r="B5" s="139"/>
      <c r="C5" s="139"/>
      <c r="D5" s="140" t="s">
        <v>75</v>
      </c>
      <c r="E5" s="140"/>
      <c r="F5" s="140"/>
      <c r="G5" s="140"/>
      <c r="H5" s="140"/>
      <c r="I5" s="140"/>
      <c r="J5" s="140"/>
      <c r="K5" s="140"/>
    </row>
    <row r="6" spans="1:13" ht="16.5" customHeight="1" thickBot="1">
      <c r="A6" s="142" t="s">
        <v>54</v>
      </c>
      <c r="B6" s="142"/>
      <c r="C6" s="142"/>
      <c r="D6" s="140" t="s">
        <v>76</v>
      </c>
      <c r="E6" s="140"/>
      <c r="F6" s="140"/>
      <c r="G6" s="140"/>
      <c r="H6" s="140"/>
      <c r="I6" s="140"/>
      <c r="J6" s="140"/>
      <c r="K6" s="140"/>
    </row>
    <row r="7" spans="1:13" ht="16.5" customHeight="1" thickBot="1">
      <c r="A7" s="139" t="s">
        <v>20</v>
      </c>
      <c r="B7" s="139"/>
      <c r="C7" s="139"/>
      <c r="D7" s="140" t="s">
        <v>67</v>
      </c>
      <c r="E7" s="140"/>
      <c r="F7" s="140"/>
      <c r="G7" s="140"/>
      <c r="H7" s="140"/>
      <c r="I7" s="140"/>
      <c r="J7" s="140"/>
      <c r="K7" s="140"/>
    </row>
    <row r="8" spans="1:13" ht="16.5" customHeight="1" thickBot="1">
      <c r="A8" s="143" t="s">
        <v>21</v>
      </c>
      <c r="B8" s="143"/>
      <c r="C8" s="143"/>
      <c r="D8" s="144" t="s">
        <v>77</v>
      </c>
      <c r="E8" s="144"/>
      <c r="F8" s="144"/>
      <c r="G8" s="144"/>
      <c r="H8" s="144"/>
      <c r="I8" s="144"/>
      <c r="J8" s="144"/>
      <c r="K8" s="144"/>
    </row>
    <row r="9" spans="1:13" ht="16.5" thickBot="1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3" ht="18.75" customHeight="1" thickBot="1">
      <c r="A10" s="153" t="s">
        <v>22</v>
      </c>
      <c r="B10" s="152" t="s">
        <v>23</v>
      </c>
      <c r="C10" s="152" t="s">
        <v>24</v>
      </c>
      <c r="D10" s="152"/>
      <c r="E10" s="152"/>
      <c r="F10" s="152"/>
      <c r="G10" s="152"/>
      <c r="H10" s="152" t="s">
        <v>25</v>
      </c>
      <c r="I10" s="152" t="s">
        <v>26</v>
      </c>
      <c r="J10" s="152" t="s">
        <v>27</v>
      </c>
      <c r="K10" s="145" t="s">
        <v>28</v>
      </c>
    </row>
    <row r="11" spans="1:13" ht="24" customHeight="1" thickBot="1">
      <c r="A11" s="153"/>
      <c r="B11" s="152"/>
      <c r="C11" s="152"/>
      <c r="D11" s="152"/>
      <c r="E11" s="152"/>
      <c r="F11" s="152"/>
      <c r="G11" s="152"/>
      <c r="H11" s="152"/>
      <c r="I11" s="152"/>
      <c r="J11" s="152"/>
      <c r="K11" s="145"/>
    </row>
    <row r="12" spans="1:13" ht="32.25" customHeight="1">
      <c r="A12" s="92">
        <v>1</v>
      </c>
      <c r="B12" s="93" t="s">
        <v>78</v>
      </c>
      <c r="C12" s="146" t="s">
        <v>79</v>
      </c>
      <c r="D12" s="147"/>
      <c r="E12" s="147"/>
      <c r="F12" s="147"/>
      <c r="G12" s="148"/>
      <c r="H12" s="94" t="s">
        <v>68</v>
      </c>
      <c r="I12" s="95" t="s">
        <v>64</v>
      </c>
      <c r="J12" s="96">
        <v>26254800</v>
      </c>
      <c r="K12" s="97">
        <v>2</v>
      </c>
      <c r="M12" s="98"/>
    </row>
    <row r="13" spans="1:13" ht="15.95" customHeight="1">
      <c r="A13" s="8"/>
      <c r="B13" s="9"/>
      <c r="C13" s="149"/>
      <c r="D13" s="150"/>
      <c r="E13" s="150"/>
      <c r="F13" s="150"/>
      <c r="G13" s="151"/>
      <c r="H13" s="10"/>
      <c r="I13" s="95"/>
      <c r="J13" s="99"/>
      <c r="K13" s="100"/>
      <c r="M13" s="98"/>
    </row>
    <row r="14" spans="1:13" ht="15.95" customHeight="1">
      <c r="A14" s="101"/>
      <c r="B14" s="103"/>
      <c r="C14" s="156"/>
      <c r="D14" s="157"/>
      <c r="E14" s="157"/>
      <c r="F14" s="157"/>
      <c r="G14" s="158"/>
      <c r="H14" s="104"/>
      <c r="I14" s="105"/>
      <c r="J14" s="106"/>
      <c r="K14" s="107"/>
      <c r="M14" s="98"/>
    </row>
    <row r="15" spans="1:13" ht="15.95" customHeight="1" thickBot="1">
      <c r="A15" s="11"/>
      <c r="B15" s="12"/>
      <c r="C15" s="159"/>
      <c r="D15" s="160"/>
      <c r="E15" s="160"/>
      <c r="F15" s="160"/>
      <c r="G15" s="161"/>
      <c r="H15" s="104"/>
      <c r="I15" s="105"/>
      <c r="J15" s="106"/>
      <c r="K15" s="107"/>
      <c r="M15" s="98"/>
    </row>
    <row r="16" spans="1:13" ht="15.95" customHeight="1" thickBot="1">
      <c r="A16" s="162" t="s">
        <v>80</v>
      </c>
      <c r="B16" s="163"/>
      <c r="C16" s="163"/>
      <c r="D16" s="163"/>
      <c r="E16" s="163"/>
      <c r="F16" s="163"/>
      <c r="G16" s="163"/>
      <c r="H16" s="163"/>
      <c r="I16" s="164"/>
      <c r="J16" s="165">
        <f>+J12*K12</f>
        <v>52509600</v>
      </c>
      <c r="K16" s="166"/>
      <c r="M16" s="98"/>
    </row>
    <row r="17" spans="1:13" ht="15.95" customHeight="1">
      <c r="A17" s="154"/>
      <c r="B17" s="154"/>
      <c r="C17" s="154"/>
      <c r="D17" s="154"/>
      <c r="E17" s="154"/>
      <c r="F17" s="154"/>
      <c r="G17" s="154"/>
      <c r="H17" s="154"/>
      <c r="I17" s="154"/>
      <c r="J17" s="155"/>
      <c r="K17" s="155"/>
      <c r="M17" s="98"/>
    </row>
    <row r="18" spans="1:13" ht="15.95" customHeight="1">
      <c r="M18" s="98"/>
    </row>
    <row r="19" spans="1:13" ht="15.95" customHeight="1">
      <c r="M19" s="98"/>
    </row>
    <row r="20" spans="1:13" ht="15.95" customHeight="1">
      <c r="M20" s="98"/>
    </row>
    <row r="21" spans="1:13" ht="15.95" customHeight="1">
      <c r="M21" s="98"/>
    </row>
    <row r="22" spans="1:13" ht="15.95" customHeight="1">
      <c r="M22" s="98"/>
    </row>
    <row r="23" spans="1:13" ht="15.95" customHeight="1">
      <c r="M23" s="98"/>
    </row>
    <row r="24" spans="1:13" ht="15.95" customHeight="1">
      <c r="M24" s="98"/>
    </row>
    <row r="25" spans="1:13" ht="15.95" customHeight="1">
      <c r="M25" s="98"/>
    </row>
    <row r="26" spans="1:13" ht="15.95" customHeight="1">
      <c r="M26" s="98"/>
    </row>
    <row r="27" spans="1:13" ht="15.95" customHeight="1">
      <c r="M27" s="98"/>
    </row>
    <row r="28" spans="1:13" ht="15.95" customHeight="1">
      <c r="M28" s="98"/>
    </row>
    <row r="29" spans="1:13" ht="15.95" customHeight="1">
      <c r="M29" s="98"/>
    </row>
    <row r="30" spans="1:13" ht="15.95" customHeight="1">
      <c r="M30" s="98"/>
    </row>
    <row r="31" spans="1:13" ht="15.95" customHeight="1">
      <c r="M31" s="98"/>
    </row>
    <row r="32" spans="1:13" ht="15.95" customHeight="1">
      <c r="M32" s="98"/>
    </row>
    <row r="33" spans="13:13" ht="15.95" customHeight="1">
      <c r="M33" s="98"/>
    </row>
    <row r="34" spans="13:13" ht="15.95" customHeight="1">
      <c r="M34" s="98"/>
    </row>
    <row r="35" spans="13:13" ht="15.95" customHeight="1">
      <c r="M35" s="98"/>
    </row>
    <row r="36" spans="13:13" ht="15.95" customHeight="1">
      <c r="M36" s="98"/>
    </row>
    <row r="37" spans="13:13" ht="15.95" customHeight="1">
      <c r="M37" s="98"/>
    </row>
    <row r="38" spans="13:13" ht="15.95" customHeight="1">
      <c r="M38" s="98"/>
    </row>
    <row r="39" spans="13:13" ht="15.95" customHeight="1">
      <c r="M39" s="98"/>
    </row>
    <row r="40" spans="13:13" ht="15.95" customHeight="1">
      <c r="M40" s="98"/>
    </row>
    <row r="41" spans="13:13" ht="15.95" customHeight="1">
      <c r="M41" s="98"/>
    </row>
    <row r="42" spans="13:13" ht="15.95" customHeight="1">
      <c r="M42" s="98"/>
    </row>
    <row r="43" spans="13:13" ht="15.95" customHeight="1">
      <c r="M43" s="98"/>
    </row>
    <row r="44" spans="13:13" ht="15.95" customHeight="1">
      <c r="M44" s="98"/>
    </row>
    <row r="45" spans="13:13" ht="15.95" customHeight="1">
      <c r="M45" s="98"/>
    </row>
    <row r="46" spans="13:13" ht="15.95" customHeight="1">
      <c r="M46" s="98"/>
    </row>
    <row r="47" spans="13:13" ht="15.95" customHeight="1">
      <c r="M47" s="98"/>
    </row>
    <row r="48" spans="13:13" ht="15.95" customHeight="1">
      <c r="M48" s="98"/>
    </row>
    <row r="49" spans="12:1024" ht="15.95" customHeight="1">
      <c r="M49" s="98"/>
    </row>
    <row r="50" spans="12:1024" ht="15.95" customHeight="1">
      <c r="M50" s="98"/>
    </row>
    <row r="51" spans="12:1024" ht="15.95" customHeight="1">
      <c r="M51" s="98"/>
    </row>
    <row r="52" spans="12:1024" ht="15.95" customHeight="1">
      <c r="M52" s="98"/>
    </row>
    <row r="53" spans="12:1024" ht="15.95" customHeight="1">
      <c r="M53" s="98"/>
    </row>
    <row r="54" spans="12:1024" ht="15.95" customHeight="1">
      <c r="L54"/>
      <c r="M54" s="102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12:1024" ht="15.95" customHeight="1">
      <c r="L55"/>
      <c r="M55" s="102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12:1024" ht="15.95" customHeight="1">
      <c r="L56"/>
      <c r="M56" s="102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12:1024" ht="15.95" customHeight="1">
      <c r="L57"/>
      <c r="M57" s="102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12:1024" ht="15.95" customHeight="1">
      <c r="L58"/>
      <c r="M58" s="102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12:1024" ht="15.95" customHeight="1">
      <c r="L59"/>
      <c r="M59" s="102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12:1024" ht="15.95" customHeight="1">
      <c r="L60"/>
      <c r="M60" s="102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12:1024" ht="15.95" customHeight="1">
      <c r="L61"/>
      <c r="M61" s="102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12:1024" ht="15.95" customHeight="1">
      <c r="L62"/>
      <c r="M62" s="10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12:1024" ht="15.95" customHeight="1">
      <c r="L63"/>
      <c r="M63" s="102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12:1024" ht="15.95" customHeight="1">
      <c r="L64"/>
      <c r="M64" s="102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12:1024" ht="15.95" customHeight="1">
      <c r="L65"/>
      <c r="M65" s="102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12:1024" ht="20.25" customHeight="1">
      <c r="L66"/>
      <c r="M66" s="102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</sheetData>
  <mergeCells count="28">
    <mergeCell ref="A17:I17"/>
    <mergeCell ref="J17:K17"/>
    <mergeCell ref="C14:G14"/>
    <mergeCell ref="C15:G15"/>
    <mergeCell ref="A16:I16"/>
    <mergeCell ref="J16:K16"/>
    <mergeCell ref="K10:K11"/>
    <mergeCell ref="C12:G12"/>
    <mergeCell ref="C13:G13"/>
    <mergeCell ref="J10:J11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"/>
  <sheetViews>
    <sheetView tabSelected="1" topLeftCell="A13" workbookViewId="0">
      <selection activeCell="O17" sqref="O17:P17"/>
    </sheetView>
  </sheetViews>
  <sheetFormatPr baseColWidth="10" defaultColWidth="11" defaultRowHeight="12.75"/>
  <cols>
    <col min="1" max="5" width="4.42578125" customWidth="1"/>
    <col min="6" max="6" width="5.5703125" customWidth="1"/>
    <col min="7" max="7" width="4.42578125" style="1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67" t="s">
        <v>2</v>
      </c>
      <c r="B1" s="167"/>
      <c r="C1" s="167"/>
      <c r="D1" s="168">
        <v>2021</v>
      </c>
      <c r="E1" s="168"/>
      <c r="F1" s="14"/>
      <c r="G1" s="14"/>
      <c r="H1" s="15"/>
      <c r="I1" s="15"/>
      <c r="J1" s="15"/>
      <c r="K1" s="15"/>
      <c r="L1" s="15"/>
      <c r="M1" s="15"/>
      <c r="N1" s="15"/>
      <c r="P1" s="169" t="s">
        <v>29</v>
      </c>
      <c r="Q1" s="169"/>
    </row>
    <row r="2" spans="1:17" ht="15.75" customHeight="1">
      <c r="H2" s="15"/>
      <c r="I2" s="15"/>
      <c r="J2" s="15"/>
      <c r="K2" s="15"/>
      <c r="L2" s="15"/>
      <c r="M2" s="15"/>
      <c r="N2" s="15"/>
      <c r="P2" s="169"/>
      <c r="Q2" s="169"/>
    </row>
    <row r="4" spans="1:17" s="16" customFormat="1" ht="18" customHeight="1" thickBot="1">
      <c r="A4" s="170" t="s">
        <v>30</v>
      </c>
      <c r="B4" s="170"/>
      <c r="C4" s="170"/>
      <c r="D4" s="170"/>
      <c r="E4" s="170"/>
      <c r="F4" s="170"/>
      <c r="G4" s="171" t="s">
        <v>62</v>
      </c>
      <c r="H4" s="171"/>
      <c r="I4" s="171"/>
      <c r="J4" s="171"/>
      <c r="K4" s="171"/>
      <c r="L4" s="171"/>
      <c r="M4" s="171"/>
      <c r="N4" s="171"/>
      <c r="O4" s="171"/>
      <c r="P4" s="171"/>
      <c r="Q4" s="171"/>
    </row>
    <row r="5" spans="1:17" s="16" customFormat="1" ht="18" customHeight="1" thickBot="1">
      <c r="A5" s="172" t="s">
        <v>53</v>
      </c>
      <c r="B5" s="173"/>
      <c r="C5" s="173"/>
      <c r="D5" s="173"/>
      <c r="E5" s="173"/>
      <c r="F5" s="174"/>
      <c r="G5" s="171" t="s">
        <v>63</v>
      </c>
      <c r="H5" s="171"/>
      <c r="I5" s="171"/>
      <c r="J5" s="171"/>
      <c r="K5" s="171"/>
      <c r="L5" s="171"/>
      <c r="M5" s="171"/>
      <c r="N5" s="171"/>
      <c r="O5" s="171"/>
      <c r="P5" s="171"/>
      <c r="Q5" s="171"/>
    </row>
    <row r="6" spans="1:17" s="16" customFormat="1" ht="18" customHeight="1" thickBot="1">
      <c r="A6" s="172" t="s">
        <v>31</v>
      </c>
      <c r="B6" s="173"/>
      <c r="C6" s="173"/>
      <c r="D6" s="173"/>
      <c r="E6" s="173"/>
      <c r="F6" s="174"/>
      <c r="G6" s="171" t="s">
        <v>76</v>
      </c>
      <c r="H6" s="171"/>
      <c r="I6" s="171"/>
      <c r="J6" s="171"/>
      <c r="K6" s="171"/>
      <c r="L6" s="171"/>
      <c r="M6" s="171"/>
      <c r="N6" s="171"/>
      <c r="O6" s="171"/>
      <c r="P6" s="171"/>
      <c r="Q6" s="171"/>
    </row>
    <row r="7" spans="1:17" s="16" customFormat="1" ht="18" customHeight="1" thickBot="1">
      <c r="A7" s="172" t="s">
        <v>54</v>
      </c>
      <c r="B7" s="173"/>
      <c r="C7" s="173"/>
      <c r="D7" s="173"/>
      <c r="E7" s="173"/>
      <c r="F7" s="174"/>
      <c r="G7" s="171" t="s">
        <v>76</v>
      </c>
      <c r="H7" s="171"/>
      <c r="I7" s="171"/>
      <c r="J7" s="171"/>
      <c r="K7" s="171"/>
      <c r="L7" s="171"/>
      <c r="M7" s="171"/>
      <c r="N7" s="171"/>
      <c r="O7" s="171"/>
      <c r="P7" s="171"/>
      <c r="Q7" s="171"/>
    </row>
    <row r="8" spans="1:17" ht="18" customHeight="1" thickBot="1">
      <c r="A8" s="175" t="s">
        <v>32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</row>
    <row r="9" spans="1:17" ht="18" customHeight="1">
      <c r="A9" s="176" t="s">
        <v>33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"/>
      <c r="P9" s="1"/>
      <c r="Q9" s="17"/>
    </row>
    <row r="10" spans="1:17" ht="57" customHeight="1">
      <c r="A10" s="194" t="s">
        <v>81</v>
      </c>
      <c r="B10" s="195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6"/>
    </row>
    <row r="11" spans="1:17" ht="9" customHeight="1" thickBot="1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>
      <c r="A12" s="177" t="s">
        <v>34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</row>
    <row r="13" spans="1:17" ht="15.75" customHeight="1">
      <c r="A13" s="178" t="s">
        <v>35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9" t="s">
        <v>36</v>
      </c>
      <c r="P13" s="179"/>
      <c r="Q13" s="180" t="s">
        <v>37</v>
      </c>
    </row>
    <row r="14" spans="1:17" ht="15.75" customHeight="1">
      <c r="A14" s="22" t="s">
        <v>38</v>
      </c>
      <c r="B14" s="23" t="s">
        <v>39</v>
      </c>
      <c r="C14" s="23" t="s">
        <v>40</v>
      </c>
      <c r="D14" s="23" t="s">
        <v>41</v>
      </c>
      <c r="E14" s="23" t="s">
        <v>42</v>
      </c>
      <c r="F14" s="23" t="s">
        <v>43</v>
      </c>
      <c r="G14" s="24" t="s">
        <v>44</v>
      </c>
      <c r="H14" s="23" t="s">
        <v>45</v>
      </c>
      <c r="I14" s="23" t="s">
        <v>46</v>
      </c>
      <c r="J14" s="23" t="s">
        <v>47</v>
      </c>
      <c r="K14" s="23" t="s">
        <v>47</v>
      </c>
      <c r="L14" s="23" t="s">
        <v>48</v>
      </c>
      <c r="M14" s="25" t="s">
        <v>49</v>
      </c>
      <c r="N14" s="26" t="s">
        <v>50</v>
      </c>
      <c r="O14" s="179"/>
      <c r="P14" s="179"/>
      <c r="Q14" s="180"/>
    </row>
    <row r="15" spans="1:17" ht="17.25" customHeight="1">
      <c r="A15" s="46">
        <v>3</v>
      </c>
      <c r="B15" s="47"/>
      <c r="C15" s="47"/>
      <c r="D15" s="47">
        <v>1</v>
      </c>
      <c r="E15" s="47"/>
      <c r="F15" s="47">
        <v>4901</v>
      </c>
      <c r="G15" s="47">
        <v>1</v>
      </c>
      <c r="H15" s="47">
        <v>3</v>
      </c>
      <c r="I15" s="27">
        <v>4</v>
      </c>
      <c r="J15" s="27">
        <v>3</v>
      </c>
      <c r="K15" s="27">
        <v>3</v>
      </c>
      <c r="L15" s="47"/>
      <c r="M15" s="48">
        <v>1</v>
      </c>
      <c r="N15" s="108" t="s">
        <v>65</v>
      </c>
      <c r="O15" s="181" t="s">
        <v>66</v>
      </c>
      <c r="P15" s="182"/>
      <c r="Q15" s="28">
        <v>52509600</v>
      </c>
    </row>
    <row r="16" spans="1:17" ht="17.25" customHeight="1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2"/>
      <c r="O16" s="183"/>
      <c r="P16" s="184"/>
      <c r="Q16" s="33"/>
    </row>
    <row r="17" spans="1:18" ht="17.25" customHeight="1">
      <c r="A17" s="29"/>
      <c r="B17" s="30"/>
      <c r="C17" s="30"/>
      <c r="D17" s="30"/>
      <c r="E17" s="30"/>
      <c r="F17" s="32"/>
      <c r="G17" s="30"/>
      <c r="H17" s="30"/>
      <c r="I17" s="30"/>
      <c r="J17" s="30"/>
      <c r="K17" s="30"/>
      <c r="L17" s="30"/>
      <c r="M17" s="31"/>
      <c r="N17" s="32"/>
      <c r="O17" s="183"/>
      <c r="P17" s="184"/>
      <c r="Q17" s="33"/>
    </row>
    <row r="18" spans="1:18" ht="17.25" customHeight="1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  <c r="O18" s="184"/>
      <c r="P18" s="184"/>
      <c r="Q18" s="33"/>
    </row>
    <row r="19" spans="1:18" ht="17.25" customHeight="1">
      <c r="A19" s="29"/>
      <c r="B19" s="30"/>
      <c r="C19" s="30"/>
      <c r="D19" s="30"/>
      <c r="E19" s="30"/>
      <c r="F19" s="32"/>
      <c r="G19" s="30"/>
      <c r="H19" s="30"/>
      <c r="I19" s="30"/>
      <c r="J19" s="30"/>
      <c r="K19" s="30"/>
      <c r="L19" s="30"/>
      <c r="M19" s="31"/>
      <c r="N19" s="32"/>
      <c r="O19" s="184"/>
      <c r="P19" s="184"/>
      <c r="Q19" s="33"/>
    </row>
    <row r="20" spans="1:18" ht="17.25" customHeight="1">
      <c r="A20" s="29"/>
      <c r="B20" s="30"/>
      <c r="C20" s="30"/>
      <c r="D20" s="30"/>
      <c r="E20" s="30"/>
      <c r="F20" s="32"/>
      <c r="G20" s="30"/>
      <c r="H20" s="30"/>
      <c r="I20" s="30"/>
      <c r="J20" s="30"/>
      <c r="K20" s="30"/>
      <c r="L20" s="30"/>
      <c r="M20" s="31"/>
      <c r="N20" s="32"/>
      <c r="O20" s="184"/>
      <c r="P20" s="184"/>
      <c r="Q20" s="33"/>
    </row>
    <row r="21" spans="1:18" ht="17.25" customHeight="1">
      <c r="A21" s="34"/>
      <c r="B21" s="35"/>
      <c r="C21" s="35"/>
      <c r="D21" s="35"/>
      <c r="E21" s="35"/>
      <c r="F21" s="36"/>
      <c r="G21" s="35"/>
      <c r="H21" s="35"/>
      <c r="I21" s="35"/>
      <c r="J21" s="35"/>
      <c r="K21" s="35"/>
      <c r="L21" s="35"/>
      <c r="M21" s="37"/>
      <c r="N21" s="38"/>
      <c r="O21" s="183"/>
      <c r="P21" s="183"/>
      <c r="Q21" s="33"/>
      <c r="R21" s="1"/>
    </row>
    <row r="22" spans="1:18" ht="17.25" customHeight="1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1"/>
      <c r="N22" s="40"/>
      <c r="O22" s="190"/>
      <c r="P22" s="190"/>
      <c r="Q22" s="42"/>
    </row>
    <row r="23" spans="1:18" ht="20.25" customHeight="1">
      <c r="A23" s="191" t="s">
        <v>86</v>
      </c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43">
        <f>SUM(Q15:Q22)</f>
        <v>52509600</v>
      </c>
    </row>
    <row r="24" spans="1:18" ht="18" customHeight="1" thickBot="1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</row>
    <row r="25" spans="1:18" ht="17.25" customHeight="1" thickBot="1">
      <c r="A25" s="185" t="s">
        <v>51</v>
      </c>
      <c r="B25" s="186"/>
      <c r="C25" s="186"/>
      <c r="D25" s="186"/>
      <c r="E25" s="186"/>
      <c r="F25" s="187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</row>
    <row r="26" spans="1:18" ht="18" customHeight="1" thickBot="1">
      <c r="A26" s="189" t="s">
        <v>74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</row>
    <row r="27" spans="1:18" ht="28.5" customHeight="1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claudia</cp:lastModifiedBy>
  <cp:revision>2</cp:revision>
  <cp:lastPrinted>2020-12-23T12:16:27Z</cp:lastPrinted>
  <dcterms:created xsi:type="dcterms:W3CDTF">2020-07-17T23:44:49Z</dcterms:created>
  <dcterms:modified xsi:type="dcterms:W3CDTF">2021-03-19T09:32:03Z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