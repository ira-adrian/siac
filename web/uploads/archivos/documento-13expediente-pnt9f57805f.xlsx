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A#MP" sheetId="2" r:id="rId5"/>
    <sheet name="APG DA#MP" sheetId="3" r:id="rId6"/>
    <sheet name="Nota Pedido DA#HNEP" sheetId="4" r:id="rId7"/>
    <sheet name="APG DA#HNEP" sheetId="5" r:id="rId8"/>
    <sheet name="Nota Pedido SPP" sheetId="6" r:id="rId9"/>
    <sheet name="APG SPP" sheetId="7" r:id="rId10"/>
    <sheet name="Nota Pedido DA#PC" sheetId="8" r:id="rId11"/>
    <sheet name="APG DA#PC" sheetId="9" r:id="rId12"/>
  </sheets>
  <definedNames>
    <definedName name="_xlnm.Print_Area" localSheetId="1">'Nota Pedido DA#MP'!$A$1:$G$23</definedName>
    <definedName name="_xlnm.Print_Area" localSheetId="2">'APG DA#MP'!$A$1:$Q$24</definedName>
    <definedName name="_xlnm.Print_Area" localSheetId="3">'Nota Pedido DA#HNEP'!$A$1:$G$24</definedName>
    <definedName name="_xlnm.Print_Area" localSheetId="4">'APG DA#HNEP'!$A$1:$Q$24</definedName>
    <definedName name="_xlnm.Print_Area" localSheetId="5">'Nota Pedido SPP'!$A$1:$G$23</definedName>
    <definedName name="_xlnm.Print_Area" localSheetId="6">'APG SPP'!$A$1:$Q$24</definedName>
    <definedName name="_xlnm.Print_Area" localSheetId="7">'Nota Pedido DA#PC'!$A$1:$G$23</definedName>
    <definedName name="_xlnm.Print_Area" localSheetId="8">'APG DA#PC'!$A$1:$Q$24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<sst xmlns="http://schemas.openxmlformats.org/spreadsheetml/2006/main" uniqueCount="103">
  <si>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</si>
  <si>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</si>
  <si>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</si>
  <si>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</si>
  <si>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</si>
  <si>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</si>
  <si>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</si>
  <si>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4°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</si>
  <si>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</si>
  <si>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</si>
  <si>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</si>
  <si>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</si>
  <si>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</si>
  <si>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</si>
  <si>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</si>
  <si>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</si>
  <si>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</si>
  <si>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</si>
  <si>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2.1.1-621.19</t>
  </si>
  <si>
    <t>ALIMENTOS</t>
  </si>
  <si>
    <t>2.1.1</t>
  </si>
  <si>
    <t>AVES; TIPO: POLLO, PRESENTACION: PATA MUSLO, EVISCERADO: SI, ELEM. TRANSPORTE: SIN, MATERIAL ELEM. TRANSPORTE: SIN, LIBRE DE GLUTEN: SIN VALOR</t>
  </si>
  <si>
    <t>CAJA</t>
  </si>
  <si>
    <t>2.1.1-621.20</t>
  </si>
  <si>
    <t>AVES; TIPO: POLLO, PRESENTACION: CAJA X 22 KG, EVISCERADO: SI, ELEM. TRANSPORTE: SIN, MATERIAL ELEM. TRANSPORTE: SIN, LIBRE DE GLUTEN: SIN VALOR</t>
  </si>
  <si>
    <t>2.1.1-621.13</t>
  </si>
  <si>
    <t>AVES; ESPECIE: POLLO, PRESENTACION: CAJON X 8 UN, EVISCERADO: SIN VALOR, TIPO: POLLO</t>
  </si>
  <si>
    <t>CAJON</t>
  </si>
  <si>
    <t>2.1.1-621.15</t>
  </si>
  <si>
    <t>AVES; ESPECIE: PECHUGA DE POLLO, PRESENTACION: A GRANEL, EVISCERADO: SIN MENUDOS, TIPO: PECHUGA DE POLLO</t>
  </si>
  <si>
    <t>NUEVE MILLONES OCHOCIENTOS TREINTA Y CINCO MIL CON 00/100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</si>
  <si>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</si>
  <si>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</si>
  <si>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</si>
  <si>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</si>
  <si>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</si>
  <si>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</si>
  <si>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</si>
  <si>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</si>
  <si>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</si>
  <si>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</si>
  <si>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</si>
  <si>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524 / 2022</t>
  </si>
  <si>
    <t xml:space="preserve">JURISDICCIÓN: </t>
  </si>
  <si>
    <t>SAF:</t>
  </si>
  <si>
    <t>UNIDAD EJECUTORA:</t>
  </si>
  <si>
    <t>SAF 28 - MATERNIDAD PROVINCIAL 25 DE MAYO</t>
  </si>
  <si>
    <t xml:space="preserve">DEPENDENCIA SOLICITANTE: </t>
  </si>
  <si>
    <t>PERIODO UTILIZACIÓN:</t>
  </si>
  <si>
    <t>4° TRIMESTRE - 2022</t>
  </si>
  <si>
    <t>OBJETO:</t>
  </si>
  <si>
    <t>211 - ALIMENTOS PARA PERSONAS (POLLO)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</si>
  <si>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</si>
  <si>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</si>
  <si>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</si>
  <si>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</si>
  <si>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</si>
  <si>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</si>
  <si>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</si>
  <si>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</si>
  <si>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 xml:space="preserve">Costo total estimado: </t>
  </si>
  <si>
    <t>UN MILLON OCHENTA Y NUEVE MIL CON 00/100 PESOS</t>
  </si>
  <si>
    <t>DETALLE TECNICO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</si>
  <si>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</si>
  <si>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</si>
  <si>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</si>
  <si>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</si>
  <si>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524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</si>
  <si>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</si>
  <si>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</si>
  <si>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</si>
  <si>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</si>
  <si>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</si>
  <si>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</si>
  <si>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</si>
  <si>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</si>
  <si>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</si>
  <si>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</si>
  <si>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</si>
  <si>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</si>
  <si>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</si>
  <si>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</si>
  <si>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</si>
  <si>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</si>
  <si>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</si>
  <si>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ALIMENTOS PARA PERSONAS</t>
  </si>
  <si>
    <t xml:space="preserve">TOTAL DE PESOS: </t>
  </si>
  <si>
    <t>JUSTIFICACIÓN:</t>
  </si>
  <si>
    <t>OBSERVACIONES:</t>
  </si>
  <si>
    <t>538 / 2022</t>
  </si>
  <si>
    <t>SAF 24 - HOSPITAL INTERZONAL DE NIÑOS EVA PERON</t>
  </si>
  <si>
    <t>211 - ALIMENTOS PARA PERSONAS</t>
  </si>
  <si>
    <t>DOS MILLONES DOSCIENTOS SETENTA Y CINCO MIL CON 00/100 PESOS</t>
  </si>
  <si>
    <t xml:space="preserve"> Autorizo la realización de los  trámites correspondientes, a fin de proveer a  este Organismo los bienes y/o servicios que se detallan en Nota  de Pedido N° 538 / 2022,  afectando la erogación resultante a los créditos presupuestarios aprobados a favor de esta Unidad Ejecutora, conforme al siguiente detalle:</t>
  </si>
  <si>
    <t>540 / 2022</t>
  </si>
  <si>
    <t>SAF 8 - SERVICIO PENITENCIARIO PROVINCIAL</t>
  </si>
  <si>
    <t>TRES MILLONES CON 00/100 PESOS</t>
  </si>
  <si>
    <t xml:space="preserve"> Autorizo la realización de los  trámites correspondientes, a fin de proveer a  este Organismo los bienes y/o servicios que se detallan en Nota  de Pedido N° 540 / 2022,  afectando la erogación resultante a los créditos presupuestarios aprobados a favor de esta Unidad Ejecutora, conforme al siguiente detalle:</t>
  </si>
  <si>
    <t>556 / 2022</t>
  </si>
  <si>
    <t>SAF 7 - POLICIA DE LA PROVINCIA DE CATAMARCA</t>
  </si>
  <si>
    <t>adquisicion de pollo-Escuela de Cadetes</t>
  </si>
  <si>
    <t>TRES MILLONES SEISCIENTOS SESENTA MIL CON 00/100 PESOS</t>
  </si>
  <si>
    <t xml:space="preserve"> Autorizo la realización de los  trámites correspondientes, a fin de proveer a  este Organismo los bienes y/o servicios que se detallan en Nota  de Pedido N° 556 / 2022,  afectando la erogación resultante a los créditos presupuestarios aprobados a favor de esta Unidad Ejecutora, conforme al siguiente detalle: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</si>
</sst>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I16" sqref="I16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150</v>
      </c>
      <c r="H10" s="82">
        <v>6500.0</v>
      </c>
      <c r="I10" s="82">
        <v>975000.0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22</v>
      </c>
      <c r="G11" s="81">
        <v>390</v>
      </c>
      <c r="H11" s="82">
        <v>10000.0</v>
      </c>
      <c r="I11" s="82">
        <v>3900000.0</v>
      </c>
      <c r="J11" s="80"/>
    </row>
    <row r="12" spans="1:10" customHeight="1" ht="20.25">
      <c r="A12" s="79">
        <v>3</v>
      </c>
      <c r="B12" s="80" t="s">
        <v>25</v>
      </c>
      <c r="C12" s="80" t="s">
        <v>19</v>
      </c>
      <c r="D12" s="79" t="s">
        <v>20</v>
      </c>
      <c r="E12" s="80" t="s">
        <v>26</v>
      </c>
      <c r="F12" s="81" t="s">
        <v>27</v>
      </c>
      <c r="G12" s="81">
        <v>300</v>
      </c>
      <c r="H12" s="82">
        <v>12200.0</v>
      </c>
      <c r="I12" s="82">
        <v>3660000.0</v>
      </c>
      <c r="J12" s="80"/>
    </row>
    <row r="13" spans="1:10" customHeight="1" ht="20.25">
      <c r="A13" s="79">
        <v>4</v>
      </c>
      <c r="B13" s="80" t="s">
        <v>28</v>
      </c>
      <c r="C13" s="80" t="s">
        <v>19</v>
      </c>
      <c r="D13" s="79" t="s">
        <v>20</v>
      </c>
      <c r="E13" s="80" t="s">
        <v>29</v>
      </c>
      <c r="F13" s="81" t="s">
        <v>22</v>
      </c>
      <c r="G13" s="81">
        <v>100</v>
      </c>
      <c r="H13" s="82">
        <v>13000.0</v>
      </c>
      <c r="I13" s="82">
        <v>1300000.0</v>
      </c>
      <c r="J13" s="80"/>
    </row>
    <row r="14" spans="1:10" customHeight="1" ht="20.25">
      <c r="A14" s="79"/>
      <c r="B14" s="80"/>
      <c r="C14" s="80"/>
      <c r="D14" s="79"/>
      <c r="E14" s="80"/>
      <c r="F14" s="81"/>
      <c r="G14" s="81"/>
      <c r="H14" s="82"/>
      <c r="I14" s="82"/>
      <c r="J14" s="80"/>
    </row>
    <row r="15" spans="1:10" customHeight="1" ht="17.25" s="22" customFormat="1">
      <c r="A15" s="23"/>
      <c r="B15" s="27"/>
      <c r="C15" s="27"/>
      <c r="D15" s="23"/>
      <c r="E15" s="80"/>
      <c r="F15" s="23"/>
      <c r="G15" s="23"/>
      <c r="H15" s="24"/>
      <c r="I15" s="24"/>
      <c r="J15" s="80"/>
    </row>
    <row r="16" spans="1:10" customHeight="1" ht="13.5">
      <c r="C16" s="10" t="s">
        <v>30</v>
      </c>
      <c r="H16" s="25" t="s">
        <v>31</v>
      </c>
      <c r="I16" s="26">
        <f>SUM(I10:I15)</f>
        <v>9835000</v>
      </c>
      <c r="J16" s="10"/>
    </row>
    <row r="17" spans="1:10" customHeight="1" ht="15">
      <c r="B17" s="11"/>
      <c r="C17" s="12"/>
      <c r="D17" s="12"/>
      <c r="E17" s="13"/>
      <c r="F17" s="9"/>
    </row>
    <row r="18" spans="1:10" customHeight="1" ht="15">
      <c r="B18" s="87" t="s">
        <v>32</v>
      </c>
      <c r="C18" s="88"/>
      <c r="D18" s="88"/>
      <c r="E18" s="89"/>
    </row>
    <row r="19" spans="1:10" customHeight="1" ht="128.25">
      <c r="B19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19" s="94"/>
      <c r="D19" s="94"/>
      <c r="E19" s="95"/>
    </row>
    <row r="20" spans="1:10" customHeight="1" ht="16.5">
      <c r="B20" s="87" t="s">
        <v>34</v>
      </c>
      <c r="C20" s="88"/>
      <c r="D20" s="88"/>
      <c r="E20" s="89"/>
    </row>
    <row r="21" spans="1:10" customHeight="1" ht="15">
      <c r="B21" s="90" t="s">
        <v>35</v>
      </c>
      <c r="C21" s="91"/>
      <c r="D21" s="91"/>
      <c r="E21" s="92"/>
    </row>
    <row r="22" spans="1:10" customHeight="1" ht="15">
      <c r="B22" s="87" t="s">
        <v>36</v>
      </c>
      <c r="C22" s="88"/>
      <c r="D22" s="88"/>
      <c r="E22" s="89"/>
    </row>
    <row r="23" spans="1:10" customHeight="1" ht="15">
      <c r="B23" s="90" t="s">
        <v>37</v>
      </c>
      <c r="C23" s="91"/>
      <c r="D23" s="91"/>
      <c r="E23" s="92"/>
    </row>
    <row r="24" spans="1:10" customHeight="1" ht="15">
      <c r="B24" s="87" t="s">
        <v>38</v>
      </c>
      <c r="C24" s="88"/>
      <c r="D24" s="88"/>
      <c r="E24" s="89"/>
    </row>
    <row r="25" spans="1:10" customHeight="1" ht="31.5">
      <c r="B25" s="84" t="s">
        <v>39</v>
      </c>
      <c r="C25" s="85"/>
      <c r="D25" s="85"/>
      <c r="E25" s="86"/>
    </row>
    <row r="26" spans="1:10" customHeight="1" ht="12.75">
      <c r="C26" s="2"/>
      <c r="D26" s="2"/>
      <c r="E26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23:E23"/>
    <mergeCell ref="A4:B4"/>
    <mergeCell ref="A5:B5"/>
    <mergeCell ref="A6:B6"/>
    <mergeCell ref="A7:B7"/>
    <mergeCell ref="B25:E25"/>
    <mergeCell ref="B18:E18"/>
    <mergeCell ref="B20:E20"/>
    <mergeCell ref="B22:E22"/>
    <mergeCell ref="B24:E24"/>
    <mergeCell ref="B21:E21"/>
    <mergeCell ref="B19:E19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40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41</v>
      </c>
      <c r="G2" s="41" t="s">
        <v>42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43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45</v>
      </c>
      <c r="B6" s="128"/>
      <c r="C6" s="112" t="s">
        <v>46</v>
      </c>
      <c r="D6" s="113"/>
      <c r="E6" s="113"/>
      <c r="F6" s="113"/>
      <c r="G6" s="114"/>
    </row>
    <row r="7" spans="1:7" customHeight="1" ht="32.25">
      <c r="A7" s="127" t="s">
        <v>47</v>
      </c>
      <c r="B7" s="128"/>
      <c r="C7" s="112" t="s">
        <v>46</v>
      </c>
      <c r="D7" s="113"/>
      <c r="E7" s="113"/>
      <c r="F7" s="113"/>
      <c r="G7" s="114"/>
    </row>
    <row r="8" spans="1:7" customHeight="1" ht="16.5">
      <c r="A8" s="127" t="s">
        <v>48</v>
      </c>
      <c r="B8" s="128"/>
      <c r="C8" s="112" t="s">
        <v>49</v>
      </c>
      <c r="D8" s="113"/>
      <c r="E8" s="113"/>
      <c r="F8" s="113"/>
      <c r="G8" s="114"/>
    </row>
    <row r="9" spans="1:7" customHeight="1" ht="27.75">
      <c r="A9" s="117" t="s">
        <v>50</v>
      </c>
      <c r="B9" s="118"/>
      <c r="C9" s="124" t="s">
        <v>51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52</v>
      </c>
      <c r="B11" s="131" t="s">
        <v>53</v>
      </c>
      <c r="C11" s="119" t="s">
        <v>54</v>
      </c>
      <c r="D11" s="135" t="s">
        <v>55</v>
      </c>
      <c r="E11" s="135" t="s">
        <v>56</v>
      </c>
      <c r="F11" s="135" t="s">
        <v>57</v>
      </c>
      <c r="G11" s="135" t="s">
        <v>58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23</v>
      </c>
      <c r="C13" s="35" t="s">
        <v>24</v>
      </c>
      <c r="D13" s="31" t="s">
        <v>59</v>
      </c>
      <c r="E13" s="31" t="s">
        <v>22</v>
      </c>
      <c r="F13" s="32">
        <v>12100.0</v>
      </c>
      <c r="G13" s="33">
        <v>90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60</v>
      </c>
      <c r="B16" s="123"/>
      <c r="C16" s="133" t="s">
        <v>61</v>
      </c>
      <c r="D16" s="133"/>
      <c r="E16" s="134"/>
      <c r="F16" s="121">
        <f>SUMPRODUCT(F13:F15,G13:G15)</f>
        <v>1089000</v>
      </c>
      <c r="G16" s="121"/>
    </row>
    <row r="20" spans="1:7" customHeight="1" ht="13.5"/>
    <row r="21" spans="1:7" customHeight="1" ht="15.75">
      <c r="A21" s="46"/>
      <c r="B21" s="115" t="s">
        <v>62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63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64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45</v>
      </c>
      <c r="B6" s="165"/>
      <c r="C6" s="165"/>
      <c r="D6" s="165"/>
      <c r="E6" s="165"/>
      <c r="F6" s="166"/>
      <c r="G6" s="163" t="s">
        <v>46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47</v>
      </c>
      <c r="B7" s="165"/>
      <c r="C7" s="165"/>
      <c r="D7" s="165"/>
      <c r="E7" s="165"/>
      <c r="F7" s="166"/>
      <c r="G7" s="170" t="s">
        <v>46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65</v>
      </c>
      <c r="B8" s="139"/>
      <c r="C8" s="139" t="s">
        <v>49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66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67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68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69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70</v>
      </c>
      <c r="P13" s="149"/>
      <c r="Q13" s="152" t="s">
        <v>71</v>
      </c>
    </row>
    <row r="14" spans="1:17" customHeight="1" ht="15.75">
      <c r="A14" s="66" t="s">
        <v>72</v>
      </c>
      <c r="B14" s="66" t="s">
        <v>73</v>
      </c>
      <c r="C14" s="66" t="s">
        <v>74</v>
      </c>
      <c r="D14" s="66" t="s">
        <v>75</v>
      </c>
      <c r="E14" s="66" t="s">
        <v>76</v>
      </c>
      <c r="F14" s="66" t="s">
        <v>77</v>
      </c>
      <c r="G14" s="67" t="s">
        <v>78</v>
      </c>
      <c r="H14" s="66" t="s">
        <v>79</v>
      </c>
      <c r="I14" s="66" t="s">
        <v>80</v>
      </c>
      <c r="J14" s="66" t="s">
        <v>81</v>
      </c>
      <c r="K14" s="66" t="s">
        <v>81</v>
      </c>
      <c r="L14" s="66" t="s">
        <v>82</v>
      </c>
      <c r="M14" s="66" t="s">
        <v>83</v>
      </c>
      <c r="N14" s="66" t="s">
        <v>84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1</v>
      </c>
      <c r="K15" s="69">
        <v>1</v>
      </c>
      <c r="L15" s="69">
        <v>0</v>
      </c>
      <c r="M15" s="70">
        <v>1</v>
      </c>
      <c r="N15" s="83">
        <v>11</v>
      </c>
      <c r="O15" s="78" t="s">
        <v>85</v>
      </c>
      <c r="P15" s="77"/>
      <c r="Q15" s="71">
        <v>1089000.0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86</v>
      </c>
      <c r="B18" s="155"/>
      <c r="C18" s="156" t="s">
        <v>61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1089000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87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51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88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4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40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41</v>
      </c>
      <c r="G2" s="41" t="s">
        <v>89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43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45</v>
      </c>
      <c r="B6" s="128"/>
      <c r="C6" s="112" t="s">
        <v>90</v>
      </c>
      <c r="D6" s="113"/>
      <c r="E6" s="113"/>
      <c r="F6" s="113"/>
      <c r="G6" s="114"/>
    </row>
    <row r="7" spans="1:7" customHeight="1" ht="32.25">
      <c r="A7" s="127" t="s">
        <v>47</v>
      </c>
      <c r="B7" s="128"/>
      <c r="C7" s="112" t="s">
        <v>90</v>
      </c>
      <c r="D7" s="113"/>
      <c r="E7" s="113"/>
      <c r="F7" s="113"/>
      <c r="G7" s="114"/>
    </row>
    <row r="8" spans="1:7" customHeight="1" ht="16.5">
      <c r="A8" s="127" t="s">
        <v>48</v>
      </c>
      <c r="B8" s="128"/>
      <c r="C8" s="112" t="s">
        <v>49</v>
      </c>
      <c r="D8" s="113"/>
      <c r="E8" s="113"/>
      <c r="F8" s="113"/>
      <c r="G8" s="114"/>
    </row>
    <row r="9" spans="1:7" customHeight="1" ht="27.75">
      <c r="A9" s="117" t="s">
        <v>50</v>
      </c>
      <c r="B9" s="118"/>
      <c r="C9" s="124" t="s">
        <v>91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52</v>
      </c>
      <c r="B11" s="131" t="s">
        <v>53</v>
      </c>
      <c r="C11" s="119" t="s">
        <v>54</v>
      </c>
      <c r="D11" s="135" t="s">
        <v>55</v>
      </c>
      <c r="E11" s="135" t="s">
        <v>56</v>
      </c>
      <c r="F11" s="135" t="s">
        <v>57</v>
      </c>
      <c r="G11" s="135" t="s">
        <v>58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28</v>
      </c>
      <c r="C13" s="35" t="s">
        <v>29</v>
      </c>
      <c r="D13" s="31" t="s">
        <v>59</v>
      </c>
      <c r="E13" s="31" t="s">
        <v>22</v>
      </c>
      <c r="F13" s="32">
        <v>13000.0</v>
      </c>
      <c r="G13" s="33">
        <v>100</v>
      </c>
    </row>
    <row r="14" spans="1:7" customHeight="1" ht="15">
      <c r="A14" s="44">
        <v>2</v>
      </c>
      <c r="B14" s="34" t="s">
        <v>18</v>
      </c>
      <c r="C14" s="35" t="s">
        <v>21</v>
      </c>
      <c r="D14" s="31" t="s">
        <v>59</v>
      </c>
      <c r="E14" s="31" t="s">
        <v>22</v>
      </c>
      <c r="F14" s="32">
        <v>6500.0</v>
      </c>
      <c r="G14" s="33">
        <v>150</v>
      </c>
    </row>
    <row r="15" spans="1:7" customHeight="1" ht="15">
      <c r="A15" s="44"/>
      <c r="B15" s="34"/>
      <c r="C15" s="35"/>
      <c r="D15" s="31"/>
      <c r="E15" s="31"/>
      <c r="F15" s="32"/>
      <c r="G15" s="33"/>
    </row>
    <row r="16" spans="1:7" customHeight="1" ht="15.75">
      <c r="A16" s="45"/>
      <c r="B16" s="36"/>
      <c r="C16" s="37"/>
      <c r="D16" s="28"/>
      <c r="E16" s="28"/>
      <c r="F16" s="29"/>
      <c r="G16" s="30"/>
    </row>
    <row r="17" spans="1:7" customHeight="1" ht="20.25">
      <c r="A17" s="122" t="s">
        <v>60</v>
      </c>
      <c r="B17" s="123"/>
      <c r="C17" s="133" t="s">
        <v>92</v>
      </c>
      <c r="D17" s="133"/>
      <c r="E17" s="134"/>
      <c r="F17" s="121">
        <f>SUMPRODUCT(F13:F16,G13:G16)</f>
        <v>2275000</v>
      </c>
      <c r="G17" s="121"/>
    </row>
    <row r="21" spans="1:7" customHeight="1" ht="13.5"/>
    <row r="22" spans="1:7" customHeight="1" ht="15.75">
      <c r="A22" s="46"/>
      <c r="B22" s="115" t="s">
        <v>62</v>
      </c>
      <c r="C22" s="115"/>
      <c r="D22" s="116"/>
    </row>
    <row r="23" spans="1:7" customHeight="1" ht="18.75">
      <c r="A23" s="47"/>
      <c r="B23" s="48"/>
      <c r="C23" s="49"/>
      <c r="D23" s="50"/>
    </row>
    <row r="24" spans="1:7" customHeight="1" ht="18.75">
      <c r="A24" s="51"/>
      <c r="B24" s="52"/>
      <c r="C24" s="53"/>
      <c r="D24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7:B17"/>
    <mergeCell ref="C9:G9"/>
    <mergeCell ref="A8:B8"/>
    <mergeCell ref="A11:A12"/>
    <mergeCell ref="B11:B12"/>
    <mergeCell ref="C17:E17"/>
    <mergeCell ref="F11:F12"/>
    <mergeCell ref="G11:G12"/>
    <mergeCell ref="E11:E12"/>
    <mergeCell ref="A1:G1"/>
    <mergeCell ref="C4:G4"/>
    <mergeCell ref="C5:G5"/>
    <mergeCell ref="C6:G6"/>
    <mergeCell ref="C7:G7"/>
    <mergeCell ref="B22:D22"/>
    <mergeCell ref="C8:G8"/>
    <mergeCell ref="A9:B9"/>
    <mergeCell ref="C11:C12"/>
    <mergeCell ref="F17:G17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63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64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45</v>
      </c>
      <c r="B6" s="165"/>
      <c r="C6" s="165"/>
      <c r="D6" s="165"/>
      <c r="E6" s="165"/>
      <c r="F6" s="166"/>
      <c r="G6" s="163" t="s">
        <v>90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47</v>
      </c>
      <c r="B7" s="165"/>
      <c r="C7" s="165"/>
      <c r="D7" s="165"/>
      <c r="E7" s="165"/>
      <c r="F7" s="166"/>
      <c r="G7" s="170" t="s">
        <v>90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65</v>
      </c>
      <c r="B8" s="139"/>
      <c r="C8" s="139" t="s">
        <v>49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66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93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68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69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70</v>
      </c>
      <c r="P13" s="149"/>
      <c r="Q13" s="152" t="s">
        <v>71</v>
      </c>
    </row>
    <row r="14" spans="1:17" customHeight="1" ht="15.75">
      <c r="A14" s="66" t="s">
        <v>72</v>
      </c>
      <c r="B14" s="66" t="s">
        <v>73</v>
      </c>
      <c r="C14" s="66" t="s">
        <v>74</v>
      </c>
      <c r="D14" s="66" t="s">
        <v>75</v>
      </c>
      <c r="E14" s="66" t="s">
        <v>76</v>
      </c>
      <c r="F14" s="66" t="s">
        <v>77</v>
      </c>
      <c r="G14" s="67" t="s">
        <v>78</v>
      </c>
      <c r="H14" s="66" t="s">
        <v>79</v>
      </c>
      <c r="I14" s="66" t="s">
        <v>80</v>
      </c>
      <c r="J14" s="66" t="s">
        <v>81</v>
      </c>
      <c r="K14" s="66" t="s">
        <v>81</v>
      </c>
      <c r="L14" s="66" t="s">
        <v>82</v>
      </c>
      <c r="M14" s="66" t="s">
        <v>83</v>
      </c>
      <c r="N14" s="66" t="s">
        <v>84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1</v>
      </c>
      <c r="K15" s="69">
        <v>1</v>
      </c>
      <c r="L15" s="69">
        <v>0</v>
      </c>
      <c r="M15" s="70">
        <v>1</v>
      </c>
      <c r="N15" s="83">
        <v>11</v>
      </c>
      <c r="O15" s="78" t="s">
        <v>85</v>
      </c>
      <c r="P15" s="77"/>
      <c r="Q15" s="71">
        <v>2275000.0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86</v>
      </c>
      <c r="B18" s="155"/>
      <c r="C18" s="156" t="s">
        <v>92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2275000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87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91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88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40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41</v>
      </c>
      <c r="G2" s="41" t="s">
        <v>94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43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45</v>
      </c>
      <c r="B6" s="128"/>
      <c r="C6" s="112" t="s">
        <v>95</v>
      </c>
      <c r="D6" s="113"/>
      <c r="E6" s="113"/>
      <c r="F6" s="113"/>
      <c r="G6" s="114"/>
    </row>
    <row r="7" spans="1:7" customHeight="1" ht="32.25">
      <c r="A7" s="127" t="s">
        <v>47</v>
      </c>
      <c r="B7" s="128"/>
      <c r="C7" s="112" t="s">
        <v>95</v>
      </c>
      <c r="D7" s="113"/>
      <c r="E7" s="113"/>
      <c r="F7" s="113"/>
      <c r="G7" s="114"/>
    </row>
    <row r="8" spans="1:7" customHeight="1" ht="16.5">
      <c r="A8" s="127" t="s">
        <v>48</v>
      </c>
      <c r="B8" s="128"/>
      <c r="C8" s="112" t="s">
        <v>49</v>
      </c>
      <c r="D8" s="113"/>
      <c r="E8" s="113"/>
      <c r="F8" s="113"/>
      <c r="G8" s="114"/>
    </row>
    <row r="9" spans="1:7" customHeight="1" ht="27.75">
      <c r="A9" s="117" t="s">
        <v>50</v>
      </c>
      <c r="B9" s="118"/>
      <c r="C9" s="124" t="s">
        <v>91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52</v>
      </c>
      <c r="B11" s="131" t="s">
        <v>53</v>
      </c>
      <c r="C11" s="119" t="s">
        <v>54</v>
      </c>
      <c r="D11" s="135" t="s">
        <v>55</v>
      </c>
      <c r="E11" s="135" t="s">
        <v>56</v>
      </c>
      <c r="F11" s="135" t="s">
        <v>57</v>
      </c>
      <c r="G11" s="135" t="s">
        <v>58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23</v>
      </c>
      <c r="C13" s="35" t="s">
        <v>24</v>
      </c>
      <c r="D13" s="31" t="s">
        <v>59</v>
      </c>
      <c r="E13" s="31" t="s">
        <v>22</v>
      </c>
      <c r="F13" s="32">
        <v>10000.0</v>
      </c>
      <c r="G13" s="33">
        <v>300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60</v>
      </c>
      <c r="B16" s="123"/>
      <c r="C16" s="133" t="s">
        <v>96</v>
      </c>
      <c r="D16" s="133"/>
      <c r="E16" s="134"/>
      <c r="F16" s="121">
        <f>SUMPRODUCT(F13:F15,G13:G15)</f>
        <v>3000000</v>
      </c>
      <c r="G16" s="121"/>
    </row>
    <row r="20" spans="1:7" customHeight="1" ht="13.5"/>
    <row r="21" spans="1:7" customHeight="1" ht="15.75">
      <c r="A21" s="46"/>
      <c r="B21" s="115" t="s">
        <v>62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63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64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45</v>
      </c>
      <c r="B6" s="165"/>
      <c r="C6" s="165"/>
      <c r="D6" s="165"/>
      <c r="E6" s="165"/>
      <c r="F6" s="166"/>
      <c r="G6" s="163" t="s">
        <v>95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47</v>
      </c>
      <c r="B7" s="165"/>
      <c r="C7" s="165"/>
      <c r="D7" s="165"/>
      <c r="E7" s="165"/>
      <c r="F7" s="166"/>
      <c r="G7" s="170" t="s">
        <v>95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65</v>
      </c>
      <c r="B8" s="139"/>
      <c r="C8" s="139" t="s">
        <v>49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66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97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68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69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70</v>
      </c>
      <c r="P13" s="149"/>
      <c r="Q13" s="152" t="s">
        <v>71</v>
      </c>
    </row>
    <row r="14" spans="1:17" customHeight="1" ht="15.75">
      <c r="A14" s="66" t="s">
        <v>72</v>
      </c>
      <c r="B14" s="66" t="s">
        <v>73</v>
      </c>
      <c r="C14" s="66" t="s">
        <v>74</v>
      </c>
      <c r="D14" s="66" t="s">
        <v>75</v>
      </c>
      <c r="E14" s="66" t="s">
        <v>76</v>
      </c>
      <c r="F14" s="66" t="s">
        <v>77</v>
      </c>
      <c r="G14" s="67" t="s">
        <v>78</v>
      </c>
      <c r="H14" s="66" t="s">
        <v>79</v>
      </c>
      <c r="I14" s="66" t="s">
        <v>80</v>
      </c>
      <c r="J14" s="66" t="s">
        <v>81</v>
      </c>
      <c r="K14" s="66" t="s">
        <v>81</v>
      </c>
      <c r="L14" s="66" t="s">
        <v>82</v>
      </c>
      <c r="M14" s="66" t="s">
        <v>83</v>
      </c>
      <c r="N14" s="66" t="s">
        <v>84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1</v>
      </c>
      <c r="K15" s="69">
        <v>1</v>
      </c>
      <c r="L15" s="69">
        <v>0</v>
      </c>
      <c r="M15" s="70">
        <v>1</v>
      </c>
      <c r="N15" s="83">
        <v>11</v>
      </c>
      <c r="O15" s="78" t="s">
        <v>85</v>
      </c>
      <c r="P15" s="77"/>
      <c r="Q15" s="71">
        <v>3000000.0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86</v>
      </c>
      <c r="B18" s="155"/>
      <c r="C18" s="156" t="s">
        <v>96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3000000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87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91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88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40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41</v>
      </c>
      <c r="G2" s="41" t="s">
        <v>98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43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45</v>
      </c>
      <c r="B6" s="128"/>
      <c r="C6" s="112" t="s">
        <v>99</v>
      </c>
      <c r="D6" s="113"/>
      <c r="E6" s="113"/>
      <c r="F6" s="113"/>
      <c r="G6" s="114"/>
    </row>
    <row r="7" spans="1:7" customHeight="1" ht="32.25">
      <c r="A7" s="127" t="s">
        <v>47</v>
      </c>
      <c r="B7" s="128"/>
      <c r="C7" s="112" t="s">
        <v>99</v>
      </c>
      <c r="D7" s="113"/>
      <c r="E7" s="113"/>
      <c r="F7" s="113"/>
      <c r="G7" s="114"/>
    </row>
    <row r="8" spans="1:7" customHeight="1" ht="16.5">
      <c r="A8" s="127" t="s">
        <v>48</v>
      </c>
      <c r="B8" s="128"/>
      <c r="C8" s="112" t="s">
        <v>49</v>
      </c>
      <c r="D8" s="113"/>
      <c r="E8" s="113"/>
      <c r="F8" s="113"/>
      <c r="G8" s="114"/>
    </row>
    <row r="9" spans="1:7" customHeight="1" ht="27.75">
      <c r="A9" s="117" t="s">
        <v>50</v>
      </c>
      <c r="B9" s="118"/>
      <c r="C9" s="124" t="s">
        <v>100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52</v>
      </c>
      <c r="B11" s="131" t="s">
        <v>53</v>
      </c>
      <c r="C11" s="119" t="s">
        <v>54</v>
      </c>
      <c r="D11" s="135" t="s">
        <v>55</v>
      </c>
      <c r="E11" s="135" t="s">
        <v>56</v>
      </c>
      <c r="F11" s="135" t="s">
        <v>57</v>
      </c>
      <c r="G11" s="135" t="s">
        <v>58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25</v>
      </c>
      <c r="C13" s="35" t="s">
        <v>26</v>
      </c>
      <c r="D13" s="31" t="s">
        <v>59</v>
      </c>
      <c r="E13" s="31" t="s">
        <v>27</v>
      </c>
      <c r="F13" s="32">
        <v>12200.0</v>
      </c>
      <c r="G13" s="33">
        <v>300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60</v>
      </c>
      <c r="B16" s="123"/>
      <c r="C16" s="133" t="s">
        <v>101</v>
      </c>
      <c r="D16" s="133"/>
      <c r="E16" s="134"/>
      <c r="F16" s="121">
        <f>SUMPRODUCT(F13:F15,G13:G15)</f>
        <v>3660000</v>
      </c>
      <c r="G16" s="121"/>
    </row>
    <row r="20" spans="1:7" customHeight="1" ht="13.5"/>
    <row r="21" spans="1:7" customHeight="1" ht="15.75">
      <c r="A21" s="46"/>
      <c r="B21" s="115" t="s">
        <v>62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63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64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45</v>
      </c>
      <c r="B6" s="165"/>
      <c r="C6" s="165"/>
      <c r="D6" s="165"/>
      <c r="E6" s="165"/>
      <c r="F6" s="166"/>
      <c r="G6" s="163" t="s">
        <v>99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47</v>
      </c>
      <c r="B7" s="165"/>
      <c r="C7" s="165"/>
      <c r="D7" s="165"/>
      <c r="E7" s="165"/>
      <c r="F7" s="166"/>
      <c r="G7" s="170" t="s">
        <v>99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65</v>
      </c>
      <c r="B8" s="139"/>
      <c r="C8" s="139" t="s">
        <v>49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66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102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68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69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70</v>
      </c>
      <c r="P13" s="149"/>
      <c r="Q13" s="152" t="s">
        <v>71</v>
      </c>
    </row>
    <row r="14" spans="1:17" customHeight="1" ht="15.75">
      <c r="A14" s="66" t="s">
        <v>72</v>
      </c>
      <c r="B14" s="66" t="s">
        <v>73</v>
      </c>
      <c r="C14" s="66" t="s">
        <v>74</v>
      </c>
      <c r="D14" s="66" t="s">
        <v>75</v>
      </c>
      <c r="E14" s="66" t="s">
        <v>76</v>
      </c>
      <c r="F14" s="66" t="s">
        <v>77</v>
      </c>
      <c r="G14" s="67" t="s">
        <v>78</v>
      </c>
      <c r="H14" s="66" t="s">
        <v>79</v>
      </c>
      <c r="I14" s="66" t="s">
        <v>80</v>
      </c>
      <c r="J14" s="66" t="s">
        <v>81</v>
      </c>
      <c r="K14" s="66" t="s">
        <v>81</v>
      </c>
      <c r="L14" s="66" t="s">
        <v>82</v>
      </c>
      <c r="M14" s="66" t="s">
        <v>83</v>
      </c>
      <c r="N14" s="66" t="s">
        <v>84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1</v>
      </c>
      <c r="K15" s="69">
        <v>1</v>
      </c>
      <c r="L15" s="69">
        <v>0</v>
      </c>
      <c r="M15" s="70">
        <v>1</v>
      </c>
      <c r="N15" s="83">
        <v>11</v>
      </c>
      <c r="O15" s="78" t="s">
        <v>85</v>
      </c>
      <c r="P15" s="77"/>
      <c r="Q15" s="71">
        <v>3660000.0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86</v>
      </c>
      <c r="B18" s="155"/>
      <c r="C18" s="156" t="s">
        <v>101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3660000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87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100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88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Necesidades Trimestrales</vt:lpstr>
      <vt:lpstr>Nota Pedido DA#MP</vt:lpstr>
      <vt:lpstr>APG DA#MP</vt:lpstr>
      <vt:lpstr>Nota Pedido DA#HNEP</vt:lpstr>
      <vt:lpstr>APG DA#HNEP</vt:lpstr>
      <vt:lpstr>Nota Pedido SPP</vt:lpstr>
      <vt:lpstr>APG SPP</vt:lpstr>
      <vt:lpstr>Nota Pedido DA#PC</vt:lpstr>
      <vt:lpstr>APG DA#PC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