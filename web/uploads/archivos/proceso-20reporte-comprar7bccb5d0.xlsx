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C295059-121C-4453-A9AC-F214DCB2F4B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4" i="2" l="1"/>
  <c r="M44" i="2"/>
  <c r="Q44" i="2"/>
  <c r="U44" i="2"/>
  <c r="Y44" i="2"/>
  <c r="AC44" i="2"/>
  <c r="AG44" i="2"/>
  <c r="AK44" i="2"/>
  <c r="AO44" i="2"/>
  <c r="AS44" i="2"/>
</calcChain>
</file>

<file path=xl/sharedStrings.xml><?xml version="1.0" encoding="utf-8"?>
<sst xmlns="http://schemas.openxmlformats.org/spreadsheetml/2006/main" count="325" uniqueCount="201">
  <si>
    <t>Número expediente:</t>
  </si>
  <si>
    <t>EX-2021-01907733-   -CAT-DPCBS#MHP</t>
  </si>
  <si>
    <t>Número proceso de compra:</t>
  </si>
  <si>
    <t>100-0070-CPR21</t>
  </si>
  <si>
    <t>Nombre descriptivo proceso de compra:</t>
  </si>
  <si>
    <t>ACUERDO MARCO-ADQUISICIÓN DE NUTRICIÓN Y SOLUCIONES DESTINADAS A INSTITUCIONES SANITARIAS DE LA PROV</t>
  </si>
  <si>
    <t>Unidad Operativa de Compras:</t>
  </si>
  <si>
    <t>Secretaria de Compras y Abastecimiento</t>
  </si>
  <si>
    <t>Fecha de Apertura:</t>
  </si>
  <si>
    <t>08/03/2022</t>
  </si>
  <si>
    <t>Renglón</t>
  </si>
  <si>
    <t xml:space="preserve">DROGUERIA PLAZA OÑA SA </t>
  </si>
  <si>
    <t>MEDICINA INTEGRAL SRL</t>
  </si>
  <si>
    <t>DROGUERIA PHARMA CENTER S.R.L</t>
  </si>
  <si>
    <t>Leonardo STARICCO MULLER</t>
  </si>
  <si>
    <t>NORGREEN S.A.</t>
  </si>
  <si>
    <t>ANA GABRIELA CORDOBA</t>
  </si>
  <si>
    <t>LABORATORIOS JAYOR S.R.L</t>
  </si>
  <si>
    <t>PRODUMED SRL</t>
  </si>
  <si>
    <t>NOROESTE NUTRICION SRL</t>
  </si>
  <si>
    <t>PROPATO HNOS. S.A.I.C.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</si>
  <si>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</si>
  <si>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</si>
  <si>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</si>
  <si>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</si>
  <si>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</si>
  <si>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</si>
  <si>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</si>
  <si>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</si>
  <si>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</si>
  <si>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</si>
  <si>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2.5.2-1726.10 </t>
  </si>
  <si>
    <t xml:space="preserve">SOLUCIONES P/MEDICINA; TIPO: AGUA P/IRRIGACION QUIRURGICA, PRESENTACION: SACHET X 2000 
mL </t>
  </si>
  <si>
    <t xml:space="preserve">UNIDAD </t>
  </si>
  <si>
    <t xml:space="preserve">AGUA DESTILADA DE IRRIGACION QUIRURGICA X 2000ML/ SACHET - HLB 
 </t>
  </si>
  <si>
    <t xml:space="preserve">sachet x 2000 ml. rigesin  cert 39080 </t>
  </si>
  <si>
    <t xml:space="preserve">De acuerdo a Pliego </t>
  </si>
  <si>
    <t xml:space="preserve">AGUA DESTILADA DE IRRIGACION QUIRURGICA X 2000 ML SACHET MARCA 
RIGECIN ANMAT 39080 </t>
  </si>
  <si>
    <t xml:space="preserve">2 </t>
  </si>
  <si>
    <t xml:space="preserve">2.5.2-1726.520 </t>
  </si>
  <si>
    <t xml:space="preserve">SOLUCIONES P/MEDICINA; TIPO: AGUA DESTILADA, PRESENTACION: AMPOLLA DE 10 ML 
</t>
  </si>
  <si>
    <t xml:space="preserve">AGUA DESTILADA EN AMPOLLAS x 10 ml MARCA RIGECIN ANMAT 
39080 </t>
  </si>
  <si>
    <t xml:space="preserve">Agua Destilada Ampolla x 10ml PEDIR POR CAJA CERRADA - 
NO FRACCIONAMOS Estéril, Apirogeno, Marca Norgreen  - Env. Convencional 
Aprobado por el M.S. ANMAT - Certificado N° 47440 Presentación: 
Caja x 100 Ampollas  </t>
  </si>
  <si>
    <t xml:space="preserve">AGUA DESTILADA EN AMPOLLAS x 10 ml  BRAUN 39386 
LAVIMAR </t>
  </si>
  <si>
    <t xml:space="preserve">3 </t>
  </si>
  <si>
    <t xml:space="preserve">2.5.2-1726.186 </t>
  </si>
  <si>
    <t xml:space="preserve">SOLUCIONES P/MEDICINA; TIPO: AGUA DESTILADA, PRESENTACION: ENVASE X 500 mL 
</t>
  </si>
  <si>
    <t xml:space="preserve">AGUA DESTILADA SACHET X 500 ML / SACHET - BRAUN 
</t>
  </si>
  <si>
    <t xml:space="preserve">sachet x 500 ml. rigesin cer 39080 </t>
  </si>
  <si>
    <t xml:space="preserve">AGUA DESTILADA INYECTABLE 500ml- Mca. Jayor - R.E.M.  58692 
• EN SISTEMA CERRADO-CUMPLE CON NORMA ANMAT:DISP.11857-E/2017 • ENVASE FLEXIBLE 
TOTALMENTE COLAPSABLE.  • DOBLE PUERTO C/ TAPON AUTOSELLABLE LIBRE 
DE LATEX. • LIBRE DE P.V.C. Y D.E.H.P. • PROCESO 
DE ELABORACIÓN TOTALMENTE ASÉPTICO. </t>
  </si>
  <si>
    <t xml:space="preserve">4 </t>
  </si>
  <si>
    <t xml:space="preserve">2.5.2-2183.7 </t>
  </si>
  <si>
    <t xml:space="preserve">EXPANSORES PLASMATICOS; PRINCIPIO ACTIVO: ALBUMINA HUMANA, CONCENTRACION: 20 %, PRESENTACION: 
50ML </t>
  </si>
  <si>
    <t xml:space="preserve">ALBUMINA 20% X 50ML FRASCO - UNC  </t>
  </si>
  <si>
    <t xml:space="preserve">albumina 20% . bhering cert 35385 </t>
  </si>
  <si>
    <t xml:space="preserve">ALBUMINA 20% X 50 ML FRASCO  CSL 40876 VARIFARMA 
</t>
  </si>
  <si>
    <t xml:space="preserve">5 </t>
  </si>
  <si>
    <t xml:space="preserve">2.5.2-1903.103 </t>
  </si>
  <si>
    <t xml:space="preserve">RECONSTITUYENTE GENERAL; DROGA GENERICA: ALIMENTO ENTERAL PARA SONDA FORTIFICADO CON 
FIBRAS, FORMA FARMACEUTICA: ENVASE, PRESENTACION: 1 L, TIPO: ASOCIACION </t>
  </si>
  <si>
    <t xml:space="preserve">ALIMENTACION ENTERAL LISTA PARA USAR FORTIFICADO CON FIBRAS, SIN TACC, 
SIN LACTOSA X 1000 ML TIPO YEVITY ABBOT NUTRICIA CERT 
48152 DISP 0472 </t>
  </si>
  <si>
    <t xml:space="preserve">FRESUBIN ORIGINAL FIBRA 1000 ML EB- LOTE DISPONIBLE A LA 
FECHA DE HOY CON VTO 31/01/2023 - STOCK MINIMO DISPONIBLE 
10% MARCA FRESENIUS KABI ANMAT RNPA 056-00-006269  </t>
  </si>
  <si>
    <t xml:space="preserve">6 </t>
  </si>
  <si>
    <t xml:space="preserve">2.5.2-1903.104 </t>
  </si>
  <si>
    <t xml:space="preserve">RECONSTITUYENTE GENERAL; DROGA GENERICA: ALIMENTO ENTERAL PARA SONDA BAJO INDICE 
GLUCEMICO, FORMA FARMACEUTICA: ENVASE, PRESENTACION: 1 L, TIPO: ASOCIACION </t>
  </si>
  <si>
    <t xml:space="preserve">ALIMENTACION ENTERAL LIQUIDA LISTA PA USAR SIN TACC, SIN LACTOSA 
PARA PERSONAS CON DBT 1Kcal/ ml X 1000 ML TIPO 
GLUCERNA ABBOT NUTRICA 40883 </t>
  </si>
  <si>
    <t xml:space="preserve">7 </t>
  </si>
  <si>
    <t xml:space="preserve">2.5.2-1903.105 </t>
  </si>
  <si>
    <t xml:space="preserve">RECONSTITUYENTE GENERAL; TIPO: ASOCIACION, DROGA GENERICA: ALIMENTO ENTERAL PARA SONDA 
BAJO INDICE GLUCEMICO, FORMA FARMACEUTICA: SOLUCION, PRESENTACION: ENVASE X 500 
CM3 </t>
  </si>
  <si>
    <t xml:space="preserve">DIBEN 500 ML AR - LOTE DISPONIBLE A LA FECHA 
CON VTO 30/11/2022 - STOCK MINIMO DISPONIBLE 10% - MARCA 
FRESENIUS KABI - ANMAT RNPA 056-00000701 </t>
  </si>
  <si>
    <t xml:space="preserve">8 </t>
  </si>
  <si>
    <t xml:space="preserve">2.1.1-4227.56 </t>
  </si>
  <si>
    <t xml:space="preserve">SUPLEMENTOS DIETARIOS; TIPO: ASOCIACION, DROGA GENERICA: S. PARENTERAL ADULTO 1501-2000 
ML, PRESENTACION: UNIDAD </t>
  </si>
  <si>
    <t xml:space="preserve">ALIMENTACION PARENTERAL TIPO OLI CLINOMEL / SMOFKABIVEN CENTRAL BOLSA DE 
1970 ML -  SMOFKABIVEN CENTRAL CON ELECTROLITOS 1970 ML 
- LOTE DISPONIBLE A LA FECHA CON VTO  31/07/2023 
- STOCK MINIMO DISPONIBLE 20% - MARCA FRESENIUS KABI ANMAT 
55902 ACLARACION: SE  COTIZAN (84) OCHENTA Y CUATRO UNIDADES 
DE ACUERDO AL ANEXO I DEL PLIEGO DE BASES Y 
CONDICONES, ITEM NRO (8) OCHO CANTIDAD (84) PRECIO UNITARIO $ 
11.198.00 SUB TOTAL $ 940.632.00  </t>
  </si>
  <si>
    <t xml:space="preserve">ESPECIFICACIONES TÉCNICAS: DISTRIBUCION 50%HIDRATOS DE CARBONO, 20 % PROTEINAS, 30 
% LIPIDOS, DISTRIBUCION STANDARD CALIDAD INYECTABLE, CON ELECTROLITICOS Y OLIGOELEMENTOS, 
AJUSTABLE PARA CADA PATOLOGIA PARTICULAR, SEGUN REQUERIMIENTO MEDICO INDIVIDUAL PARA 
EL PACIENTE. Se proveen las bolsas de Nutrición Parenteral y 
filtros 1,2 o 0,22 según corresponda MARCA: NOANUT - CERTIFICADO 
ANMAT 4387 </t>
  </si>
  <si>
    <t xml:space="preserve">9 </t>
  </si>
  <si>
    <t xml:space="preserve">2.1.1-4227.19 </t>
  </si>
  <si>
    <t xml:space="preserve">SUPLEMENTOS DIETARIOS; TIPO: ASOCIACION, DROGA GENERICA: S. PARENTERAL NEONATAL 0-500 
ML, PRESENTACION: UNIDAD, ACCESORIO: CON FILTRO </t>
  </si>
  <si>
    <t xml:space="preserve">ALIMNETACION PARENTERAL CON LIPIDOS PARA NEONATOS DE 0 A 500 
ML CON FILTRO - STOCK MINIMO DISPONIBLE 5% - MARCA 
FRESENIUS KABI - ANMAT 52596 </t>
  </si>
  <si>
    <t xml:space="preserve">ESPECIFICACIONES TÉCNICAS: DISTRIBUCION 50%HIDRATOS DE CARBONO, 20 % PROTEINAS, 30 
% LIPIDOS, DISTRIBUCION STANDARD CALIDAD INYECTABLE, CON ELECTROLITICOS Y OLIGOELEMENTOS, 
AJUSTABLE PARA CADA PATOLOGIA PARTICULAR, SEGUN REQUERIMIENTO MEDICO INDIVIDUAL PARA 
EL PACIENTE. Se proveen las bolsas de Nutrición Parenteral y 
filtros 1,2 o 0,22 según corresponda MARCA NOANUT- CERTIFICADO 4387 
</t>
  </si>
  <si>
    <t xml:space="preserve">10 </t>
  </si>
  <si>
    <t xml:space="preserve">2.5.2-1726.191 </t>
  </si>
  <si>
    <t xml:space="preserve">SOLUCIONES P/MEDICINA; TIPO: AMINOACIDOS 10%, PRESENTACION: ENVASE X 500 ML 
</t>
  </si>
  <si>
    <t xml:space="preserve">AMINOACIDO 10% X 500M/L FRASCO - BRAUN  </t>
  </si>
  <si>
    <t xml:space="preserve">aminoacido x 500 ml. tramixin ped. RIVERO cert 46069 </t>
  </si>
  <si>
    <t xml:space="preserve">CERTIFICADO ANMAT 56.366 LABORATORIO B.BRAUN  PRODUCTO: AMINOPLASMAL 10 % 
-500 ML </t>
  </si>
  <si>
    <t xml:space="preserve">11 </t>
  </si>
  <si>
    <t xml:space="preserve">2.5.2-1726.9 </t>
  </si>
  <si>
    <t xml:space="preserve">SOLUCIONES P/MEDICINA; TIPO: BICARBONATO 1 MOLAR, PRESENTACION: SACHET DE 100 
mL </t>
  </si>
  <si>
    <t xml:space="preserve">BICARBONATO MOLAR 1 SACHET X 100ML - HLB </t>
  </si>
  <si>
    <t xml:space="preserve">12 </t>
  </si>
  <si>
    <t xml:space="preserve">2.5.2-1726.305 </t>
  </si>
  <si>
    <t xml:space="preserve">SOLUCIONES P/MEDICINA; TIPO: CLORURO DE POTASIO 15 MEQ, PRESENTACION: AMPOLLA 
DE 5 mL </t>
  </si>
  <si>
    <t xml:space="preserve">CLORURO DE POTASIO 15 MEQ AMP X 5 ML - 
DRAWER </t>
  </si>
  <si>
    <t xml:space="preserve">drawer amp. cer 52245 </t>
  </si>
  <si>
    <t xml:space="preserve">Cloruro de Potasio 15mEq Ampolla x 5ml PEDIR POR CAJA 
CERRADA - NO FRACCIONAMOS Estéril, Apirogeno, Marca Norgreen  - 
Env. Convencional Aprobado por el M.S. ANMAT - Certificado N° 
48279 Presentación: Caja x 100 Ampollas  </t>
  </si>
  <si>
    <t xml:space="preserve">CLORURO DE POTASIO 15 mEq AMPOLLA x 5 ml  
FADA DRAWER LAVIMAR 39594 </t>
  </si>
  <si>
    <t xml:space="preserve">13 </t>
  </si>
  <si>
    <t xml:space="preserve">2.5.2-1726.519 </t>
  </si>
  <si>
    <t xml:space="preserve">SOLUCIONES P/MEDICINA; PRESENTACION: AMPOLLA X  20 ML, TIPO: CLORURO 
DE SODIO MOLAR AL 20 % </t>
  </si>
  <si>
    <t xml:space="preserve">CLORURO DE SODIO AL 20% AMP.- HLB </t>
  </si>
  <si>
    <t xml:space="preserve">OFERTA ALTERNATIVA!! Solución Hipertónica 20% de Cloruro de Sodio Ampolla 
x 10ml PEDIR POR CAJA CERRADA - NO FRACCIONAMOS Estéril, 
Apirogeno, Marca Norgreen  - Env. Convencional Aprobado por el 
M.S. ANMAT - Certificado N° 46874 Presentación: Caja x 100 
Ampollas  </t>
  </si>
  <si>
    <t xml:space="preserve">14 </t>
  </si>
  <si>
    <t xml:space="preserve">2.5.2-1726.382 </t>
  </si>
  <si>
    <t xml:space="preserve">SOLUCIONES P/MEDICINA; TIPO: CLORURO DE POTASIO MOLAR, PRESENTACION: ENVASE X 
100 mL </t>
  </si>
  <si>
    <t xml:space="preserve">Cloruro de Potasio Molar Sachet Flexible Sistema Cerrado x 100ml 
 PEDIR POR CAJA CERRADA - NO FRACCIONAMOS Estéril, Apirogeno, 
Marca Norgreen  - Env. Convencional Aprobado por el M.S. 
ANMAT - Certificado N° 48279 Presentación: Caja x 50 Sachet 
 </t>
  </si>
  <si>
    <t xml:space="preserve">15 </t>
  </si>
  <si>
    <t xml:space="preserve">2.5.2-2689.7 </t>
  </si>
  <si>
    <t xml:space="preserve">NORMALIZADORES DE CALCEMIA; TIPO: MONODROGA, DROGA GENERICA: GLUCONATO DE CALCIO 
10 %, FORMA FARMACEUTICA: AMPOLLA, PRESENTACION: ENVASE X 10 mL 
</t>
  </si>
  <si>
    <t xml:space="preserve">Gluconato de Calcio 10% Ampolla x 10ml PEDIR POR CAJA 
CERRADA - NO FRACCIONAMOS Estéril, Apirogeno, Marca Norgreen  - 
Env. Convencional Aprobado por el M.S. ANMAT - Certificado N° 
46925 Presentación: Caja x 100 Ampollas  </t>
  </si>
  <si>
    <t xml:space="preserve">16 </t>
  </si>
  <si>
    <t xml:space="preserve">2.5.2-1726.460 </t>
  </si>
  <si>
    <t xml:space="preserve">SOLUCIONES P/MEDICINA; TIPO: HEMODIALISIS ACIDA A, PRESENTACION: ENVASE X 10 
L </t>
  </si>
  <si>
    <t xml:space="preserve">sol a concentrado K-DIAL pm 1596-1 </t>
  </si>
  <si>
    <t xml:space="preserve">SOLUCION A CONCENTRADO ACIDO PARA HEMODIALISIS, FORMULA GLUCOSADOS Y NO 
GLUCOSADAS X 10 LITROS BIDON KDIAL  PM 1596-1 </t>
  </si>
  <si>
    <t xml:space="preserve">17 </t>
  </si>
  <si>
    <t xml:space="preserve">2.5.2-1726.449 </t>
  </si>
  <si>
    <t xml:space="preserve">SOLUCIONES P/MEDICINA; TIPO: HEMODIALISIS BASICO B, PRESENTACION: ENVASE X 10 
L </t>
  </si>
  <si>
    <t xml:space="preserve">solucion b concentrado K-dial pm 1596-1 </t>
  </si>
  <si>
    <t xml:space="preserve">SOLUCION B CONCENTRADO BASICO, FORMULA DE BICARBONATO EN SOLUCION X 
10 LITROS BIDON K DIAL PM 1596-1 </t>
  </si>
  <si>
    <t xml:space="preserve">18 </t>
  </si>
  <si>
    <t xml:space="preserve">2.5.2-1726.378 </t>
  </si>
  <si>
    <t xml:space="preserve">SOLUCIONES P/MEDICINA; TIPO: DEXTROSA AL 50 %, PRESENTACION: ENVASE X 
500 mL </t>
  </si>
  <si>
    <t xml:space="preserve">SOLUCION DEXTROSA 50%SACHET X 500ML MARCA RIGECIN ANMAT 39066 </t>
  </si>
  <si>
    <t xml:space="preserve">19 </t>
  </si>
  <si>
    <t xml:space="preserve">2.5.2-1726.464 </t>
  </si>
  <si>
    <t xml:space="preserve">SOLUCIONES P/MEDICINA; TIPO: DEXTROSA AL 10 %, PRESENTACION: ENVASE X 
250 mL </t>
  </si>
  <si>
    <t xml:space="preserve">20 </t>
  </si>
  <si>
    <t xml:space="preserve">2.5.2-1726.14 </t>
  </si>
  <si>
    <t xml:space="preserve">SOLUCIONES P/MEDICINA; PRESENTACION: SACHET X 500 mL, TIPO: DEXTROSA AL 
10 % </t>
  </si>
  <si>
    <t xml:space="preserve">SOLUCION DE DEXTROZA AL 10% SACHETX 500 ML - RIGECIN 
 </t>
  </si>
  <si>
    <t xml:space="preserve">Solucion de Dextrosa al 10% x 500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t>
  </si>
  <si>
    <t xml:space="preserve">21 </t>
  </si>
  <si>
    <t xml:space="preserve">2.5.2-1726.377 </t>
  </si>
  <si>
    <t xml:space="preserve">SOLUCIONES P/MEDICINA; TIPO: DEXTROSA AL 25 %, PRESENTACION: ENVASE X 
500 mL </t>
  </si>
  <si>
    <t xml:space="preserve">SOLUCION DEXTROSA AL 25% SACHET DE 500 ML MARCA RIGECIN 
ANMAT 39066 </t>
  </si>
  <si>
    <t xml:space="preserve">22 </t>
  </si>
  <si>
    <t xml:space="preserve">2.5.2-1726.24 </t>
  </si>
  <si>
    <t xml:space="preserve">SOLUCIONES P/MEDICINA; TIPO: DEXTROSA AL 5%, PRESENTACION: ENVASE X 500 
mL </t>
  </si>
  <si>
    <t xml:space="preserve">SOLUCION DE DEXTROZA AL 5% SACHET X 500 ECOFLAT DOBLE 
PUERTO - BRAUN  </t>
  </si>
  <si>
    <t xml:space="preserve">solucion dextrosa 5% x 500 ml. YAJOR cert 58128 </t>
  </si>
  <si>
    <t xml:space="preserve">SOLUCION DEXTROSA AL 5 % SACHET DE 500 ML SISTEMA 
CERRADO, DOBLE PUERTO DE INYECCION MARCA RIGECIN ANMAT 39066 </t>
  </si>
  <si>
    <t xml:space="preserve">Solucion de Dextrosa al 5% x 500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t>
  </si>
  <si>
    <t xml:space="preserve">23 </t>
  </si>
  <si>
    <t xml:space="preserve">2.5.2-1726.376 </t>
  </si>
  <si>
    <t xml:space="preserve">SOLUCIONES P/MEDICINA; TIPO: DEXTROSA AL 5%, PRESENTACION: ENVASE X 100 
mL </t>
  </si>
  <si>
    <t xml:space="preserve">Solución Dextrosa 5% Sachet Semirrigido Sistema Abierto x 100ml (VTO.10/2022 
- SIN CANJE) PEDIR POR CAJA CERRADA - NO FRACCIONAMOS 
Estéril, Apirogeno, Marca Norgreen  - Env. Convencional Aprobado por 
el M.S. ANMAT - Certificado N° 48230 Presentación: Caja x 
50 Sachet  </t>
  </si>
  <si>
    <t xml:space="preserve">Solucion de Dextrosa al 5% x 100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t>
  </si>
  <si>
    <t xml:space="preserve">24 </t>
  </si>
  <si>
    <t xml:space="preserve">2.5.2-1726.17 </t>
  </si>
  <si>
    <t xml:space="preserve">SOLUCIONES P/MEDICINA; TIPO: FISIOLOGICA CLORURO DE SODIO, PRESENTACION: 500 CM3 
</t>
  </si>
  <si>
    <t xml:space="preserve">SOLUCION FISIOLOGICA 0.9% SACHET X 500 ML SISTEMA CERRADO DOBLE 
PUERTO ECOFLAT - BRAUN  </t>
  </si>
  <si>
    <t xml:space="preserve">solucion fisiologica 0.9% x 500 ml. JAYOR cer 58129 </t>
  </si>
  <si>
    <t xml:space="preserve">SOLUCION FISIOLOGICA 0,9 % SACHET X 500 ML SISTEMA CERRADO 
DOBLE PUERTO DE INYECCION marca BINA ANMAT 59243 </t>
  </si>
  <si>
    <t xml:space="preserve">Solucion Fisiologica 0,9% x 500 ml - Mca. Jayor - 
R.E.M. 58129  • EN SISTEMA CERRADO-CUMPLE CON NORMA ANMAT:DISP.11857-E/2017 
• ENVASE FLEXIBLE TOTALMENTE COLAPSABLE.  • DOBLE PUERTO C/ 
TAPON AUTOSELLABLE LIBRE DE LATEX. • LIBRE DE P.V.C. Y 
D.E.H.P. • PROCESO DE ELABORACIÓN TOTALMENTE ASÉPTICO. </t>
  </si>
  <si>
    <t xml:space="preserve">SOLUCION FISIOLOGICA 0,90% x 500ml  BINAPH   PM: 
CERT. 59243 </t>
  </si>
  <si>
    <t xml:space="preserve">25 </t>
  </si>
  <si>
    <t xml:space="preserve">2.5.2-1726.369 </t>
  </si>
  <si>
    <t xml:space="preserve">SOLUCIONES P/MEDICINA; TIPO: FISIOLOGICA, PRESENTACION: ENVASE X 100 mL </t>
  </si>
  <si>
    <t xml:space="preserve">MARCA RIGECIN ANMAT 39075 </t>
  </si>
  <si>
    <t xml:space="preserve">Solución Fisiológica de Cloruro de Sodio Sistema Cerrado x 100ml 
PEDIR POR CAJA CERRADA - NO FRACCIONAMOS Estéril, Apirogeno, Marca 
Norgreen/Bbraun  - Env. Convencional Aprobado por el M.S. ANMAT 
- Certificado N° 47415/ 37255 Presentación: Caja x 50 Sachet 
 </t>
  </si>
  <si>
    <t xml:space="preserve">Solucion Fisiologica 0,9% x 100 ml - Mca. Jayor - 
R.E.M. 58129  • EN SISTEMA CERRADO-CUMPLE CON NORMA ANMAT:DISP.11857-E/2017 
• ENVASE FLEXIBLE TOTALMENTE COLAPSABLE.  • DOBLE PUERTO C/ 
TAPON AUTOSELLABLE LIBRE DE LATEX. • LIBRE DE P.V.C. Y 
D.E.H.P. • PROCESO DE ELABORACIÓN TOTALMENTE ASÉPTICO. </t>
  </si>
  <si>
    <t xml:space="preserve">26 </t>
  </si>
  <si>
    <t xml:space="preserve">2.5.2-1726.419 </t>
  </si>
  <si>
    <t xml:space="preserve">SOLUCIONES P/MEDICINA; TIPO: FISIOLOGICA, PRESENTACION: ENVASE X 10 mL </t>
  </si>
  <si>
    <t xml:space="preserve">SOLUCION FISIOLOGICA X 10 ML AMP. - BRAUN  </t>
  </si>
  <si>
    <t xml:space="preserve">Solución Fisiológica de Cloruro de Sodio Ampolla x 10ml PEDIR 
POR CAJA CERRADA - NO FRACCIONAMOS Estéril, Apirogeno, Marca Norgreen 
 - Env. Convencional Aprobado por el M.S. ANMAT - 
Certificado N° 47415 Envase: Caja x 100 Ampollas  </t>
  </si>
  <si>
    <t xml:space="preserve">27 </t>
  </si>
  <si>
    <t xml:space="preserve">2.5.2-1726.393 </t>
  </si>
  <si>
    <t xml:space="preserve">SOLUCIONES P/MEDICINA; TIPO: GLUCOSADA HIPERTONICA AL 25%, PRESENTACION: ENVASE X 
10 mL </t>
  </si>
  <si>
    <t xml:space="preserve">MARCA LAVIMAR ANMAT 39534 </t>
  </si>
  <si>
    <t xml:space="preserve">Solución Dextrosa 25% Ampolla x 10ml PEDIR POR CAJA CERRADA 
- NO FRACCIONAMOS Estéril, Apirogeno, Marca Norgreen  - Env. 
Convencional Aprobado por el M.S. ANMAT - Certificado N° 48425 
Envase: Caja x 100 Ampollas  </t>
  </si>
  <si>
    <t xml:space="preserve">28 </t>
  </si>
  <si>
    <t xml:space="preserve">2.5.2-1726.381 </t>
  </si>
  <si>
    <t xml:space="preserve">SOLUCIONES P/MEDICINA; TIPO: MANITOL AL 15%, PRESENTACION: ENVASE X 500 
mL </t>
  </si>
  <si>
    <t xml:space="preserve">solucion manitol x 500 ml. rigesin cert 39065 </t>
  </si>
  <si>
    <t xml:space="preserve">29 </t>
  </si>
  <si>
    <t xml:space="preserve">2.5.2-1726.521 </t>
  </si>
  <si>
    <t xml:space="preserve">SOLUCIONES P/MEDICINA; TIPO: DIALISIS PERITONEAL DEXTROSA AL 1,5 %, PRESENTACION: 
ENVASE X 2 L </t>
  </si>
  <si>
    <t xml:space="preserve">30 </t>
  </si>
  <si>
    <t xml:space="preserve">2.5.2-1726.522 </t>
  </si>
  <si>
    <t xml:space="preserve">SOLUCIONES P/MEDICINA; TIPO: DIALISIS PERITONEAL DEXTROSA AL 2,5 %, PRESENTACION: 
ENVASE X 2 L </t>
  </si>
  <si>
    <t xml:space="preserve">31 </t>
  </si>
  <si>
    <t xml:space="preserve">2.5.2-1726.182 </t>
  </si>
  <si>
    <t xml:space="preserve">SOLUCIONES P/MEDICINA; TIPO: RINGER LACTATO, PRESENTACION: ENVASE X 500 mL 
</t>
  </si>
  <si>
    <t xml:space="preserve">solucion ringer lactato 500 ml. rigesin 39083 </t>
  </si>
  <si>
    <t xml:space="preserve">MARCA RIGECIN ANMAT 39083 </t>
  </si>
  <si>
    <t xml:space="preserve">Solucion Ringer Lactato 500ml  - Mca. Jayor - R.E.M. 
58653   • EN SISTEMA CERRADO-CUMPLE CON NORMA ANMAT:DISP.11857-E/2017 
• ENVASE FLEXIBLE TOTALMENTE COLAPSABLE. • DOBLE PUERTO C/ TAPON 
AUTOSELLABLE LIBRE DE LATEX. • LIBRE DE P.V.C. Y D.E.H.P. 
• PROCESO DE ELABORACIÓN TOTALMENTE ASÉPTICO. </t>
  </si>
  <si>
    <t xml:space="preserve">32 </t>
  </si>
  <si>
    <t xml:space="preserve">2.5.2-1726.371 </t>
  </si>
  <si>
    <t xml:space="preserve">SOLUCIONES P/MEDICINA; TIPO: SULFATO DE MAGNESIO AL 25%, PRESENTACION: ENVASE 
X 5 mL </t>
  </si>
  <si>
    <t xml:space="preserve">SULFATO DE MAGNESIO 25% AMP. X 5 ML - DRAWER 
 </t>
  </si>
  <si>
    <t xml:space="preserve">MARCA LAVIMAR  ANMAT 40351 </t>
  </si>
  <si>
    <t xml:space="preserve">Sulfato de Magnesio 25% Ampolla x 5ml PEDIR POR CAJA 
CERRADA - NO FRACCIONAMOS Estéril, Apirogeno, Marca Norgreen  - 
Env. Convencional Aprobado por el M.S. ANMAT - Certificado N° 
49950 Envase: Caja x 100 Ampollas  </t>
  </si>
  <si>
    <t xml:space="preserve">33 </t>
  </si>
  <si>
    <t xml:space="preserve">2.5.2-1836.10 </t>
  </si>
  <si>
    <t xml:space="preserve">HIPERTENSORES; TIPO: MONODROGA, DROGA GENERICA: ZINC SULFATO, FORMA FARMACEUTICA: AMPOLLAS, 
PRESENTACION: 5 mL </t>
  </si>
  <si>
    <t xml:space="preserve">sulfato zinc RIVERO cert 43583 </t>
  </si>
  <si>
    <t xml:space="preserve">34 </t>
  </si>
  <si>
    <t xml:space="preserve">2.1.1-4227.55 </t>
  </si>
  <si>
    <t xml:space="preserve">SUPLEMENTOS DIETARIOS; TIPO: MONODROGA, DROGA GENERICA: TRIGLICER CADENA MEDIA, PRESENTACION: 
ENVASE X 500 CM3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</si>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</sst>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4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4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4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44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E9:AH44" totalsRowCount="1">
  <tableColumns count="4">
    <tableColumn id="1" xr3:uid="{00000000-0010-0000-0700-000001000000}" name="Precio unitario"/>
    <tableColumn id="2" xr3:uid="{00000000-0010-0000-0700-000002000000}" name="Cantidad ofertada"/>
    <tableColumn id="3" xr3:uid="{00000000-0010-0000-0700-000003000000}" name="Total por renglón" totalsRowFunction="sum"/>
    <tableColumn id="4" xr3:uid="{00000000-0010-0000-0700-000004000000}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I9:AL44" totalsRowCount="1">
  <tableColumns count="4">
    <tableColumn id="1" xr3:uid="{00000000-0010-0000-0800-000001000000}" name="Precio unitario"/>
    <tableColumn id="2" xr3:uid="{00000000-0010-0000-0800-000002000000}" name="Cantidad ofertada"/>
    <tableColumn id="3" xr3:uid="{00000000-0010-0000-0800-000003000000}" name="Total por renglón" totalsRowFunction="sum"/>
    <tableColumn id="4" xr3:uid="{00000000-0010-0000-0800-000004000000}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M9:AP44" totalsRowCount="1">
  <tableColumns count="4">
    <tableColumn id="1" xr3:uid="{00000000-0010-0000-0900-000001000000}" name="Precio unitario"/>
    <tableColumn id="2" xr3:uid="{00000000-0010-0000-0900-000002000000}" name="Cantidad ofertada"/>
    <tableColumn id="3" xr3:uid="{00000000-0010-0000-0900-000003000000}" name="Total por renglón" totalsRowFunction="sum"/>
    <tableColumn id="4" xr3:uid="{00000000-0010-0000-0900-000004000000}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Q9:AT44" totalsRowCount="1">
  <tableColumns count="4">
    <tableColumn id="1" xr3:uid="{00000000-0010-0000-0A00-000001000000}" name="Precio unitario"/>
    <tableColumn id="2" xr3:uid="{00000000-0010-0000-0A00-000002000000}" name="Cantidad ofertada"/>
    <tableColumn id="3" xr3:uid="{00000000-0010-0000-0A00-000003000000}" name="Total por renglón" totalsRowFunction="sum"/>
    <tableColumn id="4" xr3:uid="{00000000-0010-0000-0A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7.5703125" customWidth="1"/>
    <col min="5" max="5" width="106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5.140625" customWidth="1"/>
    <col min="11" max="11" width="14.28515625" customWidth="1"/>
    <col min="12" max="12" width="17.28515625" customWidth="1"/>
    <col min="13" max="13" width="16.5703125" customWidth="1"/>
    <col min="14" max="14" width="48.28515625" customWidth="1"/>
    <col min="15" max="15" width="14.28515625" customWidth="1"/>
    <col min="16" max="16" width="17.28515625" customWidth="1"/>
    <col min="17" max="17" width="16.5703125" customWidth="1"/>
    <col min="18" max="18" width="20.28515625" customWidth="1"/>
    <col min="19" max="19" width="14.28515625" customWidth="1"/>
    <col min="20" max="20" width="17.28515625" customWidth="1"/>
    <col min="21" max="21" width="16.5703125" customWidth="1"/>
    <col min="22" max="22" width="65.42578125" customWidth="1"/>
    <col min="23" max="23" width="14.28515625" customWidth="1"/>
    <col min="24" max="24" width="17.28515625" customWidth="1"/>
    <col min="25" max="25" width="16.5703125" customWidth="1"/>
    <col min="26" max="26" width="69.28515625" customWidth="1"/>
    <col min="27" max="27" width="14.28515625" customWidth="1"/>
    <col min="28" max="28" width="17.28515625" customWidth="1"/>
    <col min="29" max="29" width="16.5703125" customWidth="1"/>
    <col min="30" max="30" width="77.140625" customWidth="1"/>
    <col min="31" max="31" width="14.28515625" customWidth="1"/>
    <col min="32" max="32" width="17.28515625" customWidth="1"/>
    <col min="33" max="33" width="16.5703125" customWidth="1"/>
    <col min="34" max="34" width="82.85546875" customWidth="1"/>
    <col min="35" max="35" width="14.28515625" customWidth="1"/>
    <col min="36" max="36" width="17.28515625" customWidth="1"/>
    <col min="37" max="37" width="16.5703125" customWidth="1"/>
    <col min="38" max="38" width="75.42578125" customWidth="1"/>
    <col min="39" max="39" width="14.28515625" customWidth="1"/>
    <col min="40" max="40" width="17.28515625" customWidth="1"/>
    <col min="41" max="41" width="16.5703125" customWidth="1"/>
    <col min="42" max="42" width="90.28515625" customWidth="1"/>
    <col min="43" max="43" width="14.28515625" customWidth="1"/>
    <col min="44" max="44" width="17.28515625" customWidth="1"/>
    <col min="45" max="45" width="16.5703125" customWidth="1"/>
    <col min="46" max="46" width="47.42578125" customWidth="1"/>
  </cols>
  <sheetData>
    <row r="1" spans="1:46" x14ac:dyDescent="0.25">
      <c r="D1" s="2" t="s">
        <v>0</v>
      </c>
      <c r="E1" s="2" t="s">
        <v>1</v>
      </c>
    </row>
    <row r="2" spans="1:46" x14ac:dyDescent="0.25">
      <c r="D2" s="2" t="s">
        <v>2</v>
      </c>
      <c r="E2" s="2" t="s">
        <v>3</v>
      </c>
    </row>
    <row r="3" spans="1:46" x14ac:dyDescent="0.25">
      <c r="D3" s="2" t="s">
        <v>4</v>
      </c>
      <c r="E3" s="2" t="s">
        <v>5</v>
      </c>
    </row>
    <row r="4" spans="1:46" x14ac:dyDescent="0.25">
      <c r="D4" s="2" t="s">
        <v>6</v>
      </c>
      <c r="E4" s="2" t="s">
        <v>7</v>
      </c>
    </row>
    <row r="5" spans="1:46" x14ac:dyDescent="0.25">
      <c r="D5" s="2" t="s">
        <v>8</v>
      </c>
      <c r="E5" s="2" t="s">
        <v>9</v>
      </c>
    </row>
    <row r="8" spans="1:4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</row>
    <row r="9" spans="1:46" x14ac:dyDescent="0.25">
      <c r="A9" t="s">
        <v>10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s="3" t="s">
        <v>26</v>
      </c>
      <c r="H9" s="3" t="s">
        <v>27</v>
      </c>
      <c r="I9" t="s">
        <v>28</v>
      </c>
      <c r="J9" t="s">
        <v>29</v>
      </c>
      <c r="K9" s="3" t="s">
        <v>26</v>
      </c>
      <c r="L9" s="3" t="s">
        <v>27</v>
      </c>
      <c r="M9" t="s">
        <v>28</v>
      </c>
      <c r="N9" t="s">
        <v>29</v>
      </c>
      <c r="O9" s="3" t="s">
        <v>26</v>
      </c>
      <c r="P9" s="3" t="s">
        <v>27</v>
      </c>
      <c r="Q9" t="s">
        <v>28</v>
      </c>
      <c r="R9" t="s">
        <v>29</v>
      </c>
      <c r="S9" s="3" t="s">
        <v>26</v>
      </c>
      <c r="T9" s="3" t="s">
        <v>27</v>
      </c>
      <c r="U9" t="s">
        <v>28</v>
      </c>
      <c r="V9" t="s">
        <v>29</v>
      </c>
      <c r="W9" s="3" t="s">
        <v>26</v>
      </c>
      <c r="X9" s="3" t="s">
        <v>27</v>
      </c>
      <c r="Y9" t="s">
        <v>28</v>
      </c>
      <c r="Z9" t="s">
        <v>29</v>
      </c>
      <c r="AA9" s="3" t="s">
        <v>26</v>
      </c>
      <c r="AB9" s="3" t="s">
        <v>27</v>
      </c>
      <c r="AC9" t="s">
        <v>28</v>
      </c>
      <c r="AD9" t="s">
        <v>29</v>
      </c>
      <c r="AE9" s="3" t="s">
        <v>26</v>
      </c>
      <c r="AF9" s="3" t="s">
        <v>27</v>
      </c>
      <c r="AG9" t="s">
        <v>28</v>
      </c>
      <c r="AH9" t="s">
        <v>29</v>
      </c>
      <c r="AI9" s="3" t="s">
        <v>26</v>
      </c>
      <c r="AJ9" s="3" t="s">
        <v>27</v>
      </c>
      <c r="AK9" t="s">
        <v>28</v>
      </c>
      <c r="AL9" t="s">
        <v>29</v>
      </c>
      <c r="AM9" s="3" t="s">
        <v>26</v>
      </c>
      <c r="AN9" s="3" t="s">
        <v>27</v>
      </c>
      <c r="AO9" t="s">
        <v>28</v>
      </c>
      <c r="AP9" t="s">
        <v>29</v>
      </c>
      <c r="AQ9" s="3" t="s">
        <v>26</v>
      </c>
      <c r="AR9" s="3" t="s">
        <v>27</v>
      </c>
      <c r="AS9" t="s">
        <v>28</v>
      </c>
      <c r="AT9" t="s">
        <v>29</v>
      </c>
    </row>
    <row r="10" spans="1:46" ht="45" x14ac:dyDescent="0.25">
      <c r="A10" t="s">
        <v>30</v>
      </c>
      <c r="B10" t="s">
        <v>30</v>
      </c>
      <c r="C10" t="s">
        <v>31</v>
      </c>
      <c r="D10" s="4" t="s">
        <v>32</v>
      </c>
      <c r="E10">
        <v>300</v>
      </c>
      <c r="F10" t="s">
        <v>33</v>
      </c>
      <c r="G10" s="3">
        <v>459</v>
      </c>
      <c r="H10" s="3">
        <v>300</v>
      </c>
      <c r="I10" s="5">
        <v>137700</v>
      </c>
      <c r="J10" s="4" t="s">
        <v>34</v>
      </c>
      <c r="K10" s="3">
        <v>384</v>
      </c>
      <c r="L10" s="3">
        <v>300</v>
      </c>
      <c r="M10" s="5">
        <v>115200</v>
      </c>
      <c r="N10" t="s">
        <v>35</v>
      </c>
      <c r="O10" s="3">
        <v>455</v>
      </c>
      <c r="P10" s="3">
        <v>300</v>
      </c>
      <c r="Q10" s="5">
        <v>136500</v>
      </c>
      <c r="R10" t="s">
        <v>36</v>
      </c>
      <c r="S10" s="3">
        <v>324.95</v>
      </c>
      <c r="T10" s="3">
        <v>300</v>
      </c>
      <c r="U10" s="5">
        <v>97485</v>
      </c>
      <c r="V10" s="4" t="s">
        <v>37</v>
      </c>
      <c r="W10" s="3"/>
      <c r="X10" s="3"/>
      <c r="Y10" s="5"/>
      <c r="AA10" s="3"/>
      <c r="AB10" s="3"/>
      <c r="AC10" s="5"/>
      <c r="AE10" s="3"/>
      <c r="AF10" s="3"/>
      <c r="AG10" s="5"/>
      <c r="AI10" s="3"/>
      <c r="AJ10" s="3"/>
      <c r="AK10" s="5"/>
      <c r="AM10" s="3"/>
      <c r="AN10" s="3"/>
      <c r="AO10" s="5"/>
      <c r="AQ10" s="3"/>
      <c r="AR10" s="3"/>
      <c r="AS10" s="5"/>
    </row>
    <row r="11" spans="1:46" ht="75" x14ac:dyDescent="0.25">
      <c r="A11" t="s">
        <v>38</v>
      </c>
      <c r="B11" t="s">
        <v>30</v>
      </c>
      <c r="C11" t="s">
        <v>39</v>
      </c>
      <c r="D11" s="4" t="s">
        <v>40</v>
      </c>
      <c r="E11">
        <v>41500</v>
      </c>
      <c r="F11" t="s">
        <v>33</v>
      </c>
      <c r="G11" s="3"/>
      <c r="H11" s="3"/>
      <c r="I11" s="5"/>
      <c r="K11" s="3"/>
      <c r="L11" s="3"/>
      <c r="M11" s="5"/>
      <c r="O11" s="3">
        <v>32</v>
      </c>
      <c r="P11" s="3">
        <v>41500</v>
      </c>
      <c r="Q11" s="5">
        <v>1328000</v>
      </c>
      <c r="R11" t="s">
        <v>36</v>
      </c>
      <c r="S11" s="3">
        <v>37.25</v>
      </c>
      <c r="T11" s="3">
        <v>41500</v>
      </c>
      <c r="U11" s="5">
        <v>1545875</v>
      </c>
      <c r="V11" s="4" t="s">
        <v>41</v>
      </c>
      <c r="W11" s="3">
        <v>43.5</v>
      </c>
      <c r="X11" s="3">
        <v>41500</v>
      </c>
      <c r="Y11" s="5">
        <v>1805250</v>
      </c>
      <c r="Z11" s="4" t="s">
        <v>42</v>
      </c>
      <c r="AA11" s="3">
        <v>39</v>
      </c>
      <c r="AB11" s="3">
        <v>41500</v>
      </c>
      <c r="AC11" s="5">
        <v>1618500</v>
      </c>
      <c r="AD11" s="4" t="s">
        <v>43</v>
      </c>
      <c r="AE11" s="3"/>
      <c r="AF11" s="3"/>
      <c r="AG11" s="5"/>
      <c r="AI11" s="3"/>
      <c r="AJ11" s="3"/>
      <c r="AK11" s="5"/>
      <c r="AM11" s="3"/>
      <c r="AN11" s="3"/>
      <c r="AO11" s="5"/>
      <c r="AQ11" s="3"/>
      <c r="AR11" s="3"/>
      <c r="AS11" s="5"/>
    </row>
    <row r="12" spans="1:46" ht="90" x14ac:dyDescent="0.25">
      <c r="A12" t="s">
        <v>44</v>
      </c>
      <c r="B12" t="s">
        <v>30</v>
      </c>
      <c r="C12" t="s">
        <v>45</v>
      </c>
      <c r="D12" s="4" t="s">
        <v>46</v>
      </c>
      <c r="E12">
        <v>4600</v>
      </c>
      <c r="F12" t="s">
        <v>33</v>
      </c>
      <c r="G12" s="3">
        <v>144</v>
      </c>
      <c r="H12" s="3">
        <v>4600</v>
      </c>
      <c r="I12" s="5">
        <v>662400</v>
      </c>
      <c r="J12" s="4" t="s">
        <v>47</v>
      </c>
      <c r="K12" s="3">
        <v>152</v>
      </c>
      <c r="L12" s="3">
        <v>4600</v>
      </c>
      <c r="M12" s="5">
        <v>699200</v>
      </c>
      <c r="N12" t="s">
        <v>48</v>
      </c>
      <c r="O12" s="3">
        <v>112</v>
      </c>
      <c r="P12" s="3">
        <v>4600</v>
      </c>
      <c r="Q12" s="5">
        <v>515200</v>
      </c>
      <c r="R12" t="s">
        <v>36</v>
      </c>
      <c r="S12" s="3"/>
      <c r="T12" s="3"/>
      <c r="U12" s="5"/>
      <c r="W12" s="3"/>
      <c r="X12" s="3"/>
      <c r="Y12" s="5"/>
      <c r="AA12" s="3"/>
      <c r="AB12" s="3"/>
      <c r="AC12" s="5"/>
      <c r="AE12" s="3">
        <v>102.7</v>
      </c>
      <c r="AF12" s="3">
        <v>4600</v>
      </c>
      <c r="AG12" s="5">
        <v>472420</v>
      </c>
      <c r="AH12" s="4" t="s">
        <v>49</v>
      </c>
      <c r="AI12" s="3"/>
      <c r="AJ12" s="3"/>
      <c r="AK12" s="5"/>
      <c r="AM12" s="3"/>
      <c r="AN12" s="3"/>
      <c r="AO12" s="5"/>
      <c r="AQ12" s="3"/>
      <c r="AR12" s="3"/>
      <c r="AS12" s="5"/>
    </row>
    <row r="13" spans="1:46" ht="45" x14ac:dyDescent="0.25">
      <c r="A13" t="s">
        <v>50</v>
      </c>
      <c r="B13" t="s">
        <v>30</v>
      </c>
      <c r="C13" t="s">
        <v>51</v>
      </c>
      <c r="D13" s="4" t="s">
        <v>52</v>
      </c>
      <c r="E13">
        <v>2510</v>
      </c>
      <c r="F13" t="s">
        <v>33</v>
      </c>
      <c r="G13" s="3">
        <v>2609</v>
      </c>
      <c r="H13" s="3">
        <v>2510</v>
      </c>
      <c r="I13" s="5">
        <v>6548590</v>
      </c>
      <c r="J13" t="s">
        <v>53</v>
      </c>
      <c r="K13" s="3">
        <v>2838</v>
      </c>
      <c r="L13" s="3">
        <v>2510</v>
      </c>
      <c r="M13" s="5">
        <v>7123380</v>
      </c>
      <c r="N13" t="s">
        <v>54</v>
      </c>
      <c r="O13" s="3"/>
      <c r="P13" s="3"/>
      <c r="Q13" s="5"/>
      <c r="S13" s="3"/>
      <c r="T13" s="3"/>
      <c r="U13" s="5"/>
      <c r="W13" s="3"/>
      <c r="X13" s="3"/>
      <c r="Y13" s="5"/>
      <c r="AA13" s="3">
        <v>2268</v>
      </c>
      <c r="AB13" s="3">
        <v>2510</v>
      </c>
      <c r="AC13" s="5">
        <v>5692680</v>
      </c>
      <c r="AD13" s="4" t="s">
        <v>55</v>
      </c>
      <c r="AE13" s="3"/>
      <c r="AF13" s="3"/>
      <c r="AG13" s="5"/>
      <c r="AI13" s="3"/>
      <c r="AJ13" s="3"/>
      <c r="AK13" s="5"/>
      <c r="AM13" s="3"/>
      <c r="AN13" s="3"/>
      <c r="AO13" s="5"/>
      <c r="AQ13" s="3"/>
      <c r="AR13" s="3"/>
      <c r="AS13" s="5"/>
    </row>
    <row r="14" spans="1:46" ht="45" x14ac:dyDescent="0.25">
      <c r="A14" t="s">
        <v>56</v>
      </c>
      <c r="B14" t="s">
        <v>30</v>
      </c>
      <c r="C14" t="s">
        <v>57</v>
      </c>
      <c r="D14" s="4" t="s">
        <v>58</v>
      </c>
      <c r="E14">
        <v>640</v>
      </c>
      <c r="F14" t="s">
        <v>33</v>
      </c>
      <c r="G14" s="3"/>
      <c r="H14" s="3"/>
      <c r="I14" s="5"/>
      <c r="K14" s="3"/>
      <c r="L14" s="3"/>
      <c r="M14" s="5"/>
      <c r="O14" s="3"/>
      <c r="P14" s="3"/>
      <c r="Q14" s="5"/>
      <c r="S14" s="3"/>
      <c r="T14" s="3"/>
      <c r="U14" s="5"/>
      <c r="W14" s="3"/>
      <c r="X14" s="3"/>
      <c r="Y14" s="5"/>
      <c r="AA14" s="3">
        <v>1158</v>
      </c>
      <c r="AB14" s="3">
        <v>640</v>
      </c>
      <c r="AC14" s="5">
        <v>741120</v>
      </c>
      <c r="AD14" s="4" t="s">
        <v>59</v>
      </c>
      <c r="AE14" s="3"/>
      <c r="AF14" s="3"/>
      <c r="AG14" s="5"/>
      <c r="AI14" s="3">
        <v>1325</v>
      </c>
      <c r="AJ14" s="3">
        <v>640</v>
      </c>
      <c r="AK14" s="5">
        <v>848000</v>
      </c>
      <c r="AL14" s="4" t="s">
        <v>60</v>
      </c>
      <c r="AM14" s="3"/>
      <c r="AN14" s="3"/>
      <c r="AO14" s="5"/>
      <c r="AQ14" s="3"/>
      <c r="AR14" s="3"/>
      <c r="AS14" s="5"/>
    </row>
    <row r="15" spans="1:46" ht="45" x14ac:dyDescent="0.25">
      <c r="A15" t="s">
        <v>61</v>
      </c>
      <c r="B15" t="s">
        <v>30</v>
      </c>
      <c r="C15" t="s">
        <v>62</v>
      </c>
      <c r="D15" s="4" t="s">
        <v>63</v>
      </c>
      <c r="E15">
        <v>950</v>
      </c>
      <c r="F15" t="s">
        <v>33</v>
      </c>
      <c r="G15" s="3"/>
      <c r="H15" s="3"/>
      <c r="I15" s="5"/>
      <c r="K15" s="3"/>
      <c r="L15" s="3"/>
      <c r="M15" s="5"/>
      <c r="O15" s="3"/>
      <c r="P15" s="3"/>
      <c r="Q15" s="5"/>
      <c r="S15" s="3"/>
      <c r="T15" s="3"/>
      <c r="U15" s="5"/>
      <c r="W15" s="3"/>
      <c r="X15" s="3"/>
      <c r="Y15" s="5"/>
      <c r="AA15" s="3">
        <v>1536</v>
      </c>
      <c r="AB15" s="3">
        <v>950</v>
      </c>
      <c r="AC15" s="5">
        <v>1459200</v>
      </c>
      <c r="AD15" s="4" t="s">
        <v>64</v>
      </c>
      <c r="AE15" s="3"/>
      <c r="AF15" s="3"/>
      <c r="AG15" s="5"/>
      <c r="AI15" s="3"/>
      <c r="AJ15" s="3"/>
      <c r="AK15" s="5"/>
      <c r="AM15" s="3"/>
      <c r="AN15" s="3"/>
      <c r="AO15" s="5"/>
      <c r="AQ15" s="3"/>
      <c r="AR15" s="3"/>
      <c r="AS15" s="5"/>
    </row>
    <row r="16" spans="1:46" ht="45" x14ac:dyDescent="0.25">
      <c r="A16" t="s">
        <v>65</v>
      </c>
      <c r="B16" t="s">
        <v>30</v>
      </c>
      <c r="C16" t="s">
        <v>66</v>
      </c>
      <c r="D16" s="4" t="s">
        <v>67</v>
      </c>
      <c r="E16">
        <v>6110</v>
      </c>
      <c r="F16" t="s">
        <v>33</v>
      </c>
      <c r="G16" s="3"/>
      <c r="H16" s="3"/>
      <c r="I16" s="5"/>
      <c r="K16" s="3"/>
      <c r="L16" s="3"/>
      <c r="M16" s="5"/>
      <c r="O16" s="3"/>
      <c r="P16" s="3"/>
      <c r="Q16" s="5"/>
      <c r="S16" s="3"/>
      <c r="T16" s="3"/>
      <c r="U16" s="5"/>
      <c r="W16" s="3"/>
      <c r="X16" s="3"/>
      <c r="Y16" s="5"/>
      <c r="AA16" s="3"/>
      <c r="AB16" s="3"/>
      <c r="AC16" s="5"/>
      <c r="AE16" s="3"/>
      <c r="AF16" s="3"/>
      <c r="AG16" s="5"/>
      <c r="AI16" s="3">
        <v>1145</v>
      </c>
      <c r="AJ16" s="3">
        <v>6110</v>
      </c>
      <c r="AK16" s="5">
        <v>6995950</v>
      </c>
      <c r="AL16" s="4" t="s">
        <v>68</v>
      </c>
      <c r="AM16" s="3"/>
      <c r="AN16" s="3"/>
      <c r="AO16" s="5"/>
      <c r="AQ16" s="3"/>
      <c r="AR16" s="3"/>
      <c r="AS16" s="5"/>
    </row>
    <row r="17" spans="1:45" ht="135" x14ac:dyDescent="0.25">
      <c r="A17" t="s">
        <v>69</v>
      </c>
      <c r="B17" t="s">
        <v>30</v>
      </c>
      <c r="C17" t="s">
        <v>70</v>
      </c>
      <c r="D17" s="4" t="s">
        <v>71</v>
      </c>
      <c r="E17">
        <v>114</v>
      </c>
      <c r="F17" t="s">
        <v>33</v>
      </c>
      <c r="G17" s="3"/>
      <c r="H17" s="3"/>
      <c r="I17" s="5"/>
      <c r="K17" s="3"/>
      <c r="L17" s="3"/>
      <c r="M17" s="5"/>
      <c r="O17" s="3"/>
      <c r="P17" s="3"/>
      <c r="Q17" s="5"/>
      <c r="S17" s="3"/>
      <c r="T17" s="3"/>
      <c r="U17" s="5"/>
      <c r="W17" s="3"/>
      <c r="X17" s="3"/>
      <c r="Y17" s="5"/>
      <c r="AA17" s="3"/>
      <c r="AB17" s="3"/>
      <c r="AC17" s="5"/>
      <c r="AE17" s="3"/>
      <c r="AF17" s="3"/>
      <c r="AG17" s="5"/>
      <c r="AI17" s="3">
        <v>11198</v>
      </c>
      <c r="AJ17" s="3">
        <v>114</v>
      </c>
      <c r="AK17" s="5">
        <v>1276572</v>
      </c>
      <c r="AL17" s="4" t="s">
        <v>72</v>
      </c>
      <c r="AM17" s="3">
        <v>15020</v>
      </c>
      <c r="AN17" s="3">
        <v>114</v>
      </c>
      <c r="AO17" s="5">
        <v>1712280</v>
      </c>
      <c r="AP17" s="4" t="s">
        <v>73</v>
      </c>
      <c r="AQ17" s="3"/>
      <c r="AR17" s="3"/>
      <c r="AS17" s="5"/>
    </row>
    <row r="18" spans="1:45" ht="120" x14ac:dyDescent="0.25">
      <c r="A18" t="s">
        <v>74</v>
      </c>
      <c r="B18" t="s">
        <v>30</v>
      </c>
      <c r="C18" t="s">
        <v>75</v>
      </c>
      <c r="D18" s="4" t="s">
        <v>76</v>
      </c>
      <c r="E18">
        <v>250</v>
      </c>
      <c r="F18" t="s">
        <v>33</v>
      </c>
      <c r="G18" s="3"/>
      <c r="H18" s="3"/>
      <c r="I18" s="5"/>
      <c r="K18" s="3"/>
      <c r="L18" s="3"/>
      <c r="M18" s="5"/>
      <c r="O18" s="3"/>
      <c r="P18" s="3"/>
      <c r="Q18" s="5"/>
      <c r="S18" s="3"/>
      <c r="T18" s="3"/>
      <c r="U18" s="5"/>
      <c r="W18" s="3"/>
      <c r="X18" s="3"/>
      <c r="Y18" s="5"/>
      <c r="AA18" s="3"/>
      <c r="AB18" s="3"/>
      <c r="AC18" s="5"/>
      <c r="AE18" s="3"/>
      <c r="AF18" s="3"/>
      <c r="AG18" s="5"/>
      <c r="AI18" s="3">
        <v>18478</v>
      </c>
      <c r="AJ18" s="3">
        <v>250</v>
      </c>
      <c r="AK18" s="5">
        <v>4619500</v>
      </c>
      <c r="AL18" s="4" t="s">
        <v>77</v>
      </c>
      <c r="AM18" s="3">
        <v>6860</v>
      </c>
      <c r="AN18" s="3">
        <v>250</v>
      </c>
      <c r="AO18" s="5">
        <v>1715000</v>
      </c>
      <c r="AP18" s="4" t="s">
        <v>78</v>
      </c>
      <c r="AQ18" s="3"/>
      <c r="AR18" s="3"/>
      <c r="AS18" s="5"/>
    </row>
    <row r="19" spans="1:45" ht="30" x14ac:dyDescent="0.25">
      <c r="A19" t="s">
        <v>79</v>
      </c>
      <c r="B19" t="s">
        <v>30</v>
      </c>
      <c r="C19" t="s">
        <v>80</v>
      </c>
      <c r="D19" s="4" t="s">
        <v>81</v>
      </c>
      <c r="E19">
        <v>60</v>
      </c>
      <c r="F19" t="s">
        <v>33</v>
      </c>
      <c r="G19" s="3">
        <v>2390</v>
      </c>
      <c r="H19" s="3">
        <v>60</v>
      </c>
      <c r="I19" s="5">
        <v>143400</v>
      </c>
      <c r="J19" t="s">
        <v>82</v>
      </c>
      <c r="K19" s="3">
        <v>6380</v>
      </c>
      <c r="L19" s="3">
        <v>60</v>
      </c>
      <c r="M19" s="5">
        <v>382800</v>
      </c>
      <c r="N19" t="s">
        <v>83</v>
      </c>
      <c r="O19" s="3"/>
      <c r="P19" s="3"/>
      <c r="Q19" s="5"/>
      <c r="S19" s="3"/>
      <c r="T19" s="3"/>
      <c r="U19" s="5"/>
      <c r="W19" s="3"/>
      <c r="X19" s="3"/>
      <c r="Y19" s="5"/>
      <c r="AA19" s="3"/>
      <c r="AB19" s="3"/>
      <c r="AC19" s="5"/>
      <c r="AE19" s="3"/>
      <c r="AF19" s="3"/>
      <c r="AG19" s="5"/>
      <c r="AI19" s="3"/>
      <c r="AJ19" s="3"/>
      <c r="AK19" s="5"/>
      <c r="AM19" s="3">
        <v>2980</v>
      </c>
      <c r="AN19" s="3">
        <v>60</v>
      </c>
      <c r="AO19" s="5">
        <v>178800</v>
      </c>
      <c r="AP19" s="4" t="s">
        <v>84</v>
      </c>
      <c r="AQ19" s="3"/>
      <c r="AR19" s="3"/>
      <c r="AS19" s="5"/>
    </row>
    <row r="20" spans="1:45" ht="30" x14ac:dyDescent="0.25">
      <c r="A20" t="s">
        <v>85</v>
      </c>
      <c r="B20" t="s">
        <v>30</v>
      </c>
      <c r="C20" t="s">
        <v>86</v>
      </c>
      <c r="D20" s="4" t="s">
        <v>87</v>
      </c>
      <c r="E20">
        <v>900</v>
      </c>
      <c r="F20" t="s">
        <v>33</v>
      </c>
      <c r="G20" s="3">
        <v>460</v>
      </c>
      <c r="H20" s="3">
        <v>900</v>
      </c>
      <c r="I20" s="5">
        <v>414000</v>
      </c>
      <c r="J20" t="s">
        <v>88</v>
      </c>
      <c r="K20" s="3"/>
      <c r="L20" s="3"/>
      <c r="M20" s="5"/>
      <c r="O20" s="3">
        <v>366</v>
      </c>
      <c r="P20" s="3">
        <v>900</v>
      </c>
      <c r="Q20" s="5">
        <v>329400</v>
      </c>
      <c r="R20" t="s">
        <v>36</v>
      </c>
      <c r="S20" s="3"/>
      <c r="T20" s="3"/>
      <c r="U20" s="5"/>
      <c r="W20" s="3"/>
      <c r="X20" s="3"/>
      <c r="Y20" s="5"/>
      <c r="AA20" s="3"/>
      <c r="AB20" s="3"/>
      <c r="AC20" s="5"/>
      <c r="AE20" s="3"/>
      <c r="AF20" s="3"/>
      <c r="AG20" s="5"/>
      <c r="AI20" s="3"/>
      <c r="AJ20" s="3"/>
      <c r="AK20" s="5"/>
      <c r="AM20" s="3"/>
      <c r="AN20" s="3"/>
      <c r="AO20" s="5"/>
      <c r="AQ20" s="3"/>
      <c r="AR20" s="3"/>
      <c r="AS20" s="5"/>
    </row>
    <row r="21" spans="1:45" ht="60" x14ac:dyDescent="0.25">
      <c r="A21" t="s">
        <v>89</v>
      </c>
      <c r="B21" t="s">
        <v>30</v>
      </c>
      <c r="C21" t="s">
        <v>90</v>
      </c>
      <c r="D21" s="4" t="s">
        <v>91</v>
      </c>
      <c r="E21">
        <v>9100</v>
      </c>
      <c r="F21" t="s">
        <v>33</v>
      </c>
      <c r="G21" s="3">
        <v>38.9</v>
      </c>
      <c r="H21" s="3">
        <v>9100</v>
      </c>
      <c r="I21" s="5">
        <v>353990</v>
      </c>
      <c r="J21" s="4" t="s">
        <v>92</v>
      </c>
      <c r="K21" s="3">
        <v>43</v>
      </c>
      <c r="L21" s="3">
        <v>9100</v>
      </c>
      <c r="M21" s="5">
        <v>391300</v>
      </c>
      <c r="N21" t="s">
        <v>93</v>
      </c>
      <c r="O21" s="3">
        <v>41</v>
      </c>
      <c r="P21" s="3">
        <v>9100</v>
      </c>
      <c r="Q21" s="5">
        <v>373100</v>
      </c>
      <c r="R21" t="s">
        <v>36</v>
      </c>
      <c r="S21" s="3"/>
      <c r="T21" s="3"/>
      <c r="U21" s="5"/>
      <c r="W21" s="3">
        <v>29.4</v>
      </c>
      <c r="X21" s="3">
        <v>9100</v>
      </c>
      <c r="Y21" s="5">
        <v>267540</v>
      </c>
      <c r="Z21" s="4" t="s">
        <v>94</v>
      </c>
      <c r="AA21" s="3">
        <v>41.42</v>
      </c>
      <c r="AB21" s="3">
        <v>9100</v>
      </c>
      <c r="AC21" s="5">
        <v>376922</v>
      </c>
      <c r="AD21" s="4" t="s">
        <v>95</v>
      </c>
      <c r="AE21" s="3"/>
      <c r="AF21" s="3"/>
      <c r="AG21" s="5"/>
      <c r="AI21" s="3"/>
      <c r="AJ21" s="3"/>
      <c r="AK21" s="5"/>
      <c r="AM21" s="3"/>
      <c r="AN21" s="3"/>
      <c r="AO21" s="5"/>
      <c r="AQ21" s="3"/>
      <c r="AR21" s="3"/>
      <c r="AS21" s="5"/>
    </row>
    <row r="22" spans="1:45" ht="90" x14ac:dyDescent="0.25">
      <c r="A22" t="s">
        <v>96</v>
      </c>
      <c r="B22" t="s">
        <v>30</v>
      </c>
      <c r="C22" t="s">
        <v>97</v>
      </c>
      <c r="D22" s="4" t="s">
        <v>98</v>
      </c>
      <c r="E22">
        <v>3800</v>
      </c>
      <c r="F22" t="s">
        <v>33</v>
      </c>
      <c r="G22" s="3">
        <v>69</v>
      </c>
      <c r="H22" s="3">
        <v>3800</v>
      </c>
      <c r="I22" s="5">
        <v>262200</v>
      </c>
      <c r="J22" t="s">
        <v>99</v>
      </c>
      <c r="K22" s="3"/>
      <c r="L22" s="3"/>
      <c r="M22" s="5"/>
      <c r="O22" s="3"/>
      <c r="P22" s="3"/>
      <c r="Q22" s="5"/>
      <c r="S22" s="3"/>
      <c r="T22" s="3"/>
      <c r="U22" s="5"/>
      <c r="W22" s="3">
        <v>44</v>
      </c>
      <c r="X22" s="3">
        <v>3800</v>
      </c>
      <c r="Y22" s="5">
        <v>167200</v>
      </c>
      <c r="Z22" s="4" t="s">
        <v>100</v>
      </c>
      <c r="AA22" s="3"/>
      <c r="AB22" s="3"/>
      <c r="AC22" s="5"/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</row>
    <row r="23" spans="1:45" ht="75" x14ac:dyDescent="0.25">
      <c r="A23" t="s">
        <v>101</v>
      </c>
      <c r="B23" t="s">
        <v>30</v>
      </c>
      <c r="C23" t="s">
        <v>102</v>
      </c>
      <c r="D23" s="4" t="s">
        <v>103</v>
      </c>
      <c r="E23">
        <v>1000</v>
      </c>
      <c r="F23" t="s">
        <v>33</v>
      </c>
      <c r="G23" s="3"/>
      <c r="H23" s="3"/>
      <c r="I23" s="5"/>
      <c r="K23" s="3"/>
      <c r="L23" s="3"/>
      <c r="M23" s="5"/>
      <c r="O23" s="3">
        <v>414</v>
      </c>
      <c r="P23" s="3">
        <v>1000</v>
      </c>
      <c r="Q23" s="5">
        <v>414000</v>
      </c>
      <c r="R23" t="s">
        <v>36</v>
      </c>
      <c r="S23" s="3"/>
      <c r="T23" s="3"/>
      <c r="U23" s="5"/>
      <c r="W23" s="3">
        <v>223</v>
      </c>
      <c r="X23" s="3">
        <v>1000</v>
      </c>
      <c r="Y23" s="5">
        <v>223000</v>
      </c>
      <c r="Z23" s="4" t="s">
        <v>104</v>
      </c>
      <c r="AA23" s="3"/>
      <c r="AB23" s="3"/>
      <c r="AC23" s="5"/>
      <c r="AE23" s="3"/>
      <c r="AF23" s="3"/>
      <c r="AG23" s="5"/>
      <c r="AI23" s="3"/>
      <c r="AJ23" s="3"/>
      <c r="AK23" s="5"/>
      <c r="AM23" s="3"/>
      <c r="AN23" s="3"/>
      <c r="AO23" s="5"/>
      <c r="AQ23" s="3"/>
      <c r="AR23" s="3"/>
      <c r="AS23" s="5"/>
    </row>
    <row r="24" spans="1:45" ht="60" x14ac:dyDescent="0.25">
      <c r="A24" t="s">
        <v>105</v>
      </c>
      <c r="B24" t="s">
        <v>30</v>
      </c>
      <c r="C24" t="s">
        <v>106</v>
      </c>
      <c r="D24" s="4" t="s">
        <v>107</v>
      </c>
      <c r="E24">
        <v>3000</v>
      </c>
      <c r="F24" t="s">
        <v>33</v>
      </c>
      <c r="G24" s="3"/>
      <c r="H24" s="3"/>
      <c r="I24" s="5"/>
      <c r="K24" s="3"/>
      <c r="L24" s="3"/>
      <c r="M24" s="5"/>
      <c r="O24" s="3"/>
      <c r="P24" s="3"/>
      <c r="Q24" s="5"/>
      <c r="S24" s="3"/>
      <c r="T24" s="3"/>
      <c r="U24" s="5"/>
      <c r="W24" s="3">
        <v>84</v>
      </c>
      <c r="X24" s="3">
        <v>3000</v>
      </c>
      <c r="Y24" s="5">
        <v>252000</v>
      </c>
      <c r="Z24" s="4" t="s">
        <v>108</v>
      </c>
      <c r="AA24" s="3"/>
      <c r="AB24" s="3"/>
      <c r="AC24" s="5"/>
      <c r="AE24" s="3"/>
      <c r="AF24" s="3"/>
      <c r="AG24" s="5"/>
      <c r="AI24" s="3"/>
      <c r="AJ24" s="3"/>
      <c r="AK24" s="5"/>
      <c r="AM24" s="3"/>
      <c r="AN24" s="3"/>
      <c r="AO24" s="5"/>
      <c r="AQ24" s="3"/>
      <c r="AR24" s="3"/>
      <c r="AS24" s="5"/>
    </row>
    <row r="25" spans="1:45" ht="45" x14ac:dyDescent="0.25">
      <c r="A25" t="s">
        <v>109</v>
      </c>
      <c r="B25" t="s">
        <v>30</v>
      </c>
      <c r="C25" t="s">
        <v>110</v>
      </c>
      <c r="D25" s="4" t="s">
        <v>111</v>
      </c>
      <c r="E25">
        <v>650</v>
      </c>
      <c r="F25" t="s">
        <v>33</v>
      </c>
      <c r="G25" s="3"/>
      <c r="H25" s="3"/>
      <c r="I25" s="5"/>
      <c r="K25" s="3">
        <v>1307</v>
      </c>
      <c r="L25" s="3">
        <v>650</v>
      </c>
      <c r="M25" s="5">
        <v>849550</v>
      </c>
      <c r="N25" t="s">
        <v>112</v>
      </c>
      <c r="O25" s="3">
        <v>787</v>
      </c>
      <c r="P25" s="3">
        <v>650</v>
      </c>
      <c r="Q25" s="5">
        <v>511550</v>
      </c>
      <c r="R25" t="s">
        <v>36</v>
      </c>
      <c r="S25" s="3"/>
      <c r="T25" s="3"/>
      <c r="U25" s="5"/>
      <c r="W25" s="3"/>
      <c r="X25" s="3"/>
      <c r="Y25" s="5"/>
      <c r="AA25" s="3">
        <v>1512</v>
      </c>
      <c r="AB25" s="3">
        <v>650</v>
      </c>
      <c r="AC25" s="5">
        <v>982800</v>
      </c>
      <c r="AD25" s="4" t="s">
        <v>113</v>
      </c>
      <c r="AE25" s="3"/>
      <c r="AF25" s="3"/>
      <c r="AG25" s="5"/>
      <c r="AI25" s="3"/>
      <c r="AJ25" s="3"/>
      <c r="AK25" s="5"/>
      <c r="AM25" s="3"/>
      <c r="AN25" s="3"/>
      <c r="AO25" s="5"/>
      <c r="AQ25" s="3"/>
      <c r="AR25" s="3"/>
      <c r="AS25" s="5"/>
    </row>
    <row r="26" spans="1:45" ht="30" x14ac:dyDescent="0.25">
      <c r="A26" t="s">
        <v>114</v>
      </c>
      <c r="B26" t="s">
        <v>30</v>
      </c>
      <c r="C26" t="s">
        <v>115</v>
      </c>
      <c r="D26" s="4" t="s">
        <v>116</v>
      </c>
      <c r="E26">
        <v>960</v>
      </c>
      <c r="F26" t="s">
        <v>33</v>
      </c>
      <c r="G26" s="3"/>
      <c r="H26" s="3"/>
      <c r="I26" s="5"/>
      <c r="K26" s="3">
        <v>848</v>
      </c>
      <c r="L26" s="3">
        <v>960</v>
      </c>
      <c r="M26" s="5">
        <v>814080</v>
      </c>
      <c r="N26" t="s">
        <v>117</v>
      </c>
      <c r="O26" s="3">
        <v>694</v>
      </c>
      <c r="P26" s="3">
        <v>960</v>
      </c>
      <c r="Q26" s="5">
        <v>666240</v>
      </c>
      <c r="R26" t="s">
        <v>36</v>
      </c>
      <c r="S26" s="3"/>
      <c r="T26" s="3"/>
      <c r="U26" s="5"/>
      <c r="W26" s="3"/>
      <c r="X26" s="3"/>
      <c r="Y26" s="5"/>
      <c r="AA26" s="3">
        <v>1785.6</v>
      </c>
      <c r="AB26" s="3">
        <v>960</v>
      </c>
      <c r="AC26" s="5">
        <v>1714176</v>
      </c>
      <c r="AD26" s="4" t="s">
        <v>118</v>
      </c>
      <c r="AE26" s="3"/>
      <c r="AF26" s="3"/>
      <c r="AG26" s="5"/>
      <c r="AI26" s="3"/>
      <c r="AJ26" s="3"/>
      <c r="AK26" s="5"/>
      <c r="AM26" s="3"/>
      <c r="AN26" s="3"/>
      <c r="AO26" s="5"/>
      <c r="AQ26" s="3"/>
      <c r="AR26" s="3"/>
      <c r="AS26" s="5"/>
    </row>
    <row r="27" spans="1:45" ht="30" x14ac:dyDescent="0.25">
      <c r="A27" t="s">
        <v>119</v>
      </c>
      <c r="B27" t="s">
        <v>30</v>
      </c>
      <c r="C27" t="s">
        <v>120</v>
      </c>
      <c r="D27" s="4" t="s">
        <v>121</v>
      </c>
      <c r="E27">
        <v>75</v>
      </c>
      <c r="F27" t="s">
        <v>33</v>
      </c>
      <c r="G27" s="3"/>
      <c r="H27" s="3"/>
      <c r="I27" s="5"/>
      <c r="K27" s="3"/>
      <c r="L27" s="3"/>
      <c r="M27" s="5"/>
      <c r="O27" s="3">
        <v>275</v>
      </c>
      <c r="P27" s="3">
        <v>75</v>
      </c>
      <c r="Q27" s="5">
        <v>20625</v>
      </c>
      <c r="R27" t="s">
        <v>36</v>
      </c>
      <c r="S27" s="3">
        <v>221.95</v>
      </c>
      <c r="T27" s="3">
        <v>75</v>
      </c>
      <c r="U27" s="5">
        <v>16646.25</v>
      </c>
      <c r="V27" t="s">
        <v>122</v>
      </c>
      <c r="W27" s="3"/>
      <c r="X27" s="3"/>
      <c r="Y27" s="5"/>
      <c r="AA27" s="3"/>
      <c r="AB27" s="3"/>
      <c r="AC27" s="5"/>
      <c r="AE27" s="3"/>
      <c r="AF27" s="3"/>
      <c r="AG27" s="5"/>
      <c r="AI27" s="3"/>
      <c r="AJ27" s="3"/>
      <c r="AK27" s="5"/>
      <c r="AM27" s="3"/>
      <c r="AN27" s="3"/>
      <c r="AO27" s="5"/>
      <c r="AQ27" s="3"/>
      <c r="AR27" s="3"/>
      <c r="AS27" s="5"/>
    </row>
    <row r="28" spans="1:45" ht="30" x14ac:dyDescent="0.25">
      <c r="A28" t="s">
        <v>123</v>
      </c>
      <c r="B28" t="s">
        <v>30</v>
      </c>
      <c r="C28" t="s">
        <v>124</v>
      </c>
      <c r="D28" s="4" t="s">
        <v>125</v>
      </c>
      <c r="E28">
        <v>515</v>
      </c>
      <c r="F28" t="s">
        <v>33</v>
      </c>
      <c r="G28" s="3"/>
      <c r="H28" s="3"/>
      <c r="I28" s="5"/>
      <c r="K28" s="3"/>
      <c r="L28" s="3"/>
      <c r="M28" s="5"/>
      <c r="O28" s="3"/>
      <c r="P28" s="3"/>
      <c r="Q28" s="5"/>
      <c r="S28" s="3"/>
      <c r="T28" s="3"/>
      <c r="U28" s="5"/>
      <c r="W28" s="3"/>
      <c r="X28" s="3"/>
      <c r="Y28" s="5"/>
      <c r="AA28" s="3"/>
      <c r="AB28" s="3"/>
      <c r="AC28" s="5"/>
      <c r="AE28" s="3"/>
      <c r="AF28" s="3"/>
      <c r="AG28" s="5"/>
      <c r="AI28" s="3"/>
      <c r="AJ28" s="3"/>
      <c r="AK28" s="5"/>
      <c r="AM28" s="3"/>
      <c r="AN28" s="3"/>
      <c r="AO28" s="5"/>
      <c r="AQ28" s="3"/>
      <c r="AR28" s="3"/>
      <c r="AS28" s="5"/>
    </row>
    <row r="29" spans="1:45" ht="90" x14ac:dyDescent="0.25">
      <c r="A29" t="s">
        <v>126</v>
      </c>
      <c r="B29" t="s">
        <v>30</v>
      </c>
      <c r="C29" t="s">
        <v>127</v>
      </c>
      <c r="D29" s="4" t="s">
        <v>128</v>
      </c>
      <c r="E29">
        <v>1700</v>
      </c>
      <c r="F29" t="s">
        <v>33</v>
      </c>
      <c r="G29" s="3">
        <v>290</v>
      </c>
      <c r="H29" s="3">
        <v>1700</v>
      </c>
      <c r="I29" s="5">
        <v>493000</v>
      </c>
      <c r="J29" s="4" t="s">
        <v>129</v>
      </c>
      <c r="K29" s="3"/>
      <c r="L29" s="3"/>
      <c r="M29" s="5"/>
      <c r="O29" s="3">
        <v>168</v>
      </c>
      <c r="P29" s="3">
        <v>1700</v>
      </c>
      <c r="Q29" s="5">
        <v>285600</v>
      </c>
      <c r="R29" t="s">
        <v>36</v>
      </c>
      <c r="S29" s="3"/>
      <c r="T29" s="3"/>
      <c r="U29" s="5"/>
      <c r="W29" s="3"/>
      <c r="X29" s="3"/>
      <c r="Y29" s="5"/>
      <c r="AA29" s="3"/>
      <c r="AB29" s="3"/>
      <c r="AC29" s="5"/>
      <c r="AE29" s="3">
        <v>118.3</v>
      </c>
      <c r="AF29" s="3">
        <v>1700</v>
      </c>
      <c r="AG29" s="5">
        <v>201110</v>
      </c>
      <c r="AH29" s="4" t="s">
        <v>130</v>
      </c>
      <c r="AI29" s="3"/>
      <c r="AJ29" s="3"/>
      <c r="AK29" s="5"/>
      <c r="AM29" s="3"/>
      <c r="AN29" s="3"/>
      <c r="AO29" s="5"/>
      <c r="AQ29" s="3"/>
      <c r="AR29" s="3"/>
      <c r="AS29" s="5"/>
    </row>
    <row r="30" spans="1:45" ht="30" x14ac:dyDescent="0.25">
      <c r="A30" t="s">
        <v>131</v>
      </c>
      <c r="B30" t="s">
        <v>30</v>
      </c>
      <c r="C30" t="s">
        <v>132</v>
      </c>
      <c r="D30" s="4" t="s">
        <v>133</v>
      </c>
      <c r="E30">
        <v>60</v>
      </c>
      <c r="F30" t="s">
        <v>33</v>
      </c>
      <c r="G30" s="3"/>
      <c r="H30" s="3"/>
      <c r="I30" s="5"/>
      <c r="K30" s="3"/>
      <c r="L30" s="3"/>
      <c r="M30" s="5"/>
      <c r="O30" s="3">
        <v>208</v>
      </c>
      <c r="P30" s="3">
        <v>60</v>
      </c>
      <c r="Q30" s="5">
        <v>12480</v>
      </c>
      <c r="R30" t="s">
        <v>36</v>
      </c>
      <c r="S30" s="3">
        <v>195.75</v>
      </c>
      <c r="T30" s="3">
        <v>60</v>
      </c>
      <c r="U30" s="5">
        <v>11745</v>
      </c>
      <c r="V30" s="4" t="s">
        <v>134</v>
      </c>
      <c r="W30" s="3"/>
      <c r="X30" s="3"/>
      <c r="Y30" s="5"/>
      <c r="AA30" s="3"/>
      <c r="AB30" s="3"/>
      <c r="AC30" s="5"/>
      <c r="AE30" s="3"/>
      <c r="AF30" s="3"/>
      <c r="AG30" s="5"/>
      <c r="AI30" s="3"/>
      <c r="AJ30" s="3"/>
      <c r="AK30" s="5"/>
      <c r="AM30" s="3"/>
      <c r="AN30" s="3"/>
      <c r="AO30" s="5"/>
      <c r="AQ30" s="3"/>
      <c r="AR30" s="3"/>
      <c r="AS30" s="5"/>
    </row>
    <row r="31" spans="1:45" ht="90" x14ac:dyDescent="0.25">
      <c r="A31" t="s">
        <v>135</v>
      </c>
      <c r="B31" t="s">
        <v>30</v>
      </c>
      <c r="C31" t="s">
        <v>136</v>
      </c>
      <c r="D31" s="4" t="s">
        <v>137</v>
      </c>
      <c r="E31">
        <v>70000</v>
      </c>
      <c r="F31" t="s">
        <v>33</v>
      </c>
      <c r="G31" s="3">
        <v>119</v>
      </c>
      <c r="H31" s="3">
        <v>70000</v>
      </c>
      <c r="I31" s="5">
        <v>8330000</v>
      </c>
      <c r="J31" s="4" t="s">
        <v>138</v>
      </c>
      <c r="K31" s="3">
        <v>160.75</v>
      </c>
      <c r="L31" s="3">
        <v>70000</v>
      </c>
      <c r="M31" s="5">
        <v>11252500</v>
      </c>
      <c r="N31" t="s">
        <v>139</v>
      </c>
      <c r="O31" s="3">
        <v>113</v>
      </c>
      <c r="P31" s="3">
        <v>70000</v>
      </c>
      <c r="Q31" s="5">
        <v>7910000</v>
      </c>
      <c r="R31" t="s">
        <v>36</v>
      </c>
      <c r="S31" s="3">
        <v>136.49</v>
      </c>
      <c r="T31" s="3">
        <v>70000</v>
      </c>
      <c r="U31" s="5">
        <v>9554300</v>
      </c>
      <c r="V31" s="4" t="s">
        <v>140</v>
      </c>
      <c r="W31" s="3"/>
      <c r="X31" s="3"/>
      <c r="Y31" s="5"/>
      <c r="AA31" s="3"/>
      <c r="AB31" s="3"/>
      <c r="AC31" s="5"/>
      <c r="AE31" s="3">
        <v>110.6</v>
      </c>
      <c r="AF31" s="3">
        <v>70000</v>
      </c>
      <c r="AG31" s="5">
        <v>7742000</v>
      </c>
      <c r="AH31" s="4" t="s">
        <v>141</v>
      </c>
      <c r="AI31" s="3"/>
      <c r="AJ31" s="3"/>
      <c r="AK31" s="5"/>
      <c r="AM31" s="3"/>
      <c r="AN31" s="3"/>
      <c r="AO31" s="5"/>
      <c r="AQ31" s="3"/>
      <c r="AR31" s="3"/>
      <c r="AS31" s="5"/>
    </row>
    <row r="32" spans="1:45" ht="90" x14ac:dyDescent="0.25">
      <c r="A32" t="s">
        <v>142</v>
      </c>
      <c r="B32" t="s">
        <v>30</v>
      </c>
      <c r="C32" t="s">
        <v>143</v>
      </c>
      <c r="D32" s="4" t="s">
        <v>144</v>
      </c>
      <c r="E32">
        <v>2600</v>
      </c>
      <c r="F32" t="s">
        <v>33</v>
      </c>
      <c r="G32" s="3"/>
      <c r="H32" s="3"/>
      <c r="I32" s="5"/>
      <c r="K32" s="3"/>
      <c r="L32" s="3"/>
      <c r="M32" s="5"/>
      <c r="O32" s="3">
        <v>89</v>
      </c>
      <c r="P32" s="3">
        <v>2600</v>
      </c>
      <c r="Q32" s="5">
        <v>231400</v>
      </c>
      <c r="R32" t="s">
        <v>36</v>
      </c>
      <c r="S32" s="3"/>
      <c r="T32" s="3"/>
      <c r="U32" s="5"/>
      <c r="W32" s="3">
        <v>64</v>
      </c>
      <c r="X32" s="3">
        <v>2600</v>
      </c>
      <c r="Y32" s="5">
        <v>166400</v>
      </c>
      <c r="Z32" s="4" t="s">
        <v>145</v>
      </c>
      <c r="AA32" s="3"/>
      <c r="AB32" s="3"/>
      <c r="AC32" s="5"/>
      <c r="AE32" s="3">
        <v>94.38</v>
      </c>
      <c r="AF32" s="3">
        <v>2600</v>
      </c>
      <c r="AG32" s="5">
        <v>245388</v>
      </c>
      <c r="AH32" s="4" t="s">
        <v>146</v>
      </c>
      <c r="AI32" s="3"/>
      <c r="AJ32" s="3"/>
      <c r="AK32" s="5"/>
      <c r="AM32" s="3"/>
      <c r="AN32" s="3"/>
      <c r="AO32" s="5"/>
      <c r="AQ32" s="3"/>
      <c r="AR32" s="3"/>
      <c r="AS32" s="5"/>
    </row>
    <row r="33" spans="1:46" ht="75" x14ac:dyDescent="0.25">
      <c r="A33" t="s">
        <v>147</v>
      </c>
      <c r="B33" t="s">
        <v>30</v>
      </c>
      <c r="C33" t="s">
        <v>148</v>
      </c>
      <c r="D33" s="4" t="s">
        <v>149</v>
      </c>
      <c r="E33">
        <v>150000</v>
      </c>
      <c r="F33" t="s">
        <v>33</v>
      </c>
      <c r="G33" s="3">
        <v>114</v>
      </c>
      <c r="H33" s="3">
        <v>150000</v>
      </c>
      <c r="I33" s="5">
        <v>17100000</v>
      </c>
      <c r="J33" s="4" t="s">
        <v>150</v>
      </c>
      <c r="K33" s="3">
        <v>129.80000000000001</v>
      </c>
      <c r="L33" s="3">
        <v>150000</v>
      </c>
      <c r="M33" s="5">
        <v>19470000</v>
      </c>
      <c r="N33" t="s">
        <v>151</v>
      </c>
      <c r="O33" s="3">
        <v>111</v>
      </c>
      <c r="P33" s="3">
        <v>150000</v>
      </c>
      <c r="Q33" s="5">
        <v>16650000</v>
      </c>
      <c r="R33" t="s">
        <v>36</v>
      </c>
      <c r="S33" s="3">
        <v>116.95</v>
      </c>
      <c r="T33" s="3">
        <v>150000</v>
      </c>
      <c r="U33" s="5">
        <v>17542500</v>
      </c>
      <c r="V33" s="4" t="s">
        <v>152</v>
      </c>
      <c r="W33" s="3"/>
      <c r="X33" s="3"/>
      <c r="Y33" s="5"/>
      <c r="AA33" s="3"/>
      <c r="AB33" s="3"/>
      <c r="AC33" s="5"/>
      <c r="AE33" s="3">
        <v>110</v>
      </c>
      <c r="AF33" s="3">
        <v>150000</v>
      </c>
      <c r="AG33" s="5">
        <v>16500000</v>
      </c>
      <c r="AH33" s="4" t="s">
        <v>153</v>
      </c>
      <c r="AI33" s="3"/>
      <c r="AJ33" s="3"/>
      <c r="AK33" s="5"/>
      <c r="AM33" s="3"/>
      <c r="AN33" s="3"/>
      <c r="AO33" s="5"/>
      <c r="AQ33" s="3">
        <v>98</v>
      </c>
      <c r="AR33" s="3">
        <v>150000</v>
      </c>
      <c r="AS33" s="5">
        <v>14700000</v>
      </c>
      <c r="AT33" s="4" t="s">
        <v>154</v>
      </c>
    </row>
    <row r="34" spans="1:46" ht="75" x14ac:dyDescent="0.25">
      <c r="A34" t="s">
        <v>155</v>
      </c>
      <c r="B34" t="s">
        <v>30</v>
      </c>
      <c r="C34" t="s">
        <v>156</v>
      </c>
      <c r="D34" t="s">
        <v>157</v>
      </c>
      <c r="E34">
        <v>10800</v>
      </c>
      <c r="F34" t="s">
        <v>33</v>
      </c>
      <c r="G34" s="3"/>
      <c r="H34" s="3"/>
      <c r="I34" s="5"/>
      <c r="K34" s="3"/>
      <c r="L34" s="3"/>
      <c r="M34" s="5"/>
      <c r="O34" s="3">
        <v>96</v>
      </c>
      <c r="P34" s="3">
        <v>10800</v>
      </c>
      <c r="Q34" s="5">
        <v>1036800</v>
      </c>
      <c r="R34" t="s">
        <v>36</v>
      </c>
      <c r="S34" s="3">
        <v>84.5</v>
      </c>
      <c r="T34" s="3">
        <v>10800</v>
      </c>
      <c r="U34" s="5">
        <v>912600</v>
      </c>
      <c r="V34" t="s">
        <v>158</v>
      </c>
      <c r="W34" s="3">
        <v>89</v>
      </c>
      <c r="X34" s="3">
        <v>10800</v>
      </c>
      <c r="Y34" s="5">
        <v>961200</v>
      </c>
      <c r="Z34" s="4" t="s">
        <v>159</v>
      </c>
      <c r="AA34" s="3"/>
      <c r="AB34" s="3"/>
      <c r="AC34" s="5"/>
      <c r="AE34" s="3">
        <v>92.86</v>
      </c>
      <c r="AF34" s="3">
        <v>10800</v>
      </c>
      <c r="AG34" s="5">
        <v>1002888</v>
      </c>
      <c r="AH34" s="4" t="s">
        <v>160</v>
      </c>
      <c r="AI34" s="3"/>
      <c r="AJ34" s="3"/>
      <c r="AK34" s="5"/>
      <c r="AM34" s="3"/>
      <c r="AN34" s="3"/>
      <c r="AO34" s="5"/>
      <c r="AQ34" s="3"/>
      <c r="AR34" s="3"/>
      <c r="AS34" s="5"/>
    </row>
    <row r="35" spans="1:46" ht="75" x14ac:dyDescent="0.25">
      <c r="A35" t="s">
        <v>161</v>
      </c>
      <c r="B35" t="s">
        <v>30</v>
      </c>
      <c r="C35" t="s">
        <v>162</v>
      </c>
      <c r="D35" t="s">
        <v>163</v>
      </c>
      <c r="E35">
        <v>19000</v>
      </c>
      <c r="F35" t="s">
        <v>33</v>
      </c>
      <c r="G35" s="3">
        <v>38.9</v>
      </c>
      <c r="H35" s="3">
        <v>19000</v>
      </c>
      <c r="I35" s="5">
        <v>739100</v>
      </c>
      <c r="J35" t="s">
        <v>164</v>
      </c>
      <c r="K35" s="3"/>
      <c r="L35" s="3"/>
      <c r="M35" s="5"/>
      <c r="O35" s="3">
        <v>33</v>
      </c>
      <c r="P35" s="3">
        <v>19000</v>
      </c>
      <c r="Q35" s="5">
        <v>627000</v>
      </c>
      <c r="R35" t="s">
        <v>36</v>
      </c>
      <c r="S35" s="3">
        <v>37.25</v>
      </c>
      <c r="T35" s="3">
        <v>19000</v>
      </c>
      <c r="U35" s="5">
        <v>707750</v>
      </c>
      <c r="V35" t="s">
        <v>158</v>
      </c>
      <c r="W35" s="3">
        <v>47</v>
      </c>
      <c r="X35" s="3">
        <v>19000</v>
      </c>
      <c r="Y35" s="5">
        <v>893000</v>
      </c>
      <c r="Z35" s="4" t="s">
        <v>165</v>
      </c>
      <c r="AA35" s="3"/>
      <c r="AB35" s="3"/>
      <c r="AC35" s="5"/>
      <c r="AE35" s="3"/>
      <c r="AF35" s="3"/>
      <c r="AG35" s="5"/>
      <c r="AI35" s="3"/>
      <c r="AJ35" s="3"/>
      <c r="AK35" s="5"/>
      <c r="AM35" s="3"/>
      <c r="AN35" s="3"/>
      <c r="AO35" s="5"/>
      <c r="AQ35" s="3"/>
      <c r="AR35" s="3"/>
      <c r="AS35" s="5"/>
    </row>
    <row r="36" spans="1:46" ht="60" x14ac:dyDescent="0.25">
      <c r="A36" t="s">
        <v>166</v>
      </c>
      <c r="B36" t="s">
        <v>30</v>
      </c>
      <c r="C36" t="s">
        <v>167</v>
      </c>
      <c r="D36" s="4" t="s">
        <v>168</v>
      </c>
      <c r="E36">
        <v>3300</v>
      </c>
      <c r="F36" t="s">
        <v>33</v>
      </c>
      <c r="G36" s="3"/>
      <c r="H36" s="3"/>
      <c r="I36" s="5"/>
      <c r="K36" s="3"/>
      <c r="L36" s="3"/>
      <c r="M36" s="5"/>
      <c r="O36" s="3"/>
      <c r="P36" s="3"/>
      <c r="Q36" s="5"/>
      <c r="S36" s="3">
        <v>58.25</v>
      </c>
      <c r="T36" s="3">
        <v>3300</v>
      </c>
      <c r="U36" s="5">
        <v>192225</v>
      </c>
      <c r="V36" t="s">
        <v>169</v>
      </c>
      <c r="W36" s="3">
        <v>53</v>
      </c>
      <c r="X36" s="3">
        <v>3300</v>
      </c>
      <c r="Y36" s="5">
        <v>174900</v>
      </c>
      <c r="Z36" s="4" t="s">
        <v>170</v>
      </c>
      <c r="AA36" s="3"/>
      <c r="AB36" s="3"/>
      <c r="AC36" s="5"/>
      <c r="AE36" s="3"/>
      <c r="AF36" s="3"/>
      <c r="AG36" s="5"/>
      <c r="AI36" s="3"/>
      <c r="AJ36" s="3"/>
      <c r="AK36" s="5"/>
      <c r="AM36" s="3"/>
      <c r="AN36" s="3"/>
      <c r="AO36" s="5"/>
      <c r="AQ36" s="3"/>
      <c r="AR36" s="3"/>
      <c r="AS36" s="5"/>
    </row>
    <row r="37" spans="1:46" ht="30" x14ac:dyDescent="0.25">
      <c r="A37" t="s">
        <v>171</v>
      </c>
      <c r="B37" t="s">
        <v>30</v>
      </c>
      <c r="C37" t="s">
        <v>172</v>
      </c>
      <c r="D37" s="4" t="s">
        <v>173</v>
      </c>
      <c r="E37">
        <v>520</v>
      </c>
      <c r="F37" t="s">
        <v>33</v>
      </c>
      <c r="G37" s="3"/>
      <c r="H37" s="3"/>
      <c r="I37" s="5"/>
      <c r="K37" s="3">
        <v>398</v>
      </c>
      <c r="L37" s="3">
        <v>520</v>
      </c>
      <c r="M37" s="5">
        <v>206960</v>
      </c>
      <c r="N37" t="s">
        <v>174</v>
      </c>
      <c r="O37" s="3">
        <v>488</v>
      </c>
      <c r="P37" s="3">
        <v>520</v>
      </c>
      <c r="Q37" s="5">
        <v>253760</v>
      </c>
      <c r="R37" t="s">
        <v>36</v>
      </c>
      <c r="S37" s="3"/>
      <c r="T37" s="3"/>
      <c r="U37" s="5"/>
      <c r="W37" s="3"/>
      <c r="X37" s="3"/>
      <c r="Y37" s="5"/>
      <c r="AA37" s="3"/>
      <c r="AB37" s="3"/>
      <c r="AC37" s="5"/>
      <c r="AE37" s="3"/>
      <c r="AF37" s="3"/>
      <c r="AG37" s="5"/>
      <c r="AI37" s="3"/>
      <c r="AJ37" s="3"/>
      <c r="AK37" s="5"/>
      <c r="AM37" s="3"/>
      <c r="AN37" s="3"/>
      <c r="AO37" s="5"/>
      <c r="AQ37" s="3"/>
      <c r="AR37" s="3"/>
      <c r="AS37" s="5"/>
    </row>
    <row r="38" spans="1:46" ht="30" x14ac:dyDescent="0.25">
      <c r="A38" t="s">
        <v>175</v>
      </c>
      <c r="B38" t="s">
        <v>30</v>
      </c>
      <c r="C38" t="s">
        <v>176</v>
      </c>
      <c r="D38" s="4" t="s">
        <v>177</v>
      </c>
      <c r="E38">
        <v>75</v>
      </c>
      <c r="F38" t="s">
        <v>33</v>
      </c>
      <c r="G38" s="3"/>
      <c r="H38" s="3"/>
      <c r="I38" s="5"/>
      <c r="K38" s="3"/>
      <c r="L38" s="3"/>
      <c r="M38" s="5"/>
      <c r="O38" s="3">
        <v>3100</v>
      </c>
      <c r="P38" s="3">
        <v>75</v>
      </c>
      <c r="Q38" s="5">
        <v>232500</v>
      </c>
      <c r="R38" t="s">
        <v>36</v>
      </c>
      <c r="S38" s="3"/>
      <c r="T38" s="3"/>
      <c r="U38" s="5"/>
      <c r="W38" s="3"/>
      <c r="X38" s="3"/>
      <c r="Y38" s="5"/>
      <c r="AA38" s="3"/>
      <c r="AB38" s="3"/>
      <c r="AC38" s="5"/>
      <c r="AE38" s="3"/>
      <c r="AF38" s="3"/>
      <c r="AG38" s="5"/>
      <c r="AI38" s="3"/>
      <c r="AJ38" s="3"/>
      <c r="AK38" s="5"/>
      <c r="AM38" s="3"/>
      <c r="AN38" s="3"/>
      <c r="AO38" s="5"/>
      <c r="AQ38" s="3"/>
      <c r="AR38" s="3"/>
      <c r="AS38" s="5"/>
    </row>
    <row r="39" spans="1:46" ht="30" x14ac:dyDescent="0.25">
      <c r="A39" t="s">
        <v>178</v>
      </c>
      <c r="B39" t="s">
        <v>30</v>
      </c>
      <c r="C39" t="s">
        <v>179</v>
      </c>
      <c r="D39" s="4" t="s">
        <v>180</v>
      </c>
      <c r="E39">
        <v>150</v>
      </c>
      <c r="F39" t="s">
        <v>33</v>
      </c>
      <c r="G39" s="3"/>
      <c r="H39" s="3"/>
      <c r="I39" s="5"/>
      <c r="K39" s="3"/>
      <c r="L39" s="3"/>
      <c r="M39" s="5"/>
      <c r="O39" s="3">
        <v>3100</v>
      </c>
      <c r="P39" s="3">
        <v>150</v>
      </c>
      <c r="Q39" s="5">
        <v>465000</v>
      </c>
      <c r="R39" t="s">
        <v>36</v>
      </c>
      <c r="S39" s="3"/>
      <c r="T39" s="3"/>
      <c r="U39" s="5"/>
      <c r="W39" s="3"/>
      <c r="X39" s="3"/>
      <c r="Y39" s="5"/>
      <c r="AA39" s="3"/>
      <c r="AB39" s="3"/>
      <c r="AC39" s="5"/>
      <c r="AE39" s="3"/>
      <c r="AF39" s="3"/>
      <c r="AG39" s="5"/>
      <c r="AI39" s="3"/>
      <c r="AJ39" s="3"/>
      <c r="AK39" s="5"/>
      <c r="AM39" s="3"/>
      <c r="AN39" s="3"/>
      <c r="AO39" s="5"/>
      <c r="AQ39" s="3"/>
      <c r="AR39" s="3"/>
      <c r="AS39" s="5"/>
    </row>
    <row r="40" spans="1:46" ht="75" x14ac:dyDescent="0.25">
      <c r="A40" t="s">
        <v>181</v>
      </c>
      <c r="B40" t="s">
        <v>30</v>
      </c>
      <c r="C40" t="s">
        <v>182</v>
      </c>
      <c r="D40" s="4" t="s">
        <v>183</v>
      </c>
      <c r="E40">
        <v>850</v>
      </c>
      <c r="F40" t="s">
        <v>33</v>
      </c>
      <c r="G40" s="3"/>
      <c r="H40" s="3"/>
      <c r="I40" s="5"/>
      <c r="K40" s="3">
        <v>191</v>
      </c>
      <c r="L40" s="3">
        <v>850</v>
      </c>
      <c r="M40" s="5">
        <v>162350</v>
      </c>
      <c r="N40" t="s">
        <v>184</v>
      </c>
      <c r="O40" s="3">
        <v>156</v>
      </c>
      <c r="P40" s="3">
        <v>850</v>
      </c>
      <c r="Q40" s="5">
        <v>132600</v>
      </c>
      <c r="R40" t="s">
        <v>36</v>
      </c>
      <c r="S40" s="3">
        <v>159</v>
      </c>
      <c r="T40" s="3">
        <v>850</v>
      </c>
      <c r="U40" s="5">
        <v>135150</v>
      </c>
      <c r="V40" t="s">
        <v>185</v>
      </c>
      <c r="W40" s="3"/>
      <c r="X40" s="3"/>
      <c r="Y40" s="5"/>
      <c r="AA40" s="3"/>
      <c r="AB40" s="3"/>
      <c r="AC40" s="5"/>
      <c r="AE40" s="3">
        <v>106.39</v>
      </c>
      <c r="AF40" s="3">
        <v>850</v>
      </c>
      <c r="AG40" s="5">
        <v>90431.5</v>
      </c>
      <c r="AH40" s="4" t="s">
        <v>186</v>
      </c>
      <c r="AI40" s="3"/>
      <c r="AJ40" s="3"/>
      <c r="AK40" s="5"/>
      <c r="AM40" s="3"/>
      <c r="AN40" s="3"/>
      <c r="AO40" s="5"/>
      <c r="AQ40" s="3"/>
      <c r="AR40" s="3"/>
      <c r="AS40" s="5"/>
    </row>
    <row r="41" spans="1:46" ht="60" x14ac:dyDescent="0.25">
      <c r="A41" t="s">
        <v>187</v>
      </c>
      <c r="B41" t="s">
        <v>30</v>
      </c>
      <c r="C41" t="s">
        <v>188</v>
      </c>
      <c r="D41" s="4" t="s">
        <v>189</v>
      </c>
      <c r="E41">
        <v>6650</v>
      </c>
      <c r="F41" t="s">
        <v>33</v>
      </c>
      <c r="G41" s="3">
        <v>36.9</v>
      </c>
      <c r="H41" s="3">
        <v>6650</v>
      </c>
      <c r="I41" s="5">
        <v>245385</v>
      </c>
      <c r="J41" s="4" t="s">
        <v>190</v>
      </c>
      <c r="K41" s="3"/>
      <c r="L41" s="3"/>
      <c r="M41" s="5"/>
      <c r="O41" s="3"/>
      <c r="P41" s="3"/>
      <c r="Q41" s="5"/>
      <c r="S41" s="3">
        <v>37.25</v>
      </c>
      <c r="T41" s="3">
        <v>6650</v>
      </c>
      <c r="U41" s="5">
        <v>247712.5</v>
      </c>
      <c r="V41" t="s">
        <v>191</v>
      </c>
      <c r="W41" s="3">
        <v>33</v>
      </c>
      <c r="X41" s="3">
        <v>6650</v>
      </c>
      <c r="Y41" s="5">
        <v>219450</v>
      </c>
      <c r="Z41" s="4" t="s">
        <v>192</v>
      </c>
      <c r="AA41" s="3"/>
      <c r="AB41" s="3"/>
      <c r="AC41" s="5"/>
      <c r="AE41" s="3"/>
      <c r="AF41" s="3"/>
      <c r="AG41" s="5"/>
      <c r="AI41" s="3"/>
      <c r="AJ41" s="3"/>
      <c r="AK41" s="5"/>
      <c r="AM41" s="3"/>
      <c r="AN41" s="3"/>
      <c r="AO41" s="5"/>
      <c r="AQ41" s="3"/>
      <c r="AR41" s="3"/>
      <c r="AS41" s="5"/>
    </row>
    <row r="42" spans="1:46" ht="45" x14ac:dyDescent="0.25">
      <c r="A42" t="s">
        <v>193</v>
      </c>
      <c r="B42" t="s">
        <v>30</v>
      </c>
      <c r="C42" t="s">
        <v>194</v>
      </c>
      <c r="D42" s="4" t="s">
        <v>195</v>
      </c>
      <c r="E42">
        <v>100</v>
      </c>
      <c r="F42" t="s">
        <v>33</v>
      </c>
      <c r="G42" s="3"/>
      <c r="H42" s="3"/>
      <c r="I42" s="5"/>
      <c r="K42" s="3">
        <v>2897</v>
      </c>
      <c r="L42" s="3">
        <v>100</v>
      </c>
      <c r="M42" s="5">
        <v>289700</v>
      </c>
      <c r="N42" t="s">
        <v>196</v>
      </c>
      <c r="O42" s="3"/>
      <c r="P42" s="3"/>
      <c r="Q42" s="5"/>
      <c r="S42" s="3"/>
      <c r="T42" s="3"/>
      <c r="U42" s="5"/>
      <c r="W42" s="3"/>
      <c r="X42" s="3"/>
      <c r="Y42" s="5"/>
      <c r="AA42" s="3"/>
      <c r="AB42" s="3"/>
      <c r="AC42" s="5"/>
      <c r="AE42" s="3"/>
      <c r="AF42" s="3"/>
      <c r="AG42" s="5"/>
      <c r="AI42" s="3"/>
      <c r="AJ42" s="3"/>
      <c r="AK42" s="5"/>
      <c r="AM42" s="3"/>
      <c r="AN42" s="3"/>
      <c r="AO42" s="5"/>
      <c r="AQ42" s="3"/>
      <c r="AR42" s="3"/>
      <c r="AS42" s="5"/>
    </row>
    <row r="43" spans="1:46" ht="45" x14ac:dyDescent="0.25">
      <c r="A43" t="s">
        <v>197</v>
      </c>
      <c r="B43" t="s">
        <v>30</v>
      </c>
      <c r="C43" t="s">
        <v>198</v>
      </c>
      <c r="D43" s="4" t="s">
        <v>199</v>
      </c>
      <c r="E43">
        <v>24</v>
      </c>
      <c r="F43" t="s">
        <v>33</v>
      </c>
      <c r="G43" s="3"/>
      <c r="H43" s="3"/>
      <c r="I43" s="5"/>
      <c r="K43" s="3"/>
      <c r="L43" s="3"/>
      <c r="M43" s="5"/>
      <c r="O43" s="3"/>
      <c r="P43" s="3"/>
      <c r="Q43" s="5"/>
      <c r="S43" s="3"/>
      <c r="T43" s="3"/>
      <c r="U43" s="5"/>
      <c r="W43" s="3"/>
      <c r="X43" s="3"/>
      <c r="Y43" s="5"/>
      <c r="AA43" s="3"/>
      <c r="AB43" s="3"/>
      <c r="AC43" s="5"/>
      <c r="AE43" s="3"/>
      <c r="AF43" s="3"/>
      <c r="AG43" s="5"/>
      <c r="AI43" s="3"/>
      <c r="AJ43" s="3"/>
      <c r="AK43" s="5"/>
      <c r="AM43" s="3"/>
      <c r="AN43" s="3"/>
      <c r="AO43" s="5"/>
      <c r="AQ43" s="3"/>
      <c r="AR43" s="3"/>
      <c r="AS43" s="5"/>
    </row>
    <row r="44" spans="1:46" x14ac:dyDescent="0.25">
      <c r="C44" t="s">
        <v>200</v>
      </c>
      <c r="D44" s="4"/>
      <c r="G44" s="3"/>
      <c r="H44" s="3"/>
      <c r="I44" s="5">
        <f>SUBTOTAL(109,Table2[Total por renglón])</f>
        <v>35429765</v>
      </c>
      <c r="K44" s="3"/>
      <c r="L44" s="3"/>
      <c r="M44" s="5">
        <f>SUBTOTAL(109,Table3[Total por renglón])</f>
        <v>41757020</v>
      </c>
      <c r="O44" s="3"/>
      <c r="P44" s="3"/>
      <c r="Q44" s="5">
        <f>SUBTOTAL(109,Table4[Total por renglón])</f>
        <v>32131755</v>
      </c>
      <c r="S44" s="3"/>
      <c r="T44" s="3"/>
      <c r="U44" s="5">
        <f>SUBTOTAL(109,Table5[Total por renglón])</f>
        <v>30963988.75</v>
      </c>
      <c r="W44" s="3"/>
      <c r="X44" s="3"/>
      <c r="Y44" s="5">
        <f>SUBTOTAL(109,Table6[Total por renglón])</f>
        <v>5129940</v>
      </c>
      <c r="AA44" s="3"/>
      <c r="AB44" s="3"/>
      <c r="AC44" s="5">
        <f>SUBTOTAL(109,Table7[Total por renglón])</f>
        <v>12585398</v>
      </c>
      <c r="AE44" s="3"/>
      <c r="AF44" s="3"/>
      <c r="AG44" s="5">
        <f>SUBTOTAL(109,Table8[Total por renglón])</f>
        <v>26254237.5</v>
      </c>
      <c r="AI44" s="3"/>
      <c r="AJ44" s="3"/>
      <c r="AK44" s="5">
        <f>SUBTOTAL(109,Table9[Total por renglón])</f>
        <v>13740022</v>
      </c>
      <c r="AM44" s="3"/>
      <c r="AN44" s="3"/>
      <c r="AO44" s="5">
        <f>SUBTOTAL(109,Table10[Total por renglón])</f>
        <v>3606080</v>
      </c>
      <c r="AQ44" s="3"/>
      <c r="AR44" s="3"/>
      <c r="AS44" s="5">
        <f>SUBTOTAL(109,Table11[Total por renglón])</f>
        <v>14700000</v>
      </c>
    </row>
  </sheetData>
  <mergeCells count="11"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2022-04-13T20:38:35Z</dcterms:created>
  <dcterms:modified xsi:type="dcterms:W3CDTF">2022-04-13T20:40:56Z</dcterms:modified>
</cp:coreProperties>
</file>