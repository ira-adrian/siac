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F45ADB51-96D7-4CA5-B1C1-74DFFA5CA2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<sst xmlns="http://schemas.openxmlformats.org/spreadsheetml/2006/main" count="82" uniqueCount="74">
  <si>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</si>
  <si>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</si>
  <si>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</si>
  <si>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</si>
  <si>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</si>
  <si>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</si>
  <si>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</si>
  <si>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</si>
  <si>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</si>
  <si>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</si>
  <si>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</si>
  <si>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</si>
  <si>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</si>
  <si>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</si>
  <si>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</si>
  <si>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</si>
  <si>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</si>
  <si>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</si>
  <si>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</si>
  <si>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</si>
  <si>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</si>
  <si>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</si>
  <si>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</si>
  <si>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</si>
  <si>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</si>
  <si>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</si>
  <si>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</si>
  <si>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</si>
  <si>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</si>
  <si>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</si>
  <si>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</si>
  <si>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</si>
  <si>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</si>
  <si>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</si>
  <si>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</si>
  <si>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</si>
  <si>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</si>
  <si>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</si>
  <si>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</si>
  <si>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</si>
  <si>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</si>
  <si>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</si>
  <si>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</si>
  <si>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</si>
  <si>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</si>
  <si>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</si>
  <si>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</si>
  <si>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</si>
  <si>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</si>
  <si>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</si>
  <si>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</si>
  <si>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</si>
  <si>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</si>
  <si>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</si>
  <si>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</si>
  <si>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</si>
  <si>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</si>
  <si>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</si>
  <si>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</si>
  <si>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</si>
  <si>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</si>
  <si>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</si>
  <si>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</si>
  <si>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</si>
  <si>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</si>
  <si>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</si>
  <si>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</si>
  <si>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850/2021</t>
  </si>
  <si>
    <t>Costo total estimado: Un Millon Cuatrocientos Noventa y Nueve Mil Novecientos Diecisiete con 20/100</t>
  </si>
  <si>
    <r>
      <t xml:space="preserve">TOTAL DE PESOS: </t>
    </r>
    <r>
      <rPr>
        <b/>
        <sz val="8"/>
        <rFont val="Arial"/>
        <family val="2"/>
      </rPr>
      <t>Un Millon Cuatrocientos Noventa y Nueve Mil Novecientos Diecisiete con 20/100</t>
    </r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</si>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</sst>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C25" sqref="C25:E25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7" t="s">
        <v>0</v>
      </c>
      <c r="C2" s="97"/>
      <c r="D2" s="97"/>
      <c r="E2" s="97"/>
      <c r="F2" s="97"/>
      <c r="G2" s="97"/>
      <c r="H2" s="97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8" t="s">
        <v>59</v>
      </c>
      <c r="D4" s="98"/>
      <c r="E4" s="98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8" t="s">
        <v>61</v>
      </c>
      <c r="D5" s="98"/>
      <c r="E5" s="98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15772</v>
      </c>
      <c r="H10" s="90">
        <v>95.1</v>
      </c>
      <c r="I10" s="76">
        <f>G10*H10</f>
        <v>1499917.2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1499917.2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72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70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2"/>
      <c r="D23" s="92"/>
      <c r="E23" s="92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2" t="s">
        <v>71</v>
      </c>
      <c r="D25" s="92"/>
      <c r="E25" s="92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3"/>
      <c r="D27" s="93"/>
      <c r="E27" s="93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B2:H2"/>
    <mergeCell ref="A4:B4"/>
    <mergeCell ref="C4:E4"/>
    <mergeCell ref="A5:B5"/>
    <mergeCell ref="C5:E5"/>
    <mergeCell ref="C23:E23"/>
    <mergeCell ref="C25:E25"/>
    <mergeCell ref="C27:E27"/>
    <mergeCell ref="A6:B6"/>
    <mergeCell ref="A7:B7"/>
    <mergeCell ref="C18:E18"/>
    <mergeCell ref="C20:E20"/>
    <mergeCell ref="C21:E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zoomScale="87" zoomScaleNormal="87" workbookViewId="0">
      <selection activeCell="I12" sqref="I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77" t="s">
        <v>21</v>
      </c>
      <c r="K1" s="78" t="s">
        <v>67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9" t="s">
        <v>54</v>
      </c>
      <c r="B3" s="109"/>
      <c r="C3" s="109"/>
      <c r="D3" s="110" t="str">
        <f>'Necesidades Trimestrales'!C4</f>
        <v>35 - Ministerio de Vivienda y Urbanizacion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11" t="s">
        <v>55</v>
      </c>
      <c r="B4" s="111"/>
      <c r="C4" s="111"/>
      <c r="D4" s="110" t="str">
        <f>'Necesidades Trimestrales'!C5</f>
        <v>48 - Direccion Provincial de Gestion de Administracion y Recursos Humanos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11" t="s">
        <v>33</v>
      </c>
      <c r="B5" s="111"/>
      <c r="C5" s="111"/>
      <c r="D5" s="110" t="s">
        <v>60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09" t="s">
        <v>56</v>
      </c>
      <c r="B6" s="109"/>
      <c r="C6" s="109"/>
      <c r="D6" s="110" t="s">
        <v>60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11" t="s">
        <v>22</v>
      </c>
      <c r="B7" s="111"/>
      <c r="C7" s="111"/>
      <c r="D7" s="110" t="str">
        <f>'Necesidades Trimestrales'!C7 &amp; "° Trimestre - Año " &amp; 'Necesidades Trimestrales'!C6</f>
        <v>4° Trimestre - Año 2021</v>
      </c>
      <c r="E7" s="110"/>
      <c r="F7" s="110"/>
      <c r="G7" s="110"/>
      <c r="H7" s="110"/>
      <c r="I7" s="110"/>
      <c r="J7" s="110"/>
      <c r="K7" s="110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01" t="str">
        <f>'Necesidades Trimestrales'!E10</f>
        <v>GAS OIL; PRESENTACION: POR LITRO, USO: MOTORES DIESEL, COMERCIALIZACION: GRADO 3, DESTINO: DPTO. S.F.V. DE CATAMARCA</v>
      </c>
      <c r="D12" s="101"/>
      <c r="E12" s="101"/>
      <c r="F12" s="101"/>
      <c r="G12" s="101"/>
      <c r="H12" s="83" t="s">
        <v>73</v>
      </c>
      <c r="I12" s="85" t="str">
        <f>'Necesidades Trimestrales'!F10</f>
        <v>LITROS</v>
      </c>
      <c r="J12" s="91">
        <f>'Necesidades Trimestrales'!H10</f>
        <v>95.1</v>
      </c>
      <c r="K12" s="87">
        <f>'Necesidades Trimestrales'!G10</f>
        <v>15772</v>
      </c>
    </row>
    <row r="13" spans="1:11" ht="27.75" customHeight="1" x14ac:dyDescent="0.2">
      <c r="A13" s="88"/>
      <c r="B13" s="84"/>
      <c r="C13" s="101"/>
      <c r="D13" s="101"/>
      <c r="E13" s="101"/>
      <c r="F13" s="101"/>
      <c r="G13" s="10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2"/>
      <c r="D14" s="102"/>
      <c r="E14" s="102"/>
      <c r="F14" s="102"/>
      <c r="G14" s="102"/>
      <c r="H14" s="5"/>
      <c r="I14" s="6"/>
      <c r="J14" s="6"/>
      <c r="K14" s="7"/>
    </row>
    <row r="15" spans="1:11" ht="20.25" customHeight="1" x14ac:dyDescent="0.2">
      <c r="A15" s="99" t="s">
        <v>68</v>
      </c>
      <c r="B15" s="99"/>
      <c r="C15" s="99"/>
      <c r="D15" s="99"/>
      <c r="E15" s="99"/>
      <c r="F15" s="99"/>
      <c r="G15" s="99"/>
      <c r="H15" s="99"/>
      <c r="I15" s="99"/>
      <c r="J15" s="100">
        <f>SUMPRODUCT(J12:J14,K12:K14)</f>
        <v>1499917.2</v>
      </c>
      <c r="K15" s="100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K21" sqref="K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2021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850/2021,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x14ac:dyDescent="0.2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2" t="s">
        <v>62</v>
      </c>
      <c r="P15" s="123"/>
      <c r="Q15" s="22">
        <f>'Necesidades Trimestrales'!I10</f>
        <v>1499917.2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7"/>
      <c r="P16" s="117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7"/>
      <c r="P17" s="117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7"/>
      <c r="P18" s="117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7"/>
      <c r="P19" s="117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7"/>
      <c r="P20" s="117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8"/>
      <c r="P21" s="118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9"/>
      <c r="P22" s="119"/>
      <c r="Q22" s="36"/>
    </row>
    <row r="23" spans="1:18" ht="20.25" customHeight="1" x14ac:dyDescent="0.2">
      <c r="A23" s="120" t="s">
        <v>69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37">
        <f>SUM(Q15:Q22)</f>
        <v>1499917.2</v>
      </c>
    </row>
    <row r="24" spans="1:18" ht="18" customHeight="1" thickBo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17.25" customHeight="1" thickBot="1" x14ac:dyDescent="0.25">
      <c r="A25" s="112" t="s">
        <v>53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8" ht="23.25" customHeight="1" thickBot="1" x14ac:dyDescent="0.25">
      <c r="A26" s="116" t="s">
        <v>66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8" ht="20.2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COMPRAR</cp:lastModifiedBy>
  <cp:revision>2</cp:revision>
  <cp:lastPrinted>2021-01-20T14:56:33Z</cp:lastPrinted>
  <dcterms:created xsi:type="dcterms:W3CDTF">2020-07-17T23:44:49Z</dcterms:created>
  <dcterms:modified xsi:type="dcterms:W3CDTF">2021-10-18T12:07:06Z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