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 SAF 06\PEDIDO TRIMESTRAL\ALIMENTOS NO PERECEDEROS\"/>
    </mc:Choice>
  </mc:AlternateContent>
  <bookViews>
    <workbookView xWindow="0" yWindow="0" windowWidth="28800" windowHeight="11805" tabRatio="500"/>
  </bookViews>
  <sheets>
    <sheet name="Necesidades Trimestrales" sheetId="1" r:id="rId1"/>
    <sheet name=" NotaPedido" sheetId="2" r:id="rId2"/>
    <sheet name="APG" sheetId="3" r:id="rId3"/>
  </sheets>
  <definedNames>
    <definedName name="_xlnm.Print_Area" localSheetId="1">' NotaPedido'!$A$1:$K$48</definedName>
    <definedName name="_xlnm.Print_Area" localSheetId="2">APG!$A$1:$Q$24</definedName>
  </definedNames>
  <calcPr calcId="162913"/>
</workbook>
</file>

<file path=xl/calcChain.xml><?xml version="1.0" encoding="utf-8"?>
<calcChain xmlns="http://schemas.openxmlformats.org/spreadsheetml/2006/main">
  <c r="G44" i="2" l="1"/>
  <c r="G45" i="2"/>
  <c r="F44" i="2"/>
  <c r="F45" i="2"/>
  <c r="E44" i="2"/>
  <c r="E45" i="2"/>
  <c r="C44" i="2"/>
  <c r="C45" i="2"/>
  <c r="B44" i="2"/>
  <c r="B45" i="2"/>
  <c r="A44" i="2"/>
  <c r="A45" i="2"/>
  <c r="I41" i="1" l="1"/>
  <c r="I42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A23" i="3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G43" i="2"/>
  <c r="F43" i="2"/>
  <c r="E43" i="2"/>
  <c r="C43" i="2"/>
  <c r="B43" i="2"/>
  <c r="G42" i="2"/>
  <c r="F42" i="2"/>
  <c r="E42" i="2"/>
  <c r="C42" i="2"/>
  <c r="B42" i="2"/>
  <c r="G41" i="2"/>
  <c r="F41" i="2"/>
  <c r="E41" i="2"/>
  <c r="C41" i="2"/>
  <c r="B41" i="2"/>
  <c r="G40" i="2"/>
  <c r="F40" i="2"/>
  <c r="E40" i="2"/>
  <c r="C40" i="2"/>
  <c r="B40" i="2"/>
  <c r="G39" i="2"/>
  <c r="F39" i="2"/>
  <c r="E39" i="2"/>
  <c r="C39" i="2"/>
  <c r="B39" i="2"/>
  <c r="G38" i="2"/>
  <c r="F38" i="2"/>
  <c r="E38" i="2"/>
  <c r="C38" i="2"/>
  <c r="B38" i="2"/>
  <c r="G37" i="2"/>
  <c r="F37" i="2"/>
  <c r="E37" i="2"/>
  <c r="C37" i="2"/>
  <c r="B37" i="2"/>
  <c r="G36" i="2"/>
  <c r="F36" i="2"/>
  <c r="E36" i="2"/>
  <c r="C36" i="2"/>
  <c r="B36" i="2"/>
  <c r="G35" i="2"/>
  <c r="F35" i="2"/>
  <c r="E35" i="2"/>
  <c r="C35" i="2"/>
  <c r="B35" i="2"/>
  <c r="G34" i="2"/>
  <c r="F34" i="2"/>
  <c r="E34" i="2"/>
  <c r="C34" i="2"/>
  <c r="B34" i="2"/>
  <c r="G33" i="2"/>
  <c r="F33" i="2"/>
  <c r="E33" i="2"/>
  <c r="C33" i="2"/>
  <c r="B33" i="2"/>
  <c r="G32" i="2"/>
  <c r="F32" i="2"/>
  <c r="E32" i="2"/>
  <c r="C32" i="2"/>
  <c r="B32" i="2"/>
  <c r="G31" i="2"/>
  <c r="F31" i="2"/>
  <c r="E31" i="2"/>
  <c r="C31" i="2"/>
  <c r="B31" i="2"/>
  <c r="G30" i="2"/>
  <c r="F30" i="2"/>
  <c r="E30" i="2"/>
  <c r="C30" i="2"/>
  <c r="B30" i="2"/>
  <c r="G29" i="2"/>
  <c r="F29" i="2"/>
  <c r="E29" i="2"/>
  <c r="C29" i="2"/>
  <c r="B29" i="2"/>
  <c r="G28" i="2"/>
  <c r="F28" i="2"/>
  <c r="E28" i="2"/>
  <c r="C28" i="2"/>
  <c r="B28" i="2"/>
  <c r="G27" i="2"/>
  <c r="F27" i="2"/>
  <c r="E27" i="2"/>
  <c r="C27" i="2"/>
  <c r="B27" i="2"/>
  <c r="G26" i="2"/>
  <c r="F26" i="2"/>
  <c r="E26" i="2"/>
  <c r="C26" i="2"/>
  <c r="B26" i="2"/>
  <c r="G25" i="2"/>
  <c r="F25" i="2"/>
  <c r="E25" i="2"/>
  <c r="C25" i="2"/>
  <c r="B25" i="2"/>
  <c r="G24" i="2"/>
  <c r="F24" i="2"/>
  <c r="E24" i="2"/>
  <c r="C24" i="2"/>
  <c r="B24" i="2"/>
  <c r="G23" i="2"/>
  <c r="F23" i="2"/>
  <c r="E23" i="2"/>
  <c r="C23" i="2"/>
  <c r="B23" i="2"/>
  <c r="G22" i="2"/>
  <c r="F22" i="2"/>
  <c r="E22" i="2"/>
  <c r="C22" i="2"/>
  <c r="B22" i="2"/>
  <c r="G21" i="2"/>
  <c r="F21" i="2"/>
  <c r="E21" i="2"/>
  <c r="C21" i="2"/>
  <c r="B21" i="2"/>
  <c r="G20" i="2"/>
  <c r="F20" i="2"/>
  <c r="E20" i="2"/>
  <c r="C20" i="2"/>
  <c r="B20" i="2"/>
  <c r="G19" i="2"/>
  <c r="F19" i="2"/>
  <c r="E19" i="2"/>
  <c r="C19" i="2"/>
  <c r="B19" i="2"/>
  <c r="G18" i="2"/>
  <c r="F18" i="2"/>
  <c r="E18" i="2"/>
  <c r="C18" i="2"/>
  <c r="B18" i="2"/>
  <c r="G17" i="2"/>
  <c r="F17" i="2"/>
  <c r="E17" i="2"/>
  <c r="C17" i="2"/>
  <c r="B17" i="2"/>
  <c r="G16" i="2"/>
  <c r="F16" i="2"/>
  <c r="E16" i="2"/>
  <c r="C16" i="2"/>
  <c r="B16" i="2"/>
  <c r="G15" i="2"/>
  <c r="F15" i="2"/>
  <c r="E15" i="2"/>
  <c r="C15" i="2"/>
  <c r="B15" i="2"/>
  <c r="G14" i="2"/>
  <c r="F14" i="2"/>
  <c r="E14" i="2"/>
  <c r="C14" i="2"/>
  <c r="B14" i="2"/>
  <c r="G13" i="2"/>
  <c r="F13" i="2"/>
  <c r="E13" i="2"/>
  <c r="C13" i="2"/>
  <c r="B13" i="2"/>
  <c r="A10" i="3"/>
  <c r="I44" i="1" l="1"/>
  <c r="Q15" i="3"/>
  <c r="G6" i="3"/>
  <c r="G7" i="3"/>
  <c r="C4" i="2"/>
  <c r="G4" i="3" s="1"/>
  <c r="C5" i="2"/>
  <c r="G5" i="3" s="1"/>
  <c r="D1" i="3" l="1"/>
  <c r="Q20" i="3" l="1"/>
</calcChain>
</file>

<file path=xl/sharedStrings.xml><?xml version="1.0" encoding="utf-8"?>
<sst xmlns="http://schemas.openxmlformats.org/spreadsheetml/2006/main" count="249" uniqueCount="150">
  <si>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</si>
  <si>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</si>
  <si>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</si>
  <si>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</si>
  <si>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</si>
  <si>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</si>
  <si>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</si>
  <si>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</si>
  <si>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</si>
  <si>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</si>
  <si>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</si>
  <si>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</si>
  <si>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</si>
  <si>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</si>
  <si>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</si>
  <si>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</si>
  <si>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</si>
  <si>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</si>
  <si>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</si>
  <si>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</si>
  <si>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</si>
  <si>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</si>
  <si>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</si>
  <si>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</si>
  <si>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</si>
  <si>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</si>
  <si>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</si>
  <si>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</si>
  <si>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</si>
  <si>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</si>
  <si>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</si>
  <si>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</si>
  <si>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</si>
  <si>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</si>
  <si>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</si>
  <si>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</si>
  <si>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</si>
  <si>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</si>
  <si>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</si>
  <si>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</si>
  <si>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</si>
  <si>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</si>
  <si>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</si>
  <si>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</si>
  <si>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</si>
  <si>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</si>
  <si>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</si>
  <si>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</si>
  <si>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</si>
  <si>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</si>
  <si>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</si>
  <si>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</si>
  <si>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OBSERVACIONES:</t>
  </si>
  <si>
    <t>Plazos y lugares de entrega:</t>
  </si>
  <si>
    <t>Calidad Minima esperada:</t>
  </si>
  <si>
    <t>Mantenimiento:</t>
  </si>
  <si>
    <t>NO</t>
  </si>
  <si>
    <t>ALIMENTOS</t>
  </si>
  <si>
    <t>KG</t>
  </si>
  <si>
    <t>UNIDAD</t>
  </si>
  <si>
    <t>12 -Ministerio de Gobierno, Justicia y Derechos Humanos.</t>
  </si>
  <si>
    <t>06 - Secretaria de Gestion Administrativa del Ministerio de Gobierno, Justicia y Derechos Humanos</t>
  </si>
  <si>
    <t>Atención Integral de Víctimas de violencia de Género (HOGAR WARMI).</t>
  </si>
  <si>
    <t>Ministerio de Gobierno, Justicia y Derechos Humanos.</t>
  </si>
  <si>
    <t>30 (treinta)  días habiles</t>
  </si>
  <si>
    <t>Forma de Pago:</t>
  </si>
  <si>
    <t>Alimentos para personas</t>
  </si>
  <si>
    <t>Especificidades de los Items:</t>
  </si>
  <si>
    <t>2do. TRIMESTRE</t>
  </si>
  <si>
    <t>2022 - 2do Trimestre</t>
  </si>
  <si>
    <t>Se solicita Pagos parciales por cada Solicitud de Provision emitida, una vez finalizada la entrega de las cantidades 
contenidas en la misma.</t>
  </si>
  <si>
    <t>2.1.1-439.65</t>
  </si>
  <si>
    <t>2.1.1-481.38</t>
  </si>
  <si>
    <t>2.1.1-2868.59</t>
  </si>
  <si>
    <t>2.1.1-2868.55</t>
  </si>
  <si>
    <t>2.1.1-2868.54</t>
  </si>
  <si>
    <t>2.1.1-435.60</t>
  </si>
  <si>
    <t>2.1.1-482.80</t>
  </si>
  <si>
    <t>2.1.1-706.6</t>
  </si>
  <si>
    <t>2.1.1-511.8</t>
  </si>
  <si>
    <t>2.1.1-2615.15</t>
  </si>
  <si>
    <t>2.1.1-455.24</t>
  </si>
  <si>
    <t>2.1.1-454.25</t>
  </si>
  <si>
    <t>2.1.1-6547.84</t>
  </si>
  <si>
    <t>2.1.1-708.42</t>
  </si>
  <si>
    <t>2.1.1-708.23</t>
  </si>
  <si>
    <t>2.1.1-6546.269</t>
  </si>
  <si>
    <t>2.1.1-6539.54</t>
  </si>
  <si>
    <t>2.1.1-509.10</t>
  </si>
  <si>
    <t>2.1.1-510.5</t>
  </si>
  <si>
    <t>2.1.1-482.81</t>
  </si>
  <si>
    <t>2.1.1-705.93</t>
  </si>
  <si>
    <t>2.1.1-513.9</t>
  </si>
  <si>
    <t>2.1.1-517.86</t>
  </si>
  <si>
    <t>2.1.1-788.226</t>
  </si>
  <si>
    <t>2.1.1-788.206</t>
  </si>
  <si>
    <t>2.1.1-514.2</t>
  </si>
  <si>
    <t>2.1.1-514.15</t>
  </si>
  <si>
    <t>2.1.1-2431.13</t>
  </si>
  <si>
    <t>2.1.1-2431.20</t>
  </si>
  <si>
    <t>2.1.1-2113.1</t>
  </si>
  <si>
    <t>2.1.1-2113.2</t>
  </si>
  <si>
    <t>2.1.1-9508.2</t>
  </si>
  <si>
    <t>PURE; TIPO: DE TOMATE, ENVASE: CAJA DE CARTON, PESO: 530 GR</t>
  </si>
  <si>
    <t>LITROS</t>
  </si>
  <si>
    <r>
      <rPr>
        <b/>
        <sz val="10"/>
        <rFont val="Calibri"/>
        <family val="2"/>
        <scheme val="minor"/>
      </rPr>
      <t>ACEITES COMESTIBLES;</t>
    </r>
    <r>
      <rPr>
        <sz val="10"/>
        <rFont val="Calibri"/>
        <family val="2"/>
        <scheme val="minor"/>
      </rPr>
      <t xml:space="preserve"> TIPO: GIRASOL, PRESENTACION: ENVASE X 1,5 L, MATERIAL ENVASE: PLASTICO 1 (PET),ELEM. TRANSPORTE: SIN, MATERIAL ELEM. TRANSPORTE: SIN, LIBRE DE GLUTEN: NO</t>
    </r>
  </si>
  <si>
    <r>
      <rPr>
        <b/>
        <sz val="10"/>
        <rFont val="Calibri"/>
        <family val="2"/>
        <scheme val="minor"/>
      </rPr>
      <t xml:space="preserve">AZUCARES; </t>
    </r>
    <r>
      <rPr>
        <sz val="10"/>
        <rFont val="Calibri"/>
        <family val="2"/>
        <scheme val="minor"/>
      </rPr>
      <t>TIPO: "A" COMUN, ESTADO: MOLIDA, PESO: 1 Kg,  MATERIAL ENVASE: PLASTICO, CERTIFICADO FORESTAL (GFS): SIN, ELEM. TRANSPORTE: SIN, MATERIAL ELEM. TRANSPORTE: SIN</t>
    </r>
  </si>
  <si>
    <r>
      <rPr>
        <b/>
        <sz val="10"/>
        <rFont val="Calibri"/>
        <family val="2"/>
        <scheme val="minor"/>
      </rPr>
      <t>FIDEOS SECOS</t>
    </r>
    <r>
      <rPr>
        <sz val="10"/>
        <rFont val="Calibri"/>
        <family val="2"/>
        <scheme val="minor"/>
      </rPr>
      <t>; VARIEDAD: MOSTACHOLES, RELLENO: SIN, PRESENTACION: ENVASE X 500 GR, MATERIAL  ENVASE: PVC, ELEM. TRANSPORTE: CAJA, MATERIAL ELEM. TRANSPORTE: CARTON, CERTIFICADO FORESTAL (GFS): SIN, LIBRE DE GLUTEN: NO</t>
    </r>
  </si>
  <si>
    <r>
      <rPr>
        <b/>
        <sz val="10"/>
        <rFont val="Calibri"/>
        <family val="2"/>
        <scheme val="minor"/>
      </rPr>
      <t>FIDEOS SECOS;</t>
    </r>
    <r>
      <rPr>
        <sz val="10"/>
        <rFont val="Calibri"/>
        <family val="2"/>
        <scheme val="minor"/>
      </rPr>
      <t xml:space="preserve"> VARIEDAD: TALLARIN, RELLENO: SIN, PRESENTACION: ENVASE X 500 GR, MATERIAL ENVASE: PLASTICO 1 (PET), ELEM. TRANSPORTE: SIN, MATERIAL
 ELEM. TRANSPORTE: SIN, CERTIFICADO FORESTAL (GFS): SIN, LIBRE DE GLUTEN: NO</t>
    </r>
  </si>
  <si>
    <r>
      <rPr>
        <b/>
        <sz val="10"/>
        <rFont val="Calibri"/>
        <family val="2"/>
        <scheme val="minor"/>
      </rPr>
      <t>FIDEOS SECOS</t>
    </r>
    <r>
      <rPr>
        <sz val="10"/>
        <rFont val="Calibri"/>
        <family val="2"/>
        <scheme val="minor"/>
      </rPr>
      <t>; VARIEDAD: SOPERO, RELLENO: SIN, PRESENTACION: ENVASE X 500 GR, MATERIAL ENVASE: PLASTICO 1 (PET), ELEM. TRANSPORTE: SIN, MATERIAL
 ELEM. TRANSPORTE: SIN, CERTIFICADO FORESTAL (GFS): SIN, LIBRE DE GLUTEN: NO</t>
    </r>
  </si>
  <si>
    <r>
      <rPr>
        <b/>
        <sz val="10"/>
        <rFont val="Calibri"/>
        <family val="2"/>
        <scheme val="minor"/>
      </rPr>
      <t>ARROZ</t>
    </r>
    <r>
      <rPr>
        <sz val="10"/>
        <rFont val="Calibri"/>
        <family val="2"/>
        <scheme val="minor"/>
      </rPr>
      <t>; TIPO GRANO: LARGO-FINO, TIPO: BLANCO, PROCESO: SIN CASCARA, PRESENTACION: BOLSA X 1Kg, MATERIAL ENVASE: PLASTICO, CERTIFICADO FORESTAL (GFS): SIN, ELEM. TRANSPORTE: SIN, MATERIAL ELEM.TRANSPORTE: SIN, LIBRE DE GLUTEN: SI</t>
    </r>
  </si>
  <si>
    <r>
      <rPr>
        <b/>
        <sz val="10"/>
        <rFont val="Calibri"/>
        <family val="2"/>
        <scheme val="minor"/>
      </rPr>
      <t>HARINAS</t>
    </r>
    <r>
      <rPr>
        <sz val="10"/>
        <rFont val="Calibri"/>
        <family val="2"/>
        <scheme val="minor"/>
      </rPr>
      <t>; TIPO: DE TRIGO 000, PRESENTACION: ENVASE X 1 Kg, MATERIAL ENVASE: PAPEL, CERTICADO FORESTAL (GFS): SIN, ELEM. TRANSPORTE: SIN, MATERIAL ELEM. TRANSPORTE: SIN, LIBRE DE GLUTEN: NO</t>
    </r>
  </si>
  <si>
    <r>
      <rPr>
        <b/>
        <sz val="10"/>
        <rFont val="Calibri"/>
        <family val="2"/>
        <scheme val="minor"/>
      </rPr>
      <t>MATE COCIDO</t>
    </r>
    <r>
      <rPr>
        <sz val="10"/>
        <rFont val="Calibri"/>
        <family val="2"/>
        <scheme val="minor"/>
      </rPr>
      <t>; ENVASE: CAJA CARTON, PRESENTACION:ENSOBRADO, SAQUITOS P/CAJA: 100 UN, PESO X  SAQ.: 3 GR</t>
    </r>
  </si>
  <si>
    <r>
      <rPr>
        <b/>
        <sz val="10"/>
        <rFont val="Calibri"/>
        <family val="2"/>
        <scheme val="minor"/>
      </rPr>
      <t>TE;</t>
    </r>
    <r>
      <rPr>
        <sz val="10"/>
        <rFont val="Calibri"/>
        <family val="2"/>
        <scheme val="minor"/>
      </rPr>
      <t xml:space="preserve"> SAQUITOS 2G P/CAJA: 50, PESO: SIN VALOR, TIPO: SIN VALOR, PRESENTACION: EN SAQUITOS</t>
    </r>
  </si>
  <si>
    <r>
      <rPr>
        <b/>
        <sz val="10"/>
        <rFont val="Calibri"/>
        <family val="2"/>
        <scheme val="minor"/>
      </rPr>
      <t>CACAO</t>
    </r>
    <r>
      <rPr>
        <sz val="10"/>
        <rFont val="Calibri"/>
        <family val="2"/>
        <scheme val="minor"/>
      </rPr>
      <t>; TIPO: INSTANTANEO, PRESENTACION: ENVASE X 800 GR, FORMA DE PRESENTACION: POLVO, MATERIAL ENVASE: CARTON, CERTICADO FORESTAL (GFS): CON, LIBRE DE GLUTEN: SI</t>
    </r>
  </si>
  <si>
    <r>
      <rPr>
        <b/>
        <sz val="10"/>
        <rFont val="Calibri"/>
        <family val="2"/>
        <scheme val="minor"/>
      </rPr>
      <t>DULCE DE LECHE</t>
    </r>
    <r>
      <rPr>
        <sz val="10"/>
        <rFont val="Calibri"/>
        <family val="2"/>
        <scheme val="minor"/>
      </rPr>
      <t>; TIPO: COMUN, ENVASE: PLASTICO, CAPACIDAD: 1 Kg, PRESENTACION: ENVASE PLASTICO X 1 Kg</t>
    </r>
  </si>
  <si>
    <r>
      <rPr>
        <b/>
        <sz val="10"/>
        <rFont val="Calibri"/>
        <family val="2"/>
        <scheme val="minor"/>
      </rPr>
      <t>YERBAS; PALO</t>
    </r>
    <r>
      <rPr>
        <sz val="10"/>
        <rFont val="Calibri"/>
        <family val="2"/>
        <scheme val="minor"/>
      </rPr>
      <t>: CON, PESO: 1 Kg, MATERIAL ENVASE: PAPEL, CERTIFICADO FORESTAL (GFS): CON, ELEM.TRANSPORTE: SIN, MATERIAL ELEM. TRANSPORTE: 
SIN, LIBRE DE GLUTEN: SI</t>
    </r>
  </si>
  <si>
    <r>
      <rPr>
        <b/>
        <sz val="10"/>
        <rFont val="Calibri"/>
        <family val="2"/>
        <scheme val="minor"/>
      </rPr>
      <t>LEGUMBRES</t>
    </r>
    <r>
      <rPr>
        <sz val="10"/>
        <rFont val="Calibri"/>
        <family val="2"/>
        <scheme val="minor"/>
      </rPr>
      <t>; VARIEDAD: ARVEJAS, ESTADO: CONSERVA, PRESENTACION: LATA, PESO: 350 GR, MATERIAL ENVASE: METAL, ELEM. TRANSPORTE: SIN, MATERIAL
 ELEM. TRANSPORTE: SIN, LIBRE DE GLUTEN: NO</t>
    </r>
  </si>
  <si>
    <r>
      <t>CONSERVAS PESCADO Y FRUTOS MAR; TIPO:</t>
    </r>
    <r>
      <rPr>
        <b/>
        <sz val="10"/>
        <rFont val="Calibri"/>
        <family val="2"/>
        <scheme val="minor"/>
      </rPr>
      <t xml:space="preserve"> ATUN</t>
    </r>
    <r>
      <rPr>
        <sz val="10"/>
        <rFont val="Calibri"/>
        <family val="2"/>
        <scheme val="minor"/>
      </rPr>
      <t>, ESTADO: EN ACEITE, PESO: 300 GR, ENVASE: LATA, ELEM. TRANSPORTE: SIN, MATERIAL ELEM. TRANSPORTE: SIN</t>
    </r>
  </si>
  <si>
    <r>
      <t xml:space="preserve">CONSERVAS PESCADO Y FRUTOS MAR; ESTADO: AL NATURAL, PESO: 380 GR, ENVASE: LATA, TIPO: </t>
    </r>
    <r>
      <rPr>
        <b/>
        <sz val="10"/>
        <rFont val="Calibri"/>
        <family val="2"/>
        <scheme val="minor"/>
      </rPr>
      <t>CABALLA</t>
    </r>
    <r>
      <rPr>
        <sz val="10"/>
        <rFont val="Calibri"/>
        <family val="2"/>
        <scheme val="minor"/>
      </rPr>
      <t>, ESPECIE: CABALLA</t>
    </r>
  </si>
  <si>
    <r>
      <t>VERDURAS Y HORTALIZAS; VARIEDAD:</t>
    </r>
    <r>
      <rPr>
        <b/>
        <sz val="10"/>
        <rFont val="Calibri"/>
        <family val="2"/>
        <scheme val="minor"/>
      </rPr>
      <t xml:space="preserve"> CHOCLO</t>
    </r>
    <r>
      <rPr>
        <sz val="10"/>
        <rFont val="Calibri"/>
        <family val="2"/>
        <scheme val="minor"/>
      </rPr>
      <t xml:space="preserve">, ESTADO: GRANO, PRESENTACION: </t>
    </r>
    <r>
      <rPr>
        <b/>
        <sz val="10"/>
        <rFont val="Calibri"/>
        <family val="2"/>
        <scheme val="minor"/>
      </rPr>
      <t>LATA</t>
    </r>
    <r>
      <rPr>
        <sz val="10"/>
        <rFont val="Calibri"/>
        <family val="2"/>
        <scheme val="minor"/>
      </rPr>
      <t>, PESO: 350 GR</t>
    </r>
  </si>
  <si>
    <r>
      <t xml:space="preserve">FRUTAS; VARIEDAD: </t>
    </r>
    <r>
      <rPr>
        <b/>
        <sz val="10"/>
        <rFont val="Calibri"/>
        <family val="2"/>
        <scheme val="minor"/>
      </rPr>
      <t>DURAZNO</t>
    </r>
    <r>
      <rPr>
        <sz val="10"/>
        <rFont val="Calibri"/>
        <family val="2"/>
        <scheme val="minor"/>
      </rPr>
      <t>, PRESENTACION: ENVASE X 820 GR, ESTADO: NATURAL, PESO: 820 GR</t>
    </r>
  </si>
  <si>
    <r>
      <rPr>
        <b/>
        <sz val="10"/>
        <rFont val="Calibri"/>
        <family val="2"/>
        <scheme val="minor"/>
      </rPr>
      <t>GELATINAS;</t>
    </r>
    <r>
      <rPr>
        <sz val="10"/>
        <rFont val="Calibri"/>
        <family val="2"/>
        <scheme val="minor"/>
      </rPr>
      <t xml:space="preserve"> ENVASE: CAJA DE CARTON, PESO: 30 GR, TIPO: BAJAS CALORIAS, SABOR: FRUTILLA</t>
    </r>
  </si>
  <si>
    <r>
      <rPr>
        <b/>
        <sz val="10"/>
        <rFont val="Calibri"/>
        <family val="2"/>
        <scheme val="minor"/>
      </rPr>
      <t>HARINAS</t>
    </r>
    <r>
      <rPr>
        <sz val="10"/>
        <rFont val="Calibri"/>
        <family val="2"/>
        <scheme val="minor"/>
      </rPr>
      <t>; TIPO: LEUDANTE, PRESENTACION: ENVASE X 1 Kg, MATERIAL ENVASE: PAPEL, CERTICADO FORESTAL (GFS): SIN, ELEM. TRANSPORTE: SIN, 
MATERIAL ELEM. TRANSPORTE: SIN, LIBRE DE GLUTEN: NO</t>
    </r>
  </si>
  <si>
    <r>
      <rPr>
        <b/>
        <sz val="10"/>
        <rFont val="Calibri"/>
        <family val="2"/>
        <scheme val="minor"/>
      </rPr>
      <t>LECHE; ESTADO: POLVO,</t>
    </r>
    <r>
      <rPr>
        <sz val="10"/>
        <rFont val="Calibri"/>
        <family val="2"/>
        <scheme val="minor"/>
      </rPr>
      <t xml:space="preserve"> TIPO: ENTERA, PROCESO: PASTEURIZADA, AGREGADO: VITAMINAS A Y D, PRESENTACION: ENVASE X 800 GR, MATERIAL ENVASE:CARTON, ELEM. TRANSPORTE: SIN, MATERIAL ELEM. TRANSPORTE: SIN, CERTIFICADO FORESTAL (GFS): SIN, LIBRE DE GLUTEN: SI</t>
    </r>
  </si>
  <si>
    <r>
      <rPr>
        <b/>
        <sz val="10"/>
        <rFont val="Calibri"/>
        <family val="2"/>
        <scheme val="minor"/>
      </rPr>
      <t xml:space="preserve">FLANES; </t>
    </r>
    <r>
      <rPr>
        <sz val="10"/>
        <rFont val="Calibri"/>
        <family val="2"/>
        <scheme val="minor"/>
      </rPr>
      <t>PESO: 60 GR, ENVASE: CAJA CARTON, ESTADO PREPARACION: CON COCCION, SABOR: VAINILLA, TIPO: SIN VALOR, PRESENTACION: 60 GR</t>
    </r>
  </si>
  <si>
    <r>
      <rPr>
        <b/>
        <sz val="10"/>
        <rFont val="Calibri"/>
        <family val="2"/>
        <scheme val="minor"/>
      </rPr>
      <t>POSTRES;</t>
    </r>
    <r>
      <rPr>
        <sz val="10"/>
        <rFont val="Calibri"/>
        <family val="2"/>
        <scheme val="minor"/>
      </rPr>
      <t xml:space="preserve"> ESTADO PREPARACION: CON COCCION, TIPO: POLVO, ENVASE: CAJA DE CARTON, PESO: 80 GR, SABOR: VAINILLA, LIBRE DE GLUTEN: SI</t>
    </r>
  </si>
  <si>
    <r>
      <rPr>
        <b/>
        <sz val="10"/>
        <rFont val="Calibri"/>
        <family val="2"/>
        <scheme val="minor"/>
      </rPr>
      <t>GALLETITAS</t>
    </r>
    <r>
      <rPr>
        <sz val="10"/>
        <rFont val="Calibri"/>
        <family val="2"/>
        <scheme val="minor"/>
      </rPr>
      <t xml:space="preserve">; VARIEDAD: </t>
    </r>
    <r>
      <rPr>
        <b/>
        <sz val="10"/>
        <rFont val="Calibri"/>
        <family val="2"/>
        <scheme val="minor"/>
      </rPr>
      <t>SALADA</t>
    </r>
    <r>
      <rPr>
        <sz val="10"/>
        <rFont val="Calibri"/>
        <family val="2"/>
        <scheme val="minor"/>
      </rPr>
      <t>, RELLENO: SIN, PRESENTACION: ENVASE X 100 GR,
 ELEM. TRANSPORTE: SIN, MATERIAL ELEM. TRANSPORTE: SIN, LIBRE DE GLUTEN: SI</t>
    </r>
  </si>
  <si>
    <r>
      <rPr>
        <b/>
        <sz val="10"/>
        <rFont val="Calibri"/>
        <family val="2"/>
        <scheme val="minor"/>
      </rPr>
      <t>GALLETITAS</t>
    </r>
    <r>
      <rPr>
        <sz val="10"/>
        <rFont val="Calibri"/>
        <family val="2"/>
        <scheme val="minor"/>
      </rPr>
      <t xml:space="preserve">; VARIEDAD: </t>
    </r>
    <r>
      <rPr>
        <b/>
        <sz val="10"/>
        <rFont val="Calibri"/>
        <family val="2"/>
        <scheme val="minor"/>
      </rPr>
      <t>SURTIDAS DULCES</t>
    </r>
    <r>
      <rPr>
        <sz val="10"/>
        <rFont val="Calibri"/>
        <family val="2"/>
        <scheme val="minor"/>
      </rPr>
      <t>, RELLENO: SIN, PRESENTACION: ENVASEX 400 GR, ELEM. TRANSPORTE: CAJA, MATERIAL ELEM. TRANSPORTE: CARTON, LIBRE DE GLUTEN: NO</t>
    </r>
  </si>
  <si>
    <r>
      <rPr>
        <b/>
        <sz val="10"/>
        <rFont val="Calibri"/>
        <family val="2"/>
        <scheme val="minor"/>
      </rPr>
      <t>SAL DE MESA</t>
    </r>
    <r>
      <rPr>
        <sz val="10"/>
        <rFont val="Calibri"/>
        <family val="2"/>
        <scheme val="minor"/>
      </rPr>
      <t>; CONSISTENCIA: FINA, PESO: 500 GR, TIPO: SIN VALOR, ENVASE: 
PAQUETE</t>
    </r>
  </si>
  <si>
    <r>
      <rPr>
        <b/>
        <sz val="10"/>
        <rFont val="Calibri"/>
        <family val="2"/>
        <scheme val="minor"/>
      </rPr>
      <t>SAL DE MESA</t>
    </r>
    <r>
      <rPr>
        <sz val="10"/>
        <rFont val="Calibri"/>
        <family val="2"/>
        <scheme val="minor"/>
      </rPr>
      <t>; CONSISTENCIA: GRUESA, ENVASE: BOLSA, PESO: 1 Kg, TIPO: SIN
 VALOR</t>
    </r>
  </si>
  <si>
    <r>
      <rPr>
        <b/>
        <sz val="10"/>
        <rFont val="Calibri"/>
        <family val="2"/>
        <scheme val="minor"/>
      </rPr>
      <t>CALDOS</t>
    </r>
    <r>
      <rPr>
        <sz val="10"/>
        <rFont val="Calibri"/>
        <family val="2"/>
        <scheme val="minor"/>
      </rPr>
      <t>; GUSTO: VERDURA, TIPO: DESHIDRATADO, PRESENTACION: ENVASE X 
12 UN</t>
    </r>
  </si>
  <si>
    <r>
      <rPr>
        <b/>
        <sz val="10"/>
        <rFont val="Calibri"/>
        <family val="2"/>
        <scheme val="minor"/>
      </rPr>
      <t>CALDOS</t>
    </r>
    <r>
      <rPr>
        <sz val="10"/>
        <rFont val="Calibri"/>
        <family val="2"/>
        <scheme val="minor"/>
      </rPr>
      <t>; GUSTO: GALLINA, TIPO: CONCENTRADO, PRESENTACION: ENVASE X 
12 CUBOS</t>
    </r>
  </si>
  <si>
    <r>
      <rPr>
        <b/>
        <sz val="10"/>
        <rFont val="Calibri"/>
        <family val="2"/>
        <scheme val="minor"/>
      </rPr>
      <t>DULCES;</t>
    </r>
    <r>
      <rPr>
        <sz val="10"/>
        <rFont val="Calibri"/>
        <family val="2"/>
        <scheme val="minor"/>
      </rPr>
      <t xml:space="preserve"> TIPO: DE BATATA, PRESENTACION: LATA, PESO: 5 Kg</t>
    </r>
  </si>
  <si>
    <r>
      <rPr>
        <b/>
        <sz val="10"/>
        <rFont val="Calibri"/>
        <family val="2"/>
        <scheme val="minor"/>
      </rPr>
      <t>DULCES;</t>
    </r>
    <r>
      <rPr>
        <sz val="10"/>
        <rFont val="Calibri"/>
        <family val="2"/>
        <scheme val="minor"/>
      </rPr>
      <t xml:space="preserve"> TIPO: DE MEMBRILLO, PRESENTACION: LATA, PESO: 5 Kg</t>
    </r>
  </si>
  <si>
    <r>
      <rPr>
        <b/>
        <sz val="10"/>
        <rFont val="Calibri"/>
        <family val="2"/>
        <scheme val="minor"/>
      </rPr>
      <t>CHUPETINES</t>
    </r>
    <r>
      <rPr>
        <sz val="10"/>
        <rFont val="Calibri"/>
        <family val="2"/>
        <scheme val="minor"/>
      </rPr>
      <t>; TIPO: BOLITA, PRESENTACION: ENVASE X 50 UN, PESO: 10 GR</t>
    </r>
  </si>
  <si>
    <t>ADQ. DE ALIMENTOS NO PERECEDEROS PARA EL HOGAR DE PROTECCION INTEGRAL DE VICTIMAS DE VIOLENCIA DE GENERO  (HOGAR WARMI).</t>
  </si>
  <si>
    <t>24/2022</t>
  </si>
  <si>
    <t>Costo total estimado: Pesos Trescientos Ochenta y Cinco Mil Cuatrocientos Cincuenta con 00/100.-</t>
  </si>
  <si>
    <r>
      <rPr>
        <u/>
        <sz val="11"/>
        <rFont val="Calibri"/>
        <family val="2"/>
        <scheme val="minor"/>
      </rPr>
      <t>ÍTEM N° 17:</t>
    </r>
    <r>
      <rPr>
        <sz val="11"/>
        <rFont val="Calibri"/>
        <family val="2"/>
        <scheme val="minor"/>
      </rPr>
      <t xml:space="preserve"> PRESENTACION: LATA.</t>
    </r>
  </si>
  <si>
    <t>TOTAL DE PESOS: Trescientos Ochenta y Cinco Mil Cuatrocientos Cincuenta con 00/100.-</t>
  </si>
  <si>
    <r>
      <rPr>
        <u/>
        <sz val="11"/>
        <rFont val="Calibri"/>
        <family val="2"/>
        <scheme val="minor"/>
      </rPr>
      <t>ÍTEM N° 01:</t>
    </r>
    <r>
      <rPr>
        <sz val="11"/>
        <rFont val="Calibri"/>
        <family val="2"/>
        <scheme val="minor"/>
      </rPr>
      <t xml:space="preserve"> 50 botellas de 1,5 litros.</t>
    </r>
  </si>
  <si>
    <r>
      <rPr>
        <u/>
        <sz val="11"/>
        <rFont val="Calibri"/>
        <family val="2"/>
        <scheme val="minor"/>
      </rPr>
      <t>ÍTEM N° 09:</t>
    </r>
    <r>
      <rPr>
        <sz val="11"/>
        <rFont val="Calibri"/>
        <family val="2"/>
        <scheme val="minor"/>
      </rPr>
      <t xml:space="preserve"> del tipo "clasico".</t>
    </r>
  </si>
  <si>
    <t>CONSERVAS DE CARNE; TIPO: PICADILLO, VARIEDAD: CARNE, ENVASE: LATA, PESO: 90 GR</t>
  </si>
  <si>
    <t>2.1.1-731.19</t>
  </si>
  <si>
    <r>
      <rPr>
        <u/>
        <sz val="11"/>
        <rFont val="Calibri"/>
        <family val="2"/>
        <scheme val="minor"/>
      </rPr>
      <t>ÍTEM N° 23:</t>
    </r>
    <r>
      <rPr>
        <sz val="11"/>
        <rFont val="Calibri"/>
        <family val="2"/>
        <scheme val="minor"/>
      </rPr>
      <t xml:space="preserve"> del tipo "comun".</t>
    </r>
  </si>
  <si>
    <r>
      <rPr>
        <u/>
        <sz val="11"/>
        <rFont val="Calibri"/>
        <family val="2"/>
        <scheme val="minor"/>
      </rPr>
      <t>ÍTEM N° 24:</t>
    </r>
    <r>
      <rPr>
        <sz val="11"/>
        <rFont val="Calibri"/>
        <family val="2"/>
        <scheme val="minor"/>
      </rPr>
      <t xml:space="preserve"> del tipo "comun".</t>
    </r>
  </si>
  <si>
    <r>
      <rPr>
        <u/>
        <sz val="11"/>
        <rFont val="Calibri"/>
        <family val="2"/>
        <scheme val="minor"/>
      </rPr>
      <t>ÍTEM N° 27:</t>
    </r>
    <r>
      <rPr>
        <sz val="11"/>
        <rFont val="Calibri"/>
        <family val="2"/>
        <scheme val="minor"/>
      </rPr>
      <t xml:space="preserve"> del tipo bajo en sodio.</t>
    </r>
  </si>
  <si>
    <t>Que cumpla con lo solicitado y condiciones de calidad adjuntas en Anexo, productos de muy buena calidad.-</t>
  </si>
  <si>
    <r>
      <rPr>
        <b/>
        <sz val="11"/>
        <rFont val="Calibri"/>
        <family val="2"/>
        <scheme val="minor"/>
      </rPr>
      <t xml:space="preserve">a) LUGAR DE ENTREGA:  </t>
    </r>
    <r>
      <rPr>
        <sz val="11"/>
        <rFont val="Calibri"/>
        <family val="2"/>
        <scheme val="minor"/>
      </rPr>
      <t>Hogar de Protección Integral de Victimas de Violencia de Género "WARMI"- Pasaje Dr Gallo S/N frente a la Guardia de Maternidad Provincial - Capital - De 08 a 12 horas.</t>
    </r>
    <r>
      <rPr>
        <b/>
        <sz val="11"/>
        <rFont val="Calibri"/>
        <family val="2"/>
        <scheme val="minor"/>
      </rPr>
      <t xml:space="preserve">
b</t>
    </r>
    <r>
      <rPr>
        <sz val="11"/>
        <rFont val="Calibri"/>
        <family val="2"/>
        <scheme val="minor"/>
      </rPr>
      <t xml:space="preserve">)FORMA DE ENTREGA: Las entregas se realizarán a requerimiento de acuerdo, a las Solicitudes de Provisión que se realicen, libre de flete, acarreo y embalaje, como así también, de todo riesgo de pérdida o destrucción total o parcial, por causas ajenas a la Institución. Se estima emitir una cantidad aproximada de 2 (Dos) Solicitudes de Provisión de 1/2 aprox. de la cantidad solicitada: 1° Solic.de Provisión: aprox.a los 3 (Tres) dias hábiles de la firma del instrumento contractual. 2° Solic.de Provisión: al mes y medio de la firma del instrumento contractual. Plazo de cumplimiento de cada Solicitud de Provisión: a los 2 días hábiles de notificada la misma, según necesidades del Organismo solicitante.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</si>
</sst>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_ &quot;$&quot;\ * #,##0.00_ ;_ &quot;$&quot;\ * \-#,##0.00_ ;_ &quot;$&quot;\ * &quot;-&quot;??_ ;_ @_ "/>
    <numFmt numFmtId="171" formatCode="_ [$$-2C0A]\ * #,##0.00_ ;_ [$$-2C0A]\ * \-#,##0.00_ ;_ [$$-2C0A]\ * &quot;-&quot;??_ ;_ @_ "/>
  </numFmts>
  <fonts count="4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4"/>
      <name val="Times New Roman"/>
      <family val="1"/>
      <charset val="1"/>
    </font>
    <font>
      <sz val="10"/>
      <color rgb="FFFF0000"/>
      <name val="Times New Roman"/>
      <family val="1"/>
    </font>
    <font>
      <sz val="10"/>
      <name val="Arial"/>
      <charset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9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5" fontId="13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43" fontId="39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8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Fill="1" applyBorder="1"/>
    <xf numFmtId="0" fontId="14" fillId="0" borderId="0" xfId="0" applyFont="1" applyFill="1"/>
    <xf numFmtId="166" fontId="0" fillId="0" borderId="0" xfId="0" applyNumberFormat="1"/>
    <xf numFmtId="0" fontId="12" fillId="0" borderId="19" xfId="0" applyFont="1" applyBorder="1" applyAlignment="1">
      <alignment horizontal="center" vertical="center"/>
    </xf>
    <xf numFmtId="0" fontId="0" fillId="3" borderId="21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left"/>
    </xf>
    <xf numFmtId="0" fontId="0" fillId="3" borderId="22" xfId="0" applyFill="1" applyBorder="1"/>
    <xf numFmtId="0" fontId="0" fillId="3" borderId="0" xfId="0" applyFill="1" applyBorder="1"/>
    <xf numFmtId="0" fontId="0" fillId="3" borderId="10" xfId="0" applyFill="1" applyBorder="1"/>
    <xf numFmtId="0" fontId="18" fillId="0" borderId="27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0" fontId="18" fillId="0" borderId="29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32" xfId="0" applyFont="1" applyFill="1" applyBorder="1" applyAlignment="1">
      <alignment horizontal="center" vertical="center"/>
    </xf>
    <xf numFmtId="0" fontId="18" fillId="0" borderId="45" xfId="0" applyFont="1" applyFill="1" applyBorder="1" applyAlignment="1">
      <alignment horizontal="center" vertical="center"/>
    </xf>
    <xf numFmtId="166" fontId="18" fillId="0" borderId="47" xfId="3" applyNumberFormat="1" applyFont="1" applyBorder="1" applyAlignment="1" applyProtection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166" fontId="18" fillId="0" borderId="48" xfId="3" applyNumberFormat="1" applyFont="1" applyBorder="1" applyAlignment="1" applyProtection="1">
      <alignment horizontal="center" vertical="center"/>
    </xf>
    <xf numFmtId="166" fontId="16" fillId="3" borderId="46" xfId="3" applyNumberFormat="1" applyFont="1" applyFill="1" applyBorder="1" applyAlignment="1" applyProtection="1">
      <alignment horizontal="center" vertical="center"/>
    </xf>
    <xf numFmtId="166" fontId="20" fillId="3" borderId="37" xfId="0" applyNumberFormat="1" applyFont="1" applyFill="1" applyBorder="1" applyAlignment="1">
      <alignment horizontal="center" vertical="center"/>
    </xf>
    <xf numFmtId="49" fontId="7" fillId="4" borderId="11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 indent="3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center" wrapText="1"/>
    </xf>
    <xf numFmtId="0" fontId="25" fillId="0" borderId="0" xfId="0" applyFont="1"/>
    <xf numFmtId="0" fontId="7" fillId="0" borderId="10" xfId="0" applyFont="1" applyBorder="1" applyAlignment="1">
      <alignment horizontal="right" vertical="center"/>
    </xf>
    <xf numFmtId="0" fontId="29" fillId="0" borderId="8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 wrapText="1" indent="1"/>
    </xf>
    <xf numFmtId="0" fontId="29" fillId="3" borderId="0" xfId="0" applyFont="1" applyFill="1" applyBorder="1" applyAlignment="1">
      <alignment horizontal="left" vertical="center" wrapText="1" indent="1"/>
    </xf>
    <xf numFmtId="0" fontId="29" fillId="0" borderId="0" xfId="0" applyFont="1" applyFill="1" applyBorder="1" applyAlignment="1">
      <alignment horizontal="left" vertical="center" wrapText="1"/>
    </xf>
    <xf numFmtId="0" fontId="28" fillId="0" borderId="62" xfId="0" applyFont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8" fillId="0" borderId="70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8" fillId="0" borderId="72" xfId="0" applyFont="1" applyBorder="1" applyAlignment="1">
      <alignment horizontal="center" vertical="center" wrapText="1"/>
    </xf>
    <xf numFmtId="0" fontId="28" fillId="0" borderId="73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8" fillId="0" borderId="75" xfId="0" applyFont="1" applyBorder="1" applyAlignment="1">
      <alignment horizontal="center" vertical="center" wrapText="1"/>
    </xf>
    <xf numFmtId="0" fontId="28" fillId="0" borderId="73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center" vertical="center" wrapText="1"/>
    </xf>
    <xf numFmtId="169" fontId="28" fillId="0" borderId="72" xfId="0" applyNumberFormat="1" applyFont="1" applyBorder="1" applyAlignment="1">
      <alignment horizontal="center" vertical="center" wrapText="1"/>
    </xf>
    <xf numFmtId="169" fontId="28" fillId="0" borderId="73" xfId="0" applyNumberFormat="1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28" fillId="0" borderId="76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169" fontId="27" fillId="0" borderId="68" xfId="1" applyNumberFormat="1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right" vertical="center"/>
    </xf>
    <xf numFmtId="49" fontId="7" fillId="4" borderId="0" xfId="0" applyNumberFormat="1" applyFont="1" applyFill="1" applyBorder="1" applyAlignment="1">
      <alignment horizontal="center" vertical="center"/>
    </xf>
    <xf numFmtId="0" fontId="32" fillId="0" borderId="16" xfId="0" applyFont="1" applyBorder="1" applyAlignment="1">
      <alignment vertical="center" wrapText="1"/>
    </xf>
    <xf numFmtId="0" fontId="32" fillId="0" borderId="64" xfId="0" applyFont="1" applyBorder="1" applyAlignment="1">
      <alignment vertical="center" wrapText="1"/>
    </xf>
    <xf numFmtId="0" fontId="30" fillId="0" borderId="8" xfId="0" applyFont="1" applyFill="1" applyBorder="1" applyAlignment="1">
      <alignment vertical="center" wrapText="1"/>
    </xf>
    <xf numFmtId="0" fontId="29" fillId="0" borderId="9" xfId="0" applyFont="1" applyFill="1" applyBorder="1" applyAlignment="1">
      <alignment horizontal="left" vertical="center" wrapText="1"/>
    </xf>
    <xf numFmtId="0" fontId="30" fillId="0" borderId="86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72" xfId="0" applyFont="1" applyFill="1" applyBorder="1" applyAlignment="1">
      <alignment horizontal="center" vertical="center"/>
    </xf>
    <xf numFmtId="0" fontId="30" fillId="0" borderId="73" xfId="0" applyFont="1" applyFill="1" applyBorder="1" applyAlignment="1">
      <alignment horizontal="center" vertical="center"/>
    </xf>
    <xf numFmtId="0" fontId="30" fillId="0" borderId="90" xfId="0" applyFont="1" applyFill="1" applyBorder="1" applyAlignment="1">
      <alignment vertical="center" wrapText="1"/>
    </xf>
    <xf numFmtId="0" fontId="30" fillId="0" borderId="82" xfId="0" applyFont="1" applyFill="1" applyBorder="1" applyAlignment="1">
      <alignment vertical="center" wrapText="1"/>
    </xf>
    <xf numFmtId="0" fontId="30" fillId="0" borderId="90" xfId="0" applyFont="1" applyFill="1" applyBorder="1" applyAlignment="1">
      <alignment horizontal="center" vertical="center"/>
    </xf>
    <xf numFmtId="0" fontId="30" fillId="0" borderId="82" xfId="0" applyFont="1" applyFill="1" applyBorder="1" applyAlignment="1">
      <alignment horizontal="center" vertical="center"/>
    </xf>
    <xf numFmtId="166" fontId="30" fillId="0" borderId="90" xfId="1" applyNumberFormat="1" applyFont="1" applyFill="1" applyBorder="1" applyAlignment="1" applyProtection="1">
      <alignment horizontal="center" vertical="center" wrapText="1"/>
    </xf>
    <xf numFmtId="166" fontId="30" fillId="0" borderId="82" xfId="1" applyNumberFormat="1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vertical="center" wrapText="1"/>
    </xf>
    <xf numFmtId="0" fontId="35" fillId="0" borderId="82" xfId="0" applyFont="1" applyFill="1" applyBorder="1" applyAlignment="1">
      <alignment horizontal="center" vertical="center"/>
    </xf>
    <xf numFmtId="0" fontId="34" fillId="0" borderId="82" xfId="0" applyFont="1" applyFill="1" applyBorder="1" applyAlignment="1">
      <alignment horizontal="center" vertical="center"/>
    </xf>
    <xf numFmtId="0" fontId="37" fillId="0" borderId="0" xfId="0" applyFont="1" applyBorder="1" applyAlignment="1">
      <alignment vertical="center"/>
    </xf>
    <xf numFmtId="0" fontId="30" fillId="0" borderId="5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2" fillId="0" borderId="6" xfId="0" applyFont="1" applyBorder="1" applyAlignment="1">
      <alignment horizontal="left"/>
    </xf>
    <xf numFmtId="0" fontId="0" fillId="3" borderId="0" xfId="0" applyFill="1" applyAlignment="1">
      <alignment horizontal="center"/>
    </xf>
    <xf numFmtId="0" fontId="0" fillId="3" borderId="82" xfId="0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78" xfId="0" applyFill="1" applyBorder="1" applyAlignment="1">
      <alignment horizontal="center" vertical="center"/>
    </xf>
    <xf numFmtId="0" fontId="0" fillId="0" borderId="62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62" xfId="0" applyFill="1" applyBorder="1" applyAlignment="1">
      <alignment horizontal="center"/>
    </xf>
    <xf numFmtId="0" fontId="40" fillId="3" borderId="62" xfId="0" applyFont="1" applyFill="1" applyBorder="1" applyAlignment="1">
      <alignment horizontal="center" vertical="center" wrapText="1"/>
    </xf>
    <xf numFmtId="0" fontId="0" fillId="3" borderId="65" xfId="0" applyFill="1" applyBorder="1" applyAlignment="1">
      <alignment horizontal="center" vertical="center" wrapText="1"/>
    </xf>
    <xf numFmtId="0" fontId="0" fillId="3" borderId="62" xfId="0" applyFill="1" applyBorder="1" applyAlignment="1">
      <alignment horizontal="center" vertical="center" wrapText="1"/>
    </xf>
    <xf numFmtId="3" fontId="30" fillId="3" borderId="70" xfId="0" applyNumberFormat="1" applyFont="1" applyFill="1" applyBorder="1" applyAlignment="1">
      <alignment horizontal="center" vertical="center"/>
    </xf>
    <xf numFmtId="3" fontId="30" fillId="3" borderId="71" xfId="0" applyNumberFormat="1" applyFont="1" applyFill="1" applyBorder="1" applyAlignment="1">
      <alignment horizontal="center" vertical="center"/>
    </xf>
    <xf numFmtId="3" fontId="0" fillId="3" borderId="62" xfId="0" applyNumberFormat="1" applyFill="1" applyBorder="1" applyAlignment="1">
      <alignment horizontal="center" vertical="center"/>
    </xf>
    <xf numFmtId="3" fontId="30" fillId="3" borderId="92" xfId="0" applyNumberFormat="1" applyFont="1" applyFill="1" applyBorder="1" applyAlignment="1">
      <alignment horizontal="center" vertical="center"/>
    </xf>
    <xf numFmtId="3" fontId="30" fillId="3" borderId="62" xfId="0" applyNumberFormat="1" applyFont="1" applyFill="1" applyBorder="1" applyAlignment="1">
      <alignment horizontal="center" vertical="center"/>
    </xf>
    <xf numFmtId="44" fontId="1" fillId="3" borderId="61" xfId="5" applyNumberFormat="1" applyFont="1" applyFill="1" applyBorder="1" applyAlignment="1">
      <alignment horizontal="center" vertical="center"/>
    </xf>
    <xf numFmtId="44" fontId="1" fillId="3" borderId="62" xfId="5" applyNumberFormat="1" applyFont="1" applyFill="1" applyBorder="1" applyAlignment="1">
      <alignment horizontal="center" vertical="center"/>
    </xf>
    <xf numFmtId="44" fontId="1" fillId="3" borderId="62" xfId="5" applyNumberFormat="1" applyFont="1" applyFill="1" applyBorder="1" applyAlignment="1">
      <alignment vertical="center"/>
    </xf>
    <xf numFmtId="44" fontId="1" fillId="3" borderId="93" xfId="5" applyNumberFormat="1" applyFont="1" applyFill="1" applyBorder="1" applyAlignment="1">
      <alignment vertical="center"/>
    </xf>
    <xf numFmtId="44" fontId="1" fillId="0" borderId="62" xfId="5" applyNumberFormat="1" applyFont="1" applyFill="1" applyBorder="1" applyAlignment="1">
      <alignment vertical="center"/>
    </xf>
    <xf numFmtId="170" fontId="41" fillId="3" borderId="62" xfId="1" applyNumberFormat="1" applyFont="1" applyFill="1" applyBorder="1" applyAlignment="1">
      <alignment horizontal="center" vertical="center"/>
    </xf>
    <xf numFmtId="170" fontId="41" fillId="0" borderId="62" xfId="1" applyNumberFormat="1" applyFont="1" applyBorder="1" applyAlignment="1">
      <alignment horizontal="center" vertical="center"/>
    </xf>
    <xf numFmtId="44" fontId="0" fillId="0" borderId="62" xfId="0" applyNumberFormat="1" applyBorder="1"/>
    <xf numFmtId="171" fontId="13" fillId="0" borderId="62" xfId="1" applyNumberFormat="1" applyBorder="1" applyAlignment="1">
      <alignment horizontal="center" vertical="center"/>
    </xf>
    <xf numFmtId="0" fontId="34" fillId="3" borderId="62" xfId="0" applyFont="1" applyFill="1" applyBorder="1" applyAlignment="1">
      <alignment wrapText="1"/>
    </xf>
    <xf numFmtId="0" fontId="34" fillId="3" borderId="0" xfId="0" applyFont="1" applyFill="1" applyAlignment="1">
      <alignment wrapText="1"/>
    </xf>
    <xf numFmtId="0" fontId="34" fillId="0" borderId="62" xfId="0" applyFont="1" applyBorder="1" applyAlignment="1">
      <alignment wrapText="1"/>
    </xf>
    <xf numFmtId="0" fontId="34" fillId="0" borderId="0" xfId="0" applyFont="1" applyAlignment="1">
      <alignment wrapText="1"/>
    </xf>
    <xf numFmtId="0" fontId="34" fillId="0" borderId="62" xfId="0" applyFont="1" applyBorder="1"/>
    <xf numFmtId="0" fontId="30" fillId="0" borderId="5" xfId="0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 vertical="center"/>
    </xf>
    <xf numFmtId="166" fontId="30" fillId="0" borderId="6" xfId="1" applyNumberFormat="1" applyFont="1" applyFill="1" applyBorder="1" applyAlignment="1" applyProtection="1">
      <alignment horizontal="center" vertical="center" wrapText="1"/>
    </xf>
    <xf numFmtId="0" fontId="30" fillId="0" borderId="6" xfId="0" applyFont="1" applyFill="1" applyBorder="1" applyAlignment="1">
      <alignment horizontal="center" vertical="center"/>
    </xf>
    <xf numFmtId="169" fontId="42" fillId="0" borderId="0" xfId="0" applyNumberFormat="1" applyFont="1"/>
    <xf numFmtId="0" fontId="38" fillId="3" borderId="0" xfId="0" applyFont="1" applyFill="1" applyBorder="1" applyAlignment="1">
      <alignment horizontal="left" vertical="center" wrapText="1"/>
    </xf>
    <xf numFmtId="0" fontId="15" fillId="0" borderId="16" xfId="0" applyFont="1" applyBorder="1" applyAlignment="1">
      <alignment horizontal="center"/>
    </xf>
    <xf numFmtId="0" fontId="15" fillId="0" borderId="64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33" fillId="0" borderId="58" xfId="0" applyFont="1" applyBorder="1" applyAlignment="1">
      <alignment horizontal="left" vertical="center" wrapText="1"/>
    </xf>
    <xf numFmtId="0" fontId="33" fillId="0" borderId="79" xfId="0" applyFont="1" applyBorder="1" applyAlignment="1">
      <alignment horizontal="left" vertical="center" wrapText="1"/>
    </xf>
    <xf numFmtId="0" fontId="33" fillId="0" borderId="59" xfId="0" applyFont="1" applyBorder="1" applyAlignment="1">
      <alignment horizontal="left" vertical="center" wrapText="1"/>
    </xf>
    <xf numFmtId="0" fontId="33" fillId="0" borderId="68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30" fillId="0" borderId="6" xfId="0" applyFont="1" applyBorder="1" applyAlignment="1">
      <alignment horizontal="left"/>
    </xf>
    <xf numFmtId="0" fontId="30" fillId="0" borderId="5" xfId="0" applyFont="1" applyFill="1" applyBorder="1" applyAlignment="1">
      <alignment horizontal="left" vertical="center" wrapText="1"/>
    </xf>
    <xf numFmtId="0" fontId="30" fillId="0" borderId="0" xfId="0" applyFont="1" applyFill="1" applyBorder="1" applyAlignment="1">
      <alignment horizontal="left" vertical="center" wrapText="1"/>
    </xf>
    <xf numFmtId="0" fontId="30" fillId="0" borderId="6" xfId="0" applyFont="1" applyFill="1" applyBorder="1" applyAlignment="1">
      <alignment horizontal="left" vertical="center" wrapText="1"/>
    </xf>
    <xf numFmtId="0" fontId="23" fillId="0" borderId="87" xfId="0" applyFont="1" applyFill="1" applyBorder="1" applyAlignment="1">
      <alignment horizontal="left" vertical="center"/>
    </xf>
    <xf numFmtId="0" fontId="23" fillId="0" borderId="61" xfId="0" applyFont="1" applyFill="1" applyBorder="1" applyAlignment="1">
      <alignment horizontal="left" vertical="center"/>
    </xf>
    <xf numFmtId="0" fontId="23" fillId="0" borderId="79" xfId="0" applyFont="1" applyFill="1" applyBorder="1" applyAlignment="1">
      <alignment horizontal="left" vertical="center"/>
    </xf>
    <xf numFmtId="0" fontId="23" fillId="0" borderId="70" xfId="0" applyFont="1" applyFill="1" applyBorder="1" applyAlignment="1">
      <alignment horizontal="left" vertical="center"/>
    </xf>
    <xf numFmtId="0" fontId="23" fillId="0" borderId="62" xfId="0" applyFont="1" applyFill="1" applyBorder="1" applyAlignment="1">
      <alignment horizontal="left" vertical="center"/>
    </xf>
    <xf numFmtId="0" fontId="23" fillId="0" borderId="68" xfId="0" applyFont="1" applyFill="1" applyBorder="1" applyAlignment="1">
      <alignment horizontal="left" vertical="center"/>
    </xf>
    <xf numFmtId="0" fontId="23" fillId="0" borderId="71" xfId="0" applyFont="1" applyFill="1" applyBorder="1" applyAlignment="1">
      <alignment horizontal="left" vertical="center"/>
    </xf>
    <xf numFmtId="0" fontId="23" fillId="0" borderId="63" xfId="0" applyFont="1" applyFill="1" applyBorder="1" applyAlignment="1">
      <alignment horizontal="left" vertical="center"/>
    </xf>
    <xf numFmtId="0" fontId="23" fillId="0" borderId="69" xfId="0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 wrapText="1"/>
    </xf>
    <xf numFmtId="0" fontId="33" fillId="0" borderId="69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wrapText="1"/>
    </xf>
    <xf numFmtId="0" fontId="32" fillId="0" borderId="8" xfId="0" applyFont="1" applyBorder="1" applyAlignment="1">
      <alignment horizontal="left"/>
    </xf>
    <xf numFmtId="0" fontId="32" fillId="0" borderId="9" xfId="0" applyFont="1" applyBorder="1" applyAlignment="1">
      <alignment horizontal="left"/>
    </xf>
    <xf numFmtId="0" fontId="32" fillId="0" borderId="2" xfId="0" applyFont="1" applyBorder="1" applyAlignment="1">
      <alignment horizontal="left"/>
    </xf>
    <xf numFmtId="0" fontId="32" fillId="0" borderId="3" xfId="0" applyFont="1" applyBorder="1" applyAlignment="1">
      <alignment horizontal="left"/>
    </xf>
    <xf numFmtId="0" fontId="32" fillId="0" borderId="4" xfId="0" applyFont="1" applyBorder="1" applyAlignment="1">
      <alignment horizontal="left"/>
    </xf>
    <xf numFmtId="0" fontId="32" fillId="0" borderId="5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2" fillId="0" borderId="6" xfId="0" applyFont="1" applyBorder="1" applyAlignment="1">
      <alignment horizontal="left"/>
    </xf>
    <xf numFmtId="0" fontId="30" fillId="0" borderId="59" xfId="0" applyFont="1" applyFill="1" applyBorder="1" applyAlignment="1">
      <alignment horizontal="left" vertical="center" wrapText="1"/>
    </xf>
    <xf numFmtId="0" fontId="30" fillId="0" borderId="62" xfId="0" applyFont="1" applyFill="1" applyBorder="1" applyAlignment="1">
      <alignment horizontal="left" vertical="center" wrapText="1"/>
    </xf>
    <xf numFmtId="0" fontId="30" fillId="0" borderId="68" xfId="0" applyFont="1" applyFill="1" applyBorder="1" applyAlignment="1">
      <alignment horizontal="left" vertical="center" wrapText="1"/>
    </xf>
    <xf numFmtId="0" fontId="32" fillId="0" borderId="83" xfId="0" applyFont="1" applyBorder="1" applyAlignment="1">
      <alignment horizontal="left" vertical="center"/>
    </xf>
    <xf numFmtId="0" fontId="32" fillId="0" borderId="84" xfId="0" applyFont="1" applyBorder="1" applyAlignment="1">
      <alignment horizontal="left" vertical="center"/>
    </xf>
    <xf numFmtId="0" fontId="29" fillId="0" borderId="89" xfId="0" applyFont="1" applyBorder="1" applyAlignment="1">
      <alignment horizontal="center" vertical="center" wrapText="1"/>
    </xf>
    <xf numFmtId="0" fontId="29" fillId="0" borderId="7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/>
    </xf>
    <xf numFmtId="0" fontId="7" fillId="0" borderId="64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0" fillId="0" borderId="60" xfId="0" applyFont="1" applyFill="1" applyBorder="1" applyAlignment="1">
      <alignment horizontal="left" vertical="center" wrapText="1"/>
    </xf>
    <xf numFmtId="0" fontId="30" fillId="0" borderId="63" xfId="0" applyFont="1" applyFill="1" applyBorder="1" applyAlignment="1">
      <alignment horizontal="left" vertical="center" wrapText="1"/>
    </xf>
    <xf numFmtId="0" fontId="30" fillId="0" borderId="69" xfId="0" applyFont="1" applyFill="1" applyBorder="1" applyAlignment="1">
      <alignment horizontal="left" vertical="center" wrapText="1"/>
    </xf>
    <xf numFmtId="167" fontId="21" fillId="0" borderId="14" xfId="0" applyNumberFormat="1" applyFont="1" applyBorder="1" applyAlignment="1">
      <alignment horizontal="center" vertical="center"/>
    </xf>
    <xf numFmtId="0" fontId="29" fillId="0" borderId="85" xfId="0" applyFont="1" applyBorder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0" fontId="29" fillId="0" borderId="88" xfId="0" applyFont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 wrapText="1"/>
    </xf>
    <xf numFmtId="0" fontId="31" fillId="0" borderId="89" xfId="0" applyFont="1" applyBorder="1" applyAlignment="1">
      <alignment horizontal="center" vertical="center" wrapText="1"/>
    </xf>
    <xf numFmtId="0" fontId="31" fillId="0" borderId="78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left" vertical="center" wrapText="1"/>
    </xf>
    <xf numFmtId="0" fontId="32" fillId="0" borderId="75" xfId="0" applyFont="1" applyBorder="1" applyAlignment="1">
      <alignment horizontal="left" vertical="center" wrapText="1"/>
    </xf>
    <xf numFmtId="0" fontId="37" fillId="0" borderId="0" xfId="0" applyFont="1" applyBorder="1" applyAlignment="1">
      <alignment horizontal="center" vertical="center"/>
    </xf>
    <xf numFmtId="0" fontId="30" fillId="0" borderId="58" xfId="0" applyFont="1" applyFill="1" applyBorder="1" applyAlignment="1">
      <alignment horizontal="left" vertical="center" wrapText="1"/>
    </xf>
    <xf numFmtId="0" fontId="30" fillId="0" borderId="61" xfId="0" applyFont="1" applyFill="1" applyBorder="1" applyAlignment="1">
      <alignment horizontal="left" vertical="center" wrapText="1"/>
    </xf>
    <xf numFmtId="0" fontId="30" fillId="0" borderId="79" xfId="0" applyFont="1" applyFill="1" applyBorder="1" applyAlignment="1">
      <alignment horizontal="left" vertical="center" wrapText="1"/>
    </xf>
    <xf numFmtId="0" fontId="32" fillId="0" borderId="58" xfId="0" applyFont="1" applyBorder="1" applyAlignment="1">
      <alignment horizontal="left" vertical="center" wrapText="1"/>
    </xf>
    <xf numFmtId="0" fontId="32" fillId="0" borderId="80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10" fillId="0" borderId="91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Font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10" fillId="0" borderId="11" xfId="0" applyFont="1" applyBorder="1" applyAlignment="1">
      <alignment horizontal="left" indent="1"/>
    </xf>
    <xf numFmtId="0" fontId="5" fillId="0" borderId="13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 indent="1"/>
    </xf>
    <xf numFmtId="0" fontId="11" fillId="0" borderId="11" xfId="0" applyFont="1" applyBorder="1" applyAlignment="1">
      <alignment horizontal="left"/>
    </xf>
    <xf numFmtId="0" fontId="10" fillId="3" borderId="19" xfId="0" applyFont="1" applyFill="1" applyBorder="1"/>
    <xf numFmtId="0" fontId="10" fillId="3" borderId="20" xfId="0" applyFont="1" applyFill="1" applyBorder="1" applyAlignment="1">
      <alignment horizontal="left" vertical="center" wrapText="1" indent="1"/>
    </xf>
    <xf numFmtId="0" fontId="12" fillId="0" borderId="1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left" vertical="center"/>
    </xf>
    <xf numFmtId="0" fontId="18" fillId="0" borderId="55" xfId="0" applyFont="1" applyBorder="1" applyAlignment="1">
      <alignment horizontal="left" vertical="center"/>
    </xf>
    <xf numFmtId="0" fontId="10" fillId="0" borderId="23" xfId="0" applyFont="1" applyBorder="1" applyAlignment="1">
      <alignment vertical="center" wrapText="1"/>
    </xf>
    <xf numFmtId="0" fontId="10" fillId="0" borderId="37" xfId="0" applyFont="1" applyFill="1" applyBorder="1" applyAlignment="1">
      <alignment horizontal="left" vertical="center" wrapText="1" indent="1"/>
    </xf>
    <xf numFmtId="0" fontId="10" fillId="0" borderId="20" xfId="0" applyFont="1" applyFill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/>
    </xf>
    <xf numFmtId="0" fontId="18" fillId="0" borderId="57" xfId="0" applyFont="1" applyBorder="1" applyAlignment="1">
      <alignment horizontal="left" vertical="center"/>
    </xf>
    <xf numFmtId="0" fontId="19" fillId="3" borderId="37" xfId="0" applyFont="1" applyFill="1" applyBorder="1" applyAlignment="1">
      <alignment horizontal="left" vertical="center" wrapText="1"/>
    </xf>
    <xf numFmtId="0" fontId="0" fillId="0" borderId="18" xfId="0" applyBorder="1"/>
  </cellXfs>
  <cellStyles count="6">
    <cellStyle name="Encabezado 1" xfId="2"/>
    <cellStyle name="Millares" xfId="5" builtinId="3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H55" sqref="H55"/>
    </sheetView>
  </sheetViews>
  <sheetFormatPr baseColWidth="10" defaultColWidth="11" defaultRowHeight="12.75" x14ac:dyDescent="0.2"/>
  <cols>
    <col min="1" max="1" width="4.5703125" style="12" customWidth="1"/>
    <col min="2" max="2" width="14" style="12" customWidth="1"/>
    <col min="3" max="3" width="14.7109375" style="12" customWidth="1"/>
    <col min="4" max="4" width="8.42578125" style="12" customWidth="1"/>
    <col min="5" max="5" width="69" style="12" customWidth="1"/>
    <col min="6" max="6" width="11.85546875" style="12" customWidth="1"/>
    <col min="7" max="7" width="9.140625" style="12" bestFit="1" customWidth="1"/>
    <col min="8" max="8" width="13.85546875" style="12" customWidth="1"/>
    <col min="9" max="9" width="14.5703125" style="12" customWidth="1"/>
    <col min="10" max="16384" width="11" style="12"/>
  </cols>
  <sheetData>
    <row r="1" spans="1:9" ht="13.5" thickBot="1" x14ac:dyDescent="0.25"/>
    <row r="2" spans="1:9" ht="27.75" thickBot="1" x14ac:dyDescent="0.4">
      <c r="B2" s="136" t="s">
        <v>0</v>
      </c>
      <c r="C2" s="137"/>
      <c r="D2" s="137"/>
      <c r="E2" s="137"/>
      <c r="F2" s="137"/>
      <c r="G2" s="137"/>
      <c r="H2" s="138"/>
    </row>
    <row r="3" spans="1:9" ht="13.5" thickBot="1" x14ac:dyDescent="0.25"/>
    <row r="4" spans="1:9" ht="18" customHeight="1" x14ac:dyDescent="0.2">
      <c r="A4" s="139" t="s">
        <v>1</v>
      </c>
      <c r="B4" s="140"/>
      <c r="C4" s="149" t="s">
        <v>60</v>
      </c>
      <c r="D4" s="150"/>
      <c r="E4" s="150"/>
      <c r="F4" s="150"/>
      <c r="G4" s="150"/>
      <c r="H4" s="150"/>
      <c r="I4" s="151"/>
    </row>
    <row r="5" spans="1:9" ht="18" customHeight="1" x14ac:dyDescent="0.2">
      <c r="A5" s="141" t="s">
        <v>2</v>
      </c>
      <c r="B5" s="142"/>
      <c r="C5" s="152" t="s">
        <v>61</v>
      </c>
      <c r="D5" s="153"/>
      <c r="E5" s="153"/>
      <c r="F5" s="153"/>
      <c r="G5" s="153"/>
      <c r="H5" s="153"/>
      <c r="I5" s="154"/>
    </row>
    <row r="6" spans="1:9" ht="16.5" customHeight="1" x14ac:dyDescent="0.2">
      <c r="A6" s="141" t="s">
        <v>3</v>
      </c>
      <c r="B6" s="142"/>
      <c r="C6" s="152">
        <v>2022</v>
      </c>
      <c r="D6" s="153"/>
      <c r="E6" s="153"/>
      <c r="F6" s="153"/>
      <c r="G6" s="153"/>
      <c r="H6" s="153"/>
      <c r="I6" s="154"/>
    </row>
    <row r="7" spans="1:9" ht="16.5" customHeight="1" thickBot="1" x14ac:dyDescent="0.25">
      <c r="A7" s="158" t="s">
        <v>4</v>
      </c>
      <c r="B7" s="159"/>
      <c r="C7" s="155" t="s">
        <v>68</v>
      </c>
      <c r="D7" s="156"/>
      <c r="E7" s="156"/>
      <c r="F7" s="156"/>
      <c r="G7" s="156"/>
      <c r="H7" s="156"/>
      <c r="I7" s="157"/>
    </row>
    <row r="8" spans="1:9" ht="13.5" thickBot="1" x14ac:dyDescent="0.25">
      <c r="A8" s="47"/>
      <c r="B8" s="45"/>
      <c r="C8" s="46"/>
      <c r="D8" s="45"/>
      <c r="E8" s="45"/>
      <c r="F8" s="45"/>
      <c r="G8" s="46"/>
      <c r="H8" s="45"/>
      <c r="I8" s="47"/>
    </row>
    <row r="9" spans="1:9" ht="39" thickBot="1" x14ac:dyDescent="0.25">
      <c r="A9" s="60" t="s">
        <v>5</v>
      </c>
      <c r="B9" s="58" t="s">
        <v>6</v>
      </c>
      <c r="C9" s="56" t="s">
        <v>7</v>
      </c>
      <c r="D9" s="63" t="s">
        <v>8</v>
      </c>
      <c r="E9" s="60" t="s">
        <v>9</v>
      </c>
      <c r="F9" s="69" t="s">
        <v>10</v>
      </c>
      <c r="G9" s="71" t="s">
        <v>11</v>
      </c>
      <c r="H9" s="57" t="s">
        <v>12</v>
      </c>
      <c r="I9" s="66" t="s">
        <v>13</v>
      </c>
    </row>
    <row r="10" spans="1:9" ht="38.25" x14ac:dyDescent="0.2">
      <c r="A10" s="61">
        <v>1</v>
      </c>
      <c r="B10" s="99" t="s">
        <v>71</v>
      </c>
      <c r="C10" s="54" t="s">
        <v>57</v>
      </c>
      <c r="D10" s="106" t="str">
        <f>+LEFT(B10,5)</f>
        <v>2.1.1</v>
      </c>
      <c r="E10" s="123" t="s">
        <v>105</v>
      </c>
      <c r="F10" s="100" t="s">
        <v>104</v>
      </c>
      <c r="G10" s="109">
        <v>75</v>
      </c>
      <c r="H10" s="114">
        <v>300</v>
      </c>
      <c r="I10" s="67">
        <f>G10*H10</f>
        <v>22500</v>
      </c>
    </row>
    <row r="11" spans="1:9" ht="38.25" x14ac:dyDescent="0.2">
      <c r="A11" s="62">
        <v>2</v>
      </c>
      <c r="B11" s="100" t="s">
        <v>72</v>
      </c>
      <c r="C11" s="54" t="s">
        <v>57</v>
      </c>
      <c r="D11" s="106" t="str">
        <f t="shared" ref="D11:D42" si="0">+LEFT(B11,5)</f>
        <v>2.1.1</v>
      </c>
      <c r="E11" s="123" t="s">
        <v>106</v>
      </c>
      <c r="F11" s="100" t="s">
        <v>58</v>
      </c>
      <c r="G11" s="109">
        <v>120</v>
      </c>
      <c r="H11" s="115">
        <v>120</v>
      </c>
      <c r="I11" s="68">
        <f t="shared" ref="I11:I42" si="1">G11*H11</f>
        <v>14400</v>
      </c>
    </row>
    <row r="12" spans="1:9" ht="38.25" x14ac:dyDescent="0.2">
      <c r="A12" s="62">
        <v>3</v>
      </c>
      <c r="B12" s="100" t="s">
        <v>73</v>
      </c>
      <c r="C12" s="54" t="s">
        <v>57</v>
      </c>
      <c r="D12" s="106" t="str">
        <f t="shared" si="0"/>
        <v>2.1.1</v>
      </c>
      <c r="E12" s="123" t="s">
        <v>107</v>
      </c>
      <c r="F12" s="100" t="s">
        <v>59</v>
      </c>
      <c r="G12" s="109">
        <v>90</v>
      </c>
      <c r="H12" s="115">
        <v>80</v>
      </c>
      <c r="I12" s="68">
        <f t="shared" si="1"/>
        <v>7200</v>
      </c>
    </row>
    <row r="13" spans="1:9" ht="38.25" x14ac:dyDescent="0.2">
      <c r="A13" s="62">
        <v>4</v>
      </c>
      <c r="B13" s="101" t="s">
        <v>74</v>
      </c>
      <c r="C13" s="54" t="s">
        <v>57</v>
      </c>
      <c r="D13" s="106" t="str">
        <f t="shared" si="0"/>
        <v>2.1.1</v>
      </c>
      <c r="E13" s="123" t="s">
        <v>108</v>
      </c>
      <c r="F13" s="107" t="s">
        <v>59</v>
      </c>
      <c r="G13" s="108">
        <v>120</v>
      </c>
      <c r="H13" s="116">
        <v>100</v>
      </c>
      <c r="I13" s="68">
        <f t="shared" si="1"/>
        <v>12000</v>
      </c>
    </row>
    <row r="14" spans="1:9" ht="38.25" x14ac:dyDescent="0.2">
      <c r="A14" s="62">
        <v>5</v>
      </c>
      <c r="B14" s="100" t="s">
        <v>75</v>
      </c>
      <c r="C14" s="54" t="s">
        <v>57</v>
      </c>
      <c r="D14" s="106" t="str">
        <f t="shared" si="0"/>
        <v>2.1.1</v>
      </c>
      <c r="E14" s="123" t="s">
        <v>109</v>
      </c>
      <c r="F14" s="100" t="s">
        <v>59</v>
      </c>
      <c r="G14" s="109">
        <v>90</v>
      </c>
      <c r="H14" s="115">
        <v>80</v>
      </c>
      <c r="I14" s="68">
        <f t="shared" si="1"/>
        <v>7200</v>
      </c>
    </row>
    <row r="15" spans="1:9" ht="51" x14ac:dyDescent="0.2">
      <c r="A15" s="62">
        <v>6</v>
      </c>
      <c r="B15" s="100" t="s">
        <v>76</v>
      </c>
      <c r="C15" s="54" t="s">
        <v>57</v>
      </c>
      <c r="D15" s="106" t="str">
        <f t="shared" si="0"/>
        <v>2.1.1</v>
      </c>
      <c r="E15" s="124" t="s">
        <v>110</v>
      </c>
      <c r="F15" s="101" t="s">
        <v>59</v>
      </c>
      <c r="G15" s="109">
        <v>90</v>
      </c>
      <c r="H15" s="115">
        <v>150</v>
      </c>
      <c r="I15" s="68">
        <f t="shared" si="1"/>
        <v>13500</v>
      </c>
    </row>
    <row r="16" spans="1:9" ht="38.25" x14ac:dyDescent="0.2">
      <c r="A16" s="62">
        <v>7</v>
      </c>
      <c r="B16" s="100" t="s">
        <v>77</v>
      </c>
      <c r="C16" s="54" t="s">
        <v>57</v>
      </c>
      <c r="D16" s="106" t="str">
        <f t="shared" si="0"/>
        <v>2.1.1</v>
      </c>
      <c r="E16" s="123" t="s">
        <v>111</v>
      </c>
      <c r="F16" s="100" t="s">
        <v>59</v>
      </c>
      <c r="G16" s="109">
        <v>45</v>
      </c>
      <c r="H16" s="115">
        <v>100</v>
      </c>
      <c r="I16" s="68">
        <f t="shared" si="1"/>
        <v>4500</v>
      </c>
    </row>
    <row r="17" spans="1:9" ht="25.5" x14ac:dyDescent="0.2">
      <c r="A17" s="62">
        <v>8</v>
      </c>
      <c r="B17" s="100" t="s">
        <v>78</v>
      </c>
      <c r="C17" s="54" t="s">
        <v>57</v>
      </c>
      <c r="D17" s="106" t="str">
        <f t="shared" si="0"/>
        <v>2.1.1</v>
      </c>
      <c r="E17" s="123" t="s">
        <v>112</v>
      </c>
      <c r="F17" s="100" t="s">
        <v>59</v>
      </c>
      <c r="G17" s="109">
        <v>10</v>
      </c>
      <c r="H17" s="115">
        <v>250</v>
      </c>
      <c r="I17" s="68">
        <f t="shared" si="1"/>
        <v>2500</v>
      </c>
    </row>
    <row r="18" spans="1:9" ht="25.5" x14ac:dyDescent="0.2">
      <c r="A18" s="62">
        <v>9</v>
      </c>
      <c r="B18" s="100" t="s">
        <v>79</v>
      </c>
      <c r="C18" s="54" t="s">
        <v>57</v>
      </c>
      <c r="D18" s="106" t="str">
        <f t="shared" si="0"/>
        <v>2.1.1</v>
      </c>
      <c r="E18" s="123" t="s">
        <v>113</v>
      </c>
      <c r="F18" s="100" t="s">
        <v>59</v>
      </c>
      <c r="G18" s="109">
        <v>20</v>
      </c>
      <c r="H18" s="115">
        <v>200</v>
      </c>
      <c r="I18" s="68">
        <f t="shared" si="1"/>
        <v>4000</v>
      </c>
    </row>
    <row r="19" spans="1:9" ht="38.25" x14ac:dyDescent="0.2">
      <c r="A19" s="62">
        <v>10</v>
      </c>
      <c r="B19" s="100" t="s">
        <v>80</v>
      </c>
      <c r="C19" s="54" t="s">
        <v>57</v>
      </c>
      <c r="D19" s="106" t="str">
        <f t="shared" si="0"/>
        <v>2.1.1</v>
      </c>
      <c r="E19" s="123" t="s">
        <v>114</v>
      </c>
      <c r="F19" s="100" t="s">
        <v>59</v>
      </c>
      <c r="G19" s="109">
        <v>36</v>
      </c>
      <c r="H19" s="116">
        <v>500</v>
      </c>
      <c r="I19" s="68">
        <f t="shared" si="1"/>
        <v>18000</v>
      </c>
    </row>
    <row r="20" spans="1:9" ht="25.5" x14ac:dyDescent="0.2">
      <c r="A20" s="62">
        <v>11</v>
      </c>
      <c r="B20" s="100" t="s">
        <v>81</v>
      </c>
      <c r="C20" s="54" t="s">
        <v>57</v>
      </c>
      <c r="D20" s="106" t="str">
        <f t="shared" si="0"/>
        <v>2.1.1</v>
      </c>
      <c r="E20" s="123" t="s">
        <v>115</v>
      </c>
      <c r="F20" s="100" t="s">
        <v>58</v>
      </c>
      <c r="G20" s="109">
        <v>12</v>
      </c>
      <c r="H20" s="116">
        <v>350</v>
      </c>
      <c r="I20" s="68">
        <f t="shared" si="1"/>
        <v>4200</v>
      </c>
    </row>
    <row r="21" spans="1:9" ht="38.25" x14ac:dyDescent="0.2">
      <c r="A21" s="62">
        <v>12</v>
      </c>
      <c r="B21" s="100" t="s">
        <v>82</v>
      </c>
      <c r="C21" s="54" t="s">
        <v>57</v>
      </c>
      <c r="D21" s="106" t="str">
        <f t="shared" si="0"/>
        <v>2.1.1</v>
      </c>
      <c r="E21" s="123" t="s">
        <v>116</v>
      </c>
      <c r="F21" s="100" t="s">
        <v>58</v>
      </c>
      <c r="G21" s="109">
        <v>30</v>
      </c>
      <c r="H21" s="116">
        <v>600</v>
      </c>
      <c r="I21" s="68">
        <f t="shared" si="1"/>
        <v>18000</v>
      </c>
    </row>
    <row r="22" spans="1:9" ht="38.25" x14ac:dyDescent="0.2">
      <c r="A22" s="62">
        <v>13</v>
      </c>
      <c r="B22" s="100" t="s">
        <v>83</v>
      </c>
      <c r="C22" s="54" t="s">
        <v>57</v>
      </c>
      <c r="D22" s="106" t="str">
        <f t="shared" si="0"/>
        <v>2.1.1</v>
      </c>
      <c r="E22" s="123" t="s">
        <v>117</v>
      </c>
      <c r="F22" s="100" t="s">
        <v>59</v>
      </c>
      <c r="G22" s="109">
        <v>45</v>
      </c>
      <c r="H22" s="116">
        <v>100</v>
      </c>
      <c r="I22" s="68">
        <f t="shared" si="1"/>
        <v>4500</v>
      </c>
    </row>
    <row r="23" spans="1:9" ht="25.5" x14ac:dyDescent="0.2">
      <c r="A23" s="62">
        <v>14</v>
      </c>
      <c r="B23" s="100" t="s">
        <v>84</v>
      </c>
      <c r="C23" s="54" t="s">
        <v>57</v>
      </c>
      <c r="D23" s="106" t="str">
        <f t="shared" si="0"/>
        <v>2.1.1</v>
      </c>
      <c r="E23" s="123" t="s">
        <v>118</v>
      </c>
      <c r="F23" s="100" t="s">
        <v>59</v>
      </c>
      <c r="G23" s="109">
        <v>90</v>
      </c>
      <c r="H23" s="116">
        <v>180</v>
      </c>
      <c r="I23" s="68">
        <f t="shared" si="1"/>
        <v>16200</v>
      </c>
    </row>
    <row r="24" spans="1:9" ht="25.5" x14ac:dyDescent="0.2">
      <c r="A24" s="62">
        <v>15</v>
      </c>
      <c r="B24" s="100" t="s">
        <v>85</v>
      </c>
      <c r="C24" s="54" t="s">
        <v>57</v>
      </c>
      <c r="D24" s="106" t="str">
        <f t="shared" si="0"/>
        <v>2.1.1</v>
      </c>
      <c r="E24" s="123" t="s">
        <v>119</v>
      </c>
      <c r="F24" s="100" t="s">
        <v>59</v>
      </c>
      <c r="G24" s="109">
        <v>75</v>
      </c>
      <c r="H24" s="116">
        <v>230</v>
      </c>
      <c r="I24" s="68">
        <f t="shared" si="1"/>
        <v>17250</v>
      </c>
    </row>
    <row r="25" spans="1:9" ht="25.5" x14ac:dyDescent="0.2">
      <c r="A25" s="62">
        <v>16</v>
      </c>
      <c r="B25" s="100" t="s">
        <v>86</v>
      </c>
      <c r="C25" s="54" t="s">
        <v>57</v>
      </c>
      <c r="D25" s="106" t="str">
        <f t="shared" si="0"/>
        <v>2.1.1</v>
      </c>
      <c r="E25" s="123" t="s">
        <v>120</v>
      </c>
      <c r="F25" s="100" t="s">
        <v>59</v>
      </c>
      <c r="G25" s="109">
        <v>45</v>
      </c>
      <c r="H25" s="116">
        <v>150</v>
      </c>
      <c r="I25" s="68">
        <f t="shared" si="1"/>
        <v>6750</v>
      </c>
    </row>
    <row r="26" spans="1:9" ht="25.5" x14ac:dyDescent="0.2">
      <c r="A26" s="62">
        <v>17</v>
      </c>
      <c r="B26" s="100" t="s">
        <v>87</v>
      </c>
      <c r="C26" s="54" t="s">
        <v>57</v>
      </c>
      <c r="D26" s="106" t="str">
        <f t="shared" si="0"/>
        <v>2.1.1</v>
      </c>
      <c r="E26" s="123" t="s">
        <v>121</v>
      </c>
      <c r="F26" s="100" t="s">
        <v>59</v>
      </c>
      <c r="G26" s="109">
        <v>75</v>
      </c>
      <c r="H26" s="116">
        <v>280</v>
      </c>
      <c r="I26" s="68">
        <f t="shared" si="1"/>
        <v>21000</v>
      </c>
    </row>
    <row r="27" spans="1:9" ht="18.75" customHeight="1" x14ac:dyDescent="0.2">
      <c r="A27" s="62">
        <v>18</v>
      </c>
      <c r="B27" s="100" t="s">
        <v>144</v>
      </c>
      <c r="C27" s="54" t="s">
        <v>57</v>
      </c>
      <c r="D27" s="106" t="str">
        <f t="shared" si="0"/>
        <v>2.1.1</v>
      </c>
      <c r="E27" s="127" t="s">
        <v>143</v>
      </c>
      <c r="F27" s="100" t="s">
        <v>59</v>
      </c>
      <c r="G27" s="109">
        <v>150</v>
      </c>
      <c r="H27" s="117">
        <v>100</v>
      </c>
      <c r="I27" s="68">
        <f t="shared" si="1"/>
        <v>15000</v>
      </c>
    </row>
    <row r="28" spans="1:9" ht="15" x14ac:dyDescent="0.2">
      <c r="A28" s="62">
        <v>19</v>
      </c>
      <c r="B28" s="100" t="s">
        <v>88</v>
      </c>
      <c r="C28" s="54" t="s">
        <v>57</v>
      </c>
      <c r="D28" s="106" t="str">
        <f t="shared" si="0"/>
        <v>2.1.1</v>
      </c>
      <c r="E28" s="123" t="s">
        <v>103</v>
      </c>
      <c r="F28" s="100" t="s">
        <v>59</v>
      </c>
      <c r="G28" s="109">
        <v>75</v>
      </c>
      <c r="H28" s="116">
        <v>120</v>
      </c>
      <c r="I28" s="68">
        <f t="shared" si="1"/>
        <v>9000</v>
      </c>
    </row>
    <row r="29" spans="1:9" ht="26.25" thickBot="1" x14ac:dyDescent="0.25">
      <c r="A29" s="62">
        <v>20</v>
      </c>
      <c r="B29" s="102" t="s">
        <v>89</v>
      </c>
      <c r="C29" s="54" t="s">
        <v>57</v>
      </c>
      <c r="D29" s="106" t="str">
        <f t="shared" si="0"/>
        <v>2.1.1</v>
      </c>
      <c r="E29" s="123" t="s">
        <v>122</v>
      </c>
      <c r="F29" s="100" t="s">
        <v>59</v>
      </c>
      <c r="G29" s="110">
        <v>45</v>
      </c>
      <c r="H29" s="116">
        <v>100</v>
      </c>
      <c r="I29" s="68">
        <f t="shared" si="1"/>
        <v>4500</v>
      </c>
    </row>
    <row r="30" spans="1:9" ht="38.25" x14ac:dyDescent="0.2">
      <c r="A30" s="62">
        <v>21</v>
      </c>
      <c r="B30" s="103" t="s">
        <v>90</v>
      </c>
      <c r="C30" s="54" t="s">
        <v>57</v>
      </c>
      <c r="D30" s="106" t="str">
        <f t="shared" si="0"/>
        <v>2.1.1</v>
      </c>
      <c r="E30" s="125" t="s">
        <v>123</v>
      </c>
      <c r="F30" s="107" t="s">
        <v>59</v>
      </c>
      <c r="G30" s="108">
        <v>45</v>
      </c>
      <c r="H30" s="118">
        <v>120</v>
      </c>
      <c r="I30" s="68">
        <f t="shared" si="1"/>
        <v>5400</v>
      </c>
    </row>
    <row r="31" spans="1:9" ht="51" x14ac:dyDescent="0.2">
      <c r="A31" s="62">
        <v>22</v>
      </c>
      <c r="B31" s="103" t="s">
        <v>91</v>
      </c>
      <c r="C31" s="54" t="s">
        <v>57</v>
      </c>
      <c r="D31" s="106" t="str">
        <f t="shared" si="0"/>
        <v>2.1.1</v>
      </c>
      <c r="E31" s="125" t="s">
        <v>124</v>
      </c>
      <c r="F31" s="108" t="s">
        <v>59</v>
      </c>
      <c r="G31" s="108">
        <v>75</v>
      </c>
      <c r="H31" s="118">
        <v>750</v>
      </c>
      <c r="I31" s="68">
        <f t="shared" si="1"/>
        <v>56250</v>
      </c>
    </row>
    <row r="32" spans="1:9" ht="25.5" x14ac:dyDescent="0.2">
      <c r="A32" s="62">
        <v>23</v>
      </c>
      <c r="B32" s="103" t="s">
        <v>92</v>
      </c>
      <c r="C32" s="54" t="s">
        <v>57</v>
      </c>
      <c r="D32" s="106" t="str">
        <f t="shared" si="0"/>
        <v>2.1.1</v>
      </c>
      <c r="E32" s="123" t="s">
        <v>125</v>
      </c>
      <c r="F32" s="108" t="s">
        <v>59</v>
      </c>
      <c r="G32" s="108">
        <v>45</v>
      </c>
      <c r="H32" s="118">
        <v>100</v>
      </c>
      <c r="I32" s="68">
        <f t="shared" si="1"/>
        <v>4500</v>
      </c>
    </row>
    <row r="33" spans="1:9" ht="25.5" x14ac:dyDescent="0.2">
      <c r="A33" s="62">
        <v>24</v>
      </c>
      <c r="B33" s="103" t="s">
        <v>93</v>
      </c>
      <c r="C33" s="54" t="s">
        <v>57</v>
      </c>
      <c r="D33" s="106" t="str">
        <f t="shared" si="0"/>
        <v>2.1.1</v>
      </c>
      <c r="E33" s="125" t="s">
        <v>126</v>
      </c>
      <c r="F33" s="108" t="s">
        <v>59</v>
      </c>
      <c r="G33" s="101">
        <v>75</v>
      </c>
      <c r="H33" s="118">
        <v>100</v>
      </c>
      <c r="I33" s="68">
        <f t="shared" si="1"/>
        <v>7500</v>
      </c>
    </row>
    <row r="34" spans="1:9" ht="25.5" x14ac:dyDescent="0.2">
      <c r="A34" s="62">
        <v>25</v>
      </c>
      <c r="B34" s="104" t="s">
        <v>94</v>
      </c>
      <c r="C34" s="54" t="s">
        <v>57</v>
      </c>
      <c r="D34" s="106" t="str">
        <f t="shared" si="0"/>
        <v>2.1.1</v>
      </c>
      <c r="E34" s="126" t="s">
        <v>127</v>
      </c>
      <c r="F34" s="108" t="s">
        <v>59</v>
      </c>
      <c r="G34" s="111">
        <v>150</v>
      </c>
      <c r="H34" s="119">
        <v>130</v>
      </c>
      <c r="I34" s="68">
        <f t="shared" si="1"/>
        <v>19500</v>
      </c>
    </row>
    <row r="35" spans="1:9" ht="38.25" x14ac:dyDescent="0.2">
      <c r="A35" s="62">
        <v>26</v>
      </c>
      <c r="B35" s="105" t="s">
        <v>95</v>
      </c>
      <c r="C35" s="54" t="s">
        <v>57</v>
      </c>
      <c r="D35" s="106" t="str">
        <f t="shared" si="0"/>
        <v>2.1.1</v>
      </c>
      <c r="E35" s="125" t="s">
        <v>128</v>
      </c>
      <c r="F35" s="108" t="s">
        <v>59</v>
      </c>
      <c r="G35" s="112">
        <v>128</v>
      </c>
      <c r="H35" s="119">
        <v>250</v>
      </c>
      <c r="I35" s="68">
        <f t="shared" si="1"/>
        <v>32000</v>
      </c>
    </row>
    <row r="36" spans="1:9" ht="25.5" x14ac:dyDescent="0.2">
      <c r="A36" s="62">
        <v>27</v>
      </c>
      <c r="B36" s="101" t="s">
        <v>96</v>
      </c>
      <c r="C36" s="54" t="s">
        <v>57</v>
      </c>
      <c r="D36" s="106" t="str">
        <f t="shared" si="0"/>
        <v>2.1.1</v>
      </c>
      <c r="E36" s="125" t="s">
        <v>129</v>
      </c>
      <c r="F36" s="108" t="s">
        <v>59</v>
      </c>
      <c r="G36" s="112">
        <v>36</v>
      </c>
      <c r="H36" s="120">
        <v>100</v>
      </c>
      <c r="I36" s="68">
        <f t="shared" si="1"/>
        <v>3600</v>
      </c>
    </row>
    <row r="37" spans="1:9" ht="25.5" x14ac:dyDescent="0.2">
      <c r="A37" s="62">
        <v>28</v>
      </c>
      <c r="B37" s="101" t="s">
        <v>97</v>
      </c>
      <c r="C37" s="54" t="s">
        <v>57</v>
      </c>
      <c r="D37" s="106" t="str">
        <f t="shared" si="0"/>
        <v>2.1.1</v>
      </c>
      <c r="E37" s="125" t="s">
        <v>130</v>
      </c>
      <c r="F37" s="108" t="s">
        <v>59</v>
      </c>
      <c r="G37" s="112">
        <v>36</v>
      </c>
      <c r="H37" s="120">
        <v>150</v>
      </c>
      <c r="I37" s="68">
        <f t="shared" si="1"/>
        <v>5400</v>
      </c>
    </row>
    <row r="38" spans="1:9" ht="25.5" x14ac:dyDescent="0.2">
      <c r="A38" s="62">
        <v>29</v>
      </c>
      <c r="B38" s="101" t="s">
        <v>98</v>
      </c>
      <c r="C38" s="54" t="s">
        <v>57</v>
      </c>
      <c r="D38" s="106" t="str">
        <f t="shared" si="0"/>
        <v>2.1.1</v>
      </c>
      <c r="E38" s="125" t="s">
        <v>131</v>
      </c>
      <c r="F38" s="108" t="s">
        <v>59</v>
      </c>
      <c r="G38" s="112">
        <v>15</v>
      </c>
      <c r="H38" s="120">
        <v>350</v>
      </c>
      <c r="I38" s="68">
        <f t="shared" si="1"/>
        <v>5250</v>
      </c>
    </row>
    <row r="39" spans="1:9" ht="25.5" x14ac:dyDescent="0.2">
      <c r="A39" s="62">
        <v>30</v>
      </c>
      <c r="B39" s="105" t="s">
        <v>99</v>
      </c>
      <c r="C39" s="54" t="s">
        <v>57</v>
      </c>
      <c r="D39" s="106" t="str">
        <f t="shared" si="0"/>
        <v>2.1.1</v>
      </c>
      <c r="E39" s="125" t="s">
        <v>132</v>
      </c>
      <c r="F39" s="108" t="s">
        <v>59</v>
      </c>
      <c r="G39" s="112">
        <v>15</v>
      </c>
      <c r="H39" s="120">
        <v>350</v>
      </c>
      <c r="I39" s="68">
        <f t="shared" si="1"/>
        <v>5250</v>
      </c>
    </row>
    <row r="40" spans="1:9" ht="15" x14ac:dyDescent="0.2">
      <c r="A40" s="62">
        <v>31</v>
      </c>
      <c r="B40" s="101" t="s">
        <v>100</v>
      </c>
      <c r="C40" s="54" t="s">
        <v>57</v>
      </c>
      <c r="D40" s="106" t="str">
        <f t="shared" si="0"/>
        <v>2.1.1</v>
      </c>
      <c r="E40" s="127" t="s">
        <v>133</v>
      </c>
      <c r="F40" s="108" t="s">
        <v>59</v>
      </c>
      <c r="G40" s="112">
        <v>6</v>
      </c>
      <c r="H40" s="121">
        <v>1200</v>
      </c>
      <c r="I40" s="68">
        <f t="shared" si="1"/>
        <v>7200</v>
      </c>
    </row>
    <row r="41" spans="1:9" ht="15" x14ac:dyDescent="0.2">
      <c r="A41" s="62">
        <v>32</v>
      </c>
      <c r="B41" s="101" t="s">
        <v>101</v>
      </c>
      <c r="C41" s="54" t="s">
        <v>57</v>
      </c>
      <c r="D41" s="106" t="str">
        <f t="shared" si="0"/>
        <v>2.1.1</v>
      </c>
      <c r="E41" s="127" t="s">
        <v>134</v>
      </c>
      <c r="F41" s="108" t="s">
        <v>59</v>
      </c>
      <c r="G41" s="112">
        <v>6</v>
      </c>
      <c r="H41" s="121">
        <v>1000</v>
      </c>
      <c r="I41" s="68">
        <f t="shared" si="1"/>
        <v>6000</v>
      </c>
    </row>
    <row r="42" spans="1:9" ht="15" x14ac:dyDescent="0.2">
      <c r="A42" s="62">
        <v>33</v>
      </c>
      <c r="B42" s="105" t="s">
        <v>102</v>
      </c>
      <c r="C42" s="54" t="s">
        <v>57</v>
      </c>
      <c r="D42" s="106" t="str">
        <f t="shared" si="0"/>
        <v>2.1.1</v>
      </c>
      <c r="E42" s="127" t="s">
        <v>135</v>
      </c>
      <c r="F42" s="108" t="s">
        <v>59</v>
      </c>
      <c r="G42" s="113">
        <v>9</v>
      </c>
      <c r="H42" s="122">
        <v>600</v>
      </c>
      <c r="I42" s="68">
        <f t="shared" si="1"/>
        <v>5400</v>
      </c>
    </row>
    <row r="43" spans="1:9" ht="15" x14ac:dyDescent="0.2">
      <c r="A43" s="62"/>
      <c r="B43" s="59"/>
      <c r="C43" s="53"/>
      <c r="D43" s="64"/>
      <c r="E43" s="65"/>
      <c r="F43" s="70"/>
      <c r="G43" s="55"/>
      <c r="H43" s="72"/>
      <c r="I43" s="68"/>
    </row>
    <row r="44" spans="1:9" x14ac:dyDescent="0.2">
      <c r="I44" s="134">
        <f>SUM(I10:I43)</f>
        <v>385450</v>
      </c>
    </row>
    <row r="45" spans="1:9" ht="13.5" thickBot="1" x14ac:dyDescent="0.25"/>
    <row r="46" spans="1:9" ht="15" x14ac:dyDescent="0.25">
      <c r="B46" s="163" t="s">
        <v>67</v>
      </c>
      <c r="C46" s="164"/>
      <c r="D46" s="164"/>
      <c r="E46" s="165"/>
    </row>
    <row r="47" spans="1:9" ht="15" x14ac:dyDescent="0.25">
      <c r="B47" s="96" t="s">
        <v>141</v>
      </c>
      <c r="C47" s="97"/>
      <c r="D47" s="97"/>
      <c r="E47" s="98"/>
    </row>
    <row r="48" spans="1:9" ht="15" x14ac:dyDescent="0.25">
      <c r="B48" s="96" t="s">
        <v>142</v>
      </c>
      <c r="C48" s="97"/>
      <c r="D48" s="97"/>
      <c r="E48" s="98"/>
    </row>
    <row r="49" spans="2:9" ht="15" x14ac:dyDescent="0.25">
      <c r="B49" s="96" t="s">
        <v>139</v>
      </c>
      <c r="C49" s="97"/>
      <c r="D49" s="97"/>
      <c r="E49" s="98"/>
    </row>
    <row r="50" spans="2:9" ht="15" x14ac:dyDescent="0.25">
      <c r="B50" s="96" t="s">
        <v>145</v>
      </c>
      <c r="C50" s="97"/>
      <c r="D50" s="97"/>
      <c r="E50" s="98"/>
    </row>
    <row r="51" spans="2:9" ht="15" x14ac:dyDescent="0.25">
      <c r="B51" s="96" t="s">
        <v>146</v>
      </c>
      <c r="C51" s="97"/>
      <c r="D51" s="97"/>
      <c r="E51" s="98"/>
    </row>
    <row r="52" spans="2:9" ht="15" x14ac:dyDescent="0.25">
      <c r="B52" s="96" t="s">
        <v>147</v>
      </c>
      <c r="C52" s="97"/>
      <c r="D52" s="97"/>
      <c r="E52" s="98"/>
    </row>
    <row r="53" spans="2:9" ht="15" x14ac:dyDescent="0.25">
      <c r="B53" s="96"/>
      <c r="C53" s="97"/>
      <c r="D53" s="97"/>
      <c r="E53" s="98"/>
    </row>
    <row r="54" spans="2:9" ht="15" x14ac:dyDescent="0.25">
      <c r="B54" s="166" t="s">
        <v>53</v>
      </c>
      <c r="C54" s="167"/>
      <c r="D54" s="167"/>
      <c r="E54" s="168"/>
    </row>
    <row r="55" spans="2:9" ht="135" customHeight="1" x14ac:dyDescent="0.2">
      <c r="B55" s="146" t="s">
        <v>149</v>
      </c>
      <c r="C55" s="147"/>
      <c r="D55" s="147"/>
      <c r="E55" s="148"/>
    </row>
    <row r="56" spans="2:9" ht="16.5" customHeight="1" x14ac:dyDescent="0.25">
      <c r="B56" s="166" t="s">
        <v>54</v>
      </c>
      <c r="C56" s="167"/>
      <c r="D56" s="167"/>
      <c r="E56" s="168"/>
    </row>
    <row r="57" spans="2:9" ht="15" x14ac:dyDescent="0.25">
      <c r="B57" s="143" t="s">
        <v>148</v>
      </c>
      <c r="C57" s="144"/>
      <c r="D57" s="144"/>
      <c r="E57" s="145"/>
    </row>
    <row r="58" spans="2:9" ht="15" x14ac:dyDescent="0.25">
      <c r="B58" s="166" t="s">
        <v>55</v>
      </c>
      <c r="C58" s="167"/>
      <c r="D58" s="167"/>
      <c r="E58" s="168"/>
    </row>
    <row r="59" spans="2:9" ht="15" x14ac:dyDescent="0.25">
      <c r="B59" s="143" t="s">
        <v>64</v>
      </c>
      <c r="C59" s="144"/>
      <c r="D59" s="144"/>
      <c r="E59" s="145"/>
    </row>
    <row r="60" spans="2:9" ht="15" x14ac:dyDescent="0.25">
      <c r="B60" s="166" t="s">
        <v>65</v>
      </c>
      <c r="C60" s="167"/>
      <c r="D60" s="167"/>
      <c r="E60" s="168"/>
    </row>
    <row r="61" spans="2:9" ht="31.5" customHeight="1" thickBot="1" x14ac:dyDescent="0.3">
      <c r="B61" s="160" t="s">
        <v>70</v>
      </c>
      <c r="C61" s="161"/>
      <c r="D61" s="161"/>
      <c r="E61" s="162"/>
      <c r="F61" s="135"/>
      <c r="G61" s="135"/>
      <c r="H61" s="135"/>
      <c r="I61" s="135"/>
    </row>
    <row r="62" spans="2:9" x14ac:dyDescent="0.2">
      <c r="B62" s="44"/>
      <c r="C62" s="13"/>
      <c r="D62" s="13"/>
      <c r="E62" s="13"/>
      <c r="F62" s="135"/>
      <c r="G62" s="135"/>
      <c r="H62" s="135"/>
      <c r="I62" s="135"/>
    </row>
    <row r="63" spans="2:9" x14ac:dyDescent="0.2">
      <c r="C63" s="14"/>
      <c r="D63" s="14"/>
      <c r="E63" s="14"/>
    </row>
  </sheetData>
  <mergeCells count="19">
    <mergeCell ref="B56:E56"/>
    <mergeCell ref="B58:E58"/>
    <mergeCell ref="B60:E60"/>
    <mergeCell ref="F61:I62"/>
    <mergeCell ref="B2:H2"/>
    <mergeCell ref="A4:B4"/>
    <mergeCell ref="A5:B5"/>
    <mergeCell ref="B57:E57"/>
    <mergeCell ref="B55:E55"/>
    <mergeCell ref="C4:I4"/>
    <mergeCell ref="C5:I5"/>
    <mergeCell ref="C6:I6"/>
    <mergeCell ref="C7:I7"/>
    <mergeCell ref="A6:B6"/>
    <mergeCell ref="A7:B7"/>
    <mergeCell ref="B59:E59"/>
    <mergeCell ref="B61:E61"/>
    <mergeCell ref="B46:E46"/>
    <mergeCell ref="B54:E5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8"/>
  <sheetViews>
    <sheetView topLeftCell="A37" workbookViewId="0">
      <selection activeCell="C58" sqref="C58"/>
    </sheetView>
  </sheetViews>
  <sheetFormatPr baseColWidth="10" defaultColWidth="9.140625" defaultRowHeight="12.75" x14ac:dyDescent="0.2"/>
  <cols>
    <col min="1" max="1" width="7.28515625" style="2" customWidth="1"/>
    <col min="2" max="2" width="18.28515625" style="2" customWidth="1"/>
    <col min="3" max="3" width="85.85546875" style="2" customWidth="1"/>
    <col min="4" max="4" width="9.140625" style="2" customWidth="1"/>
    <col min="5" max="5" width="11" style="2" customWidth="1"/>
    <col min="6" max="6" width="10.7109375" style="2" customWidth="1"/>
    <col min="7" max="7" width="9.140625" style="2" customWidth="1"/>
    <col min="8" max="8" width="9.28515625" style="2" customWidth="1"/>
    <col min="9" max="9" width="12" style="2" customWidth="1"/>
    <col min="10" max="10" width="14.7109375" style="2" customWidth="1"/>
    <col min="11" max="11" width="13.8554687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thickBot="1" x14ac:dyDescent="0.25">
      <c r="A1" s="191" t="s">
        <v>14</v>
      </c>
      <c r="B1" s="191"/>
      <c r="C1" s="191"/>
      <c r="D1" s="191"/>
      <c r="E1" s="191"/>
      <c r="F1" s="191"/>
      <c r="G1" s="191"/>
      <c r="H1" s="95"/>
      <c r="I1" s="95"/>
    </row>
    <row r="2" spans="1:11" ht="18.75" customHeight="1" thickBot="1" x14ac:dyDescent="0.25">
      <c r="A2" s="3"/>
      <c r="B2" s="3"/>
      <c r="C2" s="3"/>
      <c r="D2" s="3"/>
      <c r="E2" s="3"/>
      <c r="F2" s="48" t="s">
        <v>15</v>
      </c>
      <c r="G2" s="43" t="s">
        <v>137</v>
      </c>
      <c r="H2" s="3"/>
      <c r="I2" s="3"/>
      <c r="J2" s="3"/>
      <c r="K2" s="3"/>
    </row>
    <row r="3" spans="1:11" ht="7.5" customHeight="1" thickBot="1" x14ac:dyDescent="0.25">
      <c r="A3" s="3"/>
      <c r="B3" s="3"/>
      <c r="C3" s="3"/>
      <c r="D3" s="3"/>
      <c r="E3" s="3"/>
      <c r="F3" s="74"/>
      <c r="G3" s="75"/>
      <c r="H3" s="3"/>
      <c r="I3" s="3"/>
      <c r="J3" s="3"/>
      <c r="K3" s="3"/>
    </row>
    <row r="4" spans="1:11" ht="18.75" customHeight="1" x14ac:dyDescent="0.2">
      <c r="A4" s="195" t="s">
        <v>48</v>
      </c>
      <c r="B4" s="196"/>
      <c r="C4" s="192" t="str">
        <f>'Necesidades Trimestrales'!C4</f>
        <v>12 -Ministerio de Gobierno, Justicia y Derechos Humanos.</v>
      </c>
      <c r="D4" s="193"/>
      <c r="E4" s="193"/>
      <c r="F4" s="193"/>
      <c r="G4" s="194"/>
      <c r="H4" s="50"/>
      <c r="I4" s="50"/>
      <c r="J4" s="50"/>
    </row>
    <row r="5" spans="1:11" ht="18.75" customHeight="1" x14ac:dyDescent="0.2">
      <c r="A5" s="189" t="s">
        <v>49</v>
      </c>
      <c r="B5" s="190"/>
      <c r="C5" s="169" t="str">
        <f>'Necesidades Trimestrales'!C5</f>
        <v>06 - Secretaria de Gestion Administrativa del Ministerio de Gobierno, Justicia y Derechos Humanos</v>
      </c>
      <c r="D5" s="170"/>
      <c r="E5" s="170"/>
      <c r="F5" s="170"/>
      <c r="G5" s="171"/>
      <c r="H5" s="50"/>
      <c r="I5" s="50"/>
      <c r="J5" s="50"/>
    </row>
    <row r="6" spans="1:11" ht="18.75" customHeight="1" x14ac:dyDescent="0.2">
      <c r="A6" s="189" t="s">
        <v>27</v>
      </c>
      <c r="B6" s="190"/>
      <c r="C6" s="169" t="s">
        <v>63</v>
      </c>
      <c r="D6" s="170"/>
      <c r="E6" s="170"/>
      <c r="F6" s="170"/>
      <c r="G6" s="171"/>
      <c r="H6" s="50"/>
      <c r="I6" s="50"/>
      <c r="J6" s="50"/>
    </row>
    <row r="7" spans="1:11" ht="16.5" customHeight="1" x14ac:dyDescent="0.2">
      <c r="A7" s="189" t="s">
        <v>50</v>
      </c>
      <c r="B7" s="190"/>
      <c r="C7" s="169" t="s">
        <v>62</v>
      </c>
      <c r="D7" s="170"/>
      <c r="E7" s="170"/>
      <c r="F7" s="170"/>
      <c r="G7" s="171"/>
      <c r="H7" s="50"/>
      <c r="I7" s="50"/>
      <c r="J7" s="50"/>
    </row>
    <row r="8" spans="1:11" ht="16.5" customHeight="1" x14ac:dyDescent="0.2">
      <c r="A8" s="189" t="s">
        <v>16</v>
      </c>
      <c r="B8" s="190"/>
      <c r="C8" s="169" t="s">
        <v>69</v>
      </c>
      <c r="D8" s="170"/>
      <c r="E8" s="170"/>
      <c r="F8" s="170"/>
      <c r="G8" s="171"/>
      <c r="H8" s="51"/>
      <c r="I8" s="51"/>
      <c r="J8" s="51"/>
    </row>
    <row r="9" spans="1:11" ht="16.5" customHeight="1" thickBot="1" x14ac:dyDescent="0.25">
      <c r="A9" s="172" t="s">
        <v>17</v>
      </c>
      <c r="B9" s="173"/>
      <c r="C9" s="179" t="s">
        <v>136</v>
      </c>
      <c r="D9" s="180"/>
      <c r="E9" s="180"/>
      <c r="F9" s="180"/>
      <c r="G9" s="181"/>
      <c r="H9" s="52"/>
      <c r="I9" s="52"/>
      <c r="J9" s="52"/>
    </row>
    <row r="10" spans="1:11" ht="16.5" customHeight="1" thickBot="1" x14ac:dyDescent="0.25">
      <c r="A10" s="76"/>
      <c r="B10" s="77"/>
      <c r="C10" s="78"/>
      <c r="D10" s="78"/>
      <c r="E10" s="49"/>
      <c r="F10" s="49"/>
      <c r="G10" s="79"/>
      <c r="H10" s="52"/>
      <c r="I10" s="52"/>
      <c r="J10" s="52"/>
    </row>
    <row r="11" spans="1:11" ht="18.75" customHeight="1" x14ac:dyDescent="0.2">
      <c r="A11" s="183" t="s">
        <v>18</v>
      </c>
      <c r="B11" s="185" t="s">
        <v>19</v>
      </c>
      <c r="C11" s="174" t="s">
        <v>20</v>
      </c>
      <c r="D11" s="187" t="s">
        <v>21</v>
      </c>
      <c r="E11" s="187" t="s">
        <v>22</v>
      </c>
      <c r="F11" s="187" t="s">
        <v>23</v>
      </c>
      <c r="G11" s="187" t="s">
        <v>24</v>
      </c>
    </row>
    <row r="12" spans="1:11" ht="24" customHeight="1" thickBot="1" x14ac:dyDescent="0.25">
      <c r="A12" s="184"/>
      <c r="B12" s="186"/>
      <c r="C12" s="175"/>
      <c r="D12" s="188"/>
      <c r="E12" s="188"/>
      <c r="F12" s="188"/>
      <c r="G12" s="188"/>
    </row>
    <row r="13" spans="1:11" ht="45" x14ac:dyDescent="0.2">
      <c r="A13" s="80">
        <f>'Necesidades Trimestrales'!A10</f>
        <v>1</v>
      </c>
      <c r="B13" s="82" t="str">
        <f>'Necesidades Trimestrales'!B10</f>
        <v>2.1.1-439.65</v>
      </c>
      <c r="C13" s="84" t="str">
        <f>'Necesidades Trimestrales'!E10</f>
        <v>ACEITES COMESTIBLES; TIPO: GIRASOL, PRESENTACION: ENVASE X 1,5 L, MATERIAL ENVASE: PLASTICO 1 (PET),ELEM. TRANSPORTE: SIN, MATERIAL ELEM. TRANSPORTE: SIN, LIBRE DE GLUTEN: NO</v>
      </c>
      <c r="D13" s="86" t="s">
        <v>56</v>
      </c>
      <c r="E13" s="86" t="str">
        <f>'Necesidades Trimestrales'!F10</f>
        <v>LITROS</v>
      </c>
      <c r="F13" s="88">
        <f>'Necesidades Trimestrales'!H10</f>
        <v>300</v>
      </c>
      <c r="G13" s="86">
        <f>'Necesidades Trimestrales'!G10</f>
        <v>75</v>
      </c>
    </row>
    <row r="14" spans="1:11" ht="45" x14ac:dyDescent="0.2">
      <c r="A14" s="81">
        <f>'Necesidades Trimestrales'!A11</f>
        <v>2</v>
      </c>
      <c r="B14" s="83" t="str">
        <f>'Necesidades Trimestrales'!B11</f>
        <v>2.1.1-481.38</v>
      </c>
      <c r="C14" s="85" t="str">
        <f>'Necesidades Trimestrales'!E11</f>
        <v>AZUCARES; TIPO: "A" COMUN, ESTADO: MOLIDA, PESO: 1 Kg,  MATERIAL ENVASE: PLASTICO, CERTIFICADO FORESTAL (GFS): SIN, ELEM. TRANSPORTE: SIN, MATERIAL ELEM. TRANSPORTE: SIN</v>
      </c>
      <c r="D14" s="87" t="s">
        <v>56</v>
      </c>
      <c r="E14" s="87" t="str">
        <f>'Necesidades Trimestrales'!F11</f>
        <v>KG</v>
      </c>
      <c r="F14" s="89">
        <f>'Necesidades Trimestrales'!H11</f>
        <v>120</v>
      </c>
      <c r="G14" s="87">
        <f>'Necesidades Trimestrales'!G11</f>
        <v>120</v>
      </c>
    </row>
    <row r="15" spans="1:11" ht="45" x14ac:dyDescent="0.2">
      <c r="A15" s="81">
        <f>'Necesidades Trimestrales'!A12</f>
        <v>3</v>
      </c>
      <c r="B15" s="83" t="str">
        <f>'Necesidades Trimestrales'!B12</f>
        <v>2.1.1-2868.59</v>
      </c>
      <c r="C15" s="85" t="str">
        <f>'Necesidades Trimestrales'!E12</f>
        <v>FIDEOS SECOS; VARIEDAD: MOSTACHOLES, RELLENO: SIN, PRESENTACION: ENVASE X 500 GR, MATERIAL  ENVASE: PVC, ELEM. TRANSPORTE: CAJA, MATERIAL ELEM. TRANSPORTE: CARTON, CERTIFICADO FORESTAL (GFS): SIN, LIBRE DE GLUTEN: NO</v>
      </c>
      <c r="D15" s="87" t="s">
        <v>56</v>
      </c>
      <c r="E15" s="87" t="str">
        <f>'Necesidades Trimestrales'!F12</f>
        <v>UNIDAD</v>
      </c>
      <c r="F15" s="89">
        <f>'Necesidades Trimestrales'!H12</f>
        <v>80</v>
      </c>
      <c r="G15" s="87">
        <f>'Necesidades Trimestrales'!G12</f>
        <v>90</v>
      </c>
    </row>
    <row r="16" spans="1:11" ht="45" x14ac:dyDescent="0.2">
      <c r="A16" s="81">
        <f>'Necesidades Trimestrales'!A13</f>
        <v>4</v>
      </c>
      <c r="B16" s="83" t="str">
        <f>'Necesidades Trimestrales'!B13</f>
        <v>2.1.1-2868.55</v>
      </c>
      <c r="C16" s="85" t="str">
        <f>'Necesidades Trimestrales'!E13</f>
        <v>FIDEOS SECOS; VARIEDAD: TALLARIN, RELLENO: SIN, PRESENTACION: ENVASE X 500 GR, MATERIAL ENVASE: PLASTICO 1 (PET), ELEM. TRANSPORTE: SIN, MATERIAL
 ELEM. TRANSPORTE: SIN, CERTIFICADO FORESTAL (GFS): SIN, LIBRE DE GLUTEN: NO</v>
      </c>
      <c r="D16" s="87" t="s">
        <v>56</v>
      </c>
      <c r="E16" s="87" t="str">
        <f>'Necesidades Trimestrales'!F13</f>
        <v>UNIDAD</v>
      </c>
      <c r="F16" s="89">
        <f>'Necesidades Trimestrales'!H13</f>
        <v>100</v>
      </c>
      <c r="G16" s="87">
        <f>'Necesidades Trimestrales'!G13</f>
        <v>120</v>
      </c>
    </row>
    <row r="17" spans="1:7" ht="45" x14ac:dyDescent="0.2">
      <c r="A17" s="81">
        <f>'Necesidades Trimestrales'!A14</f>
        <v>5</v>
      </c>
      <c r="B17" s="83" t="str">
        <f>'Necesidades Trimestrales'!B14</f>
        <v>2.1.1-2868.54</v>
      </c>
      <c r="C17" s="85" t="str">
        <f>'Necesidades Trimestrales'!E14</f>
        <v>FIDEOS SECOS; VARIEDAD: SOPERO, RELLENO: SIN, PRESENTACION: ENVASE X 500 GR, MATERIAL ENVASE: PLASTICO 1 (PET), ELEM. TRANSPORTE: SIN, MATERIAL
 ELEM. TRANSPORTE: SIN, CERTIFICADO FORESTAL (GFS): SIN, LIBRE DE GLUTEN: NO</v>
      </c>
      <c r="D17" s="87" t="s">
        <v>56</v>
      </c>
      <c r="E17" s="87" t="str">
        <f>'Necesidades Trimestrales'!F14</f>
        <v>UNIDAD</v>
      </c>
      <c r="F17" s="89">
        <f>'Necesidades Trimestrales'!H14</f>
        <v>80</v>
      </c>
      <c r="G17" s="87">
        <f>'Necesidades Trimestrales'!G14</f>
        <v>90</v>
      </c>
    </row>
    <row r="18" spans="1:7" ht="45" x14ac:dyDescent="0.2">
      <c r="A18" s="81">
        <f>'Necesidades Trimestrales'!A15</f>
        <v>6</v>
      </c>
      <c r="B18" s="83" t="str">
        <f>'Necesidades Trimestrales'!B15</f>
        <v>2.1.1-435.60</v>
      </c>
      <c r="C18" s="85" t="str">
        <f>'Necesidades Trimestrales'!E15</f>
        <v>ARROZ; TIPO GRANO: LARGO-FINO, TIPO: BLANCO, PROCESO: SIN CASCARA, PRESENTACION: BOLSA X 1Kg, MATERIAL ENVASE: PLASTICO, CERTIFICADO FORESTAL (GFS): SIN, ELEM. TRANSPORTE: SIN, MATERIAL ELEM.TRANSPORTE: SIN, LIBRE DE GLUTEN: SI</v>
      </c>
      <c r="D18" s="87" t="s">
        <v>56</v>
      </c>
      <c r="E18" s="94" t="str">
        <f>'Necesidades Trimestrales'!F15</f>
        <v>UNIDAD</v>
      </c>
      <c r="F18" s="89">
        <f>'Necesidades Trimestrales'!H15</f>
        <v>150</v>
      </c>
      <c r="G18" s="87">
        <f>'Necesidades Trimestrales'!G15</f>
        <v>90</v>
      </c>
    </row>
    <row r="19" spans="1:7" ht="45" x14ac:dyDescent="0.2">
      <c r="A19" s="81">
        <f>'Necesidades Trimestrales'!A16</f>
        <v>7</v>
      </c>
      <c r="B19" s="83" t="str">
        <f>'Necesidades Trimestrales'!B16</f>
        <v>2.1.1-482.80</v>
      </c>
      <c r="C19" s="85" t="str">
        <f>'Necesidades Trimestrales'!E16</f>
        <v>HARINAS; TIPO: DE TRIGO 000, PRESENTACION: ENVASE X 1 Kg, MATERIAL ENVASE: PAPEL, CERTICADO FORESTAL (GFS): SIN, ELEM. TRANSPORTE: SIN, MATERIAL ELEM. TRANSPORTE: SIN, LIBRE DE GLUTEN: NO</v>
      </c>
      <c r="D19" s="87" t="s">
        <v>56</v>
      </c>
      <c r="E19" s="94" t="str">
        <f>'Necesidades Trimestrales'!F16</f>
        <v>UNIDAD</v>
      </c>
      <c r="F19" s="89">
        <f>'Necesidades Trimestrales'!H16</f>
        <v>100</v>
      </c>
      <c r="G19" s="87">
        <f>'Necesidades Trimestrales'!G16</f>
        <v>45</v>
      </c>
    </row>
    <row r="20" spans="1:7" ht="30" x14ac:dyDescent="0.2">
      <c r="A20" s="81">
        <f>'Necesidades Trimestrales'!A17</f>
        <v>8</v>
      </c>
      <c r="B20" s="83" t="str">
        <f>'Necesidades Trimestrales'!B17</f>
        <v>2.1.1-706.6</v>
      </c>
      <c r="C20" s="85" t="str">
        <f>'Necesidades Trimestrales'!E17</f>
        <v>MATE COCIDO; ENVASE: CAJA CARTON, PRESENTACION:ENSOBRADO, SAQUITOS P/CAJA: 100 UN, PESO X  SAQ.: 3 GR</v>
      </c>
      <c r="D20" s="87" t="s">
        <v>56</v>
      </c>
      <c r="E20" s="87" t="str">
        <f>'Necesidades Trimestrales'!F17</f>
        <v>UNIDAD</v>
      </c>
      <c r="F20" s="89">
        <f>'Necesidades Trimestrales'!H17</f>
        <v>250</v>
      </c>
      <c r="G20" s="87">
        <f>'Necesidades Trimestrales'!G17</f>
        <v>10</v>
      </c>
    </row>
    <row r="21" spans="1:7" ht="30" x14ac:dyDescent="0.2">
      <c r="A21" s="81">
        <f>'Necesidades Trimestrales'!A18</f>
        <v>9</v>
      </c>
      <c r="B21" s="83" t="str">
        <f>'Necesidades Trimestrales'!B18</f>
        <v>2.1.1-511.8</v>
      </c>
      <c r="C21" s="85" t="str">
        <f>'Necesidades Trimestrales'!E18</f>
        <v>TE; SAQUITOS 2G P/CAJA: 50, PESO: SIN VALOR, TIPO: SIN VALOR, PRESENTACION: EN SAQUITOS</v>
      </c>
      <c r="D21" s="87" t="s">
        <v>56</v>
      </c>
      <c r="E21" s="87" t="str">
        <f>'Necesidades Trimestrales'!F18</f>
        <v>UNIDAD</v>
      </c>
      <c r="F21" s="89">
        <f>'Necesidades Trimestrales'!H18</f>
        <v>200</v>
      </c>
      <c r="G21" s="87">
        <f>'Necesidades Trimestrales'!G18</f>
        <v>20</v>
      </c>
    </row>
    <row r="22" spans="1:7" ht="30" x14ac:dyDescent="0.2">
      <c r="A22" s="81">
        <f>'Necesidades Trimestrales'!A19</f>
        <v>10</v>
      </c>
      <c r="B22" s="83" t="str">
        <f>'Necesidades Trimestrales'!B19</f>
        <v>2.1.1-2615.15</v>
      </c>
      <c r="C22" s="85" t="str">
        <f>'Necesidades Trimestrales'!E19</f>
        <v>CACAO; TIPO: INSTANTANEO, PRESENTACION: ENVASE X 800 GR, FORMA DE PRESENTACION: POLVO, MATERIAL ENVASE: CARTON, CERTICADO FORESTAL (GFS): CON, LIBRE DE GLUTEN: SI</v>
      </c>
      <c r="D22" s="87" t="s">
        <v>56</v>
      </c>
      <c r="E22" s="87" t="str">
        <f>'Necesidades Trimestrales'!F19</f>
        <v>UNIDAD</v>
      </c>
      <c r="F22" s="89">
        <f>'Necesidades Trimestrales'!H19</f>
        <v>500</v>
      </c>
      <c r="G22" s="87">
        <f>'Necesidades Trimestrales'!G19</f>
        <v>36</v>
      </c>
    </row>
    <row r="23" spans="1:7" ht="30" x14ac:dyDescent="0.2">
      <c r="A23" s="81">
        <f>'Necesidades Trimestrales'!A20</f>
        <v>11</v>
      </c>
      <c r="B23" s="83" t="str">
        <f>'Necesidades Trimestrales'!B20</f>
        <v>2.1.1-455.24</v>
      </c>
      <c r="C23" s="85" t="str">
        <f>'Necesidades Trimestrales'!E20</f>
        <v>DULCE DE LECHE; TIPO: COMUN, ENVASE: PLASTICO, CAPACIDAD: 1 Kg, PRESENTACION: ENVASE PLASTICO X 1 Kg</v>
      </c>
      <c r="D23" s="87" t="s">
        <v>56</v>
      </c>
      <c r="E23" s="87" t="str">
        <f>'Necesidades Trimestrales'!F20</f>
        <v>KG</v>
      </c>
      <c r="F23" s="89">
        <f>'Necesidades Trimestrales'!H20</f>
        <v>350</v>
      </c>
      <c r="G23" s="87">
        <f>'Necesidades Trimestrales'!G20</f>
        <v>12</v>
      </c>
    </row>
    <row r="24" spans="1:7" ht="45" x14ac:dyDescent="0.2">
      <c r="A24" s="81">
        <f>'Necesidades Trimestrales'!A21</f>
        <v>12</v>
      </c>
      <c r="B24" s="83" t="str">
        <f>'Necesidades Trimestrales'!B21</f>
        <v>2.1.1-454.25</v>
      </c>
      <c r="C24" s="85" t="str">
        <f>'Necesidades Trimestrales'!E21</f>
        <v>YERBAS; PALO: CON, PESO: 1 Kg, MATERIAL ENVASE: PAPEL, CERTIFICADO FORESTAL (GFS): CON, ELEM.TRANSPORTE: SIN, MATERIAL ELEM. TRANSPORTE: 
SIN, LIBRE DE GLUTEN: SI</v>
      </c>
      <c r="D24" s="87" t="s">
        <v>56</v>
      </c>
      <c r="E24" s="87" t="str">
        <f>'Necesidades Trimestrales'!F21</f>
        <v>KG</v>
      </c>
      <c r="F24" s="89">
        <f>'Necesidades Trimestrales'!H21</f>
        <v>600</v>
      </c>
      <c r="G24" s="87">
        <f>'Necesidades Trimestrales'!G21</f>
        <v>30</v>
      </c>
    </row>
    <row r="25" spans="1:7" ht="45" x14ac:dyDescent="0.2">
      <c r="A25" s="81">
        <f>'Necesidades Trimestrales'!A22</f>
        <v>13</v>
      </c>
      <c r="B25" s="83" t="str">
        <f>'Necesidades Trimestrales'!B22</f>
        <v>2.1.1-6547.84</v>
      </c>
      <c r="C25" s="85" t="str">
        <f>'Necesidades Trimestrales'!E22</f>
        <v>LEGUMBRES; VARIEDAD: ARVEJAS, ESTADO: CONSERVA, PRESENTACION: LATA, PESO: 350 GR, MATERIAL ENVASE: METAL, ELEM. TRANSPORTE: SIN, MATERIAL
 ELEM. TRANSPORTE: SIN, LIBRE DE GLUTEN: NO</v>
      </c>
      <c r="D25" s="87" t="s">
        <v>56</v>
      </c>
      <c r="E25" s="87" t="str">
        <f>'Necesidades Trimestrales'!F22</f>
        <v>UNIDAD</v>
      </c>
      <c r="F25" s="89">
        <f>'Necesidades Trimestrales'!H22</f>
        <v>100</v>
      </c>
      <c r="G25" s="87">
        <f>'Necesidades Trimestrales'!G22</f>
        <v>45</v>
      </c>
    </row>
    <row r="26" spans="1:7" ht="30" x14ac:dyDescent="0.2">
      <c r="A26" s="81">
        <f>'Necesidades Trimestrales'!A23</f>
        <v>14</v>
      </c>
      <c r="B26" s="83" t="str">
        <f>'Necesidades Trimestrales'!B23</f>
        <v>2.1.1-708.42</v>
      </c>
      <c r="C26" s="85" t="str">
        <f>'Necesidades Trimestrales'!E23</f>
        <v>CONSERVAS PESCADO Y FRUTOS MAR; TIPO: ATUN, ESTADO: EN ACEITE, PESO: 300 GR, ENVASE: LATA, ELEM. TRANSPORTE: SIN, MATERIAL ELEM. TRANSPORTE: SIN</v>
      </c>
      <c r="D26" s="87" t="s">
        <v>56</v>
      </c>
      <c r="E26" s="87" t="str">
        <f>'Necesidades Trimestrales'!F23</f>
        <v>UNIDAD</v>
      </c>
      <c r="F26" s="89">
        <f>'Necesidades Trimestrales'!H23</f>
        <v>180</v>
      </c>
      <c r="G26" s="87">
        <f>'Necesidades Trimestrales'!G23</f>
        <v>90</v>
      </c>
    </row>
    <row r="27" spans="1:7" ht="30" x14ac:dyDescent="0.2">
      <c r="A27" s="81">
        <f>'Necesidades Trimestrales'!A24</f>
        <v>15</v>
      </c>
      <c r="B27" s="83" t="str">
        <f>'Necesidades Trimestrales'!B24</f>
        <v>2.1.1-708.23</v>
      </c>
      <c r="C27" s="85" t="str">
        <f>'Necesidades Trimestrales'!E24</f>
        <v>CONSERVAS PESCADO Y FRUTOS MAR; ESTADO: AL NATURAL, PESO: 380 GR, ENVASE: LATA, TIPO: CABALLA, ESPECIE: CABALLA</v>
      </c>
      <c r="D27" s="87" t="s">
        <v>56</v>
      </c>
      <c r="E27" s="87" t="str">
        <f>'Necesidades Trimestrales'!F24</f>
        <v>UNIDAD</v>
      </c>
      <c r="F27" s="89">
        <f>'Necesidades Trimestrales'!H24</f>
        <v>230</v>
      </c>
      <c r="G27" s="87">
        <f>'Necesidades Trimestrales'!G24</f>
        <v>75</v>
      </c>
    </row>
    <row r="28" spans="1:7" ht="30" x14ac:dyDescent="0.2">
      <c r="A28" s="81">
        <f>'Necesidades Trimestrales'!A25</f>
        <v>16</v>
      </c>
      <c r="B28" s="83" t="str">
        <f>'Necesidades Trimestrales'!B25</f>
        <v>2.1.1-6546.269</v>
      </c>
      <c r="C28" s="85" t="str">
        <f>'Necesidades Trimestrales'!E25</f>
        <v>VERDURAS Y HORTALIZAS; VARIEDAD: CHOCLO, ESTADO: GRANO, PRESENTACION: LATA, PESO: 350 GR</v>
      </c>
      <c r="D28" s="87" t="s">
        <v>56</v>
      </c>
      <c r="E28" s="93" t="str">
        <f>'Necesidades Trimestrales'!F25</f>
        <v>UNIDAD</v>
      </c>
      <c r="F28" s="89">
        <f>'Necesidades Trimestrales'!H25</f>
        <v>150</v>
      </c>
      <c r="G28" s="87">
        <f>'Necesidades Trimestrales'!G25</f>
        <v>45</v>
      </c>
    </row>
    <row r="29" spans="1:7" ht="30" x14ac:dyDescent="0.2">
      <c r="A29" s="81">
        <f>'Necesidades Trimestrales'!A26</f>
        <v>17</v>
      </c>
      <c r="B29" s="83" t="str">
        <f>'Necesidades Trimestrales'!B26</f>
        <v>2.1.1-6539.54</v>
      </c>
      <c r="C29" s="85" t="str">
        <f>'Necesidades Trimestrales'!E26</f>
        <v>FRUTAS; VARIEDAD: DURAZNO, PRESENTACION: ENVASE X 820 GR, ESTADO: NATURAL, PESO: 820 GR</v>
      </c>
      <c r="D29" s="87" t="s">
        <v>56</v>
      </c>
      <c r="E29" s="87" t="str">
        <f>'Necesidades Trimestrales'!F26</f>
        <v>UNIDAD</v>
      </c>
      <c r="F29" s="89">
        <f>'Necesidades Trimestrales'!H26</f>
        <v>280</v>
      </c>
      <c r="G29" s="87">
        <f>'Necesidades Trimestrales'!G26</f>
        <v>75</v>
      </c>
    </row>
    <row r="30" spans="1:7" ht="15" x14ac:dyDescent="0.2">
      <c r="A30" s="81">
        <f>'Necesidades Trimestrales'!A27</f>
        <v>18</v>
      </c>
      <c r="B30" s="83" t="str">
        <f>'Necesidades Trimestrales'!B27</f>
        <v>2.1.1-731.19</v>
      </c>
      <c r="C30" s="85" t="str">
        <f>'Necesidades Trimestrales'!E27</f>
        <v>CONSERVAS DE CARNE; TIPO: PICADILLO, VARIEDAD: CARNE, ENVASE: LATA, PESO: 90 GR</v>
      </c>
      <c r="D30" s="87" t="s">
        <v>56</v>
      </c>
      <c r="E30" s="87" t="str">
        <f>'Necesidades Trimestrales'!F27</f>
        <v>UNIDAD</v>
      </c>
      <c r="F30" s="89">
        <f>'Necesidades Trimestrales'!H27</f>
        <v>100</v>
      </c>
      <c r="G30" s="87">
        <f>'Necesidades Trimestrales'!G27</f>
        <v>150</v>
      </c>
    </row>
    <row r="31" spans="1:7" ht="15" x14ac:dyDescent="0.2">
      <c r="A31" s="81">
        <f>'Necesidades Trimestrales'!A28</f>
        <v>19</v>
      </c>
      <c r="B31" s="83" t="str">
        <f>'Necesidades Trimestrales'!B28</f>
        <v>2.1.1-509.10</v>
      </c>
      <c r="C31" s="85" t="str">
        <f>'Necesidades Trimestrales'!E28</f>
        <v>PURE; TIPO: DE TOMATE, ENVASE: CAJA DE CARTON, PESO: 530 GR</v>
      </c>
      <c r="D31" s="87" t="s">
        <v>56</v>
      </c>
      <c r="E31" s="87" t="str">
        <f>'Necesidades Trimestrales'!F28</f>
        <v>UNIDAD</v>
      </c>
      <c r="F31" s="89">
        <f>'Necesidades Trimestrales'!H28</f>
        <v>120</v>
      </c>
      <c r="G31" s="87">
        <f>'Necesidades Trimestrales'!G28</f>
        <v>75</v>
      </c>
    </row>
    <row r="32" spans="1:7" ht="15" x14ac:dyDescent="0.2">
      <c r="A32" s="81">
        <f>'Necesidades Trimestrales'!A29</f>
        <v>20</v>
      </c>
      <c r="B32" s="83" t="str">
        <f>'Necesidades Trimestrales'!B29</f>
        <v>2.1.1-510.5</v>
      </c>
      <c r="C32" s="85" t="str">
        <f>'Necesidades Trimestrales'!E29</f>
        <v>GELATINAS; ENVASE: CAJA DE CARTON, PESO: 30 GR, TIPO: BAJAS CALORIAS, SABOR: FRUTILLA</v>
      </c>
      <c r="D32" s="87" t="s">
        <v>56</v>
      </c>
      <c r="E32" s="87" t="str">
        <f>'Necesidades Trimestrales'!F29</f>
        <v>UNIDAD</v>
      </c>
      <c r="F32" s="89">
        <f>'Necesidades Trimestrales'!H29</f>
        <v>100</v>
      </c>
      <c r="G32" s="87">
        <f>'Necesidades Trimestrales'!G29</f>
        <v>45</v>
      </c>
    </row>
    <row r="33" spans="1:9" ht="45" x14ac:dyDescent="0.2">
      <c r="A33" s="81">
        <f>'Necesidades Trimestrales'!A30</f>
        <v>21</v>
      </c>
      <c r="B33" s="83" t="str">
        <f>'Necesidades Trimestrales'!B30</f>
        <v>2.1.1-482.81</v>
      </c>
      <c r="C33" s="85" t="str">
        <f>'Necesidades Trimestrales'!E30</f>
        <v>HARINAS; TIPO: LEUDANTE, PRESENTACION: ENVASE X 1 Kg, MATERIAL ENVASE: PAPEL, CERTICADO FORESTAL (GFS): SIN, ELEM. TRANSPORTE: SIN, 
MATERIAL ELEM. TRANSPORTE: SIN, LIBRE DE GLUTEN: NO</v>
      </c>
      <c r="D33" s="87" t="s">
        <v>56</v>
      </c>
      <c r="E33" s="87" t="str">
        <f>'Necesidades Trimestrales'!F30</f>
        <v>UNIDAD</v>
      </c>
      <c r="F33" s="89">
        <f>'Necesidades Trimestrales'!H30</f>
        <v>120</v>
      </c>
      <c r="G33" s="87">
        <f>'Necesidades Trimestrales'!G30</f>
        <v>45</v>
      </c>
    </row>
    <row r="34" spans="1:9" ht="45" x14ac:dyDescent="0.2">
      <c r="A34" s="81">
        <f>'Necesidades Trimestrales'!A31</f>
        <v>22</v>
      </c>
      <c r="B34" s="83" t="str">
        <f>'Necesidades Trimestrales'!B31</f>
        <v>2.1.1-705.93</v>
      </c>
      <c r="C34" s="85" t="str">
        <f>'Necesidades Trimestrales'!E31</f>
        <v>LECHE; ESTADO: POLVO, TIPO: ENTERA, PROCESO: PASTEURIZADA, AGREGADO: VITAMINAS A Y D, PRESENTACION: ENVASE X 800 GR, MATERIAL ENVASE:CARTON, ELEM. TRANSPORTE: SIN, MATERIAL ELEM. TRANSPORTE: SIN, CERTIFICADO FORESTAL (GFS): SIN, LIBRE DE GLUTEN: SI</v>
      </c>
      <c r="D34" s="87" t="s">
        <v>56</v>
      </c>
      <c r="E34" s="94" t="str">
        <f>'Necesidades Trimestrales'!F31</f>
        <v>UNIDAD</v>
      </c>
      <c r="F34" s="89">
        <f>'Necesidades Trimestrales'!H31</f>
        <v>750</v>
      </c>
      <c r="G34" s="87">
        <f>'Necesidades Trimestrales'!G31</f>
        <v>75</v>
      </c>
    </row>
    <row r="35" spans="1:9" ht="30" x14ac:dyDescent="0.2">
      <c r="A35" s="81">
        <f>'Necesidades Trimestrales'!A32</f>
        <v>23</v>
      </c>
      <c r="B35" s="83" t="str">
        <f>'Necesidades Trimestrales'!B32</f>
        <v>2.1.1-513.9</v>
      </c>
      <c r="C35" s="85" t="str">
        <f>'Necesidades Trimestrales'!E32</f>
        <v>FLANES; PESO: 60 GR, ENVASE: CAJA CARTON, ESTADO PREPARACION: CON COCCION, SABOR: VAINILLA, TIPO: SIN VALOR, PRESENTACION: 60 GR</v>
      </c>
      <c r="D35" s="87" t="s">
        <v>56</v>
      </c>
      <c r="E35" s="94" t="str">
        <f>'Necesidades Trimestrales'!F32</f>
        <v>UNIDAD</v>
      </c>
      <c r="F35" s="89">
        <f>'Necesidades Trimestrales'!H32</f>
        <v>100</v>
      </c>
      <c r="G35" s="87">
        <f>'Necesidades Trimestrales'!G32</f>
        <v>45</v>
      </c>
    </row>
    <row r="36" spans="1:9" ht="30" x14ac:dyDescent="0.2">
      <c r="A36" s="81">
        <f>'Necesidades Trimestrales'!A33</f>
        <v>24</v>
      </c>
      <c r="B36" s="83" t="str">
        <f>'Necesidades Trimestrales'!B33</f>
        <v>2.1.1-517.86</v>
      </c>
      <c r="C36" s="85" t="str">
        <f>'Necesidades Trimestrales'!E33</f>
        <v>POSTRES; ESTADO PREPARACION: CON COCCION, TIPO: POLVO, ENVASE: CAJA DE CARTON, PESO: 80 GR, SABOR: VAINILLA, LIBRE DE GLUTEN: SI</v>
      </c>
      <c r="D36" s="87" t="s">
        <v>56</v>
      </c>
      <c r="E36" s="94" t="str">
        <f>'Necesidades Trimestrales'!F33</f>
        <v>UNIDAD</v>
      </c>
      <c r="F36" s="89">
        <f>'Necesidades Trimestrales'!H33</f>
        <v>100</v>
      </c>
      <c r="G36" s="87">
        <f>'Necesidades Trimestrales'!G33</f>
        <v>75</v>
      </c>
    </row>
    <row r="37" spans="1:9" ht="30" x14ac:dyDescent="0.2">
      <c r="A37" s="81">
        <f>'Necesidades Trimestrales'!A34</f>
        <v>25</v>
      </c>
      <c r="B37" s="83" t="str">
        <f>'Necesidades Trimestrales'!B34</f>
        <v>2.1.1-788.226</v>
      </c>
      <c r="C37" s="85" t="str">
        <f>'Necesidades Trimestrales'!E34</f>
        <v>GALLETITAS; VARIEDAD: SALADA, RELLENO: SIN, PRESENTACION: ENVASE X 100 GR,
 ELEM. TRANSPORTE: SIN, MATERIAL ELEM. TRANSPORTE: SIN, LIBRE DE GLUTEN: SI</v>
      </c>
      <c r="D37" s="87" t="s">
        <v>56</v>
      </c>
      <c r="E37" s="87" t="str">
        <f>'Necesidades Trimestrales'!F34</f>
        <v>UNIDAD</v>
      </c>
      <c r="F37" s="89">
        <f>'Necesidades Trimestrales'!H34</f>
        <v>130</v>
      </c>
      <c r="G37" s="87">
        <f>'Necesidades Trimestrales'!G34</f>
        <v>150</v>
      </c>
    </row>
    <row r="38" spans="1:9" ht="30" x14ac:dyDescent="0.2">
      <c r="A38" s="81">
        <f>'Necesidades Trimestrales'!A35</f>
        <v>26</v>
      </c>
      <c r="B38" s="83" t="str">
        <f>'Necesidades Trimestrales'!B35</f>
        <v>2.1.1-788.206</v>
      </c>
      <c r="C38" s="85" t="str">
        <f>'Necesidades Trimestrales'!E35</f>
        <v>GALLETITAS; VARIEDAD: SURTIDAS DULCES, RELLENO: SIN, PRESENTACION: ENVASEX 400 GR, ELEM. TRANSPORTE: CAJA, MATERIAL ELEM. TRANSPORTE: CARTON, LIBRE DE GLUTEN: NO</v>
      </c>
      <c r="D38" s="87" t="s">
        <v>56</v>
      </c>
      <c r="E38" s="87" t="str">
        <f>'Necesidades Trimestrales'!F35</f>
        <v>UNIDAD</v>
      </c>
      <c r="F38" s="89">
        <f>'Necesidades Trimestrales'!H35</f>
        <v>250</v>
      </c>
      <c r="G38" s="87">
        <f>'Necesidades Trimestrales'!G35</f>
        <v>128</v>
      </c>
    </row>
    <row r="39" spans="1:9" ht="30" x14ac:dyDescent="0.2">
      <c r="A39" s="81">
        <f>'Necesidades Trimestrales'!A36</f>
        <v>27</v>
      </c>
      <c r="B39" s="83" t="str">
        <f>'Necesidades Trimestrales'!B36</f>
        <v>2.1.1-514.2</v>
      </c>
      <c r="C39" s="85" t="str">
        <f>'Necesidades Trimestrales'!E36</f>
        <v>SAL DE MESA; CONSISTENCIA: FINA, PESO: 500 GR, TIPO: SIN VALOR, ENVASE: 
PAQUETE</v>
      </c>
      <c r="D39" s="87" t="s">
        <v>56</v>
      </c>
      <c r="E39" s="87" t="str">
        <f>'Necesidades Trimestrales'!F36</f>
        <v>UNIDAD</v>
      </c>
      <c r="F39" s="89">
        <f>'Necesidades Trimestrales'!H36</f>
        <v>100</v>
      </c>
      <c r="G39" s="87">
        <f>'Necesidades Trimestrales'!G36</f>
        <v>36</v>
      </c>
    </row>
    <row r="40" spans="1:9" ht="30" x14ac:dyDescent="0.2">
      <c r="A40" s="81">
        <f>'Necesidades Trimestrales'!A37</f>
        <v>28</v>
      </c>
      <c r="B40" s="83" t="str">
        <f>'Necesidades Trimestrales'!B37</f>
        <v>2.1.1-514.15</v>
      </c>
      <c r="C40" s="85" t="str">
        <f>'Necesidades Trimestrales'!E37</f>
        <v>SAL DE MESA; CONSISTENCIA: GRUESA, ENVASE: BOLSA, PESO: 1 Kg, TIPO: SIN
 VALOR</v>
      </c>
      <c r="D40" s="87" t="s">
        <v>56</v>
      </c>
      <c r="E40" s="87" t="str">
        <f>'Necesidades Trimestrales'!F37</f>
        <v>UNIDAD</v>
      </c>
      <c r="F40" s="89">
        <f>'Necesidades Trimestrales'!H37</f>
        <v>150</v>
      </c>
      <c r="G40" s="87">
        <f>'Necesidades Trimestrales'!G37</f>
        <v>36</v>
      </c>
    </row>
    <row r="41" spans="1:9" ht="30" x14ac:dyDescent="0.2">
      <c r="A41" s="81">
        <f>'Necesidades Trimestrales'!A38</f>
        <v>29</v>
      </c>
      <c r="B41" s="83" t="str">
        <f>'Necesidades Trimestrales'!B38</f>
        <v>2.1.1-2431.13</v>
      </c>
      <c r="C41" s="85" t="str">
        <f>'Necesidades Trimestrales'!E38</f>
        <v>CALDOS; GUSTO: VERDURA, TIPO: DESHIDRATADO, PRESENTACION: ENVASE X 
12 UN</v>
      </c>
      <c r="D41" s="87" t="s">
        <v>56</v>
      </c>
      <c r="E41" s="87" t="str">
        <f>'Necesidades Trimestrales'!F38</f>
        <v>UNIDAD</v>
      </c>
      <c r="F41" s="89">
        <f>'Necesidades Trimestrales'!H38</f>
        <v>350</v>
      </c>
      <c r="G41" s="87">
        <f>'Necesidades Trimestrales'!G38</f>
        <v>15</v>
      </c>
    </row>
    <row r="42" spans="1:9" ht="30" x14ac:dyDescent="0.2">
      <c r="A42" s="81">
        <f>'Necesidades Trimestrales'!A39</f>
        <v>30</v>
      </c>
      <c r="B42" s="83" t="str">
        <f>'Necesidades Trimestrales'!B39</f>
        <v>2.1.1-2431.20</v>
      </c>
      <c r="C42" s="85" t="str">
        <f>'Necesidades Trimestrales'!E39</f>
        <v>CALDOS; GUSTO: GALLINA, TIPO: CONCENTRADO, PRESENTACION: ENVASE X 
12 CUBOS</v>
      </c>
      <c r="D42" s="87" t="s">
        <v>56</v>
      </c>
      <c r="E42" s="94" t="str">
        <f>'Necesidades Trimestrales'!F39</f>
        <v>UNIDAD</v>
      </c>
      <c r="F42" s="89">
        <f>'Necesidades Trimestrales'!H39</f>
        <v>350</v>
      </c>
      <c r="G42" s="87">
        <f>'Necesidades Trimestrales'!G39</f>
        <v>15</v>
      </c>
    </row>
    <row r="43" spans="1:9" ht="15" x14ac:dyDescent="0.2">
      <c r="A43" s="81">
        <f>'Necesidades Trimestrales'!A40</f>
        <v>31</v>
      </c>
      <c r="B43" s="83" t="str">
        <f>'Necesidades Trimestrales'!B40</f>
        <v>2.1.1-2113.1</v>
      </c>
      <c r="C43" s="85" t="str">
        <f>'Necesidades Trimestrales'!E40</f>
        <v>DULCES; TIPO: DE BATATA, PRESENTACION: LATA, PESO: 5 Kg</v>
      </c>
      <c r="D43" s="87" t="s">
        <v>56</v>
      </c>
      <c r="E43" s="94" t="str">
        <f>'Necesidades Trimestrales'!F40</f>
        <v>UNIDAD</v>
      </c>
      <c r="F43" s="89">
        <f>'Necesidades Trimestrales'!H40</f>
        <v>1200</v>
      </c>
      <c r="G43" s="87">
        <f>'Necesidades Trimestrales'!G40</f>
        <v>6</v>
      </c>
    </row>
    <row r="44" spans="1:9" ht="15" x14ac:dyDescent="0.2">
      <c r="A44" s="81">
        <f>'Necesidades Trimestrales'!A41</f>
        <v>32</v>
      </c>
      <c r="B44" s="83" t="str">
        <f>'Necesidades Trimestrales'!B41</f>
        <v>2.1.1-2113.2</v>
      </c>
      <c r="C44" s="85" t="str">
        <f>'Necesidades Trimestrales'!E41</f>
        <v>DULCES; TIPO: DE MEMBRILLO, PRESENTACION: LATA, PESO: 5 Kg</v>
      </c>
      <c r="D44" s="87" t="s">
        <v>56</v>
      </c>
      <c r="E44" s="94" t="str">
        <f>'Necesidades Trimestrales'!F41</f>
        <v>UNIDAD</v>
      </c>
      <c r="F44" s="89">
        <f>'Necesidades Trimestrales'!H41</f>
        <v>1000</v>
      </c>
      <c r="G44" s="87">
        <f>'Necesidades Trimestrales'!G41</f>
        <v>6</v>
      </c>
    </row>
    <row r="45" spans="1:9" ht="15" x14ac:dyDescent="0.2">
      <c r="A45" s="81">
        <f>'Necesidades Trimestrales'!A42</f>
        <v>33</v>
      </c>
      <c r="B45" s="83" t="str">
        <f>'Necesidades Trimestrales'!B42</f>
        <v>2.1.1-9508.2</v>
      </c>
      <c r="C45" s="85" t="str">
        <f>'Necesidades Trimestrales'!E42</f>
        <v>CHUPETINES; TIPO: BOLITA, PRESENTACION: ENVASE X 50 UN, PESO: 10 GR</v>
      </c>
      <c r="D45" s="87" t="s">
        <v>56</v>
      </c>
      <c r="E45" s="94" t="str">
        <f>'Necesidades Trimestrales'!F42</f>
        <v>UNIDAD</v>
      </c>
      <c r="F45" s="89">
        <f>'Necesidades Trimestrales'!H42</f>
        <v>600</v>
      </c>
      <c r="G45" s="87">
        <f>'Necesidades Trimestrales'!G42</f>
        <v>9</v>
      </c>
    </row>
    <row r="46" spans="1:9" ht="15" x14ac:dyDescent="0.2">
      <c r="A46" s="128"/>
      <c r="B46" s="129"/>
      <c r="C46" s="130"/>
      <c r="D46" s="129"/>
      <c r="E46" s="131"/>
      <c r="F46" s="132"/>
      <c r="G46" s="133"/>
    </row>
    <row r="47" spans="1:9" ht="15.75" thickBot="1" x14ac:dyDescent="0.25">
      <c r="A47" s="128"/>
      <c r="B47" s="129"/>
      <c r="C47" s="130"/>
      <c r="D47" s="129"/>
      <c r="E47" s="131"/>
      <c r="F47" s="132"/>
      <c r="G47" s="133"/>
    </row>
    <row r="48" spans="1:9" ht="20.25" customHeight="1" thickBot="1" x14ac:dyDescent="0.25">
      <c r="A48" s="176" t="s">
        <v>138</v>
      </c>
      <c r="B48" s="177"/>
      <c r="C48" s="177"/>
      <c r="D48" s="177"/>
      <c r="E48" s="178"/>
      <c r="F48" s="182">
        <v>385450</v>
      </c>
      <c r="G48" s="182"/>
      <c r="H48" s="73"/>
      <c r="I48" s="73"/>
    </row>
  </sheetData>
  <mergeCells count="22">
    <mergeCell ref="A1:G1"/>
    <mergeCell ref="C4:G4"/>
    <mergeCell ref="C5:G5"/>
    <mergeCell ref="C6:G6"/>
    <mergeCell ref="C7:G7"/>
    <mergeCell ref="A4:B4"/>
    <mergeCell ref="A5:B5"/>
    <mergeCell ref="A6:B6"/>
    <mergeCell ref="A7:B7"/>
    <mergeCell ref="C8:G8"/>
    <mergeCell ref="A9:B9"/>
    <mergeCell ref="C11:C12"/>
    <mergeCell ref="A48:E48"/>
    <mergeCell ref="C9:G9"/>
    <mergeCell ref="F48:G48"/>
    <mergeCell ref="A11:A12"/>
    <mergeCell ref="B11:B12"/>
    <mergeCell ref="D11:D12"/>
    <mergeCell ref="E11:E12"/>
    <mergeCell ref="F11:F12"/>
    <mergeCell ref="G11:G12"/>
    <mergeCell ref="A8:B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opLeftCell="A4" zoomScale="130" zoomScaleNormal="130" workbookViewId="0">
      <selection activeCell="V22" sqref="V22"/>
    </sheetView>
  </sheetViews>
  <sheetFormatPr baseColWidth="10" defaultColWidth="11" defaultRowHeight="12.75" x14ac:dyDescent="0.2"/>
  <cols>
    <col min="1" max="4" width="4.42578125" customWidth="1"/>
    <col min="5" max="5" width="7.5703125" customWidth="1"/>
    <col min="6" max="6" width="5.85546875" bestFit="1" customWidth="1"/>
    <col min="7" max="7" width="4.42578125" style="4" customWidth="1"/>
    <col min="8" max="11" width="4.42578125" customWidth="1"/>
    <col min="12" max="12" width="5" customWidth="1"/>
    <col min="13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202" t="s">
        <v>3</v>
      </c>
      <c r="B1" s="202"/>
      <c r="C1" s="202"/>
      <c r="D1" s="203">
        <f>'Necesidades Trimestrales'!C6</f>
        <v>2022</v>
      </c>
      <c r="E1" s="203"/>
      <c r="F1" s="5"/>
      <c r="G1" s="5"/>
      <c r="H1" s="6"/>
      <c r="I1" s="6"/>
      <c r="J1" s="6"/>
      <c r="K1" s="6"/>
      <c r="L1" s="6"/>
      <c r="M1" s="6"/>
      <c r="N1" s="6"/>
      <c r="P1" s="204" t="s">
        <v>25</v>
      </c>
      <c r="Q1" s="204"/>
    </row>
    <row r="2" spans="1:17" ht="15.75" customHeight="1" x14ac:dyDescent="0.2">
      <c r="H2" s="6"/>
      <c r="I2" s="6"/>
      <c r="J2" s="6"/>
      <c r="K2" s="6"/>
      <c r="L2" s="6"/>
      <c r="M2" s="6"/>
      <c r="N2" s="6"/>
      <c r="P2" s="204"/>
      <c r="Q2" s="204"/>
    </row>
    <row r="4" spans="1:17" s="7" customFormat="1" ht="18" customHeight="1" thickBot="1" x14ac:dyDescent="0.25">
      <c r="A4" s="205" t="s">
        <v>26</v>
      </c>
      <c r="B4" s="205"/>
      <c r="C4" s="205"/>
      <c r="D4" s="205"/>
      <c r="E4" s="205"/>
      <c r="F4" s="205"/>
      <c r="G4" s="206" t="str">
        <f>' NotaPedido'!C4</f>
        <v>12 -Ministerio de Gobierno, Justicia y Derechos Humanos.</v>
      </c>
      <c r="H4" s="206"/>
      <c r="I4" s="206"/>
      <c r="J4" s="206"/>
      <c r="K4" s="206"/>
      <c r="L4" s="206"/>
      <c r="M4" s="206"/>
      <c r="N4" s="206"/>
      <c r="O4" s="206"/>
      <c r="P4" s="206"/>
      <c r="Q4" s="206"/>
    </row>
    <row r="5" spans="1:17" s="7" customFormat="1" ht="32.25" customHeight="1" thickBot="1" x14ac:dyDescent="0.25">
      <c r="A5" s="207" t="s">
        <v>49</v>
      </c>
      <c r="B5" s="208"/>
      <c r="C5" s="208"/>
      <c r="D5" s="208"/>
      <c r="E5" s="208"/>
      <c r="F5" s="209"/>
      <c r="G5" s="210" t="str">
        <f>' NotaPedido'!C5</f>
        <v>06 - Secretaria de Gestion Administrativa del Ministerio de Gobierno, Justicia y Derechos Humanos</v>
      </c>
      <c r="H5" s="210"/>
      <c r="I5" s="210"/>
      <c r="J5" s="210"/>
      <c r="K5" s="210"/>
      <c r="L5" s="210"/>
      <c r="M5" s="210"/>
      <c r="N5" s="210"/>
      <c r="O5" s="210"/>
      <c r="P5" s="210"/>
      <c r="Q5" s="210"/>
    </row>
    <row r="6" spans="1:17" s="7" customFormat="1" ht="18" customHeight="1" thickBot="1" x14ac:dyDescent="0.25">
      <c r="A6" s="207" t="s">
        <v>27</v>
      </c>
      <c r="B6" s="208"/>
      <c r="C6" s="208"/>
      <c r="D6" s="208"/>
      <c r="E6" s="208"/>
      <c r="F6" s="209"/>
      <c r="G6" s="206" t="str">
        <f>' NotaPedido'!C6</f>
        <v>Ministerio de Gobierno, Justicia y Derechos Humanos.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s="7" customFormat="1" ht="18" customHeight="1" thickBot="1" x14ac:dyDescent="0.25">
      <c r="A7" s="207" t="s">
        <v>50</v>
      </c>
      <c r="B7" s="208"/>
      <c r="C7" s="208"/>
      <c r="D7" s="208"/>
      <c r="E7" s="208"/>
      <c r="F7" s="209"/>
      <c r="G7" s="206" t="str">
        <f>' NotaPedido'!C7</f>
        <v>Atención Integral de Víctimas de violencia de Género (HOGAR WARMI).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</row>
    <row r="8" spans="1:17" ht="18" customHeight="1" thickBot="1" x14ac:dyDescent="0.25">
      <c r="A8" s="211" t="s">
        <v>28</v>
      </c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</row>
    <row r="9" spans="1:17" ht="18" customHeight="1" x14ac:dyDescent="0.2">
      <c r="A9" s="212" t="s">
        <v>29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"/>
      <c r="P9" s="21"/>
      <c r="Q9" s="22"/>
    </row>
    <row r="10" spans="1:17" ht="54.75" customHeight="1" x14ac:dyDescent="0.2">
      <c r="A10" s="213" t="str">
        <f>"Autorizo la realización de los  trámites correspondientes, a fin de proveer a  este Organismo los bienes y/o servicios que se detallan en Nota  de Pedido N° " &amp; ' NotaPedido'!G2&amp;",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24/2022,  afectando la erogación resultante a los créditos presupuestarios aprobados a favor de esta Unidad Ejecutora, conforme al siguiente detalle: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</row>
    <row r="11" spans="1:17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7" ht="15.75" customHeight="1" x14ac:dyDescent="0.2">
      <c r="A12" s="214" t="s">
        <v>30</v>
      </c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</row>
    <row r="13" spans="1:17" ht="15.75" customHeight="1" x14ac:dyDescent="0.2">
      <c r="A13" s="215" t="s">
        <v>31</v>
      </c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6"/>
      <c r="O13" s="217" t="s">
        <v>32</v>
      </c>
      <c r="P13" s="218"/>
      <c r="Q13" s="221" t="s">
        <v>33</v>
      </c>
    </row>
    <row r="14" spans="1:17" ht="15.75" customHeight="1" thickBot="1" x14ac:dyDescent="0.25">
      <c r="A14" s="8" t="s">
        <v>34</v>
      </c>
      <c r="B14" s="9" t="s">
        <v>35</v>
      </c>
      <c r="C14" s="9" t="s">
        <v>36</v>
      </c>
      <c r="D14" s="9" t="s">
        <v>37</v>
      </c>
      <c r="E14" s="9" t="s">
        <v>38</v>
      </c>
      <c r="F14" s="9" t="s">
        <v>39</v>
      </c>
      <c r="G14" s="10" t="s">
        <v>40</v>
      </c>
      <c r="H14" s="9" t="s">
        <v>41</v>
      </c>
      <c r="I14" s="9" t="s">
        <v>42</v>
      </c>
      <c r="J14" s="9" t="s">
        <v>43</v>
      </c>
      <c r="K14" s="9" t="s">
        <v>43</v>
      </c>
      <c r="L14" s="9" t="s">
        <v>44</v>
      </c>
      <c r="M14" s="11" t="s">
        <v>45</v>
      </c>
      <c r="N14" s="16" t="s">
        <v>46</v>
      </c>
      <c r="O14" s="219"/>
      <c r="P14" s="220"/>
      <c r="Q14" s="221"/>
    </row>
    <row r="15" spans="1:17" ht="24.75" customHeight="1" x14ac:dyDescent="0.2">
      <c r="A15" s="23">
        <v>9</v>
      </c>
      <c r="B15" s="24">
        <v>0</v>
      </c>
      <c r="C15" s="24">
        <v>0</v>
      </c>
      <c r="D15" s="24">
        <v>1</v>
      </c>
      <c r="E15" s="24">
        <v>0</v>
      </c>
      <c r="F15" s="24">
        <v>4901</v>
      </c>
      <c r="G15" s="24">
        <v>3</v>
      </c>
      <c r="H15" s="24">
        <v>2</v>
      </c>
      <c r="I15" s="24">
        <v>2</v>
      </c>
      <c r="J15" s="24">
        <v>1</v>
      </c>
      <c r="K15" s="24">
        <v>1</v>
      </c>
      <c r="L15" s="24">
        <v>0</v>
      </c>
      <c r="M15" s="25">
        <v>1</v>
      </c>
      <c r="N15" s="25" t="s">
        <v>51</v>
      </c>
      <c r="O15" s="222" t="s">
        <v>66</v>
      </c>
      <c r="P15" s="223"/>
      <c r="Q15" s="41">
        <f>' NotaPedido'!F48</f>
        <v>385450</v>
      </c>
    </row>
    <row r="16" spans="1:17" ht="17.25" customHeight="1" x14ac:dyDescent="0.2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9"/>
      <c r="O16" s="224"/>
      <c r="P16" s="225"/>
      <c r="Q16" s="30"/>
    </row>
    <row r="17" spans="1:19" ht="17.25" customHeight="1" x14ac:dyDescent="0.2">
      <c r="A17" s="26"/>
      <c r="B17" s="27"/>
      <c r="C17" s="27"/>
      <c r="D17" s="27"/>
      <c r="E17" s="27"/>
      <c r="F17" s="31"/>
      <c r="G17" s="27"/>
      <c r="H17" s="27"/>
      <c r="I17" s="27"/>
      <c r="J17" s="27"/>
      <c r="K17" s="27"/>
      <c r="L17" s="27"/>
      <c r="M17" s="28"/>
      <c r="N17" s="29"/>
      <c r="O17" s="224"/>
      <c r="P17" s="225"/>
      <c r="Q17" s="30"/>
    </row>
    <row r="18" spans="1:19" ht="17.25" customHeight="1" x14ac:dyDescent="0.2">
      <c r="A18" s="32"/>
      <c r="B18" s="33"/>
      <c r="C18" s="33"/>
      <c r="D18" s="33"/>
      <c r="E18" s="33"/>
      <c r="F18" s="34"/>
      <c r="G18" s="33"/>
      <c r="H18" s="33"/>
      <c r="I18" s="33"/>
      <c r="J18" s="33"/>
      <c r="K18" s="33"/>
      <c r="L18" s="33"/>
      <c r="M18" s="35"/>
      <c r="N18" s="36"/>
      <c r="O18" s="224"/>
      <c r="P18" s="225"/>
      <c r="Q18" s="30"/>
      <c r="R18" s="1"/>
    </row>
    <row r="19" spans="1:19" ht="17.25" customHeight="1" x14ac:dyDescent="0.2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9"/>
      <c r="N19" s="39"/>
      <c r="O19" s="229"/>
      <c r="P19" s="230"/>
      <c r="Q19" s="40"/>
    </row>
    <row r="20" spans="1:19" ht="33.75" customHeight="1" x14ac:dyDescent="0.2">
      <c r="A20" s="231" t="s">
        <v>140</v>
      </c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42">
        <f>SUM(Q15:Q19)</f>
        <v>385450</v>
      </c>
    </row>
    <row r="21" spans="1:19" ht="18" customHeight="1" thickBot="1" x14ac:dyDescent="0.25">
      <c r="A21" s="232"/>
      <c r="B21" s="232"/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</row>
    <row r="22" spans="1:19" ht="17.25" customHeight="1" thickBot="1" x14ac:dyDescent="0.25">
      <c r="A22" s="197" t="s">
        <v>47</v>
      </c>
      <c r="B22" s="198"/>
      <c r="C22" s="198"/>
      <c r="D22" s="198"/>
      <c r="E22" s="198"/>
      <c r="F22" s="199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</row>
    <row r="23" spans="1:19" ht="18" customHeight="1" thickBot="1" x14ac:dyDescent="0.25">
      <c r="A23" s="227" t="str">
        <f>' NotaPedido'!C9</f>
        <v>ADQ. DE ALIMENTOS NO PERECEDEROS PARA EL HOGAR DE PROTECCION INTEGRAL DE VICTIMAS DE VIOLENCIA DE GENERO  (HOGAR WARMI).</v>
      </c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</row>
    <row r="24" spans="1:19" ht="15" customHeight="1" thickBot="1" x14ac:dyDescent="0.25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</row>
    <row r="25" spans="1:19" ht="15.75" thickBot="1" x14ac:dyDescent="0.25">
      <c r="A25" s="197" t="s">
        <v>52</v>
      </c>
      <c r="B25" s="198"/>
      <c r="C25" s="198"/>
      <c r="D25" s="198"/>
      <c r="E25" s="198"/>
      <c r="F25" s="199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1"/>
      <c r="S25" s="15"/>
    </row>
    <row r="26" spans="1:19" ht="13.5" customHeight="1" thickBot="1" x14ac:dyDescent="0.25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2"/>
    </row>
    <row r="27" spans="1:19" ht="13.5" customHeight="1" x14ac:dyDescent="0.2"/>
    <row r="28" spans="1:19" ht="13.5" customHeight="1" x14ac:dyDescent="0.2"/>
  </sheetData>
  <mergeCells count="30">
    <mergeCell ref="O16:P16"/>
    <mergeCell ref="O17:P17"/>
    <mergeCell ref="A22:F22"/>
    <mergeCell ref="G22:Q22"/>
    <mergeCell ref="A23:Q24"/>
    <mergeCell ref="O18:P18"/>
    <mergeCell ref="O19:P19"/>
    <mergeCell ref="A20:P20"/>
    <mergeCell ref="A21:Q21"/>
    <mergeCell ref="A12:Q12"/>
    <mergeCell ref="A13:N13"/>
    <mergeCell ref="O13:P14"/>
    <mergeCell ref="Q13:Q14"/>
    <mergeCell ref="O15:P15"/>
    <mergeCell ref="A25:F25"/>
    <mergeCell ref="G25:Q25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</mergeCells>
  <phoneticPr fontId="17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APG</vt:lpstr>
      <vt:lpstr>' NotaPedido'!Área_de_impresión</vt:lpstr>
      <vt:lpstr>APG!Área_de_impresión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Usuario</cp:lastModifiedBy>
  <cp:revision>2</cp:revision>
  <cp:lastPrinted>2020-07-17T22:18:48Z</cp:lastPrinted>
  <dcterms:created xsi:type="dcterms:W3CDTF">2020-07-17T23:44:49Z</dcterms:created>
  <dcterms:modified xsi:type="dcterms:W3CDTF">2022-03-15T13:36:10Z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