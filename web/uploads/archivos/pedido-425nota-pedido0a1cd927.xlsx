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M INCLUSION TECNOLOG\insumos\nuevo\"/>
    </mc:Choice>
  </mc:AlternateContent>
  <xr:revisionPtr revIDLastSave="0" documentId="8_{98A32C1B-67F5-4DAD-9514-C5A6601ECDB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Trimestrales'!$B$21:$B$21</definedName>
    <definedName name="_xlnm.Print_Area" localSheetId="1">' NotaPedido'!$A$1:$K$18</definedName>
    <definedName name="_xlnm.Print_Area" localSheetId="2">'Autor Gastar'!$A$1:$Q$35</definedName>
  </definedNames>
  <calcPr calcId="181029"/>
</workbook>
</file>

<file path=xl/calcChain.xml><?xml version="1.0" encoding="utf-8"?>
<calcChain xmlns="http://schemas.openxmlformats.org/spreadsheetml/2006/main">
  <c r="J15" i="3" l="1"/>
  <c r="J16" i="3"/>
  <c r="J12" i="3"/>
  <c r="I12" i="3"/>
  <c r="J14" i="3"/>
  <c r="J13" i="3" l="1"/>
  <c r="J11" i="3" l="1"/>
  <c r="Q31" i="2" l="1"/>
</calcChain>
</file>

<file path=xl/sharedStrings.xml><?xml version="1.0" encoding="utf-8"?>
<sst xmlns="http://schemas.openxmlformats.org/spreadsheetml/2006/main" count="182" uniqueCount="110">
  <si>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</si>
  <si>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</si>
  <si>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</si>
  <si>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</si>
  <si>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</si>
  <si>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</si>
  <si>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</si>
  <si>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</si>
  <si>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</si>
  <si>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</si>
  <si>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</si>
  <si>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</si>
  <si>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</si>
  <si>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</si>
  <si>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</si>
  <si>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</si>
  <si>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</si>
  <si>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</si>
  <si>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</si>
  <si>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</si>
  <si>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</si>
  <si>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</si>
  <si>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</si>
  <si>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</si>
  <si>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</si>
  <si>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</si>
  <si>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</si>
  <si>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</si>
  <si>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</si>
  <si>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</si>
  <si>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</si>
  <si>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</si>
  <si>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</si>
  <si>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</si>
  <si>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</si>
  <si>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</si>
  <si>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</si>
  <si>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</si>
  <si>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</si>
  <si>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</si>
  <si>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</si>
  <si>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</si>
  <si>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</si>
  <si>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</si>
  <si>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</si>
  <si>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</si>
  <si>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</si>
  <si>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</si>
  <si>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Especialidades item N° 1</t>
  </si>
  <si>
    <t>Descripcion Técnica</t>
  </si>
  <si>
    <t>Plazos y lugares de entrega:</t>
  </si>
  <si>
    <t>Garantia</t>
  </si>
  <si>
    <t>UNIDAD</t>
  </si>
  <si>
    <t>IMPORTE TOTAL ESTIMADO</t>
  </si>
  <si>
    <t xml:space="preserve">Pedido de Necesidades Trimestrales </t>
  </si>
  <si>
    <t>EJERCICIO: 2022</t>
  </si>
  <si>
    <t>Cantidad Minima esperada</t>
  </si>
  <si>
    <t>Mantenimiento</t>
  </si>
  <si>
    <t>JURISDICCION : 62- MINISTERIO DE INCLUSION DIGITAL Y SISTEMAS PRODUCTIVOS</t>
  </si>
  <si>
    <t>62-  MINISTERIO DE INCLUSION DIGITAL Y SISTEMAS PRODUCTIVOS</t>
  </si>
  <si>
    <t>33- DIRECCION PROVINCIAL DE ADMINISTRACION GENERAL</t>
  </si>
  <si>
    <t xml:space="preserve"> MINISTERIO DE INCLUSION DIGITAL Y SISTEMAS PRODUCTIVOS</t>
  </si>
  <si>
    <t>62- MINISTERIO DE INCLUSION DIGITAL Y SISTEMAS PRODUCTIVOS</t>
  </si>
  <si>
    <t>Autorizo la realización de los  trámites correspondientes, a fin de (proveer a  este Organismo los bienes, servicios o ejecución de obras públicas que se detallan en Nota  de Pedido N° .... / 2022 otorgar la transferencia de fondos autorizada por Acto Administrativo Nº ....) afectando la erogación resultante a los créditos presupuestarios aprobados a favor de esta Unidad Ejecutora, conforme al siguiente detalle:</t>
  </si>
  <si>
    <t xml:space="preserve">UNIDAD  </t>
  </si>
  <si>
    <t>ARBOLES; TIPO: PALTA, VARIEDAD: HASS, EDAD: 2
AÑOS</t>
  </si>
  <si>
    <t>2.1.4</t>
  </si>
  <si>
    <t>TRIMESTRE:03</t>
  </si>
  <si>
    <t>SAF N°: 33- DIRECCION PROVINCIAL DE ADMINISTRACION GENERAL</t>
  </si>
  <si>
    <t>AGRIC,GANADERIA,CAZA,SILVICULT</t>
  </si>
  <si>
    <t>2.5.4</t>
  </si>
  <si>
    <t>2.5.3-3960.8</t>
  </si>
  <si>
    <t>FERTILIZANTES; TIPO: UREA GRANULADA, PRESENTACION: BOLSA X 50 Kg</t>
  </si>
  <si>
    <t>SEMILLAS; TIPO: HORTICOLA PRIMAVERA-VERANO, PRESENTACION: KIT SEGUN PLIEGO</t>
  </si>
  <si>
    <t>2.1.4-7179.117</t>
  </si>
  <si>
    <t>2.1.4-
7179.118</t>
  </si>
  <si>
    <t>SEMILLAS; TIPO: SORGO FORRAJERO, PRESENTACION: ENVASE X 20 Kg</t>
  </si>
  <si>
    <t>Especialidades item N° 3</t>
  </si>
  <si>
    <t>SI</t>
  </si>
  <si>
    <t>3 - TRIMESTRE 2022</t>
  </si>
  <si>
    <t>PRODUCTOS 
AGROFORESTALES</t>
  </si>
  <si>
    <t>ABONOS Y FERTILIZANTES</t>
  </si>
  <si>
    <t>INSECTICIDAS, FUMIGANTES Y OTROS</t>
  </si>
  <si>
    <t>TOTAL DE PESOS: ONCE MILLONES QUINIENTOS DIEZ MIL CON 00/100</t>
  </si>
  <si>
    <t>ADQUISICION DE INSUMOS PARA DIRECCION PROVINCIAL DE AGRICULTURA</t>
  </si>
  <si>
    <t>Costo total estimado: ONCE MILLONES QUINIENTOS DIEZ MIL CON 00/100</t>
  </si>
  <si>
    <t>LITROS</t>
  </si>
  <si>
    <t>SEMILLAS; TIPO: MAIZ HIBRIDO NIDERA, PRESENTACION: BOLSA X 20 Kg</t>
  </si>
  <si>
    <t xml:space="preserve">SEMILLAS; TIPO: MAIZ HIBRIDO NIDERA, PRESENTACION: BOLSA X 20KG </t>
  </si>
  <si>
    <t>2.1.4-7179.118</t>
  </si>
  <si>
    <t>2.1.4-7179.119</t>
  </si>
  <si>
    <t>2.1.4-9442.44</t>
  </si>
  <si>
    <t>De Primera Calidad</t>
  </si>
  <si>
    <t>30 DIAS</t>
  </si>
  <si>
    <t>Especialidades item N° 2</t>
  </si>
  <si>
    <t>Especialidades item N° 4</t>
  </si>
  <si>
    <t xml:space="preserve">Especialidades items N° 5 Y 6 </t>
  </si>
  <si>
    <t>Plantas de 2 años de edad, variedad hass. Debera presentar una muestra para confirmar las caracteristicas solicitadas. Asimismo el proveedor deberá adjuntar Certificados de inscripcion tanto de INASE como en SENASA</t>
  </si>
  <si>
    <t>SEGÚN DESCRIPCION DEL ITEM. EL ENVASE DEBE INCLUIR DESCRIPCION DETALLADA DE CATEGORIA O CLASE PRODUCTO, LA COMPOSICION Y FORMULACION DEL MISMO, GRADO DE INFLAMABILIDAD, INSTRUCCIONES DE USO Y ALMACENAJE, MEDIDAS DE PRIMEROS AUXILIOS E INSTRUCCIONES EN CASO DE INCENDIO O VERTIDO ACCIDENTAL. ADEMAS DE SUS CORRESPONDIENTES N° DE INSCRIPCION EN SENASA, DATOS DE LOTE Y FECHA DE VENCIMIENTO</t>
  </si>
  <si>
    <t>2.5.4-10016.1</t>
  </si>
  <si>
    <t>INSECTICIDAS AGRICOLA; PRINCIPIO ACTIVO: METOXIFENOCIDE, USO P/ CONTROL: LARVAS DE LEPIDOPTEROS, ACCION: CONTROL DE PLAGAS, PRESENTACION: SEGUN PLIEGO</t>
  </si>
  <si>
    <t>a)  FORMA DE LA ENTREGA   : Presentar  Remito que deberá cumplimentar lo dispuesto por la R.G. AFIP 1415/03, sin excepción en las oficinas del Área Compras del Ministerio de Inclusion Digital y Sistemas Productivos en donde conste la entrega de las plantas en el Predio Anexo de la Viñita, Ruta 38 Kilometro 575 la Viñita .- Fletes y Acarreos a cargo del proveedor.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</si>
  <si>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 xml:space="preserve">KIT DE SEMILLAS HUERTAS PRIMAVERA VERANO- PRESENTACION EN SOBRE DE 10 ESPECIES (ACELGA, ALBAHACA, LECHUGA, MAIZ, MELON, PEREJIL, POROTO, TOMATE, ZAPALLITO, ZAPALLO)
</t>
  </si>
  <si>
    <t>PRIMERA CALIDAD</t>
  </si>
  <si>
    <t xml:space="preserve">SEGÚN DESCRIPCION DEL ITEM- EL PROVEEDOR DEBERA CUMPLIMENTAR CON LAS HABILITACIONES PERTINENTES, INASE, R.N.C. Y F.S. </t>
  </si>
  <si>
    <t>10 BIDONES DE 5 LITROS. EL ENVASE DEBE INCLUIR DESCRIPCION DETALLADA DE CATEGORIA O CLASE PRODUCTO, LA COMPOSICION Y FORMULACION DEL MISMO, GRADO DE INFLAMABILIDAD, INSTRUCCIONES DE USO Y ALMACENAJE, MEDIDAS DE PRIMEROS AUXILIOS E INSTRUCCIONES EN CASO DE INCENDIO O VERTIDO ACCIDENTAL. ADEMAS DE SUS CORRESPONDIENTES N° DE INSCRIPCION EN SENASA, DATOS DE LOTE Y FECHA DE VENCIMIENTO</t>
  </si>
  <si>
    <t>a)  FORMA DE LA ENTREGA   : Presentar  Remito que deberá cumplimentar lo dispuesto por la R.G. AFIP 1415/03, sin excepción en las oficinas del Área Compras del Ministerio de Inclusion Digital y Sistemas Productivos en donde conste la entrega de las bolsas en los depositos del labotatorio cito en Predio Anexo de la Viñita, Ruta 38 Kilometro 575 la Viñita .- Fletes y Acarreos a cargo del proveedor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</si>
  <si>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a)  FORMA DE LA ENTREGA   : Presentar  Remito que deberá cumplimentar lo dispuesto por la R.G. AFIP 1415/03, sin excepción en las oficinas del Área Compras del Ministerio de Inclusion Digital y Sistemas Productivos en donde conste la entrega de los Kit en el Predio Anexo de la Viñita, Ruta 38 Kilometro 575 la Viñita .- Fletes y Acarreos a cargo del proveedor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</si>
  <si>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a)  FORMA DE LA ENTREGA   : Presentar  Remito que deberá cumplimentar lo dispuesto por la R.G. AFIP 1415/03, sin excepción en las oficinas del Área Compras del Ministerio de Inclusion Digital y Sistemas Productivos en donde conste la entrega de los bidones en los depositos del labotatorio cito en Predio Anexo de la Viñita, Ruta 38 Kilometro 575 la Viñita .- Fletes y Acarreos a cargo del proveedor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</si>
  <si>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a)  FORMA DE LA ENTREGA   : Presentar  Remito que deberá cumplimentar lo dispuesto por la R.G. AFIP 1415/03, sin excepción en las oficinas del Área Compras del Ministerio de Inclusion Digital y Sistemas Productivos en donde conste la entrega de las bolsas en el Predio Anexo de la Viñita, Ruta 38 Kilometro 575 la Viñita .- Fletes y Acarreos a cargo del proveedor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</si>
</sst>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&quot;$&quot;#,##0.00"/>
    <numFmt numFmtId="170" formatCode="[$$-80A]#,##0.00"/>
    <numFmt numFmtId="171" formatCode="_-[$$-2C0A]\ * #,##0.00_-;\-[$$-2C0A]\ * #,##0.00_-;_-[$$-2C0A]\ * &quot;-&quot;??_-;_-@_-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3" fillId="0" borderId="0"/>
    <xf numFmtId="164" fontId="27" fillId="0" borderId="0" applyFont="0" applyFill="0" applyBorder="0" applyAlignment="0" applyProtection="0"/>
    <xf numFmtId="0" fontId="2" fillId="0" borderId="0"/>
  </cellStyleXfs>
  <cellXfs count="172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4" fillId="0" borderId="19" xfId="0" applyNumberFormat="1" applyFont="1" applyBorder="1" applyAlignment="1"/>
    <xf numFmtId="167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8" fontId="0" fillId="0" borderId="39" xfId="2" applyNumberFormat="1" applyFont="1" applyBorder="1" applyAlignment="1" applyProtection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8" fontId="0" fillId="0" borderId="43" xfId="2" applyNumberFormat="1" applyFont="1" applyBorder="1" applyAlignment="1" applyProtection="1">
      <alignment horizontal="center" vertical="center"/>
    </xf>
    <xf numFmtId="168" fontId="18" fillId="0" borderId="45" xfId="0" applyNumberFormat="1" applyFont="1" applyBorder="1" applyAlignment="1">
      <alignment horizontal="center" vertical="center"/>
    </xf>
    <xf numFmtId="0" fontId="20" fillId="0" borderId="0" xfId="0" applyFont="1"/>
    <xf numFmtId="0" fontId="26" fillId="0" borderId="15" xfId="0" applyFont="1" applyBorder="1" applyAlignment="1">
      <alignment horizontal="center" vertical="center"/>
    </xf>
    <xf numFmtId="0" fontId="0" fillId="0" borderId="0" xfId="0" applyFill="1"/>
    <xf numFmtId="0" fontId="20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8" fontId="0" fillId="0" borderId="39" xfId="2" applyNumberFormat="1" applyFont="1" applyFill="1" applyBorder="1" applyAlignment="1" applyProtection="1">
      <alignment horizontal="center" vertical="center"/>
    </xf>
    <xf numFmtId="0" fontId="19" fillId="0" borderId="32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4" xfId="0" applyFont="1" applyFill="1" applyBorder="1" applyAlignment="1">
      <alignment horizontal="center" vertical="center"/>
    </xf>
    <xf numFmtId="166" fontId="20" fillId="0" borderId="56" xfId="5" applyNumberFormat="1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19" xfId="0" applyFill="1" applyBorder="1"/>
    <xf numFmtId="0" fontId="0" fillId="0" borderId="47" xfId="0" applyFill="1" applyBorder="1"/>
    <xf numFmtId="0" fontId="0" fillId="0" borderId="0" xfId="0" applyFill="1" applyBorder="1"/>
    <xf numFmtId="0" fontId="22" fillId="0" borderId="12" xfId="0" applyFont="1" applyFill="1" applyBorder="1"/>
    <xf numFmtId="0" fontId="0" fillId="0" borderId="7" xfId="0" applyFill="1" applyBorder="1"/>
    <xf numFmtId="0" fontId="0" fillId="0" borderId="12" xfId="0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0" xfId="0" applyFont="1" applyFill="1" applyBorder="1"/>
    <xf numFmtId="0" fontId="0" fillId="0" borderId="48" xfId="0" applyFill="1" applyBorder="1"/>
    <xf numFmtId="0" fontId="22" fillId="0" borderId="49" xfId="0" applyFont="1" applyFill="1" applyBorder="1"/>
    <xf numFmtId="0" fontId="0" fillId="0" borderId="49" xfId="0" applyFill="1" applyBorder="1"/>
    <xf numFmtId="0" fontId="0" fillId="0" borderId="50" xfId="0" applyFill="1" applyBorder="1"/>
    <xf numFmtId="0" fontId="20" fillId="0" borderId="0" xfId="0" applyFont="1" applyFill="1"/>
    <xf numFmtId="0" fontId="0" fillId="0" borderId="56" xfId="0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 wrapText="1"/>
    </xf>
    <xf numFmtId="3" fontId="0" fillId="0" borderId="56" xfId="0" applyNumberFormat="1" applyBorder="1" applyAlignment="1">
      <alignment horizontal="center" vertical="center"/>
    </xf>
    <xf numFmtId="169" fontId="0" fillId="0" borderId="56" xfId="0" applyNumberForma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166" fontId="20" fillId="4" borderId="0" xfId="0" applyNumberFormat="1" applyFont="1" applyFill="1"/>
    <xf numFmtId="0" fontId="0" fillId="0" borderId="56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 wrapText="1"/>
    </xf>
    <xf numFmtId="0" fontId="21" fillId="4" borderId="56" xfId="0" applyFont="1" applyFill="1" applyBorder="1" applyAlignment="1">
      <alignment horizontal="center" vertical="center" wrapText="1"/>
    </xf>
    <xf numFmtId="0" fontId="21" fillId="4" borderId="56" xfId="0" applyFont="1" applyFill="1" applyBorder="1" applyAlignment="1">
      <alignment vertical="center" wrapText="1"/>
    </xf>
    <xf numFmtId="0" fontId="21" fillId="4" borderId="56" xfId="0" applyFont="1" applyFill="1" applyBorder="1" applyAlignment="1">
      <alignment horizontal="center" vertical="center"/>
    </xf>
    <xf numFmtId="170" fontId="20" fillId="0" borderId="56" xfId="5" applyNumberFormat="1" applyFont="1" applyFill="1" applyBorder="1" applyAlignment="1">
      <alignment horizontal="center" vertical="center"/>
    </xf>
    <xf numFmtId="170" fontId="20" fillId="0" borderId="56" xfId="5" applyNumberFormat="1" applyFont="1" applyFill="1" applyBorder="1" applyAlignment="1">
      <alignment horizontal="center" vertical="center" wrapText="1"/>
    </xf>
    <xf numFmtId="166" fontId="0" fillId="0" borderId="56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/>
    </xf>
    <xf numFmtId="3" fontId="0" fillId="0" borderId="56" xfId="0" applyNumberFormat="1" applyFill="1" applyBorder="1" applyAlignment="1">
      <alignment horizontal="center" vertical="center"/>
    </xf>
    <xf numFmtId="169" fontId="0" fillId="0" borderId="56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1" fillId="0" borderId="0" xfId="4" applyFont="1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 vertical="center"/>
    </xf>
    <xf numFmtId="171" fontId="0" fillId="0" borderId="56" xfId="0" applyNumberFormat="1" applyBorder="1" applyAlignment="1">
      <alignment horizontal="center" vertical="center"/>
    </xf>
    <xf numFmtId="170" fontId="0" fillId="0" borderId="56" xfId="0" applyNumberFormat="1" applyFill="1" applyBorder="1" applyAlignment="1">
      <alignment horizontal="center" vertical="center"/>
    </xf>
    <xf numFmtId="171" fontId="0" fillId="0" borderId="56" xfId="0" applyNumberFormat="1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70" fontId="0" fillId="4" borderId="56" xfId="0" applyNumberFormat="1" applyFill="1" applyBorder="1" applyAlignment="1">
      <alignment horizontal="center" vertical="center"/>
    </xf>
    <xf numFmtId="171" fontId="0" fillId="4" borderId="56" xfId="0" applyNumberFormat="1" applyFill="1" applyBorder="1" applyAlignment="1">
      <alignment horizontal="center" vertical="center"/>
    </xf>
    <xf numFmtId="166" fontId="0" fillId="4" borderId="56" xfId="0" applyNumberFormat="1" applyFill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31" fillId="0" borderId="56" xfId="4" applyFont="1" applyFill="1" applyBorder="1" applyAlignment="1">
      <alignment horizontal="left" vertical="center" wrapText="1"/>
    </xf>
    <xf numFmtId="0" fontId="31" fillId="4" borderId="56" xfId="4" applyFont="1" applyFill="1" applyBorder="1" applyAlignment="1">
      <alignment horizontal="left" vertical="center" wrapText="1"/>
    </xf>
    <xf numFmtId="0" fontId="21" fillId="0" borderId="38" xfId="0" applyFont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37" xfId="0" applyFont="1" applyFill="1" applyBorder="1" applyAlignment="1">
      <alignment horizontal="center" vertical="center"/>
    </xf>
    <xf numFmtId="6" fontId="0" fillId="0" borderId="56" xfId="0" applyNumberFormat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23" fillId="0" borderId="7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left" vertical="top"/>
    </xf>
    <xf numFmtId="0" fontId="25" fillId="0" borderId="60" xfId="0" applyFont="1" applyBorder="1" applyAlignment="1">
      <alignment vertical="center"/>
    </xf>
    <xf numFmtId="0" fontId="25" fillId="0" borderId="46" xfId="0" applyFont="1" applyBorder="1" applyAlignment="1">
      <alignment vertical="center"/>
    </xf>
    <xf numFmtId="0" fontId="25" fillId="0" borderId="5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 indent="1"/>
    </xf>
    <xf numFmtId="0" fontId="9" fillId="0" borderId="46" xfId="0" applyFont="1" applyBorder="1" applyAlignment="1">
      <alignment horizontal="left" vertical="center" wrapText="1" indent="1"/>
    </xf>
    <xf numFmtId="0" fontId="9" fillId="0" borderId="18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25" fillId="0" borderId="60" xfId="0" applyFont="1" applyBorder="1" applyAlignment="1">
      <alignment vertical="center" wrapText="1"/>
    </xf>
    <xf numFmtId="0" fontId="25" fillId="0" borderId="46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center" wrapText="1" indent="1"/>
    </xf>
    <xf numFmtId="166" fontId="10" fillId="0" borderId="16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9" fillId="3" borderId="59" xfId="0" applyFont="1" applyFill="1" applyBorder="1" applyAlignment="1">
      <alignment horizontal="left" vertical="center" wrapText="1" indent="1"/>
    </xf>
    <xf numFmtId="0" fontId="9" fillId="3" borderId="46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5" fillId="0" borderId="20" xfId="0" applyFont="1" applyBorder="1"/>
    <xf numFmtId="0" fontId="19" fillId="0" borderId="21" xfId="0" applyFont="1" applyBorder="1" applyAlignment="1">
      <alignment horizontal="left" indent="1"/>
    </xf>
    <xf numFmtId="0" fontId="12" fillId="0" borderId="20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49" fontId="16" fillId="0" borderId="24" xfId="0" applyNumberFormat="1" applyFont="1" applyBorder="1" applyAlignment="1">
      <alignment horizontal="justify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23" fillId="0" borderId="38" xfId="0" applyFont="1" applyFill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29" fillId="0" borderId="16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4" fillId="0" borderId="44" xfId="0" applyFont="1" applyBorder="1" applyAlignment="1">
      <alignment horizontal="left" vertical="center" wrapText="1"/>
    </xf>
    <xf numFmtId="0" fontId="0" fillId="0" borderId="23" xfId="0" applyBorder="1"/>
  </cellXfs>
  <cellStyles count="7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8"/>
  <sheetViews>
    <sheetView tabSelected="1" workbookViewId="0">
      <selection activeCell="M13" sqref="M13"/>
    </sheetView>
  </sheetViews>
  <sheetFormatPr baseColWidth="10" defaultColWidth="10.7109375" defaultRowHeight="12.75" x14ac:dyDescent="0.2"/>
  <cols>
    <col min="1" max="1" width="5.5703125" customWidth="1"/>
    <col min="2" max="2" width="20.5703125" customWidth="1"/>
    <col min="3" max="3" width="23.140625" customWidth="1"/>
    <col min="5" max="5" width="31" customWidth="1"/>
    <col min="7" max="7" width="13.42578125" customWidth="1"/>
    <col min="8" max="8" width="11.5703125" bestFit="1" customWidth="1"/>
    <col min="9" max="9" width="15.7109375" hidden="1" customWidth="1"/>
    <col min="10" max="10" width="17.140625" customWidth="1"/>
  </cols>
  <sheetData>
    <row r="2" spans="1:10" ht="18" x14ac:dyDescent="0.2">
      <c r="B2" s="119" t="s">
        <v>54</v>
      </c>
      <c r="C2" s="119"/>
      <c r="D2" s="119"/>
      <c r="E2" s="119"/>
      <c r="F2" s="119"/>
      <c r="G2" s="119"/>
      <c r="H2" s="119"/>
      <c r="I2" s="119"/>
      <c r="J2" s="54"/>
    </row>
    <row r="4" spans="1:10" x14ac:dyDescent="0.2">
      <c r="A4" s="46" t="s">
        <v>58</v>
      </c>
      <c r="B4" s="46"/>
      <c r="C4" s="46"/>
      <c r="D4" s="46"/>
      <c r="E4" s="46"/>
      <c r="F4" s="46"/>
      <c r="G4" s="46"/>
      <c r="H4" s="46"/>
      <c r="I4" s="46"/>
      <c r="J4" s="46"/>
    </row>
    <row r="5" spans="1:10" x14ac:dyDescent="0.2">
      <c r="A5" s="46" t="s">
        <v>68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x14ac:dyDescent="0.2">
      <c r="A6" s="46" t="s">
        <v>55</v>
      </c>
      <c r="B6" s="46"/>
      <c r="C6" s="46"/>
      <c r="D6" s="46"/>
      <c r="E6" s="46"/>
      <c r="F6" s="46"/>
      <c r="G6" s="46"/>
      <c r="H6" s="46"/>
      <c r="I6" s="46"/>
      <c r="J6" s="46"/>
    </row>
    <row r="7" spans="1:10" x14ac:dyDescent="0.2">
      <c r="A7" s="46" t="s">
        <v>67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x14ac:dyDescent="0.2">
      <c r="A8" s="46"/>
      <c r="B8" s="46"/>
      <c r="C8" s="46"/>
      <c r="D8" s="46"/>
      <c r="E8" s="46"/>
      <c r="F8" s="46"/>
      <c r="G8" s="46"/>
      <c r="H8" s="46"/>
      <c r="I8" s="46"/>
      <c r="J8" s="46"/>
    </row>
    <row r="9" spans="1:10" ht="13.5" thickBot="1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spans="1:10" ht="38.25" customHeight="1" x14ac:dyDescent="0.2">
      <c r="A10" s="78" t="s">
        <v>39</v>
      </c>
      <c r="B10" s="51" t="s">
        <v>40</v>
      </c>
      <c r="C10" s="49" t="s">
        <v>41</v>
      </c>
      <c r="D10" s="49" t="s">
        <v>42</v>
      </c>
      <c r="E10" s="49" t="s">
        <v>43</v>
      </c>
      <c r="F10" s="52" t="s">
        <v>44</v>
      </c>
      <c r="G10" s="49" t="s">
        <v>45</v>
      </c>
      <c r="H10" s="52" t="s">
        <v>46</v>
      </c>
      <c r="I10" s="53" t="s">
        <v>47</v>
      </c>
      <c r="J10" s="79" t="s">
        <v>53</v>
      </c>
    </row>
    <row r="11" spans="1:10" ht="59.25" customHeight="1" x14ac:dyDescent="0.2">
      <c r="A11" s="75">
        <v>1</v>
      </c>
      <c r="B11" s="82" t="s">
        <v>91</v>
      </c>
      <c r="C11" s="76" t="s">
        <v>69</v>
      </c>
      <c r="D11" s="77" t="s">
        <v>66</v>
      </c>
      <c r="E11" s="110" t="s">
        <v>65</v>
      </c>
      <c r="F11" s="77" t="s">
        <v>52</v>
      </c>
      <c r="G11" s="80">
        <v>2000</v>
      </c>
      <c r="H11" s="81">
        <v>1815</v>
      </c>
      <c r="I11" s="81"/>
      <c r="J11" s="59">
        <f>H11*G11</f>
        <v>3630000</v>
      </c>
    </row>
    <row r="12" spans="1:10" ht="59.25" customHeight="1" x14ac:dyDescent="0.2">
      <c r="A12" s="75">
        <v>2</v>
      </c>
      <c r="B12" s="82" t="s">
        <v>71</v>
      </c>
      <c r="C12" s="76" t="s">
        <v>69</v>
      </c>
      <c r="D12" s="77">
        <v>253</v>
      </c>
      <c r="E12" s="110" t="s">
        <v>72</v>
      </c>
      <c r="F12" s="77" t="s">
        <v>52</v>
      </c>
      <c r="G12" s="75">
        <v>400</v>
      </c>
      <c r="H12" s="75">
        <v>9200</v>
      </c>
      <c r="I12" s="103">
        <f t="shared" ref="I12" si="0">H12*G12</f>
        <v>3680000</v>
      </c>
      <c r="J12" s="59">
        <f t="shared" ref="J12" si="1">H12*G12</f>
        <v>3680000</v>
      </c>
    </row>
    <row r="13" spans="1:10" ht="52.5" customHeight="1" x14ac:dyDescent="0.2">
      <c r="A13" s="75">
        <v>3</v>
      </c>
      <c r="B13" s="85" t="s">
        <v>74</v>
      </c>
      <c r="C13" s="85" t="s">
        <v>69</v>
      </c>
      <c r="D13" s="86" t="s">
        <v>66</v>
      </c>
      <c r="E13" s="87" t="s">
        <v>73</v>
      </c>
      <c r="F13" s="88" t="s">
        <v>52</v>
      </c>
      <c r="G13" s="85">
        <v>2000</v>
      </c>
      <c r="H13" s="89">
        <v>380</v>
      </c>
      <c r="I13" s="90"/>
      <c r="J13" s="91">
        <f t="shared" ref="J13" si="2">H13*G13</f>
        <v>760000</v>
      </c>
    </row>
    <row r="14" spans="1:10" ht="89.25" x14ac:dyDescent="0.2">
      <c r="A14" s="75">
        <v>4</v>
      </c>
      <c r="B14" s="95" t="s">
        <v>99</v>
      </c>
      <c r="C14" s="94" t="s">
        <v>69</v>
      </c>
      <c r="D14" s="95" t="s">
        <v>70</v>
      </c>
      <c r="E14" s="111" t="s">
        <v>100</v>
      </c>
      <c r="F14" s="95" t="s">
        <v>52</v>
      </c>
      <c r="G14" s="96">
        <v>10</v>
      </c>
      <c r="H14" s="97">
        <v>39500</v>
      </c>
      <c r="I14" s="97"/>
      <c r="J14" s="91">
        <f>H14*G14</f>
        <v>395000</v>
      </c>
    </row>
    <row r="15" spans="1:10" ht="38.25" x14ac:dyDescent="0.2">
      <c r="A15" s="75">
        <v>5</v>
      </c>
      <c r="B15" s="106" t="s">
        <v>89</v>
      </c>
      <c r="C15" s="85" t="s">
        <v>69</v>
      </c>
      <c r="D15" s="88" t="s">
        <v>66</v>
      </c>
      <c r="E15" s="112" t="s">
        <v>76</v>
      </c>
      <c r="F15" s="88" t="s">
        <v>52</v>
      </c>
      <c r="G15" s="106">
        <v>375</v>
      </c>
      <c r="H15" s="107">
        <v>4200</v>
      </c>
      <c r="I15" s="108"/>
      <c r="J15" s="109">
        <f t="shared" ref="J15:J16" si="3">H15*G15</f>
        <v>1575000</v>
      </c>
    </row>
    <row r="16" spans="1:10" ht="38.25" x14ac:dyDescent="0.2">
      <c r="A16" s="75">
        <v>6</v>
      </c>
      <c r="B16" s="95" t="s">
        <v>90</v>
      </c>
      <c r="C16" s="94" t="s">
        <v>69</v>
      </c>
      <c r="D16" s="95" t="s">
        <v>66</v>
      </c>
      <c r="E16" s="111" t="s">
        <v>88</v>
      </c>
      <c r="F16" s="95" t="s">
        <v>52</v>
      </c>
      <c r="G16" s="84">
        <v>300</v>
      </c>
      <c r="H16" s="104">
        <v>4900</v>
      </c>
      <c r="I16" s="105"/>
      <c r="J16" s="91">
        <f t="shared" si="3"/>
        <v>1470000</v>
      </c>
    </row>
    <row r="17" spans="1:11" ht="15" x14ac:dyDescent="0.2">
      <c r="A17" s="92"/>
      <c r="B17" s="92"/>
      <c r="C17" s="98"/>
      <c r="D17" s="99"/>
      <c r="E17" s="100"/>
      <c r="F17" s="99"/>
      <c r="G17" s="101"/>
      <c r="H17" s="102"/>
      <c r="I17" s="102"/>
      <c r="J17" s="93"/>
    </row>
    <row r="18" spans="1:11" s="48" customFormat="1" x14ac:dyDescent="0.2">
      <c r="A18"/>
      <c r="B18"/>
      <c r="C18"/>
      <c r="D18"/>
      <c r="E18"/>
      <c r="F18"/>
      <c r="G18"/>
      <c r="H18"/>
      <c r="I18"/>
      <c r="J18" s="83"/>
      <c r="K18" s="63"/>
    </row>
    <row r="19" spans="1:11" s="48" customFormat="1" ht="13.5" thickBot="1" x14ac:dyDescent="0.25">
      <c r="A19"/>
      <c r="B19"/>
      <c r="C19"/>
      <c r="D19"/>
      <c r="E19"/>
      <c r="F19"/>
      <c r="G19"/>
      <c r="H19"/>
      <c r="I19"/>
      <c r="J19"/>
      <c r="K19" s="63"/>
    </row>
    <row r="20" spans="1:11" s="48" customFormat="1" x14ac:dyDescent="0.2">
      <c r="B20" s="60"/>
      <c r="C20" s="61"/>
      <c r="D20" s="61"/>
      <c r="E20" s="61"/>
      <c r="F20" s="61"/>
      <c r="G20" s="61"/>
      <c r="H20" s="61"/>
      <c r="I20" s="62"/>
      <c r="J20" s="62"/>
      <c r="K20" s="63"/>
    </row>
    <row r="21" spans="1:11" s="48" customFormat="1" x14ac:dyDescent="0.2">
      <c r="B21" s="64" t="s">
        <v>48</v>
      </c>
      <c r="C21" s="63"/>
      <c r="D21" s="63"/>
      <c r="E21" s="63"/>
      <c r="F21" s="63"/>
      <c r="G21" s="63"/>
      <c r="H21" s="63"/>
      <c r="I21" s="65"/>
      <c r="J21" s="65"/>
      <c r="K21" s="63"/>
    </row>
    <row r="22" spans="1:11" s="48" customFormat="1" x14ac:dyDescent="0.2">
      <c r="B22" s="66"/>
      <c r="C22" s="63"/>
      <c r="D22" s="63"/>
      <c r="E22" s="63"/>
      <c r="F22" s="63"/>
      <c r="G22" s="63"/>
      <c r="H22" s="63"/>
      <c r="I22" s="65"/>
      <c r="J22" s="65"/>
      <c r="K22" s="63"/>
    </row>
    <row r="23" spans="1:11" s="48" customFormat="1" x14ac:dyDescent="0.2">
      <c r="B23" s="66"/>
      <c r="C23" s="67" t="s">
        <v>49</v>
      </c>
      <c r="D23" s="121" t="s">
        <v>97</v>
      </c>
      <c r="E23" s="121"/>
      <c r="F23" s="121"/>
      <c r="G23" s="121"/>
      <c r="H23" s="121"/>
      <c r="I23" s="121"/>
      <c r="J23" s="122"/>
      <c r="K23" s="63"/>
    </row>
    <row r="24" spans="1:11" s="48" customFormat="1" x14ac:dyDescent="0.2">
      <c r="B24" s="66"/>
      <c r="C24" s="63"/>
      <c r="D24" s="121"/>
      <c r="E24" s="121"/>
      <c r="F24" s="121"/>
      <c r="G24" s="121"/>
      <c r="H24" s="121"/>
      <c r="I24" s="121"/>
      <c r="J24" s="122"/>
      <c r="K24" s="63"/>
    </row>
    <row r="25" spans="1:11" s="48" customFormat="1" x14ac:dyDescent="0.2">
      <c r="B25" s="66"/>
      <c r="C25" s="63"/>
      <c r="D25" s="68"/>
      <c r="E25" s="63"/>
      <c r="F25" s="63"/>
      <c r="G25" s="63"/>
      <c r="H25" s="63"/>
      <c r="I25" s="65"/>
      <c r="J25" s="65"/>
      <c r="K25" s="63"/>
    </row>
    <row r="26" spans="1:11" s="48" customFormat="1" x14ac:dyDescent="0.2">
      <c r="B26" s="66"/>
      <c r="C26" s="67"/>
      <c r="D26" s="68"/>
      <c r="E26" s="63"/>
      <c r="F26" s="63"/>
      <c r="G26" s="63"/>
      <c r="H26" s="63"/>
      <c r="I26" s="65"/>
      <c r="J26" s="65"/>
      <c r="K26" s="63"/>
    </row>
    <row r="27" spans="1:11" s="48" customFormat="1" x14ac:dyDescent="0.2">
      <c r="B27" s="66"/>
      <c r="C27" s="63"/>
      <c r="D27" s="68"/>
      <c r="E27" s="63"/>
      <c r="F27" s="63"/>
      <c r="G27" s="63"/>
      <c r="H27" s="63"/>
      <c r="I27" s="65"/>
      <c r="J27" s="65"/>
      <c r="K27" s="63"/>
    </row>
    <row r="28" spans="1:11" s="48" customFormat="1" x14ac:dyDescent="0.2">
      <c r="B28" s="66"/>
      <c r="C28" s="67" t="s">
        <v>50</v>
      </c>
      <c r="D28" s="63"/>
      <c r="E28" s="63"/>
      <c r="F28" s="63"/>
      <c r="G28" s="63"/>
      <c r="H28" s="63"/>
      <c r="I28" s="65"/>
      <c r="J28" s="65"/>
      <c r="K28" s="63"/>
    </row>
    <row r="29" spans="1:11" s="48" customFormat="1" x14ac:dyDescent="0.2">
      <c r="B29" s="66"/>
      <c r="C29" s="69"/>
      <c r="D29" s="118" t="s">
        <v>101</v>
      </c>
      <c r="E29" s="118"/>
      <c r="F29" s="118"/>
      <c r="G29" s="118"/>
      <c r="H29" s="118"/>
      <c r="I29" s="118"/>
      <c r="J29" s="120"/>
      <c r="K29" s="63"/>
    </row>
    <row r="30" spans="1:11" s="48" customFormat="1" ht="66.75" customHeight="1" x14ac:dyDescent="0.2">
      <c r="B30" s="66"/>
      <c r="C30" s="69"/>
      <c r="D30" s="118"/>
      <c r="E30" s="118"/>
      <c r="F30" s="118"/>
      <c r="G30" s="118"/>
      <c r="H30" s="118"/>
      <c r="I30" s="118"/>
      <c r="J30" s="120"/>
      <c r="K30" s="63"/>
    </row>
    <row r="31" spans="1:11" s="48" customFormat="1" x14ac:dyDescent="0.2">
      <c r="B31" s="66"/>
      <c r="C31" s="69"/>
      <c r="D31" s="63"/>
      <c r="E31" s="63"/>
      <c r="F31" s="63"/>
      <c r="G31" s="63"/>
      <c r="H31" s="63"/>
      <c r="I31" s="65"/>
      <c r="J31" s="65"/>
      <c r="K31" s="63"/>
    </row>
    <row r="32" spans="1:11" s="48" customFormat="1" x14ac:dyDescent="0.2">
      <c r="B32" s="66"/>
      <c r="C32" s="67" t="s">
        <v>56</v>
      </c>
      <c r="D32" s="123" t="s">
        <v>92</v>
      </c>
      <c r="E32" s="123"/>
      <c r="F32" s="63"/>
      <c r="G32" s="63"/>
      <c r="H32" s="63"/>
      <c r="I32" s="65"/>
      <c r="J32" s="65"/>
      <c r="K32" s="63"/>
    </row>
    <row r="33" spans="1:10" s="48" customFormat="1" x14ac:dyDescent="0.2">
      <c r="B33" s="66"/>
      <c r="C33" s="67" t="s">
        <v>57</v>
      </c>
      <c r="D33" s="68" t="s">
        <v>93</v>
      </c>
      <c r="E33" s="63"/>
      <c r="F33" s="63"/>
      <c r="G33" s="63"/>
      <c r="H33" s="63"/>
      <c r="I33" s="65"/>
      <c r="J33" s="65"/>
    </row>
    <row r="34" spans="1:10" ht="13.5" thickBot="1" x14ac:dyDescent="0.25">
      <c r="A34" s="48"/>
      <c r="B34" s="70"/>
      <c r="C34" s="71" t="s">
        <v>51</v>
      </c>
      <c r="D34" s="72"/>
      <c r="E34" s="72"/>
      <c r="F34" s="72"/>
      <c r="G34" s="72"/>
      <c r="H34" s="72"/>
      <c r="I34" s="73"/>
      <c r="J34" s="73"/>
    </row>
    <row r="35" spans="1:10" ht="13.5" thickBo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</row>
    <row r="36" spans="1:10" x14ac:dyDescent="0.2">
      <c r="A36" s="48"/>
      <c r="B36" s="60"/>
      <c r="C36" s="61"/>
      <c r="D36" s="61"/>
      <c r="E36" s="61"/>
      <c r="F36" s="61"/>
      <c r="G36" s="61"/>
      <c r="H36" s="61"/>
      <c r="I36" s="62"/>
      <c r="J36" s="62"/>
    </row>
    <row r="37" spans="1:10" x14ac:dyDescent="0.2">
      <c r="A37" s="48"/>
      <c r="B37" s="64" t="s">
        <v>94</v>
      </c>
      <c r="C37" s="63"/>
      <c r="D37" s="63"/>
      <c r="E37" s="63"/>
      <c r="F37" s="63"/>
      <c r="G37" s="63"/>
      <c r="H37" s="63"/>
      <c r="I37" s="65"/>
      <c r="J37" s="65"/>
    </row>
    <row r="38" spans="1:10" x14ac:dyDescent="0.2">
      <c r="A38" s="48"/>
      <c r="B38" s="66"/>
      <c r="C38" s="63"/>
      <c r="D38" s="63"/>
      <c r="E38" s="63"/>
      <c r="F38" s="63"/>
      <c r="G38" s="63"/>
      <c r="H38" s="63"/>
      <c r="I38" s="65"/>
      <c r="J38" s="65"/>
    </row>
    <row r="39" spans="1:10" x14ac:dyDescent="0.2">
      <c r="A39" s="48"/>
      <c r="B39" s="66"/>
      <c r="C39" s="67" t="s">
        <v>49</v>
      </c>
      <c r="D39" s="63"/>
      <c r="E39" s="63"/>
      <c r="F39" s="63"/>
      <c r="G39" s="63"/>
      <c r="H39" s="63"/>
      <c r="I39" s="65"/>
      <c r="J39" s="65"/>
    </row>
    <row r="40" spans="1:10" x14ac:dyDescent="0.2">
      <c r="A40" s="48"/>
      <c r="B40" s="66"/>
      <c r="C40" s="63"/>
      <c r="D40" s="118" t="s">
        <v>98</v>
      </c>
      <c r="E40" s="118"/>
      <c r="F40" s="118"/>
      <c r="G40" s="118"/>
      <c r="H40" s="118"/>
      <c r="I40" s="118"/>
      <c r="J40" s="120"/>
    </row>
    <row r="41" spans="1:10" x14ac:dyDescent="0.2">
      <c r="A41" s="48"/>
      <c r="B41" s="66"/>
      <c r="C41" s="63"/>
      <c r="D41" s="118"/>
      <c r="E41" s="118"/>
      <c r="F41" s="118"/>
      <c r="G41" s="118"/>
      <c r="H41" s="118"/>
      <c r="I41" s="118"/>
      <c r="J41" s="120"/>
    </row>
    <row r="42" spans="1:10" x14ac:dyDescent="0.2">
      <c r="A42" s="48"/>
      <c r="B42" s="66"/>
      <c r="C42" s="67"/>
      <c r="D42" s="118"/>
      <c r="E42" s="118"/>
      <c r="F42" s="118"/>
      <c r="G42" s="118"/>
      <c r="H42" s="118"/>
      <c r="I42" s="118"/>
      <c r="J42" s="120"/>
    </row>
    <row r="43" spans="1:10" x14ac:dyDescent="0.2">
      <c r="A43" s="48"/>
      <c r="B43" s="66"/>
      <c r="C43" s="63"/>
      <c r="D43" s="118"/>
      <c r="E43" s="118"/>
      <c r="F43" s="118"/>
      <c r="G43" s="118"/>
      <c r="H43" s="118"/>
      <c r="I43" s="118"/>
      <c r="J43" s="120"/>
    </row>
    <row r="44" spans="1:10" x14ac:dyDescent="0.2">
      <c r="A44" s="48"/>
      <c r="B44" s="66"/>
      <c r="C44" s="67" t="s">
        <v>50</v>
      </c>
      <c r="D44" s="63"/>
      <c r="E44" s="63"/>
      <c r="F44" s="63"/>
      <c r="G44" s="63"/>
      <c r="H44" s="63"/>
      <c r="I44" s="65"/>
      <c r="J44" s="65"/>
    </row>
    <row r="45" spans="1:10" x14ac:dyDescent="0.2">
      <c r="A45" s="48"/>
      <c r="B45" s="66"/>
      <c r="C45" s="69"/>
      <c r="D45" s="118" t="s">
        <v>106</v>
      </c>
      <c r="E45" s="118"/>
      <c r="F45" s="118"/>
      <c r="G45" s="118"/>
      <c r="H45" s="118"/>
      <c r="I45" s="118"/>
      <c r="J45" s="120"/>
    </row>
    <row r="46" spans="1:10" ht="61.5" customHeight="1" x14ac:dyDescent="0.2">
      <c r="A46" s="48"/>
      <c r="B46" s="66"/>
      <c r="C46" s="69"/>
      <c r="D46" s="118"/>
      <c r="E46" s="118"/>
      <c r="F46" s="118"/>
      <c r="G46" s="118"/>
      <c r="H46" s="118"/>
      <c r="I46" s="118"/>
      <c r="J46" s="120"/>
    </row>
    <row r="47" spans="1:10" x14ac:dyDescent="0.2">
      <c r="A47" s="48"/>
      <c r="B47" s="66"/>
      <c r="C47" s="69"/>
      <c r="D47" s="63"/>
      <c r="E47" s="63"/>
      <c r="F47" s="63"/>
      <c r="G47" s="63"/>
      <c r="H47" s="63"/>
      <c r="I47" s="65"/>
      <c r="J47" s="65"/>
    </row>
    <row r="48" spans="1:10" x14ac:dyDescent="0.2">
      <c r="A48" s="48"/>
      <c r="B48" s="66"/>
      <c r="C48" s="67" t="s">
        <v>56</v>
      </c>
      <c r="D48" s="68" t="s">
        <v>92</v>
      </c>
      <c r="E48" s="63"/>
      <c r="F48" s="63"/>
      <c r="G48" s="63"/>
      <c r="H48" s="63"/>
      <c r="I48" s="65"/>
      <c r="J48" s="65"/>
    </row>
    <row r="49" spans="1:10" x14ac:dyDescent="0.2">
      <c r="A49" s="48"/>
      <c r="B49" s="66"/>
      <c r="C49" s="67" t="s">
        <v>57</v>
      </c>
      <c r="D49" s="68" t="s">
        <v>93</v>
      </c>
      <c r="E49" s="63"/>
      <c r="F49" s="63"/>
      <c r="G49" s="63"/>
      <c r="H49" s="63"/>
      <c r="I49" s="65"/>
      <c r="J49" s="65"/>
    </row>
    <row r="50" spans="1:10" ht="13.5" thickBot="1" x14ac:dyDescent="0.25">
      <c r="A50" s="48"/>
      <c r="B50" s="70"/>
      <c r="C50" s="71" t="s">
        <v>51</v>
      </c>
      <c r="D50" s="72"/>
      <c r="E50" s="72"/>
      <c r="F50" s="72"/>
      <c r="G50" s="72"/>
      <c r="H50" s="72"/>
      <c r="I50" s="73"/>
      <c r="J50" s="73"/>
    </row>
    <row r="51" spans="1:10" ht="13.5" thickBot="1" x14ac:dyDescent="0.25"/>
    <row r="52" spans="1:10" x14ac:dyDescent="0.2">
      <c r="B52" s="60"/>
      <c r="C52" s="61"/>
      <c r="D52" s="61"/>
      <c r="E52" s="61"/>
      <c r="F52" s="61"/>
      <c r="G52" s="61"/>
      <c r="H52" s="61"/>
      <c r="I52" s="62"/>
      <c r="J52" s="62"/>
    </row>
    <row r="53" spans="1:10" x14ac:dyDescent="0.2">
      <c r="B53" s="64" t="s">
        <v>77</v>
      </c>
      <c r="C53" s="63"/>
      <c r="D53" s="63"/>
      <c r="E53" s="63"/>
      <c r="F53" s="63"/>
      <c r="G53" s="63"/>
      <c r="H53" s="63"/>
      <c r="I53" s="65"/>
      <c r="J53" s="65"/>
    </row>
    <row r="54" spans="1:10" x14ac:dyDescent="0.2">
      <c r="B54" s="66"/>
      <c r="C54" s="63"/>
      <c r="D54" s="63"/>
      <c r="E54" s="63"/>
      <c r="F54" s="63"/>
      <c r="G54" s="63"/>
      <c r="H54" s="63"/>
      <c r="I54" s="65"/>
      <c r="J54" s="65"/>
    </row>
    <row r="55" spans="1:10" x14ac:dyDescent="0.2">
      <c r="B55" s="66"/>
      <c r="C55" s="67" t="s">
        <v>49</v>
      </c>
      <c r="D55" s="63"/>
      <c r="E55" s="63"/>
      <c r="F55" s="63"/>
      <c r="G55" s="63"/>
      <c r="H55" s="63"/>
      <c r="I55" s="65"/>
      <c r="J55" s="65"/>
    </row>
    <row r="56" spans="1:10" ht="12.75" customHeight="1" x14ac:dyDescent="0.2">
      <c r="B56" s="66"/>
      <c r="C56" s="63"/>
      <c r="D56" s="118" t="s">
        <v>102</v>
      </c>
      <c r="E56" s="118"/>
      <c r="F56" s="118"/>
      <c r="G56" s="118"/>
      <c r="H56" s="118"/>
      <c r="I56" s="65"/>
      <c r="J56" s="65"/>
    </row>
    <row r="57" spans="1:10" x14ac:dyDescent="0.2">
      <c r="B57" s="66"/>
      <c r="C57" s="63"/>
      <c r="D57" s="118"/>
      <c r="E57" s="118"/>
      <c r="F57" s="118"/>
      <c r="G57" s="118"/>
      <c r="H57" s="118"/>
      <c r="I57" s="65"/>
      <c r="J57" s="65"/>
    </row>
    <row r="58" spans="1:10" x14ac:dyDescent="0.2">
      <c r="B58" s="66"/>
      <c r="C58" s="67"/>
      <c r="D58" s="68"/>
      <c r="E58" s="63"/>
      <c r="F58" s="63"/>
      <c r="G58" s="63"/>
      <c r="H58" s="63"/>
      <c r="I58" s="65"/>
      <c r="J58" s="65"/>
    </row>
    <row r="59" spans="1:10" x14ac:dyDescent="0.2">
      <c r="B59" s="66"/>
      <c r="C59" s="63"/>
      <c r="D59" s="68"/>
      <c r="E59" s="63"/>
      <c r="F59" s="63"/>
      <c r="G59" s="63"/>
      <c r="H59" s="63"/>
      <c r="I59" s="65"/>
      <c r="J59" s="65"/>
    </row>
    <row r="60" spans="1:10" x14ac:dyDescent="0.2">
      <c r="B60" s="66"/>
      <c r="C60" s="67" t="s">
        <v>50</v>
      </c>
      <c r="D60" s="63"/>
      <c r="E60" s="63"/>
      <c r="F60" s="63"/>
      <c r="G60" s="63"/>
      <c r="H60" s="63"/>
      <c r="I60" s="65"/>
      <c r="J60" s="65"/>
    </row>
    <row r="61" spans="1:10" x14ac:dyDescent="0.2">
      <c r="B61" s="66"/>
      <c r="C61" s="69"/>
      <c r="D61" s="118" t="s">
        <v>107</v>
      </c>
      <c r="E61" s="118"/>
      <c r="F61" s="118"/>
      <c r="G61" s="118"/>
      <c r="H61" s="118"/>
      <c r="I61" s="118"/>
      <c r="J61" s="120"/>
    </row>
    <row r="62" spans="1:10" ht="62.25" customHeight="1" x14ac:dyDescent="0.2">
      <c r="B62" s="66"/>
      <c r="C62" s="69"/>
      <c r="D62" s="118"/>
      <c r="E62" s="118"/>
      <c r="F62" s="118"/>
      <c r="G62" s="118"/>
      <c r="H62" s="118"/>
      <c r="I62" s="118"/>
      <c r="J62" s="120"/>
    </row>
    <row r="63" spans="1:10" x14ac:dyDescent="0.2">
      <c r="B63" s="66"/>
      <c r="C63" s="69"/>
      <c r="D63" s="63"/>
      <c r="E63" s="63"/>
      <c r="F63" s="63"/>
      <c r="G63" s="63"/>
      <c r="H63" s="63"/>
      <c r="I63" s="65"/>
      <c r="J63" s="65"/>
    </row>
    <row r="64" spans="1:10" x14ac:dyDescent="0.2">
      <c r="B64" s="66"/>
      <c r="C64" s="67" t="s">
        <v>56</v>
      </c>
      <c r="D64" s="68" t="s">
        <v>103</v>
      </c>
      <c r="E64" s="63"/>
      <c r="F64" s="63"/>
      <c r="G64" s="63"/>
      <c r="H64" s="63"/>
      <c r="I64" s="65"/>
      <c r="J64" s="65"/>
    </row>
    <row r="65" spans="2:10" x14ac:dyDescent="0.2">
      <c r="B65" s="66"/>
      <c r="C65" s="67" t="s">
        <v>57</v>
      </c>
      <c r="D65" s="68" t="s">
        <v>93</v>
      </c>
      <c r="E65" s="63"/>
      <c r="F65" s="63"/>
      <c r="G65" s="63"/>
      <c r="H65" s="63"/>
      <c r="I65" s="65"/>
      <c r="J65" s="65"/>
    </row>
    <row r="66" spans="2:10" ht="13.5" thickBot="1" x14ac:dyDescent="0.25">
      <c r="B66" s="70"/>
      <c r="C66" s="71" t="s">
        <v>51</v>
      </c>
      <c r="D66" s="72"/>
      <c r="E66" s="72"/>
      <c r="F66" s="72"/>
      <c r="G66" s="72"/>
      <c r="H66" s="72"/>
      <c r="I66" s="73"/>
      <c r="J66" s="73"/>
    </row>
    <row r="67" spans="2:10" ht="13.5" thickBot="1" x14ac:dyDescent="0.25"/>
    <row r="68" spans="2:10" x14ac:dyDescent="0.2">
      <c r="B68" s="60"/>
      <c r="C68" s="61"/>
      <c r="D68" s="61"/>
      <c r="E68" s="61"/>
      <c r="F68" s="61"/>
      <c r="G68" s="61"/>
      <c r="H68" s="61"/>
      <c r="I68" s="62"/>
      <c r="J68" s="62"/>
    </row>
    <row r="69" spans="2:10" x14ac:dyDescent="0.2">
      <c r="B69" s="64" t="s">
        <v>95</v>
      </c>
      <c r="C69" s="63"/>
      <c r="D69" s="63"/>
      <c r="E69" s="63"/>
      <c r="F69" s="63"/>
      <c r="G69" s="63"/>
      <c r="H69" s="63"/>
      <c r="I69" s="65"/>
      <c r="J69" s="65"/>
    </row>
    <row r="70" spans="2:10" x14ac:dyDescent="0.2">
      <c r="B70" s="66"/>
      <c r="C70" s="63"/>
      <c r="D70" s="63"/>
      <c r="E70" s="63"/>
      <c r="F70" s="63"/>
      <c r="G70" s="63"/>
      <c r="H70" s="63"/>
      <c r="I70" s="65"/>
      <c r="J70" s="65"/>
    </row>
    <row r="71" spans="2:10" x14ac:dyDescent="0.2">
      <c r="B71" s="66"/>
      <c r="C71" s="67" t="s">
        <v>49</v>
      </c>
      <c r="D71" s="63"/>
      <c r="E71" s="63"/>
      <c r="F71" s="63"/>
      <c r="G71" s="63"/>
      <c r="H71" s="63"/>
      <c r="I71" s="65"/>
      <c r="J71" s="65"/>
    </row>
    <row r="72" spans="2:10" x14ac:dyDescent="0.2">
      <c r="B72" s="66"/>
      <c r="C72" s="63"/>
      <c r="D72" s="118" t="s">
        <v>105</v>
      </c>
      <c r="E72" s="118"/>
      <c r="F72" s="118"/>
      <c r="G72" s="118"/>
      <c r="H72" s="118"/>
      <c r="I72" s="118"/>
      <c r="J72" s="120"/>
    </row>
    <row r="73" spans="2:10" x14ac:dyDescent="0.2">
      <c r="B73" s="66"/>
      <c r="C73" s="63"/>
      <c r="D73" s="118"/>
      <c r="E73" s="118"/>
      <c r="F73" s="118"/>
      <c r="G73" s="118"/>
      <c r="H73" s="118"/>
      <c r="I73" s="118"/>
      <c r="J73" s="120"/>
    </row>
    <row r="74" spans="2:10" x14ac:dyDescent="0.2">
      <c r="B74" s="66"/>
      <c r="C74" s="67"/>
      <c r="D74" s="118"/>
      <c r="E74" s="118"/>
      <c r="F74" s="118"/>
      <c r="G74" s="118"/>
      <c r="H74" s="118"/>
      <c r="I74" s="118"/>
      <c r="J74" s="120"/>
    </row>
    <row r="75" spans="2:10" x14ac:dyDescent="0.2">
      <c r="B75" s="66"/>
      <c r="C75" s="63"/>
      <c r="D75" s="118"/>
      <c r="E75" s="118"/>
      <c r="F75" s="118"/>
      <c r="G75" s="118"/>
      <c r="H75" s="118"/>
      <c r="I75" s="118"/>
      <c r="J75" s="120"/>
    </row>
    <row r="76" spans="2:10" x14ac:dyDescent="0.2">
      <c r="B76" s="66"/>
      <c r="C76" s="67" t="s">
        <v>50</v>
      </c>
      <c r="D76" s="63"/>
      <c r="E76" s="63"/>
      <c r="F76" s="63"/>
      <c r="G76" s="63"/>
      <c r="H76" s="63"/>
      <c r="I76" s="65"/>
      <c r="J76" s="65"/>
    </row>
    <row r="77" spans="2:10" x14ac:dyDescent="0.2">
      <c r="B77" s="66"/>
      <c r="C77" s="69"/>
      <c r="D77" s="118" t="s">
        <v>108</v>
      </c>
      <c r="E77" s="118"/>
      <c r="F77" s="118"/>
      <c r="G77" s="118"/>
      <c r="H77" s="118"/>
      <c r="I77" s="118"/>
      <c r="J77" s="120"/>
    </row>
    <row r="78" spans="2:10" x14ac:dyDescent="0.2">
      <c r="B78" s="66"/>
      <c r="C78" s="69"/>
      <c r="D78" s="118"/>
      <c r="E78" s="118"/>
      <c r="F78" s="118"/>
      <c r="G78" s="118"/>
      <c r="H78" s="118"/>
      <c r="I78" s="118"/>
      <c r="J78" s="120"/>
    </row>
    <row r="79" spans="2:10" ht="48" customHeight="1" x14ac:dyDescent="0.2">
      <c r="B79" s="66"/>
      <c r="C79" s="69"/>
      <c r="D79" s="118"/>
      <c r="E79" s="118"/>
      <c r="F79" s="118"/>
      <c r="G79" s="118"/>
      <c r="H79" s="118"/>
      <c r="I79" s="118"/>
      <c r="J79" s="120"/>
    </row>
    <row r="80" spans="2:10" x14ac:dyDescent="0.2">
      <c r="B80" s="66"/>
      <c r="C80" s="67" t="s">
        <v>56</v>
      </c>
      <c r="D80" s="68" t="s">
        <v>92</v>
      </c>
      <c r="E80" s="63"/>
      <c r="F80" s="63"/>
      <c r="G80" s="63"/>
      <c r="H80" s="63"/>
      <c r="I80" s="65"/>
      <c r="J80" s="65"/>
    </row>
    <row r="81" spans="2:10" x14ac:dyDescent="0.2">
      <c r="B81" s="66"/>
      <c r="C81" s="67" t="s">
        <v>57</v>
      </c>
      <c r="D81" s="68" t="s">
        <v>93</v>
      </c>
      <c r="E81" s="63"/>
      <c r="F81" s="63"/>
      <c r="G81" s="63"/>
      <c r="H81" s="63"/>
      <c r="I81" s="65"/>
      <c r="J81" s="65"/>
    </row>
    <row r="82" spans="2:10" ht="13.5" thickBot="1" x14ac:dyDescent="0.25">
      <c r="B82" s="70"/>
      <c r="C82" s="71" t="s">
        <v>51</v>
      </c>
      <c r="D82" s="72"/>
      <c r="E82" s="72"/>
      <c r="F82" s="72"/>
      <c r="G82" s="72"/>
      <c r="H82" s="72"/>
      <c r="I82" s="73"/>
      <c r="J82" s="73"/>
    </row>
    <row r="83" spans="2:10" ht="13.5" thickBot="1" x14ac:dyDescent="0.25"/>
    <row r="84" spans="2:10" x14ac:dyDescent="0.2">
      <c r="B84" s="60"/>
      <c r="C84" s="61"/>
      <c r="D84" s="61"/>
      <c r="E84" s="61"/>
      <c r="F84" s="61"/>
      <c r="G84" s="61"/>
      <c r="H84" s="61"/>
      <c r="I84" s="62"/>
      <c r="J84" s="62"/>
    </row>
    <row r="85" spans="2:10" x14ac:dyDescent="0.2">
      <c r="B85" s="64" t="s">
        <v>96</v>
      </c>
      <c r="C85" s="63"/>
      <c r="D85" s="63"/>
      <c r="E85" s="63"/>
      <c r="F85" s="63"/>
      <c r="G85" s="63"/>
      <c r="H85" s="63"/>
      <c r="I85" s="65"/>
      <c r="J85" s="65"/>
    </row>
    <row r="86" spans="2:10" x14ac:dyDescent="0.2">
      <c r="B86" s="66"/>
      <c r="C86" s="63"/>
      <c r="D86" s="63"/>
      <c r="E86" s="63"/>
      <c r="F86" s="63"/>
      <c r="G86" s="63"/>
      <c r="H86" s="63"/>
      <c r="I86" s="65"/>
      <c r="J86" s="65"/>
    </row>
    <row r="87" spans="2:10" x14ac:dyDescent="0.2">
      <c r="B87" s="66"/>
      <c r="C87" s="67" t="s">
        <v>49</v>
      </c>
      <c r="D87" s="63"/>
      <c r="E87" s="63"/>
      <c r="F87" s="63"/>
      <c r="G87" s="63"/>
      <c r="H87" s="63"/>
      <c r="I87" s="65"/>
      <c r="J87" s="65"/>
    </row>
    <row r="88" spans="2:10" x14ac:dyDescent="0.2">
      <c r="B88" s="66"/>
      <c r="C88" s="63"/>
      <c r="D88" s="118" t="s">
        <v>104</v>
      </c>
      <c r="E88" s="118"/>
      <c r="F88" s="118"/>
      <c r="G88" s="118"/>
      <c r="H88" s="118"/>
      <c r="I88" s="118"/>
      <c r="J88" s="120"/>
    </row>
    <row r="89" spans="2:10" x14ac:dyDescent="0.2">
      <c r="B89" s="66"/>
      <c r="C89" s="63"/>
      <c r="D89" s="118"/>
      <c r="E89" s="118"/>
      <c r="F89" s="118"/>
      <c r="G89" s="118"/>
      <c r="H89" s="118"/>
      <c r="I89" s="118"/>
      <c r="J89" s="120"/>
    </row>
    <row r="90" spans="2:10" ht="4.5" hidden="1" customHeight="1" x14ac:dyDescent="0.2">
      <c r="B90" s="66"/>
      <c r="C90" s="67"/>
      <c r="D90" s="118"/>
      <c r="E90" s="118"/>
      <c r="F90" s="118"/>
      <c r="G90" s="118"/>
      <c r="H90" s="118"/>
      <c r="I90" s="118"/>
      <c r="J90" s="120"/>
    </row>
    <row r="91" spans="2:10" x14ac:dyDescent="0.2">
      <c r="B91" s="66"/>
      <c r="C91" s="63"/>
      <c r="D91" s="68"/>
      <c r="E91" s="63"/>
      <c r="F91" s="63"/>
      <c r="G91" s="63"/>
      <c r="H91" s="63"/>
      <c r="I91" s="65"/>
      <c r="J91" s="65"/>
    </row>
    <row r="92" spans="2:10" x14ac:dyDescent="0.2">
      <c r="B92" s="66"/>
      <c r="C92" s="67" t="s">
        <v>50</v>
      </c>
      <c r="D92" s="63"/>
      <c r="E92" s="63"/>
      <c r="F92" s="63"/>
      <c r="G92" s="63"/>
      <c r="H92" s="63"/>
      <c r="I92" s="65"/>
      <c r="J92" s="65"/>
    </row>
    <row r="93" spans="2:10" x14ac:dyDescent="0.2">
      <c r="B93" s="66"/>
      <c r="C93" s="69"/>
      <c r="D93" s="118" t="s">
        <v>109</v>
      </c>
      <c r="E93" s="118"/>
      <c r="F93" s="118"/>
      <c r="G93" s="118"/>
      <c r="H93" s="118"/>
      <c r="I93" s="118"/>
      <c r="J93" s="120"/>
    </row>
    <row r="94" spans="2:10" x14ac:dyDescent="0.2">
      <c r="B94" s="66"/>
      <c r="C94" s="69"/>
      <c r="D94" s="118"/>
      <c r="E94" s="118"/>
      <c r="F94" s="118"/>
      <c r="G94" s="118"/>
      <c r="H94" s="118"/>
      <c r="I94" s="118"/>
      <c r="J94" s="120"/>
    </row>
    <row r="95" spans="2:10" ht="48" customHeight="1" x14ac:dyDescent="0.2">
      <c r="B95" s="66"/>
      <c r="C95" s="69"/>
      <c r="D95" s="118"/>
      <c r="E95" s="118"/>
      <c r="F95" s="118"/>
      <c r="G95" s="118"/>
      <c r="H95" s="118"/>
      <c r="I95" s="118"/>
      <c r="J95" s="120"/>
    </row>
    <row r="96" spans="2:10" x14ac:dyDescent="0.2">
      <c r="B96" s="66"/>
      <c r="C96" s="67" t="s">
        <v>56</v>
      </c>
      <c r="D96" s="68" t="s">
        <v>92</v>
      </c>
      <c r="E96" s="63"/>
      <c r="F96" s="63"/>
      <c r="G96" s="63"/>
      <c r="H96" s="63"/>
      <c r="I96" s="65"/>
      <c r="J96" s="65"/>
    </row>
    <row r="97" spans="2:10" x14ac:dyDescent="0.2">
      <c r="B97" s="66"/>
      <c r="C97" s="67" t="s">
        <v>57</v>
      </c>
      <c r="D97" s="68" t="s">
        <v>93</v>
      </c>
      <c r="E97" s="63"/>
      <c r="F97" s="63"/>
      <c r="G97" s="63"/>
      <c r="H97" s="63"/>
      <c r="I97" s="65"/>
      <c r="J97" s="65"/>
    </row>
    <row r="98" spans="2:10" ht="13.5" thickBot="1" x14ac:dyDescent="0.25">
      <c r="B98" s="70"/>
      <c r="C98" s="71" t="s">
        <v>51</v>
      </c>
      <c r="D98" s="72"/>
      <c r="E98" s="72"/>
      <c r="F98" s="72"/>
      <c r="G98" s="72"/>
      <c r="H98" s="72"/>
      <c r="I98" s="73"/>
      <c r="J98" s="73"/>
    </row>
  </sheetData>
  <mergeCells count="12">
    <mergeCell ref="D61:J62"/>
    <mergeCell ref="D72:J75"/>
    <mergeCell ref="D77:J79"/>
    <mergeCell ref="D93:J95"/>
    <mergeCell ref="D88:J90"/>
    <mergeCell ref="D56:H57"/>
    <mergeCell ref="B2:I2"/>
    <mergeCell ref="D29:J30"/>
    <mergeCell ref="D23:J24"/>
    <mergeCell ref="D45:J46"/>
    <mergeCell ref="D40:J43"/>
    <mergeCell ref="D32:E32"/>
  </mergeCells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zoomScaleNormal="100" workbookViewId="0">
      <selection activeCell="C17" sqref="C17:G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128" t="s">
        <v>2</v>
      </c>
      <c r="B3" s="128"/>
      <c r="C3" s="128"/>
      <c r="D3" s="129" t="s">
        <v>62</v>
      </c>
      <c r="E3" s="130"/>
      <c r="F3" s="130"/>
      <c r="G3" s="130"/>
      <c r="H3" s="130"/>
      <c r="I3" s="130"/>
      <c r="J3" s="130"/>
      <c r="K3" s="131"/>
    </row>
    <row r="4" spans="1:11" ht="18.75" customHeight="1" thickBot="1" x14ac:dyDescent="0.25">
      <c r="A4" s="132" t="s">
        <v>3</v>
      </c>
      <c r="B4" s="132"/>
      <c r="C4" s="132"/>
      <c r="D4" s="129" t="s">
        <v>60</v>
      </c>
      <c r="E4" s="130"/>
      <c r="F4" s="130"/>
      <c r="G4" s="130"/>
      <c r="H4" s="130"/>
      <c r="I4" s="130"/>
      <c r="J4" s="130"/>
      <c r="K4" s="131"/>
    </row>
    <row r="5" spans="1:11" ht="18.75" customHeight="1" thickBot="1" x14ac:dyDescent="0.25">
      <c r="A5" s="132" t="s">
        <v>4</v>
      </c>
      <c r="B5" s="132"/>
      <c r="C5" s="132"/>
      <c r="D5" s="129" t="s">
        <v>61</v>
      </c>
      <c r="E5" s="130"/>
      <c r="F5" s="130"/>
      <c r="G5" s="130"/>
      <c r="H5" s="130"/>
      <c r="I5" s="130"/>
      <c r="J5" s="130"/>
      <c r="K5" s="131"/>
    </row>
    <row r="6" spans="1:11" ht="16.5" customHeight="1" thickBot="1" x14ac:dyDescent="0.25">
      <c r="A6" s="128" t="s">
        <v>5</v>
      </c>
      <c r="B6" s="128"/>
      <c r="C6" s="128"/>
      <c r="D6" s="129" t="s">
        <v>61</v>
      </c>
      <c r="E6" s="130"/>
      <c r="F6" s="130"/>
      <c r="G6" s="130"/>
      <c r="H6" s="130"/>
      <c r="I6" s="130"/>
      <c r="J6" s="130"/>
      <c r="K6" s="131"/>
    </row>
    <row r="7" spans="1:11" ht="16.5" customHeight="1" thickBot="1" x14ac:dyDescent="0.25">
      <c r="A7" s="132" t="s">
        <v>6</v>
      </c>
      <c r="B7" s="132"/>
      <c r="C7" s="132"/>
      <c r="D7" s="133" t="s">
        <v>79</v>
      </c>
      <c r="E7" s="133"/>
      <c r="F7" s="133"/>
      <c r="G7" s="133"/>
      <c r="H7" s="133"/>
      <c r="I7" s="133"/>
      <c r="J7" s="133"/>
      <c r="K7" s="133"/>
    </row>
    <row r="8" spans="1:11" ht="40.5" customHeight="1" thickBot="1" x14ac:dyDescent="0.25">
      <c r="A8" s="139" t="s">
        <v>7</v>
      </c>
      <c r="B8" s="139"/>
      <c r="C8" s="139"/>
      <c r="D8" s="140" t="s">
        <v>84</v>
      </c>
      <c r="E8" s="141"/>
      <c r="F8" s="141"/>
      <c r="G8" s="141"/>
      <c r="H8" s="141"/>
      <c r="I8" s="141"/>
      <c r="J8" s="141"/>
      <c r="K8" s="142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43" t="s">
        <v>8</v>
      </c>
      <c r="B10" s="144" t="s">
        <v>9</v>
      </c>
      <c r="C10" s="145" t="s">
        <v>10</v>
      </c>
      <c r="D10" s="146"/>
      <c r="E10" s="146"/>
      <c r="F10" s="146"/>
      <c r="G10" s="146"/>
      <c r="H10" s="146" t="s">
        <v>11</v>
      </c>
      <c r="I10" s="146" t="s">
        <v>12</v>
      </c>
      <c r="J10" s="146" t="s">
        <v>13</v>
      </c>
      <c r="K10" s="147" t="s">
        <v>14</v>
      </c>
    </row>
    <row r="11" spans="1:11" ht="24" customHeight="1" thickBot="1" x14ac:dyDescent="0.25">
      <c r="A11" s="143"/>
      <c r="B11" s="144"/>
      <c r="C11" s="145"/>
      <c r="D11" s="146"/>
      <c r="E11" s="146"/>
      <c r="F11" s="146"/>
      <c r="G11" s="146"/>
      <c r="H11" s="146"/>
      <c r="I11" s="146"/>
      <c r="J11" s="146"/>
      <c r="K11" s="147"/>
    </row>
    <row r="12" spans="1:11" ht="15.75" thickBot="1" x14ac:dyDescent="0.25">
      <c r="A12" s="75">
        <v>1</v>
      </c>
      <c r="B12" s="82" t="s">
        <v>91</v>
      </c>
      <c r="C12" s="124" t="s">
        <v>65</v>
      </c>
      <c r="D12" s="125"/>
      <c r="E12" s="125"/>
      <c r="F12" s="125"/>
      <c r="G12" s="126"/>
      <c r="H12" s="47" t="s">
        <v>78</v>
      </c>
      <c r="I12" s="50" t="s">
        <v>64</v>
      </c>
      <c r="J12" s="81">
        <v>1815</v>
      </c>
      <c r="K12" s="80">
        <v>2000</v>
      </c>
    </row>
    <row r="13" spans="1:11" ht="25.5" customHeight="1" thickBot="1" x14ac:dyDescent="0.25">
      <c r="A13" s="75">
        <v>2</v>
      </c>
      <c r="B13" s="82" t="s">
        <v>71</v>
      </c>
      <c r="C13" s="134" t="s">
        <v>72</v>
      </c>
      <c r="D13" s="135"/>
      <c r="E13" s="135"/>
      <c r="F13" s="135"/>
      <c r="G13" s="136"/>
      <c r="H13" s="47" t="s">
        <v>78</v>
      </c>
      <c r="I13" s="50" t="s">
        <v>64</v>
      </c>
      <c r="J13" s="117">
        <v>9200</v>
      </c>
      <c r="K13" s="75">
        <v>400</v>
      </c>
    </row>
    <row r="14" spans="1:11" ht="15.75" customHeight="1" thickBot="1" x14ac:dyDescent="0.25">
      <c r="A14" s="75">
        <v>3</v>
      </c>
      <c r="B14" s="85" t="s">
        <v>74</v>
      </c>
      <c r="C14" s="134" t="s">
        <v>73</v>
      </c>
      <c r="D14" s="135"/>
      <c r="E14" s="135"/>
      <c r="F14" s="135"/>
      <c r="G14" s="136"/>
      <c r="H14" s="47" t="s">
        <v>78</v>
      </c>
      <c r="I14" s="50" t="s">
        <v>64</v>
      </c>
      <c r="J14" s="89">
        <v>380</v>
      </c>
      <c r="K14" s="85">
        <v>2000</v>
      </c>
    </row>
    <row r="15" spans="1:11" ht="36" customHeight="1" thickBot="1" x14ac:dyDescent="0.25">
      <c r="A15" s="75">
        <v>4</v>
      </c>
      <c r="B15" s="84" t="s">
        <v>99</v>
      </c>
      <c r="C15" s="134" t="s">
        <v>100</v>
      </c>
      <c r="D15" s="135"/>
      <c r="E15" s="135"/>
      <c r="F15" s="135"/>
      <c r="G15" s="136"/>
      <c r="H15" s="47" t="s">
        <v>78</v>
      </c>
      <c r="I15" s="50" t="s">
        <v>86</v>
      </c>
      <c r="J15" s="97">
        <v>39500</v>
      </c>
      <c r="K15" s="96">
        <v>10</v>
      </c>
    </row>
    <row r="16" spans="1:11" ht="19.5" customHeight="1" thickBot="1" x14ac:dyDescent="0.25">
      <c r="A16" s="75">
        <v>5</v>
      </c>
      <c r="B16" s="106" t="s">
        <v>75</v>
      </c>
      <c r="C16" s="134" t="s">
        <v>76</v>
      </c>
      <c r="D16" s="135"/>
      <c r="E16" s="135"/>
      <c r="F16" s="135"/>
      <c r="G16" s="136"/>
      <c r="H16" s="47" t="s">
        <v>78</v>
      </c>
      <c r="I16" s="50" t="s">
        <v>64</v>
      </c>
      <c r="J16" s="107">
        <v>4200</v>
      </c>
      <c r="K16" s="106">
        <v>375</v>
      </c>
    </row>
    <row r="17" spans="1:11" ht="29.25" customHeight="1" thickBot="1" x14ac:dyDescent="0.25">
      <c r="A17" s="75">
        <v>6</v>
      </c>
      <c r="B17" s="95" t="s">
        <v>90</v>
      </c>
      <c r="C17" s="134" t="s">
        <v>87</v>
      </c>
      <c r="D17" s="135"/>
      <c r="E17" s="135"/>
      <c r="F17" s="135"/>
      <c r="G17" s="136"/>
      <c r="H17" s="47" t="s">
        <v>78</v>
      </c>
      <c r="I17" s="50" t="s">
        <v>64</v>
      </c>
      <c r="J17" s="104">
        <v>4900</v>
      </c>
      <c r="K17" s="84">
        <v>300</v>
      </c>
    </row>
    <row r="18" spans="1:11" ht="19.5" thickBot="1" x14ac:dyDescent="0.25">
      <c r="A18" s="137" t="s">
        <v>85</v>
      </c>
      <c r="B18" s="137"/>
      <c r="C18" s="137"/>
      <c r="D18" s="137"/>
      <c r="E18" s="137"/>
      <c r="F18" s="137"/>
      <c r="G18" s="137"/>
      <c r="H18" s="137"/>
      <c r="I18" s="137"/>
      <c r="J18" s="138">
        <v>11510000</v>
      </c>
      <c r="K18" s="138"/>
    </row>
  </sheetData>
  <mergeCells count="28">
    <mergeCell ref="C13:G13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6:G16"/>
    <mergeCell ref="C14:G14"/>
    <mergeCell ref="C15:G15"/>
    <mergeCell ref="C12:G12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"/>
  <sheetViews>
    <sheetView topLeftCell="A7" zoomScale="110" zoomScaleNormal="110" workbookViewId="0">
      <selection activeCell="T23" sqref="T23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15</v>
      </c>
      <c r="B1" s="148"/>
      <c r="C1" s="148"/>
      <c r="D1" s="149">
        <v>2022</v>
      </c>
      <c r="E1" s="149"/>
      <c r="F1" s="13"/>
      <c r="G1" s="13"/>
      <c r="H1" s="14"/>
      <c r="I1" s="14"/>
      <c r="J1" s="14"/>
      <c r="K1" s="14"/>
      <c r="L1" s="14"/>
      <c r="M1" s="14"/>
      <c r="N1" s="14"/>
      <c r="O1" s="15"/>
      <c r="P1" s="150" t="s">
        <v>16</v>
      </c>
      <c r="Q1" s="150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50"/>
      <c r="Q2" s="150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x14ac:dyDescent="0.2">
      <c r="A4" s="151" t="s">
        <v>17</v>
      </c>
      <c r="B4" s="151"/>
      <c r="C4" s="151"/>
      <c r="D4" s="151"/>
      <c r="E4" s="151"/>
      <c r="F4" s="151"/>
      <c r="G4" s="152" t="s">
        <v>59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21" customFormat="1" ht="18" customHeight="1" x14ac:dyDescent="0.2">
      <c r="A5" s="153" t="s">
        <v>3</v>
      </c>
      <c r="B5" s="153"/>
      <c r="C5" s="153"/>
      <c r="D5" s="153"/>
      <c r="E5" s="153"/>
      <c r="F5" s="153"/>
      <c r="G5" s="152" t="s">
        <v>60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21" customFormat="1" ht="18" customHeight="1" x14ac:dyDescent="0.2">
      <c r="A6" s="153" t="s">
        <v>4</v>
      </c>
      <c r="B6" s="153"/>
      <c r="C6" s="153"/>
      <c r="D6" s="153"/>
      <c r="E6" s="153"/>
      <c r="F6" s="153"/>
      <c r="G6" s="152" t="s">
        <v>61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21" customFormat="1" ht="22.5" customHeight="1" x14ac:dyDescent="0.2">
      <c r="A7" s="153" t="s">
        <v>5</v>
      </c>
      <c r="B7" s="153"/>
      <c r="C7" s="153"/>
      <c r="D7" s="153"/>
      <c r="E7" s="153"/>
      <c r="F7" s="153"/>
      <c r="G7" s="152" t="s">
        <v>61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x14ac:dyDescent="0.2">
      <c r="A8" s="154" t="s">
        <v>18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</row>
    <row r="9" spans="1:17" ht="18" customHeight="1" x14ac:dyDescent="0.2">
      <c r="A9" s="155" t="s">
        <v>19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</row>
    <row r="10" spans="1:17" ht="66" customHeight="1" x14ac:dyDescent="0.2">
      <c r="A10" s="156" t="s">
        <v>63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57" t="s">
        <v>20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x14ac:dyDescent="0.2">
      <c r="A13" s="158" t="s">
        <v>21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9" t="s">
        <v>22</v>
      </c>
      <c r="P13" s="159"/>
      <c r="Q13" s="160" t="s">
        <v>23</v>
      </c>
    </row>
    <row r="14" spans="1:17" ht="15.75" customHeight="1" thickBot="1" x14ac:dyDescent="0.25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59"/>
      <c r="P14" s="159"/>
      <c r="Q14" s="160"/>
    </row>
    <row r="15" spans="1:17" s="48" customFormat="1" ht="22.5" customHeight="1" x14ac:dyDescent="0.2">
      <c r="A15" s="56">
        <v>3</v>
      </c>
      <c r="B15" s="57">
        <v>0</v>
      </c>
      <c r="C15" s="57">
        <v>0</v>
      </c>
      <c r="D15" s="57">
        <v>1</v>
      </c>
      <c r="E15" s="57">
        <v>0</v>
      </c>
      <c r="F15" s="57">
        <v>4901</v>
      </c>
      <c r="G15" s="57">
        <v>1</v>
      </c>
      <c r="H15" s="57">
        <v>3</v>
      </c>
      <c r="I15" s="57">
        <v>2</v>
      </c>
      <c r="J15" s="57">
        <v>1</v>
      </c>
      <c r="K15" s="57">
        <v>4</v>
      </c>
      <c r="L15" s="57">
        <v>0</v>
      </c>
      <c r="M15" s="58">
        <v>1</v>
      </c>
      <c r="N15" s="57" t="s">
        <v>38</v>
      </c>
      <c r="O15" s="162" t="s">
        <v>80</v>
      </c>
      <c r="P15" s="162"/>
      <c r="Q15" s="55">
        <v>4060220</v>
      </c>
    </row>
    <row r="16" spans="1:17" s="48" customFormat="1" ht="22.5" customHeight="1" x14ac:dyDescent="0.2">
      <c r="A16" s="114">
        <v>1</v>
      </c>
      <c r="B16" s="115">
        <v>0</v>
      </c>
      <c r="C16" s="115">
        <v>0</v>
      </c>
      <c r="D16" s="115">
        <v>1</v>
      </c>
      <c r="E16" s="115">
        <v>0</v>
      </c>
      <c r="F16" s="115">
        <v>4901</v>
      </c>
      <c r="G16" s="115">
        <v>1</v>
      </c>
      <c r="H16" s="115">
        <v>3</v>
      </c>
      <c r="I16" s="115">
        <v>2</v>
      </c>
      <c r="J16" s="115">
        <v>1</v>
      </c>
      <c r="K16" s="115">
        <v>4</v>
      </c>
      <c r="L16" s="115">
        <v>0</v>
      </c>
      <c r="M16" s="116">
        <v>1</v>
      </c>
      <c r="N16" s="115" t="s">
        <v>38</v>
      </c>
      <c r="O16" s="162" t="s">
        <v>80</v>
      </c>
      <c r="P16" s="162"/>
      <c r="Q16" s="55">
        <v>3374780</v>
      </c>
    </row>
    <row r="17" spans="1:18" ht="17.25" customHeight="1" x14ac:dyDescent="0.2">
      <c r="A17" s="31">
        <v>3</v>
      </c>
      <c r="B17" s="32">
        <v>0</v>
      </c>
      <c r="C17" s="32">
        <v>0</v>
      </c>
      <c r="D17" s="32">
        <v>1</v>
      </c>
      <c r="E17" s="32">
        <v>0</v>
      </c>
      <c r="F17" s="32">
        <v>4901</v>
      </c>
      <c r="G17" s="32">
        <v>1</v>
      </c>
      <c r="H17" s="32">
        <v>3</v>
      </c>
      <c r="I17" s="32">
        <v>2</v>
      </c>
      <c r="J17" s="32">
        <v>5</v>
      </c>
      <c r="K17" s="32">
        <v>3</v>
      </c>
      <c r="L17" s="32">
        <v>0</v>
      </c>
      <c r="M17" s="33">
        <v>1</v>
      </c>
      <c r="N17" s="34" t="s">
        <v>38</v>
      </c>
      <c r="O17" s="163" t="s">
        <v>81</v>
      </c>
      <c r="P17" s="163"/>
      <c r="Q17" s="35">
        <v>3680000</v>
      </c>
    </row>
    <row r="18" spans="1:18" ht="17.25" customHeight="1" x14ac:dyDescent="0.2">
      <c r="A18" s="31">
        <v>1</v>
      </c>
      <c r="B18" s="32">
        <v>0</v>
      </c>
      <c r="C18" s="32">
        <v>0</v>
      </c>
      <c r="D18" s="32">
        <v>1</v>
      </c>
      <c r="E18" s="32">
        <v>0</v>
      </c>
      <c r="F18" s="32">
        <v>4901</v>
      </c>
      <c r="G18" s="32">
        <v>1</v>
      </c>
      <c r="H18" s="32">
        <v>3</v>
      </c>
      <c r="I18" s="32">
        <v>2</v>
      </c>
      <c r="J18" s="32">
        <v>5</v>
      </c>
      <c r="K18" s="32">
        <v>4</v>
      </c>
      <c r="L18" s="32">
        <v>0</v>
      </c>
      <c r="M18" s="33">
        <v>1</v>
      </c>
      <c r="N18" s="113" t="s">
        <v>38</v>
      </c>
      <c r="O18" s="163" t="s">
        <v>82</v>
      </c>
      <c r="P18" s="163"/>
      <c r="Q18" s="35">
        <v>395000</v>
      </c>
    </row>
    <row r="19" spans="1:18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61"/>
      <c r="P19" s="161"/>
      <c r="Q19" s="35"/>
    </row>
    <row r="20" spans="1:18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61"/>
      <c r="P20" s="161"/>
      <c r="Q20" s="35"/>
    </row>
    <row r="21" spans="1:18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61"/>
      <c r="P21" s="161"/>
      <c r="Q21" s="35"/>
    </row>
    <row r="22" spans="1:18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61"/>
      <c r="P22" s="161"/>
      <c r="Q22" s="35"/>
    </row>
    <row r="23" spans="1:18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61"/>
      <c r="P23" s="161"/>
      <c r="Q23" s="35"/>
    </row>
    <row r="24" spans="1:18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61"/>
      <c r="P24" s="161"/>
      <c r="Q24" s="35"/>
    </row>
    <row r="25" spans="1:18" ht="17.25" customHeight="1" x14ac:dyDescent="0.2">
      <c r="A25" s="31"/>
      <c r="B25" s="32"/>
      <c r="C25" s="32"/>
      <c r="D25" s="32"/>
      <c r="E25" s="32"/>
      <c r="F25" s="34"/>
      <c r="G25" s="32"/>
      <c r="H25" s="32"/>
      <c r="I25" s="32"/>
      <c r="J25" s="32"/>
      <c r="K25" s="32"/>
      <c r="L25" s="32"/>
      <c r="M25" s="33"/>
      <c r="N25" s="34"/>
      <c r="O25" s="167"/>
      <c r="P25" s="167"/>
      <c r="Q25" s="35"/>
    </row>
    <row r="26" spans="1:18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67"/>
      <c r="P26" s="167"/>
      <c r="Q26" s="35"/>
    </row>
    <row r="27" spans="1:18" ht="17.25" customHeight="1" x14ac:dyDescent="0.2">
      <c r="A27" s="31"/>
      <c r="B27" s="32"/>
      <c r="C27" s="32"/>
      <c r="D27" s="32"/>
      <c r="E27" s="32"/>
      <c r="F27" s="34"/>
      <c r="G27" s="32"/>
      <c r="H27" s="32"/>
      <c r="I27" s="32"/>
      <c r="J27" s="32"/>
      <c r="K27" s="32"/>
      <c r="L27" s="32"/>
      <c r="M27" s="33"/>
      <c r="N27" s="34"/>
      <c r="O27" s="167"/>
      <c r="P27" s="167"/>
      <c r="Q27" s="35"/>
    </row>
    <row r="28" spans="1:18" ht="17.25" customHeight="1" x14ac:dyDescent="0.2">
      <c r="A28" s="31"/>
      <c r="B28" s="32"/>
      <c r="C28" s="32"/>
      <c r="D28" s="32"/>
      <c r="E28" s="32"/>
      <c r="F28" s="34"/>
      <c r="G28" s="32"/>
      <c r="H28" s="32"/>
      <c r="I28" s="32"/>
      <c r="J28" s="32"/>
      <c r="K28" s="32"/>
      <c r="L28" s="32"/>
      <c r="M28" s="33"/>
      <c r="N28" s="34"/>
      <c r="O28" s="167"/>
      <c r="P28" s="167"/>
      <c r="Q28" s="35"/>
    </row>
    <row r="29" spans="1:18" ht="17.25" customHeight="1" x14ac:dyDescent="0.2">
      <c r="A29" s="36"/>
      <c r="B29" s="37"/>
      <c r="C29" s="37"/>
      <c r="D29" s="37"/>
      <c r="E29" s="37"/>
      <c r="F29" s="38"/>
      <c r="G29" s="37"/>
      <c r="H29" s="37"/>
      <c r="I29" s="37"/>
      <c r="J29" s="37"/>
      <c r="K29" s="37"/>
      <c r="L29" s="37"/>
      <c r="M29" s="39"/>
      <c r="N29" s="40"/>
      <c r="O29" s="168"/>
      <c r="P29" s="168"/>
      <c r="Q29" s="35"/>
      <c r="R29" s="17"/>
    </row>
    <row r="30" spans="1:18" ht="17.25" customHeight="1" x14ac:dyDescent="0.2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  <c r="N30" s="42"/>
      <c r="O30" s="169"/>
      <c r="P30" s="169"/>
      <c r="Q30" s="44"/>
    </row>
    <row r="31" spans="1:18" ht="20.25" customHeight="1" x14ac:dyDescent="0.2">
      <c r="A31" s="170" t="s">
        <v>83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45">
        <f>SUM(Q15:Q30)</f>
        <v>11510000</v>
      </c>
    </row>
    <row r="32" spans="1:18" ht="18" customHeight="1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</row>
    <row r="33" spans="1:17" ht="17.25" customHeight="1" x14ac:dyDescent="0.2">
      <c r="A33" s="164" t="s">
        <v>37</v>
      </c>
      <c r="B33" s="164"/>
      <c r="C33" s="164"/>
      <c r="D33" s="164"/>
      <c r="E33" s="164"/>
      <c r="F33" s="164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</row>
    <row r="34" spans="1:17" s="74" customFormat="1" ht="18" customHeight="1" x14ac:dyDescent="0.2">
      <c r="A34" s="166" t="s">
        <v>84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</row>
    <row r="35" spans="1:17" s="74" customFormat="1" ht="63.75" customHeight="1" x14ac:dyDescent="0.2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</row>
  </sheetData>
  <mergeCells count="39">
    <mergeCell ref="O23:P23"/>
    <mergeCell ref="O24:P24"/>
    <mergeCell ref="O25:P25"/>
    <mergeCell ref="O26:P26"/>
    <mergeCell ref="O27:P27"/>
    <mergeCell ref="A33:F33"/>
    <mergeCell ref="G33:Q33"/>
    <mergeCell ref="A34:Q35"/>
    <mergeCell ref="O28:P28"/>
    <mergeCell ref="O29:P29"/>
    <mergeCell ref="O30:P30"/>
    <mergeCell ref="A31:P31"/>
    <mergeCell ref="A32:Q32"/>
    <mergeCell ref="O19:P19"/>
    <mergeCell ref="O20:P20"/>
    <mergeCell ref="O21:P21"/>
    <mergeCell ref="O22:P22"/>
    <mergeCell ref="O15:P15"/>
    <mergeCell ref="O17:P17"/>
    <mergeCell ref="O18:P18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2022-02-11T13:34:44Z</cp:lastPrinted>
  <dcterms:created xsi:type="dcterms:W3CDTF">2020-07-17T23:44:49Z</dcterms:created>
  <dcterms:modified xsi:type="dcterms:W3CDTF">2022-08-19T12:31:45Z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