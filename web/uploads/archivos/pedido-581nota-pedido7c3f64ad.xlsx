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7520" windowHeight="11760" tabRatio="500" activeTab="2"/>
  </bookViews>
  <sheets>
    <sheet name="Necesidades Trimestrales (2)" sheetId="4" r:id="rId1"/>
    <sheet name=" NotaPedido" sheetId="2" r:id="rId2"/>
    <sheet name="Autor Gastar" sheetId="3" r:id="rId3"/>
  </sheets>
  <definedNames>
    <definedName name="_xlnm.Print_Area" localSheetId="1">' NotaPedido'!$A$1:$K$25</definedName>
    <definedName name="_xlnm.Print_Area" localSheetId="2">'Autor Gastar'!$A$1:$Q$26</definedName>
    <definedName name="_xlnm.Print_Area" localSheetId="0">'Necesidades Trimestrales (2)'!$A$1:$I$23</definedName>
  </definedNames>
  <calcPr calcId="145621"/>
</workbook>
</file>

<file path=xl/calcChain.xml><?xml version="1.0" encoding="utf-8"?>
<calcChain xmlns="http://schemas.openxmlformats.org/spreadsheetml/2006/main">
  <c r="C13" i="2" l="1"/>
  <c r="C14" i="2"/>
  <c r="C15" i="2"/>
  <c r="C16" i="2"/>
  <c r="C17" i="2"/>
  <c r="C18" i="2"/>
  <c r="C19" i="2"/>
  <c r="C20" i="2"/>
  <c r="C21" i="2"/>
  <c r="C22" i="2"/>
  <c r="C23" i="2"/>
  <c r="C24" i="2"/>
  <c r="C12" i="2"/>
  <c r="J13" i="2"/>
  <c r="J14" i="2"/>
  <c r="J15" i="2"/>
  <c r="J16" i="2"/>
  <c r="J17" i="2"/>
  <c r="J18" i="2"/>
  <c r="J19" i="2"/>
  <c r="J20" i="2"/>
  <c r="J21" i="2"/>
  <c r="J22" i="2"/>
  <c r="J23" i="2"/>
  <c r="J24" i="2"/>
  <c r="K13" i="2"/>
  <c r="K14" i="2"/>
  <c r="K15" i="2"/>
  <c r="K16" i="2"/>
  <c r="K17" i="2"/>
  <c r="K18" i="2"/>
  <c r="K19" i="2"/>
  <c r="K20" i="2"/>
  <c r="K21" i="2"/>
  <c r="K22" i="2"/>
  <c r="K23" i="2"/>
  <c r="K24" i="2"/>
  <c r="B14" i="2"/>
  <c r="B15" i="2"/>
  <c r="B16" i="2"/>
  <c r="B17" i="2"/>
  <c r="B18" i="2"/>
  <c r="B19" i="2"/>
  <c r="B20" i="2"/>
  <c r="B21" i="2"/>
  <c r="B22" i="2"/>
  <c r="B23" i="2"/>
  <c r="B24" i="2"/>
  <c r="I12" i="4"/>
  <c r="D12" i="4"/>
  <c r="K12" i="2" l="1"/>
  <c r="J12" i="2"/>
  <c r="B13" i="2"/>
  <c r="B12" i="2"/>
  <c r="I22" i="4"/>
  <c r="D22" i="4"/>
  <c r="I21" i="4"/>
  <c r="D21" i="4"/>
  <c r="I20" i="4"/>
  <c r="D20" i="4"/>
  <c r="I19" i="4"/>
  <c r="D19" i="4"/>
  <c r="I18" i="4"/>
  <c r="D18" i="4"/>
  <c r="I17" i="4"/>
  <c r="D17" i="4"/>
  <c r="I16" i="4"/>
  <c r="D16" i="4"/>
  <c r="I15" i="4"/>
  <c r="D15" i="4"/>
  <c r="I14" i="4"/>
  <c r="D14" i="4"/>
  <c r="I13" i="4"/>
  <c r="D13" i="4"/>
  <c r="I11" i="4"/>
  <c r="D11" i="4"/>
  <c r="I10" i="4"/>
  <c r="D10" i="4"/>
  <c r="I23" i="4" l="1"/>
  <c r="J25" i="2" l="1"/>
  <c r="Q19" i="3" l="1"/>
  <c r="G4" i="3" l="1"/>
  <c r="G6" i="3" l="1"/>
  <c r="G7" i="3"/>
  <c r="G5" i="3"/>
  <c r="A10" i="3" l="1"/>
</calcChain>
</file>

<file path=xl/sharedStrings.xml><?xml version="1.0" encoding="utf-8"?>
<sst xmlns="http://schemas.openxmlformats.org/spreadsheetml/2006/main" count="318" uniqueCount="118">
  <si>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</si>
  <si>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</si>
  <si>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</si>
  <si>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</si>
  <si>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</si>
  <si>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</si>
  <si>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</si>
  <si>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</si>
  <si>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</si>
  <si>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</si>
  <si>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</si>
  <si>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</si>
  <si>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</si>
  <si>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</si>
  <si>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</si>
  <si>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</si>
  <si>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</si>
  <si>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</si>
  <si>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</si>
  <si>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</si>
  <si>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</si>
  <si>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</si>
  <si>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</si>
  <si>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</si>
  <si>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</si>
  <si>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</si>
  <si>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</si>
  <si>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</si>
  <si>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</si>
  <si>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</si>
  <si>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</si>
  <si>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</si>
  <si>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</si>
  <si>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</si>
  <si>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</si>
  <si>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</si>
  <si>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</si>
  <si>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</si>
  <si>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</si>
  <si>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</si>
  <si>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</si>
  <si>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</si>
  <si>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</si>
  <si>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</si>
  <si>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</si>
  <si>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</si>
  <si>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</si>
  <si>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</si>
  <si>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</si>
  <si>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</si>
  <si>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</si>
  <si>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</si>
  <si>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</si>
  <si>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</si>
  <si>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</si>
  <si>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</si>
  <si>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</si>
  <si>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</si>
  <si>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</si>
  <si>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</si>
  <si>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</si>
  <si>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1.1</t>
  </si>
  <si>
    <t>Garantía del fabricante minima de seis (6) meses.</t>
  </si>
  <si>
    <t>DIRECCION PROVINCIAL DE GESTION ADMINISTRATIVA RECURSOS HUMANOS</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</si>
  <si>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</si>
  <si>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</si>
  <si>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Especificidades Item N° 3:</t>
  </si>
  <si>
    <t>Especificidades Item N° 4:</t>
  </si>
  <si>
    <t>Especificidades Item N° 6:</t>
  </si>
  <si>
    <t>Especificidades Item N° 7:</t>
  </si>
  <si>
    <t>Especificidades Item N° 8:</t>
  </si>
  <si>
    <t>Especificidades Item N° 9:</t>
  </si>
  <si>
    <t>Especificidades Item N° 10:</t>
  </si>
  <si>
    <t>Especificidades Item N° 11:</t>
  </si>
  <si>
    <t>Especificidades Item N° 12:</t>
  </si>
  <si>
    <t>Garantía del fabricante minima de un (1) año.</t>
  </si>
  <si>
    <t>Garantía del fabricante minima de de un (1) año.</t>
  </si>
  <si>
    <t>COMPUTADORAS; TIPO: NOTEBOOK, CODIGO ETAP: PC-008, VERSION ETAP: 22.0</t>
  </si>
  <si>
    <t>2.9.6-401.2378</t>
  </si>
  <si>
    <t>REPUESTOS</t>
  </si>
  <si>
    <t>CARTUCHOS DE TONER; CODIGO: W1105A, USO: HEWLETT PACKARD</t>
  </si>
  <si>
    <t>2.9.6-401.1779</t>
  </si>
  <si>
    <t>CARTUCHOS DE TONER; CODIGO: MLT-D101, USO: SAMSUNG</t>
  </si>
  <si>
    <t>2.9.6-401.2303</t>
  </si>
  <si>
    <t>CARTUCHOS DE TONER; CODIGO: CF410A, USO: HEWLETT PACKARD</t>
  </si>
  <si>
    <t>2.9.6-401.2304</t>
  </si>
  <si>
    <t>CARTUCHOS DE TONER; CODIGO: CF411A, USO: HEWLETT PACKARD</t>
  </si>
  <si>
    <t>2.9.6-401.2305</t>
  </si>
  <si>
    <t>CARTUCHOS DE TONER; CODIGO: CF412A, USO: HEWLETT PACKARD</t>
  </si>
  <si>
    <t>2.9.6-401.2306</t>
  </si>
  <si>
    <t>CARTUCHOS DE TONER; CODIGO: CF413A, USO: HEWLETT PACKARD</t>
  </si>
  <si>
    <t>Costo total estimado: REPUESTOS</t>
  </si>
  <si>
    <t>TONER 105 A ALTERNATIVO</t>
  </si>
  <si>
    <t>TONER 101 ALTERNATIVO</t>
  </si>
  <si>
    <t>TONER CF 410 AN ALTERNATIVO</t>
  </si>
  <si>
    <t>TONER CF 411 AN ALTERNATIVO</t>
  </si>
  <si>
    <t>TONER CF 412 AN ALTERNATIVO</t>
  </si>
  <si>
    <t>TONER CF 413 AN ALTERNATIVO</t>
  </si>
  <si>
    <t>TONER 105 A ORIGINAL</t>
  </si>
  <si>
    <t>TONER 101 ORIGINAL</t>
  </si>
  <si>
    <t>TONER CF 410 AN ORIGINAL</t>
  </si>
  <si>
    <t>TONER CF 411 AN ORIGINAL</t>
  </si>
  <si>
    <t>TONER CF 412 AN ORIGINAL</t>
  </si>
  <si>
    <t>TONER CF 413 AN ORIGINAL</t>
  </si>
  <si>
    <t>4° TRIMESTRE 2021</t>
  </si>
  <si>
    <t>Repuestos y Accesorios</t>
  </si>
  <si>
    <t>042/2021</t>
  </si>
  <si>
    <t>Costo total estimado:  PESOS QUINIENTOS CUARENTA Y NUEVE MIL DOSCIENTOS NOVENTA Y OCHO CON 00/100.-</t>
  </si>
  <si>
    <t xml:space="preserve">ADQUISICIÓN DE  TONER PARA EL MINISTERIO DE CIENCIA E INNOVACION TECNOLOGICA.- </t>
  </si>
  <si>
    <t>Especificidades Item N°5:</t>
  </si>
  <si>
    <t>Especificidades Item N° 13:</t>
  </si>
  <si>
    <t>CARTUCHOS DE TONER; CODIGO: CE285A, USO: HEWLETT PACKARD</t>
  </si>
  <si>
    <t>2.9.6-401.1362</t>
  </si>
  <si>
    <t>TONER 285A  ALTERNATIVO</t>
  </si>
  <si>
    <t>PESOS: QUINIENTOS CUARENTA Y NUEVE MIL DOSCIENTOS NOVENTA Y OCHO CON 00/100.-</t>
  </si>
  <si>
    <r>
      <t xml:space="preserve">Mantenimiento: </t>
    </r>
    <r>
      <rPr>
        <sz val="10"/>
        <rFont val="Arial"/>
        <family val="2"/>
      </rPr>
      <t>cuarenta y cinco (45) dias habiles</t>
    </r>
  </si>
  <si>
    <r>
      <t>Mantenimiento:</t>
    </r>
    <r>
      <rPr>
        <sz val="10"/>
        <rFont val="Arial"/>
        <family val="2"/>
      </rPr>
      <t xml:space="preserve"> cuarenta y cinco (45) dias habiles</t>
    </r>
  </si>
  <si>
    <r>
      <t xml:space="preserve">Mantenimiento: </t>
    </r>
    <r>
      <rPr>
        <sz val="10"/>
        <rFont val="Arial"/>
        <family val="2"/>
      </rPr>
      <t>treinta (30) dias corridos</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</si>
</sst>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0.00_);_(\$* \(#,##0.00\);_(\$* \-??_);_(@_)"/>
    <numFmt numFmtId="165" formatCode="_-* #,##0.00&quot; €&quot;_-;\-* #,##0.00&quot; €&quot;_-;_-* \-??&quot; €&quot;_-;_-@_-"/>
    <numFmt numFmtId="166" formatCode="[$$-2C0A]\ #,##0.00;[$$-2C0A]&quot; -&quot;#,##0.00"/>
    <numFmt numFmtId="167" formatCode="[$$-2C0A]\ #,##0.00"/>
    <numFmt numFmtId="168" formatCode="dd\-mm\-yy;@"/>
    <numFmt numFmtId="169" formatCode="_-[$$-2C0A]\ * #,##0.00_-;\-[$$-2C0A]\ * #,##0.00_-;_-[$$-2C0A]\ * &quot;-&quot;??_-;_-@_-"/>
    <numFmt numFmtId="170" formatCode="&quot;$&quot;\ #,##0.00"/>
    <numFmt numFmtId="171" formatCode="_-[$$-2C0A]\ * #,##0.00_-;\-[$$-2C0A]\ * #,##0.00_-;_-[$$-2C0A]\ * &quot;-&quot;??_-;_-@"/>
  </numFmts>
  <fonts count="25"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sz val="11"/>
      <name val="Times New Roman"/>
      <family val="1"/>
    </font>
    <font>
      <b/>
      <sz val="11"/>
      <color rgb="FF333333"/>
      <name val="Arial"/>
      <family val="2"/>
    </font>
    <font>
      <sz val="11"/>
      <color rgb="FF333333"/>
      <name val="Arial"/>
      <family val="2"/>
    </font>
    <font>
      <sz val="11"/>
      <name val="Arial"/>
      <family val="2"/>
    </font>
    <font>
      <b/>
      <sz val="9"/>
      <color rgb="FF333333"/>
      <name val="Arial"/>
      <family val="2"/>
    </font>
    <font>
      <b/>
      <sz val="11"/>
      <name val="Arial"/>
      <family val="2"/>
    </font>
    <font>
      <u/>
      <sz val="10"/>
      <name val="Arial"/>
      <family val="2"/>
    </font>
  </fonts>
  <fills count="7">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rgb="FFC0C0C0"/>
        <bgColor rgb="FFC0C0C0"/>
      </patternFill>
    </fill>
    <fill>
      <patternFill patternType="solid">
        <fgColor rgb="FFCCFFFF"/>
        <bgColor rgb="FFCCFFFF"/>
      </patternFill>
    </fill>
  </fills>
  <borders count="43">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thin">
        <color rgb="FF3D3D3D"/>
      </right>
      <top style="medium">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ck">
        <color rgb="FF000000"/>
      </left>
      <right style="thick">
        <color rgb="FF000000"/>
      </right>
      <top style="thick">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medium">
        <color auto="1"/>
      </top>
      <bottom style="medium">
        <color auto="1"/>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33">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4" xfId="0" applyBorder="1"/>
    <xf numFmtId="0" fontId="0" fillId="0" borderId="12" xfId="0" applyBorder="1"/>
    <xf numFmtId="0" fontId="0" fillId="0" borderId="12" xfId="0" applyBorder="1" applyAlignment="1">
      <alignment horizontal="left"/>
    </xf>
    <xf numFmtId="0" fontId="0" fillId="0" borderId="25" xfId="0" applyBorder="1"/>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8" xfId="0" applyFont="1" applyBorder="1" applyAlignment="1">
      <alignment horizontal="left" vertical="center"/>
    </xf>
    <xf numFmtId="0" fontId="14" fillId="0" borderId="29" xfId="0" applyFont="1" applyBorder="1" applyAlignment="1">
      <alignment horizontal="center" vertical="center"/>
    </xf>
    <xf numFmtId="0" fontId="14" fillId="0" borderId="23" xfId="0" applyFont="1" applyBorder="1" applyAlignment="1">
      <alignment horizontal="center" vertical="center"/>
    </xf>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16" fillId="0" borderId="0" xfId="0" applyFont="1"/>
    <xf numFmtId="0" fontId="6" fillId="4" borderId="11" xfId="0" applyFont="1" applyFill="1" applyBorder="1" applyAlignment="1">
      <alignment horizontal="center" vertical="center"/>
    </xf>
    <xf numFmtId="0" fontId="0" fillId="4" borderId="30" xfId="0" applyFont="1" applyFill="1" applyBorder="1" applyAlignment="1">
      <alignment horizontal="center" vertical="center"/>
    </xf>
    <xf numFmtId="0" fontId="15" fillId="0" borderId="0" xfId="0" applyFont="1"/>
    <xf numFmtId="167" fontId="2" fillId="0" borderId="0" xfId="0" applyNumberFormat="1" applyFont="1" applyBorder="1" applyAlignment="1">
      <alignment vertical="center"/>
    </xf>
    <xf numFmtId="166" fontId="14" fillId="3" borderId="32" xfId="0" applyNumberFormat="1" applyFont="1" applyFill="1" applyBorder="1" applyAlignment="1">
      <alignment horizontal="center" vertical="center"/>
    </xf>
    <xf numFmtId="0" fontId="0" fillId="4" borderId="31" xfId="0" applyFont="1" applyFill="1" applyBorder="1" applyAlignment="1">
      <alignment horizontal="center" vertical="center"/>
    </xf>
    <xf numFmtId="166" fontId="0" fillId="0" borderId="31" xfId="3" applyNumberFormat="1" applyFont="1" applyBorder="1" applyAlignment="1" applyProtection="1">
      <alignment horizontal="center" vertical="center"/>
    </xf>
    <xf numFmtId="0" fontId="9" fillId="0" borderId="14" xfId="0" applyFont="1" applyBorder="1" applyAlignment="1">
      <alignment horizontal="center" vertical="center"/>
    </xf>
    <xf numFmtId="0" fontId="9" fillId="0" borderId="14" xfId="0" applyFont="1" applyBorder="1" applyAlignment="1">
      <alignment horizontal="left" vertical="center"/>
    </xf>
    <xf numFmtId="0" fontId="4" fillId="4" borderId="14" xfId="0" applyFont="1" applyFill="1" applyBorder="1" applyAlignment="1">
      <alignment horizontal="center" vertical="center"/>
    </xf>
    <xf numFmtId="0" fontId="4" fillId="3" borderId="14" xfId="0" applyFont="1" applyFill="1" applyBorder="1" applyAlignment="1">
      <alignment horizontal="center" vertical="center" wrapText="1"/>
    </xf>
    <xf numFmtId="166" fontId="4" fillId="3" borderId="14" xfId="1" applyNumberFormat="1" applyFont="1" applyFill="1" applyBorder="1" applyAlignment="1" applyProtection="1">
      <alignment horizontal="right" vertical="center" wrapText="1"/>
    </xf>
    <xf numFmtId="3" fontId="4" fillId="3" borderId="14" xfId="0" applyNumberFormat="1" applyFont="1" applyFill="1" applyBorder="1" applyAlignment="1">
      <alignment horizontal="center" vertical="center"/>
    </xf>
    <xf numFmtId="169" fontId="0" fillId="3" borderId="30" xfId="3" applyNumberFormat="1" applyFont="1" applyFill="1" applyBorder="1" applyAlignment="1" applyProtection="1">
      <alignment horizontal="center" vertical="center"/>
    </xf>
    <xf numFmtId="169" fontId="0" fillId="0" borderId="31" xfId="3" applyNumberFormat="1" applyFont="1" applyBorder="1" applyAlignment="1" applyProtection="1">
      <alignment horizontal="center" vertical="center"/>
    </xf>
    <xf numFmtId="0" fontId="16" fillId="0" borderId="0" xfId="0" applyFont="1" applyAlignment="1">
      <alignment horizontal="center" vertical="center"/>
    </xf>
    <xf numFmtId="0" fontId="16" fillId="0" borderId="0" xfId="0" applyFont="1" applyAlignment="1">
      <alignment horizontal="center"/>
    </xf>
    <xf numFmtId="0" fontId="18" fillId="0" borderId="0" xfId="0" applyFont="1" applyAlignment="1">
      <alignment horizontal="left" vertical="top"/>
    </xf>
    <xf numFmtId="170" fontId="16" fillId="0" borderId="0" xfId="0" applyNumberFormat="1" applyFont="1" applyAlignment="1">
      <alignment horizontal="center"/>
    </xf>
    <xf numFmtId="0" fontId="20" fillId="0" borderId="0" xfId="0" applyFont="1" applyAlignment="1">
      <alignment horizontal="left" wrapText="1"/>
    </xf>
    <xf numFmtId="0" fontId="20" fillId="0" borderId="0" xfId="0" applyFont="1" applyAlignment="1">
      <alignment horizontal="center" wrapText="1"/>
    </xf>
    <xf numFmtId="170" fontId="20" fillId="0" borderId="0" xfId="0" applyNumberFormat="1" applyFont="1" applyAlignment="1">
      <alignment horizontal="center" wrapText="1"/>
    </xf>
    <xf numFmtId="0" fontId="21" fillId="0" borderId="0" xfId="0" applyFont="1"/>
    <xf numFmtId="0" fontId="19" fillId="5" borderId="0" xfId="0" applyFont="1" applyFill="1" applyBorder="1" applyAlignment="1">
      <alignment horizontal="left" wrapText="1"/>
    </xf>
    <xf numFmtId="0" fontId="19" fillId="5" borderId="0" xfId="0" applyFont="1" applyFill="1" applyBorder="1" applyAlignment="1">
      <alignment horizontal="left" vertical="top" wrapText="1"/>
    </xf>
    <xf numFmtId="0" fontId="20" fillId="0" borderId="0" xfId="0" applyFont="1" applyAlignment="1">
      <alignment horizontal="center" vertical="center" wrapText="1"/>
    </xf>
    <xf numFmtId="0" fontId="20" fillId="0" borderId="0" xfId="0" applyFont="1" applyAlignment="1">
      <alignment horizontal="left" vertical="top" wrapText="1"/>
    </xf>
    <xf numFmtId="0" fontId="19" fillId="6" borderId="36" xfId="0" applyFont="1" applyFill="1" applyBorder="1" applyAlignment="1">
      <alignment horizontal="center" vertical="center" wrapText="1"/>
    </xf>
    <xf numFmtId="0" fontId="22" fillId="6" borderId="36" xfId="0" applyFont="1" applyFill="1" applyBorder="1" applyAlignment="1">
      <alignment horizontal="center" vertical="center" wrapText="1"/>
    </xf>
    <xf numFmtId="170" fontId="19" fillId="6" borderId="36" xfId="0" applyNumberFormat="1" applyFont="1" applyFill="1" applyBorder="1" applyAlignment="1">
      <alignment horizontal="center" vertical="center" wrapText="1"/>
    </xf>
    <xf numFmtId="167" fontId="16" fillId="0" borderId="0" xfId="0" applyNumberFormat="1" applyFont="1" applyAlignment="1">
      <alignment horizontal="center" vertical="center"/>
    </xf>
    <xf numFmtId="0" fontId="15" fillId="0" borderId="40" xfId="0" applyFont="1" applyBorder="1"/>
    <xf numFmtId="0" fontId="15" fillId="0" borderId="41" xfId="0" applyFont="1" applyBorder="1"/>
    <xf numFmtId="0" fontId="19" fillId="0" borderId="0" xfId="0" applyFont="1" applyAlignment="1">
      <alignment horizontal="left" vertical="center" wrapText="1"/>
    </xf>
    <xf numFmtId="0" fontId="0" fillId="0" borderId="0" xfId="0" applyFont="1" applyAlignment="1"/>
    <xf numFmtId="0" fontId="17" fillId="0" borderId="0" xfId="0" applyFont="1" applyAlignment="1">
      <alignment horizontal="center"/>
    </xf>
    <xf numFmtId="0" fontId="19" fillId="5" borderId="0" xfId="0" applyFont="1" applyFill="1" applyBorder="1" applyAlignment="1">
      <alignment horizontal="left" wrapText="1"/>
    </xf>
    <xf numFmtId="0" fontId="15" fillId="0" borderId="0" xfId="0" applyFont="1" applyBorder="1"/>
    <xf numFmtId="0" fontId="4" fillId="0" borderId="19" xfId="0" applyFont="1" applyBorder="1" applyAlignment="1">
      <alignment horizontal="left" vertical="center" wrapText="1"/>
    </xf>
    <xf numFmtId="0" fontId="4" fillId="0" borderId="42" xfId="0" applyFont="1" applyBorder="1" applyAlignment="1">
      <alignment horizontal="left" vertical="center" wrapText="1"/>
    </xf>
    <xf numFmtId="0" fontId="4" fillId="0" borderId="20" xfId="0" applyFont="1" applyBorder="1" applyAlignment="1">
      <alignment horizontal="left" vertical="center" wrapText="1"/>
    </xf>
    <xf numFmtId="0" fontId="8" fillId="3" borderId="14" xfId="0" applyFont="1" applyFill="1" applyBorder="1" applyAlignment="1">
      <alignment horizontal="left" vertical="center" wrapText="1" indent="1"/>
    </xf>
    <xf numFmtId="167" fontId="7" fillId="3" borderId="14" xfId="0" applyNumberFormat="1" applyFont="1" applyFill="1" applyBorder="1" applyAlignment="1">
      <alignment horizontal="center" vertical="center"/>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10" fillId="0" borderId="19" xfId="0" applyFont="1" applyBorder="1" applyAlignment="1">
      <alignment vertical="center" wrapText="1"/>
    </xf>
    <xf numFmtId="0" fontId="10" fillId="0" borderId="33" xfId="0" applyFont="1" applyBorder="1" applyAlignment="1">
      <alignment vertical="center" wrapText="1"/>
    </xf>
    <xf numFmtId="0" fontId="10" fillId="0" borderId="17" xfId="0" applyFont="1" applyBorder="1" applyAlignment="1">
      <alignment vertical="center" wrapText="1"/>
    </xf>
    <xf numFmtId="0" fontId="12" fillId="0" borderId="26" xfId="0" applyFont="1" applyBorder="1" applyAlignment="1">
      <alignment vertical="center" wrapText="1"/>
    </xf>
    <xf numFmtId="0" fontId="15" fillId="4" borderId="32" xfId="0" applyFont="1" applyFill="1" applyBorder="1" applyAlignment="1">
      <alignment horizontal="left" vertical="center" wrapText="1" indent="1"/>
    </xf>
    <xf numFmtId="0" fontId="2" fillId="4" borderId="32" xfId="0" applyFont="1" applyFill="1" applyBorder="1" applyAlignment="1">
      <alignment horizontal="left" vertical="center" wrapText="1" indent="1"/>
    </xf>
    <xf numFmtId="0" fontId="0" fillId="0" borderId="31" xfId="0" applyFont="1" applyBorder="1" applyAlignment="1">
      <alignment horizontal="left" vertical="center"/>
    </xf>
    <xf numFmtId="0" fontId="10" fillId="3" borderId="32" xfId="0" applyFont="1" applyFill="1" applyBorder="1" applyAlignment="1">
      <alignment horizontal="left" vertical="center" wrapText="1"/>
    </xf>
    <xf numFmtId="0" fontId="0" fillId="0" borderId="21" xfId="0" applyBorder="1"/>
    <xf numFmtId="0" fontId="15" fillId="0" borderId="30" xfId="0" applyFont="1" applyBorder="1" applyAlignment="1">
      <alignment horizontal="left" vertical="center" wrapText="1"/>
    </xf>
    <xf numFmtId="0" fontId="0" fillId="0" borderId="30" xfId="0" applyFont="1" applyBorder="1" applyAlignment="1">
      <alignment horizontal="left" vertical="center" wrapText="1"/>
    </xf>
    <xf numFmtId="0" fontId="15" fillId="0" borderId="31" xfId="0" applyFont="1" applyBorder="1" applyAlignment="1">
      <alignment horizontal="left" vertical="center" wrapText="1"/>
    </xf>
    <xf numFmtId="0" fontId="0" fillId="0" borderId="31" xfId="0" applyFont="1" applyBorder="1" applyAlignment="1">
      <alignment horizontal="left" vertical="center" wrapText="1"/>
    </xf>
    <xf numFmtId="0" fontId="12" fillId="0" borderId="22" xfId="0" applyFont="1" applyBorder="1"/>
    <xf numFmtId="0" fontId="12" fillId="0" borderId="23" xfId="0" applyFont="1" applyBorder="1" applyAlignment="1">
      <alignment horizontal="left" vertical="center" wrapText="1" indent="1"/>
    </xf>
    <xf numFmtId="0" fontId="14" fillId="0" borderId="21" xfId="0" applyFont="1" applyBorder="1" applyAlignment="1">
      <alignment horizontal="center" vertical="center"/>
    </xf>
    <xf numFmtId="0" fontId="14" fillId="0" borderId="11" xfId="0" applyFont="1" applyBorder="1" applyAlignment="1">
      <alignment horizontal="center" vertical="center"/>
    </xf>
    <xf numFmtId="0" fontId="14" fillId="0" borderId="21" xfId="0" applyFont="1" applyBorder="1" applyAlignment="1">
      <alignment horizontal="center" vertical="center" wrapText="1"/>
    </xf>
    <xf numFmtId="0" fontId="14" fillId="0" borderId="26" xfId="0" applyFont="1" applyBorder="1" applyAlignment="1">
      <alignment horizontal="center" vertical="center"/>
    </xf>
    <xf numFmtId="0" fontId="4" fillId="0" borderId="13" xfId="0" applyFont="1" applyBorder="1" applyAlignment="1">
      <alignment horizontal="left" vertical="center" wrapText="1"/>
    </xf>
    <xf numFmtId="0" fontId="4" fillId="0" borderId="34" xfId="0" applyFont="1" applyBorder="1" applyAlignment="1">
      <alignment horizontal="left" vertical="center" wrapText="1"/>
    </xf>
    <xf numFmtId="0" fontId="4" fillId="0" borderId="35" xfId="0" applyFont="1" applyBorder="1" applyAlignment="1">
      <alignment horizontal="left" vertical="center" wrapText="1"/>
    </xf>
    <xf numFmtId="0" fontId="12" fillId="0" borderId="11" xfId="0" applyFont="1" applyBorder="1" applyAlignment="1">
      <alignment horizontal="left" indent="1"/>
    </xf>
    <xf numFmtId="0" fontId="13" fillId="0" borderId="11" xfId="0" applyFont="1" applyBorder="1" applyAlignment="1">
      <alignment horizontal="left"/>
    </xf>
    <xf numFmtId="0" fontId="2" fillId="0" borderId="11" xfId="0" applyFont="1" applyBorder="1" applyAlignment="1">
      <alignment horizontal="left" indent="1"/>
    </xf>
    <xf numFmtId="0" fontId="0" fillId="0" borderId="19" xfId="0" applyFont="1" applyBorder="1" applyAlignment="1">
      <alignment horizontal="center"/>
    </xf>
    <xf numFmtId="3" fontId="10" fillId="0" borderId="20"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xf numFmtId="0" fontId="21" fillId="4" borderId="37" xfId="0" applyFont="1" applyFill="1" applyBorder="1" applyAlignment="1">
      <alignment horizontal="center" vertical="center"/>
    </xf>
    <xf numFmtId="0" fontId="21" fillId="5" borderId="37" xfId="0" applyFont="1" applyFill="1" applyBorder="1" applyAlignment="1">
      <alignment horizontal="center" vertical="center"/>
    </xf>
    <xf numFmtId="0" fontId="21" fillId="5" borderId="37" xfId="0" applyFont="1" applyFill="1" applyBorder="1" applyAlignment="1">
      <alignment horizontal="left" vertical="center" wrapText="1"/>
    </xf>
    <xf numFmtId="0" fontId="21" fillId="0" borderId="37" xfId="0" applyFont="1" applyBorder="1" applyAlignment="1">
      <alignment horizontal="center" vertical="center"/>
    </xf>
    <xf numFmtId="171" fontId="21" fillId="0" borderId="37" xfId="0" applyNumberFormat="1" applyFont="1" applyBorder="1" applyAlignment="1">
      <alignment vertical="center"/>
    </xf>
    <xf numFmtId="0" fontId="23" fillId="6" borderId="39" xfId="0" applyFont="1" applyFill="1" applyBorder="1" applyAlignment="1">
      <alignment horizontal="center" vertical="center" wrapText="1"/>
    </xf>
    <xf numFmtId="171" fontId="23" fillId="6" borderId="38" xfId="0" applyNumberFormat="1" applyFont="1" applyFill="1" applyBorder="1" applyAlignment="1">
      <alignment vertical="center"/>
    </xf>
    <xf numFmtId="171" fontId="21" fillId="0" borderId="0" xfId="0" applyNumberFormat="1" applyFont="1" applyBorder="1" applyAlignment="1">
      <alignment vertical="center"/>
    </xf>
    <xf numFmtId="0" fontId="15" fillId="4" borderId="0" xfId="0" applyFont="1" applyFill="1" applyBorder="1" applyAlignment="1">
      <alignment horizontal="left" vertical="center" wrapText="1"/>
    </xf>
    <xf numFmtId="0" fontId="15" fillId="4" borderId="6" xfId="0" applyFont="1" applyFill="1" applyBorder="1" applyAlignment="1">
      <alignment horizontal="left" vertical="center" wrapText="1"/>
    </xf>
    <xf numFmtId="0" fontId="15" fillId="0" borderId="7" xfId="0" applyFont="1" applyBorder="1" applyAlignment="1">
      <alignment horizontal="left" indent="3"/>
    </xf>
    <xf numFmtId="0" fontId="15" fillId="0" borderId="8" xfId="0" applyFont="1" applyBorder="1"/>
    <xf numFmtId="0" fontId="15" fillId="0" borderId="9" xfId="0" applyFont="1" applyBorder="1"/>
    <xf numFmtId="0" fontId="24" fillId="0" borderId="2" xfId="0" applyFont="1" applyBorder="1" applyAlignment="1">
      <alignment vertical="center"/>
    </xf>
    <xf numFmtId="0" fontId="15" fillId="0" borderId="3" xfId="0" applyFont="1" applyBorder="1" applyAlignment="1">
      <alignment vertical="center"/>
    </xf>
    <xf numFmtId="0" fontId="15" fillId="0" borderId="4" xfId="0" applyFont="1" applyBorder="1" applyAlignment="1">
      <alignment vertical="center"/>
    </xf>
    <xf numFmtId="0" fontId="15" fillId="0" borderId="5" xfId="0" applyFont="1" applyBorder="1" applyAlignment="1">
      <alignment vertical="center"/>
    </xf>
    <xf numFmtId="0" fontId="15" fillId="0" borderId="0" xfId="0" applyFont="1" applyBorder="1" applyAlignment="1">
      <alignment vertical="center"/>
    </xf>
    <xf numFmtId="0" fontId="15" fillId="0" borderId="6" xfId="0" applyFont="1" applyBorder="1" applyAlignment="1">
      <alignment vertical="center"/>
    </xf>
    <xf numFmtId="0" fontId="24" fillId="0" borderId="5" xfId="0" applyFont="1" applyBorder="1" applyAlignment="1">
      <alignment horizontal="left" vertical="center"/>
    </xf>
    <xf numFmtId="0" fontId="15" fillId="0" borderId="5" xfId="0" applyFont="1" applyBorder="1" applyAlignment="1">
      <alignment horizontal="left" vertical="center"/>
    </xf>
    <xf numFmtId="0" fontId="15" fillId="0" borderId="0"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left" vertical="center"/>
    </xf>
    <xf numFmtId="0" fontId="15" fillId="0" borderId="8" xfId="0" applyFont="1" applyBorder="1" applyAlignment="1">
      <alignment vertical="center"/>
    </xf>
    <xf numFmtId="0" fontId="15" fillId="0" borderId="9" xfId="0" applyFont="1" applyBorder="1" applyAlignment="1">
      <alignment vertical="center"/>
    </xf>
    <xf numFmtId="0" fontId="15" fillId="0" borderId="0" xfId="0" applyFont="1" applyAlignment="1">
      <alignment vertical="center"/>
    </xf>
  </cellXfs>
  <cellStyles count="5">
    <cellStyle name="Encabezado 1" xfId="2"/>
    <cellStyle name="Moneda" xfId="1" builtinId="4"/>
    <cellStyle name="Moneda_AUTORIZACION Y NOTA DE PEDIDO" xfId="3"/>
    <cellStyle name="Neutral 1" xf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I344"/>
  <sheetViews>
    <sheetView topLeftCell="A17" zoomScale="96" zoomScaleNormal="96" workbookViewId="0">
      <selection activeCell="E13" sqref="E13"/>
    </sheetView>
  </sheetViews>
  <sheetFormatPr baseColWidth="10" defaultColWidth="11" defaultRowHeight="12.75" x14ac:dyDescent="0.2"/>
  <cols>
    <col min="1" max="1" width="4.5703125" style="24" customWidth="1"/>
    <col min="2" max="2" width="15.7109375" style="24" customWidth="1"/>
    <col min="3" max="3" width="33" style="24" customWidth="1"/>
    <col min="4" max="4" width="7.140625" style="24" customWidth="1"/>
    <col min="5" max="5" width="59.42578125" style="24" customWidth="1"/>
    <col min="6" max="6" width="11" style="24"/>
    <col min="7" max="7" width="12.42578125" style="24" customWidth="1"/>
    <col min="8" max="8" width="13.85546875" style="24" bestFit="1" customWidth="1"/>
    <col min="9" max="9" width="18.140625" style="24" customWidth="1"/>
    <col min="10" max="10" width="0" style="24" hidden="1" customWidth="1"/>
    <col min="11" max="11" width="11" style="24"/>
    <col min="12" max="12" width="14.140625" style="24" customWidth="1"/>
    <col min="13" max="16384" width="11" style="24"/>
  </cols>
  <sheetData>
    <row r="2" spans="1:9" ht="27" x14ac:dyDescent="0.35">
      <c r="B2" s="60" t="s">
        <v>0</v>
      </c>
      <c r="C2" s="59"/>
      <c r="D2" s="59"/>
      <c r="E2" s="59"/>
      <c r="F2" s="59"/>
      <c r="G2" s="59"/>
      <c r="H2" s="59"/>
    </row>
    <row r="3" spans="1:9" ht="8.25" customHeight="1" x14ac:dyDescent="0.2">
      <c r="B3" s="40"/>
      <c r="C3" s="41"/>
      <c r="E3" s="42"/>
      <c r="H3" s="43"/>
    </row>
    <row r="4" spans="1:9" ht="27.75" customHeight="1" x14ac:dyDescent="0.25">
      <c r="A4" s="58" t="s">
        <v>1</v>
      </c>
      <c r="B4" s="59"/>
      <c r="C4" s="61" t="s">
        <v>59</v>
      </c>
      <c r="D4" s="62"/>
      <c r="E4" s="62"/>
      <c r="F4" s="44"/>
      <c r="G4" s="45"/>
      <c r="H4" s="46"/>
      <c r="I4" s="47"/>
    </row>
    <row r="5" spans="1:9" ht="18" customHeight="1" x14ac:dyDescent="0.25">
      <c r="A5" s="58" t="s">
        <v>2</v>
      </c>
      <c r="B5" s="59"/>
      <c r="C5" s="61" t="s">
        <v>60</v>
      </c>
      <c r="D5" s="62"/>
      <c r="E5" s="62"/>
      <c r="F5" s="44"/>
      <c r="G5" s="45"/>
      <c r="H5" s="46"/>
      <c r="I5" s="47"/>
    </row>
    <row r="6" spans="1:9" ht="16.5" customHeight="1" x14ac:dyDescent="0.25">
      <c r="A6" s="58" t="s">
        <v>3</v>
      </c>
      <c r="B6" s="59"/>
      <c r="C6" s="48">
        <v>2021</v>
      </c>
      <c r="D6" s="48"/>
      <c r="E6" s="49"/>
      <c r="F6" s="44"/>
      <c r="G6" s="45"/>
      <c r="H6" s="46"/>
      <c r="I6" s="47"/>
    </row>
    <row r="7" spans="1:9" ht="16.5" customHeight="1" x14ac:dyDescent="0.25">
      <c r="A7" s="58" t="s">
        <v>4</v>
      </c>
      <c r="B7" s="59"/>
      <c r="C7" s="48">
        <v>4</v>
      </c>
      <c r="D7" s="48"/>
      <c r="E7" s="49"/>
      <c r="F7" s="44"/>
      <c r="G7" s="45"/>
      <c r="H7" s="46"/>
      <c r="I7" s="47"/>
    </row>
    <row r="8" spans="1:9" ht="15" thickBot="1" x14ac:dyDescent="0.25">
      <c r="A8" s="47"/>
      <c r="B8" s="50"/>
      <c r="C8" s="45"/>
      <c r="D8" s="44"/>
      <c r="E8" s="51"/>
      <c r="F8" s="44"/>
      <c r="G8" s="45"/>
      <c r="H8" s="46"/>
      <c r="I8" s="47"/>
    </row>
    <row r="9" spans="1:9" ht="45.75" thickTop="1" x14ac:dyDescent="0.2">
      <c r="A9" s="52" t="s">
        <v>5</v>
      </c>
      <c r="B9" s="52" t="s">
        <v>6</v>
      </c>
      <c r="C9" s="52" t="s">
        <v>7</v>
      </c>
      <c r="D9" s="52" t="s">
        <v>8</v>
      </c>
      <c r="E9" s="52" t="s">
        <v>9</v>
      </c>
      <c r="F9" s="53" t="s">
        <v>10</v>
      </c>
      <c r="G9" s="52" t="s">
        <v>11</v>
      </c>
      <c r="H9" s="54" t="s">
        <v>12</v>
      </c>
      <c r="I9" s="52" t="s">
        <v>13</v>
      </c>
    </row>
    <row r="10" spans="1:9" ht="28.5" x14ac:dyDescent="0.2">
      <c r="A10" s="106">
        <v>1</v>
      </c>
      <c r="B10" s="106" t="s">
        <v>78</v>
      </c>
      <c r="C10" s="107" t="s">
        <v>79</v>
      </c>
      <c r="D10" s="107" t="str">
        <f t="shared" ref="D10:D22" si="0">LEFT(B10,5)</f>
        <v>2.9.6</v>
      </c>
      <c r="E10" s="108" t="s">
        <v>80</v>
      </c>
      <c r="F10" s="109" t="s">
        <v>14</v>
      </c>
      <c r="G10" s="109">
        <v>60</v>
      </c>
      <c r="H10" s="110">
        <v>1850</v>
      </c>
      <c r="I10" s="110">
        <f t="shared" ref="I10:I22" si="1">G10*H10</f>
        <v>111000</v>
      </c>
    </row>
    <row r="11" spans="1:9" ht="28.5" x14ac:dyDescent="0.2">
      <c r="A11" s="106">
        <v>2</v>
      </c>
      <c r="B11" s="106" t="s">
        <v>81</v>
      </c>
      <c r="C11" s="107" t="s">
        <v>79</v>
      </c>
      <c r="D11" s="107" t="str">
        <f t="shared" si="0"/>
        <v>2.9.6</v>
      </c>
      <c r="E11" s="108" t="s">
        <v>82</v>
      </c>
      <c r="F11" s="109" t="s">
        <v>14</v>
      </c>
      <c r="G11" s="109">
        <v>5</v>
      </c>
      <c r="H11" s="110">
        <v>1358</v>
      </c>
      <c r="I11" s="110">
        <f t="shared" si="1"/>
        <v>6790</v>
      </c>
    </row>
    <row r="12" spans="1:9" ht="30" customHeight="1" x14ac:dyDescent="0.2">
      <c r="A12" s="106">
        <v>3</v>
      </c>
      <c r="B12" s="106" t="s">
        <v>112</v>
      </c>
      <c r="C12" s="107" t="s">
        <v>79</v>
      </c>
      <c r="D12" s="107" t="str">
        <f t="shared" si="0"/>
        <v>2.9.6</v>
      </c>
      <c r="E12" s="108" t="s">
        <v>111</v>
      </c>
      <c r="F12" s="109" t="s">
        <v>14</v>
      </c>
      <c r="G12" s="109">
        <v>30</v>
      </c>
      <c r="H12" s="110">
        <v>1300</v>
      </c>
      <c r="I12" s="110">
        <f t="shared" si="1"/>
        <v>39000</v>
      </c>
    </row>
    <row r="13" spans="1:9" ht="28.5" x14ac:dyDescent="0.2">
      <c r="A13" s="106">
        <v>4</v>
      </c>
      <c r="B13" s="106" t="s">
        <v>83</v>
      </c>
      <c r="C13" s="107" t="s">
        <v>79</v>
      </c>
      <c r="D13" s="107" t="str">
        <f t="shared" si="0"/>
        <v>2.9.6</v>
      </c>
      <c r="E13" s="108" t="s">
        <v>84</v>
      </c>
      <c r="F13" s="109" t="s">
        <v>14</v>
      </c>
      <c r="G13" s="109">
        <v>4</v>
      </c>
      <c r="H13" s="110">
        <v>2900</v>
      </c>
      <c r="I13" s="110">
        <f t="shared" si="1"/>
        <v>11600</v>
      </c>
    </row>
    <row r="14" spans="1:9" ht="28.5" x14ac:dyDescent="0.2">
      <c r="A14" s="106">
        <v>5</v>
      </c>
      <c r="B14" s="106" t="s">
        <v>85</v>
      </c>
      <c r="C14" s="107" t="s">
        <v>79</v>
      </c>
      <c r="D14" s="107" t="str">
        <f t="shared" si="0"/>
        <v>2.9.6</v>
      </c>
      <c r="E14" s="108" t="s">
        <v>86</v>
      </c>
      <c r="F14" s="109" t="s">
        <v>14</v>
      </c>
      <c r="G14" s="109">
        <v>4</v>
      </c>
      <c r="H14" s="110">
        <v>2900</v>
      </c>
      <c r="I14" s="110">
        <f t="shared" si="1"/>
        <v>11600</v>
      </c>
    </row>
    <row r="15" spans="1:9" ht="28.5" x14ac:dyDescent="0.2">
      <c r="A15" s="106">
        <v>6</v>
      </c>
      <c r="B15" s="106" t="s">
        <v>87</v>
      </c>
      <c r="C15" s="107" t="s">
        <v>79</v>
      </c>
      <c r="D15" s="107" t="str">
        <f t="shared" si="0"/>
        <v>2.9.6</v>
      </c>
      <c r="E15" s="108" t="s">
        <v>88</v>
      </c>
      <c r="F15" s="109" t="s">
        <v>14</v>
      </c>
      <c r="G15" s="109">
        <v>4</v>
      </c>
      <c r="H15" s="110">
        <v>2900</v>
      </c>
      <c r="I15" s="110">
        <f t="shared" si="1"/>
        <v>11600</v>
      </c>
    </row>
    <row r="16" spans="1:9" ht="28.5" x14ac:dyDescent="0.2">
      <c r="A16" s="106">
        <v>7</v>
      </c>
      <c r="B16" s="106" t="s">
        <v>89</v>
      </c>
      <c r="C16" s="107" t="s">
        <v>79</v>
      </c>
      <c r="D16" s="107" t="str">
        <f t="shared" si="0"/>
        <v>2.9.6</v>
      </c>
      <c r="E16" s="108" t="s">
        <v>90</v>
      </c>
      <c r="F16" s="109" t="s">
        <v>14</v>
      </c>
      <c r="G16" s="109">
        <v>4</v>
      </c>
      <c r="H16" s="110">
        <v>2900</v>
      </c>
      <c r="I16" s="110">
        <f t="shared" si="1"/>
        <v>11600</v>
      </c>
    </row>
    <row r="17" spans="1:9" ht="28.5" x14ac:dyDescent="0.2">
      <c r="A17" s="106">
        <v>8</v>
      </c>
      <c r="B17" s="106" t="s">
        <v>78</v>
      </c>
      <c r="C17" s="107" t="s">
        <v>79</v>
      </c>
      <c r="D17" s="107" t="str">
        <f t="shared" si="0"/>
        <v>2.9.6</v>
      </c>
      <c r="E17" s="108" t="s">
        <v>80</v>
      </c>
      <c r="F17" s="109" t="s">
        <v>14</v>
      </c>
      <c r="G17" s="109">
        <v>18</v>
      </c>
      <c r="H17" s="110">
        <v>9500</v>
      </c>
      <c r="I17" s="110">
        <f t="shared" si="1"/>
        <v>171000</v>
      </c>
    </row>
    <row r="18" spans="1:9" ht="28.5" x14ac:dyDescent="0.2">
      <c r="A18" s="106">
        <v>9</v>
      </c>
      <c r="B18" s="106" t="s">
        <v>81</v>
      </c>
      <c r="C18" s="107" t="s">
        <v>79</v>
      </c>
      <c r="D18" s="107" t="str">
        <f t="shared" si="0"/>
        <v>2.9.6</v>
      </c>
      <c r="E18" s="108" t="s">
        <v>82</v>
      </c>
      <c r="F18" s="109" t="s">
        <v>14</v>
      </c>
      <c r="G18" s="109">
        <v>2</v>
      </c>
      <c r="H18" s="110">
        <v>17642</v>
      </c>
      <c r="I18" s="110">
        <f t="shared" si="1"/>
        <v>35284</v>
      </c>
    </row>
    <row r="19" spans="1:9" ht="28.5" x14ac:dyDescent="0.2">
      <c r="A19" s="106">
        <v>10</v>
      </c>
      <c r="B19" s="106" t="s">
        <v>83</v>
      </c>
      <c r="C19" s="107" t="s">
        <v>79</v>
      </c>
      <c r="D19" s="107" t="str">
        <f t="shared" si="0"/>
        <v>2.9.6</v>
      </c>
      <c r="E19" s="108" t="s">
        <v>84</v>
      </c>
      <c r="F19" s="109" t="s">
        <v>14</v>
      </c>
      <c r="G19" s="109">
        <v>2</v>
      </c>
      <c r="H19" s="110">
        <v>17478</v>
      </c>
      <c r="I19" s="110">
        <f t="shared" si="1"/>
        <v>34956</v>
      </c>
    </row>
    <row r="20" spans="1:9" ht="28.5" x14ac:dyDescent="0.2">
      <c r="A20" s="106">
        <v>11</v>
      </c>
      <c r="B20" s="106" t="s">
        <v>85</v>
      </c>
      <c r="C20" s="107" t="s">
        <v>79</v>
      </c>
      <c r="D20" s="107" t="str">
        <f t="shared" si="0"/>
        <v>2.9.6</v>
      </c>
      <c r="E20" s="108" t="s">
        <v>86</v>
      </c>
      <c r="F20" s="109" t="s">
        <v>14</v>
      </c>
      <c r="G20" s="109">
        <v>2</v>
      </c>
      <c r="H20" s="110">
        <v>17478</v>
      </c>
      <c r="I20" s="110">
        <f t="shared" si="1"/>
        <v>34956</v>
      </c>
    </row>
    <row r="21" spans="1:9" ht="28.5" x14ac:dyDescent="0.2">
      <c r="A21" s="106">
        <v>12</v>
      </c>
      <c r="B21" s="106" t="s">
        <v>87</v>
      </c>
      <c r="C21" s="107" t="s">
        <v>79</v>
      </c>
      <c r="D21" s="107" t="str">
        <f t="shared" si="0"/>
        <v>2.9.6</v>
      </c>
      <c r="E21" s="108" t="s">
        <v>88</v>
      </c>
      <c r="F21" s="109" t="s">
        <v>14</v>
      </c>
      <c r="G21" s="109">
        <v>2</v>
      </c>
      <c r="H21" s="110">
        <v>17478</v>
      </c>
      <c r="I21" s="110">
        <f t="shared" si="1"/>
        <v>34956</v>
      </c>
    </row>
    <row r="22" spans="1:9" ht="28.5" x14ac:dyDescent="0.2">
      <c r="A22" s="106">
        <v>13</v>
      </c>
      <c r="B22" s="106" t="s">
        <v>89</v>
      </c>
      <c r="C22" s="107" t="s">
        <v>79</v>
      </c>
      <c r="D22" s="107" t="str">
        <f t="shared" si="0"/>
        <v>2.9.6</v>
      </c>
      <c r="E22" s="108" t="s">
        <v>90</v>
      </c>
      <c r="F22" s="109" t="s">
        <v>14</v>
      </c>
      <c r="G22" s="109">
        <v>2</v>
      </c>
      <c r="H22" s="110">
        <v>17478</v>
      </c>
      <c r="I22" s="110">
        <f t="shared" si="1"/>
        <v>34956</v>
      </c>
    </row>
    <row r="23" spans="1:9" ht="19.5" customHeight="1" x14ac:dyDescent="0.2">
      <c r="A23" s="111" t="s">
        <v>91</v>
      </c>
      <c r="B23" s="56"/>
      <c r="C23" s="56"/>
      <c r="D23" s="56"/>
      <c r="E23" s="56"/>
      <c r="F23" s="56"/>
      <c r="G23" s="56"/>
      <c r="H23" s="57"/>
      <c r="I23" s="112">
        <f>SUM(I10:I22)</f>
        <v>549298</v>
      </c>
    </row>
    <row r="24" spans="1:9" ht="14.25" customHeight="1" x14ac:dyDescent="0.2">
      <c r="A24" s="27"/>
      <c r="B24" s="27"/>
      <c r="C24" s="27"/>
      <c r="D24" s="27"/>
      <c r="E24" s="27"/>
      <c r="F24" s="27"/>
      <c r="G24" s="27"/>
      <c r="H24" s="27"/>
      <c r="I24" s="113"/>
    </row>
    <row r="25" spans="1:9" ht="13.5" thickBot="1" x14ac:dyDescent="0.25"/>
    <row r="26" spans="1:9" ht="12.75" customHeight="1" x14ac:dyDescent="0.2">
      <c r="B26" s="119" t="s">
        <v>15</v>
      </c>
      <c r="C26" s="120"/>
      <c r="D26" s="120"/>
      <c r="E26" s="121"/>
      <c r="I26" s="55"/>
    </row>
    <row r="27" spans="1:9" ht="11.25" customHeight="1" x14ac:dyDescent="0.2">
      <c r="B27" s="122"/>
      <c r="C27" s="123"/>
      <c r="D27" s="123"/>
      <c r="E27" s="124"/>
    </row>
    <row r="28" spans="1:9" ht="18.75" customHeight="1" x14ac:dyDescent="0.2">
      <c r="B28" s="125" t="s">
        <v>16</v>
      </c>
      <c r="C28" s="123"/>
      <c r="D28" s="123"/>
      <c r="E28" s="124"/>
    </row>
    <row r="29" spans="1:9" ht="30.75" customHeight="1" x14ac:dyDescent="0.2">
      <c r="B29" s="125"/>
      <c r="C29" s="114" t="s">
        <v>92</v>
      </c>
      <c r="D29" s="114"/>
      <c r="E29" s="115"/>
    </row>
    <row r="30" spans="1:9" ht="15.75" customHeight="1" x14ac:dyDescent="0.2">
      <c r="B30" s="125" t="s">
        <v>17</v>
      </c>
      <c r="C30" s="123"/>
      <c r="D30" s="123"/>
      <c r="E30" s="124"/>
    </row>
    <row r="31" spans="1:9" x14ac:dyDescent="0.2">
      <c r="B31" s="126"/>
      <c r="C31" s="114" t="s">
        <v>65</v>
      </c>
      <c r="D31" s="114"/>
      <c r="E31" s="115"/>
    </row>
    <row r="32" spans="1:9" ht="55.5" customHeight="1" x14ac:dyDescent="0.2">
      <c r="B32" s="126"/>
      <c r="C32" s="114"/>
      <c r="D32" s="114"/>
      <c r="E32" s="115"/>
    </row>
    <row r="33" spans="2:5" ht="17.25" customHeight="1" x14ac:dyDescent="0.2">
      <c r="B33" s="125" t="s">
        <v>18</v>
      </c>
      <c r="C33" s="123"/>
      <c r="D33" s="123"/>
      <c r="E33" s="124"/>
    </row>
    <row r="34" spans="2:5" ht="6.75" customHeight="1" x14ac:dyDescent="0.2">
      <c r="B34" s="126"/>
      <c r="C34" s="114"/>
      <c r="D34" s="114"/>
      <c r="E34" s="115"/>
    </row>
    <row r="35" spans="2:5" ht="13.5" customHeight="1" x14ac:dyDescent="0.2">
      <c r="B35" s="125" t="s">
        <v>115</v>
      </c>
      <c r="C35" s="127"/>
      <c r="D35" s="127"/>
      <c r="E35" s="128"/>
    </row>
    <row r="36" spans="2:5" ht="5.25" customHeight="1" x14ac:dyDescent="0.2">
      <c r="B36" s="126"/>
      <c r="C36" s="114"/>
      <c r="D36" s="114"/>
      <c r="E36" s="115"/>
    </row>
    <row r="37" spans="2:5" ht="14.25" customHeight="1" x14ac:dyDescent="0.2">
      <c r="B37" s="125" t="s">
        <v>19</v>
      </c>
      <c r="C37" s="123"/>
      <c r="D37" s="123"/>
      <c r="E37" s="124"/>
    </row>
    <row r="38" spans="2:5" x14ac:dyDescent="0.2">
      <c r="B38" s="125"/>
      <c r="C38" s="114" t="s">
        <v>75</v>
      </c>
      <c r="D38" s="114"/>
      <c r="E38" s="115"/>
    </row>
    <row r="39" spans="2:5" ht="11.25" customHeight="1" thickBot="1" x14ac:dyDescent="0.25">
      <c r="B39" s="129"/>
      <c r="C39" s="130"/>
      <c r="D39" s="130"/>
      <c r="E39" s="131"/>
    </row>
    <row r="40" spans="2:5" ht="13.5" thickBot="1" x14ac:dyDescent="0.25">
      <c r="B40" s="27"/>
      <c r="C40" s="27"/>
      <c r="D40" s="27"/>
      <c r="E40" s="27"/>
    </row>
    <row r="41" spans="2:5" ht="12" customHeight="1" x14ac:dyDescent="0.2">
      <c r="B41" s="119" t="s">
        <v>20</v>
      </c>
      <c r="C41" s="120"/>
      <c r="D41" s="120"/>
      <c r="E41" s="121"/>
    </row>
    <row r="42" spans="2:5" ht="3.75" customHeight="1" x14ac:dyDescent="0.2">
      <c r="B42" s="122"/>
      <c r="C42" s="123"/>
      <c r="D42" s="123"/>
      <c r="E42" s="124"/>
    </row>
    <row r="43" spans="2:5" x14ac:dyDescent="0.2">
      <c r="B43" s="125" t="s">
        <v>16</v>
      </c>
      <c r="C43" s="123"/>
      <c r="D43" s="123"/>
      <c r="E43" s="124"/>
    </row>
    <row r="44" spans="2:5" ht="20.25" customHeight="1" x14ac:dyDescent="0.2">
      <c r="B44" s="125"/>
      <c r="C44" s="114" t="s">
        <v>93</v>
      </c>
      <c r="D44" s="114"/>
      <c r="E44" s="115"/>
    </row>
    <row r="45" spans="2:5" x14ac:dyDescent="0.2">
      <c r="B45" s="125" t="s">
        <v>17</v>
      </c>
      <c r="C45" s="123"/>
      <c r="D45" s="123"/>
      <c r="E45" s="124"/>
    </row>
    <row r="46" spans="2:5" ht="12.75" customHeight="1" x14ac:dyDescent="0.2">
      <c r="B46" s="126"/>
      <c r="C46" s="114" t="s">
        <v>64</v>
      </c>
      <c r="D46" s="114"/>
      <c r="E46" s="115"/>
    </row>
    <row r="47" spans="2:5" ht="57" customHeight="1" x14ac:dyDescent="0.2">
      <c r="B47" s="126"/>
      <c r="C47" s="114"/>
      <c r="D47" s="114"/>
      <c r="E47" s="115"/>
    </row>
    <row r="48" spans="2:5" ht="12.75" customHeight="1" x14ac:dyDescent="0.2">
      <c r="B48" s="125" t="s">
        <v>18</v>
      </c>
      <c r="C48" s="123"/>
      <c r="D48" s="123"/>
      <c r="E48" s="124"/>
    </row>
    <row r="49" spans="2:5" x14ac:dyDescent="0.2">
      <c r="B49" s="126"/>
      <c r="C49" s="114"/>
      <c r="D49" s="114"/>
      <c r="E49" s="115"/>
    </row>
    <row r="50" spans="2:5" x14ac:dyDescent="0.2">
      <c r="B50" s="125" t="s">
        <v>116</v>
      </c>
      <c r="C50" s="127"/>
      <c r="D50" s="127"/>
      <c r="E50" s="128"/>
    </row>
    <row r="51" spans="2:5" x14ac:dyDescent="0.2">
      <c r="B51" s="126"/>
      <c r="C51" s="114"/>
      <c r="D51" s="114"/>
      <c r="E51" s="115"/>
    </row>
    <row r="52" spans="2:5" ht="12.75" customHeight="1" x14ac:dyDescent="0.2">
      <c r="B52" s="125" t="s">
        <v>19</v>
      </c>
      <c r="C52" s="123"/>
      <c r="D52" s="123"/>
      <c r="E52" s="124"/>
    </row>
    <row r="53" spans="2:5" x14ac:dyDescent="0.2">
      <c r="B53" s="125"/>
      <c r="C53" s="114" t="s">
        <v>75</v>
      </c>
      <c r="D53" s="114"/>
      <c r="E53" s="115"/>
    </row>
    <row r="54" spans="2:5" ht="9.75" customHeight="1" thickBot="1" x14ac:dyDescent="0.25">
      <c r="B54" s="129"/>
      <c r="C54" s="130"/>
      <c r="D54" s="130"/>
      <c r="E54" s="131"/>
    </row>
    <row r="55" spans="2:5" x14ac:dyDescent="0.2">
      <c r="B55" s="132"/>
      <c r="C55" s="132"/>
      <c r="D55" s="132"/>
      <c r="E55" s="132"/>
    </row>
    <row r="56" spans="2:5" ht="13.5" thickBot="1" x14ac:dyDescent="0.25">
      <c r="B56" s="27"/>
      <c r="C56" s="27"/>
      <c r="D56" s="27"/>
      <c r="E56" s="27"/>
    </row>
    <row r="57" spans="2:5" x14ac:dyDescent="0.2">
      <c r="B57" s="119" t="s">
        <v>66</v>
      </c>
      <c r="C57" s="120"/>
      <c r="D57" s="120"/>
      <c r="E57" s="121"/>
    </row>
    <row r="58" spans="2:5" x14ac:dyDescent="0.2">
      <c r="B58" s="122"/>
      <c r="C58" s="123"/>
      <c r="D58" s="123"/>
      <c r="E58" s="124"/>
    </row>
    <row r="59" spans="2:5" x14ac:dyDescent="0.2">
      <c r="B59" s="125" t="s">
        <v>16</v>
      </c>
      <c r="C59" s="123"/>
      <c r="D59" s="123"/>
      <c r="E59" s="124"/>
    </row>
    <row r="60" spans="2:5" x14ac:dyDescent="0.2">
      <c r="B60" s="125"/>
      <c r="C60" s="114" t="s">
        <v>113</v>
      </c>
      <c r="D60" s="114"/>
      <c r="E60" s="115"/>
    </row>
    <row r="61" spans="2:5" ht="17.25" customHeight="1" x14ac:dyDescent="0.2">
      <c r="B61" s="125" t="s">
        <v>17</v>
      </c>
      <c r="C61" s="123"/>
      <c r="D61" s="123"/>
      <c r="E61" s="124"/>
    </row>
    <row r="62" spans="2:5" ht="18.75" customHeight="1" x14ac:dyDescent="0.2">
      <c r="B62" s="126"/>
      <c r="C62" s="114" t="s">
        <v>64</v>
      </c>
      <c r="D62" s="114"/>
      <c r="E62" s="115"/>
    </row>
    <row r="63" spans="2:5" ht="53.25" customHeight="1" x14ac:dyDescent="0.2">
      <c r="B63" s="126"/>
      <c r="C63" s="114"/>
      <c r="D63" s="114"/>
      <c r="E63" s="115"/>
    </row>
    <row r="64" spans="2:5" x14ac:dyDescent="0.2">
      <c r="B64" s="125" t="s">
        <v>18</v>
      </c>
      <c r="C64" s="123"/>
      <c r="D64" s="123"/>
      <c r="E64" s="124"/>
    </row>
    <row r="65" spans="2:5" x14ac:dyDescent="0.2">
      <c r="B65" s="126"/>
      <c r="C65" s="114"/>
      <c r="D65" s="114"/>
      <c r="E65" s="115"/>
    </row>
    <row r="66" spans="2:5" x14ac:dyDescent="0.2">
      <c r="B66" s="125" t="s">
        <v>116</v>
      </c>
      <c r="C66" s="127"/>
      <c r="D66" s="127"/>
      <c r="E66" s="128"/>
    </row>
    <row r="67" spans="2:5" x14ac:dyDescent="0.2">
      <c r="B67" s="126"/>
      <c r="C67" s="114"/>
      <c r="D67" s="114"/>
      <c r="E67" s="115"/>
    </row>
    <row r="68" spans="2:5" x14ac:dyDescent="0.2">
      <c r="B68" s="125" t="s">
        <v>19</v>
      </c>
      <c r="C68" s="123"/>
      <c r="D68" s="123"/>
      <c r="E68" s="124"/>
    </row>
    <row r="69" spans="2:5" ht="12.75" customHeight="1" x14ac:dyDescent="0.2">
      <c r="B69" s="125"/>
      <c r="C69" s="114" t="s">
        <v>75</v>
      </c>
      <c r="D69" s="114"/>
      <c r="E69" s="115"/>
    </row>
    <row r="70" spans="2:5" ht="13.5" thickBot="1" x14ac:dyDescent="0.25">
      <c r="B70" s="116"/>
      <c r="C70" s="117"/>
      <c r="D70" s="117"/>
      <c r="E70" s="118"/>
    </row>
    <row r="71" spans="2:5" ht="12" customHeight="1" thickBot="1" x14ac:dyDescent="0.25">
      <c r="B71" s="27"/>
      <c r="C71" s="27"/>
      <c r="D71" s="27"/>
      <c r="E71" s="27"/>
    </row>
    <row r="72" spans="2:5" ht="13.5" customHeight="1" x14ac:dyDescent="0.2">
      <c r="B72" s="119" t="s">
        <v>67</v>
      </c>
      <c r="C72" s="120"/>
      <c r="D72" s="120"/>
      <c r="E72" s="121"/>
    </row>
    <row r="73" spans="2:5" ht="5.25" customHeight="1" x14ac:dyDescent="0.2">
      <c r="B73" s="122"/>
      <c r="C73" s="123"/>
      <c r="D73" s="123"/>
      <c r="E73" s="124"/>
    </row>
    <row r="74" spans="2:5" x14ac:dyDescent="0.2">
      <c r="B74" s="125" t="s">
        <v>16</v>
      </c>
      <c r="C74" s="123"/>
      <c r="D74" s="123"/>
      <c r="E74" s="124"/>
    </row>
    <row r="75" spans="2:5" ht="24.75" customHeight="1" x14ac:dyDescent="0.2">
      <c r="B75" s="125"/>
      <c r="C75" s="114" t="s">
        <v>94</v>
      </c>
      <c r="D75" s="114"/>
      <c r="E75" s="115"/>
    </row>
    <row r="76" spans="2:5" ht="11.25" customHeight="1" x14ac:dyDescent="0.2">
      <c r="B76" s="125" t="s">
        <v>17</v>
      </c>
      <c r="C76" s="123"/>
      <c r="D76" s="123"/>
      <c r="E76" s="124"/>
    </row>
    <row r="77" spans="2:5" x14ac:dyDescent="0.2">
      <c r="B77" s="126"/>
      <c r="C77" s="114" t="s">
        <v>65</v>
      </c>
      <c r="D77" s="114"/>
      <c r="E77" s="115"/>
    </row>
    <row r="78" spans="2:5" ht="49.5" customHeight="1" x14ac:dyDescent="0.2">
      <c r="B78" s="126"/>
      <c r="C78" s="114"/>
      <c r="D78" s="114"/>
      <c r="E78" s="115"/>
    </row>
    <row r="79" spans="2:5" x14ac:dyDescent="0.2">
      <c r="B79" s="125" t="s">
        <v>18</v>
      </c>
      <c r="C79" s="123"/>
      <c r="D79" s="123"/>
      <c r="E79" s="124"/>
    </row>
    <row r="80" spans="2:5" x14ac:dyDescent="0.2">
      <c r="B80" s="126"/>
      <c r="C80" s="114"/>
      <c r="D80" s="114"/>
      <c r="E80" s="115"/>
    </row>
    <row r="81" spans="2:5" x14ac:dyDescent="0.2">
      <c r="B81" s="125" t="s">
        <v>115</v>
      </c>
      <c r="C81" s="127"/>
      <c r="D81" s="127"/>
      <c r="E81" s="128"/>
    </row>
    <row r="82" spans="2:5" ht="12.75" customHeight="1" x14ac:dyDescent="0.2">
      <c r="B82" s="126"/>
      <c r="C82" s="114"/>
      <c r="D82" s="114"/>
      <c r="E82" s="115"/>
    </row>
    <row r="83" spans="2:5" x14ac:dyDescent="0.2">
      <c r="B83" s="125" t="s">
        <v>19</v>
      </c>
      <c r="C83" s="123"/>
      <c r="D83" s="123"/>
      <c r="E83" s="124"/>
    </row>
    <row r="84" spans="2:5" ht="20.25" customHeight="1" x14ac:dyDescent="0.2">
      <c r="B84" s="125"/>
      <c r="C84" s="114" t="s">
        <v>62</v>
      </c>
      <c r="D84" s="114"/>
      <c r="E84" s="115"/>
    </row>
    <row r="85" spans="2:5" ht="13.5" thickBot="1" x14ac:dyDescent="0.25">
      <c r="B85" s="129"/>
      <c r="C85" s="130"/>
      <c r="D85" s="130"/>
      <c r="E85" s="131"/>
    </row>
    <row r="86" spans="2:5" ht="11.25" customHeight="1" x14ac:dyDescent="0.2">
      <c r="B86" s="27"/>
      <c r="C86" s="27"/>
      <c r="D86" s="27"/>
      <c r="E86" s="27"/>
    </row>
    <row r="87" spans="2:5" ht="12.75" customHeight="1" thickBot="1" x14ac:dyDescent="0.25">
      <c r="B87" s="27"/>
      <c r="C87" s="27"/>
      <c r="D87" s="27"/>
      <c r="E87" s="27"/>
    </row>
    <row r="88" spans="2:5" ht="19.5" customHeight="1" x14ac:dyDescent="0.2">
      <c r="B88" s="119" t="s">
        <v>109</v>
      </c>
      <c r="C88" s="120"/>
      <c r="D88" s="120"/>
      <c r="E88" s="121"/>
    </row>
    <row r="89" spans="2:5" x14ac:dyDescent="0.2">
      <c r="B89" s="122"/>
      <c r="C89" s="123"/>
      <c r="D89" s="123"/>
      <c r="E89" s="124"/>
    </row>
    <row r="90" spans="2:5" x14ac:dyDescent="0.2">
      <c r="B90" s="125" t="s">
        <v>16</v>
      </c>
      <c r="C90" s="123"/>
      <c r="D90" s="123"/>
      <c r="E90" s="124"/>
    </row>
    <row r="91" spans="2:5" ht="33.75" customHeight="1" x14ac:dyDescent="0.2">
      <c r="B91" s="125"/>
      <c r="C91" s="114" t="s">
        <v>95</v>
      </c>
      <c r="D91" s="114"/>
      <c r="E91" s="115"/>
    </row>
    <row r="92" spans="2:5" x14ac:dyDescent="0.2">
      <c r="B92" s="125" t="s">
        <v>17</v>
      </c>
      <c r="C92" s="123"/>
      <c r="D92" s="123"/>
      <c r="E92" s="124"/>
    </row>
    <row r="93" spans="2:5" ht="12.75" customHeight="1" x14ac:dyDescent="0.2">
      <c r="B93" s="126"/>
      <c r="C93" s="114" t="s">
        <v>65</v>
      </c>
      <c r="D93" s="114"/>
      <c r="E93" s="115"/>
    </row>
    <row r="94" spans="2:5" ht="51.75" customHeight="1" x14ac:dyDescent="0.2">
      <c r="B94" s="126"/>
      <c r="C94" s="114"/>
      <c r="D94" s="114"/>
      <c r="E94" s="115"/>
    </row>
    <row r="95" spans="2:5" x14ac:dyDescent="0.2">
      <c r="B95" s="125" t="s">
        <v>18</v>
      </c>
      <c r="C95" s="123"/>
      <c r="D95" s="123"/>
      <c r="E95" s="124"/>
    </row>
    <row r="96" spans="2:5" x14ac:dyDescent="0.2">
      <c r="B96" s="126"/>
      <c r="C96" s="114"/>
      <c r="D96" s="114"/>
      <c r="E96" s="115"/>
    </row>
    <row r="97" spans="2:5" ht="12.75" customHeight="1" x14ac:dyDescent="0.2">
      <c r="B97" s="125" t="s">
        <v>115</v>
      </c>
      <c r="C97" s="127"/>
      <c r="D97" s="127"/>
      <c r="E97" s="128"/>
    </row>
    <row r="98" spans="2:5" ht="4.5" customHeight="1" x14ac:dyDescent="0.2">
      <c r="B98" s="126"/>
      <c r="C98" s="114"/>
      <c r="D98" s="114"/>
      <c r="E98" s="115"/>
    </row>
    <row r="99" spans="2:5" ht="20.25" customHeight="1" x14ac:dyDescent="0.2">
      <c r="B99" s="125" t="s">
        <v>19</v>
      </c>
      <c r="C99" s="123"/>
      <c r="D99" s="123"/>
      <c r="E99" s="124"/>
    </row>
    <row r="100" spans="2:5" x14ac:dyDescent="0.2">
      <c r="B100" s="125"/>
      <c r="C100" s="114" t="s">
        <v>75</v>
      </c>
      <c r="D100" s="114"/>
      <c r="E100" s="115"/>
    </row>
    <row r="101" spans="2:5" ht="12.75" customHeight="1" thickBot="1" x14ac:dyDescent="0.25">
      <c r="B101" s="129"/>
      <c r="C101" s="130"/>
      <c r="D101" s="130"/>
      <c r="E101" s="131"/>
    </row>
    <row r="102" spans="2:5" ht="16.5" customHeight="1" thickBot="1" x14ac:dyDescent="0.25">
      <c r="B102" s="27"/>
      <c r="C102" s="27"/>
      <c r="D102" s="27"/>
      <c r="E102" s="27"/>
    </row>
    <row r="103" spans="2:5" x14ac:dyDescent="0.2">
      <c r="B103" s="119" t="s">
        <v>68</v>
      </c>
      <c r="C103" s="120"/>
      <c r="D103" s="120"/>
      <c r="E103" s="121"/>
    </row>
    <row r="104" spans="2:5" x14ac:dyDescent="0.2">
      <c r="B104" s="122"/>
      <c r="C104" s="123"/>
      <c r="D104" s="123"/>
      <c r="E104" s="124"/>
    </row>
    <row r="105" spans="2:5" x14ac:dyDescent="0.2">
      <c r="B105" s="125" t="s">
        <v>16</v>
      </c>
      <c r="C105" s="123"/>
      <c r="D105" s="123"/>
      <c r="E105" s="124"/>
    </row>
    <row r="106" spans="2:5" ht="25.5" customHeight="1" x14ac:dyDescent="0.2">
      <c r="B106" s="125"/>
      <c r="C106" s="114" t="s">
        <v>96</v>
      </c>
      <c r="D106" s="114"/>
      <c r="E106" s="115"/>
    </row>
    <row r="107" spans="2:5" ht="14.25" customHeight="1" x14ac:dyDescent="0.2">
      <c r="B107" s="125" t="s">
        <v>17</v>
      </c>
      <c r="C107" s="123"/>
      <c r="D107" s="123"/>
      <c r="E107" s="124"/>
    </row>
    <row r="108" spans="2:5" ht="12.75" customHeight="1" x14ac:dyDescent="0.2">
      <c r="B108" s="126"/>
      <c r="C108" s="114" t="s">
        <v>65</v>
      </c>
      <c r="D108" s="114"/>
      <c r="E108" s="115"/>
    </row>
    <row r="109" spans="2:5" ht="60" customHeight="1" x14ac:dyDescent="0.2">
      <c r="B109" s="126"/>
      <c r="C109" s="114"/>
      <c r="D109" s="114"/>
      <c r="E109" s="115"/>
    </row>
    <row r="110" spans="2:5" x14ac:dyDescent="0.2">
      <c r="B110" s="125" t="s">
        <v>18</v>
      </c>
      <c r="C110" s="123"/>
      <c r="D110" s="123"/>
      <c r="E110" s="124"/>
    </row>
    <row r="111" spans="2:5" x14ac:dyDescent="0.2">
      <c r="B111" s="126"/>
      <c r="C111" s="114"/>
      <c r="D111" s="114"/>
      <c r="E111" s="115"/>
    </row>
    <row r="112" spans="2:5" ht="12.75" customHeight="1" x14ac:dyDescent="0.2">
      <c r="B112" s="125" t="s">
        <v>115</v>
      </c>
      <c r="C112" s="127"/>
      <c r="D112" s="127"/>
      <c r="E112" s="128"/>
    </row>
    <row r="113" spans="2:5" ht="6" customHeight="1" x14ac:dyDescent="0.2">
      <c r="B113" s="126"/>
      <c r="C113" s="114"/>
      <c r="D113" s="114"/>
      <c r="E113" s="115"/>
    </row>
    <row r="114" spans="2:5" ht="21" customHeight="1" x14ac:dyDescent="0.2">
      <c r="B114" s="125" t="s">
        <v>19</v>
      </c>
      <c r="C114" s="123"/>
      <c r="D114" s="123"/>
      <c r="E114" s="124"/>
    </row>
    <row r="115" spans="2:5" x14ac:dyDescent="0.2">
      <c r="B115" s="125"/>
      <c r="C115" s="114" t="s">
        <v>75</v>
      </c>
      <c r="D115" s="114"/>
      <c r="E115" s="115"/>
    </row>
    <row r="116" spans="2:5" ht="12.75" customHeight="1" thickBot="1" x14ac:dyDescent="0.25">
      <c r="B116" s="129"/>
      <c r="C116" s="130"/>
      <c r="D116" s="130"/>
      <c r="E116" s="131"/>
    </row>
    <row r="117" spans="2:5" ht="18.75" customHeight="1" thickBot="1" x14ac:dyDescent="0.25">
      <c r="B117" s="27"/>
      <c r="C117" s="27"/>
      <c r="D117" s="27"/>
      <c r="E117" s="27"/>
    </row>
    <row r="118" spans="2:5" x14ac:dyDescent="0.2">
      <c r="B118" s="119" t="s">
        <v>69</v>
      </c>
      <c r="C118" s="120"/>
      <c r="D118" s="120"/>
      <c r="E118" s="121"/>
    </row>
    <row r="119" spans="2:5" x14ac:dyDescent="0.2">
      <c r="B119" s="122"/>
      <c r="C119" s="123"/>
      <c r="D119" s="123"/>
      <c r="E119" s="124"/>
    </row>
    <row r="120" spans="2:5" x14ac:dyDescent="0.2">
      <c r="B120" s="125" t="s">
        <v>16</v>
      </c>
      <c r="C120" s="123"/>
      <c r="D120" s="123"/>
      <c r="E120" s="124"/>
    </row>
    <row r="121" spans="2:5" ht="33" customHeight="1" x14ac:dyDescent="0.2">
      <c r="B121" s="125"/>
      <c r="C121" s="114" t="s">
        <v>97</v>
      </c>
      <c r="D121" s="114"/>
      <c r="E121" s="115"/>
    </row>
    <row r="122" spans="2:5" x14ac:dyDescent="0.2">
      <c r="B122" s="125" t="s">
        <v>17</v>
      </c>
      <c r="C122" s="123"/>
      <c r="D122" s="123"/>
      <c r="E122" s="124"/>
    </row>
    <row r="123" spans="2:5" ht="12.75" customHeight="1" x14ac:dyDescent="0.2">
      <c r="B123" s="126"/>
      <c r="C123" s="114" t="s">
        <v>65</v>
      </c>
      <c r="D123" s="114"/>
      <c r="E123" s="115"/>
    </row>
    <row r="124" spans="2:5" ht="68.25" customHeight="1" x14ac:dyDescent="0.2">
      <c r="B124" s="126"/>
      <c r="C124" s="114"/>
      <c r="D124" s="114"/>
      <c r="E124" s="115"/>
    </row>
    <row r="125" spans="2:5" x14ac:dyDescent="0.2">
      <c r="B125" s="125" t="s">
        <v>18</v>
      </c>
      <c r="C125" s="123"/>
      <c r="D125" s="123"/>
      <c r="E125" s="124"/>
    </row>
    <row r="126" spans="2:5" x14ac:dyDescent="0.2">
      <c r="B126" s="126"/>
      <c r="C126" s="114"/>
      <c r="D126" s="114"/>
      <c r="E126" s="115"/>
    </row>
    <row r="127" spans="2:5" ht="12.75" customHeight="1" x14ac:dyDescent="0.2">
      <c r="B127" s="125" t="s">
        <v>115</v>
      </c>
      <c r="C127" s="127"/>
      <c r="D127" s="127"/>
      <c r="E127" s="128"/>
    </row>
    <row r="128" spans="2:5" ht="6" customHeight="1" x14ac:dyDescent="0.2">
      <c r="B128" s="126"/>
      <c r="C128" s="114"/>
      <c r="D128" s="114"/>
      <c r="E128" s="115"/>
    </row>
    <row r="129" spans="2:5" ht="11.25" customHeight="1" x14ac:dyDescent="0.2">
      <c r="B129" s="125" t="s">
        <v>19</v>
      </c>
      <c r="C129" s="123"/>
      <c r="D129" s="123"/>
      <c r="E129" s="124"/>
    </row>
    <row r="130" spans="2:5" x14ac:dyDescent="0.2">
      <c r="B130" s="125"/>
      <c r="C130" s="114" t="s">
        <v>75</v>
      </c>
      <c r="D130" s="114"/>
      <c r="E130" s="115"/>
    </row>
    <row r="131" spans="2:5" ht="12.75" customHeight="1" thickBot="1" x14ac:dyDescent="0.25">
      <c r="B131" s="129"/>
      <c r="C131" s="130"/>
      <c r="D131" s="130"/>
      <c r="E131" s="131"/>
    </row>
    <row r="132" spans="2:5" ht="13.5" customHeight="1" thickBot="1" x14ac:dyDescent="0.25">
      <c r="B132" s="27"/>
      <c r="C132" s="27"/>
      <c r="D132" s="27"/>
      <c r="E132" s="27"/>
    </row>
    <row r="133" spans="2:5" x14ac:dyDescent="0.2">
      <c r="B133" s="119" t="s">
        <v>70</v>
      </c>
      <c r="C133" s="120"/>
      <c r="D133" s="120"/>
      <c r="E133" s="121"/>
    </row>
    <row r="134" spans="2:5" ht="14.25" customHeight="1" x14ac:dyDescent="0.2">
      <c r="B134" s="122"/>
      <c r="C134" s="123"/>
      <c r="D134" s="123"/>
      <c r="E134" s="124"/>
    </row>
    <row r="135" spans="2:5" x14ac:dyDescent="0.2">
      <c r="B135" s="125" t="s">
        <v>16</v>
      </c>
      <c r="C135" s="123"/>
      <c r="D135" s="123"/>
      <c r="E135" s="124"/>
    </row>
    <row r="136" spans="2:5" ht="28.5" customHeight="1" x14ac:dyDescent="0.2">
      <c r="B136" s="125"/>
      <c r="C136" s="114" t="s">
        <v>98</v>
      </c>
      <c r="D136" s="114"/>
      <c r="E136" s="115"/>
    </row>
    <row r="137" spans="2:5" x14ac:dyDescent="0.2">
      <c r="B137" s="125" t="s">
        <v>17</v>
      </c>
      <c r="C137" s="123"/>
      <c r="D137" s="123"/>
      <c r="E137" s="124"/>
    </row>
    <row r="138" spans="2:5" ht="12.75" customHeight="1" x14ac:dyDescent="0.2">
      <c r="B138" s="126"/>
      <c r="C138" s="114" t="s">
        <v>65</v>
      </c>
      <c r="D138" s="114"/>
      <c r="E138" s="115"/>
    </row>
    <row r="139" spans="2:5" ht="60.75" customHeight="1" x14ac:dyDescent="0.2">
      <c r="B139" s="126"/>
      <c r="C139" s="114"/>
      <c r="D139" s="114"/>
      <c r="E139" s="115"/>
    </row>
    <row r="140" spans="2:5" x14ac:dyDescent="0.2">
      <c r="B140" s="125" t="s">
        <v>18</v>
      </c>
      <c r="C140" s="123"/>
      <c r="D140" s="123"/>
      <c r="E140" s="124"/>
    </row>
    <row r="141" spans="2:5" ht="9" customHeight="1" x14ac:dyDescent="0.2">
      <c r="B141" s="126"/>
      <c r="C141" s="114"/>
      <c r="D141" s="114"/>
      <c r="E141" s="115"/>
    </row>
    <row r="142" spans="2:5" ht="12.75" customHeight="1" x14ac:dyDescent="0.2">
      <c r="B142" s="125" t="s">
        <v>115</v>
      </c>
      <c r="C142" s="127"/>
      <c r="D142" s="127"/>
      <c r="E142" s="128"/>
    </row>
    <row r="143" spans="2:5" ht="6" customHeight="1" x14ac:dyDescent="0.2">
      <c r="B143" s="126"/>
      <c r="C143" s="114"/>
      <c r="D143" s="114"/>
      <c r="E143" s="115"/>
    </row>
    <row r="144" spans="2:5" ht="14.25" customHeight="1" x14ac:dyDescent="0.2">
      <c r="B144" s="125" t="s">
        <v>19</v>
      </c>
      <c r="C144" s="123"/>
      <c r="D144" s="123"/>
      <c r="E144" s="124"/>
    </row>
    <row r="145" spans="2:5" x14ac:dyDescent="0.2">
      <c r="B145" s="125"/>
      <c r="C145" s="114" t="s">
        <v>75</v>
      </c>
      <c r="D145" s="114"/>
      <c r="E145" s="115"/>
    </row>
    <row r="146" spans="2:5" ht="12.75" customHeight="1" thickBot="1" x14ac:dyDescent="0.25">
      <c r="B146" s="129"/>
      <c r="C146" s="130"/>
      <c r="D146" s="130"/>
      <c r="E146" s="131"/>
    </row>
    <row r="147" spans="2:5" ht="20.25" customHeight="1" thickBot="1" x14ac:dyDescent="0.25">
      <c r="B147" s="27"/>
      <c r="C147" s="27"/>
      <c r="D147" s="27"/>
      <c r="E147" s="27"/>
    </row>
    <row r="148" spans="2:5" x14ac:dyDescent="0.2">
      <c r="B148" s="119" t="s">
        <v>71</v>
      </c>
      <c r="C148" s="120"/>
      <c r="D148" s="120"/>
      <c r="E148" s="121"/>
    </row>
    <row r="149" spans="2:5" ht="6.75" customHeight="1" x14ac:dyDescent="0.2">
      <c r="B149" s="122"/>
      <c r="C149" s="123"/>
      <c r="D149" s="123"/>
      <c r="E149" s="124"/>
    </row>
    <row r="150" spans="2:5" x14ac:dyDescent="0.2">
      <c r="B150" s="125" t="s">
        <v>16</v>
      </c>
      <c r="C150" s="123"/>
      <c r="D150" s="123"/>
      <c r="E150" s="124"/>
    </row>
    <row r="151" spans="2:5" ht="25.5" customHeight="1" x14ac:dyDescent="0.2">
      <c r="B151" s="125"/>
      <c r="C151" s="114" t="s">
        <v>99</v>
      </c>
      <c r="D151" s="114"/>
      <c r="E151" s="115"/>
    </row>
    <row r="152" spans="2:5" x14ac:dyDescent="0.2">
      <c r="B152" s="125" t="s">
        <v>17</v>
      </c>
      <c r="C152" s="123"/>
      <c r="D152" s="123"/>
      <c r="E152" s="124"/>
    </row>
    <row r="153" spans="2:5" ht="12.75" customHeight="1" x14ac:dyDescent="0.2">
      <c r="B153" s="126"/>
      <c r="C153" s="114" t="s">
        <v>65</v>
      </c>
      <c r="D153" s="114"/>
      <c r="E153" s="115"/>
    </row>
    <row r="154" spans="2:5" ht="57.75" customHeight="1" x14ac:dyDescent="0.2">
      <c r="B154" s="126"/>
      <c r="C154" s="114"/>
      <c r="D154" s="114"/>
      <c r="E154" s="115"/>
    </row>
    <row r="155" spans="2:5" x14ac:dyDescent="0.2">
      <c r="B155" s="125" t="s">
        <v>18</v>
      </c>
      <c r="C155" s="123"/>
      <c r="D155" s="123"/>
      <c r="E155" s="124"/>
    </row>
    <row r="156" spans="2:5" x14ac:dyDescent="0.2">
      <c r="B156" s="126"/>
      <c r="C156" s="114"/>
      <c r="D156" s="114"/>
      <c r="E156" s="115"/>
    </row>
    <row r="157" spans="2:5" ht="12.75" customHeight="1" x14ac:dyDescent="0.2">
      <c r="B157" s="125" t="s">
        <v>117</v>
      </c>
      <c r="C157" s="127"/>
      <c r="D157" s="127"/>
      <c r="E157" s="128"/>
    </row>
    <row r="158" spans="2:5" ht="10.5" customHeight="1" x14ac:dyDescent="0.2">
      <c r="B158" s="126"/>
      <c r="C158" s="114"/>
      <c r="D158" s="114"/>
      <c r="E158" s="115"/>
    </row>
    <row r="159" spans="2:5" ht="102" hidden="1" customHeight="1" x14ac:dyDescent="0.2">
      <c r="B159" s="125" t="s">
        <v>19</v>
      </c>
      <c r="C159" s="123"/>
      <c r="D159" s="123"/>
      <c r="E159" s="124"/>
    </row>
    <row r="160" spans="2:5" x14ac:dyDescent="0.2">
      <c r="B160" s="125"/>
      <c r="C160" s="114" t="s">
        <v>75</v>
      </c>
      <c r="D160" s="114"/>
      <c r="E160" s="115"/>
    </row>
    <row r="161" spans="2:5" ht="13.5" customHeight="1" thickBot="1" x14ac:dyDescent="0.25">
      <c r="B161" s="129"/>
      <c r="C161" s="130"/>
      <c r="D161" s="130"/>
      <c r="E161" s="131"/>
    </row>
    <row r="162" spans="2:5" ht="13.5" thickBot="1" x14ac:dyDescent="0.25">
      <c r="B162" s="27"/>
      <c r="C162" s="27"/>
      <c r="D162" s="27"/>
      <c r="E162" s="27"/>
    </row>
    <row r="163" spans="2:5" ht="12.75" customHeight="1" x14ac:dyDescent="0.2">
      <c r="B163" s="119" t="s">
        <v>72</v>
      </c>
      <c r="C163" s="120"/>
      <c r="D163" s="120"/>
      <c r="E163" s="121"/>
    </row>
    <row r="164" spans="2:5" ht="3.75" customHeight="1" x14ac:dyDescent="0.2">
      <c r="B164" s="122"/>
      <c r="C164" s="123"/>
      <c r="D164" s="123"/>
      <c r="E164" s="124"/>
    </row>
    <row r="165" spans="2:5" x14ac:dyDescent="0.2">
      <c r="B165" s="125" t="s">
        <v>16</v>
      </c>
      <c r="C165" s="123"/>
      <c r="D165" s="123"/>
      <c r="E165" s="124"/>
    </row>
    <row r="166" spans="2:5" ht="26.25" customHeight="1" x14ac:dyDescent="0.2">
      <c r="B166" s="125"/>
      <c r="C166" s="114" t="s">
        <v>100</v>
      </c>
      <c r="D166" s="114"/>
      <c r="E166" s="115"/>
    </row>
    <row r="167" spans="2:5" x14ac:dyDescent="0.2">
      <c r="B167" s="125" t="s">
        <v>17</v>
      </c>
      <c r="C167" s="123"/>
      <c r="D167" s="123"/>
      <c r="E167" s="124"/>
    </row>
    <row r="168" spans="2:5" x14ac:dyDescent="0.2">
      <c r="B168" s="126"/>
      <c r="C168" s="114" t="s">
        <v>65</v>
      </c>
      <c r="D168" s="114"/>
      <c r="E168" s="115"/>
    </row>
    <row r="169" spans="2:5" ht="66" customHeight="1" x14ac:dyDescent="0.2">
      <c r="B169" s="126"/>
      <c r="C169" s="114"/>
      <c r="D169" s="114"/>
      <c r="E169" s="115"/>
    </row>
    <row r="170" spans="2:5" ht="12.75" customHeight="1" x14ac:dyDescent="0.2">
      <c r="B170" s="125" t="s">
        <v>18</v>
      </c>
      <c r="C170" s="123"/>
      <c r="D170" s="123"/>
      <c r="E170" s="124"/>
    </row>
    <row r="171" spans="2:5" ht="10.5" customHeight="1" x14ac:dyDescent="0.2">
      <c r="B171" s="126"/>
      <c r="C171" s="114"/>
      <c r="D171" s="114"/>
      <c r="E171" s="115"/>
    </row>
    <row r="172" spans="2:5" x14ac:dyDescent="0.2">
      <c r="B172" s="125" t="s">
        <v>117</v>
      </c>
      <c r="C172" s="127"/>
      <c r="D172" s="127"/>
      <c r="E172" s="128"/>
    </row>
    <row r="173" spans="2:5" ht="12.75" customHeight="1" x14ac:dyDescent="0.2">
      <c r="B173" s="126"/>
      <c r="C173" s="114"/>
      <c r="D173" s="114"/>
      <c r="E173" s="115"/>
    </row>
    <row r="174" spans="2:5" ht="9" customHeight="1" x14ac:dyDescent="0.2">
      <c r="B174" s="125" t="s">
        <v>19</v>
      </c>
      <c r="C174" s="123"/>
      <c r="D174" s="123"/>
      <c r="E174" s="124"/>
    </row>
    <row r="175" spans="2:5" ht="12.75" customHeight="1" x14ac:dyDescent="0.2">
      <c r="B175" s="125"/>
      <c r="C175" s="114" t="s">
        <v>76</v>
      </c>
      <c r="D175" s="114"/>
      <c r="E175" s="115"/>
    </row>
    <row r="176" spans="2:5" ht="6" customHeight="1" thickBot="1" x14ac:dyDescent="0.25">
      <c r="B176" s="116"/>
      <c r="C176" s="117"/>
      <c r="D176" s="117"/>
      <c r="E176" s="118"/>
    </row>
    <row r="177" spans="2:5" ht="13.5" thickBot="1" x14ac:dyDescent="0.25">
      <c r="B177" s="27"/>
      <c r="C177" s="27"/>
      <c r="D177" s="27"/>
      <c r="E177" s="27"/>
    </row>
    <row r="178" spans="2:5" ht="12.75" customHeight="1" x14ac:dyDescent="0.2">
      <c r="B178" s="119" t="s">
        <v>73</v>
      </c>
      <c r="C178" s="120"/>
      <c r="D178" s="120"/>
      <c r="E178" s="121"/>
    </row>
    <row r="179" spans="2:5" ht="6" customHeight="1" x14ac:dyDescent="0.2">
      <c r="B179" s="122"/>
      <c r="C179" s="123"/>
      <c r="D179" s="123"/>
      <c r="E179" s="124"/>
    </row>
    <row r="180" spans="2:5" x14ac:dyDescent="0.2">
      <c r="B180" s="125" t="s">
        <v>16</v>
      </c>
      <c r="C180" s="123"/>
      <c r="D180" s="123"/>
      <c r="E180" s="124"/>
    </row>
    <row r="181" spans="2:5" ht="30.75" customHeight="1" x14ac:dyDescent="0.2">
      <c r="B181" s="125"/>
      <c r="C181" s="114" t="s">
        <v>101</v>
      </c>
      <c r="D181" s="114"/>
      <c r="E181" s="115"/>
    </row>
    <row r="182" spans="2:5" ht="12.75" customHeight="1" x14ac:dyDescent="0.2">
      <c r="B182" s="125" t="s">
        <v>17</v>
      </c>
      <c r="C182" s="123"/>
      <c r="D182" s="123"/>
      <c r="E182" s="124"/>
    </row>
    <row r="183" spans="2:5" x14ac:dyDescent="0.2">
      <c r="B183" s="126"/>
      <c r="C183" s="114" t="s">
        <v>65</v>
      </c>
      <c r="D183" s="114"/>
      <c r="E183" s="115"/>
    </row>
    <row r="184" spans="2:5" ht="86.25" customHeight="1" x14ac:dyDescent="0.2">
      <c r="B184" s="126"/>
      <c r="C184" s="114"/>
      <c r="D184" s="114"/>
      <c r="E184" s="115"/>
    </row>
    <row r="185" spans="2:5" ht="12.75" customHeight="1" x14ac:dyDescent="0.2">
      <c r="B185" s="125" t="s">
        <v>18</v>
      </c>
      <c r="C185" s="123"/>
      <c r="D185" s="123"/>
      <c r="E185" s="124"/>
    </row>
    <row r="186" spans="2:5" x14ac:dyDescent="0.2">
      <c r="B186" s="126"/>
      <c r="C186" s="114"/>
      <c r="D186" s="114"/>
      <c r="E186" s="115"/>
    </row>
    <row r="187" spans="2:5" x14ac:dyDescent="0.2">
      <c r="B187" s="125" t="s">
        <v>117</v>
      </c>
      <c r="C187" s="127"/>
      <c r="D187" s="127"/>
      <c r="E187" s="128"/>
    </row>
    <row r="188" spans="2:5" x14ac:dyDescent="0.2">
      <c r="B188" s="126"/>
      <c r="C188" s="114"/>
      <c r="D188" s="114"/>
      <c r="E188" s="115"/>
    </row>
    <row r="189" spans="2:5" ht="12.75" customHeight="1" x14ac:dyDescent="0.2">
      <c r="B189" s="125" t="s">
        <v>19</v>
      </c>
      <c r="C189" s="123"/>
      <c r="D189" s="123"/>
      <c r="E189" s="124"/>
    </row>
    <row r="190" spans="2:5" x14ac:dyDescent="0.2">
      <c r="B190" s="125"/>
      <c r="C190" s="114" t="s">
        <v>76</v>
      </c>
      <c r="D190" s="114"/>
      <c r="E190" s="115"/>
    </row>
    <row r="191" spans="2:5" ht="11.25" customHeight="1" thickBot="1" x14ac:dyDescent="0.25">
      <c r="B191" s="129"/>
      <c r="C191" s="130"/>
      <c r="D191" s="130"/>
      <c r="E191" s="131"/>
    </row>
    <row r="192" spans="2:5" ht="13.5" thickBot="1" x14ac:dyDescent="0.25">
      <c r="B192" s="27"/>
      <c r="C192" s="27"/>
      <c r="D192" s="27"/>
      <c r="E192" s="27"/>
    </row>
    <row r="193" spans="2:5" ht="12.75" customHeight="1" x14ac:dyDescent="0.2">
      <c r="B193" s="119" t="s">
        <v>74</v>
      </c>
      <c r="C193" s="120"/>
      <c r="D193" s="120"/>
      <c r="E193" s="121"/>
    </row>
    <row r="194" spans="2:5" ht="9.75" customHeight="1" x14ac:dyDescent="0.2">
      <c r="B194" s="122"/>
      <c r="C194" s="123"/>
      <c r="D194" s="123"/>
      <c r="E194" s="124"/>
    </row>
    <row r="195" spans="2:5" x14ac:dyDescent="0.2">
      <c r="B195" s="125" t="s">
        <v>16</v>
      </c>
      <c r="C195" s="123"/>
      <c r="D195" s="123"/>
      <c r="E195" s="124"/>
    </row>
    <row r="196" spans="2:5" x14ac:dyDescent="0.2">
      <c r="B196" s="125"/>
      <c r="C196" s="114" t="s">
        <v>102</v>
      </c>
      <c r="D196" s="114"/>
      <c r="E196" s="115"/>
    </row>
    <row r="197" spans="2:5" x14ac:dyDescent="0.2">
      <c r="B197" s="125" t="s">
        <v>17</v>
      </c>
      <c r="C197" s="123"/>
      <c r="D197" s="123"/>
      <c r="E197" s="124"/>
    </row>
    <row r="198" spans="2:5" x14ac:dyDescent="0.2">
      <c r="B198" s="126"/>
      <c r="C198" s="114" t="s">
        <v>65</v>
      </c>
      <c r="D198" s="114"/>
      <c r="E198" s="115"/>
    </row>
    <row r="199" spans="2:5" ht="76.5" customHeight="1" x14ac:dyDescent="0.2">
      <c r="B199" s="126"/>
      <c r="C199" s="114"/>
      <c r="D199" s="114"/>
      <c r="E199" s="115"/>
    </row>
    <row r="200" spans="2:5" ht="12.75" customHeight="1" x14ac:dyDescent="0.2">
      <c r="B200" s="125" t="s">
        <v>18</v>
      </c>
      <c r="C200" s="123"/>
      <c r="D200" s="123"/>
      <c r="E200" s="124"/>
    </row>
    <row r="201" spans="2:5" ht="8.25" customHeight="1" x14ac:dyDescent="0.2">
      <c r="B201" s="126"/>
      <c r="C201" s="114"/>
      <c r="D201" s="114"/>
      <c r="E201" s="115"/>
    </row>
    <row r="202" spans="2:5" x14ac:dyDescent="0.2">
      <c r="B202" s="125" t="s">
        <v>117</v>
      </c>
      <c r="C202" s="127"/>
      <c r="D202" s="127"/>
      <c r="E202" s="128"/>
    </row>
    <row r="203" spans="2:5" x14ac:dyDescent="0.2">
      <c r="B203" s="126"/>
      <c r="C203" s="114"/>
      <c r="D203" s="114"/>
      <c r="E203" s="115"/>
    </row>
    <row r="204" spans="2:5" ht="12.75" customHeight="1" x14ac:dyDescent="0.2">
      <c r="B204" s="125" t="s">
        <v>19</v>
      </c>
      <c r="C204" s="123"/>
      <c r="D204" s="123"/>
      <c r="E204" s="124"/>
    </row>
    <row r="205" spans="2:5" x14ac:dyDescent="0.2">
      <c r="B205" s="125"/>
      <c r="C205" s="114" t="s">
        <v>76</v>
      </c>
      <c r="D205" s="114"/>
      <c r="E205" s="115"/>
    </row>
    <row r="206" spans="2:5" ht="12.75" customHeight="1" thickBot="1" x14ac:dyDescent="0.25">
      <c r="B206" s="129"/>
      <c r="C206" s="130"/>
      <c r="D206" s="130"/>
      <c r="E206" s="131"/>
    </row>
    <row r="207" spans="2:5" ht="13.5" thickBot="1" x14ac:dyDescent="0.25">
      <c r="B207" s="27"/>
      <c r="C207" s="27"/>
      <c r="D207" s="27"/>
      <c r="E207" s="27"/>
    </row>
    <row r="208" spans="2:5" x14ac:dyDescent="0.2">
      <c r="B208" s="119" t="s">
        <v>110</v>
      </c>
      <c r="C208" s="120"/>
      <c r="D208" s="120"/>
      <c r="E208" s="121"/>
    </row>
    <row r="209" spans="2:5" ht="4.5" customHeight="1" x14ac:dyDescent="0.2">
      <c r="B209" s="122"/>
      <c r="C209" s="123"/>
      <c r="D209" s="123"/>
      <c r="E209" s="124"/>
    </row>
    <row r="210" spans="2:5" x14ac:dyDescent="0.2">
      <c r="B210" s="125" t="s">
        <v>16</v>
      </c>
      <c r="C210" s="123"/>
      <c r="D210" s="123"/>
      <c r="E210" s="124"/>
    </row>
    <row r="211" spans="2:5" x14ac:dyDescent="0.2">
      <c r="B211" s="125"/>
      <c r="C211" s="114" t="s">
        <v>103</v>
      </c>
      <c r="D211" s="114"/>
      <c r="E211" s="115"/>
    </row>
    <row r="212" spans="2:5" x14ac:dyDescent="0.2">
      <c r="B212" s="125" t="s">
        <v>17</v>
      </c>
      <c r="C212" s="123"/>
      <c r="D212" s="123"/>
      <c r="E212" s="124"/>
    </row>
    <row r="213" spans="2:5" ht="12.75" customHeight="1" x14ac:dyDescent="0.2">
      <c r="B213" s="126"/>
      <c r="C213" s="114" t="s">
        <v>65</v>
      </c>
      <c r="D213" s="114"/>
      <c r="E213" s="115"/>
    </row>
    <row r="214" spans="2:5" ht="59.25" customHeight="1" x14ac:dyDescent="0.2">
      <c r="B214" s="126"/>
      <c r="C214" s="114"/>
      <c r="D214" s="114"/>
      <c r="E214" s="115"/>
    </row>
    <row r="215" spans="2:5" x14ac:dyDescent="0.2">
      <c r="B215" s="125" t="s">
        <v>18</v>
      </c>
      <c r="C215" s="123"/>
      <c r="D215" s="123"/>
      <c r="E215" s="124"/>
    </row>
    <row r="216" spans="2:5" ht="9.75" customHeight="1" x14ac:dyDescent="0.2">
      <c r="B216" s="126"/>
      <c r="C216" s="114"/>
      <c r="D216" s="114"/>
      <c r="E216" s="115"/>
    </row>
    <row r="217" spans="2:5" x14ac:dyDescent="0.2">
      <c r="B217" s="125" t="s">
        <v>117</v>
      </c>
      <c r="C217" s="127"/>
      <c r="D217" s="127"/>
      <c r="E217" s="128"/>
    </row>
    <row r="218" spans="2:5" ht="8.25" customHeight="1" x14ac:dyDescent="0.2">
      <c r="B218" s="126"/>
      <c r="C218" s="114"/>
      <c r="D218" s="114"/>
      <c r="E218" s="115"/>
    </row>
    <row r="219" spans="2:5" ht="14.25" customHeight="1" x14ac:dyDescent="0.2">
      <c r="B219" s="125" t="s">
        <v>19</v>
      </c>
      <c r="C219" s="123"/>
      <c r="D219" s="123"/>
      <c r="E219" s="124"/>
    </row>
    <row r="220" spans="2:5" x14ac:dyDescent="0.2">
      <c r="B220" s="125"/>
      <c r="C220" s="114" t="s">
        <v>76</v>
      </c>
      <c r="D220" s="114"/>
      <c r="E220" s="115"/>
    </row>
    <row r="221" spans="2:5" ht="12.75" customHeight="1" thickBot="1" x14ac:dyDescent="0.25">
      <c r="B221" s="129"/>
      <c r="C221" s="130"/>
      <c r="D221" s="130"/>
      <c r="E221" s="131"/>
    </row>
    <row r="222" spans="2:5" ht="65.25" customHeight="1" x14ac:dyDescent="0.2"/>
    <row r="226" ht="12.75" customHeight="1" x14ac:dyDescent="0.2"/>
    <row r="228" ht="12.75" customHeight="1" x14ac:dyDescent="0.2"/>
    <row r="234" ht="120" customHeight="1" x14ac:dyDescent="0.2"/>
    <row r="235" ht="12.75" customHeight="1" x14ac:dyDescent="0.2"/>
    <row r="236" ht="12.75" customHeight="1" x14ac:dyDescent="0.2"/>
    <row r="237" ht="71.25" customHeight="1" x14ac:dyDescent="0.2"/>
    <row r="241" ht="12.75" customHeight="1" x14ac:dyDescent="0.2"/>
    <row r="243" ht="12.75" customHeight="1" x14ac:dyDescent="0.2"/>
    <row r="249" ht="40.5" customHeight="1" x14ac:dyDescent="0.2"/>
    <row r="250" ht="12.75" customHeight="1" x14ac:dyDescent="0.2"/>
    <row r="251" ht="12.75" customHeight="1" x14ac:dyDescent="0.2"/>
    <row r="252" ht="66" customHeight="1" x14ac:dyDescent="0.2"/>
    <row r="256" ht="12.75" customHeight="1" x14ac:dyDescent="0.2"/>
    <row r="258" ht="12.75" customHeight="1" x14ac:dyDescent="0.2"/>
    <row r="264" ht="87" customHeight="1" x14ac:dyDescent="0.2"/>
    <row r="265" ht="12.75" customHeight="1" x14ac:dyDescent="0.2"/>
    <row r="266" ht="12.75" customHeight="1" x14ac:dyDescent="0.2"/>
    <row r="267" ht="72.75" customHeight="1" x14ac:dyDescent="0.2"/>
    <row r="271" ht="12.75" customHeight="1" x14ac:dyDescent="0.2"/>
    <row r="273" ht="12.75" customHeight="1" x14ac:dyDescent="0.2"/>
    <row r="279" ht="80.25" customHeight="1" x14ac:dyDescent="0.2"/>
    <row r="280" ht="19.5" customHeight="1" x14ac:dyDescent="0.2"/>
    <row r="282" ht="60" customHeight="1" x14ac:dyDescent="0.2"/>
    <row r="283" ht="15.75" customHeight="1" x14ac:dyDescent="0.2"/>
    <row r="287" ht="12.75" customHeight="1" x14ac:dyDescent="0.2"/>
    <row r="289" ht="12.75" customHeight="1" x14ac:dyDescent="0.2"/>
    <row r="295" ht="87.75" customHeight="1" x14ac:dyDescent="0.2"/>
    <row r="296" ht="12.75" customHeight="1" x14ac:dyDescent="0.2"/>
    <row r="298" ht="61.5" customHeight="1" x14ac:dyDescent="0.2"/>
    <row r="303" ht="12.75" customHeight="1" x14ac:dyDescent="0.2"/>
    <row r="305" ht="12.75" customHeight="1" x14ac:dyDescent="0.2"/>
    <row r="311" ht="65.25" customHeight="1" x14ac:dyDescent="0.2"/>
    <row r="312" ht="12.75" customHeight="1" x14ac:dyDescent="0.2"/>
    <row r="314" ht="71.25" customHeight="1" x14ac:dyDescent="0.2"/>
    <row r="318" ht="12.75" customHeight="1" x14ac:dyDescent="0.2"/>
    <row r="320" ht="12.75" customHeight="1" x14ac:dyDescent="0.2"/>
    <row r="326" ht="52.5" customHeight="1" x14ac:dyDescent="0.2"/>
    <row r="327" ht="12.75" customHeight="1" x14ac:dyDescent="0.2"/>
    <row r="329" ht="69.75" customHeight="1" x14ac:dyDescent="0.2"/>
    <row r="333" ht="12.75" customHeight="1" x14ac:dyDescent="0.2"/>
    <row r="335" ht="12.75" customHeight="1" x14ac:dyDescent="0.2"/>
    <row r="341" ht="34.5" customHeight="1" x14ac:dyDescent="0.2"/>
    <row r="342" ht="12.75" customHeight="1" x14ac:dyDescent="0.2"/>
    <row r="344" ht="72.75" customHeight="1" x14ac:dyDescent="0.2"/>
  </sheetData>
  <mergeCells count="73">
    <mergeCell ref="C158:E158"/>
    <mergeCell ref="C126:E126"/>
    <mergeCell ref="C128:E128"/>
    <mergeCell ref="C141:E141"/>
    <mergeCell ref="C130:E130"/>
    <mergeCell ref="C136:E136"/>
    <mergeCell ref="C138:E139"/>
    <mergeCell ref="C145:E145"/>
    <mergeCell ref="C151:E151"/>
    <mergeCell ref="C153:E154"/>
    <mergeCell ref="C143:E143"/>
    <mergeCell ref="C156:E156"/>
    <mergeCell ref="C106:E106"/>
    <mergeCell ref="C108:E109"/>
    <mergeCell ref="C115:E115"/>
    <mergeCell ref="C121:E121"/>
    <mergeCell ref="C123:E124"/>
    <mergeCell ref="C111:E111"/>
    <mergeCell ref="C113:E113"/>
    <mergeCell ref="C96:E96"/>
    <mergeCell ref="C98:E98"/>
    <mergeCell ref="C91:E91"/>
    <mergeCell ref="C93:E94"/>
    <mergeCell ref="C100:E100"/>
    <mergeCell ref="C75:E75"/>
    <mergeCell ref="C77:E78"/>
    <mergeCell ref="C80:E80"/>
    <mergeCell ref="C82:E82"/>
    <mergeCell ref="C84:E84"/>
    <mergeCell ref="C44:E44"/>
    <mergeCell ref="C46:E47"/>
    <mergeCell ref="C49:E49"/>
    <mergeCell ref="C51:E51"/>
    <mergeCell ref="C53:E53"/>
    <mergeCell ref="C29:E29"/>
    <mergeCell ref="C31:E32"/>
    <mergeCell ref="C34:E34"/>
    <mergeCell ref="C36:E36"/>
    <mergeCell ref="C38:E38"/>
    <mergeCell ref="A7:B7"/>
    <mergeCell ref="B2:H2"/>
    <mergeCell ref="A4:B4"/>
    <mergeCell ref="C4:E4"/>
    <mergeCell ref="A5:B5"/>
    <mergeCell ref="C5:E5"/>
    <mergeCell ref="A6:B6"/>
    <mergeCell ref="C188:E188"/>
    <mergeCell ref="C160:E160"/>
    <mergeCell ref="C166:E166"/>
    <mergeCell ref="C168:E169"/>
    <mergeCell ref="C171:E171"/>
    <mergeCell ref="C173:E173"/>
    <mergeCell ref="A23:H23"/>
    <mergeCell ref="C220:E220"/>
    <mergeCell ref="C205:E205"/>
    <mergeCell ref="C211:E211"/>
    <mergeCell ref="C213:E214"/>
    <mergeCell ref="C216:E216"/>
    <mergeCell ref="C218:E218"/>
    <mergeCell ref="C190:E190"/>
    <mergeCell ref="C196:E196"/>
    <mergeCell ref="C198:E199"/>
    <mergeCell ref="C201:E201"/>
    <mergeCell ref="C203:E203"/>
    <mergeCell ref="C175:E175"/>
    <mergeCell ref="C181:E181"/>
    <mergeCell ref="C183:E184"/>
    <mergeCell ref="C186:E186"/>
    <mergeCell ref="C60:E60"/>
    <mergeCell ref="C62:E63"/>
    <mergeCell ref="C65:E65"/>
    <mergeCell ref="C67:E67"/>
    <mergeCell ref="C69:E69"/>
  </mergeCells>
  <pageMargins left="0.70866141732283472" right="0.70866141732283472" top="0.74803149606299213" bottom="0.74803149606299213" header="0.51181102362204722" footer="0.51181102362204722"/>
  <pageSetup paperSize="5" scale="61" firstPageNumber="0"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J25"/>
  <sheetViews>
    <sheetView topLeftCell="A28" zoomScale="80" zoomScaleNormal="80" workbookViewId="0">
      <selection activeCell="C20" sqref="C20:G20"/>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2.28515625" style="2" customWidth="1"/>
    <col min="13" max="14" width="5.85546875" style="2" customWidth="1"/>
    <col min="15" max="15" width="12.5703125" style="2" customWidth="1"/>
    <col min="16" max="1024" width="9.140625" style="2"/>
  </cols>
  <sheetData>
    <row r="1" spans="1:12" ht="18" customHeight="1" x14ac:dyDescent="0.2">
      <c r="A1" s="73" t="s">
        <v>21</v>
      </c>
      <c r="B1" s="73"/>
      <c r="C1" s="73"/>
      <c r="D1" s="73"/>
      <c r="E1" s="73"/>
      <c r="F1" s="73"/>
      <c r="G1" s="73"/>
      <c r="H1" s="73"/>
      <c r="I1" s="73"/>
      <c r="J1" s="3" t="s">
        <v>22</v>
      </c>
      <c r="K1" s="25" t="s">
        <v>106</v>
      </c>
    </row>
    <row r="2" spans="1:12" ht="18.75" customHeight="1" thickBot="1" x14ac:dyDescent="0.25">
      <c r="A2" s="4"/>
      <c r="B2" s="4"/>
      <c r="C2" s="4"/>
      <c r="D2" s="5"/>
      <c r="E2" s="5"/>
      <c r="F2" s="5"/>
      <c r="G2" s="5"/>
      <c r="H2" s="5"/>
      <c r="I2" s="5"/>
      <c r="J2" s="5"/>
      <c r="K2" s="5"/>
    </row>
    <row r="3" spans="1:12" ht="18.75" customHeight="1" thickBot="1" x14ac:dyDescent="0.25">
      <c r="A3" s="74" t="s">
        <v>56</v>
      </c>
      <c r="B3" s="74"/>
      <c r="C3" s="74"/>
      <c r="D3" s="75" t="s">
        <v>59</v>
      </c>
      <c r="E3" s="75"/>
      <c r="F3" s="75"/>
      <c r="G3" s="75"/>
      <c r="H3" s="75"/>
      <c r="I3" s="75"/>
      <c r="J3" s="75"/>
      <c r="K3" s="75"/>
    </row>
    <row r="4" spans="1:12" ht="18.75" customHeight="1" thickBot="1" x14ac:dyDescent="0.25">
      <c r="A4" s="76" t="s">
        <v>57</v>
      </c>
      <c r="B4" s="76"/>
      <c r="C4" s="76"/>
      <c r="D4" s="75" t="s">
        <v>60</v>
      </c>
      <c r="E4" s="75"/>
      <c r="F4" s="75"/>
      <c r="G4" s="75"/>
      <c r="H4" s="75"/>
      <c r="I4" s="75"/>
      <c r="J4" s="75"/>
      <c r="K4" s="75"/>
    </row>
    <row r="5" spans="1:12" ht="18.75" customHeight="1" thickBot="1" x14ac:dyDescent="0.25">
      <c r="A5" s="76" t="s">
        <v>35</v>
      </c>
      <c r="B5" s="76"/>
      <c r="C5" s="76"/>
      <c r="D5" s="75" t="s">
        <v>63</v>
      </c>
      <c r="E5" s="75"/>
      <c r="F5" s="75"/>
      <c r="G5" s="75"/>
      <c r="H5" s="75"/>
      <c r="I5" s="75"/>
      <c r="J5" s="75"/>
      <c r="K5" s="75"/>
    </row>
    <row r="6" spans="1:12" ht="17.25" customHeight="1" thickBot="1" x14ac:dyDescent="0.25">
      <c r="A6" s="74" t="s">
        <v>58</v>
      </c>
      <c r="B6" s="74"/>
      <c r="C6" s="74"/>
      <c r="D6" s="75" t="s">
        <v>63</v>
      </c>
      <c r="E6" s="75"/>
      <c r="F6" s="75"/>
      <c r="G6" s="75"/>
      <c r="H6" s="75"/>
      <c r="I6" s="75"/>
      <c r="J6" s="75"/>
      <c r="K6" s="75"/>
    </row>
    <row r="7" spans="1:12" ht="20.25" customHeight="1" x14ac:dyDescent="0.2">
      <c r="A7" s="76" t="s">
        <v>23</v>
      </c>
      <c r="B7" s="76"/>
      <c r="C7" s="76"/>
      <c r="D7" s="75" t="s">
        <v>104</v>
      </c>
      <c r="E7" s="75"/>
      <c r="F7" s="75"/>
      <c r="G7" s="75"/>
      <c r="H7" s="75"/>
      <c r="I7" s="75"/>
      <c r="J7" s="75"/>
      <c r="K7" s="75"/>
    </row>
    <row r="8" spans="1:12" ht="40.5" customHeight="1" x14ac:dyDescent="0.2">
      <c r="A8" s="68" t="s">
        <v>24</v>
      </c>
      <c r="B8" s="68"/>
      <c r="C8" s="68"/>
      <c r="D8" s="69" t="s">
        <v>108</v>
      </c>
      <c r="E8" s="69"/>
      <c r="F8" s="69"/>
      <c r="G8" s="69"/>
      <c r="H8" s="69"/>
      <c r="I8" s="69"/>
      <c r="J8" s="69"/>
      <c r="K8" s="69"/>
    </row>
    <row r="9" spans="1:12" ht="15.75" x14ac:dyDescent="0.2">
      <c r="A9" s="6"/>
      <c r="B9" s="6"/>
      <c r="C9" s="6"/>
      <c r="D9" s="7"/>
      <c r="E9" s="7"/>
      <c r="F9" s="7"/>
      <c r="G9" s="7"/>
      <c r="H9" s="7"/>
      <c r="I9" s="7"/>
      <c r="J9" s="7"/>
      <c r="K9" s="7"/>
    </row>
    <row r="10" spans="1:12" ht="18.75" customHeight="1" x14ac:dyDescent="0.2">
      <c r="A10" s="70" t="s">
        <v>25</v>
      </c>
      <c r="B10" s="71" t="s">
        <v>26</v>
      </c>
      <c r="C10" s="71" t="s">
        <v>27</v>
      </c>
      <c r="D10" s="71"/>
      <c r="E10" s="71"/>
      <c r="F10" s="71"/>
      <c r="G10" s="71"/>
      <c r="H10" s="71" t="s">
        <v>28</v>
      </c>
      <c r="I10" s="71" t="s">
        <v>29</v>
      </c>
      <c r="J10" s="71" t="s">
        <v>30</v>
      </c>
      <c r="K10" s="72" t="s">
        <v>31</v>
      </c>
    </row>
    <row r="11" spans="1:12" ht="24" customHeight="1" thickBot="1" x14ac:dyDescent="0.25">
      <c r="A11" s="70"/>
      <c r="B11" s="71"/>
      <c r="C11" s="71"/>
      <c r="D11" s="71"/>
      <c r="E11" s="71"/>
      <c r="F11" s="71"/>
      <c r="G11" s="71"/>
      <c r="H11" s="71"/>
      <c r="I11" s="71"/>
      <c r="J11" s="71"/>
      <c r="K11" s="72"/>
    </row>
    <row r="12" spans="1:12" ht="49.5" customHeight="1" thickBot="1" x14ac:dyDescent="0.25">
      <c r="A12" s="32">
        <v>1</v>
      </c>
      <c r="B12" s="33" t="str">
        <f>'Necesidades Trimestrales (2)'!B10</f>
        <v>2.9.6-401.2378</v>
      </c>
      <c r="C12" s="63" t="str">
        <f>'Necesidades Trimestrales (2)'!E10</f>
        <v>CARTUCHOS DE TONER; CODIGO: W1105A, USO: HEWLETT PACKARD</v>
      </c>
      <c r="D12" s="64" t="s">
        <v>77</v>
      </c>
      <c r="E12" s="64" t="s">
        <v>77</v>
      </c>
      <c r="F12" s="64" t="s">
        <v>77</v>
      </c>
      <c r="G12" s="65" t="s">
        <v>77</v>
      </c>
      <c r="H12" s="34" t="s">
        <v>32</v>
      </c>
      <c r="I12" s="35" t="s">
        <v>14</v>
      </c>
      <c r="J12" s="36">
        <f>'Necesidades Trimestrales (2)'!H10</f>
        <v>1850</v>
      </c>
      <c r="K12" s="37">
        <f>'Necesidades Trimestrales (2)'!G10</f>
        <v>60</v>
      </c>
      <c r="L12" s="28"/>
    </row>
    <row r="13" spans="1:12" ht="49.5" customHeight="1" thickBot="1" x14ac:dyDescent="0.25">
      <c r="A13" s="32">
        <v>2</v>
      </c>
      <c r="B13" s="33" t="str">
        <f>'Necesidades Trimestrales (2)'!B11</f>
        <v>2.9.6-401.1779</v>
      </c>
      <c r="C13" s="63" t="str">
        <f>'Necesidades Trimestrales (2)'!E11</f>
        <v>CARTUCHOS DE TONER; CODIGO: MLT-D101, USO: SAMSUNG</v>
      </c>
      <c r="D13" s="64" t="s">
        <v>77</v>
      </c>
      <c r="E13" s="64" t="s">
        <v>77</v>
      </c>
      <c r="F13" s="64" t="s">
        <v>77</v>
      </c>
      <c r="G13" s="65" t="s">
        <v>77</v>
      </c>
      <c r="H13" s="34" t="s">
        <v>32</v>
      </c>
      <c r="I13" s="35" t="s">
        <v>14</v>
      </c>
      <c r="J13" s="36">
        <f>'Necesidades Trimestrales (2)'!H11</f>
        <v>1358</v>
      </c>
      <c r="K13" s="37">
        <f>'Necesidades Trimestrales (2)'!G11</f>
        <v>5</v>
      </c>
      <c r="L13" s="28"/>
    </row>
    <row r="14" spans="1:12" ht="49.5" customHeight="1" thickBot="1" x14ac:dyDescent="0.25">
      <c r="A14" s="32">
        <v>3</v>
      </c>
      <c r="B14" s="33" t="str">
        <f>'Necesidades Trimestrales (2)'!B12</f>
        <v>2.9.6-401.1362</v>
      </c>
      <c r="C14" s="63" t="str">
        <f>'Necesidades Trimestrales (2)'!E12</f>
        <v>CARTUCHOS DE TONER; CODIGO: CE285A, USO: HEWLETT PACKARD</v>
      </c>
      <c r="D14" s="64" t="s">
        <v>77</v>
      </c>
      <c r="E14" s="64" t="s">
        <v>77</v>
      </c>
      <c r="F14" s="64" t="s">
        <v>77</v>
      </c>
      <c r="G14" s="65" t="s">
        <v>77</v>
      </c>
      <c r="H14" s="34" t="s">
        <v>32</v>
      </c>
      <c r="I14" s="35" t="s">
        <v>14</v>
      </c>
      <c r="J14" s="36">
        <f>'Necesidades Trimestrales (2)'!H12</f>
        <v>1300</v>
      </c>
      <c r="K14" s="37">
        <f>'Necesidades Trimestrales (2)'!G12</f>
        <v>30</v>
      </c>
      <c r="L14" s="28"/>
    </row>
    <row r="15" spans="1:12" ht="49.5" customHeight="1" thickBot="1" x14ac:dyDescent="0.25">
      <c r="A15" s="32">
        <v>4</v>
      </c>
      <c r="B15" s="33" t="str">
        <f>'Necesidades Trimestrales (2)'!B13</f>
        <v>2.9.6-401.2303</v>
      </c>
      <c r="C15" s="63" t="str">
        <f>'Necesidades Trimestrales (2)'!E13</f>
        <v>CARTUCHOS DE TONER; CODIGO: CF410A, USO: HEWLETT PACKARD</v>
      </c>
      <c r="D15" s="64" t="s">
        <v>77</v>
      </c>
      <c r="E15" s="64" t="s">
        <v>77</v>
      </c>
      <c r="F15" s="64" t="s">
        <v>77</v>
      </c>
      <c r="G15" s="65" t="s">
        <v>77</v>
      </c>
      <c r="H15" s="34" t="s">
        <v>32</v>
      </c>
      <c r="I15" s="35" t="s">
        <v>14</v>
      </c>
      <c r="J15" s="36">
        <f>'Necesidades Trimestrales (2)'!H13</f>
        <v>2900</v>
      </c>
      <c r="K15" s="37">
        <f>'Necesidades Trimestrales (2)'!G13</f>
        <v>4</v>
      </c>
      <c r="L15" s="28"/>
    </row>
    <row r="16" spans="1:12" ht="49.5" customHeight="1" thickBot="1" x14ac:dyDescent="0.25">
      <c r="A16" s="32">
        <v>5</v>
      </c>
      <c r="B16" s="33" t="str">
        <f>'Necesidades Trimestrales (2)'!B14</f>
        <v>2.9.6-401.2304</v>
      </c>
      <c r="C16" s="63" t="str">
        <f>'Necesidades Trimestrales (2)'!E14</f>
        <v>CARTUCHOS DE TONER; CODIGO: CF411A, USO: HEWLETT PACKARD</v>
      </c>
      <c r="D16" s="64" t="s">
        <v>77</v>
      </c>
      <c r="E16" s="64" t="s">
        <v>77</v>
      </c>
      <c r="F16" s="64" t="s">
        <v>77</v>
      </c>
      <c r="G16" s="65" t="s">
        <v>77</v>
      </c>
      <c r="H16" s="34" t="s">
        <v>32</v>
      </c>
      <c r="I16" s="35" t="s">
        <v>14</v>
      </c>
      <c r="J16" s="36">
        <f>'Necesidades Trimestrales (2)'!H14</f>
        <v>2900</v>
      </c>
      <c r="K16" s="37">
        <f>'Necesidades Trimestrales (2)'!G14</f>
        <v>4</v>
      </c>
      <c r="L16" s="28"/>
    </row>
    <row r="17" spans="1:12" ht="49.5" customHeight="1" thickBot="1" x14ac:dyDescent="0.25">
      <c r="A17" s="32">
        <v>6</v>
      </c>
      <c r="B17" s="33" t="str">
        <f>'Necesidades Trimestrales (2)'!B15</f>
        <v>2.9.6-401.2305</v>
      </c>
      <c r="C17" s="63" t="str">
        <f>'Necesidades Trimestrales (2)'!E15</f>
        <v>CARTUCHOS DE TONER; CODIGO: CF412A, USO: HEWLETT PACKARD</v>
      </c>
      <c r="D17" s="64" t="s">
        <v>77</v>
      </c>
      <c r="E17" s="64" t="s">
        <v>77</v>
      </c>
      <c r="F17" s="64" t="s">
        <v>77</v>
      </c>
      <c r="G17" s="65" t="s">
        <v>77</v>
      </c>
      <c r="H17" s="34" t="s">
        <v>32</v>
      </c>
      <c r="I17" s="35" t="s">
        <v>14</v>
      </c>
      <c r="J17" s="36">
        <f>'Necesidades Trimestrales (2)'!H15</f>
        <v>2900</v>
      </c>
      <c r="K17" s="37">
        <f>'Necesidades Trimestrales (2)'!G15</f>
        <v>4</v>
      </c>
      <c r="L17" s="28"/>
    </row>
    <row r="18" spans="1:12" ht="49.5" customHeight="1" thickBot="1" x14ac:dyDescent="0.25">
      <c r="A18" s="32">
        <v>7</v>
      </c>
      <c r="B18" s="33" t="str">
        <f>'Necesidades Trimestrales (2)'!B16</f>
        <v>2.9.6-401.2306</v>
      </c>
      <c r="C18" s="63" t="str">
        <f>'Necesidades Trimestrales (2)'!E16</f>
        <v>CARTUCHOS DE TONER; CODIGO: CF413A, USO: HEWLETT PACKARD</v>
      </c>
      <c r="D18" s="64" t="s">
        <v>77</v>
      </c>
      <c r="E18" s="64" t="s">
        <v>77</v>
      </c>
      <c r="F18" s="64" t="s">
        <v>77</v>
      </c>
      <c r="G18" s="65" t="s">
        <v>77</v>
      </c>
      <c r="H18" s="34" t="s">
        <v>32</v>
      </c>
      <c r="I18" s="35" t="s">
        <v>14</v>
      </c>
      <c r="J18" s="36">
        <f>'Necesidades Trimestrales (2)'!H16</f>
        <v>2900</v>
      </c>
      <c r="K18" s="37">
        <f>'Necesidades Trimestrales (2)'!G16</f>
        <v>4</v>
      </c>
      <c r="L18" s="28"/>
    </row>
    <row r="19" spans="1:12" ht="49.5" customHeight="1" thickBot="1" x14ac:dyDescent="0.25">
      <c r="A19" s="32">
        <v>8</v>
      </c>
      <c r="B19" s="33" t="str">
        <f>'Necesidades Trimestrales (2)'!B17</f>
        <v>2.9.6-401.2378</v>
      </c>
      <c r="C19" s="63" t="str">
        <f>'Necesidades Trimestrales (2)'!E17</f>
        <v>CARTUCHOS DE TONER; CODIGO: W1105A, USO: HEWLETT PACKARD</v>
      </c>
      <c r="D19" s="64" t="s">
        <v>77</v>
      </c>
      <c r="E19" s="64" t="s">
        <v>77</v>
      </c>
      <c r="F19" s="64" t="s">
        <v>77</v>
      </c>
      <c r="G19" s="65" t="s">
        <v>77</v>
      </c>
      <c r="H19" s="34" t="s">
        <v>32</v>
      </c>
      <c r="I19" s="35" t="s">
        <v>14</v>
      </c>
      <c r="J19" s="36">
        <f>'Necesidades Trimestrales (2)'!H17</f>
        <v>9500</v>
      </c>
      <c r="K19" s="37">
        <f>'Necesidades Trimestrales (2)'!G17</f>
        <v>18</v>
      </c>
      <c r="L19" s="28"/>
    </row>
    <row r="20" spans="1:12" ht="49.5" customHeight="1" thickBot="1" x14ac:dyDescent="0.25">
      <c r="A20" s="32">
        <v>9</v>
      </c>
      <c r="B20" s="33" t="str">
        <f>'Necesidades Trimestrales (2)'!B18</f>
        <v>2.9.6-401.1779</v>
      </c>
      <c r="C20" s="63" t="str">
        <f>'Necesidades Trimestrales (2)'!E18</f>
        <v>CARTUCHOS DE TONER; CODIGO: MLT-D101, USO: SAMSUNG</v>
      </c>
      <c r="D20" s="64" t="s">
        <v>77</v>
      </c>
      <c r="E20" s="64" t="s">
        <v>77</v>
      </c>
      <c r="F20" s="64" t="s">
        <v>77</v>
      </c>
      <c r="G20" s="65" t="s">
        <v>77</v>
      </c>
      <c r="H20" s="34" t="s">
        <v>32</v>
      </c>
      <c r="I20" s="35" t="s">
        <v>14</v>
      </c>
      <c r="J20" s="36">
        <f>'Necesidades Trimestrales (2)'!H18</f>
        <v>17642</v>
      </c>
      <c r="K20" s="37">
        <f>'Necesidades Trimestrales (2)'!G18</f>
        <v>2</v>
      </c>
      <c r="L20" s="28"/>
    </row>
    <row r="21" spans="1:12" ht="49.5" customHeight="1" thickBot="1" x14ac:dyDescent="0.25">
      <c r="A21" s="32">
        <v>10</v>
      </c>
      <c r="B21" s="33" t="str">
        <f>'Necesidades Trimestrales (2)'!B19</f>
        <v>2.9.6-401.2303</v>
      </c>
      <c r="C21" s="63" t="str">
        <f>'Necesidades Trimestrales (2)'!E19</f>
        <v>CARTUCHOS DE TONER; CODIGO: CF410A, USO: HEWLETT PACKARD</v>
      </c>
      <c r="D21" s="64" t="s">
        <v>77</v>
      </c>
      <c r="E21" s="64" t="s">
        <v>77</v>
      </c>
      <c r="F21" s="64" t="s">
        <v>77</v>
      </c>
      <c r="G21" s="65" t="s">
        <v>77</v>
      </c>
      <c r="H21" s="34" t="s">
        <v>32</v>
      </c>
      <c r="I21" s="35" t="s">
        <v>14</v>
      </c>
      <c r="J21" s="36">
        <f>'Necesidades Trimestrales (2)'!H19</f>
        <v>17478</v>
      </c>
      <c r="K21" s="37">
        <f>'Necesidades Trimestrales (2)'!G19</f>
        <v>2</v>
      </c>
      <c r="L21" s="28"/>
    </row>
    <row r="22" spans="1:12" ht="49.5" customHeight="1" thickBot="1" x14ac:dyDescent="0.25">
      <c r="A22" s="32">
        <v>11</v>
      </c>
      <c r="B22" s="33" t="str">
        <f>'Necesidades Trimestrales (2)'!B20</f>
        <v>2.9.6-401.2304</v>
      </c>
      <c r="C22" s="63" t="str">
        <f>'Necesidades Trimestrales (2)'!E20</f>
        <v>CARTUCHOS DE TONER; CODIGO: CF411A, USO: HEWLETT PACKARD</v>
      </c>
      <c r="D22" s="64" t="s">
        <v>77</v>
      </c>
      <c r="E22" s="64" t="s">
        <v>77</v>
      </c>
      <c r="F22" s="64" t="s">
        <v>77</v>
      </c>
      <c r="G22" s="65" t="s">
        <v>77</v>
      </c>
      <c r="H22" s="34" t="s">
        <v>32</v>
      </c>
      <c r="I22" s="35" t="s">
        <v>14</v>
      </c>
      <c r="J22" s="36">
        <f>'Necesidades Trimestrales (2)'!H20</f>
        <v>17478</v>
      </c>
      <c r="K22" s="37">
        <f>'Necesidades Trimestrales (2)'!G20</f>
        <v>2</v>
      </c>
      <c r="L22" s="28"/>
    </row>
    <row r="23" spans="1:12" ht="49.5" customHeight="1" thickBot="1" x14ac:dyDescent="0.25">
      <c r="A23" s="32">
        <v>12</v>
      </c>
      <c r="B23" s="33" t="str">
        <f>'Necesidades Trimestrales (2)'!B21</f>
        <v>2.9.6-401.2305</v>
      </c>
      <c r="C23" s="63" t="str">
        <f>'Necesidades Trimestrales (2)'!E21</f>
        <v>CARTUCHOS DE TONER; CODIGO: CF412A, USO: HEWLETT PACKARD</v>
      </c>
      <c r="D23" s="64" t="s">
        <v>77</v>
      </c>
      <c r="E23" s="64" t="s">
        <v>77</v>
      </c>
      <c r="F23" s="64" t="s">
        <v>77</v>
      </c>
      <c r="G23" s="65" t="s">
        <v>77</v>
      </c>
      <c r="H23" s="34" t="s">
        <v>32</v>
      </c>
      <c r="I23" s="35" t="s">
        <v>14</v>
      </c>
      <c r="J23" s="36">
        <f>'Necesidades Trimestrales (2)'!H21</f>
        <v>17478</v>
      </c>
      <c r="K23" s="37">
        <f>'Necesidades Trimestrales (2)'!G21</f>
        <v>2</v>
      </c>
      <c r="L23" s="28"/>
    </row>
    <row r="24" spans="1:12" ht="49.5" customHeight="1" thickBot="1" x14ac:dyDescent="0.25">
      <c r="A24" s="32">
        <v>13</v>
      </c>
      <c r="B24" s="33" t="str">
        <f>'Necesidades Trimestrales (2)'!B22</f>
        <v>2.9.6-401.2306</v>
      </c>
      <c r="C24" s="63" t="str">
        <f>'Necesidades Trimestrales (2)'!E22</f>
        <v>CARTUCHOS DE TONER; CODIGO: CF413A, USO: HEWLETT PACKARD</v>
      </c>
      <c r="D24" s="64" t="s">
        <v>77</v>
      </c>
      <c r="E24" s="64" t="s">
        <v>77</v>
      </c>
      <c r="F24" s="64" t="s">
        <v>77</v>
      </c>
      <c r="G24" s="65" t="s">
        <v>77</v>
      </c>
      <c r="H24" s="34" t="s">
        <v>32</v>
      </c>
      <c r="I24" s="35" t="s">
        <v>14</v>
      </c>
      <c r="J24" s="36">
        <f>'Necesidades Trimestrales (2)'!H22</f>
        <v>17478</v>
      </c>
      <c r="K24" s="37">
        <f>'Necesidades Trimestrales (2)'!G22</f>
        <v>2</v>
      </c>
      <c r="L24" s="28"/>
    </row>
    <row r="25" spans="1:12" ht="38.25" customHeight="1" thickBot="1" x14ac:dyDescent="0.25">
      <c r="A25" s="66" t="s">
        <v>107</v>
      </c>
      <c r="B25" s="66"/>
      <c r="C25" s="66"/>
      <c r="D25" s="66"/>
      <c r="E25" s="66"/>
      <c r="F25" s="66"/>
      <c r="G25" s="66"/>
      <c r="H25" s="66"/>
      <c r="I25" s="66"/>
      <c r="J25" s="67">
        <f>SUMPRODUCT(J12:J24,K12:K24)</f>
        <v>549298</v>
      </c>
      <c r="K25" s="67"/>
      <c r="L25" s="28"/>
    </row>
  </sheetData>
  <mergeCells count="35">
    <mergeCell ref="C23:G23"/>
    <mergeCell ref="C24:G24"/>
    <mergeCell ref="C18:G18"/>
    <mergeCell ref="C19:G19"/>
    <mergeCell ref="C20:G20"/>
    <mergeCell ref="C21:G21"/>
    <mergeCell ref="C22:G22"/>
    <mergeCell ref="C17:G17"/>
    <mergeCell ref="A1:I1"/>
    <mergeCell ref="A6:C6"/>
    <mergeCell ref="D6:K6"/>
    <mergeCell ref="A7:C7"/>
    <mergeCell ref="D7:K7"/>
    <mergeCell ref="A3:C3"/>
    <mergeCell ref="D3:K3"/>
    <mergeCell ref="A4:C4"/>
    <mergeCell ref="D4:K4"/>
    <mergeCell ref="A5:C5"/>
    <mergeCell ref="D5:K5"/>
    <mergeCell ref="C14:G14"/>
    <mergeCell ref="A25:I25"/>
    <mergeCell ref="J25:K25"/>
    <mergeCell ref="C12:G12"/>
    <mergeCell ref="A8:C8"/>
    <mergeCell ref="D8:K8"/>
    <mergeCell ref="A10:A11"/>
    <mergeCell ref="B10:B11"/>
    <mergeCell ref="C10:G11"/>
    <mergeCell ref="H10:H11"/>
    <mergeCell ref="I10:I11"/>
    <mergeCell ref="J10:J11"/>
    <mergeCell ref="K10:K11"/>
    <mergeCell ref="C13:G13"/>
    <mergeCell ref="C15:G15"/>
    <mergeCell ref="C16:G16"/>
  </mergeCells>
  <printOptions horizontalCentered="1"/>
  <pageMargins left="0.196527777777778" right="0.196527777777778" top="0.98402777777777795" bottom="0.98402777777777795" header="0.51180555555555496" footer="0.51180555555555496"/>
  <pageSetup paperSize="5" scale="68" firstPageNumber="0"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tabSelected="1" topLeftCell="A16" zoomScale="130" zoomScaleNormal="130" workbookViewId="0">
      <selection activeCell="R17" sqref="R17"/>
    </sheetView>
  </sheetViews>
  <sheetFormatPr baseColWidth="10" defaultColWidth="11" defaultRowHeight="12.75" x14ac:dyDescent="0.2"/>
  <cols>
    <col min="1" max="4" width="4.42578125" customWidth="1"/>
    <col min="5" max="5" width="4.140625" customWidth="1"/>
    <col min="6" max="6" width="5.42578125" customWidth="1"/>
    <col min="7" max="7" width="4.42578125" style="8" customWidth="1"/>
    <col min="8" max="14" width="4.42578125" customWidth="1"/>
    <col min="15" max="15" width="14.85546875" customWidth="1"/>
    <col min="16" max="16" width="14" customWidth="1"/>
    <col min="17" max="17" width="14.7109375" customWidth="1"/>
  </cols>
  <sheetData>
    <row r="1" spans="1:17" ht="15.75" customHeight="1" x14ac:dyDescent="0.25">
      <c r="A1" s="102" t="s">
        <v>3</v>
      </c>
      <c r="B1" s="102"/>
      <c r="C1" s="102"/>
      <c r="D1" s="103">
        <v>2021</v>
      </c>
      <c r="E1" s="103"/>
      <c r="F1" s="9"/>
      <c r="G1" s="9"/>
      <c r="H1" s="10"/>
      <c r="I1" s="10"/>
      <c r="J1" s="10"/>
      <c r="K1" s="10"/>
      <c r="L1" s="10"/>
      <c r="M1" s="10"/>
      <c r="N1" s="10"/>
      <c r="P1" s="104" t="s">
        <v>33</v>
      </c>
      <c r="Q1" s="104"/>
    </row>
    <row r="2" spans="1:17" ht="15.75" customHeight="1" x14ac:dyDescent="0.2">
      <c r="H2" s="10"/>
      <c r="I2" s="10"/>
      <c r="J2" s="10"/>
      <c r="K2" s="10"/>
      <c r="L2" s="10"/>
      <c r="M2" s="10"/>
      <c r="N2" s="10"/>
      <c r="P2" s="104"/>
      <c r="Q2" s="104"/>
    </row>
    <row r="4" spans="1:17" s="11" customFormat="1" ht="18" customHeight="1" thickBot="1" x14ac:dyDescent="0.25">
      <c r="A4" s="105" t="s">
        <v>34</v>
      </c>
      <c r="B4" s="105"/>
      <c r="C4" s="105"/>
      <c r="D4" s="105"/>
      <c r="E4" s="105"/>
      <c r="F4" s="105"/>
      <c r="G4" s="99" t="str">
        <f>' NotaPedido'!D3</f>
        <v>70 - MINISTERIO DE CIENCIA E INNOVACION TECNOLOGICA</v>
      </c>
      <c r="H4" s="99"/>
      <c r="I4" s="99"/>
      <c r="J4" s="99"/>
      <c r="K4" s="99"/>
      <c r="L4" s="99"/>
      <c r="M4" s="99"/>
      <c r="N4" s="99"/>
      <c r="O4" s="99"/>
      <c r="P4" s="99"/>
      <c r="Q4" s="99"/>
    </row>
    <row r="5" spans="1:17" s="11" customFormat="1" ht="18" customHeight="1" thickBot="1" x14ac:dyDescent="0.25">
      <c r="A5" s="96" t="s">
        <v>57</v>
      </c>
      <c r="B5" s="97"/>
      <c r="C5" s="97"/>
      <c r="D5" s="97"/>
      <c r="E5" s="97"/>
      <c r="F5" s="98"/>
      <c r="G5" s="99" t="str">
        <f>' NotaPedido'!D4</f>
        <v>20 - MINISTERIO DE CIENCIA E INNOVACION TECNOLOGICA</v>
      </c>
      <c r="H5" s="99"/>
      <c r="I5" s="99"/>
      <c r="J5" s="99"/>
      <c r="K5" s="99"/>
      <c r="L5" s="99"/>
      <c r="M5" s="99"/>
      <c r="N5" s="99"/>
      <c r="O5" s="99"/>
      <c r="P5" s="99"/>
      <c r="Q5" s="99"/>
    </row>
    <row r="6" spans="1:17" s="11" customFormat="1" ht="18" customHeight="1" thickBot="1" x14ac:dyDescent="0.25">
      <c r="A6" s="96" t="s">
        <v>35</v>
      </c>
      <c r="B6" s="97"/>
      <c r="C6" s="97"/>
      <c r="D6" s="97"/>
      <c r="E6" s="97"/>
      <c r="F6" s="98"/>
      <c r="G6" s="101" t="str">
        <f>' NotaPedido'!D5</f>
        <v>DIRECCION PROVINCIAL DE GESTION ADMINISTRATIVA RECURSOS HUMANOS</v>
      </c>
      <c r="H6" s="101"/>
      <c r="I6" s="101"/>
      <c r="J6" s="101"/>
      <c r="K6" s="101"/>
      <c r="L6" s="101"/>
      <c r="M6" s="101"/>
      <c r="N6" s="101"/>
      <c r="O6" s="101"/>
      <c r="P6" s="101"/>
      <c r="Q6" s="101"/>
    </row>
    <row r="7" spans="1:17" s="11" customFormat="1" ht="18" customHeight="1" thickBot="1" x14ac:dyDescent="0.25">
      <c r="A7" s="96" t="s">
        <v>58</v>
      </c>
      <c r="B7" s="97"/>
      <c r="C7" s="97"/>
      <c r="D7" s="97"/>
      <c r="E7" s="97"/>
      <c r="F7" s="98"/>
      <c r="G7" s="101" t="str">
        <f>' NotaPedido'!D6</f>
        <v>DIRECCION PROVINCIAL DE GESTION ADMINISTRATIVA RECURSOS HUMANOS</v>
      </c>
      <c r="H7" s="101"/>
      <c r="I7" s="101"/>
      <c r="J7" s="101"/>
      <c r="K7" s="101"/>
      <c r="L7" s="101"/>
      <c r="M7" s="101"/>
      <c r="N7" s="101"/>
      <c r="O7" s="101"/>
      <c r="P7" s="101"/>
      <c r="Q7" s="101"/>
    </row>
    <row r="8" spans="1:17" ht="18" customHeight="1" thickBot="1" x14ac:dyDescent="0.25">
      <c r="A8" s="100" t="s">
        <v>36</v>
      </c>
      <c r="B8" s="100"/>
      <c r="C8" s="100"/>
      <c r="D8" s="100"/>
      <c r="E8" s="100"/>
      <c r="F8" s="100"/>
      <c r="G8" s="100"/>
      <c r="H8" s="100"/>
      <c r="I8" s="100"/>
      <c r="J8" s="100"/>
      <c r="K8" s="100"/>
      <c r="L8" s="100"/>
      <c r="M8" s="100"/>
      <c r="N8" s="100"/>
      <c r="O8" s="100"/>
      <c r="P8" s="100"/>
      <c r="Q8" s="100"/>
    </row>
    <row r="9" spans="1:17" ht="18" customHeight="1" x14ac:dyDescent="0.2">
      <c r="A9" s="90" t="s">
        <v>37</v>
      </c>
      <c r="B9" s="90"/>
      <c r="C9" s="90"/>
      <c r="D9" s="90"/>
      <c r="E9" s="90"/>
      <c r="F9" s="90"/>
      <c r="G9" s="90"/>
      <c r="H9" s="90"/>
      <c r="I9" s="90"/>
      <c r="J9" s="90"/>
      <c r="K9" s="90"/>
      <c r="L9" s="90"/>
      <c r="M9" s="90"/>
      <c r="N9" s="90"/>
      <c r="O9" s="1"/>
      <c r="P9" s="1"/>
      <c r="Q9" s="12"/>
    </row>
    <row r="10" spans="1:17" ht="54.75" customHeight="1" x14ac:dyDescent="0.2">
      <c r="A10" s="91"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042/2021,  afectando la erogación resultante a los créditos presupuestarios aprobados a favor de esta Unidad Ejecutora, conforme al siguiente detalle:</v>
      </c>
      <c r="B10" s="91"/>
      <c r="C10" s="91"/>
      <c r="D10" s="91"/>
      <c r="E10" s="91"/>
      <c r="F10" s="91"/>
      <c r="G10" s="91"/>
      <c r="H10" s="91"/>
      <c r="I10" s="91"/>
      <c r="J10" s="91"/>
      <c r="K10" s="91"/>
      <c r="L10" s="91"/>
      <c r="M10" s="91"/>
      <c r="N10" s="91"/>
      <c r="O10" s="91"/>
      <c r="P10" s="91"/>
      <c r="Q10" s="91"/>
    </row>
    <row r="11" spans="1:17" ht="9" customHeight="1" x14ac:dyDescent="0.2">
      <c r="A11" s="13"/>
      <c r="B11" s="14"/>
      <c r="C11" s="14"/>
      <c r="D11" s="14"/>
      <c r="E11" s="14"/>
      <c r="F11" s="14"/>
      <c r="G11" s="15"/>
      <c r="H11" s="14"/>
      <c r="I11" s="14"/>
      <c r="J11" s="14"/>
      <c r="K11" s="14"/>
      <c r="L11" s="14"/>
      <c r="M11" s="14"/>
      <c r="N11" s="14"/>
      <c r="O11" s="14"/>
      <c r="P11" s="14"/>
      <c r="Q11" s="16"/>
    </row>
    <row r="12" spans="1:17" ht="15.75" customHeight="1" x14ac:dyDescent="0.2">
      <c r="A12" s="92" t="s">
        <v>38</v>
      </c>
      <c r="B12" s="92"/>
      <c r="C12" s="92"/>
      <c r="D12" s="92"/>
      <c r="E12" s="92"/>
      <c r="F12" s="92"/>
      <c r="G12" s="92"/>
      <c r="H12" s="92"/>
      <c r="I12" s="92"/>
      <c r="J12" s="92"/>
      <c r="K12" s="92"/>
      <c r="L12" s="92"/>
      <c r="M12" s="92"/>
      <c r="N12" s="92"/>
      <c r="O12" s="92"/>
      <c r="P12" s="92"/>
      <c r="Q12" s="92"/>
    </row>
    <row r="13" spans="1:17" ht="15.75" customHeight="1" x14ac:dyDescent="0.2">
      <c r="A13" s="93" t="s">
        <v>39</v>
      </c>
      <c r="B13" s="93"/>
      <c r="C13" s="93"/>
      <c r="D13" s="93"/>
      <c r="E13" s="93"/>
      <c r="F13" s="93"/>
      <c r="G13" s="93"/>
      <c r="H13" s="93"/>
      <c r="I13" s="93"/>
      <c r="J13" s="93"/>
      <c r="K13" s="93"/>
      <c r="L13" s="93"/>
      <c r="M13" s="93"/>
      <c r="N13" s="93"/>
      <c r="O13" s="94" t="s">
        <v>40</v>
      </c>
      <c r="P13" s="94"/>
      <c r="Q13" s="95" t="s">
        <v>41</v>
      </c>
    </row>
    <row r="14" spans="1:17" ht="15.75" customHeight="1" thickBot="1" x14ac:dyDescent="0.25">
      <c r="A14" s="17" t="s">
        <v>42</v>
      </c>
      <c r="B14" s="18" t="s">
        <v>43</v>
      </c>
      <c r="C14" s="18" t="s">
        <v>44</v>
      </c>
      <c r="D14" s="18" t="s">
        <v>45</v>
      </c>
      <c r="E14" s="18" t="s">
        <v>46</v>
      </c>
      <c r="F14" s="18" t="s">
        <v>47</v>
      </c>
      <c r="G14" s="19" t="s">
        <v>48</v>
      </c>
      <c r="H14" s="18" t="s">
        <v>49</v>
      </c>
      <c r="I14" s="18" t="s">
        <v>50</v>
      </c>
      <c r="J14" s="18" t="s">
        <v>51</v>
      </c>
      <c r="K14" s="18" t="s">
        <v>51</v>
      </c>
      <c r="L14" s="18" t="s">
        <v>52</v>
      </c>
      <c r="M14" s="20" t="s">
        <v>53</v>
      </c>
      <c r="N14" s="21" t="s">
        <v>54</v>
      </c>
      <c r="O14" s="94"/>
      <c r="P14" s="94"/>
      <c r="Q14" s="95"/>
    </row>
    <row r="15" spans="1:17" ht="27.75" customHeight="1" x14ac:dyDescent="0.2">
      <c r="A15" s="26">
        <v>5</v>
      </c>
      <c r="B15" s="26">
        <v>0</v>
      </c>
      <c r="C15" s="26">
        <v>0</v>
      </c>
      <c r="D15" s="26">
        <v>1</v>
      </c>
      <c r="E15" s="26">
        <v>0</v>
      </c>
      <c r="F15" s="26">
        <v>4901</v>
      </c>
      <c r="G15" s="26">
        <v>1</v>
      </c>
      <c r="H15" s="26">
        <v>6</v>
      </c>
      <c r="I15" s="22">
        <v>2</v>
      </c>
      <c r="J15" s="22">
        <v>9</v>
      </c>
      <c r="K15" s="22">
        <v>6</v>
      </c>
      <c r="L15" s="26">
        <v>0</v>
      </c>
      <c r="M15" s="26">
        <v>1</v>
      </c>
      <c r="N15" s="26" t="s">
        <v>61</v>
      </c>
      <c r="O15" s="86" t="s">
        <v>105</v>
      </c>
      <c r="P15" s="87"/>
      <c r="Q15" s="38">
        <v>549298</v>
      </c>
    </row>
    <row r="16" spans="1:17" ht="28.5" customHeight="1" x14ac:dyDescent="0.2">
      <c r="A16" s="30"/>
      <c r="B16" s="30"/>
      <c r="C16" s="30"/>
      <c r="D16" s="30"/>
      <c r="E16" s="30"/>
      <c r="F16" s="30"/>
      <c r="G16" s="30"/>
      <c r="H16" s="30"/>
      <c r="I16" s="23"/>
      <c r="J16" s="23"/>
      <c r="K16" s="23"/>
      <c r="L16" s="30"/>
      <c r="M16" s="30"/>
      <c r="N16" s="30"/>
      <c r="O16" s="88"/>
      <c r="P16" s="89"/>
      <c r="Q16" s="39"/>
    </row>
    <row r="17" spans="1:17" ht="24.75" customHeight="1" x14ac:dyDescent="0.2">
      <c r="A17" s="30"/>
      <c r="B17" s="30"/>
      <c r="C17" s="30"/>
      <c r="D17" s="30"/>
      <c r="E17" s="30"/>
      <c r="F17" s="30"/>
      <c r="G17" s="30"/>
      <c r="H17" s="30"/>
      <c r="I17" s="23"/>
      <c r="J17" s="23"/>
      <c r="K17" s="23"/>
      <c r="L17" s="30"/>
      <c r="M17" s="30"/>
      <c r="N17" s="30"/>
      <c r="O17" s="88"/>
      <c r="P17" s="89"/>
      <c r="Q17" s="39"/>
    </row>
    <row r="18" spans="1:17" ht="32.25" customHeight="1" x14ac:dyDescent="0.2">
      <c r="A18" s="23"/>
      <c r="B18" s="23"/>
      <c r="C18" s="23"/>
      <c r="D18" s="23"/>
      <c r="E18" s="23"/>
      <c r="F18" s="23"/>
      <c r="G18" s="23"/>
      <c r="H18" s="23"/>
      <c r="I18" s="23"/>
      <c r="J18" s="23"/>
      <c r="K18" s="23"/>
      <c r="L18" s="23"/>
      <c r="M18" s="23"/>
      <c r="N18" s="23"/>
      <c r="O18" s="83"/>
      <c r="P18" s="83"/>
      <c r="Q18" s="31"/>
    </row>
    <row r="19" spans="1:17" ht="32.25" customHeight="1" thickBot="1" x14ac:dyDescent="0.25">
      <c r="A19" s="84" t="s">
        <v>114</v>
      </c>
      <c r="B19" s="84"/>
      <c r="C19" s="84"/>
      <c r="D19" s="84"/>
      <c r="E19" s="84"/>
      <c r="F19" s="84"/>
      <c r="G19" s="84"/>
      <c r="H19" s="84"/>
      <c r="I19" s="84"/>
      <c r="J19" s="84"/>
      <c r="K19" s="84"/>
      <c r="L19" s="84"/>
      <c r="M19" s="84"/>
      <c r="N19" s="84"/>
      <c r="O19" s="84"/>
      <c r="P19" s="84"/>
      <c r="Q19" s="29">
        <f>SUM(Q15:Q18)</f>
        <v>549298</v>
      </c>
    </row>
    <row r="20" spans="1:17" ht="18" customHeight="1" thickBot="1" x14ac:dyDescent="0.25">
      <c r="A20" s="85"/>
      <c r="B20" s="85"/>
      <c r="C20" s="85"/>
      <c r="D20" s="85"/>
      <c r="E20" s="85"/>
      <c r="F20" s="85"/>
      <c r="G20" s="85"/>
      <c r="H20" s="85"/>
      <c r="I20" s="85"/>
      <c r="J20" s="85"/>
      <c r="K20" s="85"/>
      <c r="L20" s="85"/>
      <c r="M20" s="85"/>
      <c r="N20" s="85"/>
      <c r="O20" s="85"/>
      <c r="P20" s="85"/>
      <c r="Q20" s="85"/>
    </row>
    <row r="21" spans="1:17" ht="17.25" customHeight="1" thickBot="1" x14ac:dyDescent="0.25">
      <c r="A21" s="77" t="s">
        <v>55</v>
      </c>
      <c r="B21" s="78"/>
      <c r="C21" s="78"/>
      <c r="D21" s="78"/>
      <c r="E21" s="78"/>
      <c r="F21" s="79"/>
      <c r="G21" s="80"/>
      <c r="H21" s="80"/>
      <c r="I21" s="80"/>
      <c r="J21" s="80"/>
      <c r="K21" s="80"/>
      <c r="L21" s="80"/>
      <c r="M21" s="80"/>
      <c r="N21" s="80"/>
      <c r="O21" s="80"/>
      <c r="P21" s="80"/>
      <c r="Q21" s="80"/>
    </row>
    <row r="22" spans="1:17" ht="18" customHeight="1" thickBot="1" x14ac:dyDescent="0.25">
      <c r="A22" s="81" t="s">
        <v>108</v>
      </c>
      <c r="B22" s="82"/>
      <c r="C22" s="82"/>
      <c r="D22" s="82"/>
      <c r="E22" s="82"/>
      <c r="F22" s="82"/>
      <c r="G22" s="82"/>
      <c r="H22" s="82"/>
      <c r="I22" s="82"/>
      <c r="J22" s="82"/>
      <c r="K22" s="82"/>
      <c r="L22" s="82"/>
      <c r="M22" s="82"/>
      <c r="N22" s="82"/>
      <c r="O22" s="82"/>
      <c r="P22" s="82"/>
      <c r="Q22" s="82"/>
    </row>
    <row r="23" spans="1:17" ht="21.75" customHeight="1" x14ac:dyDescent="0.2">
      <c r="A23" s="82"/>
      <c r="B23" s="82"/>
      <c r="C23" s="82"/>
      <c r="D23" s="82"/>
      <c r="E23" s="82"/>
      <c r="F23" s="82"/>
      <c r="G23" s="82"/>
      <c r="H23" s="82"/>
      <c r="I23" s="82"/>
      <c r="J23" s="82"/>
      <c r="K23" s="82"/>
      <c r="L23" s="82"/>
      <c r="M23" s="82"/>
      <c r="N23" s="82"/>
      <c r="O23" s="82"/>
      <c r="P23" s="82"/>
      <c r="Q23" s="82"/>
    </row>
    <row r="26" spans="1:17" x14ac:dyDescent="0.2">
      <c r="A26" s="27"/>
    </row>
  </sheetData>
  <mergeCells count="27">
    <mergeCell ref="A1:C1"/>
    <mergeCell ref="D1:E1"/>
    <mergeCell ref="P1:Q2"/>
    <mergeCell ref="A4:F4"/>
    <mergeCell ref="G4:Q4"/>
    <mergeCell ref="A5:F5"/>
    <mergeCell ref="G5:Q5"/>
    <mergeCell ref="A8:Q8"/>
    <mergeCell ref="A6:F6"/>
    <mergeCell ref="G6:Q6"/>
    <mergeCell ref="A7:F7"/>
    <mergeCell ref="G7:Q7"/>
    <mergeCell ref="O15:P15"/>
    <mergeCell ref="O16:P16"/>
    <mergeCell ref="O17:P17"/>
    <mergeCell ref="A9:N9"/>
    <mergeCell ref="A10:Q10"/>
    <mergeCell ref="A12:Q12"/>
    <mergeCell ref="A13:N13"/>
    <mergeCell ref="O13:P14"/>
    <mergeCell ref="Q13:Q14"/>
    <mergeCell ref="A21:F21"/>
    <mergeCell ref="G21:Q21"/>
    <mergeCell ref="A22:Q23"/>
    <mergeCell ref="O18:P18"/>
    <mergeCell ref="A19:P19"/>
    <mergeCell ref="A20:Q20"/>
  </mergeCells>
  <printOptions horizontalCentered="1"/>
  <pageMargins left="0.39374999999999999" right="0.39374999999999999" top="0.98402777777777795" bottom="0.98402777777777795" header="0.51180555555555496" footer="0.51180555555555496"/>
  <pageSetup paperSize="5" scale="90" firstPageNumber="0" orientation="portrait"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 (2)</vt:lpstr>
      <vt:lpstr> NotaPedido</vt:lpstr>
      <vt:lpstr>Autor Gastar</vt:lpstr>
      <vt:lpstr>' NotaPedido'!Área_de_impresión</vt:lpstr>
      <vt:lpstr>'Autor Gastar'!Área_de_impresión</vt:lpstr>
      <vt:lpstr>'Necesidades Trimestrales (2)'!Área_de_impresión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MARIO</cp:lastModifiedBy>
  <cp:revision>2</cp:revision>
  <cp:lastPrinted>2021-10-12T12:02:35Z</cp:lastPrinted>
  <dcterms:created xsi:type="dcterms:W3CDTF">2020-07-17T23:44:49Z</dcterms:created>
  <dcterms:modified xsi:type="dcterms:W3CDTF">2021-10-21T15:28:20Z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