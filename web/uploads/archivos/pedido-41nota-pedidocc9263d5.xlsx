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431FE77D-556B-4C2F-8A6F-9034D376B7A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definedNames>
    <definedName name="_xlnm._FilterDatabase" localSheetId="0" hidden="1">'Necesidades Trimestrales'!$A$9:$I$21</definedName>
  </definedNames>
  <calcPr calcId="181029"/>
</workbook>
</file>

<file path=xl/calcChain.xml><?xml version="1.0" encoding="utf-8"?>
<calcChain xmlns="http://schemas.openxmlformats.org/spreadsheetml/2006/main">
  <c r="I22" i="1" l="1"/>
  <c r="I21" i="1"/>
  <c r="D21" i="1"/>
  <c r="I20" i="1"/>
  <c r="D20" i="1"/>
  <c r="I19" i="1"/>
  <c r="D19" i="1"/>
  <c r="I18" i="1"/>
  <c r="D18" i="1"/>
  <c r="I17" i="1" l="1"/>
  <c r="I16" i="1"/>
  <c r="I13" i="1" l="1"/>
  <c r="I14" i="1"/>
  <c r="I15" i="1"/>
  <c r="I12" i="1"/>
  <c r="I11" i="1"/>
  <c r="I10" i="1"/>
  <c r="D12" i="1"/>
  <c r="D13" i="1"/>
  <c r="D14" i="1"/>
  <c r="D15" i="1"/>
  <c r="D10" i="1" l="1"/>
  <c r="D11" i="1"/>
  <c r="D16" i="1"/>
</calcChain>
</file>

<file path=xl/sharedStrings.xml><?xml version="1.0" encoding="utf-8"?>
<sst xmlns="http://schemas.openxmlformats.org/spreadsheetml/2006/main" count="90" uniqueCount="59">
  <si>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</si>
  <si>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</si>
  <si>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</si>
  <si>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</si>
  <si>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</si>
  <si>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</si>
  <si>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</si>
  <si>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</si>
  <si>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</si>
  <si>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</si>
  <si>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</si>
  <si>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</si>
  <si>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</si>
  <si>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</si>
  <si>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42-Ministerio de Salud</t>
  </si>
  <si>
    <t>28- Maternidad Provincial 25 de Mayo</t>
  </si>
  <si>
    <t>CAJA</t>
  </si>
  <si>
    <t>RUBRO</t>
  </si>
  <si>
    <t>2.9.4-587.5</t>
  </si>
  <si>
    <t>BAZAR Y MENAJE</t>
  </si>
  <si>
    <t>CUBIERTOS PLASTICOS; MATERIAL: POLIESTIRENO, PRESENTACION: CAJA X 1000, ELEMENTO: CUCHARA SOPERA</t>
  </si>
  <si>
    <t>2.9.4-587.33</t>
  </si>
  <si>
    <t>CUBIERTOS PLASTICOS; MATERIAL: PLASTICO, ELEMENTO: CUCHARA POSTRE, PRESENTACION: ENVASE X 1000 UN</t>
  </si>
  <si>
    <t>2.9.4-587.8</t>
  </si>
  <si>
    <t>CUBIERTOS PLASTICOS; MATERIAL: POLIESTIRENO, PRESENTACION: CAJA X 1000, ELEMENTO: CUCHILLO</t>
  </si>
  <si>
    <t>2.9.4-587.6</t>
  </si>
  <si>
    <t>CUBIERTOS PLASTICOS; MATERIAL: POLIESTIRENO, ELEMENTO: TENEDOR, PRESENTACION: CAJA X 1000</t>
  </si>
  <si>
    <t>2.9.4-4743.24</t>
  </si>
  <si>
    <t>BANDEJA P/TRANSP. DE ALIMENTO; DIMENSION: 18 X 14 X 4 Cm, TIPO: C/TAPA, MATERIAL: ALUMINIO APTO MICROONDAS, CAPACIDAD: 750 CM3</t>
  </si>
  <si>
    <t>2.9.4-6970.2</t>
  </si>
  <si>
    <t>COMPOTERAS; MATERIAL: PLASTICO, CAPACIDAD: 200 mL</t>
  </si>
  <si>
    <t>2.9.4-1184.43</t>
  </si>
  <si>
    <t>VASOS; MATERIAL: POLIESTIRENO EXPANDIDO, TIPO: DESCARTABLE, CAPACIDAD: 240 CM3</t>
  </si>
  <si>
    <t>ROLLO</t>
  </si>
  <si>
    <t>2.7.9-784.32</t>
  </si>
  <si>
    <t>PAPELES DE ALUMINIO; USO: HOGAR, ESPESOR: 38 Mn, LARGO: 50 M, PESO: 1 Kg, ANCHO: 450 mm</t>
  </si>
  <si>
    <t>Descripción técnica</t>
  </si>
  <si>
    <t>Plazos  de entrega:</t>
  </si>
  <si>
    <t>10 Dias habiles desde la firma del instrumento contractual</t>
  </si>
  <si>
    <t>Lugar de entrega</t>
  </si>
  <si>
    <t>Calidad Minima esperada</t>
  </si>
  <si>
    <t>Mantenimiento</t>
  </si>
  <si>
    <t>30 dias</t>
  </si>
  <si>
    <t>Garantia</t>
  </si>
  <si>
    <t xml:space="preserve"> MATERNIDAD PROVINCIAL 25 DE MAYO , HERNADO DE PEDRAZA 1650-SECTOR ECONOMATO</t>
  </si>
  <si>
    <t>Hora de entrega: 08:00 a 12:00</t>
  </si>
  <si>
    <t xml:space="preserve">SERVICIO DE NUTRICION </t>
  </si>
  <si>
    <t>2.9.4-1015.9</t>
  </si>
  <si>
    <t>BANDEJAS DE MESA; MATERIAL: ACERO INOXIDABLE, FORMATO: RECTANGULAR, DIMENSION: 14 X 24 Cm, FORMA: RECTANGULAR</t>
  </si>
  <si>
    <t>Especificidades Item N° 1 a 9</t>
  </si>
  <si>
    <t>2.5.8-3964.50</t>
  </si>
  <si>
    <t>ENVASES PLASTICOS; MATERIAL: PLASTICO, SISTEMA DE CIERRE: TAPA, CAPACIDAD: 1 L</t>
  </si>
  <si>
    <t>2.5.8-3964.68</t>
  </si>
  <si>
    <t>ENVASES PLASTICOS; MATERIAL: PLASTICO, SISTEMA DE CIERRE: HERMETICO, CAPACIDAD: 2,5 L</t>
  </si>
  <si>
    <t>2.5.8-3964.28</t>
  </si>
  <si>
    <t>ENVASES PLASTICOS; MATERIAL: PLASTICO, SISTEMA DE CIERRE: ROSCA, CAPACIDAD: 3 L</t>
  </si>
  <si>
    <t>Especificidades Item N° 10 A a 12</t>
  </si>
  <si>
    <t>Frascos boca ancha. Hermeticos de plastico con tapa no esterilizado</t>
  </si>
  <si>
    <t>2.3.4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</si>
</sst>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9" formatCode="_-[$$-2C0A]\ * #,##0.00_-;\-[$$-2C0A]\ * #,##0.00_-;_-[$$-2C0A]\ * &quot;-&quot;??_-;_-@_-"/>
  </numFmts>
  <fonts count="1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5" fillId="0" borderId="0" applyBorder="0" applyProtection="0"/>
    <xf numFmtId="0" fontId="2" fillId="0" borderId="1" applyProtection="0"/>
    <xf numFmtId="0" fontId="4" fillId="2" borderId="0" applyBorder="0" applyProtection="0"/>
    <xf numFmtId="0" fontId="1" fillId="0" borderId="0"/>
  </cellStyleXfs>
  <cellXfs count="60">
    <xf numFmtId="0" fontId="0" fillId="0" borderId="0" xfId="0"/>
    <xf numFmtId="0" fontId="6" fillId="0" borderId="0" xfId="0" applyFont="1"/>
    <xf numFmtId="0" fontId="6" fillId="0" borderId="0" xfId="0" applyFont="1" applyBorder="1"/>
    <xf numFmtId="169" fontId="6" fillId="0" borderId="0" xfId="0" applyNumberFormat="1" applyFont="1"/>
    <xf numFmtId="166" fontId="11" fillId="0" borderId="2" xfId="1" applyNumberFormat="1" applyFont="1" applyFill="1" applyBorder="1" applyAlignment="1" applyProtection="1">
      <alignment horizontal="right" vertical="center" wrapText="1"/>
    </xf>
    <xf numFmtId="0" fontId="11" fillId="0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Fill="1" applyBorder="1"/>
    <xf numFmtId="0" fontId="5" fillId="0" borderId="2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vertical="center"/>
    </xf>
    <xf numFmtId="169" fontId="6" fillId="0" borderId="0" xfId="0" applyNumberFormat="1" applyFont="1" applyFill="1" applyBorder="1"/>
    <xf numFmtId="0" fontId="9" fillId="0" borderId="0" xfId="0" applyFont="1" applyFill="1" applyBorder="1" applyAlignment="1">
      <alignment horizontal="center" wrapText="1"/>
    </xf>
    <xf numFmtId="169" fontId="9" fillId="0" borderId="0" xfId="0" applyNumberFormat="1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indent="3"/>
    </xf>
    <xf numFmtId="0" fontId="10" fillId="0" borderId="6" xfId="0" applyFont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169" fontId="10" fillId="0" borderId="9" xfId="0" applyNumberFormat="1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69" fontId="9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vertical="center" wrapText="1"/>
    </xf>
    <xf numFmtId="0" fontId="6" fillId="0" borderId="11" xfId="0" applyFont="1" applyFill="1" applyBorder="1"/>
    <xf numFmtId="0" fontId="6" fillId="0" borderId="12" xfId="0" applyFont="1" applyBorder="1" applyAlignment="1">
      <alignment vertical="center"/>
    </xf>
    <xf numFmtId="0" fontId="6" fillId="0" borderId="12" xfId="0" applyFont="1" applyBorder="1"/>
    <xf numFmtId="0" fontId="6" fillId="0" borderId="13" xfId="0" applyFont="1" applyFill="1" applyBorder="1" applyAlignment="1">
      <alignment vertical="center" wrapText="1"/>
    </xf>
    <xf numFmtId="0" fontId="6" fillId="0" borderId="14" xfId="0" applyFont="1" applyFill="1" applyBorder="1"/>
    <xf numFmtId="0" fontId="6" fillId="0" borderId="15" xfId="0" applyFont="1" applyFill="1" applyBorder="1" applyAlignment="1">
      <alignment vertical="center" wrapText="1"/>
    </xf>
    <xf numFmtId="0" fontId="6" fillId="0" borderId="5" xfId="0" applyFont="1" applyFill="1" applyBorder="1"/>
    <xf numFmtId="0" fontId="6" fillId="0" borderId="3" xfId="0" applyFont="1" applyBorder="1" applyAlignment="1">
      <alignment vertical="center"/>
    </xf>
    <xf numFmtId="0" fontId="6" fillId="0" borderId="3" xfId="0" applyFont="1" applyBorder="1"/>
    <xf numFmtId="0" fontId="6" fillId="0" borderId="4" xfId="0" applyFont="1" applyFill="1" applyBorder="1" applyAlignment="1">
      <alignment vertical="center" wrapText="1"/>
    </xf>
    <xf numFmtId="0" fontId="0" fillId="0" borderId="2" xfId="0" applyBorder="1"/>
    <xf numFmtId="0" fontId="14" fillId="3" borderId="16" xfId="0" applyFont="1" applyFill="1" applyBorder="1" applyAlignment="1">
      <alignment wrapText="1"/>
    </xf>
    <xf numFmtId="0" fontId="8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left" wrapText="1"/>
    </xf>
    <xf numFmtId="0" fontId="6" fillId="0" borderId="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4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15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66" fontId="6" fillId="0" borderId="0" xfId="0" applyNumberFormat="1" applyFont="1"/>
  </cellXfs>
  <cellStyles count="5">
    <cellStyle name="Encabezado 1" xfId="2" xr:uid="{00000000-0005-0000-0000-000000000000}"/>
    <cellStyle name="Moneda" xfId="1" builtinId="4"/>
    <cellStyle name="Neutral 1" xfId="3" xr:uid="{00000000-0005-0000-0000-000003000000}"/>
    <cellStyle name="Normal" xfId="0" builtinId="0"/>
    <cellStyle name="Normal 2" xfId="4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zoomScale="90" zoomScaleNormal="90" workbookViewId="0">
      <selection activeCell="I23" sqref="I23"/>
    </sheetView>
  </sheetViews>
  <sheetFormatPr baseColWidth="10" defaultColWidth="11" defaultRowHeight="12.75" x14ac:dyDescent="0.2"/>
  <cols>
    <col min="1" max="1" width="4.5703125" style="1" customWidth="1"/>
    <col min="2" max="2" width="14.5703125" style="9" customWidth="1"/>
    <col min="3" max="3" width="32.42578125" style="8" customWidth="1"/>
    <col min="4" max="4" width="8.42578125" style="1" customWidth="1"/>
    <col min="5" max="5" width="79" style="11" customWidth="1"/>
    <col min="6" max="6" width="11" style="1"/>
    <col min="7" max="7" width="12.7109375" style="1" customWidth="1"/>
    <col min="8" max="8" width="13.85546875" style="3" customWidth="1"/>
    <col min="9" max="9" width="18.5703125" style="1" customWidth="1"/>
    <col min="10" max="10" width="12.5703125" style="1" bestFit="1" customWidth="1"/>
    <col min="11" max="16384" width="11" style="1"/>
  </cols>
  <sheetData>
    <row r="1" spans="1:9" s="9" customFormat="1" x14ac:dyDescent="0.2">
      <c r="C1" s="15"/>
      <c r="E1" s="11"/>
      <c r="H1" s="16"/>
    </row>
    <row r="2" spans="1:9" s="9" customFormat="1" ht="27" x14ac:dyDescent="0.35">
      <c r="B2" s="51" t="s">
        <v>0</v>
      </c>
      <c r="C2" s="51"/>
      <c r="D2" s="51"/>
      <c r="E2" s="51"/>
      <c r="F2" s="51"/>
      <c r="G2" s="51"/>
      <c r="H2" s="51"/>
    </row>
    <row r="3" spans="1:9" s="9" customFormat="1" x14ac:dyDescent="0.2">
      <c r="C3" s="15"/>
      <c r="E3" s="11"/>
      <c r="H3" s="16"/>
    </row>
    <row r="4" spans="1:9" s="9" customFormat="1" ht="18" customHeight="1" x14ac:dyDescent="0.25">
      <c r="A4" s="50" t="s">
        <v>1</v>
      </c>
      <c r="B4" s="50"/>
      <c r="C4" s="52" t="s">
        <v>14</v>
      </c>
      <c r="D4" s="52"/>
      <c r="E4" s="52"/>
      <c r="F4" s="13"/>
      <c r="G4" s="17"/>
      <c r="H4" s="18"/>
    </row>
    <row r="5" spans="1:9" s="9" customFormat="1" ht="18" customHeight="1" x14ac:dyDescent="0.25">
      <c r="A5" s="50" t="s">
        <v>2</v>
      </c>
      <c r="B5" s="50"/>
      <c r="C5" s="52" t="s">
        <v>15</v>
      </c>
      <c r="D5" s="52"/>
      <c r="E5" s="52"/>
      <c r="F5" s="13"/>
      <c r="G5" s="17"/>
      <c r="H5" s="18"/>
    </row>
    <row r="6" spans="1:9" s="9" customFormat="1" ht="16.5" customHeight="1" x14ac:dyDescent="0.2">
      <c r="A6" s="50" t="s">
        <v>3</v>
      </c>
      <c r="B6" s="50"/>
      <c r="C6" s="19">
        <v>2021</v>
      </c>
      <c r="D6" s="20"/>
      <c r="E6" s="12"/>
      <c r="F6" s="13"/>
      <c r="G6" s="17"/>
      <c r="H6" s="18"/>
    </row>
    <row r="7" spans="1:9" s="9" customFormat="1" ht="16.5" customHeight="1" x14ac:dyDescent="0.2">
      <c r="A7" s="50" t="s">
        <v>4</v>
      </c>
      <c r="B7" s="50"/>
      <c r="C7" s="19">
        <v>3</v>
      </c>
      <c r="D7" s="20"/>
      <c r="E7" s="12"/>
      <c r="F7" s="13"/>
      <c r="G7" s="17"/>
      <c r="H7" s="18"/>
    </row>
    <row r="8" spans="1:9" s="9" customFormat="1" ht="13.5" thickBot="1" x14ac:dyDescent="0.25">
      <c r="B8" s="13"/>
      <c r="C8" s="21"/>
      <c r="D8" s="13"/>
      <c r="E8" s="14"/>
      <c r="F8" s="13"/>
      <c r="G8" s="17"/>
      <c r="H8" s="18"/>
    </row>
    <row r="9" spans="1:9" ht="38.25" x14ac:dyDescent="0.2">
      <c r="A9" s="23" t="s">
        <v>5</v>
      </c>
      <c r="B9" s="24" t="s">
        <v>6</v>
      </c>
      <c r="C9" s="25" t="s">
        <v>17</v>
      </c>
      <c r="D9" s="26" t="s">
        <v>7</v>
      </c>
      <c r="E9" s="24" t="s">
        <v>8</v>
      </c>
      <c r="F9" s="25" t="s">
        <v>9</v>
      </c>
      <c r="G9" s="27" t="s">
        <v>10</v>
      </c>
      <c r="H9" s="28" t="s">
        <v>11</v>
      </c>
      <c r="I9" s="29" t="s">
        <v>12</v>
      </c>
    </row>
    <row r="10" spans="1:9" s="2" customFormat="1" ht="58.5" customHeight="1" x14ac:dyDescent="0.2">
      <c r="A10" s="5">
        <v>1</v>
      </c>
      <c r="B10" s="34" t="s">
        <v>18</v>
      </c>
      <c r="C10" s="34" t="s">
        <v>19</v>
      </c>
      <c r="D10" s="6" t="str">
        <f t="shared" ref="D10:D18" si="0">LEFT(B10,5)</f>
        <v>2.9.4</v>
      </c>
      <c r="E10" s="35" t="s">
        <v>20</v>
      </c>
      <c r="F10" s="32" t="s">
        <v>16</v>
      </c>
      <c r="G10" s="32">
        <v>10</v>
      </c>
      <c r="H10" s="33">
        <v>3700</v>
      </c>
      <c r="I10" s="4">
        <f t="shared" ref="I10:I18" si="1">H10*G10</f>
        <v>37000</v>
      </c>
    </row>
    <row r="11" spans="1:9" s="2" customFormat="1" ht="58.5" customHeight="1" x14ac:dyDescent="0.2">
      <c r="A11" s="5">
        <v>2</v>
      </c>
      <c r="B11" s="10" t="s">
        <v>21</v>
      </c>
      <c r="C11" s="34" t="s">
        <v>19</v>
      </c>
      <c r="D11" s="6" t="str">
        <f>LEFT(B11,5)</f>
        <v>2.9.4</v>
      </c>
      <c r="E11" s="30" t="s">
        <v>22</v>
      </c>
      <c r="F11" s="32" t="s">
        <v>16</v>
      </c>
      <c r="G11" s="32">
        <v>15</v>
      </c>
      <c r="H11" s="33">
        <v>1700</v>
      </c>
      <c r="I11" s="4">
        <f t="shared" si="1"/>
        <v>25500</v>
      </c>
    </row>
    <row r="12" spans="1:9" s="2" customFormat="1" ht="58.5" customHeight="1" x14ac:dyDescent="0.2">
      <c r="A12" s="5">
        <v>3</v>
      </c>
      <c r="B12" s="10" t="s">
        <v>23</v>
      </c>
      <c r="C12" s="10" t="s">
        <v>19</v>
      </c>
      <c r="D12" s="6" t="str">
        <f t="shared" ref="D12:D15" si="2">LEFT(B12,5)</f>
        <v>2.9.4</v>
      </c>
      <c r="E12" s="30" t="s">
        <v>24</v>
      </c>
      <c r="F12" s="32" t="s">
        <v>16</v>
      </c>
      <c r="G12" s="32">
        <v>15</v>
      </c>
      <c r="H12" s="33">
        <v>2700</v>
      </c>
      <c r="I12" s="4">
        <f t="shared" si="1"/>
        <v>40500</v>
      </c>
    </row>
    <row r="13" spans="1:9" s="2" customFormat="1" ht="58.5" customHeight="1" x14ac:dyDescent="0.2">
      <c r="A13" s="5">
        <v>4</v>
      </c>
      <c r="B13" s="10" t="s">
        <v>25</v>
      </c>
      <c r="C13" s="10" t="s">
        <v>19</v>
      </c>
      <c r="D13" s="6" t="str">
        <f t="shared" si="2"/>
        <v>2.9.4</v>
      </c>
      <c r="E13" s="30" t="s">
        <v>26</v>
      </c>
      <c r="F13" s="32" t="s">
        <v>16</v>
      </c>
      <c r="G13" s="32">
        <v>15</v>
      </c>
      <c r="H13" s="33">
        <v>2700</v>
      </c>
      <c r="I13" s="4">
        <f t="shared" si="1"/>
        <v>40500</v>
      </c>
    </row>
    <row r="14" spans="1:9" s="2" customFormat="1" ht="58.5" customHeight="1" x14ac:dyDescent="0.2">
      <c r="A14" s="5">
        <v>5</v>
      </c>
      <c r="B14" s="10" t="s">
        <v>27</v>
      </c>
      <c r="C14" s="10" t="s">
        <v>19</v>
      </c>
      <c r="D14" s="6" t="str">
        <f t="shared" si="2"/>
        <v>2.9.4</v>
      </c>
      <c r="E14" s="30" t="s">
        <v>28</v>
      </c>
      <c r="F14" s="32" t="s">
        <v>13</v>
      </c>
      <c r="G14" s="32">
        <v>15000</v>
      </c>
      <c r="H14" s="33">
        <v>24</v>
      </c>
      <c r="I14" s="4">
        <f t="shared" si="1"/>
        <v>360000</v>
      </c>
    </row>
    <row r="15" spans="1:9" s="2" customFormat="1" ht="53.25" customHeight="1" x14ac:dyDescent="0.2">
      <c r="A15" s="5">
        <v>6</v>
      </c>
      <c r="B15" s="10" t="s">
        <v>29</v>
      </c>
      <c r="C15" s="10" t="s">
        <v>19</v>
      </c>
      <c r="D15" s="6" t="str">
        <f t="shared" si="2"/>
        <v>2.9.4</v>
      </c>
      <c r="E15" s="36" t="s">
        <v>30</v>
      </c>
      <c r="F15" s="32" t="s">
        <v>13</v>
      </c>
      <c r="G15" s="32">
        <v>10000</v>
      </c>
      <c r="H15" s="33">
        <v>20</v>
      </c>
      <c r="I15" s="4">
        <f t="shared" si="1"/>
        <v>200000</v>
      </c>
    </row>
    <row r="16" spans="1:9" s="2" customFormat="1" ht="53.25" customHeight="1" x14ac:dyDescent="0.2">
      <c r="A16" s="5">
        <v>7</v>
      </c>
      <c r="B16" s="10" t="s">
        <v>31</v>
      </c>
      <c r="C16" s="10" t="s">
        <v>19</v>
      </c>
      <c r="D16" s="6" t="str">
        <f t="shared" si="0"/>
        <v>2.9.4</v>
      </c>
      <c r="E16" s="37" t="s">
        <v>32</v>
      </c>
      <c r="F16" s="32" t="s">
        <v>13</v>
      </c>
      <c r="G16" s="32">
        <v>6000</v>
      </c>
      <c r="H16" s="33">
        <v>15</v>
      </c>
      <c r="I16" s="4">
        <f t="shared" si="1"/>
        <v>90000</v>
      </c>
    </row>
    <row r="17" spans="1:9" s="2" customFormat="1" ht="53.25" customHeight="1" thickBot="1" x14ac:dyDescent="0.25">
      <c r="A17" s="5">
        <v>8</v>
      </c>
      <c r="B17" s="10" t="s">
        <v>34</v>
      </c>
      <c r="C17" s="10" t="s">
        <v>19</v>
      </c>
      <c r="D17" s="31" t="s">
        <v>58</v>
      </c>
      <c r="E17" s="37" t="s">
        <v>35</v>
      </c>
      <c r="F17" s="32" t="s">
        <v>33</v>
      </c>
      <c r="G17" s="32">
        <v>12</v>
      </c>
      <c r="H17" s="33">
        <v>1300</v>
      </c>
      <c r="I17" s="4">
        <f t="shared" si="1"/>
        <v>15600</v>
      </c>
    </row>
    <row r="18" spans="1:9" s="2" customFormat="1" ht="53.25" customHeight="1" x14ac:dyDescent="0.2">
      <c r="A18" s="5">
        <v>9</v>
      </c>
      <c r="B18" s="48" t="s">
        <v>47</v>
      </c>
      <c r="C18" s="10" t="s">
        <v>19</v>
      </c>
      <c r="D18" s="31" t="str">
        <f t="shared" si="0"/>
        <v>2.9.4</v>
      </c>
      <c r="E18" s="49" t="s">
        <v>48</v>
      </c>
      <c r="F18" s="32" t="s">
        <v>13</v>
      </c>
      <c r="G18" s="32">
        <v>10</v>
      </c>
      <c r="H18" s="33">
        <v>1000</v>
      </c>
      <c r="I18" s="4">
        <f t="shared" si="1"/>
        <v>10000</v>
      </c>
    </row>
    <row r="19" spans="1:9" s="2" customFormat="1" ht="53.25" customHeight="1" x14ac:dyDescent="0.2">
      <c r="A19" s="5">
        <v>10</v>
      </c>
      <c r="B19" t="s">
        <v>50</v>
      </c>
      <c r="C19" t="s">
        <v>19</v>
      </c>
      <c r="D19" s="31" t="str">
        <f t="shared" ref="D19:D21" si="3">LEFT(B19,5)</f>
        <v>2.5.8</v>
      </c>
      <c r="E19" t="s">
        <v>51</v>
      </c>
      <c r="F19" s="32" t="s">
        <v>13</v>
      </c>
      <c r="G19" s="32">
        <v>200</v>
      </c>
      <c r="H19" s="33">
        <v>350</v>
      </c>
      <c r="I19" s="4">
        <f t="shared" ref="I19:I21" si="4">H19*G19</f>
        <v>70000</v>
      </c>
    </row>
    <row r="20" spans="1:9" s="2" customFormat="1" ht="53.25" customHeight="1" x14ac:dyDescent="0.2">
      <c r="A20" s="5">
        <v>11</v>
      </c>
      <c r="B20" s="10" t="s">
        <v>52</v>
      </c>
      <c r="C20" t="s">
        <v>19</v>
      </c>
      <c r="D20" s="31" t="str">
        <f t="shared" si="3"/>
        <v>2.5.8</v>
      </c>
      <c r="E20" t="s">
        <v>53</v>
      </c>
      <c r="F20" s="32" t="s">
        <v>13</v>
      </c>
      <c r="G20" s="32">
        <v>200</v>
      </c>
      <c r="H20" s="33">
        <v>400</v>
      </c>
      <c r="I20" s="4">
        <f t="shared" si="4"/>
        <v>80000</v>
      </c>
    </row>
    <row r="21" spans="1:9" s="2" customFormat="1" x14ac:dyDescent="0.2">
      <c r="A21" s="5">
        <v>12</v>
      </c>
      <c r="B21" t="s">
        <v>54</v>
      </c>
      <c r="C21" t="s">
        <v>19</v>
      </c>
      <c r="D21" s="31" t="str">
        <f t="shared" si="3"/>
        <v>2.5.8</v>
      </c>
      <c r="E21" t="s">
        <v>55</v>
      </c>
      <c r="F21" s="32" t="s">
        <v>13</v>
      </c>
      <c r="G21" s="32">
        <v>200</v>
      </c>
      <c r="H21" s="33">
        <v>450</v>
      </c>
      <c r="I21" s="4">
        <f t="shared" si="4"/>
        <v>90000</v>
      </c>
    </row>
    <row r="22" spans="1:9" ht="13.5" thickBot="1" x14ac:dyDescent="0.25">
      <c r="B22" s="22"/>
      <c r="C22" s="7"/>
      <c r="D22" s="2"/>
      <c r="H22" s="1"/>
      <c r="I22" s="59">
        <f>SUM(I10:I21)</f>
        <v>1059100</v>
      </c>
    </row>
    <row r="23" spans="1:9" x14ac:dyDescent="0.2">
      <c r="B23" s="38" t="s">
        <v>49</v>
      </c>
      <c r="C23" s="39"/>
      <c r="D23" s="40"/>
      <c r="E23" s="41"/>
    </row>
    <row r="24" spans="1:9" x14ac:dyDescent="0.2">
      <c r="B24" s="42"/>
      <c r="C24" s="7"/>
      <c r="D24" s="2"/>
      <c r="E24" s="43"/>
    </row>
    <row r="25" spans="1:9" x14ac:dyDescent="0.2">
      <c r="B25" s="42" t="s">
        <v>36</v>
      </c>
      <c r="C25" s="7"/>
      <c r="D25" s="2"/>
      <c r="E25" s="43"/>
    </row>
    <row r="26" spans="1:9" x14ac:dyDescent="0.2">
      <c r="B26" s="42"/>
      <c r="C26" s="7"/>
      <c r="D26" s="2"/>
      <c r="E26" s="43"/>
    </row>
    <row r="27" spans="1:9" x14ac:dyDescent="0.2">
      <c r="B27" s="42"/>
      <c r="C27" s="7"/>
      <c r="D27" s="2"/>
      <c r="E27" s="43"/>
    </row>
    <row r="28" spans="1:9" x14ac:dyDescent="0.2">
      <c r="B28" s="42"/>
      <c r="C28" s="7"/>
      <c r="D28" s="2"/>
      <c r="E28" s="43"/>
    </row>
    <row r="29" spans="1:9" x14ac:dyDescent="0.2">
      <c r="B29" s="42" t="s">
        <v>37</v>
      </c>
      <c r="C29" s="53" t="s">
        <v>38</v>
      </c>
      <c r="D29" s="53"/>
      <c r="E29" s="54"/>
    </row>
    <row r="30" spans="1:9" x14ac:dyDescent="0.2">
      <c r="B30" s="42"/>
      <c r="C30" s="7"/>
      <c r="D30" s="2"/>
      <c r="E30" s="43"/>
    </row>
    <row r="31" spans="1:9" x14ac:dyDescent="0.2">
      <c r="B31" s="42" t="s">
        <v>39</v>
      </c>
      <c r="C31" s="53" t="s">
        <v>44</v>
      </c>
      <c r="D31" s="53"/>
      <c r="E31" s="54"/>
    </row>
    <row r="32" spans="1:9" x14ac:dyDescent="0.2">
      <c r="B32" s="42"/>
      <c r="C32" s="7"/>
      <c r="D32" s="2"/>
      <c r="E32" s="43"/>
    </row>
    <row r="33" spans="2:5" x14ac:dyDescent="0.2">
      <c r="C33" s="58" t="s">
        <v>46</v>
      </c>
      <c r="D33" s="58"/>
      <c r="E33" s="58"/>
    </row>
    <row r="34" spans="2:5" x14ac:dyDescent="0.2">
      <c r="B34" s="42"/>
      <c r="C34" s="55" t="s">
        <v>45</v>
      </c>
      <c r="D34" s="56"/>
      <c r="E34" s="57"/>
    </row>
    <row r="35" spans="2:5" x14ac:dyDescent="0.2">
      <c r="B35" s="42" t="s">
        <v>40</v>
      </c>
      <c r="C35" s="7"/>
      <c r="D35" s="2"/>
      <c r="E35" s="43"/>
    </row>
    <row r="36" spans="2:5" x14ac:dyDescent="0.2">
      <c r="B36" s="42"/>
      <c r="C36" s="7"/>
      <c r="D36" s="2"/>
      <c r="E36" s="43"/>
    </row>
    <row r="37" spans="2:5" x14ac:dyDescent="0.2">
      <c r="B37" s="42" t="s">
        <v>41</v>
      </c>
      <c r="C37" s="7"/>
      <c r="D37" s="2"/>
      <c r="E37" s="43"/>
    </row>
    <row r="38" spans="2:5" x14ac:dyDescent="0.2">
      <c r="B38" s="42"/>
      <c r="C38" s="53" t="s">
        <v>42</v>
      </c>
      <c r="D38" s="53"/>
      <c r="E38" s="54"/>
    </row>
    <row r="39" spans="2:5" x14ac:dyDescent="0.2">
      <c r="B39" s="42" t="s">
        <v>43</v>
      </c>
      <c r="C39" s="7"/>
      <c r="D39" s="2"/>
      <c r="E39" s="43"/>
    </row>
    <row r="40" spans="2:5" ht="13.5" thickBot="1" x14ac:dyDescent="0.25">
      <c r="B40" s="44"/>
      <c r="C40" s="45"/>
      <c r="D40" s="46"/>
      <c r="E40" s="47"/>
    </row>
    <row r="41" spans="2:5" ht="13.5" thickBot="1" x14ac:dyDescent="0.25"/>
    <row r="42" spans="2:5" x14ac:dyDescent="0.2">
      <c r="B42" s="38" t="s">
        <v>56</v>
      </c>
      <c r="C42" s="39"/>
      <c r="D42" s="40"/>
      <c r="E42" s="41"/>
    </row>
    <row r="43" spans="2:5" x14ac:dyDescent="0.2">
      <c r="B43" s="42"/>
      <c r="C43" s="7"/>
      <c r="D43" s="2"/>
      <c r="E43" s="43"/>
    </row>
    <row r="44" spans="2:5" x14ac:dyDescent="0.2">
      <c r="B44" s="42" t="s">
        <v>36</v>
      </c>
      <c r="C44" s="7"/>
      <c r="D44" s="2"/>
      <c r="E44" s="43"/>
    </row>
    <row r="45" spans="2:5" x14ac:dyDescent="0.2">
      <c r="B45" s="42"/>
      <c r="C45" s="53" t="s">
        <v>57</v>
      </c>
      <c r="D45" s="53"/>
      <c r="E45" s="54"/>
    </row>
    <row r="46" spans="2:5" x14ac:dyDescent="0.2">
      <c r="B46" s="42"/>
      <c r="C46" s="7"/>
      <c r="D46" s="2"/>
      <c r="E46" s="43"/>
    </row>
    <row r="47" spans="2:5" x14ac:dyDescent="0.2">
      <c r="B47" s="42"/>
      <c r="C47" s="7"/>
      <c r="D47" s="2"/>
      <c r="E47" s="43"/>
    </row>
    <row r="48" spans="2:5" x14ac:dyDescent="0.2">
      <c r="B48" s="42" t="s">
        <v>37</v>
      </c>
      <c r="C48" s="53" t="s">
        <v>38</v>
      </c>
      <c r="D48" s="53"/>
      <c r="E48" s="54"/>
    </row>
    <row r="49" spans="2:5" x14ac:dyDescent="0.2">
      <c r="B49" s="42"/>
      <c r="C49" s="7"/>
      <c r="D49" s="2"/>
      <c r="E49" s="43"/>
    </row>
    <row r="50" spans="2:5" x14ac:dyDescent="0.2">
      <c r="B50" s="42" t="s">
        <v>39</v>
      </c>
      <c r="C50" s="53" t="s">
        <v>44</v>
      </c>
      <c r="D50" s="53"/>
      <c r="E50" s="54"/>
    </row>
    <row r="51" spans="2:5" x14ac:dyDescent="0.2">
      <c r="B51" s="42"/>
      <c r="C51" s="7"/>
      <c r="D51" s="2"/>
      <c r="E51" s="43"/>
    </row>
    <row r="52" spans="2:5" x14ac:dyDescent="0.2">
      <c r="C52" s="58" t="s">
        <v>46</v>
      </c>
      <c r="D52" s="58"/>
      <c r="E52" s="58"/>
    </row>
    <row r="53" spans="2:5" x14ac:dyDescent="0.2">
      <c r="B53" s="42"/>
      <c r="C53" s="55" t="s">
        <v>45</v>
      </c>
      <c r="D53" s="56"/>
      <c r="E53" s="57"/>
    </row>
    <row r="54" spans="2:5" x14ac:dyDescent="0.2">
      <c r="B54" s="42" t="s">
        <v>40</v>
      </c>
      <c r="C54" s="7"/>
      <c r="D54" s="2"/>
      <c r="E54" s="43"/>
    </row>
    <row r="55" spans="2:5" x14ac:dyDescent="0.2">
      <c r="B55" s="42"/>
      <c r="C55" s="7"/>
      <c r="D55" s="2"/>
      <c r="E55" s="43"/>
    </row>
    <row r="56" spans="2:5" x14ac:dyDescent="0.2">
      <c r="B56" s="42" t="s">
        <v>41</v>
      </c>
      <c r="C56" s="7"/>
      <c r="D56" s="2"/>
      <c r="E56" s="43"/>
    </row>
    <row r="57" spans="2:5" x14ac:dyDescent="0.2">
      <c r="B57" s="42"/>
      <c r="C57" s="53" t="s">
        <v>42</v>
      </c>
      <c r="D57" s="53"/>
      <c r="E57" s="54"/>
    </row>
    <row r="58" spans="2:5" x14ac:dyDescent="0.2">
      <c r="B58" s="42" t="s">
        <v>43</v>
      </c>
      <c r="C58" s="7"/>
      <c r="D58" s="2"/>
      <c r="E58" s="43"/>
    </row>
    <row r="59" spans="2:5" ht="13.5" thickBot="1" x14ac:dyDescent="0.25">
      <c r="B59" s="44"/>
      <c r="C59" s="45"/>
      <c r="D59" s="46"/>
      <c r="E59" s="47"/>
    </row>
  </sheetData>
  <mergeCells count="18">
    <mergeCell ref="C57:E57"/>
    <mergeCell ref="C29:E29"/>
    <mergeCell ref="C31:E31"/>
    <mergeCell ref="C34:E34"/>
    <mergeCell ref="C33:E33"/>
    <mergeCell ref="C38:E38"/>
    <mergeCell ref="C45:E45"/>
    <mergeCell ref="C48:E48"/>
    <mergeCell ref="C50:E50"/>
    <mergeCell ref="C52:E52"/>
    <mergeCell ref="C53:E53"/>
    <mergeCell ref="A6:B6"/>
    <mergeCell ref="A7:B7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ELIAS QUINTAR</cp:lastModifiedBy>
  <cp:revision>2</cp:revision>
  <cp:lastPrinted>2021-01-07T14:12:48Z</cp:lastPrinted>
  <dcterms:created xsi:type="dcterms:W3CDTF">2020-07-17T23:44:49Z</dcterms:created>
  <dcterms:modified xsi:type="dcterms:W3CDTF">2021-08-10T11:58:26Z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