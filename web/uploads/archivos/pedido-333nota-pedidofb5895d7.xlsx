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SERVICIO PENITENCIARIO\alimentos no perecederos\corregido\"/>
    </mc:Choice>
  </mc:AlternateContent>
  <xr:revisionPtr revIDLastSave="0" documentId="8_{0F0AAA2A-2559-4326-B26F-80EB8D3F877F}" xr6:coauthVersionLast="47" xr6:coauthVersionMax="47" xr10:uidLastSave="{00000000-0000-0000-0000-000000000000}"/>
  <bookViews>
    <workbookView showHorizontalScroll="0" showVerticalScroll="0" xWindow="-120" yWindow="-120" windowWidth="29040" windowHeight="15840" xr2:uid="{B1C1627D-A941-41B9-A052-E40042347C36}"/>
  </bookViews>
  <sheets>
    <sheet name="NECESIDADES TRIMESTRALES" sheetId="1" r:id="rId1"/>
    <sheet name="NOTA DE PEDIDO" sheetId="2" r:id="rId2"/>
    <sheet name="APG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2" l="1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12" i="2"/>
  <c r="C14" i="2"/>
  <c r="C13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I51" i="1"/>
  <c r="B52" i="2"/>
  <c r="B50" i="2"/>
  <c r="B49" i="2"/>
  <c r="B39" i="2"/>
  <c r="I35" i="2"/>
  <c r="B33" i="2"/>
  <c r="G6" i="3" l="1"/>
  <c r="D4" i="2"/>
  <c r="G5" i="3" s="1"/>
  <c r="D3" i="2"/>
  <c r="G4" i="3" s="1"/>
  <c r="G7" i="3"/>
  <c r="Q23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40" i="2"/>
  <c r="B41" i="2"/>
  <c r="B42" i="2"/>
  <c r="B43" i="2"/>
  <c r="B44" i="2"/>
  <c r="B45" i="2"/>
  <c r="B46" i="2"/>
  <c r="B47" i="2"/>
  <c r="B48" i="2"/>
  <c r="B51" i="2"/>
  <c r="B13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K12" i="2"/>
  <c r="J12" i="2"/>
  <c r="I12" i="2"/>
  <c r="C12" i="2"/>
  <c r="B12" i="2"/>
  <c r="A12" i="2"/>
  <c r="J53" i="2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10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</calcChain>
</file>

<file path=xl/sharedStrings.xml><?xml version="1.0" encoding="utf-8"?>
<sst xmlns="http://schemas.openxmlformats.org/spreadsheetml/2006/main" count="327" uniqueCount="165">
  <si>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</si>
  <si>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</si>
  <si>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</si>
  <si>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</si>
  <si>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</si>
  <si>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</si>
  <si>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</si>
  <si>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</si>
  <si>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</si>
  <si>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</si>
  <si>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</si>
  <si>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</si>
  <si>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</si>
  <si>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</si>
  <si>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</si>
  <si>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</si>
  <si>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</si>
  <si>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</si>
  <si>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CAJA</t>
  </si>
  <si>
    <t>BOLSA</t>
  </si>
  <si>
    <t>BOTELLA</t>
  </si>
  <si>
    <t>2.1.1-438.37</t>
  </si>
  <si>
    <t>ADEREZOS; TIPO: MAYONESA, ENVASE: BOLSA, CONTENIDO: 2,9 Kg, PRESENTACION: ENVASE X 2,9 Kg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</si>
  <si>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</si>
  <si>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</si>
  <si>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</si>
  <si>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2.1.1-435.37</t>
  </si>
  <si>
    <t>ARROZ; TIPO GRANO: ENTERO, TIPO: INTEGRAL, PROCESO: DESCASCARILLADO, PRESENTACION: ENVASE X 1 Kg, MATERIAL ENVASE: PLASTICO, CERTIFICADO FORESTAL (GFS): SIN, ELEM. TRANSPORTE: SIN, MATERIAL ELEM. TRANSPORTE: SIN</t>
  </si>
  <si>
    <t>2.1.1-2124.5</t>
  </si>
  <si>
    <t>AVENAS; TIPO: ARROLLADA, ESTADO: INSTANTANEA, PRESENTACION: ENVASE X 1 Kg, PESO: SIN VALOR</t>
  </si>
  <si>
    <t>2.1.1-709.9</t>
  </si>
  <si>
    <t>CAFE; ESTADO: MOLIDO, CONTENIDO: 1000 GR, PROCESO: TOSTADO C/AZUCAR, ENVASE: PAQUETE, TIPO: SIN VALOR, PRESENTACION: ENVASE X 1000 GR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</si>
  <si>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</si>
  <si>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</si>
  <si>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</si>
  <si>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2.1.1-6547.1</t>
  </si>
  <si>
    <t>LEGUMBRES; ESTADO: NATURAL, VARIEDAD: GARBANZO, PRESENTACION: BOLSA PLASTICA, PESO: 500 GR</t>
  </si>
  <si>
    <t>2.1.1-6547.55</t>
  </si>
  <si>
    <t>LEGUMBRES; VARIEDAD: POROTO SECO, ESTADO: SECA Y CONSERVADA, PRESENTACION: BOLSA PLASTICA, PESO: 1 Kg</t>
  </si>
  <si>
    <t>2.1.1-481.28</t>
  </si>
  <si>
    <t>AZUCARES; TIPO: BLANCA, ESTADO: MOLIDA, PESO: 1 Kg, MATERIAL ENVASE: PAPEL, CERTIFICADO FORESTAL (GFS): SIN, ELEM. TRANSPORTE: SIN, MATERIAL ELEM. TRANSPORTE: SIN</t>
  </si>
  <si>
    <t>2.1.1-595.2</t>
  </si>
  <si>
    <t>EDULCORANTES; PRESENTACION: LIQUIDO, ENVASE: BOTELLA PLASTICA, CONTENIDO: 500 CM3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</si>
  <si>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</si>
  <si>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</si>
  <si>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</si>
  <si>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</si>
  <si>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</si>
  <si>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</si>
  <si>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</si>
  <si>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</si>
  <si>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</si>
  <si>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</si>
  <si>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2.1.1-454.28</t>
  </si>
  <si>
    <t>YERBAS; PALO: SIN, PESO: 1 Kg, MATERIAL ENVASE : PAPEL, CERTIFICADO FORESTAL (GFS): CON, ELEM. TRANSPORTE: SIN, MATERIAL ELEM. TRANSPORTE: SIN, LIBRE DE GLUTEN: SI</t>
  </si>
  <si>
    <t>2.1.1-489.150</t>
  </si>
  <si>
    <t>ESPECIAS; TIPO: CANELA, PRESENTACION: ENVASE X 500 GR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</si>
  <si>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</si>
  <si>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</si>
  <si>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</si>
  <si>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</si>
  <si>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</si>
  <si>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</si>
  <si>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2.1.1-489.66</t>
  </si>
  <si>
    <t>ESPECIAS: TIPO: OREGANO, PRESENTACION: BOLSA DE 1 KG.</t>
  </si>
  <si>
    <t>2.1.1-489.118</t>
  </si>
  <si>
    <t>ESPECIAS; TIPO: CURCUMA, PRESENTACION: BOLSA X 1 Kg</t>
  </si>
  <si>
    <t>2.1.1-489.77</t>
  </si>
  <si>
    <t>ESPECIAS; PRESENTACION: PAQUETE X 1 Kg, TIPO: LAUREL</t>
  </si>
  <si>
    <t>2.1.1-5917.8</t>
  </si>
  <si>
    <t>CEREALES; TIPO: TRIGO BURGOL, PRESENTACION: ENVASE X 1 Kg</t>
  </si>
  <si>
    <t>2.1.1-510.42</t>
  </si>
  <si>
    <t>GELATINAS; TIPO: SIN VALOR, PESO: 1 Kg, SABOR: CEREZA, ENVASE: BOLSA</t>
  </si>
  <si>
    <t>2.1.1-510.41</t>
  </si>
  <si>
    <t>GELATINAS; TIPO: SIN VALOR, PESO: 1 Kg, SABOR: DURAZNO, ENVASE: BOLSA</t>
  </si>
  <si>
    <t>2.1.1-708.19</t>
  </si>
  <si>
    <t>CONSERVAS PESCADO Y FRUTOS MAR; ESPECIE: CABALLA, ESTADO: EN ACEITE, PESO: 380 GR, ENVASE: LATA, TIPO: CABALLA</t>
  </si>
  <si>
    <t>2.1.1-482.63</t>
  </si>
  <si>
    <t>HARINAS; TIPO: MAIZ, PRESENTACION: ENVASE X 750 GR, MATERIAL ENVASE: PAPEL, CERTICADO FORESTAL (GFS): SIN, ELEM. TRANSPORTE: SIN, MATERIAL ELEM. TRANSPORTE: SIN</t>
  </si>
  <si>
    <t>2.1.1-482.87</t>
  </si>
  <si>
    <t>HARINAS; TIPO: DE TRIGO 000, PRESENTACION: ENVASE X 25 Kg, MATERIAL ENVASE: PAPEL, CERTICADO FORESTAL (GFS): SIN, ELEM. TRANSPORTE: SIN, MATERIAL ELEM. TRANSPORTE: SIN, LIBRE DE GLUTEN: NO</t>
  </si>
  <si>
    <t>2.1.1-2175.1</t>
  </si>
  <si>
    <t>GRASAS COMESTIBLES: TIPO: VACUNA, PRESENTACION: BOLSA X 1 KG. ESTADO: NORMAL, FORMA DE PRESENTACION: NORMAL</t>
  </si>
  <si>
    <t>2.1.1-514.12</t>
  </si>
  <si>
    <t>SAL DE MESA; ENVASE: BOLSA, PESO: 50 Kg, CONSISTENCIA: ENTREFINA, TIPO: SIN VALOR</t>
  </si>
  <si>
    <t>2.1.1-2616.10</t>
  </si>
  <si>
    <t>MAIZ; TIPO: BLANCO, PRESENTACION: ENVASE X 1 Kg, FORMA DE PRESENTACION: GRANULADO</t>
  </si>
  <si>
    <t>2.1.1-2127.1</t>
  </si>
  <si>
    <t>MEJORADOR DE PANIFICACION: ESTADO: NATURAL, PESO: 10 KG. PRESENTACION: BOLSA</t>
  </si>
  <si>
    <t>2.1.1-519.23</t>
  </si>
  <si>
    <t>VINAGRES; TIPO: MANZANA, PRESENTACION: ENVASE X 1 L, MATERIAL ENVASE: PLASTICO 1 (PET)</t>
  </si>
  <si>
    <t>2.1.1-511.11</t>
  </si>
  <si>
    <t>TE; SAQUITOS 2G P/CAJA: 100, PRESENTACION: EN SAQUITOS, PESO: SIN VALOR, TIPO: SIN VALOR</t>
  </si>
  <si>
    <t>2.1.1-511.14</t>
  </si>
  <si>
    <t>TE; TIPO: MANZANILLA, SAQUITOS 2G P/CAJA: 25, PRESENTACION: EN SAQUITOS, PESO: SIN VALOR</t>
  </si>
  <si>
    <t>COSTO TOTAL ESTIMADO ALIMENTOS NO PERECEDEROS</t>
  </si>
  <si>
    <t>Descripción técnica</t>
  </si>
  <si>
    <t>Plazo de Entrega</t>
  </si>
  <si>
    <t>La entrega debe realizarse dentro de los 10 días de la Notificación de la Orden de Compra.</t>
  </si>
  <si>
    <t>Lugar de Enttrega</t>
  </si>
  <si>
    <t>Servicio Penitenciario Provincial, Ruta Nacional 38, km 558 Colonia del Valle, Capayan</t>
  </si>
  <si>
    <t>Calidad Minima esperada</t>
  </si>
  <si>
    <t>Los productos deben ser de 1° calidad, según condiciones establecidas en nota</t>
  </si>
  <si>
    <t>Mantenimiento</t>
  </si>
  <si>
    <t>45 días</t>
  </si>
  <si>
    <t>Garantia</t>
  </si>
  <si>
    <t>FLANES; ESTADO PREPARACION: EN POLVO, TIPO: COMUN, SABOR: VAINILLA, PRESENTACION: ENVASE X 1 Kg, LIBRE DE GLUTEN: NO</t>
  </si>
  <si>
    <t>2.1.1-513.50</t>
  </si>
  <si>
    <t>2.1.1-514.15</t>
  </si>
  <si>
    <t>SAL DE MESA; CONSISTENCIA: GRUESA, ENVASE: BOLSA, PESO: 1 Kg, TIPO: SIN VALOR</t>
  </si>
  <si>
    <t>2.1.1-705.105</t>
  </si>
  <si>
    <t>UNIDAD</t>
  </si>
  <si>
    <t>2.1.1-705.95</t>
  </si>
  <si>
    <t>2.1.1-705.103</t>
  </si>
  <si>
    <t>LECHE; ESTADO: LIQUIDO, TIPO: ENTERA, PROCESO: PASTEURIZADA, AGREGADO: VITAMINAS Y MINERALES, PRESENTACION: ENVASE X 1 L, MATERIAL ENVASE: CARTON, ELEM. TRANSPORTE: SIN, MATERIAL ELEM. TRANSPORTE: SIN, CERTIFICADO FORESTAL (GFS): SIN, LIBRE DE GLUTEN: SI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</si>
  <si>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</si>
  <si>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</si>
  <si>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Especificidades Item N° 1-41: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</si>
  <si>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</si>
  <si>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</si>
  <si>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</si>
  <si>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</si>
  <si>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</si>
  <si>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</si>
  <si>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</si>
  <si>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</si>
  <si>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</si>
  <si>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</si>
  <si>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</si>
  <si>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</si>
  <si>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</si>
  <si>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</si>
  <si>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</si>
  <si>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</si>
  <si>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</si>
  <si>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</si>
  <si>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</si>
  <si>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</si>
  <si>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</si>
  <si>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</si>
  <si>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</si>
  <si>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</si>
  <si>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</si>
  <si>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</si>
  <si>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</si>
  <si>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</si>
  <si>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</si>
  <si>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</si>
  <si>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</si>
  <si>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</si>
  <si>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</si>
  <si>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</si>
  <si>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</si>
  <si>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</si>
  <si>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</si>
  <si>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Señor Director de Administración o Titular del Servicio Administrativo Financiero:</t>
  </si>
  <si>
    <t xml:space="preserve">TOTAL DE PESOS: </t>
  </si>
  <si>
    <t>LOGISTICA</t>
  </si>
  <si>
    <t>3 MESES</t>
  </si>
  <si>
    <t>BIENES</t>
  </si>
  <si>
    <r>
      <t>AUTORIZACIÓN</t>
    </r>
    <r>
      <rPr>
        <b/>
        <sz val="10"/>
        <rFont val="Times New Roman"/>
        <family val="1"/>
      </rPr>
      <t>:</t>
    </r>
  </si>
  <si>
    <t>Costo total estimado</t>
  </si>
  <si>
    <t>SERVICIO PENITENCIARIO PROVINCIAL</t>
  </si>
  <si>
    <t>Alimentos Para Personas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</si>
  <si>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DOCFI-2022-01183236-CAT-SPC#SSD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</si>
</sst>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[$$-2C0A]\ #,##0.00;[$$-2C0A]&quot; -&quot;#,##0.00"/>
    <numFmt numFmtId="166" formatCode="[$$-2C0A]\ #,##0.00"/>
    <numFmt numFmtId="167" formatCode="dd\-mm\-yy;@"/>
    <numFmt numFmtId="168" formatCode="_(\$* #,##0.00_);_(\$* \(#,##0.00\);_(\$* \-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b/>
      <u/>
      <sz val="1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168" fontId="15" fillId="0" borderId="0" applyBorder="0" applyProtection="0"/>
  </cellStyleXfs>
  <cellXfs count="16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64" fontId="2" fillId="0" borderId="0" xfId="1" applyNumberFormat="1" applyFont="1" applyAlignment="1">
      <alignment vertical="center"/>
    </xf>
    <xf numFmtId="0" fontId="5" fillId="0" borderId="0" xfId="0" applyFont="1" applyAlignment="1">
      <alignment horizontal="left" wrapText="1" inden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64" fontId="10" fillId="0" borderId="4" xfId="2" applyNumberFormat="1" applyFont="1" applyFill="1" applyBorder="1" applyAlignment="1" applyProtection="1">
      <alignment horizontal="right" vertical="center" wrapText="1"/>
    </xf>
    <xf numFmtId="164" fontId="10" fillId="0" borderId="4" xfId="2" applyNumberFormat="1" applyFont="1" applyBorder="1" applyAlignment="1" applyProtection="1">
      <alignment vertical="center"/>
    </xf>
    <xf numFmtId="0" fontId="11" fillId="2" borderId="4" xfId="0" applyFont="1" applyFill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left" vertical="center" wrapText="1"/>
    </xf>
    <xf numFmtId="164" fontId="10" fillId="0" borderId="4" xfId="2" applyNumberFormat="1" applyFont="1" applyBorder="1" applyAlignment="1">
      <alignment vertical="center"/>
    </xf>
    <xf numFmtId="164" fontId="10" fillId="0" borderId="7" xfId="2" applyNumberFormat="1" applyFont="1" applyBorder="1" applyAlignment="1" applyProtection="1">
      <alignment vertical="center"/>
    </xf>
    <xf numFmtId="164" fontId="9" fillId="3" borderId="4" xfId="3" applyNumberFormat="1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left" vertical="center" wrapText="1"/>
    </xf>
    <xf numFmtId="0" fontId="11" fillId="0" borderId="4" xfId="3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3" fontId="16" fillId="0" borderId="37" xfId="0" applyNumberFormat="1" applyFont="1" applyBorder="1"/>
    <xf numFmtId="167" fontId="0" fillId="0" borderId="37" xfId="0" applyNumberFormat="1" applyBorder="1" applyAlignment="1">
      <alignment horizontal="left"/>
    </xf>
    <xf numFmtId="0" fontId="0" fillId="0" borderId="37" xfId="0" applyBorder="1"/>
    <xf numFmtId="0" fontId="0" fillId="0" borderId="4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42" xfId="0" applyBorder="1"/>
    <xf numFmtId="0" fontId="20" fillId="0" borderId="42" xfId="0" applyFont="1" applyBorder="1"/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6" xfId="0" applyFont="1" applyBorder="1" applyAlignment="1">
      <alignment horizontal="left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165" fontId="20" fillId="2" borderId="48" xfId="4" applyNumberFormat="1" applyFont="1" applyFill="1" applyBorder="1" applyAlignment="1" applyProtection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20" fillId="0" borderId="50" xfId="4" applyNumberFormat="1" applyFont="1" applyBorder="1" applyAlignment="1" applyProtection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65" fontId="20" fillId="0" borderId="71" xfId="4" applyNumberFormat="1" applyFont="1" applyBorder="1" applyAlignment="1" applyProtection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2" fillId="0" borderId="16" xfId="0" applyFont="1" applyBorder="1" applyAlignment="1">
      <alignment horizontal="right" vertical="center"/>
    </xf>
    <xf numFmtId="49" fontId="23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/>
    <xf numFmtId="0" fontId="22" fillId="0" borderId="18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 indent="1"/>
    </xf>
    <xf numFmtId="0" fontId="2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5" fontId="2" fillId="0" borderId="24" xfId="1" applyNumberFormat="1" applyFont="1" applyFill="1" applyBorder="1" applyAlignment="1" applyProtection="1">
      <alignment horizontal="right" vertical="center" wrapText="1"/>
    </xf>
    <xf numFmtId="3" fontId="2" fillId="0" borderId="2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3" borderId="5" xfId="3" applyFont="1" applyFill="1" applyBorder="1" applyAlignment="1">
      <alignment horizontal="center" vertical="center"/>
    </xf>
    <xf numFmtId="0" fontId="9" fillId="3" borderId="6" xfId="3" applyFont="1" applyFill="1" applyBorder="1" applyAlignment="1">
      <alignment horizontal="center" vertical="center"/>
    </xf>
    <xf numFmtId="0" fontId="9" fillId="3" borderId="7" xfId="3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 indent="1"/>
    </xf>
    <xf numFmtId="0" fontId="24" fillId="0" borderId="20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 indent="1"/>
    </xf>
    <xf numFmtId="0" fontId="22" fillId="0" borderId="0" xfId="0" applyFont="1" applyAlignment="1">
      <alignment horizontal="center" vertical="center"/>
    </xf>
    <xf numFmtId="0" fontId="24" fillId="0" borderId="19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 wrapText="1" indent="1"/>
    </xf>
    <xf numFmtId="0" fontId="21" fillId="0" borderId="21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66" fontId="23" fillId="0" borderId="4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wrapText="1"/>
    </xf>
    <xf numFmtId="0" fontId="20" fillId="0" borderId="6" xfId="0" applyFont="1" applyBorder="1" applyAlignment="1">
      <alignment horizontal="left" wrapText="1"/>
    </xf>
    <xf numFmtId="0" fontId="20" fillId="0" borderId="7" xfId="0" applyFont="1" applyBorder="1" applyAlignment="1">
      <alignment horizontal="left" wrapText="1"/>
    </xf>
    <xf numFmtId="0" fontId="21" fillId="0" borderId="22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left" vertical="center" wrapText="1"/>
    </xf>
    <xf numFmtId="0" fontId="2" fillId="0" borderId="76" xfId="0" applyFont="1" applyBorder="1" applyAlignment="1">
      <alignment horizontal="left" vertical="center" wrapText="1"/>
    </xf>
    <xf numFmtId="0" fontId="2" fillId="0" borderId="77" xfId="0" applyFont="1" applyBorder="1" applyAlignment="1">
      <alignment horizontal="left" vertical="center" wrapText="1"/>
    </xf>
    <xf numFmtId="0" fontId="18" fillId="0" borderId="60" xfId="0" applyFont="1" applyBorder="1" applyAlignment="1">
      <alignment horizontal="left" indent="1"/>
    </xf>
    <xf numFmtId="0" fontId="18" fillId="0" borderId="61" xfId="0" applyFont="1" applyBorder="1" applyAlignment="1">
      <alignment horizontal="left" indent="1"/>
    </xf>
    <xf numFmtId="0" fontId="18" fillId="0" borderId="62" xfId="0" applyFont="1" applyBorder="1" applyAlignment="1">
      <alignment horizontal="left" indent="1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3" fontId="16" fillId="0" borderId="36" xfId="0" applyNumberFormat="1" applyFont="1" applyBorder="1" applyAlignment="1">
      <alignment horizontal="center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2" fillId="0" borderId="78" xfId="0" applyFont="1" applyBorder="1"/>
    <xf numFmtId="0" fontId="2" fillId="0" borderId="72" xfId="0" applyFont="1" applyBorder="1"/>
    <xf numFmtId="0" fontId="18" fillId="0" borderId="72" xfId="0" applyFont="1" applyBorder="1" applyAlignment="1">
      <alignment horizontal="left" indent="1"/>
    </xf>
    <xf numFmtId="0" fontId="18" fillId="0" borderId="64" xfId="0" applyFont="1" applyBorder="1" applyAlignment="1">
      <alignment horizontal="left" indent="1"/>
    </xf>
    <xf numFmtId="0" fontId="18" fillId="0" borderId="16" xfId="0" applyFont="1" applyBorder="1" applyAlignment="1">
      <alignment horizontal="left" indent="1"/>
    </xf>
    <xf numFmtId="0" fontId="18" fillId="0" borderId="29" xfId="0" applyFont="1" applyBorder="1" applyAlignment="1">
      <alignment horizontal="left" indent="1"/>
    </xf>
    <xf numFmtId="0" fontId="18" fillId="0" borderId="46" xfId="0" applyFont="1" applyBorder="1" applyAlignment="1">
      <alignment horizontal="left" indent="1"/>
    </xf>
    <xf numFmtId="0" fontId="2" fillId="0" borderId="73" xfId="0" applyFont="1" applyBorder="1" applyAlignment="1">
      <alignment horizontal="left" vertical="center" wrapText="1"/>
    </xf>
    <xf numFmtId="0" fontId="2" fillId="0" borderId="74" xfId="0" applyFont="1" applyBorder="1" applyAlignment="1">
      <alignment horizontal="left" vertical="center" wrapText="1"/>
    </xf>
    <xf numFmtId="0" fontId="18" fillId="0" borderId="60" xfId="0" applyNumberFormat="1" applyFont="1" applyBorder="1" applyAlignment="1">
      <alignment horizontal="left" vertical="center" indent="1"/>
    </xf>
    <xf numFmtId="0" fontId="18" fillId="0" borderId="61" xfId="0" applyNumberFormat="1" applyFont="1" applyBorder="1" applyAlignment="1">
      <alignment horizontal="left" vertical="center" indent="1"/>
    </xf>
    <xf numFmtId="0" fontId="18" fillId="0" borderId="62" xfId="0" applyNumberFormat="1" applyFont="1" applyBorder="1" applyAlignment="1">
      <alignment horizontal="left" vertical="center" indent="1"/>
    </xf>
    <xf numFmtId="0" fontId="19" fillId="0" borderId="52" xfId="0" applyFont="1" applyBorder="1" applyAlignment="1">
      <alignment horizontal="left"/>
    </xf>
    <xf numFmtId="0" fontId="19" fillId="0" borderId="30" xfId="0" applyFont="1" applyBorder="1" applyAlignment="1">
      <alignment horizontal="left"/>
    </xf>
    <xf numFmtId="0" fontId="19" fillId="0" borderId="51" xfId="0" applyFont="1" applyBorder="1" applyAlignment="1">
      <alignment horizontal="left"/>
    </xf>
    <xf numFmtId="0" fontId="20" fillId="0" borderId="27" xfId="0" applyFont="1" applyBorder="1" applyAlignment="1">
      <alignment horizontal="left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18" fillId="0" borderId="43" xfId="0" applyFont="1" applyBorder="1" applyAlignment="1">
      <alignment horizontal="left"/>
    </xf>
    <xf numFmtId="0" fontId="18" fillId="0" borderId="31" xfId="0" applyFont="1" applyBorder="1" applyAlignment="1">
      <alignment horizontal="left"/>
    </xf>
    <xf numFmtId="0" fontId="18" fillId="0" borderId="44" xfId="0" applyFont="1" applyBorder="1" applyAlignment="1">
      <alignment horizontal="left"/>
    </xf>
    <xf numFmtId="0" fontId="18" fillId="0" borderId="4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18" fillId="0" borderId="73" xfId="0" applyFont="1" applyBorder="1" applyAlignment="1">
      <alignment horizontal="left" vertical="center" wrapText="1"/>
    </xf>
    <xf numFmtId="0" fontId="18" fillId="0" borderId="74" xfId="0" applyFont="1" applyBorder="1" applyAlignment="1">
      <alignment horizontal="left" vertical="center" wrapText="1"/>
    </xf>
    <xf numFmtId="0" fontId="18" fillId="0" borderId="79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21" fillId="0" borderId="56" xfId="0" applyFont="1" applyBorder="1" applyAlignment="1">
      <alignment vertical="center" wrapText="1"/>
    </xf>
    <xf numFmtId="0" fontId="21" fillId="0" borderId="57" xfId="0" applyFont="1" applyBorder="1" applyAlignment="1">
      <alignment vertical="center" wrapText="1"/>
    </xf>
    <xf numFmtId="0" fontId="18" fillId="0" borderId="58" xfId="0" applyFont="1" applyBorder="1" applyAlignment="1">
      <alignment vertical="center" wrapText="1"/>
    </xf>
    <xf numFmtId="0" fontId="18" fillId="0" borderId="59" xfId="0" applyFont="1" applyBorder="1" applyAlignment="1">
      <alignment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55" xfId="0" applyFont="1" applyBorder="1" applyAlignment="1">
      <alignment horizontal="left" vertical="center" wrapText="1"/>
    </xf>
  </cellXfs>
  <cellStyles count="5">
    <cellStyle name="Moneda" xfId="1" builtinId="4"/>
    <cellStyle name="Moneda 2" xfId="2" xr:uid="{58D0025A-D887-4E47-A467-7974F0A7478C}"/>
    <cellStyle name="Moneda_AUTORIZACION Y NOTA DE PEDIDO" xfId="4" xr:uid="{085A205E-18B8-4ED3-8B10-EAFED8B3CE7B}"/>
    <cellStyle name="Normal" xfId="0" builtinId="0"/>
    <cellStyle name="Normal 2" xfId="3" xr:uid="{3BC40DF0-7733-4879-82F4-CDCA312A5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EF8A-366F-446B-B034-5B7FA724761E}">
  <dimension ref="A2:J276"/>
  <sheetViews>
    <sheetView tabSelected="1" zoomScale="80" zoomScaleNormal="80" workbookViewId="0">
      <selection activeCell="N46" sqref="N46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5" customWidth="1"/>
    <col min="9" max="9" width="18.5703125" style="2" customWidth="1"/>
    <col min="10" max="10" width="11" style="1"/>
    <col min="11" max="11" width="13.140625" style="1" bestFit="1" customWidth="1"/>
    <col min="12" max="16384" width="11" style="1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76" t="s">
        <v>1</v>
      </c>
      <c r="B4" s="76"/>
      <c r="C4" s="88" t="s">
        <v>2</v>
      </c>
      <c r="D4" s="88"/>
      <c r="E4" s="88"/>
      <c r="F4" s="3"/>
      <c r="G4" s="4"/>
    </row>
    <row r="5" spans="1:9" ht="18" customHeight="1" x14ac:dyDescent="0.25">
      <c r="A5" s="76" t="s">
        <v>3</v>
      </c>
      <c r="B5" s="76"/>
      <c r="C5" s="88" t="s">
        <v>4</v>
      </c>
      <c r="D5" s="88"/>
      <c r="E5" s="88"/>
      <c r="F5" s="3"/>
      <c r="G5" s="4"/>
    </row>
    <row r="6" spans="1:9" ht="16.5" customHeight="1" x14ac:dyDescent="0.25">
      <c r="A6" s="76" t="s">
        <v>5</v>
      </c>
      <c r="B6" s="76"/>
      <c r="C6" s="6">
        <v>2022</v>
      </c>
      <c r="D6" s="7"/>
      <c r="E6" s="7"/>
      <c r="F6" s="3"/>
      <c r="G6" s="4"/>
    </row>
    <row r="7" spans="1:9" ht="16.5" customHeight="1" x14ac:dyDescent="0.25">
      <c r="A7" s="76" t="s">
        <v>6</v>
      </c>
      <c r="B7" s="76"/>
      <c r="C7" s="6">
        <v>3</v>
      </c>
      <c r="D7" s="7"/>
      <c r="E7" s="7"/>
      <c r="F7" s="3"/>
      <c r="G7" s="4"/>
    </row>
    <row r="8" spans="1:9" ht="13.5" thickBot="1" x14ac:dyDescent="0.25">
      <c r="B8" s="3"/>
      <c r="C8" s="4"/>
      <c r="D8" s="3"/>
      <c r="E8" s="3"/>
      <c r="F8" s="3"/>
      <c r="G8" s="4"/>
    </row>
    <row r="9" spans="1:9" ht="46.5" customHeight="1" thickBot="1" x14ac:dyDescent="0.25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10" t="s">
        <v>14</v>
      </c>
      <c r="I9" s="11" t="s">
        <v>15</v>
      </c>
    </row>
    <row r="10" spans="1:9" ht="13.5" thickBot="1" x14ac:dyDescent="0.25">
      <c r="A10" s="17">
        <v>1</v>
      </c>
      <c r="B10" s="18" t="s">
        <v>69</v>
      </c>
      <c r="C10" s="13" t="s">
        <v>16</v>
      </c>
      <c r="D10" s="18" t="s">
        <v>17</v>
      </c>
      <c r="E10" s="19" t="s">
        <v>70</v>
      </c>
      <c r="F10" s="18" t="s">
        <v>19</v>
      </c>
      <c r="G10" s="18">
        <v>200</v>
      </c>
      <c r="H10" s="20">
        <v>350</v>
      </c>
      <c r="I10" s="14">
        <f>G10*H10</f>
        <v>70000</v>
      </c>
    </row>
    <row r="11" spans="1:9" ht="24.75" thickBot="1" x14ac:dyDescent="0.25">
      <c r="A11" s="17">
        <v>2</v>
      </c>
      <c r="B11" s="18" t="s">
        <v>21</v>
      </c>
      <c r="C11" s="13" t="s">
        <v>16</v>
      </c>
      <c r="D11" s="18" t="s">
        <v>17</v>
      </c>
      <c r="E11" s="19" t="s">
        <v>22</v>
      </c>
      <c r="F11" s="18" t="s">
        <v>19</v>
      </c>
      <c r="G11" s="18">
        <v>10</v>
      </c>
      <c r="H11" s="15">
        <v>1800</v>
      </c>
      <c r="I11" s="14">
        <f t="shared" ref="I11:I50" si="0">G11*H11</f>
        <v>18000</v>
      </c>
    </row>
    <row r="12" spans="1:9" ht="48.75" thickBot="1" x14ac:dyDescent="0.25">
      <c r="A12" s="17">
        <v>3</v>
      </c>
      <c r="B12" s="18" t="s">
        <v>23</v>
      </c>
      <c r="C12" s="13" t="s">
        <v>16</v>
      </c>
      <c r="D12" s="18" t="s">
        <v>17</v>
      </c>
      <c r="E12" s="19" t="s">
        <v>24</v>
      </c>
      <c r="F12" s="18" t="s">
        <v>25</v>
      </c>
      <c r="G12" s="18">
        <v>4500</v>
      </c>
      <c r="H12" s="20">
        <v>150</v>
      </c>
      <c r="I12" s="14">
        <f t="shared" si="0"/>
        <v>675000</v>
      </c>
    </row>
    <row r="13" spans="1:9" ht="36.75" thickBot="1" x14ac:dyDescent="0.25">
      <c r="A13" s="17">
        <v>4</v>
      </c>
      <c r="B13" s="18" t="s">
        <v>26</v>
      </c>
      <c r="C13" s="13" t="s">
        <v>16</v>
      </c>
      <c r="D13" s="18" t="s">
        <v>17</v>
      </c>
      <c r="E13" s="19" t="s">
        <v>27</v>
      </c>
      <c r="F13" s="18" t="s">
        <v>25</v>
      </c>
      <c r="G13" s="18">
        <v>100</v>
      </c>
      <c r="H13" s="20">
        <v>230</v>
      </c>
      <c r="I13" s="14">
        <f t="shared" si="0"/>
        <v>23000</v>
      </c>
    </row>
    <row r="14" spans="1:9" ht="24.75" thickBot="1" x14ac:dyDescent="0.25">
      <c r="A14" s="17">
        <v>5</v>
      </c>
      <c r="B14" s="18" t="s">
        <v>28</v>
      </c>
      <c r="C14" s="13" t="s">
        <v>16</v>
      </c>
      <c r="D14" s="18" t="s">
        <v>17</v>
      </c>
      <c r="E14" s="19" t="s">
        <v>29</v>
      </c>
      <c r="F14" s="18" t="s">
        <v>19</v>
      </c>
      <c r="G14" s="18">
        <v>400</v>
      </c>
      <c r="H14" s="20">
        <v>350</v>
      </c>
      <c r="I14" s="14">
        <f t="shared" si="0"/>
        <v>140000</v>
      </c>
    </row>
    <row r="15" spans="1:9" ht="24.75" thickBot="1" x14ac:dyDescent="0.25">
      <c r="A15" s="17">
        <v>6</v>
      </c>
      <c r="B15" s="18" t="s">
        <v>30</v>
      </c>
      <c r="C15" s="13" t="s">
        <v>16</v>
      </c>
      <c r="D15" s="18" t="s">
        <v>17</v>
      </c>
      <c r="E15" s="23" t="s">
        <v>31</v>
      </c>
      <c r="F15" s="24" t="s">
        <v>25</v>
      </c>
      <c r="G15" s="18">
        <v>50</v>
      </c>
      <c r="H15" s="20">
        <v>1900</v>
      </c>
      <c r="I15" s="14">
        <f t="shared" si="0"/>
        <v>95000</v>
      </c>
    </row>
    <row r="16" spans="1:9" ht="36.75" thickBot="1" x14ac:dyDescent="0.25">
      <c r="A16" s="17">
        <v>7</v>
      </c>
      <c r="B16" s="18" t="s">
        <v>32</v>
      </c>
      <c r="C16" s="13" t="s">
        <v>16</v>
      </c>
      <c r="D16" s="18" t="s">
        <v>17</v>
      </c>
      <c r="E16" s="19" t="s">
        <v>33</v>
      </c>
      <c r="F16" s="18" t="s">
        <v>34</v>
      </c>
      <c r="G16" s="18">
        <v>1000</v>
      </c>
      <c r="H16" s="20">
        <v>60</v>
      </c>
      <c r="I16" s="14">
        <f t="shared" si="0"/>
        <v>60000</v>
      </c>
    </row>
    <row r="17" spans="1:10" ht="24.75" thickBot="1" x14ac:dyDescent="0.25">
      <c r="A17" s="17">
        <v>8</v>
      </c>
      <c r="B17" s="18" t="s">
        <v>35</v>
      </c>
      <c r="C17" s="13" t="s">
        <v>16</v>
      </c>
      <c r="D17" s="18" t="s">
        <v>17</v>
      </c>
      <c r="E17" s="19" t="s">
        <v>36</v>
      </c>
      <c r="F17" s="18" t="s">
        <v>19</v>
      </c>
      <c r="G17" s="18">
        <v>600</v>
      </c>
      <c r="H17" s="20">
        <v>350</v>
      </c>
      <c r="I17" s="14">
        <f t="shared" si="0"/>
        <v>210000</v>
      </c>
    </row>
    <row r="18" spans="1:10" ht="24.75" thickBot="1" x14ac:dyDescent="0.25">
      <c r="A18" s="17">
        <v>9</v>
      </c>
      <c r="B18" s="18" t="s">
        <v>37</v>
      </c>
      <c r="C18" s="13" t="s">
        <v>16</v>
      </c>
      <c r="D18" s="18" t="s">
        <v>17</v>
      </c>
      <c r="E18" s="19" t="s">
        <v>38</v>
      </c>
      <c r="F18" s="18" t="s">
        <v>19</v>
      </c>
      <c r="G18" s="18">
        <v>150</v>
      </c>
      <c r="H18" s="20">
        <v>350</v>
      </c>
      <c r="I18" s="14">
        <f t="shared" si="0"/>
        <v>52500</v>
      </c>
    </row>
    <row r="19" spans="1:10" ht="36.75" thickBot="1" x14ac:dyDescent="0.25">
      <c r="A19" s="17">
        <v>10</v>
      </c>
      <c r="B19" s="18" t="s">
        <v>39</v>
      </c>
      <c r="C19" s="13" t="s">
        <v>16</v>
      </c>
      <c r="D19" s="18" t="s">
        <v>17</v>
      </c>
      <c r="E19" s="19" t="s">
        <v>40</v>
      </c>
      <c r="F19" s="18" t="s">
        <v>25</v>
      </c>
      <c r="G19" s="18">
        <v>5200</v>
      </c>
      <c r="H19" s="20">
        <v>220</v>
      </c>
      <c r="I19" s="14">
        <f t="shared" si="0"/>
        <v>1144000</v>
      </c>
    </row>
    <row r="20" spans="1:10" ht="24.75" thickBot="1" x14ac:dyDescent="0.25">
      <c r="A20" s="17">
        <v>11</v>
      </c>
      <c r="B20" s="18" t="s">
        <v>41</v>
      </c>
      <c r="C20" s="13" t="s">
        <v>16</v>
      </c>
      <c r="D20" s="18" t="s">
        <v>17</v>
      </c>
      <c r="E20" s="19" t="s">
        <v>42</v>
      </c>
      <c r="F20" s="18" t="s">
        <v>20</v>
      </c>
      <c r="G20" s="18">
        <v>400</v>
      </c>
      <c r="H20" s="20">
        <v>400</v>
      </c>
      <c r="I20" s="14">
        <f t="shared" si="0"/>
        <v>160000</v>
      </c>
    </row>
    <row r="21" spans="1:10" ht="36.75" thickBot="1" x14ac:dyDescent="0.25">
      <c r="A21" s="17">
        <v>12</v>
      </c>
      <c r="B21" s="18" t="s">
        <v>43</v>
      </c>
      <c r="C21" s="13" t="s">
        <v>16</v>
      </c>
      <c r="D21" s="18" t="s">
        <v>17</v>
      </c>
      <c r="E21" s="19" t="s">
        <v>44</v>
      </c>
      <c r="F21" s="18" t="s">
        <v>25</v>
      </c>
      <c r="G21" s="18">
        <v>4000</v>
      </c>
      <c r="H21" s="20">
        <v>90</v>
      </c>
      <c r="I21" s="14">
        <f t="shared" si="0"/>
        <v>360000</v>
      </c>
    </row>
    <row r="22" spans="1:10" ht="36.75" thickBot="1" x14ac:dyDescent="0.25">
      <c r="A22" s="17">
        <v>13</v>
      </c>
      <c r="B22" s="18" t="s">
        <v>45</v>
      </c>
      <c r="C22" s="13" t="s">
        <v>16</v>
      </c>
      <c r="D22" s="18" t="s">
        <v>17</v>
      </c>
      <c r="E22" s="19" t="s">
        <v>46</v>
      </c>
      <c r="F22" s="18" t="s">
        <v>25</v>
      </c>
      <c r="G22" s="18">
        <v>4000</v>
      </c>
      <c r="H22" s="20">
        <v>90</v>
      </c>
      <c r="I22" s="14">
        <f t="shared" si="0"/>
        <v>360000</v>
      </c>
    </row>
    <row r="23" spans="1:10" ht="48.75" thickBot="1" x14ac:dyDescent="0.25">
      <c r="A23" s="17">
        <v>14</v>
      </c>
      <c r="B23" s="18" t="s">
        <v>113</v>
      </c>
      <c r="C23" s="13" t="s">
        <v>16</v>
      </c>
      <c r="D23" s="18" t="s">
        <v>17</v>
      </c>
      <c r="E23" s="23" t="s">
        <v>114</v>
      </c>
      <c r="F23" s="18" t="s">
        <v>18</v>
      </c>
      <c r="G23" s="18">
        <v>400</v>
      </c>
      <c r="H23" s="20">
        <v>250</v>
      </c>
      <c r="I23" s="14">
        <f t="shared" si="0"/>
        <v>100000</v>
      </c>
      <c r="J23" s="25"/>
    </row>
    <row r="24" spans="1:10" ht="48.75" thickBot="1" x14ac:dyDescent="0.25">
      <c r="A24" s="17">
        <v>15</v>
      </c>
      <c r="B24" s="18" t="s">
        <v>110</v>
      </c>
      <c r="C24" s="13" t="s">
        <v>16</v>
      </c>
      <c r="D24" s="18" t="s">
        <v>17</v>
      </c>
      <c r="E24" s="23" t="s">
        <v>115</v>
      </c>
      <c r="F24" s="18" t="s">
        <v>18</v>
      </c>
      <c r="G24" s="18">
        <v>100</v>
      </c>
      <c r="H24" s="20">
        <v>250</v>
      </c>
      <c r="I24" s="14">
        <f t="shared" si="0"/>
        <v>25000</v>
      </c>
    </row>
    <row r="25" spans="1:10" ht="48.75" thickBot="1" x14ac:dyDescent="0.25">
      <c r="A25" s="17">
        <v>16</v>
      </c>
      <c r="B25" s="18" t="s">
        <v>47</v>
      </c>
      <c r="C25" s="13" t="s">
        <v>16</v>
      </c>
      <c r="D25" s="18" t="s">
        <v>17</v>
      </c>
      <c r="E25" s="19" t="s">
        <v>48</v>
      </c>
      <c r="F25" s="18" t="s">
        <v>18</v>
      </c>
      <c r="G25" s="18">
        <v>1000</v>
      </c>
      <c r="H25" s="20">
        <v>1000</v>
      </c>
      <c r="I25" s="14">
        <f t="shared" si="0"/>
        <v>1000000</v>
      </c>
    </row>
    <row r="26" spans="1:10" ht="48.75" thickBot="1" x14ac:dyDescent="0.25">
      <c r="A26" s="17">
        <v>17</v>
      </c>
      <c r="B26" s="18" t="s">
        <v>112</v>
      </c>
      <c r="C26" s="13" t="s">
        <v>16</v>
      </c>
      <c r="D26" s="18" t="s">
        <v>17</v>
      </c>
      <c r="E26" s="23" t="s">
        <v>116</v>
      </c>
      <c r="F26" s="18" t="s">
        <v>18</v>
      </c>
      <c r="G26" s="18">
        <v>1000</v>
      </c>
      <c r="H26" s="20">
        <v>500</v>
      </c>
      <c r="I26" s="14">
        <f t="shared" si="0"/>
        <v>500000</v>
      </c>
    </row>
    <row r="27" spans="1:10" ht="13.5" thickBot="1" x14ac:dyDescent="0.25">
      <c r="A27" s="17">
        <v>18</v>
      </c>
      <c r="B27" s="18" t="s">
        <v>49</v>
      </c>
      <c r="C27" s="13" t="s">
        <v>16</v>
      </c>
      <c r="D27" s="18" t="s">
        <v>17</v>
      </c>
      <c r="E27" s="19" t="s">
        <v>50</v>
      </c>
      <c r="F27" s="18" t="s">
        <v>18</v>
      </c>
      <c r="G27" s="18">
        <v>4000</v>
      </c>
      <c r="H27" s="20">
        <v>90</v>
      </c>
      <c r="I27" s="14">
        <f t="shared" si="0"/>
        <v>360000</v>
      </c>
    </row>
    <row r="28" spans="1:10" ht="13.5" thickBot="1" x14ac:dyDescent="0.25">
      <c r="A28" s="17">
        <v>19</v>
      </c>
      <c r="B28" s="18" t="s">
        <v>51</v>
      </c>
      <c r="C28" s="13" t="s">
        <v>16</v>
      </c>
      <c r="D28" s="18" t="s">
        <v>17</v>
      </c>
      <c r="E28" s="19" t="s">
        <v>52</v>
      </c>
      <c r="F28" s="18" t="s">
        <v>25</v>
      </c>
      <c r="G28" s="18">
        <v>600</v>
      </c>
      <c r="H28" s="20">
        <v>100</v>
      </c>
      <c r="I28" s="14">
        <f t="shared" si="0"/>
        <v>60000</v>
      </c>
    </row>
    <row r="29" spans="1:10" ht="13.5" thickBot="1" x14ac:dyDescent="0.25">
      <c r="A29" s="17">
        <v>20</v>
      </c>
      <c r="B29" s="18" t="s">
        <v>108</v>
      </c>
      <c r="C29" s="13" t="s">
        <v>16</v>
      </c>
      <c r="D29" s="18" t="s">
        <v>17</v>
      </c>
      <c r="E29" s="23" t="s">
        <v>109</v>
      </c>
      <c r="F29" s="18" t="s">
        <v>19</v>
      </c>
      <c r="G29" s="18">
        <v>600</v>
      </c>
      <c r="H29" s="20">
        <v>120</v>
      </c>
      <c r="I29" s="14">
        <f t="shared" si="0"/>
        <v>72000</v>
      </c>
    </row>
    <row r="30" spans="1:10" ht="24.75" thickBot="1" x14ac:dyDescent="0.25">
      <c r="A30" s="17">
        <v>21</v>
      </c>
      <c r="B30" s="18" t="s">
        <v>53</v>
      </c>
      <c r="C30" s="13" t="s">
        <v>16</v>
      </c>
      <c r="D30" s="18" t="s">
        <v>17</v>
      </c>
      <c r="E30" s="19" t="s">
        <v>54</v>
      </c>
      <c r="F30" s="18" t="s">
        <v>25</v>
      </c>
      <c r="G30" s="18">
        <v>500</v>
      </c>
      <c r="H30" s="20">
        <v>700</v>
      </c>
      <c r="I30" s="14">
        <f t="shared" si="0"/>
        <v>350000</v>
      </c>
    </row>
    <row r="31" spans="1:10" ht="13.5" thickBot="1" x14ac:dyDescent="0.25">
      <c r="A31" s="17">
        <v>22</v>
      </c>
      <c r="B31" s="18" t="s">
        <v>55</v>
      </c>
      <c r="C31" s="13" t="s">
        <v>16</v>
      </c>
      <c r="D31" s="18" t="s">
        <v>17</v>
      </c>
      <c r="E31" s="23" t="s">
        <v>56</v>
      </c>
      <c r="F31" s="24" t="s">
        <v>111</v>
      </c>
      <c r="G31" s="18">
        <v>20</v>
      </c>
      <c r="H31" s="20">
        <v>2000</v>
      </c>
      <c r="I31" s="14">
        <f t="shared" si="0"/>
        <v>40000</v>
      </c>
    </row>
    <row r="32" spans="1:10" ht="13.5" thickBot="1" x14ac:dyDescent="0.25">
      <c r="A32" s="17">
        <v>23</v>
      </c>
      <c r="B32" s="18" t="s">
        <v>57</v>
      </c>
      <c r="C32" s="13" t="s">
        <v>16</v>
      </c>
      <c r="D32" s="18" t="s">
        <v>17</v>
      </c>
      <c r="E32" s="19" t="s">
        <v>58</v>
      </c>
      <c r="F32" s="18" t="s">
        <v>19</v>
      </c>
      <c r="G32" s="18">
        <v>150</v>
      </c>
      <c r="H32" s="20">
        <v>1000</v>
      </c>
      <c r="I32" s="14">
        <f t="shared" si="0"/>
        <v>150000</v>
      </c>
    </row>
    <row r="33" spans="1:9" ht="13.5" thickBot="1" x14ac:dyDescent="0.25">
      <c r="A33" s="17">
        <v>24</v>
      </c>
      <c r="B33" s="18" t="s">
        <v>59</v>
      </c>
      <c r="C33" s="13" t="s">
        <v>16</v>
      </c>
      <c r="D33" s="18" t="s">
        <v>17</v>
      </c>
      <c r="E33" s="19" t="s">
        <v>60</v>
      </c>
      <c r="F33" s="18" t="s">
        <v>19</v>
      </c>
      <c r="G33" s="18">
        <v>150</v>
      </c>
      <c r="H33" s="20">
        <v>1000</v>
      </c>
      <c r="I33" s="14">
        <f t="shared" si="0"/>
        <v>150000</v>
      </c>
    </row>
    <row r="34" spans="1:9" ht="13.5" thickBot="1" x14ac:dyDescent="0.25">
      <c r="A34" s="17">
        <v>25</v>
      </c>
      <c r="B34" s="18" t="s">
        <v>61</v>
      </c>
      <c r="C34" s="13" t="s">
        <v>16</v>
      </c>
      <c r="D34" s="18" t="s">
        <v>17</v>
      </c>
      <c r="E34" s="19" t="s">
        <v>62</v>
      </c>
      <c r="F34" s="18" t="s">
        <v>19</v>
      </c>
      <c r="G34" s="18">
        <v>600</v>
      </c>
      <c r="H34" s="20">
        <v>350</v>
      </c>
      <c r="I34" s="14">
        <f t="shared" si="0"/>
        <v>210000</v>
      </c>
    </row>
    <row r="35" spans="1:9" ht="13.5" thickBot="1" x14ac:dyDescent="0.25">
      <c r="A35" s="17">
        <v>26</v>
      </c>
      <c r="B35" s="18" t="s">
        <v>63</v>
      </c>
      <c r="C35" s="13" t="s">
        <v>16</v>
      </c>
      <c r="D35" s="18" t="s">
        <v>17</v>
      </c>
      <c r="E35" s="19" t="s">
        <v>64</v>
      </c>
      <c r="F35" s="18" t="s">
        <v>19</v>
      </c>
      <c r="G35" s="18">
        <v>100</v>
      </c>
      <c r="H35" s="20">
        <v>1000</v>
      </c>
      <c r="I35" s="14">
        <f t="shared" si="0"/>
        <v>100000</v>
      </c>
    </row>
    <row r="36" spans="1:9" ht="13.5" thickBot="1" x14ac:dyDescent="0.25">
      <c r="A36" s="17">
        <v>27</v>
      </c>
      <c r="B36" s="18" t="s">
        <v>65</v>
      </c>
      <c r="C36" s="13" t="s">
        <v>16</v>
      </c>
      <c r="D36" s="18" t="s">
        <v>17</v>
      </c>
      <c r="E36" s="19" t="s">
        <v>66</v>
      </c>
      <c r="F36" s="18" t="s">
        <v>19</v>
      </c>
      <c r="G36" s="18">
        <v>15</v>
      </c>
      <c r="H36" s="20">
        <v>1000</v>
      </c>
      <c r="I36" s="14">
        <f t="shared" si="0"/>
        <v>15000</v>
      </c>
    </row>
    <row r="37" spans="1:9" ht="13.5" thickBot="1" x14ac:dyDescent="0.25">
      <c r="A37" s="17">
        <v>28</v>
      </c>
      <c r="B37" s="18" t="s">
        <v>67</v>
      </c>
      <c r="C37" s="13" t="s">
        <v>16</v>
      </c>
      <c r="D37" s="18" t="s">
        <v>17</v>
      </c>
      <c r="E37" s="19" t="s">
        <v>68</v>
      </c>
      <c r="F37" s="18" t="s">
        <v>25</v>
      </c>
      <c r="G37" s="18">
        <v>80</v>
      </c>
      <c r="H37" s="20">
        <v>1000</v>
      </c>
      <c r="I37" s="14">
        <f t="shared" si="0"/>
        <v>80000</v>
      </c>
    </row>
    <row r="38" spans="1:9" ht="24.75" thickBot="1" x14ac:dyDescent="0.25">
      <c r="A38" s="17">
        <v>29</v>
      </c>
      <c r="B38" s="18" t="s">
        <v>107</v>
      </c>
      <c r="C38" s="13" t="s">
        <v>16</v>
      </c>
      <c r="D38" s="18" t="s">
        <v>17</v>
      </c>
      <c r="E38" s="23" t="s">
        <v>106</v>
      </c>
      <c r="F38" s="24" t="s">
        <v>19</v>
      </c>
      <c r="G38" s="18">
        <v>50</v>
      </c>
      <c r="H38" s="20">
        <v>1200</v>
      </c>
      <c r="I38" s="14">
        <f t="shared" si="0"/>
        <v>60000</v>
      </c>
    </row>
    <row r="39" spans="1:9" ht="13.5" thickBot="1" x14ac:dyDescent="0.25">
      <c r="A39" s="17">
        <v>30</v>
      </c>
      <c r="B39" s="18" t="s">
        <v>71</v>
      </c>
      <c r="C39" s="13" t="s">
        <v>16</v>
      </c>
      <c r="D39" s="18" t="s">
        <v>17</v>
      </c>
      <c r="E39" s="19" t="s">
        <v>72</v>
      </c>
      <c r="F39" s="18" t="s">
        <v>19</v>
      </c>
      <c r="G39" s="18">
        <v>25</v>
      </c>
      <c r="H39" s="20">
        <v>1200</v>
      </c>
      <c r="I39" s="14">
        <f t="shared" si="0"/>
        <v>30000</v>
      </c>
    </row>
    <row r="40" spans="1:9" ht="13.5" thickBot="1" x14ac:dyDescent="0.25">
      <c r="A40" s="17">
        <v>31</v>
      </c>
      <c r="B40" s="18" t="s">
        <v>73</v>
      </c>
      <c r="C40" s="13" t="s">
        <v>16</v>
      </c>
      <c r="D40" s="18" t="s">
        <v>17</v>
      </c>
      <c r="E40" s="19" t="s">
        <v>74</v>
      </c>
      <c r="F40" s="18" t="s">
        <v>19</v>
      </c>
      <c r="G40" s="18">
        <v>25</v>
      </c>
      <c r="H40" s="20">
        <v>1200</v>
      </c>
      <c r="I40" s="14">
        <f t="shared" si="0"/>
        <v>30000</v>
      </c>
    </row>
    <row r="41" spans="1:9" ht="24.75" thickBot="1" x14ac:dyDescent="0.25">
      <c r="A41" s="17">
        <v>32</v>
      </c>
      <c r="B41" s="18" t="s">
        <v>75</v>
      </c>
      <c r="C41" s="13" t="s">
        <v>16</v>
      </c>
      <c r="D41" s="18" t="s">
        <v>17</v>
      </c>
      <c r="E41" s="19" t="s">
        <v>76</v>
      </c>
      <c r="F41" s="18" t="s">
        <v>34</v>
      </c>
      <c r="G41" s="18">
        <v>500</v>
      </c>
      <c r="H41" s="20">
        <v>400</v>
      </c>
      <c r="I41" s="14">
        <f t="shared" si="0"/>
        <v>200000</v>
      </c>
    </row>
    <row r="42" spans="1:9" ht="36.75" thickBot="1" x14ac:dyDescent="0.25">
      <c r="A42" s="17">
        <v>33</v>
      </c>
      <c r="B42" s="18" t="s">
        <v>77</v>
      </c>
      <c r="C42" s="13" t="s">
        <v>16</v>
      </c>
      <c r="D42" s="18" t="s">
        <v>17</v>
      </c>
      <c r="E42" s="19" t="s">
        <v>78</v>
      </c>
      <c r="F42" s="18" t="s">
        <v>19</v>
      </c>
      <c r="G42" s="18">
        <v>650</v>
      </c>
      <c r="H42" s="20">
        <v>200</v>
      </c>
      <c r="I42" s="14">
        <f t="shared" si="0"/>
        <v>130000</v>
      </c>
    </row>
    <row r="43" spans="1:9" ht="36.75" thickBot="1" x14ac:dyDescent="0.25">
      <c r="A43" s="17">
        <v>34</v>
      </c>
      <c r="B43" s="18" t="s">
        <v>79</v>
      </c>
      <c r="C43" s="13" t="s">
        <v>16</v>
      </c>
      <c r="D43" s="18" t="s">
        <v>17</v>
      </c>
      <c r="E43" s="19" t="s">
        <v>80</v>
      </c>
      <c r="F43" s="18" t="s">
        <v>19</v>
      </c>
      <c r="G43" s="16">
        <v>1000</v>
      </c>
      <c r="H43" s="15">
        <v>2000</v>
      </c>
      <c r="I43" s="14">
        <f t="shared" si="0"/>
        <v>2000000</v>
      </c>
    </row>
    <row r="44" spans="1:9" ht="27" customHeight="1" thickBot="1" x14ac:dyDescent="0.25">
      <c r="A44" s="17">
        <v>35</v>
      </c>
      <c r="B44" s="18" t="s">
        <v>81</v>
      </c>
      <c r="C44" s="13" t="s">
        <v>16</v>
      </c>
      <c r="D44" s="18" t="s">
        <v>17</v>
      </c>
      <c r="E44" s="23" t="s">
        <v>82</v>
      </c>
      <c r="F44" s="24" t="s">
        <v>19</v>
      </c>
      <c r="G44" s="12">
        <v>1500</v>
      </c>
      <c r="H44" s="15">
        <v>500</v>
      </c>
      <c r="I44" s="14">
        <f t="shared" si="0"/>
        <v>750000</v>
      </c>
    </row>
    <row r="45" spans="1:9" ht="27" customHeight="1" thickBot="1" x14ac:dyDescent="0.25">
      <c r="A45" s="17">
        <v>36</v>
      </c>
      <c r="B45" s="18" t="s">
        <v>83</v>
      </c>
      <c r="C45" s="13" t="s">
        <v>16</v>
      </c>
      <c r="D45" s="18" t="s">
        <v>17</v>
      </c>
      <c r="E45" s="19" t="s">
        <v>84</v>
      </c>
      <c r="F45" s="18" t="s">
        <v>19</v>
      </c>
      <c r="G45" s="12">
        <v>15</v>
      </c>
      <c r="H45" s="15">
        <v>6000</v>
      </c>
      <c r="I45" s="14">
        <f t="shared" si="0"/>
        <v>90000</v>
      </c>
    </row>
    <row r="46" spans="1:9" ht="24.75" thickBot="1" x14ac:dyDescent="0.25">
      <c r="A46" s="17">
        <v>37</v>
      </c>
      <c r="B46" s="18" t="s">
        <v>85</v>
      </c>
      <c r="C46" s="13" t="s">
        <v>16</v>
      </c>
      <c r="D46" s="18" t="s">
        <v>17</v>
      </c>
      <c r="E46" s="19" t="s">
        <v>86</v>
      </c>
      <c r="F46" s="18" t="s">
        <v>19</v>
      </c>
      <c r="G46" s="12">
        <v>500</v>
      </c>
      <c r="H46" s="15">
        <v>350</v>
      </c>
      <c r="I46" s="14">
        <f t="shared" si="0"/>
        <v>175000</v>
      </c>
    </row>
    <row r="47" spans="1:9" ht="13.5" thickBot="1" x14ac:dyDescent="0.25">
      <c r="A47" s="17">
        <v>38</v>
      </c>
      <c r="B47" s="18" t="s">
        <v>87</v>
      </c>
      <c r="C47" s="13" t="s">
        <v>16</v>
      </c>
      <c r="D47" s="18" t="s">
        <v>17</v>
      </c>
      <c r="E47" s="19" t="s">
        <v>88</v>
      </c>
      <c r="F47" s="18" t="s">
        <v>19</v>
      </c>
      <c r="G47" s="12">
        <v>35</v>
      </c>
      <c r="H47" s="15">
        <v>5000</v>
      </c>
      <c r="I47" s="14">
        <f t="shared" si="0"/>
        <v>175000</v>
      </c>
    </row>
    <row r="48" spans="1:9" ht="24.75" thickBot="1" x14ac:dyDescent="0.25">
      <c r="A48" s="17">
        <v>39</v>
      </c>
      <c r="B48" s="18" t="s">
        <v>89</v>
      </c>
      <c r="C48" s="13" t="s">
        <v>16</v>
      </c>
      <c r="D48" s="18" t="s">
        <v>17</v>
      </c>
      <c r="E48" s="23" t="s">
        <v>90</v>
      </c>
      <c r="F48" s="18" t="s">
        <v>20</v>
      </c>
      <c r="G48" s="12">
        <v>24</v>
      </c>
      <c r="H48" s="21">
        <v>250</v>
      </c>
      <c r="I48" s="14">
        <f t="shared" si="0"/>
        <v>6000</v>
      </c>
    </row>
    <row r="49" spans="1:9" ht="24.75" thickBot="1" x14ac:dyDescent="0.25">
      <c r="A49" s="17">
        <v>40</v>
      </c>
      <c r="B49" s="18" t="s">
        <v>91</v>
      </c>
      <c r="C49" s="13" t="s">
        <v>16</v>
      </c>
      <c r="D49" s="18" t="s">
        <v>17</v>
      </c>
      <c r="E49" s="19" t="s">
        <v>92</v>
      </c>
      <c r="F49" s="18" t="s">
        <v>18</v>
      </c>
      <c r="G49" s="12">
        <v>50</v>
      </c>
      <c r="H49" s="21">
        <v>250</v>
      </c>
      <c r="I49" s="14">
        <f t="shared" si="0"/>
        <v>12500</v>
      </c>
    </row>
    <row r="50" spans="1:9" ht="24.75" thickBot="1" x14ac:dyDescent="0.25">
      <c r="A50" s="17">
        <v>41</v>
      </c>
      <c r="B50" s="18" t="s">
        <v>93</v>
      </c>
      <c r="C50" s="13" t="s">
        <v>16</v>
      </c>
      <c r="D50" s="18" t="s">
        <v>17</v>
      </c>
      <c r="E50" s="19" t="s">
        <v>94</v>
      </c>
      <c r="F50" s="18" t="s">
        <v>18</v>
      </c>
      <c r="G50" s="12">
        <v>50</v>
      </c>
      <c r="H50" s="21">
        <v>200</v>
      </c>
      <c r="I50" s="14">
        <f t="shared" si="0"/>
        <v>10000</v>
      </c>
    </row>
    <row r="51" spans="1:9" ht="13.5" thickBot="1" x14ac:dyDescent="0.25">
      <c r="A51" s="77" t="s">
        <v>95</v>
      </c>
      <c r="B51" s="78"/>
      <c r="C51" s="78"/>
      <c r="D51" s="78"/>
      <c r="E51" s="78"/>
      <c r="F51" s="78"/>
      <c r="G51" s="78"/>
      <c r="H51" s="79"/>
      <c r="I51" s="22">
        <f>SUM(I10:I50)</f>
        <v>10248000</v>
      </c>
    </row>
    <row r="52" spans="1:9" ht="13.5" thickBot="1" x14ac:dyDescent="0.25"/>
    <row r="53" spans="1:9" x14ac:dyDescent="0.2">
      <c r="C53" s="80" t="s">
        <v>117</v>
      </c>
      <c r="D53" s="81"/>
      <c r="E53" s="81"/>
      <c r="F53" s="82"/>
    </row>
    <row r="54" spans="1:9" x14ac:dyDescent="0.2">
      <c r="C54" s="67"/>
      <c r="D54" s="83"/>
      <c r="E54" s="83"/>
      <c r="F54" s="84"/>
    </row>
    <row r="55" spans="1:9" x14ac:dyDescent="0.2">
      <c r="C55" s="67" t="s">
        <v>96</v>
      </c>
      <c r="D55" s="85"/>
      <c r="E55" s="85"/>
      <c r="F55" s="86"/>
    </row>
    <row r="56" spans="1:9" x14ac:dyDescent="0.2">
      <c r="C56" s="67"/>
      <c r="D56" s="85"/>
      <c r="E56" s="85"/>
      <c r="F56" s="86"/>
    </row>
    <row r="57" spans="1:9" x14ac:dyDescent="0.2">
      <c r="C57" s="75" t="s">
        <v>97</v>
      </c>
      <c r="D57" s="68" t="s">
        <v>98</v>
      </c>
      <c r="E57" s="68"/>
      <c r="F57" s="69"/>
    </row>
    <row r="58" spans="1:9" x14ac:dyDescent="0.2">
      <c r="C58" s="75"/>
      <c r="D58" s="68"/>
      <c r="E58" s="68"/>
      <c r="F58" s="69"/>
    </row>
    <row r="59" spans="1:9" x14ac:dyDescent="0.2">
      <c r="C59" s="75"/>
      <c r="D59" s="68"/>
      <c r="E59" s="68"/>
      <c r="F59" s="69"/>
    </row>
    <row r="60" spans="1:9" x14ac:dyDescent="0.2">
      <c r="C60" s="75"/>
      <c r="D60" s="68"/>
      <c r="E60" s="68"/>
      <c r="F60" s="69"/>
    </row>
    <row r="61" spans="1:9" x14ac:dyDescent="0.2">
      <c r="C61" s="75"/>
      <c r="D61" s="68"/>
      <c r="E61" s="68"/>
      <c r="F61" s="69"/>
    </row>
    <row r="62" spans="1:9" x14ac:dyDescent="0.2">
      <c r="C62" s="75"/>
      <c r="D62" s="68"/>
      <c r="E62" s="68"/>
      <c r="F62" s="69"/>
    </row>
    <row r="63" spans="1:9" x14ac:dyDescent="0.2">
      <c r="C63" s="75"/>
      <c r="D63" s="68"/>
      <c r="E63" s="68"/>
      <c r="F63" s="69"/>
    </row>
    <row r="64" spans="1:9" x14ac:dyDescent="0.2">
      <c r="C64" s="75"/>
      <c r="D64" s="68"/>
      <c r="E64" s="68"/>
      <c r="F64" s="69"/>
    </row>
    <row r="65" spans="3:6" ht="12.75" customHeight="1" x14ac:dyDescent="0.2">
      <c r="C65" s="75" t="s">
        <v>99</v>
      </c>
      <c r="D65" s="71" t="s">
        <v>100</v>
      </c>
      <c r="E65" s="71"/>
      <c r="F65" s="72"/>
    </row>
    <row r="66" spans="3:6" ht="12.75" customHeight="1" x14ac:dyDescent="0.2">
      <c r="C66" s="75"/>
      <c r="D66" s="71"/>
      <c r="E66" s="71"/>
      <c r="F66" s="72"/>
    </row>
    <row r="67" spans="3:6" x14ac:dyDescent="0.2">
      <c r="C67" s="67" t="s">
        <v>101</v>
      </c>
      <c r="D67" s="71" t="s">
        <v>102</v>
      </c>
      <c r="E67" s="71"/>
      <c r="F67" s="72"/>
    </row>
    <row r="68" spans="3:6" x14ac:dyDescent="0.2">
      <c r="C68" s="67"/>
      <c r="D68" s="71"/>
      <c r="E68" s="71"/>
      <c r="F68" s="72"/>
    </row>
    <row r="69" spans="3:6" x14ac:dyDescent="0.2">
      <c r="C69" s="67" t="s">
        <v>103</v>
      </c>
      <c r="D69" s="68" t="s">
        <v>104</v>
      </c>
      <c r="E69" s="68"/>
      <c r="F69" s="69"/>
    </row>
    <row r="70" spans="3:6" x14ac:dyDescent="0.2">
      <c r="C70" s="67"/>
      <c r="D70" s="68"/>
      <c r="E70" s="68"/>
      <c r="F70" s="69"/>
    </row>
    <row r="71" spans="3:6" x14ac:dyDescent="0.2">
      <c r="C71" s="67" t="s">
        <v>105</v>
      </c>
      <c r="D71" s="71"/>
      <c r="E71" s="71"/>
      <c r="F71" s="72"/>
    </row>
    <row r="72" spans="3:6" ht="13.5" thickBot="1" x14ac:dyDescent="0.25">
      <c r="C72" s="70"/>
      <c r="D72" s="73"/>
      <c r="E72" s="73"/>
      <c r="F72" s="74"/>
    </row>
    <row r="77" spans="3:6" ht="12.75" customHeight="1" x14ac:dyDescent="0.2"/>
    <row r="87" ht="12.75" customHeight="1" x14ac:dyDescent="0.2"/>
    <row r="97" ht="12.75" customHeight="1" x14ac:dyDescent="0.2"/>
    <row r="106" ht="12.75" customHeight="1" x14ac:dyDescent="0.2"/>
    <row r="108" ht="12.75" customHeight="1" x14ac:dyDescent="0.2"/>
    <row r="114" ht="12.75" customHeight="1" x14ac:dyDescent="0.2"/>
    <row r="124" ht="12.75" customHeight="1" x14ac:dyDescent="0.2"/>
    <row r="129" ht="12.75" customHeight="1" x14ac:dyDescent="0.2"/>
    <row r="141" ht="12.75" customHeight="1" x14ac:dyDescent="0.2"/>
    <row r="142" ht="13.5" customHeight="1" x14ac:dyDescent="0.2"/>
    <row r="150" ht="12.75" customHeight="1" x14ac:dyDescent="0.2"/>
    <row r="165" ht="12.75" customHeight="1" x14ac:dyDescent="0.2"/>
    <row r="169" ht="12.75" customHeight="1" x14ac:dyDescent="0.2"/>
    <row r="171" ht="12.75" customHeight="1" x14ac:dyDescent="0.2"/>
    <row r="173" ht="12.75" customHeight="1" x14ac:dyDescent="0.2"/>
    <row r="192" ht="12.75" customHeight="1" x14ac:dyDescent="0.2"/>
    <row r="199" ht="12.75" customHeight="1" x14ac:dyDescent="0.2"/>
    <row r="211" ht="12.75" customHeight="1" x14ac:dyDescent="0.2"/>
    <row r="213" ht="12.75" customHeight="1" x14ac:dyDescent="0.2"/>
    <row r="234" ht="12.75" customHeight="1" x14ac:dyDescent="0.2"/>
    <row r="255" ht="12.75" customHeight="1" x14ac:dyDescent="0.2"/>
    <row r="276" ht="12.75" customHeight="1" x14ac:dyDescent="0.2"/>
  </sheetData>
  <mergeCells count="22">
    <mergeCell ref="A6:B6"/>
    <mergeCell ref="B2:H2"/>
    <mergeCell ref="A4:B4"/>
    <mergeCell ref="C4:E4"/>
    <mergeCell ref="A5:B5"/>
    <mergeCell ref="C5:E5"/>
    <mergeCell ref="A7:B7"/>
    <mergeCell ref="A51:H51"/>
    <mergeCell ref="C53:C54"/>
    <mergeCell ref="D53:F54"/>
    <mergeCell ref="C55:C56"/>
    <mergeCell ref="D55:F56"/>
    <mergeCell ref="C69:C70"/>
    <mergeCell ref="D69:F70"/>
    <mergeCell ref="C71:C72"/>
    <mergeCell ref="D71:F72"/>
    <mergeCell ref="C57:C64"/>
    <mergeCell ref="D57:F64"/>
    <mergeCell ref="C65:C66"/>
    <mergeCell ref="D65:F66"/>
    <mergeCell ref="C67:C68"/>
    <mergeCell ref="D67:F68"/>
  </mergeCells>
  <pageMargins left="0.7" right="0.7" top="0.75" bottom="0.75" header="0.3" footer="0.3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0F75-D1B1-4196-8CE6-1630E1B45551}">
  <dimension ref="A1:AMK53"/>
  <sheetViews>
    <sheetView zoomScale="80" zoomScaleNormal="80" workbookViewId="0">
      <selection activeCell="O12" sqref="O12:O52"/>
    </sheetView>
  </sheetViews>
  <sheetFormatPr baseColWidth="10" defaultColWidth="9.140625" defaultRowHeight="15" x14ac:dyDescent="0.25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51" style="56" customWidth="1"/>
    <col min="8" max="8" width="9.28515625" style="56" customWidth="1"/>
    <col min="9" max="9" width="10.140625" style="56" customWidth="1"/>
    <col min="10" max="10" width="11.28515625" style="56" customWidth="1"/>
    <col min="11" max="11" width="15.5703125" style="56" customWidth="1"/>
    <col min="12" max="14" width="5.85546875" style="56" customWidth="1"/>
    <col min="15" max="15" width="12.5703125" style="56" customWidth="1"/>
    <col min="16" max="1025" width="9.140625" style="56"/>
    <col min="1026" max="16384" width="9.140625" style="57"/>
  </cols>
  <sheetData>
    <row r="1" spans="1:15" ht="16.5" thickBot="1" x14ac:dyDescent="0.3">
      <c r="A1" s="91" t="s">
        <v>118</v>
      </c>
      <c r="B1" s="91"/>
      <c r="C1" s="91"/>
      <c r="D1" s="91"/>
      <c r="E1" s="91"/>
      <c r="F1" s="91"/>
      <c r="G1" s="91"/>
      <c r="H1" s="91"/>
      <c r="I1" s="91"/>
      <c r="J1" s="54" t="s">
        <v>119</v>
      </c>
      <c r="K1" s="55"/>
    </row>
    <row r="2" spans="1:15" ht="16.5" thickBot="1" x14ac:dyDescent="0.3">
      <c r="A2" s="58"/>
      <c r="B2" s="58"/>
      <c r="C2" s="58"/>
      <c r="D2" s="59"/>
      <c r="E2" s="59"/>
      <c r="F2" s="59"/>
      <c r="G2" s="59"/>
      <c r="H2" s="59"/>
      <c r="I2" s="59"/>
      <c r="J2" s="59"/>
      <c r="K2" s="59"/>
    </row>
    <row r="3" spans="1:15" ht="16.5" thickBot="1" x14ac:dyDescent="0.3">
      <c r="A3" s="92" t="s">
        <v>120</v>
      </c>
      <c r="B3" s="92"/>
      <c r="C3" s="92"/>
      <c r="D3" s="90" t="str">
        <f>'NECESIDADES TRIMESTRALES'!C4</f>
        <v>90 - MINISTERIO DE SEGURIDAD</v>
      </c>
      <c r="E3" s="90"/>
      <c r="F3" s="90"/>
      <c r="G3" s="90"/>
      <c r="H3" s="90"/>
      <c r="I3" s="90"/>
      <c r="J3" s="90"/>
      <c r="K3" s="90"/>
    </row>
    <row r="4" spans="1:15" ht="16.5" thickBot="1" x14ac:dyDescent="0.3">
      <c r="A4" s="89" t="s">
        <v>121</v>
      </c>
      <c r="B4" s="89"/>
      <c r="C4" s="89"/>
      <c r="D4" s="90" t="str">
        <f>'NECESIDADES TRIMESTRALES'!C5</f>
        <v>8 - DIRECCION GENERAL SERVICIO PENITENCIARIO PROVINCIAL</v>
      </c>
      <c r="E4" s="90"/>
      <c r="F4" s="90"/>
      <c r="G4" s="90"/>
      <c r="H4" s="90"/>
      <c r="I4" s="90"/>
      <c r="J4" s="90"/>
      <c r="K4" s="90"/>
    </row>
    <row r="5" spans="1:15" ht="16.5" thickBot="1" x14ac:dyDescent="0.3">
      <c r="A5" s="89" t="s">
        <v>122</v>
      </c>
      <c r="B5" s="89"/>
      <c r="C5" s="89"/>
      <c r="D5" s="90" t="s">
        <v>162</v>
      </c>
      <c r="E5" s="90"/>
      <c r="F5" s="90"/>
      <c r="G5" s="90"/>
      <c r="H5" s="90"/>
      <c r="I5" s="90"/>
      <c r="J5" s="90"/>
      <c r="K5" s="90"/>
    </row>
    <row r="6" spans="1:15" ht="16.5" thickBot="1" x14ac:dyDescent="0.3">
      <c r="A6" s="92" t="s">
        <v>123</v>
      </c>
      <c r="B6" s="92"/>
      <c r="C6" s="92"/>
      <c r="D6" s="90" t="s">
        <v>157</v>
      </c>
      <c r="E6" s="90"/>
      <c r="F6" s="90"/>
      <c r="G6" s="90"/>
      <c r="H6" s="90"/>
      <c r="I6" s="90"/>
      <c r="J6" s="90"/>
      <c r="K6" s="90"/>
    </row>
    <row r="7" spans="1:15" ht="16.5" thickBot="1" x14ac:dyDescent="0.3">
      <c r="A7" s="89" t="s">
        <v>124</v>
      </c>
      <c r="B7" s="89"/>
      <c r="C7" s="89"/>
      <c r="D7" s="90" t="s">
        <v>158</v>
      </c>
      <c r="E7" s="90"/>
      <c r="F7" s="90"/>
      <c r="G7" s="90"/>
      <c r="H7" s="90"/>
      <c r="I7" s="90"/>
      <c r="J7" s="90"/>
      <c r="K7" s="90"/>
    </row>
    <row r="8" spans="1:15" ht="16.5" thickBot="1" x14ac:dyDescent="0.3">
      <c r="A8" s="93" t="s">
        <v>125</v>
      </c>
      <c r="B8" s="93"/>
      <c r="C8" s="93"/>
      <c r="D8" s="94" t="s">
        <v>159</v>
      </c>
      <c r="E8" s="94"/>
      <c r="F8" s="94"/>
      <c r="G8" s="94"/>
      <c r="H8" s="94"/>
      <c r="I8" s="94"/>
      <c r="J8" s="94"/>
      <c r="K8" s="94"/>
    </row>
    <row r="9" spans="1:15" ht="16.5" thickBot="1" x14ac:dyDescent="0.3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</row>
    <row r="10" spans="1:15" ht="18.75" customHeight="1" thickBot="1" x14ac:dyDescent="0.3">
      <c r="A10" s="95" t="s">
        <v>126</v>
      </c>
      <c r="B10" s="96" t="s">
        <v>127</v>
      </c>
      <c r="C10" s="96" t="s">
        <v>128</v>
      </c>
      <c r="D10" s="96"/>
      <c r="E10" s="96"/>
      <c r="F10" s="96"/>
      <c r="G10" s="96"/>
      <c r="H10" s="96" t="s">
        <v>129</v>
      </c>
      <c r="I10" s="96" t="s">
        <v>130</v>
      </c>
      <c r="J10" s="96" t="s">
        <v>131</v>
      </c>
      <c r="K10" s="102" t="s">
        <v>132</v>
      </c>
    </row>
    <row r="11" spans="1:15" ht="24" customHeight="1" thickBot="1" x14ac:dyDescent="0.3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102"/>
    </row>
    <row r="12" spans="1:15" ht="15.75" thickBot="1" x14ac:dyDescent="0.3">
      <c r="A12" s="62">
        <f>'NECESIDADES TRIMESTRALES'!A10</f>
        <v>1</v>
      </c>
      <c r="B12" s="63" t="str">
        <f>'NECESIDADES TRIMESTRALES'!B10</f>
        <v>2.1.1-5917.8</v>
      </c>
      <c r="C12" s="99" t="str">
        <f>'NECESIDADES TRIMESTRALES'!E10</f>
        <v>CEREALES; TIPO: TRIGO BURGOL, PRESENTACION: ENVASE X 1 Kg</v>
      </c>
      <c r="D12" s="100"/>
      <c r="E12" s="100"/>
      <c r="F12" s="100"/>
      <c r="G12" s="101"/>
      <c r="H12" s="62" t="s">
        <v>133</v>
      </c>
      <c r="I12" s="64" t="str">
        <f>'NECESIDADES TRIMESTRALES'!F10</f>
        <v>BOLSA</v>
      </c>
      <c r="J12" s="65">
        <f>'NECESIDADES TRIMESTRALES'!H10</f>
        <v>350</v>
      </c>
      <c r="K12" s="66">
        <f>'NECESIDADES TRIMESTRALES'!G10</f>
        <v>200</v>
      </c>
      <c r="M12" s="56">
        <v>350</v>
      </c>
      <c r="N12" s="56">
        <v>200</v>
      </c>
      <c r="O12" s="56">
        <f>M12*N12</f>
        <v>70000</v>
      </c>
    </row>
    <row r="13" spans="1:15" ht="15.75" thickBot="1" x14ac:dyDescent="0.3">
      <c r="A13" s="62">
        <f>'NECESIDADES TRIMESTRALES'!A11</f>
        <v>2</v>
      </c>
      <c r="B13" s="63" t="str">
        <f>'NECESIDADES TRIMESTRALES'!B11</f>
        <v>2.1.1-438.37</v>
      </c>
      <c r="C13" s="99" t="str">
        <f>'NECESIDADES TRIMESTRALES'!E11</f>
        <v>ADEREZOS; TIPO: MAYONESA, ENVASE: BOLSA, CONTENIDO: 2,9 Kg, PRESENTACION: ENVASE X 2,9 Kg</v>
      </c>
      <c r="D13" s="100"/>
      <c r="E13" s="100"/>
      <c r="F13" s="100"/>
      <c r="G13" s="101"/>
      <c r="H13" s="62" t="s">
        <v>133</v>
      </c>
      <c r="I13" s="64" t="str">
        <f>'NECESIDADES TRIMESTRALES'!F11</f>
        <v>BOLSA</v>
      </c>
      <c r="J13" s="65">
        <f>'NECESIDADES TRIMESTRALES'!H11</f>
        <v>1800</v>
      </c>
      <c r="K13" s="66">
        <f>'NECESIDADES TRIMESTRALES'!G11</f>
        <v>10</v>
      </c>
      <c r="M13" s="56">
        <v>1800</v>
      </c>
      <c r="N13" s="56">
        <v>10</v>
      </c>
      <c r="O13" s="56">
        <f t="shared" ref="O13:O52" si="0">M13*N13</f>
        <v>18000</v>
      </c>
    </row>
    <row r="14" spans="1:15" ht="31.5" customHeight="1" thickBot="1" x14ac:dyDescent="0.3">
      <c r="A14" s="62">
        <f>'NECESIDADES TRIMESTRALES'!A12</f>
        <v>3</v>
      </c>
      <c r="B14" s="63" t="str">
        <f>'NECESIDADES TRIMESTRALES'!B12</f>
        <v>2.1.1-435.60</v>
      </c>
      <c r="C14" s="99" t="str">
        <f>'NECESIDADES TRIMESTRALES'!E12</f>
        <v>ARROZ; TIPO GRANO: LARGO-FINO, TIPO: BLANCO, PROCESO: SIN CASCARA, PRESENTACION: BOLSA X 1 Kg, MATERIAL ENVASE: PLASTICO, CERTIFICADO FORESTAL (GFS): SIN, ELEM. TRANSPORTE: SIN, MATERIAL ELEM. TRANSPORTE: SIN, LIBRE DE GLUTEN: SI</v>
      </c>
      <c r="D14" s="100"/>
      <c r="E14" s="100"/>
      <c r="F14" s="100"/>
      <c r="G14" s="101"/>
      <c r="H14" s="62" t="s">
        <v>133</v>
      </c>
      <c r="I14" s="64" t="str">
        <f>'NECESIDADES TRIMESTRALES'!F12</f>
        <v>PAQUETE</v>
      </c>
      <c r="J14" s="65">
        <f>'NECESIDADES TRIMESTRALES'!H12</f>
        <v>150</v>
      </c>
      <c r="K14" s="66">
        <f>'NECESIDADES TRIMESTRALES'!G12</f>
        <v>4500</v>
      </c>
      <c r="M14" s="56">
        <v>150</v>
      </c>
      <c r="N14" s="56">
        <v>4500</v>
      </c>
      <c r="O14" s="56">
        <f t="shared" si="0"/>
        <v>675000</v>
      </c>
    </row>
    <row r="15" spans="1:15" ht="31.5" customHeight="1" thickBot="1" x14ac:dyDescent="0.3">
      <c r="A15" s="62">
        <f>'NECESIDADES TRIMESTRALES'!A13</f>
        <v>4</v>
      </c>
      <c r="B15" s="63" t="str">
        <f>'NECESIDADES TRIMESTRALES'!B13</f>
        <v>2.1.1-435.37</v>
      </c>
      <c r="C15" s="99" t="str">
        <f>'NECESIDADES TRIMESTRALES'!E13</f>
        <v>ARROZ; TIPO GRANO: ENTERO, TIPO: INTEGRAL, PROCESO: DESCASCARILLADO, PRESENTACION: ENVASE X 1 Kg, MATERIAL ENVASE: PLASTICO, CERTIFICADO FORESTAL (GFS): SIN, ELEM. TRANSPORTE: SIN, MATERIAL ELEM. TRANSPORTE: SIN</v>
      </c>
      <c r="D15" s="100"/>
      <c r="E15" s="100"/>
      <c r="F15" s="100"/>
      <c r="G15" s="101"/>
      <c r="H15" s="62" t="s">
        <v>133</v>
      </c>
      <c r="I15" s="64" t="str">
        <f>'NECESIDADES TRIMESTRALES'!F13</f>
        <v>PAQUETE</v>
      </c>
      <c r="J15" s="65">
        <f>'NECESIDADES TRIMESTRALES'!H13</f>
        <v>230</v>
      </c>
      <c r="K15" s="66">
        <f>'NECESIDADES TRIMESTRALES'!G13</f>
        <v>100</v>
      </c>
      <c r="M15" s="56">
        <v>230</v>
      </c>
      <c r="N15" s="56">
        <v>100</v>
      </c>
      <c r="O15" s="56">
        <f t="shared" si="0"/>
        <v>23000</v>
      </c>
    </row>
    <row r="16" spans="1:15" ht="33" customHeight="1" thickBot="1" x14ac:dyDescent="0.3">
      <c r="A16" s="62">
        <f>'NECESIDADES TRIMESTRALES'!A14</f>
        <v>5</v>
      </c>
      <c r="B16" s="63" t="str">
        <f>'NECESIDADES TRIMESTRALES'!B14</f>
        <v>2.1.1-2124.5</v>
      </c>
      <c r="C16" s="99" t="str">
        <f>'NECESIDADES TRIMESTRALES'!E14</f>
        <v>AVENAS; TIPO: ARROLLADA, ESTADO: INSTANTANEA, PRESENTACION: ENVASE X 1 Kg, PESO: SIN VALOR</v>
      </c>
      <c r="D16" s="100"/>
      <c r="E16" s="100"/>
      <c r="F16" s="100"/>
      <c r="G16" s="101"/>
      <c r="H16" s="62" t="s">
        <v>133</v>
      </c>
      <c r="I16" s="64" t="str">
        <f>'NECESIDADES TRIMESTRALES'!F14</f>
        <v>BOLSA</v>
      </c>
      <c r="J16" s="65">
        <f>'NECESIDADES TRIMESTRALES'!H14</f>
        <v>350</v>
      </c>
      <c r="K16" s="66">
        <f>'NECESIDADES TRIMESTRALES'!G14</f>
        <v>400</v>
      </c>
      <c r="M16" s="56">
        <v>350</v>
      </c>
      <c r="N16" s="56">
        <v>400</v>
      </c>
      <c r="O16" s="56">
        <f t="shared" si="0"/>
        <v>140000</v>
      </c>
    </row>
    <row r="17" spans="1:15" ht="30.75" customHeight="1" thickBot="1" x14ac:dyDescent="0.3">
      <c r="A17" s="62">
        <f>'NECESIDADES TRIMESTRALES'!A15</f>
        <v>6</v>
      </c>
      <c r="B17" s="63" t="str">
        <f>'NECESIDADES TRIMESTRALES'!B15</f>
        <v>2.1.1-709.9</v>
      </c>
      <c r="C17" s="99" t="str">
        <f>'NECESIDADES TRIMESTRALES'!E15</f>
        <v>CAFE; ESTADO: MOLIDO, CONTENIDO: 1000 GR, PROCESO: TOSTADO C/AZUCAR, ENVASE: PAQUETE, TIPO: SIN VALOR, PRESENTACION: ENVASE X 1000 GR</v>
      </c>
      <c r="D17" s="100"/>
      <c r="E17" s="100"/>
      <c r="F17" s="100"/>
      <c r="G17" s="101"/>
      <c r="H17" s="62" t="s">
        <v>133</v>
      </c>
      <c r="I17" s="64" t="str">
        <f>'NECESIDADES TRIMESTRALES'!F15</f>
        <v>PAQUETE</v>
      </c>
      <c r="J17" s="65">
        <f>'NECESIDADES TRIMESTRALES'!H15</f>
        <v>1900</v>
      </c>
      <c r="K17" s="66">
        <f>'NECESIDADES TRIMESTRALES'!G15</f>
        <v>50</v>
      </c>
      <c r="M17" s="56">
        <v>1900</v>
      </c>
      <c r="N17" s="56">
        <v>50</v>
      </c>
      <c r="O17" s="56">
        <f t="shared" si="0"/>
        <v>95000</v>
      </c>
    </row>
    <row r="18" spans="1:15" ht="45" customHeight="1" thickBot="1" x14ac:dyDescent="0.3">
      <c r="A18" s="62">
        <f>'NECESIDADES TRIMESTRALES'!A16</f>
        <v>7</v>
      </c>
      <c r="B18" s="63" t="str">
        <f>'NECESIDADES TRIMESTRALES'!B16</f>
        <v>2.1.1-6547.84</v>
      </c>
      <c r="C18" s="99" t="str">
        <f>'NECESIDADES TRIMESTRALES'!E16</f>
        <v>LEGUMBRES; VARIEDAD: ARVEJAS, ESTADO: CONSERVA, PRESENTACION: LATA, PESO: 350 GR, MATERIAL ENVASE: METAL, ELEM. TRANSPORTE: SIN, MATERIAL ELEM. TRANSPORTE: SIN, LIBRE DE GLUTEN: NO</v>
      </c>
      <c r="D18" s="100"/>
      <c r="E18" s="100"/>
      <c r="F18" s="100"/>
      <c r="G18" s="101"/>
      <c r="H18" s="62" t="s">
        <v>133</v>
      </c>
      <c r="I18" s="64" t="str">
        <f>'NECESIDADES TRIMESTRALES'!F16</f>
        <v>LATA</v>
      </c>
      <c r="J18" s="65">
        <f>'NECESIDADES TRIMESTRALES'!H16</f>
        <v>60</v>
      </c>
      <c r="K18" s="66">
        <f>'NECESIDADES TRIMESTRALES'!G16</f>
        <v>1000</v>
      </c>
      <c r="M18" s="56">
        <v>60</v>
      </c>
      <c r="N18" s="56">
        <v>1000</v>
      </c>
      <c r="O18" s="56">
        <f t="shared" si="0"/>
        <v>60000</v>
      </c>
    </row>
    <row r="19" spans="1:15" ht="30.75" customHeight="1" thickBot="1" x14ac:dyDescent="0.3">
      <c r="A19" s="62">
        <f>'NECESIDADES TRIMESTRALES'!A17</f>
        <v>8</v>
      </c>
      <c r="B19" s="63" t="str">
        <f>'NECESIDADES TRIMESTRALES'!B17</f>
        <v>2.1.1-6547.1</v>
      </c>
      <c r="C19" s="99" t="str">
        <f>'NECESIDADES TRIMESTRALES'!E17</f>
        <v>LEGUMBRES; ESTADO: NATURAL, VARIEDAD: GARBANZO, PRESENTACION: BOLSA PLASTICA, PESO: 500 GR</v>
      </c>
      <c r="D19" s="100"/>
      <c r="E19" s="100"/>
      <c r="F19" s="100"/>
      <c r="G19" s="101"/>
      <c r="H19" s="62" t="s">
        <v>133</v>
      </c>
      <c r="I19" s="64" t="str">
        <f>'NECESIDADES TRIMESTRALES'!F17</f>
        <v>BOLSA</v>
      </c>
      <c r="J19" s="65">
        <f>'NECESIDADES TRIMESTRALES'!H17</f>
        <v>350</v>
      </c>
      <c r="K19" s="66">
        <f>'NECESIDADES TRIMESTRALES'!G17</f>
        <v>600</v>
      </c>
      <c r="M19" s="56">
        <v>350</v>
      </c>
      <c r="N19" s="56">
        <v>600</v>
      </c>
      <c r="O19" s="56">
        <f t="shared" si="0"/>
        <v>210000</v>
      </c>
    </row>
    <row r="20" spans="1:15" ht="31.5" customHeight="1" thickBot="1" x14ac:dyDescent="0.3">
      <c r="A20" s="62">
        <f>'NECESIDADES TRIMESTRALES'!A18</f>
        <v>9</v>
      </c>
      <c r="B20" s="63" t="str">
        <f>'NECESIDADES TRIMESTRALES'!B18</f>
        <v>2.1.1-6547.55</v>
      </c>
      <c r="C20" s="99" t="str">
        <f>'NECESIDADES TRIMESTRALES'!E18</f>
        <v>LEGUMBRES; VARIEDAD: POROTO SECO, ESTADO: SECA Y CONSERVADA, PRESENTACION: BOLSA PLASTICA, PESO: 1 Kg</v>
      </c>
      <c r="D20" s="100"/>
      <c r="E20" s="100"/>
      <c r="F20" s="100"/>
      <c r="G20" s="101"/>
      <c r="H20" s="62" t="s">
        <v>133</v>
      </c>
      <c r="I20" s="64" t="str">
        <f>'NECESIDADES TRIMESTRALES'!F18</f>
        <v>BOLSA</v>
      </c>
      <c r="J20" s="65">
        <f>'NECESIDADES TRIMESTRALES'!H18</f>
        <v>350</v>
      </c>
      <c r="K20" s="66">
        <f>'NECESIDADES TRIMESTRALES'!G18</f>
        <v>150</v>
      </c>
      <c r="M20" s="56">
        <v>350</v>
      </c>
      <c r="N20" s="56">
        <v>150</v>
      </c>
      <c r="O20" s="56">
        <f t="shared" si="0"/>
        <v>52500</v>
      </c>
    </row>
    <row r="21" spans="1:15" ht="31.5" customHeight="1" thickBot="1" x14ac:dyDescent="0.3">
      <c r="A21" s="62">
        <f>'NECESIDADES TRIMESTRALES'!A19</f>
        <v>10</v>
      </c>
      <c r="B21" s="63" t="str">
        <f>'NECESIDADES TRIMESTRALES'!B19</f>
        <v>2.1.1-481.28</v>
      </c>
      <c r="C21" s="99" t="str">
        <f>'NECESIDADES TRIMESTRALES'!E19</f>
        <v>AZUCARES; TIPO: BLANCA, ESTADO: MOLIDA, PESO: 1 Kg, MATERIAL ENVASE: PAPEL, CERTIFICADO FORESTAL (GFS): SIN, ELEM. TRANSPORTE: SIN, MATERIAL ELEM. TRANSPORTE: SIN</v>
      </c>
      <c r="D21" s="100"/>
      <c r="E21" s="100"/>
      <c r="F21" s="100"/>
      <c r="G21" s="101"/>
      <c r="H21" s="62" t="s">
        <v>133</v>
      </c>
      <c r="I21" s="64" t="str">
        <f>'NECESIDADES TRIMESTRALES'!F19</f>
        <v>PAQUETE</v>
      </c>
      <c r="J21" s="65">
        <f>'NECESIDADES TRIMESTRALES'!H19</f>
        <v>220</v>
      </c>
      <c r="K21" s="66">
        <f>'NECESIDADES TRIMESTRALES'!G19</f>
        <v>5200</v>
      </c>
      <c r="M21" s="56">
        <v>220</v>
      </c>
      <c r="N21" s="56">
        <v>5200</v>
      </c>
      <c r="O21" s="56">
        <f t="shared" si="0"/>
        <v>1144000</v>
      </c>
    </row>
    <row r="22" spans="1:15" ht="15.75" thickBot="1" x14ac:dyDescent="0.3">
      <c r="A22" s="62">
        <f>'NECESIDADES TRIMESTRALES'!A20</f>
        <v>11</v>
      </c>
      <c r="B22" s="63" t="str">
        <f>'NECESIDADES TRIMESTRALES'!B20</f>
        <v>2.1.1-595.2</v>
      </c>
      <c r="C22" s="99" t="str">
        <f>'NECESIDADES TRIMESTRALES'!E20</f>
        <v>EDULCORANTES; PRESENTACION: LIQUIDO, ENVASE: BOTELLA PLASTICA, CONTENIDO: 500 CM3</v>
      </c>
      <c r="D22" s="100"/>
      <c r="E22" s="100"/>
      <c r="F22" s="100"/>
      <c r="G22" s="101"/>
      <c r="H22" s="62" t="s">
        <v>133</v>
      </c>
      <c r="I22" s="64" t="str">
        <f>'NECESIDADES TRIMESTRALES'!F20</f>
        <v>BOTELLA</v>
      </c>
      <c r="J22" s="65">
        <f>'NECESIDADES TRIMESTRALES'!H20</f>
        <v>400</v>
      </c>
      <c r="K22" s="66">
        <f>'NECESIDADES TRIMESTRALES'!G20</f>
        <v>400</v>
      </c>
      <c r="M22" s="56">
        <v>400</v>
      </c>
      <c r="N22" s="56">
        <v>400</v>
      </c>
      <c r="O22" s="56">
        <f t="shared" si="0"/>
        <v>160000</v>
      </c>
    </row>
    <row r="23" spans="1:15" ht="31.5" customHeight="1" thickBot="1" x14ac:dyDescent="0.3">
      <c r="A23" s="62">
        <f>'NECESIDADES TRIMESTRALES'!A21</f>
        <v>12</v>
      </c>
      <c r="B23" s="63" t="str">
        <f>'NECESIDADES TRIMESTRALES'!B21</f>
        <v>2.1.1-2868.53</v>
      </c>
      <c r="C23" s="99" t="str">
        <f>'NECESIDADES TRIMESTRALES'!E21</f>
        <v>FIDEOS SECOS; VARIEDAD: TIRABUZON, RELLENO: SIN, PRESENTACION: ENVASE X 500 GR, MATERIAL ENVASE: PLASTICO 1 (PET), ELEM. TRANSPORTE: SIN, MATERIAL ELEM. TRANSPORTE: SIN, CERTIFICADO FORESTAL (GFS): SIN, LIBRE DE GLUTEN: NO</v>
      </c>
      <c r="D23" s="100"/>
      <c r="E23" s="100"/>
      <c r="F23" s="100"/>
      <c r="G23" s="101"/>
      <c r="H23" s="62" t="s">
        <v>133</v>
      </c>
      <c r="I23" s="64" t="str">
        <f>'NECESIDADES TRIMESTRALES'!F21</f>
        <v>PAQUETE</v>
      </c>
      <c r="J23" s="65">
        <f>'NECESIDADES TRIMESTRALES'!H21</f>
        <v>90</v>
      </c>
      <c r="K23" s="66">
        <f>'NECESIDADES TRIMESTRALES'!G21</f>
        <v>4000</v>
      </c>
      <c r="M23" s="56">
        <v>90</v>
      </c>
      <c r="N23" s="56">
        <v>4000</v>
      </c>
      <c r="O23" s="56">
        <f t="shared" si="0"/>
        <v>360000</v>
      </c>
    </row>
    <row r="24" spans="1:15" ht="33" customHeight="1" thickBot="1" x14ac:dyDescent="0.3">
      <c r="A24" s="62">
        <f>'NECESIDADES TRIMESTRALES'!A22</f>
        <v>13</v>
      </c>
      <c r="B24" s="63" t="str">
        <f>'NECESIDADES TRIMESTRALES'!B22</f>
        <v>2.1.1-2868.55</v>
      </c>
      <c r="C24" s="99" t="str">
        <f>'NECESIDADES TRIMESTRALES'!E22</f>
        <v>FIDEOS SECOS; VARIEDAD: TALLARIN, RELLENO: SIN, PRESENTACION: ENVASE X 500 GR, MATERIAL ENVASE: PLASTICO 1 (PET), ELEM. TRANSPORTE: SIN, MATERIAL ELEM. TRANSPORTE: SIN, CERTIFICADO FORESTAL (GFS): SIN, LIBRE DE GLUTEN: NO</v>
      </c>
      <c r="D24" s="100"/>
      <c r="E24" s="100"/>
      <c r="F24" s="100"/>
      <c r="G24" s="101"/>
      <c r="H24" s="62" t="s">
        <v>133</v>
      </c>
      <c r="I24" s="64" t="str">
        <f>'NECESIDADES TRIMESTRALES'!F22</f>
        <v>PAQUETE</v>
      </c>
      <c r="J24" s="65">
        <f>'NECESIDADES TRIMESTRALES'!H22</f>
        <v>90</v>
      </c>
      <c r="K24" s="66">
        <f>'NECESIDADES TRIMESTRALES'!G22</f>
        <v>4000</v>
      </c>
      <c r="M24" s="56">
        <v>90</v>
      </c>
      <c r="N24" s="56">
        <v>4000</v>
      </c>
      <c r="O24" s="56">
        <f t="shared" si="0"/>
        <v>360000</v>
      </c>
    </row>
    <row r="25" spans="1:15" ht="45.75" customHeight="1" thickBot="1" x14ac:dyDescent="0.3">
      <c r="A25" s="62">
        <f>'NECESIDADES TRIMESTRALES'!A23</f>
        <v>14</v>
      </c>
      <c r="B25" s="63" t="str">
        <f>'NECESIDADES TRIMESTRALES'!B23</f>
        <v>2.1.1-705.103</v>
      </c>
      <c r="C25" s="99" t="str">
        <f>'NECESIDADES TRIMESTRALES'!E23</f>
        <v>LECHE; ESTADO: LIQUIDO, TIPO: ENTERA, PROCESO: PASTEURIZADA, AGREGADO: VITAMINAS Y MINERALES, PRESENTACION: ENVASE X 1 L, MATERIAL ENVASE: CARTON, ELEM. TRANSPORTE: SIN, MATERIAL ELEM. TRANSPORTE: SIN, CERTIFICADO FORESTAL (GFS): SIN, LIBRE DE GLUTEN: SI</v>
      </c>
      <c r="D25" s="100"/>
      <c r="E25" s="100"/>
      <c r="F25" s="100"/>
      <c r="G25" s="101"/>
      <c r="H25" s="62" t="s">
        <v>133</v>
      </c>
      <c r="I25" s="64" t="str">
        <f>'NECESIDADES TRIMESTRALES'!F23</f>
        <v>CAJA</v>
      </c>
      <c r="J25" s="65">
        <f>'NECESIDADES TRIMESTRALES'!H23</f>
        <v>250</v>
      </c>
      <c r="K25" s="66">
        <f>'NECESIDADES TRIMESTRALES'!G23</f>
        <v>400</v>
      </c>
      <c r="M25" s="56">
        <v>250</v>
      </c>
      <c r="N25" s="56">
        <v>400</v>
      </c>
      <c r="O25" s="56">
        <f t="shared" si="0"/>
        <v>100000</v>
      </c>
    </row>
    <row r="26" spans="1:15" ht="47.25" customHeight="1" thickBot="1" x14ac:dyDescent="0.3">
      <c r="A26" s="62">
        <f>'NECESIDADES TRIMESTRALES'!A24</f>
        <v>15</v>
      </c>
      <c r="B26" s="63" t="str">
        <f>'NECESIDADES TRIMESTRALES'!B24</f>
        <v>2.1.1-705.105</v>
      </c>
      <c r="C26" s="99" t="str">
        <f>'NECESIDADES TRIMESTRALES'!E24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26" s="100"/>
      <c r="E26" s="100"/>
      <c r="F26" s="100"/>
      <c r="G26" s="101"/>
      <c r="H26" s="62" t="s">
        <v>133</v>
      </c>
      <c r="I26" s="64" t="str">
        <f>'NECESIDADES TRIMESTRALES'!F24</f>
        <v>CAJA</v>
      </c>
      <c r="J26" s="65">
        <f>'NECESIDADES TRIMESTRALES'!H24</f>
        <v>250</v>
      </c>
      <c r="K26" s="66">
        <f>'NECESIDADES TRIMESTRALES'!G24</f>
        <v>100</v>
      </c>
      <c r="M26" s="56">
        <v>250</v>
      </c>
      <c r="N26" s="56">
        <v>100</v>
      </c>
      <c r="O26" s="56">
        <f t="shared" si="0"/>
        <v>25000</v>
      </c>
    </row>
    <row r="27" spans="1:15" ht="47.25" customHeight="1" thickBot="1" x14ac:dyDescent="0.3">
      <c r="A27" s="62">
        <f>'NECESIDADES TRIMESTRALES'!A25</f>
        <v>16</v>
      </c>
      <c r="B27" s="63" t="str">
        <f>'NECESIDADES TRIMESTRALES'!B25</f>
        <v>2.1.1-705.93</v>
      </c>
      <c r="C27" s="99" t="str">
        <f>'NECESIDADES TRIMESTRALES'!E25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27" s="100"/>
      <c r="E27" s="100"/>
      <c r="F27" s="100"/>
      <c r="G27" s="101"/>
      <c r="H27" s="62" t="s">
        <v>133</v>
      </c>
      <c r="I27" s="64" t="str">
        <f>'NECESIDADES TRIMESTRALES'!F25</f>
        <v>CAJA</v>
      </c>
      <c r="J27" s="65">
        <f>'NECESIDADES TRIMESTRALES'!H25</f>
        <v>1000</v>
      </c>
      <c r="K27" s="66">
        <f>'NECESIDADES TRIMESTRALES'!G25</f>
        <v>1000</v>
      </c>
      <c r="M27" s="56">
        <v>1000</v>
      </c>
      <c r="N27" s="56">
        <v>1000</v>
      </c>
      <c r="O27" s="56">
        <f t="shared" si="0"/>
        <v>1000000</v>
      </c>
    </row>
    <row r="28" spans="1:15" ht="46.5" customHeight="1" thickBot="1" x14ac:dyDescent="0.3">
      <c r="A28" s="62">
        <f>'NECESIDADES TRIMESTRALES'!A26</f>
        <v>17</v>
      </c>
      <c r="B28" s="63" t="str">
        <f>'NECESIDADES TRIMESTRALES'!B26</f>
        <v>2.1.1-705.95</v>
      </c>
      <c r="C28" s="99" t="str">
        <f>'NECESIDADES TRIMESTRALES'!E26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28" s="100"/>
      <c r="E28" s="100"/>
      <c r="F28" s="100"/>
      <c r="G28" s="101"/>
      <c r="H28" s="62" t="s">
        <v>133</v>
      </c>
      <c r="I28" s="64" t="str">
        <f>'NECESIDADES TRIMESTRALES'!F26</f>
        <v>CAJA</v>
      </c>
      <c r="J28" s="65">
        <f>'NECESIDADES TRIMESTRALES'!H26</f>
        <v>500</v>
      </c>
      <c r="K28" s="66">
        <f>'NECESIDADES TRIMESTRALES'!G26</f>
        <v>1000</v>
      </c>
      <c r="M28" s="56">
        <v>500</v>
      </c>
      <c r="N28" s="56">
        <v>1000</v>
      </c>
      <c r="O28" s="56">
        <f t="shared" si="0"/>
        <v>500000</v>
      </c>
    </row>
    <row r="29" spans="1:15" ht="15.75" thickBot="1" x14ac:dyDescent="0.3">
      <c r="A29" s="62">
        <f>'NECESIDADES TRIMESTRALES'!A27</f>
        <v>18</v>
      </c>
      <c r="B29" s="63" t="str">
        <f>'NECESIDADES TRIMESTRALES'!B27</f>
        <v>2.1.1-509.10</v>
      </c>
      <c r="C29" s="99" t="str">
        <f>'NECESIDADES TRIMESTRALES'!E27</f>
        <v>PURE; TIPO: DE TOMATE, ENVASE: CAJA DE CARTON, PESO: 530 GR</v>
      </c>
      <c r="D29" s="100"/>
      <c r="E29" s="100"/>
      <c r="F29" s="100"/>
      <c r="G29" s="101"/>
      <c r="H29" s="62" t="s">
        <v>133</v>
      </c>
      <c r="I29" s="64" t="str">
        <f>'NECESIDADES TRIMESTRALES'!F27</f>
        <v>CAJA</v>
      </c>
      <c r="J29" s="65">
        <f>'NECESIDADES TRIMESTRALES'!H27</f>
        <v>90</v>
      </c>
      <c r="K29" s="66">
        <f>'NECESIDADES TRIMESTRALES'!G27</f>
        <v>4000</v>
      </c>
      <c r="M29" s="56">
        <v>90</v>
      </c>
      <c r="N29" s="56">
        <v>4000</v>
      </c>
      <c r="O29" s="56">
        <f t="shared" si="0"/>
        <v>360000</v>
      </c>
    </row>
    <row r="30" spans="1:15" ht="15.75" thickBot="1" x14ac:dyDescent="0.3">
      <c r="A30" s="62">
        <f>'NECESIDADES TRIMESTRALES'!A28</f>
        <v>19</v>
      </c>
      <c r="B30" s="63" t="str">
        <f>'NECESIDADES TRIMESTRALES'!B28</f>
        <v>2.1.1-514.2</v>
      </c>
      <c r="C30" s="99" t="str">
        <f>'NECESIDADES TRIMESTRALES'!E28</f>
        <v>SAL DE MESA; CONSISTENCIA: FINA, PESO: 500 GR, TIPO: SIN VALOR, ENVASE: PAQUETE</v>
      </c>
      <c r="D30" s="100"/>
      <c r="E30" s="100"/>
      <c r="F30" s="100"/>
      <c r="G30" s="101"/>
      <c r="H30" s="62" t="s">
        <v>133</v>
      </c>
      <c r="I30" s="64" t="str">
        <f>'NECESIDADES TRIMESTRALES'!F28</f>
        <v>PAQUETE</v>
      </c>
      <c r="J30" s="65">
        <f>'NECESIDADES TRIMESTRALES'!H28</f>
        <v>100</v>
      </c>
      <c r="K30" s="66">
        <f>'NECESIDADES TRIMESTRALES'!G28</f>
        <v>600</v>
      </c>
      <c r="M30" s="56">
        <v>100</v>
      </c>
      <c r="N30" s="56">
        <v>600</v>
      </c>
      <c r="O30" s="56">
        <f t="shared" si="0"/>
        <v>60000</v>
      </c>
    </row>
    <row r="31" spans="1:15" ht="15.75" thickBot="1" x14ac:dyDescent="0.3">
      <c r="A31" s="62">
        <f>'NECESIDADES TRIMESTRALES'!A29</f>
        <v>20</v>
      </c>
      <c r="B31" s="63" t="str">
        <f>'NECESIDADES TRIMESTRALES'!B29</f>
        <v>2.1.1-514.15</v>
      </c>
      <c r="C31" s="99" t="str">
        <f>'NECESIDADES TRIMESTRALES'!E29</f>
        <v>SAL DE MESA; CONSISTENCIA: GRUESA, ENVASE: BOLSA, PESO: 1 Kg, TIPO: SIN VALOR</v>
      </c>
      <c r="D31" s="100"/>
      <c r="E31" s="100"/>
      <c r="F31" s="100"/>
      <c r="G31" s="101"/>
      <c r="H31" s="62" t="s">
        <v>133</v>
      </c>
      <c r="I31" s="64" t="str">
        <f>'NECESIDADES TRIMESTRALES'!F29</f>
        <v>BOLSA</v>
      </c>
      <c r="J31" s="65">
        <f>'NECESIDADES TRIMESTRALES'!H29</f>
        <v>120</v>
      </c>
      <c r="K31" s="66">
        <f>'NECESIDADES TRIMESTRALES'!G29</f>
        <v>600</v>
      </c>
      <c r="M31" s="56">
        <v>120</v>
      </c>
      <c r="N31" s="56">
        <v>600</v>
      </c>
      <c r="O31" s="56">
        <f t="shared" si="0"/>
        <v>72000</v>
      </c>
    </row>
    <row r="32" spans="1:15" ht="29.25" customHeight="1" thickBot="1" x14ac:dyDescent="0.3">
      <c r="A32" s="62">
        <f>'NECESIDADES TRIMESTRALES'!A30</f>
        <v>21</v>
      </c>
      <c r="B32" s="63" t="str">
        <f>'NECESIDADES TRIMESTRALES'!B30</f>
        <v>2.1.1-454.28</v>
      </c>
      <c r="C32" s="99" t="str">
        <f>'NECESIDADES TRIMESTRALES'!E30</f>
        <v>YERBAS; PALO: SIN, PESO: 1 Kg, MATERIAL ENVASE : PAPEL, CERTIFICADO FORESTAL (GFS): CON, ELEM. TRANSPORTE: SIN, MATERIAL ELEM. TRANSPORTE: SIN, LIBRE DE GLUTEN: SI</v>
      </c>
      <c r="D32" s="100"/>
      <c r="E32" s="100"/>
      <c r="F32" s="100"/>
      <c r="G32" s="101"/>
      <c r="H32" s="62" t="s">
        <v>133</v>
      </c>
      <c r="I32" s="64" t="str">
        <f>'NECESIDADES TRIMESTRALES'!F30</f>
        <v>PAQUETE</v>
      </c>
      <c r="J32" s="65">
        <f>'NECESIDADES TRIMESTRALES'!H30</f>
        <v>700</v>
      </c>
      <c r="K32" s="66">
        <f>'NECESIDADES TRIMESTRALES'!G30</f>
        <v>500</v>
      </c>
      <c r="M32" s="56">
        <v>700</v>
      </c>
      <c r="N32" s="56">
        <v>500</v>
      </c>
      <c r="O32" s="56">
        <f t="shared" si="0"/>
        <v>350000</v>
      </c>
    </row>
    <row r="33" spans="1:15" ht="15.75" thickBot="1" x14ac:dyDescent="0.3">
      <c r="A33" s="62">
        <f>'NECESIDADES TRIMESTRALES'!A31</f>
        <v>22</v>
      </c>
      <c r="B33" s="63" t="str">
        <f>'NECESIDADES TRIMESTRALES'!B31</f>
        <v>2.1.1-489.150</v>
      </c>
      <c r="C33" s="99" t="str">
        <f>'NECESIDADES TRIMESTRALES'!E31</f>
        <v>ESPECIAS; TIPO: CANELA, PRESENTACION: ENVASE X 500 GR</v>
      </c>
      <c r="D33" s="100"/>
      <c r="E33" s="100"/>
      <c r="F33" s="100"/>
      <c r="G33" s="101"/>
      <c r="H33" s="62" t="s">
        <v>133</v>
      </c>
      <c r="I33" s="64" t="str">
        <f>'NECESIDADES TRIMESTRALES'!F31</f>
        <v>UNIDAD</v>
      </c>
      <c r="J33" s="65">
        <f>'NECESIDADES TRIMESTRALES'!H31</f>
        <v>2000</v>
      </c>
      <c r="K33" s="66">
        <f>'NECESIDADES TRIMESTRALES'!G31</f>
        <v>20</v>
      </c>
      <c r="M33" s="56">
        <v>2000</v>
      </c>
      <c r="N33" s="56">
        <v>20</v>
      </c>
      <c r="O33" s="56">
        <f t="shared" si="0"/>
        <v>40000</v>
      </c>
    </row>
    <row r="34" spans="1:15" ht="15.75" thickBot="1" x14ac:dyDescent="0.3">
      <c r="A34" s="62">
        <f>'NECESIDADES TRIMESTRALES'!A32</f>
        <v>23</v>
      </c>
      <c r="B34" s="63" t="str">
        <f>'NECESIDADES TRIMESTRALES'!B32</f>
        <v>2.1.1-489.67</v>
      </c>
      <c r="C34" s="99" t="str">
        <f>'NECESIDADES TRIMESTRALES'!E32</f>
        <v>ESPECIAS; TIPO: PIMENTON, PRESENTACION: BOLSA DE 1 Kg</v>
      </c>
      <c r="D34" s="100"/>
      <c r="E34" s="100"/>
      <c r="F34" s="100"/>
      <c r="G34" s="101"/>
      <c r="H34" s="62" t="s">
        <v>133</v>
      </c>
      <c r="I34" s="64" t="str">
        <f>'NECESIDADES TRIMESTRALES'!F32</f>
        <v>BOLSA</v>
      </c>
      <c r="J34" s="65">
        <f>'NECESIDADES TRIMESTRALES'!H32</f>
        <v>1000</v>
      </c>
      <c r="K34" s="66">
        <f>'NECESIDADES TRIMESTRALES'!G32</f>
        <v>150</v>
      </c>
      <c r="M34" s="56">
        <v>1000</v>
      </c>
      <c r="N34" s="56">
        <v>150</v>
      </c>
      <c r="O34" s="56">
        <f t="shared" si="0"/>
        <v>150000</v>
      </c>
    </row>
    <row r="35" spans="1:15" ht="15.75" thickBot="1" x14ac:dyDescent="0.3">
      <c r="A35" s="62">
        <f>'NECESIDADES TRIMESTRALES'!A33</f>
        <v>24</v>
      </c>
      <c r="B35" s="63" t="str">
        <f>'NECESIDADES TRIMESTRALES'!B33</f>
        <v>2.1.1-489.109</v>
      </c>
      <c r="C35" s="99" t="str">
        <f>'NECESIDADES TRIMESTRALES'!E33</f>
        <v>ESPECIAS; TIPO: PROVENZAL, PRESENTACION: PAQUETE X 1 Kg</v>
      </c>
      <c r="D35" s="100"/>
      <c r="E35" s="100"/>
      <c r="F35" s="100"/>
      <c r="G35" s="101"/>
      <c r="H35" s="62" t="s">
        <v>133</v>
      </c>
      <c r="I35" s="64" t="str">
        <f>'NECESIDADES TRIMESTRALES'!F33</f>
        <v>BOLSA</v>
      </c>
      <c r="J35" s="65">
        <f>'NECESIDADES TRIMESTRALES'!H33</f>
        <v>1000</v>
      </c>
      <c r="K35" s="66">
        <f>'NECESIDADES TRIMESTRALES'!G33</f>
        <v>150</v>
      </c>
      <c r="M35" s="56">
        <v>1000</v>
      </c>
      <c r="N35" s="56">
        <v>150</v>
      </c>
      <c r="O35" s="56">
        <f t="shared" si="0"/>
        <v>150000</v>
      </c>
    </row>
    <row r="36" spans="1:15" ht="15.75" thickBot="1" x14ac:dyDescent="0.3">
      <c r="A36" s="62">
        <f>'NECESIDADES TRIMESTRALES'!A34</f>
        <v>25</v>
      </c>
      <c r="B36" s="63" t="str">
        <f>'NECESIDADES TRIMESTRALES'!B34</f>
        <v>2.1.1-6547.70</v>
      </c>
      <c r="C36" s="99" t="str">
        <f>'NECESIDADES TRIMESTRALES'!E34</f>
        <v>LEGUMBRES: VARIEDAD; LENTEJA, ESTADO: SECO, PRESENTACION: BOLSA, PESO: 1 KG.</v>
      </c>
      <c r="D36" s="100"/>
      <c r="E36" s="100"/>
      <c r="F36" s="100"/>
      <c r="G36" s="101"/>
      <c r="H36" s="62" t="s">
        <v>133</v>
      </c>
      <c r="I36" s="64" t="str">
        <f>'NECESIDADES TRIMESTRALES'!F34</f>
        <v>BOLSA</v>
      </c>
      <c r="J36" s="65">
        <f>'NECESIDADES TRIMESTRALES'!H34</f>
        <v>350</v>
      </c>
      <c r="K36" s="66">
        <f>'NECESIDADES TRIMESTRALES'!G34</f>
        <v>600</v>
      </c>
      <c r="M36" s="56">
        <v>350</v>
      </c>
      <c r="N36" s="56">
        <v>600</v>
      </c>
      <c r="O36" s="56">
        <f t="shared" si="0"/>
        <v>210000</v>
      </c>
    </row>
    <row r="37" spans="1:15" ht="15.75" thickBot="1" x14ac:dyDescent="0.3">
      <c r="A37" s="62">
        <f>'NECESIDADES TRIMESTRALES'!A35</f>
        <v>26</v>
      </c>
      <c r="B37" s="63" t="str">
        <f>'NECESIDADES TRIMESTRALES'!B35</f>
        <v>2.1.1-489.66</v>
      </c>
      <c r="C37" s="99" t="str">
        <f>'NECESIDADES TRIMESTRALES'!E35</f>
        <v>ESPECIAS: TIPO: OREGANO, PRESENTACION: BOLSA DE 1 KG.</v>
      </c>
      <c r="D37" s="100"/>
      <c r="E37" s="100"/>
      <c r="F37" s="100"/>
      <c r="G37" s="101"/>
      <c r="H37" s="62" t="s">
        <v>133</v>
      </c>
      <c r="I37" s="64" t="str">
        <f>'NECESIDADES TRIMESTRALES'!F35</f>
        <v>BOLSA</v>
      </c>
      <c r="J37" s="65">
        <f>'NECESIDADES TRIMESTRALES'!H35</f>
        <v>1000</v>
      </c>
      <c r="K37" s="66">
        <f>'NECESIDADES TRIMESTRALES'!G35</f>
        <v>100</v>
      </c>
      <c r="M37" s="56">
        <v>1000</v>
      </c>
      <c r="N37" s="56">
        <v>100</v>
      </c>
      <c r="O37" s="56">
        <f t="shared" si="0"/>
        <v>100000</v>
      </c>
    </row>
    <row r="38" spans="1:15" ht="15.75" thickBot="1" x14ac:dyDescent="0.3">
      <c r="A38" s="62">
        <f>'NECESIDADES TRIMESTRALES'!A36</f>
        <v>27</v>
      </c>
      <c r="B38" s="63" t="str">
        <f>'NECESIDADES TRIMESTRALES'!B36</f>
        <v>2.1.1-489.118</v>
      </c>
      <c r="C38" s="99" t="str">
        <f>'NECESIDADES TRIMESTRALES'!E36</f>
        <v>ESPECIAS; TIPO: CURCUMA, PRESENTACION: BOLSA X 1 Kg</v>
      </c>
      <c r="D38" s="100"/>
      <c r="E38" s="100"/>
      <c r="F38" s="100"/>
      <c r="G38" s="101"/>
      <c r="H38" s="62" t="s">
        <v>133</v>
      </c>
      <c r="I38" s="64" t="str">
        <f>'NECESIDADES TRIMESTRALES'!F36</f>
        <v>BOLSA</v>
      </c>
      <c r="J38" s="65">
        <f>'NECESIDADES TRIMESTRALES'!H36</f>
        <v>1000</v>
      </c>
      <c r="K38" s="66">
        <f>'NECESIDADES TRIMESTRALES'!G36</f>
        <v>15</v>
      </c>
      <c r="M38" s="56">
        <v>1000</v>
      </c>
      <c r="N38" s="56">
        <v>15</v>
      </c>
      <c r="O38" s="56">
        <f t="shared" si="0"/>
        <v>15000</v>
      </c>
    </row>
    <row r="39" spans="1:15" ht="15.75" thickBot="1" x14ac:dyDescent="0.3">
      <c r="A39" s="62">
        <f>'NECESIDADES TRIMESTRALES'!A37</f>
        <v>28</v>
      </c>
      <c r="B39" s="63" t="str">
        <f>'NECESIDADES TRIMESTRALES'!B37</f>
        <v>2.1.1-489.77</v>
      </c>
      <c r="C39" s="99" t="str">
        <f>'NECESIDADES TRIMESTRALES'!E37</f>
        <v>ESPECIAS; PRESENTACION: PAQUETE X 1 Kg, TIPO: LAUREL</v>
      </c>
      <c r="D39" s="100"/>
      <c r="E39" s="100"/>
      <c r="F39" s="100"/>
      <c r="G39" s="101"/>
      <c r="H39" s="62" t="s">
        <v>133</v>
      </c>
      <c r="I39" s="64" t="str">
        <f>'NECESIDADES TRIMESTRALES'!F37</f>
        <v>PAQUETE</v>
      </c>
      <c r="J39" s="65">
        <f>'NECESIDADES TRIMESTRALES'!H37</f>
        <v>1000</v>
      </c>
      <c r="K39" s="66">
        <f>'NECESIDADES TRIMESTRALES'!G37</f>
        <v>80</v>
      </c>
      <c r="M39" s="56">
        <v>1000</v>
      </c>
      <c r="N39" s="56">
        <v>80</v>
      </c>
      <c r="O39" s="56">
        <f t="shared" si="0"/>
        <v>80000</v>
      </c>
    </row>
    <row r="40" spans="1:15" ht="30.75" customHeight="1" thickBot="1" x14ac:dyDescent="0.3">
      <c r="A40" s="62">
        <f>'NECESIDADES TRIMESTRALES'!A38</f>
        <v>29</v>
      </c>
      <c r="B40" s="63" t="str">
        <f>'NECESIDADES TRIMESTRALES'!B38</f>
        <v>2.1.1-513.50</v>
      </c>
      <c r="C40" s="99" t="str">
        <f>'NECESIDADES TRIMESTRALES'!E38</f>
        <v>FLANES; ESTADO PREPARACION: EN POLVO, TIPO: COMUN, SABOR: VAINILLA, PRESENTACION: ENVASE X 1 Kg, LIBRE DE GLUTEN: NO</v>
      </c>
      <c r="D40" s="100"/>
      <c r="E40" s="100"/>
      <c r="F40" s="100"/>
      <c r="G40" s="101"/>
      <c r="H40" s="62" t="s">
        <v>133</v>
      </c>
      <c r="I40" s="64" t="str">
        <f>'NECESIDADES TRIMESTRALES'!F38</f>
        <v>BOLSA</v>
      </c>
      <c r="J40" s="65">
        <f>'NECESIDADES TRIMESTRALES'!H38</f>
        <v>1200</v>
      </c>
      <c r="K40" s="66">
        <f>'NECESIDADES TRIMESTRALES'!G38</f>
        <v>50</v>
      </c>
      <c r="M40" s="56">
        <v>1200</v>
      </c>
      <c r="N40" s="56">
        <v>50</v>
      </c>
      <c r="O40" s="56">
        <f t="shared" si="0"/>
        <v>60000</v>
      </c>
    </row>
    <row r="41" spans="1:15" ht="15.75" thickBot="1" x14ac:dyDescent="0.3">
      <c r="A41" s="62">
        <f>'NECESIDADES TRIMESTRALES'!A39</f>
        <v>30</v>
      </c>
      <c r="B41" s="63" t="str">
        <f>'NECESIDADES TRIMESTRALES'!B39</f>
        <v>2.1.1-510.42</v>
      </c>
      <c r="C41" s="99" t="str">
        <f>'NECESIDADES TRIMESTRALES'!E39</f>
        <v>GELATINAS; TIPO: SIN VALOR, PESO: 1 Kg, SABOR: CEREZA, ENVASE: BOLSA</v>
      </c>
      <c r="D41" s="100"/>
      <c r="E41" s="100"/>
      <c r="F41" s="100"/>
      <c r="G41" s="101"/>
      <c r="H41" s="62" t="s">
        <v>133</v>
      </c>
      <c r="I41" s="64" t="str">
        <f>'NECESIDADES TRIMESTRALES'!F39</f>
        <v>BOLSA</v>
      </c>
      <c r="J41" s="65">
        <f>'NECESIDADES TRIMESTRALES'!H39</f>
        <v>1200</v>
      </c>
      <c r="K41" s="66">
        <f>'NECESIDADES TRIMESTRALES'!G39</f>
        <v>25</v>
      </c>
      <c r="M41" s="56">
        <v>1200</v>
      </c>
      <c r="N41" s="56">
        <v>25</v>
      </c>
      <c r="O41" s="56">
        <f t="shared" si="0"/>
        <v>30000</v>
      </c>
    </row>
    <row r="42" spans="1:15" ht="15.75" thickBot="1" x14ac:dyDescent="0.3">
      <c r="A42" s="62">
        <f>'NECESIDADES TRIMESTRALES'!A40</f>
        <v>31</v>
      </c>
      <c r="B42" s="63" t="str">
        <f>'NECESIDADES TRIMESTRALES'!B40</f>
        <v>2.1.1-510.41</v>
      </c>
      <c r="C42" s="99" t="str">
        <f>'NECESIDADES TRIMESTRALES'!E40</f>
        <v>GELATINAS; TIPO: SIN VALOR, PESO: 1 Kg, SABOR: DURAZNO, ENVASE: BOLSA</v>
      </c>
      <c r="D42" s="100"/>
      <c r="E42" s="100"/>
      <c r="F42" s="100"/>
      <c r="G42" s="101"/>
      <c r="H42" s="62" t="s">
        <v>133</v>
      </c>
      <c r="I42" s="64" t="str">
        <f>'NECESIDADES TRIMESTRALES'!F40</f>
        <v>BOLSA</v>
      </c>
      <c r="J42" s="65">
        <f>'NECESIDADES TRIMESTRALES'!H40</f>
        <v>1200</v>
      </c>
      <c r="K42" s="66">
        <f>'NECESIDADES TRIMESTRALES'!G40</f>
        <v>25</v>
      </c>
      <c r="M42" s="56">
        <v>1200</v>
      </c>
      <c r="N42" s="56">
        <v>25</v>
      </c>
      <c r="O42" s="56">
        <f t="shared" si="0"/>
        <v>30000</v>
      </c>
    </row>
    <row r="43" spans="1:15" ht="33.75" customHeight="1" thickBot="1" x14ac:dyDescent="0.3">
      <c r="A43" s="62">
        <f>'NECESIDADES TRIMESTRALES'!A41</f>
        <v>32</v>
      </c>
      <c r="B43" s="63" t="str">
        <f>'NECESIDADES TRIMESTRALES'!B41</f>
        <v>2.1.1-708.19</v>
      </c>
      <c r="C43" s="99" t="str">
        <f>'NECESIDADES TRIMESTRALES'!E41</f>
        <v>CONSERVAS PESCADO Y FRUTOS MAR; ESPECIE: CABALLA, ESTADO: EN ACEITE, PESO: 380 GR, ENVASE: LATA, TIPO: CABALLA</v>
      </c>
      <c r="D43" s="100"/>
      <c r="E43" s="100"/>
      <c r="F43" s="100"/>
      <c r="G43" s="101"/>
      <c r="H43" s="62" t="s">
        <v>133</v>
      </c>
      <c r="I43" s="64" t="str">
        <f>'NECESIDADES TRIMESTRALES'!F41</f>
        <v>LATA</v>
      </c>
      <c r="J43" s="65">
        <f>'NECESIDADES TRIMESTRALES'!H41</f>
        <v>400</v>
      </c>
      <c r="K43" s="66">
        <f>'NECESIDADES TRIMESTRALES'!G41</f>
        <v>500</v>
      </c>
      <c r="M43" s="56">
        <v>400</v>
      </c>
      <c r="N43" s="56">
        <v>500</v>
      </c>
      <c r="O43" s="56">
        <f t="shared" si="0"/>
        <v>200000</v>
      </c>
    </row>
    <row r="44" spans="1:15" ht="30" customHeight="1" thickBot="1" x14ac:dyDescent="0.3">
      <c r="A44" s="62">
        <f>'NECESIDADES TRIMESTRALES'!A42</f>
        <v>33</v>
      </c>
      <c r="B44" s="63" t="str">
        <f>'NECESIDADES TRIMESTRALES'!B42</f>
        <v>2.1.1-482.63</v>
      </c>
      <c r="C44" s="99" t="str">
        <f>'NECESIDADES TRIMESTRALES'!E42</f>
        <v>HARINAS; TIPO: MAIZ, PRESENTACION: ENVASE X 750 GR, MATERIAL ENVASE: PAPEL, CERTICADO FORESTAL (GFS): SIN, ELEM. TRANSPORTE: SIN, MATERIAL ELEM. TRANSPORTE: SIN</v>
      </c>
      <c r="D44" s="100"/>
      <c r="E44" s="100"/>
      <c r="F44" s="100"/>
      <c r="G44" s="101"/>
      <c r="H44" s="62" t="s">
        <v>133</v>
      </c>
      <c r="I44" s="64" t="str">
        <f>'NECESIDADES TRIMESTRALES'!F42</f>
        <v>BOLSA</v>
      </c>
      <c r="J44" s="65">
        <f>'NECESIDADES TRIMESTRALES'!H42</f>
        <v>200</v>
      </c>
      <c r="K44" s="66">
        <f>'NECESIDADES TRIMESTRALES'!G42</f>
        <v>650</v>
      </c>
      <c r="M44" s="56">
        <v>200</v>
      </c>
      <c r="N44" s="56">
        <v>650</v>
      </c>
      <c r="O44" s="56">
        <f t="shared" si="0"/>
        <v>130000</v>
      </c>
    </row>
    <row r="45" spans="1:15" ht="46.5" customHeight="1" thickBot="1" x14ac:dyDescent="0.3">
      <c r="A45" s="62">
        <f>'NECESIDADES TRIMESTRALES'!A43</f>
        <v>34</v>
      </c>
      <c r="B45" s="63" t="str">
        <f>'NECESIDADES TRIMESTRALES'!B43</f>
        <v>2.1.1-482.87</v>
      </c>
      <c r="C45" s="99" t="str">
        <f>'NECESIDADES TRIMESTRALES'!E43</f>
        <v>HARINAS; TIPO: DE TRIGO 000, PRESENTACION: ENVASE X 25 Kg, MATERIAL ENVASE: PAPEL, CERTICADO FORESTAL (GFS): SIN, ELEM. TRANSPORTE: SIN, MATERIAL ELEM. TRANSPORTE: SIN, LIBRE DE GLUTEN: NO</v>
      </c>
      <c r="D45" s="100"/>
      <c r="E45" s="100"/>
      <c r="F45" s="100"/>
      <c r="G45" s="101"/>
      <c r="H45" s="62" t="s">
        <v>133</v>
      </c>
      <c r="I45" s="64" t="str">
        <f>'NECESIDADES TRIMESTRALES'!F43</f>
        <v>BOLSA</v>
      </c>
      <c r="J45" s="65">
        <f>'NECESIDADES TRIMESTRALES'!H43</f>
        <v>2000</v>
      </c>
      <c r="K45" s="66">
        <f>'NECESIDADES TRIMESTRALES'!G43</f>
        <v>1000</v>
      </c>
      <c r="M45" s="56">
        <v>2000</v>
      </c>
      <c r="N45" s="56">
        <v>1000</v>
      </c>
      <c r="O45" s="56">
        <f t="shared" si="0"/>
        <v>2000000</v>
      </c>
    </row>
    <row r="46" spans="1:15" ht="31.5" customHeight="1" thickBot="1" x14ac:dyDescent="0.3">
      <c r="A46" s="62">
        <f>'NECESIDADES TRIMESTRALES'!A44</f>
        <v>35</v>
      </c>
      <c r="B46" s="63" t="str">
        <f>'NECESIDADES TRIMESTRALES'!B44</f>
        <v>2.1.1-2175.1</v>
      </c>
      <c r="C46" s="99" t="str">
        <f>'NECESIDADES TRIMESTRALES'!E44</f>
        <v>GRASAS COMESTIBLES: TIPO: VACUNA, PRESENTACION: BOLSA X 1 KG. ESTADO: NORMAL, FORMA DE PRESENTACION: NORMAL</v>
      </c>
      <c r="D46" s="100"/>
      <c r="E46" s="100"/>
      <c r="F46" s="100"/>
      <c r="G46" s="101"/>
      <c r="H46" s="62" t="s">
        <v>133</v>
      </c>
      <c r="I46" s="64" t="str">
        <f>'NECESIDADES TRIMESTRALES'!F44</f>
        <v>BOLSA</v>
      </c>
      <c r="J46" s="65">
        <f>'NECESIDADES TRIMESTRALES'!H44</f>
        <v>500</v>
      </c>
      <c r="K46" s="66">
        <f>'NECESIDADES TRIMESTRALES'!G44</f>
        <v>1500</v>
      </c>
      <c r="M46" s="56">
        <v>500</v>
      </c>
      <c r="N46" s="56">
        <v>1500</v>
      </c>
      <c r="O46" s="56">
        <f t="shared" si="0"/>
        <v>750000</v>
      </c>
    </row>
    <row r="47" spans="1:15" ht="15.75" thickBot="1" x14ac:dyDescent="0.3">
      <c r="A47" s="62">
        <f>'NECESIDADES TRIMESTRALES'!A45</f>
        <v>36</v>
      </c>
      <c r="B47" s="63" t="str">
        <f>'NECESIDADES TRIMESTRALES'!B45</f>
        <v>2.1.1-514.12</v>
      </c>
      <c r="C47" s="99" t="str">
        <f>'NECESIDADES TRIMESTRALES'!E45</f>
        <v>SAL DE MESA; ENVASE: BOLSA, PESO: 50 Kg, CONSISTENCIA: ENTREFINA, TIPO: SIN VALOR</v>
      </c>
      <c r="D47" s="100"/>
      <c r="E47" s="100"/>
      <c r="F47" s="100"/>
      <c r="G47" s="101"/>
      <c r="H47" s="62" t="s">
        <v>133</v>
      </c>
      <c r="I47" s="64" t="str">
        <f>'NECESIDADES TRIMESTRALES'!F45</f>
        <v>BOLSA</v>
      </c>
      <c r="J47" s="65">
        <f>'NECESIDADES TRIMESTRALES'!H45</f>
        <v>6000</v>
      </c>
      <c r="K47" s="66">
        <f>'NECESIDADES TRIMESTRALES'!G45</f>
        <v>15</v>
      </c>
      <c r="M47" s="56">
        <v>6000</v>
      </c>
      <c r="N47" s="56">
        <v>15</v>
      </c>
      <c r="O47" s="56">
        <f t="shared" si="0"/>
        <v>90000</v>
      </c>
    </row>
    <row r="48" spans="1:15" ht="15.75" thickBot="1" x14ac:dyDescent="0.3">
      <c r="A48" s="62">
        <f>'NECESIDADES TRIMESTRALES'!A46</f>
        <v>37</v>
      </c>
      <c r="B48" s="63" t="str">
        <f>'NECESIDADES TRIMESTRALES'!B46</f>
        <v>2.1.1-2616.10</v>
      </c>
      <c r="C48" s="99" t="str">
        <f>'NECESIDADES TRIMESTRALES'!E46</f>
        <v>MAIZ; TIPO: BLANCO, PRESENTACION: ENVASE X 1 Kg, FORMA DE PRESENTACION: GRANULADO</v>
      </c>
      <c r="D48" s="100"/>
      <c r="E48" s="100"/>
      <c r="F48" s="100"/>
      <c r="G48" s="101"/>
      <c r="H48" s="62" t="s">
        <v>133</v>
      </c>
      <c r="I48" s="64" t="str">
        <f>'NECESIDADES TRIMESTRALES'!F46</f>
        <v>BOLSA</v>
      </c>
      <c r="J48" s="65">
        <f>'NECESIDADES TRIMESTRALES'!H46</f>
        <v>350</v>
      </c>
      <c r="K48" s="66">
        <f>'NECESIDADES TRIMESTRALES'!G46</f>
        <v>500</v>
      </c>
      <c r="M48" s="56">
        <v>350</v>
      </c>
      <c r="N48" s="56">
        <v>500</v>
      </c>
      <c r="O48" s="56">
        <f t="shared" si="0"/>
        <v>175000</v>
      </c>
    </row>
    <row r="49" spans="1:15" ht="15.75" thickBot="1" x14ac:dyDescent="0.3">
      <c r="A49" s="62">
        <f>'NECESIDADES TRIMESTRALES'!A47</f>
        <v>38</v>
      </c>
      <c r="B49" s="63" t="str">
        <f>'NECESIDADES TRIMESTRALES'!B47</f>
        <v>2.1.1-2127.1</v>
      </c>
      <c r="C49" s="99" t="str">
        <f>'NECESIDADES TRIMESTRALES'!E47</f>
        <v>MEJORADOR DE PANIFICACION: ESTADO: NATURAL, PESO: 10 KG. PRESENTACION: BOLSA</v>
      </c>
      <c r="D49" s="100"/>
      <c r="E49" s="100"/>
      <c r="F49" s="100"/>
      <c r="G49" s="101"/>
      <c r="H49" s="62" t="s">
        <v>133</v>
      </c>
      <c r="I49" s="64" t="str">
        <f>'NECESIDADES TRIMESTRALES'!F47</f>
        <v>BOLSA</v>
      </c>
      <c r="J49" s="65">
        <f>'NECESIDADES TRIMESTRALES'!H47</f>
        <v>5000</v>
      </c>
      <c r="K49" s="66">
        <f>'NECESIDADES TRIMESTRALES'!G47</f>
        <v>35</v>
      </c>
      <c r="M49" s="56">
        <v>5000</v>
      </c>
      <c r="N49" s="56">
        <v>35</v>
      </c>
      <c r="O49" s="56">
        <f t="shared" si="0"/>
        <v>175000</v>
      </c>
    </row>
    <row r="50" spans="1:15" ht="15.75" thickBot="1" x14ac:dyDescent="0.3">
      <c r="A50" s="62">
        <f>'NECESIDADES TRIMESTRALES'!A48</f>
        <v>39</v>
      </c>
      <c r="B50" s="63" t="str">
        <f>'NECESIDADES TRIMESTRALES'!B48</f>
        <v>2.1.1-519.23</v>
      </c>
      <c r="C50" s="99" t="str">
        <f>'NECESIDADES TRIMESTRALES'!E48</f>
        <v>VINAGRES; TIPO: MANZANA, PRESENTACION: ENVASE X 1 L, MATERIAL ENVASE: PLASTICO 1 (PET)</v>
      </c>
      <c r="D50" s="100"/>
      <c r="E50" s="100"/>
      <c r="F50" s="100"/>
      <c r="G50" s="101"/>
      <c r="H50" s="62" t="s">
        <v>133</v>
      </c>
      <c r="I50" s="64" t="str">
        <f>'NECESIDADES TRIMESTRALES'!F48</f>
        <v>BOTELLA</v>
      </c>
      <c r="J50" s="65">
        <f>'NECESIDADES TRIMESTRALES'!H48</f>
        <v>250</v>
      </c>
      <c r="K50" s="66">
        <f>'NECESIDADES TRIMESTRALES'!G48</f>
        <v>24</v>
      </c>
      <c r="M50" s="56">
        <v>250</v>
      </c>
      <c r="N50" s="56">
        <v>24</v>
      </c>
      <c r="O50" s="56">
        <f t="shared" si="0"/>
        <v>6000</v>
      </c>
    </row>
    <row r="51" spans="1:15" ht="15.75" thickBot="1" x14ac:dyDescent="0.3">
      <c r="A51" s="62">
        <f>'NECESIDADES TRIMESTRALES'!A49</f>
        <v>40</v>
      </c>
      <c r="B51" s="63" t="str">
        <f>'NECESIDADES TRIMESTRALES'!B49</f>
        <v>2.1.1-511.11</v>
      </c>
      <c r="C51" s="99" t="str">
        <f>'NECESIDADES TRIMESTRALES'!E49</f>
        <v>TE; SAQUITOS 2G P/CAJA: 100, PRESENTACION: EN SAQUITOS, PESO: SIN VALOR, TIPO: SIN VALOR</v>
      </c>
      <c r="D51" s="100"/>
      <c r="E51" s="100"/>
      <c r="F51" s="100"/>
      <c r="G51" s="101"/>
      <c r="H51" s="62" t="s">
        <v>133</v>
      </c>
      <c r="I51" s="64" t="str">
        <f>'NECESIDADES TRIMESTRALES'!F49</f>
        <v>CAJA</v>
      </c>
      <c r="J51" s="65">
        <f>'NECESIDADES TRIMESTRALES'!H49</f>
        <v>250</v>
      </c>
      <c r="K51" s="66">
        <f>'NECESIDADES TRIMESTRALES'!G49</f>
        <v>50</v>
      </c>
      <c r="M51" s="56">
        <v>250</v>
      </c>
      <c r="N51" s="56">
        <v>50</v>
      </c>
      <c r="O51" s="56">
        <f t="shared" si="0"/>
        <v>12500</v>
      </c>
    </row>
    <row r="52" spans="1:15" ht="15.75" thickBot="1" x14ac:dyDescent="0.3">
      <c r="A52" s="62">
        <f>'NECESIDADES TRIMESTRALES'!A50</f>
        <v>41</v>
      </c>
      <c r="B52" s="63" t="str">
        <f>'NECESIDADES TRIMESTRALES'!B50</f>
        <v>2.1.1-511.14</v>
      </c>
      <c r="C52" s="99" t="str">
        <f>'NECESIDADES TRIMESTRALES'!E50</f>
        <v>TE; TIPO: MANZANILLA, SAQUITOS 2G P/CAJA: 25, PRESENTACION: EN SAQUITOS, PESO: SIN VALOR</v>
      </c>
      <c r="D52" s="100"/>
      <c r="E52" s="100"/>
      <c r="F52" s="100"/>
      <c r="G52" s="101"/>
      <c r="H52" s="62" t="s">
        <v>133</v>
      </c>
      <c r="I52" s="64" t="str">
        <f>'NECESIDADES TRIMESTRALES'!F50</f>
        <v>CAJA</v>
      </c>
      <c r="J52" s="65">
        <f>'NECESIDADES TRIMESTRALES'!H50</f>
        <v>200</v>
      </c>
      <c r="K52" s="66">
        <f>'NECESIDADES TRIMESTRALES'!G50</f>
        <v>50</v>
      </c>
      <c r="M52" s="56">
        <v>200</v>
      </c>
      <c r="N52" s="56">
        <v>50</v>
      </c>
      <c r="O52" s="56">
        <f t="shared" si="0"/>
        <v>10000</v>
      </c>
    </row>
    <row r="53" spans="1:15" ht="16.5" thickBot="1" x14ac:dyDescent="0.3">
      <c r="A53" s="97" t="s">
        <v>161</v>
      </c>
      <c r="B53" s="97"/>
      <c r="C53" s="97"/>
      <c r="D53" s="97"/>
      <c r="E53" s="97"/>
      <c r="F53" s="97"/>
      <c r="G53" s="97"/>
      <c r="H53" s="97"/>
      <c r="I53" s="97"/>
      <c r="J53" s="98">
        <f>SUMPRODUCT(J12:J52,K12:K52)</f>
        <v>10248000</v>
      </c>
      <c r="K53" s="98"/>
    </row>
  </sheetData>
  <mergeCells count="63">
    <mergeCell ref="C46:G46"/>
    <mergeCell ref="C44:G44"/>
    <mergeCell ref="C48:G48"/>
    <mergeCell ref="C49:G49"/>
    <mergeCell ref="C36:G36"/>
    <mergeCell ref="C37:G37"/>
    <mergeCell ref="C38:G38"/>
    <mergeCell ref="C39:G39"/>
    <mergeCell ref="C40:G40"/>
    <mergeCell ref="C41:G41"/>
    <mergeCell ref="C42:G42"/>
    <mergeCell ref="C43:G43"/>
    <mergeCell ref="C47:G47"/>
    <mergeCell ref="K10:K11"/>
    <mergeCell ref="C12:G12"/>
    <mergeCell ref="C50:G50"/>
    <mergeCell ref="C51:G51"/>
    <mergeCell ref="J10:J11"/>
    <mergeCell ref="C15:G15"/>
    <mergeCell ref="C16:G16"/>
    <mergeCell ref="C17:G17"/>
    <mergeCell ref="C18:G18"/>
    <mergeCell ref="C19:G19"/>
    <mergeCell ref="C32:G32"/>
    <mergeCell ref="C21:G21"/>
    <mergeCell ref="C22:G22"/>
    <mergeCell ref="C23:G23"/>
    <mergeCell ref="C24:G24"/>
    <mergeCell ref="C25:G25"/>
    <mergeCell ref="A53:I53"/>
    <mergeCell ref="J53:K53"/>
    <mergeCell ref="C52:G52"/>
    <mergeCell ref="C13:G13"/>
    <mergeCell ref="C14:G14"/>
    <mergeCell ref="C20:G20"/>
    <mergeCell ref="C26:G26"/>
    <mergeCell ref="C27:G27"/>
    <mergeCell ref="C28:G28"/>
    <mergeCell ref="C29:G29"/>
    <mergeCell ref="C30:G30"/>
    <mergeCell ref="C31:G31"/>
    <mergeCell ref="C33:G33"/>
    <mergeCell ref="C34:G34"/>
    <mergeCell ref="C35:G35"/>
    <mergeCell ref="C45:G45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A6B5-1923-4D75-AD9D-186E1EDB56BF}">
  <dimension ref="A1:Q27"/>
  <sheetViews>
    <sheetView topLeftCell="A10" workbookViewId="0">
      <selection activeCell="Q23" sqref="Q23"/>
    </sheetView>
  </sheetViews>
  <sheetFormatPr baseColWidth="10" defaultColWidth="9.140625" defaultRowHeight="15" x14ac:dyDescent="0.25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26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5" max="15" width="11.42578125"/>
    <col min="16" max="16" width="12.28515625" customWidth="1"/>
    <col min="17" max="17" width="16" customWidth="1"/>
    <col min="18" max="1025" width="11" customWidth="1"/>
  </cols>
  <sheetData>
    <row r="1" spans="1:17" ht="15.75" customHeight="1" thickBot="1" x14ac:dyDescent="0.3">
      <c r="A1" s="109" t="s">
        <v>5</v>
      </c>
      <c r="B1" s="110"/>
      <c r="C1" s="110"/>
      <c r="D1" s="111">
        <v>2022</v>
      </c>
      <c r="E1" s="111"/>
      <c r="F1" s="28"/>
      <c r="G1" s="28"/>
      <c r="H1" s="29"/>
      <c r="I1" s="29"/>
      <c r="J1" s="29"/>
      <c r="K1" s="29"/>
      <c r="L1" s="29"/>
      <c r="M1" s="29"/>
      <c r="N1" s="29"/>
      <c r="O1" s="30"/>
      <c r="P1" s="112" t="s">
        <v>134</v>
      </c>
      <c r="Q1" s="113"/>
    </row>
    <row r="2" spans="1:17" ht="15.75" customHeight="1" thickBot="1" x14ac:dyDescent="0.3">
      <c r="A2" s="31"/>
      <c r="B2" s="32"/>
      <c r="C2" s="32"/>
      <c r="D2" s="32"/>
      <c r="E2" s="32"/>
      <c r="F2" s="32"/>
      <c r="G2" s="33"/>
      <c r="H2" s="34"/>
      <c r="I2" s="34"/>
      <c r="J2" s="34"/>
      <c r="K2" s="34"/>
      <c r="L2" s="34"/>
      <c r="M2" s="34"/>
      <c r="N2" s="34"/>
      <c r="O2" s="32"/>
      <c r="P2" s="114"/>
      <c r="Q2" s="115"/>
    </row>
    <row r="3" spans="1:17" ht="15.75" thickBot="1" x14ac:dyDescent="0.3">
      <c r="A3" s="31"/>
      <c r="B3" s="32"/>
      <c r="C3" s="32"/>
      <c r="D3" s="32"/>
      <c r="E3" s="32"/>
      <c r="F3" s="32"/>
      <c r="G3" s="33"/>
      <c r="H3" s="32"/>
      <c r="I3" s="32"/>
      <c r="J3" s="32"/>
      <c r="K3" s="32"/>
      <c r="L3" s="32"/>
      <c r="M3" s="32"/>
      <c r="N3" s="32"/>
      <c r="O3" s="32"/>
      <c r="P3" s="32"/>
      <c r="Q3" s="35"/>
    </row>
    <row r="4" spans="1:17" s="27" customFormat="1" ht="15.75" thickBot="1" x14ac:dyDescent="0.3">
      <c r="A4" s="116" t="s">
        <v>135</v>
      </c>
      <c r="B4" s="117"/>
      <c r="C4" s="117"/>
      <c r="D4" s="117"/>
      <c r="E4" s="117"/>
      <c r="F4" s="117"/>
      <c r="G4" s="118" t="str">
        <f>'NOTA DE PEDIDO'!D3</f>
        <v>90 - MINISTERIO DE SEGURIDAD</v>
      </c>
      <c r="H4" s="118"/>
      <c r="I4" s="118"/>
      <c r="J4" s="118"/>
      <c r="K4" s="118"/>
      <c r="L4" s="118"/>
      <c r="M4" s="118"/>
      <c r="N4" s="118"/>
      <c r="O4" s="118"/>
      <c r="P4" s="118"/>
      <c r="Q4" s="119"/>
    </row>
    <row r="5" spans="1:17" s="27" customFormat="1" ht="15" customHeight="1" thickBot="1" x14ac:dyDescent="0.3">
      <c r="A5" s="103" t="s">
        <v>121</v>
      </c>
      <c r="B5" s="104"/>
      <c r="C5" s="104"/>
      <c r="D5" s="104"/>
      <c r="E5" s="104"/>
      <c r="F5" s="105"/>
      <c r="G5" s="106" t="str">
        <f>'NOTA DE PEDIDO'!D4</f>
        <v>8 - DIRECCION GENERAL SERVICIO PENITENCIARIO PROVINCIAL</v>
      </c>
      <c r="H5" s="107"/>
      <c r="I5" s="107"/>
      <c r="J5" s="107"/>
      <c r="K5" s="107"/>
      <c r="L5" s="107"/>
      <c r="M5" s="107"/>
      <c r="N5" s="107"/>
      <c r="O5" s="107"/>
      <c r="P5" s="107"/>
      <c r="Q5" s="108"/>
    </row>
    <row r="6" spans="1:17" s="27" customFormat="1" ht="15" customHeight="1" thickBot="1" x14ac:dyDescent="0.3">
      <c r="A6" s="103" t="s">
        <v>122</v>
      </c>
      <c r="B6" s="104"/>
      <c r="C6" s="104"/>
      <c r="D6" s="104"/>
      <c r="E6" s="104"/>
      <c r="F6" s="105"/>
      <c r="G6" s="120" t="str">
        <f>'NOTA DE PEDIDO'!D5</f>
        <v>SERVICIO PENITENCIARIO PROVINCIAL</v>
      </c>
      <c r="H6" s="121"/>
      <c r="I6" s="121"/>
      <c r="J6" s="121"/>
      <c r="K6" s="121"/>
      <c r="L6" s="121"/>
      <c r="M6" s="121"/>
      <c r="N6" s="121"/>
      <c r="O6" s="121"/>
      <c r="P6" s="121"/>
      <c r="Q6" s="122"/>
    </row>
    <row r="7" spans="1:17" s="27" customFormat="1" ht="25.5" customHeight="1" thickBot="1" x14ac:dyDescent="0.25">
      <c r="A7" s="123" t="s">
        <v>123</v>
      </c>
      <c r="B7" s="124"/>
      <c r="C7" s="124"/>
      <c r="D7" s="124"/>
      <c r="E7" s="124"/>
      <c r="F7" s="124"/>
      <c r="G7" s="125" t="str">
        <f>'NOTA DE PEDIDO'!D6</f>
        <v>LOGISTICA</v>
      </c>
      <c r="H7" s="126"/>
      <c r="I7" s="126"/>
      <c r="J7" s="126"/>
      <c r="K7" s="126"/>
      <c r="L7" s="126"/>
      <c r="M7" s="126"/>
      <c r="N7" s="126"/>
      <c r="O7" s="126"/>
      <c r="P7" s="126"/>
      <c r="Q7" s="127"/>
    </row>
    <row r="8" spans="1:17" ht="15.75" thickBot="1" x14ac:dyDescent="0.3">
      <c r="A8" s="128" t="s">
        <v>160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30"/>
    </row>
    <row r="9" spans="1:17" x14ac:dyDescent="0.25">
      <c r="A9" s="143" t="s">
        <v>155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</row>
    <row r="10" spans="1:17" ht="27" customHeight="1" x14ac:dyDescent="0.25">
      <c r="A10" s="146" t="s">
        <v>164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8"/>
    </row>
    <row r="11" spans="1:17" ht="33" customHeight="1" thickBot="1" x14ac:dyDescent="0.3">
      <c r="A11" s="149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1"/>
    </row>
    <row r="12" spans="1:17" ht="15.75" thickBot="1" x14ac:dyDescent="0.3">
      <c r="A12" s="132" t="s">
        <v>136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4"/>
    </row>
    <row r="13" spans="1:17" ht="18" customHeight="1" thickBot="1" x14ac:dyDescent="0.3">
      <c r="A13" s="132" t="s">
        <v>137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4"/>
      <c r="O13" s="135" t="s">
        <v>138</v>
      </c>
      <c r="P13" s="136"/>
      <c r="Q13" s="139" t="s">
        <v>139</v>
      </c>
    </row>
    <row r="14" spans="1:17" ht="19.5" customHeight="1" thickBot="1" x14ac:dyDescent="0.3">
      <c r="A14" s="37" t="s">
        <v>140</v>
      </c>
      <c r="B14" s="38" t="s">
        <v>141</v>
      </c>
      <c r="C14" s="38" t="s">
        <v>142</v>
      </c>
      <c r="D14" s="38" t="s">
        <v>143</v>
      </c>
      <c r="E14" s="38" t="s">
        <v>144</v>
      </c>
      <c r="F14" s="38" t="s">
        <v>145</v>
      </c>
      <c r="G14" s="39" t="s">
        <v>146</v>
      </c>
      <c r="H14" s="38" t="s">
        <v>147</v>
      </c>
      <c r="I14" s="38" t="s">
        <v>148</v>
      </c>
      <c r="J14" s="38" t="s">
        <v>149</v>
      </c>
      <c r="K14" s="38" t="s">
        <v>149</v>
      </c>
      <c r="L14" s="38" t="s">
        <v>150</v>
      </c>
      <c r="M14" s="40" t="s">
        <v>151</v>
      </c>
      <c r="N14" s="41" t="s">
        <v>152</v>
      </c>
      <c r="O14" s="137"/>
      <c r="P14" s="138"/>
      <c r="Q14" s="140"/>
    </row>
    <row r="15" spans="1:17" ht="15" customHeight="1" x14ac:dyDescent="0.25">
      <c r="A15" s="42">
        <v>21</v>
      </c>
      <c r="B15" s="43"/>
      <c r="C15" s="43"/>
      <c r="D15" s="43">
        <v>4</v>
      </c>
      <c r="E15" s="43"/>
      <c r="F15" s="43">
        <v>4201</v>
      </c>
      <c r="G15" s="43">
        <v>2</v>
      </c>
      <c r="H15" s="43">
        <v>220</v>
      </c>
      <c r="I15" s="43">
        <v>2</v>
      </c>
      <c r="J15" s="43">
        <v>1</v>
      </c>
      <c r="K15" s="43">
        <v>1</v>
      </c>
      <c r="L15" s="43"/>
      <c r="M15" s="43">
        <v>1</v>
      </c>
      <c r="N15" s="43" t="s">
        <v>153</v>
      </c>
      <c r="O15" s="141" t="s">
        <v>163</v>
      </c>
      <c r="P15" s="142"/>
      <c r="Q15" s="47">
        <v>5631200</v>
      </c>
    </row>
    <row r="16" spans="1:17" x14ac:dyDescent="0.25">
      <c r="A16" s="42">
        <v>21</v>
      </c>
      <c r="B16" s="43"/>
      <c r="C16" s="43"/>
      <c r="D16" s="43">
        <v>5</v>
      </c>
      <c r="E16" s="43"/>
      <c r="F16" s="43">
        <v>4201</v>
      </c>
      <c r="G16" s="43">
        <v>2</v>
      </c>
      <c r="H16" s="43">
        <v>220</v>
      </c>
      <c r="I16" s="43">
        <v>2</v>
      </c>
      <c r="J16" s="43">
        <v>1</v>
      </c>
      <c r="K16" s="43">
        <v>1</v>
      </c>
      <c r="L16" s="43"/>
      <c r="M16" s="43">
        <v>1</v>
      </c>
      <c r="N16" s="43" t="s">
        <v>153</v>
      </c>
      <c r="O16" s="141" t="s">
        <v>163</v>
      </c>
      <c r="P16" s="142"/>
      <c r="Q16" s="44">
        <v>4616800</v>
      </c>
    </row>
    <row r="17" spans="1:17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152"/>
      <c r="P17" s="152"/>
      <c r="Q17" s="47"/>
    </row>
    <row r="18" spans="1:17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153"/>
      <c r="P18" s="153"/>
      <c r="Q18" s="47"/>
    </row>
    <row r="19" spans="1:17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131"/>
      <c r="P19" s="131"/>
      <c r="Q19" s="47"/>
    </row>
    <row r="20" spans="1:17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131"/>
      <c r="P20" s="131"/>
      <c r="Q20" s="47"/>
    </row>
    <row r="21" spans="1:17" x14ac:dyDescent="0.25">
      <c r="A21" s="48"/>
      <c r="B21" s="49"/>
      <c r="C21" s="49"/>
      <c r="D21" s="49"/>
      <c r="E21" s="49"/>
      <c r="F21" s="46"/>
      <c r="G21" s="49"/>
      <c r="H21" s="49"/>
      <c r="I21" s="49"/>
      <c r="J21" s="49"/>
      <c r="K21" s="49"/>
      <c r="L21" s="49"/>
      <c r="M21" s="49"/>
      <c r="N21" s="49"/>
      <c r="O21" s="131"/>
      <c r="P21" s="131"/>
      <c r="Q21" s="47"/>
    </row>
    <row r="22" spans="1:17" ht="15.75" thickBot="1" x14ac:dyDescent="0.3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131"/>
      <c r="P22" s="131"/>
      <c r="Q22" s="50"/>
    </row>
    <row r="23" spans="1:17" ht="15.75" thickBot="1" x14ac:dyDescent="0.3">
      <c r="A23" s="154" t="s">
        <v>156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6"/>
      <c r="Q23" s="51">
        <f>SUM(Q15:Q22)</f>
        <v>10248000</v>
      </c>
    </row>
    <row r="24" spans="1:17" ht="15.75" thickBot="1" x14ac:dyDescent="0.3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36"/>
    </row>
    <row r="25" spans="1:17" ht="15.75" thickBot="1" x14ac:dyDescent="0.3">
      <c r="A25" s="157" t="s">
        <v>154</v>
      </c>
      <c r="B25" s="158"/>
      <c r="C25" s="158"/>
      <c r="D25" s="158"/>
      <c r="E25" s="158"/>
      <c r="F25" s="158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</row>
    <row r="26" spans="1:17" ht="15.75" thickBot="1" x14ac:dyDescent="0.3">
      <c r="A26" s="161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3"/>
    </row>
    <row r="27" spans="1:17" ht="15.75" thickBot="1" x14ac:dyDescent="0.3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6"/>
    </row>
  </sheetData>
  <mergeCells count="30">
    <mergeCell ref="O22:P22"/>
    <mergeCell ref="A23:P23"/>
    <mergeCell ref="A25:F25"/>
    <mergeCell ref="G25:Q25"/>
    <mergeCell ref="A26:Q27"/>
    <mergeCell ref="A9:Q9"/>
    <mergeCell ref="A10:Q11"/>
    <mergeCell ref="O16:P16"/>
    <mergeCell ref="O17:P17"/>
    <mergeCell ref="O18:P18"/>
    <mergeCell ref="O19:P19"/>
    <mergeCell ref="O20:P20"/>
    <mergeCell ref="O21:P21"/>
    <mergeCell ref="A12:Q12"/>
    <mergeCell ref="A13:N13"/>
    <mergeCell ref="O13:P14"/>
    <mergeCell ref="Q13:Q14"/>
    <mergeCell ref="O15:P15"/>
    <mergeCell ref="A6:F6"/>
    <mergeCell ref="G6:Q6"/>
    <mergeCell ref="A7:F7"/>
    <mergeCell ref="G7:Q7"/>
    <mergeCell ref="A8:Q8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NOTA DE PEDIDO</vt:lpstr>
      <vt:lpstr>APG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2022-06-28T11:43:19Z</dcterms:created>
  <dcterms:modified xsi:type="dcterms:W3CDTF">2022-07-06T14:09:10Z</dcterms:modified>
</cp:coreProperties>
</file>