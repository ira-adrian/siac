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135" windowWidth="20640" windowHeight="1152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2" l="1"/>
  <c r="I10" i="1" l="1"/>
  <c r="K12" i="2" l="1"/>
  <c r="J12" i="2"/>
  <c r="D10" i="1" l="1"/>
  <c r="J13" i="2" l="1"/>
  <c r="G6" i="3"/>
  <c r="G4" i="3"/>
  <c r="G5" i="3"/>
  <c r="A10" i="3" l="1"/>
  <c r="D1" i="3"/>
  <c r="Q23" i="3"/>
</calcChain>
</file>

<file path=xl/sharedStrings.xml><?xml version="1.0" encoding="utf-8"?>
<sst xmlns="http://schemas.openxmlformats.org/spreadsheetml/2006/main" count="88" uniqueCount="80">
  <si>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</si>
  <si>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</si>
  <si>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</si>
  <si>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</si>
  <si>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</si>
  <si>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</si>
  <si>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</si>
  <si>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</si>
  <si>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</si>
  <si>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</si>
  <si>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</si>
  <si>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</si>
  <si>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</si>
  <si>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</si>
  <si>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</si>
  <si>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</si>
  <si>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</si>
  <si>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</si>
  <si>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</si>
  <si>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</si>
  <si>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</si>
  <si>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</si>
  <si>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</si>
  <si>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</si>
  <si>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</si>
  <si>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</si>
  <si>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</si>
  <si>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</si>
  <si>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</si>
  <si>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</si>
  <si>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</si>
  <si>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</si>
  <si>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</si>
  <si>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</si>
  <si>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</si>
  <si>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</si>
  <si>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</si>
  <si>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</si>
  <si>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</si>
  <si>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</si>
  <si>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</si>
  <si>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</si>
  <si>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</si>
  <si>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</si>
  <si>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</si>
  <si>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</si>
  <si>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</si>
  <si>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</si>
  <si>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</si>
  <si>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</si>
  <si>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</si>
  <si>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</si>
  <si>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</si>
  <si>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</si>
  <si>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</si>
  <si>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</si>
  <si>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</si>
  <si>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</si>
  <si>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090 - MINISTERIO DE SEGURIDAD</t>
  </si>
  <si>
    <t>90 - MINISTERIO DE SEGURIDAD</t>
  </si>
  <si>
    <t>DIRECCIOM DE ADMINISTRACION Y RR.HH.</t>
  </si>
  <si>
    <t>COMBUSTIBLES Y LUBRICANTES</t>
  </si>
  <si>
    <t xml:space="preserve">COMBUSTIBLES Y LUBRICANTES </t>
  </si>
  <si>
    <t>SAF 19 - DIRECCION PROVINCIAL DE ADM. Y RR.HH. DEL MIISTERIO DE SEGURIDAD</t>
  </si>
  <si>
    <t xml:space="preserve">Primera Calidad </t>
  </si>
  <si>
    <t>MINISTERIO DE SEGUIRIDAD</t>
  </si>
  <si>
    <t>SAF 19 - DIRECCION PROVINCIAL DE ADM. Y RR.HH. DEL MINISTERIO DE SEGURIDAD</t>
  </si>
  <si>
    <t>La adquisición de Combustibles con destino a la flota de vehiculos dependientes del Ministerio de Seguridad.</t>
  </si>
  <si>
    <t>Treinta (30) Dias</t>
  </si>
  <si>
    <t>Adquisicion de Combustible con destino a las unidades moviles del Ministerio.</t>
  </si>
  <si>
    <t>LITROS EN VALES</t>
  </si>
  <si>
    <t>022/2021</t>
  </si>
  <si>
    <t>2.5.6-793.46</t>
  </si>
  <si>
    <t>GAS OIL; PRESENTACION: POR LITRO, USO: MOTORES DIESEL, COMERCIALIZACION: GRADO 2, DESTINO: DPTO. S.F.V. DE CATAMARCA</t>
  </si>
  <si>
    <t>DIRECCION DE ADM. Y RR.HH. MINISTERIO DE SEGURIDAD</t>
  </si>
  <si>
    <t>Costo total estimado: Quinientos Noventa y Nueve Mil Novecientos Cincuenta y Tres con 20/100.-</t>
  </si>
  <si>
    <t>TOTAL DE PESOS: Quinientos Noventa y Nueve Mil Novecientos Cincuenta y Tres con 20/100.-</t>
  </si>
  <si>
    <r>
      <t xml:space="preserve">Plazo de entrega tres 3 días hábiles. Periodo de utilización  45 dias. </t>
    </r>
    <r>
      <rPr>
        <b/>
        <sz val="10"/>
        <rFont val="Times New Roman"/>
        <family val="1"/>
      </rPr>
      <t>ENTREGA EN VALES DE 5, 10 Y 20 LITROS</t>
    </r>
    <r>
      <rPr>
        <sz val="10"/>
        <rFont val="Times New Roman"/>
        <family val="1"/>
      </rPr>
      <t>, según pliego, en la</t>
    </r>
    <r>
      <rPr>
        <b/>
        <sz val="10"/>
        <rFont val="Times New Roman"/>
        <family val="1"/>
      </rPr>
      <t xml:space="preserve"> DIRECCIÓN DE ADM. Y RR.HH. </t>
    </r>
    <r>
      <rPr>
        <sz val="10"/>
        <rFont val="Times New Roman"/>
        <family val="1"/>
      </rPr>
      <t>sito en calle San Martin N° 414 , San Fernando del Valle de Catamarca, en horario de 8 a 12 horas. El COMBUSTIBLE en la boca de expendio.</t>
    </r>
  </si>
  <si>
    <t xml:space="preserve">4° TRIMESTRE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</si>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</sst>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1"/>
      <name val="Times New Roman"/>
      <family val="1"/>
    </font>
    <font>
      <u/>
      <sz val="11"/>
      <name val="Century Gothic"/>
      <family val="2"/>
    </font>
    <font>
      <sz val="11"/>
      <name val="Century Gothic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166" fontId="13" fillId="0" borderId="3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22" fillId="0" borderId="6" xfId="0" applyFont="1" applyBorder="1" applyAlignment="1">
      <alignment horizontal="left" indent="3"/>
    </xf>
    <xf numFmtId="0" fontId="15" fillId="0" borderId="6" xfId="0" applyFont="1" applyBorder="1" applyAlignment="1">
      <alignment horizontal="left" indent="3"/>
    </xf>
    <xf numFmtId="0" fontId="15" fillId="0" borderId="8" xfId="0" applyFont="1" applyBorder="1" applyAlignment="1">
      <alignment horizontal="left" indent="3"/>
    </xf>
    <xf numFmtId="0" fontId="19" fillId="0" borderId="0" xfId="0" applyFont="1" applyAlignment="1">
      <alignment horizontal="left" wrapText="1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166" fontId="4" fillId="0" borderId="20" xfId="1" applyNumberFormat="1" applyFont="1" applyFill="1" applyBorder="1" applyAlignment="1" applyProtection="1">
      <alignment horizontal="center" vertical="center" wrapText="1"/>
    </xf>
    <xf numFmtId="0" fontId="23" fillId="0" borderId="0" xfId="0" applyFont="1" applyFill="1" applyAlignment="1">
      <alignment horizontal="left" wrapText="1" indent="1"/>
    </xf>
    <xf numFmtId="0" fontId="15" fillId="0" borderId="0" xfId="0" applyFont="1" applyFill="1" applyBorder="1"/>
    <xf numFmtId="0" fontId="15" fillId="0" borderId="7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 wrapText="1"/>
    </xf>
    <xf numFmtId="0" fontId="15" fillId="0" borderId="9" xfId="0" applyFont="1" applyFill="1" applyBorder="1"/>
    <xf numFmtId="0" fontId="15" fillId="0" borderId="10" xfId="0" applyFont="1" applyFill="1" applyBorder="1"/>
    <xf numFmtId="0" fontId="15" fillId="0" borderId="0" xfId="0" applyFont="1" applyFill="1"/>
    <xf numFmtId="0" fontId="15" fillId="0" borderId="0" xfId="0" applyFont="1" applyAlignment="1"/>
    <xf numFmtId="0" fontId="15" fillId="0" borderId="0" xfId="0" applyFont="1" applyAlignment="1">
      <alignment horizontal="left" vertical="center"/>
    </xf>
    <xf numFmtId="0" fontId="6" fillId="0" borderId="12" xfId="0" applyFont="1" applyFill="1" applyBorder="1" applyAlignment="1">
      <alignment horizontal="center" vertical="center"/>
    </xf>
    <xf numFmtId="169" fontId="15" fillId="0" borderId="0" xfId="0" applyNumberFormat="1" applyFont="1" applyAlignment="1">
      <alignment horizontal="left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14" fillId="0" borderId="45" xfId="0" applyFont="1" applyFill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Fill="1" applyBorder="1" applyAlignment="1" applyProtection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166" fontId="0" fillId="0" borderId="54" xfId="3" applyNumberFormat="1" applyFont="1" applyBorder="1" applyAlignment="1" applyProtection="1">
      <alignment horizontal="center" vertical="center"/>
    </xf>
    <xf numFmtId="0" fontId="19" fillId="0" borderId="58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166" fontId="20" fillId="0" borderId="15" xfId="1" applyNumberFormat="1" applyFont="1" applyFill="1" applyBorder="1" applyAlignment="1" applyProtection="1">
      <alignment horizontal="center" vertical="center" wrapText="1"/>
    </xf>
    <xf numFmtId="0" fontId="25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20" fillId="0" borderId="6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5" fillId="0" borderId="64" xfId="0" applyFont="1" applyBorder="1" applyAlignment="1">
      <alignment vertical="center"/>
    </xf>
    <xf numFmtId="0" fontId="21" fillId="0" borderId="65" xfId="0" applyFont="1" applyBorder="1" applyAlignment="1">
      <alignment horizontal="center" vertical="center" wrapText="1"/>
    </xf>
    <xf numFmtId="0" fontId="15" fillId="0" borderId="66" xfId="0" applyFont="1" applyBorder="1" applyAlignment="1">
      <alignment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0" borderId="0" xfId="0" applyFont="1" applyFill="1" applyBorder="1" applyAlignment="1">
      <alignment horizontal="left" wrapText="1" indent="1"/>
    </xf>
    <xf numFmtId="0" fontId="6" fillId="0" borderId="41" xfId="0" applyFont="1" applyBorder="1" applyAlignment="1">
      <alignment horizontal="left" vertical="center" wrapText="1" indent="1"/>
    </xf>
    <xf numFmtId="167" fontId="7" fillId="0" borderId="41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24" fillId="3" borderId="12" xfId="0" applyFont="1" applyFill="1" applyBorder="1" applyAlignment="1">
      <alignment horizontal="left" inden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6" fillId="3" borderId="15" xfId="0" applyFont="1" applyFill="1" applyBorder="1" applyAlignment="1">
      <alignment horizontal="left" vertical="center" wrapText="1" indent="1"/>
    </xf>
    <xf numFmtId="0" fontId="9" fillId="0" borderId="21" xfId="0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35" xfId="0" applyFont="1" applyFill="1" applyBorder="1" applyAlignment="1">
      <alignment horizontal="left" vertical="center" wrapText="1" indent="1"/>
    </xf>
    <xf numFmtId="0" fontId="0" fillId="0" borderId="55" xfId="0" applyFont="1" applyBorder="1" applyAlignment="1">
      <alignment horizontal="left" vertical="center"/>
    </xf>
    <xf numFmtId="0" fontId="0" fillId="0" borderId="47" xfId="0" applyFont="1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9" fillId="0" borderId="35" xfId="0" applyFont="1" applyBorder="1" applyAlignment="1">
      <alignment horizontal="left" vertical="center" wrapText="1"/>
    </xf>
    <xf numFmtId="0" fontId="0" fillId="0" borderId="23" xfId="0" applyBorder="1"/>
    <xf numFmtId="0" fontId="14" fillId="0" borderId="42" xfId="0" applyFont="1" applyFill="1" applyBorder="1" applyAlignment="1">
      <alignment horizontal="left" vertical="center" wrapText="1"/>
    </xf>
    <xf numFmtId="0" fontId="0" fillId="0" borderId="45" xfId="0" applyFont="1" applyFill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11" fillId="3" borderId="12" xfId="0" applyFont="1" applyFill="1" applyBorder="1" applyAlignment="1">
      <alignment horizontal="left" inden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2"/>
  <sheetViews>
    <sheetView tabSelected="1" zoomScale="80" zoomScaleNormal="80" workbookViewId="0">
      <selection activeCell="H24" sqref="H24"/>
    </sheetView>
  </sheetViews>
  <sheetFormatPr baseColWidth="10" defaultColWidth="11" defaultRowHeight="12.75" x14ac:dyDescent="0.2"/>
  <cols>
    <col min="1" max="1" width="4.5703125" style="29" customWidth="1"/>
    <col min="2" max="2" width="12.85546875" style="29" customWidth="1"/>
    <col min="3" max="3" width="32.42578125" style="29" customWidth="1"/>
    <col min="4" max="4" width="8.42578125" style="29" customWidth="1"/>
    <col min="5" max="5" width="79" style="29" customWidth="1"/>
    <col min="6" max="6" width="11.7109375" style="29" customWidth="1"/>
    <col min="7" max="7" width="12.7109375" style="29" customWidth="1"/>
    <col min="8" max="8" width="13.85546875" style="29" customWidth="1"/>
    <col min="9" max="9" width="18.5703125" style="29" customWidth="1"/>
    <col min="10" max="10" width="11" style="58"/>
    <col min="11" max="14" width="11" style="56"/>
    <col min="15" max="16384" width="11" style="29"/>
  </cols>
  <sheetData>
    <row r="2" spans="1:9" ht="27" x14ac:dyDescent="0.35">
      <c r="B2" s="99" t="s">
        <v>0</v>
      </c>
      <c r="C2" s="99"/>
      <c r="D2" s="99"/>
      <c r="E2" s="99"/>
      <c r="F2" s="99"/>
      <c r="G2" s="99"/>
      <c r="H2" s="99"/>
    </row>
    <row r="4" spans="1:9" ht="18" customHeight="1" x14ac:dyDescent="0.25">
      <c r="A4" s="93" t="s">
        <v>1</v>
      </c>
      <c r="B4" s="93"/>
      <c r="C4" s="100" t="s">
        <v>58</v>
      </c>
      <c r="D4" s="100"/>
      <c r="E4" s="100"/>
      <c r="F4" s="30"/>
      <c r="G4" s="31"/>
      <c r="H4" s="30"/>
    </row>
    <row r="5" spans="1:9" ht="18" customHeight="1" x14ac:dyDescent="0.25">
      <c r="A5" s="93" t="s">
        <v>2</v>
      </c>
      <c r="B5" s="93"/>
      <c r="C5" s="100" t="s">
        <v>63</v>
      </c>
      <c r="D5" s="100"/>
      <c r="E5" s="100"/>
      <c r="F5" s="30"/>
      <c r="G5" s="31"/>
      <c r="H5" s="30"/>
    </row>
    <row r="6" spans="1:9" ht="16.5" customHeight="1" x14ac:dyDescent="0.25">
      <c r="A6" s="93" t="s">
        <v>3</v>
      </c>
      <c r="B6" s="93"/>
      <c r="C6" s="47">
        <v>2021</v>
      </c>
      <c r="D6" s="42"/>
      <c r="E6" s="42"/>
      <c r="F6" s="30"/>
      <c r="G6" s="31"/>
      <c r="H6" s="30"/>
    </row>
    <row r="7" spans="1:9" ht="16.5" customHeight="1" x14ac:dyDescent="0.25">
      <c r="A7" s="93" t="s">
        <v>4</v>
      </c>
      <c r="B7" s="93"/>
      <c r="C7" s="47">
        <v>4</v>
      </c>
      <c r="D7" s="42"/>
      <c r="E7" s="42"/>
      <c r="F7" s="30"/>
      <c r="G7" s="31"/>
      <c r="H7" s="30"/>
    </row>
    <row r="8" spans="1:9" ht="13.5" thickBot="1" x14ac:dyDescent="0.25">
      <c r="B8" s="30"/>
      <c r="C8" s="31"/>
      <c r="D8" s="30"/>
      <c r="E8" s="30"/>
      <c r="F8" s="30"/>
      <c r="G8" s="31"/>
      <c r="H8" s="30"/>
    </row>
    <row r="9" spans="1:9" ht="39.75" thickTop="1" thickBot="1" x14ac:dyDescent="0.25">
      <c r="A9" s="75" t="s">
        <v>5</v>
      </c>
      <c r="B9" s="83" t="s">
        <v>6</v>
      </c>
      <c r="C9" s="84" t="s">
        <v>7</v>
      </c>
      <c r="D9" s="85" t="s">
        <v>8</v>
      </c>
      <c r="E9" s="86" t="s">
        <v>9</v>
      </c>
      <c r="F9" s="76" t="s">
        <v>10</v>
      </c>
      <c r="G9" s="32" t="s">
        <v>11</v>
      </c>
      <c r="H9" s="32" t="s">
        <v>12</v>
      </c>
      <c r="I9" s="32" t="s">
        <v>13</v>
      </c>
    </row>
    <row r="10" spans="1:9" ht="42.75" customHeight="1" thickBot="1" x14ac:dyDescent="0.25">
      <c r="A10" s="81">
        <v>1</v>
      </c>
      <c r="B10" s="82" t="s">
        <v>72</v>
      </c>
      <c r="C10" s="87" t="s">
        <v>61</v>
      </c>
      <c r="D10" s="88" t="str">
        <f t="shared" ref="D10" si="0">LEFT(B10,5)</f>
        <v>2.5.6</v>
      </c>
      <c r="E10" s="89" t="s">
        <v>73</v>
      </c>
      <c r="F10" s="90" t="s">
        <v>70</v>
      </c>
      <c r="G10" s="77">
        <v>6622</v>
      </c>
      <c r="H10" s="78">
        <v>90.6</v>
      </c>
      <c r="I10" s="78">
        <f>H10*G10</f>
        <v>599953.19999999995</v>
      </c>
    </row>
    <row r="13" spans="1:9" x14ac:dyDescent="0.2">
      <c r="B13" s="33" t="s">
        <v>14</v>
      </c>
      <c r="C13" s="34"/>
      <c r="D13" s="34"/>
      <c r="E13" s="35"/>
    </row>
    <row r="14" spans="1:9" ht="5.25" customHeight="1" x14ac:dyDescent="0.2">
      <c r="B14" s="36"/>
      <c r="C14" s="37"/>
      <c r="D14" s="37"/>
      <c r="E14" s="38"/>
    </row>
    <row r="15" spans="1:9" x14ac:dyDescent="0.2">
      <c r="B15" s="39" t="s">
        <v>15</v>
      </c>
      <c r="C15" s="37"/>
      <c r="D15" s="37"/>
      <c r="E15" s="38"/>
    </row>
    <row r="16" spans="1:9" ht="35.25" customHeight="1" x14ac:dyDescent="0.2">
      <c r="B16" s="39"/>
      <c r="C16" s="94" t="s">
        <v>73</v>
      </c>
      <c r="D16" s="94"/>
      <c r="E16" s="95"/>
    </row>
    <row r="17" spans="2:13" x14ac:dyDescent="0.2">
      <c r="B17" s="39" t="s">
        <v>16</v>
      </c>
      <c r="C17" s="48"/>
      <c r="D17" s="48"/>
      <c r="E17" s="49"/>
    </row>
    <row r="18" spans="2:13" ht="53.25" customHeight="1" x14ac:dyDescent="0.2">
      <c r="B18" s="40"/>
      <c r="C18" s="96" t="s">
        <v>77</v>
      </c>
      <c r="D18" s="96"/>
      <c r="E18" s="97"/>
      <c r="I18" s="98"/>
      <c r="J18" s="98"/>
      <c r="K18" s="98"/>
      <c r="L18" s="98"/>
      <c r="M18" s="98"/>
    </row>
    <row r="19" spans="2:13" x14ac:dyDescent="0.2">
      <c r="B19" s="39" t="s">
        <v>17</v>
      </c>
      <c r="C19" s="48"/>
      <c r="D19" s="48"/>
      <c r="E19" s="49"/>
      <c r="G19" s="55"/>
    </row>
    <row r="20" spans="2:13" x14ac:dyDescent="0.2">
      <c r="B20" s="40"/>
      <c r="C20" s="91" t="s">
        <v>64</v>
      </c>
      <c r="D20" s="91"/>
      <c r="E20" s="91"/>
    </row>
    <row r="21" spans="2:13" x14ac:dyDescent="0.2">
      <c r="B21" s="39" t="s">
        <v>18</v>
      </c>
      <c r="C21" s="50"/>
      <c r="D21" s="50"/>
      <c r="E21" s="51"/>
    </row>
    <row r="22" spans="2:13" x14ac:dyDescent="0.2">
      <c r="B22" s="40"/>
      <c r="C22" s="91" t="s">
        <v>68</v>
      </c>
      <c r="D22" s="91"/>
      <c r="E22" s="91"/>
    </row>
    <row r="23" spans="2:13" x14ac:dyDescent="0.2">
      <c r="B23" s="39" t="s">
        <v>19</v>
      </c>
      <c r="C23" s="48"/>
      <c r="D23" s="48"/>
      <c r="E23" s="49"/>
    </row>
    <row r="24" spans="2:13" x14ac:dyDescent="0.2">
      <c r="B24" s="39"/>
      <c r="C24" s="92"/>
      <c r="D24" s="92"/>
      <c r="E24" s="92"/>
    </row>
    <row r="25" spans="2:13" ht="13.5" thickBot="1" x14ac:dyDescent="0.25">
      <c r="B25" s="41"/>
      <c r="C25" s="52"/>
      <c r="D25" s="52"/>
      <c r="E25" s="53"/>
    </row>
    <row r="26" spans="2:13" x14ac:dyDescent="0.2">
      <c r="C26" s="54"/>
      <c r="D26" s="54"/>
      <c r="E26" s="54"/>
    </row>
    <row r="27" spans="2:13" x14ac:dyDescent="0.2">
      <c r="C27" s="54"/>
      <c r="D27" s="54"/>
      <c r="E27" s="54"/>
    </row>
    <row r="30" spans="2:13" ht="16.5" x14ac:dyDescent="0.2">
      <c r="E30" s="79"/>
    </row>
    <row r="31" spans="2:13" ht="16.5" x14ac:dyDescent="0.2">
      <c r="E31" s="80"/>
    </row>
    <row r="32" spans="2:13" ht="16.5" x14ac:dyDescent="0.2">
      <c r="E32" s="80"/>
    </row>
  </sheetData>
  <mergeCells count="13">
    <mergeCell ref="I18:M18"/>
    <mergeCell ref="B2:H2"/>
    <mergeCell ref="A4:B4"/>
    <mergeCell ref="C4:E4"/>
    <mergeCell ref="A5:B5"/>
    <mergeCell ref="C5:E5"/>
    <mergeCell ref="C20:E20"/>
    <mergeCell ref="C22:E22"/>
    <mergeCell ref="C24:E24"/>
    <mergeCell ref="A6:B6"/>
    <mergeCell ref="A7:B7"/>
    <mergeCell ref="C16:E16"/>
    <mergeCell ref="C18:E1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110" zoomScaleNormal="110" workbookViewId="0">
      <selection activeCell="I15" sqref="I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4" ht="18" customHeight="1" x14ac:dyDescent="0.2">
      <c r="A1" s="119" t="s">
        <v>20</v>
      </c>
      <c r="B1" s="119"/>
      <c r="C1" s="119"/>
      <c r="D1" s="119"/>
      <c r="E1" s="119"/>
      <c r="F1" s="119"/>
      <c r="G1" s="119"/>
      <c r="H1" s="119"/>
      <c r="I1" s="119"/>
      <c r="J1" s="3" t="s">
        <v>21</v>
      </c>
      <c r="K1" s="57" t="s">
        <v>71</v>
      </c>
    </row>
    <row r="2" spans="1:1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4" ht="18.75" customHeight="1" thickBot="1" x14ac:dyDescent="0.25">
      <c r="A3" s="120" t="s">
        <v>54</v>
      </c>
      <c r="B3" s="120"/>
      <c r="C3" s="120"/>
      <c r="D3" s="122" t="s">
        <v>59</v>
      </c>
      <c r="E3" s="122"/>
      <c r="F3" s="122"/>
      <c r="G3" s="122"/>
      <c r="H3" s="122"/>
      <c r="I3" s="122"/>
      <c r="J3" s="122"/>
      <c r="K3" s="122"/>
    </row>
    <row r="4" spans="1:14" ht="18.75" customHeight="1" thickBot="1" x14ac:dyDescent="0.25">
      <c r="A4" s="121" t="s">
        <v>55</v>
      </c>
      <c r="B4" s="121"/>
      <c r="C4" s="121"/>
      <c r="D4" s="122" t="s">
        <v>66</v>
      </c>
      <c r="E4" s="122"/>
      <c r="F4" s="122"/>
      <c r="G4" s="122"/>
      <c r="H4" s="122"/>
      <c r="I4" s="122"/>
      <c r="J4" s="122"/>
      <c r="K4" s="122"/>
    </row>
    <row r="5" spans="1:14" ht="18.75" customHeight="1" thickBot="1" x14ac:dyDescent="0.25">
      <c r="A5" s="121" t="s">
        <v>33</v>
      </c>
      <c r="B5" s="121"/>
      <c r="C5" s="121"/>
      <c r="D5" s="123" t="s">
        <v>65</v>
      </c>
      <c r="E5" s="123"/>
      <c r="F5" s="123"/>
      <c r="G5" s="123"/>
      <c r="H5" s="123"/>
      <c r="I5" s="123"/>
      <c r="J5" s="123"/>
      <c r="K5" s="123"/>
    </row>
    <row r="6" spans="1:14" ht="16.5" customHeight="1" thickBot="1" x14ac:dyDescent="0.25">
      <c r="A6" s="120" t="s">
        <v>56</v>
      </c>
      <c r="B6" s="120"/>
      <c r="C6" s="120"/>
      <c r="D6" s="106" t="s">
        <v>74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</row>
    <row r="7" spans="1:14" ht="16.5" customHeight="1" thickBot="1" x14ac:dyDescent="0.25">
      <c r="A7" s="121" t="s">
        <v>22</v>
      </c>
      <c r="B7" s="121"/>
      <c r="C7" s="121"/>
      <c r="D7" s="122" t="s">
        <v>78</v>
      </c>
      <c r="E7" s="122"/>
      <c r="F7" s="122"/>
      <c r="G7" s="122"/>
      <c r="H7" s="122"/>
      <c r="I7" s="122"/>
      <c r="J7" s="122"/>
      <c r="K7" s="122"/>
    </row>
    <row r="8" spans="1:14" ht="16.5" customHeight="1" thickBot="1" x14ac:dyDescent="0.25">
      <c r="A8" s="107" t="s">
        <v>23</v>
      </c>
      <c r="B8" s="107"/>
      <c r="C8" s="107"/>
      <c r="D8" s="108" t="s">
        <v>69</v>
      </c>
      <c r="E8" s="108"/>
      <c r="F8" s="108"/>
      <c r="G8" s="108"/>
      <c r="H8" s="108"/>
      <c r="I8" s="108"/>
      <c r="J8" s="108"/>
      <c r="K8" s="108"/>
    </row>
    <row r="9" spans="1:14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4" ht="18.75" customHeight="1" thickBot="1" x14ac:dyDescent="0.25">
      <c r="A10" s="109" t="s">
        <v>24</v>
      </c>
      <c r="B10" s="111" t="s">
        <v>25</v>
      </c>
      <c r="C10" s="112" t="s">
        <v>26</v>
      </c>
      <c r="D10" s="113"/>
      <c r="E10" s="113"/>
      <c r="F10" s="113"/>
      <c r="G10" s="114"/>
      <c r="H10" s="115" t="s">
        <v>27</v>
      </c>
      <c r="I10" s="113" t="s">
        <v>28</v>
      </c>
      <c r="J10" s="113" t="s">
        <v>29</v>
      </c>
      <c r="K10" s="114" t="s">
        <v>30</v>
      </c>
    </row>
    <row r="11" spans="1:14" ht="24" customHeight="1" thickBot="1" x14ac:dyDescent="0.25">
      <c r="A11" s="110"/>
      <c r="B11" s="111"/>
      <c r="C11" s="112"/>
      <c r="D11" s="113"/>
      <c r="E11" s="113"/>
      <c r="F11" s="113"/>
      <c r="G11" s="114"/>
      <c r="H11" s="116"/>
      <c r="I11" s="117"/>
      <c r="J11" s="117"/>
      <c r="K11" s="118"/>
    </row>
    <row r="12" spans="1:14" ht="36.75" customHeight="1" thickBot="1" x14ac:dyDescent="0.25">
      <c r="A12" s="43">
        <v>1</v>
      </c>
      <c r="B12" s="82" t="s">
        <v>72</v>
      </c>
      <c r="C12" s="103" t="s">
        <v>73</v>
      </c>
      <c r="D12" s="104"/>
      <c r="E12" s="104"/>
      <c r="F12" s="104"/>
      <c r="G12" s="105"/>
      <c r="H12" s="43" t="s">
        <v>79</v>
      </c>
      <c r="I12" s="44" t="str">
        <f>'Necesidades Trimestrales'!F10</f>
        <v>LITROS EN VALES</v>
      </c>
      <c r="J12" s="46">
        <f>+'Necesidades Trimestrales'!H10</f>
        <v>90.6</v>
      </c>
      <c r="K12" s="45">
        <f>+'Necesidades Trimestrales'!G10</f>
        <v>6622</v>
      </c>
    </row>
    <row r="13" spans="1:14" ht="20.25" customHeight="1" thickBot="1" x14ac:dyDescent="0.25">
      <c r="A13" s="101" t="s">
        <v>75</v>
      </c>
      <c r="B13" s="101"/>
      <c r="C13" s="101"/>
      <c r="D13" s="101"/>
      <c r="E13" s="101"/>
      <c r="F13" s="101"/>
      <c r="G13" s="101"/>
      <c r="H13" s="101"/>
      <c r="I13" s="101"/>
      <c r="J13" s="102">
        <f>SUMPRODUCT(J12:J12,K12:K12)</f>
        <v>599953.19999999995</v>
      </c>
      <c r="K13" s="102"/>
    </row>
    <row r="16" spans="1:14" x14ac:dyDescent="0.2">
      <c r="C16"/>
      <c r="D16"/>
    </row>
  </sheetData>
  <mergeCells count="23">
    <mergeCell ref="A1:I1"/>
    <mergeCell ref="A6:C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D6:N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0" zoomScale="130" zoomScaleNormal="130" workbookViewId="0">
      <selection activeCell="T10" sqref="T10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1" t="s">
        <v>3</v>
      </c>
      <c r="B1" s="151"/>
      <c r="C1" s="151"/>
      <c r="D1" s="152">
        <f>'Necesidades Trimestrales'!C6</f>
        <v>2021</v>
      </c>
      <c r="E1" s="152"/>
      <c r="F1" s="9"/>
      <c r="G1" s="9"/>
      <c r="H1" s="10"/>
      <c r="I1" s="10"/>
      <c r="J1" s="10"/>
      <c r="K1" s="10"/>
      <c r="L1" s="10"/>
      <c r="M1" s="10"/>
      <c r="N1" s="10"/>
      <c r="P1" s="153" t="s">
        <v>31</v>
      </c>
      <c r="Q1" s="153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53"/>
      <c r="Q2" s="153"/>
    </row>
    <row r="4" spans="1:17" s="11" customFormat="1" ht="18" customHeight="1" thickBot="1" x14ac:dyDescent="0.25">
      <c r="A4" s="154" t="s">
        <v>32</v>
      </c>
      <c r="B4" s="154"/>
      <c r="C4" s="154"/>
      <c r="D4" s="154"/>
      <c r="E4" s="154"/>
      <c r="F4" s="154"/>
      <c r="G4" s="155" t="str">
        <f>' NotaPedido'!D3</f>
        <v>90 - MINISTERIO DE SEGURIDAD</v>
      </c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1:17" s="11" customFormat="1" ht="18" customHeight="1" thickBot="1" x14ac:dyDescent="0.25">
      <c r="A5" s="145" t="s">
        <v>55</v>
      </c>
      <c r="B5" s="146"/>
      <c r="C5" s="146"/>
      <c r="D5" s="146"/>
      <c r="E5" s="146"/>
      <c r="F5" s="147"/>
      <c r="G5" s="148" t="str">
        <f>' NotaPedido'!D4</f>
        <v>SAF 19 - DIRECCION PROVINCIAL DE ADM. Y RR.HH. DEL MINISTERIO DE SEGURIDAD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</row>
    <row r="6" spans="1:17" s="11" customFormat="1" ht="18" customHeight="1" thickBot="1" x14ac:dyDescent="0.25">
      <c r="A6" s="145" t="s">
        <v>33</v>
      </c>
      <c r="B6" s="146"/>
      <c r="C6" s="146"/>
      <c r="D6" s="146"/>
      <c r="E6" s="146"/>
      <c r="F6" s="147"/>
      <c r="G6" s="150" t="str">
        <f>' NotaPedido'!D5</f>
        <v>MINISTERIO DE SEGUIRIDAD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7" s="11" customFormat="1" ht="18" customHeight="1" thickBot="1" x14ac:dyDescent="0.25">
      <c r="A7" s="145" t="s">
        <v>56</v>
      </c>
      <c r="B7" s="146"/>
      <c r="C7" s="146"/>
      <c r="D7" s="146"/>
      <c r="E7" s="146"/>
      <c r="F7" s="147"/>
      <c r="G7" s="150" t="s">
        <v>60</v>
      </c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7" ht="18" customHeight="1" thickBot="1" x14ac:dyDescent="0.25">
      <c r="A8" s="149" t="s">
        <v>34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</row>
    <row r="9" spans="1:17" ht="18" customHeight="1" x14ac:dyDescent="0.2">
      <c r="A9" s="139" t="s">
        <v>35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"/>
      <c r="P9" s="1"/>
      <c r="Q9" s="12"/>
    </row>
    <row r="10" spans="1:17" ht="54.75" customHeight="1" x14ac:dyDescent="0.2">
      <c r="A10" s="14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022/2021,  afectando la erogación resultante a los créditos presupuestarios aprobados a favor de esta Unidad Ejecutora, conforme al siguiente detalle: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41" t="s">
        <v>36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.75" customHeight="1" x14ac:dyDescent="0.2">
      <c r="A13" s="142" t="s">
        <v>37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38</v>
      </c>
      <c r="P13" s="143"/>
      <c r="Q13" s="144" t="s">
        <v>39</v>
      </c>
    </row>
    <row r="14" spans="1:17" ht="15.75" customHeight="1" thickBot="1" x14ac:dyDescent="0.25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43"/>
      <c r="P14" s="143"/>
      <c r="Q14" s="144"/>
    </row>
    <row r="15" spans="1:17" ht="17.25" customHeight="1" x14ac:dyDescent="0.2">
      <c r="A15" s="59">
        <v>1</v>
      </c>
      <c r="B15" s="60">
        <v>0</v>
      </c>
      <c r="C15" s="60">
        <v>0</v>
      </c>
      <c r="D15" s="61">
        <v>1</v>
      </c>
      <c r="E15" s="60">
        <v>0</v>
      </c>
      <c r="F15" s="60">
        <v>4901</v>
      </c>
      <c r="G15" s="60">
        <v>2</v>
      </c>
      <c r="H15" s="61">
        <v>1</v>
      </c>
      <c r="I15" s="60">
        <v>2</v>
      </c>
      <c r="J15" s="60">
        <v>5</v>
      </c>
      <c r="K15" s="60">
        <v>6</v>
      </c>
      <c r="L15" s="60">
        <v>0</v>
      </c>
      <c r="M15" s="62">
        <v>1</v>
      </c>
      <c r="N15" s="63" t="s">
        <v>57</v>
      </c>
      <c r="O15" s="137" t="s">
        <v>62</v>
      </c>
      <c r="P15" s="138"/>
      <c r="Q15" s="72">
        <v>599953.19999999995</v>
      </c>
    </row>
    <row r="16" spans="1:17" ht="17.25" customHeight="1" x14ac:dyDescent="0.2">
      <c r="A16" s="6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65"/>
      <c r="O16" s="129"/>
      <c r="P16" s="130"/>
      <c r="Q16" s="73"/>
    </row>
    <row r="17" spans="1:18" ht="17.25" customHeight="1" x14ac:dyDescent="0.2">
      <c r="A17" s="64"/>
      <c r="B17" s="22"/>
      <c r="C17" s="22"/>
      <c r="D17" s="22"/>
      <c r="E17" s="22"/>
      <c r="F17" s="24"/>
      <c r="G17" s="22"/>
      <c r="H17" s="22"/>
      <c r="I17" s="22"/>
      <c r="J17" s="22"/>
      <c r="K17" s="22"/>
      <c r="L17" s="22"/>
      <c r="M17" s="23"/>
      <c r="N17" s="65"/>
      <c r="O17" s="129"/>
      <c r="P17" s="130"/>
      <c r="Q17" s="73"/>
    </row>
    <row r="18" spans="1:18" ht="17.25" customHeight="1" x14ac:dyDescent="0.2">
      <c r="A18" s="6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65"/>
      <c r="O18" s="129"/>
      <c r="P18" s="130"/>
      <c r="Q18" s="73"/>
    </row>
    <row r="19" spans="1:18" ht="17.25" customHeight="1" x14ac:dyDescent="0.2">
      <c r="A19" s="64"/>
      <c r="B19" s="22"/>
      <c r="C19" s="22"/>
      <c r="D19" s="22"/>
      <c r="E19" s="22"/>
      <c r="F19" s="24"/>
      <c r="G19" s="22"/>
      <c r="H19" s="22"/>
      <c r="I19" s="22"/>
      <c r="J19" s="22"/>
      <c r="K19" s="22"/>
      <c r="L19" s="22"/>
      <c r="M19" s="23"/>
      <c r="N19" s="65"/>
      <c r="O19" s="129"/>
      <c r="P19" s="130"/>
      <c r="Q19" s="73"/>
    </row>
    <row r="20" spans="1:18" ht="17.25" customHeight="1" x14ac:dyDescent="0.2">
      <c r="A20" s="64"/>
      <c r="B20" s="22"/>
      <c r="C20" s="22"/>
      <c r="D20" s="22"/>
      <c r="E20" s="22"/>
      <c r="F20" s="24"/>
      <c r="G20" s="22"/>
      <c r="H20" s="22"/>
      <c r="I20" s="22"/>
      <c r="J20" s="22"/>
      <c r="K20" s="22"/>
      <c r="L20" s="22"/>
      <c r="M20" s="23"/>
      <c r="N20" s="65"/>
      <c r="O20" s="129"/>
      <c r="P20" s="130"/>
      <c r="Q20" s="73"/>
    </row>
    <row r="21" spans="1:18" ht="17.25" customHeight="1" x14ac:dyDescent="0.2">
      <c r="A21" s="66"/>
      <c r="B21" s="25"/>
      <c r="C21" s="25"/>
      <c r="D21" s="25"/>
      <c r="E21" s="25"/>
      <c r="F21" s="26"/>
      <c r="G21" s="25"/>
      <c r="H21" s="25"/>
      <c r="I21" s="25"/>
      <c r="J21" s="25"/>
      <c r="K21" s="25"/>
      <c r="L21" s="25"/>
      <c r="M21" s="27"/>
      <c r="N21" s="67"/>
      <c r="O21" s="131"/>
      <c r="P21" s="132"/>
      <c r="Q21" s="73"/>
      <c r="R21" s="1"/>
    </row>
    <row r="22" spans="1:18" ht="17.25" customHeight="1" x14ac:dyDescent="0.2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70"/>
      <c r="N22" s="71"/>
      <c r="O22" s="133"/>
      <c r="P22" s="134"/>
      <c r="Q22" s="74"/>
    </row>
    <row r="23" spans="1:18" ht="30.75" customHeight="1" x14ac:dyDescent="0.2">
      <c r="A23" s="135" t="s">
        <v>76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28">
        <f>SUM(Q15:Q22)</f>
        <v>599953.19999999995</v>
      </c>
    </row>
    <row r="24" spans="1:18" ht="18" customHeight="1" thickBot="1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</row>
    <row r="25" spans="1:18" ht="17.25" customHeight="1" thickBot="1" x14ac:dyDescent="0.25">
      <c r="A25" s="124" t="s">
        <v>53</v>
      </c>
      <c r="B25" s="125"/>
      <c r="C25" s="125"/>
      <c r="D25" s="125"/>
      <c r="E25" s="125"/>
      <c r="F25" s="126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</row>
    <row r="26" spans="1:18" ht="18" customHeight="1" thickBot="1" x14ac:dyDescent="0.25">
      <c r="A26" s="128" t="s">
        <v>67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  <row r="27" spans="1:18" ht="15" customHeight="1" x14ac:dyDescent="0.2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Secretaria1</cp:lastModifiedBy>
  <cp:revision>2</cp:revision>
  <cp:lastPrinted>2020-07-17T22:18:48Z</cp:lastPrinted>
  <dcterms:created xsi:type="dcterms:W3CDTF">2020-07-17T23:44:49Z</dcterms:created>
  <dcterms:modified xsi:type="dcterms:W3CDTF">2021-09-13T14:07:35Z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