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7520" windowHeight="11760" tabRatio="500"/>
  </bookViews>
  <sheets>
    <sheet name="Necesidades Trimestrales (2)" sheetId="4" r:id="rId1"/>
    <sheet name=" NotaPedido" sheetId="2" r:id="rId2"/>
    <sheet name="Autor Gastar" sheetId="3" r:id="rId3"/>
    <sheet name="Nota de Pedido" sheetId="5" r:id="rId4"/>
    <sheet name="Autor Gastar " sheetId="8" r:id="rId5"/>
  </sheets>
  <definedNames>
    <definedName name="_xlnm.Print_Area" localSheetId="1">' NotaPedido'!$A$1:$K$13</definedName>
    <definedName name="_xlnm.Print_Area" localSheetId="2">'Autor Gastar'!$A$1:$S$28</definedName>
    <definedName name="_xlnm.Print_Area" localSheetId="4">'Autor Gastar '!$A$1:$S$28</definedName>
    <definedName name="_xlnm.Print_Area" localSheetId="0">'Necesidades Trimestrales (2)'!$A$1:$I$12</definedName>
  </definedNames>
  <calcPr calcId="145621"/>
</workbook>
</file>

<file path=xl/calcChain.xml><?xml version="1.0" encoding="utf-8"?>
<calcChain xmlns="http://schemas.openxmlformats.org/spreadsheetml/2006/main">
  <c r="D10" i="4" l="1"/>
  <c r="S21" i="8" l="1"/>
  <c r="Q21" i="8"/>
  <c r="G7" i="8"/>
  <c r="G5" i="8"/>
  <c r="G4" i="8"/>
  <c r="J13" i="5"/>
  <c r="I10" i="4" l="1"/>
  <c r="I11" i="4" l="1"/>
  <c r="J13" i="2" l="1"/>
  <c r="Q21" i="3" l="1"/>
  <c r="G4" i="3" l="1"/>
  <c r="G6" i="3" l="1"/>
  <c r="G7" i="3"/>
  <c r="G5" i="3"/>
  <c r="A10" i="3" l="1"/>
</calcChain>
</file>

<file path=xl/sharedStrings.xml><?xml version="1.0" encoding="utf-8"?>
<sst xmlns="http://schemas.openxmlformats.org/spreadsheetml/2006/main" count="156" uniqueCount="84">
  <si>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</si>
  <si>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</si>
  <si>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</si>
  <si>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</si>
  <si>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</si>
  <si>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</si>
  <si>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</si>
  <si>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</si>
  <si>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</si>
  <si>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</si>
  <si>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</si>
  <si>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</si>
  <si>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</si>
  <si>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</si>
  <si>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</si>
  <si>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</si>
  <si>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</si>
  <si>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</si>
  <si>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</si>
  <si>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</si>
  <si>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</si>
  <si>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</si>
  <si>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</si>
  <si>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</si>
  <si>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</si>
  <si>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</si>
  <si>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</si>
  <si>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</si>
  <si>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</si>
  <si>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</si>
  <si>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</si>
  <si>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</si>
  <si>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</si>
  <si>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</si>
  <si>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</si>
  <si>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</si>
  <si>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</si>
  <si>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</si>
  <si>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</si>
  <si>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</si>
  <si>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</si>
  <si>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</si>
  <si>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</si>
  <si>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</si>
  <si>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</si>
  <si>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</si>
  <si>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</si>
  <si>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</si>
  <si>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</si>
  <si>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</si>
  <si>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</si>
  <si>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</si>
  <si>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</si>
  <si>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</si>
  <si>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</si>
  <si>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</si>
  <si>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</si>
  <si>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</si>
  <si>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</si>
  <si>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</si>
  <si>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r>
      <t xml:space="preserve">Mantenimiento: </t>
    </r>
    <r>
      <rPr>
        <sz val="10"/>
        <rFont val="Times New Roman"/>
        <family val="1"/>
      </rPr>
      <t>treinta (30) dias corridos</t>
    </r>
  </si>
  <si>
    <t>DIRECCION PROVINCIAL DE GESTION ADMINISTRATIVA RECURSOS HUMANOS</t>
  </si>
  <si>
    <t>COMPUTADORAS; TIPO: NOTEBOOK, CODIGO ETAP: PC-008, VERSION ETAP: 22.0</t>
  </si>
  <si>
    <t>COMPUTADORAS; TIPO: DE ESCRITORIO, CODIGO ETAP: PC-002-00, VERSION ETAP: 23.0</t>
  </si>
  <si>
    <t>COMBUSTIBLES Y LUBRICANTES</t>
  </si>
  <si>
    <t>Máxima calidad</t>
  </si>
  <si>
    <t>4° TRIMESTRE 2021</t>
  </si>
  <si>
    <t>Combustibles y lubricantes</t>
  </si>
  <si>
    <t xml:space="preserve">ADQUISICIÓN DE COMBUSTIBLE PARA VEHICULOS OFICIALES.- </t>
  </si>
  <si>
    <t>LITROS</t>
  </si>
  <si>
    <t>PESOS: DOSCIENTOS CINCUENTA Y CUATRO MIL NOVECIENTOS SESENTA Y OCHO CON 00/100.-</t>
  </si>
  <si>
    <t>043/2021</t>
  </si>
  <si>
    <t>044/2021</t>
  </si>
  <si>
    <t>Autorizo la realización de los  trámites correspondientes, a fin de proveer a  este Organismo los bienes y/o servicios que se detallan en Nota  de Pedido N° 44/2021,  afectando la erogación resultante a los créditos presupuestarios aprobados a favor de esta Unidad Ejecutora, conforme al siguiente detalle:</t>
  </si>
  <si>
    <t>Costo total estimado: COMBUSTIBLES Y LUBRICANTES</t>
  </si>
  <si>
    <t>PESOS: CUATROCIENTOS CINCUENTA Y NUEVE MIL TRESCIENTOS OCHENTA Y DOS CON 00/100.-</t>
  </si>
  <si>
    <t>Costo total estimado:  PESOS CUATROCIENTOS CINCUENTA Y NUEVE MIL TRESCIENTOS OCHENTA Y DOS CON 00/100.-</t>
  </si>
  <si>
    <t>Costo total estimado:  PESOS DOSCIENTOS CINCUENTA Y CUATRO MIL NOVECIENTOS SESENTA Y OCHO CON 00/100.-</t>
  </si>
  <si>
    <t>SECRETARIA DE INNOVACION TECNOLOGICA</t>
  </si>
  <si>
    <t>SECRETARIA DE CIENCIA Y TECNOLOGIA</t>
  </si>
  <si>
    <t>GAS OIL; PRESENTACION: POR LITRO, USO: MOTORES DIESEL, COMERCIALIZACION: GRADO 3, DESTINO: DPTO. S.F.V. DE CATAMARCA</t>
  </si>
  <si>
    <t>2.5.6-793.31</t>
  </si>
  <si>
    <t xml:space="preserve">GAS OIL - 50 CETANOS MINIMO. Forma de entrega: Trescientos Veinticinco (325) vales de Veinte (20) litros cada uno.
</t>
  </si>
  <si>
    <t>El plazo de entrega  no podrá ser superior a los diez (10) días hábiles a partir de la fecha de recepción de la respectiva Orden de Compra en el domicilio especial electrónico constituido, en virtud del método de contratación. La entrega se realizará en  el Ministerio de Ciencia e Innovación Tecnologica  en el horario de 08 a 13 horas, sito en Avenida  Belgrano N° 1494 - CAPE- Pabellón N° 26 San Fernando del Valle de Catamarca.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</si>
</sst>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 numFmtId="171" formatCode="_-[$$-2C0A]\ * #,##0.00_-;\-[$$-2C0A]\ * #,##0.00_-;_-[$$-2C0A]\ * &quot;-&quot;??_-;_-@"/>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u/>
      <sz val="10"/>
      <name val="Times New Roman"/>
      <family val="1"/>
    </font>
    <font>
      <sz val="10"/>
      <color theme="0"/>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Arial"/>
      <family val="2"/>
    </font>
    <font>
      <b/>
      <sz val="12"/>
      <color rgb="FFFF0000"/>
      <name val="Times New Roman"/>
      <family val="1"/>
    </font>
  </fonts>
  <fills count="8">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
      <patternFill patternType="solid">
        <fgColor theme="0"/>
        <bgColor rgb="FFC0C0C0"/>
      </patternFill>
    </fill>
  </fills>
  <borders count="42">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auto="1"/>
      </top>
      <bottom style="medium">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56">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4" xfId="0" applyBorder="1"/>
    <xf numFmtId="0" fontId="0" fillId="0" borderId="12" xfId="0" applyBorder="1"/>
    <xf numFmtId="0" fontId="0" fillId="0" borderId="12" xfId="0" applyBorder="1" applyAlignment="1">
      <alignment horizontal="left"/>
    </xf>
    <xf numFmtId="0" fontId="0" fillId="0" borderId="25" xfId="0" applyBorder="1"/>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3"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1" xfId="0" applyBorder="1" applyAlignment="1">
      <alignment horizontal="center" vertical="center"/>
    </xf>
    <xf numFmtId="0" fontId="12" fillId="0" borderId="31" xfId="0" applyFont="1" applyBorder="1" applyAlignment="1">
      <alignment horizontal="center" vertical="center"/>
    </xf>
    <xf numFmtId="0" fontId="16" fillId="0" borderId="0" xfId="0" applyFont="1"/>
    <xf numFmtId="0" fontId="18"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18"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0" fillId="4" borderId="30" xfId="0" applyFont="1" applyFill="1" applyBorder="1" applyAlignment="1">
      <alignment horizontal="center" vertical="center"/>
    </xf>
    <xf numFmtId="0" fontId="15" fillId="0" borderId="0" xfId="0" applyFont="1"/>
    <xf numFmtId="167" fontId="2" fillId="0" borderId="0" xfId="0" applyNumberFormat="1" applyFont="1" applyBorder="1" applyAlignment="1">
      <alignment vertical="center"/>
    </xf>
    <xf numFmtId="166" fontId="14" fillId="3" borderId="32" xfId="0" applyNumberFormat="1" applyFont="1" applyFill="1" applyBorder="1" applyAlignment="1">
      <alignment horizontal="center" vertical="center"/>
    </xf>
    <xf numFmtId="0" fontId="0" fillId="4" borderId="31" xfId="0" applyFont="1" applyFill="1" applyBorder="1" applyAlignment="1">
      <alignment horizontal="center" vertical="center"/>
    </xf>
    <xf numFmtId="166" fontId="0" fillId="0" borderId="31" xfId="3" applyNumberFormat="1" applyFont="1" applyBorder="1" applyAlignment="1" applyProtection="1">
      <alignment horizontal="center" vertical="center"/>
    </xf>
    <xf numFmtId="0" fontId="9" fillId="0" borderId="14" xfId="0" applyFont="1" applyBorder="1" applyAlignment="1">
      <alignment horizontal="center" vertical="center"/>
    </xf>
    <xf numFmtId="0" fontId="9" fillId="0" borderId="14" xfId="0" applyFont="1" applyBorder="1" applyAlignment="1">
      <alignment horizontal="left" vertical="center"/>
    </xf>
    <xf numFmtId="0" fontId="4" fillId="4" borderId="14" xfId="0" applyFont="1" applyFill="1" applyBorder="1" applyAlignment="1">
      <alignment horizontal="center" vertical="center"/>
    </xf>
    <xf numFmtId="0" fontId="4" fillId="3" borderId="14" xfId="0" applyFont="1" applyFill="1" applyBorder="1" applyAlignment="1">
      <alignment horizontal="center" vertical="center" wrapText="1"/>
    </xf>
    <xf numFmtId="166" fontId="4" fillId="3" borderId="14" xfId="1" applyNumberFormat="1" applyFont="1" applyFill="1" applyBorder="1" applyAlignment="1" applyProtection="1">
      <alignment horizontal="right" vertical="center" wrapText="1"/>
    </xf>
    <xf numFmtId="3" fontId="4" fillId="3" borderId="14" xfId="0" applyNumberFormat="1" applyFont="1" applyFill="1" applyBorder="1" applyAlignment="1">
      <alignment horizontal="center" vertical="center"/>
    </xf>
    <xf numFmtId="169" fontId="0" fillId="3" borderId="30" xfId="3" applyNumberFormat="1" applyFont="1" applyFill="1" applyBorder="1" applyAlignment="1" applyProtection="1">
      <alignment horizontal="center" vertical="center"/>
    </xf>
    <xf numFmtId="169" fontId="0" fillId="0" borderId="31" xfId="3" applyNumberFormat="1" applyFont="1" applyBorder="1" applyAlignment="1" applyProtection="1">
      <alignment horizontal="center" vertical="center"/>
    </xf>
    <xf numFmtId="167" fontId="19" fillId="0" borderId="0" xfId="0" applyNumberFormat="1" applyFont="1"/>
    <xf numFmtId="0" fontId="16" fillId="0" borderId="0" xfId="0" applyFont="1" applyAlignment="1">
      <alignment horizontal="center" vertical="center"/>
    </xf>
    <xf numFmtId="0" fontId="16" fillId="0" borderId="0" xfId="0" applyFont="1" applyAlignment="1">
      <alignment horizontal="center"/>
    </xf>
    <xf numFmtId="0" fontId="20" fillId="0" borderId="0" xfId="0" applyFont="1" applyAlignment="1">
      <alignment horizontal="left" vertical="top"/>
    </xf>
    <xf numFmtId="170" fontId="16" fillId="0" borderId="0" xfId="0" applyNumberFormat="1" applyFont="1" applyAlignment="1">
      <alignment horizontal="center"/>
    </xf>
    <xf numFmtId="0" fontId="22" fillId="0" borderId="0" xfId="0" applyFont="1" applyAlignment="1">
      <alignment horizontal="left" wrapText="1"/>
    </xf>
    <xf numFmtId="0" fontId="22" fillId="0" borderId="0" xfId="0" applyFont="1" applyAlignment="1">
      <alignment horizontal="center" wrapText="1"/>
    </xf>
    <xf numFmtId="170" fontId="22" fillId="0" borderId="0" xfId="0" applyNumberFormat="1" applyFont="1" applyAlignment="1">
      <alignment horizontal="center" wrapText="1"/>
    </xf>
    <xf numFmtId="0" fontId="23" fillId="0" borderId="0" xfId="0" applyFont="1"/>
    <xf numFmtId="0" fontId="21" fillId="5" borderId="0" xfId="0" applyFont="1" applyFill="1" applyBorder="1" applyAlignment="1">
      <alignment horizontal="left" wrapText="1"/>
    </xf>
    <xf numFmtId="0" fontId="21" fillId="5" borderId="0" xfId="0" applyFont="1" applyFill="1" applyBorder="1" applyAlignment="1">
      <alignment horizontal="left" vertical="top" wrapText="1"/>
    </xf>
    <xf numFmtId="0" fontId="22" fillId="0" borderId="0" xfId="0" applyFont="1" applyAlignment="1">
      <alignment horizontal="center" vertical="center" wrapText="1"/>
    </xf>
    <xf numFmtId="0" fontId="22" fillId="0" borderId="0" xfId="0" applyFont="1" applyAlignment="1">
      <alignment horizontal="left" vertical="top" wrapText="1"/>
    </xf>
    <xf numFmtId="0" fontId="21" fillId="6" borderId="36" xfId="0" applyFont="1" applyFill="1" applyBorder="1" applyAlignment="1">
      <alignment horizontal="center" vertical="center" wrapText="1"/>
    </xf>
    <xf numFmtId="0" fontId="24" fillId="6" borderId="36" xfId="0" applyFont="1" applyFill="1" applyBorder="1" applyAlignment="1">
      <alignment horizontal="center" vertical="center" wrapText="1"/>
    </xf>
    <xf numFmtId="170" fontId="21" fillId="6" borderId="36" xfId="0" applyNumberFormat="1" applyFont="1" applyFill="1" applyBorder="1" applyAlignment="1">
      <alignment horizontal="center" vertical="center" wrapText="1"/>
    </xf>
    <xf numFmtId="0" fontId="23" fillId="0" borderId="37" xfId="0" applyFont="1" applyBorder="1" applyAlignment="1">
      <alignment horizontal="center" vertical="center"/>
    </xf>
    <xf numFmtId="170" fontId="23" fillId="0" borderId="37" xfId="0" applyNumberFormat="1" applyFont="1" applyBorder="1" applyAlignment="1">
      <alignment horizontal="center" vertical="center"/>
    </xf>
    <xf numFmtId="171" fontId="23" fillId="0" borderId="37" xfId="0" applyNumberFormat="1" applyFont="1" applyBorder="1" applyAlignment="1">
      <alignment vertical="center"/>
    </xf>
    <xf numFmtId="0" fontId="16" fillId="0" borderId="0" xfId="0" applyFont="1" applyAlignment="1">
      <alignment vertical="center"/>
    </xf>
    <xf numFmtId="0" fontId="23" fillId="0" borderId="37" xfId="0" applyFont="1" applyBorder="1" applyAlignment="1">
      <alignment horizontal="center" vertical="center" wrapText="1"/>
    </xf>
    <xf numFmtId="0" fontId="23" fillId="6" borderId="38" xfId="0" applyFont="1" applyFill="1" applyBorder="1" applyAlignment="1">
      <alignment vertical="center" wrapText="1"/>
    </xf>
    <xf numFmtId="0" fontId="25" fillId="6" borderId="39" xfId="0" applyFont="1" applyFill="1" applyBorder="1" applyAlignment="1">
      <alignment horizontal="center" vertical="center" wrapText="1"/>
    </xf>
    <xf numFmtId="0" fontId="23" fillId="6" borderId="40" xfId="0" applyFont="1" applyFill="1" applyBorder="1" applyAlignment="1">
      <alignment vertical="center" wrapText="1"/>
    </xf>
    <xf numFmtId="171" fontId="25" fillId="6" borderId="37" xfId="0" applyNumberFormat="1" applyFont="1" applyFill="1" applyBorder="1"/>
    <xf numFmtId="167" fontId="16" fillId="0" borderId="0" xfId="0" applyNumberFormat="1" applyFont="1" applyAlignment="1">
      <alignment horizontal="center" vertical="center"/>
    </xf>
    <xf numFmtId="0" fontId="23" fillId="0" borderId="39" xfId="0" applyFont="1" applyBorder="1" applyAlignment="1">
      <alignment horizontal="center" vertical="center" wrapText="1"/>
    </xf>
    <xf numFmtId="0" fontId="23" fillId="0" borderId="38" xfId="0" applyFont="1" applyBorder="1" applyAlignment="1">
      <alignment horizontal="center" vertical="center" wrapText="1"/>
    </xf>
    <xf numFmtId="0" fontId="23" fillId="0" borderId="40" xfId="0" applyFont="1" applyBorder="1" applyAlignment="1">
      <alignment horizontal="center" vertical="center" wrapText="1"/>
    </xf>
    <xf numFmtId="171" fontId="23" fillId="0" borderId="37" xfId="0" applyNumberFormat="1" applyFont="1" applyBorder="1"/>
    <xf numFmtId="0" fontId="23" fillId="7" borderId="37" xfId="0" applyFont="1" applyFill="1" applyBorder="1" applyAlignment="1">
      <alignment horizontal="left" vertical="center" wrapText="1"/>
    </xf>
    <xf numFmtId="169" fontId="16" fillId="0" borderId="0" xfId="0" applyNumberFormat="1" applyFont="1"/>
    <xf numFmtId="0" fontId="26" fillId="4" borderId="11" xfId="0" applyFont="1" applyFill="1" applyBorder="1" applyAlignment="1">
      <alignment horizontal="center" vertical="center"/>
    </xf>
    <xf numFmtId="0" fontId="23" fillId="6" borderId="38" xfId="0" applyFont="1" applyFill="1" applyBorder="1" applyAlignment="1">
      <alignment horizontal="left" vertical="center" wrapText="1"/>
    </xf>
    <xf numFmtId="0" fontId="23" fillId="0" borderId="38" xfId="0" applyFont="1" applyBorder="1" applyAlignment="1">
      <alignment horizontal="left" vertical="center" wrapText="1"/>
    </xf>
    <xf numFmtId="0" fontId="23" fillId="0" borderId="37" xfId="0" applyFont="1" applyBorder="1" applyAlignment="1">
      <alignment vertical="center"/>
    </xf>
    <xf numFmtId="0" fontId="23" fillId="0" borderId="38" xfId="0" applyFont="1" applyBorder="1" applyAlignment="1">
      <alignment vertical="center" wrapText="1"/>
    </xf>
    <xf numFmtId="0" fontId="23" fillId="6" borderId="0" xfId="0" applyFont="1" applyFill="1" applyBorder="1" applyAlignment="1">
      <alignment vertical="center"/>
    </xf>
    <xf numFmtId="169" fontId="0" fillId="0" borderId="0" xfId="0" applyNumberFormat="1"/>
    <xf numFmtId="169" fontId="15" fillId="0" borderId="0" xfId="1" applyNumberFormat="1"/>
    <xf numFmtId="169" fontId="15" fillId="0" borderId="0" xfId="1" applyNumberFormat="1" applyBorder="1"/>
    <xf numFmtId="0" fontId="14" fillId="0" borderId="0" xfId="0" applyFont="1" applyFill="1" applyBorder="1" applyAlignment="1">
      <alignment horizontal="center" vertical="center"/>
    </xf>
    <xf numFmtId="169" fontId="0" fillId="0" borderId="0" xfId="0" applyNumberFormat="1" applyBorder="1"/>
    <xf numFmtId="0" fontId="2" fillId="0" borderId="0" xfId="0" applyFont="1" applyBorder="1" applyAlignment="1">
      <alignment horizontal="right" vertical="center"/>
    </xf>
    <xf numFmtId="0" fontId="2" fillId="3" borderId="0" xfId="0" applyFont="1" applyFill="1" applyBorder="1" applyAlignment="1">
      <alignment vertical="center"/>
    </xf>
    <xf numFmtId="169" fontId="15" fillId="0" borderId="29" xfId="1" applyNumberFormat="1" applyBorder="1"/>
    <xf numFmtId="169" fontId="0" fillId="4" borderId="29" xfId="0" applyNumberFormat="1" applyFont="1" applyFill="1" applyBorder="1" applyAlignment="1">
      <alignment horizontal="center" vertical="center"/>
    </xf>
    <xf numFmtId="0" fontId="21" fillId="0" borderId="0" xfId="0" applyFont="1" applyAlignment="1">
      <alignment horizontal="left" vertical="center" wrapText="1"/>
    </xf>
    <xf numFmtId="0" fontId="0" fillId="0" borderId="0" xfId="0" applyFont="1" applyAlignment="1"/>
    <xf numFmtId="0" fontId="17" fillId="0" borderId="0" xfId="0" applyFont="1" applyAlignment="1">
      <alignment horizontal="center"/>
    </xf>
    <xf numFmtId="0" fontId="21" fillId="5" borderId="0" xfId="0" applyFont="1" applyFill="1" applyBorder="1" applyAlignment="1">
      <alignment horizontal="left" wrapText="1"/>
    </xf>
    <xf numFmtId="0" fontId="15" fillId="0" borderId="0" xfId="0" applyFont="1" applyBorder="1"/>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8" fillId="3" borderId="14" xfId="0" applyFont="1" applyFill="1" applyBorder="1" applyAlignment="1">
      <alignment horizontal="left" vertical="center" wrapText="1" indent="1"/>
    </xf>
    <xf numFmtId="167" fontId="7" fillId="3" borderId="14" xfId="0" applyNumberFormat="1" applyFont="1" applyFill="1" applyBorder="1" applyAlignment="1">
      <alignment horizontal="center" vertical="center"/>
    </xf>
    <xf numFmtId="0" fontId="4" fillId="0" borderId="19" xfId="0" applyFont="1" applyBorder="1" applyAlignment="1">
      <alignment horizontal="left" vertical="center" wrapText="1"/>
    </xf>
    <xf numFmtId="0" fontId="4" fillId="0" borderId="41" xfId="0" applyFont="1" applyBorder="1" applyAlignment="1">
      <alignment horizontal="left" vertical="center" wrapText="1"/>
    </xf>
    <xf numFmtId="0" fontId="4" fillId="0" borderId="20"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10" fillId="0" borderId="19" xfId="0" applyFont="1" applyBorder="1" applyAlignment="1">
      <alignment vertical="center" wrapText="1"/>
    </xf>
    <xf numFmtId="0" fontId="10" fillId="0" borderId="33" xfId="0" applyFont="1" applyBorder="1" applyAlignment="1">
      <alignment vertical="center" wrapText="1"/>
    </xf>
    <xf numFmtId="0" fontId="10" fillId="0" borderId="17" xfId="0" applyFont="1" applyBorder="1" applyAlignment="1">
      <alignment vertical="center" wrapText="1"/>
    </xf>
    <xf numFmtId="0" fontId="12" fillId="0" borderId="26" xfId="0" applyFont="1" applyBorder="1" applyAlignment="1">
      <alignment vertical="center" wrapText="1"/>
    </xf>
    <xf numFmtId="0" fontId="15" fillId="4" borderId="32" xfId="0" applyFont="1" applyFill="1" applyBorder="1" applyAlignment="1">
      <alignment horizontal="left" vertical="center" wrapText="1" indent="1"/>
    </xf>
    <xf numFmtId="0" fontId="2" fillId="4" borderId="32" xfId="0" applyFont="1" applyFill="1" applyBorder="1" applyAlignment="1">
      <alignment horizontal="left" vertical="center" wrapText="1" indent="1"/>
    </xf>
    <xf numFmtId="0" fontId="0" fillId="0" borderId="31" xfId="0" applyFont="1" applyBorder="1" applyAlignment="1">
      <alignment horizontal="left" vertical="center"/>
    </xf>
    <xf numFmtId="0" fontId="0" fillId="0" borderId="31" xfId="0" applyBorder="1" applyAlignment="1">
      <alignment horizontal="left" vertical="center"/>
    </xf>
    <xf numFmtId="0" fontId="10" fillId="3" borderId="32" xfId="0" applyFont="1" applyFill="1" applyBorder="1" applyAlignment="1">
      <alignment horizontal="left" vertical="center" wrapText="1"/>
    </xf>
    <xf numFmtId="0" fontId="0" fillId="0" borderId="21" xfId="0" applyBorder="1"/>
    <xf numFmtId="0" fontId="15" fillId="0" borderId="30" xfId="0" applyFont="1" applyBorder="1" applyAlignment="1">
      <alignment horizontal="left" vertical="center" wrapText="1"/>
    </xf>
    <xf numFmtId="0" fontId="0" fillId="0" borderId="30" xfId="0" applyFont="1" applyBorder="1" applyAlignment="1">
      <alignment horizontal="left" vertical="center" wrapText="1"/>
    </xf>
    <xf numFmtId="0" fontId="15" fillId="0" borderId="31" xfId="0" applyFont="1" applyBorder="1" applyAlignment="1">
      <alignment horizontal="left" vertical="center" wrapText="1"/>
    </xf>
    <xf numFmtId="0" fontId="0" fillId="0" borderId="31" xfId="0" applyFont="1" applyBorder="1" applyAlignment="1">
      <alignment horizontal="left" vertical="center" wrapText="1"/>
    </xf>
    <xf numFmtId="0" fontId="15" fillId="0" borderId="31" xfId="0" applyFont="1" applyBorder="1" applyAlignment="1">
      <alignment horizontal="left" vertical="center"/>
    </xf>
    <xf numFmtId="0" fontId="12" fillId="0" borderId="22" xfId="0" applyFont="1" applyBorder="1"/>
    <xf numFmtId="0" fontId="12" fillId="0" borderId="23" xfId="0" applyFont="1" applyBorder="1" applyAlignment="1">
      <alignment horizontal="left" vertical="center" wrapText="1" indent="1"/>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21" xfId="0" applyFont="1" applyBorder="1" applyAlignment="1">
      <alignment horizontal="center" vertical="center" wrapText="1"/>
    </xf>
    <xf numFmtId="0" fontId="14" fillId="0" borderId="26" xfId="0" applyFont="1" applyBorder="1" applyAlignment="1">
      <alignment horizontal="center" vertical="center"/>
    </xf>
    <xf numFmtId="0" fontId="4" fillId="0" borderId="13" xfId="0" applyFont="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2" fillId="0" borderId="11" xfId="0" applyFont="1" applyBorder="1" applyAlignment="1">
      <alignment horizontal="left" indent="1"/>
    </xf>
    <xf numFmtId="0" fontId="0" fillId="0" borderId="19" xfId="0" applyFont="1" applyBorder="1" applyAlignment="1">
      <alignment horizontal="center"/>
    </xf>
    <xf numFmtId="3" fontId="10" fillId="0" borderId="20"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317"/>
  <sheetViews>
    <sheetView tabSelected="1" topLeftCell="A7" zoomScale="96" zoomScaleNormal="96" workbookViewId="0">
      <selection activeCell="H15" sqref="H15"/>
    </sheetView>
  </sheetViews>
  <sheetFormatPr baseColWidth="10" defaultColWidth="11" defaultRowHeight="12.75" x14ac:dyDescent="0.2"/>
  <cols>
    <col min="1" max="1" width="4.5703125" style="26" customWidth="1"/>
    <col min="2" max="2" width="15.7109375" style="26" customWidth="1"/>
    <col min="3" max="3" width="33" style="26" customWidth="1"/>
    <col min="4" max="4" width="7.140625" style="26" customWidth="1"/>
    <col min="5" max="5" width="59.42578125" style="26" customWidth="1"/>
    <col min="6" max="6" width="11" style="26"/>
    <col min="7" max="7" width="12.42578125" style="26" customWidth="1"/>
    <col min="8" max="8" width="13.28515625" style="26" customWidth="1"/>
    <col min="9" max="9" width="18.140625" style="26" customWidth="1"/>
    <col min="10" max="10" width="0" style="26" hidden="1" customWidth="1"/>
    <col min="11" max="11" width="11" style="26"/>
    <col min="12" max="12" width="14.140625" style="26" customWidth="1"/>
    <col min="13" max="16384" width="11" style="26"/>
  </cols>
  <sheetData>
    <row r="2" spans="1:12" ht="27" x14ac:dyDescent="0.35">
      <c r="B2" s="104" t="s">
        <v>0</v>
      </c>
      <c r="C2" s="103"/>
      <c r="D2" s="103"/>
      <c r="E2" s="103"/>
      <c r="F2" s="103"/>
      <c r="G2" s="103"/>
      <c r="H2" s="103"/>
    </row>
    <row r="3" spans="1:12" ht="8.25" customHeight="1" x14ac:dyDescent="0.2">
      <c r="B3" s="56"/>
      <c r="C3" s="57"/>
      <c r="E3" s="58"/>
      <c r="H3" s="59"/>
    </row>
    <row r="4" spans="1:12" ht="27.75" customHeight="1" x14ac:dyDescent="0.25">
      <c r="A4" s="102" t="s">
        <v>1</v>
      </c>
      <c r="B4" s="103"/>
      <c r="C4" s="105" t="s">
        <v>57</v>
      </c>
      <c r="D4" s="106"/>
      <c r="E4" s="106"/>
      <c r="F4" s="60"/>
      <c r="G4" s="61"/>
      <c r="H4" s="62"/>
      <c r="I4" s="63"/>
    </row>
    <row r="5" spans="1:12" ht="18" customHeight="1" x14ac:dyDescent="0.25">
      <c r="A5" s="102" t="s">
        <v>2</v>
      </c>
      <c r="B5" s="103"/>
      <c r="C5" s="105" t="s">
        <v>58</v>
      </c>
      <c r="D5" s="106"/>
      <c r="E5" s="106"/>
      <c r="F5" s="60"/>
      <c r="G5" s="61"/>
      <c r="H5" s="62"/>
      <c r="I5" s="63"/>
    </row>
    <row r="6" spans="1:12" ht="16.5" customHeight="1" x14ac:dyDescent="0.25">
      <c r="A6" s="102" t="s">
        <v>3</v>
      </c>
      <c r="B6" s="103"/>
      <c r="C6" s="64">
        <v>2021</v>
      </c>
      <c r="D6" s="64"/>
      <c r="E6" s="65"/>
      <c r="F6" s="60"/>
      <c r="G6" s="61"/>
      <c r="H6" s="62"/>
      <c r="I6" s="63"/>
    </row>
    <row r="7" spans="1:12" ht="16.5" customHeight="1" x14ac:dyDescent="0.25">
      <c r="A7" s="102" t="s">
        <v>4</v>
      </c>
      <c r="B7" s="103"/>
      <c r="C7" s="64">
        <v>4</v>
      </c>
      <c r="D7" s="64"/>
      <c r="E7" s="65"/>
      <c r="F7" s="60"/>
      <c r="G7" s="61"/>
      <c r="H7" s="62"/>
      <c r="I7" s="63"/>
    </row>
    <row r="8" spans="1:12" ht="15" thickBot="1" x14ac:dyDescent="0.25">
      <c r="A8" s="63"/>
      <c r="B8" s="66"/>
      <c r="C8" s="61"/>
      <c r="D8" s="60"/>
      <c r="E8" s="67"/>
      <c r="F8" s="60"/>
      <c r="G8" s="61"/>
      <c r="H8" s="62"/>
      <c r="I8" s="63"/>
    </row>
    <row r="9" spans="1:12" ht="45.75" thickTop="1" x14ac:dyDescent="0.2">
      <c r="A9" s="68" t="s">
        <v>5</v>
      </c>
      <c r="B9" s="68" t="s">
        <v>6</v>
      </c>
      <c r="C9" s="68" t="s">
        <v>7</v>
      </c>
      <c r="D9" s="68" t="s">
        <v>8</v>
      </c>
      <c r="E9" s="68" t="s">
        <v>9</v>
      </c>
      <c r="F9" s="69" t="s">
        <v>10</v>
      </c>
      <c r="G9" s="68" t="s">
        <v>11</v>
      </c>
      <c r="H9" s="70" t="s">
        <v>12</v>
      </c>
      <c r="I9" s="68" t="s">
        <v>13</v>
      </c>
    </row>
    <row r="10" spans="1:12" ht="51.75" customHeight="1" x14ac:dyDescent="0.2">
      <c r="A10" s="71">
        <v>1</v>
      </c>
      <c r="B10" s="90" t="s">
        <v>81</v>
      </c>
      <c r="C10" s="85" t="s">
        <v>64</v>
      </c>
      <c r="D10" s="75" t="str">
        <f>LEFT(B10,5)</f>
        <v>2.5.6</v>
      </c>
      <c r="E10" s="85" t="s">
        <v>80</v>
      </c>
      <c r="F10" s="71" t="s">
        <v>69</v>
      </c>
      <c r="G10" s="71">
        <v>6500</v>
      </c>
      <c r="H10" s="72">
        <v>109.9</v>
      </c>
      <c r="I10" s="73">
        <f t="shared" ref="I10" si="0">H10*G10</f>
        <v>714350</v>
      </c>
      <c r="J10" s="74"/>
      <c r="L10" s="55"/>
    </row>
    <row r="11" spans="1:12" ht="15" x14ac:dyDescent="0.25">
      <c r="A11" s="92"/>
      <c r="B11" s="76"/>
      <c r="C11" s="88"/>
      <c r="D11" s="76"/>
      <c r="E11" s="77" t="s">
        <v>74</v>
      </c>
      <c r="F11" s="76"/>
      <c r="G11" s="76"/>
      <c r="H11" s="78"/>
      <c r="I11" s="79">
        <f>SUM(I10:I10)</f>
        <v>714350</v>
      </c>
      <c r="J11" s="80"/>
    </row>
    <row r="12" spans="1:12" ht="13.5" customHeight="1" x14ac:dyDescent="0.2">
      <c r="A12" s="81"/>
      <c r="B12" s="91"/>
      <c r="C12" s="89"/>
      <c r="D12" s="82"/>
      <c r="E12" s="82"/>
      <c r="F12" s="82"/>
      <c r="G12" s="82"/>
      <c r="H12" s="83"/>
      <c r="I12" s="84"/>
      <c r="J12" s="80"/>
    </row>
    <row r="13" spans="1:12" ht="17.25" customHeight="1" thickBot="1" x14ac:dyDescent="0.25">
      <c r="I13" s="86"/>
    </row>
    <row r="14" spans="1:12" ht="12.75" customHeight="1" x14ac:dyDescent="0.2">
      <c r="B14" s="27" t="s">
        <v>14</v>
      </c>
      <c r="C14" s="28"/>
      <c r="D14" s="28"/>
      <c r="E14" s="29"/>
    </row>
    <row r="15" spans="1:12" ht="13.5" customHeight="1" x14ac:dyDescent="0.2">
      <c r="B15" s="30"/>
      <c r="C15" s="31"/>
      <c r="D15" s="31"/>
      <c r="E15" s="32"/>
    </row>
    <row r="16" spans="1:12" ht="15" customHeight="1" x14ac:dyDescent="0.2">
      <c r="B16" s="33" t="s">
        <v>15</v>
      </c>
      <c r="C16" s="31"/>
      <c r="D16" s="31"/>
      <c r="E16" s="32"/>
    </row>
    <row r="17" spans="2:5" ht="29.25" customHeight="1" x14ac:dyDescent="0.2">
      <c r="B17" s="33"/>
      <c r="C17" s="107" t="s">
        <v>82</v>
      </c>
      <c r="D17" s="107"/>
      <c r="E17" s="108"/>
    </row>
    <row r="18" spans="2:5" x14ac:dyDescent="0.2">
      <c r="B18" s="33" t="s">
        <v>16</v>
      </c>
      <c r="C18" s="31"/>
      <c r="D18" s="31"/>
      <c r="E18" s="32"/>
    </row>
    <row r="19" spans="2:5" ht="61.5" customHeight="1" x14ac:dyDescent="0.2">
      <c r="B19" s="34"/>
      <c r="C19" s="109" t="s">
        <v>83</v>
      </c>
      <c r="D19" s="109"/>
      <c r="E19" s="110"/>
    </row>
    <row r="20" spans="2:5" x14ac:dyDescent="0.2">
      <c r="B20" s="34"/>
      <c r="C20" s="109"/>
      <c r="D20" s="109"/>
      <c r="E20" s="110"/>
    </row>
    <row r="21" spans="2:5" ht="12" customHeight="1" x14ac:dyDescent="0.2">
      <c r="B21" s="33" t="s">
        <v>17</v>
      </c>
      <c r="C21" s="31"/>
      <c r="D21" s="31"/>
      <c r="E21" s="32"/>
    </row>
    <row r="22" spans="2:5" ht="15" customHeight="1" x14ac:dyDescent="0.2">
      <c r="B22" s="34"/>
      <c r="C22" s="109" t="s">
        <v>65</v>
      </c>
      <c r="D22" s="109"/>
      <c r="E22" s="110"/>
    </row>
    <row r="23" spans="2:5" x14ac:dyDescent="0.2">
      <c r="B23" s="33" t="s">
        <v>60</v>
      </c>
      <c r="C23" s="35"/>
      <c r="D23" s="35"/>
      <c r="E23" s="36"/>
    </row>
    <row r="24" spans="2:5" ht="10.5" customHeight="1" x14ac:dyDescent="0.2">
      <c r="B24" s="34"/>
      <c r="C24" s="107"/>
      <c r="D24" s="107"/>
      <c r="E24" s="108"/>
    </row>
    <row r="25" spans="2:5" x14ac:dyDescent="0.2">
      <c r="B25" s="33" t="s">
        <v>18</v>
      </c>
      <c r="C25" s="31"/>
      <c r="D25" s="31"/>
      <c r="E25" s="32"/>
    </row>
    <row r="26" spans="2:5" ht="8.25" customHeight="1" x14ac:dyDescent="0.2">
      <c r="B26" s="33"/>
      <c r="C26" s="107"/>
      <c r="D26" s="107"/>
      <c r="E26" s="108"/>
    </row>
    <row r="27" spans="2:5" ht="5.25" customHeight="1" thickBot="1" x14ac:dyDescent="0.25">
      <c r="B27" s="37"/>
      <c r="C27" s="38"/>
      <c r="D27" s="38"/>
      <c r="E27" s="39"/>
    </row>
    <row r="28" spans="2:5" ht="12.75" customHeight="1" x14ac:dyDescent="0.2"/>
    <row r="32" spans="2:5" ht="62.25" customHeight="1" x14ac:dyDescent="0.2"/>
    <row r="34" ht="62.25" customHeight="1" x14ac:dyDescent="0.2"/>
    <row r="36" ht="12" customHeight="1" x14ac:dyDescent="0.2"/>
    <row r="37" ht="13.5" customHeight="1" x14ac:dyDescent="0.2"/>
    <row r="38" ht="17.25" customHeight="1" x14ac:dyDescent="0.2"/>
    <row r="40" ht="15" customHeight="1" x14ac:dyDescent="0.2"/>
    <row r="41" ht="11.25" customHeight="1" x14ac:dyDescent="0.2"/>
    <row r="43" ht="12.75" customHeight="1" x14ac:dyDescent="0.2"/>
    <row r="47" ht="12.75" customHeight="1" x14ac:dyDescent="0.2"/>
    <row r="48" ht="12.75" customHeight="1" x14ac:dyDescent="0.2"/>
    <row r="49" ht="20.25" customHeight="1" x14ac:dyDescent="0.2"/>
    <row r="50" ht="12.75" customHeight="1" x14ac:dyDescent="0.2"/>
    <row r="51" ht="65.25" customHeight="1" x14ac:dyDescent="0.2"/>
    <row r="52" ht="0.75" hidden="1" customHeight="1" x14ac:dyDescent="0.2"/>
    <row r="53" ht="12.75" hidden="1" customHeight="1" x14ac:dyDescent="0.2"/>
    <row r="56" ht="12.75" customHeight="1" x14ac:dyDescent="0.2"/>
    <row r="57" ht="12.75" customHeight="1" x14ac:dyDescent="0.2"/>
    <row r="58" ht="12.75" customHeight="1" x14ac:dyDescent="0.2"/>
    <row r="62" ht="12.75" customHeight="1" x14ac:dyDescent="0.2"/>
    <row r="64" ht="55.5" customHeight="1" x14ac:dyDescent="0.2"/>
    <row r="66" ht="12.75" customHeight="1" x14ac:dyDescent="0.2"/>
    <row r="67" ht="55.5" customHeight="1" x14ac:dyDescent="0.2"/>
    <row r="71" ht="12.75" customHeight="1" x14ac:dyDescent="0.2"/>
    <row r="72" ht="14.25" customHeight="1" x14ac:dyDescent="0.2"/>
    <row r="73" ht="12.75" customHeight="1" x14ac:dyDescent="0.2"/>
    <row r="77" ht="12.75" customHeight="1" x14ac:dyDescent="0.2"/>
    <row r="79" ht="51.75" customHeight="1" x14ac:dyDescent="0.2"/>
    <row r="81" ht="12.75" customHeight="1" x14ac:dyDescent="0.2"/>
    <row r="82" ht="74.25" customHeight="1" x14ac:dyDescent="0.2"/>
    <row r="86" ht="12.75" customHeight="1" x14ac:dyDescent="0.2"/>
    <row r="88" ht="12.75" customHeight="1" x14ac:dyDescent="0.2"/>
    <row r="92" ht="12.75" customHeight="1" x14ac:dyDescent="0.2"/>
    <row r="94" ht="41.25" customHeight="1" x14ac:dyDescent="0.2"/>
    <row r="96" ht="12.75" customHeight="1" x14ac:dyDescent="0.2"/>
    <row r="97" ht="72.75" customHeight="1" x14ac:dyDescent="0.2"/>
    <row r="99" ht="14.25" customHeight="1" x14ac:dyDescent="0.2"/>
    <row r="101" ht="12.75" customHeight="1" x14ac:dyDescent="0.2"/>
    <row r="103" ht="12.75" customHeight="1" x14ac:dyDescent="0.2"/>
    <row r="106" ht="14.25" customHeight="1" x14ac:dyDescent="0.2"/>
    <row r="107" ht="12.75" customHeight="1" x14ac:dyDescent="0.2"/>
    <row r="109" ht="77.25" customHeight="1" x14ac:dyDescent="0.2"/>
    <row r="111" ht="12.75" customHeight="1" x14ac:dyDescent="0.2"/>
    <row r="112" ht="75.75" customHeight="1" x14ac:dyDescent="0.2"/>
    <row r="116" ht="12.75" customHeight="1" x14ac:dyDescent="0.2"/>
    <row r="118" ht="12.75" customHeight="1" x14ac:dyDescent="0.2"/>
    <row r="122" ht="12.75" customHeight="1" x14ac:dyDescent="0.2"/>
    <row r="124" ht="102" customHeight="1" x14ac:dyDescent="0.2"/>
    <row r="126" ht="79.5" customHeight="1" x14ac:dyDescent="0.2"/>
    <row r="128" ht="12.75" customHeight="1" x14ac:dyDescent="0.2"/>
    <row r="129" ht="22.5" customHeight="1" x14ac:dyDescent="0.2"/>
    <row r="131" ht="12.75" customHeight="1" x14ac:dyDescent="0.2"/>
    <row r="133" ht="12.75" customHeight="1" x14ac:dyDescent="0.2"/>
    <row r="135" ht="12.75" customHeight="1" x14ac:dyDescent="0.2"/>
    <row r="138" ht="12.75" customHeight="1" x14ac:dyDescent="0.2"/>
    <row r="139" ht="107.25" customHeight="1" x14ac:dyDescent="0.2"/>
    <row r="140" ht="12.75" customHeight="1" x14ac:dyDescent="0.2"/>
    <row r="141" ht="56.25" customHeight="1" x14ac:dyDescent="0.2"/>
    <row r="143" ht="12.75" customHeight="1" x14ac:dyDescent="0.2"/>
    <row r="144" ht="22.5" customHeight="1" x14ac:dyDescent="0.2"/>
    <row r="147" ht="12.75" customHeight="1" x14ac:dyDescent="0.2"/>
    <row r="148" ht="12.75" customHeight="1" x14ac:dyDescent="0.2"/>
    <row r="150" ht="12.75" customHeight="1" x14ac:dyDescent="0.2"/>
    <row r="154" ht="132" customHeight="1" x14ac:dyDescent="0.2"/>
    <row r="156" ht="54" customHeight="1" x14ac:dyDescent="0.2"/>
    <row r="158" ht="12.75" customHeight="1" x14ac:dyDescent="0.2"/>
    <row r="159" ht="16.5" customHeight="1" x14ac:dyDescent="0.2"/>
    <row r="163" ht="12.75" customHeight="1" x14ac:dyDescent="0.2"/>
    <row r="165" ht="12.75" customHeight="1" x14ac:dyDescent="0.2"/>
    <row r="169" ht="155.25" customHeight="1" x14ac:dyDescent="0.2"/>
    <row r="171" ht="54" customHeight="1" x14ac:dyDescent="0.2"/>
    <row r="173" ht="12.75" customHeight="1" x14ac:dyDescent="0.2"/>
    <row r="174" ht="19.5" customHeight="1" x14ac:dyDescent="0.2"/>
    <row r="178" ht="12.75" customHeight="1" x14ac:dyDescent="0.2"/>
    <row r="180" ht="12.75" customHeight="1" x14ac:dyDescent="0.2"/>
    <row r="186" ht="166.5" customHeight="1" x14ac:dyDescent="0.2"/>
    <row r="188" ht="12.75" customHeight="1" x14ac:dyDescent="0.2"/>
    <row r="189" ht="65.25" customHeight="1" x14ac:dyDescent="0.2"/>
    <row r="195" ht="12.75" customHeight="1" x14ac:dyDescent="0.2"/>
    <row r="201" ht="120" customHeight="1" x14ac:dyDescent="0.2"/>
    <row r="203" ht="12.75" customHeight="1" x14ac:dyDescent="0.2"/>
    <row r="204" ht="71.25" customHeight="1" x14ac:dyDescent="0.2"/>
    <row r="210" ht="12.75" customHeight="1" x14ac:dyDescent="0.2"/>
    <row r="216" ht="40.5" customHeight="1" x14ac:dyDescent="0.2"/>
    <row r="218" ht="12.75" customHeight="1" x14ac:dyDescent="0.2"/>
    <row r="219" ht="66" customHeight="1" x14ac:dyDescent="0.2"/>
    <row r="225" ht="12.75" customHeight="1" x14ac:dyDescent="0.2"/>
    <row r="231" ht="87" customHeight="1" x14ac:dyDescent="0.2"/>
    <row r="233" ht="12.75" customHeight="1" x14ac:dyDescent="0.2"/>
    <row r="234" ht="72.75" customHeight="1" x14ac:dyDescent="0.2"/>
    <row r="240" ht="12.75" customHeight="1" x14ac:dyDescent="0.2"/>
    <row r="246" ht="80.25" customHeight="1" x14ac:dyDescent="0.2"/>
    <row r="247" ht="19.5" customHeight="1" x14ac:dyDescent="0.2"/>
    <row r="248" ht="12.75" customHeight="1" x14ac:dyDescent="0.2"/>
    <row r="249" ht="60" customHeight="1" x14ac:dyDescent="0.2"/>
    <row r="250" ht="15.75" customHeight="1" x14ac:dyDescent="0.2"/>
    <row r="255" ht="12.75" customHeight="1" x14ac:dyDescent="0.2"/>
    <row r="262" ht="87.75" customHeight="1" x14ac:dyDescent="0.2"/>
    <row r="264" ht="12.75" customHeight="1" x14ac:dyDescent="0.2"/>
    <row r="265" ht="61.5" customHeight="1" x14ac:dyDescent="0.2"/>
    <row r="271" ht="12.75" customHeight="1" x14ac:dyDescent="0.2"/>
    <row r="278" ht="65.25" customHeight="1" x14ac:dyDescent="0.2"/>
    <row r="280" ht="12.75" customHeight="1" x14ac:dyDescent="0.2"/>
    <row r="281" ht="71.25" customHeight="1" x14ac:dyDescent="0.2"/>
    <row r="287" ht="12.75" customHeight="1" x14ac:dyDescent="0.2"/>
    <row r="293" ht="52.5" customHeight="1" x14ac:dyDescent="0.2"/>
    <row r="295" ht="12.75" customHeight="1" x14ac:dyDescent="0.2"/>
    <row r="296" ht="69.75" customHeight="1" x14ac:dyDescent="0.2"/>
    <row r="302" ht="12.75" customHeight="1" x14ac:dyDescent="0.2"/>
    <row r="308" ht="34.5" customHeight="1" x14ac:dyDescent="0.2"/>
    <row r="310" ht="12.75" customHeight="1" x14ac:dyDescent="0.2"/>
    <row r="311" ht="72.75" customHeight="1" x14ac:dyDescent="0.2"/>
    <row r="317" ht="12.75" customHeight="1" x14ac:dyDescent="0.2"/>
  </sheetData>
  <mergeCells count="12">
    <mergeCell ref="C17:E17"/>
    <mergeCell ref="C19:E20"/>
    <mergeCell ref="C22:E22"/>
    <mergeCell ref="C24:E24"/>
    <mergeCell ref="C26:E26"/>
    <mergeCell ref="A7:B7"/>
    <mergeCell ref="B2:H2"/>
    <mergeCell ref="A4:B4"/>
    <mergeCell ref="C4:E4"/>
    <mergeCell ref="A5:B5"/>
    <mergeCell ref="C5:E5"/>
    <mergeCell ref="A6:B6"/>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13"/>
  <sheetViews>
    <sheetView zoomScale="80" zoomScaleNormal="80" workbookViewId="0">
      <selection activeCell="C10" sqref="C10:G11"/>
    </sheetView>
  </sheetViews>
  <sheetFormatPr baseColWidth="10" defaultColWidth="9.140625" defaultRowHeight="12.75" x14ac:dyDescent="0.2"/>
  <cols>
    <col min="1" max="1" width="5.5703125" style="2" customWidth="1"/>
    <col min="2" max="2" width="21" style="2" customWidth="1"/>
    <col min="3" max="3" width="14.140625" style="2" customWidth="1"/>
    <col min="4" max="4" width="26" style="2" customWidth="1"/>
    <col min="5" max="5" width="8" style="2" customWidth="1"/>
    <col min="6" max="6" width="20.42578125" style="2" customWidth="1"/>
    <col min="7" max="7" width="10.5703125" style="2" hidden="1"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6" width="15.28515625" style="2" customWidth="1"/>
    <col min="17" max="17" width="19" style="2" customWidth="1"/>
    <col min="18" max="18" width="19.7109375" style="2" customWidth="1"/>
    <col min="19" max="19" width="18.28515625" style="2" customWidth="1"/>
    <col min="20" max="1024" width="9.140625" style="2"/>
  </cols>
  <sheetData>
    <row r="1" spans="1:19" ht="18" customHeight="1" x14ac:dyDescent="0.2">
      <c r="A1" s="121" t="s">
        <v>19</v>
      </c>
      <c r="B1" s="121"/>
      <c r="C1" s="121"/>
      <c r="D1" s="121"/>
      <c r="E1" s="121"/>
      <c r="F1" s="121"/>
      <c r="G1" s="121"/>
      <c r="H1" s="121"/>
      <c r="I1" s="121"/>
      <c r="J1" s="3" t="s">
        <v>20</v>
      </c>
      <c r="K1" s="40" t="s">
        <v>71</v>
      </c>
    </row>
    <row r="2" spans="1:19" ht="18.75" customHeight="1" thickBot="1" x14ac:dyDescent="0.25">
      <c r="A2" s="4"/>
      <c r="B2" s="4"/>
      <c r="C2" s="4"/>
      <c r="D2" s="5"/>
      <c r="E2" s="5"/>
      <c r="F2" s="5"/>
      <c r="G2" s="5"/>
      <c r="H2" s="5"/>
      <c r="I2" s="5"/>
      <c r="J2" s="5"/>
      <c r="K2" s="5"/>
    </row>
    <row r="3" spans="1:19" ht="18.75" customHeight="1" thickBot="1" x14ac:dyDescent="0.25">
      <c r="A3" s="122" t="s">
        <v>54</v>
      </c>
      <c r="B3" s="122"/>
      <c r="C3" s="122"/>
      <c r="D3" s="123" t="s">
        <v>57</v>
      </c>
      <c r="E3" s="123"/>
      <c r="F3" s="123"/>
      <c r="G3" s="123"/>
      <c r="H3" s="123"/>
      <c r="I3" s="123"/>
      <c r="J3" s="123"/>
      <c r="K3" s="123"/>
    </row>
    <row r="4" spans="1:19" ht="18.75" customHeight="1" thickBot="1" x14ac:dyDescent="0.25">
      <c r="A4" s="124" t="s">
        <v>55</v>
      </c>
      <c r="B4" s="124"/>
      <c r="C4" s="124"/>
      <c r="D4" s="123" t="s">
        <v>58</v>
      </c>
      <c r="E4" s="123"/>
      <c r="F4" s="123"/>
      <c r="G4" s="123"/>
      <c r="H4" s="123"/>
      <c r="I4" s="123"/>
      <c r="J4" s="123"/>
      <c r="K4" s="123"/>
    </row>
    <row r="5" spans="1:19" ht="18.75" customHeight="1" thickBot="1" x14ac:dyDescent="0.25">
      <c r="A5" s="124" t="s">
        <v>33</v>
      </c>
      <c r="B5" s="124"/>
      <c r="C5" s="124"/>
      <c r="D5" s="123" t="s">
        <v>78</v>
      </c>
      <c r="E5" s="123"/>
      <c r="F5" s="123"/>
      <c r="G5" s="123"/>
      <c r="H5" s="123"/>
      <c r="I5" s="123"/>
      <c r="J5" s="123"/>
      <c r="K5" s="123"/>
    </row>
    <row r="6" spans="1:19" ht="17.25" customHeight="1" thickBot="1" x14ac:dyDescent="0.25">
      <c r="A6" s="122" t="s">
        <v>56</v>
      </c>
      <c r="B6" s="122"/>
      <c r="C6" s="122"/>
      <c r="D6" s="123" t="s">
        <v>61</v>
      </c>
      <c r="E6" s="123"/>
      <c r="F6" s="123"/>
      <c r="G6" s="123"/>
      <c r="H6" s="123"/>
      <c r="I6" s="123"/>
      <c r="J6" s="123"/>
      <c r="K6" s="123"/>
    </row>
    <row r="7" spans="1:19" ht="20.25" customHeight="1" x14ac:dyDescent="0.2">
      <c r="A7" s="124" t="s">
        <v>21</v>
      </c>
      <c r="B7" s="124"/>
      <c r="C7" s="124"/>
      <c r="D7" s="123" t="s">
        <v>66</v>
      </c>
      <c r="E7" s="123"/>
      <c r="F7" s="123"/>
      <c r="G7" s="123"/>
      <c r="H7" s="123"/>
      <c r="I7" s="123"/>
      <c r="J7" s="123"/>
      <c r="K7" s="123"/>
    </row>
    <row r="8" spans="1:19" ht="40.5" customHeight="1" x14ac:dyDescent="0.2">
      <c r="A8" s="116" t="s">
        <v>22</v>
      </c>
      <c r="B8" s="116"/>
      <c r="C8" s="116"/>
      <c r="D8" s="117" t="s">
        <v>68</v>
      </c>
      <c r="E8" s="117"/>
      <c r="F8" s="117"/>
      <c r="G8" s="117"/>
      <c r="H8" s="117"/>
      <c r="I8" s="117"/>
      <c r="J8" s="117"/>
      <c r="K8" s="117"/>
    </row>
    <row r="9" spans="1:19" ht="15.75" x14ac:dyDescent="0.2">
      <c r="A9" s="6"/>
      <c r="B9" s="6"/>
      <c r="C9" s="6"/>
      <c r="D9" s="7"/>
      <c r="E9" s="7"/>
      <c r="F9" s="7"/>
      <c r="G9" s="7"/>
      <c r="H9" s="7"/>
      <c r="I9" s="7"/>
      <c r="J9" s="7"/>
      <c r="K9" s="7"/>
    </row>
    <row r="10" spans="1:19" ht="18.75" customHeight="1" x14ac:dyDescent="0.2">
      <c r="A10" s="118" t="s">
        <v>23</v>
      </c>
      <c r="B10" s="119" t="s">
        <v>24</v>
      </c>
      <c r="C10" s="119" t="s">
        <v>25</v>
      </c>
      <c r="D10" s="119"/>
      <c r="E10" s="119"/>
      <c r="F10" s="119"/>
      <c r="G10" s="119"/>
      <c r="H10" s="119" t="s">
        <v>26</v>
      </c>
      <c r="I10" s="119" t="s">
        <v>27</v>
      </c>
      <c r="J10" s="119" t="s">
        <v>28</v>
      </c>
      <c r="K10" s="120" t="s">
        <v>29</v>
      </c>
    </row>
    <row r="11" spans="1:19" ht="24" customHeight="1" thickBot="1" x14ac:dyDescent="0.25">
      <c r="A11" s="118"/>
      <c r="B11" s="119"/>
      <c r="C11" s="119"/>
      <c r="D11" s="119"/>
      <c r="E11" s="119"/>
      <c r="F11" s="119"/>
      <c r="G11" s="119"/>
      <c r="H11" s="119"/>
      <c r="I11" s="119"/>
      <c r="J11" s="119"/>
      <c r="K11" s="120"/>
    </row>
    <row r="12" spans="1:19" ht="49.5" customHeight="1" thickBot="1" x14ac:dyDescent="0.25">
      <c r="A12" s="47">
        <v>1</v>
      </c>
      <c r="B12" s="48" t="s">
        <v>81</v>
      </c>
      <c r="C12" s="113" t="s">
        <v>80</v>
      </c>
      <c r="D12" s="114" t="s">
        <v>62</v>
      </c>
      <c r="E12" s="114" t="s">
        <v>62</v>
      </c>
      <c r="F12" s="114" t="s">
        <v>62</v>
      </c>
      <c r="G12" s="115" t="s">
        <v>62</v>
      </c>
      <c r="H12" s="49" t="s">
        <v>30</v>
      </c>
      <c r="I12" s="50" t="s">
        <v>69</v>
      </c>
      <c r="J12" s="51">
        <v>109.9</v>
      </c>
      <c r="K12" s="52">
        <v>4180</v>
      </c>
      <c r="L12" s="43"/>
      <c r="Q12" s="99"/>
      <c r="R12" s="99"/>
      <c r="S12" s="98"/>
    </row>
    <row r="13" spans="1:19" ht="38.25" customHeight="1" thickBot="1" x14ac:dyDescent="0.25">
      <c r="A13" s="111" t="s">
        <v>76</v>
      </c>
      <c r="B13" s="111"/>
      <c r="C13" s="111"/>
      <c r="D13" s="111"/>
      <c r="E13" s="111"/>
      <c r="F13" s="111"/>
      <c r="G13" s="111"/>
      <c r="H13" s="111"/>
      <c r="I13" s="111"/>
      <c r="J13" s="112">
        <f>SUMPRODUCT(J12:J12,K12:K12)</f>
        <v>459382</v>
      </c>
      <c r="K13" s="112"/>
      <c r="L13" s="43"/>
    </row>
  </sheetData>
  <mergeCells count="23">
    <mergeCell ref="A1:I1"/>
    <mergeCell ref="A6:C6"/>
    <mergeCell ref="D6:K6"/>
    <mergeCell ref="A7:C7"/>
    <mergeCell ref="D7:K7"/>
    <mergeCell ref="A3:C3"/>
    <mergeCell ref="D3:K3"/>
    <mergeCell ref="A4:C4"/>
    <mergeCell ref="D4:K4"/>
    <mergeCell ref="A5:C5"/>
    <mergeCell ref="D5:K5"/>
    <mergeCell ref="A13:I13"/>
    <mergeCell ref="J13:K13"/>
    <mergeCell ref="C12:G12"/>
    <mergeCell ref="A8:C8"/>
    <mergeCell ref="D8:K8"/>
    <mergeCell ref="A10:A11"/>
    <mergeCell ref="B10:B11"/>
    <mergeCell ref="C10:G11"/>
    <mergeCell ref="H10:H11"/>
    <mergeCell ref="I10:I11"/>
    <mergeCell ref="J10:J11"/>
    <mergeCell ref="K10:K11"/>
  </mergeCells>
  <printOptions horizontalCentered="1"/>
  <pageMargins left="0.196527777777778" right="0.196527777777778" top="0.98402777777777795" bottom="0.98402777777777795" header="0.51180555555555496" footer="0.51180555555555496"/>
  <pageSetup paperSize="5" scale="68" firstPageNumber="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
  <sheetViews>
    <sheetView topLeftCell="A4" zoomScale="130" zoomScaleNormal="130" workbookViewId="0">
      <selection activeCell="A21" sqref="A21:P21"/>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 min="18" max="18" width="14.42578125" bestFit="1" customWidth="1"/>
    <col min="19" max="19" width="15.140625" customWidth="1"/>
  </cols>
  <sheetData>
    <row r="1" spans="1:19" ht="15.75" customHeight="1" x14ac:dyDescent="0.25">
      <c r="A1" s="152" t="s">
        <v>3</v>
      </c>
      <c r="B1" s="152"/>
      <c r="C1" s="152"/>
      <c r="D1" s="153">
        <v>2021</v>
      </c>
      <c r="E1" s="153"/>
      <c r="F1" s="9"/>
      <c r="G1" s="9"/>
      <c r="H1" s="10"/>
      <c r="I1" s="10"/>
      <c r="J1" s="10"/>
      <c r="K1" s="10"/>
      <c r="L1" s="10"/>
      <c r="M1" s="10"/>
      <c r="N1" s="10"/>
      <c r="P1" s="154" t="s">
        <v>31</v>
      </c>
      <c r="Q1" s="154"/>
    </row>
    <row r="2" spans="1:19" ht="15.75" customHeight="1" x14ac:dyDescent="0.2">
      <c r="H2" s="10"/>
      <c r="I2" s="10"/>
      <c r="J2" s="10"/>
      <c r="K2" s="10"/>
      <c r="L2" s="10"/>
      <c r="M2" s="10"/>
      <c r="N2" s="10"/>
      <c r="P2" s="154"/>
      <c r="Q2" s="154"/>
    </row>
    <row r="4" spans="1:19" s="11" customFormat="1" ht="18" customHeight="1" thickBot="1" x14ac:dyDescent="0.25">
      <c r="A4" s="155" t="s">
        <v>32</v>
      </c>
      <c r="B4" s="155"/>
      <c r="C4" s="155"/>
      <c r="D4" s="155"/>
      <c r="E4" s="155"/>
      <c r="F4" s="155"/>
      <c r="G4" s="149" t="str">
        <f>' NotaPedido'!D3</f>
        <v>70 - MINISTERIO DE CIENCIA E INNOVACION TECNOLOGICA</v>
      </c>
      <c r="H4" s="149"/>
      <c r="I4" s="149"/>
      <c r="J4" s="149"/>
      <c r="K4" s="149"/>
      <c r="L4" s="149"/>
      <c r="M4" s="149"/>
      <c r="N4" s="149"/>
      <c r="O4" s="149"/>
      <c r="P4" s="149"/>
      <c r="Q4" s="149"/>
    </row>
    <row r="5" spans="1:19" s="11" customFormat="1" ht="18" customHeight="1" thickBot="1" x14ac:dyDescent="0.25">
      <c r="A5" s="146" t="s">
        <v>55</v>
      </c>
      <c r="B5" s="147"/>
      <c r="C5" s="147"/>
      <c r="D5" s="147"/>
      <c r="E5" s="147"/>
      <c r="F5" s="148"/>
      <c r="G5" s="149" t="str">
        <f>' NotaPedido'!D4</f>
        <v>20 - MINISTERIO DE CIENCIA E INNOVACION TECNOLOGICA</v>
      </c>
      <c r="H5" s="149"/>
      <c r="I5" s="149"/>
      <c r="J5" s="149"/>
      <c r="K5" s="149"/>
      <c r="L5" s="149"/>
      <c r="M5" s="149"/>
      <c r="N5" s="149"/>
      <c r="O5" s="149"/>
      <c r="P5" s="149"/>
      <c r="Q5" s="149"/>
    </row>
    <row r="6" spans="1:19" s="11" customFormat="1" ht="18" customHeight="1" thickBot="1" x14ac:dyDescent="0.25">
      <c r="A6" s="146" t="s">
        <v>33</v>
      </c>
      <c r="B6" s="147"/>
      <c r="C6" s="147"/>
      <c r="D6" s="147"/>
      <c r="E6" s="147"/>
      <c r="F6" s="148"/>
      <c r="G6" s="149" t="str">
        <f>' NotaPedido'!D5</f>
        <v>SECRETARIA DE INNOVACION TECNOLOGICA</v>
      </c>
      <c r="H6" s="149"/>
      <c r="I6" s="149"/>
      <c r="J6" s="149"/>
      <c r="K6" s="149"/>
      <c r="L6" s="149"/>
      <c r="M6" s="149"/>
      <c r="N6" s="149"/>
      <c r="O6" s="149"/>
      <c r="P6" s="149"/>
      <c r="Q6" s="149"/>
    </row>
    <row r="7" spans="1:19" s="11" customFormat="1" ht="18" customHeight="1" thickBot="1" x14ac:dyDescent="0.25">
      <c r="A7" s="146" t="s">
        <v>56</v>
      </c>
      <c r="B7" s="147"/>
      <c r="C7" s="147"/>
      <c r="D7" s="147"/>
      <c r="E7" s="147"/>
      <c r="F7" s="148"/>
      <c r="G7" s="151" t="str">
        <f>' NotaPedido'!D6</f>
        <v>DIRECCION PROVINCIAL DE GESTION ADMINISTRATIVA RECURSOS HUMANOS</v>
      </c>
      <c r="H7" s="151"/>
      <c r="I7" s="151"/>
      <c r="J7" s="151"/>
      <c r="K7" s="151"/>
      <c r="L7" s="151"/>
      <c r="M7" s="151"/>
      <c r="N7" s="151"/>
      <c r="O7" s="151"/>
      <c r="P7" s="151"/>
      <c r="Q7" s="151"/>
    </row>
    <row r="8" spans="1:19" ht="18" customHeight="1" thickBot="1" x14ac:dyDescent="0.25">
      <c r="A8" s="150" t="s">
        <v>34</v>
      </c>
      <c r="B8" s="150"/>
      <c r="C8" s="150"/>
      <c r="D8" s="150"/>
      <c r="E8" s="150"/>
      <c r="F8" s="150"/>
      <c r="G8" s="150"/>
      <c r="H8" s="150"/>
      <c r="I8" s="150"/>
      <c r="J8" s="150"/>
      <c r="K8" s="150"/>
      <c r="L8" s="150"/>
      <c r="M8" s="150"/>
      <c r="N8" s="150"/>
      <c r="O8" s="150"/>
      <c r="P8" s="150"/>
      <c r="Q8" s="150"/>
    </row>
    <row r="9" spans="1:19" ht="18" customHeight="1" x14ac:dyDescent="0.2">
      <c r="A9" s="140" t="s">
        <v>35</v>
      </c>
      <c r="B9" s="140"/>
      <c r="C9" s="140"/>
      <c r="D9" s="140"/>
      <c r="E9" s="140"/>
      <c r="F9" s="140"/>
      <c r="G9" s="140"/>
      <c r="H9" s="140"/>
      <c r="I9" s="140"/>
      <c r="J9" s="140"/>
      <c r="K9" s="140"/>
      <c r="L9" s="140"/>
      <c r="M9" s="140"/>
      <c r="N9" s="140"/>
      <c r="O9" s="1"/>
      <c r="P9" s="1"/>
      <c r="Q9" s="12"/>
    </row>
    <row r="10" spans="1:19" ht="54.75" customHeight="1" x14ac:dyDescent="0.2">
      <c r="A10" s="141"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043/2021,  afectando la erogación resultante a los créditos presupuestarios aprobados a favor de esta Unidad Ejecutora, conforme al siguiente detalle:</v>
      </c>
      <c r="B10" s="141"/>
      <c r="C10" s="141"/>
      <c r="D10" s="141"/>
      <c r="E10" s="141"/>
      <c r="F10" s="141"/>
      <c r="G10" s="141"/>
      <c r="H10" s="141"/>
      <c r="I10" s="141"/>
      <c r="J10" s="141"/>
      <c r="K10" s="141"/>
      <c r="L10" s="141"/>
      <c r="M10" s="141"/>
      <c r="N10" s="141"/>
      <c r="O10" s="141"/>
      <c r="P10" s="141"/>
      <c r="Q10" s="141"/>
    </row>
    <row r="11" spans="1:19" ht="9" customHeight="1" x14ac:dyDescent="0.2">
      <c r="A11" s="13"/>
      <c r="B11" s="14"/>
      <c r="C11" s="14"/>
      <c r="D11" s="14"/>
      <c r="E11" s="14"/>
      <c r="F11" s="14"/>
      <c r="G11" s="15"/>
      <c r="H11" s="14"/>
      <c r="I11" s="14"/>
      <c r="J11" s="14"/>
      <c r="K11" s="14"/>
      <c r="L11" s="14"/>
      <c r="M11" s="14"/>
      <c r="N11" s="14"/>
      <c r="O11" s="14"/>
      <c r="P11" s="14"/>
      <c r="Q11" s="16"/>
    </row>
    <row r="12" spans="1:19" ht="15.75" customHeight="1" x14ac:dyDescent="0.2">
      <c r="A12" s="142" t="s">
        <v>36</v>
      </c>
      <c r="B12" s="142"/>
      <c r="C12" s="142"/>
      <c r="D12" s="142"/>
      <c r="E12" s="142"/>
      <c r="F12" s="142"/>
      <c r="G12" s="142"/>
      <c r="H12" s="142"/>
      <c r="I12" s="142"/>
      <c r="J12" s="142"/>
      <c r="K12" s="142"/>
      <c r="L12" s="142"/>
      <c r="M12" s="142"/>
      <c r="N12" s="142"/>
      <c r="O12" s="142"/>
      <c r="P12" s="142"/>
      <c r="Q12" s="142"/>
    </row>
    <row r="13" spans="1:19" ht="15.75" customHeight="1" x14ac:dyDescent="0.2">
      <c r="A13" s="143" t="s">
        <v>37</v>
      </c>
      <c r="B13" s="143"/>
      <c r="C13" s="143"/>
      <c r="D13" s="143"/>
      <c r="E13" s="143"/>
      <c r="F13" s="143"/>
      <c r="G13" s="143"/>
      <c r="H13" s="143"/>
      <c r="I13" s="143"/>
      <c r="J13" s="143"/>
      <c r="K13" s="143"/>
      <c r="L13" s="143"/>
      <c r="M13" s="143"/>
      <c r="N13" s="143"/>
      <c r="O13" s="144" t="s">
        <v>38</v>
      </c>
      <c r="P13" s="144"/>
      <c r="Q13" s="145" t="s">
        <v>39</v>
      </c>
    </row>
    <row r="14" spans="1:19" ht="15.75" customHeight="1" thickBot="1" x14ac:dyDescent="0.25">
      <c r="A14" s="17" t="s">
        <v>40</v>
      </c>
      <c r="B14" s="18" t="s">
        <v>41</v>
      </c>
      <c r="C14" s="18" t="s">
        <v>42</v>
      </c>
      <c r="D14" s="18" t="s">
        <v>43</v>
      </c>
      <c r="E14" s="18" t="s">
        <v>44</v>
      </c>
      <c r="F14" s="18" t="s">
        <v>45</v>
      </c>
      <c r="G14" s="19" t="s">
        <v>46</v>
      </c>
      <c r="H14" s="18" t="s">
        <v>47</v>
      </c>
      <c r="I14" s="18" t="s">
        <v>48</v>
      </c>
      <c r="J14" s="18" t="s">
        <v>49</v>
      </c>
      <c r="K14" s="18" t="s">
        <v>49</v>
      </c>
      <c r="L14" s="18" t="s">
        <v>50</v>
      </c>
      <c r="M14" s="20" t="s">
        <v>51</v>
      </c>
      <c r="N14" s="21" t="s">
        <v>52</v>
      </c>
      <c r="O14" s="144"/>
      <c r="P14" s="144"/>
      <c r="Q14" s="145"/>
      <c r="R14" s="96"/>
      <c r="S14" s="96"/>
    </row>
    <row r="15" spans="1:19" ht="27.75" customHeight="1" x14ac:dyDescent="0.2">
      <c r="A15" s="41">
        <v>3</v>
      </c>
      <c r="B15" s="41">
        <v>0</v>
      </c>
      <c r="C15" s="41">
        <v>0</v>
      </c>
      <c r="D15" s="41">
        <v>1</v>
      </c>
      <c r="E15" s="41">
        <v>0</v>
      </c>
      <c r="F15" s="41">
        <v>4901</v>
      </c>
      <c r="G15" s="41">
        <v>3</v>
      </c>
      <c r="H15" s="41">
        <v>5</v>
      </c>
      <c r="I15" s="22">
        <v>2</v>
      </c>
      <c r="J15" s="22">
        <v>5</v>
      </c>
      <c r="K15" s="22">
        <v>6</v>
      </c>
      <c r="L15" s="41">
        <v>0</v>
      </c>
      <c r="M15" s="41">
        <v>1</v>
      </c>
      <c r="N15" s="41" t="s">
        <v>59</v>
      </c>
      <c r="O15" s="135" t="s">
        <v>67</v>
      </c>
      <c r="P15" s="136"/>
      <c r="Q15" s="53">
        <v>459382</v>
      </c>
      <c r="R15" s="100"/>
      <c r="S15" s="97"/>
    </row>
    <row r="16" spans="1:19" ht="28.5" customHeight="1" x14ac:dyDescent="0.2">
      <c r="A16" s="45"/>
      <c r="B16" s="45"/>
      <c r="C16" s="45"/>
      <c r="D16" s="45"/>
      <c r="E16" s="45"/>
      <c r="F16" s="45"/>
      <c r="G16" s="45"/>
      <c r="H16" s="45"/>
      <c r="I16" s="23"/>
      <c r="J16" s="23"/>
      <c r="K16" s="23"/>
      <c r="L16" s="45"/>
      <c r="M16" s="45"/>
      <c r="N16" s="45"/>
      <c r="O16" s="137"/>
      <c r="P16" s="138"/>
      <c r="Q16" s="54"/>
      <c r="R16" s="100"/>
      <c r="S16" s="97"/>
    </row>
    <row r="17" spans="1:19" ht="31.5" customHeight="1" x14ac:dyDescent="0.2">
      <c r="A17" s="45"/>
      <c r="B17" s="45"/>
      <c r="C17" s="45"/>
      <c r="D17" s="45"/>
      <c r="E17" s="45"/>
      <c r="F17" s="45"/>
      <c r="G17" s="45"/>
      <c r="H17" s="45"/>
      <c r="I17" s="23"/>
      <c r="J17" s="23"/>
      <c r="K17" s="23"/>
      <c r="L17" s="45"/>
      <c r="M17" s="45"/>
      <c r="N17" s="45"/>
      <c r="O17" s="139"/>
      <c r="P17" s="131"/>
      <c r="Q17" s="54"/>
      <c r="R17" s="94"/>
      <c r="S17" s="93"/>
    </row>
    <row r="18" spans="1:19" ht="17.25" customHeight="1" x14ac:dyDescent="0.2">
      <c r="A18" s="23"/>
      <c r="B18" s="23"/>
      <c r="C18" s="23"/>
      <c r="D18" s="23"/>
      <c r="E18" s="23"/>
      <c r="F18" s="23"/>
      <c r="G18" s="23"/>
      <c r="H18" s="23"/>
      <c r="I18" s="23"/>
      <c r="J18" s="23"/>
      <c r="K18" s="23"/>
      <c r="L18" s="23"/>
      <c r="M18" s="23"/>
      <c r="N18" s="23"/>
      <c r="O18" s="131"/>
      <c r="P18" s="131"/>
      <c r="Q18" s="46"/>
      <c r="R18" s="94"/>
    </row>
    <row r="19" spans="1:19" ht="8.25" customHeight="1" x14ac:dyDescent="0.2">
      <c r="A19" s="25"/>
      <c r="B19" s="25"/>
      <c r="C19" s="25"/>
      <c r="D19" s="25"/>
      <c r="E19" s="25"/>
      <c r="F19" s="24"/>
      <c r="G19" s="25"/>
      <c r="H19" s="25"/>
      <c r="I19" s="25"/>
      <c r="J19" s="25"/>
      <c r="K19" s="25"/>
      <c r="L19" s="25"/>
      <c r="M19" s="25"/>
      <c r="N19" s="25"/>
      <c r="O19" s="132"/>
      <c r="P19" s="132"/>
      <c r="Q19" s="46"/>
      <c r="R19" s="95"/>
    </row>
    <row r="20" spans="1:19" ht="17.25" customHeight="1" x14ac:dyDescent="0.2">
      <c r="A20" s="24"/>
      <c r="B20" s="24"/>
      <c r="C20" s="24"/>
      <c r="D20" s="24"/>
      <c r="E20" s="24"/>
      <c r="F20" s="24"/>
      <c r="G20" s="24"/>
      <c r="H20" s="24"/>
      <c r="I20" s="24"/>
      <c r="J20" s="24"/>
      <c r="K20" s="24"/>
      <c r="L20" s="24"/>
      <c r="M20" s="24"/>
      <c r="N20" s="24"/>
      <c r="O20" s="132"/>
      <c r="P20" s="132"/>
      <c r="Q20" s="46"/>
      <c r="R20" s="94"/>
    </row>
    <row r="21" spans="1:19" ht="32.25" customHeight="1" thickBot="1" x14ac:dyDescent="0.25">
      <c r="A21" s="133" t="s">
        <v>75</v>
      </c>
      <c r="B21" s="133"/>
      <c r="C21" s="133"/>
      <c r="D21" s="133"/>
      <c r="E21" s="133"/>
      <c r="F21" s="133"/>
      <c r="G21" s="133"/>
      <c r="H21" s="133"/>
      <c r="I21" s="133"/>
      <c r="J21" s="133"/>
      <c r="K21" s="133"/>
      <c r="L21" s="133"/>
      <c r="M21" s="133"/>
      <c r="N21" s="133"/>
      <c r="O21" s="133"/>
      <c r="P21" s="133"/>
      <c r="Q21" s="44">
        <f>SUM(Q15:Q20)</f>
        <v>459382</v>
      </c>
      <c r="R21" s="94"/>
      <c r="S21" s="93"/>
    </row>
    <row r="22" spans="1:19" ht="18" customHeight="1" thickBot="1" x14ac:dyDescent="0.25">
      <c r="A22" s="134"/>
      <c r="B22" s="134"/>
      <c r="C22" s="134"/>
      <c r="D22" s="134"/>
      <c r="E22" s="134"/>
      <c r="F22" s="134"/>
      <c r="G22" s="134"/>
      <c r="H22" s="134"/>
      <c r="I22" s="134"/>
      <c r="J22" s="134"/>
      <c r="K22" s="134"/>
      <c r="L22" s="134"/>
      <c r="M22" s="134"/>
      <c r="N22" s="134"/>
      <c r="O22" s="134"/>
      <c r="P22" s="134"/>
      <c r="Q22" s="134"/>
    </row>
    <row r="23" spans="1:19" ht="17.25" customHeight="1" thickBot="1" x14ac:dyDescent="0.25">
      <c r="A23" s="125" t="s">
        <v>53</v>
      </c>
      <c r="B23" s="126"/>
      <c r="C23" s="126"/>
      <c r="D23" s="126"/>
      <c r="E23" s="126"/>
      <c r="F23" s="127"/>
      <c r="G23" s="128"/>
      <c r="H23" s="128"/>
      <c r="I23" s="128"/>
      <c r="J23" s="128"/>
      <c r="K23" s="128"/>
      <c r="L23" s="128"/>
      <c r="M23" s="128"/>
      <c r="N23" s="128"/>
      <c r="O23" s="128"/>
      <c r="P23" s="128"/>
      <c r="Q23" s="128"/>
    </row>
    <row r="24" spans="1:19" ht="18" customHeight="1" thickBot="1" x14ac:dyDescent="0.25">
      <c r="A24" s="129" t="s">
        <v>68</v>
      </c>
      <c r="B24" s="130"/>
      <c r="C24" s="130"/>
      <c r="D24" s="130"/>
      <c r="E24" s="130"/>
      <c r="F24" s="130"/>
      <c r="G24" s="130"/>
      <c r="H24" s="130"/>
      <c r="I24" s="130"/>
      <c r="J24" s="130"/>
      <c r="K24" s="130"/>
      <c r="L24" s="130"/>
      <c r="M24" s="130"/>
      <c r="N24" s="130"/>
      <c r="O24" s="130"/>
      <c r="P24" s="130"/>
      <c r="Q24" s="130"/>
    </row>
    <row r="25" spans="1:19" ht="21.75" customHeight="1" x14ac:dyDescent="0.2">
      <c r="A25" s="130"/>
      <c r="B25" s="130"/>
      <c r="C25" s="130"/>
      <c r="D25" s="130"/>
      <c r="E25" s="130"/>
      <c r="F25" s="130"/>
      <c r="G25" s="130"/>
      <c r="H25" s="130"/>
      <c r="I25" s="130"/>
      <c r="J25" s="130"/>
      <c r="K25" s="130"/>
      <c r="L25" s="130"/>
      <c r="M25" s="130"/>
      <c r="N25" s="130"/>
      <c r="O25" s="130"/>
      <c r="P25" s="130"/>
      <c r="Q25" s="130"/>
    </row>
    <row r="28" spans="1:19" x14ac:dyDescent="0.2">
      <c r="A28" s="42"/>
    </row>
  </sheetData>
  <mergeCells count="29">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A9:N9"/>
    <mergeCell ref="A10:Q10"/>
    <mergeCell ref="A12:Q12"/>
    <mergeCell ref="A13:N13"/>
    <mergeCell ref="O13:P14"/>
    <mergeCell ref="Q13:Q14"/>
    <mergeCell ref="A23:F23"/>
    <mergeCell ref="G23:Q23"/>
    <mergeCell ref="A24:Q25"/>
    <mergeCell ref="O18:P18"/>
    <mergeCell ref="O19:P19"/>
    <mergeCell ref="O20:P20"/>
    <mergeCell ref="A21:P21"/>
    <mergeCell ref="A22:Q22"/>
  </mergeCells>
  <printOptions horizontalCentered="1"/>
  <pageMargins left="0.39374999999999999" right="0.39374999999999999" top="0.98402777777777795" bottom="0.98402777777777795" header="0.51180555555555496" footer="0.51180555555555496"/>
  <pageSetup paperSize="5" scale="73" firstPageNumber="0"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C12" sqref="C12:G12"/>
    </sheetView>
  </sheetViews>
  <sheetFormatPr baseColWidth="10" defaultRowHeight="12.75" x14ac:dyDescent="0.2"/>
  <cols>
    <col min="2" max="2" width="14.42578125" customWidth="1"/>
    <col min="7" max="7" width="14.28515625" customWidth="1"/>
    <col min="10" max="10" width="14.42578125" customWidth="1"/>
    <col min="11" max="11" width="12.85546875" customWidth="1"/>
    <col min="12" max="12" width="4.7109375" customWidth="1"/>
  </cols>
  <sheetData>
    <row r="1" spans="1:11" ht="16.5" thickBot="1" x14ac:dyDescent="0.25">
      <c r="A1" s="121" t="s">
        <v>19</v>
      </c>
      <c r="B1" s="121"/>
      <c r="C1" s="121"/>
      <c r="D1" s="121"/>
      <c r="E1" s="121"/>
      <c r="F1" s="121"/>
      <c r="G1" s="121"/>
      <c r="H1" s="121"/>
      <c r="I1" s="121"/>
      <c r="J1" s="3" t="s">
        <v>20</v>
      </c>
      <c r="K1" s="87" t="s">
        <v>72</v>
      </c>
    </row>
    <row r="2" spans="1:11" ht="16.5" thickBot="1" x14ac:dyDescent="0.25">
      <c r="A2" s="4"/>
      <c r="B2" s="4"/>
      <c r="C2" s="4"/>
      <c r="D2" s="5"/>
      <c r="E2" s="5"/>
      <c r="F2" s="5"/>
      <c r="G2" s="5"/>
      <c r="H2" s="5"/>
      <c r="I2" s="5"/>
      <c r="J2" s="5"/>
      <c r="K2" s="5"/>
    </row>
    <row r="3" spans="1:11" ht="16.5" thickBot="1" x14ac:dyDescent="0.25">
      <c r="A3" s="122" t="s">
        <v>54</v>
      </c>
      <c r="B3" s="122"/>
      <c r="C3" s="122"/>
      <c r="D3" s="123" t="s">
        <v>57</v>
      </c>
      <c r="E3" s="123"/>
      <c r="F3" s="123"/>
      <c r="G3" s="123"/>
      <c r="H3" s="123"/>
      <c r="I3" s="123"/>
      <c r="J3" s="123"/>
      <c r="K3" s="123"/>
    </row>
    <row r="4" spans="1:11" ht="16.5" thickBot="1" x14ac:dyDescent="0.25">
      <c r="A4" s="124" t="s">
        <v>55</v>
      </c>
      <c r="B4" s="124"/>
      <c r="C4" s="124"/>
      <c r="D4" s="123" t="s">
        <v>58</v>
      </c>
      <c r="E4" s="123"/>
      <c r="F4" s="123"/>
      <c r="G4" s="123"/>
      <c r="H4" s="123"/>
      <c r="I4" s="123"/>
      <c r="J4" s="123"/>
      <c r="K4" s="123"/>
    </row>
    <row r="5" spans="1:11" ht="16.5" thickBot="1" x14ac:dyDescent="0.25">
      <c r="A5" s="124" t="s">
        <v>33</v>
      </c>
      <c r="B5" s="124"/>
      <c r="C5" s="124"/>
      <c r="D5" s="123" t="s">
        <v>79</v>
      </c>
      <c r="E5" s="123"/>
      <c r="F5" s="123"/>
      <c r="G5" s="123"/>
      <c r="H5" s="123"/>
      <c r="I5" s="123"/>
      <c r="J5" s="123"/>
      <c r="K5" s="123"/>
    </row>
    <row r="6" spans="1:11" ht="16.5" thickBot="1" x14ac:dyDescent="0.25">
      <c r="A6" s="122" t="s">
        <v>56</v>
      </c>
      <c r="B6" s="122"/>
      <c r="C6" s="122"/>
      <c r="D6" s="123" t="s">
        <v>61</v>
      </c>
      <c r="E6" s="123"/>
      <c r="F6" s="123"/>
      <c r="G6" s="123"/>
      <c r="H6" s="123"/>
      <c r="I6" s="123"/>
      <c r="J6" s="123"/>
      <c r="K6" s="123"/>
    </row>
    <row r="7" spans="1:11" ht="16.5" thickBot="1" x14ac:dyDescent="0.25">
      <c r="A7" s="124" t="s">
        <v>21</v>
      </c>
      <c r="B7" s="124"/>
      <c r="C7" s="124"/>
      <c r="D7" s="123" t="s">
        <v>66</v>
      </c>
      <c r="E7" s="123"/>
      <c r="F7" s="123"/>
      <c r="G7" s="123"/>
      <c r="H7" s="123"/>
      <c r="I7" s="123"/>
      <c r="J7" s="123"/>
      <c r="K7" s="123"/>
    </row>
    <row r="8" spans="1:11" ht="35.25" customHeight="1" thickBot="1" x14ac:dyDescent="0.25">
      <c r="A8" s="116" t="s">
        <v>22</v>
      </c>
      <c r="B8" s="116"/>
      <c r="C8" s="116"/>
      <c r="D8" s="117" t="s">
        <v>68</v>
      </c>
      <c r="E8" s="117"/>
      <c r="F8" s="117"/>
      <c r="G8" s="117"/>
      <c r="H8" s="117"/>
      <c r="I8" s="117"/>
      <c r="J8" s="117"/>
      <c r="K8" s="117"/>
    </row>
    <row r="9" spans="1:11" ht="16.5" thickBot="1" x14ac:dyDescent="0.25">
      <c r="A9" s="6"/>
      <c r="B9" s="6"/>
      <c r="C9" s="6"/>
      <c r="D9" s="7"/>
      <c r="E9" s="7"/>
      <c r="F9" s="7"/>
      <c r="G9" s="7"/>
      <c r="H9" s="7"/>
      <c r="I9" s="7"/>
      <c r="J9" s="7"/>
      <c r="K9" s="7"/>
    </row>
    <row r="10" spans="1:11" ht="13.5" thickBot="1" x14ac:dyDescent="0.25">
      <c r="A10" s="118" t="s">
        <v>23</v>
      </c>
      <c r="B10" s="119" t="s">
        <v>24</v>
      </c>
      <c r="C10" s="119" t="s">
        <v>25</v>
      </c>
      <c r="D10" s="119"/>
      <c r="E10" s="119"/>
      <c r="F10" s="119"/>
      <c r="G10" s="119"/>
      <c r="H10" s="119" t="s">
        <v>26</v>
      </c>
      <c r="I10" s="119" t="s">
        <v>27</v>
      </c>
      <c r="J10" s="119" t="s">
        <v>28</v>
      </c>
      <c r="K10" s="120" t="s">
        <v>29</v>
      </c>
    </row>
    <row r="11" spans="1:11" ht="13.5" thickBot="1" x14ac:dyDescent="0.25">
      <c r="A11" s="118"/>
      <c r="B11" s="119"/>
      <c r="C11" s="119"/>
      <c r="D11" s="119"/>
      <c r="E11" s="119"/>
      <c r="F11" s="119"/>
      <c r="G11" s="119"/>
      <c r="H11" s="119"/>
      <c r="I11" s="119"/>
      <c r="J11" s="119"/>
      <c r="K11" s="120"/>
    </row>
    <row r="12" spans="1:11" ht="51" customHeight="1" thickBot="1" x14ac:dyDescent="0.25">
      <c r="A12" s="47">
        <v>1</v>
      </c>
      <c r="B12" s="48" t="s">
        <v>81</v>
      </c>
      <c r="C12" s="113" t="s">
        <v>80</v>
      </c>
      <c r="D12" s="114" t="s">
        <v>63</v>
      </c>
      <c r="E12" s="114" t="s">
        <v>63</v>
      </c>
      <c r="F12" s="114" t="s">
        <v>63</v>
      </c>
      <c r="G12" s="115" t="s">
        <v>63</v>
      </c>
      <c r="H12" s="49" t="s">
        <v>30</v>
      </c>
      <c r="I12" s="50" t="s">
        <v>69</v>
      </c>
      <c r="J12" s="51">
        <v>109.9</v>
      </c>
      <c r="K12" s="52">
        <v>2320</v>
      </c>
    </row>
    <row r="13" spans="1:11" ht="30" customHeight="1" thickBot="1" x14ac:dyDescent="0.25">
      <c r="A13" s="111" t="s">
        <v>77</v>
      </c>
      <c r="B13" s="111"/>
      <c r="C13" s="111"/>
      <c r="D13" s="111"/>
      <c r="E13" s="111"/>
      <c r="F13" s="111"/>
      <c r="G13" s="111"/>
      <c r="H13" s="111"/>
      <c r="I13" s="111"/>
      <c r="J13" s="112">
        <f>SUMPRODUCT(J12:J12,K12:K12)</f>
        <v>254968</v>
      </c>
      <c r="K13" s="112"/>
    </row>
  </sheetData>
  <mergeCells count="23">
    <mergeCell ref="A5:C5"/>
    <mergeCell ref="D5:K5"/>
    <mergeCell ref="A1:I1"/>
    <mergeCell ref="A3:C3"/>
    <mergeCell ref="D3:K3"/>
    <mergeCell ref="A4:C4"/>
    <mergeCell ref="D4:K4"/>
    <mergeCell ref="A6:C6"/>
    <mergeCell ref="D6:K6"/>
    <mergeCell ref="A7:C7"/>
    <mergeCell ref="D7:K7"/>
    <mergeCell ref="A8:C8"/>
    <mergeCell ref="D8:K8"/>
    <mergeCell ref="A13:I13"/>
    <mergeCell ref="J13:K13"/>
    <mergeCell ref="K10:K11"/>
    <mergeCell ref="C12:G12"/>
    <mergeCell ref="I10:I11"/>
    <mergeCell ref="J10:J11"/>
    <mergeCell ref="A10:A11"/>
    <mergeCell ref="B10:B11"/>
    <mergeCell ref="C10:G11"/>
    <mergeCell ref="H10:H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
  <sheetViews>
    <sheetView topLeftCell="A10" zoomScale="130" zoomScaleNormal="130" workbookViewId="0">
      <selection activeCell="A10" sqref="A10:Q10"/>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 min="18" max="18" width="14.42578125" bestFit="1" customWidth="1"/>
    <col min="19" max="19" width="15" customWidth="1"/>
  </cols>
  <sheetData>
    <row r="1" spans="1:19" ht="15.75" customHeight="1" thickBot="1" x14ac:dyDescent="0.3">
      <c r="A1" s="152" t="s">
        <v>3</v>
      </c>
      <c r="B1" s="152"/>
      <c r="C1" s="152"/>
      <c r="D1" s="153">
        <v>2021</v>
      </c>
      <c r="E1" s="153"/>
      <c r="F1" s="9"/>
      <c r="G1" s="9"/>
      <c r="H1" s="10"/>
      <c r="I1" s="10"/>
      <c r="J1" s="10"/>
      <c r="K1" s="10"/>
      <c r="L1" s="10"/>
      <c r="M1" s="10"/>
      <c r="N1" s="10"/>
      <c r="P1" s="154" t="s">
        <v>31</v>
      </c>
      <c r="Q1" s="154"/>
    </row>
    <row r="2" spans="1:19" ht="15.75" customHeight="1" thickBot="1" x14ac:dyDescent="0.25">
      <c r="H2" s="10"/>
      <c r="I2" s="10"/>
      <c r="J2" s="10"/>
      <c r="K2" s="10"/>
      <c r="L2" s="10"/>
      <c r="M2" s="10"/>
      <c r="N2" s="10"/>
      <c r="P2" s="154"/>
      <c r="Q2" s="154"/>
    </row>
    <row r="4" spans="1:19" s="11" customFormat="1" ht="18" customHeight="1" thickBot="1" x14ac:dyDescent="0.25">
      <c r="A4" s="155" t="s">
        <v>32</v>
      </c>
      <c r="B4" s="155"/>
      <c r="C4" s="155"/>
      <c r="D4" s="155"/>
      <c r="E4" s="155"/>
      <c r="F4" s="155"/>
      <c r="G4" s="149" t="str">
        <f>' NotaPedido'!D3</f>
        <v>70 - MINISTERIO DE CIENCIA E INNOVACION TECNOLOGICA</v>
      </c>
      <c r="H4" s="149"/>
      <c r="I4" s="149"/>
      <c r="J4" s="149"/>
      <c r="K4" s="149"/>
      <c r="L4" s="149"/>
      <c r="M4" s="149"/>
      <c r="N4" s="149"/>
      <c r="O4" s="149"/>
      <c r="P4" s="149"/>
      <c r="Q4" s="149"/>
    </row>
    <row r="5" spans="1:19" s="11" customFormat="1" ht="18" customHeight="1" thickBot="1" x14ac:dyDescent="0.25">
      <c r="A5" s="146" t="s">
        <v>55</v>
      </c>
      <c r="B5" s="147"/>
      <c r="C5" s="147"/>
      <c r="D5" s="147"/>
      <c r="E5" s="147"/>
      <c r="F5" s="148"/>
      <c r="G5" s="149" t="str">
        <f>' NotaPedido'!D4</f>
        <v>20 - MINISTERIO DE CIENCIA E INNOVACION TECNOLOGICA</v>
      </c>
      <c r="H5" s="149"/>
      <c r="I5" s="149"/>
      <c r="J5" s="149"/>
      <c r="K5" s="149"/>
      <c r="L5" s="149"/>
      <c r="M5" s="149"/>
      <c r="N5" s="149"/>
      <c r="O5" s="149"/>
      <c r="P5" s="149"/>
      <c r="Q5" s="149"/>
    </row>
    <row r="6" spans="1:19" s="11" customFormat="1" ht="18" customHeight="1" thickBot="1" x14ac:dyDescent="0.25">
      <c r="A6" s="146" t="s">
        <v>33</v>
      </c>
      <c r="B6" s="147"/>
      <c r="C6" s="147"/>
      <c r="D6" s="147"/>
      <c r="E6" s="147"/>
      <c r="F6" s="148"/>
      <c r="G6" s="149" t="s">
        <v>79</v>
      </c>
      <c r="H6" s="149"/>
      <c r="I6" s="149"/>
      <c r="J6" s="149"/>
      <c r="K6" s="149"/>
      <c r="L6" s="149"/>
      <c r="M6" s="149"/>
      <c r="N6" s="149"/>
      <c r="O6" s="149"/>
      <c r="P6" s="149"/>
      <c r="Q6" s="149"/>
    </row>
    <row r="7" spans="1:19" s="11" customFormat="1" ht="18" customHeight="1" thickBot="1" x14ac:dyDescent="0.25">
      <c r="A7" s="146" t="s">
        <v>56</v>
      </c>
      <c r="B7" s="147"/>
      <c r="C7" s="147"/>
      <c r="D7" s="147"/>
      <c r="E7" s="147"/>
      <c r="F7" s="148"/>
      <c r="G7" s="151" t="str">
        <f>' NotaPedido'!D6</f>
        <v>DIRECCION PROVINCIAL DE GESTION ADMINISTRATIVA RECURSOS HUMANOS</v>
      </c>
      <c r="H7" s="151"/>
      <c r="I7" s="151"/>
      <c r="J7" s="151"/>
      <c r="K7" s="151"/>
      <c r="L7" s="151"/>
      <c r="M7" s="151"/>
      <c r="N7" s="151"/>
      <c r="O7" s="151"/>
      <c r="P7" s="151"/>
      <c r="Q7" s="151"/>
    </row>
    <row r="8" spans="1:19" ht="18" customHeight="1" thickBot="1" x14ac:dyDescent="0.25">
      <c r="A8" s="150" t="s">
        <v>34</v>
      </c>
      <c r="B8" s="150"/>
      <c r="C8" s="150"/>
      <c r="D8" s="150"/>
      <c r="E8" s="150"/>
      <c r="F8" s="150"/>
      <c r="G8" s="150"/>
      <c r="H8" s="150"/>
      <c r="I8" s="150"/>
      <c r="J8" s="150"/>
      <c r="K8" s="150"/>
      <c r="L8" s="150"/>
      <c r="M8" s="150"/>
      <c r="N8" s="150"/>
      <c r="O8" s="150"/>
      <c r="P8" s="150"/>
      <c r="Q8" s="150"/>
    </row>
    <row r="9" spans="1:19" ht="18" customHeight="1" x14ac:dyDescent="0.2">
      <c r="A9" s="140" t="s">
        <v>35</v>
      </c>
      <c r="B9" s="140"/>
      <c r="C9" s="140"/>
      <c r="D9" s="140"/>
      <c r="E9" s="140"/>
      <c r="F9" s="140"/>
      <c r="G9" s="140"/>
      <c r="H9" s="140"/>
      <c r="I9" s="140"/>
      <c r="J9" s="140"/>
      <c r="K9" s="140"/>
      <c r="L9" s="140"/>
      <c r="M9" s="140"/>
      <c r="N9" s="140"/>
      <c r="O9" s="1"/>
      <c r="P9" s="1"/>
      <c r="Q9" s="12"/>
    </row>
    <row r="10" spans="1:19" ht="54.75" customHeight="1" x14ac:dyDescent="0.2">
      <c r="A10" s="141" t="s">
        <v>73</v>
      </c>
      <c r="B10" s="141"/>
      <c r="C10" s="141"/>
      <c r="D10" s="141"/>
      <c r="E10" s="141"/>
      <c r="F10" s="141"/>
      <c r="G10" s="141"/>
      <c r="H10" s="141"/>
      <c r="I10" s="141"/>
      <c r="J10" s="141"/>
      <c r="K10" s="141"/>
      <c r="L10" s="141"/>
      <c r="M10" s="141"/>
      <c r="N10" s="141"/>
      <c r="O10" s="141"/>
      <c r="P10" s="141"/>
      <c r="Q10" s="141"/>
    </row>
    <row r="11" spans="1:19" ht="9" customHeight="1" thickBot="1" x14ac:dyDescent="0.25">
      <c r="A11" s="13"/>
      <c r="B11" s="14"/>
      <c r="C11" s="14"/>
      <c r="D11" s="14"/>
      <c r="E11" s="14"/>
      <c r="F11" s="14"/>
      <c r="G11" s="15"/>
      <c r="H11" s="14"/>
      <c r="I11" s="14"/>
      <c r="J11" s="14"/>
      <c r="K11" s="14"/>
      <c r="L11" s="14"/>
      <c r="M11" s="14"/>
      <c r="N11" s="14"/>
      <c r="O11" s="14"/>
      <c r="P11" s="14"/>
      <c r="Q11" s="16"/>
    </row>
    <row r="12" spans="1:19" ht="15.75" customHeight="1" thickBot="1" x14ac:dyDescent="0.25">
      <c r="A12" s="142" t="s">
        <v>36</v>
      </c>
      <c r="B12" s="142"/>
      <c r="C12" s="142"/>
      <c r="D12" s="142"/>
      <c r="E12" s="142"/>
      <c r="F12" s="142"/>
      <c r="G12" s="142"/>
      <c r="H12" s="142"/>
      <c r="I12" s="142"/>
      <c r="J12" s="142"/>
      <c r="K12" s="142"/>
      <c r="L12" s="142"/>
      <c r="M12" s="142"/>
      <c r="N12" s="142"/>
      <c r="O12" s="142"/>
      <c r="P12" s="142"/>
      <c r="Q12" s="142"/>
    </row>
    <row r="13" spans="1:19" ht="15.75" customHeight="1" thickBot="1" x14ac:dyDescent="0.25">
      <c r="A13" s="143" t="s">
        <v>37</v>
      </c>
      <c r="B13" s="143"/>
      <c r="C13" s="143"/>
      <c r="D13" s="143"/>
      <c r="E13" s="143"/>
      <c r="F13" s="143"/>
      <c r="G13" s="143"/>
      <c r="H13" s="143"/>
      <c r="I13" s="143"/>
      <c r="J13" s="143"/>
      <c r="K13" s="143"/>
      <c r="L13" s="143"/>
      <c r="M13" s="143"/>
      <c r="N13" s="143"/>
      <c r="O13" s="144" t="s">
        <v>38</v>
      </c>
      <c r="P13" s="144"/>
      <c r="Q13" s="145" t="s">
        <v>39</v>
      </c>
    </row>
    <row r="14" spans="1:19" ht="15.75" customHeight="1" thickBot="1" x14ac:dyDescent="0.25">
      <c r="A14" s="17" t="s">
        <v>40</v>
      </c>
      <c r="B14" s="18" t="s">
        <v>41</v>
      </c>
      <c r="C14" s="18" t="s">
        <v>42</v>
      </c>
      <c r="D14" s="18" t="s">
        <v>43</v>
      </c>
      <c r="E14" s="18" t="s">
        <v>44</v>
      </c>
      <c r="F14" s="18" t="s">
        <v>45</v>
      </c>
      <c r="G14" s="19" t="s">
        <v>46</v>
      </c>
      <c r="H14" s="18" t="s">
        <v>47</v>
      </c>
      <c r="I14" s="18" t="s">
        <v>48</v>
      </c>
      <c r="J14" s="18" t="s">
        <v>49</v>
      </c>
      <c r="K14" s="18" t="s">
        <v>49</v>
      </c>
      <c r="L14" s="18" t="s">
        <v>50</v>
      </c>
      <c r="M14" s="20" t="s">
        <v>51</v>
      </c>
      <c r="N14" s="21" t="s">
        <v>52</v>
      </c>
      <c r="O14" s="144"/>
      <c r="P14" s="144"/>
      <c r="Q14" s="145"/>
    </row>
    <row r="15" spans="1:19" ht="27.75" customHeight="1" x14ac:dyDescent="0.2">
      <c r="A15" s="41">
        <v>2</v>
      </c>
      <c r="B15" s="41">
        <v>0</v>
      </c>
      <c r="C15" s="41">
        <v>0</v>
      </c>
      <c r="D15" s="41">
        <v>1</v>
      </c>
      <c r="E15" s="41">
        <v>0</v>
      </c>
      <c r="F15" s="41">
        <v>4901</v>
      </c>
      <c r="G15" s="41">
        <v>3</v>
      </c>
      <c r="H15" s="41">
        <v>5</v>
      </c>
      <c r="I15" s="22">
        <v>2</v>
      </c>
      <c r="J15" s="22">
        <v>5</v>
      </c>
      <c r="K15" s="22">
        <v>6</v>
      </c>
      <c r="L15" s="41">
        <v>0</v>
      </c>
      <c r="M15" s="41">
        <v>1</v>
      </c>
      <c r="N15" s="41" t="s">
        <v>59</v>
      </c>
      <c r="O15" s="135" t="s">
        <v>67</v>
      </c>
      <c r="P15" s="136"/>
      <c r="Q15" s="53">
        <v>254968</v>
      </c>
      <c r="R15" s="101"/>
      <c r="S15" s="97"/>
    </row>
    <row r="16" spans="1:19" ht="28.5" customHeight="1" x14ac:dyDescent="0.2">
      <c r="A16" s="45"/>
      <c r="B16" s="45"/>
      <c r="C16" s="45"/>
      <c r="D16" s="45"/>
      <c r="E16" s="45"/>
      <c r="F16" s="45"/>
      <c r="G16" s="45"/>
      <c r="H16" s="45"/>
      <c r="I16" s="23"/>
      <c r="J16" s="23"/>
      <c r="K16" s="23"/>
      <c r="L16" s="45"/>
      <c r="M16" s="45"/>
      <c r="N16" s="45"/>
      <c r="O16" s="137"/>
      <c r="P16" s="138"/>
      <c r="Q16" s="54"/>
      <c r="R16" s="101"/>
      <c r="S16" s="97"/>
    </row>
    <row r="17" spans="1:19" ht="31.5" customHeight="1" x14ac:dyDescent="0.2">
      <c r="A17" s="45"/>
      <c r="B17" s="45"/>
      <c r="C17" s="45"/>
      <c r="D17" s="45"/>
      <c r="E17" s="45"/>
      <c r="F17" s="45"/>
      <c r="G17" s="45"/>
      <c r="H17" s="45"/>
      <c r="I17" s="23"/>
      <c r="J17" s="23"/>
      <c r="K17" s="23"/>
      <c r="L17" s="45"/>
      <c r="M17" s="45"/>
      <c r="N17" s="45"/>
      <c r="O17" s="139"/>
      <c r="P17" s="131"/>
      <c r="Q17" s="54"/>
      <c r="R17" s="93"/>
      <c r="S17" s="93"/>
    </row>
    <row r="18" spans="1:19" ht="17.25" customHeight="1" x14ac:dyDescent="0.2">
      <c r="A18" s="23"/>
      <c r="B18" s="23"/>
      <c r="C18" s="23"/>
      <c r="D18" s="23"/>
      <c r="E18" s="23"/>
      <c r="F18" s="23"/>
      <c r="G18" s="23"/>
      <c r="H18" s="23"/>
      <c r="I18" s="23"/>
      <c r="J18" s="23"/>
      <c r="K18" s="23"/>
      <c r="L18" s="23"/>
      <c r="M18" s="23"/>
      <c r="N18" s="23"/>
      <c r="O18" s="131"/>
      <c r="P18" s="131"/>
      <c r="Q18" s="46"/>
      <c r="R18" s="93"/>
    </row>
    <row r="19" spans="1:19" ht="8.25" customHeight="1" x14ac:dyDescent="0.2">
      <c r="A19" s="25"/>
      <c r="B19" s="25"/>
      <c r="C19" s="25"/>
      <c r="D19" s="25"/>
      <c r="E19" s="25"/>
      <c r="F19" s="24"/>
      <c r="G19" s="25"/>
      <c r="H19" s="25"/>
      <c r="I19" s="25"/>
      <c r="J19" s="25"/>
      <c r="K19" s="25"/>
      <c r="L19" s="25"/>
      <c r="M19" s="25"/>
      <c r="N19" s="25"/>
      <c r="O19" s="132"/>
      <c r="P19" s="132"/>
      <c r="Q19" s="46"/>
      <c r="R19" s="97"/>
    </row>
    <row r="20" spans="1:19" ht="17.25" customHeight="1" x14ac:dyDescent="0.2">
      <c r="A20" s="24"/>
      <c r="B20" s="24"/>
      <c r="C20" s="24"/>
      <c r="D20" s="24"/>
      <c r="E20" s="24"/>
      <c r="F20" s="24"/>
      <c r="G20" s="24"/>
      <c r="H20" s="24"/>
      <c r="I20" s="24"/>
      <c r="J20" s="24"/>
      <c r="K20" s="24"/>
      <c r="L20" s="24"/>
      <c r="M20" s="24"/>
      <c r="N20" s="24"/>
      <c r="O20" s="132"/>
      <c r="P20" s="132"/>
      <c r="Q20" s="46"/>
      <c r="R20" s="93"/>
    </row>
    <row r="21" spans="1:19" ht="32.25" customHeight="1" thickBot="1" x14ac:dyDescent="0.25">
      <c r="A21" s="133" t="s">
        <v>70</v>
      </c>
      <c r="B21" s="133"/>
      <c r="C21" s="133"/>
      <c r="D21" s="133"/>
      <c r="E21" s="133"/>
      <c r="F21" s="133"/>
      <c r="G21" s="133"/>
      <c r="H21" s="133"/>
      <c r="I21" s="133"/>
      <c r="J21" s="133"/>
      <c r="K21" s="133"/>
      <c r="L21" s="133"/>
      <c r="M21" s="133"/>
      <c r="N21" s="133"/>
      <c r="O21" s="133"/>
      <c r="P21" s="133"/>
      <c r="Q21" s="44">
        <f>SUM(Q15:Q20)</f>
        <v>254968</v>
      </c>
      <c r="R21" s="93"/>
      <c r="S21" s="93">
        <f>SUM(S15:S20)</f>
        <v>0</v>
      </c>
    </row>
    <row r="22" spans="1:19" ht="18" customHeight="1" thickBot="1" x14ac:dyDescent="0.25">
      <c r="A22" s="134"/>
      <c r="B22" s="134"/>
      <c r="C22" s="134"/>
      <c r="D22" s="134"/>
      <c r="E22" s="134"/>
      <c r="F22" s="134"/>
      <c r="G22" s="134"/>
      <c r="H22" s="134"/>
      <c r="I22" s="134"/>
      <c r="J22" s="134"/>
      <c r="K22" s="134"/>
      <c r="L22" s="134"/>
      <c r="M22" s="134"/>
      <c r="N22" s="134"/>
      <c r="O22" s="134"/>
      <c r="P22" s="134"/>
      <c r="Q22" s="134"/>
    </row>
    <row r="23" spans="1:19" ht="17.25" customHeight="1" thickBot="1" x14ac:dyDescent="0.25">
      <c r="A23" s="125" t="s">
        <v>53</v>
      </c>
      <c r="B23" s="126"/>
      <c r="C23" s="126"/>
      <c r="D23" s="126"/>
      <c r="E23" s="126"/>
      <c r="F23" s="127"/>
      <c r="G23" s="128"/>
      <c r="H23" s="128"/>
      <c r="I23" s="128"/>
      <c r="J23" s="128"/>
      <c r="K23" s="128"/>
      <c r="L23" s="128"/>
      <c r="M23" s="128"/>
      <c r="N23" s="128"/>
      <c r="O23" s="128"/>
      <c r="P23" s="128"/>
      <c r="Q23" s="128"/>
    </row>
    <row r="24" spans="1:19" ht="18" customHeight="1" thickBot="1" x14ac:dyDescent="0.25">
      <c r="A24" s="129" t="s">
        <v>68</v>
      </c>
      <c r="B24" s="130"/>
      <c r="C24" s="130"/>
      <c r="D24" s="130"/>
      <c r="E24" s="130"/>
      <c r="F24" s="130"/>
      <c r="G24" s="130"/>
      <c r="H24" s="130"/>
      <c r="I24" s="130"/>
      <c r="J24" s="130"/>
      <c r="K24" s="130"/>
      <c r="L24" s="130"/>
      <c r="M24" s="130"/>
      <c r="N24" s="130"/>
      <c r="O24" s="130"/>
      <c r="P24" s="130"/>
      <c r="Q24" s="130"/>
    </row>
    <row r="25" spans="1:19" ht="21.75" customHeight="1" thickBot="1" x14ac:dyDescent="0.25">
      <c r="A25" s="130"/>
      <c r="B25" s="130"/>
      <c r="C25" s="130"/>
      <c r="D25" s="130"/>
      <c r="E25" s="130"/>
      <c r="F25" s="130"/>
      <c r="G25" s="130"/>
      <c r="H25" s="130"/>
      <c r="I25" s="130"/>
      <c r="J25" s="130"/>
      <c r="K25" s="130"/>
      <c r="L25" s="130"/>
      <c r="M25" s="130"/>
      <c r="N25" s="130"/>
      <c r="O25" s="130"/>
      <c r="P25" s="130"/>
      <c r="Q25" s="130"/>
    </row>
    <row r="28" spans="1:19" x14ac:dyDescent="0.2">
      <c r="A28" s="42"/>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4:Q25"/>
    <mergeCell ref="O16:P16"/>
    <mergeCell ref="O17:P17"/>
    <mergeCell ref="O18:P18"/>
    <mergeCell ref="O19:P19"/>
    <mergeCell ref="O20:P20"/>
    <mergeCell ref="A21:P21"/>
    <mergeCell ref="A22:Q22"/>
    <mergeCell ref="A23:F23"/>
    <mergeCell ref="G23:Q23"/>
  </mergeCells>
  <printOptions horizontalCentered="1"/>
  <pageMargins left="0.39374999999999999" right="0.39374999999999999" top="0.98402777777777795" bottom="0.98402777777777795" header="0.51180555555555496" footer="0.51180555555555496"/>
  <pageSetup paperSize="5" scale="73"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Necesidades Trimestrales (2)</vt:lpstr>
      <vt:lpstr> NotaPedido</vt:lpstr>
      <vt:lpstr>Autor Gastar</vt:lpstr>
      <vt:lpstr>Nota de Pedido</vt:lpstr>
      <vt:lpstr>Autor Gastar </vt:lpstr>
      <vt:lpstr>' NotaPedido'!Área_de_impresión</vt:lpstr>
      <vt:lpstr>'Autor Gastar'!Área_de_impresión</vt:lpstr>
      <vt:lpstr>'Autor Gastar '!Área_de_impresión</vt:lpstr>
      <vt:lpstr>'Necesidades Trimestrales (2)'!Área_de_impresión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MARIO</cp:lastModifiedBy>
  <cp:revision>2</cp:revision>
  <cp:lastPrinted>2021-09-27T12:27:58Z</cp:lastPrinted>
  <dcterms:created xsi:type="dcterms:W3CDTF">2020-07-17T23:44:49Z</dcterms:created>
  <dcterms:modified xsi:type="dcterms:W3CDTF">2021-10-06T14:54:42Z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