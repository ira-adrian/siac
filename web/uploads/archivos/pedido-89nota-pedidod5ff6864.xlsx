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167B354-9763-4296-8FA5-24DACA7A395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NotaPedido'!$A$1:$K$32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I29" i="1" l="1"/>
  <c r="I28" i="1" l="1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15" i="2"/>
  <c r="I16" i="2"/>
  <c r="I13" i="2"/>
  <c r="I14" i="2"/>
  <c r="I12" i="2"/>
  <c r="I10" i="1"/>
  <c r="J13" i="2"/>
  <c r="K31" i="2"/>
  <c r="B14" i="2"/>
  <c r="B15" i="2"/>
  <c r="C14" i="2"/>
  <c r="D1" i="3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9" i="1"/>
  <c r="I30" i="1" s="1"/>
  <c r="D7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B13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K12" i="2"/>
  <c r="J12" i="2"/>
  <c r="C12" i="2"/>
  <c r="B12" i="2"/>
  <c r="A12" i="2"/>
  <c r="J32" i="2" l="1"/>
  <c r="Q15" i="3"/>
  <c r="G6" i="3"/>
  <c r="G7" i="3"/>
  <c r="D3" i="2"/>
  <c r="G4" i="3" s="1"/>
  <c r="D4" i="2"/>
  <c r="G5" i="3" s="1"/>
  <c r="Q16" i="3" l="1"/>
  <c r="A10" i="3"/>
  <c r="I15" i="3"/>
  <c r="K15" i="3" l="1"/>
  <c r="J15" i="3"/>
</calcChain>
</file>

<file path=xl/sharedStrings.xml><?xml version="1.0" encoding="utf-8"?>
<sst xmlns="http://schemas.openxmlformats.org/spreadsheetml/2006/main" count="206" uniqueCount="125">
  <si>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</si>
  <si>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</si>
  <si>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</si>
  <si>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</si>
  <si>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</si>
  <si>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</si>
  <si>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</si>
  <si>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</si>
  <si>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</si>
  <si>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</si>
  <si>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</si>
  <si>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</si>
  <si>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</si>
  <si>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</si>
  <si>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</si>
  <si>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</si>
  <si>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2.9.2-317.5</t>
  </si>
  <si>
    <t>2.9.2</t>
  </si>
  <si>
    <t>BOLIGRAFOS; TRAZO 1,0mm</t>
  </si>
  <si>
    <t>UNIDAD</t>
  </si>
  <si>
    <t>2.9.2-262.5</t>
  </si>
  <si>
    <t>ADHESIVOS P/PAPEL; TIPO: COLA VINILICA, PRESENTACION: 500 GR</t>
  </si>
  <si>
    <t>2.9.2-1153.130</t>
  </si>
  <si>
    <t>2.9.2-852.5</t>
  </si>
  <si>
    <t>BROCHES DORADOS; N° PATAS: 2, N°: 10, PRESENTACION: CAJA X 100 UNIDADES, CANTIDAD PATAS: 2, NUMERO: 10</t>
  </si>
  <si>
    <t>CAJA</t>
  </si>
  <si>
    <t>2.9.2-852.7</t>
  </si>
  <si>
    <t>BROCHES DORADOS; N° PATAS: 2, N°: 14, PRESENTACION: CAJA X 100 UNIDADES, CANTIDAD PATAS: 2, NUMERO: 14</t>
  </si>
  <si>
    <t>2.9.2-261.14</t>
  </si>
  <si>
    <t>ABROCHADORAS DE PAPEL; TIPO: PINZA, P/BROCHES: 10/50, MATERIAL: METALICA, MEDIDA: 10/50</t>
  </si>
  <si>
    <t>2.9.2-848.20</t>
  </si>
  <si>
    <t>LAPIZ; TIPO: 2HB, COLOR: NEGRO</t>
  </si>
  <si>
    <t>2.9.2-674.9</t>
  </si>
  <si>
    <t>REGLAS GRADUADAS; TIPO: PLANA, MATERIAL: PLASTICO, LONG.DE CUERPO: 30 Cm</t>
  </si>
  <si>
    <t>2.9.2-1616.118</t>
  </si>
  <si>
    <t>MARCADORES; TIPO: INDELEBLE, TRAZO: FINO, PUNTA: REDONDA, COLOR: NEGRO, RECARGABLE: NO</t>
  </si>
  <si>
    <t>2.9.2-1616.174</t>
  </si>
  <si>
    <t>MARCADORES; TIPO: P/METALES, TRAZO: MEDIO, PUNTA: REDONDA, RECARGABLE: NO</t>
  </si>
  <si>
    <t>2.9.2-1354.15</t>
  </si>
  <si>
    <t>RESALTADORES; PUNTA: 3 PLANA mm, ACCESORIO: SIN, COLOR: VERDE, TIPO PUNTA: 3 PLANA mm</t>
  </si>
  <si>
    <t>2.9.2-323.3</t>
  </si>
  <si>
    <t>CORRECTORES DE ESCRITURA; ENVASE: LAPIZ (PUNTA METAL), PRESENTACION: LAPIZ (PUNTA METAL) X 10 mL, CAPACIDAD: 10 mL</t>
  </si>
  <si>
    <t>2.9.2-274.11</t>
  </si>
  <si>
    <t>BIBLIORATOS; LOMO: CARTON, COLOR: GRIS, ANCHO: 85 mm, ANILLO: 2 Y PALANCA, TAMAÑO: OFICIO, TAPAS: CARTON, MATERIAL: CARTON</t>
  </si>
  <si>
    <t>2.9.2-850.13</t>
  </si>
  <si>
    <t>CAJAS DE ARCHIVO; DIMENSION: 26 X 36 X 12 (+ - 5%), COLOR: AZUL, MATERIAL: PLASTICO CORRUGADO</t>
  </si>
  <si>
    <t>2.9.2-1358.354</t>
  </si>
  <si>
    <t>CARPETAS; MATERIAL PLASTICO - TAMAÑO OFICIO. Tapa transparente</t>
  </si>
  <si>
    <t>2.9.2-1100.17</t>
  </si>
  <si>
    <t>ALFILERES; MATERIAL: ACERO 1010, NUMERO: SIN VALOR, ESPESOR: .75 mm, LARGO: 28 mm, PRESENTACION: CAJA X 50 GR</t>
  </si>
  <si>
    <t>2.9.2-1450.4</t>
  </si>
  <si>
    <t>TINTAS P/SELLOS; TIPO DE SELLO: DE GOMA, COLOR: NEGRO, PRESENTACION: ENVASE X 50 CM3, ENVASE: 50 CM3</t>
  </si>
  <si>
    <t>2.9.2-291.19</t>
  </si>
  <si>
    <t>ALMOHADILLAS P/SELLOS; MEDIDA: 8 X 15 Cm, MATERIAL: METAL</t>
  </si>
  <si>
    <t>2.9.2-5254.1</t>
  </si>
  <si>
    <t>PORTA PLANILLA; MATERIAL: ACRILICO, TAMAÑO: OFICIO, PRESENTACION: POR UNIDAD</t>
  </si>
  <si>
    <t>2.9.2-661.47</t>
  </si>
  <si>
    <t>GOMAS DE BORRAR; USO: LAPIZ Y TINTA, DIMENSION: 1 X 5 Cm, MATERIAL: CAUCHO, PRESENTACION: ENVASE X 40 UN</t>
  </si>
  <si>
    <t>Especificidades:</t>
  </si>
  <si>
    <t>Descripción técnica Item 1:</t>
  </si>
  <si>
    <t>Descripción técnica Item 15</t>
  </si>
  <si>
    <t>CARPETAS; COLOR: AZUL, TIPO: TAPA TRANSPARENTE, PRESENTACION: UNIDAD, SUJECION: BROCHE TIPO NEPACO, MATERIAL: PVC, TAMAÑO: OFICIO</t>
  </si>
  <si>
    <t>Descripción técnica Item 19</t>
  </si>
  <si>
    <t>TABLA PORTA BLOCK TAMAÑO OFICIO, CON CLIP SUJETADOR  METALICO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</si>
  <si>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</si>
  <si>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</si>
  <si>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</si>
  <si>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</si>
  <si>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</si>
  <si>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</si>
  <si>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</si>
  <si>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NOTA DE PEDIDO</t>
  </si>
  <si>
    <t>N°</t>
  </si>
  <si>
    <t>19/2021</t>
  </si>
  <si>
    <t xml:space="preserve">JURISDICCIÓN: </t>
  </si>
  <si>
    <t>SAF:</t>
  </si>
  <si>
    <t>UNIDAD EJECUTORA:</t>
  </si>
  <si>
    <t xml:space="preserve">Policia de la Provincia de Catamarca </t>
  </si>
  <si>
    <t xml:space="preserve">DEPENDENCIA SOLICITANTE: </t>
  </si>
  <si>
    <t xml:space="preserve">División Intendencia Departamento Logistica </t>
  </si>
  <si>
    <t>PERIODO UTILIZACIÓN:</t>
  </si>
  <si>
    <t>OBJETO:</t>
  </si>
  <si>
    <t xml:space="preserve">Adquisición de Útiles de escritorio destinados a las dependencias policiales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</si>
  <si>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</si>
  <si>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</si>
  <si>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</si>
  <si>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</si>
  <si>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</si>
  <si>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</si>
  <si>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</si>
  <si>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</si>
  <si>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NO</t>
  </si>
  <si>
    <t>Costo total estimado: son Pesos  Un Millon Cuatrocientos Diecioho Mil Cuatrocientos Sesenta y Siete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</si>
  <si>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</si>
  <si>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</si>
  <si>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</si>
  <si>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</si>
  <si>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</si>
  <si>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</si>
  <si>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</si>
  <si>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</si>
  <si>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</si>
  <si>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</si>
  <si>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</si>
  <si>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</si>
  <si>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</si>
  <si>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</si>
  <si>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</si>
  <si>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</si>
  <si>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</si>
  <si>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</si>
  <si>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</si>
  <si>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</si>
  <si>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</si>
  <si>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</si>
  <si>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Útiles de Escritorio Oficina y Enseñanza</t>
  </si>
  <si>
    <t>TOTAL DE PESOS: Pesos Un Millon Cuatrocientos Diecioho Mil Cuatrocientos Sesenta y Siete con 00/100.-</t>
  </si>
  <si>
    <t>JUSTIFICACIÓN:</t>
  </si>
  <si>
    <t>Para la adquisición de útiles de escritorio destinados a las dependencias policiales</t>
  </si>
  <si>
    <t>BOLIGRAFO PUNTA MEDIANA, TRASO GRUESO (1MM), COLORE  AZUL</t>
  </si>
  <si>
    <t>LIBRERIA,PAP. Y UTILES OFICINA</t>
  </si>
  <si>
    <t>CINTAS ADHESIVAS; TIPO: EMBALAR, ANCHO: 48 mm, LARGO: 100 M, MATERIAL: POLIPROPILENO, ACCESORIO: SIN</t>
  </si>
  <si>
    <t>2.3.1-6563.1009</t>
  </si>
  <si>
    <t>2.3.1</t>
  </si>
  <si>
    <t>PAPELES EN HOJA; TIPO DE PAPEL: BLANCO, DIMENSION: OFICIO, GRAMAJE: 80 GR, PRESENTACION: ENVASE X 500 HOJAS, CERTIFICADO FORESTAL (GFS): SIN, PORC. FIBRAS RECICLADAS: 0 %, CERT. FIBRA ALTERNATIVA (FCA):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</si>
</sst>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color rgb="FF333333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6"/>
      <name val="Century Gothic"/>
      <family val="2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64">
    <xf numFmtId="0" fontId="0" fillId="0" borderId="0" xfId="0"/>
    <xf numFmtId="3" fontId="18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 applyBorder="1"/>
    <xf numFmtId="0" fontId="6" fillId="3" borderId="13" xfId="0" applyFont="1" applyFill="1" applyBorder="1"/>
    <xf numFmtId="0" fontId="6" fillId="3" borderId="27" xfId="0" applyFont="1" applyFill="1" applyBorder="1"/>
    <xf numFmtId="0" fontId="6" fillId="3" borderId="15" xfId="0" applyFont="1" applyFill="1" applyBorder="1"/>
    <xf numFmtId="0" fontId="6" fillId="3" borderId="15" xfId="0" applyFont="1" applyFill="1" applyBorder="1" applyAlignment="1">
      <alignment horizontal="left"/>
    </xf>
    <xf numFmtId="0" fontId="6" fillId="3" borderId="28" xfId="0" applyFont="1" applyFill="1" applyBorder="1"/>
    <xf numFmtId="0" fontId="13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167" fontId="6" fillId="3" borderId="36" xfId="3" applyNumberFormat="1" applyFont="1" applyFill="1" applyBorder="1" applyAlignment="1" applyProtection="1">
      <alignment horizontal="center" vertical="center"/>
    </xf>
    <xf numFmtId="167" fontId="13" fillId="3" borderId="37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right" vertical="center"/>
    </xf>
    <xf numFmtId="49" fontId="16" fillId="3" borderId="14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5" fillId="3" borderId="15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justify" vertical="center" wrapText="1"/>
    </xf>
    <xf numFmtId="0" fontId="14" fillId="3" borderId="2" xfId="0" applyFont="1" applyFill="1" applyBorder="1" applyAlignment="1">
      <alignment vertical="center"/>
    </xf>
    <xf numFmtId="164" fontId="9" fillId="3" borderId="3" xfId="1" applyNumberFormat="1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justify" vertical="center" wrapText="1"/>
    </xf>
    <xf numFmtId="49" fontId="9" fillId="3" borderId="4" xfId="0" applyNumberFormat="1" applyFont="1" applyFill="1" applyBorder="1" applyAlignment="1">
      <alignment vertical="center"/>
    </xf>
    <xf numFmtId="49" fontId="9" fillId="3" borderId="4" xfId="0" applyNumberFormat="1" applyFont="1" applyFill="1" applyBorder="1" applyAlignment="1">
      <alignment vertical="center" wrapText="1"/>
    </xf>
    <xf numFmtId="164" fontId="9" fillId="3" borderId="48" xfId="1" applyNumberFormat="1" applyFont="1" applyFill="1" applyBorder="1" applyAlignment="1">
      <alignment horizontal="center" vertical="center"/>
    </xf>
    <xf numFmtId="164" fontId="10" fillId="3" borderId="41" xfId="0" applyNumberFormat="1" applyFont="1" applyFill="1" applyBorder="1" applyAlignment="1">
      <alignment vertical="center" wrapText="1"/>
    </xf>
    <xf numFmtId="0" fontId="6" fillId="3" borderId="0" xfId="0" applyFont="1" applyFill="1" applyAlignment="1"/>
    <xf numFmtId="0" fontId="11" fillId="3" borderId="5" xfId="0" applyFont="1" applyFill="1" applyBorder="1" applyAlignment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 applyAlignment="1"/>
    <xf numFmtId="0" fontId="6" fillId="3" borderId="9" xfId="0" applyFont="1" applyFill="1" applyBorder="1"/>
    <xf numFmtId="0" fontId="11" fillId="3" borderId="8" xfId="0" applyFont="1" applyFill="1" applyBorder="1" applyAlignment="1"/>
    <xf numFmtId="0" fontId="6" fillId="3" borderId="0" xfId="0" applyFont="1" applyFill="1" applyAlignment="1">
      <alignment horizontal="center" vertical="center"/>
    </xf>
    <xf numFmtId="0" fontId="12" fillId="3" borderId="8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/>
    <xf numFmtId="0" fontId="6" fillId="3" borderId="0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left" indent="3"/>
    </xf>
    <xf numFmtId="0" fontId="12" fillId="3" borderId="8" xfId="0" applyFont="1" applyFill="1" applyBorder="1" applyAlignment="1"/>
    <xf numFmtId="0" fontId="11" fillId="3" borderId="10" xfId="0" applyFont="1" applyFill="1" applyBorder="1" applyAlignment="1">
      <alignment horizontal="left" indent="3"/>
    </xf>
    <xf numFmtId="0" fontId="6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3" fontId="6" fillId="3" borderId="48" xfId="0" applyNumberFormat="1" applyFont="1" applyFill="1" applyBorder="1" applyAlignment="1">
      <alignment horizontal="center" vertical="center"/>
    </xf>
    <xf numFmtId="170" fontId="6" fillId="3" borderId="2" xfId="0" applyNumberFormat="1" applyFont="1" applyFill="1" applyBorder="1" applyAlignment="1">
      <alignment horizontal="center" vertical="center"/>
    </xf>
    <xf numFmtId="170" fontId="6" fillId="3" borderId="4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0" fontId="9" fillId="3" borderId="4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1" fontId="6" fillId="3" borderId="2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1" fontId="6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49" fontId="9" fillId="3" borderId="4" xfId="0" applyNumberFormat="1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indent="3"/>
    </xf>
    <xf numFmtId="0" fontId="6" fillId="3" borderId="11" xfId="0" applyFont="1" applyFill="1" applyBorder="1"/>
    <xf numFmtId="0" fontId="6" fillId="3" borderId="12" xfId="0" applyFont="1" applyFill="1" applyBorder="1"/>
    <xf numFmtId="49" fontId="6" fillId="3" borderId="0" xfId="0" applyNumberFormat="1" applyFont="1" applyFill="1"/>
    <xf numFmtId="168" fontId="6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3" fontId="6" fillId="3" borderId="51" xfId="0" applyNumberFormat="1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 wrapText="1"/>
    </xf>
    <xf numFmtId="167" fontId="6" fillId="3" borderId="52" xfId="1" applyNumberFormat="1" applyFont="1" applyFill="1" applyBorder="1" applyAlignment="1" applyProtection="1">
      <alignment horizontal="right" vertical="center" wrapText="1"/>
    </xf>
    <xf numFmtId="0" fontId="6" fillId="3" borderId="53" xfId="0" applyFont="1" applyFill="1" applyBorder="1" applyAlignment="1">
      <alignment horizontal="center" vertical="center" wrapText="1"/>
    </xf>
    <xf numFmtId="167" fontId="6" fillId="3" borderId="53" xfId="1" applyNumberFormat="1" applyFont="1" applyFill="1" applyBorder="1" applyAlignment="1" applyProtection="1">
      <alignment horizontal="right" vertical="center" wrapText="1"/>
    </xf>
    <xf numFmtId="0" fontId="6" fillId="3" borderId="54" xfId="0" applyFont="1" applyFill="1" applyBorder="1" applyAlignment="1">
      <alignment horizontal="center" vertical="center" wrapText="1"/>
    </xf>
    <xf numFmtId="167" fontId="6" fillId="3" borderId="54" xfId="1" applyNumberFormat="1" applyFont="1" applyFill="1" applyBorder="1" applyAlignment="1" applyProtection="1">
      <alignment horizontal="right" vertical="center" wrapText="1"/>
    </xf>
    <xf numFmtId="0" fontId="9" fillId="3" borderId="55" xfId="0" applyFont="1" applyFill="1" applyBorder="1" applyAlignment="1">
      <alignment horizontal="center" vertical="center"/>
    </xf>
    <xf numFmtId="0" fontId="21" fillId="4" borderId="57" xfId="0" applyFont="1" applyFill="1" applyBorder="1" applyAlignment="1">
      <alignment horizontal="center" vertical="center" wrapText="1"/>
    </xf>
    <xf numFmtId="0" fontId="6" fillId="4" borderId="57" xfId="0" applyFont="1" applyFill="1" applyBorder="1" applyAlignment="1">
      <alignment horizontal="left" wrapText="1"/>
    </xf>
    <xf numFmtId="0" fontId="6" fillId="4" borderId="57" xfId="0" applyFont="1" applyFill="1" applyBorder="1" applyAlignment="1">
      <alignment horizontal="center" vertical="center" wrapText="1"/>
    </xf>
    <xf numFmtId="3" fontId="6" fillId="4" borderId="57" xfId="0" applyNumberFormat="1" applyFont="1" applyFill="1" applyBorder="1" applyAlignment="1">
      <alignment horizontal="center" vertical="center"/>
    </xf>
    <xf numFmtId="0" fontId="6" fillId="4" borderId="5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4" fontId="9" fillId="3" borderId="4" xfId="1" applyNumberFormat="1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wrapText="1"/>
    </xf>
    <xf numFmtId="0" fontId="6" fillId="3" borderId="9" xfId="0" applyFont="1" applyFill="1" applyBorder="1" applyAlignment="1">
      <alignment horizontal="left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 indent="1"/>
    </xf>
    <xf numFmtId="0" fontId="17" fillId="3" borderId="18" xfId="0" applyFont="1" applyFill="1" applyBorder="1" applyAlignment="1">
      <alignment horizontal="left" vertical="center" wrapText="1"/>
    </xf>
    <xf numFmtId="168" fontId="16" fillId="3" borderId="17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left" vertical="center"/>
    </xf>
    <xf numFmtId="0" fontId="16" fillId="3" borderId="20" xfId="0" applyFont="1" applyFill="1" applyBorder="1" applyAlignment="1">
      <alignment horizontal="left" vertical="center" wrapText="1" indent="1"/>
    </xf>
    <xf numFmtId="0" fontId="18" fillId="3" borderId="17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/>
    </xf>
    <xf numFmtId="3" fontId="18" fillId="3" borderId="23" xfId="0" applyNumberFormat="1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/>
    <xf numFmtId="0" fontId="19" fillId="3" borderId="14" xfId="0" applyFont="1" applyFill="1" applyBorder="1" applyAlignment="1">
      <alignment horizontal="left" indent="1"/>
    </xf>
    <xf numFmtId="0" fontId="6" fillId="3" borderId="16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/>
    </xf>
    <xf numFmtId="0" fontId="19" fillId="3" borderId="25" xfId="0" applyFont="1" applyFill="1" applyBorder="1" applyAlignment="1"/>
    <xf numFmtId="0" fontId="19" fillId="3" borderId="26" xfId="0" applyFont="1" applyFill="1" applyBorder="1" applyAlignment="1">
      <alignment horizontal="left" vertical="center" wrapText="1" indent="1"/>
    </xf>
    <xf numFmtId="0" fontId="13" fillId="3" borderId="2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left" vertical="center" wrapText="1" indent="1"/>
    </xf>
    <xf numFmtId="0" fontId="13" fillId="3" borderId="37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/>
    <xf numFmtId="0" fontId="6" fillId="3" borderId="35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8" xfId="0" applyFont="1" applyFill="1" applyBorder="1" applyAlignment="1">
      <alignment vertical="center" wrapText="1"/>
    </xf>
    <xf numFmtId="0" fontId="18" fillId="3" borderId="20" xfId="0" applyFont="1" applyFill="1" applyBorder="1" applyAlignment="1">
      <alignment vertical="center" wrapText="1"/>
    </xf>
    <xf numFmtId="0" fontId="19" fillId="3" borderId="29" xfId="0" applyFont="1" applyFill="1" applyBorder="1" applyAlignment="1">
      <alignment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85" zoomScaleNormal="85" workbookViewId="0">
      <selection activeCell="F29" sqref="F29:I29"/>
    </sheetView>
  </sheetViews>
  <sheetFormatPr baseColWidth="10" defaultColWidth="9.140625" defaultRowHeight="13.5" x14ac:dyDescent="0.25"/>
  <cols>
    <col min="1" max="1" width="10.85546875" style="3" customWidth="1"/>
    <col min="2" max="2" width="14.5703125" style="3" customWidth="1"/>
    <col min="3" max="3" width="31.85546875" style="3" customWidth="1"/>
    <col min="4" max="4" width="9.140625" style="3"/>
    <col min="5" max="5" width="68.5703125" style="3" customWidth="1"/>
    <col min="6" max="6" width="9.140625" style="3"/>
    <col min="7" max="7" width="10.140625" style="3" customWidth="1"/>
    <col min="8" max="8" width="12.85546875" style="3" customWidth="1"/>
    <col min="9" max="9" width="16.28515625" style="3" customWidth="1"/>
    <col min="10" max="16384" width="9.140625" style="3"/>
  </cols>
  <sheetData>
    <row r="1" spans="1:9" ht="20.25" x14ac:dyDescent="0.3">
      <c r="B1" s="124" t="s">
        <v>0</v>
      </c>
      <c r="C1" s="124"/>
      <c r="D1" s="124"/>
      <c r="E1" s="124"/>
      <c r="F1" s="124"/>
      <c r="G1" s="124"/>
      <c r="H1" s="124"/>
    </row>
    <row r="3" spans="1:9" x14ac:dyDescent="0.25">
      <c r="A3" s="116" t="s">
        <v>1</v>
      </c>
      <c r="B3" s="116"/>
      <c r="C3" s="125" t="s">
        <v>2</v>
      </c>
      <c r="D3" s="125"/>
      <c r="E3" s="125"/>
      <c r="F3" s="28"/>
      <c r="G3" s="29"/>
      <c r="H3" s="28"/>
    </row>
    <row r="4" spans="1:9" ht="18" customHeight="1" x14ac:dyDescent="0.25">
      <c r="A4" s="116" t="s">
        <v>3</v>
      </c>
      <c r="B4" s="116"/>
      <c r="C4" s="125" t="s">
        <v>4</v>
      </c>
      <c r="D4" s="125"/>
      <c r="E4" s="125"/>
      <c r="F4" s="28"/>
      <c r="G4" s="29"/>
      <c r="H4" s="28"/>
    </row>
    <row r="5" spans="1:9" ht="18" customHeight="1" x14ac:dyDescent="0.25">
      <c r="A5" s="116" t="s">
        <v>5</v>
      </c>
      <c r="B5" s="116"/>
      <c r="C5" s="30">
        <v>2021</v>
      </c>
      <c r="D5" s="31"/>
      <c r="E5" s="31"/>
      <c r="F5" s="28"/>
      <c r="G5" s="29"/>
      <c r="H5" s="28"/>
    </row>
    <row r="6" spans="1:9" ht="16.5" customHeight="1" x14ac:dyDescent="0.25">
      <c r="A6" s="116" t="s">
        <v>6</v>
      </c>
      <c r="B6" s="116"/>
      <c r="C6" s="30">
        <v>2</v>
      </c>
      <c r="D6" s="31"/>
      <c r="E6" s="31"/>
      <c r="F6" s="28"/>
      <c r="G6" s="29"/>
      <c r="H6" s="28"/>
    </row>
    <row r="7" spans="1:9" ht="16.5" customHeight="1" thickBot="1" x14ac:dyDescent="0.3">
      <c r="B7" s="28"/>
      <c r="C7" s="29"/>
      <c r="D7" s="28"/>
      <c r="E7" s="28"/>
      <c r="F7" s="28"/>
      <c r="G7" s="29"/>
      <c r="H7" s="28"/>
    </row>
    <row r="8" spans="1:9" ht="39" thickBot="1" x14ac:dyDescent="0.3">
      <c r="A8" s="78" t="s">
        <v>7</v>
      </c>
      <c r="B8" s="79" t="s">
        <v>8</v>
      </c>
      <c r="C8" s="32" t="s">
        <v>9</v>
      </c>
      <c r="D8" s="35" t="s">
        <v>10</v>
      </c>
      <c r="E8" s="33" t="s">
        <v>11</v>
      </c>
      <c r="F8" s="34" t="s">
        <v>12</v>
      </c>
      <c r="G8" s="35" t="s">
        <v>13</v>
      </c>
      <c r="H8" s="33" t="s">
        <v>14</v>
      </c>
      <c r="I8" s="36" t="s">
        <v>15</v>
      </c>
    </row>
    <row r="9" spans="1:9" ht="52.5" customHeight="1" x14ac:dyDescent="0.25">
      <c r="A9" s="80">
        <v>1</v>
      </c>
      <c r="B9" s="81" t="s">
        <v>16</v>
      </c>
      <c r="C9" s="82" t="s">
        <v>120</v>
      </c>
      <c r="D9" s="76" t="s">
        <v>17</v>
      </c>
      <c r="E9" s="38" t="s">
        <v>18</v>
      </c>
      <c r="F9" s="37" t="s">
        <v>19</v>
      </c>
      <c r="G9" s="83">
        <v>5000</v>
      </c>
      <c r="H9" s="74">
        <v>32.6</v>
      </c>
      <c r="I9" s="39">
        <f>G9*H9</f>
        <v>163000</v>
      </c>
    </row>
    <row r="10" spans="1:9" ht="52.5" customHeight="1" x14ac:dyDescent="0.25">
      <c r="A10" s="40">
        <v>2</v>
      </c>
      <c r="B10" s="84" t="s">
        <v>20</v>
      </c>
      <c r="C10" s="85" t="s">
        <v>120</v>
      </c>
      <c r="D10" s="77" t="s">
        <v>17</v>
      </c>
      <c r="E10" s="43" t="s">
        <v>21</v>
      </c>
      <c r="F10" s="41" t="s">
        <v>19</v>
      </c>
      <c r="G10" s="86">
        <v>500</v>
      </c>
      <c r="H10" s="75">
        <v>155.69999999999999</v>
      </c>
      <c r="I10" s="44">
        <f t="shared" ref="I10:I27" si="0">G10*H10</f>
        <v>77850</v>
      </c>
    </row>
    <row r="11" spans="1:9" ht="52.5" customHeight="1" x14ac:dyDescent="0.25">
      <c r="A11" s="40">
        <v>3</v>
      </c>
      <c r="B11" s="87" t="s">
        <v>22</v>
      </c>
      <c r="C11" s="85" t="s">
        <v>120</v>
      </c>
      <c r="D11" s="77" t="s">
        <v>17</v>
      </c>
      <c r="E11" s="43" t="s">
        <v>121</v>
      </c>
      <c r="F11" s="41" t="s">
        <v>19</v>
      </c>
      <c r="G11" s="86">
        <v>1500</v>
      </c>
      <c r="H11" s="75">
        <v>125.5</v>
      </c>
      <c r="I11" s="44">
        <f t="shared" si="0"/>
        <v>188250</v>
      </c>
    </row>
    <row r="12" spans="1:9" ht="52.5" customHeight="1" x14ac:dyDescent="0.25">
      <c r="A12" s="40">
        <v>4</v>
      </c>
      <c r="B12" s="84" t="s">
        <v>23</v>
      </c>
      <c r="C12" s="85" t="s">
        <v>120</v>
      </c>
      <c r="D12" s="77" t="s">
        <v>17</v>
      </c>
      <c r="E12" s="43" t="s">
        <v>24</v>
      </c>
      <c r="F12" s="41" t="s">
        <v>25</v>
      </c>
      <c r="G12" s="86">
        <v>200</v>
      </c>
      <c r="H12" s="75">
        <v>216.6</v>
      </c>
      <c r="I12" s="44">
        <f t="shared" si="0"/>
        <v>43320</v>
      </c>
    </row>
    <row r="13" spans="1:9" ht="52.5" customHeight="1" x14ac:dyDescent="0.25">
      <c r="A13" s="40">
        <v>5</v>
      </c>
      <c r="B13" s="84" t="s">
        <v>26</v>
      </c>
      <c r="C13" s="85" t="s">
        <v>120</v>
      </c>
      <c r="D13" s="77" t="s">
        <v>17</v>
      </c>
      <c r="E13" s="43" t="s">
        <v>27</v>
      </c>
      <c r="F13" s="41" t="s">
        <v>25</v>
      </c>
      <c r="G13" s="86">
        <v>200</v>
      </c>
      <c r="H13" s="75">
        <v>444.4</v>
      </c>
      <c r="I13" s="44">
        <f t="shared" si="0"/>
        <v>88880</v>
      </c>
    </row>
    <row r="14" spans="1:9" ht="52.5" customHeight="1" x14ac:dyDescent="0.25">
      <c r="A14" s="40">
        <v>6</v>
      </c>
      <c r="B14" s="84" t="s">
        <v>28</v>
      </c>
      <c r="C14" s="85" t="s">
        <v>120</v>
      </c>
      <c r="D14" s="77" t="s">
        <v>17</v>
      </c>
      <c r="E14" s="43" t="s">
        <v>29</v>
      </c>
      <c r="F14" s="41" t="s">
        <v>19</v>
      </c>
      <c r="G14" s="86">
        <v>100</v>
      </c>
      <c r="H14" s="75">
        <v>947.9</v>
      </c>
      <c r="I14" s="44">
        <f t="shared" si="0"/>
        <v>94790</v>
      </c>
    </row>
    <row r="15" spans="1:9" ht="52.5" customHeight="1" x14ac:dyDescent="0.25">
      <c r="A15" s="40">
        <v>7</v>
      </c>
      <c r="B15" s="84" t="s">
        <v>30</v>
      </c>
      <c r="C15" s="85" t="s">
        <v>120</v>
      </c>
      <c r="D15" s="77" t="s">
        <v>17</v>
      </c>
      <c r="E15" s="42" t="s">
        <v>31</v>
      </c>
      <c r="F15" s="41" t="s">
        <v>19</v>
      </c>
      <c r="G15" s="86">
        <v>500</v>
      </c>
      <c r="H15" s="75">
        <v>14.99</v>
      </c>
      <c r="I15" s="44">
        <f t="shared" si="0"/>
        <v>7495</v>
      </c>
    </row>
    <row r="16" spans="1:9" ht="52.5" customHeight="1" x14ac:dyDescent="0.25">
      <c r="A16" s="40">
        <v>8</v>
      </c>
      <c r="B16" s="88" t="s">
        <v>32</v>
      </c>
      <c r="C16" s="85" t="s">
        <v>120</v>
      </c>
      <c r="D16" s="77" t="s">
        <v>17</v>
      </c>
      <c r="E16" s="43" t="s">
        <v>33</v>
      </c>
      <c r="F16" s="41" t="s">
        <v>19</v>
      </c>
      <c r="G16" s="86">
        <v>500</v>
      </c>
      <c r="H16" s="75">
        <v>38.19</v>
      </c>
      <c r="I16" s="44">
        <f t="shared" si="0"/>
        <v>19095</v>
      </c>
    </row>
    <row r="17" spans="1:9" ht="52.5" customHeight="1" x14ac:dyDescent="0.25">
      <c r="A17" s="40">
        <v>9</v>
      </c>
      <c r="B17" s="84" t="s">
        <v>34</v>
      </c>
      <c r="C17" s="85" t="s">
        <v>120</v>
      </c>
      <c r="D17" s="77" t="s">
        <v>17</v>
      </c>
      <c r="E17" s="43" t="s">
        <v>35</v>
      </c>
      <c r="F17" s="41" t="s">
        <v>19</v>
      </c>
      <c r="G17" s="86">
        <v>500</v>
      </c>
      <c r="H17" s="75">
        <v>126.9</v>
      </c>
      <c r="I17" s="44">
        <f t="shared" si="0"/>
        <v>63450</v>
      </c>
    </row>
    <row r="18" spans="1:9" ht="52.5" customHeight="1" x14ac:dyDescent="0.25">
      <c r="A18" s="40">
        <v>10</v>
      </c>
      <c r="B18" s="84" t="s">
        <v>36</v>
      </c>
      <c r="C18" s="85" t="s">
        <v>120</v>
      </c>
      <c r="D18" s="77" t="s">
        <v>17</v>
      </c>
      <c r="E18" s="43" t="s">
        <v>37</v>
      </c>
      <c r="F18" s="41" t="s">
        <v>19</v>
      </c>
      <c r="G18" s="86">
        <v>500</v>
      </c>
      <c r="H18" s="75">
        <v>115.05</v>
      </c>
      <c r="I18" s="44">
        <f t="shared" si="0"/>
        <v>57525</v>
      </c>
    </row>
    <row r="19" spans="1:9" ht="52.5" customHeight="1" x14ac:dyDescent="0.25">
      <c r="A19" s="40">
        <v>11</v>
      </c>
      <c r="B19" s="88" t="s">
        <v>38</v>
      </c>
      <c r="C19" s="85" t="s">
        <v>120</v>
      </c>
      <c r="D19" s="77" t="s">
        <v>17</v>
      </c>
      <c r="E19" s="43" t="s">
        <v>39</v>
      </c>
      <c r="F19" s="41" t="s">
        <v>19</v>
      </c>
      <c r="G19" s="86">
        <v>500</v>
      </c>
      <c r="H19" s="75">
        <v>55.56</v>
      </c>
      <c r="I19" s="44">
        <f t="shared" si="0"/>
        <v>27780</v>
      </c>
    </row>
    <row r="20" spans="1:9" ht="52.5" customHeight="1" x14ac:dyDescent="0.25">
      <c r="A20" s="40">
        <v>12</v>
      </c>
      <c r="B20" s="84" t="s">
        <v>40</v>
      </c>
      <c r="C20" s="85" t="s">
        <v>120</v>
      </c>
      <c r="D20" s="77" t="s">
        <v>17</v>
      </c>
      <c r="E20" s="43" t="s">
        <v>41</v>
      </c>
      <c r="F20" s="41" t="s">
        <v>19</v>
      </c>
      <c r="G20" s="86">
        <v>1500</v>
      </c>
      <c r="H20" s="75">
        <v>31.9</v>
      </c>
      <c r="I20" s="44">
        <f t="shared" si="0"/>
        <v>47850</v>
      </c>
    </row>
    <row r="21" spans="1:9" ht="52.5" customHeight="1" x14ac:dyDescent="0.25">
      <c r="A21" s="40">
        <v>13</v>
      </c>
      <c r="B21" s="84" t="s">
        <v>42</v>
      </c>
      <c r="C21" s="85" t="s">
        <v>120</v>
      </c>
      <c r="D21" s="77" t="s">
        <v>17</v>
      </c>
      <c r="E21" s="43" t="s">
        <v>43</v>
      </c>
      <c r="F21" s="41" t="s">
        <v>19</v>
      </c>
      <c r="G21" s="86">
        <v>200</v>
      </c>
      <c r="H21" s="75">
        <v>207.1</v>
      </c>
      <c r="I21" s="44">
        <f t="shared" si="0"/>
        <v>41420</v>
      </c>
    </row>
    <row r="22" spans="1:9" ht="52.5" customHeight="1" x14ac:dyDescent="0.25">
      <c r="A22" s="40">
        <v>14</v>
      </c>
      <c r="B22" s="88" t="s">
        <v>44</v>
      </c>
      <c r="C22" s="85" t="s">
        <v>120</v>
      </c>
      <c r="D22" s="77" t="s">
        <v>17</v>
      </c>
      <c r="E22" s="43" t="s">
        <v>45</v>
      </c>
      <c r="F22" s="41" t="s">
        <v>19</v>
      </c>
      <c r="G22" s="86">
        <v>500</v>
      </c>
      <c r="H22" s="93">
        <v>275.60000000000002</v>
      </c>
      <c r="I22" s="44">
        <f t="shared" si="0"/>
        <v>137800</v>
      </c>
    </row>
    <row r="23" spans="1:9" ht="52.5" customHeight="1" x14ac:dyDescent="0.25">
      <c r="A23" s="40">
        <v>15</v>
      </c>
      <c r="B23" s="88" t="s">
        <v>46</v>
      </c>
      <c r="C23" s="85" t="s">
        <v>120</v>
      </c>
      <c r="D23" s="77" t="s">
        <v>17</v>
      </c>
      <c r="E23" s="43" t="s">
        <v>47</v>
      </c>
      <c r="F23" s="41" t="s">
        <v>19</v>
      </c>
      <c r="G23" s="86">
        <v>500</v>
      </c>
      <c r="H23" s="75">
        <v>45.5</v>
      </c>
      <c r="I23" s="44">
        <f t="shared" si="0"/>
        <v>22750</v>
      </c>
    </row>
    <row r="24" spans="1:9" ht="52.5" customHeight="1" x14ac:dyDescent="0.25">
      <c r="A24" s="40">
        <v>16</v>
      </c>
      <c r="B24" s="88" t="s">
        <v>48</v>
      </c>
      <c r="C24" s="85" t="s">
        <v>120</v>
      </c>
      <c r="D24" s="77" t="s">
        <v>17</v>
      </c>
      <c r="E24" s="43" t="s">
        <v>49</v>
      </c>
      <c r="F24" s="41" t="s">
        <v>25</v>
      </c>
      <c r="G24" s="86">
        <v>200</v>
      </c>
      <c r="H24" s="75">
        <v>71.260000000000005</v>
      </c>
      <c r="I24" s="44">
        <f t="shared" si="0"/>
        <v>14252.000000000002</v>
      </c>
    </row>
    <row r="25" spans="1:9" ht="52.5" customHeight="1" x14ac:dyDescent="0.25">
      <c r="A25" s="40">
        <v>17</v>
      </c>
      <c r="B25" s="88" t="s">
        <v>50</v>
      </c>
      <c r="C25" s="85" t="s">
        <v>120</v>
      </c>
      <c r="D25" s="77" t="s">
        <v>17</v>
      </c>
      <c r="E25" s="43" t="s">
        <v>51</v>
      </c>
      <c r="F25" s="41" t="s">
        <v>19</v>
      </c>
      <c r="G25" s="86">
        <v>100</v>
      </c>
      <c r="H25" s="75">
        <v>146.69999999999999</v>
      </c>
      <c r="I25" s="44">
        <f t="shared" si="0"/>
        <v>14669.999999999998</v>
      </c>
    </row>
    <row r="26" spans="1:9" ht="52.5" customHeight="1" x14ac:dyDescent="0.25">
      <c r="A26" s="40">
        <v>18</v>
      </c>
      <c r="B26" s="88" t="s">
        <v>52</v>
      </c>
      <c r="C26" s="85" t="s">
        <v>120</v>
      </c>
      <c r="D26" s="77" t="s">
        <v>17</v>
      </c>
      <c r="E26" s="43" t="s">
        <v>53</v>
      </c>
      <c r="F26" s="41" t="s">
        <v>19</v>
      </c>
      <c r="G26" s="94">
        <v>100</v>
      </c>
      <c r="H26" s="93">
        <v>353.1</v>
      </c>
      <c r="I26" s="44">
        <f t="shared" si="0"/>
        <v>35310</v>
      </c>
    </row>
    <row r="27" spans="1:9" ht="52.5" customHeight="1" x14ac:dyDescent="0.25">
      <c r="A27" s="40">
        <v>19</v>
      </c>
      <c r="B27" s="64" t="s">
        <v>54</v>
      </c>
      <c r="C27" s="85" t="s">
        <v>120</v>
      </c>
      <c r="D27" s="65" t="s">
        <v>17</v>
      </c>
      <c r="E27" s="66" t="s">
        <v>55</v>
      </c>
      <c r="F27" s="41" t="s">
        <v>19</v>
      </c>
      <c r="G27" s="86">
        <v>200</v>
      </c>
      <c r="H27" s="75">
        <v>260.89999999999998</v>
      </c>
      <c r="I27" s="44">
        <f t="shared" si="0"/>
        <v>52179.999999999993</v>
      </c>
    </row>
    <row r="28" spans="1:9" ht="52.5" customHeight="1" x14ac:dyDescent="0.25">
      <c r="A28" s="109">
        <v>20</v>
      </c>
      <c r="B28" s="88" t="s">
        <v>56</v>
      </c>
      <c r="C28" s="85" t="s">
        <v>120</v>
      </c>
      <c r="D28" s="65" t="s">
        <v>17</v>
      </c>
      <c r="E28" s="43" t="s">
        <v>57</v>
      </c>
      <c r="F28" s="41" t="s">
        <v>25</v>
      </c>
      <c r="G28" s="86">
        <v>200</v>
      </c>
      <c r="H28" s="75">
        <v>1104</v>
      </c>
      <c r="I28" s="110">
        <f t="shared" ref="I28" si="1">G28*H28</f>
        <v>220800</v>
      </c>
    </row>
    <row r="29" spans="1:9" ht="52.5" customHeight="1" thickBot="1" x14ac:dyDescent="0.3">
      <c r="A29" s="103">
        <v>21</v>
      </c>
      <c r="B29" s="111" t="s">
        <v>122</v>
      </c>
      <c r="C29" s="104" t="s">
        <v>120</v>
      </c>
      <c r="D29" s="104" t="s">
        <v>123</v>
      </c>
      <c r="E29" s="105" t="s">
        <v>124</v>
      </c>
      <c r="F29" s="106" t="s">
        <v>19</v>
      </c>
      <c r="G29" s="107">
        <v>800</v>
      </c>
      <c r="H29" s="108">
        <v>663.38</v>
      </c>
      <c r="I29" s="110">
        <f>+G29*H29</f>
        <v>530704</v>
      </c>
    </row>
    <row r="30" spans="1:9" ht="15" thickTop="1" thickBot="1" x14ac:dyDescent="0.3">
      <c r="A30" s="119"/>
      <c r="B30" s="119"/>
      <c r="C30" s="119"/>
      <c r="D30" s="119"/>
      <c r="E30" s="119"/>
      <c r="F30" s="119"/>
      <c r="G30" s="119"/>
      <c r="H30" s="119"/>
      <c r="I30" s="45">
        <f>SUM(I9:I29)</f>
        <v>1949171</v>
      </c>
    </row>
    <row r="31" spans="1:9" ht="14.25" thickBot="1" x14ac:dyDescent="0.3">
      <c r="B31" s="46"/>
    </row>
    <row r="32" spans="1:9" ht="18" customHeight="1" x14ac:dyDescent="0.25">
      <c r="B32" s="47" t="s">
        <v>58</v>
      </c>
      <c r="C32" s="48"/>
      <c r="D32" s="48"/>
      <c r="E32" s="49"/>
    </row>
    <row r="33" spans="1:5" x14ac:dyDescent="0.25">
      <c r="B33" s="50"/>
      <c r="C33" s="5"/>
      <c r="D33" s="5"/>
      <c r="E33" s="51"/>
    </row>
    <row r="34" spans="1:5" x14ac:dyDescent="0.25">
      <c r="B34" s="120" t="s">
        <v>59</v>
      </c>
      <c r="C34" s="121"/>
      <c r="D34" s="5"/>
      <c r="E34" s="51"/>
    </row>
    <row r="35" spans="1:5" ht="29.25" customHeight="1" x14ac:dyDescent="0.25">
      <c r="B35" s="52"/>
      <c r="C35" s="117" t="s">
        <v>119</v>
      </c>
      <c r="D35" s="117"/>
      <c r="E35" s="118"/>
    </row>
    <row r="36" spans="1:5" x14ac:dyDescent="0.25">
      <c r="B36" s="50"/>
      <c r="C36" s="5"/>
      <c r="D36" s="5"/>
      <c r="E36" s="51"/>
    </row>
    <row r="37" spans="1:5" x14ac:dyDescent="0.25">
      <c r="B37" s="120" t="s">
        <v>60</v>
      </c>
      <c r="C37" s="121"/>
      <c r="D37" s="5"/>
      <c r="E37" s="51"/>
    </row>
    <row r="38" spans="1:5" ht="30" customHeight="1" x14ac:dyDescent="0.25">
      <c r="B38" s="52"/>
      <c r="C38" s="112" t="s">
        <v>61</v>
      </c>
      <c r="D38" s="112"/>
      <c r="E38" s="113"/>
    </row>
    <row r="39" spans="1:5" x14ac:dyDescent="0.25">
      <c r="B39" s="50"/>
      <c r="C39" s="5"/>
      <c r="D39" s="5"/>
      <c r="E39" s="51"/>
    </row>
    <row r="40" spans="1:5" x14ac:dyDescent="0.25">
      <c r="B40" s="120" t="s">
        <v>62</v>
      </c>
      <c r="C40" s="121"/>
      <c r="D40" s="5"/>
      <c r="E40" s="51"/>
    </row>
    <row r="41" spans="1:5" ht="18" customHeight="1" x14ac:dyDescent="0.25">
      <c r="B41" s="52"/>
      <c r="C41" s="112" t="s">
        <v>63</v>
      </c>
      <c r="D41" s="112"/>
      <c r="E41" s="113"/>
    </row>
    <row r="42" spans="1:5" ht="13.5" customHeight="1" x14ac:dyDescent="0.25">
      <c r="B42" s="50"/>
      <c r="C42" s="5"/>
      <c r="D42" s="5"/>
      <c r="E42" s="51"/>
    </row>
    <row r="43" spans="1:5" x14ac:dyDescent="0.25">
      <c r="B43" s="50"/>
      <c r="C43" s="5"/>
      <c r="D43" s="5"/>
      <c r="E43" s="51"/>
    </row>
    <row r="44" spans="1:5" x14ac:dyDescent="0.25">
      <c r="A44" s="53"/>
      <c r="B44" s="54" t="s">
        <v>64</v>
      </c>
      <c r="C44" s="55"/>
      <c r="D44" s="5"/>
      <c r="E44" s="56"/>
    </row>
    <row r="45" spans="1:5" ht="127.5" customHeight="1" x14ac:dyDescent="0.25">
      <c r="A45" s="53"/>
      <c r="B45" s="57"/>
      <c r="C45" s="117" t="s">
        <v>65</v>
      </c>
      <c r="D45" s="117"/>
      <c r="E45" s="118"/>
    </row>
    <row r="46" spans="1:5" ht="9.75" customHeight="1" x14ac:dyDescent="0.25">
      <c r="A46" s="53"/>
      <c r="B46" s="57"/>
      <c r="C46" s="122"/>
      <c r="D46" s="122"/>
      <c r="E46" s="123"/>
    </row>
    <row r="47" spans="1:5" x14ac:dyDescent="0.25">
      <c r="A47" s="53"/>
      <c r="B47" s="54" t="s">
        <v>66</v>
      </c>
      <c r="C47" s="55"/>
      <c r="D47" s="5"/>
      <c r="E47" s="56"/>
    </row>
    <row r="48" spans="1:5" x14ac:dyDescent="0.25">
      <c r="A48" s="53"/>
      <c r="B48" s="57"/>
      <c r="C48" s="117" t="s">
        <v>67</v>
      </c>
      <c r="D48" s="117"/>
      <c r="E48" s="118"/>
    </row>
    <row r="49" spans="1:5" ht="13.5" customHeight="1" x14ac:dyDescent="0.25">
      <c r="B49" s="58"/>
      <c r="C49" s="5"/>
      <c r="D49" s="5"/>
      <c r="E49" s="51"/>
    </row>
    <row r="50" spans="1:5" x14ac:dyDescent="0.25">
      <c r="B50" s="58"/>
      <c r="C50" s="5"/>
      <c r="D50" s="5"/>
      <c r="E50" s="51"/>
    </row>
    <row r="51" spans="1:5" ht="19.5" customHeight="1" x14ac:dyDescent="0.25">
      <c r="B51" s="54" t="s">
        <v>68</v>
      </c>
      <c r="C51" s="59"/>
      <c r="D51" s="59"/>
      <c r="E51" s="60"/>
    </row>
    <row r="52" spans="1:5" ht="15" customHeight="1" x14ac:dyDescent="0.25">
      <c r="B52" s="61"/>
      <c r="C52" s="112" t="s">
        <v>69</v>
      </c>
      <c r="D52" s="112"/>
      <c r="E52" s="113"/>
    </row>
    <row r="53" spans="1:5" ht="15" customHeight="1" x14ac:dyDescent="0.25">
      <c r="B53" s="62" t="s">
        <v>70</v>
      </c>
      <c r="C53" s="5"/>
      <c r="D53" s="5"/>
      <c r="E53" s="51"/>
    </row>
    <row r="54" spans="1:5" ht="8.25" customHeight="1" thickBot="1" x14ac:dyDescent="0.3">
      <c r="B54" s="63"/>
      <c r="C54" s="114"/>
      <c r="D54" s="114"/>
      <c r="E54" s="115"/>
    </row>
    <row r="55" spans="1:5" ht="14.25" thickBot="1" x14ac:dyDescent="0.3">
      <c r="B55" s="89"/>
      <c r="C55" s="90"/>
      <c r="D55" s="90"/>
      <c r="E55" s="91"/>
    </row>
    <row r="58" spans="1:5" ht="30" customHeight="1" x14ac:dyDescent="0.25"/>
    <row r="62" spans="1:5" x14ac:dyDescent="0.25">
      <c r="A62" s="92"/>
      <c r="B62" s="92"/>
      <c r="C62" s="92"/>
      <c r="D62" s="92"/>
    </row>
    <row r="63" spans="1:5" x14ac:dyDescent="0.25">
      <c r="A63" s="92"/>
      <c r="B63" s="92"/>
      <c r="C63" s="92"/>
      <c r="D63" s="92"/>
    </row>
    <row r="65" ht="12.75" customHeight="1" x14ac:dyDescent="0.25"/>
    <row r="70" ht="102" customHeight="1" x14ac:dyDescent="0.25"/>
    <row r="73" ht="12.75" customHeight="1" x14ac:dyDescent="0.25"/>
  </sheetData>
  <mergeCells count="19">
    <mergeCell ref="A5:B5"/>
    <mergeCell ref="B1:H1"/>
    <mergeCell ref="A3:B3"/>
    <mergeCell ref="C3:E3"/>
    <mergeCell ref="A4:B4"/>
    <mergeCell ref="C4:E4"/>
    <mergeCell ref="C52:E52"/>
    <mergeCell ref="C54:E54"/>
    <mergeCell ref="A6:B6"/>
    <mergeCell ref="C45:E45"/>
    <mergeCell ref="C48:E48"/>
    <mergeCell ref="A30:H30"/>
    <mergeCell ref="B34:C34"/>
    <mergeCell ref="C35:E35"/>
    <mergeCell ref="B37:C37"/>
    <mergeCell ref="C38:E38"/>
    <mergeCell ref="B40:C40"/>
    <mergeCell ref="C41:E41"/>
    <mergeCell ref="C46:E4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topLeftCell="A22" zoomScale="70" zoomScaleNormal="70" workbookViewId="0">
      <selection activeCell="A32" sqref="A32:I32"/>
    </sheetView>
  </sheetViews>
  <sheetFormatPr baseColWidth="10" defaultColWidth="9.140625" defaultRowHeight="13.5" x14ac:dyDescent="0.25"/>
  <cols>
    <col min="1" max="1" width="5.5703125" style="23" customWidth="1"/>
    <col min="2" max="2" width="16.425781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45.7109375" style="23" customWidth="1"/>
    <col min="8" max="8" width="11.42578125" style="23" customWidth="1"/>
    <col min="9" max="9" width="15.5703125" style="23" customWidth="1"/>
    <col min="10" max="10" width="14.7109375" style="23" customWidth="1"/>
    <col min="11" max="11" width="15.570312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3"/>
  </cols>
  <sheetData>
    <row r="1" spans="1:11" ht="18" customHeight="1" x14ac:dyDescent="0.25">
      <c r="A1" s="126" t="s">
        <v>71</v>
      </c>
      <c r="B1" s="126"/>
      <c r="C1" s="126"/>
      <c r="D1" s="126"/>
      <c r="E1" s="126"/>
      <c r="F1" s="126"/>
      <c r="G1" s="126"/>
      <c r="H1" s="126"/>
      <c r="I1" s="126"/>
      <c r="J1" s="21" t="s">
        <v>72</v>
      </c>
      <c r="K1" s="22" t="s">
        <v>73</v>
      </c>
    </row>
    <row r="2" spans="1:11" ht="18.75" customHeight="1" thickBot="1" x14ac:dyDescent="0.3">
      <c r="A2" s="24"/>
      <c r="B2" s="24"/>
      <c r="C2" s="24"/>
      <c r="D2" s="25"/>
      <c r="E2" s="25"/>
      <c r="F2" s="25"/>
      <c r="G2" s="25"/>
      <c r="H2" s="25"/>
      <c r="I2" s="25"/>
      <c r="J2" s="25"/>
      <c r="K2" s="25"/>
    </row>
    <row r="3" spans="1:11" ht="18.75" customHeight="1" thickBot="1" x14ac:dyDescent="0.3">
      <c r="A3" s="127" t="s">
        <v>74</v>
      </c>
      <c r="B3" s="127"/>
      <c r="C3" s="127"/>
      <c r="D3" s="128" t="str">
        <f>'Necesidades Trimestrales'!C4</f>
        <v>7 - Direccion Provincial de Administracion de la Policia de Catamarca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3">
      <c r="A4" s="129" t="s">
        <v>75</v>
      </c>
      <c r="B4" s="129"/>
      <c r="C4" s="129"/>
      <c r="D4" s="128">
        <f>'Necesidades Trimestrales'!C5</f>
        <v>2021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3">
      <c r="A5" s="129" t="s">
        <v>76</v>
      </c>
      <c r="B5" s="129"/>
      <c r="C5" s="129"/>
      <c r="D5" s="128" t="s">
        <v>77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3">
      <c r="A6" s="127" t="s">
        <v>78</v>
      </c>
      <c r="B6" s="127"/>
      <c r="C6" s="127"/>
      <c r="D6" s="128" t="s">
        <v>79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5">
      <c r="A7" s="129" t="s">
        <v>80</v>
      </c>
      <c r="B7" s="129"/>
      <c r="C7" s="129"/>
      <c r="D7" s="128" t="str">
        <f>'Necesidades Trimestrales'!C6 &amp; "° Trimestre - Año " &amp;'Necesidades Trimestrales'!C5</f>
        <v>2° Trimestre - Año 2021</v>
      </c>
      <c r="E7" s="128"/>
      <c r="F7" s="128"/>
      <c r="G7" s="128"/>
      <c r="H7" s="128"/>
      <c r="I7" s="128"/>
      <c r="J7" s="128"/>
      <c r="K7" s="128"/>
    </row>
    <row r="8" spans="1:11" ht="16.5" customHeight="1" x14ac:dyDescent="0.25">
      <c r="A8" s="132" t="s">
        <v>81</v>
      </c>
      <c r="B8" s="132"/>
      <c r="C8" s="132"/>
      <c r="D8" s="133" t="s">
        <v>82</v>
      </c>
      <c r="E8" s="133"/>
      <c r="F8" s="133"/>
      <c r="G8" s="133"/>
      <c r="H8" s="133"/>
      <c r="I8" s="133"/>
      <c r="J8" s="133"/>
      <c r="K8" s="133"/>
    </row>
    <row r="9" spans="1:11" ht="18" thickBot="1" x14ac:dyDescent="0.3">
      <c r="A9" s="26"/>
      <c r="B9" s="26"/>
      <c r="C9" s="26"/>
      <c r="D9" s="27"/>
      <c r="E9" s="27"/>
      <c r="F9" s="27"/>
      <c r="G9" s="27"/>
      <c r="H9" s="27"/>
      <c r="I9" s="27"/>
      <c r="J9" s="27"/>
      <c r="K9" s="27"/>
    </row>
    <row r="10" spans="1:11" ht="18.75" customHeight="1" thickBot="1" x14ac:dyDescent="0.3">
      <c r="A10" s="134" t="s">
        <v>83</v>
      </c>
      <c r="B10" s="135" t="s">
        <v>84</v>
      </c>
      <c r="C10" s="136" t="s">
        <v>85</v>
      </c>
      <c r="D10" s="136"/>
      <c r="E10" s="136"/>
      <c r="F10" s="136"/>
      <c r="G10" s="136"/>
      <c r="H10" s="136" t="s">
        <v>86</v>
      </c>
      <c r="I10" s="136" t="s">
        <v>87</v>
      </c>
      <c r="J10" s="136" t="s">
        <v>88</v>
      </c>
      <c r="K10" s="137" t="s">
        <v>89</v>
      </c>
    </row>
    <row r="11" spans="1:11" ht="24" customHeight="1" thickBot="1" x14ac:dyDescent="0.3">
      <c r="A11" s="134"/>
      <c r="B11" s="135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1" ht="27.75" customHeight="1" x14ac:dyDescent="0.25">
      <c r="A12" s="67">
        <f>'Necesidades Trimestrales'!A9</f>
        <v>1</v>
      </c>
      <c r="B12" s="68" t="str">
        <f>'Necesidades Trimestrales'!B9</f>
        <v>2.9.2-317.5</v>
      </c>
      <c r="C12" s="138" t="str">
        <f>'Necesidades Trimestrales'!E9</f>
        <v>BOLIGRAFOS; TRAZO 1,0mm</v>
      </c>
      <c r="D12" s="138"/>
      <c r="E12" s="138"/>
      <c r="F12" s="138"/>
      <c r="G12" s="138"/>
      <c r="H12" s="69" t="s">
        <v>90</v>
      </c>
      <c r="I12" s="97" t="str">
        <f>'Necesidades Trimestrales'!F9</f>
        <v>UNIDAD</v>
      </c>
      <c r="J12" s="98">
        <f>'Necesidades Trimestrales'!H9</f>
        <v>32.6</v>
      </c>
      <c r="K12" s="70">
        <f>'Necesidades Trimestrales'!G9</f>
        <v>5000</v>
      </c>
    </row>
    <row r="13" spans="1:11" ht="27.75" customHeight="1" x14ac:dyDescent="0.25">
      <c r="A13" s="71">
        <f>'Necesidades Trimestrales'!A10</f>
        <v>2</v>
      </c>
      <c r="B13" s="64" t="str">
        <f>'Necesidades Trimestrales'!B10</f>
        <v>2.9.2-262.5</v>
      </c>
      <c r="C13" s="131" t="str">
        <f>'Necesidades Trimestrales'!E10</f>
        <v>ADHESIVOS P/PAPEL; TIPO: COLA VINILICA, PRESENTACION: 500 GR</v>
      </c>
      <c r="D13" s="131"/>
      <c r="E13" s="131"/>
      <c r="F13" s="131"/>
      <c r="G13" s="131"/>
      <c r="H13" s="95" t="s">
        <v>91</v>
      </c>
      <c r="I13" s="101" t="str">
        <f>'Necesidades Trimestrales'!F10</f>
        <v>UNIDAD</v>
      </c>
      <c r="J13" s="102">
        <f>'Necesidades Trimestrales'!H10</f>
        <v>155.69999999999999</v>
      </c>
      <c r="K13" s="96">
        <f>'Necesidades Trimestrales'!G10</f>
        <v>500</v>
      </c>
    </row>
    <row r="14" spans="1:11" ht="27.75" customHeight="1" x14ac:dyDescent="0.25">
      <c r="A14" s="71">
        <f>'Necesidades Trimestrales'!A11</f>
        <v>3</v>
      </c>
      <c r="B14" s="64" t="str">
        <f>'Necesidades Trimestrales'!B11</f>
        <v>2.9.2-1153.130</v>
      </c>
      <c r="C14" s="139" t="str">
        <f>'Necesidades Trimestrales'!E11</f>
        <v>CINTAS ADHESIVAS; TIPO: EMBALAR, ANCHO: 48 mm, LARGO: 100 M, MATERIAL: POLIPROPILENO, ACCESORIO: SIN</v>
      </c>
      <c r="D14" s="131"/>
      <c r="E14" s="131"/>
      <c r="F14" s="131"/>
      <c r="G14" s="131"/>
      <c r="H14" s="95" t="s">
        <v>91</v>
      </c>
      <c r="I14" s="101" t="str">
        <f>'Necesidades Trimestrales'!F11</f>
        <v>UNIDAD</v>
      </c>
      <c r="J14" s="102">
        <f>'Necesidades Trimestrales'!H11</f>
        <v>125.5</v>
      </c>
      <c r="K14" s="96">
        <f>'Necesidades Trimestrales'!G11</f>
        <v>1500</v>
      </c>
    </row>
    <row r="15" spans="1:11" ht="27.75" customHeight="1" x14ac:dyDescent="0.25">
      <c r="A15" s="71">
        <f>'Necesidades Trimestrales'!A12</f>
        <v>4</v>
      </c>
      <c r="B15" s="64" t="str">
        <f>'Necesidades Trimestrales'!B12</f>
        <v>2.9.2-852.5</v>
      </c>
      <c r="C15" s="131" t="str">
        <f>'Necesidades Trimestrales'!E12</f>
        <v>BROCHES DORADOS; N° PATAS: 2, N°: 10, PRESENTACION: CAJA X 100 UNIDADES, CANTIDAD PATAS: 2, NUMERO: 10</v>
      </c>
      <c r="D15" s="131"/>
      <c r="E15" s="131"/>
      <c r="F15" s="131"/>
      <c r="G15" s="131"/>
      <c r="H15" s="95" t="s">
        <v>91</v>
      </c>
      <c r="I15" s="101" t="str">
        <f>'Necesidades Trimestrales'!F12</f>
        <v>CAJA</v>
      </c>
      <c r="J15" s="102">
        <f>'Necesidades Trimestrales'!H12</f>
        <v>216.6</v>
      </c>
      <c r="K15" s="96">
        <f>'Necesidades Trimestrales'!G12</f>
        <v>200</v>
      </c>
    </row>
    <row r="16" spans="1:11" ht="27.75" customHeight="1" x14ac:dyDescent="0.25">
      <c r="A16" s="71">
        <f>'Necesidades Trimestrales'!A13</f>
        <v>5</v>
      </c>
      <c r="B16" s="64" t="str">
        <f>'Necesidades Trimestrales'!B13</f>
        <v>2.9.2-852.7</v>
      </c>
      <c r="C16" s="131" t="str">
        <f>'Necesidades Trimestrales'!E13</f>
        <v>BROCHES DORADOS; N° PATAS: 2, N°: 14, PRESENTACION: CAJA X 100 UNIDADES, CANTIDAD PATAS: 2, NUMERO: 14</v>
      </c>
      <c r="D16" s="131"/>
      <c r="E16" s="131"/>
      <c r="F16" s="131"/>
      <c r="G16" s="131"/>
      <c r="H16" s="95" t="s">
        <v>91</v>
      </c>
      <c r="I16" s="101" t="str">
        <f>'Necesidades Trimestrales'!F13</f>
        <v>CAJA</v>
      </c>
      <c r="J16" s="102">
        <f>'Necesidades Trimestrales'!H13</f>
        <v>444.4</v>
      </c>
      <c r="K16" s="96">
        <f>'Necesidades Trimestrales'!G13</f>
        <v>200</v>
      </c>
    </row>
    <row r="17" spans="1:11" ht="27.75" customHeight="1" x14ac:dyDescent="0.25">
      <c r="A17" s="71">
        <f>'Necesidades Trimestrales'!A14</f>
        <v>6</v>
      </c>
      <c r="B17" s="64" t="str">
        <f>'Necesidades Trimestrales'!B14</f>
        <v>2.9.2-261.14</v>
      </c>
      <c r="C17" s="131" t="str">
        <f>'Necesidades Trimestrales'!E14</f>
        <v>ABROCHADORAS DE PAPEL; TIPO: PINZA, P/BROCHES: 10/50, MATERIAL: METALICA, MEDIDA: 10/50</v>
      </c>
      <c r="D17" s="131"/>
      <c r="E17" s="131"/>
      <c r="F17" s="131"/>
      <c r="G17" s="131"/>
      <c r="H17" s="95" t="s">
        <v>91</v>
      </c>
      <c r="I17" s="101" t="str">
        <f>'Necesidades Trimestrales'!F14</f>
        <v>UNIDAD</v>
      </c>
      <c r="J17" s="102">
        <f>'Necesidades Trimestrales'!H14</f>
        <v>947.9</v>
      </c>
      <c r="K17" s="96">
        <f>'Necesidades Trimestrales'!G14</f>
        <v>100</v>
      </c>
    </row>
    <row r="18" spans="1:11" ht="27.75" customHeight="1" x14ac:dyDescent="0.25">
      <c r="A18" s="71">
        <f>'Necesidades Trimestrales'!A15</f>
        <v>7</v>
      </c>
      <c r="B18" s="64" t="str">
        <f>'Necesidades Trimestrales'!B15</f>
        <v>2.9.2-848.20</v>
      </c>
      <c r="C18" s="131" t="str">
        <f>'Necesidades Trimestrales'!E15</f>
        <v>LAPIZ; TIPO: 2HB, COLOR: NEGRO</v>
      </c>
      <c r="D18" s="131"/>
      <c r="E18" s="131"/>
      <c r="F18" s="131"/>
      <c r="G18" s="131"/>
      <c r="H18" s="95" t="s">
        <v>91</v>
      </c>
      <c r="I18" s="101" t="str">
        <f>'Necesidades Trimestrales'!F15</f>
        <v>UNIDAD</v>
      </c>
      <c r="J18" s="102">
        <f>'Necesidades Trimestrales'!H15</f>
        <v>14.99</v>
      </c>
      <c r="K18" s="96">
        <f>'Necesidades Trimestrales'!G15</f>
        <v>500</v>
      </c>
    </row>
    <row r="19" spans="1:11" ht="27.75" customHeight="1" x14ac:dyDescent="0.25">
      <c r="A19" s="71">
        <f>'Necesidades Trimestrales'!A16</f>
        <v>8</v>
      </c>
      <c r="B19" s="64" t="str">
        <f>'Necesidades Trimestrales'!B16</f>
        <v>2.9.2-674.9</v>
      </c>
      <c r="C19" s="131" t="str">
        <f>'Necesidades Trimestrales'!E16</f>
        <v>REGLAS GRADUADAS; TIPO: PLANA, MATERIAL: PLASTICO, LONG.DE CUERPO: 30 Cm</v>
      </c>
      <c r="D19" s="131"/>
      <c r="E19" s="131"/>
      <c r="F19" s="131"/>
      <c r="G19" s="131"/>
      <c r="H19" s="95" t="s">
        <v>91</v>
      </c>
      <c r="I19" s="101" t="str">
        <f>'Necesidades Trimestrales'!F16</f>
        <v>UNIDAD</v>
      </c>
      <c r="J19" s="102">
        <f>'Necesidades Trimestrales'!H16</f>
        <v>38.19</v>
      </c>
      <c r="K19" s="96">
        <f>'Necesidades Trimestrales'!G16</f>
        <v>500</v>
      </c>
    </row>
    <row r="20" spans="1:11" ht="27.75" customHeight="1" x14ac:dyDescent="0.25">
      <c r="A20" s="71">
        <f>'Necesidades Trimestrales'!A17</f>
        <v>9</v>
      </c>
      <c r="B20" s="64" t="str">
        <f>'Necesidades Trimestrales'!B17</f>
        <v>2.9.2-1616.118</v>
      </c>
      <c r="C20" s="131" t="str">
        <f>'Necesidades Trimestrales'!E17</f>
        <v>MARCADORES; TIPO: INDELEBLE, TRAZO: FINO, PUNTA: REDONDA, COLOR: NEGRO, RECARGABLE: NO</v>
      </c>
      <c r="D20" s="131"/>
      <c r="E20" s="131"/>
      <c r="F20" s="131"/>
      <c r="G20" s="131"/>
      <c r="H20" s="95" t="s">
        <v>91</v>
      </c>
      <c r="I20" s="101" t="str">
        <f>'Necesidades Trimestrales'!F17</f>
        <v>UNIDAD</v>
      </c>
      <c r="J20" s="102">
        <f>'Necesidades Trimestrales'!H17</f>
        <v>126.9</v>
      </c>
      <c r="K20" s="96">
        <f>'Necesidades Trimestrales'!G17</f>
        <v>500</v>
      </c>
    </row>
    <row r="21" spans="1:11" ht="39.75" customHeight="1" x14ac:dyDescent="0.25">
      <c r="A21" s="71">
        <f>'Necesidades Trimestrales'!A18</f>
        <v>10</v>
      </c>
      <c r="B21" s="64" t="str">
        <f>'Necesidades Trimestrales'!B18</f>
        <v>2.9.2-1616.174</v>
      </c>
      <c r="C21" s="131" t="str">
        <f>'Necesidades Trimestrales'!E18</f>
        <v>MARCADORES; TIPO: P/METALES, TRAZO: MEDIO, PUNTA: REDONDA, RECARGABLE: NO</v>
      </c>
      <c r="D21" s="131"/>
      <c r="E21" s="131"/>
      <c r="F21" s="131"/>
      <c r="G21" s="131"/>
      <c r="H21" s="95" t="s">
        <v>91</v>
      </c>
      <c r="I21" s="101" t="str">
        <f>'Necesidades Trimestrales'!F18</f>
        <v>UNIDAD</v>
      </c>
      <c r="J21" s="102">
        <f>'Necesidades Trimestrales'!H18</f>
        <v>115.05</v>
      </c>
      <c r="K21" s="96">
        <f>'Necesidades Trimestrales'!G18</f>
        <v>500</v>
      </c>
    </row>
    <row r="22" spans="1:11" ht="27.75" customHeight="1" x14ac:dyDescent="0.25">
      <c r="A22" s="71">
        <f>'Necesidades Trimestrales'!A19</f>
        <v>11</v>
      </c>
      <c r="B22" s="64" t="str">
        <f>'Necesidades Trimestrales'!B19</f>
        <v>2.9.2-1354.15</v>
      </c>
      <c r="C22" s="131" t="str">
        <f>'Necesidades Trimestrales'!E19</f>
        <v>RESALTADORES; PUNTA: 3 PLANA mm, ACCESORIO: SIN, COLOR: VERDE, TIPO PUNTA: 3 PLANA mm</v>
      </c>
      <c r="D22" s="131"/>
      <c r="E22" s="131"/>
      <c r="F22" s="131"/>
      <c r="G22" s="131"/>
      <c r="H22" s="95" t="s">
        <v>91</v>
      </c>
      <c r="I22" s="101" t="str">
        <f>'Necesidades Trimestrales'!F19</f>
        <v>UNIDAD</v>
      </c>
      <c r="J22" s="102">
        <f>'Necesidades Trimestrales'!H19</f>
        <v>55.56</v>
      </c>
      <c r="K22" s="96">
        <f>'Necesidades Trimestrales'!G19</f>
        <v>500</v>
      </c>
    </row>
    <row r="23" spans="1:11" ht="27.75" customHeight="1" x14ac:dyDescent="0.25">
      <c r="A23" s="71">
        <f>'Necesidades Trimestrales'!A20</f>
        <v>12</v>
      </c>
      <c r="B23" s="64" t="str">
        <f>'Necesidades Trimestrales'!B20</f>
        <v>2.9.2-323.3</v>
      </c>
      <c r="C23" s="131" t="str">
        <f>'Necesidades Trimestrales'!E20</f>
        <v>CORRECTORES DE ESCRITURA; ENVASE: LAPIZ (PUNTA METAL), PRESENTACION: LAPIZ (PUNTA METAL) X 10 mL, CAPACIDAD: 10 mL</v>
      </c>
      <c r="D23" s="131"/>
      <c r="E23" s="131"/>
      <c r="F23" s="131"/>
      <c r="G23" s="131"/>
      <c r="H23" s="95" t="s">
        <v>91</v>
      </c>
      <c r="I23" s="101" t="str">
        <f>'Necesidades Trimestrales'!F20</f>
        <v>UNIDAD</v>
      </c>
      <c r="J23" s="102">
        <f>'Necesidades Trimestrales'!H20</f>
        <v>31.9</v>
      </c>
      <c r="K23" s="96">
        <f>'Necesidades Trimestrales'!G20</f>
        <v>1500</v>
      </c>
    </row>
    <row r="24" spans="1:11" ht="27.75" customHeight="1" x14ac:dyDescent="0.25">
      <c r="A24" s="71">
        <f>'Necesidades Trimestrales'!A21</f>
        <v>13</v>
      </c>
      <c r="B24" s="64" t="str">
        <f>'Necesidades Trimestrales'!B21</f>
        <v>2.9.2-274.11</v>
      </c>
      <c r="C24" s="131" t="str">
        <f>'Necesidades Trimestrales'!E21</f>
        <v>BIBLIORATOS; LOMO: CARTON, COLOR: GRIS, ANCHO: 85 mm, ANILLO: 2 Y PALANCA, TAMAÑO: OFICIO, TAPAS: CARTON, MATERIAL: CARTON</v>
      </c>
      <c r="D24" s="131"/>
      <c r="E24" s="131"/>
      <c r="F24" s="131"/>
      <c r="G24" s="131"/>
      <c r="H24" s="95" t="s">
        <v>91</v>
      </c>
      <c r="I24" s="101" t="str">
        <f>'Necesidades Trimestrales'!F21</f>
        <v>UNIDAD</v>
      </c>
      <c r="J24" s="102">
        <f>'Necesidades Trimestrales'!H21</f>
        <v>207.1</v>
      </c>
      <c r="K24" s="96">
        <f>'Necesidades Trimestrales'!G21</f>
        <v>200</v>
      </c>
    </row>
    <row r="25" spans="1:11" ht="27.75" customHeight="1" x14ac:dyDescent="0.25">
      <c r="A25" s="71">
        <f>'Necesidades Trimestrales'!A22</f>
        <v>14</v>
      </c>
      <c r="B25" s="64" t="str">
        <f>'Necesidades Trimestrales'!B22</f>
        <v>2.9.2-850.13</v>
      </c>
      <c r="C25" s="131" t="str">
        <f>'Necesidades Trimestrales'!E22</f>
        <v>CAJAS DE ARCHIVO; DIMENSION: 26 X 36 X 12 (+ - 5%), COLOR: AZUL, MATERIAL: PLASTICO CORRUGADO</v>
      </c>
      <c r="D25" s="131"/>
      <c r="E25" s="131"/>
      <c r="F25" s="131"/>
      <c r="G25" s="131"/>
      <c r="H25" s="95" t="s">
        <v>91</v>
      </c>
      <c r="I25" s="101" t="str">
        <f>'Necesidades Trimestrales'!F22</f>
        <v>UNIDAD</v>
      </c>
      <c r="J25" s="102">
        <f>'Necesidades Trimestrales'!H22</f>
        <v>275.60000000000002</v>
      </c>
      <c r="K25" s="96">
        <f>'Necesidades Trimestrales'!G22</f>
        <v>500</v>
      </c>
    </row>
    <row r="26" spans="1:11" ht="27.75" customHeight="1" x14ac:dyDescent="0.25">
      <c r="A26" s="71">
        <f>'Necesidades Trimestrales'!A23</f>
        <v>15</v>
      </c>
      <c r="B26" s="64" t="str">
        <f>'Necesidades Trimestrales'!B23</f>
        <v>2.9.2-1358.354</v>
      </c>
      <c r="C26" s="131" t="str">
        <f>'Necesidades Trimestrales'!E23</f>
        <v>CARPETAS; MATERIAL PLASTICO - TAMAÑO OFICIO. Tapa transparente</v>
      </c>
      <c r="D26" s="131"/>
      <c r="E26" s="131"/>
      <c r="F26" s="131"/>
      <c r="G26" s="131"/>
      <c r="H26" s="95" t="s">
        <v>90</v>
      </c>
      <c r="I26" s="101" t="str">
        <f>'Necesidades Trimestrales'!F23</f>
        <v>UNIDAD</v>
      </c>
      <c r="J26" s="102">
        <f>'Necesidades Trimestrales'!H23</f>
        <v>45.5</v>
      </c>
      <c r="K26" s="96">
        <f>'Necesidades Trimestrales'!G23</f>
        <v>500</v>
      </c>
    </row>
    <row r="27" spans="1:11" ht="27.75" customHeight="1" x14ac:dyDescent="0.25">
      <c r="A27" s="71">
        <f>'Necesidades Trimestrales'!A24</f>
        <v>16</v>
      </c>
      <c r="B27" s="64" t="str">
        <f>'Necesidades Trimestrales'!B24</f>
        <v>2.9.2-1100.17</v>
      </c>
      <c r="C27" s="131" t="str">
        <f>'Necesidades Trimestrales'!E24</f>
        <v>ALFILERES; MATERIAL: ACERO 1010, NUMERO: SIN VALOR, ESPESOR: .75 mm, LARGO: 28 mm, PRESENTACION: CAJA X 50 GR</v>
      </c>
      <c r="D27" s="131"/>
      <c r="E27" s="131"/>
      <c r="F27" s="131"/>
      <c r="G27" s="131"/>
      <c r="H27" s="95" t="s">
        <v>91</v>
      </c>
      <c r="I27" s="101" t="str">
        <f>'Necesidades Trimestrales'!F24</f>
        <v>CAJA</v>
      </c>
      <c r="J27" s="102">
        <f>'Necesidades Trimestrales'!H24</f>
        <v>71.260000000000005</v>
      </c>
      <c r="K27" s="96">
        <f>'Necesidades Trimestrales'!G24</f>
        <v>200</v>
      </c>
    </row>
    <row r="28" spans="1:11" ht="27.75" customHeight="1" x14ac:dyDescent="0.25">
      <c r="A28" s="71">
        <f>'Necesidades Trimestrales'!A25</f>
        <v>17</v>
      </c>
      <c r="B28" s="64" t="str">
        <f>'Necesidades Trimestrales'!B25</f>
        <v>2.9.2-1450.4</v>
      </c>
      <c r="C28" s="131" t="str">
        <f>'Necesidades Trimestrales'!E25</f>
        <v>TINTAS P/SELLOS; TIPO DE SELLO: DE GOMA, COLOR: NEGRO, PRESENTACION: ENVASE X 50 CM3, ENVASE: 50 CM3</v>
      </c>
      <c r="D28" s="131"/>
      <c r="E28" s="131"/>
      <c r="F28" s="131"/>
      <c r="G28" s="131"/>
      <c r="H28" s="95" t="s">
        <v>91</v>
      </c>
      <c r="I28" s="101" t="str">
        <f>'Necesidades Trimestrales'!F25</f>
        <v>UNIDAD</v>
      </c>
      <c r="J28" s="102">
        <f>'Necesidades Trimestrales'!H25</f>
        <v>146.69999999999999</v>
      </c>
      <c r="K28" s="96">
        <f>'Necesidades Trimestrales'!G25</f>
        <v>100</v>
      </c>
    </row>
    <row r="29" spans="1:11" ht="27.75" customHeight="1" x14ac:dyDescent="0.25">
      <c r="A29" s="71">
        <f>'Necesidades Trimestrales'!A26</f>
        <v>18</v>
      </c>
      <c r="B29" s="64" t="str">
        <f>'Necesidades Trimestrales'!B26</f>
        <v>2.9.2-291.19</v>
      </c>
      <c r="C29" s="131" t="str">
        <f>'Necesidades Trimestrales'!E26</f>
        <v>ALMOHADILLAS P/SELLOS; MEDIDA: 8 X 15 Cm, MATERIAL: METAL</v>
      </c>
      <c r="D29" s="131"/>
      <c r="E29" s="131"/>
      <c r="F29" s="131"/>
      <c r="G29" s="131"/>
      <c r="H29" s="95" t="s">
        <v>91</v>
      </c>
      <c r="I29" s="101" t="str">
        <f>'Necesidades Trimestrales'!F26</f>
        <v>UNIDAD</v>
      </c>
      <c r="J29" s="102">
        <f>'Necesidades Trimestrales'!H26</f>
        <v>353.1</v>
      </c>
      <c r="K29" s="96">
        <f>'Necesidades Trimestrales'!G26</f>
        <v>100</v>
      </c>
    </row>
    <row r="30" spans="1:11" ht="27.75" customHeight="1" x14ac:dyDescent="0.25">
      <c r="A30" s="71">
        <f>'Necesidades Trimestrales'!A27</f>
        <v>19</v>
      </c>
      <c r="B30" s="64" t="str">
        <f>'Necesidades Trimestrales'!B27</f>
        <v>2.9.2-5254.1</v>
      </c>
      <c r="C30" s="131" t="str">
        <f>'Necesidades Trimestrales'!E27</f>
        <v>PORTA PLANILLA; MATERIAL: ACRILICO, TAMAÑO: OFICIO, PRESENTACION: POR UNIDAD</v>
      </c>
      <c r="D30" s="131"/>
      <c r="E30" s="131"/>
      <c r="F30" s="131"/>
      <c r="G30" s="131"/>
      <c r="H30" s="95" t="s">
        <v>90</v>
      </c>
      <c r="I30" s="101" t="str">
        <f>'Necesidades Trimestrales'!F27</f>
        <v>UNIDAD</v>
      </c>
      <c r="J30" s="102">
        <f>'Necesidades Trimestrales'!H27</f>
        <v>260.89999999999998</v>
      </c>
      <c r="K30" s="96">
        <f>'Necesidades Trimestrales'!G27</f>
        <v>200</v>
      </c>
    </row>
    <row r="31" spans="1:11" ht="27.75" customHeight="1" x14ac:dyDescent="0.25">
      <c r="A31" s="71">
        <f>'Necesidades Trimestrales'!A29</f>
        <v>21</v>
      </c>
      <c r="B31" s="64" t="str">
        <f>'Necesidades Trimestrales'!B29</f>
        <v>2.3.1-6563.1009</v>
      </c>
      <c r="C31" s="131" t="str">
        <f>'Necesidades Trimestrales'!E29</f>
        <v>PAPELES EN HOJA; TIPO DE PAPEL: BLANCO, DIMENSION: OFICIO, GRAMAJE: 80 GR, PRESENTACION: ENVASE X 500 HOJAS, CERTIFICADO FORESTAL (GFS): SIN, PORC. FIBRAS RECICLADAS: 0 %, CERT. FIBRA ALTERNATIVA (FCA): SIN</v>
      </c>
      <c r="D31" s="131"/>
      <c r="E31" s="131"/>
      <c r="F31" s="131"/>
      <c r="G31" s="131"/>
      <c r="H31" s="72" t="s">
        <v>91</v>
      </c>
      <c r="I31" s="99" t="str">
        <f>'Necesidades Trimestrales'!F29</f>
        <v>UNIDAD</v>
      </c>
      <c r="J31" s="100">
        <f>'Necesidades Trimestrales'!H29</f>
        <v>663.38</v>
      </c>
      <c r="K31" s="73">
        <f>'Necesidades Trimestrales'!G29</f>
        <v>800</v>
      </c>
    </row>
    <row r="32" spans="1:11" ht="20.25" customHeight="1" x14ac:dyDescent="0.25">
      <c r="A32" s="128" t="s">
        <v>92</v>
      </c>
      <c r="B32" s="128"/>
      <c r="C32" s="128"/>
      <c r="D32" s="128"/>
      <c r="E32" s="128"/>
      <c r="F32" s="128"/>
      <c r="G32" s="128"/>
      <c r="H32" s="128"/>
      <c r="I32" s="128"/>
      <c r="J32" s="130">
        <f>SUMPRODUCT(J12:J31,K12:K31)</f>
        <v>1728371</v>
      </c>
      <c r="K32" s="130"/>
    </row>
  </sheetData>
  <mergeCells count="42">
    <mergeCell ref="C12:G12"/>
    <mergeCell ref="C13:G13"/>
    <mergeCell ref="C14:G14"/>
    <mergeCell ref="C15:G15"/>
    <mergeCell ref="C19:G19"/>
    <mergeCell ref="C16:G16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2:I32"/>
    <mergeCell ref="J32:K32"/>
    <mergeCell ref="C20:G20"/>
    <mergeCell ref="C21:G21"/>
    <mergeCell ref="C22:G22"/>
    <mergeCell ref="C23:G23"/>
    <mergeCell ref="C29:G29"/>
    <mergeCell ref="C30:G30"/>
    <mergeCell ref="C31:G31"/>
    <mergeCell ref="C24:G24"/>
    <mergeCell ref="C25:G25"/>
    <mergeCell ref="C26:G26"/>
    <mergeCell ref="C27:G27"/>
    <mergeCell ref="C28:G2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190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zoomScale="115" zoomScaleNormal="115" workbookViewId="0">
      <selection activeCell="A16" sqref="A16:P16"/>
    </sheetView>
  </sheetViews>
  <sheetFormatPr baseColWidth="10" defaultColWidth="11" defaultRowHeight="13.5" x14ac:dyDescent="0.25"/>
  <cols>
    <col min="1" max="6" width="4.42578125" style="3" customWidth="1"/>
    <col min="7" max="7" width="4.42578125" style="4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9" ht="15.75" customHeight="1" x14ac:dyDescent="0.25">
      <c r="A1" s="140" t="s">
        <v>5</v>
      </c>
      <c r="B1" s="140"/>
      <c r="C1" s="140"/>
      <c r="D1" s="141">
        <f>'Necesidades Trimestrales'!C5</f>
        <v>2021</v>
      </c>
      <c r="E1" s="141"/>
      <c r="F1" s="1"/>
      <c r="G1" s="1"/>
      <c r="H1" s="2"/>
      <c r="I1" s="2"/>
      <c r="J1" s="2"/>
      <c r="K1" s="2"/>
      <c r="L1" s="2"/>
      <c r="M1" s="2"/>
      <c r="N1" s="2"/>
      <c r="P1" s="142" t="s">
        <v>93</v>
      </c>
      <c r="Q1" s="142"/>
    </row>
    <row r="2" spans="1:19" ht="15.75" customHeight="1" x14ac:dyDescent="0.25">
      <c r="H2" s="2"/>
      <c r="I2" s="2"/>
      <c r="J2" s="2"/>
      <c r="K2" s="2"/>
      <c r="L2" s="2"/>
      <c r="M2" s="2"/>
      <c r="N2" s="2"/>
      <c r="P2" s="142"/>
      <c r="Q2" s="142"/>
    </row>
    <row r="4" spans="1:19" ht="18" customHeight="1" thickBot="1" x14ac:dyDescent="0.35">
      <c r="A4" s="143" t="s">
        <v>94</v>
      </c>
      <c r="B4" s="143"/>
      <c r="C4" s="143"/>
      <c r="D4" s="143"/>
      <c r="E4" s="143"/>
      <c r="F4" s="143"/>
      <c r="G4" s="144" t="str">
        <f>' NotaPedido'!D3</f>
        <v>7 - Direccion Provincial de Administracion de la Policia de Catamarca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9" ht="18" customHeight="1" thickBot="1" x14ac:dyDescent="0.35">
      <c r="A5" s="145" t="s">
        <v>75</v>
      </c>
      <c r="B5" s="146"/>
      <c r="C5" s="146"/>
      <c r="D5" s="146"/>
      <c r="E5" s="146"/>
      <c r="F5" s="147"/>
      <c r="G5" s="144">
        <f>' NotaPedido'!D4</f>
        <v>2021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9" ht="18" customHeight="1" thickBot="1" x14ac:dyDescent="0.35">
      <c r="A6" s="145" t="s">
        <v>76</v>
      </c>
      <c r="B6" s="146"/>
      <c r="C6" s="146"/>
      <c r="D6" s="146"/>
      <c r="E6" s="146"/>
      <c r="F6" s="147"/>
      <c r="G6" s="144" t="str">
        <f>' NotaPedido'!D5</f>
        <v xml:space="preserve">Policia de la Provincia de Catamarca 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9" ht="18" customHeight="1" thickBot="1" x14ac:dyDescent="0.35">
      <c r="A7" s="145" t="s">
        <v>78</v>
      </c>
      <c r="B7" s="146"/>
      <c r="C7" s="146"/>
      <c r="D7" s="146"/>
      <c r="E7" s="146"/>
      <c r="F7" s="147"/>
      <c r="G7" s="144" t="str">
        <f>' NotaPedido'!D6</f>
        <v xml:space="preserve">División Intendencia Departamento Logistica 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9" ht="18" customHeight="1" thickBot="1" x14ac:dyDescent="0.3">
      <c r="A8" s="148" t="s">
        <v>95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9" ht="18" customHeight="1" x14ac:dyDescent="0.3">
      <c r="A9" s="149" t="s">
        <v>96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5"/>
      <c r="P9" s="5"/>
      <c r="Q9" s="6"/>
    </row>
    <row r="10" spans="1:19" ht="65.25" customHeight="1" x14ac:dyDescent="0.25">
      <c r="A10" s="15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19/2021,  afectando la erogación resultante a los créditos presupuestarios aprobados a favor de esta Unidad Ejecutora, conforme al siguiente detalle: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9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5">
      <c r="A12" s="151" t="s">
        <v>97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</row>
    <row r="13" spans="1:19" ht="15.75" customHeight="1" x14ac:dyDescent="0.25">
      <c r="A13" s="152" t="s">
        <v>98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 t="s">
        <v>99</v>
      </c>
      <c r="P13" s="153"/>
      <c r="Q13" s="154" t="s">
        <v>100</v>
      </c>
    </row>
    <row r="14" spans="1:19" ht="15.75" customHeight="1" thickBot="1" x14ac:dyDescent="0.3">
      <c r="A14" s="11" t="s">
        <v>101</v>
      </c>
      <c r="B14" s="12" t="s">
        <v>102</v>
      </c>
      <c r="C14" s="12" t="s">
        <v>103</v>
      </c>
      <c r="D14" s="12" t="s">
        <v>104</v>
      </c>
      <c r="E14" s="12" t="s">
        <v>105</v>
      </c>
      <c r="F14" s="12" t="s">
        <v>106</v>
      </c>
      <c r="G14" s="13" t="s">
        <v>107</v>
      </c>
      <c r="H14" s="12" t="s">
        <v>108</v>
      </c>
      <c r="I14" s="12" t="s">
        <v>109</v>
      </c>
      <c r="J14" s="12" t="s">
        <v>110</v>
      </c>
      <c r="K14" s="12" t="s">
        <v>110</v>
      </c>
      <c r="L14" s="12" t="s">
        <v>111</v>
      </c>
      <c r="M14" s="14" t="s">
        <v>112</v>
      </c>
      <c r="N14" s="15" t="s">
        <v>113</v>
      </c>
      <c r="O14" s="153"/>
      <c r="P14" s="153"/>
      <c r="Q14" s="154"/>
    </row>
    <row r="15" spans="1:19" ht="30" customHeight="1" x14ac:dyDescent="0.25">
      <c r="A15" s="16">
        <v>16</v>
      </c>
      <c r="B15" s="17">
        <v>0</v>
      </c>
      <c r="C15" s="17">
        <v>0</v>
      </c>
      <c r="D15" s="17">
        <v>1</v>
      </c>
      <c r="E15" s="17">
        <v>0</v>
      </c>
      <c r="F15" s="17">
        <v>10</v>
      </c>
      <c r="G15" s="17">
        <v>2</v>
      </c>
      <c r="H15" s="17">
        <v>1</v>
      </c>
      <c r="I15" s="17" t="str">
        <f>LEFT('Necesidades Trimestrales'!D10,1)</f>
        <v>2</v>
      </c>
      <c r="J15" s="17" t="str">
        <f>MID('Necesidades Trimestrales'!D10,3,1)</f>
        <v>9</v>
      </c>
      <c r="K15" s="17" t="str">
        <f>RIGHT('Necesidades Trimestrales'!D10,1)</f>
        <v>2</v>
      </c>
      <c r="L15" s="17">
        <v>0</v>
      </c>
      <c r="M15" s="18">
        <v>1</v>
      </c>
      <c r="N15" s="17" t="s">
        <v>114</v>
      </c>
      <c r="O15" s="158" t="s">
        <v>115</v>
      </c>
      <c r="P15" s="159"/>
      <c r="Q15" s="19">
        <f>'Necesidades Trimestrales'!I30</f>
        <v>1949171</v>
      </c>
      <c r="S15" s="3">
        <v>0</v>
      </c>
    </row>
    <row r="16" spans="1:19" ht="31.5" customHeight="1" thickBot="1" x14ac:dyDescent="0.3">
      <c r="A16" s="156" t="s">
        <v>116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20">
        <f>SUM(Q15:Q15)</f>
        <v>1949171</v>
      </c>
    </row>
    <row r="17" spans="1:17" ht="18" customHeight="1" thickBot="1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</row>
    <row r="18" spans="1:17" ht="17.25" customHeight="1" thickBot="1" x14ac:dyDescent="0.3">
      <c r="A18" s="160" t="s">
        <v>117</v>
      </c>
      <c r="B18" s="161"/>
      <c r="C18" s="161"/>
      <c r="D18" s="161"/>
      <c r="E18" s="161"/>
      <c r="F18" s="162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</row>
    <row r="19" spans="1:17" ht="18" customHeight="1" thickBot="1" x14ac:dyDescent="0.3">
      <c r="A19" s="155" t="s">
        <v>118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</row>
    <row r="20" spans="1:17" ht="15" customHeight="1" x14ac:dyDescent="0.25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</row>
  </sheetData>
  <mergeCells count="24">
    <mergeCell ref="A19:Q20"/>
    <mergeCell ref="A16:P16"/>
    <mergeCell ref="A17:Q17"/>
    <mergeCell ref="O15:P15"/>
    <mergeCell ref="A18:F18"/>
    <mergeCell ref="G18:Q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</dc:creator>
  <cp:lastModifiedBy>ELIAS QUINTAR</cp:lastModifiedBy>
  <cp:revision>2</cp:revision>
  <dcterms:created xsi:type="dcterms:W3CDTF">2020-07-17T23:44:49Z</dcterms:created>
  <dcterms:modified xsi:type="dcterms:W3CDTF">2021-08-11T12:25:14Z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