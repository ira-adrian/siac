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0" windowHeight="11160" tabRatio="500"/>
  </bookViews>
  <sheets>
    <sheet name="Necesidades Trimestrales" sheetId="1" r:id="rId1"/>
  </sheets>
  <calcPr calcId="144525"/>
</workbook>
</file>

<file path=xl/calcChain.xml><?xml version="1.0" encoding="utf-8"?>
<calcChain xmlns="http://schemas.openxmlformats.org/spreadsheetml/2006/main">
  <c r="I11" i="1" l="1"/>
  <c r="I12" i="1" s="1"/>
  <c r="I10" i="1" l="1"/>
  <c r="D10" i="1" l="1"/>
</calcChain>
</file>

<file path=xl/sharedStrings.xml><?xml version="1.0" encoding="utf-8"?>
<sst xmlns="http://schemas.openxmlformats.org/spreadsheetml/2006/main" count="59" uniqueCount="46">
  <si>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</si>
  <si>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</si>
  <si>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</si>
  <si>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</si>
  <si>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</si>
  <si>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</si>
  <si>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</si>
  <si>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</si>
  <si>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</si>
  <si>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</si>
  <si>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</si>
  <si>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</si>
  <si>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</si>
  <si>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</si>
  <si>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</si>
  <si>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</si>
  <si>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Calidad Minima esperada</t>
  </si>
  <si>
    <t>Especificidades Item N° 2:</t>
  </si>
  <si>
    <t>Primera Calidad</t>
  </si>
  <si>
    <t>5 - MINISTERIO DE PLANIFICACIÓN Y MODERNIZACIÓN</t>
  </si>
  <si>
    <t>3.5.9-2491.1</t>
  </si>
  <si>
    <t>3.4.5-9985.1</t>
  </si>
  <si>
    <t>SERVICIO FOTOGRAFICO; DESCRIPCION: SERVICIO FOTOGRAFICO</t>
  </si>
  <si>
    <t>SERV. PROVISION HORAS DE VUELO; DESCRIPCION: SERV. PROVISION HORAS DE VUELO</t>
  </si>
  <si>
    <t>SERVICIO</t>
  </si>
  <si>
    <t>Quince (15) días en Belén, El Alto, La Paz y Andalgalá</t>
  </si>
  <si>
    <t>Nueve (09) meses.</t>
  </si>
  <si>
    <t>SAF 40 - SECRETARIA DE ADMINISTRACIÓN</t>
  </si>
  <si>
    <t xml:space="preserve"> 
SERV. PROFESIONAL Y COMERCIAL</t>
  </si>
  <si>
    <t>CINE/TELVIS./RADIO/FOTOGRAFIA</t>
  </si>
  <si>
    <t>3.4.9</t>
  </si>
  <si>
    <t xml:space="preserve">Cotización en Moneda Extranjera: </t>
  </si>
  <si>
    <r>
      <t>Ejecución de vuelos fotogramétricos sobre los departamentos de Belén, El Alto, La Paz y Andalgalá (con una resolución espacial de 0.40 m) y sobre centros urbanos dentro de los departamentos mencionados, según se detalla a continuación (con una resolución espacial de 0.20 m): * Depto. Belén: ciudades de Belén, Laguna Blanca, Villa Vil, Nacimiento, Hualfín, Puerta, Las Juntas, San Fernando, Las Barrancas, El Shincal, Londres y La Represa.* Depto. El Alto: ciudades de Villa El Alto, Guayamba y Tapso.* Depto. La Paz: ciudades de Río Chico, Icaño, La Parada, La Unión, San Antonio, Recreo, Esquiú y La Guardia. * Depto. Andalgalá: ciudades de Andalgalá, Chaquiago, Molino Potrero, El Potrero, Huasán, La Aguada, El Alamito, Aconquija, Alto de las Juntas y Yunka Suma. C</t>
    </r>
    <r>
      <rPr>
        <b/>
        <u/>
        <sz val="11"/>
        <rFont val="Times New Roman"/>
        <family val="1"/>
      </rPr>
      <t xml:space="preserve">aracterísticas técnicas </t>
    </r>
    <r>
      <rPr>
        <sz val="11"/>
        <rFont val="Times New Roman"/>
        <family val="1"/>
      </rPr>
      <t>para realizar el trabajo son las siguientes:- Las imágenes sobre los departamentos se deberán tomar con la cámara aérea Vexcel montada en un avión preparado para tal fin, obteniendo una resolución de píxel de 40 cm., a través de las cuáles se obtendrá el Modelo Digital de Elevaciones (MDE). - Las imágenes sobre las ciudades en los departamentos de Belén y Andalgalá, se deberán tomar con la cámara aérea Vexcel montada en un avión preparado para tal fin, obteniendo una resolución de píxel de 20 cm. - Las imágenes sobre las ciudades en los departamentos de El Alto y La Paz, se deberán tomar con un vehículo aéreo no tripulado (VANT) de ala fija del IGN, cuyos pilotos están certificados por la ANAC, con todos los permisos correspondientes de acuerdoa las exigencias establecidas por el Reglamento Provisional para Vehículos Aéreos No Tripulados (Resolución N° 527/2015).El VANT obtendrá imágenes fotográficas con una resolución espacial de 9 cm, en función de una altura de vuelo de aproximadamente 400 m respecto del suelo. - Se realizará apoyo geodésico en el terreno para todos los vuelos, a fin de obtener la mayor precisión en la georreferenciación de las imágenes.- La superficie a relevar, de acuerdo a lo solicitado, es de aprox. 32.000 km2, que se volarán con avión, y de aprox. 110 km2, que se volarán con VANT.</t>
    </r>
  </si>
  <si>
    <t xml:space="preserve">Forma de Pago: </t>
  </si>
  <si>
    <t>Plazos y lugares de inicio de la prestación</t>
  </si>
  <si>
    <t xml:space="preserve">Forma de Entrega: </t>
  </si>
  <si>
    <t>Plazo total de Prestación del Servicio</t>
  </si>
  <si>
    <t>Mantenimiento de Oferta:</t>
  </si>
  <si>
    <t xml:space="preserve">Plazos y lugares de inicio de la prestación </t>
  </si>
  <si>
    <t>Se aceptará cotización de la oferta en moneda extranjera y pago en moneda nacional.-</t>
  </si>
  <si>
    <t>45 días</t>
  </si>
  <si>
    <t xml:space="preserve">*Adelanto del cuarenta por ciento (40%) del monto total adjudicado. </t>
  </si>
  <si>
    <t>Horas de vuelo de avión necesarias para cubrir las zonas a volar del proyecto, siendo necesarias  110hs de vuelo fotográfico, que incluye horas fotográficas, traslados y calibración de la cámara. Para realizar estas tareas se necesitarán aproximadamente 3 meses de trabajo, en la que se incluye el trabajo de apoyo geodésico, dependiendo de las condiciones meteorológicas al momento de la realización de vuelo. La cantidad de horas para volar con VANT las ciudades de poca superficie es de 50 horas fotográficas. Estas tareas demandarán aproximadamente 2 meses de trabajo en el terreno, dependiendo de las condiciones meteorológicas al momento de la realización del vuelo y el apoyo geodésico.</t>
  </si>
  <si>
    <t xml:space="preserve">* Sesenta por ciento (60%) restante el pago será efectuado en función de las entregas parciales  certificadas por la Dirección General de Catastro, de acuerdo al avance de los trabajos según planilla anexa , previa deducción del anticipo financiero otorgado en forma proporcional al avance de las entregas certificadas y dentro de los 30 dias corridos de dicha certificación </t>
  </si>
  <si>
    <t xml:space="preserve">* Sesenta por ciento (60%) restante se abonará de manera  mensual contra certificación del servicio prestado previa deducción del anticipo financiero otorgado en forma proporcional al avance del servicio prestado y dentro de los 30 dias corridos de dicha certificación  hasta completar el total de horas vuelos contratadas. </t>
  </si>
  <si>
    <t>Según planilla anexa ( Descripción detallada del item 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</si>
</sst>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5" formatCode="_-* #,##0.00&quot; €&quot;_-;\-* #,##0.00&quot; €&quot;_-;_-* \-??&quot; €&quot;_-;_-@_-"/>
    <numFmt numFmtId="166" formatCode="[$$-2C0A]\ #,##0.00;[$$-2C0A]&quot; -&quot;#,##0.00"/>
    <numFmt numFmtId="167" formatCode="&quot;$&quot;\ #,##0.00;[Red]&quot;$&quot;\ #,##0.00"/>
  </numFmts>
  <fonts count="14"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sz val="9"/>
      <name val="Times New Roman"/>
      <family val="1"/>
    </font>
    <font>
      <sz val="11"/>
      <name val="Times New Roman"/>
      <family val="1"/>
    </font>
    <font>
      <b/>
      <u/>
      <sz val="11"/>
      <name val="Times New Roman"/>
      <family val="1"/>
    </font>
    <font>
      <u/>
      <sz val="11"/>
      <name val="Times New Roman"/>
      <family val="1"/>
    </font>
    <font>
      <b/>
      <sz val="11"/>
      <name val="Times New Roman"/>
      <family val="1"/>
    </font>
    <font>
      <b/>
      <sz val="12"/>
      <name val="Times New Roman"/>
      <family val="1"/>
    </font>
    <font>
      <b/>
      <sz val="10"/>
      <name val="Times New Roman"/>
      <family val="1"/>
    </font>
    <font>
      <sz val="11"/>
      <name val="Arial"/>
      <family val="2"/>
    </font>
  </fonts>
  <fills count="3">
    <fill>
      <patternFill patternType="none"/>
    </fill>
    <fill>
      <patternFill patternType="gray125"/>
    </fill>
    <fill>
      <patternFill patternType="solid">
        <fgColor rgb="FFFFFF99"/>
        <bgColor rgb="FFFFFFCC"/>
      </patternFill>
    </fill>
  </fills>
  <borders count="22">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style="thin">
        <color auto="1"/>
      </bottom>
      <diagonal/>
    </border>
    <border>
      <left/>
      <right/>
      <top style="thin">
        <color auto="1"/>
      </top>
      <bottom style="thin">
        <color indexed="64"/>
      </bottom>
      <diagonal/>
    </border>
    <border>
      <left/>
      <right style="medium">
        <color auto="1"/>
      </right>
      <top style="thin">
        <color auto="1"/>
      </top>
      <bottom style="thin">
        <color indexed="64"/>
      </bottom>
      <diagonal/>
    </border>
    <border>
      <left style="medium">
        <color auto="1"/>
      </left>
      <right/>
      <top style="thin">
        <color auto="1"/>
      </top>
      <bottom style="thin">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right/>
      <top/>
      <bottom style="thin">
        <color indexed="64"/>
      </bottom>
      <diagonal/>
    </border>
    <border>
      <left style="medium">
        <color auto="1"/>
      </left>
      <right style="medium">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4">
    <xf numFmtId="0" fontId="0" fillId="0" borderId="0"/>
    <xf numFmtId="165" fontId="3" fillId="0" borderId="0" applyBorder="0" applyProtection="0"/>
    <xf numFmtId="0" fontId="1" fillId="0" borderId="1" applyProtection="0"/>
    <xf numFmtId="0" fontId="2" fillId="2" borderId="0" applyBorder="0" applyProtection="0"/>
  </cellStyleXfs>
  <cellXfs count="58">
    <xf numFmtId="0" fontId="0" fillId="0" borderId="0" xfId="0"/>
    <xf numFmtId="166" fontId="6" fillId="0" borderId="11" xfId="1" applyNumberFormat="1" applyFont="1" applyFill="1" applyBorder="1" applyAlignment="1" applyProtection="1">
      <alignment horizontal="center" vertical="center" wrapText="1"/>
    </xf>
    <xf numFmtId="0" fontId="4" fillId="0" borderId="0" xfId="0" applyFont="1" applyFill="1" applyBorder="1"/>
    <xf numFmtId="0" fontId="4" fillId="0" borderId="7" xfId="0" applyFont="1" applyFill="1" applyBorder="1"/>
    <xf numFmtId="0" fontId="4" fillId="0" borderId="0" xfId="0" applyFont="1" applyFill="1"/>
    <xf numFmtId="0" fontId="4" fillId="0" borderId="4" xfId="0" applyFont="1" applyFill="1" applyBorder="1"/>
    <xf numFmtId="0" fontId="4" fillId="0" borderId="5" xfId="0" applyFont="1" applyFill="1" applyBorder="1"/>
    <xf numFmtId="0" fontId="6" fillId="0" borderId="14" xfId="0" applyFont="1" applyFill="1" applyBorder="1" applyAlignment="1">
      <alignment horizontal="center" vertical="center"/>
    </xf>
    <xf numFmtId="0" fontId="6" fillId="0" borderId="16" xfId="0" applyFont="1" applyFill="1" applyBorder="1" applyAlignment="1">
      <alignment horizontal="center" vertical="center"/>
    </xf>
    <xf numFmtId="166" fontId="6" fillId="0" borderId="18" xfId="1" applyNumberFormat="1" applyFont="1" applyFill="1" applyBorder="1" applyAlignment="1" applyProtection="1">
      <alignment horizontal="center" vertical="center" wrapText="1"/>
    </xf>
    <xf numFmtId="0" fontId="7" fillId="0" borderId="0" xfId="0" applyFont="1" applyFill="1" applyBorder="1"/>
    <xf numFmtId="0" fontId="7" fillId="0" borderId="7" xfId="0" applyFont="1" applyFill="1" applyBorder="1"/>
    <xf numFmtId="0" fontId="7" fillId="0" borderId="9" xfId="0" applyFont="1" applyFill="1" applyBorder="1"/>
    <xf numFmtId="0" fontId="7" fillId="0" borderId="10" xfId="0" applyFont="1" applyFill="1" applyBorder="1"/>
    <xf numFmtId="0" fontId="7" fillId="0" borderId="4" xfId="0" applyFont="1" applyFill="1" applyBorder="1"/>
    <xf numFmtId="0" fontId="7" fillId="0" borderId="0" xfId="0" applyFont="1" applyFill="1" applyBorder="1" applyAlignment="1">
      <alignment horizontal="center" wrapText="1"/>
    </xf>
    <xf numFmtId="0" fontId="7" fillId="0" borderId="7" xfId="0" applyFont="1" applyFill="1" applyBorder="1" applyAlignment="1">
      <alignment horizontal="center" wrapText="1"/>
    </xf>
    <xf numFmtId="0" fontId="7" fillId="0" borderId="0" xfId="0" applyFont="1" applyFill="1" applyBorder="1" applyAlignment="1">
      <alignment horizontal="center"/>
    </xf>
    <xf numFmtId="0" fontId="7" fillId="0" borderId="7" xfId="0" applyFont="1" applyFill="1" applyBorder="1" applyAlignment="1">
      <alignment horizontal="center"/>
    </xf>
    <xf numFmtId="167" fontId="4" fillId="0" borderId="0" xfId="0" applyNumberFormat="1" applyFont="1" applyFill="1" applyAlignment="1">
      <alignment horizontal="left" vertical="center"/>
    </xf>
    <xf numFmtId="0" fontId="4" fillId="0" borderId="0" xfId="0" applyFont="1" applyFill="1" applyAlignment="1">
      <alignment horizontal="left" vertical="center"/>
    </xf>
    <xf numFmtId="0" fontId="4" fillId="0" borderId="17" xfId="0" applyFont="1" applyFill="1" applyBorder="1" applyAlignment="1">
      <alignment vertical="center" wrapText="1"/>
    </xf>
    <xf numFmtId="0" fontId="4" fillId="0" borderId="0" xfId="0" applyFont="1" applyFill="1" applyAlignment="1">
      <alignment wrapText="1"/>
    </xf>
    <xf numFmtId="0" fontId="4" fillId="0" borderId="12" xfId="0" applyFont="1" applyFill="1" applyBorder="1" applyAlignment="1">
      <alignment vertical="center" wrapText="1"/>
    </xf>
    <xf numFmtId="0" fontId="4" fillId="0" borderId="13" xfId="0" applyFont="1" applyFill="1" applyBorder="1" applyAlignment="1">
      <alignment vertical="center" wrapText="1"/>
    </xf>
    <xf numFmtId="0" fontId="9" fillId="0" borderId="3" xfId="0" applyFont="1" applyFill="1" applyBorder="1"/>
    <xf numFmtId="0" fontId="7" fillId="0" borderId="6" xfId="0" applyFont="1" applyFill="1" applyBorder="1"/>
    <xf numFmtId="0" fontId="9" fillId="0" borderId="6" xfId="0" applyFont="1" applyFill="1" applyBorder="1" applyAlignment="1">
      <alignment horizontal="left" indent="3"/>
    </xf>
    <xf numFmtId="0" fontId="7" fillId="0" borderId="6" xfId="0" applyFont="1" applyFill="1" applyBorder="1" applyAlignment="1">
      <alignment horizontal="left" indent="3"/>
    </xf>
    <xf numFmtId="0" fontId="4" fillId="0" borderId="0" xfId="0" applyFont="1" applyFill="1" applyAlignment="1"/>
    <xf numFmtId="0" fontId="9" fillId="0" borderId="8" xfId="0" applyFont="1" applyFill="1" applyBorder="1" applyAlignment="1">
      <alignment horizontal="left" indent="3"/>
    </xf>
    <xf numFmtId="0" fontId="7" fillId="0" borderId="8" xfId="0" applyFont="1" applyFill="1" applyBorder="1" applyAlignment="1">
      <alignment horizontal="left" indent="3"/>
    </xf>
    <xf numFmtId="0" fontId="4" fillId="0" borderId="0" xfId="0" applyFont="1" applyFill="1" applyAlignment="1">
      <alignment horizontal="left" wrapText="1"/>
    </xf>
    <xf numFmtId="0" fontId="4" fillId="0" borderId="0" xfId="0" applyFont="1" applyFill="1" applyAlignment="1">
      <alignment horizontal="center" wrapText="1"/>
    </xf>
    <xf numFmtId="0" fontId="11" fillId="0" borderId="0" xfId="0" applyFont="1" applyFill="1" applyAlignment="1">
      <alignment horizontal="left" wrapText="1" indent="1"/>
    </xf>
    <xf numFmtId="0" fontId="12" fillId="0" borderId="0" xfId="0" applyFont="1" applyFill="1" applyAlignment="1">
      <alignment horizontal="left" wrapText="1"/>
    </xf>
    <xf numFmtId="0" fontId="12" fillId="0" borderId="19"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2" fillId="0" borderId="21" xfId="0" applyFont="1" applyFill="1" applyBorder="1" applyAlignment="1">
      <alignment horizontal="center" vertical="center" wrapText="1"/>
    </xf>
    <xf numFmtId="0" fontId="13" fillId="0" borderId="15" xfId="0" applyFont="1" applyFill="1" applyBorder="1" applyAlignment="1">
      <alignment horizontal="center" vertical="center"/>
    </xf>
    <xf numFmtId="0" fontId="6" fillId="0" borderId="18"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13" fillId="0" borderId="2" xfId="0" applyFont="1" applyFill="1" applyBorder="1" applyAlignment="1">
      <alignment horizontal="center" vertical="center"/>
    </xf>
    <xf numFmtId="0" fontId="4" fillId="0" borderId="11" xfId="0" applyFont="1" applyFill="1" applyBorder="1" applyAlignment="1">
      <alignment horizontal="center" vertical="center" wrapText="1"/>
    </xf>
    <xf numFmtId="0" fontId="7" fillId="0" borderId="0" xfId="0" applyFont="1" applyFill="1" applyBorder="1" applyAlignment="1">
      <alignment horizontal="center"/>
    </xf>
    <xf numFmtId="0" fontId="7" fillId="0" borderId="7" xfId="0" applyFont="1" applyFill="1" applyBorder="1" applyAlignment="1">
      <alignment horizontal="center"/>
    </xf>
    <xf numFmtId="0" fontId="7" fillId="0" borderId="0" xfId="0" applyFont="1" applyFill="1" applyBorder="1" applyAlignment="1">
      <alignment horizontal="center" wrapText="1"/>
    </xf>
    <xf numFmtId="0" fontId="7" fillId="0" borderId="7" xfId="0" applyFont="1" applyFill="1" applyBorder="1" applyAlignment="1">
      <alignment horizontal="center" wrapText="1"/>
    </xf>
    <xf numFmtId="0" fontId="7" fillId="0" borderId="0" xfId="0" applyFont="1" applyFill="1" applyAlignment="1">
      <alignment horizontal="center" wrapText="1"/>
    </xf>
    <xf numFmtId="0" fontId="7" fillId="0" borderId="6" xfId="0" applyFont="1" applyFill="1" applyBorder="1" applyAlignment="1">
      <alignment horizontal="left" wrapText="1"/>
    </xf>
    <xf numFmtId="0" fontId="7" fillId="0" borderId="0" xfId="0" applyFont="1" applyFill="1" applyBorder="1" applyAlignment="1">
      <alignment horizontal="left" wrapText="1"/>
    </xf>
    <xf numFmtId="0" fontId="7" fillId="0" borderId="7" xfId="0" applyFont="1" applyFill="1" applyBorder="1" applyAlignment="1">
      <alignment horizontal="left" wrapText="1"/>
    </xf>
    <xf numFmtId="0" fontId="7" fillId="0" borderId="9" xfId="0" applyFont="1" applyFill="1" applyBorder="1" applyAlignment="1">
      <alignment horizontal="center"/>
    </xf>
    <xf numFmtId="0" fontId="7" fillId="0" borderId="10" xfId="0" applyFont="1" applyFill="1" applyBorder="1" applyAlignment="1">
      <alignment horizontal="center"/>
    </xf>
    <xf numFmtId="0" fontId="5" fillId="0" borderId="0" xfId="0" applyFont="1" applyFill="1" applyBorder="1" applyAlignment="1">
      <alignment horizontal="center"/>
    </xf>
    <xf numFmtId="0" fontId="10" fillId="0" borderId="0" xfId="0" applyFont="1" applyFill="1" applyBorder="1" applyAlignment="1">
      <alignment horizontal="left" vertical="center" wrapText="1"/>
    </xf>
    <xf numFmtId="0" fontId="11" fillId="0" borderId="0" xfId="0" applyFont="1" applyFill="1" applyBorder="1" applyAlignment="1">
      <alignment horizontal="left" wrapText="1" indent="1"/>
    </xf>
    <xf numFmtId="166" fontId="4" fillId="0" borderId="0" xfId="0" applyNumberFormat="1" applyFont="1" applyFill="1"/>
  </cellXfs>
  <cellStyles count="4">
    <cellStyle name="Encabezado 1" xfId="2"/>
    <cellStyle name="Moneda" xfId="1" builtin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52"/>
  <sheetViews>
    <sheetView tabSelected="1" zoomScaleNormal="100" zoomScaleSheetLayoutView="100" workbookViewId="0">
      <selection activeCell="J17" sqref="J17"/>
    </sheetView>
  </sheetViews>
  <sheetFormatPr baseColWidth="10" defaultColWidth="11" defaultRowHeight="12.75" x14ac:dyDescent="0.2"/>
  <cols>
    <col min="1" max="1" width="4.5703125" style="4" customWidth="1"/>
    <col min="2" max="2" width="12.85546875" style="4" customWidth="1"/>
    <col min="3" max="3" width="32.42578125" style="4" customWidth="1"/>
    <col min="4" max="4" width="8.42578125" style="4" customWidth="1"/>
    <col min="5" max="5" width="79" style="4" customWidth="1"/>
    <col min="6" max="6" width="11" style="4"/>
    <col min="7" max="7" width="12.7109375" style="4" customWidth="1"/>
    <col min="8" max="8" width="15.42578125" style="4" customWidth="1"/>
    <col min="9" max="9" width="18.5703125" style="4" customWidth="1"/>
    <col min="10" max="10" width="11" style="19"/>
    <col min="11" max="14" width="11" style="20"/>
    <col min="15" max="16384" width="11" style="4"/>
  </cols>
  <sheetData>
    <row r="2" spans="1:9" ht="27" x14ac:dyDescent="0.35">
      <c r="B2" s="54" t="s">
        <v>0</v>
      </c>
      <c r="C2" s="54"/>
      <c r="D2" s="54"/>
      <c r="E2" s="54"/>
      <c r="F2" s="54"/>
      <c r="G2" s="54"/>
      <c r="H2" s="54"/>
    </row>
    <row r="4" spans="1:9" ht="18" customHeight="1" x14ac:dyDescent="0.25">
      <c r="A4" s="55" t="s">
        <v>1</v>
      </c>
      <c r="B4" s="55"/>
      <c r="C4" s="56" t="s">
        <v>19</v>
      </c>
      <c r="D4" s="56"/>
      <c r="E4" s="56"/>
      <c r="F4" s="32"/>
      <c r="G4" s="33"/>
      <c r="H4" s="32"/>
    </row>
    <row r="5" spans="1:9" ht="18" customHeight="1" x14ac:dyDescent="0.25">
      <c r="A5" s="55" t="s">
        <v>2</v>
      </c>
      <c r="B5" s="55"/>
      <c r="C5" s="56" t="s">
        <v>27</v>
      </c>
      <c r="D5" s="56"/>
      <c r="E5" s="56"/>
      <c r="F5" s="32"/>
      <c r="G5" s="33"/>
      <c r="H5" s="32"/>
    </row>
    <row r="6" spans="1:9" ht="16.5" customHeight="1" x14ac:dyDescent="0.25">
      <c r="A6" s="55" t="s">
        <v>3</v>
      </c>
      <c r="B6" s="55"/>
      <c r="C6" s="34">
        <v>2021</v>
      </c>
      <c r="D6" s="35"/>
      <c r="E6" s="35"/>
      <c r="F6" s="32"/>
      <c r="G6" s="33"/>
      <c r="H6" s="32"/>
    </row>
    <row r="7" spans="1:9" ht="16.5" customHeight="1" x14ac:dyDescent="0.25">
      <c r="A7" s="55" t="s">
        <v>4</v>
      </c>
      <c r="B7" s="55"/>
      <c r="C7" s="34">
        <v>1</v>
      </c>
      <c r="D7" s="35"/>
      <c r="E7" s="35"/>
      <c r="F7" s="32"/>
      <c r="G7" s="33"/>
      <c r="H7" s="32"/>
    </row>
    <row r="8" spans="1:9" ht="13.5" thickBot="1" x14ac:dyDescent="0.25">
      <c r="B8" s="32"/>
      <c r="C8" s="33"/>
      <c r="D8" s="32"/>
      <c r="E8" s="32"/>
      <c r="F8" s="32"/>
      <c r="G8" s="33"/>
      <c r="H8" s="32"/>
    </row>
    <row r="9" spans="1:9" ht="39" thickBot="1" x14ac:dyDescent="0.25">
      <c r="A9" s="36" t="s">
        <v>5</v>
      </c>
      <c r="B9" s="37" t="s">
        <v>6</v>
      </c>
      <c r="C9" s="37" t="s">
        <v>7</v>
      </c>
      <c r="D9" s="37" t="s">
        <v>8</v>
      </c>
      <c r="E9" s="37" t="s">
        <v>9</v>
      </c>
      <c r="F9" s="37" t="s">
        <v>10</v>
      </c>
      <c r="G9" s="37" t="s">
        <v>11</v>
      </c>
      <c r="H9" s="37" t="s">
        <v>12</v>
      </c>
      <c r="I9" s="38" t="s">
        <v>13</v>
      </c>
    </row>
    <row r="10" spans="1:9" ht="32.25" customHeight="1" x14ac:dyDescent="0.2">
      <c r="A10" s="8">
        <v>1</v>
      </c>
      <c r="B10" s="39" t="s">
        <v>20</v>
      </c>
      <c r="C10" s="21" t="s">
        <v>29</v>
      </c>
      <c r="D10" s="40" t="str">
        <f>LEFT(B10,5)</f>
        <v>3.5.9</v>
      </c>
      <c r="E10" s="22" t="s">
        <v>22</v>
      </c>
      <c r="F10" s="41" t="s">
        <v>24</v>
      </c>
      <c r="G10" s="40">
        <v>1</v>
      </c>
      <c r="H10" s="9">
        <v>6695325</v>
      </c>
      <c r="I10" s="9">
        <f>H10*G10</f>
        <v>6695325</v>
      </c>
    </row>
    <row r="11" spans="1:9" ht="39" customHeight="1" x14ac:dyDescent="0.2">
      <c r="A11" s="7">
        <v>2</v>
      </c>
      <c r="B11" s="42" t="s">
        <v>21</v>
      </c>
      <c r="C11" s="23" t="s">
        <v>28</v>
      </c>
      <c r="D11" s="40" t="s">
        <v>30</v>
      </c>
      <c r="E11" s="24" t="s">
        <v>23</v>
      </c>
      <c r="F11" s="43" t="s">
        <v>24</v>
      </c>
      <c r="G11" s="43">
        <v>110</v>
      </c>
      <c r="H11" s="1">
        <v>205813.5</v>
      </c>
      <c r="I11" s="1">
        <f>+H11*G11</f>
        <v>22639485</v>
      </c>
    </row>
    <row r="12" spans="1:9" x14ac:dyDescent="0.2">
      <c r="I12" s="57">
        <f>SUM(I10:I11)</f>
        <v>29334810</v>
      </c>
    </row>
    <row r="13" spans="1:9" ht="13.5" thickBot="1" x14ac:dyDescent="0.25">
      <c r="H13" s="1"/>
    </row>
    <row r="14" spans="1:9" ht="15" x14ac:dyDescent="0.25">
      <c r="B14" s="25" t="s">
        <v>14</v>
      </c>
      <c r="C14" s="14"/>
      <c r="D14" s="5"/>
      <c r="E14" s="6"/>
    </row>
    <row r="15" spans="1:9" ht="5.25" customHeight="1" x14ac:dyDescent="0.25">
      <c r="B15" s="26"/>
      <c r="C15" s="10"/>
      <c r="D15" s="2"/>
      <c r="E15" s="3"/>
    </row>
    <row r="16" spans="1:9" ht="15" x14ac:dyDescent="0.25">
      <c r="B16" s="27" t="s">
        <v>15</v>
      </c>
      <c r="C16" s="10"/>
      <c r="D16" s="2"/>
      <c r="E16" s="3"/>
    </row>
    <row r="17" spans="2:7" ht="231.75" customHeight="1" x14ac:dyDescent="0.25">
      <c r="B17" s="49" t="s">
        <v>32</v>
      </c>
      <c r="C17" s="50"/>
      <c r="D17" s="50"/>
      <c r="E17" s="51"/>
    </row>
    <row r="18" spans="2:7" ht="15" x14ac:dyDescent="0.25">
      <c r="B18" s="27" t="s">
        <v>34</v>
      </c>
      <c r="C18" s="10"/>
      <c r="D18" s="10"/>
      <c r="E18" s="11"/>
    </row>
    <row r="19" spans="2:7" ht="15" x14ac:dyDescent="0.25">
      <c r="B19" s="28"/>
      <c r="C19" s="44" t="s">
        <v>25</v>
      </c>
      <c r="D19" s="44"/>
      <c r="E19" s="45"/>
    </row>
    <row r="20" spans="2:7" ht="15" x14ac:dyDescent="0.25">
      <c r="B20" s="27" t="s">
        <v>16</v>
      </c>
      <c r="C20" s="10"/>
      <c r="D20" s="10"/>
      <c r="E20" s="11"/>
      <c r="G20" s="29"/>
    </row>
    <row r="21" spans="2:7" ht="13.5" customHeight="1" x14ac:dyDescent="0.25">
      <c r="B21" s="28"/>
      <c r="C21" s="47" t="s">
        <v>18</v>
      </c>
      <c r="D21" s="47"/>
      <c r="E21" s="47"/>
    </row>
    <row r="22" spans="2:7" ht="15" x14ac:dyDescent="0.25">
      <c r="B22" s="27" t="s">
        <v>37</v>
      </c>
      <c r="C22" s="15"/>
      <c r="D22" s="15"/>
      <c r="E22" s="16"/>
    </row>
    <row r="23" spans="2:7" ht="15" x14ac:dyDescent="0.25">
      <c r="B23" s="28"/>
      <c r="C23" s="47" t="s">
        <v>40</v>
      </c>
      <c r="D23" s="47"/>
      <c r="E23" s="47"/>
    </row>
    <row r="24" spans="2:7" ht="15" x14ac:dyDescent="0.25">
      <c r="B24" s="27" t="s">
        <v>35</v>
      </c>
      <c r="C24" s="15"/>
      <c r="D24" s="15"/>
      <c r="E24" s="16"/>
    </row>
    <row r="25" spans="2:7" ht="18.75" customHeight="1" x14ac:dyDescent="0.25">
      <c r="B25" s="28"/>
      <c r="C25" s="48" t="s">
        <v>45</v>
      </c>
      <c r="D25" s="48"/>
      <c r="E25" s="48"/>
    </row>
    <row r="26" spans="2:7" ht="15" x14ac:dyDescent="0.25">
      <c r="B26" s="28"/>
      <c r="C26" s="46"/>
      <c r="D26" s="46"/>
      <c r="E26" s="47"/>
    </row>
    <row r="27" spans="2:7" ht="15" x14ac:dyDescent="0.25">
      <c r="B27" s="27" t="s">
        <v>36</v>
      </c>
      <c r="C27" s="10"/>
      <c r="D27" s="10"/>
      <c r="E27" s="11"/>
    </row>
    <row r="28" spans="2:7" ht="15" x14ac:dyDescent="0.25">
      <c r="B28" s="27"/>
      <c r="C28" s="45" t="s">
        <v>26</v>
      </c>
      <c r="D28" s="45"/>
      <c r="E28" s="45"/>
    </row>
    <row r="29" spans="2:7" ht="12" customHeight="1" x14ac:dyDescent="0.25">
      <c r="B29" s="27" t="s">
        <v>33</v>
      </c>
      <c r="C29" s="17"/>
      <c r="D29" s="17"/>
      <c r="E29" s="18"/>
    </row>
    <row r="30" spans="2:7" ht="15" x14ac:dyDescent="0.25">
      <c r="B30" s="27"/>
      <c r="C30" s="44" t="s">
        <v>41</v>
      </c>
      <c r="D30" s="44"/>
      <c r="E30" s="45"/>
    </row>
    <row r="31" spans="2:7" ht="49.5" customHeight="1" x14ac:dyDescent="0.25">
      <c r="B31" s="27"/>
      <c r="C31" s="46" t="s">
        <v>43</v>
      </c>
      <c r="D31" s="46"/>
      <c r="E31" s="47"/>
    </row>
    <row r="32" spans="2:7" ht="15" x14ac:dyDescent="0.25">
      <c r="B32" s="27" t="s">
        <v>31</v>
      </c>
      <c r="C32" s="17"/>
      <c r="D32" s="17"/>
      <c r="E32" s="18"/>
    </row>
    <row r="33" spans="2:5" ht="15.75" thickBot="1" x14ac:dyDescent="0.3">
      <c r="B33" s="30"/>
      <c r="C33" s="52" t="s">
        <v>39</v>
      </c>
      <c r="D33" s="52"/>
      <c r="E33" s="53"/>
    </row>
    <row r="34" spans="2:5" ht="13.5" thickBot="1" x14ac:dyDescent="0.25"/>
    <row r="35" spans="2:5" ht="15" x14ac:dyDescent="0.25">
      <c r="B35" s="25" t="s">
        <v>17</v>
      </c>
      <c r="C35" s="14"/>
      <c r="D35" s="5"/>
      <c r="E35" s="6"/>
    </row>
    <row r="36" spans="2:5" ht="7.5" customHeight="1" x14ac:dyDescent="0.25">
      <c r="B36" s="26"/>
      <c r="C36" s="10"/>
      <c r="D36" s="2"/>
      <c r="E36" s="3"/>
    </row>
    <row r="37" spans="2:5" ht="15" x14ac:dyDescent="0.25">
      <c r="B37" s="27" t="s">
        <v>15</v>
      </c>
      <c r="C37" s="10"/>
      <c r="D37" s="2"/>
      <c r="E37" s="3"/>
    </row>
    <row r="38" spans="2:5" ht="80.25" customHeight="1" x14ac:dyDescent="0.25">
      <c r="B38" s="49" t="s">
        <v>42</v>
      </c>
      <c r="C38" s="50"/>
      <c r="D38" s="50"/>
      <c r="E38" s="51"/>
    </row>
    <row r="39" spans="2:5" ht="15" x14ac:dyDescent="0.25">
      <c r="B39" s="27" t="s">
        <v>38</v>
      </c>
      <c r="C39" s="10"/>
      <c r="D39" s="10"/>
      <c r="E39" s="11"/>
    </row>
    <row r="40" spans="2:5" ht="15" x14ac:dyDescent="0.25">
      <c r="B40" s="28"/>
      <c r="C40" s="44" t="s">
        <v>25</v>
      </c>
      <c r="D40" s="44"/>
      <c r="E40" s="45"/>
    </row>
    <row r="41" spans="2:5" ht="15" x14ac:dyDescent="0.25">
      <c r="B41" s="27" t="s">
        <v>16</v>
      </c>
      <c r="C41" s="10"/>
      <c r="D41" s="10"/>
      <c r="E41" s="11"/>
    </row>
    <row r="42" spans="2:5" ht="15" x14ac:dyDescent="0.25">
      <c r="B42" s="28"/>
      <c r="C42" s="47" t="s">
        <v>18</v>
      </c>
      <c r="D42" s="47"/>
      <c r="E42" s="47"/>
    </row>
    <row r="43" spans="2:5" ht="15" x14ac:dyDescent="0.25">
      <c r="B43" s="27" t="s">
        <v>37</v>
      </c>
      <c r="C43" s="15"/>
      <c r="D43" s="15"/>
      <c r="E43" s="16"/>
    </row>
    <row r="44" spans="2:5" ht="15" x14ac:dyDescent="0.25">
      <c r="B44" s="28"/>
      <c r="C44" s="47" t="s">
        <v>40</v>
      </c>
      <c r="D44" s="47"/>
      <c r="E44" s="47"/>
    </row>
    <row r="45" spans="2:5" ht="15" x14ac:dyDescent="0.25">
      <c r="B45" s="27" t="s">
        <v>36</v>
      </c>
      <c r="C45" s="10"/>
      <c r="D45" s="10"/>
      <c r="E45" s="11"/>
    </row>
    <row r="46" spans="2:5" ht="15" x14ac:dyDescent="0.25">
      <c r="B46" s="27"/>
      <c r="C46" s="44" t="s">
        <v>26</v>
      </c>
      <c r="D46" s="44"/>
      <c r="E46" s="45"/>
    </row>
    <row r="47" spans="2:5" ht="15" x14ac:dyDescent="0.25">
      <c r="B47" s="27" t="s">
        <v>33</v>
      </c>
      <c r="C47" s="17"/>
      <c r="D47" s="17"/>
      <c r="E47" s="18"/>
    </row>
    <row r="48" spans="2:5" ht="12.75" customHeight="1" x14ac:dyDescent="0.25">
      <c r="B48" s="27"/>
      <c r="C48" s="44" t="s">
        <v>41</v>
      </c>
      <c r="D48" s="44"/>
      <c r="E48" s="45"/>
    </row>
    <row r="49" spans="2:5" ht="44.25" customHeight="1" x14ac:dyDescent="0.25">
      <c r="B49" s="27"/>
      <c r="C49" s="46" t="s">
        <v>44</v>
      </c>
      <c r="D49" s="46"/>
      <c r="E49" s="47"/>
    </row>
    <row r="50" spans="2:5" ht="15" x14ac:dyDescent="0.25">
      <c r="B50" s="27" t="s">
        <v>31</v>
      </c>
      <c r="C50" s="17"/>
      <c r="D50" s="17"/>
      <c r="E50" s="18"/>
    </row>
    <row r="51" spans="2:5" ht="15" x14ac:dyDescent="0.25">
      <c r="B51" s="27"/>
      <c r="C51" s="44" t="s">
        <v>39</v>
      </c>
      <c r="D51" s="44"/>
      <c r="E51" s="45"/>
    </row>
    <row r="52" spans="2:5" ht="15.75" thickBot="1" x14ac:dyDescent="0.3">
      <c r="B52" s="31"/>
      <c r="C52" s="12"/>
      <c r="D52" s="12"/>
      <c r="E52" s="13"/>
    </row>
  </sheetData>
  <mergeCells count="25">
    <mergeCell ref="C48:E48"/>
    <mergeCell ref="C51:E51"/>
    <mergeCell ref="C33:E33"/>
    <mergeCell ref="B2:H2"/>
    <mergeCell ref="A4:B4"/>
    <mergeCell ref="C4:E4"/>
    <mergeCell ref="A5:B5"/>
    <mergeCell ref="C5:E5"/>
    <mergeCell ref="A6:B6"/>
    <mergeCell ref="A7:B7"/>
    <mergeCell ref="C19:E19"/>
    <mergeCell ref="C42:E42"/>
    <mergeCell ref="B17:E17"/>
    <mergeCell ref="C30:E30"/>
    <mergeCell ref="C44:E44"/>
    <mergeCell ref="C49:E49"/>
    <mergeCell ref="C46:E46"/>
    <mergeCell ref="C31:E31"/>
    <mergeCell ref="C25:E25"/>
    <mergeCell ref="C26:E26"/>
    <mergeCell ref="C21:E21"/>
    <mergeCell ref="C23:E23"/>
    <mergeCell ref="C28:E28"/>
    <mergeCell ref="C40:E40"/>
    <mergeCell ref="B38:E38"/>
  </mergeCells>
  <pageMargins left="0.70866141732283472" right="0.70866141732283472" top="0.35433070866141736" bottom="0.35433070866141736" header="0.51181102362204722" footer="0.51181102362204722"/>
  <pageSetup paperSize="5" scale="80" firstPageNumber="0" orientation="landscape" horizontalDpi="300" verticalDpi="300" r:id="rId1"/>
  <rowBreaks count="1" manualBreakCount="1">
    <brk id="23" max="8" man="1"/>
  </rowBreaks>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SALA DE REUNIONES</cp:lastModifiedBy>
  <cp:revision>2</cp:revision>
  <cp:lastPrinted>2021-03-25T16:50:39Z</cp:lastPrinted>
  <dcterms:created xsi:type="dcterms:W3CDTF">2020-07-17T23:44:49Z</dcterms:created>
  <dcterms:modified xsi:type="dcterms:W3CDTF">2021-03-26T11:14:00Z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