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EMA 2020\COMPRAS MAEMA\"/>
    </mc:Choice>
  </mc:AlternateContent>
  <bookViews>
    <workbookView xWindow="0" yWindow="0" windowWidth="28800" windowHeight="11235"/>
  </bookViews>
  <sheets>
    <sheet name="Necesidades Trimestrales" sheetId="1" r:id="rId1"/>
  </sheets>
  <definedNames>
    <definedName name="_xlnm._FilterDatabase" localSheetId="0" hidden="1">'Necesidades Trimestrales'!$A$9:$I$44</definedName>
  </definedNames>
  <calcPr calcId="152511"/>
</workbook>
</file>

<file path=xl/calcChain.xml><?xml version="1.0" encoding="utf-8"?>
<calcChain xmlns="http://schemas.openxmlformats.org/spreadsheetml/2006/main">
  <c r="I43" i="1" l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44" i="1" l="1"/>
</calcChain>
</file>

<file path=xl/sharedStrings.xml><?xml version="1.0" encoding="utf-8"?>
<sst xmlns="http://schemas.openxmlformats.org/spreadsheetml/2006/main" count="164" uniqueCount="98">
  <si>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</si>
  <si>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</si>
  <si>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</si>
  <si>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</si>
  <si>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</si>
  <si>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</si>
  <si>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</si>
  <si>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</si>
  <si>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</si>
  <si>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</si>
  <si>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</si>
  <si>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</si>
  <si>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</si>
  <si>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</si>
  <si>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</si>
  <si>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</si>
  <si>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2.9.1-6951.31</t>
  </si>
  <si>
    <t>ELEMENTOS DE LIMPIEZA</t>
  </si>
  <si>
    <t>LIMPIADORES; TIPO: LAVANDINA, PRESENTACION: ENVASE X 10 L</t>
  </si>
  <si>
    <t>UNIDAD</t>
  </si>
  <si>
    <t>2.9.1-6951.214</t>
  </si>
  <si>
    <t>LIMPIADORES; TIPO: DETERGENTE NEUTRO, PRESENTACION: ENVASE X 5 L</t>
  </si>
  <si>
    <t>2.9.1-6951.157</t>
  </si>
  <si>
    <t>LIMPIADORES; TIPO: DESODORANTE LIQUIDO , PRESENTACION: BIDON X 5 L</t>
  </si>
  <si>
    <t>2.9.1-6951.281</t>
  </si>
  <si>
    <t>LIMPIADORES; TIPO: QUITASARRO, PRESENTACION: ENVASE X 1 L, BIODEGRADABLE: SI</t>
  </si>
  <si>
    <t>2.9.1-6951.116</t>
  </si>
  <si>
    <t>LIMPIADORES; TIPO: LIMPIAVIDRIOS, PRESENTACION: ENVASE X 5 L</t>
  </si>
  <si>
    <t>2.9.1-6952.91</t>
  </si>
  <si>
    <t>CEPILLOS; TIPO: ESCOBA, MATERIAL: PVC</t>
  </si>
  <si>
    <t>2.9.6-8963.6</t>
  </si>
  <si>
    <t>REPUESTOS Y ACCESORIOS</t>
  </si>
  <si>
    <t>R. Y A. P/EQ. Y ELEM. LIMPIEZA; ELEMENTO: PALO DE ESCOBA, MARCA EQUIPO: UNIVERSAL, MODELO EQUIPO: UNIVERSAL</t>
  </si>
  <si>
    <t>2.9.1-2425.2</t>
  </si>
  <si>
    <t>LAMPAZOS; MATERIAL: HILO, MANGO: MADERA</t>
  </si>
  <si>
    <t>2.9.1-714.1</t>
  </si>
  <si>
    <t>FRANELAS; DIMENSION: 40 X 60 Cm</t>
  </si>
  <si>
    <t>2.9.1-564.10</t>
  </si>
  <si>
    <t>BALDES DE PLASTICO; CAPACIDAD: 20 L, COLOR: AZUL</t>
  </si>
  <si>
    <t>2.9.1-544.65</t>
  </si>
  <si>
    <t>DESODORANTES DE AMBIENTE; FORMATO: AEROSOL, FRAGANCIA: VAINILLA, PRESENTACION: ENVASE X 360 CM3, LIBRE DE CFC: SI</t>
  </si>
  <si>
    <t>2.9.1-544.64</t>
  </si>
  <si>
    <t>DESODORANTES DE AMBIENTE; FORMATO: AEROSOL, FRAGANCIA: CAMPOS DE JAZMIN, PRESENTACION: ENVASE X 360 CM3, LIBRE DE CFC: SI</t>
  </si>
  <si>
    <t>2.9.1-6950.30</t>
  </si>
  <si>
    <t>LUSTRADORES; TIPO: LUSTRAMUEBLES, PRESENTACION: AEROSOL X 360 CM3</t>
  </si>
  <si>
    <t>2.9.1-761.1</t>
  </si>
  <si>
    <t>GUANTES P/LIMPIEZA; TAMAÑO: GRANDE, MATERIAL: LATEX</t>
  </si>
  <si>
    <t>2.9.1-6952.29</t>
  </si>
  <si>
    <t>CEPILLOS; TIPO: ESCOBILLA LIMPIA INODORO, MATERIAL: PLASTICO</t>
  </si>
  <si>
    <t>2.9.1-1156.1</t>
  </si>
  <si>
    <t>PLUMEROS; PLUMA: SINTETICA, CLASE: SUAVE, MATERIAL MANGO: MADERA, LARGO MANGO: 60 Cm, Nº VUELTAS PENACHO: 6, TIPO: SUAVE</t>
  </si>
  <si>
    <t>2.9.1-1081.1</t>
  </si>
  <si>
    <t>VIRUTAS; PRESENTACION: ROLLITO, CONTENIDO: 10 UNIDADES, MATERIAL: ACERO</t>
  </si>
  <si>
    <t>2.9.1-6952.71</t>
  </si>
  <si>
    <t>CEPILLOS; TIPO: ESCOBILLON INDUSTRIAL, MATERIAL: PVC</t>
  </si>
  <si>
    <t>2.9.1-2661.40</t>
  </si>
  <si>
    <t>TACHOS DE RESIDUOS; MATERIAL: POLIETILENO, SECCION: RECTANGULAR, DIMENSION: 120 L, TAPA: CON</t>
  </si>
  <si>
    <t>2.9.1-2661.28</t>
  </si>
  <si>
    <t>TACHOS DE RESIDUOS; MATERIAL: PLASTICO, SECCION: RECTANGULAR, DIMENSION: 70 L, TAPA: VAIVEN</t>
  </si>
  <si>
    <t>2.9.1-646.76</t>
  </si>
  <si>
    <t>BOLSAS DE RESIDUOS; DIMENSION: 60 X 40 Cm, PRESENTACION: ENVASE X 10 UN, ESPESOR: 30 Mn</t>
  </si>
  <si>
    <t>2.9.1-646.52</t>
  </si>
  <si>
    <t>BOLSAS DE RESIDUOS; DIMENSION: 60 X 90 Cm, PRESENTACION: PAQUETE X 50 UN, ESPESOR: 25 Mn, COLOR: NEGRO</t>
  </si>
  <si>
    <t>2.9.1-646.75</t>
  </si>
  <si>
    <t>BOLSAS DE RESIDUOS; DIMENSION: 90 X 120 Cm, PRESENTACION: ENVASE X 10 UN, ESPESOR: 80 µm</t>
  </si>
  <si>
    <t>2.9.1-678.5</t>
  </si>
  <si>
    <t>TRAPOS REJILLA; DIMENSION: 50 X 60 Cm, COLOR: BLANCO, MATERIAL: PURO ALGODÓN</t>
  </si>
  <si>
    <t>2.9.1-6961.15</t>
  </si>
  <si>
    <t>ELEM. P/LIMPIEZA SANITARIOS; TIPO: REJILLA DESODORANTE, PRESENTACION: UNIDAD</t>
  </si>
  <si>
    <t>2.9.1-4784.4</t>
  </si>
  <si>
    <t>LIMPIADORES MULTIUSO; TIPO: P/LAMPAZO, PRESENTACION: ENVASE X 1 L</t>
  </si>
  <si>
    <t>2.9.1-713.14</t>
  </si>
  <si>
    <t>TRAPOS DE PISO; DIMENSION: 80 X 80 Cm</t>
  </si>
  <si>
    <t>2.9.1-2029.14</t>
  </si>
  <si>
    <t>TRAPOS REPASADORES; MATERIAL: ALGODON, DIMENSION: 60 X 60 Cm</t>
  </si>
  <si>
    <t>2.9.1-683.8</t>
  </si>
  <si>
    <t>SECADORES DE GOMA; LARGO: 60 Cm, COLOR: NEGRO</t>
  </si>
  <si>
    <t>2.9.1-6956.6</t>
  </si>
  <si>
    <t>ARTICULOS DE TOCADOR; TIPO: JABON DE TOCADOR, PRESENTACION: 130 GR</t>
  </si>
  <si>
    <t>2.9.1-1164.1</t>
  </si>
  <si>
    <t>ESPONJAS; MATERIAL: POLIURETANO POLIETER, USO: P/COCINA, ADITAMENTO: FIBRA POLIESTER SUAVE, FORMA: PRISMATICA, LARGO X ANCHO X ESP: 10 X 6 X 3,5 Cm, COLOR: AMARILLO</t>
  </si>
  <si>
    <t>2.9.1-6951.272</t>
  </si>
  <si>
    <t>LIMPIADORES; TIPO: LIMPIA MUEBLES CREMA, PRESENTACION: ENVASE X 250 CM3</t>
  </si>
  <si>
    <t>2.9.1-8853.6</t>
  </si>
  <si>
    <t>MOPAS; LARGO MANGO: 20 Cm, MATERIAL: MICROFIBRA</t>
  </si>
  <si>
    <t>2.9.1-2437.2</t>
  </si>
  <si>
    <t>PALAS DE RESIDUOS; MATERIAL: PLASTICO, MANGO: LARGO</t>
  </si>
  <si>
    <t>Costo total estimado: ELEMENTOS DE LIMPIEZA</t>
  </si>
  <si>
    <t>Descripción técnica</t>
  </si>
  <si>
    <t>Plazos y lugares de entrega</t>
  </si>
  <si>
    <t>Calidad Minima esperada</t>
  </si>
  <si>
    <t>Mantenimiento</t>
  </si>
  <si>
    <t>Garantia</t>
  </si>
  <si>
    <t>Especificidades Item N° 1 al 34:</t>
  </si>
  <si>
    <t>Sin detalle tecnico</t>
  </si>
  <si>
    <t>Se requiere un plazo de entrega de 5 dias  a partir de la recepcion de la orden de compra. Lugar: Ministerio de Agua Energia y Medio Ambiente -  Pabellon N°2 Av Republica Venezuela S/N.</t>
  </si>
  <si>
    <t>*</t>
  </si>
  <si>
    <t>Se solicita que los productos cotizados sean de primera calidad,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</si>
</sst>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_-[$$-2C0A]\ * #,##0.00_-;\-[$$-2C0A]\ * #,##0.00_-;_-[$$-2C0A]\ * &quot;-&quot;??_-;_-@_-"/>
  </numFmts>
  <fonts count="15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rgb="FFFFFFCC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CCCC"/>
      </bottom>
      <diagonal/>
    </border>
  </borders>
  <cellStyleXfs count="4">
    <xf numFmtId="0" fontId="0" fillId="0" borderId="0"/>
    <xf numFmtId="164" fontId="9" fillId="0" borderId="0" applyBorder="0" applyProtection="0"/>
    <xf numFmtId="0" fontId="12" fillId="0" borderId="7" applyProtection="0"/>
    <xf numFmtId="0" fontId="13" fillId="6" borderId="0" applyBorder="0" applyProtection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65" fontId="7" fillId="4" borderId="3" xfId="1" applyNumberFormat="1" applyFont="1" applyFill="1" applyBorder="1" applyAlignment="1" applyProtection="1">
      <alignment horizontal="right" vertical="center" wrapText="1"/>
    </xf>
    <xf numFmtId="165" fontId="7" fillId="4" borderId="4" xfId="1" applyNumberFormat="1" applyFont="1" applyFill="1" applyBorder="1" applyAlignment="1" applyProtection="1">
      <alignment horizontal="right" vertical="center" wrapText="1"/>
    </xf>
    <xf numFmtId="0" fontId="10" fillId="5" borderId="0" xfId="0" applyFont="1" applyFill="1"/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 wrapText="1"/>
    </xf>
    <xf numFmtId="166" fontId="11" fillId="2" borderId="6" xfId="1" applyNumberFormat="1" applyFont="1" applyFill="1" applyBorder="1"/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  <xf numFmtId="0" fontId="14" fillId="0" borderId="0" xfId="0" applyFont="1"/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8"/>
  <sheetViews>
    <sheetView tabSelected="1" zoomScale="130" zoomScaleNormal="130" workbookViewId="0">
      <selection activeCell="E61" sqref="E61"/>
    </sheetView>
  </sheetViews>
  <sheetFormatPr baseColWidth="10" defaultColWidth="11" defaultRowHeight="12.75" x14ac:dyDescent="0.2"/>
  <cols>
    <col min="1" max="1" width="4.5703125" style="1" customWidth="1"/>
    <col min="2" max="2" width="15.7109375" style="1" customWidth="1"/>
    <col min="3" max="3" width="28" style="1" customWidth="1"/>
    <col min="4" max="4" width="8.42578125" style="1" customWidth="1"/>
    <col min="5" max="5" width="79" style="1" customWidth="1"/>
    <col min="6" max="6" width="8.7109375" style="1" customWidth="1"/>
    <col min="7" max="7" width="7" style="1" customWidth="1"/>
    <col min="8" max="8" width="11.5703125" style="2" customWidth="1"/>
    <col min="9" max="9" width="18.5703125" style="2" customWidth="1"/>
    <col min="10" max="16384" width="11" style="1"/>
  </cols>
  <sheetData>
    <row r="2" spans="1:9" ht="27" x14ac:dyDescent="0.35">
      <c r="B2" s="21" t="s">
        <v>0</v>
      </c>
      <c r="C2" s="21"/>
      <c r="D2" s="21"/>
      <c r="E2" s="21"/>
      <c r="F2" s="21"/>
      <c r="G2" s="21"/>
      <c r="H2" s="21"/>
    </row>
    <row r="4" spans="1:9" ht="18" customHeight="1" x14ac:dyDescent="0.25">
      <c r="A4" s="20" t="s">
        <v>1</v>
      </c>
      <c r="B4" s="20"/>
      <c r="C4" s="22" t="s">
        <v>2</v>
      </c>
      <c r="D4" s="22"/>
      <c r="E4" s="22"/>
      <c r="F4" s="3"/>
      <c r="G4" s="4"/>
      <c r="H4" s="5"/>
    </row>
    <row r="5" spans="1:9" ht="18" customHeight="1" x14ac:dyDescent="0.25">
      <c r="A5" s="20" t="s">
        <v>3</v>
      </c>
      <c r="B5" s="20"/>
      <c r="C5" s="22" t="s">
        <v>4</v>
      </c>
      <c r="D5" s="22"/>
      <c r="E5" s="22"/>
      <c r="F5" s="3"/>
      <c r="G5" s="4"/>
      <c r="H5" s="5"/>
    </row>
    <row r="6" spans="1:9" ht="16.5" customHeight="1" x14ac:dyDescent="0.25">
      <c r="A6" s="20" t="s">
        <v>5</v>
      </c>
      <c r="B6" s="20"/>
      <c r="C6" s="6">
        <v>2020</v>
      </c>
      <c r="D6" s="7"/>
      <c r="E6" s="7"/>
      <c r="F6" s="3"/>
      <c r="G6" s="4"/>
      <c r="H6" s="5"/>
    </row>
    <row r="7" spans="1:9" ht="16.5" customHeight="1" x14ac:dyDescent="0.25">
      <c r="A7" s="20" t="s">
        <v>6</v>
      </c>
      <c r="B7" s="20"/>
      <c r="C7" s="6">
        <v>4</v>
      </c>
      <c r="D7" s="7"/>
      <c r="E7" s="7"/>
      <c r="F7" s="3"/>
      <c r="G7" s="4"/>
      <c r="H7" s="5"/>
    </row>
    <row r="8" spans="1:9" ht="13.5" thickBot="1" x14ac:dyDescent="0.25">
      <c r="B8" s="3"/>
      <c r="C8" s="4"/>
      <c r="D8" s="3"/>
      <c r="E8" s="3"/>
      <c r="F8" s="3"/>
      <c r="G8" s="4"/>
      <c r="H8" s="5"/>
    </row>
    <row r="9" spans="1:9" ht="39.75" thickTop="1" thickBot="1" x14ac:dyDescent="0.25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9" t="s">
        <v>14</v>
      </c>
      <c r="I9" s="9" t="s">
        <v>15</v>
      </c>
    </row>
    <row r="10" spans="1:9" ht="13.5" thickBot="1" x14ac:dyDescent="0.25">
      <c r="A10" s="10">
        <v>1</v>
      </c>
      <c r="B10" s="11" t="s">
        <v>16</v>
      </c>
      <c r="C10" s="12" t="s">
        <v>17</v>
      </c>
      <c r="D10" s="13" t="str">
        <f t="shared" ref="D10:D43" si="0">LEFT(B10,5)</f>
        <v>2.9.1</v>
      </c>
      <c r="E10" s="12" t="s">
        <v>18</v>
      </c>
      <c r="F10" s="11" t="s">
        <v>19</v>
      </c>
      <c r="G10" s="11">
        <v>120</v>
      </c>
      <c r="H10" s="14">
        <v>250</v>
      </c>
      <c r="I10" s="15">
        <f t="shared" ref="I10:I43" si="1">H10*G10</f>
        <v>30000</v>
      </c>
    </row>
    <row r="11" spans="1:9" ht="13.5" thickBot="1" x14ac:dyDescent="0.25">
      <c r="A11" s="10">
        <v>2</v>
      </c>
      <c r="B11" s="11" t="s">
        <v>20</v>
      </c>
      <c r="C11" s="12" t="s">
        <v>17</v>
      </c>
      <c r="D11" s="13" t="str">
        <f t="shared" si="0"/>
        <v>2.9.1</v>
      </c>
      <c r="E11" s="12" t="s">
        <v>21</v>
      </c>
      <c r="F11" s="11" t="s">
        <v>19</v>
      </c>
      <c r="G11" s="11">
        <v>50</v>
      </c>
      <c r="H11" s="14">
        <v>377</v>
      </c>
      <c r="I11" s="15">
        <f t="shared" si="1"/>
        <v>18850</v>
      </c>
    </row>
    <row r="12" spans="1:9" ht="13.5" thickBot="1" x14ac:dyDescent="0.25">
      <c r="A12" s="10">
        <v>3</v>
      </c>
      <c r="B12" s="11" t="s">
        <v>22</v>
      </c>
      <c r="C12" s="12" t="s">
        <v>17</v>
      </c>
      <c r="D12" s="13" t="str">
        <f t="shared" si="0"/>
        <v>2.9.1</v>
      </c>
      <c r="E12" s="12" t="s">
        <v>23</v>
      </c>
      <c r="F12" s="11" t="s">
        <v>19</v>
      </c>
      <c r="G12" s="11">
        <v>105</v>
      </c>
      <c r="H12" s="14">
        <v>155</v>
      </c>
      <c r="I12" s="15">
        <f t="shared" si="1"/>
        <v>16275</v>
      </c>
    </row>
    <row r="13" spans="1:9" ht="13.5" thickBot="1" x14ac:dyDescent="0.25">
      <c r="A13" s="10">
        <v>4</v>
      </c>
      <c r="B13" s="11" t="s">
        <v>24</v>
      </c>
      <c r="C13" s="12" t="s">
        <v>17</v>
      </c>
      <c r="D13" s="13" t="str">
        <f t="shared" si="0"/>
        <v>2.9.1</v>
      </c>
      <c r="E13" s="12" t="s">
        <v>25</v>
      </c>
      <c r="F13" s="11" t="s">
        <v>19</v>
      </c>
      <c r="G13" s="11">
        <v>70</v>
      </c>
      <c r="H13" s="14">
        <v>140</v>
      </c>
      <c r="I13" s="15">
        <f t="shared" si="1"/>
        <v>9800</v>
      </c>
    </row>
    <row r="14" spans="1:9" ht="13.5" thickBot="1" x14ac:dyDescent="0.25">
      <c r="A14" s="10">
        <v>5</v>
      </c>
      <c r="B14" s="11" t="s">
        <v>26</v>
      </c>
      <c r="C14" s="12" t="s">
        <v>17</v>
      </c>
      <c r="D14" s="13" t="str">
        <f t="shared" si="0"/>
        <v>2.9.1</v>
      </c>
      <c r="E14" s="12" t="s">
        <v>27</v>
      </c>
      <c r="F14" s="11" t="s">
        <v>19</v>
      </c>
      <c r="G14" s="11">
        <v>70</v>
      </c>
      <c r="H14" s="14">
        <v>485</v>
      </c>
      <c r="I14" s="15">
        <f t="shared" si="1"/>
        <v>33950</v>
      </c>
    </row>
    <row r="15" spans="1:9" ht="13.5" thickBot="1" x14ac:dyDescent="0.25">
      <c r="A15" s="10">
        <v>6</v>
      </c>
      <c r="B15" s="11" t="s">
        <v>28</v>
      </c>
      <c r="C15" s="12" t="s">
        <v>17</v>
      </c>
      <c r="D15" s="13" t="str">
        <f t="shared" si="0"/>
        <v>2.9.1</v>
      </c>
      <c r="E15" s="12" t="s">
        <v>29</v>
      </c>
      <c r="F15" s="11" t="s">
        <v>19</v>
      </c>
      <c r="G15" s="11">
        <v>70</v>
      </c>
      <c r="H15" s="14">
        <v>155</v>
      </c>
      <c r="I15" s="15">
        <f t="shared" si="1"/>
        <v>10850</v>
      </c>
    </row>
    <row r="16" spans="1:9" ht="24.75" thickBot="1" x14ac:dyDescent="0.25">
      <c r="A16" s="10">
        <v>7</v>
      </c>
      <c r="B16" s="11" t="s">
        <v>30</v>
      </c>
      <c r="C16" s="12" t="s">
        <v>31</v>
      </c>
      <c r="D16" s="13" t="str">
        <f t="shared" si="0"/>
        <v>2.9.6</v>
      </c>
      <c r="E16" s="12" t="s">
        <v>32</v>
      </c>
      <c r="F16" s="11" t="s">
        <v>19</v>
      </c>
      <c r="G16" s="11">
        <v>200</v>
      </c>
      <c r="H16" s="14">
        <v>100</v>
      </c>
      <c r="I16" s="15">
        <f t="shared" si="1"/>
        <v>20000</v>
      </c>
    </row>
    <row r="17" spans="1:9" ht="13.5" thickBot="1" x14ac:dyDescent="0.25">
      <c r="A17" s="10">
        <v>8</v>
      </c>
      <c r="B17" s="11" t="s">
        <v>33</v>
      </c>
      <c r="C17" s="12" t="s">
        <v>17</v>
      </c>
      <c r="D17" s="13" t="str">
        <f t="shared" si="0"/>
        <v>2.9.1</v>
      </c>
      <c r="E17" s="12" t="s">
        <v>34</v>
      </c>
      <c r="F17" s="11" t="s">
        <v>19</v>
      </c>
      <c r="G17" s="11">
        <v>70</v>
      </c>
      <c r="H17" s="14">
        <v>400</v>
      </c>
      <c r="I17" s="15">
        <f t="shared" si="1"/>
        <v>28000</v>
      </c>
    </row>
    <row r="18" spans="1:9" ht="13.5" thickBot="1" x14ac:dyDescent="0.25">
      <c r="A18" s="10">
        <v>9</v>
      </c>
      <c r="B18" s="11" t="s">
        <v>35</v>
      </c>
      <c r="C18" s="12" t="s">
        <v>17</v>
      </c>
      <c r="D18" s="13" t="str">
        <f t="shared" si="0"/>
        <v>2.9.1</v>
      </c>
      <c r="E18" s="12" t="s">
        <v>36</v>
      </c>
      <c r="F18" s="11" t="s">
        <v>19</v>
      </c>
      <c r="G18" s="11">
        <v>250</v>
      </c>
      <c r="H18" s="14">
        <v>155</v>
      </c>
      <c r="I18" s="15">
        <f t="shared" si="1"/>
        <v>38750</v>
      </c>
    </row>
    <row r="19" spans="1:9" ht="13.5" thickBot="1" x14ac:dyDescent="0.25">
      <c r="A19" s="10">
        <v>10</v>
      </c>
      <c r="B19" s="11" t="s">
        <v>37</v>
      </c>
      <c r="C19" s="12" t="s">
        <v>17</v>
      </c>
      <c r="D19" s="13" t="str">
        <f t="shared" si="0"/>
        <v>2.9.1</v>
      </c>
      <c r="E19" s="12" t="s">
        <v>38</v>
      </c>
      <c r="F19" s="11" t="s">
        <v>19</v>
      </c>
      <c r="G19" s="11">
        <v>50</v>
      </c>
      <c r="H19" s="14">
        <v>400</v>
      </c>
      <c r="I19" s="15">
        <f t="shared" si="1"/>
        <v>20000</v>
      </c>
    </row>
    <row r="20" spans="1:9" ht="22.5" customHeight="1" thickBot="1" x14ac:dyDescent="0.25">
      <c r="A20" s="10">
        <v>11</v>
      </c>
      <c r="B20" s="11" t="s">
        <v>39</v>
      </c>
      <c r="C20" s="12" t="s">
        <v>17</v>
      </c>
      <c r="D20" s="13" t="str">
        <f t="shared" si="0"/>
        <v>2.9.1</v>
      </c>
      <c r="E20" s="12" t="s">
        <v>40</v>
      </c>
      <c r="F20" s="11" t="s">
        <v>19</v>
      </c>
      <c r="G20" s="11">
        <v>25</v>
      </c>
      <c r="H20" s="14">
        <v>97</v>
      </c>
      <c r="I20" s="15">
        <f t="shared" si="1"/>
        <v>2425</v>
      </c>
    </row>
    <row r="21" spans="1:9" ht="24.75" thickBot="1" x14ac:dyDescent="0.25">
      <c r="A21" s="10">
        <v>12</v>
      </c>
      <c r="B21" s="11" t="s">
        <v>41</v>
      </c>
      <c r="C21" s="12" t="s">
        <v>17</v>
      </c>
      <c r="D21" s="13" t="str">
        <f t="shared" si="0"/>
        <v>2.9.1</v>
      </c>
      <c r="E21" s="12" t="s">
        <v>42</v>
      </c>
      <c r="F21" s="11" t="s">
        <v>19</v>
      </c>
      <c r="G21" s="11">
        <v>25</v>
      </c>
      <c r="H21" s="14">
        <v>97</v>
      </c>
      <c r="I21" s="15">
        <f t="shared" si="1"/>
        <v>2425</v>
      </c>
    </row>
    <row r="22" spans="1:9" ht="13.5" thickBot="1" x14ac:dyDescent="0.25">
      <c r="A22" s="10">
        <v>13</v>
      </c>
      <c r="B22" s="11" t="s">
        <v>43</v>
      </c>
      <c r="C22" s="12" t="s">
        <v>17</v>
      </c>
      <c r="D22" s="13" t="str">
        <f t="shared" si="0"/>
        <v>2.9.1</v>
      </c>
      <c r="E22" s="12" t="s">
        <v>44</v>
      </c>
      <c r="F22" s="11" t="s">
        <v>19</v>
      </c>
      <c r="G22" s="11">
        <v>300</v>
      </c>
      <c r="H22" s="14">
        <v>145</v>
      </c>
      <c r="I22" s="15">
        <f t="shared" si="1"/>
        <v>43500</v>
      </c>
    </row>
    <row r="23" spans="1:9" ht="13.5" thickBot="1" x14ac:dyDescent="0.25">
      <c r="A23" s="10">
        <v>14</v>
      </c>
      <c r="B23" s="11" t="s">
        <v>45</v>
      </c>
      <c r="C23" s="12" t="s">
        <v>17</v>
      </c>
      <c r="D23" s="13" t="str">
        <f t="shared" si="0"/>
        <v>2.9.1</v>
      </c>
      <c r="E23" s="12" t="s">
        <v>46</v>
      </c>
      <c r="F23" s="11" t="s">
        <v>19</v>
      </c>
      <c r="G23" s="11">
        <v>250</v>
      </c>
      <c r="H23" s="14">
        <v>86</v>
      </c>
      <c r="I23" s="15">
        <f t="shared" si="1"/>
        <v>21500</v>
      </c>
    </row>
    <row r="24" spans="1:9" ht="13.5" thickBot="1" x14ac:dyDescent="0.25">
      <c r="A24" s="10">
        <v>15</v>
      </c>
      <c r="B24" s="11" t="s">
        <v>47</v>
      </c>
      <c r="C24" s="12" t="s">
        <v>17</v>
      </c>
      <c r="D24" s="13" t="str">
        <f t="shared" si="0"/>
        <v>2.9.1</v>
      </c>
      <c r="E24" s="12" t="s">
        <v>48</v>
      </c>
      <c r="F24" s="11" t="s">
        <v>19</v>
      </c>
      <c r="G24" s="11">
        <v>110</v>
      </c>
      <c r="H24" s="14">
        <v>52</v>
      </c>
      <c r="I24" s="15">
        <f t="shared" si="1"/>
        <v>5720</v>
      </c>
    </row>
    <row r="25" spans="1:9" ht="24.75" thickBot="1" x14ac:dyDescent="0.25">
      <c r="A25" s="10">
        <v>16</v>
      </c>
      <c r="B25" s="11" t="s">
        <v>49</v>
      </c>
      <c r="C25" s="12" t="s">
        <v>17</v>
      </c>
      <c r="D25" s="13" t="str">
        <f t="shared" si="0"/>
        <v>2.9.1</v>
      </c>
      <c r="E25" s="12" t="s">
        <v>50</v>
      </c>
      <c r="F25" s="11" t="s">
        <v>19</v>
      </c>
      <c r="G25" s="11">
        <v>30</v>
      </c>
      <c r="H25" s="14">
        <v>650</v>
      </c>
      <c r="I25" s="15">
        <f t="shared" si="1"/>
        <v>19500</v>
      </c>
    </row>
    <row r="26" spans="1:9" ht="13.5" thickBot="1" x14ac:dyDescent="0.25">
      <c r="A26" s="10">
        <v>17</v>
      </c>
      <c r="B26" s="11" t="s">
        <v>51</v>
      </c>
      <c r="C26" s="12" t="s">
        <v>17</v>
      </c>
      <c r="D26" s="13" t="str">
        <f t="shared" si="0"/>
        <v>2.9.1</v>
      </c>
      <c r="E26" s="12" t="s">
        <v>52</v>
      </c>
      <c r="F26" s="11" t="s">
        <v>19</v>
      </c>
      <c r="G26" s="11">
        <v>50</v>
      </c>
      <c r="H26" s="14">
        <v>37</v>
      </c>
      <c r="I26" s="15">
        <f t="shared" si="1"/>
        <v>1850</v>
      </c>
    </row>
    <row r="27" spans="1:9" ht="13.5" thickBot="1" x14ac:dyDescent="0.25">
      <c r="A27" s="10">
        <v>18</v>
      </c>
      <c r="B27" s="11" t="s">
        <v>53</v>
      </c>
      <c r="C27" s="12" t="s">
        <v>17</v>
      </c>
      <c r="D27" s="13" t="str">
        <f t="shared" si="0"/>
        <v>2.9.1</v>
      </c>
      <c r="E27" s="12" t="s">
        <v>54</v>
      </c>
      <c r="F27" s="11" t="s">
        <v>19</v>
      </c>
      <c r="G27" s="11">
        <v>70</v>
      </c>
      <c r="H27" s="14">
        <v>350</v>
      </c>
      <c r="I27" s="15">
        <f t="shared" si="1"/>
        <v>24500</v>
      </c>
    </row>
    <row r="28" spans="1:9" ht="24.75" thickBot="1" x14ac:dyDescent="0.25">
      <c r="A28" s="10">
        <v>19</v>
      </c>
      <c r="B28" s="11" t="s">
        <v>55</v>
      </c>
      <c r="C28" s="12" t="s">
        <v>17</v>
      </c>
      <c r="D28" s="13" t="str">
        <f t="shared" si="0"/>
        <v>2.9.1</v>
      </c>
      <c r="E28" s="12" t="s">
        <v>56</v>
      </c>
      <c r="F28" s="11" t="s">
        <v>19</v>
      </c>
      <c r="G28" s="11">
        <v>10</v>
      </c>
      <c r="H28" s="14">
        <v>2260</v>
      </c>
      <c r="I28" s="15">
        <f t="shared" si="1"/>
        <v>22600</v>
      </c>
    </row>
    <row r="29" spans="1:9" ht="24.75" thickBot="1" x14ac:dyDescent="0.25">
      <c r="A29" s="10">
        <v>20</v>
      </c>
      <c r="B29" s="11" t="s">
        <v>57</v>
      </c>
      <c r="C29" s="12" t="s">
        <v>17</v>
      </c>
      <c r="D29" s="13" t="str">
        <f t="shared" si="0"/>
        <v>2.9.1</v>
      </c>
      <c r="E29" s="12" t="s">
        <v>58</v>
      </c>
      <c r="F29" s="11" t="s">
        <v>19</v>
      </c>
      <c r="G29" s="11">
        <v>20</v>
      </c>
      <c r="H29" s="14">
        <v>2020</v>
      </c>
      <c r="I29" s="15">
        <f t="shared" si="1"/>
        <v>40400</v>
      </c>
    </row>
    <row r="30" spans="1:9" ht="24.75" thickBot="1" x14ac:dyDescent="0.25">
      <c r="A30" s="10">
        <v>21</v>
      </c>
      <c r="B30" s="11" t="s">
        <v>59</v>
      </c>
      <c r="C30" s="12" t="s">
        <v>17</v>
      </c>
      <c r="D30" s="13" t="str">
        <f t="shared" si="0"/>
        <v>2.9.1</v>
      </c>
      <c r="E30" s="12" t="s">
        <v>60</v>
      </c>
      <c r="F30" s="11" t="s">
        <v>19</v>
      </c>
      <c r="G30" s="11">
        <v>400</v>
      </c>
      <c r="H30" s="14">
        <v>29</v>
      </c>
      <c r="I30" s="15">
        <f t="shared" si="1"/>
        <v>11600</v>
      </c>
    </row>
    <row r="31" spans="1:9" ht="24.75" thickBot="1" x14ac:dyDescent="0.25">
      <c r="A31" s="10">
        <v>22</v>
      </c>
      <c r="B31" s="11" t="s">
        <v>61</v>
      </c>
      <c r="C31" s="12" t="s">
        <v>17</v>
      </c>
      <c r="D31" s="13" t="str">
        <f t="shared" si="0"/>
        <v>2.9.1</v>
      </c>
      <c r="E31" s="12" t="s">
        <v>62</v>
      </c>
      <c r="F31" s="11" t="s">
        <v>19</v>
      </c>
      <c r="G31" s="11">
        <v>400</v>
      </c>
      <c r="H31" s="14">
        <v>60</v>
      </c>
      <c r="I31" s="15">
        <f t="shared" si="1"/>
        <v>24000</v>
      </c>
    </row>
    <row r="32" spans="1:9" ht="24.75" thickBot="1" x14ac:dyDescent="0.25">
      <c r="A32" s="10">
        <v>23</v>
      </c>
      <c r="B32" s="11" t="s">
        <v>63</v>
      </c>
      <c r="C32" s="12" t="s">
        <v>17</v>
      </c>
      <c r="D32" s="13" t="str">
        <f t="shared" si="0"/>
        <v>2.9.1</v>
      </c>
      <c r="E32" s="12" t="s">
        <v>64</v>
      </c>
      <c r="F32" s="11" t="s">
        <v>19</v>
      </c>
      <c r="G32" s="11">
        <v>400</v>
      </c>
      <c r="H32" s="14">
        <v>160</v>
      </c>
      <c r="I32" s="15">
        <f t="shared" si="1"/>
        <v>64000</v>
      </c>
    </row>
    <row r="33" spans="1:9" ht="13.5" thickBot="1" x14ac:dyDescent="0.25">
      <c r="A33" s="10">
        <v>24</v>
      </c>
      <c r="B33" s="11" t="s">
        <v>65</v>
      </c>
      <c r="C33" s="12" t="s">
        <v>17</v>
      </c>
      <c r="D33" s="13" t="str">
        <f t="shared" si="0"/>
        <v>2.9.1</v>
      </c>
      <c r="E33" s="12" t="s">
        <v>66</v>
      </c>
      <c r="F33" s="11" t="s">
        <v>19</v>
      </c>
      <c r="G33" s="11">
        <v>120</v>
      </c>
      <c r="H33" s="14">
        <v>23</v>
      </c>
      <c r="I33" s="15">
        <f t="shared" si="1"/>
        <v>2760</v>
      </c>
    </row>
    <row r="34" spans="1:9" ht="13.5" thickBot="1" x14ac:dyDescent="0.25">
      <c r="A34" s="10">
        <v>25</v>
      </c>
      <c r="B34" s="11" t="s">
        <v>67</v>
      </c>
      <c r="C34" s="12" t="s">
        <v>17</v>
      </c>
      <c r="D34" s="13" t="str">
        <f t="shared" si="0"/>
        <v>2.9.1</v>
      </c>
      <c r="E34" s="12" t="s">
        <v>68</v>
      </c>
      <c r="F34" s="11" t="s">
        <v>19</v>
      </c>
      <c r="G34" s="11">
        <v>120</v>
      </c>
      <c r="H34" s="14">
        <v>270</v>
      </c>
      <c r="I34" s="15">
        <f t="shared" si="1"/>
        <v>32400</v>
      </c>
    </row>
    <row r="35" spans="1:9" ht="13.5" thickBot="1" x14ac:dyDescent="0.25">
      <c r="A35" s="10">
        <v>26</v>
      </c>
      <c r="B35" s="11" t="s">
        <v>69</v>
      </c>
      <c r="C35" s="12" t="s">
        <v>17</v>
      </c>
      <c r="D35" s="13" t="str">
        <f t="shared" si="0"/>
        <v>2.9.1</v>
      </c>
      <c r="E35" s="12" t="s">
        <v>70</v>
      </c>
      <c r="F35" s="11" t="s">
        <v>19</v>
      </c>
      <c r="G35" s="11">
        <v>80</v>
      </c>
      <c r="H35" s="14">
        <v>150</v>
      </c>
      <c r="I35" s="15">
        <f t="shared" si="1"/>
        <v>12000</v>
      </c>
    </row>
    <row r="36" spans="1:9" ht="13.5" thickBot="1" x14ac:dyDescent="0.25">
      <c r="A36" s="10">
        <v>27</v>
      </c>
      <c r="B36" s="11" t="s">
        <v>71</v>
      </c>
      <c r="C36" s="12" t="s">
        <v>17</v>
      </c>
      <c r="D36" s="13" t="str">
        <f t="shared" si="0"/>
        <v>2.9.1</v>
      </c>
      <c r="E36" s="12" t="s">
        <v>72</v>
      </c>
      <c r="F36" s="11" t="s">
        <v>19</v>
      </c>
      <c r="G36" s="11">
        <v>200</v>
      </c>
      <c r="H36" s="14">
        <v>48</v>
      </c>
      <c r="I36" s="15">
        <f t="shared" si="1"/>
        <v>9600</v>
      </c>
    </row>
    <row r="37" spans="1:9" ht="13.5" thickBot="1" x14ac:dyDescent="0.25">
      <c r="A37" s="10">
        <v>28</v>
      </c>
      <c r="B37" s="11" t="s">
        <v>73</v>
      </c>
      <c r="C37" s="12" t="s">
        <v>17</v>
      </c>
      <c r="D37" s="13" t="str">
        <f t="shared" si="0"/>
        <v>2.9.1</v>
      </c>
      <c r="E37" s="12" t="s">
        <v>74</v>
      </c>
      <c r="F37" s="11" t="s">
        <v>19</v>
      </c>
      <c r="G37" s="11">
        <v>200</v>
      </c>
      <c r="H37" s="14">
        <v>113</v>
      </c>
      <c r="I37" s="15">
        <f t="shared" si="1"/>
        <v>22600</v>
      </c>
    </row>
    <row r="38" spans="1:9" ht="13.5" thickBot="1" x14ac:dyDescent="0.25">
      <c r="A38" s="10">
        <v>29</v>
      </c>
      <c r="B38" s="11" t="s">
        <v>75</v>
      </c>
      <c r="C38" s="12" t="s">
        <v>17</v>
      </c>
      <c r="D38" s="13" t="str">
        <f t="shared" si="0"/>
        <v>2.9.1</v>
      </c>
      <c r="E38" s="12" t="s">
        <v>76</v>
      </c>
      <c r="F38" s="11" t="s">
        <v>19</v>
      </c>
      <c r="G38" s="11">
        <v>160</v>
      </c>
      <c r="H38" s="14">
        <v>100</v>
      </c>
      <c r="I38" s="15">
        <f t="shared" si="1"/>
        <v>16000</v>
      </c>
    </row>
    <row r="39" spans="1:9" ht="13.5" thickBot="1" x14ac:dyDescent="0.25">
      <c r="A39" s="10">
        <v>30</v>
      </c>
      <c r="B39" s="11" t="s">
        <v>77</v>
      </c>
      <c r="C39" s="12" t="s">
        <v>17</v>
      </c>
      <c r="D39" s="13" t="str">
        <f t="shared" si="0"/>
        <v>2.9.1</v>
      </c>
      <c r="E39" s="12" t="s">
        <v>78</v>
      </c>
      <c r="F39" s="11" t="s">
        <v>19</v>
      </c>
      <c r="G39" s="11">
        <v>50</v>
      </c>
      <c r="H39" s="14">
        <v>38</v>
      </c>
      <c r="I39" s="15">
        <f t="shared" si="1"/>
        <v>1900</v>
      </c>
    </row>
    <row r="40" spans="1:9" ht="36.75" thickBot="1" x14ac:dyDescent="0.25">
      <c r="A40" s="10">
        <v>31</v>
      </c>
      <c r="B40" s="11" t="s">
        <v>79</v>
      </c>
      <c r="C40" s="12" t="s">
        <v>17</v>
      </c>
      <c r="D40" s="13" t="str">
        <f t="shared" si="0"/>
        <v>2.9.1</v>
      </c>
      <c r="E40" s="12" t="s">
        <v>80</v>
      </c>
      <c r="F40" s="11" t="s">
        <v>19</v>
      </c>
      <c r="G40" s="11">
        <v>100</v>
      </c>
      <c r="H40" s="14">
        <v>30</v>
      </c>
      <c r="I40" s="15">
        <f t="shared" si="1"/>
        <v>3000</v>
      </c>
    </row>
    <row r="41" spans="1:9" ht="13.5" thickBot="1" x14ac:dyDescent="0.25">
      <c r="A41" s="10">
        <v>32</v>
      </c>
      <c r="B41" s="11" t="s">
        <v>81</v>
      </c>
      <c r="C41" s="12" t="s">
        <v>17</v>
      </c>
      <c r="D41" s="13" t="str">
        <f t="shared" si="0"/>
        <v>2.9.1</v>
      </c>
      <c r="E41" s="12" t="s">
        <v>82</v>
      </c>
      <c r="F41" s="11" t="s">
        <v>19</v>
      </c>
      <c r="G41" s="11">
        <v>250</v>
      </c>
      <c r="H41" s="14">
        <v>72</v>
      </c>
      <c r="I41" s="15">
        <f t="shared" si="1"/>
        <v>18000</v>
      </c>
    </row>
    <row r="42" spans="1:9" ht="13.5" thickBot="1" x14ac:dyDescent="0.25">
      <c r="A42" s="10">
        <v>33</v>
      </c>
      <c r="B42" s="11" t="s">
        <v>83</v>
      </c>
      <c r="C42" s="12" t="s">
        <v>17</v>
      </c>
      <c r="D42" s="13" t="str">
        <f t="shared" si="0"/>
        <v>2.9.1</v>
      </c>
      <c r="E42" s="12" t="s">
        <v>84</v>
      </c>
      <c r="F42" s="11" t="s">
        <v>19</v>
      </c>
      <c r="G42" s="11">
        <v>70</v>
      </c>
      <c r="H42" s="14">
        <v>1625</v>
      </c>
      <c r="I42" s="15">
        <f t="shared" si="1"/>
        <v>113750</v>
      </c>
    </row>
    <row r="43" spans="1:9" x14ac:dyDescent="0.2">
      <c r="A43" s="10">
        <v>34</v>
      </c>
      <c r="B43" s="11" t="s">
        <v>85</v>
      </c>
      <c r="C43" s="12" t="s">
        <v>17</v>
      </c>
      <c r="D43" s="13" t="str">
        <f t="shared" si="0"/>
        <v>2.9.1</v>
      </c>
      <c r="E43" s="12" t="s">
        <v>86</v>
      </c>
      <c r="F43" s="11" t="s">
        <v>19</v>
      </c>
      <c r="G43" s="11">
        <v>75</v>
      </c>
      <c r="H43" s="14">
        <v>290</v>
      </c>
      <c r="I43" s="15">
        <f t="shared" si="1"/>
        <v>21750</v>
      </c>
    </row>
    <row r="44" spans="1:9" ht="15" x14ac:dyDescent="0.25">
      <c r="A44" s="16"/>
      <c r="B44" s="17"/>
      <c r="C44" s="18"/>
      <c r="D44" s="17"/>
      <c r="E44" s="18" t="s">
        <v>87</v>
      </c>
      <c r="F44" s="17"/>
      <c r="G44" s="17"/>
      <c r="H44" s="18"/>
      <c r="I44" s="19">
        <f>SUM(I10:I43)</f>
        <v>764255</v>
      </c>
    </row>
    <row r="47" spans="1:9" x14ac:dyDescent="0.2">
      <c r="B47" s="23" t="s">
        <v>93</v>
      </c>
    </row>
    <row r="49" spans="2:2" x14ac:dyDescent="0.2">
      <c r="B49" s="23" t="s">
        <v>88</v>
      </c>
    </row>
    <row r="50" spans="2:2" x14ac:dyDescent="0.2">
      <c r="B50" s="1" t="s">
        <v>94</v>
      </c>
    </row>
    <row r="51" spans="2:2" x14ac:dyDescent="0.2">
      <c r="B51" s="23" t="s">
        <v>89</v>
      </c>
    </row>
    <row r="52" spans="2:2" x14ac:dyDescent="0.2">
      <c r="B52" s="1" t="s">
        <v>95</v>
      </c>
    </row>
    <row r="53" spans="2:2" x14ac:dyDescent="0.2">
      <c r="B53" s="23" t="s">
        <v>90</v>
      </c>
    </row>
    <row r="54" spans="2:2" x14ac:dyDescent="0.2">
      <c r="B54" s="1" t="s">
        <v>97</v>
      </c>
    </row>
    <row r="55" spans="2:2" x14ac:dyDescent="0.2">
      <c r="B55" s="23" t="s">
        <v>91</v>
      </c>
    </row>
    <row r="56" spans="2:2" x14ac:dyDescent="0.2">
      <c r="B56" s="23" t="s">
        <v>96</v>
      </c>
    </row>
    <row r="57" spans="2:2" x14ac:dyDescent="0.2">
      <c r="B57" s="23" t="s">
        <v>92</v>
      </c>
    </row>
    <row r="58" spans="2:2" x14ac:dyDescent="0.2">
      <c r="B58" s="23" t="s">
        <v>96</v>
      </c>
    </row>
  </sheetData>
  <mergeCells count="7">
    <mergeCell ref="A7:B7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2020-10-14T17:09:43Z</dcterms:created>
  <dcterms:modified xsi:type="dcterms:W3CDTF">2020-10-14T17:34:22Z</dcterms:modified>
</cp:coreProperties>
</file>