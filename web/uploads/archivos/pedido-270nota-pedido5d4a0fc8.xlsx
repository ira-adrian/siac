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01DAE671-BD3A-46D9-9C34-545557FB030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Trimestrales'!$A$9:$I$25</definedName>
    <definedName name="_xlnm.Print_Area" localSheetId="1">' NotaPedido'!$A$1:$K$28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A20" i="2" l="1"/>
  <c r="A21" i="2"/>
  <c r="A22" i="2"/>
  <c r="A23" i="2"/>
  <c r="A24" i="2"/>
  <c r="A25" i="2"/>
  <c r="A26" i="2"/>
  <c r="A27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I25" i="1" l="1"/>
  <c r="I24" i="1"/>
  <c r="A14" i="2" l="1"/>
  <c r="A15" i="2"/>
  <c r="A16" i="2"/>
  <c r="A17" i="2"/>
  <c r="A18" i="2"/>
  <c r="A19" i="2"/>
  <c r="A13" i="2"/>
  <c r="A12" i="2"/>
  <c r="B12" i="2"/>
  <c r="J12" i="2"/>
  <c r="C12" i="2"/>
  <c r="Q21" i="3"/>
  <c r="K12" i="2" l="1"/>
  <c r="J28" i="2" l="1"/>
  <c r="I12" i="2" l="1"/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<sst xmlns="http://schemas.openxmlformats.org/spreadsheetml/2006/main" count="162" uniqueCount="97">
  <si>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</si>
  <si>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</si>
  <si>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</si>
  <si>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</si>
  <si>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</si>
  <si>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</si>
  <si>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</si>
  <si>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</si>
  <si>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</si>
  <si>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</si>
  <si>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</si>
  <si>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</si>
  <si>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</si>
  <si>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</si>
  <si>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</si>
  <si>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</si>
  <si>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</si>
  <si>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</si>
  <si>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</si>
  <si>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</si>
  <si>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</si>
  <si>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</si>
  <si>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</si>
  <si>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</si>
  <si>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</si>
  <si>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</si>
  <si>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</si>
  <si>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</si>
  <si>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</si>
  <si>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</si>
  <si>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</si>
  <si>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</si>
  <si>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</si>
  <si>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</si>
  <si>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</si>
  <si>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</si>
  <si>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</si>
  <si>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</si>
  <si>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</si>
  <si>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</si>
  <si>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</si>
  <si>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</si>
  <si>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</si>
  <si>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</si>
  <si>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</si>
  <si>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</si>
  <si>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</si>
  <si>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</si>
  <si>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</si>
  <si>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</si>
  <si>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</si>
  <si>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</si>
  <si>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</si>
  <si>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</si>
  <si>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</si>
  <si>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</si>
  <si>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</si>
  <si>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</si>
  <si>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</si>
  <si>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</si>
  <si>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</si>
  <si>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</si>
  <si>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</si>
  <si>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</si>
  <si>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</si>
  <si>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</si>
  <si>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</si>
  <si>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</si>
  <si>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No deben tener vencimiento menor a un (1) año</t>
  </si>
  <si>
    <t>Servicio de Farmcia</t>
  </si>
  <si>
    <t>10 dias desde la firma del instrumento contractual</t>
  </si>
  <si>
    <t xml:space="preserve">30 dias </t>
  </si>
  <si>
    <t>AGUJA ESPINAL 25G 31/2 PUNTA LAPIZ</t>
  </si>
  <si>
    <t>Aguja ESPINAL 26 G 31/2  PUNTA LAPIZ</t>
  </si>
  <si>
    <t xml:space="preserve">AGUJA ESPINAL 27G 3 1/2 PUNTA LAPIZ </t>
  </si>
  <si>
    <t>Aguja espinal para obesos  25 G  punta lapiz</t>
  </si>
  <si>
    <t xml:space="preserve">Aguja espinal para obesos  27 G </t>
  </si>
  <si>
    <t>AGUJA P/SUTURA RECTA X 1</t>
  </si>
  <si>
    <t>BRAZALETE PNI 1 TUBO  Nº 1  TIPO  WELCH ALLYN/DRAGUER</t>
  </si>
  <si>
    <t>BRAZALETE PNI 1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</si>
  <si>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</si>
  <si>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</si>
  <si>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</si>
  <si>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 xml:space="preserve">CEPILLO PARA CIRUGIA  DESCARTABLE ESTERIL </t>
  </si>
  <si>
    <t>Collar Philadelfia Grande 1unidad (UNICA x 1)</t>
  </si>
  <si>
    <t>Collar Philadelfia Mediano 1unidad (UNICA x 1)</t>
  </si>
  <si>
    <t>Espatula De Madera Ayre Para Examen Papanicolau</t>
  </si>
  <si>
    <t>TENSIOMETRO+ESTETOSCOPIO ADULTO X 1</t>
  </si>
  <si>
    <t>2.9.5</t>
  </si>
  <si>
    <t>N° 56/2021</t>
  </si>
  <si>
    <t>Costo total estimado: TRES MILLONES OCHOCIENTOS NOVENTA Y CUATRO MIL DOSCIENTOS CON 00/100</t>
  </si>
  <si>
    <t>TOTAL DE PESOS: TRES MILLONES OCHOCIENTOS NOVENTA Y CUATRO MIL DOSCIENTOS CON 00/100</t>
  </si>
  <si>
    <t>Especificidades Item N° : 1 a 16</t>
  </si>
  <si>
    <t>INSUMOS COMPLEJO</t>
  </si>
  <si>
    <t xml:space="preserve"> Adquisición de Insumos complejos </t>
  </si>
  <si>
    <t>Para la adquisición de Adquisición de Insumos complejos para ser destinados Servicio de Farmacia, de  la Maternidad Provincial 25 de Mayo.-</t>
  </si>
  <si>
    <t>"Autorizo la realización de los  trámites correspondientes, a fin de proveer a  este Organismo los bienes y/o servicios que se detallan en Nota  de Pedido N° 56/2021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</si>
</sst>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5" fillId="7" borderId="0" applyNumberFormat="0" applyBorder="0" applyAlignment="0" applyProtection="0"/>
  </cellStyleXfs>
  <cellXfs count="176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8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7" fillId="3" borderId="3" xfId="7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49" xfId="0" applyFont="1" applyBorder="1"/>
    <xf numFmtId="0" fontId="19" fillId="0" borderId="0" xfId="0" applyFont="1" applyAlignment="1">
      <alignment horizontal="center" wrapText="1"/>
    </xf>
    <xf numFmtId="0" fontId="19" fillId="0" borderId="53" xfId="0" applyFont="1" applyBorder="1"/>
    <xf numFmtId="0" fontId="19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7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3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7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 wrapText="1"/>
    </xf>
    <xf numFmtId="0" fontId="33" fillId="3" borderId="59" xfId="0" applyFont="1" applyFill="1" applyBorder="1" applyAlignment="1">
      <alignment horizontal="right" vertical="center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8" xfId="7" applyNumberFormat="1" applyFont="1" applyFill="1" applyBorder="1" applyAlignment="1">
      <alignment horizontal="center" vertical="center" wrapText="1"/>
    </xf>
    <xf numFmtId="170" fontId="29" fillId="0" borderId="6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4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5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53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3" fillId="3" borderId="33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7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50" xfId="0" applyFont="1" applyFill="1" applyBorder="1" applyAlignment="1">
      <alignment vertical="center"/>
    </xf>
    <xf numFmtId="0" fontId="19" fillId="0" borderId="51" xfId="0" applyFont="1" applyFill="1" applyBorder="1" applyAlignment="1">
      <alignment vertical="center"/>
    </xf>
    <xf numFmtId="0" fontId="19" fillId="0" borderId="51" xfId="0" applyFont="1" applyFill="1" applyBorder="1" applyAlignment="1"/>
    <xf numFmtId="0" fontId="19" fillId="0" borderId="51" xfId="0" applyFont="1" applyFill="1" applyBorder="1" applyAlignment="1">
      <alignment wrapText="1"/>
    </xf>
    <xf numFmtId="0" fontId="19" fillId="0" borderId="51" xfId="0" applyFont="1" applyFill="1" applyBorder="1" applyAlignment="1">
      <alignment horizontal="center" vertical="center" wrapText="1"/>
    </xf>
    <xf numFmtId="0" fontId="19" fillId="0" borderId="54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2" fillId="3" borderId="33" xfId="6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51" xfId="0" applyFont="1" applyBorder="1" applyAlignment="1">
      <alignment horizontal="center" vertical="top" wrapText="1"/>
    </xf>
    <xf numFmtId="0" fontId="41" fillId="3" borderId="0" xfId="8" applyFont="1" applyFill="1" applyAlignment="1">
      <alignment horizontal="center" vertical="center"/>
    </xf>
    <xf numFmtId="0" fontId="19" fillId="0" borderId="51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left" vertical="center" wrapText="1" indent="1"/>
    </xf>
    <xf numFmtId="0" fontId="33" fillId="3" borderId="52" xfId="0" applyFont="1" applyFill="1" applyBorder="1" applyAlignment="1">
      <alignment horizontal="left" vertical="center" wrapText="1" indent="1"/>
    </xf>
    <xf numFmtId="166" fontId="36" fillId="3" borderId="45" xfId="0" applyNumberFormat="1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5" fillId="0" borderId="6" xfId="0" applyFont="1" applyBorder="1" applyAlignment="1">
      <alignment horizontal="left" indent="1"/>
    </xf>
    <xf numFmtId="0" fontId="15" fillId="0" borderId="17" xfId="0" applyFont="1" applyBorder="1" applyAlignment="1"/>
    <xf numFmtId="0" fontId="15" fillId="0" borderId="18" xfId="0" applyFont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35"/>
  <sheetViews>
    <sheetView tabSelected="1" zoomScale="80" zoomScaleNormal="80" workbookViewId="0">
      <selection activeCell="C11" sqref="C11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89" customWidth="1"/>
    <col min="4" max="4" width="12.140625" style="33" customWidth="1"/>
    <col min="5" max="5" width="79" style="114" customWidth="1"/>
    <col min="6" max="6" width="11" style="33"/>
    <col min="7" max="7" width="12.7109375" style="84" customWidth="1"/>
    <col min="8" max="8" width="13.85546875" style="75" customWidth="1"/>
    <col min="9" max="9" width="27" style="87" customWidth="1"/>
    <col min="10" max="16384" width="11" style="18"/>
  </cols>
  <sheetData>
    <row r="2" spans="1:9" ht="27" x14ac:dyDescent="0.35">
      <c r="E2" s="98" t="s">
        <v>0</v>
      </c>
      <c r="F2" s="39"/>
      <c r="G2" s="80"/>
      <c r="I2" s="86"/>
    </row>
    <row r="4" spans="1:9" ht="18" customHeight="1" x14ac:dyDescent="0.25">
      <c r="A4" s="117" t="s">
        <v>1</v>
      </c>
      <c r="B4" s="117"/>
      <c r="C4" s="117"/>
      <c r="D4" s="117"/>
      <c r="E4" s="118" t="s">
        <v>60</v>
      </c>
      <c r="F4" s="118"/>
      <c r="G4" s="118"/>
    </row>
    <row r="5" spans="1:9" ht="18" customHeight="1" x14ac:dyDescent="0.25">
      <c r="A5" s="117" t="s">
        <v>2</v>
      </c>
      <c r="B5" s="117"/>
      <c r="C5" s="117"/>
      <c r="D5" s="117"/>
      <c r="E5" s="118" t="s">
        <v>55</v>
      </c>
      <c r="F5" s="118"/>
      <c r="G5" s="118"/>
    </row>
    <row r="6" spans="1:9" ht="16.5" customHeight="1" x14ac:dyDescent="0.25">
      <c r="A6" s="117" t="s">
        <v>3</v>
      </c>
      <c r="B6" s="117"/>
      <c r="C6" s="117"/>
      <c r="D6" s="117"/>
      <c r="E6" s="99">
        <v>2021</v>
      </c>
      <c r="F6" s="38"/>
      <c r="G6" s="81"/>
    </row>
    <row r="7" spans="1:9" ht="16.5" customHeight="1" x14ac:dyDescent="0.25">
      <c r="A7" s="117" t="s">
        <v>4</v>
      </c>
      <c r="B7" s="117"/>
      <c r="C7" s="117"/>
      <c r="D7" s="117"/>
      <c r="E7" s="99" t="s">
        <v>67</v>
      </c>
      <c r="F7" s="38"/>
      <c r="G7" s="81"/>
    </row>
    <row r="8" spans="1:9" ht="13.5" thickBot="1" x14ac:dyDescent="0.25">
      <c r="E8" s="100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01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ht="42" customHeight="1" thickBot="1" x14ac:dyDescent="0.25">
      <c r="A10" s="85">
        <v>1</v>
      </c>
      <c r="B10" s="35"/>
      <c r="C10" s="116" t="s">
        <v>93</v>
      </c>
      <c r="D10" s="115" t="s">
        <v>88</v>
      </c>
      <c r="E10" s="102" t="s">
        <v>72</v>
      </c>
      <c r="F10" s="35" t="s">
        <v>12</v>
      </c>
      <c r="G10" s="83">
        <v>100</v>
      </c>
      <c r="H10" s="95">
        <v>1300</v>
      </c>
      <c r="I10" s="77">
        <f>G10*H10</f>
        <v>130000</v>
      </c>
    </row>
    <row r="11" spans="1:9" ht="42" customHeight="1" thickBot="1" x14ac:dyDescent="0.25">
      <c r="A11" s="85">
        <v>2</v>
      </c>
      <c r="B11" s="35"/>
      <c r="C11" s="37" t="s">
        <v>93</v>
      </c>
      <c r="D11" s="97" t="s">
        <v>88</v>
      </c>
      <c r="E11" s="102" t="s">
        <v>73</v>
      </c>
      <c r="F11" s="35" t="s">
        <v>12</v>
      </c>
      <c r="G11" s="83">
        <v>100</v>
      </c>
      <c r="H11" s="95">
        <v>1300</v>
      </c>
      <c r="I11" s="77">
        <f t="shared" ref="I11:I23" si="0">G11*H11</f>
        <v>130000</v>
      </c>
    </row>
    <row r="12" spans="1:9" s="27" customFormat="1" ht="42" customHeight="1" thickBot="1" x14ac:dyDescent="0.25">
      <c r="A12" s="85">
        <v>3</v>
      </c>
      <c r="B12" s="35"/>
      <c r="C12" s="37" t="s">
        <v>93</v>
      </c>
      <c r="D12" s="97" t="s">
        <v>88</v>
      </c>
      <c r="E12" s="102" t="s">
        <v>74</v>
      </c>
      <c r="F12" s="35" t="s">
        <v>12</v>
      </c>
      <c r="G12" s="83">
        <v>1500</v>
      </c>
      <c r="H12" s="95">
        <v>1300</v>
      </c>
      <c r="I12" s="77">
        <f t="shared" si="0"/>
        <v>1950000</v>
      </c>
    </row>
    <row r="13" spans="1:9" s="27" customFormat="1" ht="42" customHeight="1" thickBot="1" x14ac:dyDescent="0.25">
      <c r="A13" s="85">
        <v>4</v>
      </c>
      <c r="B13" s="35"/>
      <c r="C13" s="37" t="s">
        <v>93</v>
      </c>
      <c r="D13" s="97" t="s">
        <v>88</v>
      </c>
      <c r="E13" s="102" t="s">
        <v>75</v>
      </c>
      <c r="F13" s="35" t="s">
        <v>12</v>
      </c>
      <c r="G13" s="83">
        <v>100</v>
      </c>
      <c r="H13" s="95">
        <v>1400</v>
      </c>
      <c r="I13" s="77">
        <f t="shared" si="0"/>
        <v>140000</v>
      </c>
    </row>
    <row r="14" spans="1:9" s="27" customFormat="1" ht="42" customHeight="1" thickBot="1" x14ac:dyDescent="0.25">
      <c r="A14" s="85">
        <v>5</v>
      </c>
      <c r="B14" s="35"/>
      <c r="C14" s="37" t="s">
        <v>93</v>
      </c>
      <c r="D14" s="97" t="s">
        <v>88</v>
      </c>
      <c r="E14" s="103" t="s">
        <v>76</v>
      </c>
      <c r="F14" s="35" t="s">
        <v>12</v>
      </c>
      <c r="G14" s="83">
        <v>100</v>
      </c>
      <c r="H14" s="95">
        <v>1400</v>
      </c>
      <c r="I14" s="77">
        <f t="shared" si="0"/>
        <v>140000</v>
      </c>
    </row>
    <row r="15" spans="1:9" s="27" customFormat="1" ht="42" customHeight="1" thickBot="1" x14ac:dyDescent="0.25">
      <c r="A15" s="85">
        <v>6</v>
      </c>
      <c r="B15" s="35"/>
      <c r="C15" s="37" t="s">
        <v>93</v>
      </c>
      <c r="D15" s="97" t="s">
        <v>88</v>
      </c>
      <c r="E15" s="102" t="s">
        <v>77</v>
      </c>
      <c r="F15" s="35" t="s">
        <v>12</v>
      </c>
      <c r="G15" s="83">
        <v>20</v>
      </c>
      <c r="H15" s="95">
        <v>200</v>
      </c>
      <c r="I15" s="77">
        <f t="shared" si="0"/>
        <v>4000</v>
      </c>
    </row>
    <row r="16" spans="1:9" s="27" customFormat="1" ht="42" customHeight="1" thickBot="1" x14ac:dyDescent="0.25">
      <c r="A16" s="85">
        <v>7</v>
      </c>
      <c r="B16" s="35"/>
      <c r="C16" s="37" t="s">
        <v>93</v>
      </c>
      <c r="D16" s="97" t="s">
        <v>88</v>
      </c>
      <c r="E16" s="102" t="s">
        <v>78</v>
      </c>
      <c r="F16" s="35" t="s">
        <v>12</v>
      </c>
      <c r="G16" s="83">
        <v>240</v>
      </c>
      <c r="H16" s="95">
        <v>787</v>
      </c>
      <c r="I16" s="77">
        <f t="shared" si="0"/>
        <v>188880</v>
      </c>
    </row>
    <row r="17" spans="1:9" s="27" customFormat="1" ht="42" customHeight="1" thickBot="1" x14ac:dyDescent="0.25">
      <c r="A17" s="85">
        <v>8</v>
      </c>
      <c r="B17" s="35"/>
      <c r="C17" s="37" t="s">
        <v>93</v>
      </c>
      <c r="D17" s="97" t="s">
        <v>88</v>
      </c>
      <c r="E17" s="102" t="s">
        <v>79</v>
      </c>
      <c r="F17" s="35" t="s">
        <v>12</v>
      </c>
      <c r="G17" s="83">
        <v>240</v>
      </c>
      <c r="H17" s="95">
        <v>787</v>
      </c>
      <c r="I17" s="77">
        <f t="shared" si="0"/>
        <v>188880</v>
      </c>
    </row>
    <row r="18" spans="1:9" s="27" customFormat="1" ht="42" customHeight="1" thickBot="1" x14ac:dyDescent="0.25">
      <c r="A18" s="85">
        <v>9</v>
      </c>
      <c r="B18" s="35"/>
      <c r="C18" s="37" t="s">
        <v>93</v>
      </c>
      <c r="D18" s="97" t="s">
        <v>88</v>
      </c>
      <c r="E18" s="102" t="s">
        <v>80</v>
      </c>
      <c r="F18" s="35" t="s">
        <v>12</v>
      </c>
      <c r="G18" s="83">
        <v>6</v>
      </c>
      <c r="H18" s="96">
        <v>870</v>
      </c>
      <c r="I18" s="77">
        <f t="shared" si="0"/>
        <v>5220</v>
      </c>
    </row>
    <row r="19" spans="1:9" s="27" customFormat="1" ht="42" customHeight="1" thickBot="1" x14ac:dyDescent="0.25">
      <c r="A19" s="85">
        <v>10</v>
      </c>
      <c r="B19" s="35"/>
      <c r="C19" s="37" t="s">
        <v>93</v>
      </c>
      <c r="D19" s="97" t="s">
        <v>88</v>
      </c>
      <c r="E19" s="102" t="s">
        <v>81</v>
      </c>
      <c r="F19" s="35" t="s">
        <v>12</v>
      </c>
      <c r="G19" s="83">
        <v>6</v>
      </c>
      <c r="H19" s="95">
        <v>870</v>
      </c>
      <c r="I19" s="77">
        <f t="shared" si="0"/>
        <v>5220</v>
      </c>
    </row>
    <row r="20" spans="1:9" s="27" customFormat="1" ht="42" customHeight="1" thickBot="1" x14ac:dyDescent="0.25">
      <c r="A20" s="85">
        <v>11</v>
      </c>
      <c r="B20" s="35"/>
      <c r="C20" s="37" t="s">
        <v>93</v>
      </c>
      <c r="D20" s="97" t="s">
        <v>88</v>
      </c>
      <c r="E20" s="102" t="s">
        <v>82</v>
      </c>
      <c r="F20" s="35" t="s">
        <v>12</v>
      </c>
      <c r="G20" s="83">
        <v>400</v>
      </c>
      <c r="H20" s="95">
        <v>120</v>
      </c>
      <c r="I20" s="77">
        <f t="shared" si="0"/>
        <v>48000</v>
      </c>
    </row>
    <row r="21" spans="1:9" s="27" customFormat="1" ht="42" customHeight="1" thickBot="1" x14ac:dyDescent="0.25">
      <c r="A21" s="85">
        <v>12</v>
      </c>
      <c r="B21" s="36"/>
      <c r="C21" s="37" t="s">
        <v>93</v>
      </c>
      <c r="D21" s="97" t="s">
        <v>88</v>
      </c>
      <c r="E21" s="102" t="s">
        <v>83</v>
      </c>
      <c r="F21" s="35" t="s">
        <v>12</v>
      </c>
      <c r="G21" s="83">
        <v>5000</v>
      </c>
      <c r="H21" s="95">
        <v>36</v>
      </c>
      <c r="I21" s="77">
        <f t="shared" si="0"/>
        <v>180000</v>
      </c>
    </row>
    <row r="22" spans="1:9" s="27" customFormat="1" ht="42" customHeight="1" thickBot="1" x14ac:dyDescent="0.25">
      <c r="A22" s="85">
        <v>13</v>
      </c>
      <c r="B22" s="35"/>
      <c r="C22" s="37" t="s">
        <v>93</v>
      </c>
      <c r="D22" s="97" t="s">
        <v>88</v>
      </c>
      <c r="E22" s="102" t="s">
        <v>84</v>
      </c>
      <c r="F22" s="35" t="s">
        <v>12</v>
      </c>
      <c r="G22" s="83">
        <v>10</v>
      </c>
      <c r="H22" s="95">
        <v>1300</v>
      </c>
      <c r="I22" s="77">
        <f t="shared" si="0"/>
        <v>13000</v>
      </c>
    </row>
    <row r="23" spans="1:9" s="27" customFormat="1" ht="42" customHeight="1" thickBot="1" x14ac:dyDescent="0.25">
      <c r="A23" s="85">
        <v>14</v>
      </c>
      <c r="B23" s="35"/>
      <c r="C23" s="37" t="s">
        <v>93</v>
      </c>
      <c r="D23" s="97" t="s">
        <v>88</v>
      </c>
      <c r="E23" s="102" t="s">
        <v>85</v>
      </c>
      <c r="F23" s="35" t="s">
        <v>12</v>
      </c>
      <c r="G23" s="83">
        <v>10</v>
      </c>
      <c r="H23" s="95">
        <v>1100</v>
      </c>
      <c r="I23" s="77">
        <f t="shared" si="0"/>
        <v>11000</v>
      </c>
    </row>
    <row r="24" spans="1:9" s="27" customFormat="1" ht="42" customHeight="1" thickBot="1" x14ac:dyDescent="0.25">
      <c r="A24" s="85">
        <v>15</v>
      </c>
      <c r="B24" s="35"/>
      <c r="C24" s="37" t="s">
        <v>93</v>
      </c>
      <c r="D24" s="97" t="s">
        <v>88</v>
      </c>
      <c r="E24" s="102" t="s">
        <v>86</v>
      </c>
      <c r="F24" s="35" t="s">
        <v>12</v>
      </c>
      <c r="G24" s="83">
        <v>12000</v>
      </c>
      <c r="H24" s="95">
        <v>55</v>
      </c>
      <c r="I24" s="77">
        <f t="shared" ref="I24:I25" si="1">G24*H24</f>
        <v>660000</v>
      </c>
    </row>
    <row r="25" spans="1:9" s="27" customFormat="1" ht="42" customHeight="1" x14ac:dyDescent="0.2">
      <c r="A25" s="85">
        <v>16</v>
      </c>
      <c r="B25" s="35"/>
      <c r="C25" s="37" t="s">
        <v>93</v>
      </c>
      <c r="D25" s="97" t="s">
        <v>88</v>
      </c>
      <c r="E25" s="102" t="s">
        <v>87</v>
      </c>
      <c r="F25" s="35" t="s">
        <v>12</v>
      </c>
      <c r="G25" s="83">
        <v>40</v>
      </c>
      <c r="H25" s="95">
        <v>2500</v>
      </c>
      <c r="I25" s="77">
        <f t="shared" si="1"/>
        <v>100000</v>
      </c>
    </row>
    <row r="26" spans="1:9" ht="15.75" x14ac:dyDescent="0.25">
      <c r="A26" s="45"/>
      <c r="B26" s="76"/>
      <c r="E26" s="104"/>
      <c r="I26" s="88"/>
    </row>
    <row r="27" spans="1:9" x14ac:dyDescent="0.2">
      <c r="A27" s="45"/>
      <c r="B27" s="18"/>
      <c r="D27" s="18"/>
      <c r="E27" s="105"/>
      <c r="F27" s="18"/>
      <c r="I27" s="88"/>
    </row>
    <row r="28" spans="1:9" ht="13.5" customHeight="1" thickBot="1" x14ac:dyDescent="0.25">
      <c r="A28" s="45"/>
      <c r="B28" s="79"/>
      <c r="C28" s="90"/>
      <c r="D28" s="44"/>
      <c r="E28" s="106"/>
      <c r="F28" s="18"/>
      <c r="G28" s="122"/>
      <c r="H28" s="18"/>
      <c r="I28" s="18"/>
    </row>
    <row r="29" spans="1:9" ht="15" customHeight="1" x14ac:dyDescent="0.2">
      <c r="A29" s="45"/>
      <c r="B29" s="50" t="s">
        <v>92</v>
      </c>
      <c r="C29" s="91"/>
      <c r="D29" s="40"/>
      <c r="E29" s="107"/>
      <c r="F29" s="18"/>
      <c r="G29" s="122"/>
      <c r="H29" s="18"/>
      <c r="I29" s="18"/>
    </row>
    <row r="30" spans="1:9" ht="15" customHeight="1" x14ac:dyDescent="0.2">
      <c r="A30" s="45"/>
      <c r="B30" s="46"/>
      <c r="C30" s="91"/>
      <c r="D30" s="18"/>
      <c r="E30" s="108"/>
      <c r="F30" s="18"/>
      <c r="G30" s="122"/>
      <c r="H30" s="18"/>
      <c r="I30" s="18"/>
    </row>
    <row r="31" spans="1:9" ht="15" customHeight="1" x14ac:dyDescent="0.2">
      <c r="A31" s="45"/>
      <c r="B31" s="47" t="s">
        <v>56</v>
      </c>
      <c r="C31" s="91"/>
      <c r="D31" s="18"/>
      <c r="E31" s="108"/>
      <c r="F31" s="18"/>
      <c r="G31" s="122"/>
      <c r="H31" s="18"/>
      <c r="I31" s="18"/>
    </row>
    <row r="32" spans="1:9" ht="24" customHeight="1" x14ac:dyDescent="0.2">
      <c r="A32" s="45"/>
      <c r="B32" s="47"/>
      <c r="C32" s="120" t="s">
        <v>68</v>
      </c>
      <c r="D32" s="120"/>
      <c r="E32" s="121"/>
      <c r="F32" s="18"/>
      <c r="G32" s="122"/>
      <c r="H32" s="18"/>
      <c r="I32" s="18"/>
    </row>
    <row r="33" spans="1:9" ht="15" customHeight="1" x14ac:dyDescent="0.2">
      <c r="A33" s="45"/>
      <c r="B33" s="48" t="s">
        <v>62</v>
      </c>
      <c r="C33" s="119" t="s">
        <v>70</v>
      </c>
      <c r="D33" s="119"/>
      <c r="E33" s="119"/>
      <c r="F33" s="18"/>
      <c r="G33" s="122"/>
      <c r="H33" s="18"/>
      <c r="I33" s="18"/>
    </row>
    <row r="34" spans="1:9" ht="15" customHeight="1" x14ac:dyDescent="0.2">
      <c r="A34" s="45"/>
      <c r="B34" s="124"/>
      <c r="C34" s="124"/>
      <c r="D34" s="124"/>
      <c r="E34" s="124"/>
      <c r="F34" s="18"/>
      <c r="G34" s="122"/>
      <c r="H34" s="18"/>
      <c r="I34" s="18"/>
    </row>
    <row r="35" spans="1:9" ht="24.75" customHeight="1" x14ac:dyDescent="0.2">
      <c r="A35" s="45"/>
      <c r="B35" s="46" t="s">
        <v>63</v>
      </c>
      <c r="C35" s="119" t="s">
        <v>64</v>
      </c>
      <c r="D35" s="119"/>
      <c r="E35" s="123"/>
      <c r="F35" s="18"/>
      <c r="G35" s="122"/>
      <c r="H35" s="18"/>
      <c r="I35" s="18"/>
    </row>
    <row r="36" spans="1:9" ht="15" customHeight="1" x14ac:dyDescent="0.2">
      <c r="A36" s="45"/>
      <c r="B36" s="46"/>
      <c r="C36" s="52"/>
      <c r="D36" s="51"/>
      <c r="E36" s="109"/>
      <c r="F36" s="18"/>
      <c r="G36" s="122"/>
      <c r="H36" s="18"/>
      <c r="I36" s="18"/>
    </row>
    <row r="37" spans="1:9" ht="12.75" customHeight="1" x14ac:dyDescent="0.2">
      <c r="A37" s="45"/>
      <c r="B37" s="47" t="s">
        <v>57</v>
      </c>
      <c r="C37" s="119"/>
      <c r="D37" s="119"/>
      <c r="E37" s="123"/>
      <c r="F37" s="18"/>
      <c r="G37" s="122"/>
      <c r="H37" s="18"/>
      <c r="I37" s="18"/>
    </row>
    <row r="38" spans="1:9" ht="12.75" customHeight="1" x14ac:dyDescent="0.2">
      <c r="A38" s="45"/>
      <c r="B38" s="46"/>
      <c r="C38" s="52"/>
      <c r="D38" s="52"/>
      <c r="E38" s="110"/>
      <c r="F38" s="18"/>
      <c r="G38" s="122"/>
      <c r="H38" s="18"/>
      <c r="I38" s="18"/>
    </row>
    <row r="39" spans="1:9" ht="15" customHeight="1" x14ac:dyDescent="0.2">
      <c r="A39" s="45"/>
      <c r="B39" s="47" t="s">
        <v>58</v>
      </c>
      <c r="C39" s="43"/>
      <c r="D39" s="41"/>
      <c r="E39" s="111"/>
      <c r="F39" s="18"/>
      <c r="G39" s="122"/>
      <c r="H39" s="18"/>
      <c r="I39" s="18"/>
    </row>
    <row r="40" spans="1:9" ht="15" customHeight="1" x14ac:dyDescent="0.2">
      <c r="A40" s="45"/>
      <c r="B40" s="46"/>
      <c r="C40" s="52"/>
      <c r="D40" s="52"/>
      <c r="E40" s="110" t="s">
        <v>71</v>
      </c>
      <c r="F40" s="18"/>
      <c r="G40" s="122"/>
      <c r="H40" s="18"/>
      <c r="I40" s="18"/>
    </row>
    <row r="41" spans="1:9" ht="15" customHeight="1" x14ac:dyDescent="0.2">
      <c r="A41" s="45"/>
      <c r="B41" s="47" t="s">
        <v>59</v>
      </c>
      <c r="C41" s="91"/>
      <c r="D41" s="18"/>
      <c r="E41" s="108"/>
      <c r="F41" s="18"/>
      <c r="G41" s="122"/>
      <c r="H41" s="18"/>
      <c r="I41" s="18"/>
    </row>
    <row r="42" spans="1:9" ht="15" customHeight="1" x14ac:dyDescent="0.2">
      <c r="A42" s="45"/>
      <c r="B42" s="47"/>
      <c r="C42" s="52"/>
      <c r="D42" s="51"/>
      <c r="E42" s="109"/>
      <c r="F42" s="18"/>
      <c r="G42" s="122"/>
      <c r="H42" s="18"/>
      <c r="I42" s="18"/>
    </row>
    <row r="43" spans="1:9" ht="12.75" customHeight="1" thickBot="1" x14ac:dyDescent="0.25">
      <c r="A43" s="45"/>
      <c r="B43" s="49"/>
      <c r="C43" s="92"/>
      <c r="D43" s="42"/>
      <c r="E43" s="112"/>
      <c r="F43" s="18"/>
      <c r="G43" s="122"/>
      <c r="H43" s="18"/>
      <c r="I43" s="18"/>
    </row>
    <row r="44" spans="1:9" ht="12.75" customHeight="1" x14ac:dyDescent="0.2">
      <c r="A44" s="45"/>
      <c r="B44" s="79"/>
      <c r="C44" s="93"/>
      <c r="D44" s="94"/>
      <c r="E44" s="113"/>
      <c r="F44" s="18"/>
      <c r="G44" s="122"/>
      <c r="H44" s="18"/>
      <c r="I44" s="18"/>
    </row>
    <row r="45" spans="1:9" x14ac:dyDescent="0.2">
      <c r="I45" s="88"/>
    </row>
    <row r="46" spans="1:9" x14ac:dyDescent="0.2">
      <c r="I46" s="88"/>
    </row>
    <row r="47" spans="1:9" x14ac:dyDescent="0.2">
      <c r="I47" s="88"/>
    </row>
    <row r="48" spans="1:9" x14ac:dyDescent="0.2">
      <c r="I48" s="88"/>
    </row>
    <row r="49" spans="9:9" x14ac:dyDescent="0.2">
      <c r="I49" s="88"/>
    </row>
    <row r="50" spans="9:9" x14ac:dyDescent="0.2">
      <c r="I50" s="88"/>
    </row>
    <row r="51" spans="9:9" x14ac:dyDescent="0.2">
      <c r="I51" s="88"/>
    </row>
    <row r="52" spans="9:9" x14ac:dyDescent="0.2">
      <c r="I52" s="88"/>
    </row>
    <row r="53" spans="9:9" x14ac:dyDescent="0.2">
      <c r="I53" s="88"/>
    </row>
    <row r="54" spans="9:9" x14ac:dyDescent="0.2">
      <c r="I54" s="88"/>
    </row>
    <row r="55" spans="9:9" x14ac:dyDescent="0.2">
      <c r="I55" s="88"/>
    </row>
    <row r="56" spans="9:9" x14ac:dyDescent="0.2">
      <c r="I56" s="88"/>
    </row>
    <row r="57" spans="9:9" x14ac:dyDescent="0.2">
      <c r="I57" s="88"/>
    </row>
    <row r="58" spans="9:9" x14ac:dyDescent="0.2">
      <c r="I58" s="88"/>
    </row>
    <row r="59" spans="9:9" x14ac:dyDescent="0.2">
      <c r="I59" s="88"/>
    </row>
    <row r="60" spans="9:9" x14ac:dyDescent="0.2">
      <c r="I60" s="88"/>
    </row>
    <row r="61" spans="9:9" x14ac:dyDescent="0.2">
      <c r="I61" s="88"/>
    </row>
    <row r="62" spans="9:9" x14ac:dyDescent="0.2">
      <c r="I62" s="88"/>
    </row>
    <row r="63" spans="9:9" x14ac:dyDescent="0.2">
      <c r="I63" s="88"/>
    </row>
    <row r="64" spans="9:9" x14ac:dyDescent="0.2">
      <c r="I64" s="88"/>
    </row>
    <row r="65" spans="9:9" x14ac:dyDescent="0.2">
      <c r="I65" s="88"/>
    </row>
    <row r="66" spans="9:9" x14ac:dyDescent="0.2">
      <c r="I66" s="88"/>
    </row>
    <row r="67" spans="9:9" x14ac:dyDescent="0.2">
      <c r="I67" s="88"/>
    </row>
    <row r="68" spans="9:9" x14ac:dyDescent="0.2">
      <c r="I68" s="88"/>
    </row>
    <row r="69" spans="9:9" x14ac:dyDescent="0.2">
      <c r="I69" s="88"/>
    </row>
    <row r="70" spans="9:9" x14ac:dyDescent="0.2">
      <c r="I70" s="88"/>
    </row>
    <row r="71" spans="9:9" x14ac:dyDescent="0.2">
      <c r="I71" s="88"/>
    </row>
    <row r="72" spans="9:9" x14ac:dyDescent="0.2">
      <c r="I72" s="88"/>
    </row>
    <row r="73" spans="9:9" x14ac:dyDescent="0.2">
      <c r="I73" s="88"/>
    </row>
    <row r="74" spans="9:9" x14ac:dyDescent="0.2">
      <c r="I74" s="88"/>
    </row>
    <row r="75" spans="9:9" x14ac:dyDescent="0.2">
      <c r="I75" s="88"/>
    </row>
    <row r="76" spans="9:9" x14ac:dyDescent="0.2">
      <c r="I76" s="88"/>
    </row>
    <row r="77" spans="9:9" x14ac:dyDescent="0.2">
      <c r="I77" s="88"/>
    </row>
    <row r="78" spans="9:9" x14ac:dyDescent="0.2">
      <c r="I78" s="88"/>
    </row>
    <row r="79" spans="9:9" x14ac:dyDescent="0.2">
      <c r="I79" s="88"/>
    </row>
    <row r="80" spans="9:9" x14ac:dyDescent="0.2">
      <c r="I80" s="88"/>
    </row>
    <row r="81" spans="9:9" x14ac:dyDescent="0.2">
      <c r="I81" s="88"/>
    </row>
    <row r="82" spans="9:9" x14ac:dyDescent="0.2">
      <c r="I82" s="88"/>
    </row>
    <row r="83" spans="9:9" x14ac:dyDescent="0.2">
      <c r="I83" s="88"/>
    </row>
    <row r="84" spans="9:9" x14ac:dyDescent="0.2">
      <c r="I84" s="88"/>
    </row>
    <row r="85" spans="9:9" x14ac:dyDescent="0.2">
      <c r="I85" s="88"/>
    </row>
    <row r="86" spans="9:9" x14ac:dyDescent="0.2">
      <c r="I86" s="88"/>
    </row>
    <row r="87" spans="9:9" x14ac:dyDescent="0.2">
      <c r="I87" s="88"/>
    </row>
    <row r="88" spans="9:9" x14ac:dyDescent="0.2">
      <c r="I88" s="88"/>
    </row>
    <row r="89" spans="9:9" x14ac:dyDescent="0.2">
      <c r="I89" s="88"/>
    </row>
    <row r="90" spans="9:9" x14ac:dyDescent="0.2">
      <c r="I90" s="88"/>
    </row>
    <row r="91" spans="9:9" x14ac:dyDescent="0.2">
      <c r="I91" s="88"/>
    </row>
    <row r="92" spans="9:9" x14ac:dyDescent="0.2">
      <c r="I92" s="88"/>
    </row>
    <row r="93" spans="9:9" x14ac:dyDescent="0.2">
      <c r="I93" s="88"/>
    </row>
    <row r="94" spans="9:9" x14ac:dyDescent="0.2">
      <c r="I94" s="88"/>
    </row>
    <row r="95" spans="9:9" x14ac:dyDescent="0.2">
      <c r="I95" s="88"/>
    </row>
    <row r="96" spans="9:9" x14ac:dyDescent="0.2">
      <c r="I96" s="88"/>
    </row>
    <row r="97" spans="9:9" x14ac:dyDescent="0.2">
      <c r="I97" s="88"/>
    </row>
    <row r="98" spans="9:9" x14ac:dyDescent="0.2">
      <c r="I98" s="88"/>
    </row>
    <row r="99" spans="9:9" x14ac:dyDescent="0.2">
      <c r="I99" s="88"/>
    </row>
    <row r="100" spans="9:9" x14ac:dyDescent="0.2">
      <c r="I100" s="88"/>
    </row>
    <row r="101" spans="9:9" x14ac:dyDescent="0.2">
      <c r="I101" s="88"/>
    </row>
    <row r="102" spans="9:9" x14ac:dyDescent="0.2">
      <c r="I102" s="88"/>
    </row>
    <row r="103" spans="9:9" x14ac:dyDescent="0.2">
      <c r="I103" s="88"/>
    </row>
    <row r="104" spans="9:9" x14ac:dyDescent="0.2">
      <c r="I104" s="88"/>
    </row>
    <row r="105" spans="9:9" x14ac:dyDescent="0.2">
      <c r="I105" s="88"/>
    </row>
    <row r="106" spans="9:9" x14ac:dyDescent="0.2">
      <c r="I106" s="88"/>
    </row>
    <row r="107" spans="9:9" x14ac:dyDescent="0.2">
      <c r="I107" s="88"/>
    </row>
    <row r="108" spans="9:9" x14ac:dyDescent="0.2">
      <c r="I108" s="88"/>
    </row>
    <row r="109" spans="9:9" x14ac:dyDescent="0.2">
      <c r="I109" s="88"/>
    </row>
    <row r="110" spans="9:9" x14ac:dyDescent="0.2">
      <c r="I110" s="88"/>
    </row>
    <row r="111" spans="9:9" x14ac:dyDescent="0.2">
      <c r="I111" s="88"/>
    </row>
    <row r="112" spans="9:9" x14ac:dyDescent="0.2">
      <c r="I112" s="88"/>
    </row>
    <row r="113" spans="9:9" x14ac:dyDescent="0.2">
      <c r="I113" s="88"/>
    </row>
    <row r="114" spans="9:9" x14ac:dyDescent="0.2">
      <c r="I114" s="88"/>
    </row>
    <row r="115" spans="9:9" x14ac:dyDescent="0.2">
      <c r="I115" s="88"/>
    </row>
    <row r="116" spans="9:9" x14ac:dyDescent="0.2">
      <c r="I116" s="88"/>
    </row>
    <row r="117" spans="9:9" x14ac:dyDescent="0.2">
      <c r="I117" s="88"/>
    </row>
    <row r="118" spans="9:9" x14ac:dyDescent="0.2">
      <c r="I118" s="88"/>
    </row>
    <row r="119" spans="9:9" x14ac:dyDescent="0.2">
      <c r="I119" s="88"/>
    </row>
    <row r="120" spans="9:9" x14ac:dyDescent="0.2">
      <c r="I120" s="88"/>
    </row>
    <row r="121" spans="9:9" x14ac:dyDescent="0.2">
      <c r="I121" s="88"/>
    </row>
    <row r="122" spans="9:9" x14ac:dyDescent="0.2">
      <c r="I122" s="88"/>
    </row>
    <row r="123" spans="9:9" x14ac:dyDescent="0.2">
      <c r="I123" s="88"/>
    </row>
    <row r="124" spans="9:9" x14ac:dyDescent="0.2">
      <c r="I124" s="88"/>
    </row>
    <row r="125" spans="9:9" x14ac:dyDescent="0.2">
      <c r="I125" s="88"/>
    </row>
    <row r="126" spans="9:9" x14ac:dyDescent="0.2">
      <c r="I126" s="88"/>
    </row>
    <row r="127" spans="9:9" x14ac:dyDescent="0.2">
      <c r="I127" s="88"/>
    </row>
    <row r="128" spans="9:9" x14ac:dyDescent="0.2">
      <c r="I128" s="88"/>
    </row>
    <row r="129" spans="9:9" x14ac:dyDescent="0.2">
      <c r="I129" s="88"/>
    </row>
    <row r="130" spans="9:9" x14ac:dyDescent="0.2">
      <c r="I130" s="88"/>
    </row>
    <row r="131" spans="9:9" x14ac:dyDescent="0.2">
      <c r="I131" s="88"/>
    </row>
    <row r="132" spans="9:9" x14ac:dyDescent="0.2">
      <c r="I132" s="88"/>
    </row>
    <row r="133" spans="9:9" x14ac:dyDescent="0.2">
      <c r="I133" s="88"/>
    </row>
    <row r="134" spans="9:9" x14ac:dyDescent="0.2">
      <c r="I134" s="88"/>
    </row>
    <row r="135" spans="9:9" x14ac:dyDescent="0.2">
      <c r="I135" s="88"/>
    </row>
  </sheetData>
  <autoFilter ref="A9:I25" xr:uid="{00000000-0009-0000-0000-000000000000}"/>
  <mergeCells count="12">
    <mergeCell ref="C33:E33"/>
    <mergeCell ref="C32:E32"/>
    <mergeCell ref="G28:G44"/>
    <mergeCell ref="C35:E35"/>
    <mergeCell ref="B34:E34"/>
    <mergeCell ref="C37:E37"/>
    <mergeCell ref="A4:D4"/>
    <mergeCell ref="A5:D5"/>
    <mergeCell ref="A6:D6"/>
    <mergeCell ref="A7:D7"/>
    <mergeCell ref="E4:G4"/>
    <mergeCell ref="E5:G5"/>
  </mergeCells>
  <phoneticPr fontId="24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35"/>
  <sheetViews>
    <sheetView zoomScale="68" zoomScaleNormal="68" workbookViewId="0">
      <selection activeCell="C12" sqref="C12:G12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39" t="s">
        <v>13</v>
      </c>
      <c r="B1" s="139"/>
      <c r="C1" s="139"/>
      <c r="D1" s="139"/>
      <c r="E1" s="139"/>
      <c r="F1" s="139"/>
      <c r="G1" s="139"/>
      <c r="H1" s="139"/>
      <c r="I1" s="139"/>
      <c r="J1" s="53"/>
      <c r="K1" s="73" t="s">
        <v>89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40" t="s">
        <v>14</v>
      </c>
      <c r="B3" s="140"/>
      <c r="C3" s="140"/>
      <c r="D3" s="141" t="s">
        <v>61</v>
      </c>
      <c r="E3" s="141"/>
      <c r="F3" s="141"/>
      <c r="G3" s="141"/>
      <c r="H3" s="141"/>
      <c r="I3" s="141"/>
      <c r="J3" s="141"/>
      <c r="K3" s="141"/>
    </row>
    <row r="4" spans="1:1013" ht="18.75" customHeight="1" thickBot="1" x14ac:dyDescent="0.25">
      <c r="A4" s="142" t="s">
        <v>15</v>
      </c>
      <c r="B4" s="142"/>
      <c r="C4" s="142"/>
      <c r="D4" s="141" t="s">
        <v>55</v>
      </c>
      <c r="E4" s="141"/>
      <c r="F4" s="141"/>
      <c r="G4" s="141"/>
      <c r="H4" s="141"/>
      <c r="I4" s="141"/>
      <c r="J4" s="141"/>
      <c r="K4" s="141"/>
    </row>
    <row r="5" spans="1:1013" ht="18.75" customHeight="1" thickBot="1" x14ac:dyDescent="0.25">
      <c r="A5" s="142" t="s">
        <v>16</v>
      </c>
      <c r="B5" s="142"/>
      <c r="C5" s="142"/>
      <c r="D5" s="141" t="s">
        <v>51</v>
      </c>
      <c r="E5" s="141"/>
      <c r="F5" s="141"/>
      <c r="G5" s="141"/>
      <c r="H5" s="141"/>
      <c r="I5" s="141"/>
      <c r="J5" s="141"/>
      <c r="K5" s="141"/>
    </row>
    <row r="6" spans="1:1013" ht="16.5" customHeight="1" thickBot="1" x14ac:dyDescent="0.25">
      <c r="A6" s="140" t="s">
        <v>17</v>
      </c>
      <c r="B6" s="140"/>
      <c r="C6" s="140"/>
      <c r="D6" s="141" t="s">
        <v>69</v>
      </c>
      <c r="E6" s="141"/>
      <c r="F6" s="141"/>
      <c r="G6" s="141"/>
      <c r="H6" s="141"/>
      <c r="I6" s="141"/>
      <c r="J6" s="141"/>
      <c r="K6" s="141"/>
    </row>
    <row r="7" spans="1:1013" ht="16.5" customHeight="1" thickBot="1" x14ac:dyDescent="0.25">
      <c r="A7" s="142" t="s">
        <v>18</v>
      </c>
      <c r="B7" s="142"/>
      <c r="C7" s="142"/>
      <c r="D7" s="141" t="s">
        <v>65</v>
      </c>
      <c r="E7" s="141"/>
      <c r="F7" s="141"/>
      <c r="G7" s="141"/>
      <c r="H7" s="141"/>
      <c r="I7" s="141"/>
      <c r="J7" s="141"/>
      <c r="K7" s="141"/>
    </row>
    <row r="8" spans="1:1013" ht="16.5" customHeight="1" thickBot="1" x14ac:dyDescent="0.25">
      <c r="A8" s="131" t="s">
        <v>19</v>
      </c>
      <c r="B8" s="131"/>
      <c r="C8" s="131"/>
      <c r="D8" s="132" t="s">
        <v>94</v>
      </c>
      <c r="E8" s="132"/>
      <c r="F8" s="132"/>
      <c r="G8" s="132"/>
      <c r="H8" s="132"/>
      <c r="I8" s="132"/>
      <c r="J8" s="132"/>
      <c r="K8" s="132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33" t="s">
        <v>20</v>
      </c>
      <c r="B10" s="135" t="s">
        <v>21</v>
      </c>
      <c r="C10" s="135" t="s">
        <v>22</v>
      </c>
      <c r="D10" s="135"/>
      <c r="E10" s="135"/>
      <c r="F10" s="135"/>
      <c r="G10" s="135"/>
      <c r="H10" s="135" t="s">
        <v>23</v>
      </c>
      <c r="I10" s="135" t="s">
        <v>24</v>
      </c>
      <c r="J10" s="135" t="s">
        <v>25</v>
      </c>
      <c r="K10" s="137" t="s">
        <v>26</v>
      </c>
    </row>
    <row r="11" spans="1:1013" ht="24" customHeight="1" thickBot="1" x14ac:dyDescent="0.25">
      <c r="A11" s="134"/>
      <c r="B11" s="136"/>
      <c r="C11" s="136"/>
      <c r="D11" s="136"/>
      <c r="E11" s="136"/>
      <c r="F11" s="136"/>
      <c r="G11" s="136"/>
      <c r="H11" s="136"/>
      <c r="I11" s="136"/>
      <c r="J11" s="136"/>
      <c r="K11" s="138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30" t="str">
        <f>'Necesidades Trimestrales'!E10</f>
        <v>AGUJA ESPINAL 25G 31/2 PUNTA LAPIZ</v>
      </c>
      <c r="D12" s="130"/>
      <c r="E12" s="130"/>
      <c r="F12" s="130"/>
      <c r="G12" s="130"/>
      <c r="H12" s="59" t="s">
        <v>27</v>
      </c>
      <c r="I12" s="60" t="str">
        <f>'Necesidades Trimestrales'!F10</f>
        <v>UNIDAD</v>
      </c>
      <c r="J12" s="65">
        <f>'Necesidades Trimestrales'!H10</f>
        <v>1300</v>
      </c>
      <c r="K12" s="68">
        <f>'Necesidades Trimestrales'!G10</f>
        <v>100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30" t="str">
        <f>'Necesidades Trimestrales'!E11</f>
        <v>Aguja ESPINAL 26 G 31/2  PUNTA LAPIZ</v>
      </c>
      <c r="D13" s="130"/>
      <c r="E13" s="130"/>
      <c r="F13" s="130"/>
      <c r="G13" s="130"/>
      <c r="H13" s="59" t="s">
        <v>27</v>
      </c>
      <c r="I13" s="60" t="str">
        <f>'Necesidades Trimestrales'!F11</f>
        <v>UNIDAD</v>
      </c>
      <c r="J13" s="65">
        <f>'Necesidades Trimestrales'!H11</f>
        <v>1300</v>
      </c>
      <c r="K13" s="68">
        <f>'Necesidades Trimestrales'!G11</f>
        <v>100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30" t="str">
        <f>'Necesidades Trimestrales'!E12</f>
        <v xml:space="preserve">AGUJA ESPINAL 27G 3 1/2 PUNTA LAPIZ </v>
      </c>
      <c r="D14" s="130"/>
      <c r="E14" s="130"/>
      <c r="F14" s="130"/>
      <c r="G14" s="130"/>
      <c r="H14" s="59" t="s">
        <v>27</v>
      </c>
      <c r="I14" s="60" t="str">
        <f>'Necesidades Trimestrales'!F12</f>
        <v>UNIDAD</v>
      </c>
      <c r="J14" s="65">
        <f>'Necesidades Trimestrales'!H12</f>
        <v>1300</v>
      </c>
      <c r="K14" s="68">
        <f>'Necesidades Trimestrales'!G12</f>
        <v>1500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30" t="str">
        <f>'Necesidades Trimestrales'!E13</f>
        <v>Aguja espinal para obesos  25 G  punta lapiz</v>
      </c>
      <c r="D15" s="130"/>
      <c r="E15" s="130"/>
      <c r="F15" s="130"/>
      <c r="G15" s="130"/>
      <c r="H15" s="59" t="s">
        <v>27</v>
      </c>
      <c r="I15" s="60" t="str">
        <f>'Necesidades Trimestrales'!F13</f>
        <v>UNIDAD</v>
      </c>
      <c r="J15" s="65">
        <f>'Necesidades Trimestrales'!H13</f>
        <v>1400</v>
      </c>
      <c r="K15" s="68">
        <f>'Necesidades Trimestrales'!G13</f>
        <v>100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30" t="str">
        <f>'Necesidades Trimestrales'!E14</f>
        <v xml:space="preserve">Aguja espinal para obesos  27 G </v>
      </c>
      <c r="D16" s="130"/>
      <c r="E16" s="130"/>
      <c r="F16" s="130"/>
      <c r="G16" s="130"/>
      <c r="H16" s="59" t="s">
        <v>27</v>
      </c>
      <c r="I16" s="60" t="str">
        <f>'Necesidades Trimestrales'!F14</f>
        <v>UNIDAD</v>
      </c>
      <c r="J16" s="65">
        <f>'Necesidades Trimestrales'!H14</f>
        <v>1400</v>
      </c>
      <c r="K16" s="68">
        <f>'Necesidades Trimestrales'!G14</f>
        <v>100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30" t="str">
        <f>'Necesidades Trimestrales'!E15</f>
        <v>AGUJA P/SUTURA RECTA X 1</v>
      </c>
      <c r="D17" s="130"/>
      <c r="E17" s="130"/>
      <c r="F17" s="130"/>
      <c r="G17" s="130"/>
      <c r="H17" s="59" t="s">
        <v>27</v>
      </c>
      <c r="I17" s="60" t="str">
        <f>'Necesidades Trimestrales'!F15</f>
        <v>UNIDAD</v>
      </c>
      <c r="J17" s="65">
        <f>'Necesidades Trimestrales'!H15</f>
        <v>200</v>
      </c>
      <c r="K17" s="68">
        <f>'Necesidades Trimestrales'!G15</f>
        <v>20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30" t="str">
        <f>'Necesidades Trimestrales'!E16</f>
        <v>BRAZALETE PNI 1 TUBO  Nº 1  TIPO  WELCH ALLYN/DRAGUER</v>
      </c>
      <c r="D18" s="130"/>
      <c r="E18" s="130"/>
      <c r="F18" s="130"/>
      <c r="G18" s="130"/>
      <c r="H18" s="59" t="s">
        <v>27</v>
      </c>
      <c r="I18" s="60" t="str">
        <f>'Necesidades Trimestrales'!F16</f>
        <v>UNIDAD</v>
      </c>
      <c r="J18" s="65">
        <f>'Necesidades Trimestrales'!H16</f>
        <v>787</v>
      </c>
      <c r="K18" s="68">
        <f>'Necesidades Trimestrales'!G16</f>
        <v>240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30" t="str">
        <f>'Necesidades Trimestrales'!E17</f>
        <v>BRAZALETE PNI 1 TUBO  Nº 2  TIPO  WELCH ALLYN/DRAGUER</v>
      </c>
      <c r="D19" s="130"/>
      <c r="E19" s="130"/>
      <c r="F19" s="130"/>
      <c r="G19" s="130"/>
      <c r="H19" s="59" t="s">
        <v>27</v>
      </c>
      <c r="I19" s="60" t="str">
        <f>'Necesidades Trimestrales'!F17</f>
        <v>UNIDAD</v>
      </c>
      <c r="J19" s="65">
        <f>'Necesidades Trimestrales'!H17</f>
        <v>787</v>
      </c>
      <c r="K19" s="68">
        <f>'Necesidades Trimestrales'!G17</f>
        <v>240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30" t="str">
        <f>'Necesidades Trimestrales'!E18</f>
        <v>BRAZALETE PNI 2 TUBO  Nº 3  TIPO  WELCH ALLYN/DRAGUER</v>
      </c>
      <c r="D20" s="130"/>
      <c r="E20" s="130"/>
      <c r="F20" s="130"/>
      <c r="G20" s="130"/>
      <c r="H20" s="59" t="s">
        <v>27</v>
      </c>
      <c r="I20" s="60" t="str">
        <f>'Necesidades Trimestrales'!F18</f>
        <v>UNIDAD</v>
      </c>
      <c r="J20" s="65">
        <f>'Necesidades Trimestrales'!H18</f>
        <v>870</v>
      </c>
      <c r="K20" s="68">
        <f>'Necesidades Trimestrales'!G18</f>
        <v>6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30" t="str">
        <f>'Necesidades Trimestrales'!E19</f>
        <v>BRAZALETE PNI 2 TUBO  Nº 4  TIPO  WELCH ALLYN/DRAGUER</v>
      </c>
      <c r="D21" s="130"/>
      <c r="E21" s="130"/>
      <c r="F21" s="130"/>
      <c r="G21" s="130"/>
      <c r="H21" s="59" t="s">
        <v>27</v>
      </c>
      <c r="I21" s="60" t="str">
        <f>'Necesidades Trimestrales'!F19</f>
        <v>UNIDAD</v>
      </c>
      <c r="J21" s="65">
        <f>'Necesidades Trimestrales'!H19</f>
        <v>870</v>
      </c>
      <c r="K21" s="68">
        <f>'Necesidades Trimestrales'!G19</f>
        <v>6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30" t="str">
        <f>'Necesidades Trimestrales'!E20</f>
        <v>CANULA DE ASPIRACION DE CAMPO QUIRURGICO TIPO K 66</v>
      </c>
      <c r="D22" s="130"/>
      <c r="E22" s="130"/>
      <c r="F22" s="130"/>
      <c r="G22" s="130"/>
      <c r="H22" s="59" t="s">
        <v>27</v>
      </c>
      <c r="I22" s="60" t="str">
        <f>'Necesidades Trimestrales'!F20</f>
        <v>UNIDAD</v>
      </c>
      <c r="J22" s="65">
        <f>'Necesidades Trimestrales'!H20</f>
        <v>120</v>
      </c>
      <c r="K22" s="68">
        <f>'Necesidades Trimestrales'!G20</f>
        <v>400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30" t="str">
        <f>'Necesidades Trimestrales'!E21</f>
        <v xml:space="preserve">CEPILLO PARA CIRUGIA  DESCARTABLE ESTERIL </v>
      </c>
      <c r="D23" s="130"/>
      <c r="E23" s="130"/>
      <c r="F23" s="130"/>
      <c r="G23" s="130"/>
      <c r="H23" s="59" t="s">
        <v>27</v>
      </c>
      <c r="I23" s="60" t="str">
        <f>'Necesidades Trimestrales'!F21</f>
        <v>UNIDAD</v>
      </c>
      <c r="J23" s="65">
        <f>'Necesidades Trimestrales'!H21</f>
        <v>36</v>
      </c>
      <c r="K23" s="68">
        <f>'Necesidades Trimestrales'!G21</f>
        <v>5000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30" t="str">
        <f>'Necesidades Trimestrales'!E22</f>
        <v>Collar Philadelfia Grande 1unidad (UNICA x 1)</v>
      </c>
      <c r="D24" s="130"/>
      <c r="E24" s="130"/>
      <c r="F24" s="130"/>
      <c r="G24" s="130"/>
      <c r="H24" s="59" t="s">
        <v>66</v>
      </c>
      <c r="I24" s="60" t="str">
        <f>'Necesidades Trimestrales'!F22</f>
        <v>UNIDAD</v>
      </c>
      <c r="J24" s="65">
        <f>'Necesidades Trimestrales'!H22</f>
        <v>1300</v>
      </c>
      <c r="K24" s="68">
        <f>'Necesidades Trimestrales'!G22</f>
        <v>10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30" t="str">
        <f>'Necesidades Trimestrales'!E23</f>
        <v>Collar Philadelfia Mediano 1unidad (UNICA x 1)</v>
      </c>
      <c r="D25" s="130"/>
      <c r="E25" s="130"/>
      <c r="F25" s="130"/>
      <c r="G25" s="130"/>
      <c r="H25" s="59" t="s">
        <v>27</v>
      </c>
      <c r="I25" s="60" t="str">
        <f>'Necesidades Trimestrales'!F23</f>
        <v>UNIDAD</v>
      </c>
      <c r="J25" s="65">
        <f>'Necesidades Trimestrales'!H23</f>
        <v>1100</v>
      </c>
      <c r="K25" s="68">
        <f>'Necesidades Trimestrales'!G23</f>
        <v>10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30" t="str">
        <f>'Necesidades Trimestrales'!E24</f>
        <v>Espatula De Madera Ayre Para Examen Papanicolau</v>
      </c>
      <c r="D26" s="130"/>
      <c r="E26" s="130"/>
      <c r="F26" s="130"/>
      <c r="G26" s="130"/>
      <c r="H26" s="59" t="s">
        <v>27</v>
      </c>
      <c r="I26" s="60" t="str">
        <f>'Necesidades Trimestrales'!F24</f>
        <v>UNIDAD</v>
      </c>
      <c r="J26" s="65">
        <f>'Necesidades Trimestrales'!H24</f>
        <v>55</v>
      </c>
      <c r="K26" s="68">
        <f>'Necesidades Trimestrales'!G24</f>
        <v>12000</v>
      </c>
    </row>
    <row r="27" spans="1:11" ht="43.5" customHeight="1" x14ac:dyDescent="0.25">
      <c r="A27" s="58">
        <f>'Necesidades Trimestrales'!A25</f>
        <v>16</v>
      </c>
      <c r="B27" s="61">
        <f>'Necesidades Trimestrales'!B25</f>
        <v>0</v>
      </c>
      <c r="C27" s="130" t="str">
        <f>'Necesidades Trimestrales'!E25</f>
        <v>TENSIOMETRO+ESTETOSCOPIO ADULTO X 1</v>
      </c>
      <c r="D27" s="130"/>
      <c r="E27" s="130"/>
      <c r="F27" s="130"/>
      <c r="G27" s="130"/>
      <c r="H27" s="59" t="s">
        <v>27</v>
      </c>
      <c r="I27" s="60" t="str">
        <f>'Necesidades Trimestrales'!F25</f>
        <v>UNIDAD</v>
      </c>
      <c r="J27" s="65">
        <f>'Necesidades Trimestrales'!H25</f>
        <v>2500</v>
      </c>
      <c r="K27" s="68">
        <f>'Necesidades Trimestrales'!G25</f>
        <v>40</v>
      </c>
    </row>
    <row r="28" spans="1:11" ht="41.25" customHeight="1" thickBot="1" x14ac:dyDescent="0.25">
      <c r="A28" s="127" t="s">
        <v>90</v>
      </c>
      <c r="B28" s="127"/>
      <c r="C28" s="127"/>
      <c r="D28" s="127"/>
      <c r="E28" s="127"/>
      <c r="F28" s="127"/>
      <c r="G28" s="127"/>
      <c r="H28" s="127"/>
      <c r="I28" s="128"/>
      <c r="J28" s="129">
        <f>SUMPRODUCT(J12:J27*K12:K27)</f>
        <v>3894200</v>
      </c>
      <c r="K28" s="129"/>
    </row>
    <row r="31" spans="1:11" x14ac:dyDescent="0.2">
      <c r="J31" s="125"/>
      <c r="K31" s="126"/>
    </row>
    <row r="32" spans="1:11" ht="15" x14ac:dyDescent="0.2">
      <c r="D32" s="63"/>
      <c r="E32" s="63"/>
      <c r="F32" s="63"/>
      <c r="G32" s="63"/>
      <c r="H32" s="63"/>
      <c r="I32" s="63"/>
    </row>
    <row r="33" spans="4:9" ht="15" x14ac:dyDescent="0.2">
      <c r="D33" s="63"/>
      <c r="E33" s="63"/>
      <c r="F33" s="63"/>
      <c r="G33" s="63"/>
      <c r="H33" s="63"/>
      <c r="I33" s="63"/>
    </row>
    <row r="34" spans="4:9" ht="15" x14ac:dyDescent="0.2">
      <c r="D34" s="63"/>
      <c r="E34" s="63"/>
      <c r="F34" s="63"/>
      <c r="G34" s="63"/>
      <c r="H34" s="63"/>
      <c r="I34" s="63"/>
    </row>
    <row r="35" spans="4:9" ht="15.75" x14ac:dyDescent="0.2">
      <c r="D35" s="64"/>
      <c r="E35" s="63"/>
      <c r="F35" s="63"/>
      <c r="G35" s="63"/>
      <c r="H35" s="63"/>
      <c r="I35" s="63"/>
    </row>
  </sheetData>
  <mergeCells count="3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24:G24"/>
    <mergeCell ref="C25:G25"/>
    <mergeCell ref="C19:G19"/>
    <mergeCell ref="C20:G20"/>
    <mergeCell ref="C21:G21"/>
    <mergeCell ref="C22:G22"/>
    <mergeCell ref="C23:G23"/>
    <mergeCell ref="J31:K31"/>
    <mergeCell ref="A28:I28"/>
    <mergeCell ref="J28:K28"/>
    <mergeCell ref="C14:G14"/>
    <mergeCell ref="C15:G15"/>
    <mergeCell ref="C16:G16"/>
    <mergeCell ref="C17:G17"/>
    <mergeCell ref="C18:G18"/>
    <mergeCell ref="C26:G26"/>
    <mergeCell ref="C27:G27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V10" sqref="V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4" t="s">
        <v>3</v>
      </c>
      <c r="B1" s="164"/>
      <c r="C1" s="164"/>
      <c r="D1" s="165">
        <v>2021</v>
      </c>
      <c r="E1" s="165"/>
      <c r="F1" s="4"/>
      <c r="G1" s="4"/>
      <c r="H1" s="5"/>
      <c r="I1" s="5"/>
      <c r="J1" s="5"/>
      <c r="K1" s="5"/>
      <c r="L1" s="5"/>
      <c r="M1" s="5"/>
      <c r="N1" s="5"/>
      <c r="P1" s="166" t="s">
        <v>28</v>
      </c>
      <c r="Q1" s="166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6"/>
      <c r="Q2" s="166"/>
    </row>
    <row r="4" spans="1:17" s="6" customFormat="1" ht="18" customHeight="1" thickBot="1" x14ac:dyDescent="0.25">
      <c r="A4" s="167" t="s">
        <v>29</v>
      </c>
      <c r="B4" s="167"/>
      <c r="C4" s="167"/>
      <c r="D4" s="167"/>
      <c r="E4" s="167"/>
      <c r="F4" s="167"/>
      <c r="G4" s="168" t="str">
        <f>' NotaPedido'!D3</f>
        <v>40- Ministerio de Salud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17" s="6" customFormat="1" ht="18" customHeight="1" thickBot="1" x14ac:dyDescent="0.25">
      <c r="A5" s="172" t="s">
        <v>15</v>
      </c>
      <c r="B5" s="173"/>
      <c r="C5" s="173"/>
      <c r="D5" s="173"/>
      <c r="E5" s="173"/>
      <c r="F5" s="174"/>
      <c r="G5" s="168" t="str">
        <f>' NotaPedido'!D4</f>
        <v>28- Maternidad Provincial 25 de Mayo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6" customFormat="1" ht="18" customHeight="1" thickBot="1" x14ac:dyDescent="0.25">
      <c r="A6" s="172" t="s">
        <v>16</v>
      </c>
      <c r="B6" s="173"/>
      <c r="C6" s="173"/>
      <c r="D6" s="173"/>
      <c r="E6" s="173"/>
      <c r="F6" s="174"/>
      <c r="G6" s="168" t="str">
        <f>' NotaPedido'!D5</f>
        <v xml:space="preserve">169- Direccion Asistencial 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6" customFormat="1" ht="18" customHeight="1" thickBot="1" x14ac:dyDescent="0.25">
      <c r="A7" s="172" t="s">
        <v>17</v>
      </c>
      <c r="B7" s="173"/>
      <c r="C7" s="173"/>
      <c r="D7" s="173"/>
      <c r="E7" s="173"/>
      <c r="F7" s="174"/>
      <c r="G7" s="168" t="str">
        <f>' NotaPedido'!D6</f>
        <v>Servicio de Farmcia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ht="18" customHeight="1" thickBot="1" x14ac:dyDescent="0.25">
      <c r="A8" s="175" t="s">
        <v>30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69" t="s">
        <v>31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"/>
      <c r="P9" s="1"/>
      <c r="Q9" s="7"/>
    </row>
    <row r="10" spans="1:17" ht="54.75" customHeight="1" x14ac:dyDescent="0.2">
      <c r="A10" s="170" t="s">
        <v>96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1" t="s">
        <v>32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thickBot="1" x14ac:dyDescent="0.25">
      <c r="A13" s="143" t="s">
        <v>33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34</v>
      </c>
      <c r="P13" s="144"/>
      <c r="Q13" s="145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44"/>
      <c r="P14" s="144"/>
      <c r="Q14" s="145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9</v>
      </c>
      <c r="K15" s="25">
        <v>5</v>
      </c>
      <c r="L15" s="25"/>
      <c r="M15" s="26">
        <v>1</v>
      </c>
      <c r="N15" s="25" t="s">
        <v>49</v>
      </c>
      <c r="O15" s="152" t="s">
        <v>52</v>
      </c>
      <c r="P15" s="153"/>
      <c r="Q15" s="32">
        <v>3894200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62"/>
      <c r="P16" s="163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62"/>
      <c r="P17" s="163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54"/>
      <c r="P18" s="155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56"/>
      <c r="P19" s="157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46"/>
      <c r="P20" s="147"/>
      <c r="Q20" s="32"/>
    </row>
    <row r="21" spans="1:17" ht="31.5" customHeight="1" thickBot="1" x14ac:dyDescent="0.25">
      <c r="A21" s="149" t="s">
        <v>91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7">
        <f>SUM(Q15:Q19)</f>
        <v>3894200</v>
      </c>
    </row>
    <row r="22" spans="1:17" ht="18" customHeight="1" thickBot="1" x14ac:dyDescent="0.25">
      <c r="A22" s="150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</row>
    <row r="23" spans="1:17" ht="17.25" customHeight="1" thickBot="1" x14ac:dyDescent="0.25">
      <c r="A23" s="158" t="s">
        <v>50</v>
      </c>
      <c r="B23" s="159"/>
      <c r="C23" s="159"/>
      <c r="D23" s="159"/>
      <c r="E23" s="159"/>
      <c r="F23" s="160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</row>
    <row r="24" spans="1:17" ht="18" customHeight="1" thickBot="1" x14ac:dyDescent="0.25">
      <c r="A24" s="148" t="s">
        <v>95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7" ht="26.25" customHeight="1" thickBot="1" x14ac:dyDescent="0.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</row>
  </sheetData>
  <mergeCells count="29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2021-08-13T13:20:26Z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