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5" yWindow="6390" windowWidth="28830" windowHeight="6435" activeTab="2"/>
  </bookViews>
  <sheets>
    <sheet name="SAF 011" sheetId="1" r:id="rId1"/>
    <sheet name="NP" sheetId="3" r:id="rId2"/>
    <sheet name="APG" sheetId="2" r:id="rId3"/>
  </sheets>
  <definedNames>
    <definedName name="_xlnm._FilterDatabase" localSheetId="0" hidden="1">'SAF 011'!$A$9:$J$123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1" i="2" l="1"/>
  <c r="O29" i="1"/>
  <c r="O30" i="1"/>
  <c r="M97" i="1"/>
  <c r="C21" i="3" l="1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" i="3"/>
  <c r="C13" i="3"/>
  <c r="C14" i="3"/>
  <c r="C15" i="3"/>
  <c r="C16" i="3"/>
  <c r="C17" i="3"/>
  <c r="C18" i="3"/>
  <c r="C19" i="3"/>
  <c r="C20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" i="3"/>
  <c r="G6" i="2"/>
  <c r="G7" i="2"/>
  <c r="D4" i="3"/>
  <c r="G5" i="2" s="1"/>
  <c r="D3" i="3"/>
  <c r="G4" i="2" s="1"/>
  <c r="J125" i="3" l="1"/>
  <c r="I122" i="1"/>
  <c r="P122" i="1" s="1"/>
  <c r="I121" i="1"/>
  <c r="P121" i="1" s="1"/>
  <c r="I120" i="1"/>
  <c r="M120" i="1" s="1"/>
  <c r="I119" i="1"/>
  <c r="Q119" i="1" s="1"/>
  <c r="I118" i="1"/>
  <c r="Q118" i="1" s="1"/>
  <c r="I117" i="1"/>
  <c r="Q117" i="1" s="1"/>
  <c r="I116" i="1"/>
  <c r="Q116" i="1" s="1"/>
  <c r="I115" i="1"/>
  <c r="O115" i="1" s="1"/>
  <c r="I114" i="1"/>
  <c r="O114" i="1" s="1"/>
  <c r="I113" i="1"/>
  <c r="Q113" i="1" s="1"/>
  <c r="I112" i="1"/>
  <c r="Q112" i="1" s="1"/>
  <c r="I111" i="1"/>
  <c r="M111" i="1" s="1"/>
  <c r="I110" i="1"/>
  <c r="M110" i="1" s="1"/>
  <c r="I109" i="1"/>
  <c r="M109" i="1" s="1"/>
  <c r="I108" i="1"/>
  <c r="M108" i="1" s="1"/>
  <c r="I107" i="1"/>
  <c r="M107" i="1" s="1"/>
  <c r="I106" i="1"/>
  <c r="M106" i="1" s="1"/>
  <c r="I105" i="1"/>
  <c r="M105" i="1" s="1"/>
  <c r="I104" i="1"/>
  <c r="M104" i="1" s="1"/>
  <c r="I103" i="1"/>
  <c r="M103" i="1" s="1"/>
  <c r="I102" i="1"/>
  <c r="M102" i="1" s="1"/>
  <c r="I101" i="1"/>
  <c r="M101" i="1" s="1"/>
  <c r="I100" i="1"/>
  <c r="M100" i="1" s="1"/>
  <c r="I99" i="1"/>
  <c r="Q99" i="1" s="1"/>
  <c r="I98" i="1"/>
  <c r="M98" i="1" s="1"/>
  <c r="I96" i="1"/>
  <c r="Q96" i="1" s="1"/>
  <c r="I95" i="1"/>
  <c r="Q95" i="1" s="1"/>
  <c r="I94" i="1"/>
  <c r="Q94" i="1" s="1"/>
  <c r="I93" i="1"/>
  <c r="Q93" i="1" s="1"/>
  <c r="I92" i="1"/>
  <c r="Q92" i="1" s="1"/>
  <c r="I91" i="1"/>
  <c r="Q91" i="1" s="1"/>
  <c r="I90" i="1"/>
  <c r="Q90" i="1" s="1"/>
  <c r="I89" i="1"/>
  <c r="Q89" i="1" s="1"/>
  <c r="I88" i="1"/>
  <c r="Q88" i="1" s="1"/>
  <c r="I87" i="1"/>
  <c r="Q87" i="1" s="1"/>
  <c r="I86" i="1"/>
  <c r="Q86" i="1" s="1"/>
  <c r="I85" i="1"/>
  <c r="M85" i="1" s="1"/>
  <c r="I84" i="1"/>
  <c r="M84" i="1" s="1"/>
  <c r="I83" i="1"/>
  <c r="Q83" i="1" s="1"/>
  <c r="I82" i="1"/>
  <c r="Q82" i="1" s="1"/>
  <c r="I81" i="1"/>
  <c r="Q81" i="1" s="1"/>
  <c r="I80" i="1"/>
  <c r="Q80" i="1" s="1"/>
  <c r="I79" i="1"/>
  <c r="Q79" i="1" s="1"/>
  <c r="I78" i="1"/>
  <c r="Q78" i="1" s="1"/>
  <c r="I77" i="1"/>
  <c r="Q77" i="1" s="1"/>
  <c r="I76" i="1"/>
  <c r="Q76" i="1" s="1"/>
  <c r="I75" i="1"/>
  <c r="Q75" i="1" s="1"/>
  <c r="I74" i="1"/>
  <c r="P74" i="1" s="1"/>
  <c r="P123" i="1" s="1"/>
  <c r="Q19" i="2" s="1"/>
  <c r="I73" i="1"/>
  <c r="Q73" i="1" s="1"/>
  <c r="I72" i="1"/>
  <c r="M72" i="1" s="1"/>
  <c r="I71" i="1"/>
  <c r="M71" i="1" s="1"/>
  <c r="I70" i="1"/>
  <c r="Q70" i="1" s="1"/>
  <c r="I69" i="1"/>
  <c r="Q69" i="1" s="1"/>
  <c r="I68" i="1"/>
  <c r="Q68" i="1" s="1"/>
  <c r="I67" i="1"/>
  <c r="Q67" i="1" s="1"/>
  <c r="I66" i="1"/>
  <c r="Q66" i="1" s="1"/>
  <c r="I65" i="1"/>
  <c r="Q65" i="1" s="1"/>
  <c r="I64" i="1"/>
  <c r="Q64" i="1" s="1"/>
  <c r="I63" i="1"/>
  <c r="Q63" i="1" s="1"/>
  <c r="I62" i="1"/>
  <c r="Q62" i="1" s="1"/>
  <c r="I61" i="1"/>
  <c r="Q61" i="1" s="1"/>
  <c r="I60" i="1"/>
  <c r="Q60" i="1" s="1"/>
  <c r="I59" i="1"/>
  <c r="Q59" i="1" s="1"/>
  <c r="I58" i="1"/>
  <c r="Q58" i="1" s="1"/>
  <c r="I57" i="1"/>
  <c r="Q57" i="1" s="1"/>
  <c r="I56" i="1"/>
  <c r="Q56" i="1" s="1"/>
  <c r="I55" i="1"/>
  <c r="Q55" i="1" s="1"/>
  <c r="I54" i="1"/>
  <c r="Q54" i="1" s="1"/>
  <c r="I53" i="1"/>
  <c r="Q53" i="1" s="1"/>
  <c r="I52" i="1"/>
  <c r="Q52" i="1" s="1"/>
  <c r="I51" i="1"/>
  <c r="Q51" i="1" s="1"/>
  <c r="I50" i="1"/>
  <c r="Q50" i="1" s="1"/>
  <c r="I49" i="1"/>
  <c r="Q49" i="1" s="1"/>
  <c r="I48" i="1"/>
  <c r="Q48" i="1" s="1"/>
  <c r="I47" i="1"/>
  <c r="Q47" i="1" s="1"/>
  <c r="I46" i="1"/>
  <c r="Q46" i="1" s="1"/>
  <c r="I45" i="1"/>
  <c r="Q45" i="1" s="1"/>
  <c r="I44" i="1"/>
  <c r="Q44" i="1" s="1"/>
  <c r="I43" i="1"/>
  <c r="Q43" i="1" s="1"/>
  <c r="I42" i="1"/>
  <c r="Q42" i="1" s="1"/>
  <c r="I41" i="1"/>
  <c r="Q41" i="1" s="1"/>
  <c r="I40" i="1"/>
  <c r="Q40" i="1" s="1"/>
  <c r="I39" i="1"/>
  <c r="Q39" i="1" s="1"/>
  <c r="I38" i="1"/>
  <c r="Q38" i="1" s="1"/>
  <c r="I37" i="1"/>
  <c r="Q37" i="1" s="1"/>
  <c r="I36" i="1"/>
  <c r="Q36" i="1" s="1"/>
  <c r="I35" i="1"/>
  <c r="Q35" i="1" s="1"/>
  <c r="I34" i="1"/>
  <c r="Q34" i="1" s="1"/>
  <c r="I33" i="1"/>
  <c r="Q33" i="1" s="1"/>
  <c r="I32" i="1"/>
  <c r="Q32" i="1" s="1"/>
  <c r="I31" i="1"/>
  <c r="Q31" i="1" s="1"/>
  <c r="I28" i="1"/>
  <c r="M28" i="1" s="1"/>
  <c r="I27" i="1"/>
  <c r="M27" i="1" s="1"/>
  <c r="I26" i="1"/>
  <c r="M26" i="1" s="1"/>
  <c r="I25" i="1"/>
  <c r="Q25" i="1" s="1"/>
  <c r="I24" i="1"/>
  <c r="L24" i="1" s="1"/>
  <c r="L123" i="1" s="1"/>
  <c r="I23" i="1"/>
  <c r="M23" i="1" s="1"/>
  <c r="I22" i="1"/>
  <c r="M22" i="1" s="1"/>
  <c r="I21" i="1"/>
  <c r="M21" i="1" s="1"/>
  <c r="I20" i="1"/>
  <c r="M20" i="1" s="1"/>
  <c r="I19" i="1"/>
  <c r="M19" i="1" s="1"/>
  <c r="I18" i="1"/>
  <c r="Q18" i="1" s="1"/>
  <c r="I17" i="1"/>
  <c r="Q17" i="1" s="1"/>
  <c r="I16" i="1"/>
  <c r="Q16" i="1" s="1"/>
  <c r="I15" i="1"/>
  <c r="Q15" i="1" s="1"/>
  <c r="I14" i="1"/>
  <c r="M14" i="1" s="1"/>
  <c r="I13" i="1"/>
  <c r="Q13" i="1" s="1"/>
  <c r="I12" i="1"/>
  <c r="Q12" i="1" s="1"/>
  <c r="I11" i="1"/>
  <c r="M11" i="1" s="1"/>
  <c r="I10" i="1"/>
  <c r="N10" i="1" s="1"/>
  <c r="N123" i="1" s="1"/>
  <c r="Q17" i="2" s="1"/>
  <c r="M123" i="1" l="1"/>
  <c r="Q16" i="2" s="1"/>
  <c r="Q123" i="1"/>
  <c r="Q20" i="2" s="1"/>
  <c r="Q15" i="2"/>
  <c r="O123" i="1"/>
  <c r="Q18" i="2" s="1"/>
  <c r="I123" i="1"/>
  <c r="R123" i="1" l="1"/>
  <c r="Q38" i="2"/>
</calcChain>
</file>

<file path=xl/sharedStrings.xml><?xml version="1.0" encoding="utf-8"?>
<sst xmlns="http://schemas.openxmlformats.org/spreadsheetml/2006/main" count="748" uniqueCount="386">
  <si>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</si>
  <si>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</si>
  <si>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</si>
  <si>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</si>
  <si>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</si>
  <si>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</si>
  <si>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</si>
  <si>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</si>
  <si>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</si>
  <si>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</si>
  <si>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</si>
  <si>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</si>
  <si>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</si>
  <si>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</si>
  <si>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</si>
  <si>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</si>
  <si>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</si>
  <si>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2.5.6-7104.276</t>
  </si>
  <si>
    <t>PROD. MEDICO/FARMACEUTICOS/LAB</t>
  </si>
  <si>
    <t>ACEITES LUBRICANTES; USO: MAQUINA, PRESENTACION: AEROSOL X 400 CM3, NORMA: MULTIUSO</t>
  </si>
  <si>
    <t>UNIDAD</t>
  </si>
  <si>
    <t>2.5.2-3204.13</t>
  </si>
  <si>
    <t>ACIDO GRABADOR ODONTOLOG.; ESTADO: GEL, PRESENTACION: JERINGA X 12 GR, CAPACIDAD: 12 GR</t>
  </si>
  <si>
    <t>ACIDO FOSFORICO 37% GEL JERINGA 12 GR</t>
  </si>
  <si>
    <t>2.5.2-2327.29</t>
  </si>
  <si>
    <t>ACRILICOS AUTOCURABLES; TIPO: POLIMERO DE AUTOPOLIMERIZACION, PRESENTACION: FRASCO X 1 Kg</t>
  </si>
  <si>
    <t>POLIMERO AUTOCURADO 1 KG T/ NEW POLL</t>
  </si>
  <si>
    <t>2.5.2-6021.4</t>
  </si>
  <si>
    <t>ACRILICOS TERMOCURABLES; TIPO: POLIMERO, PRESENTACION: ENVASE X 1 Kg</t>
  </si>
  <si>
    <t>POLIMERO TERMOCURADO 1 KG T/ NEW POLL</t>
  </si>
  <si>
    <t>2.5.2-5538.8</t>
  </si>
  <si>
    <t>ADHESIVOS P/ODONTOLOGIA; PRESENTACION: FRASCO X 4,5 mm, TIPO: ADHESIVO+PRIMER, USO: ODONTOLOGICO</t>
  </si>
  <si>
    <t>2.9.5-441.82</t>
  </si>
  <si>
    <t>AGUJAS QUIRURGICAS; TIPO: CARPULE, ESPECIFICACION: CORTA, UNIDAD VENTA: CAJA X 100, PRESENTACION: CAJA X 100</t>
  </si>
  <si>
    <t>CAJA</t>
  </si>
  <si>
    <t>AGUJA CARPULE CORTA 21 MM CAJA X 100 UNID.</t>
  </si>
  <si>
    <t>2.9.5-441.428</t>
  </si>
  <si>
    <t>AGUJAS QUIRURGICAS; TIPO: CARPULE, ESPECIFICACION: EXTRA CORTAS, PRESENTACION: ENVASE X 100 UN</t>
  </si>
  <si>
    <t>AGUJA CARPULE EXTRACORTA 12 MM CAJA X 100 UNID.</t>
  </si>
  <si>
    <t>2.9.5-441.119</t>
  </si>
  <si>
    <t>AGUJAS QUIRURGICAS; TIPO: CARPULE, ESPECIFICACION: LARGA, PRESENTACION: CAJA X 100, UNIDAD VENTA: CAJA X 100</t>
  </si>
  <si>
    <t>AGUJA CARPULE INTERMEDIA 25 MM CAJA X 100 UNID.</t>
  </si>
  <si>
    <t>2.9.5-470.29</t>
  </si>
  <si>
    <t>ALGODONES; TIPO: ESTERIL, CAPACIDAD: PAQUETE X 500 ROLLOS, PRESENTACION: ENVASE X 500</t>
  </si>
  <si>
    <t>BOLSA</t>
  </si>
  <si>
    <t>ROLLO DE ALGODÓN X 500 UNIDADES (0,375X 1-1/2") ODONTOLOGICO</t>
  </si>
  <si>
    <t>2.5.2-1883.135</t>
  </si>
  <si>
    <t>ANESTESICOS LOCALES; TIPO: MONODROGA, DROGA GENERICA: LIDOCAINA 5%, FORMA FARMACEUTICA: GEL, PRESENTACION: ENVASE X 18 GR</t>
  </si>
  <si>
    <t>ANESTESIA TOPICA LIDOCAINA 5 %  X 18 GR</t>
  </si>
  <si>
    <t>2.5.2-1883.37</t>
  </si>
  <si>
    <t>ANESTESICOS LOCALES; TIPO: SIN VALOR, DROGA GENERICA: CLORHIDRATO DE CARTICAINA 4%, FORMA FARMACEUTICA: ANESTUBO CARPULE, PRESENTACION: CAJA X 50 UN</t>
  </si>
  <si>
    <t>2.5.2-1723.59</t>
  </si>
  <si>
    <t>2.5.2-1723.53</t>
  </si>
  <si>
    <t>ANTISEPTICOS LOCALES P/PERSONA; TIPO: MONODROGA, DROGA GENERICA: EUGENOL, FORMA FARMACEUTICA: LIQUIDO, PRESENTACION: FRASCO X 20 mL</t>
  </si>
  <si>
    <t>2.5.2-1723.148</t>
  </si>
  <si>
    <t>ANTISEPTICOS LOCALES P/PERSONA; TIPO: MONODROGA, DROGA GENERICA: IODOFORMO, FORMA FARMACEUTICA: POLVO, PRESENTACION: ENVASE X 20 GR</t>
  </si>
  <si>
    <t>2.9.9-3095.4</t>
  </si>
  <si>
    <t>BABEROS; TIPO: DESCARTABLE, MATERIAL: FISELINA NO ESTERIL, PRESENTACION: CAJA X 100 UN</t>
  </si>
  <si>
    <t>BABEROS DE FRISELINA DESCARTABLE USO ODONTOLOGICO</t>
  </si>
  <si>
    <t>2.9.5-5507.2</t>
  </si>
  <si>
    <t>CADENAS P/BABEROS; MATERIAL : 147 dBV/mPa , USO: ODONTOLOGIA, MATERIAL: METAL</t>
  </si>
  <si>
    <t>2.9.5-2563.4</t>
  </si>
  <si>
    <t>CARIOSTATICOS; ENVASE: AVIO X 5 mL, PRESENTACION: AVIO X 5 mL</t>
  </si>
  <si>
    <t>CARIOSTATICO FLUORSILVER 5 ML REMINERALIZADOR FLUORURO DIAMINO 38 %</t>
  </si>
  <si>
    <t>2.5.2-2322.20</t>
  </si>
  <si>
    <t>CEMENTOS QUIRURGICOS; PRESENTACION: AVIO 13 GRS/11 GRS, TIPO: HIDROXIDO DE CALCIO FRAGUABLE, USO: ODONTOLOGIA</t>
  </si>
  <si>
    <t>PASTA DE HIDROXIDO DE CALCIO FOTOPOLIMERIZABLE, AVIO 13/11 GR</t>
  </si>
  <si>
    <t>2.5.2-2322.12</t>
  </si>
  <si>
    <t>CEMENTOS QUIRURGICOS; PRESENTACION: ENVASE X 20 GR, TIPO: GROSSMAN, USO: ODONTOLOGIA</t>
  </si>
  <si>
    <t>CEMENTO GROSSMAN  AVIO 20 G</t>
  </si>
  <si>
    <t>2.5.9-1687.7</t>
  </si>
  <si>
    <t>CERAS; TIPO: ROSA, USO: ODONTOLOGICO, CAPACIDAD: ENVASE X 1 Kg, PRESENTACION: ENVASE X 1 Kg</t>
  </si>
  <si>
    <t>CERA ROSA LAMINA X 1KG USO ODONTOLOGICO</t>
  </si>
  <si>
    <t>2.5.9-1687.3</t>
  </si>
  <si>
    <t>CERAS; TIPO: UTILITY, USO: ODONTOLOGICO, CAPACIDAD: ENVASE X 200 GR, PRESENTACION: ENVASE X 200 GR</t>
  </si>
  <si>
    <t>CERA UTILITY ROJA X 200 GM USO ODONTOLOGICO UNIDAD</t>
  </si>
  <si>
    <t>2.9.5-2567.163</t>
  </si>
  <si>
    <t>FRESAS P/ODONTOLOGIA; MATERIAL: PIEDRA DE DIAMANTE, NUMERO: 4, LARGO: STANDAR, TIPO: REDONDA FG</t>
  </si>
  <si>
    <t>2.9.5-2567.164</t>
  </si>
  <si>
    <t>FRESAS P/ODONTOLOGIA; MATERIAL: PIEDRA DE DIAMANTE, NUMERO: 5, LARGO: STANDAR, TIPO: REDONDA FG</t>
  </si>
  <si>
    <t>2.9.5-2567.165</t>
  </si>
  <si>
    <t>FRESAS P/ODONTOLOGIA; MATERIAL: PIEDRA DE DIAMANTE, NUMERO: 6, LARGO: STANDAR, TIPO: REDONDA FG</t>
  </si>
  <si>
    <t>2.9.5-2567.201</t>
  </si>
  <si>
    <t>FRESAS P/ODONTOLOGIA; MATERIAL: PIEDRA DE DIAMANTE, NUMERO: SIN, LARGO: STANDAR, TIPO: AGUJA GRANO ULTRA FINO FG</t>
  </si>
  <si>
    <t>2.9.5-2567.239</t>
  </si>
  <si>
    <t>FRESAS P/ODONTOLOGIA; MATERIAL: PIEDRA DE DIAMANTE, NUMERO: SIN, LARGO: STANDAR, TIPO: CILINDRICA FG</t>
  </si>
  <si>
    <t>2.9.5-444.24</t>
  </si>
  <si>
    <t>HOJAS DE BISTURI; TIPO: CAJA X 100 UN, Nº: 15, NUMERO: 15</t>
  </si>
  <si>
    <t>2.7.5-421.19</t>
  </si>
  <si>
    <t>HOJAS DE SIERRA; DIENTES X PULGADA: SIN VALOR, LONG.DE CUERPO: 14 Cm, TIPO: COMUN</t>
  </si>
  <si>
    <t>2.9.5-5144.184</t>
  </si>
  <si>
    <t>INSTRUMENTAL ODONTOLOGICO; DESCARTABLE: NO, PRESENTACION: UNIDAD, TIPO: ALICATE DE CORTE Y MODELADO</t>
  </si>
  <si>
    <t>ALICATE DE CORTE P/ PROTESIS</t>
  </si>
  <si>
    <t>2.9.5-5144.177</t>
  </si>
  <si>
    <t>INSTRUMENTAL ODONTOLOGICO; DESCARTABLE: NO, PRESENTACION: UNIDAD, TIPO: MATRIZ METALICA</t>
  </si>
  <si>
    <t>MATRIZ DE ACERO 6 MM</t>
  </si>
  <si>
    <t>2.9.5-5144.593</t>
  </si>
  <si>
    <t>INSTRUMENTAL ODONTOLOGICO; TIPO: CEPILLO DE 4 HILERAS, DESCARTABLE: SI, PRESENTACION: UNIDAD</t>
  </si>
  <si>
    <t>PARA PULIR PROTESIS</t>
  </si>
  <si>
    <t>2.9.5-5144.481</t>
  </si>
  <si>
    <t>2.9.5-5144.563</t>
  </si>
  <si>
    <t>INSTRUMENTAL ODONTOLOGICO; TIPO: COMPRESA P/PLATINA AZUL, DESCARTABLE: SI, PRESENTACION: CAJA X 500 UN</t>
  </si>
  <si>
    <t>COMPRESA DESCARTABLE  X 500 UNIDADES USO ODONTOLOGICO</t>
  </si>
  <si>
    <t>2.9.5-5144.242</t>
  </si>
  <si>
    <t>INSTRUMENTAL ODONTOLOGICO; TIPO: CONO CONDENS. LAT. XX FINE, DESCARTABLE: SI, PRESENTACION: CAJA X 120</t>
  </si>
  <si>
    <t>CONOS DE GUTA PERCHA CONDENSACION LATERAL X 120 F</t>
  </si>
  <si>
    <t>CONOS DE GUTA PERCHA CONDENSACION LATERAL X 120 FF</t>
  </si>
  <si>
    <t>CONOS DE GUTA PERCHA CONDENSACION LATERAL X 120 FM</t>
  </si>
  <si>
    <t>CONOS DE GUTA PERCHA CONDENSACION LATERAL  X 120 M</t>
  </si>
  <si>
    <t>CONOS DE GUTA PERCHA CONDENSACION LATERAL X 120 MF</t>
  </si>
  <si>
    <t>2.9.5-5144.107</t>
  </si>
  <si>
    <t>INSTRUMENTAL ODONTOLOGICO; TIPO: CONO DE FIELTRO, PRESENTACION: UNIDAD, DESCARTABLE: NO</t>
  </si>
  <si>
    <t>2.9.5-5144.253</t>
  </si>
  <si>
    <t>2.9.5-5144.254</t>
  </si>
  <si>
    <t>2.9.5-5144.397</t>
  </si>
  <si>
    <t>INSTRUMENTAL ODONTOLOGICO; TIPO: CONO GUTAPERCHA Nº 15-40, DESCARTABLE: SI, PRESENTACION: CAJA X 120</t>
  </si>
  <si>
    <t>CONO DE GUTAPERCHA 1º SERIE  15-40 MM</t>
  </si>
  <si>
    <t>2.9.5-5144.244</t>
  </si>
  <si>
    <t>2.9.5-5144.245</t>
  </si>
  <si>
    <t>2.9.5-5144.246</t>
  </si>
  <si>
    <t>2.9.5-5144.247</t>
  </si>
  <si>
    <t>2.9.5-5144.248</t>
  </si>
  <si>
    <t>2.9.5-5144.249</t>
  </si>
  <si>
    <t>2.9.5-5144.408</t>
  </si>
  <si>
    <t>INSTRUMENTAL ODONTOLOGICO; TIPO: CONO GUTAPERCHA Nº45/80, DESCARTABLE: SI, PRESENTACION: CAJA X 120</t>
  </si>
  <si>
    <t>CONO DE GUTAPERCHA 2º SERIE 45-80 MM</t>
  </si>
  <si>
    <t>2.9.5-5144.148</t>
  </si>
  <si>
    <t>INSTRUMENTAL ODONTOLOGICO; TIPO: DISCO P/PULIR COMPOSITE, DESCARTABLE: NO, PRESENTACION: CAJA X 50 UN</t>
  </si>
  <si>
    <t>2.9.5-5144.39</t>
  </si>
  <si>
    <t>ESPACIADOR P/CONOS GUTA-PERCHA, CAJA X 6 UNIDADES</t>
  </si>
  <si>
    <t>2.9.5-5144.227</t>
  </si>
  <si>
    <t>INSTRUMENTAL ODONTOLOGICO; TIPO: FLAMEADOR, DESCARTABLE: NO, PRESENTACION: UNIDAD</t>
  </si>
  <si>
    <t>FLAMEADORES</t>
  </si>
  <si>
    <t>2.9.5-5144.323</t>
  </si>
  <si>
    <t>INSTRUMENTAL ODONTOLOGICO; TIPO: GOMA DIQUE, DESCARTABLE: SI, PRESENTACION: ENVASE X 52 UN</t>
  </si>
  <si>
    <t>GOMA DIQUE CAJA X 52 UNID</t>
  </si>
  <si>
    <t>2.9.5-5144.453</t>
  </si>
  <si>
    <t>INSTRUMENTAL ODONTOLOGICO; TIPO: GOMA P/PULIR COMPOSITE, DESCARTABLE: NO, PRESENTACION: KIT</t>
  </si>
  <si>
    <t>2.9.5-5144.155</t>
  </si>
  <si>
    <t>INSTRUMENTAL ODONTOLOGICO; TIPO: GOMA SILICONADA P/PIEZA DE MAN, DESCARTABLE: NO, PRESENTACION: UNIDAD</t>
  </si>
  <si>
    <t>GOMA SILICONADA PARA PROTESIS</t>
  </si>
  <si>
    <t>2.9.5-5144.496</t>
  </si>
  <si>
    <t>INSTRUMENTAL ODONTOLOGICO; TIPO: JERINGA TRIPLE, DESCARTABLE: NO, PRESENTACION: UNIDAD</t>
  </si>
  <si>
    <t>2.9.5-5144.10</t>
  </si>
  <si>
    <t>INSTRUMENTAL ODONTOLOGICO; TIPO: JERINGAS TIPO CARPULE, PRESENTACION: UNIDAD, DESCARTABLE: NO</t>
  </si>
  <si>
    <t>2.9.5-5144.123</t>
  </si>
  <si>
    <t>INSTRUMENTAL ODONTOLOGICO; TIPO: LOSETA DE VIDRIO 6 X 8 X 0,5CM, DESCARTABLE: NO, PRESENTACION: UNIDAD</t>
  </si>
  <si>
    <t>2.9.5-5144.9</t>
  </si>
  <si>
    <t>INSTRUMENTAL ODONTOLOGICO; TIPO: MANGO PARA ESPEJO BUCAL, PRESENTACION: UNIDAD, DESCARTABLE: NO</t>
  </si>
  <si>
    <t>MANGO PARA ESPEJO METALICO</t>
  </si>
  <si>
    <t>2.9.5-5144.459</t>
  </si>
  <si>
    <t>INSTRUMENTAL ODONTOLOGICO; TIPO: MATRIZ ACETATO P/FRENTES, DESCARTABLE: SI, PRESENTACION: ENVASE X 96 UN</t>
  </si>
  <si>
    <t>BLISTER</t>
  </si>
  <si>
    <t>2.9.5-5144.518</t>
  </si>
  <si>
    <t>INSTRUMENTAL ODONTOLOGICO; TIPO: MEMBRANA, DESCARTABLE: SI, PRESENTACION: UNIDAD</t>
  </si>
  <si>
    <t xml:space="preserve">MEMBRANA T/TISSUM 2.0 X 3.0 </t>
  </si>
  <si>
    <t>2.9.5-5144.330</t>
  </si>
  <si>
    <t>INSTRUMENTAL ODONTOLOGICO; TIPO: MONOMERO AUTOCURABLE, DESCARTABLE: SI, PRESENTACION: ENVASE X 1 L</t>
  </si>
  <si>
    <t>MONOMERO AUTOCURADO 1 LT</t>
  </si>
  <si>
    <t>2.9.5-5144.331</t>
  </si>
  <si>
    <t>INSTRUMENTAL ODONTOLOGICO; TIPO: MONOMERO TERMOCURABLE, DESCARTABLE: SI, PRESENTACION: ENVASE X 1 L</t>
  </si>
  <si>
    <t>MONOMERO TERMOCURABLE X 1 LT T/ NEW POL</t>
  </si>
  <si>
    <t>2.9.5-5144.358</t>
  </si>
  <si>
    <t>INSTRUMENTAL ODONTOLOGICO; TIPO: PAPEL DE ARTICULAR- FORMA HERR, DESCARTABLE: SI, PRESENTACION: PAQUETE X 12 LIBRITOS</t>
  </si>
  <si>
    <t>PAPEL DE ARTICULAR T/GABRIDENT AZUL CAJA X 12 UN</t>
  </si>
  <si>
    <t>2.9.5-5144.562</t>
  </si>
  <si>
    <t>INSTRUMENTAL ODONTOLOGICO; TIPO: PIEDRA POMEZ, DESCARTABLE: SI, PRESENTACION: ENVASE X 2 Kg</t>
  </si>
  <si>
    <t>2.9.5-5144.462</t>
  </si>
  <si>
    <t>INSTRUMENTAL ODONTOLOGICO; TIPO: PINCEL MICROBRUSH, DESCARTABLE: SI, PRESENTACION: ENVASE X 100 UN</t>
  </si>
  <si>
    <t>TUBO</t>
  </si>
  <si>
    <t>2.9.5-5144.8</t>
  </si>
  <si>
    <t>INSTRUMENTAL ODONTOLOGICO; TIPO: PINZA DE ALGODON, DESCARTABLE: NO, PRESENTACION: UNIDAD</t>
  </si>
  <si>
    <t>2.9.5-5144.176</t>
  </si>
  <si>
    <t>2.9.5-5144.175</t>
  </si>
  <si>
    <t>2.9.5-5144.195</t>
  </si>
  <si>
    <t>INSTRUMENTAL ODONTOLOGICO; TIPO: SEPARADOR DE YESO ROSA, DESCARTABLE: SI, PRESENTACION: 1 L</t>
  </si>
  <si>
    <t>2.9.5-5144.536</t>
  </si>
  <si>
    <t>INSTRUMENTAL ODONTOLOGICO; TIPO: SUCTOR, DESCARTABLE: SI, PRESENTACION: ENVASE X 100 UN</t>
  </si>
  <si>
    <t>2.9.5-5144.568</t>
  </si>
  <si>
    <t>INSTRUMENTAL ODONTOLOGICO; TIPO: TIRA P/PULIR. COMPOSITE-GR MED, DESCARTABLE: SI, PRESENTACION: ENVASE X 50 UN</t>
  </si>
  <si>
    <t>TIRAS PARA PULIR COMPOSITE X 50</t>
  </si>
  <si>
    <t>2.9.5-5144.90</t>
  </si>
  <si>
    <t>INSTRUMENTAL ODONTOLOGICO; TIPO: TIRANERVIOS, DESCARTABLE: NO, PRESENTACION: UNIDAD</t>
  </si>
  <si>
    <t>2.9.5-5144.540</t>
  </si>
  <si>
    <t>INSTRUMENTAL ODONTOLOGICO; TIPO: VASOS, DESCARTABLE: SI, PRESENTACION: CAJA X 3500 UN</t>
  </si>
  <si>
    <t>2.5.2-5143.3</t>
  </si>
  <si>
    <t>IONOMEROS VITREOS; USO: CEMENTADO, ESTADO: POLVO, PRESENTACION: ENVASE X 10 GR, FORMA DE PRESENTACION: POLVO</t>
  </si>
  <si>
    <t>2.9.5-2538.177</t>
  </si>
  <si>
    <t>LIMAS P/ODONTOLOGIA; MATERIAL: ACERO FLEXIBLE, NUMERO: 15 AL 40, LARGO: 25 mm, TIPO: LISA</t>
  </si>
  <si>
    <t>LIMAS FLEXIBLES 1º SERIE 25 MM X 6 UN</t>
  </si>
  <si>
    <t>2.9.5-2538.164</t>
  </si>
  <si>
    <t>LIMAS P/ODONTOLOGIA; MATERIAL: ACERO INOXIDABLE, NUMERO: 15 AL 40, LARGO: 21 mm, TIPO: HEDSTROEM</t>
  </si>
  <si>
    <t>LIMAS HESTROM X 6 UN</t>
  </si>
  <si>
    <t>2.9.5-2538.169</t>
  </si>
  <si>
    <t>LIMAS P/ODONTOLOGIA; MATERIAL: ACERO INOXIDABLE, NUMERO: 15 AL 40, LARGO: 21 mm, TIPO: K</t>
  </si>
  <si>
    <t>LIMAS K 1º SERIE 21 MM X 6 UN</t>
  </si>
  <si>
    <t>2.9.5-2538.166</t>
  </si>
  <si>
    <t>LIMAS P/ODONTOLOGIA; MATERIAL: ACERO INOXIDABLE, NUMERO: 15 AL 40, LARGO: 25 mm, TIPO: HEDSTROEM</t>
  </si>
  <si>
    <t>LIMAS H FILES 1º SERIE 25 MM X 6 UN</t>
  </si>
  <si>
    <t>2.9.5-2538.172</t>
  </si>
  <si>
    <t>LIMAS P/ODONTOLOGIA; MATERIAL: ACERO INOXIDABLE, NUMERO: 15 AL 40, LARGO: 25 mm, TIPO: K</t>
  </si>
  <si>
    <t>LIMAS K 1º SERIE 25MM X 6 UN</t>
  </si>
  <si>
    <t>2.9.5-2538.170</t>
  </si>
  <si>
    <t>LIMAS P/ODONTOLOGIA; MATERIAL: ACERO INOXIDABLE, NUMERO: 45 AL 80, LARGO: 21 mm, TIPO: K</t>
  </si>
  <si>
    <t>LIMAS K 2º SERIE 21 MM X 6 UN</t>
  </si>
  <si>
    <t>2.9.5-2538.167</t>
  </si>
  <si>
    <t>LIMAS P/ODONTOLOGIA; MATERIAL: ACERO INOXIDABLE, NUMERO: 45 AL 80, LARGO: 25 mm, TIPO: HEDSTROEM</t>
  </si>
  <si>
    <t>LIMAS H FILE 2º SERIE 25 MM X 6 UN</t>
  </si>
  <si>
    <t>2.9.5-2538.162</t>
  </si>
  <si>
    <t>LIMAS P/ODONTOLOGIA; MATERIAL: CARBURO DE TUNGSTENO, NUMERO: 15/40, LARGO: 31 mm, TIPO: K</t>
  </si>
  <si>
    <t>LIMAS K 1º SERIE 31MM X 6 UN</t>
  </si>
  <si>
    <t>2.9.5-2538.161</t>
  </si>
  <si>
    <t>LIMAS P/ODONTOLOGIA; MATERIAL: CARBURO DE TUNGSTENO, NUMERO: 45/80, LARGO: 25 mm, TIPO: K</t>
  </si>
  <si>
    <t>LIMAS K 2º SERIE 25 MM X 6 UN</t>
  </si>
  <si>
    <t>2.9.5-2538.163</t>
  </si>
  <si>
    <t>LIMAS P/ODONTOLOGIA; MATERIAL: CARBURO DE TUNGSTENO, NUMERO: 45/80, LARGO: 31 mm, TIPO: K</t>
  </si>
  <si>
    <t>LIMAS K 2º SERIE 31MM X 6 UN</t>
  </si>
  <si>
    <t>2.9.5-5627.9</t>
  </si>
  <si>
    <t>MANGOS DE BISTURI; TIPO: MANGO DE BISTURI, USO: QUIRURGICO/VARIOS, CAMBIAR HOJAS: SI, NUMERO: 3, MATERIAL: ACERO QUIRURGICO</t>
  </si>
  <si>
    <t>MANGO DE BISTURI NRO  3</t>
  </si>
  <si>
    <t>2.5.2-5573.3</t>
  </si>
  <si>
    <t>PASTAS ODONTOLOGICAS P/PULIR; PRESENTACION: BARRA, TIPO: ALTO BRILLO</t>
  </si>
  <si>
    <t>PASTA TIZA PARA PULIR (BARRA DE ALTO BRILLO) USO ODONTOLOGICO</t>
  </si>
  <si>
    <t>2.5.2-3202.2</t>
  </si>
  <si>
    <t>PASTAS P/IMPRESION DENTAL; PRODUCTO: ALIGINATO KROMOPAN, PRESENTACION: SOBRE X 450 GR, DESCRIPCION: ALGINATO CROMATICO</t>
  </si>
  <si>
    <t>ALGINATOS CROMATICO CA37 PAQ. X 450 G</t>
  </si>
  <si>
    <t>2.9.5-5514.10</t>
  </si>
  <si>
    <t>PASTAS P/ODONTOLOGIA; PRESENTACION: JERINGA, USO: SELLADOR, TIPO: COMPOMERO</t>
  </si>
  <si>
    <t>SELLADOR DE FOSAS Y FISURAS X 1,5 GM</t>
  </si>
  <si>
    <t>2.9.5-5514.1</t>
  </si>
  <si>
    <t>PASTAS P/ODONTOLOGIA; TIPO: CON CIRCONES MOLIDOS SIN FLUOR, USO: PULIR, PRESENTACION: ENVASE X 45 GR</t>
  </si>
  <si>
    <t>PASTA P/ PULIR GLOSS BRILLO 45 GR</t>
  </si>
  <si>
    <t>2.9.5-5514.37</t>
  </si>
  <si>
    <t>PASTAS P/ODONTOLOGIA; TIPO: HIDROXIDO DE CALCIO FRAGUABLE, USO: PROTECTOR PULPAR INDIRECTO, PRESENTACION: AVIO 13 GRS/11 GRS</t>
  </si>
  <si>
    <t>HIDROXIDO DE CALCIO PASTA/PASTA</t>
  </si>
  <si>
    <t>2.9.5-5514.5</t>
  </si>
  <si>
    <t>PASTAS P/ODONTOLOGIA; USO: FOTOPOLIMERIZACION, TIPO: COMPOSITE HIBRIDO, PRESENTACION: JERINGA X 4 GR</t>
  </si>
  <si>
    <t>RESINA  A1 JERINGA X 4GR</t>
  </si>
  <si>
    <t>RESINA  B2 JERINGA X 4GR</t>
  </si>
  <si>
    <t>RESINA A2 JERINGA X 4GR</t>
  </si>
  <si>
    <t>RESINA A3 JERINGA X 4 GR</t>
  </si>
  <si>
    <t>RESINA A3.5 JERINGA X 4 GR</t>
  </si>
  <si>
    <t>2.9.5-5514.12</t>
  </si>
  <si>
    <t>PASTAS P/ODONTOLOGIA; USO: FOTOPOLIMERIZACION, TIPO: COMPOSITE MICROHIBRIDO, PRESENTACION: JERINGA X 3 GR</t>
  </si>
  <si>
    <t>RESINA FLOW A1</t>
  </si>
  <si>
    <t>RESINA FLOW A2</t>
  </si>
  <si>
    <t>RESINA FLOW A3</t>
  </si>
  <si>
    <t>2.9.5-5514.22</t>
  </si>
  <si>
    <t>PASTAS P/ODONTOLOGIA; USO: OBTURACION, TIPO: GUTAPERCHA, PRESENTACION: ENVASE X 25 GR</t>
  </si>
  <si>
    <t>2.9.5-5514.7</t>
  </si>
  <si>
    <t>PASTAS P/ODONTOLOGIA; USO: P/LIMPIEZA, TIPO: SIN FLUOR, PRESENTACION: ENVASE X 45 GR</t>
  </si>
  <si>
    <t>2.9.5-472.4</t>
  </si>
  <si>
    <t>PINZAS DE CIRUGIA; TIPO: DISECCION SIN DIENTE, MEDIDA: 13 Cm</t>
  </si>
  <si>
    <t>PINZA DE DISECCION MANO IZQ</t>
  </si>
  <si>
    <t>2.9.5-472.71</t>
  </si>
  <si>
    <t>PINZAS DE CIRUGIA; TIPO: PORTA AGUJA, MEDIDA: 15 Cm</t>
  </si>
  <si>
    <t xml:space="preserve">PORTA AGUJA 15 cm </t>
  </si>
  <si>
    <t>2.5.9-945.17</t>
  </si>
  <si>
    <t>PLACAS RADIOGRAFICAS; SENSIBILIDAD: AL VERDE, DIMENSION: 31 X 41 mm</t>
  </si>
  <si>
    <t>PLACAS RADIOGRAFICAS; P/ODONTOLOGIA X 150 UNIDADES</t>
  </si>
  <si>
    <t>2.5.9-2402.6</t>
  </si>
  <si>
    <t>REVELADORES P/RADIOLOGIA; PRESENTACION: BOTELLA, CAPACIDAD: 480 mL, SENSIBILIDAD: AL VERDE, PROCESO: MANUAL, PROCESO DE UTILIZACION: MANUAL</t>
  </si>
  <si>
    <t>LIQUIDO REVELADOR T/ROMEK X 480 CC</t>
  </si>
  <si>
    <t>2.9.5-2496.26</t>
  </si>
  <si>
    <t>SUTURAS MECANICAS; TIPO: MONOFILAMENTO 4/0, USO: QUIRURGICO, PRESENTACION: CAJA POR 25</t>
  </si>
  <si>
    <t>SUTURAS 0/4</t>
  </si>
  <si>
    <t>2.9.5-2496.30</t>
  </si>
  <si>
    <t>SUTURAS MECANICAS; TIPO: MONOFILAMENTO NYLON 5.0, USO: QUIRURGICO, PRESENTACION: CAJA X 24 UN</t>
  </si>
  <si>
    <t>SUTURAS 0/5</t>
  </si>
  <si>
    <t>2.9.5-2496.21</t>
  </si>
  <si>
    <t>SUTURAS MECANICAS; TIPO: MONONYLON Nº 3/0 C/A, USO: QUIRURGICO, PRESENTACION: SOBRES</t>
  </si>
  <si>
    <t>SUTURA TAGUM 3/0</t>
  </si>
  <si>
    <t>SUTURAS 0/3</t>
  </si>
  <si>
    <t>2.5.2-5142.6</t>
  </si>
  <si>
    <t>TOPICOS ODONTOLOGICOS; DROGA GENERICA: FORMOCRESOL, PRESENTACION: FRASCO X 20 mL, ESTADO: LIQUIDO, FORMA DE PRESENTACION: LIQUIDO</t>
  </si>
  <si>
    <t>FORMOCRESOL, PRESENTACION: FRASCO X 20 mL, ESTADO: LIQUIDO</t>
  </si>
  <si>
    <t>2.5.2-9146.7</t>
  </si>
  <si>
    <t>YESOS; TIPO: PIEDRA P/ODONTOLOGIA, PRESENTACION: ENVASE X 25 Kg</t>
  </si>
  <si>
    <t>YESO PIEDRA POR 25KG</t>
  </si>
  <si>
    <t>2.5.2-9146.8</t>
  </si>
  <si>
    <t>YESOS; TIPO: TALLER, PRESENTACION: ENVASE X 25 Kg</t>
  </si>
  <si>
    <t>YESO TALLER POR 25 KG</t>
  </si>
  <si>
    <t>TOTAL RUBRO INSUMOS PARA ODONTOLOGIA</t>
  </si>
  <si>
    <t>COMBUSTIBLES Y LUBRICANTES</t>
  </si>
  <si>
    <t>ANTISEPTICOS LOCALES P/PERSONA; TIPO: MONODROGA, DROGA GENERICA: EDTAC, FORMA FARMACEUTICA: SOLUCION, PRESENTACION: FRASCO X 20 mL</t>
  </si>
  <si>
    <t xml:space="preserve"> INDUMENT TEXTIL Y CONFECCIONES</t>
  </si>
  <si>
    <t>PINTURAS</t>
  </si>
  <si>
    <t>CLIP PARA RX METALICO - CAJA X 7 UNID</t>
  </si>
  <si>
    <t>TIPO PASTA PROPHY NF</t>
  </si>
  <si>
    <t>Piedra de diamante aguja grano ultrafino FG  numero 296</t>
  </si>
  <si>
    <t xml:space="preserve">Piedra de diamante FG cilindrica numero 109 </t>
  </si>
  <si>
    <t>Conos de fieltro mediano para pulido de protesis</t>
  </si>
  <si>
    <t>Conos de papel 1º Serie 15-40 caja por 200 unidades</t>
  </si>
  <si>
    <t>Conos de papel 2º Serie 45-80 caja por 200 unidades</t>
  </si>
  <si>
    <t>CONOS GUTA PERCHA 20 MM caja por 120 unidades</t>
  </si>
  <si>
    <t>CONOS GUTA PERCHA 25MM caja por 120 unidades</t>
  </si>
  <si>
    <t>CONOS GUTA PERCHA 30 MM caja por 120 unidades</t>
  </si>
  <si>
    <t>CONOS GUTA PERCHA 35 MM caja por 120 unidades</t>
  </si>
  <si>
    <t>CONOS GUTA PERCHA 40 MM caja por 120 unidades</t>
  </si>
  <si>
    <t>CONOS GUTA PERCHA 45 MM caja por 120 unidades</t>
  </si>
  <si>
    <t>Discos soflex grano fino 1/2 4931 f (naranja)</t>
  </si>
  <si>
    <t>Gomas para pulir composite kit contiene 9 unidades, vastago metalico, grano fino</t>
  </si>
  <si>
    <t>PLACA BASE DESCARTABLE INFERIOR X 100 UN</t>
  </si>
  <si>
    <t>PLACA BASE DESCARTABLE SUPERIOR X 100 UN</t>
  </si>
  <si>
    <t>TIRA NERVIOS 21 mm BLISTER X 12 UNIDADES</t>
  </si>
  <si>
    <t>ionomero vitreo foto para restauracion tipo 2 presentacion 10 gr + 6 ml</t>
  </si>
  <si>
    <t>FERRETERIA</t>
  </si>
  <si>
    <t>Hoja tipo Ney para sierra odontologia- laboratorio longitud 14 cm- ancho 1mm</t>
  </si>
  <si>
    <t>IONOMEROS VITREOS; USO: FOTOCURADO, PRESENTACION: AVIO 10 GRS/6 ML, FORMA DE PRESENTACION: POLVO - LIQUIDO</t>
  </si>
  <si>
    <t>2.5.2-5143.37</t>
  </si>
  <si>
    <t>INSTRUMENTAL ODONTOLOGICO; TIPO: CONO DE PAPEL Nº 15-40, DESCARTABLE: SI, PRESENTACION: UNIDAD</t>
  </si>
  <si>
    <t>INSTRUMENTAL ODONTOLOGICO; TIPO: CONO DE PAPEL Nº 45-80, DESCARTABLE: SI, PRESENTACION: UNIDAD</t>
  </si>
  <si>
    <t>INSTRUMENTAL ODONTOLOGICO; TIPO: CONO GUTAPERCHA Nº20, DESCARTABLE: SI, PRESENTACION: UNIDAD</t>
  </si>
  <si>
    <t>INSTRUMENTAL ODONTOLOGICO; TIPO: CONO GUTAPERCHA Nº25, DESCARTABLE: SI, PRESENTACION: UNIDAD</t>
  </si>
  <si>
    <t>INSTRUMENTAL ODONTOLOGICO; TIPO: CONO GUTAPERCHA Nº30, DESCARTABLE: SI, PRESENTACION: UNIDAD</t>
  </si>
  <si>
    <t>INSTRUMENTAL ODONTOLOGICO; TIPO: CONO GUTAPERCHA Nº35, DESCARTABLE: SI, PRESENTACION: UNIDAD</t>
  </si>
  <si>
    <t>INSTRUMENTAL ODONTOLOGICO; TIPO: CONO GUTAPERCHA Nº40, DESCARTABLE: SI, PRESENTACION: UNIDAD</t>
  </si>
  <si>
    <t>INSTRUMENTAL ODONTOLOGICO; TIPO: CONO GUTAPERCHA Nº45, DESCARTABLE: SI, PRESENTACION: UNIDAD</t>
  </si>
  <si>
    <t>INSTRUMENTAL ODONTOLOGICO; TIPO: PLACA BASE INFERIOR, DESCARTABLE: SIN VALOR, PRESENTACION: ENVASE X 100</t>
  </si>
  <si>
    <t>INSTRUMENTAL ODONTOLOGICO; TIPO: PLACA BASE SUPERIOR, DESCARTABLE: SIN VALOR, PRESENTACION: ENVASE X 100</t>
  </si>
  <si>
    <t>INSTRUMENTAL ODONTOLOGICO; TIPO: CLIP P/RADIOGRAFIA, DESCARTABLE: NO, PRESENTACION: UNIDAD</t>
  </si>
  <si>
    <t>INSTRUMENTAL ODONTOLOGICO; TIPO: ESPACIADOR P/CONOS GUTA-PERCHA, DESCARTABLE: NO, PRESENTACION: UNIDAD</t>
  </si>
  <si>
    <t>Eyectores Suctores de Saliva - BOLSA X 100 UN</t>
  </si>
  <si>
    <t>CUARTO</t>
  </si>
  <si>
    <t>ionomero vitreo cementado para restauracion tipo 2 presentacion 10 gr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</si>
  <si>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</si>
  <si>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</si>
  <si>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</si>
  <si>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</si>
  <si>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</si>
  <si>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</si>
  <si>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</si>
  <si>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</si>
  <si>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</si>
  <si>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</si>
  <si>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</si>
  <si>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</si>
  <si>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</si>
  <si>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</si>
  <si>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</si>
  <si>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</si>
  <si>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</si>
  <si>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</si>
  <si>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</si>
  <si>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</si>
  <si>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</si>
  <si>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</si>
  <si>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</si>
  <si>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</si>
  <si>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</si>
  <si>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</si>
  <si>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</si>
  <si>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</si>
  <si>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</si>
  <si>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</si>
  <si>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</si>
  <si>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</si>
  <si>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</si>
  <si>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</si>
  <si>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</si>
  <si>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</si>
  <si>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</si>
  <si>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Autorizo la realización de los  trámites correspondientes, a fin de proveer a  este Organismo los bienes que se detallan en Nota  de Pedido N°....... , afectando la erogación resultante a los créditos presupuestarios aprobados a favor de esta Unidad Ejecutora, conforme al siguiente detalle:</t>
  </si>
  <si>
    <t>470 - DIRECCION PROVINCIAL DE ODONTOLOGIA</t>
  </si>
  <si>
    <t>TRES (3) MESES</t>
  </si>
  <si>
    <t>ADQ. RUBRO INSUMOS PARA ODONTOLOGIA</t>
  </si>
  <si>
    <t>XX/2022</t>
  </si>
  <si>
    <t>NO</t>
  </si>
  <si>
    <t>SI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</si>
  <si>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</si>
  <si>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</si>
  <si>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</si>
  <si>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diez (10) dias habiles</t>
  </si>
  <si>
    <t>Lugar de Entrega:</t>
  </si>
  <si>
    <t>Calidad Minima esperada</t>
  </si>
  <si>
    <t>Mantenimiento</t>
  </si>
  <si>
    <t>cuarenta y cinco (45) días habiles</t>
  </si>
  <si>
    <t>DIR. PROV. DE ODONTOLOGIA - CHACABUCO N° 169 - en el horario de 8:00hs a 12:00hs de lunes a viernes. DEBIENDO CORRER LOS GASTOS DE FLETES, ACARREO, CARGA, DESCARGA Y SEGURO A CARGO DEL ADJUDICATARIO.</t>
  </si>
  <si>
    <t>Costo total estimado: PESOS DOCE MILLONES OCHOCIENTOS CINCUENTA Y SEIS MIL TRESCIENTOS CON 00/100.-</t>
  </si>
  <si>
    <t>1.1</t>
  </si>
  <si>
    <t>PRENDAS DE VESTIR</t>
  </si>
  <si>
    <t>PRODUCTOS FARMACEUTICOS Y MEDICINALES</t>
  </si>
  <si>
    <t>OTROS NEP</t>
  </si>
  <si>
    <t>CEMENTO, CAL Y YESO</t>
  </si>
  <si>
    <t>UTILES MENORES MEDICOS, QUIRURGICOS Y DE LABORATORIO</t>
  </si>
  <si>
    <t>TOTAL DE PESOS: DOCE MILLONES OCHOCIENTOS CINCUENTA Y SEIS MIL TRESCIENTOS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</si>
</sst>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[$$-2C0A]\ #,##0.00"/>
    <numFmt numFmtId="166" formatCode="dd\-mm\-yy;@"/>
    <numFmt numFmtId="167" formatCode="_(\$* #,##0.00_);_(\$* \(#,##0.00\);_(\$* \-??_);_(@_)"/>
    <numFmt numFmtId="168" formatCode="[$$-2C0A]\ #,##0.00;[$$-2C0A]&quot; -&quot;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0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0" fillId="0" borderId="0"/>
    <xf numFmtId="167" fontId="22" fillId="0" borderId="0" applyBorder="0" applyProtection="0"/>
    <xf numFmtId="0" fontId="10" fillId="0" borderId="0"/>
  </cellStyleXfs>
  <cellXfs count="191">
    <xf numFmtId="0" fontId="0" fillId="0" borderId="0" xfId="0"/>
    <xf numFmtId="3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3" fontId="3" fillId="0" borderId="0" xfId="0" applyNumberFormat="1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wrapText="1"/>
    </xf>
    <xf numFmtId="0" fontId="6" fillId="0" borderId="0" xfId="0" applyFont="1" applyFill="1" applyAlignment="1">
      <alignment horizontal="center" vertical="center" wrapText="1"/>
    </xf>
    <xf numFmtId="3" fontId="6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3" fontId="5" fillId="0" borderId="3" xfId="0" applyNumberFormat="1" applyFont="1" applyFill="1" applyBorder="1" applyAlignment="1">
      <alignment horizontal="center" vertical="center" wrapText="1"/>
    </xf>
    <xf numFmtId="164" fontId="7" fillId="0" borderId="3" xfId="1" applyNumberFormat="1" applyFont="1" applyFill="1" applyBorder="1" applyAlignment="1">
      <alignment horizontal="center" vertical="center" wrapText="1"/>
    </xf>
    <xf numFmtId="164" fontId="5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3" fontId="8" fillId="0" borderId="5" xfId="2" applyNumberFormat="1" applyFont="1" applyFill="1" applyBorder="1" applyAlignment="1">
      <alignment horizontal="center" vertical="center" wrapText="1"/>
    </xf>
    <xf numFmtId="164" fontId="8" fillId="0" borderId="5" xfId="0" applyNumberFormat="1" applyFont="1" applyFill="1" applyBorder="1" applyAlignment="1">
      <alignment horizontal="center" vertical="center"/>
    </xf>
    <xf numFmtId="164" fontId="8" fillId="0" borderId="5" xfId="2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164" fontId="8" fillId="0" borderId="1" xfId="0" applyNumberFormat="1" applyFont="1" applyFill="1" applyBorder="1" applyAlignment="1">
      <alignment horizontal="center" vertical="center"/>
    </xf>
    <xf numFmtId="164" fontId="8" fillId="0" borderId="1" xfId="2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164" fontId="11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horizontal="left" vertical="center"/>
    </xf>
    <xf numFmtId="3" fontId="8" fillId="0" borderId="3" xfId="2" applyNumberFormat="1" applyFont="1" applyFill="1" applyBorder="1" applyAlignment="1">
      <alignment horizontal="center" vertical="center" wrapText="1"/>
    </xf>
    <xf numFmtId="164" fontId="9" fillId="0" borderId="3" xfId="0" applyNumberFormat="1" applyFont="1" applyFill="1" applyBorder="1" applyAlignment="1">
      <alignment horizontal="center" vertical="center"/>
    </xf>
    <xf numFmtId="164" fontId="9" fillId="0" borderId="4" xfId="0" applyNumberFormat="1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wrapText="1"/>
    </xf>
    <xf numFmtId="0" fontId="0" fillId="0" borderId="0" xfId="0" applyFill="1"/>
    <xf numFmtId="0" fontId="14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5" fillId="0" borderId="20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 wrapText="1" indent="1"/>
    </xf>
    <xf numFmtId="0" fontId="14" fillId="0" borderId="15" xfId="0" applyFont="1" applyBorder="1" applyAlignment="1">
      <alignment horizontal="left" vertical="center" wrapText="1" indent="1"/>
    </xf>
    <xf numFmtId="0" fontId="17" fillId="0" borderId="24" xfId="0" applyFont="1" applyBorder="1" applyAlignment="1">
      <alignment horizontal="center" vertical="center"/>
    </xf>
    <xf numFmtId="3" fontId="20" fillId="0" borderId="29" xfId="0" applyNumberFormat="1" applyFont="1" applyBorder="1" applyAlignment="1"/>
    <xf numFmtId="166" fontId="0" fillId="0" borderId="29" xfId="0" applyNumberFormat="1" applyBorder="1" applyAlignment="1">
      <alignment horizontal="left"/>
    </xf>
    <xf numFmtId="0" fontId="0" fillId="0" borderId="29" xfId="0" applyBorder="1"/>
    <xf numFmtId="0" fontId="0" fillId="0" borderId="20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5" xfId="0" applyBorder="1"/>
    <xf numFmtId="0" fontId="25" fillId="0" borderId="3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left" vertical="center"/>
    </xf>
    <xf numFmtId="0" fontId="25" fillId="0" borderId="40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68" fontId="0" fillId="0" borderId="45" xfId="3" applyNumberFormat="1" applyFont="1" applyBorder="1" applyAlignment="1" applyProtection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68" fontId="0" fillId="0" borderId="50" xfId="3" applyNumberFormat="1" applyFont="1" applyBorder="1" applyAlignment="1" applyProtection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68" fontId="0" fillId="0" borderId="54" xfId="3" applyNumberFormat="1" applyFont="1" applyBorder="1" applyAlignment="1" applyProtection="1">
      <alignment horizontal="center" vertical="center"/>
    </xf>
    <xf numFmtId="168" fontId="25" fillId="0" borderId="56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57" xfId="0" applyFont="1" applyBorder="1" applyAlignment="1">
      <alignment vertical="center"/>
    </xf>
    <xf numFmtId="0" fontId="17" fillId="0" borderId="58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13" fillId="0" borderId="11" xfId="0" applyNumberFormat="1" applyFont="1" applyBorder="1" applyAlignment="1">
      <alignment horizontal="right" vertical="center"/>
    </xf>
    <xf numFmtId="164" fontId="13" fillId="0" borderId="0" xfId="0" applyNumberFormat="1" applyFont="1" applyBorder="1" applyAlignment="1">
      <alignment vertical="center"/>
    </xf>
    <xf numFmtId="164" fontId="14" fillId="0" borderId="8" xfId="0" applyNumberFormat="1" applyFont="1" applyBorder="1" applyAlignment="1">
      <alignment vertical="center"/>
    </xf>
    <xf numFmtId="164" fontId="14" fillId="0" borderId="0" xfId="0" applyNumberFormat="1" applyFont="1" applyBorder="1" applyAlignment="1">
      <alignment horizontal="left" vertical="center" wrapText="1" indent="1"/>
    </xf>
    <xf numFmtId="164" fontId="0" fillId="0" borderId="0" xfId="0" applyNumberFormat="1"/>
    <xf numFmtId="0" fontId="17" fillId="0" borderId="25" xfId="0" applyFont="1" applyBorder="1" applyAlignment="1">
      <alignment horizontal="center" vertical="center" wrapText="1"/>
    </xf>
    <xf numFmtId="164" fontId="17" fillId="0" borderId="25" xfId="0" applyNumberFormat="1" applyFont="1" applyBorder="1" applyAlignment="1">
      <alignment horizontal="center" vertical="center" wrapText="1"/>
    </xf>
    <xf numFmtId="3" fontId="17" fillId="0" borderId="26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164" fontId="17" fillId="0" borderId="5" xfId="0" applyNumberFormat="1" applyFont="1" applyBorder="1" applyAlignment="1">
      <alignment horizontal="center" vertical="center" wrapText="1"/>
    </xf>
    <xf numFmtId="3" fontId="17" fillId="0" borderId="59" xfId="0" applyNumberFormat="1" applyFont="1" applyBorder="1" applyAlignment="1">
      <alignment horizontal="center" vertical="center"/>
    </xf>
    <xf numFmtId="0" fontId="17" fillId="0" borderId="62" xfId="0" applyFont="1" applyBorder="1" applyAlignment="1">
      <alignment horizontal="center" vertical="center"/>
    </xf>
    <xf numFmtId="0" fontId="17" fillId="0" borderId="63" xfId="0" applyFont="1" applyBorder="1" applyAlignment="1">
      <alignment horizontal="center" vertical="center"/>
    </xf>
    <xf numFmtId="0" fontId="17" fillId="0" borderId="63" xfId="0" applyFont="1" applyBorder="1" applyAlignment="1">
      <alignment horizontal="center" vertical="center" wrapText="1"/>
    </xf>
    <xf numFmtId="164" fontId="17" fillId="0" borderId="63" xfId="0" applyNumberFormat="1" applyFont="1" applyBorder="1" applyAlignment="1">
      <alignment horizontal="center" vertical="center" wrapText="1"/>
    </xf>
    <xf numFmtId="3" fontId="17" fillId="0" borderId="67" xfId="0" applyNumberFormat="1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7" fillId="0" borderId="60" xfId="0" applyFont="1" applyBorder="1" applyAlignment="1">
      <alignment horizontal="left" vertical="center" wrapText="1"/>
    </xf>
    <xf numFmtId="0" fontId="17" fillId="0" borderId="61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 indent="1"/>
    </xf>
    <xf numFmtId="165" fontId="15" fillId="0" borderId="17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left" vertical="center" wrapText="1"/>
    </xf>
    <xf numFmtId="0" fontId="17" fillId="0" borderId="64" xfId="0" applyFont="1" applyBorder="1" applyAlignment="1">
      <alignment horizontal="left" vertical="center" wrapText="1"/>
    </xf>
    <xf numFmtId="0" fontId="17" fillId="0" borderId="65" xfId="0" applyFont="1" applyBorder="1" applyAlignment="1">
      <alignment horizontal="left" vertical="center" wrapText="1"/>
    </xf>
    <xf numFmtId="0" fontId="17" fillId="0" borderId="66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164" fontId="16" fillId="0" borderId="22" xfId="0" applyNumberFormat="1" applyFont="1" applyBorder="1" applyAlignment="1">
      <alignment horizontal="center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20" fillId="0" borderId="17" xfId="0" applyFont="1" applyBorder="1" applyAlignment="1">
      <alignment vertical="center" wrapText="1"/>
    </xf>
    <xf numFmtId="0" fontId="23" fillId="0" borderId="37" xfId="0" applyFont="1" applyBorder="1" applyAlignment="1">
      <alignment vertical="center" wrapText="1"/>
    </xf>
    <xf numFmtId="0" fontId="23" fillId="0" borderId="27" xfId="0" applyFont="1" applyBorder="1" applyAlignment="1">
      <alignment horizontal="left" vertical="center" wrapText="1" indent="1"/>
    </xf>
    <xf numFmtId="0" fontId="0" fillId="0" borderId="49" xfId="0" applyFont="1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20" fillId="0" borderId="55" xfId="0" applyFont="1" applyBorder="1" applyAlignment="1">
      <alignment horizontal="left" vertical="center" wrapText="1"/>
    </xf>
    <xf numFmtId="0" fontId="0" fillId="0" borderId="33" xfId="0" applyBorder="1"/>
    <xf numFmtId="0" fontId="0" fillId="0" borderId="49" xfId="0" applyFont="1" applyBorder="1" applyAlignment="1">
      <alignment horizontal="center" vertical="center"/>
    </xf>
    <xf numFmtId="49" fontId="23" fillId="0" borderId="34" xfId="0" applyNumberFormat="1" applyFont="1" applyBorder="1" applyAlignment="1">
      <alignment horizontal="justify" vertical="center" wrapText="1"/>
    </xf>
    <xf numFmtId="0" fontId="25" fillId="0" borderId="33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/>
    </xf>
    <xf numFmtId="0" fontId="18" fillId="0" borderId="30" xfId="0" applyFont="1" applyBorder="1" applyAlignment="1">
      <alignment horizontal="left" vertical="center" wrapText="1"/>
    </xf>
    <xf numFmtId="0" fontId="23" fillId="0" borderId="31" xfId="0" applyFont="1" applyBorder="1" applyAlignment="1">
      <alignment horizontal="left" indent="1"/>
    </xf>
    <xf numFmtId="0" fontId="24" fillId="0" borderId="32" xfId="0" applyFont="1" applyBorder="1" applyAlignment="1">
      <alignment horizontal="left"/>
    </xf>
    <xf numFmtId="0" fontId="23" fillId="0" borderId="33" xfId="0" applyFont="1" applyBorder="1" applyAlignment="1">
      <alignment horizontal="left"/>
    </xf>
    <xf numFmtId="0" fontId="0" fillId="0" borderId="7" xfId="0" applyFont="1" applyBorder="1" applyAlignment="1">
      <alignment horizontal="center"/>
    </xf>
    <xf numFmtId="3" fontId="20" fillId="0" borderId="28" xfId="0" applyNumberFormat="1" applyFont="1" applyBorder="1" applyAlignment="1">
      <alignment horizontal="center"/>
    </xf>
    <xf numFmtId="0" fontId="21" fillId="0" borderId="12" xfId="0" applyFont="1" applyBorder="1" applyAlignment="1">
      <alignment horizontal="center" vertical="center" wrapText="1"/>
    </xf>
    <xf numFmtId="0" fontId="22" fillId="0" borderId="30" xfId="0" applyFont="1" applyBorder="1"/>
    <xf numFmtId="0" fontId="27" fillId="0" borderId="10" xfId="4" applyFont="1" applyFill="1" applyBorder="1" applyAlignment="1">
      <alignment horizontal="center" vertical="center" wrapText="1"/>
    </xf>
    <xf numFmtId="0" fontId="27" fillId="0" borderId="20" xfId="4" applyFont="1" applyFill="1" applyBorder="1" applyAlignment="1">
      <alignment horizontal="center" vertical="center" wrapText="1"/>
    </xf>
    <xf numFmtId="0" fontId="3" fillId="0" borderId="0" xfId="4" applyFont="1" applyFill="1" applyBorder="1" applyAlignment="1">
      <alignment horizontal="left" vertical="center" wrapText="1"/>
    </xf>
    <xf numFmtId="0" fontId="3" fillId="0" borderId="0" xfId="4" applyFont="1" applyFill="1" applyBorder="1" applyAlignment="1">
      <alignment horizontal="left" vertical="center"/>
    </xf>
    <xf numFmtId="0" fontId="3" fillId="0" borderId="0" xfId="4" applyFont="1" applyFill="1" applyBorder="1" applyAlignment="1">
      <alignment horizontal="center" vertical="center"/>
    </xf>
    <xf numFmtId="0" fontId="3" fillId="0" borderId="0" xfId="4" applyFont="1" applyFill="1" applyBorder="1" applyAlignment="1">
      <alignment vertical="center"/>
    </xf>
    <xf numFmtId="0" fontId="27" fillId="0" borderId="20" xfId="4" applyFont="1" applyBorder="1" applyAlignment="1">
      <alignment horizontal="center" vertical="center" wrapText="1"/>
    </xf>
    <xf numFmtId="0" fontId="3" fillId="0" borderId="0" xfId="4" applyFont="1" applyBorder="1" applyAlignment="1">
      <alignment horizontal="center" vertical="center"/>
    </xf>
    <xf numFmtId="0" fontId="27" fillId="0" borderId="68" xfId="4" applyFont="1" applyBorder="1" applyAlignment="1">
      <alignment horizontal="center" vertical="center" wrapText="1"/>
    </xf>
    <xf numFmtId="0" fontId="3" fillId="0" borderId="0" xfId="4" applyFont="1" applyFill="1" applyBorder="1" applyAlignment="1">
      <alignment horizontal="left" vertical="center" wrapText="1"/>
    </xf>
    <xf numFmtId="0" fontId="3" fillId="0" borderId="29" xfId="4" applyFont="1" applyFill="1" applyBorder="1" applyAlignment="1">
      <alignment horizontal="left" vertical="center" wrapText="1"/>
    </xf>
    <xf numFmtId="0" fontId="3" fillId="0" borderId="70" xfId="4" applyFont="1" applyFill="1" applyBorder="1" applyAlignment="1">
      <alignment horizontal="left" vertical="center" wrapText="1"/>
    </xf>
    <xf numFmtId="0" fontId="0" fillId="0" borderId="15" xfId="0" applyFill="1" applyBorder="1"/>
    <xf numFmtId="0" fontId="3" fillId="0" borderId="15" xfId="4" applyFont="1" applyFill="1" applyBorder="1" applyAlignment="1">
      <alignment horizontal="left" vertical="center" wrapText="1"/>
    </xf>
    <xf numFmtId="0" fontId="3" fillId="0" borderId="69" xfId="4" applyFont="1" applyBorder="1" applyAlignment="1">
      <alignment horizontal="left" vertical="center"/>
    </xf>
    <xf numFmtId="0" fontId="3" fillId="0" borderId="71" xfId="4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0" fontId="0" fillId="0" borderId="43" xfId="0" applyFont="1" applyBorder="1" applyAlignment="1">
      <alignment vertical="center" wrapText="1"/>
    </xf>
    <xf numFmtId="0" fontId="0" fillId="0" borderId="49" xfId="0" applyFont="1" applyBorder="1" applyAlignment="1">
      <alignment vertical="center"/>
    </xf>
    <xf numFmtId="0" fontId="0" fillId="0" borderId="49" xfId="0" applyBorder="1" applyAlignment="1"/>
    <xf numFmtId="0" fontId="0" fillId="0" borderId="72" xfId="0" applyFont="1" applyBorder="1" applyAlignment="1">
      <alignment horizontal="left" vertical="center" wrapText="1"/>
    </xf>
    <xf numFmtId="0" fontId="0" fillId="0" borderId="73" xfId="0" applyFont="1" applyBorder="1" applyAlignment="1">
      <alignment horizontal="left" vertical="center" wrapText="1"/>
    </xf>
    <xf numFmtId="0" fontId="26" fillId="0" borderId="0" xfId="0" applyFont="1" applyAlignment="1">
      <alignment vertical="center"/>
    </xf>
    <xf numFmtId="0" fontId="26" fillId="0" borderId="0" xfId="0" applyFont="1"/>
    <xf numFmtId="164" fontId="28" fillId="0" borderId="0" xfId="0" applyNumberFormat="1" applyFont="1" applyAlignment="1">
      <alignment vertical="center"/>
    </xf>
    <xf numFmtId="164" fontId="28" fillId="0" borderId="0" xfId="0" applyNumberFormat="1" applyFont="1"/>
    <xf numFmtId="164" fontId="26" fillId="0" borderId="0" xfId="0" applyNumberFormat="1" applyFont="1"/>
  </cellXfs>
  <cellStyles count="5">
    <cellStyle name="Moneda" xfId="1" builtinId="4"/>
    <cellStyle name="Moneda_AUTORIZACION Y NOTA DE PEDIDO" xfId="3"/>
    <cellStyle name="Normal" xfId="0" builtinId="0"/>
    <cellStyle name="Normal 2" xfId="2"/>
    <cellStyle name="Normal 2 2" xfId="4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3"/>
  <sheetViews>
    <sheetView topLeftCell="A4" zoomScale="120" zoomScaleNormal="120" workbookViewId="0">
      <selection activeCell="A109" sqref="A109"/>
    </sheetView>
  </sheetViews>
  <sheetFormatPr baseColWidth="10" defaultRowHeight="15" x14ac:dyDescent="0.25"/>
  <cols>
    <col min="1" max="1" width="5.85546875" style="40" customWidth="1"/>
    <col min="2" max="2" width="13.85546875" style="40" bestFit="1" customWidth="1"/>
    <col min="3" max="3" width="36.28515625" style="40" customWidth="1"/>
    <col min="4" max="4" width="5.5703125" style="40" bestFit="1" customWidth="1"/>
    <col min="5" max="5" width="100" style="40" customWidth="1"/>
    <col min="6" max="6" width="10.42578125" style="40" customWidth="1"/>
    <col min="7" max="7" width="14.5703125" style="40" customWidth="1"/>
    <col min="8" max="8" width="15.5703125" style="40" customWidth="1"/>
    <col min="9" max="9" width="16.7109375" style="40" customWidth="1"/>
    <col min="10" max="10" width="74.140625" style="40" customWidth="1"/>
    <col min="11" max="11" width="14.42578125" style="40" customWidth="1"/>
    <col min="12" max="12" width="13.85546875" style="186" customWidth="1"/>
    <col min="13" max="13" width="13.85546875" style="187" bestFit="1" customWidth="1"/>
    <col min="14" max="14" width="13.85546875" style="187" customWidth="1"/>
    <col min="15" max="17" width="13.7109375" style="187" bestFit="1" customWidth="1"/>
    <col min="18" max="18" width="16.42578125" style="187" bestFit="1" customWidth="1"/>
  </cols>
  <sheetData>
    <row r="1" spans="1:17" x14ac:dyDescent="0.25">
      <c r="A1" s="1">
        <v>2022</v>
      </c>
      <c r="B1" s="2"/>
      <c r="C1" s="3"/>
      <c r="D1" s="3"/>
      <c r="E1" s="4"/>
      <c r="F1" s="3"/>
      <c r="G1" s="5"/>
      <c r="H1" s="6"/>
      <c r="I1" s="7"/>
      <c r="J1" s="8"/>
      <c r="K1" s="8"/>
    </row>
    <row r="2" spans="1:17" ht="18.75" x14ac:dyDescent="0.25">
      <c r="A2" s="3"/>
      <c r="B2" s="119" t="s">
        <v>0</v>
      </c>
      <c r="C2" s="119"/>
      <c r="D2" s="119"/>
      <c r="E2" s="119"/>
      <c r="F2" s="119"/>
      <c r="G2" s="119"/>
      <c r="H2" s="119"/>
      <c r="I2" s="7"/>
      <c r="J2" s="8"/>
      <c r="K2" s="8"/>
    </row>
    <row r="3" spans="1:17" x14ac:dyDescent="0.25">
      <c r="A3" s="3"/>
      <c r="B3" s="2"/>
      <c r="C3" s="3"/>
      <c r="D3" s="3"/>
      <c r="E3" s="4"/>
      <c r="F3" s="3"/>
      <c r="G3" s="5"/>
      <c r="H3" s="6"/>
      <c r="I3" s="7"/>
      <c r="J3" s="8"/>
      <c r="K3" s="8"/>
    </row>
    <row r="4" spans="1:17" x14ac:dyDescent="0.25">
      <c r="A4" s="118" t="s">
        <v>1</v>
      </c>
      <c r="B4" s="118"/>
      <c r="C4" s="87" t="s">
        <v>2</v>
      </c>
      <c r="D4" s="87"/>
      <c r="E4" s="87"/>
      <c r="F4" s="9"/>
      <c r="G4" s="10"/>
      <c r="H4" s="6"/>
      <c r="I4" s="7"/>
      <c r="J4" s="8"/>
      <c r="K4" s="8"/>
    </row>
    <row r="5" spans="1:17" ht="15" customHeight="1" x14ac:dyDescent="0.25">
      <c r="A5" s="118" t="s">
        <v>3</v>
      </c>
      <c r="B5" s="118"/>
      <c r="C5" s="87" t="s">
        <v>4</v>
      </c>
      <c r="D5" s="87"/>
      <c r="E5" s="87"/>
      <c r="F5" s="9"/>
      <c r="G5" s="10"/>
      <c r="H5" s="6"/>
      <c r="I5" s="7"/>
      <c r="J5" s="8"/>
      <c r="K5" s="8"/>
    </row>
    <row r="6" spans="1:17" x14ac:dyDescent="0.25">
      <c r="A6" s="118" t="s">
        <v>5</v>
      </c>
      <c r="B6" s="118"/>
      <c r="C6" s="11">
        <v>2022</v>
      </c>
      <c r="D6" s="88"/>
      <c r="E6" s="11"/>
      <c r="F6" s="9"/>
      <c r="G6" s="10"/>
      <c r="H6" s="6"/>
      <c r="I6" s="7"/>
      <c r="J6" s="8"/>
      <c r="K6" s="8"/>
    </row>
    <row r="7" spans="1:17" x14ac:dyDescent="0.25">
      <c r="A7" s="118" t="s">
        <v>6</v>
      </c>
      <c r="B7" s="118"/>
      <c r="C7" s="11" t="s">
        <v>323</v>
      </c>
      <c r="D7" s="11"/>
      <c r="E7" s="11"/>
      <c r="F7" s="9"/>
      <c r="G7" s="10"/>
      <c r="H7" s="6"/>
      <c r="I7" s="7"/>
      <c r="J7" s="8"/>
      <c r="K7" s="8"/>
    </row>
    <row r="8" spans="1:17" ht="15.75" thickBot="1" x14ac:dyDescent="0.3">
      <c r="A8" s="3"/>
      <c r="B8" s="9"/>
      <c r="C8" s="9"/>
      <c r="D8" s="9"/>
      <c r="E8" s="12"/>
      <c r="F8" s="9"/>
      <c r="G8" s="10"/>
      <c r="H8" s="6"/>
      <c r="I8" s="7"/>
      <c r="J8" s="8"/>
      <c r="K8" s="8"/>
    </row>
    <row r="9" spans="1:17" ht="39" thickBot="1" x14ac:dyDescent="0.3">
      <c r="A9" s="13" t="s">
        <v>7</v>
      </c>
      <c r="B9" s="14" t="s">
        <v>8</v>
      </c>
      <c r="C9" s="15" t="s">
        <v>9</v>
      </c>
      <c r="D9" s="14" t="s">
        <v>10</v>
      </c>
      <c r="E9" s="16" t="s">
        <v>11</v>
      </c>
      <c r="F9" s="15" t="s">
        <v>12</v>
      </c>
      <c r="G9" s="17" t="s">
        <v>13</v>
      </c>
      <c r="H9" s="18" t="s">
        <v>14</v>
      </c>
      <c r="I9" s="19" t="s">
        <v>15</v>
      </c>
      <c r="J9" s="20" t="s">
        <v>16</v>
      </c>
      <c r="K9" s="175"/>
      <c r="L9" s="186">
        <v>222</v>
      </c>
      <c r="M9" s="187">
        <v>252</v>
      </c>
      <c r="N9" s="187">
        <v>256</v>
      </c>
      <c r="O9" s="187">
        <v>259</v>
      </c>
      <c r="P9" s="187">
        <v>265</v>
      </c>
      <c r="Q9" s="187">
        <v>295</v>
      </c>
    </row>
    <row r="10" spans="1:17" x14ac:dyDescent="0.25">
      <c r="A10" s="21">
        <v>1</v>
      </c>
      <c r="B10" s="21" t="s">
        <v>17</v>
      </c>
      <c r="C10" s="21" t="s">
        <v>283</v>
      </c>
      <c r="D10" s="21">
        <v>256</v>
      </c>
      <c r="E10" s="22" t="s">
        <v>19</v>
      </c>
      <c r="F10" s="21" t="s">
        <v>20</v>
      </c>
      <c r="G10" s="23">
        <v>150</v>
      </c>
      <c r="H10" s="24">
        <v>700</v>
      </c>
      <c r="I10" s="25">
        <f t="shared" ref="I10:I28" si="0">+G10*H10</f>
        <v>105000</v>
      </c>
      <c r="J10" s="22"/>
      <c r="K10" s="176"/>
      <c r="L10" s="188"/>
      <c r="M10" s="189"/>
      <c r="N10" s="189">
        <f>+I10</f>
        <v>105000</v>
      </c>
      <c r="O10" s="190"/>
      <c r="P10" s="190"/>
      <c r="Q10" s="190"/>
    </row>
    <row r="11" spans="1:17" x14ac:dyDescent="0.25">
      <c r="A11" s="26">
        <v>2</v>
      </c>
      <c r="B11" s="26" t="s">
        <v>21</v>
      </c>
      <c r="C11" s="26" t="s">
        <v>18</v>
      </c>
      <c r="D11" s="26">
        <v>252</v>
      </c>
      <c r="E11" s="27" t="s">
        <v>22</v>
      </c>
      <c r="F11" s="26" t="s">
        <v>20</v>
      </c>
      <c r="G11" s="23">
        <v>300</v>
      </c>
      <c r="H11" s="28">
        <v>700</v>
      </c>
      <c r="I11" s="29">
        <f t="shared" si="0"/>
        <v>210000</v>
      </c>
      <c r="J11" s="27" t="s">
        <v>23</v>
      </c>
      <c r="K11" s="176"/>
      <c r="L11" s="188"/>
      <c r="M11" s="189">
        <f t="shared" ref="M11:M74" si="1">+I11</f>
        <v>210000</v>
      </c>
      <c r="N11" s="189"/>
      <c r="O11" s="190"/>
      <c r="P11" s="190"/>
      <c r="Q11" s="190"/>
    </row>
    <row r="12" spans="1:17" x14ac:dyDescent="0.25">
      <c r="A12" s="26">
        <v>3</v>
      </c>
      <c r="B12" s="30" t="s">
        <v>24</v>
      </c>
      <c r="C12" s="30" t="s">
        <v>18</v>
      </c>
      <c r="D12" s="30">
        <v>295</v>
      </c>
      <c r="E12" s="31" t="s">
        <v>25</v>
      </c>
      <c r="F12" s="30" t="s">
        <v>20</v>
      </c>
      <c r="G12" s="23">
        <v>6</v>
      </c>
      <c r="H12" s="32">
        <v>5500</v>
      </c>
      <c r="I12" s="29">
        <f t="shared" si="0"/>
        <v>33000</v>
      </c>
      <c r="J12" s="31" t="s">
        <v>26</v>
      </c>
      <c r="K12" s="177"/>
      <c r="L12" s="188"/>
      <c r="M12" s="189"/>
      <c r="N12" s="189"/>
      <c r="O12" s="190"/>
      <c r="P12" s="190"/>
      <c r="Q12" s="190">
        <f t="shared" ref="Q11:Q74" si="2">+I12</f>
        <v>33000</v>
      </c>
    </row>
    <row r="13" spans="1:17" x14ac:dyDescent="0.25">
      <c r="A13" s="26">
        <v>4</v>
      </c>
      <c r="B13" s="30" t="s">
        <v>27</v>
      </c>
      <c r="C13" s="30" t="s">
        <v>18</v>
      </c>
      <c r="D13" s="30">
        <v>295</v>
      </c>
      <c r="E13" s="31" t="s">
        <v>28</v>
      </c>
      <c r="F13" s="30" t="s">
        <v>20</v>
      </c>
      <c r="G13" s="23">
        <v>15</v>
      </c>
      <c r="H13" s="32">
        <v>5500</v>
      </c>
      <c r="I13" s="29">
        <f t="shared" si="0"/>
        <v>82500</v>
      </c>
      <c r="J13" s="31" t="s">
        <v>29</v>
      </c>
      <c r="K13" s="177"/>
      <c r="L13" s="188"/>
      <c r="M13" s="189"/>
      <c r="N13" s="189"/>
      <c r="O13" s="190"/>
      <c r="P13" s="190"/>
      <c r="Q13" s="190">
        <f t="shared" si="2"/>
        <v>82500</v>
      </c>
    </row>
    <row r="14" spans="1:17" x14ac:dyDescent="0.25">
      <c r="A14" s="26">
        <v>5</v>
      </c>
      <c r="B14" s="26" t="s">
        <v>30</v>
      </c>
      <c r="C14" s="26" t="s">
        <v>18</v>
      </c>
      <c r="D14" s="26">
        <v>252</v>
      </c>
      <c r="E14" s="27" t="s">
        <v>31</v>
      </c>
      <c r="F14" s="26" t="s">
        <v>20</v>
      </c>
      <c r="G14" s="23">
        <v>200</v>
      </c>
      <c r="H14" s="28">
        <v>1500</v>
      </c>
      <c r="I14" s="29">
        <f t="shared" si="0"/>
        <v>300000</v>
      </c>
      <c r="J14" s="33"/>
      <c r="K14" s="178"/>
      <c r="L14" s="188"/>
      <c r="M14" s="189">
        <f t="shared" si="1"/>
        <v>300000</v>
      </c>
      <c r="N14" s="189"/>
      <c r="O14" s="190"/>
      <c r="P14" s="190"/>
      <c r="Q14" s="190"/>
    </row>
    <row r="15" spans="1:17" x14ac:dyDescent="0.25">
      <c r="A15" s="26">
        <v>6</v>
      </c>
      <c r="B15" s="26" t="s">
        <v>32</v>
      </c>
      <c r="C15" s="26" t="s">
        <v>18</v>
      </c>
      <c r="D15" s="26">
        <v>295</v>
      </c>
      <c r="E15" s="27" t="s">
        <v>33</v>
      </c>
      <c r="F15" s="26" t="s">
        <v>34</v>
      </c>
      <c r="G15" s="23">
        <v>200</v>
      </c>
      <c r="H15" s="28">
        <v>900</v>
      </c>
      <c r="I15" s="29">
        <f t="shared" si="0"/>
        <v>180000</v>
      </c>
      <c r="J15" s="27" t="s">
        <v>35</v>
      </c>
      <c r="K15" s="176"/>
      <c r="L15" s="188"/>
      <c r="M15" s="189"/>
      <c r="N15" s="189"/>
      <c r="O15" s="190"/>
      <c r="P15" s="190"/>
      <c r="Q15" s="190">
        <f t="shared" si="2"/>
        <v>180000</v>
      </c>
    </row>
    <row r="16" spans="1:17" x14ac:dyDescent="0.25">
      <c r="A16" s="26">
        <v>7</v>
      </c>
      <c r="B16" s="26" t="s">
        <v>36</v>
      </c>
      <c r="C16" s="26" t="s">
        <v>18</v>
      </c>
      <c r="D16" s="26">
        <v>295</v>
      </c>
      <c r="E16" s="27" t="s">
        <v>37</v>
      </c>
      <c r="F16" s="26" t="s">
        <v>34</v>
      </c>
      <c r="G16" s="23">
        <v>40</v>
      </c>
      <c r="H16" s="28">
        <v>900</v>
      </c>
      <c r="I16" s="29">
        <f t="shared" si="0"/>
        <v>36000</v>
      </c>
      <c r="J16" s="27" t="s">
        <v>38</v>
      </c>
      <c r="K16" s="176"/>
      <c r="L16" s="188"/>
      <c r="M16" s="189"/>
      <c r="N16" s="189"/>
      <c r="O16" s="190"/>
      <c r="P16" s="190"/>
      <c r="Q16" s="190">
        <f t="shared" si="2"/>
        <v>36000</v>
      </c>
    </row>
    <row r="17" spans="1:17" x14ac:dyDescent="0.25">
      <c r="A17" s="26">
        <v>8</v>
      </c>
      <c r="B17" s="26" t="s">
        <v>39</v>
      </c>
      <c r="C17" s="26" t="s">
        <v>18</v>
      </c>
      <c r="D17" s="26">
        <v>295</v>
      </c>
      <c r="E17" s="27" t="s">
        <v>40</v>
      </c>
      <c r="F17" s="26" t="s">
        <v>34</v>
      </c>
      <c r="G17" s="23">
        <v>40</v>
      </c>
      <c r="H17" s="28">
        <v>900</v>
      </c>
      <c r="I17" s="29">
        <f t="shared" si="0"/>
        <v>36000</v>
      </c>
      <c r="J17" s="27" t="s">
        <v>41</v>
      </c>
      <c r="K17" s="176"/>
      <c r="L17" s="188"/>
      <c r="M17" s="189"/>
      <c r="N17" s="189"/>
      <c r="O17" s="190"/>
      <c r="P17" s="190"/>
      <c r="Q17" s="190">
        <f t="shared" si="2"/>
        <v>36000</v>
      </c>
    </row>
    <row r="18" spans="1:17" x14ac:dyDescent="0.25">
      <c r="A18" s="26">
        <v>9</v>
      </c>
      <c r="B18" s="30" t="s">
        <v>42</v>
      </c>
      <c r="C18" s="30" t="s">
        <v>18</v>
      </c>
      <c r="D18" s="30">
        <v>295</v>
      </c>
      <c r="E18" s="31" t="s">
        <v>43</v>
      </c>
      <c r="F18" s="30" t="s">
        <v>44</v>
      </c>
      <c r="G18" s="23">
        <v>50</v>
      </c>
      <c r="H18" s="32">
        <v>700</v>
      </c>
      <c r="I18" s="29">
        <f t="shared" si="0"/>
        <v>35000</v>
      </c>
      <c r="J18" s="31" t="s">
        <v>45</v>
      </c>
      <c r="K18" s="177"/>
      <c r="L18" s="188"/>
      <c r="M18" s="189"/>
      <c r="N18" s="189"/>
      <c r="O18" s="190"/>
      <c r="P18" s="190"/>
      <c r="Q18" s="190">
        <f t="shared" si="2"/>
        <v>35000</v>
      </c>
    </row>
    <row r="19" spans="1:17" ht="25.5" x14ac:dyDescent="0.25">
      <c r="A19" s="26">
        <v>10</v>
      </c>
      <c r="B19" s="26" t="s">
        <v>46</v>
      </c>
      <c r="C19" s="26" t="s">
        <v>18</v>
      </c>
      <c r="D19" s="26">
        <v>252</v>
      </c>
      <c r="E19" s="27" t="s">
        <v>47</v>
      </c>
      <c r="F19" s="26" t="s">
        <v>20</v>
      </c>
      <c r="G19" s="23">
        <v>50</v>
      </c>
      <c r="H19" s="28">
        <v>1800</v>
      </c>
      <c r="I19" s="29">
        <f t="shared" si="0"/>
        <v>90000</v>
      </c>
      <c r="J19" s="27" t="s">
        <v>48</v>
      </c>
      <c r="K19" s="176"/>
      <c r="L19" s="188"/>
      <c r="M19" s="189">
        <f t="shared" si="1"/>
        <v>90000</v>
      </c>
      <c r="N19" s="189"/>
      <c r="O19" s="190"/>
      <c r="P19" s="190"/>
      <c r="Q19" s="190"/>
    </row>
    <row r="20" spans="1:17" ht="25.5" x14ac:dyDescent="0.25">
      <c r="A20" s="26">
        <v>11</v>
      </c>
      <c r="B20" s="26" t="s">
        <v>49</v>
      </c>
      <c r="C20" s="26" t="s">
        <v>18</v>
      </c>
      <c r="D20" s="26">
        <v>252</v>
      </c>
      <c r="E20" s="27" t="s">
        <v>50</v>
      </c>
      <c r="F20" s="26" t="s">
        <v>34</v>
      </c>
      <c r="G20" s="23">
        <v>1440</v>
      </c>
      <c r="H20" s="28">
        <v>4500</v>
      </c>
      <c r="I20" s="29">
        <f t="shared" si="0"/>
        <v>6480000</v>
      </c>
      <c r="J20" s="33"/>
      <c r="K20" s="178"/>
      <c r="L20" s="188"/>
      <c r="M20" s="189">
        <f t="shared" si="1"/>
        <v>6480000</v>
      </c>
      <c r="N20" s="189"/>
      <c r="O20" s="190"/>
      <c r="P20" s="190"/>
      <c r="Q20" s="190"/>
    </row>
    <row r="21" spans="1:17" ht="25.5" x14ac:dyDescent="0.25">
      <c r="A21" s="26">
        <v>12</v>
      </c>
      <c r="B21" s="26" t="s">
        <v>51</v>
      </c>
      <c r="C21" s="26" t="s">
        <v>18</v>
      </c>
      <c r="D21" s="26">
        <v>252</v>
      </c>
      <c r="E21" s="27" t="s">
        <v>284</v>
      </c>
      <c r="F21" s="26" t="s">
        <v>20</v>
      </c>
      <c r="G21" s="23">
        <v>20</v>
      </c>
      <c r="H21" s="28">
        <v>400</v>
      </c>
      <c r="I21" s="29">
        <f t="shared" si="0"/>
        <v>8000</v>
      </c>
      <c r="J21" s="27"/>
      <c r="K21" s="176"/>
      <c r="L21" s="188"/>
      <c r="M21" s="189">
        <f t="shared" si="1"/>
        <v>8000</v>
      </c>
      <c r="N21" s="189"/>
      <c r="O21" s="190"/>
      <c r="P21" s="190"/>
      <c r="Q21" s="190"/>
    </row>
    <row r="22" spans="1:17" ht="25.5" x14ac:dyDescent="0.25">
      <c r="A22" s="26">
        <v>13</v>
      </c>
      <c r="B22" s="30" t="s">
        <v>52</v>
      </c>
      <c r="C22" s="30" t="s">
        <v>18</v>
      </c>
      <c r="D22" s="30">
        <v>252</v>
      </c>
      <c r="E22" s="31" t="s">
        <v>53</v>
      </c>
      <c r="F22" s="30" t="s">
        <v>20</v>
      </c>
      <c r="G22" s="23">
        <v>60</v>
      </c>
      <c r="H22" s="32">
        <v>700</v>
      </c>
      <c r="I22" s="29">
        <f t="shared" si="0"/>
        <v>42000</v>
      </c>
      <c r="J22" s="33"/>
      <c r="K22" s="178"/>
      <c r="L22" s="188"/>
      <c r="M22" s="189">
        <f t="shared" si="1"/>
        <v>42000</v>
      </c>
      <c r="N22" s="189"/>
      <c r="O22" s="190"/>
      <c r="P22" s="190"/>
      <c r="Q22" s="190"/>
    </row>
    <row r="23" spans="1:17" ht="25.5" x14ac:dyDescent="0.25">
      <c r="A23" s="26">
        <v>14</v>
      </c>
      <c r="B23" s="30" t="s">
        <v>54</v>
      </c>
      <c r="C23" s="30" t="s">
        <v>18</v>
      </c>
      <c r="D23" s="30">
        <v>252</v>
      </c>
      <c r="E23" s="31" t="s">
        <v>55</v>
      </c>
      <c r="F23" s="30" t="s">
        <v>20</v>
      </c>
      <c r="G23" s="23">
        <v>50</v>
      </c>
      <c r="H23" s="32">
        <v>500</v>
      </c>
      <c r="I23" s="29">
        <f t="shared" si="0"/>
        <v>25000</v>
      </c>
      <c r="J23" s="33"/>
      <c r="K23" s="178"/>
      <c r="L23" s="188"/>
      <c r="M23" s="189">
        <f t="shared" si="1"/>
        <v>25000</v>
      </c>
      <c r="N23" s="189"/>
      <c r="O23" s="190"/>
      <c r="P23" s="190"/>
      <c r="Q23" s="190"/>
    </row>
    <row r="24" spans="1:17" x14ac:dyDescent="0.25">
      <c r="A24" s="26">
        <v>15</v>
      </c>
      <c r="B24" s="26" t="s">
        <v>56</v>
      </c>
      <c r="C24" s="26" t="s">
        <v>285</v>
      </c>
      <c r="D24" s="26">
        <v>222</v>
      </c>
      <c r="E24" s="27" t="s">
        <v>57</v>
      </c>
      <c r="F24" s="26" t="s">
        <v>34</v>
      </c>
      <c r="G24" s="23">
        <v>200</v>
      </c>
      <c r="H24" s="28">
        <v>700</v>
      </c>
      <c r="I24" s="29">
        <f t="shared" si="0"/>
        <v>140000</v>
      </c>
      <c r="J24" s="27" t="s">
        <v>58</v>
      </c>
      <c r="K24" s="176"/>
      <c r="L24" s="188">
        <f t="shared" ref="L11:L74" si="3">+I24</f>
        <v>140000</v>
      </c>
      <c r="M24" s="189"/>
      <c r="N24" s="189"/>
      <c r="O24" s="190"/>
      <c r="P24" s="190"/>
      <c r="Q24" s="190"/>
    </row>
    <row r="25" spans="1:17" x14ac:dyDescent="0.25">
      <c r="A25" s="26">
        <v>16</v>
      </c>
      <c r="B25" s="26" t="s">
        <v>59</v>
      </c>
      <c r="C25" s="26" t="s">
        <v>18</v>
      </c>
      <c r="D25" s="26">
        <v>295</v>
      </c>
      <c r="E25" s="27" t="s">
        <v>60</v>
      </c>
      <c r="F25" s="26" t="s">
        <v>20</v>
      </c>
      <c r="G25" s="23">
        <v>50</v>
      </c>
      <c r="H25" s="28">
        <v>230</v>
      </c>
      <c r="I25" s="29">
        <f t="shared" si="0"/>
        <v>11500</v>
      </c>
      <c r="J25" s="33"/>
      <c r="K25" s="178"/>
      <c r="L25" s="188"/>
      <c r="M25" s="189"/>
      <c r="N25" s="189"/>
      <c r="O25" s="190"/>
      <c r="P25" s="190"/>
      <c r="Q25" s="190">
        <f t="shared" si="2"/>
        <v>11500</v>
      </c>
    </row>
    <row r="26" spans="1:17" x14ac:dyDescent="0.25">
      <c r="A26" s="26">
        <v>17</v>
      </c>
      <c r="B26" s="26" t="s">
        <v>61</v>
      </c>
      <c r="C26" s="26" t="s">
        <v>18</v>
      </c>
      <c r="D26" s="26">
        <v>252</v>
      </c>
      <c r="E26" s="27" t="s">
        <v>62</v>
      </c>
      <c r="F26" s="26" t="s">
        <v>20</v>
      </c>
      <c r="G26" s="23">
        <v>100</v>
      </c>
      <c r="H26" s="28">
        <v>1000</v>
      </c>
      <c r="I26" s="29">
        <f t="shared" si="0"/>
        <v>100000</v>
      </c>
      <c r="J26" s="27" t="s">
        <v>63</v>
      </c>
      <c r="K26" s="176"/>
      <c r="L26" s="188"/>
      <c r="M26" s="189">
        <f t="shared" si="1"/>
        <v>100000</v>
      </c>
      <c r="N26" s="189"/>
      <c r="O26" s="190"/>
      <c r="P26" s="190"/>
      <c r="Q26" s="190"/>
    </row>
    <row r="27" spans="1:17" ht="25.5" x14ac:dyDescent="0.25">
      <c r="A27" s="26">
        <v>18</v>
      </c>
      <c r="B27" s="30" t="s">
        <v>64</v>
      </c>
      <c r="C27" s="30" t="s">
        <v>18</v>
      </c>
      <c r="D27" s="30">
        <v>252</v>
      </c>
      <c r="E27" s="31" t="s">
        <v>65</v>
      </c>
      <c r="F27" s="30" t="s">
        <v>34</v>
      </c>
      <c r="G27" s="23">
        <v>20</v>
      </c>
      <c r="H27" s="32">
        <v>500</v>
      </c>
      <c r="I27" s="29">
        <f t="shared" si="0"/>
        <v>10000</v>
      </c>
      <c r="J27" s="31" t="s">
        <v>66</v>
      </c>
      <c r="K27" s="177"/>
      <c r="L27" s="188"/>
      <c r="M27" s="189">
        <f t="shared" si="1"/>
        <v>10000</v>
      </c>
      <c r="N27" s="189"/>
      <c r="O27" s="190"/>
      <c r="P27" s="190"/>
      <c r="Q27" s="190"/>
    </row>
    <row r="28" spans="1:17" x14ac:dyDescent="0.25">
      <c r="A28" s="26">
        <v>19</v>
      </c>
      <c r="B28" s="26" t="s">
        <v>67</v>
      </c>
      <c r="C28" s="26" t="s">
        <v>18</v>
      </c>
      <c r="D28" s="26">
        <v>252</v>
      </c>
      <c r="E28" s="27" t="s">
        <v>68</v>
      </c>
      <c r="F28" s="26" t="s">
        <v>20</v>
      </c>
      <c r="G28" s="23">
        <v>50</v>
      </c>
      <c r="H28" s="28">
        <v>500</v>
      </c>
      <c r="I28" s="29">
        <f t="shared" si="0"/>
        <v>25000</v>
      </c>
      <c r="J28" s="27" t="s">
        <v>69</v>
      </c>
      <c r="K28" s="176"/>
      <c r="L28" s="188"/>
      <c r="M28" s="189">
        <f t="shared" si="1"/>
        <v>25000</v>
      </c>
      <c r="N28" s="189"/>
      <c r="O28" s="190"/>
      <c r="P28" s="190"/>
      <c r="Q28" s="190"/>
    </row>
    <row r="29" spans="1:17" x14ac:dyDescent="0.25">
      <c r="A29" s="26">
        <v>20</v>
      </c>
      <c r="B29" s="26" t="s">
        <v>70</v>
      </c>
      <c r="C29" s="26" t="s">
        <v>286</v>
      </c>
      <c r="D29" s="26">
        <v>259</v>
      </c>
      <c r="E29" s="27" t="s">
        <v>71</v>
      </c>
      <c r="F29" s="26" t="s">
        <v>20</v>
      </c>
      <c r="G29" s="23">
        <v>100</v>
      </c>
      <c r="H29" s="28">
        <v>200</v>
      </c>
      <c r="I29" s="29">
        <v>20000</v>
      </c>
      <c r="J29" s="27" t="s">
        <v>72</v>
      </c>
      <c r="K29" s="176"/>
      <c r="L29" s="188"/>
      <c r="M29" s="189"/>
      <c r="N29" s="189"/>
      <c r="O29" s="190">
        <f t="shared" ref="O11:O74" si="4">+I29</f>
        <v>20000</v>
      </c>
      <c r="P29" s="190"/>
      <c r="Q29" s="190"/>
    </row>
    <row r="30" spans="1:17" x14ac:dyDescent="0.25">
      <c r="A30" s="26">
        <v>21</v>
      </c>
      <c r="B30" s="26" t="s">
        <v>73</v>
      </c>
      <c r="C30" s="26" t="s">
        <v>286</v>
      </c>
      <c r="D30" s="26">
        <v>259</v>
      </c>
      <c r="E30" s="27" t="s">
        <v>74</v>
      </c>
      <c r="F30" s="26" t="s">
        <v>20</v>
      </c>
      <c r="G30" s="23">
        <v>50</v>
      </c>
      <c r="H30" s="28">
        <v>1000</v>
      </c>
      <c r="I30" s="29">
        <v>50000</v>
      </c>
      <c r="J30" s="27" t="s">
        <v>75</v>
      </c>
      <c r="K30" s="176"/>
      <c r="L30" s="188"/>
      <c r="M30" s="189"/>
      <c r="N30" s="189"/>
      <c r="O30" s="190">
        <f t="shared" si="4"/>
        <v>50000</v>
      </c>
      <c r="P30" s="190"/>
      <c r="Q30" s="190"/>
    </row>
    <row r="31" spans="1:17" x14ac:dyDescent="0.25">
      <c r="A31" s="26">
        <v>22</v>
      </c>
      <c r="B31" s="30" t="s">
        <v>76</v>
      </c>
      <c r="C31" s="30" t="s">
        <v>18</v>
      </c>
      <c r="D31" s="30">
        <v>295</v>
      </c>
      <c r="E31" s="31" t="s">
        <v>77</v>
      </c>
      <c r="F31" s="30" t="s">
        <v>20</v>
      </c>
      <c r="G31" s="23">
        <v>20</v>
      </c>
      <c r="H31" s="32">
        <v>300</v>
      </c>
      <c r="I31" s="29">
        <f t="shared" ref="I31:I90" si="5">+G31*H31</f>
        <v>6000</v>
      </c>
      <c r="J31" s="33"/>
      <c r="K31" s="178"/>
      <c r="L31" s="188"/>
      <c r="M31" s="189"/>
      <c r="N31" s="189"/>
      <c r="O31" s="190"/>
      <c r="P31" s="190"/>
      <c r="Q31" s="190">
        <f t="shared" si="2"/>
        <v>6000</v>
      </c>
    </row>
    <row r="32" spans="1:17" x14ac:dyDescent="0.25">
      <c r="A32" s="26">
        <v>23</v>
      </c>
      <c r="B32" s="30" t="s">
        <v>78</v>
      </c>
      <c r="C32" s="30" t="s">
        <v>18</v>
      </c>
      <c r="D32" s="30">
        <v>295</v>
      </c>
      <c r="E32" s="31" t="s">
        <v>79</v>
      </c>
      <c r="F32" s="30" t="s">
        <v>20</v>
      </c>
      <c r="G32" s="23">
        <v>20</v>
      </c>
      <c r="H32" s="32">
        <v>300</v>
      </c>
      <c r="I32" s="29">
        <f t="shared" si="5"/>
        <v>6000</v>
      </c>
      <c r="J32" s="33"/>
      <c r="K32" s="178"/>
      <c r="L32" s="188"/>
      <c r="M32" s="189"/>
      <c r="N32" s="189"/>
      <c r="O32" s="190"/>
      <c r="P32" s="190"/>
      <c r="Q32" s="190">
        <f t="shared" si="2"/>
        <v>6000</v>
      </c>
    </row>
    <row r="33" spans="1:17" x14ac:dyDescent="0.25">
      <c r="A33" s="26">
        <v>24</v>
      </c>
      <c r="B33" s="30" t="s">
        <v>80</v>
      </c>
      <c r="C33" s="30" t="s">
        <v>18</v>
      </c>
      <c r="D33" s="30">
        <v>295</v>
      </c>
      <c r="E33" s="31" t="s">
        <v>81</v>
      </c>
      <c r="F33" s="30" t="s">
        <v>20</v>
      </c>
      <c r="G33" s="23">
        <v>20</v>
      </c>
      <c r="H33" s="32">
        <v>300</v>
      </c>
      <c r="I33" s="29">
        <f t="shared" si="5"/>
        <v>6000</v>
      </c>
      <c r="J33" s="33"/>
      <c r="K33" s="178"/>
      <c r="L33" s="188"/>
      <c r="M33" s="189"/>
      <c r="N33" s="189"/>
      <c r="O33" s="190"/>
      <c r="P33" s="190"/>
      <c r="Q33" s="190">
        <f t="shared" si="2"/>
        <v>6000</v>
      </c>
    </row>
    <row r="34" spans="1:17" ht="25.5" x14ac:dyDescent="0.25">
      <c r="A34" s="26">
        <v>25</v>
      </c>
      <c r="B34" s="26" t="s">
        <v>82</v>
      </c>
      <c r="C34" s="26" t="s">
        <v>18</v>
      </c>
      <c r="D34" s="26">
        <v>295</v>
      </c>
      <c r="E34" s="27" t="s">
        <v>83</v>
      </c>
      <c r="F34" s="26" t="s">
        <v>20</v>
      </c>
      <c r="G34" s="23">
        <v>100</v>
      </c>
      <c r="H34" s="28">
        <v>300</v>
      </c>
      <c r="I34" s="29">
        <f t="shared" si="5"/>
        <v>30000</v>
      </c>
      <c r="J34" s="27" t="s">
        <v>289</v>
      </c>
      <c r="K34" s="176"/>
      <c r="L34" s="188"/>
      <c r="M34" s="189"/>
      <c r="N34" s="189"/>
      <c r="O34" s="190"/>
      <c r="P34" s="190"/>
      <c r="Q34" s="190">
        <f t="shared" si="2"/>
        <v>30000</v>
      </c>
    </row>
    <row r="35" spans="1:17" x14ac:dyDescent="0.25">
      <c r="A35" s="26">
        <v>26</v>
      </c>
      <c r="B35" s="26" t="s">
        <v>84</v>
      </c>
      <c r="C35" s="26" t="s">
        <v>18</v>
      </c>
      <c r="D35" s="26">
        <v>295</v>
      </c>
      <c r="E35" s="27" t="s">
        <v>85</v>
      </c>
      <c r="F35" s="26" t="s">
        <v>20</v>
      </c>
      <c r="G35" s="23">
        <v>100</v>
      </c>
      <c r="H35" s="28">
        <v>300</v>
      </c>
      <c r="I35" s="29">
        <f t="shared" si="5"/>
        <v>30000</v>
      </c>
      <c r="J35" s="27" t="s">
        <v>290</v>
      </c>
      <c r="K35" s="176"/>
      <c r="L35" s="188"/>
      <c r="M35" s="189"/>
      <c r="N35" s="189"/>
      <c r="O35" s="190"/>
      <c r="P35" s="190"/>
      <c r="Q35" s="190">
        <f t="shared" si="2"/>
        <v>30000</v>
      </c>
    </row>
    <row r="36" spans="1:17" x14ac:dyDescent="0.25">
      <c r="A36" s="26">
        <v>27</v>
      </c>
      <c r="B36" s="30" t="s">
        <v>86</v>
      </c>
      <c r="C36" s="30" t="s">
        <v>18</v>
      </c>
      <c r="D36" s="30">
        <v>295</v>
      </c>
      <c r="E36" s="31" t="s">
        <v>87</v>
      </c>
      <c r="F36" s="30" t="s">
        <v>34</v>
      </c>
      <c r="G36" s="23">
        <v>10</v>
      </c>
      <c r="H36" s="32">
        <v>1200</v>
      </c>
      <c r="I36" s="29">
        <f t="shared" si="5"/>
        <v>12000</v>
      </c>
      <c r="J36" s="33"/>
      <c r="K36" s="178"/>
      <c r="L36" s="188"/>
      <c r="M36" s="189"/>
      <c r="N36" s="189"/>
      <c r="O36" s="190"/>
      <c r="P36" s="190"/>
      <c r="Q36" s="190">
        <f t="shared" si="2"/>
        <v>12000</v>
      </c>
    </row>
    <row r="37" spans="1:17" x14ac:dyDescent="0.25">
      <c r="A37" s="26">
        <v>28</v>
      </c>
      <c r="B37" s="26" t="s">
        <v>88</v>
      </c>
      <c r="C37" s="26" t="s">
        <v>306</v>
      </c>
      <c r="D37" s="26">
        <v>295</v>
      </c>
      <c r="E37" s="27" t="s">
        <v>89</v>
      </c>
      <c r="F37" s="26" t="s">
        <v>20</v>
      </c>
      <c r="G37" s="23">
        <v>20</v>
      </c>
      <c r="H37" s="28">
        <v>200</v>
      </c>
      <c r="I37" s="29">
        <f t="shared" si="5"/>
        <v>4000</v>
      </c>
      <c r="J37" s="27" t="s">
        <v>307</v>
      </c>
      <c r="K37" s="176"/>
      <c r="L37" s="188"/>
      <c r="M37" s="189"/>
      <c r="N37" s="189"/>
      <c r="O37" s="190"/>
      <c r="P37" s="190"/>
      <c r="Q37" s="190">
        <f t="shared" si="2"/>
        <v>4000</v>
      </c>
    </row>
    <row r="38" spans="1:17" x14ac:dyDescent="0.25">
      <c r="A38" s="26">
        <v>29</v>
      </c>
      <c r="B38" s="30" t="s">
        <v>90</v>
      </c>
      <c r="C38" s="30" t="s">
        <v>18</v>
      </c>
      <c r="D38" s="30">
        <v>295</v>
      </c>
      <c r="E38" s="31" t="s">
        <v>91</v>
      </c>
      <c r="F38" s="30" t="s">
        <v>20</v>
      </c>
      <c r="G38" s="23">
        <v>6</v>
      </c>
      <c r="H38" s="32">
        <v>4000</v>
      </c>
      <c r="I38" s="29">
        <f t="shared" si="5"/>
        <v>24000</v>
      </c>
      <c r="J38" s="31" t="s">
        <v>92</v>
      </c>
      <c r="K38" s="177"/>
      <c r="L38" s="188"/>
      <c r="M38" s="189"/>
      <c r="N38" s="189"/>
      <c r="O38" s="190"/>
      <c r="P38" s="190"/>
      <c r="Q38" s="190">
        <f t="shared" si="2"/>
        <v>24000</v>
      </c>
    </row>
    <row r="39" spans="1:17" x14ac:dyDescent="0.25">
      <c r="A39" s="26">
        <v>30</v>
      </c>
      <c r="B39" s="30" t="s">
        <v>93</v>
      </c>
      <c r="C39" s="30" t="s">
        <v>18</v>
      </c>
      <c r="D39" s="30">
        <v>295</v>
      </c>
      <c r="E39" s="31" t="s">
        <v>94</v>
      </c>
      <c r="F39" s="30" t="s">
        <v>20</v>
      </c>
      <c r="G39" s="23">
        <v>10</v>
      </c>
      <c r="H39" s="32">
        <v>500</v>
      </c>
      <c r="I39" s="29">
        <f t="shared" si="5"/>
        <v>5000</v>
      </c>
      <c r="J39" s="31" t="s">
        <v>95</v>
      </c>
      <c r="K39" s="177"/>
      <c r="L39" s="188"/>
      <c r="M39" s="189"/>
      <c r="N39" s="189"/>
      <c r="O39" s="190"/>
      <c r="P39" s="190"/>
      <c r="Q39" s="190">
        <f t="shared" si="2"/>
        <v>5000</v>
      </c>
    </row>
    <row r="40" spans="1:17" x14ac:dyDescent="0.25">
      <c r="A40" s="26">
        <v>31</v>
      </c>
      <c r="B40" s="26" t="s">
        <v>96</v>
      </c>
      <c r="C40" s="26" t="s">
        <v>18</v>
      </c>
      <c r="D40" s="26">
        <v>295</v>
      </c>
      <c r="E40" s="27" t="s">
        <v>97</v>
      </c>
      <c r="F40" s="26" t="s">
        <v>20</v>
      </c>
      <c r="G40" s="23">
        <v>30</v>
      </c>
      <c r="H40" s="28">
        <v>400</v>
      </c>
      <c r="I40" s="29">
        <f t="shared" si="5"/>
        <v>12000</v>
      </c>
      <c r="J40" s="34" t="s">
        <v>98</v>
      </c>
      <c r="K40" s="179"/>
      <c r="L40" s="188"/>
      <c r="M40" s="189"/>
      <c r="N40" s="189"/>
      <c r="O40" s="190"/>
      <c r="P40" s="190"/>
      <c r="Q40" s="190">
        <f t="shared" si="2"/>
        <v>12000</v>
      </c>
    </row>
    <row r="41" spans="1:17" x14ac:dyDescent="0.25">
      <c r="A41" s="26">
        <v>32</v>
      </c>
      <c r="B41" s="26" t="s">
        <v>99</v>
      </c>
      <c r="C41" s="26" t="s">
        <v>18</v>
      </c>
      <c r="D41" s="26">
        <v>295</v>
      </c>
      <c r="E41" s="27" t="s">
        <v>320</v>
      </c>
      <c r="F41" s="26" t="s">
        <v>20</v>
      </c>
      <c r="G41" s="23">
        <v>10</v>
      </c>
      <c r="H41" s="28">
        <v>1500</v>
      </c>
      <c r="I41" s="29">
        <f t="shared" si="5"/>
        <v>15000</v>
      </c>
      <c r="J41" s="27" t="s">
        <v>287</v>
      </c>
      <c r="K41" s="176"/>
      <c r="L41" s="188"/>
      <c r="M41" s="189"/>
      <c r="N41" s="189"/>
      <c r="O41" s="190"/>
      <c r="P41" s="190"/>
      <c r="Q41" s="190">
        <f t="shared" si="2"/>
        <v>15000</v>
      </c>
    </row>
    <row r="42" spans="1:17" x14ac:dyDescent="0.25">
      <c r="A42" s="26">
        <v>33</v>
      </c>
      <c r="B42" s="26" t="s">
        <v>100</v>
      </c>
      <c r="C42" s="26" t="s">
        <v>18</v>
      </c>
      <c r="D42" s="26">
        <v>295</v>
      </c>
      <c r="E42" s="27" t="s">
        <v>101</v>
      </c>
      <c r="F42" s="26" t="s">
        <v>34</v>
      </c>
      <c r="G42" s="23">
        <v>700</v>
      </c>
      <c r="H42" s="28">
        <v>200</v>
      </c>
      <c r="I42" s="29">
        <f t="shared" si="5"/>
        <v>140000</v>
      </c>
      <c r="J42" s="27" t="s">
        <v>102</v>
      </c>
      <c r="K42" s="176"/>
      <c r="L42" s="188"/>
      <c r="M42" s="189"/>
      <c r="N42" s="189"/>
      <c r="O42" s="190"/>
      <c r="P42" s="190"/>
      <c r="Q42" s="190">
        <f t="shared" si="2"/>
        <v>140000</v>
      </c>
    </row>
    <row r="43" spans="1:17" x14ac:dyDescent="0.25">
      <c r="A43" s="26">
        <v>34</v>
      </c>
      <c r="B43" s="26" t="s">
        <v>103</v>
      </c>
      <c r="C43" s="26" t="s">
        <v>18</v>
      </c>
      <c r="D43" s="26">
        <v>295</v>
      </c>
      <c r="E43" s="27" t="s">
        <v>104</v>
      </c>
      <c r="F43" s="26" t="s">
        <v>34</v>
      </c>
      <c r="G43" s="23">
        <v>100</v>
      </c>
      <c r="H43" s="28">
        <v>600</v>
      </c>
      <c r="I43" s="29">
        <f t="shared" si="5"/>
        <v>60000</v>
      </c>
      <c r="J43" s="27" t="s">
        <v>105</v>
      </c>
      <c r="K43" s="176"/>
      <c r="L43" s="188"/>
      <c r="M43" s="189"/>
      <c r="N43" s="189"/>
      <c r="O43" s="190"/>
      <c r="P43" s="190"/>
      <c r="Q43" s="190">
        <f t="shared" si="2"/>
        <v>60000</v>
      </c>
    </row>
    <row r="44" spans="1:17" x14ac:dyDescent="0.25">
      <c r="A44" s="26">
        <v>35</v>
      </c>
      <c r="B44" s="26" t="s">
        <v>103</v>
      </c>
      <c r="C44" s="26" t="s">
        <v>18</v>
      </c>
      <c r="D44" s="26">
        <v>295</v>
      </c>
      <c r="E44" s="27" t="s">
        <v>104</v>
      </c>
      <c r="F44" s="26" t="s">
        <v>34</v>
      </c>
      <c r="G44" s="23">
        <v>100</v>
      </c>
      <c r="H44" s="28">
        <v>600</v>
      </c>
      <c r="I44" s="29">
        <f t="shared" si="5"/>
        <v>60000</v>
      </c>
      <c r="J44" s="27" t="s">
        <v>106</v>
      </c>
      <c r="K44" s="176"/>
      <c r="L44" s="188"/>
      <c r="M44" s="189"/>
      <c r="N44" s="189"/>
      <c r="O44" s="190"/>
      <c r="P44" s="190"/>
      <c r="Q44" s="190">
        <f t="shared" si="2"/>
        <v>60000</v>
      </c>
    </row>
    <row r="45" spans="1:17" x14ac:dyDescent="0.25">
      <c r="A45" s="26">
        <v>36</v>
      </c>
      <c r="B45" s="26" t="s">
        <v>103</v>
      </c>
      <c r="C45" s="26" t="s">
        <v>18</v>
      </c>
      <c r="D45" s="26">
        <v>295</v>
      </c>
      <c r="E45" s="27" t="s">
        <v>104</v>
      </c>
      <c r="F45" s="26" t="s">
        <v>34</v>
      </c>
      <c r="G45" s="23">
        <v>100</v>
      </c>
      <c r="H45" s="28">
        <v>600</v>
      </c>
      <c r="I45" s="29">
        <f t="shared" si="5"/>
        <v>60000</v>
      </c>
      <c r="J45" s="27" t="s">
        <v>107</v>
      </c>
      <c r="K45" s="176"/>
      <c r="L45" s="188"/>
      <c r="M45" s="189"/>
      <c r="N45" s="189"/>
      <c r="O45" s="190"/>
      <c r="P45" s="190"/>
      <c r="Q45" s="190">
        <f t="shared" si="2"/>
        <v>60000</v>
      </c>
    </row>
    <row r="46" spans="1:17" x14ac:dyDescent="0.25">
      <c r="A46" s="26">
        <v>37</v>
      </c>
      <c r="B46" s="26" t="s">
        <v>103</v>
      </c>
      <c r="C46" s="26" t="s">
        <v>18</v>
      </c>
      <c r="D46" s="26">
        <v>295</v>
      </c>
      <c r="E46" s="27" t="s">
        <v>104</v>
      </c>
      <c r="F46" s="26" t="s">
        <v>34</v>
      </c>
      <c r="G46" s="23">
        <v>100</v>
      </c>
      <c r="H46" s="28">
        <v>600</v>
      </c>
      <c r="I46" s="29">
        <f t="shared" si="5"/>
        <v>60000</v>
      </c>
      <c r="J46" s="27" t="s">
        <v>108</v>
      </c>
      <c r="K46" s="176"/>
      <c r="L46" s="188"/>
      <c r="M46" s="189"/>
      <c r="N46" s="189"/>
      <c r="O46" s="190"/>
      <c r="P46" s="190"/>
      <c r="Q46" s="190">
        <f t="shared" si="2"/>
        <v>60000</v>
      </c>
    </row>
    <row r="47" spans="1:17" x14ac:dyDescent="0.25">
      <c r="A47" s="26">
        <v>38</v>
      </c>
      <c r="B47" s="26" t="s">
        <v>103</v>
      </c>
      <c r="C47" s="26" t="s">
        <v>18</v>
      </c>
      <c r="D47" s="26">
        <v>295</v>
      </c>
      <c r="E47" s="27" t="s">
        <v>104</v>
      </c>
      <c r="F47" s="26" t="s">
        <v>34</v>
      </c>
      <c r="G47" s="23">
        <v>100</v>
      </c>
      <c r="H47" s="28">
        <v>600</v>
      </c>
      <c r="I47" s="29">
        <f t="shared" si="5"/>
        <v>60000</v>
      </c>
      <c r="J47" s="27" t="s">
        <v>109</v>
      </c>
      <c r="K47" s="176"/>
      <c r="L47" s="188"/>
      <c r="M47" s="189"/>
      <c r="N47" s="189"/>
      <c r="O47" s="190"/>
      <c r="P47" s="190"/>
      <c r="Q47" s="190">
        <f t="shared" si="2"/>
        <v>60000</v>
      </c>
    </row>
    <row r="48" spans="1:17" x14ac:dyDescent="0.25">
      <c r="A48" s="26">
        <v>39</v>
      </c>
      <c r="B48" s="26" t="s">
        <v>110</v>
      </c>
      <c r="C48" s="26" t="s">
        <v>18</v>
      </c>
      <c r="D48" s="26">
        <v>295</v>
      </c>
      <c r="E48" s="27" t="s">
        <v>111</v>
      </c>
      <c r="F48" s="26" t="s">
        <v>20</v>
      </c>
      <c r="G48" s="23">
        <v>100</v>
      </c>
      <c r="H48" s="28">
        <v>400</v>
      </c>
      <c r="I48" s="29">
        <f t="shared" si="5"/>
        <v>40000</v>
      </c>
      <c r="J48" s="27" t="s">
        <v>291</v>
      </c>
      <c r="K48" s="176"/>
      <c r="L48" s="188"/>
      <c r="M48" s="189"/>
      <c r="N48" s="189"/>
      <c r="O48" s="190"/>
      <c r="P48" s="190"/>
      <c r="Q48" s="190">
        <f t="shared" si="2"/>
        <v>40000</v>
      </c>
    </row>
    <row r="49" spans="1:17" x14ac:dyDescent="0.25">
      <c r="A49" s="26">
        <v>40</v>
      </c>
      <c r="B49" s="26" t="s">
        <v>112</v>
      </c>
      <c r="C49" s="26" t="s">
        <v>18</v>
      </c>
      <c r="D49" s="26">
        <v>295</v>
      </c>
      <c r="E49" s="27" t="s">
        <v>310</v>
      </c>
      <c r="F49" s="26" t="s">
        <v>34</v>
      </c>
      <c r="G49" s="23">
        <v>200</v>
      </c>
      <c r="H49" s="28">
        <v>500</v>
      </c>
      <c r="I49" s="29">
        <f t="shared" si="5"/>
        <v>100000</v>
      </c>
      <c r="J49" s="27" t="s">
        <v>292</v>
      </c>
      <c r="K49" s="176"/>
      <c r="L49" s="188"/>
      <c r="M49" s="189"/>
      <c r="N49" s="189"/>
      <c r="O49" s="190"/>
      <c r="P49" s="190"/>
      <c r="Q49" s="190">
        <f t="shared" si="2"/>
        <v>100000</v>
      </c>
    </row>
    <row r="50" spans="1:17" x14ac:dyDescent="0.25">
      <c r="A50" s="26">
        <v>41</v>
      </c>
      <c r="B50" s="26" t="s">
        <v>113</v>
      </c>
      <c r="C50" s="26" t="s">
        <v>18</v>
      </c>
      <c r="D50" s="26">
        <v>295</v>
      </c>
      <c r="E50" s="27" t="s">
        <v>311</v>
      </c>
      <c r="F50" s="26" t="s">
        <v>34</v>
      </c>
      <c r="G50" s="23">
        <v>200</v>
      </c>
      <c r="H50" s="28">
        <v>500</v>
      </c>
      <c r="I50" s="29">
        <f t="shared" si="5"/>
        <v>100000</v>
      </c>
      <c r="J50" s="27" t="s">
        <v>293</v>
      </c>
      <c r="K50" s="176"/>
      <c r="L50" s="188"/>
      <c r="M50" s="189"/>
      <c r="N50" s="189"/>
      <c r="O50" s="190"/>
      <c r="P50" s="190"/>
      <c r="Q50" s="190">
        <f t="shared" si="2"/>
        <v>100000</v>
      </c>
    </row>
    <row r="51" spans="1:17" x14ac:dyDescent="0.25">
      <c r="A51" s="26">
        <v>42</v>
      </c>
      <c r="B51" s="26" t="s">
        <v>114</v>
      </c>
      <c r="C51" s="26" t="s">
        <v>18</v>
      </c>
      <c r="D51" s="26">
        <v>295</v>
      </c>
      <c r="E51" s="27" t="s">
        <v>115</v>
      </c>
      <c r="F51" s="26" t="s">
        <v>34</v>
      </c>
      <c r="G51" s="23">
        <v>100</v>
      </c>
      <c r="H51" s="28">
        <v>600</v>
      </c>
      <c r="I51" s="29">
        <f t="shared" si="5"/>
        <v>60000</v>
      </c>
      <c r="J51" s="27" t="s">
        <v>116</v>
      </c>
      <c r="K51" s="176"/>
      <c r="L51" s="188"/>
      <c r="M51" s="189"/>
      <c r="N51" s="189"/>
      <c r="O51" s="190"/>
      <c r="P51" s="190"/>
      <c r="Q51" s="190">
        <f t="shared" si="2"/>
        <v>60000</v>
      </c>
    </row>
    <row r="52" spans="1:17" x14ac:dyDescent="0.25">
      <c r="A52" s="26">
        <v>43</v>
      </c>
      <c r="B52" s="26" t="s">
        <v>117</v>
      </c>
      <c r="C52" s="26" t="s">
        <v>18</v>
      </c>
      <c r="D52" s="26">
        <v>295</v>
      </c>
      <c r="E52" s="27" t="s">
        <v>312</v>
      </c>
      <c r="F52" s="26" t="s">
        <v>34</v>
      </c>
      <c r="G52" s="23">
        <v>200</v>
      </c>
      <c r="H52" s="28">
        <v>500</v>
      </c>
      <c r="I52" s="29">
        <f t="shared" si="5"/>
        <v>100000</v>
      </c>
      <c r="J52" s="27" t="s">
        <v>294</v>
      </c>
      <c r="K52" s="176"/>
      <c r="L52" s="188"/>
      <c r="M52" s="189"/>
      <c r="N52" s="189"/>
      <c r="O52" s="190"/>
      <c r="P52" s="190"/>
      <c r="Q52" s="190">
        <f t="shared" si="2"/>
        <v>100000</v>
      </c>
    </row>
    <row r="53" spans="1:17" x14ac:dyDescent="0.25">
      <c r="A53" s="26">
        <v>44</v>
      </c>
      <c r="B53" s="26" t="s">
        <v>118</v>
      </c>
      <c r="C53" s="26" t="s">
        <v>18</v>
      </c>
      <c r="D53" s="26">
        <v>295</v>
      </c>
      <c r="E53" s="27" t="s">
        <v>313</v>
      </c>
      <c r="F53" s="26" t="s">
        <v>34</v>
      </c>
      <c r="G53" s="23">
        <v>200</v>
      </c>
      <c r="H53" s="28">
        <v>500</v>
      </c>
      <c r="I53" s="29">
        <f t="shared" si="5"/>
        <v>100000</v>
      </c>
      <c r="J53" s="27" t="s">
        <v>295</v>
      </c>
      <c r="K53" s="176"/>
      <c r="L53" s="188"/>
      <c r="M53" s="189"/>
      <c r="N53" s="189"/>
      <c r="O53" s="190"/>
      <c r="P53" s="190"/>
      <c r="Q53" s="190">
        <f t="shared" si="2"/>
        <v>100000</v>
      </c>
    </row>
    <row r="54" spans="1:17" x14ac:dyDescent="0.25">
      <c r="A54" s="26">
        <v>45</v>
      </c>
      <c r="B54" s="26" t="s">
        <v>119</v>
      </c>
      <c r="C54" s="26" t="s">
        <v>18</v>
      </c>
      <c r="D54" s="26">
        <v>295</v>
      </c>
      <c r="E54" s="27" t="s">
        <v>314</v>
      </c>
      <c r="F54" s="26" t="s">
        <v>34</v>
      </c>
      <c r="G54" s="23">
        <v>100</v>
      </c>
      <c r="H54" s="28">
        <v>600</v>
      </c>
      <c r="I54" s="29">
        <f t="shared" si="5"/>
        <v>60000</v>
      </c>
      <c r="J54" s="27" t="s">
        <v>296</v>
      </c>
      <c r="K54" s="176"/>
      <c r="L54" s="188"/>
      <c r="M54" s="189"/>
      <c r="N54" s="189"/>
      <c r="O54" s="190"/>
      <c r="P54" s="190"/>
      <c r="Q54" s="190">
        <f t="shared" si="2"/>
        <v>60000</v>
      </c>
    </row>
    <row r="55" spans="1:17" x14ac:dyDescent="0.25">
      <c r="A55" s="26">
        <v>46</v>
      </c>
      <c r="B55" s="26" t="s">
        <v>120</v>
      </c>
      <c r="C55" s="26" t="s">
        <v>18</v>
      </c>
      <c r="D55" s="26">
        <v>295</v>
      </c>
      <c r="E55" s="27" t="s">
        <v>315</v>
      </c>
      <c r="F55" s="26" t="s">
        <v>34</v>
      </c>
      <c r="G55" s="23">
        <v>100</v>
      </c>
      <c r="H55" s="28">
        <v>600</v>
      </c>
      <c r="I55" s="29">
        <f t="shared" si="5"/>
        <v>60000</v>
      </c>
      <c r="J55" s="27" t="s">
        <v>297</v>
      </c>
      <c r="K55" s="176"/>
      <c r="L55" s="188"/>
      <c r="M55" s="189"/>
      <c r="N55" s="189"/>
      <c r="O55" s="190"/>
      <c r="P55" s="190"/>
      <c r="Q55" s="190">
        <f t="shared" si="2"/>
        <v>60000</v>
      </c>
    </row>
    <row r="56" spans="1:17" x14ac:dyDescent="0.25">
      <c r="A56" s="26">
        <v>47</v>
      </c>
      <c r="B56" s="26" t="s">
        <v>121</v>
      </c>
      <c r="C56" s="26" t="s">
        <v>18</v>
      </c>
      <c r="D56" s="26">
        <v>295</v>
      </c>
      <c r="E56" s="27" t="s">
        <v>316</v>
      </c>
      <c r="F56" s="26" t="s">
        <v>34</v>
      </c>
      <c r="G56" s="23">
        <v>100</v>
      </c>
      <c r="H56" s="28">
        <v>600</v>
      </c>
      <c r="I56" s="29">
        <f t="shared" si="5"/>
        <v>60000</v>
      </c>
      <c r="J56" s="27" t="s">
        <v>298</v>
      </c>
      <c r="K56" s="176"/>
      <c r="L56" s="188"/>
      <c r="M56" s="189"/>
      <c r="N56" s="189"/>
      <c r="O56" s="190"/>
      <c r="P56" s="190"/>
      <c r="Q56" s="190">
        <f t="shared" si="2"/>
        <v>60000</v>
      </c>
    </row>
    <row r="57" spans="1:17" x14ac:dyDescent="0.25">
      <c r="A57" s="26">
        <v>48</v>
      </c>
      <c r="B57" s="26" t="s">
        <v>122</v>
      </c>
      <c r="C57" s="26" t="s">
        <v>18</v>
      </c>
      <c r="D57" s="26">
        <v>295</v>
      </c>
      <c r="E57" s="27" t="s">
        <v>317</v>
      </c>
      <c r="F57" s="26" t="s">
        <v>34</v>
      </c>
      <c r="G57" s="23">
        <v>100</v>
      </c>
      <c r="H57" s="28">
        <v>600</v>
      </c>
      <c r="I57" s="29">
        <f t="shared" si="5"/>
        <v>60000</v>
      </c>
      <c r="J57" s="27" t="s">
        <v>299</v>
      </c>
      <c r="K57" s="176"/>
      <c r="L57" s="188"/>
      <c r="M57" s="189"/>
      <c r="N57" s="189"/>
      <c r="O57" s="190"/>
      <c r="P57" s="190"/>
      <c r="Q57" s="190">
        <f t="shared" si="2"/>
        <v>60000</v>
      </c>
    </row>
    <row r="58" spans="1:17" x14ac:dyDescent="0.25">
      <c r="A58" s="26">
        <v>49</v>
      </c>
      <c r="B58" s="26" t="s">
        <v>123</v>
      </c>
      <c r="C58" s="26" t="s">
        <v>18</v>
      </c>
      <c r="D58" s="26">
        <v>295</v>
      </c>
      <c r="E58" s="27" t="s">
        <v>124</v>
      </c>
      <c r="F58" s="26" t="s">
        <v>34</v>
      </c>
      <c r="G58" s="23">
        <v>100</v>
      </c>
      <c r="H58" s="28">
        <v>600</v>
      </c>
      <c r="I58" s="29">
        <f t="shared" si="5"/>
        <v>60000</v>
      </c>
      <c r="J58" s="27" t="s">
        <v>125</v>
      </c>
      <c r="K58" s="176"/>
      <c r="L58" s="188"/>
      <c r="M58" s="189"/>
      <c r="N58" s="189"/>
      <c r="O58" s="190"/>
      <c r="P58" s="190"/>
      <c r="Q58" s="190">
        <f t="shared" si="2"/>
        <v>60000</v>
      </c>
    </row>
    <row r="59" spans="1:17" x14ac:dyDescent="0.25">
      <c r="A59" s="26">
        <v>50</v>
      </c>
      <c r="B59" s="30" t="s">
        <v>126</v>
      </c>
      <c r="C59" s="30" t="s">
        <v>18</v>
      </c>
      <c r="D59" s="30">
        <v>295</v>
      </c>
      <c r="E59" s="27" t="s">
        <v>127</v>
      </c>
      <c r="F59" s="26" t="s">
        <v>34</v>
      </c>
      <c r="G59" s="23">
        <v>80</v>
      </c>
      <c r="H59" s="28">
        <v>800</v>
      </c>
      <c r="I59" s="29">
        <f t="shared" si="5"/>
        <v>64000</v>
      </c>
      <c r="J59" s="27" t="s">
        <v>300</v>
      </c>
      <c r="K59" s="176"/>
      <c r="L59" s="188"/>
      <c r="M59" s="189"/>
      <c r="N59" s="189"/>
      <c r="O59" s="190"/>
      <c r="P59" s="190"/>
      <c r="Q59" s="190">
        <f t="shared" si="2"/>
        <v>64000</v>
      </c>
    </row>
    <row r="60" spans="1:17" x14ac:dyDescent="0.25">
      <c r="A60" s="26">
        <v>51</v>
      </c>
      <c r="B60" s="30" t="s">
        <v>128</v>
      </c>
      <c r="C60" s="30" t="s">
        <v>18</v>
      </c>
      <c r="D60" s="30">
        <v>295</v>
      </c>
      <c r="E60" s="27" t="s">
        <v>321</v>
      </c>
      <c r="F60" s="26" t="s">
        <v>20</v>
      </c>
      <c r="G60" s="23">
        <v>20</v>
      </c>
      <c r="H60" s="32">
        <v>500</v>
      </c>
      <c r="I60" s="29">
        <f t="shared" si="5"/>
        <v>10000</v>
      </c>
      <c r="J60" s="31" t="s">
        <v>129</v>
      </c>
      <c r="K60" s="177"/>
      <c r="L60" s="188"/>
      <c r="M60" s="189"/>
      <c r="N60" s="189"/>
      <c r="O60" s="190"/>
      <c r="P60" s="190"/>
      <c r="Q60" s="190">
        <f t="shared" si="2"/>
        <v>10000</v>
      </c>
    </row>
    <row r="61" spans="1:17" x14ac:dyDescent="0.25">
      <c r="A61" s="26">
        <v>52</v>
      </c>
      <c r="B61" s="30" t="s">
        <v>130</v>
      </c>
      <c r="C61" s="30" t="s">
        <v>18</v>
      </c>
      <c r="D61" s="30">
        <v>295</v>
      </c>
      <c r="E61" s="31" t="s">
        <v>131</v>
      </c>
      <c r="F61" s="30" t="s">
        <v>20</v>
      </c>
      <c r="G61" s="23">
        <v>20</v>
      </c>
      <c r="H61" s="32">
        <v>300</v>
      </c>
      <c r="I61" s="29">
        <f t="shared" si="5"/>
        <v>6000</v>
      </c>
      <c r="J61" s="31" t="s">
        <v>132</v>
      </c>
      <c r="K61" s="177"/>
      <c r="L61" s="188"/>
      <c r="M61" s="189"/>
      <c r="N61" s="189"/>
      <c r="O61" s="190"/>
      <c r="P61" s="190"/>
      <c r="Q61" s="190">
        <f t="shared" si="2"/>
        <v>6000</v>
      </c>
    </row>
    <row r="62" spans="1:17" x14ac:dyDescent="0.25">
      <c r="A62" s="26">
        <v>53</v>
      </c>
      <c r="B62" s="30" t="s">
        <v>133</v>
      </c>
      <c r="C62" s="30" t="s">
        <v>18</v>
      </c>
      <c r="D62" s="30">
        <v>295</v>
      </c>
      <c r="E62" s="31" t="s">
        <v>134</v>
      </c>
      <c r="F62" s="30" t="s">
        <v>34</v>
      </c>
      <c r="G62" s="23">
        <v>50</v>
      </c>
      <c r="H62" s="32">
        <v>260</v>
      </c>
      <c r="I62" s="29">
        <f t="shared" si="5"/>
        <v>13000</v>
      </c>
      <c r="J62" s="31" t="s">
        <v>135</v>
      </c>
      <c r="K62" s="177"/>
      <c r="L62" s="188"/>
      <c r="M62" s="189"/>
      <c r="N62" s="189"/>
      <c r="O62" s="190"/>
      <c r="P62" s="190"/>
      <c r="Q62" s="190">
        <f t="shared" si="2"/>
        <v>13000</v>
      </c>
    </row>
    <row r="63" spans="1:17" x14ac:dyDescent="0.25">
      <c r="A63" s="26">
        <v>54</v>
      </c>
      <c r="B63" s="30" t="s">
        <v>136</v>
      </c>
      <c r="C63" s="30" t="s">
        <v>18</v>
      </c>
      <c r="D63" s="30">
        <v>295</v>
      </c>
      <c r="E63" s="27" t="s">
        <v>137</v>
      </c>
      <c r="F63" s="26" t="s">
        <v>34</v>
      </c>
      <c r="G63" s="23">
        <v>30</v>
      </c>
      <c r="H63" s="28">
        <v>1000</v>
      </c>
      <c r="I63" s="29">
        <f t="shared" si="5"/>
        <v>30000</v>
      </c>
      <c r="J63" s="27" t="s">
        <v>301</v>
      </c>
      <c r="K63" s="176"/>
      <c r="L63" s="188"/>
      <c r="M63" s="189"/>
      <c r="N63" s="189"/>
      <c r="O63" s="190"/>
      <c r="P63" s="190"/>
      <c r="Q63" s="190">
        <f t="shared" si="2"/>
        <v>30000</v>
      </c>
    </row>
    <row r="64" spans="1:17" x14ac:dyDescent="0.25">
      <c r="A64" s="26">
        <v>55</v>
      </c>
      <c r="B64" s="30" t="s">
        <v>138</v>
      </c>
      <c r="C64" s="30" t="s">
        <v>18</v>
      </c>
      <c r="D64" s="30">
        <v>295</v>
      </c>
      <c r="E64" s="31" t="s">
        <v>139</v>
      </c>
      <c r="F64" s="30" t="s">
        <v>20</v>
      </c>
      <c r="G64" s="23">
        <v>100</v>
      </c>
      <c r="H64" s="32">
        <v>200</v>
      </c>
      <c r="I64" s="29">
        <f t="shared" si="5"/>
        <v>20000</v>
      </c>
      <c r="J64" s="31" t="s">
        <v>140</v>
      </c>
      <c r="K64" s="177"/>
      <c r="L64" s="188"/>
      <c r="M64" s="189"/>
      <c r="N64" s="189"/>
      <c r="O64" s="190"/>
      <c r="P64" s="190"/>
      <c r="Q64" s="190">
        <f t="shared" si="2"/>
        <v>20000</v>
      </c>
    </row>
    <row r="65" spans="1:17" x14ac:dyDescent="0.25">
      <c r="A65" s="26">
        <v>56</v>
      </c>
      <c r="B65" s="30" t="s">
        <v>141</v>
      </c>
      <c r="C65" s="30" t="s">
        <v>18</v>
      </c>
      <c r="D65" s="30">
        <v>295</v>
      </c>
      <c r="E65" s="31" t="s">
        <v>142</v>
      </c>
      <c r="F65" s="30" t="s">
        <v>20</v>
      </c>
      <c r="G65" s="23">
        <v>10</v>
      </c>
      <c r="H65" s="32">
        <v>4000</v>
      </c>
      <c r="I65" s="29">
        <f t="shared" si="5"/>
        <v>40000</v>
      </c>
      <c r="J65" s="33"/>
      <c r="K65" s="178"/>
      <c r="L65" s="188"/>
      <c r="M65" s="189"/>
      <c r="N65" s="189"/>
      <c r="O65" s="190"/>
      <c r="P65" s="190"/>
      <c r="Q65" s="190">
        <f t="shared" si="2"/>
        <v>40000</v>
      </c>
    </row>
    <row r="66" spans="1:17" x14ac:dyDescent="0.25">
      <c r="A66" s="26">
        <v>57</v>
      </c>
      <c r="B66" s="30" t="s">
        <v>143</v>
      </c>
      <c r="C66" s="30" t="s">
        <v>18</v>
      </c>
      <c r="D66" s="30">
        <v>295</v>
      </c>
      <c r="E66" s="31" t="s">
        <v>144</v>
      </c>
      <c r="F66" s="30" t="s">
        <v>20</v>
      </c>
      <c r="G66" s="23">
        <v>50</v>
      </c>
      <c r="H66" s="32">
        <v>1500</v>
      </c>
      <c r="I66" s="29">
        <f t="shared" si="5"/>
        <v>75000</v>
      </c>
      <c r="J66" s="33"/>
      <c r="K66" s="178"/>
      <c r="L66" s="188"/>
      <c r="M66" s="189"/>
      <c r="N66" s="189"/>
      <c r="O66" s="190"/>
      <c r="P66" s="190"/>
      <c r="Q66" s="190">
        <f t="shared" si="2"/>
        <v>75000</v>
      </c>
    </row>
    <row r="67" spans="1:17" x14ac:dyDescent="0.25">
      <c r="A67" s="26">
        <v>58</v>
      </c>
      <c r="B67" s="30" t="s">
        <v>145</v>
      </c>
      <c r="C67" s="30" t="s">
        <v>18</v>
      </c>
      <c r="D67" s="30">
        <v>295</v>
      </c>
      <c r="E67" s="31" t="s">
        <v>146</v>
      </c>
      <c r="F67" s="30" t="s">
        <v>20</v>
      </c>
      <c r="G67" s="23">
        <v>30</v>
      </c>
      <c r="H67" s="32">
        <v>150</v>
      </c>
      <c r="I67" s="29">
        <f t="shared" si="5"/>
        <v>4500</v>
      </c>
      <c r="J67" s="33"/>
      <c r="K67" s="178"/>
      <c r="L67" s="188"/>
      <c r="M67" s="189"/>
      <c r="N67" s="189"/>
      <c r="O67" s="190"/>
      <c r="P67" s="190"/>
      <c r="Q67" s="190">
        <f t="shared" si="2"/>
        <v>4500</v>
      </c>
    </row>
    <row r="68" spans="1:17" x14ac:dyDescent="0.25">
      <c r="A68" s="26">
        <v>59</v>
      </c>
      <c r="B68" s="30" t="s">
        <v>147</v>
      </c>
      <c r="C68" s="30" t="s">
        <v>18</v>
      </c>
      <c r="D68" s="30">
        <v>295</v>
      </c>
      <c r="E68" s="31" t="s">
        <v>148</v>
      </c>
      <c r="F68" s="30" t="s">
        <v>20</v>
      </c>
      <c r="G68" s="23">
        <v>200</v>
      </c>
      <c r="H68" s="32">
        <v>250</v>
      </c>
      <c r="I68" s="29">
        <f t="shared" si="5"/>
        <v>50000</v>
      </c>
      <c r="J68" s="31" t="s">
        <v>149</v>
      </c>
      <c r="K68" s="177"/>
      <c r="L68" s="188"/>
      <c r="M68" s="189"/>
      <c r="N68" s="189"/>
      <c r="O68" s="190"/>
      <c r="P68" s="190"/>
      <c r="Q68" s="190">
        <f t="shared" si="2"/>
        <v>50000</v>
      </c>
    </row>
    <row r="69" spans="1:17" x14ac:dyDescent="0.25">
      <c r="A69" s="26">
        <v>60</v>
      </c>
      <c r="B69" s="30" t="s">
        <v>150</v>
      </c>
      <c r="C69" s="30" t="s">
        <v>18</v>
      </c>
      <c r="D69" s="30">
        <v>295</v>
      </c>
      <c r="E69" s="31" t="s">
        <v>151</v>
      </c>
      <c r="F69" s="30" t="s">
        <v>152</v>
      </c>
      <c r="G69" s="23">
        <v>30</v>
      </c>
      <c r="H69" s="32">
        <v>300</v>
      </c>
      <c r="I69" s="29">
        <f t="shared" si="5"/>
        <v>9000</v>
      </c>
      <c r="J69" s="33"/>
      <c r="K69" s="178"/>
      <c r="L69" s="188"/>
      <c r="M69" s="189"/>
      <c r="N69" s="189"/>
      <c r="O69" s="190"/>
      <c r="P69" s="190"/>
      <c r="Q69" s="190">
        <f t="shared" si="2"/>
        <v>9000</v>
      </c>
    </row>
    <row r="70" spans="1:17" x14ac:dyDescent="0.25">
      <c r="A70" s="26">
        <v>61</v>
      </c>
      <c r="B70" s="30" t="s">
        <v>153</v>
      </c>
      <c r="C70" s="30" t="s">
        <v>18</v>
      </c>
      <c r="D70" s="30">
        <v>295</v>
      </c>
      <c r="E70" s="31" t="s">
        <v>154</v>
      </c>
      <c r="F70" s="30" t="s">
        <v>20</v>
      </c>
      <c r="G70" s="23">
        <v>5</v>
      </c>
      <c r="H70" s="32">
        <v>2800</v>
      </c>
      <c r="I70" s="29">
        <f t="shared" si="5"/>
        <v>14000</v>
      </c>
      <c r="J70" s="31" t="s">
        <v>155</v>
      </c>
      <c r="K70" s="177"/>
      <c r="L70" s="188"/>
      <c r="M70" s="189"/>
      <c r="N70" s="189"/>
      <c r="O70" s="190"/>
      <c r="P70" s="190"/>
      <c r="Q70" s="190">
        <f t="shared" si="2"/>
        <v>14000</v>
      </c>
    </row>
    <row r="71" spans="1:17" ht="28.5" customHeight="1" x14ac:dyDescent="0.25">
      <c r="A71" s="26">
        <v>62</v>
      </c>
      <c r="B71" s="30" t="s">
        <v>156</v>
      </c>
      <c r="C71" s="30" t="s">
        <v>18</v>
      </c>
      <c r="D71" s="30">
        <v>252</v>
      </c>
      <c r="E71" s="31" t="s">
        <v>157</v>
      </c>
      <c r="F71" s="30" t="s">
        <v>20</v>
      </c>
      <c r="G71" s="23">
        <v>20</v>
      </c>
      <c r="H71" s="32">
        <v>3500</v>
      </c>
      <c r="I71" s="29">
        <f t="shared" si="5"/>
        <v>70000</v>
      </c>
      <c r="J71" s="31" t="s">
        <v>158</v>
      </c>
      <c r="K71" s="177"/>
      <c r="L71" s="188"/>
      <c r="M71" s="189">
        <f t="shared" si="1"/>
        <v>70000</v>
      </c>
      <c r="N71" s="189"/>
      <c r="O71" s="190"/>
      <c r="P71" s="190"/>
      <c r="Q71" s="190"/>
    </row>
    <row r="72" spans="1:17" ht="23.25" customHeight="1" x14ac:dyDescent="0.25">
      <c r="A72" s="26">
        <v>63</v>
      </c>
      <c r="B72" s="30" t="s">
        <v>159</v>
      </c>
      <c r="C72" s="30" t="s">
        <v>18</v>
      </c>
      <c r="D72" s="30">
        <v>252</v>
      </c>
      <c r="E72" s="31" t="s">
        <v>160</v>
      </c>
      <c r="F72" s="30" t="s">
        <v>20</v>
      </c>
      <c r="G72" s="23">
        <v>10</v>
      </c>
      <c r="H72" s="32">
        <v>3600</v>
      </c>
      <c r="I72" s="29">
        <f t="shared" si="5"/>
        <v>36000</v>
      </c>
      <c r="J72" s="31" t="s">
        <v>161</v>
      </c>
      <c r="K72" s="177"/>
      <c r="L72" s="188"/>
      <c r="M72" s="189">
        <f t="shared" si="1"/>
        <v>36000</v>
      </c>
      <c r="N72" s="189"/>
      <c r="O72" s="190"/>
      <c r="P72" s="190"/>
      <c r="Q72" s="190"/>
    </row>
    <row r="73" spans="1:17" ht="25.5" x14ac:dyDescent="0.25">
      <c r="A73" s="26">
        <v>64</v>
      </c>
      <c r="B73" s="30" t="s">
        <v>162</v>
      </c>
      <c r="C73" s="30" t="s">
        <v>18</v>
      </c>
      <c r="D73" s="30">
        <v>295</v>
      </c>
      <c r="E73" s="31" t="s">
        <v>163</v>
      </c>
      <c r="F73" s="30" t="s">
        <v>34</v>
      </c>
      <c r="G73" s="23">
        <v>15</v>
      </c>
      <c r="H73" s="32">
        <v>1200</v>
      </c>
      <c r="I73" s="29">
        <f t="shared" si="5"/>
        <v>18000</v>
      </c>
      <c r="J73" s="31" t="s">
        <v>164</v>
      </c>
      <c r="K73" s="177"/>
      <c r="L73" s="188"/>
      <c r="M73" s="189"/>
      <c r="N73" s="189"/>
      <c r="O73" s="190"/>
      <c r="P73" s="190"/>
      <c r="Q73" s="190">
        <f t="shared" si="2"/>
        <v>18000</v>
      </c>
    </row>
    <row r="74" spans="1:17" x14ac:dyDescent="0.25">
      <c r="A74" s="26">
        <v>65</v>
      </c>
      <c r="B74" s="30" t="s">
        <v>165</v>
      </c>
      <c r="C74" s="30" t="s">
        <v>18</v>
      </c>
      <c r="D74" s="30">
        <v>265</v>
      </c>
      <c r="E74" s="31" t="s">
        <v>166</v>
      </c>
      <c r="F74" s="30" t="s">
        <v>20</v>
      </c>
      <c r="G74" s="23">
        <v>10</v>
      </c>
      <c r="H74" s="32">
        <v>200</v>
      </c>
      <c r="I74" s="29">
        <f t="shared" si="5"/>
        <v>2000</v>
      </c>
      <c r="J74" s="33"/>
      <c r="K74" s="178"/>
      <c r="L74" s="188"/>
      <c r="M74" s="189"/>
      <c r="N74" s="189"/>
      <c r="O74" s="190"/>
      <c r="P74" s="190">
        <f t="shared" ref="P11:P74" si="6">+I74</f>
        <v>2000</v>
      </c>
      <c r="Q74" s="190"/>
    </row>
    <row r="75" spans="1:17" x14ac:dyDescent="0.25">
      <c r="A75" s="26">
        <v>66</v>
      </c>
      <c r="B75" s="30" t="s">
        <v>167</v>
      </c>
      <c r="C75" s="30" t="s">
        <v>18</v>
      </c>
      <c r="D75" s="30">
        <v>295</v>
      </c>
      <c r="E75" s="31" t="s">
        <v>168</v>
      </c>
      <c r="F75" s="30" t="s">
        <v>169</v>
      </c>
      <c r="G75" s="23">
        <v>200</v>
      </c>
      <c r="H75" s="32">
        <v>400</v>
      </c>
      <c r="I75" s="29">
        <f t="shared" si="5"/>
        <v>80000</v>
      </c>
      <c r="J75" s="33"/>
      <c r="K75" s="178"/>
      <c r="L75" s="188"/>
      <c r="M75" s="189"/>
      <c r="N75" s="189"/>
      <c r="O75" s="190"/>
      <c r="P75" s="190"/>
      <c r="Q75" s="190">
        <f t="shared" ref="Q75:Q122" si="7">+I75</f>
        <v>80000</v>
      </c>
    </row>
    <row r="76" spans="1:17" x14ac:dyDescent="0.25">
      <c r="A76" s="26">
        <v>67</v>
      </c>
      <c r="B76" s="30" t="s">
        <v>170</v>
      </c>
      <c r="C76" s="30" t="s">
        <v>18</v>
      </c>
      <c r="D76" s="30">
        <v>295</v>
      </c>
      <c r="E76" s="31" t="s">
        <v>171</v>
      </c>
      <c r="F76" s="30" t="s">
        <v>20</v>
      </c>
      <c r="G76" s="23">
        <v>100</v>
      </c>
      <c r="H76" s="32">
        <v>300</v>
      </c>
      <c r="I76" s="29">
        <f t="shared" si="5"/>
        <v>30000</v>
      </c>
      <c r="J76" s="33"/>
      <c r="K76" s="178"/>
      <c r="L76" s="188"/>
      <c r="M76" s="189"/>
      <c r="N76" s="189"/>
      <c r="O76" s="190"/>
      <c r="P76" s="190"/>
      <c r="Q76" s="190">
        <f t="shared" si="7"/>
        <v>30000</v>
      </c>
    </row>
    <row r="77" spans="1:17" x14ac:dyDescent="0.25">
      <c r="A77" s="26">
        <v>68</v>
      </c>
      <c r="B77" s="30" t="s">
        <v>172</v>
      </c>
      <c r="C77" s="30" t="s">
        <v>18</v>
      </c>
      <c r="D77" s="30">
        <v>295</v>
      </c>
      <c r="E77" s="27" t="s">
        <v>318</v>
      </c>
      <c r="F77" s="26" t="s">
        <v>34</v>
      </c>
      <c r="G77" s="23">
        <v>8</v>
      </c>
      <c r="H77" s="28">
        <v>4100</v>
      </c>
      <c r="I77" s="29">
        <f t="shared" si="5"/>
        <v>32800</v>
      </c>
      <c r="J77" s="27" t="s">
        <v>302</v>
      </c>
      <c r="K77" s="176"/>
      <c r="L77" s="188"/>
      <c r="M77" s="189"/>
      <c r="N77" s="189"/>
      <c r="O77" s="190"/>
      <c r="P77" s="190"/>
      <c r="Q77" s="190">
        <f t="shared" si="7"/>
        <v>32800</v>
      </c>
    </row>
    <row r="78" spans="1:17" x14ac:dyDescent="0.25">
      <c r="A78" s="26">
        <v>69</v>
      </c>
      <c r="B78" s="30" t="s">
        <v>173</v>
      </c>
      <c r="C78" s="30" t="s">
        <v>18</v>
      </c>
      <c r="D78" s="30">
        <v>295</v>
      </c>
      <c r="E78" s="27" t="s">
        <v>319</v>
      </c>
      <c r="F78" s="26" t="s">
        <v>34</v>
      </c>
      <c r="G78" s="23">
        <v>8</v>
      </c>
      <c r="H78" s="28">
        <v>4800</v>
      </c>
      <c r="I78" s="29">
        <f t="shared" si="5"/>
        <v>38400</v>
      </c>
      <c r="J78" s="27" t="s">
        <v>303</v>
      </c>
      <c r="K78" s="176"/>
      <c r="L78" s="188"/>
      <c r="M78" s="189"/>
      <c r="N78" s="189"/>
      <c r="O78" s="190"/>
      <c r="P78" s="190"/>
      <c r="Q78" s="190">
        <f t="shared" si="7"/>
        <v>38400</v>
      </c>
    </row>
    <row r="79" spans="1:17" x14ac:dyDescent="0.25">
      <c r="A79" s="26">
        <v>70</v>
      </c>
      <c r="B79" s="30" t="s">
        <v>174</v>
      </c>
      <c r="C79" s="30" t="s">
        <v>18</v>
      </c>
      <c r="D79" s="30">
        <v>295</v>
      </c>
      <c r="E79" s="31" t="s">
        <v>175</v>
      </c>
      <c r="F79" s="30" t="s">
        <v>20</v>
      </c>
      <c r="G79" s="23">
        <v>30</v>
      </c>
      <c r="H79" s="32">
        <v>3000</v>
      </c>
      <c r="I79" s="29">
        <f t="shared" si="5"/>
        <v>90000</v>
      </c>
      <c r="J79" s="33"/>
      <c r="K79" s="178"/>
      <c r="L79" s="188"/>
      <c r="M79" s="189"/>
      <c r="N79" s="189"/>
      <c r="O79" s="190"/>
      <c r="P79" s="190"/>
      <c r="Q79" s="190">
        <f t="shared" si="7"/>
        <v>90000</v>
      </c>
    </row>
    <row r="80" spans="1:17" x14ac:dyDescent="0.25">
      <c r="A80" s="26">
        <v>71</v>
      </c>
      <c r="B80" s="30" t="s">
        <v>176</v>
      </c>
      <c r="C80" s="30" t="s">
        <v>18</v>
      </c>
      <c r="D80" s="30">
        <v>295</v>
      </c>
      <c r="E80" s="31" t="s">
        <v>177</v>
      </c>
      <c r="F80" s="30" t="s">
        <v>44</v>
      </c>
      <c r="G80" s="23">
        <v>80</v>
      </c>
      <c r="H80" s="32">
        <v>450</v>
      </c>
      <c r="I80" s="29">
        <f t="shared" si="5"/>
        <v>36000</v>
      </c>
      <c r="J80" s="27" t="s">
        <v>322</v>
      </c>
      <c r="K80" s="176"/>
      <c r="L80" s="188"/>
      <c r="M80" s="189"/>
      <c r="N80" s="189"/>
      <c r="O80" s="190"/>
      <c r="P80" s="190"/>
      <c r="Q80" s="190">
        <f t="shared" si="7"/>
        <v>36000</v>
      </c>
    </row>
    <row r="81" spans="1:17" ht="25.5" customHeight="1" x14ac:dyDescent="0.25">
      <c r="A81" s="26">
        <v>72</v>
      </c>
      <c r="B81" s="30" t="s">
        <v>178</v>
      </c>
      <c r="C81" s="30" t="s">
        <v>18</v>
      </c>
      <c r="D81" s="30">
        <v>295</v>
      </c>
      <c r="E81" s="31" t="s">
        <v>179</v>
      </c>
      <c r="F81" s="30" t="s">
        <v>152</v>
      </c>
      <c r="G81" s="23">
        <v>30</v>
      </c>
      <c r="H81" s="32">
        <v>900</v>
      </c>
      <c r="I81" s="29">
        <f t="shared" si="5"/>
        <v>27000</v>
      </c>
      <c r="J81" s="31" t="s">
        <v>180</v>
      </c>
      <c r="K81" s="177"/>
      <c r="L81" s="188"/>
      <c r="M81" s="189"/>
      <c r="N81" s="189"/>
      <c r="O81" s="190"/>
      <c r="P81" s="190"/>
      <c r="Q81" s="190">
        <f t="shared" si="7"/>
        <v>27000</v>
      </c>
    </row>
    <row r="82" spans="1:17" x14ac:dyDescent="0.25">
      <c r="A82" s="26">
        <v>73</v>
      </c>
      <c r="B82" s="30" t="s">
        <v>181</v>
      </c>
      <c r="C82" s="30" t="s">
        <v>18</v>
      </c>
      <c r="D82" s="30">
        <v>295</v>
      </c>
      <c r="E82" s="31" t="s">
        <v>182</v>
      </c>
      <c r="F82" s="30" t="s">
        <v>152</v>
      </c>
      <c r="G82" s="23">
        <v>15</v>
      </c>
      <c r="H82" s="32">
        <v>400</v>
      </c>
      <c r="I82" s="29">
        <f t="shared" si="5"/>
        <v>6000</v>
      </c>
      <c r="J82" s="27" t="s">
        <v>304</v>
      </c>
      <c r="K82" s="176"/>
      <c r="L82" s="188"/>
      <c r="M82" s="189"/>
      <c r="N82" s="189"/>
      <c r="O82" s="190"/>
      <c r="P82" s="190"/>
      <c r="Q82" s="190">
        <f t="shared" si="7"/>
        <v>6000</v>
      </c>
    </row>
    <row r="83" spans="1:17" x14ac:dyDescent="0.25">
      <c r="A83" s="26">
        <v>74</v>
      </c>
      <c r="B83" s="30" t="s">
        <v>183</v>
      </c>
      <c r="C83" s="30" t="s">
        <v>18</v>
      </c>
      <c r="D83" s="30">
        <v>295</v>
      </c>
      <c r="E83" s="31" t="s">
        <v>184</v>
      </c>
      <c r="F83" s="30" t="s">
        <v>34</v>
      </c>
      <c r="G83" s="23">
        <v>5</v>
      </c>
      <c r="H83" s="32">
        <v>13000</v>
      </c>
      <c r="I83" s="29">
        <f t="shared" si="5"/>
        <v>65000</v>
      </c>
      <c r="J83" s="33"/>
      <c r="K83" s="178"/>
      <c r="L83" s="188"/>
      <c r="M83" s="189"/>
      <c r="N83" s="189"/>
      <c r="O83" s="190"/>
      <c r="P83" s="190"/>
      <c r="Q83" s="190">
        <f t="shared" si="7"/>
        <v>65000</v>
      </c>
    </row>
    <row r="84" spans="1:17" ht="27.75" customHeight="1" x14ac:dyDescent="0.25">
      <c r="A84" s="26">
        <v>75</v>
      </c>
      <c r="B84" s="30" t="s">
        <v>185</v>
      </c>
      <c r="C84" s="30" t="s">
        <v>18</v>
      </c>
      <c r="D84" s="30">
        <v>252</v>
      </c>
      <c r="E84" s="31" t="s">
        <v>186</v>
      </c>
      <c r="F84" s="30" t="s">
        <v>20</v>
      </c>
      <c r="G84" s="23">
        <v>10</v>
      </c>
      <c r="H84" s="32">
        <v>2700</v>
      </c>
      <c r="I84" s="29">
        <f t="shared" si="5"/>
        <v>27000</v>
      </c>
      <c r="J84" s="31" t="s">
        <v>324</v>
      </c>
      <c r="K84" s="177"/>
      <c r="L84" s="188"/>
      <c r="M84" s="189">
        <f t="shared" ref="M75:M122" si="8">+I84</f>
        <v>27000</v>
      </c>
      <c r="N84" s="189"/>
      <c r="O84" s="190"/>
      <c r="P84" s="190"/>
      <c r="Q84" s="190"/>
    </row>
    <row r="85" spans="1:17" x14ac:dyDescent="0.25">
      <c r="A85" s="26">
        <v>76</v>
      </c>
      <c r="B85" s="30" t="s">
        <v>309</v>
      </c>
      <c r="C85" s="30" t="s">
        <v>18</v>
      </c>
      <c r="D85" s="30">
        <v>252</v>
      </c>
      <c r="E85" s="31" t="s">
        <v>308</v>
      </c>
      <c r="F85" s="30" t="s">
        <v>20</v>
      </c>
      <c r="G85" s="23">
        <v>40</v>
      </c>
      <c r="H85" s="32">
        <v>2700</v>
      </c>
      <c r="I85" s="29">
        <f t="shared" si="5"/>
        <v>108000</v>
      </c>
      <c r="J85" s="31" t="s">
        <v>305</v>
      </c>
      <c r="K85" s="177"/>
      <c r="L85" s="188"/>
      <c r="M85" s="189">
        <f t="shared" si="8"/>
        <v>108000</v>
      </c>
      <c r="N85" s="189"/>
      <c r="O85" s="190"/>
      <c r="P85" s="190"/>
      <c r="Q85" s="190"/>
    </row>
    <row r="86" spans="1:17" x14ac:dyDescent="0.25">
      <c r="A86" s="26">
        <v>77</v>
      </c>
      <c r="B86" s="30" t="s">
        <v>187</v>
      </c>
      <c r="C86" s="30" t="s">
        <v>18</v>
      </c>
      <c r="D86" s="30">
        <v>295</v>
      </c>
      <c r="E86" s="31" t="s">
        <v>188</v>
      </c>
      <c r="F86" s="30" t="s">
        <v>34</v>
      </c>
      <c r="G86" s="23">
        <v>30</v>
      </c>
      <c r="H86" s="32">
        <v>1700</v>
      </c>
      <c r="I86" s="29">
        <f t="shared" si="5"/>
        <v>51000</v>
      </c>
      <c r="J86" s="31" t="s">
        <v>189</v>
      </c>
      <c r="K86" s="177"/>
      <c r="L86" s="188"/>
      <c r="M86" s="189"/>
      <c r="N86" s="189"/>
      <c r="O86" s="190"/>
      <c r="P86" s="190"/>
      <c r="Q86" s="190">
        <f t="shared" si="7"/>
        <v>51000</v>
      </c>
    </row>
    <row r="87" spans="1:17" x14ac:dyDescent="0.25">
      <c r="A87" s="26">
        <v>78</v>
      </c>
      <c r="B87" s="30" t="s">
        <v>190</v>
      </c>
      <c r="C87" s="30" t="s">
        <v>18</v>
      </c>
      <c r="D87" s="30">
        <v>295</v>
      </c>
      <c r="E87" s="31" t="s">
        <v>191</v>
      </c>
      <c r="F87" s="30" t="s">
        <v>34</v>
      </c>
      <c r="G87" s="23">
        <v>30</v>
      </c>
      <c r="H87" s="32">
        <v>500</v>
      </c>
      <c r="I87" s="29">
        <f t="shared" si="5"/>
        <v>15000</v>
      </c>
      <c r="J87" s="31" t="s">
        <v>192</v>
      </c>
      <c r="K87" s="177"/>
      <c r="L87" s="188"/>
      <c r="M87" s="189"/>
      <c r="N87" s="189"/>
      <c r="O87" s="190"/>
      <c r="P87" s="190"/>
      <c r="Q87" s="190">
        <f t="shared" si="7"/>
        <v>15000</v>
      </c>
    </row>
    <row r="88" spans="1:17" x14ac:dyDescent="0.25">
      <c r="A88" s="26">
        <v>79</v>
      </c>
      <c r="B88" s="30" t="s">
        <v>193</v>
      </c>
      <c r="C88" s="30" t="s">
        <v>18</v>
      </c>
      <c r="D88" s="30">
        <v>295</v>
      </c>
      <c r="E88" s="31" t="s">
        <v>194</v>
      </c>
      <c r="F88" s="30" t="s">
        <v>34</v>
      </c>
      <c r="G88" s="23">
        <v>30</v>
      </c>
      <c r="H88" s="32">
        <v>2200</v>
      </c>
      <c r="I88" s="29">
        <f t="shared" si="5"/>
        <v>66000</v>
      </c>
      <c r="J88" s="31" t="s">
        <v>195</v>
      </c>
      <c r="K88" s="177"/>
      <c r="L88" s="188"/>
      <c r="M88" s="189"/>
      <c r="N88" s="189"/>
      <c r="O88" s="190"/>
      <c r="P88" s="190"/>
      <c r="Q88" s="190">
        <f t="shared" si="7"/>
        <v>66000</v>
      </c>
    </row>
    <row r="89" spans="1:17" x14ac:dyDescent="0.25">
      <c r="A89" s="26">
        <v>80</v>
      </c>
      <c r="B89" s="30" t="s">
        <v>196</v>
      </c>
      <c r="C89" s="30" t="s">
        <v>18</v>
      </c>
      <c r="D89" s="30">
        <v>295</v>
      </c>
      <c r="E89" s="31" t="s">
        <v>197</v>
      </c>
      <c r="F89" s="30" t="s">
        <v>34</v>
      </c>
      <c r="G89" s="23">
        <v>30</v>
      </c>
      <c r="H89" s="32">
        <v>2200</v>
      </c>
      <c r="I89" s="29">
        <f t="shared" si="5"/>
        <v>66000</v>
      </c>
      <c r="J89" s="31" t="s">
        <v>198</v>
      </c>
      <c r="K89" s="177"/>
      <c r="L89" s="188"/>
      <c r="M89" s="189"/>
      <c r="N89" s="189"/>
      <c r="O89" s="190"/>
      <c r="P89" s="190"/>
      <c r="Q89" s="190">
        <f t="shared" si="7"/>
        <v>66000</v>
      </c>
    </row>
    <row r="90" spans="1:17" x14ac:dyDescent="0.25">
      <c r="A90" s="26">
        <v>81</v>
      </c>
      <c r="B90" s="30" t="s">
        <v>199</v>
      </c>
      <c r="C90" s="30" t="s">
        <v>18</v>
      </c>
      <c r="D90" s="30">
        <v>295</v>
      </c>
      <c r="E90" s="31" t="s">
        <v>200</v>
      </c>
      <c r="F90" s="30" t="s">
        <v>34</v>
      </c>
      <c r="G90" s="23">
        <v>10</v>
      </c>
      <c r="H90" s="32">
        <v>1600</v>
      </c>
      <c r="I90" s="29">
        <f t="shared" si="5"/>
        <v>16000</v>
      </c>
      <c r="J90" s="31" t="s">
        <v>201</v>
      </c>
      <c r="K90" s="177"/>
      <c r="L90" s="188"/>
      <c r="M90" s="189"/>
      <c r="N90" s="189"/>
      <c r="O90" s="190"/>
      <c r="P90" s="190"/>
      <c r="Q90" s="190">
        <f t="shared" si="7"/>
        <v>16000</v>
      </c>
    </row>
    <row r="91" spans="1:17" x14ac:dyDescent="0.25">
      <c r="A91" s="26">
        <v>82</v>
      </c>
      <c r="B91" s="30" t="s">
        <v>202</v>
      </c>
      <c r="C91" s="30" t="s">
        <v>18</v>
      </c>
      <c r="D91" s="30">
        <v>295</v>
      </c>
      <c r="E91" s="31" t="s">
        <v>203</v>
      </c>
      <c r="F91" s="30" t="s">
        <v>34</v>
      </c>
      <c r="G91" s="23">
        <v>10</v>
      </c>
      <c r="H91" s="32">
        <v>1600</v>
      </c>
      <c r="I91" s="29">
        <f t="shared" ref="I91:I96" si="9">+G91*H91</f>
        <v>16000</v>
      </c>
      <c r="J91" s="31" t="s">
        <v>204</v>
      </c>
      <c r="K91" s="177"/>
      <c r="L91" s="188"/>
      <c r="M91" s="189"/>
      <c r="N91" s="189"/>
      <c r="O91" s="190"/>
      <c r="P91" s="190"/>
      <c r="Q91" s="190">
        <f t="shared" si="7"/>
        <v>16000</v>
      </c>
    </row>
    <row r="92" spans="1:17" x14ac:dyDescent="0.25">
      <c r="A92" s="26">
        <v>83</v>
      </c>
      <c r="B92" s="30" t="s">
        <v>205</v>
      </c>
      <c r="C92" s="30" t="s">
        <v>18</v>
      </c>
      <c r="D92" s="30">
        <v>295</v>
      </c>
      <c r="E92" s="31" t="s">
        <v>206</v>
      </c>
      <c r="F92" s="30" t="s">
        <v>34</v>
      </c>
      <c r="G92" s="23">
        <v>30</v>
      </c>
      <c r="H92" s="32">
        <v>2200</v>
      </c>
      <c r="I92" s="29">
        <f t="shared" si="9"/>
        <v>66000</v>
      </c>
      <c r="J92" s="31" t="s">
        <v>207</v>
      </c>
      <c r="K92" s="177"/>
      <c r="L92" s="188"/>
      <c r="M92" s="189"/>
      <c r="N92" s="189"/>
      <c r="O92" s="190"/>
      <c r="P92" s="190"/>
      <c r="Q92" s="190">
        <f t="shared" si="7"/>
        <v>66000</v>
      </c>
    </row>
    <row r="93" spans="1:17" x14ac:dyDescent="0.25">
      <c r="A93" s="26">
        <v>84</v>
      </c>
      <c r="B93" s="30" t="s">
        <v>208</v>
      </c>
      <c r="C93" s="30" t="s">
        <v>18</v>
      </c>
      <c r="D93" s="30">
        <v>295</v>
      </c>
      <c r="E93" s="31" t="s">
        <v>209</v>
      </c>
      <c r="F93" s="30" t="s">
        <v>34</v>
      </c>
      <c r="G93" s="23">
        <v>10</v>
      </c>
      <c r="H93" s="32">
        <v>1600</v>
      </c>
      <c r="I93" s="29">
        <f t="shared" si="9"/>
        <v>16000</v>
      </c>
      <c r="J93" s="31" t="s">
        <v>210</v>
      </c>
      <c r="K93" s="177"/>
      <c r="L93" s="188"/>
      <c r="M93" s="189"/>
      <c r="N93" s="189"/>
      <c r="O93" s="190"/>
      <c r="P93" s="190"/>
      <c r="Q93" s="190">
        <f t="shared" si="7"/>
        <v>16000</v>
      </c>
    </row>
    <row r="94" spans="1:17" x14ac:dyDescent="0.25">
      <c r="A94" s="26">
        <v>85</v>
      </c>
      <c r="B94" s="30" t="s">
        <v>211</v>
      </c>
      <c r="C94" s="30" t="s">
        <v>18</v>
      </c>
      <c r="D94" s="30">
        <v>295</v>
      </c>
      <c r="E94" s="31" t="s">
        <v>212</v>
      </c>
      <c r="F94" s="30" t="s">
        <v>34</v>
      </c>
      <c r="G94" s="23">
        <v>10</v>
      </c>
      <c r="H94" s="32">
        <v>1600</v>
      </c>
      <c r="I94" s="29">
        <f t="shared" si="9"/>
        <v>16000</v>
      </c>
      <c r="J94" s="31" t="s">
        <v>213</v>
      </c>
      <c r="K94" s="177"/>
      <c r="L94" s="188"/>
      <c r="M94" s="189"/>
      <c r="N94" s="189"/>
      <c r="O94" s="190"/>
      <c r="P94" s="190"/>
      <c r="Q94" s="190">
        <f t="shared" si="7"/>
        <v>16000</v>
      </c>
    </row>
    <row r="95" spans="1:17" x14ac:dyDescent="0.25">
      <c r="A95" s="26">
        <v>86</v>
      </c>
      <c r="B95" s="30" t="s">
        <v>214</v>
      </c>
      <c r="C95" s="30" t="s">
        <v>18</v>
      </c>
      <c r="D95" s="30">
        <v>295</v>
      </c>
      <c r="E95" s="31" t="s">
        <v>215</v>
      </c>
      <c r="F95" s="30" t="s">
        <v>34</v>
      </c>
      <c r="G95" s="23">
        <v>10</v>
      </c>
      <c r="H95" s="32">
        <v>1600</v>
      </c>
      <c r="I95" s="29">
        <f t="shared" si="9"/>
        <v>16000</v>
      </c>
      <c r="J95" s="31" t="s">
        <v>216</v>
      </c>
      <c r="K95" s="177"/>
      <c r="L95" s="188"/>
      <c r="M95" s="189"/>
      <c r="N95" s="189"/>
      <c r="O95" s="190"/>
      <c r="P95" s="190"/>
      <c r="Q95" s="190">
        <f t="shared" si="7"/>
        <v>16000</v>
      </c>
    </row>
    <row r="96" spans="1:17" ht="25.5" x14ac:dyDescent="0.25">
      <c r="A96" s="26">
        <v>87</v>
      </c>
      <c r="B96" s="30" t="s">
        <v>217</v>
      </c>
      <c r="C96" s="30" t="s">
        <v>18</v>
      </c>
      <c r="D96" s="30">
        <v>295</v>
      </c>
      <c r="E96" s="31" t="s">
        <v>218</v>
      </c>
      <c r="F96" s="30" t="s">
        <v>20</v>
      </c>
      <c r="G96" s="23">
        <v>50</v>
      </c>
      <c r="H96" s="32">
        <v>500</v>
      </c>
      <c r="I96" s="29">
        <f t="shared" si="9"/>
        <v>25000</v>
      </c>
      <c r="J96" s="31" t="s">
        <v>219</v>
      </c>
      <c r="K96" s="177"/>
      <c r="L96" s="188"/>
      <c r="M96" s="189"/>
      <c r="N96" s="189"/>
      <c r="O96" s="190"/>
      <c r="P96" s="190"/>
      <c r="Q96" s="190">
        <f t="shared" si="7"/>
        <v>25000</v>
      </c>
    </row>
    <row r="97" spans="1:17" x14ac:dyDescent="0.25">
      <c r="A97" s="26">
        <v>88</v>
      </c>
      <c r="B97" s="30" t="s">
        <v>220</v>
      </c>
      <c r="C97" s="30" t="s">
        <v>18</v>
      </c>
      <c r="D97" s="30">
        <v>252</v>
      </c>
      <c r="E97" s="31" t="s">
        <v>221</v>
      </c>
      <c r="F97" s="30" t="s">
        <v>20</v>
      </c>
      <c r="G97" s="23">
        <v>10</v>
      </c>
      <c r="H97" s="32">
        <v>500</v>
      </c>
      <c r="I97" s="29">
        <v>5000</v>
      </c>
      <c r="J97" s="31" t="s">
        <v>222</v>
      </c>
      <c r="K97" s="177"/>
      <c r="L97" s="188"/>
      <c r="M97" s="189">
        <f t="shared" si="8"/>
        <v>5000</v>
      </c>
      <c r="N97" s="189"/>
      <c r="O97" s="190"/>
      <c r="P97" s="190"/>
      <c r="Q97" s="190"/>
    </row>
    <row r="98" spans="1:17" ht="25.5" x14ac:dyDescent="0.25">
      <c r="A98" s="26">
        <v>89</v>
      </c>
      <c r="B98" s="26" t="s">
        <v>223</v>
      </c>
      <c r="C98" s="26" t="s">
        <v>18</v>
      </c>
      <c r="D98" s="26">
        <v>252</v>
      </c>
      <c r="E98" s="27" t="s">
        <v>224</v>
      </c>
      <c r="F98" s="26" t="s">
        <v>20</v>
      </c>
      <c r="G98" s="23">
        <v>50</v>
      </c>
      <c r="H98" s="28">
        <v>1500</v>
      </c>
      <c r="I98" s="29">
        <f t="shared" ref="I98:I122" si="10">+G98*H98</f>
        <v>75000</v>
      </c>
      <c r="J98" s="27" t="s">
        <v>225</v>
      </c>
      <c r="K98" s="176"/>
      <c r="L98" s="188"/>
      <c r="M98" s="189">
        <f t="shared" si="8"/>
        <v>75000</v>
      </c>
      <c r="N98" s="189"/>
      <c r="O98" s="190"/>
      <c r="P98" s="190"/>
      <c r="Q98" s="190"/>
    </row>
    <row r="99" spans="1:17" x14ac:dyDescent="0.25">
      <c r="A99" s="26">
        <v>90</v>
      </c>
      <c r="B99" s="30" t="s">
        <v>226</v>
      </c>
      <c r="C99" s="30" t="s">
        <v>18</v>
      </c>
      <c r="D99" s="30">
        <v>295</v>
      </c>
      <c r="E99" s="35" t="s">
        <v>227</v>
      </c>
      <c r="F99" s="30" t="s">
        <v>20</v>
      </c>
      <c r="G99" s="23">
        <v>30</v>
      </c>
      <c r="H99" s="32">
        <v>1400</v>
      </c>
      <c r="I99" s="29">
        <f t="shared" si="10"/>
        <v>42000</v>
      </c>
      <c r="J99" s="31" t="s">
        <v>228</v>
      </c>
      <c r="K99" s="177"/>
      <c r="L99" s="188"/>
      <c r="M99" s="189"/>
      <c r="N99" s="189"/>
      <c r="O99" s="190"/>
      <c r="P99" s="190"/>
      <c r="Q99" s="190">
        <f t="shared" si="7"/>
        <v>42000</v>
      </c>
    </row>
    <row r="100" spans="1:17" x14ac:dyDescent="0.25">
      <c r="A100" s="26">
        <v>91</v>
      </c>
      <c r="B100" s="30" t="s">
        <v>229</v>
      </c>
      <c r="C100" s="30" t="s">
        <v>18</v>
      </c>
      <c r="D100" s="30">
        <v>252</v>
      </c>
      <c r="E100" s="31" t="s">
        <v>230</v>
      </c>
      <c r="F100" s="30" t="s">
        <v>20</v>
      </c>
      <c r="G100" s="23">
        <v>30</v>
      </c>
      <c r="H100" s="32">
        <v>1500</v>
      </c>
      <c r="I100" s="29">
        <f t="shared" si="10"/>
        <v>45000</v>
      </c>
      <c r="J100" s="31" t="s">
        <v>231</v>
      </c>
      <c r="K100" s="177"/>
      <c r="L100" s="188"/>
      <c r="M100" s="189">
        <f t="shared" si="8"/>
        <v>45000</v>
      </c>
      <c r="N100" s="189"/>
      <c r="O100" s="190"/>
      <c r="P100" s="190"/>
      <c r="Q100" s="190"/>
    </row>
    <row r="101" spans="1:17" ht="25.5" x14ac:dyDescent="0.25">
      <c r="A101" s="26">
        <v>92</v>
      </c>
      <c r="B101" s="30" t="s">
        <v>232</v>
      </c>
      <c r="C101" s="30" t="s">
        <v>18</v>
      </c>
      <c r="D101" s="30">
        <v>252</v>
      </c>
      <c r="E101" s="31" t="s">
        <v>233</v>
      </c>
      <c r="F101" s="30" t="s">
        <v>34</v>
      </c>
      <c r="G101" s="23">
        <v>100</v>
      </c>
      <c r="H101" s="32">
        <v>2000</v>
      </c>
      <c r="I101" s="29">
        <f t="shared" si="10"/>
        <v>200000</v>
      </c>
      <c r="J101" s="31" t="s">
        <v>234</v>
      </c>
      <c r="K101" s="177"/>
      <c r="L101" s="188"/>
      <c r="M101" s="189">
        <f t="shared" si="8"/>
        <v>200000</v>
      </c>
      <c r="N101" s="189"/>
      <c r="O101" s="190"/>
      <c r="P101" s="190"/>
      <c r="Q101" s="190"/>
    </row>
    <row r="102" spans="1:17" x14ac:dyDescent="0.25">
      <c r="A102" s="26">
        <v>93</v>
      </c>
      <c r="B102" s="30" t="s">
        <v>235</v>
      </c>
      <c r="C102" s="30" t="s">
        <v>18</v>
      </c>
      <c r="D102" s="30">
        <v>252</v>
      </c>
      <c r="E102" s="31" t="s">
        <v>236</v>
      </c>
      <c r="F102" s="30" t="s">
        <v>20</v>
      </c>
      <c r="G102" s="23">
        <v>80</v>
      </c>
      <c r="H102" s="32">
        <v>1000</v>
      </c>
      <c r="I102" s="29">
        <f t="shared" si="10"/>
        <v>80000</v>
      </c>
      <c r="J102" s="31" t="s">
        <v>237</v>
      </c>
      <c r="K102" s="177"/>
      <c r="L102" s="188"/>
      <c r="M102" s="189">
        <f t="shared" si="8"/>
        <v>80000</v>
      </c>
      <c r="N102" s="189"/>
      <c r="O102" s="190"/>
      <c r="P102" s="190"/>
      <c r="Q102" s="190"/>
    </row>
    <row r="103" spans="1:17" x14ac:dyDescent="0.25">
      <c r="A103" s="26">
        <v>94</v>
      </c>
      <c r="B103" s="30" t="s">
        <v>235</v>
      </c>
      <c r="C103" s="30" t="s">
        <v>18</v>
      </c>
      <c r="D103" s="30">
        <v>252</v>
      </c>
      <c r="E103" s="31" t="s">
        <v>236</v>
      </c>
      <c r="F103" s="30" t="s">
        <v>20</v>
      </c>
      <c r="G103" s="23">
        <v>80</v>
      </c>
      <c r="H103" s="32">
        <v>1000</v>
      </c>
      <c r="I103" s="29">
        <f t="shared" si="10"/>
        <v>80000</v>
      </c>
      <c r="J103" s="31" t="s">
        <v>238</v>
      </c>
      <c r="K103" s="177"/>
      <c r="L103" s="188"/>
      <c r="M103" s="189">
        <f t="shared" si="8"/>
        <v>80000</v>
      </c>
      <c r="N103" s="189"/>
      <c r="O103" s="190"/>
      <c r="P103" s="190"/>
      <c r="Q103" s="190"/>
    </row>
    <row r="104" spans="1:17" x14ac:dyDescent="0.25">
      <c r="A104" s="26">
        <v>95</v>
      </c>
      <c r="B104" s="30" t="s">
        <v>235</v>
      </c>
      <c r="C104" s="30" t="s">
        <v>18</v>
      </c>
      <c r="D104" s="30">
        <v>252</v>
      </c>
      <c r="E104" s="31" t="s">
        <v>236</v>
      </c>
      <c r="F104" s="30" t="s">
        <v>20</v>
      </c>
      <c r="G104" s="23">
        <v>150</v>
      </c>
      <c r="H104" s="32">
        <v>1000</v>
      </c>
      <c r="I104" s="29">
        <f t="shared" si="10"/>
        <v>150000</v>
      </c>
      <c r="J104" s="31" t="s">
        <v>239</v>
      </c>
      <c r="K104" s="177"/>
      <c r="L104" s="188"/>
      <c r="M104" s="189">
        <f t="shared" si="8"/>
        <v>150000</v>
      </c>
      <c r="N104" s="189"/>
      <c r="O104" s="190"/>
      <c r="P104" s="190"/>
      <c r="Q104" s="190"/>
    </row>
    <row r="105" spans="1:17" x14ac:dyDescent="0.25">
      <c r="A105" s="26">
        <v>96</v>
      </c>
      <c r="B105" s="30" t="s">
        <v>235</v>
      </c>
      <c r="C105" s="30" t="s">
        <v>18</v>
      </c>
      <c r="D105" s="30">
        <v>252</v>
      </c>
      <c r="E105" s="31" t="s">
        <v>236</v>
      </c>
      <c r="F105" s="30" t="s">
        <v>20</v>
      </c>
      <c r="G105" s="23">
        <v>150</v>
      </c>
      <c r="H105" s="32">
        <v>1000</v>
      </c>
      <c r="I105" s="29">
        <f t="shared" si="10"/>
        <v>150000</v>
      </c>
      <c r="J105" s="31" t="s">
        <v>240</v>
      </c>
      <c r="K105" s="177"/>
      <c r="L105" s="188"/>
      <c r="M105" s="189">
        <f t="shared" si="8"/>
        <v>150000</v>
      </c>
      <c r="N105" s="189"/>
      <c r="O105" s="190"/>
      <c r="P105" s="190"/>
      <c r="Q105" s="190"/>
    </row>
    <row r="106" spans="1:17" x14ac:dyDescent="0.25">
      <c r="A106" s="26">
        <v>97</v>
      </c>
      <c r="B106" s="30" t="s">
        <v>235</v>
      </c>
      <c r="C106" s="30" t="s">
        <v>18</v>
      </c>
      <c r="D106" s="30">
        <v>252</v>
      </c>
      <c r="E106" s="31" t="s">
        <v>236</v>
      </c>
      <c r="F106" s="30" t="s">
        <v>20</v>
      </c>
      <c r="G106" s="23">
        <v>80</v>
      </c>
      <c r="H106" s="32">
        <v>1000</v>
      </c>
      <c r="I106" s="29">
        <f t="shared" si="10"/>
        <v>80000</v>
      </c>
      <c r="J106" s="31" t="s">
        <v>241</v>
      </c>
      <c r="K106" s="177"/>
      <c r="L106" s="188"/>
      <c r="M106" s="189">
        <f t="shared" si="8"/>
        <v>80000</v>
      </c>
      <c r="N106" s="189"/>
      <c r="O106" s="190"/>
      <c r="P106" s="190"/>
      <c r="Q106" s="190"/>
    </row>
    <row r="107" spans="1:17" x14ac:dyDescent="0.25">
      <c r="A107" s="26">
        <v>98</v>
      </c>
      <c r="B107" s="30" t="s">
        <v>242</v>
      </c>
      <c r="C107" s="30" t="s">
        <v>18</v>
      </c>
      <c r="D107" s="30">
        <v>252</v>
      </c>
      <c r="E107" s="31" t="s">
        <v>243</v>
      </c>
      <c r="F107" s="30" t="s">
        <v>20</v>
      </c>
      <c r="G107" s="23">
        <v>40</v>
      </c>
      <c r="H107" s="32">
        <v>1300</v>
      </c>
      <c r="I107" s="29">
        <f t="shared" si="10"/>
        <v>52000</v>
      </c>
      <c r="J107" s="31" t="s">
        <v>244</v>
      </c>
      <c r="K107" s="177"/>
      <c r="L107" s="188"/>
      <c r="M107" s="189">
        <f t="shared" si="8"/>
        <v>52000</v>
      </c>
      <c r="N107" s="189"/>
      <c r="O107" s="190"/>
      <c r="P107" s="190"/>
      <c r="Q107" s="190"/>
    </row>
    <row r="108" spans="1:17" x14ac:dyDescent="0.25">
      <c r="A108" s="26">
        <v>99</v>
      </c>
      <c r="B108" s="30" t="s">
        <v>242</v>
      </c>
      <c r="C108" s="30" t="s">
        <v>18</v>
      </c>
      <c r="D108" s="30">
        <v>252</v>
      </c>
      <c r="E108" s="31" t="s">
        <v>243</v>
      </c>
      <c r="F108" s="30" t="s">
        <v>20</v>
      </c>
      <c r="G108" s="23">
        <v>50</v>
      </c>
      <c r="H108" s="32">
        <v>1300</v>
      </c>
      <c r="I108" s="29">
        <f t="shared" si="10"/>
        <v>65000</v>
      </c>
      <c r="J108" s="31" t="s">
        <v>245</v>
      </c>
      <c r="K108" s="177"/>
      <c r="L108" s="188"/>
      <c r="M108" s="189">
        <f t="shared" si="8"/>
        <v>65000</v>
      </c>
      <c r="N108" s="189"/>
      <c r="O108" s="190"/>
      <c r="P108" s="190"/>
      <c r="Q108" s="190"/>
    </row>
    <row r="109" spans="1:17" x14ac:dyDescent="0.25">
      <c r="A109" s="26">
        <v>100</v>
      </c>
      <c r="B109" s="30" t="s">
        <v>242</v>
      </c>
      <c r="C109" s="30" t="s">
        <v>18</v>
      </c>
      <c r="D109" s="30">
        <v>252</v>
      </c>
      <c r="E109" s="31" t="s">
        <v>243</v>
      </c>
      <c r="F109" s="30" t="s">
        <v>20</v>
      </c>
      <c r="G109" s="23">
        <v>50</v>
      </c>
      <c r="H109" s="32">
        <v>1300</v>
      </c>
      <c r="I109" s="29">
        <f t="shared" si="10"/>
        <v>65000</v>
      </c>
      <c r="J109" s="31" t="s">
        <v>246</v>
      </c>
      <c r="K109" s="177"/>
      <c r="L109" s="188"/>
      <c r="M109" s="189">
        <f t="shared" si="8"/>
        <v>65000</v>
      </c>
      <c r="N109" s="189"/>
      <c r="O109" s="190"/>
      <c r="P109" s="190"/>
      <c r="Q109" s="190"/>
    </row>
    <row r="110" spans="1:17" ht="25.5" x14ac:dyDescent="0.25">
      <c r="A110" s="26">
        <v>101</v>
      </c>
      <c r="B110" s="30" t="s">
        <v>247</v>
      </c>
      <c r="C110" s="30" t="s">
        <v>18</v>
      </c>
      <c r="D110" s="30">
        <v>252</v>
      </c>
      <c r="E110" s="31" t="s">
        <v>248</v>
      </c>
      <c r="F110" s="30" t="s">
        <v>20</v>
      </c>
      <c r="G110" s="23">
        <v>30</v>
      </c>
      <c r="H110" s="32">
        <v>700</v>
      </c>
      <c r="I110" s="29">
        <f t="shared" si="10"/>
        <v>21000</v>
      </c>
      <c r="J110" s="31" t="s">
        <v>248</v>
      </c>
      <c r="K110" s="177"/>
      <c r="L110" s="188"/>
      <c r="M110" s="189">
        <f t="shared" si="8"/>
        <v>21000</v>
      </c>
      <c r="N110" s="189"/>
      <c r="O110" s="190"/>
      <c r="P110" s="190"/>
      <c r="Q110" s="190"/>
    </row>
    <row r="111" spans="1:17" x14ac:dyDescent="0.25">
      <c r="A111" s="26">
        <v>102</v>
      </c>
      <c r="B111" s="30" t="s">
        <v>249</v>
      </c>
      <c r="C111" s="30" t="s">
        <v>18</v>
      </c>
      <c r="D111" s="30">
        <v>252</v>
      </c>
      <c r="E111" s="31" t="s">
        <v>250</v>
      </c>
      <c r="F111" s="30" t="s">
        <v>20</v>
      </c>
      <c r="G111" s="23">
        <v>50</v>
      </c>
      <c r="H111" s="32">
        <v>1050</v>
      </c>
      <c r="I111" s="29">
        <f t="shared" si="10"/>
        <v>52500</v>
      </c>
      <c r="J111" s="27" t="s">
        <v>288</v>
      </c>
      <c r="K111" s="176"/>
      <c r="L111" s="188"/>
      <c r="M111" s="189">
        <f t="shared" si="8"/>
        <v>52500</v>
      </c>
      <c r="N111" s="189"/>
      <c r="O111" s="190"/>
      <c r="P111" s="190"/>
      <c r="Q111" s="190"/>
    </row>
    <row r="112" spans="1:17" x14ac:dyDescent="0.25">
      <c r="A112" s="26">
        <v>103</v>
      </c>
      <c r="B112" s="30" t="s">
        <v>251</v>
      </c>
      <c r="C112" s="30" t="s">
        <v>18</v>
      </c>
      <c r="D112" s="30">
        <v>295</v>
      </c>
      <c r="E112" s="31" t="s">
        <v>252</v>
      </c>
      <c r="F112" s="30" t="s">
        <v>20</v>
      </c>
      <c r="G112" s="23">
        <v>20</v>
      </c>
      <c r="H112" s="32">
        <v>400</v>
      </c>
      <c r="I112" s="29">
        <f t="shared" si="10"/>
        <v>8000</v>
      </c>
      <c r="J112" s="31" t="s">
        <v>253</v>
      </c>
      <c r="K112" s="177"/>
      <c r="L112" s="188"/>
      <c r="M112" s="189"/>
      <c r="N112" s="189"/>
      <c r="O112" s="190"/>
      <c r="P112" s="190"/>
      <c r="Q112" s="190">
        <f t="shared" si="7"/>
        <v>8000</v>
      </c>
    </row>
    <row r="113" spans="1:18" x14ac:dyDescent="0.25">
      <c r="A113" s="26">
        <v>104</v>
      </c>
      <c r="B113" s="30" t="s">
        <v>254</v>
      </c>
      <c r="C113" s="30" t="s">
        <v>18</v>
      </c>
      <c r="D113" s="30">
        <v>295</v>
      </c>
      <c r="E113" s="31" t="s">
        <v>255</v>
      </c>
      <c r="F113" s="30" t="s">
        <v>20</v>
      </c>
      <c r="G113" s="23">
        <v>8</v>
      </c>
      <c r="H113" s="32">
        <v>1000</v>
      </c>
      <c r="I113" s="29">
        <f t="shared" si="10"/>
        <v>8000</v>
      </c>
      <c r="J113" s="31" t="s">
        <v>256</v>
      </c>
      <c r="K113" s="177"/>
      <c r="L113" s="188"/>
      <c r="M113" s="189"/>
      <c r="N113" s="189"/>
      <c r="O113" s="190"/>
      <c r="P113" s="190"/>
      <c r="Q113" s="190">
        <f t="shared" si="7"/>
        <v>8000</v>
      </c>
    </row>
    <row r="114" spans="1:18" x14ac:dyDescent="0.25">
      <c r="A114" s="26">
        <v>105</v>
      </c>
      <c r="B114" s="30" t="s">
        <v>257</v>
      </c>
      <c r="C114" s="30" t="s">
        <v>18</v>
      </c>
      <c r="D114" s="30">
        <v>259</v>
      </c>
      <c r="E114" s="31" t="s">
        <v>258</v>
      </c>
      <c r="F114" s="30" t="s">
        <v>34</v>
      </c>
      <c r="G114" s="23">
        <v>100</v>
      </c>
      <c r="H114" s="32">
        <v>3500</v>
      </c>
      <c r="I114" s="29">
        <f t="shared" si="10"/>
        <v>350000</v>
      </c>
      <c r="J114" s="31" t="s">
        <v>259</v>
      </c>
      <c r="K114" s="177"/>
      <c r="L114" s="188"/>
      <c r="M114" s="189"/>
      <c r="N114" s="189"/>
      <c r="O114" s="190">
        <f t="shared" ref="O75:O122" si="11">+I114</f>
        <v>350000</v>
      </c>
      <c r="P114" s="190"/>
      <c r="Q114" s="190"/>
    </row>
    <row r="115" spans="1:18" ht="25.5" x14ac:dyDescent="0.25">
      <c r="A115" s="26">
        <v>106</v>
      </c>
      <c r="B115" s="30" t="s">
        <v>260</v>
      </c>
      <c r="C115" s="30" t="s">
        <v>18</v>
      </c>
      <c r="D115" s="30">
        <v>259</v>
      </c>
      <c r="E115" s="31" t="s">
        <v>261</v>
      </c>
      <c r="F115" s="30" t="s">
        <v>20</v>
      </c>
      <c r="G115" s="23">
        <v>250</v>
      </c>
      <c r="H115" s="32">
        <v>600</v>
      </c>
      <c r="I115" s="29">
        <f t="shared" si="10"/>
        <v>150000</v>
      </c>
      <c r="J115" s="31" t="s">
        <v>262</v>
      </c>
      <c r="K115" s="177"/>
      <c r="L115" s="188"/>
      <c r="M115" s="189"/>
      <c r="N115" s="189"/>
      <c r="O115" s="190">
        <f t="shared" si="11"/>
        <v>150000</v>
      </c>
      <c r="P115" s="190"/>
      <c r="Q115" s="190"/>
    </row>
    <row r="116" spans="1:18" x14ac:dyDescent="0.25">
      <c r="A116" s="26">
        <v>107</v>
      </c>
      <c r="B116" s="30" t="s">
        <v>263</v>
      </c>
      <c r="C116" s="30" t="s">
        <v>18</v>
      </c>
      <c r="D116" s="30">
        <v>295</v>
      </c>
      <c r="E116" s="31" t="s">
        <v>264</v>
      </c>
      <c r="F116" s="30" t="s">
        <v>34</v>
      </c>
      <c r="G116" s="23">
        <v>50</v>
      </c>
      <c r="H116" s="32">
        <v>2000</v>
      </c>
      <c r="I116" s="29">
        <f t="shared" si="10"/>
        <v>100000</v>
      </c>
      <c r="J116" s="27" t="s">
        <v>265</v>
      </c>
      <c r="K116" s="176"/>
      <c r="L116" s="188"/>
      <c r="M116" s="189"/>
      <c r="N116" s="189"/>
      <c r="O116" s="190"/>
      <c r="P116" s="190"/>
      <c r="Q116" s="190">
        <f t="shared" si="7"/>
        <v>100000</v>
      </c>
    </row>
    <row r="117" spans="1:18" x14ac:dyDescent="0.25">
      <c r="A117" s="26">
        <v>108</v>
      </c>
      <c r="B117" s="30" t="s">
        <v>266</v>
      </c>
      <c r="C117" s="30" t="s">
        <v>18</v>
      </c>
      <c r="D117" s="30">
        <v>295</v>
      </c>
      <c r="E117" s="31" t="s">
        <v>267</v>
      </c>
      <c r="F117" s="30" t="s">
        <v>34</v>
      </c>
      <c r="G117" s="23">
        <v>50</v>
      </c>
      <c r="H117" s="32">
        <v>2000</v>
      </c>
      <c r="I117" s="29">
        <f t="shared" si="10"/>
        <v>100000</v>
      </c>
      <c r="J117" s="27" t="s">
        <v>268</v>
      </c>
      <c r="K117" s="176"/>
      <c r="L117" s="188"/>
      <c r="M117" s="189"/>
      <c r="N117" s="189"/>
      <c r="O117" s="190"/>
      <c r="P117" s="190"/>
      <c r="Q117" s="190">
        <f t="shared" si="7"/>
        <v>100000</v>
      </c>
    </row>
    <row r="118" spans="1:18" x14ac:dyDescent="0.25">
      <c r="A118" s="26">
        <v>109</v>
      </c>
      <c r="B118" s="30" t="s">
        <v>269</v>
      </c>
      <c r="C118" s="30" t="s">
        <v>18</v>
      </c>
      <c r="D118" s="30">
        <v>295</v>
      </c>
      <c r="E118" s="31" t="s">
        <v>270</v>
      </c>
      <c r="F118" s="30" t="s">
        <v>20</v>
      </c>
      <c r="G118" s="23">
        <v>15</v>
      </c>
      <c r="H118" s="32">
        <v>2300</v>
      </c>
      <c r="I118" s="29">
        <f t="shared" si="10"/>
        <v>34500</v>
      </c>
      <c r="J118" s="31" t="s">
        <v>271</v>
      </c>
      <c r="K118" s="177"/>
      <c r="L118" s="188"/>
      <c r="M118" s="189"/>
      <c r="N118" s="189"/>
      <c r="O118" s="190"/>
      <c r="P118" s="190"/>
      <c r="Q118" s="190">
        <f t="shared" si="7"/>
        <v>34500</v>
      </c>
    </row>
    <row r="119" spans="1:18" x14ac:dyDescent="0.25">
      <c r="A119" s="26">
        <v>110</v>
      </c>
      <c r="B119" s="30" t="s">
        <v>269</v>
      </c>
      <c r="C119" s="30" t="s">
        <v>18</v>
      </c>
      <c r="D119" s="30">
        <v>295</v>
      </c>
      <c r="E119" s="31" t="s">
        <v>270</v>
      </c>
      <c r="F119" s="30" t="s">
        <v>20</v>
      </c>
      <c r="G119" s="23">
        <v>50</v>
      </c>
      <c r="H119" s="32">
        <v>2000</v>
      </c>
      <c r="I119" s="29">
        <f t="shared" si="10"/>
        <v>100000</v>
      </c>
      <c r="J119" s="31" t="s">
        <v>272</v>
      </c>
      <c r="K119" s="177"/>
      <c r="L119" s="188"/>
      <c r="M119" s="189"/>
      <c r="N119" s="189"/>
      <c r="O119" s="190"/>
      <c r="P119" s="190"/>
      <c r="Q119" s="190">
        <f t="shared" si="7"/>
        <v>100000</v>
      </c>
    </row>
    <row r="120" spans="1:18" ht="25.5" x14ac:dyDescent="0.25">
      <c r="A120" s="26">
        <v>111</v>
      </c>
      <c r="B120" s="30" t="s">
        <v>273</v>
      </c>
      <c r="C120" s="30" t="s">
        <v>18</v>
      </c>
      <c r="D120" s="30">
        <v>252</v>
      </c>
      <c r="E120" s="31" t="s">
        <v>274</v>
      </c>
      <c r="F120" s="30" t="s">
        <v>20</v>
      </c>
      <c r="G120" s="23">
        <v>20</v>
      </c>
      <c r="H120" s="32">
        <v>600</v>
      </c>
      <c r="I120" s="29">
        <f t="shared" si="10"/>
        <v>12000</v>
      </c>
      <c r="J120" s="31" t="s">
        <v>275</v>
      </c>
      <c r="K120" s="177"/>
      <c r="L120" s="188"/>
      <c r="M120" s="189">
        <f t="shared" si="8"/>
        <v>12000</v>
      </c>
      <c r="N120" s="189"/>
      <c r="O120" s="190"/>
      <c r="P120" s="190"/>
      <c r="Q120" s="190"/>
    </row>
    <row r="121" spans="1:18" x14ac:dyDescent="0.25">
      <c r="A121" s="26">
        <v>112</v>
      </c>
      <c r="B121" s="30" t="s">
        <v>276</v>
      </c>
      <c r="C121" s="30" t="s">
        <v>18</v>
      </c>
      <c r="D121" s="30">
        <v>265</v>
      </c>
      <c r="E121" s="31" t="s">
        <v>277</v>
      </c>
      <c r="F121" s="30" t="s">
        <v>20</v>
      </c>
      <c r="G121" s="23">
        <v>12</v>
      </c>
      <c r="H121" s="32">
        <v>2300</v>
      </c>
      <c r="I121" s="29">
        <f t="shared" si="10"/>
        <v>27600</v>
      </c>
      <c r="J121" s="31" t="s">
        <v>278</v>
      </c>
      <c r="K121" s="177"/>
      <c r="L121" s="188"/>
      <c r="M121" s="189"/>
      <c r="N121" s="189"/>
      <c r="O121" s="190"/>
      <c r="P121" s="190">
        <f t="shared" ref="P75:P122" si="12">+I121</f>
        <v>27600</v>
      </c>
      <c r="Q121" s="190"/>
    </row>
    <row r="122" spans="1:18" ht="15.75" thickBot="1" x14ac:dyDescent="0.3">
      <c r="A122" s="26">
        <v>113</v>
      </c>
      <c r="B122" s="26" t="s">
        <v>279</v>
      </c>
      <c r="C122" s="26" t="s">
        <v>18</v>
      </c>
      <c r="D122" s="26">
        <v>265</v>
      </c>
      <c r="E122" s="27" t="s">
        <v>280</v>
      </c>
      <c r="F122" s="26" t="s">
        <v>20</v>
      </c>
      <c r="G122" s="23">
        <v>12</v>
      </c>
      <c r="H122" s="28">
        <v>2000</v>
      </c>
      <c r="I122" s="29">
        <f t="shared" si="10"/>
        <v>24000</v>
      </c>
      <c r="J122" s="27" t="s">
        <v>281</v>
      </c>
      <c r="K122" s="176"/>
      <c r="L122" s="188"/>
      <c r="M122" s="189"/>
      <c r="N122" s="189"/>
      <c r="O122" s="190"/>
      <c r="P122" s="190">
        <f t="shared" si="12"/>
        <v>24000</v>
      </c>
      <c r="Q122" s="190"/>
    </row>
    <row r="123" spans="1:18" ht="15.75" thickBot="1" x14ac:dyDescent="0.3">
      <c r="A123" s="115" t="s">
        <v>282</v>
      </c>
      <c r="B123" s="116"/>
      <c r="C123" s="116"/>
      <c r="D123" s="116"/>
      <c r="E123" s="116"/>
      <c r="F123" s="117"/>
      <c r="G123" s="36"/>
      <c r="H123" s="37"/>
      <c r="I123" s="38">
        <f>SUM(I10:I122)</f>
        <v>12856300</v>
      </c>
      <c r="J123" s="39"/>
      <c r="K123" s="180"/>
      <c r="L123" s="188">
        <f>SUM(L10:L122)</f>
        <v>140000</v>
      </c>
      <c r="M123" s="188">
        <f t="shared" ref="M123:Q123" si="13">SUM(M10:M122)</f>
        <v>8663500</v>
      </c>
      <c r="N123" s="188">
        <f t="shared" si="13"/>
        <v>105000</v>
      </c>
      <c r="O123" s="188">
        <f t="shared" si="13"/>
        <v>570000</v>
      </c>
      <c r="P123" s="188">
        <f t="shared" si="13"/>
        <v>53600</v>
      </c>
      <c r="Q123" s="188">
        <f t="shared" si="13"/>
        <v>3324200</v>
      </c>
      <c r="R123" s="190">
        <f>SUM(L123:Q123)</f>
        <v>12856300</v>
      </c>
    </row>
    <row r="124" spans="1:18" ht="15.75" thickBot="1" x14ac:dyDescent="0.3">
      <c r="L124" s="186">
        <v>222</v>
      </c>
      <c r="M124" s="187">
        <v>252</v>
      </c>
      <c r="N124" s="187">
        <v>256</v>
      </c>
      <c r="O124" s="187">
        <v>259</v>
      </c>
      <c r="P124" s="187">
        <v>265</v>
      </c>
      <c r="Q124" s="187">
        <v>295</v>
      </c>
    </row>
    <row r="125" spans="1:18" ht="117" customHeight="1" x14ac:dyDescent="0.25">
      <c r="C125" s="159" t="s">
        <v>369</v>
      </c>
      <c r="D125" s="169" t="s">
        <v>370</v>
      </c>
      <c r="E125" s="170"/>
    </row>
    <row r="126" spans="1:18" x14ac:dyDescent="0.25">
      <c r="C126" s="160"/>
      <c r="D126" s="161"/>
      <c r="E126" s="171"/>
    </row>
    <row r="127" spans="1:18" x14ac:dyDescent="0.25">
      <c r="C127" s="160" t="s">
        <v>371</v>
      </c>
      <c r="D127" s="162" t="s">
        <v>372</v>
      </c>
      <c r="E127" s="171"/>
    </row>
    <row r="128" spans="1:18" x14ac:dyDescent="0.25">
      <c r="C128" s="160"/>
      <c r="D128" s="163"/>
      <c r="E128" s="171"/>
    </row>
    <row r="129" spans="3:5" ht="54" customHeight="1" x14ac:dyDescent="0.25">
      <c r="C129" s="160" t="s">
        <v>373</v>
      </c>
      <c r="D129" s="168" t="s">
        <v>377</v>
      </c>
      <c r="E129" s="172"/>
    </row>
    <row r="130" spans="3:5" x14ac:dyDescent="0.25">
      <c r="C130" s="160"/>
      <c r="D130" s="164"/>
      <c r="E130" s="171"/>
    </row>
    <row r="131" spans="3:5" x14ac:dyDescent="0.25">
      <c r="C131" s="165" t="s">
        <v>374</v>
      </c>
      <c r="D131" s="166"/>
      <c r="E131" s="171"/>
    </row>
    <row r="132" spans="3:5" x14ac:dyDescent="0.25">
      <c r="C132" s="165"/>
      <c r="D132" s="166"/>
      <c r="E132" s="171"/>
    </row>
    <row r="133" spans="3:5" ht="15.75" thickBot="1" x14ac:dyDescent="0.3">
      <c r="C133" s="167" t="s">
        <v>375</v>
      </c>
      <c r="D133" s="173" t="s">
        <v>376</v>
      </c>
      <c r="E133" s="174"/>
    </row>
  </sheetData>
  <autoFilter ref="A9:J123"/>
  <mergeCells count="9">
    <mergeCell ref="D125:E125"/>
    <mergeCell ref="D129:E129"/>
    <mergeCell ref="D133:E133"/>
    <mergeCell ref="A123:F123"/>
    <mergeCell ref="A7:B7"/>
    <mergeCell ref="B2:H2"/>
    <mergeCell ref="A4:B4"/>
    <mergeCell ref="A5:B5"/>
    <mergeCell ref="A6:B6"/>
  </mergeCells>
  <conditionalFormatting sqref="B1:B9 E1:E9">
    <cfRule type="duplicateValues" dxfId="9" priority="5"/>
  </conditionalFormatting>
  <conditionalFormatting sqref="E1:E9 B1:B9">
    <cfRule type="duplicateValues" dxfId="8" priority="6"/>
  </conditionalFormatting>
  <conditionalFormatting sqref="B1:B9">
    <cfRule type="duplicateValues" dxfId="7" priority="7"/>
  </conditionalFormatting>
  <conditionalFormatting sqref="E1:E9">
    <cfRule type="duplicateValues" dxfId="6" priority="8"/>
  </conditionalFormatting>
  <conditionalFormatting sqref="E1:E9">
    <cfRule type="duplicateValues" dxfId="5" priority="9"/>
    <cfRule type="duplicateValues" dxfId="4" priority="10"/>
  </conditionalFormatting>
  <conditionalFormatting sqref="C127:C133">
    <cfRule type="duplicateValues" dxfId="3" priority="1"/>
  </conditionalFormatting>
  <conditionalFormatting sqref="C127:C133">
    <cfRule type="duplicateValues" dxfId="2" priority="2"/>
  </conditionalFormatting>
  <conditionalFormatting sqref="C127:C133">
    <cfRule type="duplicateValues" dxfId="1" priority="3"/>
  </conditionalFormatting>
  <conditionalFormatting sqref="C127:C133">
    <cfRule type="duplicateValues" dxfId="0" priority="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Views>
    <sheetView topLeftCell="D1" workbookViewId="0">
      <selection activeCell="O121" sqref="O121"/>
    </sheetView>
  </sheetViews>
  <sheetFormatPr baseColWidth="10" defaultRowHeight="15" x14ac:dyDescent="0.25"/>
  <cols>
    <col min="1" max="1" width="5.5703125" customWidth="1"/>
    <col min="2" max="2" width="15.140625" style="98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114.5703125" customWidth="1"/>
    <col min="8" max="8" width="9.28515625" customWidth="1"/>
    <col min="9" max="9" width="15.5703125" customWidth="1"/>
    <col min="10" max="10" width="14.7109375" style="103" customWidth="1"/>
    <col min="11" max="11" width="15.5703125" customWidth="1"/>
  </cols>
  <sheetData>
    <row r="1" spans="1:11" ht="30.75" thickBot="1" x14ac:dyDescent="0.3">
      <c r="A1" s="136" t="s">
        <v>325</v>
      </c>
      <c r="B1" s="136"/>
      <c r="C1" s="136"/>
      <c r="D1" s="136"/>
      <c r="E1" s="136"/>
      <c r="F1" s="136"/>
      <c r="G1" s="136"/>
      <c r="H1" s="136"/>
      <c r="I1" s="136"/>
      <c r="J1" s="99" t="s">
        <v>326</v>
      </c>
      <c r="K1" s="41" t="s">
        <v>366</v>
      </c>
    </row>
    <row r="2" spans="1:11" ht="16.5" thickBot="1" x14ac:dyDescent="0.3">
      <c r="A2" s="42"/>
      <c r="B2" s="94"/>
      <c r="C2" s="43"/>
      <c r="D2" s="44"/>
      <c r="E2" s="44"/>
      <c r="F2" s="44"/>
      <c r="G2" s="44"/>
      <c r="H2" s="44"/>
      <c r="I2" s="44"/>
      <c r="J2" s="100"/>
      <c r="K2" s="45"/>
    </row>
    <row r="3" spans="1:11" ht="16.5" customHeight="1" thickBot="1" x14ac:dyDescent="0.3">
      <c r="A3" s="133" t="s">
        <v>327</v>
      </c>
      <c r="B3" s="133"/>
      <c r="C3" s="133"/>
      <c r="D3" s="89" t="str">
        <f>'SAF 011'!C4</f>
        <v>040 - MINISTERIO DE SALUD</v>
      </c>
      <c r="E3" s="90"/>
      <c r="F3" s="90"/>
      <c r="G3" s="90"/>
      <c r="H3" s="90"/>
      <c r="I3" s="90"/>
      <c r="J3" s="101"/>
      <c r="K3" s="91"/>
    </row>
    <row r="4" spans="1:11" ht="16.5" customHeight="1" thickBot="1" x14ac:dyDescent="0.3">
      <c r="A4" s="134" t="s">
        <v>328</v>
      </c>
      <c r="B4" s="134"/>
      <c r="C4" s="134"/>
      <c r="D4" s="89" t="str">
        <f>'SAF 011'!C5</f>
        <v>011 - DIRECCION PROVINCIAL DE ADMINISTRACION - MINISTERIO DE SALUD</v>
      </c>
      <c r="E4" s="90"/>
      <c r="F4" s="90"/>
      <c r="G4" s="90"/>
      <c r="H4" s="90"/>
      <c r="I4" s="90"/>
      <c r="J4" s="101"/>
      <c r="K4" s="91"/>
    </row>
    <row r="5" spans="1:11" ht="16.5" thickBot="1" x14ac:dyDescent="0.3">
      <c r="A5" s="134" t="s">
        <v>329</v>
      </c>
      <c r="B5" s="134"/>
      <c r="C5" s="134"/>
      <c r="D5" s="89" t="s">
        <v>363</v>
      </c>
      <c r="E5" s="90"/>
      <c r="F5" s="90"/>
      <c r="G5" s="90"/>
      <c r="H5" s="90"/>
      <c r="I5" s="90"/>
      <c r="J5" s="101"/>
      <c r="K5" s="91"/>
    </row>
    <row r="6" spans="1:11" ht="16.5" thickBot="1" x14ac:dyDescent="0.3">
      <c r="A6" s="133" t="s">
        <v>330</v>
      </c>
      <c r="B6" s="133"/>
      <c r="C6" s="133"/>
      <c r="D6" s="89" t="s">
        <v>363</v>
      </c>
      <c r="E6" s="90"/>
      <c r="F6" s="90"/>
      <c r="G6" s="90"/>
      <c r="H6" s="90"/>
      <c r="I6" s="90"/>
      <c r="J6" s="101"/>
      <c r="K6" s="91"/>
    </row>
    <row r="7" spans="1:11" ht="16.5" thickBot="1" x14ac:dyDescent="0.3">
      <c r="A7" s="134" t="s">
        <v>331</v>
      </c>
      <c r="B7" s="134"/>
      <c r="C7" s="134"/>
      <c r="D7" s="89" t="s">
        <v>364</v>
      </c>
      <c r="E7" s="90"/>
      <c r="F7" s="90"/>
      <c r="G7" s="90"/>
      <c r="H7" s="90"/>
      <c r="I7" s="90"/>
      <c r="J7" s="101"/>
      <c r="K7" s="91"/>
    </row>
    <row r="8" spans="1:11" ht="16.5" thickBot="1" x14ac:dyDescent="0.3">
      <c r="A8" s="135" t="s">
        <v>332</v>
      </c>
      <c r="B8" s="135"/>
      <c r="C8" s="135"/>
      <c r="D8" s="92" t="s">
        <v>365</v>
      </c>
      <c r="E8" s="90"/>
      <c r="F8" s="90"/>
      <c r="G8" s="90"/>
      <c r="H8" s="90"/>
      <c r="I8" s="90"/>
      <c r="J8" s="101"/>
      <c r="K8" s="91"/>
    </row>
    <row r="9" spans="1:11" ht="16.5" thickBot="1" x14ac:dyDescent="0.3">
      <c r="A9" s="46"/>
      <c r="B9" s="95"/>
      <c r="C9" s="47"/>
      <c r="D9" s="48"/>
      <c r="E9" s="48"/>
      <c r="F9" s="48"/>
      <c r="G9" s="48"/>
      <c r="H9" s="48"/>
      <c r="I9" s="48"/>
      <c r="J9" s="102"/>
      <c r="K9" s="49"/>
    </row>
    <row r="10" spans="1:11" ht="15.75" thickBot="1" x14ac:dyDescent="0.3">
      <c r="A10" s="130" t="s">
        <v>333</v>
      </c>
      <c r="B10" s="131" t="s">
        <v>334</v>
      </c>
      <c r="C10" s="131" t="s">
        <v>335</v>
      </c>
      <c r="D10" s="131"/>
      <c r="E10" s="131"/>
      <c r="F10" s="131"/>
      <c r="G10" s="131"/>
      <c r="H10" s="131" t="s">
        <v>336</v>
      </c>
      <c r="I10" s="131" t="s">
        <v>337</v>
      </c>
      <c r="J10" s="132" t="s">
        <v>338</v>
      </c>
      <c r="K10" s="125" t="s">
        <v>339</v>
      </c>
    </row>
    <row r="11" spans="1:11" ht="32.25" customHeight="1" thickBot="1" x14ac:dyDescent="0.3">
      <c r="A11" s="130"/>
      <c r="B11" s="131"/>
      <c r="C11" s="131"/>
      <c r="D11" s="131"/>
      <c r="E11" s="131"/>
      <c r="F11" s="131"/>
      <c r="G11" s="131"/>
      <c r="H11" s="131"/>
      <c r="I11" s="131"/>
      <c r="J11" s="132"/>
      <c r="K11" s="125"/>
    </row>
    <row r="12" spans="1:11" x14ac:dyDescent="0.25">
      <c r="A12" s="50">
        <v>1</v>
      </c>
      <c r="B12" s="96" t="str">
        <f>'SAF 011'!B10</f>
        <v>2.5.6-7104.276</v>
      </c>
      <c r="C12" s="126" t="str">
        <f>'SAF 011'!E10</f>
        <v>ACEITES LUBRICANTES; USO: MAQUINA, PRESENTACION: AEROSOL X 400 CM3, NORMA: MULTIUSO</v>
      </c>
      <c r="D12" s="126"/>
      <c r="E12" s="126"/>
      <c r="F12" s="126"/>
      <c r="G12" s="126"/>
      <c r="H12" s="96" t="s">
        <v>367</v>
      </c>
      <c r="I12" s="104" t="str">
        <f>'SAF 011'!F10</f>
        <v>UNIDAD</v>
      </c>
      <c r="J12" s="105">
        <f>'SAF 011'!H10</f>
        <v>700</v>
      </c>
      <c r="K12" s="106">
        <f>'SAF 011'!G10</f>
        <v>150</v>
      </c>
    </row>
    <row r="13" spans="1:11" ht="16.5" customHeight="1" x14ac:dyDescent="0.25">
      <c r="A13" s="93">
        <v>2</v>
      </c>
      <c r="B13" s="97" t="str">
        <f>'SAF 011'!B11</f>
        <v>2.5.2-3204.13</v>
      </c>
      <c r="C13" s="120" t="str">
        <f>'SAF 011'!E11</f>
        <v>ACIDO GRABADOR ODONTOLOG.; ESTADO: GEL, PRESENTACION: JERINGA X 12 GR, CAPACIDAD: 12 GR</v>
      </c>
      <c r="D13" s="121"/>
      <c r="E13" s="121"/>
      <c r="F13" s="121"/>
      <c r="G13" s="122"/>
      <c r="H13" s="97" t="s">
        <v>368</v>
      </c>
      <c r="I13" s="107" t="str">
        <f>'SAF 011'!F11</f>
        <v>UNIDAD</v>
      </c>
      <c r="J13" s="108">
        <f>'SAF 011'!H11</f>
        <v>700</v>
      </c>
      <c r="K13" s="109">
        <f>'SAF 011'!G11</f>
        <v>300</v>
      </c>
    </row>
    <row r="14" spans="1:11" ht="16.5" customHeight="1" x14ac:dyDescent="0.25">
      <c r="A14" s="93">
        <v>3</v>
      </c>
      <c r="B14" s="97" t="str">
        <f>'SAF 011'!B12</f>
        <v>2.5.2-2327.29</v>
      </c>
      <c r="C14" s="120" t="str">
        <f>'SAF 011'!E12</f>
        <v>ACRILICOS AUTOCURABLES; TIPO: POLIMERO DE AUTOPOLIMERIZACION, PRESENTACION: FRASCO X 1 Kg</v>
      </c>
      <c r="D14" s="121"/>
      <c r="E14" s="121"/>
      <c r="F14" s="121"/>
      <c r="G14" s="122"/>
      <c r="H14" s="97" t="s">
        <v>368</v>
      </c>
      <c r="I14" s="107" t="str">
        <f>'SAF 011'!F12</f>
        <v>UNIDAD</v>
      </c>
      <c r="J14" s="108">
        <f>'SAF 011'!H12</f>
        <v>5500</v>
      </c>
      <c r="K14" s="109">
        <f>'SAF 011'!G12</f>
        <v>6</v>
      </c>
    </row>
    <row r="15" spans="1:11" ht="16.5" customHeight="1" x14ac:dyDescent="0.25">
      <c r="A15" s="93">
        <v>4</v>
      </c>
      <c r="B15" s="97" t="str">
        <f>'SAF 011'!B13</f>
        <v>2.5.2-6021.4</v>
      </c>
      <c r="C15" s="120" t="str">
        <f>'SAF 011'!E13</f>
        <v>ACRILICOS TERMOCURABLES; TIPO: POLIMERO, PRESENTACION: ENVASE X 1 Kg</v>
      </c>
      <c r="D15" s="121"/>
      <c r="E15" s="121"/>
      <c r="F15" s="121"/>
      <c r="G15" s="122"/>
      <c r="H15" s="97" t="s">
        <v>368</v>
      </c>
      <c r="I15" s="107" t="str">
        <f>'SAF 011'!F13</f>
        <v>UNIDAD</v>
      </c>
      <c r="J15" s="108">
        <f>'SAF 011'!H13</f>
        <v>5500</v>
      </c>
      <c r="K15" s="109">
        <f>'SAF 011'!G13</f>
        <v>15</v>
      </c>
    </row>
    <row r="16" spans="1:11" ht="16.5" customHeight="1" x14ac:dyDescent="0.25">
      <c r="A16" s="93">
        <v>5</v>
      </c>
      <c r="B16" s="97" t="str">
        <f>'SAF 011'!B14</f>
        <v>2.5.2-5538.8</v>
      </c>
      <c r="C16" s="120" t="str">
        <f>'SAF 011'!E14</f>
        <v>ADHESIVOS P/ODONTOLOGIA; PRESENTACION: FRASCO X 4,5 mm, TIPO: ADHESIVO+PRIMER, USO: ODONTOLOGICO</v>
      </c>
      <c r="D16" s="121"/>
      <c r="E16" s="121"/>
      <c r="F16" s="121"/>
      <c r="G16" s="122"/>
      <c r="H16" s="97" t="s">
        <v>367</v>
      </c>
      <c r="I16" s="107" t="str">
        <f>'SAF 011'!F14</f>
        <v>UNIDAD</v>
      </c>
      <c r="J16" s="108">
        <f>'SAF 011'!H14</f>
        <v>1500</v>
      </c>
      <c r="K16" s="109">
        <f>'SAF 011'!G14</f>
        <v>200</v>
      </c>
    </row>
    <row r="17" spans="1:11" ht="16.5" customHeight="1" x14ac:dyDescent="0.25">
      <c r="A17" s="93">
        <v>6</v>
      </c>
      <c r="B17" s="97" t="str">
        <f>'SAF 011'!B15</f>
        <v>2.9.5-441.82</v>
      </c>
      <c r="C17" s="120" t="str">
        <f>'SAF 011'!E15</f>
        <v>AGUJAS QUIRURGICAS; TIPO: CARPULE, ESPECIFICACION: CORTA, UNIDAD VENTA: CAJA X 100, PRESENTACION: CAJA X 100</v>
      </c>
      <c r="D17" s="121"/>
      <c r="E17" s="121"/>
      <c r="F17" s="121"/>
      <c r="G17" s="122"/>
      <c r="H17" s="97" t="s">
        <v>368</v>
      </c>
      <c r="I17" s="107" t="str">
        <f>'SAF 011'!F15</f>
        <v>CAJA</v>
      </c>
      <c r="J17" s="108">
        <f>'SAF 011'!H15</f>
        <v>900</v>
      </c>
      <c r="K17" s="109">
        <f>'SAF 011'!G15</f>
        <v>200</v>
      </c>
    </row>
    <row r="18" spans="1:11" ht="16.5" customHeight="1" x14ac:dyDescent="0.25">
      <c r="A18" s="93">
        <v>7</v>
      </c>
      <c r="B18" s="97" t="str">
        <f>'SAF 011'!B16</f>
        <v>2.9.5-441.428</v>
      </c>
      <c r="C18" s="120" t="str">
        <f>'SAF 011'!E16</f>
        <v>AGUJAS QUIRURGICAS; TIPO: CARPULE, ESPECIFICACION: EXTRA CORTAS, PRESENTACION: ENVASE X 100 UN</v>
      </c>
      <c r="D18" s="121"/>
      <c r="E18" s="121"/>
      <c r="F18" s="121"/>
      <c r="G18" s="122"/>
      <c r="H18" s="97" t="s">
        <v>368</v>
      </c>
      <c r="I18" s="107" t="str">
        <f>'SAF 011'!F16</f>
        <v>CAJA</v>
      </c>
      <c r="J18" s="108">
        <f>'SAF 011'!H16</f>
        <v>900</v>
      </c>
      <c r="K18" s="109">
        <f>'SAF 011'!G16</f>
        <v>40</v>
      </c>
    </row>
    <row r="19" spans="1:11" ht="16.5" customHeight="1" x14ac:dyDescent="0.25">
      <c r="A19" s="93">
        <v>8</v>
      </c>
      <c r="B19" s="97" t="str">
        <f>'SAF 011'!B17</f>
        <v>2.9.5-441.119</v>
      </c>
      <c r="C19" s="120" t="str">
        <f>'SAF 011'!E17</f>
        <v>AGUJAS QUIRURGICAS; TIPO: CARPULE, ESPECIFICACION: LARGA, PRESENTACION: CAJA X 100, UNIDAD VENTA: CAJA X 100</v>
      </c>
      <c r="D19" s="121"/>
      <c r="E19" s="121"/>
      <c r="F19" s="121"/>
      <c r="G19" s="122"/>
      <c r="H19" s="97" t="s">
        <v>368</v>
      </c>
      <c r="I19" s="107" t="str">
        <f>'SAF 011'!F17</f>
        <v>CAJA</v>
      </c>
      <c r="J19" s="108">
        <f>'SAF 011'!H17</f>
        <v>900</v>
      </c>
      <c r="K19" s="109">
        <f>'SAF 011'!G17</f>
        <v>40</v>
      </c>
    </row>
    <row r="20" spans="1:11" ht="16.5" customHeight="1" x14ac:dyDescent="0.25">
      <c r="A20" s="93">
        <v>9</v>
      </c>
      <c r="B20" s="97" t="str">
        <f>'SAF 011'!B18</f>
        <v>2.9.5-470.29</v>
      </c>
      <c r="C20" s="120" t="str">
        <f>'SAF 011'!E18</f>
        <v>ALGODONES; TIPO: ESTERIL, CAPACIDAD: PAQUETE X 500 ROLLOS, PRESENTACION: ENVASE X 500</v>
      </c>
      <c r="D20" s="121"/>
      <c r="E20" s="121"/>
      <c r="F20" s="121"/>
      <c r="G20" s="122"/>
      <c r="H20" s="97" t="s">
        <v>368</v>
      </c>
      <c r="I20" s="107" t="str">
        <f>'SAF 011'!F18</f>
        <v>BOLSA</v>
      </c>
      <c r="J20" s="108">
        <f>'SAF 011'!H18</f>
        <v>700</v>
      </c>
      <c r="K20" s="109">
        <f>'SAF 011'!G18</f>
        <v>50</v>
      </c>
    </row>
    <row r="21" spans="1:11" ht="16.5" customHeight="1" x14ac:dyDescent="0.25">
      <c r="A21" s="93">
        <v>10</v>
      </c>
      <c r="B21" s="97" t="str">
        <f>'SAF 011'!B19</f>
        <v>2.5.2-1883.135</v>
      </c>
      <c r="C21" s="120" t="str">
        <f>'SAF 011'!E19</f>
        <v>ANESTESICOS LOCALES; TIPO: MONODROGA, DROGA GENERICA: LIDOCAINA 5%, FORMA FARMACEUTICA: GEL, PRESENTACION: ENVASE X 18 GR</v>
      </c>
      <c r="D21" s="121"/>
      <c r="E21" s="121"/>
      <c r="F21" s="121"/>
      <c r="G21" s="122"/>
      <c r="H21" s="97" t="s">
        <v>368</v>
      </c>
      <c r="I21" s="107" t="str">
        <f>'SAF 011'!F19</f>
        <v>UNIDAD</v>
      </c>
      <c r="J21" s="108">
        <f>'SAF 011'!H19</f>
        <v>1800</v>
      </c>
      <c r="K21" s="109">
        <f>'SAF 011'!G19</f>
        <v>50</v>
      </c>
    </row>
    <row r="22" spans="1:11" ht="35.25" customHeight="1" x14ac:dyDescent="0.25">
      <c r="A22" s="93">
        <v>11</v>
      </c>
      <c r="B22" s="97" t="str">
        <f>'SAF 011'!B20</f>
        <v>2.5.2-1883.37</v>
      </c>
      <c r="C22" s="120" t="str">
        <f>'SAF 011'!E20</f>
        <v>ANESTESICOS LOCALES; TIPO: SIN VALOR, DROGA GENERICA: CLORHIDRATO DE CARTICAINA 4%, FORMA FARMACEUTICA: ANESTUBO CARPULE, PRESENTACION: CAJA X 50 UN</v>
      </c>
      <c r="D22" s="121"/>
      <c r="E22" s="121"/>
      <c r="F22" s="121"/>
      <c r="G22" s="122"/>
      <c r="H22" s="97" t="s">
        <v>367</v>
      </c>
      <c r="I22" s="107" t="str">
        <f>'SAF 011'!F20</f>
        <v>CAJA</v>
      </c>
      <c r="J22" s="108">
        <f>'SAF 011'!H20</f>
        <v>4500</v>
      </c>
      <c r="K22" s="109">
        <f>'SAF 011'!G20</f>
        <v>1440</v>
      </c>
    </row>
    <row r="23" spans="1:11" ht="16.5" customHeight="1" x14ac:dyDescent="0.25">
      <c r="A23" s="93">
        <v>12</v>
      </c>
      <c r="B23" s="97" t="str">
        <f>'SAF 011'!B21</f>
        <v>2.5.2-1723.59</v>
      </c>
      <c r="C23" s="120" t="str">
        <f>'SAF 011'!E21</f>
        <v>ANTISEPTICOS LOCALES P/PERSONA; TIPO: MONODROGA, DROGA GENERICA: EDTAC, FORMA FARMACEUTICA: SOLUCION, PRESENTACION: FRASCO X 20 mL</v>
      </c>
      <c r="D23" s="121"/>
      <c r="E23" s="121"/>
      <c r="F23" s="121"/>
      <c r="G23" s="122"/>
      <c r="H23" s="97" t="s">
        <v>367</v>
      </c>
      <c r="I23" s="107" t="str">
        <f>'SAF 011'!F21</f>
        <v>UNIDAD</v>
      </c>
      <c r="J23" s="108">
        <f>'SAF 011'!H21</f>
        <v>400</v>
      </c>
      <c r="K23" s="109">
        <f>'SAF 011'!G21</f>
        <v>20</v>
      </c>
    </row>
    <row r="24" spans="1:11" ht="16.5" customHeight="1" x14ac:dyDescent="0.25">
      <c r="A24" s="93">
        <v>13</v>
      </c>
      <c r="B24" s="97" t="str">
        <f>'SAF 011'!B22</f>
        <v>2.5.2-1723.53</v>
      </c>
      <c r="C24" s="120" t="str">
        <f>'SAF 011'!E22</f>
        <v>ANTISEPTICOS LOCALES P/PERSONA; TIPO: MONODROGA, DROGA GENERICA: EUGENOL, FORMA FARMACEUTICA: LIQUIDO, PRESENTACION: FRASCO X 20 mL</v>
      </c>
      <c r="D24" s="121"/>
      <c r="E24" s="121"/>
      <c r="F24" s="121"/>
      <c r="G24" s="122"/>
      <c r="H24" s="97" t="s">
        <v>367</v>
      </c>
      <c r="I24" s="107" t="str">
        <f>'SAF 011'!F22</f>
        <v>UNIDAD</v>
      </c>
      <c r="J24" s="108">
        <f>'SAF 011'!H22</f>
        <v>700</v>
      </c>
      <c r="K24" s="109">
        <f>'SAF 011'!G22</f>
        <v>60</v>
      </c>
    </row>
    <row r="25" spans="1:11" ht="16.5" customHeight="1" x14ac:dyDescent="0.25">
      <c r="A25" s="93">
        <v>14</v>
      </c>
      <c r="B25" s="97" t="str">
        <f>'SAF 011'!B23</f>
        <v>2.5.2-1723.148</v>
      </c>
      <c r="C25" s="120" t="str">
        <f>'SAF 011'!E23</f>
        <v>ANTISEPTICOS LOCALES P/PERSONA; TIPO: MONODROGA, DROGA GENERICA: IODOFORMO, FORMA FARMACEUTICA: POLVO, PRESENTACION: ENVASE X 20 GR</v>
      </c>
      <c r="D25" s="121"/>
      <c r="E25" s="121"/>
      <c r="F25" s="121"/>
      <c r="G25" s="122"/>
      <c r="H25" s="97" t="s">
        <v>367</v>
      </c>
      <c r="I25" s="107" t="str">
        <f>'SAF 011'!F23</f>
        <v>UNIDAD</v>
      </c>
      <c r="J25" s="108">
        <f>'SAF 011'!H23</f>
        <v>500</v>
      </c>
      <c r="K25" s="109">
        <f>'SAF 011'!G23</f>
        <v>50</v>
      </c>
    </row>
    <row r="26" spans="1:11" ht="16.5" customHeight="1" x14ac:dyDescent="0.25">
      <c r="A26" s="93">
        <v>15</v>
      </c>
      <c r="B26" s="97" t="str">
        <f>'SAF 011'!B24</f>
        <v>2.9.9-3095.4</v>
      </c>
      <c r="C26" s="120" t="str">
        <f>'SAF 011'!E24</f>
        <v>BABEROS; TIPO: DESCARTABLE, MATERIAL: FISELINA NO ESTERIL, PRESENTACION: CAJA X 100 UN</v>
      </c>
      <c r="D26" s="121"/>
      <c r="E26" s="121"/>
      <c r="F26" s="121"/>
      <c r="G26" s="122"/>
      <c r="H26" s="97" t="s">
        <v>368</v>
      </c>
      <c r="I26" s="107" t="str">
        <f>'SAF 011'!F24</f>
        <v>CAJA</v>
      </c>
      <c r="J26" s="108">
        <f>'SAF 011'!H24</f>
        <v>700</v>
      </c>
      <c r="K26" s="109">
        <f>'SAF 011'!G24</f>
        <v>200</v>
      </c>
    </row>
    <row r="27" spans="1:11" ht="16.5" customHeight="1" x14ac:dyDescent="0.25">
      <c r="A27" s="93">
        <v>16</v>
      </c>
      <c r="B27" s="97" t="str">
        <f>'SAF 011'!B25</f>
        <v>2.9.5-5507.2</v>
      </c>
      <c r="C27" s="120" t="str">
        <f>'SAF 011'!E25</f>
        <v>CADENAS P/BABEROS; MATERIAL : 147 dBV/mPa , USO: ODONTOLOGIA, MATERIAL: METAL</v>
      </c>
      <c r="D27" s="121"/>
      <c r="E27" s="121"/>
      <c r="F27" s="121"/>
      <c r="G27" s="122"/>
      <c r="H27" s="97" t="s">
        <v>367</v>
      </c>
      <c r="I27" s="107" t="str">
        <f>'SAF 011'!F25</f>
        <v>UNIDAD</v>
      </c>
      <c r="J27" s="108">
        <f>'SAF 011'!H25</f>
        <v>230</v>
      </c>
      <c r="K27" s="109">
        <f>'SAF 011'!G25</f>
        <v>50</v>
      </c>
    </row>
    <row r="28" spans="1:11" ht="16.5" customHeight="1" x14ac:dyDescent="0.25">
      <c r="A28" s="93">
        <v>17</v>
      </c>
      <c r="B28" s="97" t="str">
        <f>'SAF 011'!B26</f>
        <v>2.9.5-2563.4</v>
      </c>
      <c r="C28" s="120" t="str">
        <f>'SAF 011'!E26</f>
        <v>CARIOSTATICOS; ENVASE: AVIO X 5 mL, PRESENTACION: AVIO X 5 mL</v>
      </c>
      <c r="D28" s="121"/>
      <c r="E28" s="121"/>
      <c r="F28" s="121"/>
      <c r="G28" s="122"/>
      <c r="H28" s="97" t="s">
        <v>368</v>
      </c>
      <c r="I28" s="107" t="str">
        <f>'SAF 011'!F26</f>
        <v>UNIDAD</v>
      </c>
      <c r="J28" s="108">
        <f>'SAF 011'!H26</f>
        <v>1000</v>
      </c>
      <c r="K28" s="109">
        <f>'SAF 011'!G26</f>
        <v>100</v>
      </c>
    </row>
    <row r="29" spans="1:11" ht="16.5" customHeight="1" x14ac:dyDescent="0.25">
      <c r="A29" s="93">
        <v>18</v>
      </c>
      <c r="B29" s="97" t="str">
        <f>'SAF 011'!B27</f>
        <v>2.5.2-2322.20</v>
      </c>
      <c r="C29" s="120" t="str">
        <f>'SAF 011'!E27</f>
        <v>CEMENTOS QUIRURGICOS; PRESENTACION: AVIO 13 GRS/11 GRS, TIPO: HIDROXIDO DE CALCIO FRAGUABLE, USO: ODONTOLOGIA</v>
      </c>
      <c r="D29" s="121"/>
      <c r="E29" s="121"/>
      <c r="F29" s="121"/>
      <c r="G29" s="122"/>
      <c r="H29" s="97" t="s">
        <v>368</v>
      </c>
      <c r="I29" s="107" t="str">
        <f>'SAF 011'!F27</f>
        <v>CAJA</v>
      </c>
      <c r="J29" s="108">
        <f>'SAF 011'!H27</f>
        <v>500</v>
      </c>
      <c r="K29" s="109">
        <f>'SAF 011'!G27</f>
        <v>20</v>
      </c>
    </row>
    <row r="30" spans="1:11" ht="16.5" customHeight="1" x14ac:dyDescent="0.25">
      <c r="A30" s="93">
        <v>19</v>
      </c>
      <c r="B30" s="97" t="str">
        <f>'SAF 011'!B28</f>
        <v>2.5.2-2322.12</v>
      </c>
      <c r="C30" s="120" t="str">
        <f>'SAF 011'!E28</f>
        <v>CEMENTOS QUIRURGICOS; PRESENTACION: ENVASE X 20 GR, TIPO: GROSSMAN, USO: ODONTOLOGIA</v>
      </c>
      <c r="D30" s="121"/>
      <c r="E30" s="121"/>
      <c r="F30" s="121"/>
      <c r="G30" s="122"/>
      <c r="H30" s="97" t="s">
        <v>368</v>
      </c>
      <c r="I30" s="107" t="str">
        <f>'SAF 011'!F28</f>
        <v>UNIDAD</v>
      </c>
      <c r="J30" s="108">
        <f>'SAF 011'!H28</f>
        <v>500</v>
      </c>
      <c r="K30" s="109">
        <f>'SAF 011'!G28</f>
        <v>50</v>
      </c>
    </row>
    <row r="31" spans="1:11" ht="16.5" customHeight="1" x14ac:dyDescent="0.25">
      <c r="A31" s="93">
        <v>20</v>
      </c>
      <c r="B31" s="97" t="str">
        <f>'SAF 011'!B29</f>
        <v>2.5.9-1687.7</v>
      </c>
      <c r="C31" s="120" t="str">
        <f>'SAF 011'!E29</f>
        <v>CERAS; TIPO: ROSA, USO: ODONTOLOGICO, CAPACIDAD: ENVASE X 1 Kg, PRESENTACION: ENVASE X 1 Kg</v>
      </c>
      <c r="D31" s="121"/>
      <c r="E31" s="121"/>
      <c r="F31" s="121"/>
      <c r="G31" s="122"/>
      <c r="H31" s="97" t="s">
        <v>368</v>
      </c>
      <c r="I31" s="107" t="str">
        <f>'SAF 011'!F29</f>
        <v>UNIDAD</v>
      </c>
      <c r="J31" s="108">
        <f>'SAF 011'!H29</f>
        <v>200</v>
      </c>
      <c r="K31" s="109">
        <f>'SAF 011'!G29</f>
        <v>100</v>
      </c>
    </row>
    <row r="32" spans="1:11" ht="16.5" customHeight="1" x14ac:dyDescent="0.25">
      <c r="A32" s="93">
        <v>21</v>
      </c>
      <c r="B32" s="97" t="str">
        <f>'SAF 011'!B30</f>
        <v>2.5.9-1687.3</v>
      </c>
      <c r="C32" s="120" t="str">
        <f>'SAF 011'!E30</f>
        <v>CERAS; TIPO: UTILITY, USO: ODONTOLOGICO, CAPACIDAD: ENVASE X 200 GR, PRESENTACION: ENVASE X 200 GR</v>
      </c>
      <c r="D32" s="121"/>
      <c r="E32" s="121"/>
      <c r="F32" s="121"/>
      <c r="G32" s="122"/>
      <c r="H32" s="97" t="s">
        <v>368</v>
      </c>
      <c r="I32" s="107" t="str">
        <f>'SAF 011'!F30</f>
        <v>UNIDAD</v>
      </c>
      <c r="J32" s="108">
        <f>'SAF 011'!H30</f>
        <v>1000</v>
      </c>
      <c r="K32" s="109">
        <f>'SAF 011'!G30</f>
        <v>50</v>
      </c>
    </row>
    <row r="33" spans="1:11" ht="16.5" customHeight="1" x14ac:dyDescent="0.25">
      <c r="A33" s="93">
        <v>22</v>
      </c>
      <c r="B33" s="97" t="str">
        <f>'SAF 011'!B31</f>
        <v>2.9.5-2567.163</v>
      </c>
      <c r="C33" s="120" t="str">
        <f>'SAF 011'!E31</f>
        <v>FRESAS P/ODONTOLOGIA; MATERIAL: PIEDRA DE DIAMANTE, NUMERO: 4, LARGO: STANDAR, TIPO: REDONDA FG</v>
      </c>
      <c r="D33" s="121"/>
      <c r="E33" s="121"/>
      <c r="F33" s="121"/>
      <c r="G33" s="122"/>
      <c r="H33" s="97" t="s">
        <v>367</v>
      </c>
      <c r="I33" s="107" t="str">
        <f>'SAF 011'!F31</f>
        <v>UNIDAD</v>
      </c>
      <c r="J33" s="108">
        <f>'SAF 011'!H31</f>
        <v>300</v>
      </c>
      <c r="K33" s="109">
        <f>'SAF 011'!G31</f>
        <v>20</v>
      </c>
    </row>
    <row r="34" spans="1:11" ht="16.5" customHeight="1" x14ac:dyDescent="0.25">
      <c r="A34" s="93">
        <v>23</v>
      </c>
      <c r="B34" s="97" t="str">
        <f>'SAF 011'!B32</f>
        <v>2.9.5-2567.164</v>
      </c>
      <c r="C34" s="120" t="str">
        <f>'SAF 011'!E32</f>
        <v>FRESAS P/ODONTOLOGIA; MATERIAL: PIEDRA DE DIAMANTE, NUMERO: 5, LARGO: STANDAR, TIPO: REDONDA FG</v>
      </c>
      <c r="D34" s="121"/>
      <c r="E34" s="121"/>
      <c r="F34" s="121"/>
      <c r="G34" s="122"/>
      <c r="H34" s="97" t="s">
        <v>367</v>
      </c>
      <c r="I34" s="107" t="str">
        <f>'SAF 011'!F32</f>
        <v>UNIDAD</v>
      </c>
      <c r="J34" s="108">
        <f>'SAF 011'!H32</f>
        <v>300</v>
      </c>
      <c r="K34" s="109">
        <f>'SAF 011'!G32</f>
        <v>20</v>
      </c>
    </row>
    <row r="35" spans="1:11" ht="16.5" customHeight="1" x14ac:dyDescent="0.25">
      <c r="A35" s="93">
        <v>24</v>
      </c>
      <c r="B35" s="97" t="str">
        <f>'SAF 011'!B33</f>
        <v>2.9.5-2567.165</v>
      </c>
      <c r="C35" s="120" t="str">
        <f>'SAF 011'!E33</f>
        <v>FRESAS P/ODONTOLOGIA; MATERIAL: PIEDRA DE DIAMANTE, NUMERO: 6, LARGO: STANDAR, TIPO: REDONDA FG</v>
      </c>
      <c r="D35" s="121"/>
      <c r="E35" s="121"/>
      <c r="F35" s="121"/>
      <c r="G35" s="122"/>
      <c r="H35" s="97" t="s">
        <v>367</v>
      </c>
      <c r="I35" s="107" t="str">
        <f>'SAF 011'!F33</f>
        <v>UNIDAD</v>
      </c>
      <c r="J35" s="108">
        <f>'SAF 011'!H33</f>
        <v>300</v>
      </c>
      <c r="K35" s="109">
        <f>'SAF 011'!G33</f>
        <v>20</v>
      </c>
    </row>
    <row r="36" spans="1:11" ht="16.5" customHeight="1" x14ac:dyDescent="0.25">
      <c r="A36" s="93">
        <v>25</v>
      </c>
      <c r="B36" s="97" t="str">
        <f>'SAF 011'!B34</f>
        <v>2.9.5-2567.201</v>
      </c>
      <c r="C36" s="120" t="str">
        <f>'SAF 011'!E34</f>
        <v>FRESAS P/ODONTOLOGIA; MATERIAL: PIEDRA DE DIAMANTE, NUMERO: SIN, LARGO: STANDAR, TIPO: AGUJA GRANO ULTRA FINO FG</v>
      </c>
      <c r="D36" s="121"/>
      <c r="E36" s="121"/>
      <c r="F36" s="121"/>
      <c r="G36" s="122"/>
      <c r="H36" s="97" t="s">
        <v>368</v>
      </c>
      <c r="I36" s="107" t="str">
        <f>'SAF 011'!F34</f>
        <v>UNIDAD</v>
      </c>
      <c r="J36" s="108">
        <f>'SAF 011'!H34</f>
        <v>300</v>
      </c>
      <c r="K36" s="109">
        <f>'SAF 011'!G34</f>
        <v>100</v>
      </c>
    </row>
    <row r="37" spans="1:11" ht="16.5" customHeight="1" x14ac:dyDescent="0.25">
      <c r="A37" s="93">
        <v>26</v>
      </c>
      <c r="B37" s="97" t="str">
        <f>'SAF 011'!B35</f>
        <v>2.9.5-2567.239</v>
      </c>
      <c r="C37" s="120" t="str">
        <f>'SAF 011'!E35</f>
        <v>FRESAS P/ODONTOLOGIA; MATERIAL: PIEDRA DE DIAMANTE, NUMERO: SIN, LARGO: STANDAR, TIPO: CILINDRICA FG</v>
      </c>
      <c r="D37" s="121"/>
      <c r="E37" s="121"/>
      <c r="F37" s="121"/>
      <c r="G37" s="122"/>
      <c r="H37" s="97" t="s">
        <v>368</v>
      </c>
      <c r="I37" s="107" t="str">
        <f>'SAF 011'!F35</f>
        <v>UNIDAD</v>
      </c>
      <c r="J37" s="108">
        <f>'SAF 011'!H35</f>
        <v>300</v>
      </c>
      <c r="K37" s="109">
        <f>'SAF 011'!G35</f>
        <v>100</v>
      </c>
    </row>
    <row r="38" spans="1:11" ht="16.5" customHeight="1" x14ac:dyDescent="0.25">
      <c r="A38" s="93">
        <v>27</v>
      </c>
      <c r="B38" s="97" t="str">
        <f>'SAF 011'!B36</f>
        <v>2.9.5-444.24</v>
      </c>
      <c r="C38" s="120" t="str">
        <f>'SAF 011'!E36</f>
        <v>HOJAS DE BISTURI; TIPO: CAJA X 100 UN, Nº: 15, NUMERO: 15</v>
      </c>
      <c r="D38" s="121"/>
      <c r="E38" s="121"/>
      <c r="F38" s="121"/>
      <c r="G38" s="122"/>
      <c r="H38" s="97" t="s">
        <v>367</v>
      </c>
      <c r="I38" s="107" t="str">
        <f>'SAF 011'!F36</f>
        <v>CAJA</v>
      </c>
      <c r="J38" s="108">
        <f>'SAF 011'!H36</f>
        <v>1200</v>
      </c>
      <c r="K38" s="109">
        <f>'SAF 011'!G36</f>
        <v>10</v>
      </c>
    </row>
    <row r="39" spans="1:11" ht="16.5" customHeight="1" x14ac:dyDescent="0.25">
      <c r="A39" s="93">
        <v>28</v>
      </c>
      <c r="B39" s="97" t="str">
        <f>'SAF 011'!B37</f>
        <v>2.7.5-421.19</v>
      </c>
      <c r="C39" s="120" t="str">
        <f>'SAF 011'!E37</f>
        <v>HOJAS DE SIERRA; DIENTES X PULGADA: SIN VALOR, LONG.DE CUERPO: 14 Cm, TIPO: COMUN</v>
      </c>
      <c r="D39" s="121"/>
      <c r="E39" s="121"/>
      <c r="F39" s="121"/>
      <c r="G39" s="122"/>
      <c r="H39" s="97" t="s">
        <v>368</v>
      </c>
      <c r="I39" s="107" t="str">
        <f>'SAF 011'!F37</f>
        <v>UNIDAD</v>
      </c>
      <c r="J39" s="108">
        <f>'SAF 011'!H37</f>
        <v>200</v>
      </c>
      <c r="K39" s="109">
        <f>'SAF 011'!G37</f>
        <v>20</v>
      </c>
    </row>
    <row r="40" spans="1:11" ht="16.5" customHeight="1" x14ac:dyDescent="0.25">
      <c r="A40" s="93">
        <v>29</v>
      </c>
      <c r="B40" s="97" t="str">
        <f>'SAF 011'!B38</f>
        <v>2.9.5-5144.184</v>
      </c>
      <c r="C40" s="120" t="str">
        <f>'SAF 011'!E38</f>
        <v>INSTRUMENTAL ODONTOLOGICO; DESCARTABLE: NO, PRESENTACION: UNIDAD, TIPO: ALICATE DE CORTE Y MODELADO</v>
      </c>
      <c r="D40" s="121"/>
      <c r="E40" s="121"/>
      <c r="F40" s="121"/>
      <c r="G40" s="122"/>
      <c r="H40" s="97" t="s">
        <v>368</v>
      </c>
      <c r="I40" s="107" t="str">
        <f>'SAF 011'!F38</f>
        <v>UNIDAD</v>
      </c>
      <c r="J40" s="108">
        <f>'SAF 011'!H38</f>
        <v>4000</v>
      </c>
      <c r="K40" s="109">
        <f>'SAF 011'!G38</f>
        <v>6</v>
      </c>
    </row>
    <row r="41" spans="1:11" ht="16.5" customHeight="1" x14ac:dyDescent="0.25">
      <c r="A41" s="93">
        <v>30</v>
      </c>
      <c r="B41" s="97" t="str">
        <f>'SAF 011'!B39</f>
        <v>2.9.5-5144.177</v>
      </c>
      <c r="C41" s="120" t="str">
        <f>'SAF 011'!E39</f>
        <v>INSTRUMENTAL ODONTOLOGICO; DESCARTABLE: NO, PRESENTACION: UNIDAD, TIPO: MATRIZ METALICA</v>
      </c>
      <c r="D41" s="121"/>
      <c r="E41" s="121"/>
      <c r="F41" s="121"/>
      <c r="G41" s="122"/>
      <c r="H41" s="97" t="s">
        <v>368</v>
      </c>
      <c r="I41" s="107" t="str">
        <f>'SAF 011'!F39</f>
        <v>UNIDAD</v>
      </c>
      <c r="J41" s="108">
        <f>'SAF 011'!H39</f>
        <v>500</v>
      </c>
      <c r="K41" s="109">
        <f>'SAF 011'!G39</f>
        <v>10</v>
      </c>
    </row>
    <row r="42" spans="1:11" ht="16.5" customHeight="1" x14ac:dyDescent="0.25">
      <c r="A42" s="93">
        <v>31</v>
      </c>
      <c r="B42" s="97" t="str">
        <f>'SAF 011'!B40</f>
        <v>2.9.5-5144.593</v>
      </c>
      <c r="C42" s="120" t="str">
        <f>'SAF 011'!E40</f>
        <v>INSTRUMENTAL ODONTOLOGICO; TIPO: CEPILLO DE 4 HILERAS, DESCARTABLE: SI, PRESENTACION: UNIDAD</v>
      </c>
      <c r="D42" s="121"/>
      <c r="E42" s="121"/>
      <c r="F42" s="121"/>
      <c r="G42" s="122"/>
      <c r="H42" s="97" t="s">
        <v>368</v>
      </c>
      <c r="I42" s="107" t="str">
        <f>'SAF 011'!F40</f>
        <v>UNIDAD</v>
      </c>
      <c r="J42" s="108">
        <f>'SAF 011'!H40</f>
        <v>400</v>
      </c>
      <c r="K42" s="109">
        <f>'SAF 011'!G40</f>
        <v>30</v>
      </c>
    </row>
    <row r="43" spans="1:11" ht="16.5" customHeight="1" x14ac:dyDescent="0.25">
      <c r="A43" s="93">
        <v>32</v>
      </c>
      <c r="B43" s="97" t="str">
        <f>'SAF 011'!B41</f>
        <v>2.9.5-5144.481</v>
      </c>
      <c r="C43" s="120" t="str">
        <f>'SAF 011'!E41</f>
        <v>INSTRUMENTAL ODONTOLOGICO; TIPO: CLIP P/RADIOGRAFIA, DESCARTABLE: NO, PRESENTACION: UNIDAD</v>
      </c>
      <c r="D43" s="121"/>
      <c r="E43" s="121"/>
      <c r="F43" s="121"/>
      <c r="G43" s="122"/>
      <c r="H43" s="97" t="s">
        <v>368</v>
      </c>
      <c r="I43" s="107" t="str">
        <f>'SAF 011'!F41</f>
        <v>UNIDAD</v>
      </c>
      <c r="J43" s="108">
        <f>'SAF 011'!H41</f>
        <v>1500</v>
      </c>
      <c r="K43" s="109">
        <f>'SAF 011'!G41</f>
        <v>10</v>
      </c>
    </row>
    <row r="44" spans="1:11" ht="16.5" customHeight="1" x14ac:dyDescent="0.25">
      <c r="A44" s="93">
        <v>33</v>
      </c>
      <c r="B44" s="97" t="str">
        <f>'SAF 011'!B42</f>
        <v>2.9.5-5144.563</v>
      </c>
      <c r="C44" s="120" t="str">
        <f>'SAF 011'!E42</f>
        <v>INSTRUMENTAL ODONTOLOGICO; TIPO: COMPRESA P/PLATINA AZUL, DESCARTABLE: SI, PRESENTACION: CAJA X 500 UN</v>
      </c>
      <c r="D44" s="121"/>
      <c r="E44" s="121"/>
      <c r="F44" s="121"/>
      <c r="G44" s="122"/>
      <c r="H44" s="97" t="s">
        <v>368</v>
      </c>
      <c r="I44" s="107" t="str">
        <f>'SAF 011'!F42</f>
        <v>CAJA</v>
      </c>
      <c r="J44" s="108">
        <f>'SAF 011'!H42</f>
        <v>200</v>
      </c>
      <c r="K44" s="109">
        <f>'SAF 011'!G42</f>
        <v>700</v>
      </c>
    </row>
    <row r="45" spans="1:11" ht="16.5" customHeight="1" x14ac:dyDescent="0.25">
      <c r="A45" s="93">
        <v>34</v>
      </c>
      <c r="B45" s="97" t="str">
        <f>'SAF 011'!B43</f>
        <v>2.9.5-5144.242</v>
      </c>
      <c r="C45" s="120" t="str">
        <f>'SAF 011'!E43</f>
        <v>INSTRUMENTAL ODONTOLOGICO; TIPO: CONO CONDENS. LAT. XX FINE, DESCARTABLE: SI, PRESENTACION: CAJA X 120</v>
      </c>
      <c r="D45" s="121"/>
      <c r="E45" s="121"/>
      <c r="F45" s="121"/>
      <c r="G45" s="122"/>
      <c r="H45" s="97" t="s">
        <v>368</v>
      </c>
      <c r="I45" s="107" t="str">
        <f>'SAF 011'!F43</f>
        <v>CAJA</v>
      </c>
      <c r="J45" s="108">
        <f>'SAF 011'!H43</f>
        <v>600</v>
      </c>
      <c r="K45" s="109">
        <f>'SAF 011'!G43</f>
        <v>100</v>
      </c>
    </row>
    <row r="46" spans="1:11" ht="16.5" customHeight="1" x14ac:dyDescent="0.25">
      <c r="A46" s="93">
        <v>35</v>
      </c>
      <c r="B46" s="97" t="str">
        <f>'SAF 011'!B44</f>
        <v>2.9.5-5144.242</v>
      </c>
      <c r="C46" s="120" t="str">
        <f>'SAF 011'!E44</f>
        <v>INSTRUMENTAL ODONTOLOGICO; TIPO: CONO CONDENS. LAT. XX FINE, DESCARTABLE: SI, PRESENTACION: CAJA X 120</v>
      </c>
      <c r="D46" s="121"/>
      <c r="E46" s="121"/>
      <c r="F46" s="121"/>
      <c r="G46" s="122"/>
      <c r="H46" s="97" t="s">
        <v>368</v>
      </c>
      <c r="I46" s="107" t="str">
        <f>'SAF 011'!F44</f>
        <v>CAJA</v>
      </c>
      <c r="J46" s="108">
        <f>'SAF 011'!H44</f>
        <v>600</v>
      </c>
      <c r="K46" s="109">
        <f>'SAF 011'!G44</f>
        <v>100</v>
      </c>
    </row>
    <row r="47" spans="1:11" ht="16.5" customHeight="1" x14ac:dyDescent="0.25">
      <c r="A47" s="93">
        <v>36</v>
      </c>
      <c r="B47" s="97" t="str">
        <f>'SAF 011'!B45</f>
        <v>2.9.5-5144.242</v>
      </c>
      <c r="C47" s="120" t="str">
        <f>'SAF 011'!E45</f>
        <v>INSTRUMENTAL ODONTOLOGICO; TIPO: CONO CONDENS. LAT. XX FINE, DESCARTABLE: SI, PRESENTACION: CAJA X 120</v>
      </c>
      <c r="D47" s="121"/>
      <c r="E47" s="121"/>
      <c r="F47" s="121"/>
      <c r="G47" s="122"/>
      <c r="H47" s="97" t="s">
        <v>368</v>
      </c>
      <c r="I47" s="107" t="str">
        <f>'SAF 011'!F45</f>
        <v>CAJA</v>
      </c>
      <c r="J47" s="108">
        <f>'SAF 011'!H45</f>
        <v>600</v>
      </c>
      <c r="K47" s="109">
        <f>'SAF 011'!G45</f>
        <v>100</v>
      </c>
    </row>
    <row r="48" spans="1:11" ht="16.5" customHeight="1" x14ac:dyDescent="0.25">
      <c r="A48" s="93">
        <v>37</v>
      </c>
      <c r="B48" s="97" t="str">
        <f>'SAF 011'!B46</f>
        <v>2.9.5-5144.242</v>
      </c>
      <c r="C48" s="120" t="str">
        <f>'SAF 011'!E46</f>
        <v>INSTRUMENTAL ODONTOLOGICO; TIPO: CONO CONDENS. LAT. XX FINE, DESCARTABLE: SI, PRESENTACION: CAJA X 120</v>
      </c>
      <c r="D48" s="121"/>
      <c r="E48" s="121"/>
      <c r="F48" s="121"/>
      <c r="G48" s="122"/>
      <c r="H48" s="97" t="s">
        <v>368</v>
      </c>
      <c r="I48" s="107" t="str">
        <f>'SAF 011'!F46</f>
        <v>CAJA</v>
      </c>
      <c r="J48" s="108">
        <f>'SAF 011'!H46</f>
        <v>600</v>
      </c>
      <c r="K48" s="109">
        <f>'SAF 011'!G46</f>
        <v>100</v>
      </c>
    </row>
    <row r="49" spans="1:11" ht="16.5" customHeight="1" x14ac:dyDescent="0.25">
      <c r="A49" s="93">
        <v>38</v>
      </c>
      <c r="B49" s="97" t="str">
        <f>'SAF 011'!B47</f>
        <v>2.9.5-5144.242</v>
      </c>
      <c r="C49" s="120" t="str">
        <f>'SAF 011'!E47</f>
        <v>INSTRUMENTAL ODONTOLOGICO; TIPO: CONO CONDENS. LAT. XX FINE, DESCARTABLE: SI, PRESENTACION: CAJA X 120</v>
      </c>
      <c r="D49" s="121"/>
      <c r="E49" s="121"/>
      <c r="F49" s="121"/>
      <c r="G49" s="122"/>
      <c r="H49" s="97" t="s">
        <v>368</v>
      </c>
      <c r="I49" s="107" t="str">
        <f>'SAF 011'!F47</f>
        <v>CAJA</v>
      </c>
      <c r="J49" s="108">
        <f>'SAF 011'!H47</f>
        <v>600</v>
      </c>
      <c r="K49" s="109">
        <f>'SAF 011'!G47</f>
        <v>100</v>
      </c>
    </row>
    <row r="50" spans="1:11" ht="16.5" customHeight="1" x14ac:dyDescent="0.25">
      <c r="A50" s="93">
        <v>39</v>
      </c>
      <c r="B50" s="97" t="str">
        <f>'SAF 011'!B48</f>
        <v>2.9.5-5144.107</v>
      </c>
      <c r="C50" s="120" t="str">
        <f>'SAF 011'!E48</f>
        <v>INSTRUMENTAL ODONTOLOGICO; TIPO: CONO DE FIELTRO, PRESENTACION: UNIDAD, DESCARTABLE: NO</v>
      </c>
      <c r="D50" s="121"/>
      <c r="E50" s="121"/>
      <c r="F50" s="121"/>
      <c r="G50" s="122"/>
      <c r="H50" s="97" t="s">
        <v>368</v>
      </c>
      <c r="I50" s="107" t="str">
        <f>'SAF 011'!F48</f>
        <v>UNIDAD</v>
      </c>
      <c r="J50" s="108">
        <f>'SAF 011'!H48</f>
        <v>400</v>
      </c>
      <c r="K50" s="109">
        <f>'SAF 011'!G48</f>
        <v>100</v>
      </c>
    </row>
    <row r="51" spans="1:11" ht="16.5" customHeight="1" x14ac:dyDescent="0.25">
      <c r="A51" s="93">
        <v>40</v>
      </c>
      <c r="B51" s="97" t="str">
        <f>'SAF 011'!B49</f>
        <v>2.9.5-5144.253</v>
      </c>
      <c r="C51" s="120" t="str">
        <f>'SAF 011'!E49</f>
        <v>INSTRUMENTAL ODONTOLOGICO; TIPO: CONO DE PAPEL Nº 15-40, DESCARTABLE: SI, PRESENTACION: UNIDAD</v>
      </c>
      <c r="D51" s="121"/>
      <c r="E51" s="121"/>
      <c r="F51" s="121"/>
      <c r="G51" s="122"/>
      <c r="H51" s="97" t="s">
        <v>368</v>
      </c>
      <c r="I51" s="107" t="str">
        <f>'SAF 011'!F49</f>
        <v>CAJA</v>
      </c>
      <c r="J51" s="108">
        <f>'SAF 011'!H49</f>
        <v>500</v>
      </c>
      <c r="K51" s="109">
        <f>'SAF 011'!G49</f>
        <v>200</v>
      </c>
    </row>
    <row r="52" spans="1:11" ht="16.5" customHeight="1" x14ac:dyDescent="0.25">
      <c r="A52" s="93">
        <v>41</v>
      </c>
      <c r="B52" s="97" t="str">
        <f>'SAF 011'!B50</f>
        <v>2.9.5-5144.254</v>
      </c>
      <c r="C52" s="120" t="str">
        <f>'SAF 011'!E50</f>
        <v>INSTRUMENTAL ODONTOLOGICO; TIPO: CONO DE PAPEL Nº 45-80, DESCARTABLE: SI, PRESENTACION: UNIDAD</v>
      </c>
      <c r="D52" s="121"/>
      <c r="E52" s="121"/>
      <c r="F52" s="121"/>
      <c r="G52" s="122"/>
      <c r="H52" s="97" t="s">
        <v>368</v>
      </c>
      <c r="I52" s="107" t="str">
        <f>'SAF 011'!F50</f>
        <v>CAJA</v>
      </c>
      <c r="J52" s="108">
        <f>'SAF 011'!H50</f>
        <v>500</v>
      </c>
      <c r="K52" s="109">
        <f>'SAF 011'!G50</f>
        <v>200</v>
      </c>
    </row>
    <row r="53" spans="1:11" ht="16.5" customHeight="1" x14ac:dyDescent="0.25">
      <c r="A53" s="93">
        <v>42</v>
      </c>
      <c r="B53" s="97" t="str">
        <f>'SAF 011'!B51</f>
        <v>2.9.5-5144.397</v>
      </c>
      <c r="C53" s="120" t="str">
        <f>'SAF 011'!E51</f>
        <v>INSTRUMENTAL ODONTOLOGICO; TIPO: CONO GUTAPERCHA Nº 15-40, DESCARTABLE: SI, PRESENTACION: CAJA X 120</v>
      </c>
      <c r="D53" s="121"/>
      <c r="E53" s="121"/>
      <c r="F53" s="121"/>
      <c r="G53" s="122"/>
      <c r="H53" s="97" t="s">
        <v>368</v>
      </c>
      <c r="I53" s="107" t="str">
        <f>'SAF 011'!F51</f>
        <v>CAJA</v>
      </c>
      <c r="J53" s="108">
        <f>'SAF 011'!H51</f>
        <v>600</v>
      </c>
      <c r="K53" s="109">
        <f>'SAF 011'!G51</f>
        <v>100</v>
      </c>
    </row>
    <row r="54" spans="1:11" ht="16.5" customHeight="1" x14ac:dyDescent="0.25">
      <c r="A54" s="93">
        <v>43</v>
      </c>
      <c r="B54" s="97" t="str">
        <f>'SAF 011'!B52</f>
        <v>2.9.5-5144.244</v>
      </c>
      <c r="C54" s="120" t="str">
        <f>'SAF 011'!E52</f>
        <v>INSTRUMENTAL ODONTOLOGICO; TIPO: CONO GUTAPERCHA Nº20, DESCARTABLE: SI, PRESENTACION: UNIDAD</v>
      </c>
      <c r="D54" s="121"/>
      <c r="E54" s="121"/>
      <c r="F54" s="121"/>
      <c r="G54" s="122"/>
      <c r="H54" s="97" t="s">
        <v>368</v>
      </c>
      <c r="I54" s="107" t="str">
        <f>'SAF 011'!F52</f>
        <v>CAJA</v>
      </c>
      <c r="J54" s="108">
        <f>'SAF 011'!H52</f>
        <v>500</v>
      </c>
      <c r="K54" s="109">
        <f>'SAF 011'!G52</f>
        <v>200</v>
      </c>
    </row>
    <row r="55" spans="1:11" ht="16.5" customHeight="1" x14ac:dyDescent="0.25">
      <c r="A55" s="93">
        <v>44</v>
      </c>
      <c r="B55" s="97" t="str">
        <f>'SAF 011'!B53</f>
        <v>2.9.5-5144.245</v>
      </c>
      <c r="C55" s="120" t="str">
        <f>'SAF 011'!E53</f>
        <v>INSTRUMENTAL ODONTOLOGICO; TIPO: CONO GUTAPERCHA Nº25, DESCARTABLE: SI, PRESENTACION: UNIDAD</v>
      </c>
      <c r="D55" s="121"/>
      <c r="E55" s="121"/>
      <c r="F55" s="121"/>
      <c r="G55" s="122"/>
      <c r="H55" s="97" t="s">
        <v>368</v>
      </c>
      <c r="I55" s="107" t="str">
        <f>'SAF 011'!F53</f>
        <v>CAJA</v>
      </c>
      <c r="J55" s="108">
        <f>'SAF 011'!H53</f>
        <v>500</v>
      </c>
      <c r="K55" s="109">
        <f>'SAF 011'!G53</f>
        <v>200</v>
      </c>
    </row>
    <row r="56" spans="1:11" ht="16.5" customHeight="1" x14ac:dyDescent="0.25">
      <c r="A56" s="93">
        <v>45</v>
      </c>
      <c r="B56" s="97" t="str">
        <f>'SAF 011'!B54</f>
        <v>2.9.5-5144.246</v>
      </c>
      <c r="C56" s="120" t="str">
        <f>'SAF 011'!E54</f>
        <v>INSTRUMENTAL ODONTOLOGICO; TIPO: CONO GUTAPERCHA Nº30, DESCARTABLE: SI, PRESENTACION: UNIDAD</v>
      </c>
      <c r="D56" s="121"/>
      <c r="E56" s="121"/>
      <c r="F56" s="121"/>
      <c r="G56" s="122"/>
      <c r="H56" s="97" t="s">
        <v>368</v>
      </c>
      <c r="I56" s="107" t="str">
        <f>'SAF 011'!F54</f>
        <v>CAJA</v>
      </c>
      <c r="J56" s="108">
        <f>'SAF 011'!H54</f>
        <v>600</v>
      </c>
      <c r="K56" s="109">
        <f>'SAF 011'!G54</f>
        <v>100</v>
      </c>
    </row>
    <row r="57" spans="1:11" ht="16.5" customHeight="1" x14ac:dyDescent="0.25">
      <c r="A57" s="93">
        <v>46</v>
      </c>
      <c r="B57" s="97" t="str">
        <f>'SAF 011'!B55</f>
        <v>2.9.5-5144.247</v>
      </c>
      <c r="C57" s="120" t="str">
        <f>'SAF 011'!E55</f>
        <v>INSTRUMENTAL ODONTOLOGICO; TIPO: CONO GUTAPERCHA Nº35, DESCARTABLE: SI, PRESENTACION: UNIDAD</v>
      </c>
      <c r="D57" s="121"/>
      <c r="E57" s="121"/>
      <c r="F57" s="121"/>
      <c r="G57" s="122"/>
      <c r="H57" s="97" t="s">
        <v>368</v>
      </c>
      <c r="I57" s="107" t="str">
        <f>'SAF 011'!F55</f>
        <v>CAJA</v>
      </c>
      <c r="J57" s="108">
        <f>'SAF 011'!H55</f>
        <v>600</v>
      </c>
      <c r="K57" s="109">
        <f>'SAF 011'!G55</f>
        <v>100</v>
      </c>
    </row>
    <row r="58" spans="1:11" ht="16.5" customHeight="1" x14ac:dyDescent="0.25">
      <c r="A58" s="93">
        <v>47</v>
      </c>
      <c r="B58" s="97" t="str">
        <f>'SAF 011'!B56</f>
        <v>2.9.5-5144.248</v>
      </c>
      <c r="C58" s="120" t="str">
        <f>'SAF 011'!E56</f>
        <v>INSTRUMENTAL ODONTOLOGICO; TIPO: CONO GUTAPERCHA Nº40, DESCARTABLE: SI, PRESENTACION: UNIDAD</v>
      </c>
      <c r="D58" s="121"/>
      <c r="E58" s="121"/>
      <c r="F58" s="121"/>
      <c r="G58" s="122"/>
      <c r="H58" s="97" t="s">
        <v>368</v>
      </c>
      <c r="I58" s="107" t="str">
        <f>'SAF 011'!F56</f>
        <v>CAJA</v>
      </c>
      <c r="J58" s="108">
        <f>'SAF 011'!H56</f>
        <v>600</v>
      </c>
      <c r="K58" s="109">
        <f>'SAF 011'!G56</f>
        <v>100</v>
      </c>
    </row>
    <row r="59" spans="1:11" ht="16.5" customHeight="1" x14ac:dyDescent="0.25">
      <c r="A59" s="93">
        <v>48</v>
      </c>
      <c r="B59" s="97" t="str">
        <f>'SAF 011'!B57</f>
        <v>2.9.5-5144.249</v>
      </c>
      <c r="C59" s="120" t="str">
        <f>'SAF 011'!E57</f>
        <v>INSTRUMENTAL ODONTOLOGICO; TIPO: CONO GUTAPERCHA Nº45, DESCARTABLE: SI, PRESENTACION: UNIDAD</v>
      </c>
      <c r="D59" s="121"/>
      <c r="E59" s="121"/>
      <c r="F59" s="121"/>
      <c r="G59" s="122"/>
      <c r="H59" s="97" t="s">
        <v>368</v>
      </c>
      <c r="I59" s="107" t="str">
        <f>'SAF 011'!F57</f>
        <v>CAJA</v>
      </c>
      <c r="J59" s="108">
        <f>'SAF 011'!H57</f>
        <v>600</v>
      </c>
      <c r="K59" s="109">
        <f>'SAF 011'!G57</f>
        <v>100</v>
      </c>
    </row>
    <row r="60" spans="1:11" ht="16.5" customHeight="1" x14ac:dyDescent="0.25">
      <c r="A60" s="93">
        <v>49</v>
      </c>
      <c r="B60" s="97" t="str">
        <f>'SAF 011'!B58</f>
        <v>2.9.5-5144.408</v>
      </c>
      <c r="C60" s="120" t="str">
        <f>'SAF 011'!E58</f>
        <v>INSTRUMENTAL ODONTOLOGICO; TIPO: CONO GUTAPERCHA Nº45/80, DESCARTABLE: SI, PRESENTACION: CAJA X 120</v>
      </c>
      <c r="D60" s="121"/>
      <c r="E60" s="121"/>
      <c r="F60" s="121"/>
      <c r="G60" s="122"/>
      <c r="H60" s="97" t="s">
        <v>368</v>
      </c>
      <c r="I60" s="107" t="str">
        <f>'SAF 011'!F58</f>
        <v>CAJA</v>
      </c>
      <c r="J60" s="108">
        <f>'SAF 011'!H58</f>
        <v>600</v>
      </c>
      <c r="K60" s="109">
        <f>'SAF 011'!G58</f>
        <v>100</v>
      </c>
    </row>
    <row r="61" spans="1:11" ht="16.5" customHeight="1" x14ac:dyDescent="0.25">
      <c r="A61" s="93">
        <v>50</v>
      </c>
      <c r="B61" s="97" t="str">
        <f>'SAF 011'!B59</f>
        <v>2.9.5-5144.148</v>
      </c>
      <c r="C61" s="120" t="str">
        <f>'SAF 011'!E59</f>
        <v>INSTRUMENTAL ODONTOLOGICO; TIPO: DISCO P/PULIR COMPOSITE, DESCARTABLE: NO, PRESENTACION: CAJA X 50 UN</v>
      </c>
      <c r="D61" s="121"/>
      <c r="E61" s="121"/>
      <c r="F61" s="121"/>
      <c r="G61" s="122"/>
      <c r="H61" s="97" t="s">
        <v>368</v>
      </c>
      <c r="I61" s="107" t="str">
        <f>'SAF 011'!F59</f>
        <v>CAJA</v>
      </c>
      <c r="J61" s="108">
        <f>'SAF 011'!H59</f>
        <v>800</v>
      </c>
      <c r="K61" s="109">
        <f>'SAF 011'!G59</f>
        <v>80</v>
      </c>
    </row>
    <row r="62" spans="1:11" ht="16.5" customHeight="1" x14ac:dyDescent="0.25">
      <c r="A62" s="93">
        <v>51</v>
      </c>
      <c r="B62" s="97" t="str">
        <f>'SAF 011'!B60</f>
        <v>2.9.5-5144.39</v>
      </c>
      <c r="C62" s="120" t="str">
        <f>'SAF 011'!E60</f>
        <v>INSTRUMENTAL ODONTOLOGICO; TIPO: ESPACIADOR P/CONOS GUTA-PERCHA, DESCARTABLE: NO, PRESENTACION: UNIDAD</v>
      </c>
      <c r="D62" s="121"/>
      <c r="E62" s="121"/>
      <c r="F62" s="121"/>
      <c r="G62" s="122"/>
      <c r="H62" s="97" t="s">
        <v>368</v>
      </c>
      <c r="I62" s="107" t="str">
        <f>'SAF 011'!F60</f>
        <v>UNIDAD</v>
      </c>
      <c r="J62" s="108">
        <f>'SAF 011'!H60</f>
        <v>500</v>
      </c>
      <c r="K62" s="109">
        <f>'SAF 011'!G60</f>
        <v>20</v>
      </c>
    </row>
    <row r="63" spans="1:11" ht="16.5" customHeight="1" x14ac:dyDescent="0.25">
      <c r="A63" s="93">
        <v>52</v>
      </c>
      <c r="B63" s="97" t="str">
        <f>'SAF 011'!B61</f>
        <v>2.9.5-5144.227</v>
      </c>
      <c r="C63" s="120" t="str">
        <f>'SAF 011'!E61</f>
        <v>INSTRUMENTAL ODONTOLOGICO; TIPO: FLAMEADOR, DESCARTABLE: NO, PRESENTACION: UNIDAD</v>
      </c>
      <c r="D63" s="121"/>
      <c r="E63" s="121"/>
      <c r="F63" s="121"/>
      <c r="G63" s="122"/>
      <c r="H63" s="97" t="s">
        <v>368</v>
      </c>
      <c r="I63" s="107" t="str">
        <f>'SAF 011'!F61</f>
        <v>UNIDAD</v>
      </c>
      <c r="J63" s="108">
        <f>'SAF 011'!H61</f>
        <v>300</v>
      </c>
      <c r="K63" s="109">
        <f>'SAF 011'!G61</f>
        <v>20</v>
      </c>
    </row>
    <row r="64" spans="1:11" ht="16.5" customHeight="1" x14ac:dyDescent="0.25">
      <c r="A64" s="93">
        <v>53</v>
      </c>
      <c r="B64" s="97" t="str">
        <f>'SAF 011'!B62</f>
        <v>2.9.5-5144.323</v>
      </c>
      <c r="C64" s="120" t="str">
        <f>'SAF 011'!E62</f>
        <v>INSTRUMENTAL ODONTOLOGICO; TIPO: GOMA DIQUE, DESCARTABLE: SI, PRESENTACION: ENVASE X 52 UN</v>
      </c>
      <c r="D64" s="121"/>
      <c r="E64" s="121"/>
      <c r="F64" s="121"/>
      <c r="G64" s="122"/>
      <c r="H64" s="97" t="s">
        <v>368</v>
      </c>
      <c r="I64" s="107" t="str">
        <f>'SAF 011'!F62</f>
        <v>CAJA</v>
      </c>
      <c r="J64" s="108">
        <f>'SAF 011'!H62</f>
        <v>260</v>
      </c>
      <c r="K64" s="109">
        <f>'SAF 011'!G62</f>
        <v>50</v>
      </c>
    </row>
    <row r="65" spans="1:11" ht="16.5" customHeight="1" x14ac:dyDescent="0.25">
      <c r="A65" s="93">
        <v>54</v>
      </c>
      <c r="B65" s="97" t="str">
        <f>'SAF 011'!B63</f>
        <v>2.9.5-5144.453</v>
      </c>
      <c r="C65" s="120" t="str">
        <f>'SAF 011'!E63</f>
        <v>INSTRUMENTAL ODONTOLOGICO; TIPO: GOMA P/PULIR COMPOSITE, DESCARTABLE: NO, PRESENTACION: KIT</v>
      </c>
      <c r="D65" s="121"/>
      <c r="E65" s="121"/>
      <c r="F65" s="121"/>
      <c r="G65" s="122"/>
      <c r="H65" s="97" t="s">
        <v>368</v>
      </c>
      <c r="I65" s="107" t="str">
        <f>'SAF 011'!F63</f>
        <v>CAJA</v>
      </c>
      <c r="J65" s="108">
        <f>'SAF 011'!H63</f>
        <v>1000</v>
      </c>
      <c r="K65" s="109">
        <f>'SAF 011'!G63</f>
        <v>30</v>
      </c>
    </row>
    <row r="66" spans="1:11" ht="16.5" customHeight="1" x14ac:dyDescent="0.25">
      <c r="A66" s="93">
        <v>55</v>
      </c>
      <c r="B66" s="97" t="str">
        <f>'SAF 011'!B64</f>
        <v>2.9.5-5144.155</v>
      </c>
      <c r="C66" s="120" t="str">
        <f>'SAF 011'!E64</f>
        <v>INSTRUMENTAL ODONTOLOGICO; TIPO: GOMA SILICONADA P/PIEZA DE MAN, DESCARTABLE: NO, PRESENTACION: UNIDAD</v>
      </c>
      <c r="D66" s="121"/>
      <c r="E66" s="121"/>
      <c r="F66" s="121"/>
      <c r="G66" s="122"/>
      <c r="H66" s="97" t="s">
        <v>368</v>
      </c>
      <c r="I66" s="107" t="str">
        <f>'SAF 011'!F64</f>
        <v>UNIDAD</v>
      </c>
      <c r="J66" s="108">
        <f>'SAF 011'!H64</f>
        <v>200</v>
      </c>
      <c r="K66" s="109">
        <f>'SAF 011'!G64</f>
        <v>100</v>
      </c>
    </row>
    <row r="67" spans="1:11" ht="16.5" customHeight="1" x14ac:dyDescent="0.25">
      <c r="A67" s="93">
        <v>56</v>
      </c>
      <c r="B67" s="97" t="str">
        <f>'SAF 011'!B65</f>
        <v>2.9.5-5144.496</v>
      </c>
      <c r="C67" s="120" t="str">
        <f>'SAF 011'!E65</f>
        <v>INSTRUMENTAL ODONTOLOGICO; TIPO: JERINGA TRIPLE, DESCARTABLE: NO, PRESENTACION: UNIDAD</v>
      </c>
      <c r="D67" s="121"/>
      <c r="E67" s="121"/>
      <c r="F67" s="121"/>
      <c r="G67" s="122"/>
      <c r="H67" s="97" t="s">
        <v>367</v>
      </c>
      <c r="I67" s="107" t="str">
        <f>'SAF 011'!F65</f>
        <v>UNIDAD</v>
      </c>
      <c r="J67" s="108">
        <f>'SAF 011'!H65</f>
        <v>4000</v>
      </c>
      <c r="K67" s="109">
        <f>'SAF 011'!G65</f>
        <v>10</v>
      </c>
    </row>
    <row r="68" spans="1:11" ht="16.5" customHeight="1" x14ac:dyDescent="0.25">
      <c r="A68" s="93">
        <v>57</v>
      </c>
      <c r="B68" s="97" t="str">
        <f>'SAF 011'!B66</f>
        <v>2.9.5-5144.10</v>
      </c>
      <c r="C68" s="120" t="str">
        <f>'SAF 011'!E66</f>
        <v>INSTRUMENTAL ODONTOLOGICO; TIPO: JERINGAS TIPO CARPULE, PRESENTACION: UNIDAD, DESCARTABLE: NO</v>
      </c>
      <c r="D68" s="121"/>
      <c r="E68" s="121"/>
      <c r="F68" s="121"/>
      <c r="G68" s="122"/>
      <c r="H68" s="97" t="s">
        <v>367</v>
      </c>
      <c r="I68" s="107" t="str">
        <f>'SAF 011'!F66</f>
        <v>UNIDAD</v>
      </c>
      <c r="J68" s="108">
        <f>'SAF 011'!H66</f>
        <v>1500</v>
      </c>
      <c r="K68" s="109">
        <f>'SAF 011'!G66</f>
        <v>50</v>
      </c>
    </row>
    <row r="69" spans="1:11" ht="16.5" customHeight="1" x14ac:dyDescent="0.25">
      <c r="A69" s="93">
        <v>58</v>
      </c>
      <c r="B69" s="97" t="str">
        <f>'SAF 011'!B67</f>
        <v>2.9.5-5144.123</v>
      </c>
      <c r="C69" s="120" t="str">
        <f>'SAF 011'!E67</f>
        <v>INSTRUMENTAL ODONTOLOGICO; TIPO: LOSETA DE VIDRIO 6 X 8 X 0,5CM, DESCARTABLE: NO, PRESENTACION: UNIDAD</v>
      </c>
      <c r="D69" s="121"/>
      <c r="E69" s="121"/>
      <c r="F69" s="121"/>
      <c r="G69" s="122"/>
      <c r="H69" s="97" t="s">
        <v>367</v>
      </c>
      <c r="I69" s="107" t="str">
        <f>'SAF 011'!F67</f>
        <v>UNIDAD</v>
      </c>
      <c r="J69" s="108">
        <f>'SAF 011'!H67</f>
        <v>150</v>
      </c>
      <c r="K69" s="109">
        <f>'SAF 011'!G67</f>
        <v>30</v>
      </c>
    </row>
    <row r="70" spans="1:11" ht="16.5" customHeight="1" x14ac:dyDescent="0.25">
      <c r="A70" s="93">
        <v>59</v>
      </c>
      <c r="B70" s="97" t="str">
        <f>'SAF 011'!B68</f>
        <v>2.9.5-5144.9</v>
      </c>
      <c r="C70" s="120" t="str">
        <f>'SAF 011'!E68</f>
        <v>INSTRUMENTAL ODONTOLOGICO; TIPO: MANGO PARA ESPEJO BUCAL, PRESENTACION: UNIDAD, DESCARTABLE: NO</v>
      </c>
      <c r="D70" s="121"/>
      <c r="E70" s="121"/>
      <c r="F70" s="121"/>
      <c r="G70" s="122"/>
      <c r="H70" s="97" t="s">
        <v>368</v>
      </c>
      <c r="I70" s="107" t="str">
        <f>'SAF 011'!F68</f>
        <v>UNIDAD</v>
      </c>
      <c r="J70" s="108">
        <f>'SAF 011'!H68</f>
        <v>250</v>
      </c>
      <c r="K70" s="109">
        <f>'SAF 011'!G68</f>
        <v>200</v>
      </c>
    </row>
    <row r="71" spans="1:11" ht="16.5" customHeight="1" x14ac:dyDescent="0.25">
      <c r="A71" s="93">
        <v>60</v>
      </c>
      <c r="B71" s="97" t="str">
        <f>'SAF 011'!B69</f>
        <v>2.9.5-5144.459</v>
      </c>
      <c r="C71" s="120" t="str">
        <f>'SAF 011'!E69</f>
        <v>INSTRUMENTAL ODONTOLOGICO; TIPO: MATRIZ ACETATO P/FRENTES, DESCARTABLE: SI, PRESENTACION: ENVASE X 96 UN</v>
      </c>
      <c r="D71" s="121"/>
      <c r="E71" s="121"/>
      <c r="F71" s="121"/>
      <c r="G71" s="122"/>
      <c r="H71" s="97" t="s">
        <v>367</v>
      </c>
      <c r="I71" s="107" t="str">
        <f>'SAF 011'!F69</f>
        <v>BLISTER</v>
      </c>
      <c r="J71" s="108">
        <f>'SAF 011'!H69</f>
        <v>300</v>
      </c>
      <c r="K71" s="109">
        <f>'SAF 011'!G69</f>
        <v>30</v>
      </c>
    </row>
    <row r="72" spans="1:11" ht="16.5" customHeight="1" x14ac:dyDescent="0.25">
      <c r="A72" s="93">
        <v>61</v>
      </c>
      <c r="B72" s="97" t="str">
        <f>'SAF 011'!B70</f>
        <v>2.9.5-5144.518</v>
      </c>
      <c r="C72" s="120" t="str">
        <f>'SAF 011'!E70</f>
        <v>INSTRUMENTAL ODONTOLOGICO; TIPO: MEMBRANA, DESCARTABLE: SI, PRESENTACION: UNIDAD</v>
      </c>
      <c r="D72" s="121"/>
      <c r="E72" s="121"/>
      <c r="F72" s="121"/>
      <c r="G72" s="122"/>
      <c r="H72" s="97" t="s">
        <v>368</v>
      </c>
      <c r="I72" s="107" t="str">
        <f>'SAF 011'!F70</f>
        <v>UNIDAD</v>
      </c>
      <c r="J72" s="108">
        <f>'SAF 011'!H70</f>
        <v>2800</v>
      </c>
      <c r="K72" s="109">
        <f>'SAF 011'!G70</f>
        <v>5</v>
      </c>
    </row>
    <row r="73" spans="1:11" ht="16.5" customHeight="1" x14ac:dyDescent="0.25">
      <c r="A73" s="93">
        <v>62</v>
      </c>
      <c r="B73" s="97" t="str">
        <f>'SAF 011'!B71</f>
        <v>2.9.5-5144.330</v>
      </c>
      <c r="C73" s="120" t="str">
        <f>'SAF 011'!E71</f>
        <v>INSTRUMENTAL ODONTOLOGICO; TIPO: MONOMERO AUTOCURABLE, DESCARTABLE: SI, PRESENTACION: ENVASE X 1 L</v>
      </c>
      <c r="D73" s="121"/>
      <c r="E73" s="121"/>
      <c r="F73" s="121"/>
      <c r="G73" s="122"/>
      <c r="H73" s="97" t="s">
        <v>368</v>
      </c>
      <c r="I73" s="107" t="str">
        <f>'SAF 011'!F71</f>
        <v>UNIDAD</v>
      </c>
      <c r="J73" s="108">
        <f>'SAF 011'!H71</f>
        <v>3500</v>
      </c>
      <c r="K73" s="109">
        <f>'SAF 011'!G71</f>
        <v>20</v>
      </c>
    </row>
    <row r="74" spans="1:11" ht="16.5" customHeight="1" x14ac:dyDescent="0.25">
      <c r="A74" s="93">
        <v>63</v>
      </c>
      <c r="B74" s="97" t="str">
        <f>'SAF 011'!B72</f>
        <v>2.9.5-5144.331</v>
      </c>
      <c r="C74" s="120" t="str">
        <f>'SAF 011'!E72</f>
        <v>INSTRUMENTAL ODONTOLOGICO; TIPO: MONOMERO TERMOCURABLE, DESCARTABLE: SI, PRESENTACION: ENVASE X 1 L</v>
      </c>
      <c r="D74" s="121"/>
      <c r="E74" s="121"/>
      <c r="F74" s="121"/>
      <c r="G74" s="122"/>
      <c r="H74" s="97" t="s">
        <v>368</v>
      </c>
      <c r="I74" s="107" t="str">
        <f>'SAF 011'!F72</f>
        <v>UNIDAD</v>
      </c>
      <c r="J74" s="108">
        <f>'SAF 011'!H72</f>
        <v>3600</v>
      </c>
      <c r="K74" s="109">
        <f>'SAF 011'!G72</f>
        <v>10</v>
      </c>
    </row>
    <row r="75" spans="1:11" ht="16.5" customHeight="1" x14ac:dyDescent="0.25">
      <c r="A75" s="93">
        <v>64</v>
      </c>
      <c r="B75" s="97" t="str">
        <f>'SAF 011'!B73</f>
        <v>2.9.5-5144.358</v>
      </c>
      <c r="C75" s="120" t="str">
        <f>'SAF 011'!E73</f>
        <v>INSTRUMENTAL ODONTOLOGICO; TIPO: PAPEL DE ARTICULAR- FORMA HERR, DESCARTABLE: SI, PRESENTACION: PAQUETE X 12 LIBRITOS</v>
      </c>
      <c r="D75" s="121"/>
      <c r="E75" s="121"/>
      <c r="F75" s="121"/>
      <c r="G75" s="122"/>
      <c r="H75" s="97" t="s">
        <v>368</v>
      </c>
      <c r="I75" s="107" t="str">
        <f>'SAF 011'!F73</f>
        <v>CAJA</v>
      </c>
      <c r="J75" s="108">
        <f>'SAF 011'!H73</f>
        <v>1200</v>
      </c>
      <c r="K75" s="109">
        <f>'SAF 011'!G73</f>
        <v>15</v>
      </c>
    </row>
    <row r="76" spans="1:11" ht="16.5" customHeight="1" x14ac:dyDescent="0.25">
      <c r="A76" s="93">
        <v>65</v>
      </c>
      <c r="B76" s="97" t="str">
        <f>'SAF 011'!B74</f>
        <v>2.9.5-5144.562</v>
      </c>
      <c r="C76" s="120" t="str">
        <f>'SAF 011'!E74</f>
        <v>INSTRUMENTAL ODONTOLOGICO; TIPO: PIEDRA POMEZ, DESCARTABLE: SI, PRESENTACION: ENVASE X 2 Kg</v>
      </c>
      <c r="D76" s="121"/>
      <c r="E76" s="121"/>
      <c r="F76" s="121"/>
      <c r="G76" s="122"/>
      <c r="H76" s="97" t="s">
        <v>367</v>
      </c>
      <c r="I76" s="107" t="str">
        <f>'SAF 011'!F74</f>
        <v>UNIDAD</v>
      </c>
      <c r="J76" s="108">
        <f>'SAF 011'!H74</f>
        <v>200</v>
      </c>
      <c r="K76" s="109">
        <f>'SAF 011'!G74</f>
        <v>10</v>
      </c>
    </row>
    <row r="77" spans="1:11" ht="16.5" customHeight="1" x14ac:dyDescent="0.25">
      <c r="A77" s="93">
        <v>66</v>
      </c>
      <c r="B77" s="97" t="str">
        <f>'SAF 011'!B75</f>
        <v>2.9.5-5144.462</v>
      </c>
      <c r="C77" s="120" t="str">
        <f>'SAF 011'!E75</f>
        <v>INSTRUMENTAL ODONTOLOGICO; TIPO: PINCEL MICROBRUSH, DESCARTABLE: SI, PRESENTACION: ENVASE X 100 UN</v>
      </c>
      <c r="D77" s="121"/>
      <c r="E77" s="121"/>
      <c r="F77" s="121"/>
      <c r="G77" s="122"/>
      <c r="H77" s="97" t="s">
        <v>367</v>
      </c>
      <c r="I77" s="107" t="str">
        <f>'SAF 011'!F75</f>
        <v>TUBO</v>
      </c>
      <c r="J77" s="108">
        <f>'SAF 011'!H75</f>
        <v>400</v>
      </c>
      <c r="K77" s="109">
        <f>'SAF 011'!G75</f>
        <v>200</v>
      </c>
    </row>
    <row r="78" spans="1:11" ht="16.5" customHeight="1" x14ac:dyDescent="0.25">
      <c r="A78" s="93">
        <v>67</v>
      </c>
      <c r="B78" s="97" t="str">
        <f>'SAF 011'!B76</f>
        <v>2.9.5-5144.8</v>
      </c>
      <c r="C78" s="120" t="str">
        <f>'SAF 011'!E76</f>
        <v>INSTRUMENTAL ODONTOLOGICO; TIPO: PINZA DE ALGODON, DESCARTABLE: NO, PRESENTACION: UNIDAD</v>
      </c>
      <c r="D78" s="121"/>
      <c r="E78" s="121"/>
      <c r="F78" s="121"/>
      <c r="G78" s="122"/>
      <c r="H78" s="97" t="s">
        <v>367</v>
      </c>
      <c r="I78" s="107" t="str">
        <f>'SAF 011'!F76</f>
        <v>UNIDAD</v>
      </c>
      <c r="J78" s="108">
        <f>'SAF 011'!H76</f>
        <v>300</v>
      </c>
      <c r="K78" s="109">
        <f>'SAF 011'!G76</f>
        <v>100</v>
      </c>
    </row>
    <row r="79" spans="1:11" ht="16.5" customHeight="1" x14ac:dyDescent="0.25">
      <c r="A79" s="93">
        <v>68</v>
      </c>
      <c r="B79" s="97" t="str">
        <f>'SAF 011'!B77</f>
        <v>2.9.5-5144.176</v>
      </c>
      <c r="C79" s="120" t="str">
        <f>'SAF 011'!E77</f>
        <v>INSTRUMENTAL ODONTOLOGICO; TIPO: PLACA BASE INFERIOR, DESCARTABLE: SIN VALOR, PRESENTACION: ENVASE X 100</v>
      </c>
      <c r="D79" s="121"/>
      <c r="E79" s="121"/>
      <c r="F79" s="121"/>
      <c r="G79" s="122"/>
      <c r="H79" s="97" t="s">
        <v>368</v>
      </c>
      <c r="I79" s="107" t="str">
        <f>'SAF 011'!F77</f>
        <v>CAJA</v>
      </c>
      <c r="J79" s="108">
        <f>'SAF 011'!H77</f>
        <v>4100</v>
      </c>
      <c r="K79" s="109">
        <f>'SAF 011'!G77</f>
        <v>8</v>
      </c>
    </row>
    <row r="80" spans="1:11" ht="16.5" customHeight="1" x14ac:dyDescent="0.25">
      <c r="A80" s="93">
        <v>69</v>
      </c>
      <c r="B80" s="97" t="str">
        <f>'SAF 011'!B78</f>
        <v>2.9.5-5144.175</v>
      </c>
      <c r="C80" s="120" t="str">
        <f>'SAF 011'!E78</f>
        <v>INSTRUMENTAL ODONTOLOGICO; TIPO: PLACA BASE SUPERIOR, DESCARTABLE: SIN VALOR, PRESENTACION: ENVASE X 100</v>
      </c>
      <c r="D80" s="121"/>
      <c r="E80" s="121"/>
      <c r="F80" s="121"/>
      <c r="G80" s="122"/>
      <c r="H80" s="97" t="s">
        <v>368</v>
      </c>
      <c r="I80" s="107" t="str">
        <f>'SAF 011'!F78</f>
        <v>CAJA</v>
      </c>
      <c r="J80" s="108">
        <f>'SAF 011'!H78</f>
        <v>4800</v>
      </c>
      <c r="K80" s="109">
        <f>'SAF 011'!G78</f>
        <v>8</v>
      </c>
    </row>
    <row r="81" spans="1:11" ht="16.5" customHeight="1" x14ac:dyDescent="0.25">
      <c r="A81" s="93">
        <v>70</v>
      </c>
      <c r="B81" s="97" t="str">
        <f>'SAF 011'!B79</f>
        <v>2.9.5-5144.195</v>
      </c>
      <c r="C81" s="120" t="str">
        <f>'SAF 011'!E79</f>
        <v>INSTRUMENTAL ODONTOLOGICO; TIPO: SEPARADOR DE YESO ROSA, DESCARTABLE: SI, PRESENTACION: 1 L</v>
      </c>
      <c r="D81" s="121"/>
      <c r="E81" s="121"/>
      <c r="F81" s="121"/>
      <c r="G81" s="122"/>
      <c r="H81" s="97" t="s">
        <v>367</v>
      </c>
      <c r="I81" s="107" t="str">
        <f>'SAF 011'!F79</f>
        <v>UNIDAD</v>
      </c>
      <c r="J81" s="108">
        <f>'SAF 011'!H79</f>
        <v>3000</v>
      </c>
      <c r="K81" s="109">
        <f>'SAF 011'!G79</f>
        <v>30</v>
      </c>
    </row>
    <row r="82" spans="1:11" ht="16.5" customHeight="1" x14ac:dyDescent="0.25">
      <c r="A82" s="93">
        <v>71</v>
      </c>
      <c r="B82" s="97" t="str">
        <f>'SAF 011'!B80</f>
        <v>2.9.5-5144.536</v>
      </c>
      <c r="C82" s="120" t="str">
        <f>'SAF 011'!E80</f>
        <v>INSTRUMENTAL ODONTOLOGICO; TIPO: SUCTOR, DESCARTABLE: SI, PRESENTACION: ENVASE X 100 UN</v>
      </c>
      <c r="D82" s="121"/>
      <c r="E82" s="121"/>
      <c r="F82" s="121"/>
      <c r="G82" s="122"/>
      <c r="H82" s="97" t="s">
        <v>368</v>
      </c>
      <c r="I82" s="107" t="str">
        <f>'SAF 011'!F80</f>
        <v>BOLSA</v>
      </c>
      <c r="J82" s="108">
        <f>'SAF 011'!H80</f>
        <v>450</v>
      </c>
      <c r="K82" s="109">
        <f>'SAF 011'!G80</f>
        <v>80</v>
      </c>
    </row>
    <row r="83" spans="1:11" ht="16.5" customHeight="1" x14ac:dyDescent="0.25">
      <c r="A83" s="93">
        <v>72</v>
      </c>
      <c r="B83" s="97" t="str">
        <f>'SAF 011'!B81</f>
        <v>2.9.5-5144.568</v>
      </c>
      <c r="C83" s="120" t="str">
        <f>'SAF 011'!E81</f>
        <v>INSTRUMENTAL ODONTOLOGICO; TIPO: TIRA P/PULIR. COMPOSITE-GR MED, DESCARTABLE: SI, PRESENTACION: ENVASE X 50 UN</v>
      </c>
      <c r="D83" s="121"/>
      <c r="E83" s="121"/>
      <c r="F83" s="121"/>
      <c r="G83" s="122"/>
      <c r="H83" s="97" t="s">
        <v>368</v>
      </c>
      <c r="I83" s="107" t="str">
        <f>'SAF 011'!F81</f>
        <v>BLISTER</v>
      </c>
      <c r="J83" s="108">
        <f>'SAF 011'!H81</f>
        <v>900</v>
      </c>
      <c r="K83" s="109">
        <f>'SAF 011'!G81</f>
        <v>30</v>
      </c>
    </row>
    <row r="84" spans="1:11" ht="16.5" customHeight="1" x14ac:dyDescent="0.25">
      <c r="A84" s="93">
        <v>73</v>
      </c>
      <c r="B84" s="97" t="str">
        <f>'SAF 011'!B82</f>
        <v>2.9.5-5144.90</v>
      </c>
      <c r="C84" s="120" t="str">
        <f>'SAF 011'!E82</f>
        <v>INSTRUMENTAL ODONTOLOGICO; TIPO: TIRANERVIOS, DESCARTABLE: NO, PRESENTACION: UNIDAD</v>
      </c>
      <c r="D84" s="121"/>
      <c r="E84" s="121"/>
      <c r="F84" s="121"/>
      <c r="G84" s="122"/>
      <c r="H84" s="97" t="s">
        <v>368</v>
      </c>
      <c r="I84" s="107" t="str">
        <f>'SAF 011'!F82</f>
        <v>BLISTER</v>
      </c>
      <c r="J84" s="108">
        <f>'SAF 011'!H82</f>
        <v>400</v>
      </c>
      <c r="K84" s="109">
        <f>'SAF 011'!G82</f>
        <v>15</v>
      </c>
    </row>
    <row r="85" spans="1:11" ht="16.5" customHeight="1" x14ac:dyDescent="0.25">
      <c r="A85" s="93">
        <v>74</v>
      </c>
      <c r="B85" s="97" t="str">
        <f>'SAF 011'!B83</f>
        <v>2.9.5-5144.540</v>
      </c>
      <c r="C85" s="120" t="str">
        <f>'SAF 011'!E83</f>
        <v>INSTRUMENTAL ODONTOLOGICO; TIPO: VASOS, DESCARTABLE: SI, PRESENTACION: CAJA X 3500 UN</v>
      </c>
      <c r="D85" s="121"/>
      <c r="E85" s="121"/>
      <c r="F85" s="121"/>
      <c r="G85" s="122"/>
      <c r="H85" s="97" t="s">
        <v>367</v>
      </c>
      <c r="I85" s="107" t="str">
        <f>'SAF 011'!F83</f>
        <v>CAJA</v>
      </c>
      <c r="J85" s="108">
        <f>'SAF 011'!H83</f>
        <v>13000</v>
      </c>
      <c r="K85" s="109">
        <f>'SAF 011'!G83</f>
        <v>5</v>
      </c>
    </row>
    <row r="86" spans="1:11" ht="16.5" customHeight="1" x14ac:dyDescent="0.25">
      <c r="A86" s="93">
        <v>75</v>
      </c>
      <c r="B86" s="97" t="str">
        <f>'SAF 011'!B84</f>
        <v>2.5.2-5143.3</v>
      </c>
      <c r="C86" s="120" t="str">
        <f>'SAF 011'!E84</f>
        <v>IONOMEROS VITREOS; USO: CEMENTADO, ESTADO: POLVO, PRESENTACION: ENVASE X 10 GR, FORMA DE PRESENTACION: POLVO</v>
      </c>
      <c r="D86" s="121"/>
      <c r="E86" s="121"/>
      <c r="F86" s="121"/>
      <c r="G86" s="122"/>
      <c r="H86" s="97" t="s">
        <v>368</v>
      </c>
      <c r="I86" s="107" t="str">
        <f>'SAF 011'!F84</f>
        <v>UNIDAD</v>
      </c>
      <c r="J86" s="108">
        <f>'SAF 011'!H84</f>
        <v>2700</v>
      </c>
      <c r="K86" s="109">
        <f>'SAF 011'!G84</f>
        <v>10</v>
      </c>
    </row>
    <row r="87" spans="1:11" ht="16.5" customHeight="1" x14ac:dyDescent="0.25">
      <c r="A87" s="93">
        <v>76</v>
      </c>
      <c r="B87" s="97" t="str">
        <f>'SAF 011'!B85</f>
        <v>2.5.2-5143.37</v>
      </c>
      <c r="C87" s="120" t="str">
        <f>'SAF 011'!E85</f>
        <v>IONOMEROS VITREOS; USO: FOTOCURADO, PRESENTACION: AVIO 10 GRS/6 ML, FORMA DE PRESENTACION: POLVO - LIQUIDO</v>
      </c>
      <c r="D87" s="121"/>
      <c r="E87" s="121"/>
      <c r="F87" s="121"/>
      <c r="G87" s="122"/>
      <c r="H87" s="97" t="s">
        <v>368</v>
      </c>
      <c r="I87" s="107" t="str">
        <f>'SAF 011'!F85</f>
        <v>UNIDAD</v>
      </c>
      <c r="J87" s="108">
        <f>'SAF 011'!H85</f>
        <v>2700</v>
      </c>
      <c r="K87" s="109">
        <f>'SAF 011'!G85</f>
        <v>40</v>
      </c>
    </row>
    <row r="88" spans="1:11" ht="16.5" customHeight="1" x14ac:dyDescent="0.25">
      <c r="A88" s="93">
        <v>77</v>
      </c>
      <c r="B88" s="97" t="str">
        <f>'SAF 011'!B86</f>
        <v>2.9.5-2538.177</v>
      </c>
      <c r="C88" s="120" t="str">
        <f>'SAF 011'!E86</f>
        <v>LIMAS P/ODONTOLOGIA; MATERIAL: ACERO FLEXIBLE, NUMERO: 15 AL 40, LARGO: 25 mm, TIPO: LISA</v>
      </c>
      <c r="D88" s="121"/>
      <c r="E88" s="121"/>
      <c r="F88" s="121"/>
      <c r="G88" s="122"/>
      <c r="H88" s="97" t="s">
        <v>368</v>
      </c>
      <c r="I88" s="107" t="str">
        <f>'SAF 011'!F86</f>
        <v>CAJA</v>
      </c>
      <c r="J88" s="108">
        <f>'SAF 011'!H86</f>
        <v>1700</v>
      </c>
      <c r="K88" s="109">
        <f>'SAF 011'!G86</f>
        <v>30</v>
      </c>
    </row>
    <row r="89" spans="1:11" ht="16.5" customHeight="1" x14ac:dyDescent="0.25">
      <c r="A89" s="93">
        <v>78</v>
      </c>
      <c r="B89" s="97" t="str">
        <f>'SAF 011'!B87</f>
        <v>2.9.5-2538.164</v>
      </c>
      <c r="C89" s="120" t="str">
        <f>'SAF 011'!E87</f>
        <v>LIMAS P/ODONTOLOGIA; MATERIAL: ACERO INOXIDABLE, NUMERO: 15 AL 40, LARGO: 21 mm, TIPO: HEDSTROEM</v>
      </c>
      <c r="D89" s="121"/>
      <c r="E89" s="121"/>
      <c r="F89" s="121"/>
      <c r="G89" s="122"/>
      <c r="H89" s="97" t="s">
        <v>368</v>
      </c>
      <c r="I89" s="107" t="str">
        <f>'SAF 011'!F87</f>
        <v>CAJA</v>
      </c>
      <c r="J89" s="108">
        <f>'SAF 011'!H87</f>
        <v>500</v>
      </c>
      <c r="K89" s="109">
        <f>'SAF 011'!G87</f>
        <v>30</v>
      </c>
    </row>
    <row r="90" spans="1:11" ht="16.5" customHeight="1" x14ac:dyDescent="0.25">
      <c r="A90" s="93">
        <v>79</v>
      </c>
      <c r="B90" s="97" t="str">
        <f>'SAF 011'!B88</f>
        <v>2.9.5-2538.169</v>
      </c>
      <c r="C90" s="120" t="str">
        <f>'SAF 011'!E88</f>
        <v>LIMAS P/ODONTOLOGIA; MATERIAL: ACERO INOXIDABLE, NUMERO: 15 AL 40, LARGO: 21 mm, TIPO: K</v>
      </c>
      <c r="D90" s="121"/>
      <c r="E90" s="121"/>
      <c r="F90" s="121"/>
      <c r="G90" s="122"/>
      <c r="H90" s="97" t="s">
        <v>368</v>
      </c>
      <c r="I90" s="107" t="str">
        <f>'SAF 011'!F88</f>
        <v>CAJA</v>
      </c>
      <c r="J90" s="108">
        <f>'SAF 011'!H88</f>
        <v>2200</v>
      </c>
      <c r="K90" s="109">
        <f>'SAF 011'!G88</f>
        <v>30</v>
      </c>
    </row>
    <row r="91" spans="1:11" ht="16.5" customHeight="1" x14ac:dyDescent="0.25">
      <c r="A91" s="93">
        <v>80</v>
      </c>
      <c r="B91" s="97" t="str">
        <f>'SAF 011'!B89</f>
        <v>2.9.5-2538.166</v>
      </c>
      <c r="C91" s="120" t="str">
        <f>'SAF 011'!E89</f>
        <v>LIMAS P/ODONTOLOGIA; MATERIAL: ACERO INOXIDABLE, NUMERO: 15 AL 40, LARGO: 25 mm, TIPO: HEDSTROEM</v>
      </c>
      <c r="D91" s="121"/>
      <c r="E91" s="121"/>
      <c r="F91" s="121"/>
      <c r="G91" s="122"/>
      <c r="H91" s="97" t="s">
        <v>368</v>
      </c>
      <c r="I91" s="107" t="str">
        <f>'SAF 011'!F89</f>
        <v>CAJA</v>
      </c>
      <c r="J91" s="108">
        <f>'SAF 011'!H89</f>
        <v>2200</v>
      </c>
      <c r="K91" s="109">
        <f>'SAF 011'!G89</f>
        <v>30</v>
      </c>
    </row>
    <row r="92" spans="1:11" ht="16.5" customHeight="1" x14ac:dyDescent="0.25">
      <c r="A92" s="93">
        <v>81</v>
      </c>
      <c r="B92" s="97" t="str">
        <f>'SAF 011'!B90</f>
        <v>2.9.5-2538.172</v>
      </c>
      <c r="C92" s="120" t="str">
        <f>'SAF 011'!E90</f>
        <v>LIMAS P/ODONTOLOGIA; MATERIAL: ACERO INOXIDABLE, NUMERO: 15 AL 40, LARGO: 25 mm, TIPO: K</v>
      </c>
      <c r="D92" s="121"/>
      <c r="E92" s="121"/>
      <c r="F92" s="121"/>
      <c r="G92" s="122"/>
      <c r="H92" s="97" t="s">
        <v>368</v>
      </c>
      <c r="I92" s="107" t="str">
        <f>'SAF 011'!F90</f>
        <v>CAJA</v>
      </c>
      <c r="J92" s="108">
        <f>'SAF 011'!H90</f>
        <v>1600</v>
      </c>
      <c r="K92" s="109">
        <f>'SAF 011'!G90</f>
        <v>10</v>
      </c>
    </row>
    <row r="93" spans="1:11" ht="16.5" customHeight="1" x14ac:dyDescent="0.25">
      <c r="A93" s="93">
        <v>82</v>
      </c>
      <c r="B93" s="97" t="str">
        <f>'SAF 011'!B91</f>
        <v>2.9.5-2538.170</v>
      </c>
      <c r="C93" s="120" t="str">
        <f>'SAF 011'!E91</f>
        <v>LIMAS P/ODONTOLOGIA; MATERIAL: ACERO INOXIDABLE, NUMERO: 45 AL 80, LARGO: 21 mm, TIPO: K</v>
      </c>
      <c r="D93" s="121"/>
      <c r="E93" s="121"/>
      <c r="F93" s="121"/>
      <c r="G93" s="122"/>
      <c r="H93" s="97" t="s">
        <v>368</v>
      </c>
      <c r="I93" s="107" t="str">
        <f>'SAF 011'!F91</f>
        <v>CAJA</v>
      </c>
      <c r="J93" s="108">
        <f>'SAF 011'!H91</f>
        <v>1600</v>
      </c>
      <c r="K93" s="109">
        <f>'SAF 011'!G91</f>
        <v>10</v>
      </c>
    </row>
    <row r="94" spans="1:11" ht="16.5" customHeight="1" x14ac:dyDescent="0.25">
      <c r="A94" s="93">
        <v>83</v>
      </c>
      <c r="B94" s="97" t="str">
        <f>'SAF 011'!B92</f>
        <v>2.9.5-2538.167</v>
      </c>
      <c r="C94" s="120" t="str">
        <f>'SAF 011'!E92</f>
        <v>LIMAS P/ODONTOLOGIA; MATERIAL: ACERO INOXIDABLE, NUMERO: 45 AL 80, LARGO: 25 mm, TIPO: HEDSTROEM</v>
      </c>
      <c r="D94" s="121"/>
      <c r="E94" s="121"/>
      <c r="F94" s="121"/>
      <c r="G94" s="122"/>
      <c r="H94" s="97" t="s">
        <v>368</v>
      </c>
      <c r="I94" s="107" t="str">
        <f>'SAF 011'!F92</f>
        <v>CAJA</v>
      </c>
      <c r="J94" s="108">
        <f>'SAF 011'!H92</f>
        <v>2200</v>
      </c>
      <c r="K94" s="109">
        <f>'SAF 011'!G92</f>
        <v>30</v>
      </c>
    </row>
    <row r="95" spans="1:11" ht="16.5" customHeight="1" x14ac:dyDescent="0.25">
      <c r="A95" s="93">
        <v>84</v>
      </c>
      <c r="B95" s="97" t="str">
        <f>'SAF 011'!B93</f>
        <v>2.9.5-2538.162</v>
      </c>
      <c r="C95" s="120" t="str">
        <f>'SAF 011'!E93</f>
        <v>LIMAS P/ODONTOLOGIA; MATERIAL: CARBURO DE TUNGSTENO, NUMERO: 15/40, LARGO: 31 mm, TIPO: K</v>
      </c>
      <c r="D95" s="121"/>
      <c r="E95" s="121"/>
      <c r="F95" s="121"/>
      <c r="G95" s="122"/>
      <c r="H95" s="97" t="s">
        <v>368</v>
      </c>
      <c r="I95" s="107" t="str">
        <f>'SAF 011'!F93</f>
        <v>CAJA</v>
      </c>
      <c r="J95" s="108">
        <f>'SAF 011'!H93</f>
        <v>1600</v>
      </c>
      <c r="K95" s="109">
        <f>'SAF 011'!G93</f>
        <v>10</v>
      </c>
    </row>
    <row r="96" spans="1:11" ht="16.5" customHeight="1" x14ac:dyDescent="0.25">
      <c r="A96" s="93">
        <v>85</v>
      </c>
      <c r="B96" s="97" t="str">
        <f>'SAF 011'!B94</f>
        <v>2.9.5-2538.161</v>
      </c>
      <c r="C96" s="120" t="str">
        <f>'SAF 011'!E94</f>
        <v>LIMAS P/ODONTOLOGIA; MATERIAL: CARBURO DE TUNGSTENO, NUMERO: 45/80, LARGO: 25 mm, TIPO: K</v>
      </c>
      <c r="D96" s="121"/>
      <c r="E96" s="121"/>
      <c r="F96" s="121"/>
      <c r="G96" s="122"/>
      <c r="H96" s="97" t="s">
        <v>368</v>
      </c>
      <c r="I96" s="107" t="str">
        <f>'SAF 011'!F94</f>
        <v>CAJA</v>
      </c>
      <c r="J96" s="108">
        <f>'SAF 011'!H94</f>
        <v>1600</v>
      </c>
      <c r="K96" s="109">
        <f>'SAF 011'!G94</f>
        <v>10</v>
      </c>
    </row>
    <row r="97" spans="1:11" ht="16.5" customHeight="1" x14ac:dyDescent="0.25">
      <c r="A97" s="93">
        <v>86</v>
      </c>
      <c r="B97" s="97" t="str">
        <f>'SAF 011'!B95</f>
        <v>2.9.5-2538.163</v>
      </c>
      <c r="C97" s="120" t="str">
        <f>'SAF 011'!E95</f>
        <v>LIMAS P/ODONTOLOGIA; MATERIAL: CARBURO DE TUNGSTENO, NUMERO: 45/80, LARGO: 31 mm, TIPO: K</v>
      </c>
      <c r="D97" s="121"/>
      <c r="E97" s="121"/>
      <c r="F97" s="121"/>
      <c r="G97" s="122"/>
      <c r="H97" s="97" t="s">
        <v>368</v>
      </c>
      <c r="I97" s="107" t="str">
        <f>'SAF 011'!F95</f>
        <v>CAJA</v>
      </c>
      <c r="J97" s="108">
        <f>'SAF 011'!H95</f>
        <v>1600</v>
      </c>
      <c r="K97" s="109">
        <f>'SAF 011'!G95</f>
        <v>10</v>
      </c>
    </row>
    <row r="98" spans="1:11" ht="16.5" customHeight="1" x14ac:dyDescent="0.25">
      <c r="A98" s="93">
        <v>87</v>
      </c>
      <c r="B98" s="97" t="str">
        <f>'SAF 011'!B96</f>
        <v>2.9.5-5627.9</v>
      </c>
      <c r="C98" s="120" t="str">
        <f>'SAF 011'!E96</f>
        <v>MANGOS DE BISTURI; TIPO: MANGO DE BISTURI, USO: QUIRURGICO/VARIOS, CAMBIAR HOJAS: SI, NUMERO: 3, MATERIAL: ACERO QUIRURGICO</v>
      </c>
      <c r="D98" s="121"/>
      <c r="E98" s="121"/>
      <c r="F98" s="121"/>
      <c r="G98" s="122"/>
      <c r="H98" s="97" t="s">
        <v>368</v>
      </c>
      <c r="I98" s="107" t="str">
        <f>'SAF 011'!F96</f>
        <v>UNIDAD</v>
      </c>
      <c r="J98" s="108">
        <f>'SAF 011'!H96</f>
        <v>500</v>
      </c>
      <c r="K98" s="109">
        <f>'SAF 011'!G96</f>
        <v>50</v>
      </c>
    </row>
    <row r="99" spans="1:11" ht="16.5" customHeight="1" x14ac:dyDescent="0.25">
      <c r="A99" s="93">
        <v>88</v>
      </c>
      <c r="B99" s="97" t="str">
        <f>'SAF 011'!B97</f>
        <v>2.5.2-5573.3</v>
      </c>
      <c r="C99" s="120" t="str">
        <f>'SAF 011'!E97</f>
        <v>PASTAS ODONTOLOGICAS P/PULIR; PRESENTACION: BARRA, TIPO: ALTO BRILLO</v>
      </c>
      <c r="D99" s="121"/>
      <c r="E99" s="121"/>
      <c r="F99" s="121"/>
      <c r="G99" s="122"/>
      <c r="H99" s="97" t="s">
        <v>368</v>
      </c>
      <c r="I99" s="107" t="str">
        <f>'SAF 011'!F97</f>
        <v>UNIDAD</v>
      </c>
      <c r="J99" s="108">
        <f>'SAF 011'!H97</f>
        <v>500</v>
      </c>
      <c r="K99" s="109">
        <f>'SAF 011'!G97</f>
        <v>10</v>
      </c>
    </row>
    <row r="100" spans="1:11" ht="16.5" customHeight="1" x14ac:dyDescent="0.25">
      <c r="A100" s="93">
        <v>89</v>
      </c>
      <c r="B100" s="97" t="str">
        <f>'SAF 011'!B98</f>
        <v>2.5.2-3202.2</v>
      </c>
      <c r="C100" s="120" t="str">
        <f>'SAF 011'!E98</f>
        <v>PASTAS P/IMPRESION DENTAL; PRODUCTO: ALIGINATO KROMOPAN, PRESENTACION: SOBRE X 450 GR, DESCRIPCION: ALGINATO CROMATICO</v>
      </c>
      <c r="D100" s="121"/>
      <c r="E100" s="121"/>
      <c r="F100" s="121"/>
      <c r="G100" s="122"/>
      <c r="H100" s="97" t="s">
        <v>368</v>
      </c>
      <c r="I100" s="107" t="str">
        <f>'SAF 011'!F98</f>
        <v>UNIDAD</v>
      </c>
      <c r="J100" s="108">
        <f>'SAF 011'!H98</f>
        <v>1500</v>
      </c>
      <c r="K100" s="109">
        <f>'SAF 011'!G98</f>
        <v>50</v>
      </c>
    </row>
    <row r="101" spans="1:11" ht="16.5" customHeight="1" x14ac:dyDescent="0.25">
      <c r="A101" s="93">
        <v>90</v>
      </c>
      <c r="B101" s="97" t="str">
        <f>'SAF 011'!B99</f>
        <v>2.9.5-5514.10</v>
      </c>
      <c r="C101" s="120" t="str">
        <f>'SAF 011'!E99</f>
        <v>PASTAS P/ODONTOLOGIA; PRESENTACION: JERINGA, USO: SELLADOR, TIPO: COMPOMERO</v>
      </c>
      <c r="D101" s="121"/>
      <c r="E101" s="121"/>
      <c r="F101" s="121"/>
      <c r="G101" s="122"/>
      <c r="H101" s="97" t="s">
        <v>368</v>
      </c>
      <c r="I101" s="107" t="str">
        <f>'SAF 011'!F99</f>
        <v>UNIDAD</v>
      </c>
      <c r="J101" s="108">
        <f>'SAF 011'!H99</f>
        <v>1400</v>
      </c>
      <c r="K101" s="109">
        <f>'SAF 011'!G99</f>
        <v>30</v>
      </c>
    </row>
    <row r="102" spans="1:11" ht="16.5" customHeight="1" x14ac:dyDescent="0.25">
      <c r="A102" s="93">
        <v>91</v>
      </c>
      <c r="B102" s="97" t="str">
        <f>'SAF 011'!B100</f>
        <v>2.9.5-5514.1</v>
      </c>
      <c r="C102" s="120" t="str">
        <f>'SAF 011'!E100</f>
        <v>PASTAS P/ODONTOLOGIA; TIPO: CON CIRCONES MOLIDOS SIN FLUOR, USO: PULIR, PRESENTACION: ENVASE X 45 GR</v>
      </c>
      <c r="D102" s="121"/>
      <c r="E102" s="121"/>
      <c r="F102" s="121"/>
      <c r="G102" s="122"/>
      <c r="H102" s="97" t="s">
        <v>368</v>
      </c>
      <c r="I102" s="107" t="str">
        <f>'SAF 011'!F100</f>
        <v>UNIDAD</v>
      </c>
      <c r="J102" s="108">
        <f>'SAF 011'!H100</f>
        <v>1500</v>
      </c>
      <c r="K102" s="109">
        <f>'SAF 011'!G100</f>
        <v>30</v>
      </c>
    </row>
    <row r="103" spans="1:11" ht="16.5" customHeight="1" x14ac:dyDescent="0.25">
      <c r="A103" s="93">
        <v>92</v>
      </c>
      <c r="B103" s="97" t="str">
        <f>'SAF 011'!B101</f>
        <v>2.9.5-5514.37</v>
      </c>
      <c r="C103" s="120" t="str">
        <f>'SAF 011'!E101</f>
        <v>PASTAS P/ODONTOLOGIA; TIPO: HIDROXIDO DE CALCIO FRAGUABLE, USO: PROTECTOR PULPAR INDIRECTO, PRESENTACION: AVIO 13 GRS/11 GRS</v>
      </c>
      <c r="D103" s="121"/>
      <c r="E103" s="121"/>
      <c r="F103" s="121"/>
      <c r="G103" s="122"/>
      <c r="H103" s="97" t="s">
        <v>368</v>
      </c>
      <c r="I103" s="107" t="str">
        <f>'SAF 011'!F101</f>
        <v>CAJA</v>
      </c>
      <c r="J103" s="108">
        <f>'SAF 011'!H101</f>
        <v>2000</v>
      </c>
      <c r="K103" s="109">
        <f>'SAF 011'!G101</f>
        <v>100</v>
      </c>
    </row>
    <row r="104" spans="1:11" ht="16.5" customHeight="1" x14ac:dyDescent="0.25">
      <c r="A104" s="93">
        <v>93</v>
      </c>
      <c r="B104" s="97" t="str">
        <f>'SAF 011'!B102</f>
        <v>2.9.5-5514.5</v>
      </c>
      <c r="C104" s="120" t="str">
        <f>'SAF 011'!E102</f>
        <v>PASTAS P/ODONTOLOGIA; USO: FOTOPOLIMERIZACION, TIPO: COMPOSITE HIBRIDO, PRESENTACION: JERINGA X 4 GR</v>
      </c>
      <c r="D104" s="121"/>
      <c r="E104" s="121"/>
      <c r="F104" s="121"/>
      <c r="G104" s="122"/>
      <c r="H104" s="97" t="s">
        <v>368</v>
      </c>
      <c r="I104" s="107" t="str">
        <f>'SAF 011'!F102</f>
        <v>UNIDAD</v>
      </c>
      <c r="J104" s="108">
        <f>'SAF 011'!H102</f>
        <v>1000</v>
      </c>
      <c r="K104" s="109">
        <f>'SAF 011'!G102</f>
        <v>80</v>
      </c>
    </row>
    <row r="105" spans="1:11" ht="16.5" customHeight="1" x14ac:dyDescent="0.25">
      <c r="A105" s="93">
        <v>94</v>
      </c>
      <c r="B105" s="97" t="str">
        <f>'SAF 011'!B103</f>
        <v>2.9.5-5514.5</v>
      </c>
      <c r="C105" s="120" t="str">
        <f>'SAF 011'!E103</f>
        <v>PASTAS P/ODONTOLOGIA; USO: FOTOPOLIMERIZACION, TIPO: COMPOSITE HIBRIDO, PRESENTACION: JERINGA X 4 GR</v>
      </c>
      <c r="D105" s="121"/>
      <c r="E105" s="121"/>
      <c r="F105" s="121"/>
      <c r="G105" s="122"/>
      <c r="H105" s="97" t="s">
        <v>368</v>
      </c>
      <c r="I105" s="107" t="str">
        <f>'SAF 011'!F103</f>
        <v>UNIDAD</v>
      </c>
      <c r="J105" s="108">
        <f>'SAF 011'!H103</f>
        <v>1000</v>
      </c>
      <c r="K105" s="109">
        <f>'SAF 011'!G103</f>
        <v>80</v>
      </c>
    </row>
    <row r="106" spans="1:11" ht="16.5" customHeight="1" x14ac:dyDescent="0.25">
      <c r="A106" s="93">
        <v>95</v>
      </c>
      <c r="B106" s="97" t="str">
        <f>'SAF 011'!B104</f>
        <v>2.9.5-5514.5</v>
      </c>
      <c r="C106" s="120" t="str">
        <f>'SAF 011'!E104</f>
        <v>PASTAS P/ODONTOLOGIA; USO: FOTOPOLIMERIZACION, TIPO: COMPOSITE HIBRIDO, PRESENTACION: JERINGA X 4 GR</v>
      </c>
      <c r="D106" s="121"/>
      <c r="E106" s="121"/>
      <c r="F106" s="121"/>
      <c r="G106" s="122"/>
      <c r="H106" s="97" t="s">
        <v>368</v>
      </c>
      <c r="I106" s="107" t="str">
        <f>'SAF 011'!F104</f>
        <v>UNIDAD</v>
      </c>
      <c r="J106" s="108">
        <f>'SAF 011'!H104</f>
        <v>1000</v>
      </c>
      <c r="K106" s="109">
        <f>'SAF 011'!G104</f>
        <v>150</v>
      </c>
    </row>
    <row r="107" spans="1:11" ht="16.5" customHeight="1" x14ac:dyDescent="0.25">
      <c r="A107" s="93">
        <v>96</v>
      </c>
      <c r="B107" s="97" t="str">
        <f>'SAF 011'!B105</f>
        <v>2.9.5-5514.5</v>
      </c>
      <c r="C107" s="120" t="str">
        <f>'SAF 011'!E105</f>
        <v>PASTAS P/ODONTOLOGIA; USO: FOTOPOLIMERIZACION, TIPO: COMPOSITE HIBRIDO, PRESENTACION: JERINGA X 4 GR</v>
      </c>
      <c r="D107" s="121"/>
      <c r="E107" s="121"/>
      <c r="F107" s="121"/>
      <c r="G107" s="122"/>
      <c r="H107" s="97" t="s">
        <v>368</v>
      </c>
      <c r="I107" s="107" t="str">
        <f>'SAF 011'!F105</f>
        <v>UNIDAD</v>
      </c>
      <c r="J107" s="108">
        <f>'SAF 011'!H105</f>
        <v>1000</v>
      </c>
      <c r="K107" s="109">
        <f>'SAF 011'!G105</f>
        <v>150</v>
      </c>
    </row>
    <row r="108" spans="1:11" ht="16.5" customHeight="1" x14ac:dyDescent="0.25">
      <c r="A108" s="93">
        <v>97</v>
      </c>
      <c r="B108" s="97" t="str">
        <f>'SAF 011'!B106</f>
        <v>2.9.5-5514.5</v>
      </c>
      <c r="C108" s="120" t="str">
        <f>'SAF 011'!E106</f>
        <v>PASTAS P/ODONTOLOGIA; USO: FOTOPOLIMERIZACION, TIPO: COMPOSITE HIBRIDO, PRESENTACION: JERINGA X 4 GR</v>
      </c>
      <c r="D108" s="121"/>
      <c r="E108" s="121"/>
      <c r="F108" s="121"/>
      <c r="G108" s="122"/>
      <c r="H108" s="97" t="s">
        <v>368</v>
      </c>
      <c r="I108" s="107" t="str">
        <f>'SAF 011'!F106</f>
        <v>UNIDAD</v>
      </c>
      <c r="J108" s="108">
        <f>'SAF 011'!H106</f>
        <v>1000</v>
      </c>
      <c r="K108" s="109">
        <f>'SAF 011'!G106</f>
        <v>80</v>
      </c>
    </row>
    <row r="109" spans="1:11" ht="16.5" customHeight="1" x14ac:dyDescent="0.25">
      <c r="A109" s="93">
        <v>98</v>
      </c>
      <c r="B109" s="97" t="str">
        <f>'SAF 011'!B107</f>
        <v>2.9.5-5514.12</v>
      </c>
      <c r="C109" s="120" t="str">
        <f>'SAF 011'!E107</f>
        <v>PASTAS P/ODONTOLOGIA; USO: FOTOPOLIMERIZACION, TIPO: COMPOSITE MICROHIBRIDO, PRESENTACION: JERINGA X 3 GR</v>
      </c>
      <c r="D109" s="121"/>
      <c r="E109" s="121"/>
      <c r="F109" s="121"/>
      <c r="G109" s="122"/>
      <c r="H109" s="97" t="s">
        <v>368</v>
      </c>
      <c r="I109" s="107" t="str">
        <f>'SAF 011'!F107</f>
        <v>UNIDAD</v>
      </c>
      <c r="J109" s="108">
        <f>'SAF 011'!H107</f>
        <v>1300</v>
      </c>
      <c r="K109" s="109">
        <f>'SAF 011'!G107</f>
        <v>40</v>
      </c>
    </row>
    <row r="110" spans="1:11" ht="16.5" customHeight="1" x14ac:dyDescent="0.25">
      <c r="A110" s="93">
        <v>99</v>
      </c>
      <c r="B110" s="97" t="str">
        <f>'SAF 011'!B108</f>
        <v>2.9.5-5514.12</v>
      </c>
      <c r="C110" s="120" t="str">
        <f>'SAF 011'!E108</f>
        <v>PASTAS P/ODONTOLOGIA; USO: FOTOPOLIMERIZACION, TIPO: COMPOSITE MICROHIBRIDO, PRESENTACION: JERINGA X 3 GR</v>
      </c>
      <c r="D110" s="121"/>
      <c r="E110" s="121"/>
      <c r="F110" s="121"/>
      <c r="G110" s="122"/>
      <c r="H110" s="97" t="s">
        <v>368</v>
      </c>
      <c r="I110" s="107" t="str">
        <f>'SAF 011'!F108</f>
        <v>UNIDAD</v>
      </c>
      <c r="J110" s="108">
        <f>'SAF 011'!H108</f>
        <v>1300</v>
      </c>
      <c r="K110" s="109">
        <f>'SAF 011'!G108</f>
        <v>50</v>
      </c>
    </row>
    <row r="111" spans="1:11" ht="16.5" customHeight="1" x14ac:dyDescent="0.25">
      <c r="A111" s="93">
        <v>100</v>
      </c>
      <c r="B111" s="97" t="str">
        <f>'SAF 011'!B109</f>
        <v>2.9.5-5514.12</v>
      </c>
      <c r="C111" s="120" t="str">
        <f>'SAF 011'!E109</f>
        <v>PASTAS P/ODONTOLOGIA; USO: FOTOPOLIMERIZACION, TIPO: COMPOSITE MICROHIBRIDO, PRESENTACION: JERINGA X 3 GR</v>
      </c>
      <c r="D111" s="121"/>
      <c r="E111" s="121"/>
      <c r="F111" s="121"/>
      <c r="G111" s="122"/>
      <c r="H111" s="97" t="s">
        <v>368</v>
      </c>
      <c r="I111" s="107" t="str">
        <f>'SAF 011'!F109</f>
        <v>UNIDAD</v>
      </c>
      <c r="J111" s="108">
        <f>'SAF 011'!H109</f>
        <v>1300</v>
      </c>
      <c r="K111" s="109">
        <f>'SAF 011'!G109</f>
        <v>50</v>
      </c>
    </row>
    <row r="112" spans="1:11" ht="16.5" customHeight="1" x14ac:dyDescent="0.25">
      <c r="A112" s="93">
        <v>101</v>
      </c>
      <c r="B112" s="97" t="str">
        <f>'SAF 011'!B110</f>
        <v>2.9.5-5514.22</v>
      </c>
      <c r="C112" s="120" t="str">
        <f>'SAF 011'!E110</f>
        <v>PASTAS P/ODONTOLOGIA; USO: OBTURACION, TIPO: GUTAPERCHA, PRESENTACION: ENVASE X 25 GR</v>
      </c>
      <c r="D112" s="121"/>
      <c r="E112" s="121"/>
      <c r="F112" s="121"/>
      <c r="G112" s="122"/>
      <c r="H112" s="97" t="s">
        <v>368</v>
      </c>
      <c r="I112" s="107" t="str">
        <f>'SAF 011'!F110</f>
        <v>UNIDAD</v>
      </c>
      <c r="J112" s="108">
        <f>'SAF 011'!H110</f>
        <v>700</v>
      </c>
      <c r="K112" s="109">
        <f>'SAF 011'!G110</f>
        <v>30</v>
      </c>
    </row>
    <row r="113" spans="1:11" ht="16.5" customHeight="1" x14ac:dyDescent="0.25">
      <c r="A113" s="93">
        <v>102</v>
      </c>
      <c r="B113" s="97" t="str">
        <f>'SAF 011'!B111</f>
        <v>2.9.5-5514.7</v>
      </c>
      <c r="C113" s="120" t="str">
        <f>'SAF 011'!E111</f>
        <v>PASTAS P/ODONTOLOGIA; USO: P/LIMPIEZA, TIPO: SIN FLUOR, PRESENTACION: ENVASE X 45 GR</v>
      </c>
      <c r="D113" s="121"/>
      <c r="E113" s="121"/>
      <c r="F113" s="121"/>
      <c r="G113" s="122"/>
      <c r="H113" s="97" t="s">
        <v>368</v>
      </c>
      <c r="I113" s="107" t="str">
        <f>'SAF 011'!F111</f>
        <v>UNIDAD</v>
      </c>
      <c r="J113" s="108">
        <f>'SAF 011'!H111</f>
        <v>1050</v>
      </c>
      <c r="K113" s="109">
        <f>'SAF 011'!G111</f>
        <v>50</v>
      </c>
    </row>
    <row r="114" spans="1:11" ht="16.5" customHeight="1" x14ac:dyDescent="0.25">
      <c r="A114" s="93">
        <v>103</v>
      </c>
      <c r="B114" s="97" t="str">
        <f>'SAF 011'!B112</f>
        <v>2.9.5-472.4</v>
      </c>
      <c r="C114" s="120" t="str">
        <f>'SAF 011'!E112</f>
        <v>PINZAS DE CIRUGIA; TIPO: DISECCION SIN DIENTE, MEDIDA: 13 Cm</v>
      </c>
      <c r="D114" s="121"/>
      <c r="E114" s="121"/>
      <c r="F114" s="121"/>
      <c r="G114" s="122"/>
      <c r="H114" s="97" t="s">
        <v>368</v>
      </c>
      <c r="I114" s="107" t="str">
        <f>'SAF 011'!F112</f>
        <v>UNIDAD</v>
      </c>
      <c r="J114" s="108">
        <f>'SAF 011'!H112</f>
        <v>400</v>
      </c>
      <c r="K114" s="109">
        <f>'SAF 011'!G112</f>
        <v>20</v>
      </c>
    </row>
    <row r="115" spans="1:11" ht="16.5" customHeight="1" x14ac:dyDescent="0.25">
      <c r="A115" s="93">
        <v>104</v>
      </c>
      <c r="B115" s="97" t="str">
        <f>'SAF 011'!B113</f>
        <v>2.9.5-472.71</v>
      </c>
      <c r="C115" s="120" t="str">
        <f>'SAF 011'!E113</f>
        <v>PINZAS DE CIRUGIA; TIPO: PORTA AGUJA, MEDIDA: 15 Cm</v>
      </c>
      <c r="D115" s="121"/>
      <c r="E115" s="121"/>
      <c r="F115" s="121"/>
      <c r="G115" s="122"/>
      <c r="H115" s="97" t="s">
        <v>368</v>
      </c>
      <c r="I115" s="107" t="str">
        <f>'SAF 011'!F113</f>
        <v>UNIDAD</v>
      </c>
      <c r="J115" s="108">
        <f>'SAF 011'!H113</f>
        <v>1000</v>
      </c>
      <c r="K115" s="109">
        <f>'SAF 011'!G113</f>
        <v>8</v>
      </c>
    </row>
    <row r="116" spans="1:11" ht="16.5" customHeight="1" x14ac:dyDescent="0.25">
      <c r="A116" s="93">
        <v>105</v>
      </c>
      <c r="B116" s="97" t="str">
        <f>'SAF 011'!B114</f>
        <v>2.5.9-945.17</v>
      </c>
      <c r="C116" s="120" t="str">
        <f>'SAF 011'!E114</f>
        <v>PLACAS RADIOGRAFICAS; SENSIBILIDAD: AL VERDE, DIMENSION: 31 X 41 mm</v>
      </c>
      <c r="D116" s="121"/>
      <c r="E116" s="121"/>
      <c r="F116" s="121"/>
      <c r="G116" s="122"/>
      <c r="H116" s="97" t="s">
        <v>368</v>
      </c>
      <c r="I116" s="107" t="str">
        <f>'SAF 011'!F114</f>
        <v>CAJA</v>
      </c>
      <c r="J116" s="108">
        <f>'SAF 011'!H114</f>
        <v>3500</v>
      </c>
      <c r="K116" s="109">
        <f>'SAF 011'!G114</f>
        <v>100</v>
      </c>
    </row>
    <row r="117" spans="1:11" ht="19.5" customHeight="1" x14ac:dyDescent="0.25">
      <c r="A117" s="93">
        <v>106</v>
      </c>
      <c r="B117" s="97" t="str">
        <f>'SAF 011'!B115</f>
        <v>2.5.9-2402.6</v>
      </c>
      <c r="C117" s="120" t="str">
        <f>'SAF 011'!E115</f>
        <v>REVELADORES P/RADIOLOGIA; PRESENTACION: BOTELLA, CAPACIDAD: 480 mL, SENSIBILIDAD: AL VERDE, PROCESO: MANUAL, PROCESO DE UTILIZACION: MANUAL</v>
      </c>
      <c r="D117" s="121"/>
      <c r="E117" s="121"/>
      <c r="F117" s="121"/>
      <c r="G117" s="122"/>
      <c r="H117" s="97" t="s">
        <v>368</v>
      </c>
      <c r="I117" s="107" t="str">
        <f>'SAF 011'!F115</f>
        <v>UNIDAD</v>
      </c>
      <c r="J117" s="108">
        <f>'SAF 011'!H115</f>
        <v>600</v>
      </c>
      <c r="K117" s="109">
        <f>'SAF 011'!G115</f>
        <v>250</v>
      </c>
    </row>
    <row r="118" spans="1:11" ht="16.5" customHeight="1" x14ac:dyDescent="0.25">
      <c r="A118" s="93">
        <v>107</v>
      </c>
      <c r="B118" s="97" t="str">
        <f>'SAF 011'!B116</f>
        <v>2.9.5-2496.26</v>
      </c>
      <c r="C118" s="120" t="str">
        <f>'SAF 011'!E116</f>
        <v>SUTURAS MECANICAS; TIPO: MONOFILAMENTO 4/0, USO: QUIRURGICO, PRESENTACION: CAJA POR 25</v>
      </c>
      <c r="D118" s="121"/>
      <c r="E118" s="121"/>
      <c r="F118" s="121"/>
      <c r="G118" s="122"/>
      <c r="H118" s="97" t="s">
        <v>368</v>
      </c>
      <c r="I118" s="107" t="str">
        <f>'SAF 011'!F116</f>
        <v>CAJA</v>
      </c>
      <c r="J118" s="108">
        <f>'SAF 011'!H116</f>
        <v>2000</v>
      </c>
      <c r="K118" s="109">
        <f>'SAF 011'!G116</f>
        <v>50</v>
      </c>
    </row>
    <row r="119" spans="1:11" ht="16.5" customHeight="1" x14ac:dyDescent="0.25">
      <c r="A119" s="93">
        <v>108</v>
      </c>
      <c r="B119" s="97" t="str">
        <f>'SAF 011'!B117</f>
        <v>2.9.5-2496.30</v>
      </c>
      <c r="C119" s="120" t="str">
        <f>'SAF 011'!E117</f>
        <v>SUTURAS MECANICAS; TIPO: MONOFILAMENTO NYLON 5.0, USO: QUIRURGICO, PRESENTACION: CAJA X 24 UN</v>
      </c>
      <c r="D119" s="121"/>
      <c r="E119" s="121"/>
      <c r="F119" s="121"/>
      <c r="G119" s="122"/>
      <c r="H119" s="97" t="s">
        <v>368</v>
      </c>
      <c r="I119" s="107" t="str">
        <f>'SAF 011'!F117</f>
        <v>CAJA</v>
      </c>
      <c r="J119" s="108">
        <f>'SAF 011'!H117</f>
        <v>2000</v>
      </c>
      <c r="K119" s="109">
        <f>'SAF 011'!G117</f>
        <v>50</v>
      </c>
    </row>
    <row r="120" spans="1:11" ht="16.5" customHeight="1" x14ac:dyDescent="0.25">
      <c r="A120" s="93">
        <v>109</v>
      </c>
      <c r="B120" s="97" t="str">
        <f>'SAF 011'!B118</f>
        <v>2.9.5-2496.21</v>
      </c>
      <c r="C120" s="120" t="str">
        <f>'SAF 011'!E118</f>
        <v>SUTURAS MECANICAS; TIPO: MONONYLON Nº 3/0 C/A, USO: QUIRURGICO, PRESENTACION: SOBRES</v>
      </c>
      <c r="D120" s="121"/>
      <c r="E120" s="121"/>
      <c r="F120" s="121"/>
      <c r="G120" s="122"/>
      <c r="H120" s="97" t="s">
        <v>368</v>
      </c>
      <c r="I120" s="107" t="str">
        <f>'SAF 011'!F118</f>
        <v>UNIDAD</v>
      </c>
      <c r="J120" s="108">
        <f>'SAF 011'!H118</f>
        <v>2300</v>
      </c>
      <c r="K120" s="109">
        <f>'SAF 011'!G118</f>
        <v>15</v>
      </c>
    </row>
    <row r="121" spans="1:11" ht="16.5" customHeight="1" x14ac:dyDescent="0.25">
      <c r="A121" s="93">
        <v>110</v>
      </c>
      <c r="B121" s="97" t="str">
        <f>'SAF 011'!B119</f>
        <v>2.9.5-2496.21</v>
      </c>
      <c r="C121" s="120" t="str">
        <f>'SAF 011'!E119</f>
        <v>SUTURAS MECANICAS; TIPO: MONONYLON Nº 3/0 C/A, USO: QUIRURGICO, PRESENTACION: SOBRES</v>
      </c>
      <c r="D121" s="121"/>
      <c r="E121" s="121"/>
      <c r="F121" s="121"/>
      <c r="G121" s="122"/>
      <c r="H121" s="97" t="s">
        <v>368</v>
      </c>
      <c r="I121" s="107" t="str">
        <f>'SAF 011'!F119</f>
        <v>UNIDAD</v>
      </c>
      <c r="J121" s="108">
        <f>'SAF 011'!H119</f>
        <v>2000</v>
      </c>
      <c r="K121" s="109">
        <f>'SAF 011'!G119</f>
        <v>50</v>
      </c>
    </row>
    <row r="122" spans="1:11" ht="16.5" customHeight="1" x14ac:dyDescent="0.25">
      <c r="A122" s="93">
        <v>111</v>
      </c>
      <c r="B122" s="97" t="str">
        <f>'SAF 011'!B120</f>
        <v>2.5.2-5142.6</v>
      </c>
      <c r="C122" s="120" t="str">
        <f>'SAF 011'!E120</f>
        <v>TOPICOS ODONTOLOGICOS; DROGA GENERICA: FORMOCRESOL, PRESENTACION: FRASCO X 20 mL, ESTADO: LIQUIDO, FORMA DE PRESENTACION: LIQUIDO</v>
      </c>
      <c r="D122" s="121"/>
      <c r="E122" s="121"/>
      <c r="F122" s="121"/>
      <c r="G122" s="122"/>
      <c r="H122" s="97" t="s">
        <v>368</v>
      </c>
      <c r="I122" s="107" t="str">
        <f>'SAF 011'!F120</f>
        <v>UNIDAD</v>
      </c>
      <c r="J122" s="108">
        <f>'SAF 011'!H120</f>
        <v>600</v>
      </c>
      <c r="K122" s="109">
        <f>'SAF 011'!G120</f>
        <v>20</v>
      </c>
    </row>
    <row r="123" spans="1:11" ht="16.5" customHeight="1" x14ac:dyDescent="0.25">
      <c r="A123" s="93">
        <v>112</v>
      </c>
      <c r="B123" s="97" t="str">
        <f>'SAF 011'!B121</f>
        <v>2.5.2-9146.7</v>
      </c>
      <c r="C123" s="120" t="str">
        <f>'SAF 011'!E121</f>
        <v>YESOS; TIPO: PIEDRA P/ODONTOLOGIA, PRESENTACION: ENVASE X 25 Kg</v>
      </c>
      <c r="D123" s="121"/>
      <c r="E123" s="121"/>
      <c r="F123" s="121"/>
      <c r="G123" s="122"/>
      <c r="H123" s="97" t="s">
        <v>368</v>
      </c>
      <c r="I123" s="107" t="str">
        <f>'SAF 011'!F121</f>
        <v>UNIDAD</v>
      </c>
      <c r="J123" s="108">
        <f>'SAF 011'!H121</f>
        <v>2300</v>
      </c>
      <c r="K123" s="109">
        <f>'SAF 011'!G121</f>
        <v>12</v>
      </c>
    </row>
    <row r="124" spans="1:11" ht="15.75" customHeight="1" thickBot="1" x14ac:dyDescent="0.3">
      <c r="A124" s="110">
        <v>113</v>
      </c>
      <c r="B124" s="111" t="str">
        <f>'SAF 011'!B122</f>
        <v>2.5.2-9146.8</v>
      </c>
      <c r="C124" s="127" t="str">
        <f>'SAF 011'!E122</f>
        <v>YESOS; TIPO: TALLER, PRESENTACION: ENVASE X 25 Kg</v>
      </c>
      <c r="D124" s="128"/>
      <c r="E124" s="128"/>
      <c r="F124" s="128"/>
      <c r="G124" s="129"/>
      <c r="H124" s="111" t="s">
        <v>368</v>
      </c>
      <c r="I124" s="112" t="str">
        <f>'SAF 011'!F122</f>
        <v>UNIDAD</v>
      </c>
      <c r="J124" s="113">
        <f>'SAF 011'!H122</f>
        <v>2000</v>
      </c>
      <c r="K124" s="114">
        <f>'SAF 011'!G122</f>
        <v>12</v>
      </c>
    </row>
    <row r="125" spans="1:11" ht="19.5" thickBot="1" x14ac:dyDescent="0.3">
      <c r="A125" s="123" t="s">
        <v>378</v>
      </c>
      <c r="B125" s="123"/>
      <c r="C125" s="123"/>
      <c r="D125" s="123"/>
      <c r="E125" s="123"/>
      <c r="F125" s="123"/>
      <c r="G125" s="123"/>
      <c r="H125" s="123"/>
      <c r="I125" s="123"/>
      <c r="J125" s="124">
        <f>SUMPRODUCT(J12:J124,K12:K124)</f>
        <v>12856300</v>
      </c>
      <c r="K125" s="124"/>
    </row>
  </sheetData>
  <mergeCells count="129">
    <mergeCell ref="A6:C6"/>
    <mergeCell ref="A7:C7"/>
    <mergeCell ref="A8:C8"/>
    <mergeCell ref="A1:I1"/>
    <mergeCell ref="A3:C3"/>
    <mergeCell ref="A4:C4"/>
    <mergeCell ref="A5:C5"/>
    <mergeCell ref="K10:K11"/>
    <mergeCell ref="C12:G12"/>
    <mergeCell ref="C124:G124"/>
    <mergeCell ref="C21:G21"/>
    <mergeCell ref="C22:G22"/>
    <mergeCell ref="C23:G23"/>
    <mergeCell ref="C24:G24"/>
    <mergeCell ref="A10:A11"/>
    <mergeCell ref="B10:B11"/>
    <mergeCell ref="C10:G11"/>
    <mergeCell ref="H10:H11"/>
    <mergeCell ref="I10:I11"/>
    <mergeCell ref="J10:J11"/>
    <mergeCell ref="C25:G25"/>
    <mergeCell ref="C26:G26"/>
    <mergeCell ref="C27:G27"/>
    <mergeCell ref="C28:G28"/>
    <mergeCell ref="C29:G29"/>
    <mergeCell ref="C30:G30"/>
    <mergeCell ref="A125:I125"/>
    <mergeCell ref="J125:K125"/>
    <mergeCell ref="C13:G13"/>
    <mergeCell ref="C14:G14"/>
    <mergeCell ref="C15:G15"/>
    <mergeCell ref="C16:G16"/>
    <mergeCell ref="C17:G17"/>
    <mergeCell ref="C18:G18"/>
    <mergeCell ref="C19:G19"/>
    <mergeCell ref="C20:G20"/>
    <mergeCell ref="C37:G37"/>
    <mergeCell ref="C38:G38"/>
    <mergeCell ref="C39:G39"/>
    <mergeCell ref="C40:G40"/>
    <mergeCell ref="C41:G41"/>
    <mergeCell ref="C42:G42"/>
    <mergeCell ref="C31:G31"/>
    <mergeCell ref="C32:G32"/>
    <mergeCell ref="C33:G33"/>
    <mergeCell ref="C34:G34"/>
    <mergeCell ref="C35:G35"/>
    <mergeCell ref="C36:G36"/>
    <mergeCell ref="C49:G49"/>
    <mergeCell ref="C50:G50"/>
    <mergeCell ref="C51:G51"/>
    <mergeCell ref="C52:G52"/>
    <mergeCell ref="C53:G53"/>
    <mergeCell ref="C54:G54"/>
    <mergeCell ref="C43:G43"/>
    <mergeCell ref="C44:G44"/>
    <mergeCell ref="C45:G45"/>
    <mergeCell ref="C46:G46"/>
    <mergeCell ref="C47:G47"/>
    <mergeCell ref="C48:G48"/>
    <mergeCell ref="C61:G61"/>
    <mergeCell ref="C62:G62"/>
    <mergeCell ref="C63:G63"/>
    <mergeCell ref="C64:G64"/>
    <mergeCell ref="C65:G65"/>
    <mergeCell ref="C66:G66"/>
    <mergeCell ref="C55:G55"/>
    <mergeCell ref="C56:G56"/>
    <mergeCell ref="C57:G57"/>
    <mergeCell ref="C58:G58"/>
    <mergeCell ref="C59:G59"/>
    <mergeCell ref="C60:G60"/>
    <mergeCell ref="C67:G67"/>
    <mergeCell ref="C68:G68"/>
    <mergeCell ref="C69:G69"/>
    <mergeCell ref="C96:G96"/>
    <mergeCell ref="C119:G119"/>
    <mergeCell ref="C120:G120"/>
    <mergeCell ref="C77:G77"/>
    <mergeCell ref="C78:G78"/>
    <mergeCell ref="C79:G79"/>
    <mergeCell ref="C80:G80"/>
    <mergeCell ref="C121:G121"/>
    <mergeCell ref="C122:G122"/>
    <mergeCell ref="C123:G123"/>
    <mergeCell ref="C70:G70"/>
    <mergeCell ref="C71:G71"/>
    <mergeCell ref="C72:G72"/>
    <mergeCell ref="C73:G73"/>
    <mergeCell ref="C74:G74"/>
    <mergeCell ref="C75:G75"/>
    <mergeCell ref="C76:G76"/>
    <mergeCell ref="C87:G87"/>
    <mergeCell ref="C88:G88"/>
    <mergeCell ref="C89:G89"/>
    <mergeCell ref="C90:G90"/>
    <mergeCell ref="C91:G91"/>
    <mergeCell ref="C92:G92"/>
    <mergeCell ref="C81:G81"/>
    <mergeCell ref="C82:G82"/>
    <mergeCell ref="C83:G83"/>
    <mergeCell ref="C84:G84"/>
    <mergeCell ref="C85:G85"/>
    <mergeCell ref="C86:G86"/>
    <mergeCell ref="C100:G100"/>
    <mergeCell ref="C101:G101"/>
    <mergeCell ref="C102:G102"/>
    <mergeCell ref="C103:G103"/>
    <mergeCell ref="C104:G104"/>
    <mergeCell ref="C105:G105"/>
    <mergeCell ref="C93:G93"/>
    <mergeCell ref="C94:G94"/>
    <mergeCell ref="C95:G95"/>
    <mergeCell ref="C97:G97"/>
    <mergeCell ref="C98:G98"/>
    <mergeCell ref="C99:G99"/>
    <mergeCell ref="C118:G118"/>
    <mergeCell ref="C112:G112"/>
    <mergeCell ref="C113:G113"/>
    <mergeCell ref="C114:G114"/>
    <mergeCell ref="C115:G115"/>
    <mergeCell ref="C116:G116"/>
    <mergeCell ref="C117:G117"/>
    <mergeCell ref="C106:G106"/>
    <mergeCell ref="C107:G107"/>
    <mergeCell ref="C108:G108"/>
    <mergeCell ref="C109:G109"/>
    <mergeCell ref="C110:G110"/>
    <mergeCell ref="C111:G1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topLeftCell="A31" workbookViewId="0">
      <selection activeCell="A41" sqref="A41:Q42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5" width="14.85546875" customWidth="1"/>
    <col min="16" max="16" width="33.5703125" customWidth="1"/>
    <col min="17" max="17" width="14.7109375" customWidth="1"/>
  </cols>
  <sheetData>
    <row r="1" spans="1:17" ht="15.75" thickBot="1" x14ac:dyDescent="0.3">
      <c r="A1" s="155" t="s">
        <v>5</v>
      </c>
      <c r="B1" s="155"/>
      <c r="C1" s="155"/>
      <c r="D1" s="156">
        <v>2022</v>
      </c>
      <c r="E1" s="156"/>
      <c r="F1" s="51"/>
      <c r="G1" s="51"/>
      <c r="H1" s="52"/>
      <c r="I1" s="52"/>
      <c r="J1" s="52"/>
      <c r="K1" s="52"/>
      <c r="L1" s="52"/>
      <c r="M1" s="52"/>
      <c r="N1" s="52"/>
      <c r="O1" s="53"/>
      <c r="P1" s="157" t="s">
        <v>340</v>
      </c>
      <c r="Q1" s="157"/>
    </row>
    <row r="2" spans="1:17" ht="15.75" thickBot="1" x14ac:dyDescent="0.3">
      <c r="A2" s="54"/>
      <c r="B2" s="55"/>
      <c r="C2" s="55"/>
      <c r="D2" s="55"/>
      <c r="E2" s="55"/>
      <c r="F2" s="55"/>
      <c r="G2" s="56"/>
      <c r="H2" s="57"/>
      <c r="I2" s="57"/>
      <c r="J2" s="57"/>
      <c r="K2" s="57"/>
      <c r="L2" s="57"/>
      <c r="M2" s="57"/>
      <c r="N2" s="57"/>
      <c r="O2" s="55"/>
      <c r="P2" s="157"/>
      <c r="Q2" s="157"/>
    </row>
    <row r="3" spans="1:17" ht="15.75" thickBot="1" x14ac:dyDescent="0.3">
      <c r="A3" s="54"/>
      <c r="B3" s="55"/>
      <c r="C3" s="55"/>
      <c r="D3" s="55"/>
      <c r="E3" s="55"/>
      <c r="F3" s="55"/>
      <c r="G3" s="56"/>
      <c r="H3" s="55"/>
      <c r="I3" s="55"/>
      <c r="J3" s="55"/>
      <c r="K3" s="55"/>
      <c r="L3" s="55"/>
      <c r="M3" s="55"/>
      <c r="N3" s="55"/>
      <c r="O3" s="55"/>
      <c r="P3" s="55"/>
      <c r="Q3" s="58"/>
    </row>
    <row r="4" spans="1:17" ht="15.75" thickBot="1" x14ac:dyDescent="0.3">
      <c r="A4" s="158" t="s">
        <v>341</v>
      </c>
      <c r="B4" s="158"/>
      <c r="C4" s="158"/>
      <c r="D4" s="158"/>
      <c r="E4" s="158"/>
      <c r="F4" s="158"/>
      <c r="G4" s="152" t="str">
        <f>NP!D3</f>
        <v>040 - MINISTERIO DE SALUD</v>
      </c>
      <c r="H4" s="152"/>
      <c r="I4" s="152"/>
      <c r="J4" s="152"/>
      <c r="K4" s="152"/>
      <c r="L4" s="152"/>
      <c r="M4" s="152"/>
      <c r="N4" s="152"/>
      <c r="O4" s="152"/>
      <c r="P4" s="152"/>
      <c r="Q4" s="152"/>
    </row>
    <row r="5" spans="1:17" ht="15.75" thickBot="1" x14ac:dyDescent="0.3">
      <c r="A5" s="151" t="s">
        <v>328</v>
      </c>
      <c r="B5" s="151"/>
      <c r="C5" s="151"/>
      <c r="D5" s="151"/>
      <c r="E5" s="151"/>
      <c r="F5" s="151"/>
      <c r="G5" s="152" t="str">
        <f>NP!D4</f>
        <v>011 - DIRECCION PROVINCIAL DE ADMINISTRACION - MINISTERIO DE SALUD</v>
      </c>
      <c r="H5" s="152"/>
      <c r="I5" s="152"/>
      <c r="J5" s="152"/>
      <c r="K5" s="152"/>
      <c r="L5" s="152"/>
      <c r="M5" s="152"/>
      <c r="N5" s="152"/>
      <c r="O5" s="152"/>
      <c r="P5" s="152"/>
      <c r="Q5" s="152"/>
    </row>
    <row r="6" spans="1:17" ht="15.75" thickBot="1" x14ac:dyDescent="0.3">
      <c r="A6" s="151" t="s">
        <v>329</v>
      </c>
      <c r="B6" s="151"/>
      <c r="C6" s="151"/>
      <c r="D6" s="151"/>
      <c r="E6" s="151"/>
      <c r="F6" s="151"/>
      <c r="G6" s="152" t="str">
        <f>NP!D5</f>
        <v>470 - DIRECCION PROVINCIAL DE ODONTOLOGIA</v>
      </c>
      <c r="H6" s="152"/>
      <c r="I6" s="152"/>
      <c r="J6" s="152"/>
      <c r="K6" s="152"/>
      <c r="L6" s="152"/>
      <c r="M6" s="152"/>
      <c r="N6" s="152"/>
      <c r="O6" s="152"/>
      <c r="P6" s="152"/>
      <c r="Q6" s="152"/>
    </row>
    <row r="7" spans="1:17" ht="15.75" thickBot="1" x14ac:dyDescent="0.3">
      <c r="A7" s="151" t="s">
        <v>330</v>
      </c>
      <c r="B7" s="151"/>
      <c r="C7" s="151"/>
      <c r="D7" s="151"/>
      <c r="E7" s="151"/>
      <c r="F7" s="151"/>
      <c r="G7" s="152" t="str">
        <f>NP!D6</f>
        <v>470 - DIRECCION PROVINCIAL DE ODONTOLOGIA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</row>
    <row r="8" spans="1:17" ht="15.75" thickBot="1" x14ac:dyDescent="0.3">
      <c r="A8" s="153" t="s">
        <v>342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</row>
    <row r="9" spans="1:17" x14ac:dyDescent="0.25">
      <c r="A9" s="154" t="s">
        <v>343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</row>
    <row r="10" spans="1:17" ht="46.5" customHeight="1" x14ac:dyDescent="0.25">
      <c r="A10" s="146" t="s">
        <v>362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</row>
    <row r="11" spans="1:17" ht="15.75" thickBot="1" x14ac:dyDescent="0.3">
      <c r="A11" s="59"/>
      <c r="B11" s="60"/>
      <c r="C11" s="60"/>
      <c r="D11" s="60"/>
      <c r="E11" s="60"/>
      <c r="F11" s="60"/>
      <c r="G11" s="61"/>
      <c r="H11" s="60"/>
      <c r="I11" s="60"/>
      <c r="J11" s="60"/>
      <c r="K11" s="60"/>
      <c r="L11" s="60"/>
      <c r="M11" s="60"/>
      <c r="N11" s="60"/>
      <c r="O11" s="60"/>
      <c r="P11" s="60"/>
      <c r="Q11" s="62"/>
    </row>
    <row r="12" spans="1:17" ht="15.75" thickBot="1" x14ac:dyDescent="0.3">
      <c r="A12" s="147" t="s">
        <v>344</v>
      </c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</row>
    <row r="13" spans="1:17" ht="15.75" thickBot="1" x14ac:dyDescent="0.3">
      <c r="A13" s="148" t="s">
        <v>345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9" t="s">
        <v>346</v>
      </c>
      <c r="P13" s="149"/>
      <c r="Q13" s="150" t="s">
        <v>347</v>
      </c>
    </row>
    <row r="14" spans="1:17" ht="15.75" thickBot="1" x14ac:dyDescent="0.3">
      <c r="A14" s="63" t="s">
        <v>348</v>
      </c>
      <c r="B14" s="64" t="s">
        <v>349</v>
      </c>
      <c r="C14" s="64" t="s">
        <v>350</v>
      </c>
      <c r="D14" s="64" t="s">
        <v>351</v>
      </c>
      <c r="E14" s="64" t="s">
        <v>352</v>
      </c>
      <c r="F14" s="64" t="s">
        <v>353</v>
      </c>
      <c r="G14" s="65" t="s">
        <v>354</v>
      </c>
      <c r="H14" s="64" t="s">
        <v>355</v>
      </c>
      <c r="I14" s="64" t="s">
        <v>356</v>
      </c>
      <c r="J14" s="64" t="s">
        <v>357</v>
      </c>
      <c r="K14" s="64" t="s">
        <v>357</v>
      </c>
      <c r="L14" s="64" t="s">
        <v>358</v>
      </c>
      <c r="M14" s="66" t="s">
        <v>359</v>
      </c>
      <c r="N14" s="67" t="s">
        <v>360</v>
      </c>
      <c r="O14" s="149"/>
      <c r="P14" s="149"/>
      <c r="Q14" s="150"/>
    </row>
    <row r="15" spans="1:17" x14ac:dyDescent="0.25">
      <c r="A15" s="68">
        <v>29</v>
      </c>
      <c r="B15" s="69"/>
      <c r="C15" s="69"/>
      <c r="D15" s="69">
        <v>1</v>
      </c>
      <c r="E15" s="69"/>
      <c r="F15" s="69">
        <v>4901</v>
      </c>
      <c r="G15" s="69">
        <v>3</v>
      </c>
      <c r="H15" s="69">
        <v>1</v>
      </c>
      <c r="I15" s="69">
        <v>2</v>
      </c>
      <c r="J15" s="69">
        <v>2</v>
      </c>
      <c r="K15" s="69">
        <v>2</v>
      </c>
      <c r="L15" s="69"/>
      <c r="M15" s="70">
        <v>1</v>
      </c>
      <c r="N15" s="69" t="s">
        <v>379</v>
      </c>
      <c r="O15" s="181" t="s">
        <v>380</v>
      </c>
      <c r="P15" s="181"/>
      <c r="Q15" s="71">
        <f>'SAF 011'!L123</f>
        <v>140000</v>
      </c>
    </row>
    <row r="16" spans="1:17" x14ac:dyDescent="0.25">
      <c r="A16" s="72">
        <v>29</v>
      </c>
      <c r="B16" s="73"/>
      <c r="C16" s="73"/>
      <c r="D16" s="73">
        <v>1</v>
      </c>
      <c r="E16" s="73"/>
      <c r="F16" s="73">
        <v>4901</v>
      </c>
      <c r="G16" s="73">
        <v>3</v>
      </c>
      <c r="H16" s="73">
        <v>1</v>
      </c>
      <c r="I16" s="73">
        <v>2</v>
      </c>
      <c r="J16" s="73">
        <v>5</v>
      </c>
      <c r="K16" s="73">
        <v>2</v>
      </c>
      <c r="L16" s="73"/>
      <c r="M16" s="74">
        <v>1</v>
      </c>
      <c r="N16" s="75" t="s">
        <v>379</v>
      </c>
      <c r="O16" s="182" t="s">
        <v>381</v>
      </c>
      <c r="P16" s="182"/>
      <c r="Q16" s="76">
        <f>'SAF 011'!M123</f>
        <v>8663500</v>
      </c>
    </row>
    <row r="17" spans="1:17" x14ac:dyDescent="0.25">
      <c r="A17" s="72">
        <v>29</v>
      </c>
      <c r="B17" s="73"/>
      <c r="C17" s="73"/>
      <c r="D17" s="73">
        <v>1</v>
      </c>
      <c r="E17" s="73"/>
      <c r="F17" s="73">
        <v>4901</v>
      </c>
      <c r="G17" s="73">
        <v>3</v>
      </c>
      <c r="H17" s="73">
        <v>1</v>
      </c>
      <c r="I17" s="73">
        <v>2</v>
      </c>
      <c r="J17" s="73">
        <v>5</v>
      </c>
      <c r="K17" s="73">
        <v>6</v>
      </c>
      <c r="L17" s="73"/>
      <c r="M17" s="74">
        <v>1</v>
      </c>
      <c r="N17" s="75" t="s">
        <v>379</v>
      </c>
      <c r="O17" s="183" t="s">
        <v>283</v>
      </c>
      <c r="P17" s="183"/>
      <c r="Q17" s="76">
        <f>'SAF 011'!N123</f>
        <v>105000</v>
      </c>
    </row>
    <row r="18" spans="1:17" x14ac:dyDescent="0.25">
      <c r="A18" s="72">
        <v>29</v>
      </c>
      <c r="B18" s="73"/>
      <c r="C18" s="73"/>
      <c r="D18" s="73">
        <v>1</v>
      </c>
      <c r="E18" s="73"/>
      <c r="F18" s="73">
        <v>4901</v>
      </c>
      <c r="G18" s="73">
        <v>3</v>
      </c>
      <c r="H18" s="73">
        <v>1</v>
      </c>
      <c r="I18" s="73">
        <v>2</v>
      </c>
      <c r="J18" s="73">
        <v>5</v>
      </c>
      <c r="K18" s="73">
        <v>9</v>
      </c>
      <c r="L18" s="73"/>
      <c r="M18" s="74">
        <v>1</v>
      </c>
      <c r="N18" s="75" t="s">
        <v>379</v>
      </c>
      <c r="O18" s="182" t="s">
        <v>382</v>
      </c>
      <c r="P18" s="182"/>
      <c r="Q18" s="76">
        <f>'SAF 011'!O123</f>
        <v>570000</v>
      </c>
    </row>
    <row r="19" spans="1:17" x14ac:dyDescent="0.25">
      <c r="A19" s="72">
        <v>29</v>
      </c>
      <c r="B19" s="73"/>
      <c r="C19" s="73"/>
      <c r="D19" s="73">
        <v>1</v>
      </c>
      <c r="E19" s="73"/>
      <c r="F19" s="73">
        <v>4901</v>
      </c>
      <c r="G19" s="73">
        <v>3</v>
      </c>
      <c r="H19" s="73">
        <v>1</v>
      </c>
      <c r="I19" s="73">
        <v>2</v>
      </c>
      <c r="J19" s="73">
        <v>6</v>
      </c>
      <c r="K19" s="73">
        <v>5</v>
      </c>
      <c r="L19" s="73"/>
      <c r="M19" s="74">
        <v>1</v>
      </c>
      <c r="N19" s="75" t="s">
        <v>379</v>
      </c>
      <c r="O19" s="182" t="s">
        <v>383</v>
      </c>
      <c r="P19" s="182"/>
      <c r="Q19" s="76">
        <f>'SAF 011'!P123</f>
        <v>53600</v>
      </c>
    </row>
    <row r="20" spans="1:17" ht="35.25" customHeight="1" x14ac:dyDescent="0.25">
      <c r="A20" s="72">
        <v>29</v>
      </c>
      <c r="B20" s="73"/>
      <c r="C20" s="73"/>
      <c r="D20" s="73">
        <v>1</v>
      </c>
      <c r="E20" s="73"/>
      <c r="F20" s="73">
        <v>4901</v>
      </c>
      <c r="G20" s="73">
        <v>3</v>
      </c>
      <c r="H20" s="73">
        <v>1</v>
      </c>
      <c r="I20" s="73">
        <v>2</v>
      </c>
      <c r="J20" s="73">
        <v>9</v>
      </c>
      <c r="K20" s="73">
        <v>5</v>
      </c>
      <c r="L20" s="73"/>
      <c r="M20" s="74">
        <v>1</v>
      </c>
      <c r="N20" s="75" t="s">
        <v>379</v>
      </c>
      <c r="O20" s="184" t="s">
        <v>384</v>
      </c>
      <c r="P20" s="185"/>
      <c r="Q20" s="76">
        <f>'SAF 011'!Q123</f>
        <v>3324200</v>
      </c>
    </row>
    <row r="21" spans="1:17" x14ac:dyDescent="0.25">
      <c r="A21" s="72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4"/>
      <c r="N21" s="75"/>
      <c r="O21" s="145"/>
      <c r="P21" s="145"/>
      <c r="Q21" s="76"/>
    </row>
    <row r="22" spans="1:17" x14ac:dyDescent="0.25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4"/>
      <c r="N22" s="75"/>
      <c r="O22" s="145"/>
      <c r="P22" s="145"/>
      <c r="Q22" s="76"/>
    </row>
    <row r="23" spans="1:17" x14ac:dyDescent="0.25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4"/>
      <c r="N23" s="75"/>
      <c r="O23" s="145"/>
      <c r="P23" s="145"/>
      <c r="Q23" s="76"/>
    </row>
    <row r="24" spans="1:17" x14ac:dyDescent="0.25">
      <c r="A24" s="72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4"/>
      <c r="N24" s="75"/>
      <c r="O24" s="145"/>
      <c r="P24" s="145"/>
      <c r="Q24" s="76"/>
    </row>
    <row r="25" spans="1:17" x14ac:dyDescent="0.25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4"/>
      <c r="N25" s="75"/>
      <c r="O25" s="145"/>
      <c r="P25" s="145"/>
      <c r="Q25" s="76"/>
    </row>
    <row r="26" spans="1:17" x14ac:dyDescent="0.25">
      <c r="A26" s="72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4"/>
      <c r="N26" s="75"/>
      <c r="O26" s="145"/>
      <c r="P26" s="145"/>
      <c r="Q26" s="76"/>
    </row>
    <row r="27" spans="1:17" x14ac:dyDescent="0.25">
      <c r="A27" s="72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4"/>
      <c r="N27" s="75"/>
      <c r="O27" s="145"/>
      <c r="P27" s="145"/>
      <c r="Q27" s="76"/>
    </row>
    <row r="28" spans="1:17" x14ac:dyDescent="0.25">
      <c r="A28" s="7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4"/>
      <c r="N28" s="75"/>
      <c r="O28" s="145"/>
      <c r="P28" s="145"/>
      <c r="Q28" s="76"/>
    </row>
    <row r="29" spans="1:17" x14ac:dyDescent="0.25">
      <c r="A29" s="72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4"/>
      <c r="N29" s="75"/>
      <c r="O29" s="145"/>
      <c r="P29" s="145"/>
      <c r="Q29" s="76"/>
    </row>
    <row r="30" spans="1:17" x14ac:dyDescent="0.25">
      <c r="A30" s="72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4"/>
      <c r="N30" s="75"/>
      <c r="O30" s="145"/>
      <c r="P30" s="145"/>
      <c r="Q30" s="76"/>
    </row>
    <row r="31" spans="1:17" x14ac:dyDescent="0.25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4"/>
      <c r="N31" s="75"/>
      <c r="O31" s="145"/>
      <c r="P31" s="145"/>
      <c r="Q31" s="76"/>
    </row>
    <row r="32" spans="1:17" x14ac:dyDescent="0.25">
      <c r="A32" s="72"/>
      <c r="B32" s="73"/>
      <c r="C32" s="73"/>
      <c r="D32" s="73"/>
      <c r="E32" s="73"/>
      <c r="F32" s="75"/>
      <c r="G32" s="73"/>
      <c r="H32" s="73"/>
      <c r="I32" s="73"/>
      <c r="J32" s="73"/>
      <c r="K32" s="73"/>
      <c r="L32" s="73"/>
      <c r="M32" s="74"/>
      <c r="N32" s="75"/>
      <c r="O32" s="140"/>
      <c r="P32" s="140"/>
      <c r="Q32" s="76"/>
    </row>
    <row r="33" spans="1:17" x14ac:dyDescent="0.2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4"/>
      <c r="N33" s="75"/>
      <c r="O33" s="140"/>
      <c r="P33" s="140"/>
      <c r="Q33" s="76"/>
    </row>
    <row r="34" spans="1:17" x14ac:dyDescent="0.25">
      <c r="A34" s="72"/>
      <c r="B34" s="73"/>
      <c r="C34" s="73"/>
      <c r="D34" s="73"/>
      <c r="E34" s="73"/>
      <c r="F34" s="75"/>
      <c r="G34" s="73"/>
      <c r="H34" s="73"/>
      <c r="I34" s="73"/>
      <c r="J34" s="73"/>
      <c r="K34" s="73"/>
      <c r="L34" s="73"/>
      <c r="M34" s="74"/>
      <c r="N34" s="75"/>
      <c r="O34" s="140"/>
      <c r="P34" s="140"/>
      <c r="Q34" s="76"/>
    </row>
    <row r="35" spans="1:17" x14ac:dyDescent="0.25">
      <c r="A35" s="72"/>
      <c r="B35" s="73"/>
      <c r="C35" s="73"/>
      <c r="D35" s="73"/>
      <c r="E35" s="73"/>
      <c r="F35" s="75"/>
      <c r="G35" s="73"/>
      <c r="H35" s="73"/>
      <c r="I35" s="73"/>
      <c r="J35" s="73"/>
      <c r="K35" s="73"/>
      <c r="L35" s="73"/>
      <c r="M35" s="74"/>
      <c r="N35" s="75"/>
      <c r="O35" s="140"/>
      <c r="P35" s="140"/>
      <c r="Q35" s="76"/>
    </row>
    <row r="36" spans="1:17" x14ac:dyDescent="0.25">
      <c r="A36" s="77"/>
      <c r="B36" s="78"/>
      <c r="C36" s="78"/>
      <c r="D36" s="78"/>
      <c r="E36" s="78"/>
      <c r="F36" s="79"/>
      <c r="G36" s="78"/>
      <c r="H36" s="78"/>
      <c r="I36" s="78"/>
      <c r="J36" s="78"/>
      <c r="K36" s="78"/>
      <c r="L36" s="78"/>
      <c r="M36" s="80"/>
      <c r="N36" s="81"/>
      <c r="O36" s="141"/>
      <c r="P36" s="141"/>
      <c r="Q36" s="76"/>
    </row>
    <row r="37" spans="1:17" ht="15.75" thickBot="1" x14ac:dyDescent="0.3">
      <c r="A37" s="82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4"/>
      <c r="N37" s="83"/>
      <c r="O37" s="142"/>
      <c r="P37" s="142"/>
      <c r="Q37" s="85"/>
    </row>
    <row r="38" spans="1:17" ht="25.5" customHeight="1" thickBot="1" x14ac:dyDescent="0.3">
      <c r="A38" s="143" t="s">
        <v>385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86">
        <f>SUM(Q15:Q37)</f>
        <v>12856300</v>
      </c>
    </row>
    <row r="39" spans="1:17" ht="15.75" thickBot="1" x14ac:dyDescent="0.3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</row>
    <row r="40" spans="1:17" ht="15.75" thickBot="1" x14ac:dyDescent="0.3">
      <c r="A40" s="137" t="s">
        <v>361</v>
      </c>
      <c r="B40" s="137"/>
      <c r="C40" s="137"/>
      <c r="D40" s="137"/>
      <c r="E40" s="137"/>
      <c r="F40" s="137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</row>
    <row r="41" spans="1:17" ht="15.75" thickBot="1" x14ac:dyDescent="0.3">
      <c r="A41" s="139" t="str">
        <f>NP!D8</f>
        <v>ADQ. RUBRO INSUMOS PARA ODONTOLOGIA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</row>
    <row r="42" spans="1:17" ht="15.75" thickBot="1" x14ac:dyDescent="0.3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COMPRAR</dc:creator>
  <cp:lastModifiedBy>usuario</cp:lastModifiedBy>
  <dcterms:created xsi:type="dcterms:W3CDTF">2022-09-26T16:00:31Z</dcterms:created>
  <dcterms:modified xsi:type="dcterms:W3CDTF">2022-11-10T21:05:03Z</dcterms:modified>
</cp:coreProperties>
</file>