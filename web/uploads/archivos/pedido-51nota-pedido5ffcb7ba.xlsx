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MS\Medicamentos 1er Trim.2022\Terapia Antiinfecciosa consolidado\"/>
    </mc:Choice>
  </mc:AlternateContent>
  <xr:revisionPtr revIDLastSave="0" documentId="13_ncr:1_{49C32D4A-B757-40EC-ACDC-F0462D810D95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SAF 011" sheetId="1" r:id="rId1"/>
    <sheet name="NP" sheetId="2" r:id="rId2"/>
    <sheet name="APG" sheetId="3" r:id="rId3"/>
  </sheets>
  <definedNames>
    <definedName name="_xlnm._FilterDatabase" localSheetId="0" hidden="1">'SAF 011'!$A$9:$I$9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2" l="1"/>
  <c r="A41" i="3" l="1"/>
  <c r="M2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12" i="2"/>
  <c r="C13" i="2"/>
  <c r="C14" i="2"/>
  <c r="C15" i="2"/>
  <c r="C16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12" i="2"/>
  <c r="M45" i="2" l="1"/>
  <c r="M41" i="2"/>
  <c r="M29" i="2"/>
  <c r="M44" i="2"/>
  <c r="M40" i="2"/>
  <c r="M32" i="2"/>
  <c r="M28" i="2"/>
  <c r="M24" i="2"/>
  <c r="M16" i="2"/>
  <c r="M12" i="2"/>
  <c r="M43" i="2"/>
  <c r="M39" i="2"/>
  <c r="M31" i="2"/>
  <c r="M27" i="2"/>
  <c r="M23" i="2"/>
  <c r="M15" i="2"/>
  <c r="M33" i="2"/>
  <c r="M25" i="2"/>
  <c r="M17" i="2"/>
  <c r="M13" i="2"/>
  <c r="M38" i="2"/>
  <c r="M46" i="2"/>
  <c r="M42" i="2"/>
  <c r="M34" i="2"/>
  <c r="M30" i="2"/>
  <c r="M26" i="2"/>
  <c r="M18" i="2"/>
  <c r="M14" i="2"/>
  <c r="M37" i="2"/>
  <c r="M21" i="2"/>
  <c r="M36" i="2"/>
  <c r="M20" i="2"/>
  <c r="M35" i="2"/>
  <c r="M19" i="2"/>
  <c r="G6" i="3"/>
  <c r="G7" i="3"/>
  <c r="D4" i="2"/>
  <c r="G5" i="3" s="1"/>
  <c r="D3" i="2"/>
  <c r="G4" i="3" s="1"/>
  <c r="M48" i="2" l="1"/>
  <c r="J48" i="2" s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Q15" i="3" l="1"/>
  <c r="Q38" i="3" s="1"/>
  <c r="I45" i="1"/>
</calcChain>
</file>

<file path=xl/sharedStrings.xml><?xml version="1.0" encoding="utf-8"?>
<sst xmlns="http://schemas.openxmlformats.org/spreadsheetml/2006/main" count="255" uniqueCount="116">
  <si>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</si>
  <si>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</si>
  <si>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</si>
  <si>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</si>
  <si>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</si>
  <si>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</si>
  <si>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</si>
  <si>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PRIMERO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</si>
  <si>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</si>
  <si>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</si>
  <si>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</si>
  <si>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</si>
  <si>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</si>
  <si>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</si>
  <si>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 TOTAL</t>
  </si>
  <si>
    <t>PRECIO UNITARIO ESTIMADO</t>
  </si>
  <si>
    <t xml:space="preserve">IMPORTE TOTAL ESTIMADO </t>
  </si>
  <si>
    <t>ESPECIFICACION TECNICA</t>
  </si>
  <si>
    <t>PROD. MEDICO/FARMACEUTICOS/LAB</t>
  </si>
  <si>
    <t>2.5.2</t>
  </si>
  <si>
    <t>FRASCO</t>
  </si>
  <si>
    <t>AMPOLLA</t>
  </si>
  <si>
    <t>COMPRIMIDO</t>
  </si>
  <si>
    <t>AMIKACINA 500 MG AMPOLLA</t>
  </si>
  <si>
    <t>AMOXICILINA + CLAVULANICO 1 G COMPRIMIDO</t>
  </si>
  <si>
    <t>AMOXICILINA 500 MG SUSPENSIÓN X 90 ML</t>
  </si>
  <si>
    <t>AMPICILINA 1G FCO AMPOLLA</t>
  </si>
  <si>
    <t xml:space="preserve">AZITROMICINA 500 MG COMPRIMIDOS </t>
  </si>
  <si>
    <t xml:space="preserve">BUPIVACAINA 5 MG / ML  HIBERBARICA  AMPOLLA DE 4 ML CON AGUJA 27 G X 3 1/2 CON INTRODUCTOR </t>
  </si>
  <si>
    <t>CEFALOTINA 1 GR. AMP.</t>
  </si>
  <si>
    <t>CIPROFLOXACINA 200 MG AMPOLLA</t>
  </si>
  <si>
    <t>CIPROFLOXACINA 500 MG COMP</t>
  </si>
  <si>
    <t>CLARITROMICINA 500 MG COMPRIMIDO</t>
  </si>
  <si>
    <t>CLARITROMICINA 500 MG FRASCO AMPOLLA</t>
  </si>
  <si>
    <t>COLISTINA 100 MG FCO AMPOLLA</t>
  </si>
  <si>
    <t>DICLOFENAC 75 MG COMPRIMIDOS</t>
  </si>
  <si>
    <t xml:space="preserve">DICLOFENAC 75 MG. AMPOLLA </t>
  </si>
  <si>
    <t>DIPIRONA 1GR AMPOLLA</t>
  </si>
  <si>
    <t>FENTANILO 250 MCG INYECTABLE</t>
  </si>
  <si>
    <t>FLUCONAZOL 200 MG SACHET 100 ML</t>
  </si>
  <si>
    <t>ENVASE</t>
  </si>
  <si>
    <t>IBUPROFENO 2% SUSPENSIÓN X 90 ML</t>
  </si>
  <si>
    <t>IBUPROFENO 400 MG COMPRIMIDO</t>
  </si>
  <si>
    <t>KETAMINA 50MG/ML FCO AMPOLLA</t>
  </si>
  <si>
    <t>KETOROLAC 10 MG COMPRIMIDO</t>
  </si>
  <si>
    <t>KETOROLAC 30 MG AMPOLLA</t>
  </si>
  <si>
    <t>LIDOCAINA AEROSOL</t>
  </si>
  <si>
    <t>METRONIDAZOL 500 MG SACHET</t>
  </si>
  <si>
    <t>PARACETAMOL 1GR ML FRASCO AMPOLLA</t>
  </si>
  <si>
    <t>PARACETAMOL 2% JARABE X 120 ML</t>
  </si>
  <si>
    <t>PARACETAMOL 500 MG COMPRIMIDO</t>
  </si>
  <si>
    <t>PERMETRINA LOCION</t>
  </si>
  <si>
    <t>PROPOFOL 1% AMPOLLAS X 20 ML</t>
  </si>
  <si>
    <t>SUCCINILCOLINA 500 MG FCO AMP</t>
  </si>
  <si>
    <t>TRAMADOL 50 MG AMPOLLA</t>
  </si>
  <si>
    <t>VECURONIO BROMURO 10 MG AMPOLLA</t>
  </si>
  <si>
    <t>TOTAL RUBRO TERAPIA ANTIINFECCIOSA SISTEMICA/SUEROS INMUNES E INMUNOGLOBULINAS  Y MEDIOS DE CONTRASTES /ANALGESICOS ANTINFLAMATORIOS /MIORRELAJANTES/ANESTESICOS/ANALGESICOS OPIACIOS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</si>
  <si>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</si>
  <si>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</si>
  <si>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</si>
  <si>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</si>
  <si>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</si>
  <si>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</si>
  <si>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</si>
  <si>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</si>
  <si>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</si>
  <si>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</si>
  <si>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</si>
  <si>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</si>
  <si>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</si>
  <si>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</si>
  <si>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</si>
  <si>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</si>
  <si>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</si>
  <si>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</si>
  <si>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</si>
  <si>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</si>
  <si>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</si>
  <si>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</si>
  <si>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</si>
  <si>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</si>
  <si>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</si>
  <si>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</si>
  <si>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</si>
  <si>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</si>
  <si>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</si>
  <si>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</si>
  <si>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</si>
  <si>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</si>
  <si>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</si>
  <si>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</si>
  <si>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</si>
  <si>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</si>
  <si>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</si>
  <si>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DETALLE TECNICO Y ESPECIFICACIONES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</si>
  <si>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</si>
  <si>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Plazos de entrega</t>
  </si>
  <si>
    <t>Lugar de Entrega:</t>
  </si>
  <si>
    <t>DIR. PROV. DE FARMACIA E INSUMOS - CHACABUCO N° 169 - en el horario de 8:00hs a 12:00hs de lunes a viernes</t>
  </si>
  <si>
    <t>Calidad Minima esperada</t>
  </si>
  <si>
    <t>Mantenimiento</t>
  </si>
  <si>
    <t>cuarenta y cinco (45) días</t>
  </si>
  <si>
    <t>DIRECCION PROVINCIAL DE FARMACIA E INSUMOS</t>
  </si>
  <si>
    <t>1° TRIMESTRE 2022</t>
  </si>
  <si>
    <t>1.1</t>
  </si>
  <si>
    <t>PRODUCTOS FARMACEUTICOS Y MEDICINALES</t>
  </si>
  <si>
    <t xml:space="preserve"> 05/2022</t>
  </si>
  <si>
    <t>ADQUISICION DEL RUBRO TERAPIA ANTIINFECCIOSA SISTEMICA/SUEROS INMUNES E INMUNOGLOBULINAS  Y MEDIOS DE CONTRASTES /ANALGESICOS ANTINFLAMATORIOS /MIORRELAJANTES/ANESTESICOS/ANALGESICOS OPIACIOS</t>
  </si>
  <si>
    <t>SI</t>
  </si>
  <si>
    <t>Costo total estimado: VEINTITRES MILLONES OCHENTA Y TRES MIL SETECIENTOS NOVENTA CON 00/100.-</t>
  </si>
  <si>
    <t>Autorizo la realización de los  trámites correspondientes, a fin de proveer a  este Organismo los bienes que se detallan en Nota  de Pedido N° 05/2022 afectando la erogación resultante a los créditos presupuestarios aprobados a favor de esta Unidad Ejecutora, conforme al siguiente detalle:</t>
  </si>
  <si>
    <t>TOTAL DE PESOS: VEINTITRES MILLONES OCHENTA Y TRES MIL SETECIENTOS NOVENTA CON 00/100.-</t>
  </si>
  <si>
    <t xml:space="preserve">AMOXICILINA  400 MG + ACIDO CLAVULANICO 57 MG  SUSPENSIÓN x 70 ML </t>
  </si>
  <si>
    <t>DIPIRONA JARABE X 120 ML</t>
  </si>
  <si>
    <t>AZITROMICINA 200 MG / 5 ML SUSPENSIÓN x 15 ML</t>
  </si>
  <si>
    <t>veinte (20)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</si>
</sst>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43" formatCode="_-* #,##0.00_-;\-* #,##0.00_-;_-* &quot;-&quot;??_-;_-@_-"/>
    <numFmt numFmtId="165" formatCode="_-[$$-2C0A]\ * #,##0.00_-;\-[$$-2C0A]\ * #,##0.00_-;_-[$$-2C0A]\ * &quot;-&quot;??_-;_-@_-"/>
    <numFmt numFmtId="166" formatCode="[$$-2C0A]\ #,##0.00"/>
    <numFmt numFmtId="167" formatCode="_ &quot;$&quot;\ * #,##0.00_ ;_ &quot;$&quot;\ * \-#,##0.00_ ;_ &quot;$&quot;\ * &quot;-&quot;??_ ;_ @_ "/>
    <numFmt numFmtId="168" formatCode="dd\-mm\-yy;@"/>
    <numFmt numFmtId="169" formatCode="_(\$* #,##0.00_);_(\$* \(#,##0.00\);_(\$* \-??_);_(@_)"/>
    <numFmt numFmtId="170" formatCode="[$$-2C0A]\ #,##0.00;[$$-2C0A]&quot; -&quot;#,##0.00"/>
    <numFmt numFmtId="171" formatCode="_-* #,##0.00&quot; €&quot;_-;\-* #,##0.00&quot; €&quot;_-;_-* \-??&quot; €&quot;_-;_-@_-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1"/>
      <name val="Times New Roman"/>
      <family val="1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rgb="FFFFFFCC"/>
      </patternFill>
    </fill>
  </fills>
  <borders count="7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/>
      <bottom style="thick">
        <color rgb="FF33CCCC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3">
    <xf numFmtId="0" fontId="0" fillId="0" borderId="0"/>
    <xf numFmtId="44" fontId="1" fillId="0" borderId="0" applyFont="0" applyFill="0" applyBorder="0" applyAlignment="0" applyProtection="0"/>
    <xf numFmtId="0" fontId="9" fillId="0" borderId="0"/>
    <xf numFmtId="167" fontId="9" fillId="0" borderId="0" applyBorder="0" applyAlignment="0" applyProtection="0"/>
    <xf numFmtId="0" fontId="1" fillId="0" borderId="0"/>
    <xf numFmtId="0" fontId="9" fillId="0" borderId="0"/>
    <xf numFmtId="0" fontId="9" fillId="0" borderId="0"/>
    <xf numFmtId="169" fontId="21" fillId="0" borderId="0" applyBorder="0" applyProtection="0"/>
    <xf numFmtId="0" fontId="25" fillId="0" borderId="61" applyProtection="0"/>
    <xf numFmtId="0" fontId="25" fillId="0" borderId="61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9" fillId="0" borderId="0" applyBorder="0" applyAlignment="0" applyProtection="0"/>
    <xf numFmtId="171" fontId="9" fillId="0" borderId="0" applyBorder="0" applyProtection="0"/>
    <xf numFmtId="171" fontId="9" fillId="0" borderId="0" applyBorder="0" applyProtection="0"/>
    <xf numFmtId="171" fontId="9" fillId="0" borderId="0" applyBorder="0" applyProtection="0"/>
    <xf numFmtId="0" fontId="26" fillId="3" borderId="0" applyBorder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</cellStyleXfs>
  <cellXfs count="183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3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65" fontId="4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3" fontId="7" fillId="0" borderId="1" xfId="2" applyNumberFormat="1" applyFont="1" applyBorder="1" applyAlignment="1">
      <alignment horizontal="center" vertical="center" wrapText="1"/>
    </xf>
    <xf numFmtId="0" fontId="8" fillId="0" borderId="1" xfId="0" applyFont="1" applyBorder="1"/>
    <xf numFmtId="3" fontId="7" fillId="0" borderId="6" xfId="2" applyNumberFormat="1" applyFont="1" applyBorder="1" applyAlignment="1">
      <alignment horizontal="center" vertical="center" wrapText="1"/>
    </xf>
    <xf numFmtId="3" fontId="7" fillId="0" borderId="3" xfId="2" applyNumberFormat="1" applyFont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/>
    </xf>
    <xf numFmtId="0" fontId="8" fillId="0" borderId="0" xfId="0" applyFont="1"/>
    <xf numFmtId="165" fontId="10" fillId="0" borderId="8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4" xfId="0" applyFont="1" applyBorder="1"/>
    <xf numFmtId="0" fontId="10" fillId="0" borderId="0" xfId="0" applyFont="1"/>
    <xf numFmtId="0" fontId="8" fillId="0" borderId="3" xfId="0" applyFont="1" applyBorder="1" applyAlignment="1">
      <alignment horizontal="center" vertical="center"/>
    </xf>
    <xf numFmtId="165" fontId="8" fillId="0" borderId="3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3" fontId="7" fillId="0" borderId="8" xfId="2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165" fontId="8" fillId="0" borderId="1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165" fontId="8" fillId="0" borderId="2" xfId="0" applyNumberFormat="1" applyFont="1" applyBorder="1" applyAlignment="1">
      <alignment horizontal="center" vertical="center"/>
    </xf>
    <xf numFmtId="165" fontId="10" fillId="0" borderId="9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vertical="center"/>
    </xf>
    <xf numFmtId="0" fontId="12" fillId="0" borderId="15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14" fillId="0" borderId="22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 wrapText="1" indent="1"/>
    </xf>
    <xf numFmtId="0" fontId="13" fillId="0" borderId="16" xfId="0" applyFont="1" applyBorder="1" applyAlignment="1">
      <alignment horizontal="left" vertical="center" wrapText="1" indent="1"/>
    </xf>
    <xf numFmtId="0" fontId="16" fillId="0" borderId="28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3" fontId="17" fillId="0" borderId="29" xfId="0" applyNumberFormat="1" applyFont="1" applyBorder="1" applyAlignment="1">
      <alignment horizontal="center" vertical="center"/>
    </xf>
    <xf numFmtId="3" fontId="19" fillId="0" borderId="33" xfId="0" applyNumberFormat="1" applyFont="1" applyBorder="1" applyAlignment="1"/>
    <xf numFmtId="168" fontId="0" fillId="0" borderId="33" xfId="0" applyNumberFormat="1" applyBorder="1" applyAlignment="1">
      <alignment horizontal="left"/>
    </xf>
    <xf numFmtId="0" fontId="0" fillId="0" borderId="33" xfId="0" applyBorder="1"/>
    <xf numFmtId="0" fontId="0" fillId="0" borderId="22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8" fontId="0" fillId="0" borderId="0" xfId="0" applyNumberFormat="1" applyBorder="1" applyAlignment="1">
      <alignment horizontal="left"/>
    </xf>
    <xf numFmtId="0" fontId="0" fillId="0" borderId="16" xfId="0" applyBorder="1"/>
    <xf numFmtId="0" fontId="0" fillId="0" borderId="14" xfId="0" applyBorder="1"/>
    <xf numFmtId="0" fontId="0" fillId="0" borderId="15" xfId="0" applyBorder="1"/>
    <xf numFmtId="0" fontId="0" fillId="0" borderId="15" xfId="0" applyBorder="1" applyAlignment="1">
      <alignment horizontal="left"/>
    </xf>
    <xf numFmtId="0" fontId="0" fillId="0" borderId="39" xfId="0" applyBorder="1"/>
    <xf numFmtId="0" fontId="24" fillId="0" borderId="42" xfId="0" applyFont="1" applyBorder="1" applyAlignment="1">
      <alignment horizontal="center" vertical="center"/>
    </xf>
    <xf numFmtId="0" fontId="24" fillId="0" borderId="43" xfId="0" applyFont="1" applyBorder="1" applyAlignment="1">
      <alignment horizontal="center" vertical="center"/>
    </xf>
    <xf numFmtId="0" fontId="24" fillId="0" borderId="43" xfId="0" applyFont="1" applyBorder="1" applyAlignment="1">
      <alignment horizontal="left" vertical="center"/>
    </xf>
    <xf numFmtId="0" fontId="24" fillId="0" borderId="44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170" fontId="0" fillId="0" borderId="49" xfId="7" applyNumberFormat="1" applyFont="1" applyBorder="1" applyAlignment="1" applyProtection="1">
      <alignment horizontal="center" vertical="center"/>
    </xf>
    <xf numFmtId="0" fontId="0" fillId="0" borderId="5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0" fillId="0" borderId="52" xfId="0" applyFont="1" applyBorder="1" applyAlignment="1">
      <alignment horizontal="center" vertical="center"/>
    </xf>
    <xf numFmtId="0" fontId="0" fillId="0" borderId="53" xfId="0" applyFont="1" applyBorder="1" applyAlignment="1">
      <alignment horizontal="center" vertical="center"/>
    </xf>
    <xf numFmtId="170" fontId="0" fillId="0" borderId="54" xfId="7" applyNumberFormat="1" applyFont="1" applyBorder="1" applyAlignment="1" applyProtection="1">
      <alignment horizontal="center" vertical="center"/>
    </xf>
    <xf numFmtId="0" fontId="22" fillId="0" borderId="50" xfId="0" applyFont="1" applyBorder="1" applyAlignment="1">
      <alignment horizontal="center" vertical="center"/>
    </xf>
    <xf numFmtId="0" fontId="22" fillId="0" borderId="51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22" fillId="0" borderId="52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170" fontId="0" fillId="0" borderId="58" xfId="7" applyNumberFormat="1" applyFont="1" applyBorder="1" applyAlignment="1" applyProtection="1">
      <alignment horizontal="center" vertical="center"/>
    </xf>
    <xf numFmtId="170" fontId="24" fillId="0" borderId="60" xfId="0" applyNumberFormat="1" applyFont="1" applyBorder="1" applyAlignment="1">
      <alignment horizontal="center" vertical="center"/>
    </xf>
    <xf numFmtId="0" fontId="27" fillId="0" borderId="11" xfId="5" applyFont="1" applyFill="1" applyBorder="1" applyAlignment="1">
      <alignment horizontal="center" vertical="center" wrapText="1"/>
    </xf>
    <xf numFmtId="0" fontId="27" fillId="0" borderId="22" xfId="5" applyFont="1" applyFill="1" applyBorder="1" applyAlignment="1">
      <alignment horizontal="center" vertical="center" wrapText="1"/>
    </xf>
    <xf numFmtId="0" fontId="3" fillId="0" borderId="0" xfId="5" applyFont="1" applyFill="1" applyBorder="1" applyAlignment="1">
      <alignment horizontal="left" vertical="center" wrapText="1"/>
    </xf>
    <xf numFmtId="0" fontId="27" fillId="0" borderId="22" xfId="5" applyFont="1" applyFill="1" applyBorder="1" applyAlignment="1">
      <alignment horizontal="center" wrapText="1"/>
    </xf>
    <xf numFmtId="0" fontId="27" fillId="0" borderId="22" xfId="5" applyFont="1" applyBorder="1" applyAlignment="1">
      <alignment horizontal="center" wrapText="1"/>
    </xf>
    <xf numFmtId="0" fontId="27" fillId="0" borderId="62" xfId="5" applyFont="1" applyBorder="1" applyAlignment="1">
      <alignment horizontal="center" wrapText="1"/>
    </xf>
    <xf numFmtId="0" fontId="0" fillId="0" borderId="16" xfId="0" applyBorder="1" applyAlignment="1">
      <alignment horizontal="left" vertical="center" wrapText="1"/>
    </xf>
    <xf numFmtId="0" fontId="3" fillId="0" borderId="0" xfId="5" applyFont="1" applyBorder="1" applyAlignment="1">
      <alignment horizontal="left" vertical="center" wrapTex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0" fillId="0" borderId="0" xfId="0" applyFont="1"/>
    <xf numFmtId="0" fontId="29" fillId="0" borderId="26" xfId="0" applyFont="1" applyBorder="1" applyAlignment="1">
      <alignment horizontal="center" vertical="center"/>
    </xf>
    <xf numFmtId="0" fontId="29" fillId="0" borderId="10" xfId="0" applyFont="1" applyBorder="1" applyAlignment="1">
      <alignment horizontal="left" vertical="center"/>
    </xf>
    <xf numFmtId="0" fontId="29" fillId="0" borderId="66" xfId="0" applyFont="1" applyBorder="1" applyAlignment="1">
      <alignment horizontal="center" vertical="center"/>
    </xf>
    <xf numFmtId="0" fontId="29" fillId="0" borderId="3" xfId="0" applyFont="1" applyBorder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 wrapText="1"/>
    </xf>
    <xf numFmtId="3" fontId="29" fillId="0" borderId="27" xfId="0" applyNumberFormat="1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 wrapText="1"/>
    </xf>
    <xf numFmtId="3" fontId="29" fillId="0" borderId="67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3" fontId="29" fillId="0" borderId="29" xfId="0" applyNumberFormat="1" applyFont="1" applyBorder="1" applyAlignment="1">
      <alignment horizontal="center" vertical="center"/>
    </xf>
    <xf numFmtId="165" fontId="12" fillId="0" borderId="12" xfId="0" applyNumberFormat="1" applyFont="1" applyBorder="1" applyAlignment="1">
      <alignment horizontal="right" vertical="center"/>
    </xf>
    <xf numFmtId="165" fontId="12" fillId="0" borderId="0" xfId="0" applyNumberFormat="1" applyFont="1" applyBorder="1" applyAlignment="1">
      <alignment vertical="center"/>
    </xf>
    <xf numFmtId="165" fontId="13" fillId="0" borderId="0" xfId="0" applyNumberFormat="1" applyFont="1" applyBorder="1" applyAlignment="1">
      <alignment horizontal="left" vertical="center" wrapText="1" indent="1"/>
    </xf>
    <xf numFmtId="165" fontId="29" fillId="0" borderId="10" xfId="0" applyNumberFormat="1" applyFont="1" applyBorder="1" applyAlignment="1">
      <alignment horizontal="center" vertical="center" wrapText="1"/>
    </xf>
    <xf numFmtId="165" fontId="29" fillId="0" borderId="3" xfId="0" applyNumberFormat="1" applyFont="1" applyBorder="1" applyAlignment="1">
      <alignment horizontal="center" vertical="center" wrapText="1"/>
    </xf>
    <xf numFmtId="165" fontId="29" fillId="0" borderId="1" xfId="0" applyNumberFormat="1" applyFont="1" applyBorder="1" applyAlignment="1">
      <alignment horizontal="center" vertical="center" wrapText="1"/>
    </xf>
    <xf numFmtId="165" fontId="17" fillId="0" borderId="1" xfId="0" applyNumberFormat="1" applyFont="1" applyBorder="1" applyAlignment="1">
      <alignment horizontal="center" vertical="center" wrapText="1"/>
    </xf>
    <xf numFmtId="165" fontId="0" fillId="0" borderId="0" xfId="0" applyNumberFormat="1"/>
    <xf numFmtId="165" fontId="28" fillId="0" borderId="0" xfId="0" applyNumberFormat="1" applyFont="1"/>
    <xf numFmtId="0" fontId="31" fillId="0" borderId="0" xfId="0" applyFont="1" applyAlignment="1">
      <alignment horizontal="center" vertical="center"/>
    </xf>
    <xf numFmtId="165" fontId="31" fillId="0" borderId="0" xfId="0" applyNumberFormat="1" applyFont="1" applyAlignment="1">
      <alignment horizontal="center" vertical="center"/>
    </xf>
    <xf numFmtId="0" fontId="33" fillId="0" borderId="0" xfId="0" applyFont="1"/>
    <xf numFmtId="0" fontId="2" fillId="0" borderId="0" xfId="0" applyFont="1"/>
    <xf numFmtId="165" fontId="30" fillId="0" borderId="0" xfId="0" applyNumberFormat="1" applyFont="1"/>
    <xf numFmtId="0" fontId="3" fillId="0" borderId="0" xfId="5" applyFont="1" applyFill="1" applyBorder="1" applyAlignment="1">
      <alignment horizontal="left" vertical="center" wrapText="1"/>
    </xf>
    <xf numFmtId="0" fontId="3" fillId="0" borderId="16" xfId="5" applyFont="1" applyFill="1" applyBorder="1" applyAlignment="1">
      <alignment horizontal="left" vertical="center" wrapText="1"/>
    </xf>
    <xf numFmtId="0" fontId="3" fillId="0" borderId="63" xfId="5" applyFont="1" applyBorder="1" applyAlignment="1">
      <alignment horizontal="left" vertical="center" wrapText="1"/>
    </xf>
    <xf numFmtId="0" fontId="3" fillId="0" borderId="65" xfId="5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0" fontId="32" fillId="0" borderId="0" xfId="0" applyFont="1" applyBorder="1" applyAlignment="1">
      <alignment horizontal="center" vertical="center"/>
    </xf>
    <xf numFmtId="0" fontId="3" fillId="0" borderId="33" xfId="5" applyFont="1" applyFill="1" applyBorder="1" applyAlignment="1">
      <alignment horizontal="left" vertical="center" wrapText="1"/>
    </xf>
    <xf numFmtId="0" fontId="3" fillId="0" borderId="64" xfId="5" applyFont="1" applyFill="1" applyBorder="1" applyAlignment="1">
      <alignment horizontal="left" vertical="center" wrapText="1"/>
    </xf>
    <xf numFmtId="0" fontId="18" fillId="0" borderId="30" xfId="0" applyFont="1" applyBorder="1" applyAlignment="1">
      <alignment horizontal="left" vertical="center" wrapText="1" indent="1"/>
    </xf>
    <xf numFmtId="166" fontId="13" fillId="0" borderId="30" xfId="0" applyNumberFormat="1" applyFont="1" applyBorder="1" applyAlignment="1">
      <alignment horizontal="center" vertical="center"/>
    </xf>
    <xf numFmtId="0" fontId="29" fillId="0" borderId="68" xfId="0" applyFont="1" applyBorder="1" applyAlignment="1">
      <alignment horizontal="left" vertical="center" wrapText="1"/>
    </xf>
    <xf numFmtId="0" fontId="29" fillId="0" borderId="69" xfId="0" applyFont="1" applyBorder="1" applyAlignment="1">
      <alignment horizontal="left" vertical="center" wrapText="1"/>
    </xf>
    <xf numFmtId="0" fontId="29" fillId="0" borderId="4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left" vertical="center" wrapText="1"/>
    </xf>
    <xf numFmtId="0" fontId="15" fillId="0" borderId="24" xfId="0" applyFont="1" applyBorder="1" applyAlignment="1">
      <alignment horizontal="center" vertical="center" wrapText="1"/>
    </xf>
    <xf numFmtId="165" fontId="15" fillId="0" borderId="24" xfId="0" applyNumberFormat="1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 vertical="center" wrapText="1" indent="1"/>
    </xf>
    <xf numFmtId="0" fontId="14" fillId="0" borderId="19" xfId="0" applyFont="1" applyBorder="1" applyAlignment="1">
      <alignment horizontal="left" vertical="center" wrapText="1"/>
    </xf>
    <xf numFmtId="0" fontId="14" fillId="0" borderId="20" xfId="0" applyFont="1" applyBorder="1" applyAlignment="1">
      <alignment horizontal="left" vertical="center"/>
    </xf>
    <xf numFmtId="0" fontId="13" fillId="0" borderId="21" xfId="0" applyFont="1" applyBorder="1" applyAlignment="1">
      <alignment horizontal="left" vertical="center" wrapText="1" indent="1"/>
    </xf>
    <xf numFmtId="0" fontId="11" fillId="0" borderId="11" xfId="0" applyFont="1" applyBorder="1" applyAlignment="1">
      <alignment horizontal="center" vertical="center"/>
    </xf>
    <xf numFmtId="0" fontId="19" fillId="0" borderId="18" xfId="0" applyFont="1" applyBorder="1" applyAlignment="1">
      <alignment vertical="center" wrapText="1"/>
    </xf>
    <xf numFmtId="0" fontId="22" fillId="0" borderId="41" xfId="0" applyFont="1" applyBorder="1" applyAlignment="1">
      <alignment vertical="center" wrapText="1"/>
    </xf>
    <xf numFmtId="0" fontId="22" fillId="0" borderId="30" xfId="0" applyFont="1" applyBorder="1" applyAlignment="1">
      <alignment horizontal="left" vertical="center" wrapText="1" indent="1"/>
    </xf>
    <xf numFmtId="0" fontId="0" fillId="0" borderId="53" xfId="0" applyFont="1" applyBorder="1" applyAlignment="1">
      <alignment horizontal="left" vertical="center"/>
    </xf>
    <xf numFmtId="0" fontId="0" fillId="0" borderId="53" xfId="0" applyBorder="1" applyAlignment="1">
      <alignment horizontal="left" vertical="center"/>
    </xf>
    <xf numFmtId="0" fontId="0" fillId="0" borderId="56" xfId="0" applyBorder="1" applyAlignment="1">
      <alignment horizontal="left" vertical="center"/>
    </xf>
    <xf numFmtId="0" fontId="19" fillId="0" borderId="59" xfId="0" applyFont="1" applyBorder="1" applyAlignment="1">
      <alignment horizontal="left" vertical="center" wrapText="1"/>
    </xf>
    <xf numFmtId="0" fontId="0" fillId="0" borderId="37" xfId="0" applyBorder="1"/>
    <xf numFmtId="0" fontId="0" fillId="0" borderId="53" xfId="0" applyFont="1" applyBorder="1" applyAlignment="1">
      <alignment horizontal="center" vertical="center"/>
    </xf>
    <xf numFmtId="49" fontId="22" fillId="0" borderId="38" xfId="0" applyNumberFormat="1" applyFont="1" applyBorder="1" applyAlignment="1">
      <alignment horizontal="justify" vertical="center" wrapText="1"/>
    </xf>
    <xf numFmtId="0" fontId="24" fillId="0" borderId="37" xfId="0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/>
    </xf>
    <xf numFmtId="0" fontId="24" fillId="0" borderId="40" xfId="0" applyFont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/>
    </xf>
    <xf numFmtId="0" fontId="0" fillId="0" borderId="47" xfId="0" applyFont="1" applyBorder="1" applyAlignment="1">
      <alignment horizontal="left" vertical="center" wrapText="1"/>
    </xf>
    <xf numFmtId="0" fontId="0" fillId="0" borderId="53" xfId="0" applyBorder="1" applyAlignment="1">
      <alignment horizontal="center"/>
    </xf>
    <xf numFmtId="0" fontId="22" fillId="0" borderId="37" xfId="0" applyFont="1" applyBorder="1" applyAlignment="1">
      <alignment horizontal="left"/>
    </xf>
    <xf numFmtId="0" fontId="0" fillId="0" borderId="31" xfId="0" applyFont="1" applyBorder="1" applyAlignment="1">
      <alignment horizontal="center"/>
    </xf>
    <xf numFmtId="3" fontId="19" fillId="0" borderId="32" xfId="0" applyNumberFormat="1" applyFont="1" applyBorder="1" applyAlignment="1">
      <alignment horizontal="center"/>
    </xf>
    <xf numFmtId="0" fontId="20" fillId="0" borderId="13" xfId="0" applyFont="1" applyBorder="1" applyAlignment="1">
      <alignment horizontal="center" vertical="center" wrapText="1"/>
    </xf>
    <xf numFmtId="0" fontId="21" fillId="0" borderId="34" xfId="0" applyFont="1" applyBorder="1"/>
    <xf numFmtId="0" fontId="22" fillId="0" borderId="35" xfId="0" applyFont="1" applyBorder="1" applyAlignment="1">
      <alignment horizontal="left" indent="1"/>
    </xf>
    <xf numFmtId="0" fontId="17" fillId="0" borderId="34" xfId="0" applyFont="1" applyBorder="1" applyAlignment="1">
      <alignment horizontal="left" vertical="center" wrapText="1"/>
    </xf>
    <xf numFmtId="0" fontId="23" fillId="0" borderId="36" xfId="0" applyFont="1" applyBorder="1" applyAlignment="1">
      <alignment horizontal="left"/>
    </xf>
  </cellXfs>
  <cellStyles count="33">
    <cellStyle name="Encabezado 1" xfId="8" xr:uid="{00000000-0005-0000-0000-000000000000}"/>
    <cellStyle name="Encabezado 1 2" xfId="9" xr:uid="{00000000-0005-0000-0000-000001000000}"/>
    <cellStyle name="Millares 2" xfId="10" xr:uid="{00000000-0005-0000-0000-000002000000}"/>
    <cellStyle name="Millares 2 2" xfId="11" xr:uid="{00000000-0005-0000-0000-000003000000}"/>
    <cellStyle name="Moneda" xfId="1" builtinId="4"/>
    <cellStyle name="Moneda 2" xfId="3" xr:uid="{00000000-0005-0000-0000-000005000000}"/>
    <cellStyle name="Moneda 2 2" xfId="12" xr:uid="{00000000-0005-0000-0000-000006000000}"/>
    <cellStyle name="Moneda 3" xfId="13" xr:uid="{00000000-0005-0000-0000-000007000000}"/>
    <cellStyle name="Moneda 4" xfId="14" xr:uid="{00000000-0005-0000-0000-000008000000}"/>
    <cellStyle name="Moneda 5" xfId="15" xr:uid="{00000000-0005-0000-0000-000009000000}"/>
    <cellStyle name="Moneda_AUTORIZACION Y NOTA DE PEDIDO" xfId="7" xr:uid="{00000000-0005-0000-0000-00000A000000}"/>
    <cellStyle name="Neutral 1" xfId="16" xr:uid="{00000000-0005-0000-0000-00000B000000}"/>
    <cellStyle name="Normal" xfId="0" builtinId="0"/>
    <cellStyle name="Normal 2" xfId="2" xr:uid="{00000000-0005-0000-0000-00000D000000}"/>
    <cellStyle name="Normal 2 2" xfId="5" xr:uid="{00000000-0005-0000-0000-00000E000000}"/>
    <cellStyle name="Normal 3" xfId="17" xr:uid="{00000000-0005-0000-0000-00000F000000}"/>
    <cellStyle name="Normal 3 2" xfId="18" xr:uid="{00000000-0005-0000-0000-000010000000}"/>
    <cellStyle name="Normal 3 2 2" xfId="19" xr:uid="{00000000-0005-0000-0000-000011000000}"/>
    <cellStyle name="Normal 3 3" xfId="20" xr:uid="{00000000-0005-0000-0000-000012000000}"/>
    <cellStyle name="Normal 3 4" xfId="21" xr:uid="{00000000-0005-0000-0000-000013000000}"/>
    <cellStyle name="Normal 3 4 2" xfId="22" xr:uid="{00000000-0005-0000-0000-000014000000}"/>
    <cellStyle name="Normal 4" xfId="6" xr:uid="{00000000-0005-0000-0000-000015000000}"/>
    <cellStyle name="Normal 4 2" xfId="23" xr:uid="{00000000-0005-0000-0000-000016000000}"/>
    <cellStyle name="Normal 4 3" xfId="24" xr:uid="{00000000-0005-0000-0000-000017000000}"/>
    <cellStyle name="Normal 4 3 2" xfId="25" xr:uid="{00000000-0005-0000-0000-000018000000}"/>
    <cellStyle name="Normal 5" xfId="4" xr:uid="{00000000-0005-0000-0000-000019000000}"/>
    <cellStyle name="Normal 5 2" xfId="26" xr:uid="{00000000-0005-0000-0000-00001A000000}"/>
    <cellStyle name="Normal 6" xfId="27" xr:uid="{00000000-0005-0000-0000-00001B000000}"/>
    <cellStyle name="Normal 7" xfId="28" xr:uid="{00000000-0005-0000-0000-00001C000000}"/>
    <cellStyle name="Normal 8" xfId="29" xr:uid="{00000000-0005-0000-0000-00001D000000}"/>
    <cellStyle name="Normal 8 2" xfId="30" xr:uid="{00000000-0005-0000-0000-00001E000000}"/>
    <cellStyle name="Normal 8 3" xfId="31" xr:uid="{00000000-0005-0000-0000-00001F000000}"/>
    <cellStyle name="Normal 8 4" xfId="32" xr:uid="{00000000-0005-0000-0000-000020000000}"/>
  </cellStyles>
  <dxfs count="10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5"/>
  <sheetViews>
    <sheetView topLeftCell="C3" zoomScaleNormal="100" workbookViewId="0">
      <selection activeCell="AV3" sqref="G1:AV1048576"/>
    </sheetView>
  </sheetViews>
  <sheetFormatPr baseColWidth="10" defaultRowHeight="15" x14ac:dyDescent="0.25"/>
  <cols>
    <col min="1" max="1" width="4.85546875" style="41" bestFit="1" customWidth="1"/>
    <col min="2" max="2" width="13" style="41" bestFit="1" customWidth="1"/>
    <col min="3" max="3" width="36.42578125" style="41" bestFit="1" customWidth="1"/>
    <col min="4" max="4" width="5.5703125" style="41" bestFit="1" customWidth="1"/>
    <col min="5" max="5" width="75.5703125" style="42" bestFit="1" customWidth="1"/>
    <col min="6" max="6" width="12" style="41" bestFit="1" customWidth="1"/>
    <col min="7" max="7" width="10.42578125" style="43" bestFit="1" customWidth="1"/>
    <col min="8" max="8" width="11.42578125" style="44" bestFit="1" customWidth="1"/>
    <col min="9" max="9" width="16.28515625" style="44" bestFit="1" customWidth="1"/>
    <col min="10" max="10" width="23.7109375" customWidth="1"/>
  </cols>
  <sheetData>
    <row r="1" spans="1:10" x14ac:dyDescent="0.25">
      <c r="A1" s="1">
        <v>2022</v>
      </c>
      <c r="B1" s="2"/>
      <c r="C1" s="3"/>
      <c r="D1" s="3"/>
      <c r="E1" s="4"/>
      <c r="F1" s="3"/>
      <c r="G1" s="5"/>
      <c r="H1" s="7"/>
      <c r="I1" s="6"/>
    </row>
    <row r="2" spans="1:10" s="131" customFormat="1" ht="18.75" x14ac:dyDescent="0.3">
      <c r="A2" s="129"/>
      <c r="B2" s="139" t="s">
        <v>0</v>
      </c>
      <c r="C2" s="139"/>
      <c r="D2" s="139"/>
      <c r="E2" s="139"/>
      <c r="F2" s="139"/>
      <c r="G2" s="139"/>
      <c r="H2" s="139"/>
      <c r="I2" s="130"/>
    </row>
    <row r="3" spans="1:10" x14ac:dyDescent="0.25">
      <c r="A3" s="3"/>
      <c r="B3" s="2"/>
      <c r="C3" s="3"/>
      <c r="D3" s="3"/>
      <c r="E3" s="4"/>
      <c r="F3" s="3"/>
      <c r="G3" s="5"/>
      <c r="H3" s="7"/>
      <c r="I3" s="6"/>
    </row>
    <row r="4" spans="1:10" x14ac:dyDescent="0.25">
      <c r="A4" s="138" t="s">
        <v>1</v>
      </c>
      <c r="B4" s="138"/>
      <c r="C4" s="103" t="s">
        <v>2</v>
      </c>
      <c r="D4" s="103"/>
      <c r="E4" s="103"/>
      <c r="F4" s="8"/>
      <c r="G4" s="9"/>
      <c r="H4" s="7"/>
      <c r="I4" s="6"/>
    </row>
    <row r="5" spans="1:10" ht="15" customHeight="1" x14ac:dyDescent="0.25">
      <c r="A5" s="138" t="s">
        <v>3</v>
      </c>
      <c r="B5" s="138"/>
      <c r="C5" s="103" t="s">
        <v>4</v>
      </c>
      <c r="D5" s="103"/>
      <c r="E5" s="103"/>
      <c r="F5" s="8"/>
      <c r="G5" s="9"/>
      <c r="H5" s="7"/>
      <c r="I5" s="6"/>
    </row>
    <row r="6" spans="1:10" x14ac:dyDescent="0.25">
      <c r="A6" s="138" t="s">
        <v>5</v>
      </c>
      <c r="B6" s="138"/>
      <c r="C6" s="104">
        <v>2022</v>
      </c>
      <c r="D6" s="105"/>
      <c r="E6" s="104"/>
      <c r="F6" s="8"/>
      <c r="G6" s="9"/>
      <c r="H6" s="7"/>
      <c r="I6" s="6"/>
    </row>
    <row r="7" spans="1:10" x14ac:dyDescent="0.25">
      <c r="A7" s="138" t="s">
        <v>6</v>
      </c>
      <c r="B7" s="138"/>
      <c r="C7" s="104" t="s">
        <v>7</v>
      </c>
      <c r="D7" s="105"/>
      <c r="E7" s="104"/>
      <c r="F7" s="8"/>
      <c r="G7" s="9"/>
      <c r="H7" s="7"/>
      <c r="I7" s="6"/>
    </row>
    <row r="8" spans="1:10" x14ac:dyDescent="0.25">
      <c r="A8" s="3"/>
      <c r="B8" s="8"/>
      <c r="C8" s="8"/>
      <c r="D8" s="8"/>
      <c r="E8" s="10"/>
      <c r="F8" s="8"/>
      <c r="G8" s="9"/>
      <c r="H8" s="7"/>
      <c r="I8" s="6"/>
    </row>
    <row r="9" spans="1:10" ht="38.25" x14ac:dyDescent="0.25">
      <c r="A9" s="11" t="s">
        <v>8</v>
      </c>
      <c r="B9" s="11" t="s">
        <v>9</v>
      </c>
      <c r="C9" s="12" t="s">
        <v>10</v>
      </c>
      <c r="D9" s="11" t="s">
        <v>11</v>
      </c>
      <c r="E9" s="13" t="s">
        <v>12</v>
      </c>
      <c r="F9" s="12" t="s">
        <v>13</v>
      </c>
      <c r="G9" s="14" t="s">
        <v>14</v>
      </c>
      <c r="H9" s="16" t="s">
        <v>15</v>
      </c>
      <c r="I9" s="15" t="s">
        <v>16</v>
      </c>
      <c r="J9" s="17" t="s">
        <v>17</v>
      </c>
    </row>
    <row r="10" spans="1:10" s="25" customFormat="1" ht="12.75" x14ac:dyDescent="0.2">
      <c r="A10" s="30">
        <v>1</v>
      </c>
      <c r="B10" s="30"/>
      <c r="C10" s="32" t="s">
        <v>18</v>
      </c>
      <c r="D10" s="32" t="s">
        <v>19</v>
      </c>
      <c r="E10" s="40" t="s">
        <v>23</v>
      </c>
      <c r="F10" s="30" t="s">
        <v>21</v>
      </c>
      <c r="G10" s="22">
        <v>2000</v>
      </c>
      <c r="H10" s="31">
        <v>93.17</v>
      </c>
      <c r="I10" s="31">
        <f t="shared" ref="I10:I44" si="0">+G10*H10</f>
        <v>186340</v>
      </c>
      <c r="J10" s="20"/>
    </row>
    <row r="11" spans="1:10" s="25" customFormat="1" ht="12.75" x14ac:dyDescent="0.2">
      <c r="A11" s="30">
        <v>2</v>
      </c>
      <c r="B11" s="18"/>
      <c r="C11" s="36" t="s">
        <v>18</v>
      </c>
      <c r="D11" s="36" t="s">
        <v>19</v>
      </c>
      <c r="E11" s="34" t="s">
        <v>112</v>
      </c>
      <c r="F11" s="18" t="s">
        <v>20</v>
      </c>
      <c r="G11" s="19">
        <v>5000</v>
      </c>
      <c r="H11" s="35">
        <v>340</v>
      </c>
      <c r="I11" s="31">
        <f t="shared" si="0"/>
        <v>1700000</v>
      </c>
      <c r="J11" s="20"/>
    </row>
    <row r="12" spans="1:10" s="25" customFormat="1" ht="12.75" x14ac:dyDescent="0.2">
      <c r="A12" s="30">
        <v>3</v>
      </c>
      <c r="B12" s="18"/>
      <c r="C12" s="36" t="s">
        <v>18</v>
      </c>
      <c r="D12" s="36" t="s">
        <v>19</v>
      </c>
      <c r="E12" s="34" t="s">
        <v>24</v>
      </c>
      <c r="F12" s="18" t="s">
        <v>22</v>
      </c>
      <c r="G12" s="19">
        <v>100000</v>
      </c>
      <c r="H12" s="35">
        <v>28</v>
      </c>
      <c r="I12" s="31">
        <f t="shared" si="0"/>
        <v>2800000</v>
      </c>
      <c r="J12" s="20"/>
    </row>
    <row r="13" spans="1:10" s="25" customFormat="1" ht="12.75" x14ac:dyDescent="0.2">
      <c r="A13" s="30">
        <v>4</v>
      </c>
      <c r="B13" s="18"/>
      <c r="C13" s="36" t="s">
        <v>18</v>
      </c>
      <c r="D13" s="36" t="s">
        <v>19</v>
      </c>
      <c r="E13" s="34" t="s">
        <v>25</v>
      </c>
      <c r="F13" s="18" t="s">
        <v>20</v>
      </c>
      <c r="G13" s="19">
        <v>3100</v>
      </c>
      <c r="H13" s="35">
        <v>210</v>
      </c>
      <c r="I13" s="31">
        <f t="shared" si="0"/>
        <v>651000</v>
      </c>
      <c r="J13" s="20"/>
    </row>
    <row r="14" spans="1:10" s="25" customFormat="1" ht="12.75" x14ac:dyDescent="0.2">
      <c r="A14" s="30">
        <v>5</v>
      </c>
      <c r="B14" s="18"/>
      <c r="C14" s="36" t="s">
        <v>18</v>
      </c>
      <c r="D14" s="36" t="s">
        <v>19</v>
      </c>
      <c r="E14" s="34" t="s">
        <v>26</v>
      </c>
      <c r="F14" s="18" t="s">
        <v>21</v>
      </c>
      <c r="G14" s="19">
        <v>4000</v>
      </c>
      <c r="H14" s="35">
        <v>130</v>
      </c>
      <c r="I14" s="31">
        <f t="shared" si="0"/>
        <v>520000</v>
      </c>
      <c r="J14" s="20"/>
    </row>
    <row r="15" spans="1:10" s="25" customFormat="1" ht="12.75" x14ac:dyDescent="0.2">
      <c r="A15" s="30">
        <v>6</v>
      </c>
      <c r="B15" s="18"/>
      <c r="C15" s="36" t="s">
        <v>18</v>
      </c>
      <c r="D15" s="36" t="s">
        <v>19</v>
      </c>
      <c r="E15" s="34" t="s">
        <v>114</v>
      </c>
      <c r="F15" s="18" t="s">
        <v>20</v>
      </c>
      <c r="G15" s="19">
        <v>1000</v>
      </c>
      <c r="H15" s="35">
        <v>213</v>
      </c>
      <c r="I15" s="31">
        <f t="shared" si="0"/>
        <v>213000</v>
      </c>
      <c r="J15" s="20"/>
    </row>
    <row r="16" spans="1:10" s="25" customFormat="1" ht="12.75" x14ac:dyDescent="0.2">
      <c r="A16" s="30">
        <v>7</v>
      </c>
      <c r="B16" s="18"/>
      <c r="C16" s="36" t="s">
        <v>18</v>
      </c>
      <c r="D16" s="36" t="s">
        <v>19</v>
      </c>
      <c r="E16" s="34" t="s">
        <v>27</v>
      </c>
      <c r="F16" s="18" t="s">
        <v>22</v>
      </c>
      <c r="G16" s="19">
        <v>15000</v>
      </c>
      <c r="H16" s="35">
        <v>31.25</v>
      </c>
      <c r="I16" s="31">
        <f t="shared" si="0"/>
        <v>468750</v>
      </c>
      <c r="J16" s="20"/>
    </row>
    <row r="17" spans="1:10" s="25" customFormat="1" ht="25.5" x14ac:dyDescent="0.2">
      <c r="A17" s="30">
        <v>8</v>
      </c>
      <c r="B17" s="18"/>
      <c r="C17" s="36" t="s">
        <v>18</v>
      </c>
      <c r="D17" s="36" t="s">
        <v>19</v>
      </c>
      <c r="E17" s="34" t="s">
        <v>28</v>
      </c>
      <c r="F17" s="18" t="s">
        <v>21</v>
      </c>
      <c r="G17" s="19">
        <v>200</v>
      </c>
      <c r="H17" s="35">
        <v>1120</v>
      </c>
      <c r="I17" s="31">
        <f t="shared" si="0"/>
        <v>224000</v>
      </c>
      <c r="J17" s="20"/>
    </row>
    <row r="18" spans="1:10" s="25" customFormat="1" ht="12.75" x14ac:dyDescent="0.2">
      <c r="A18" s="30">
        <v>9</v>
      </c>
      <c r="B18" s="18"/>
      <c r="C18" s="36" t="s">
        <v>18</v>
      </c>
      <c r="D18" s="36" t="s">
        <v>19</v>
      </c>
      <c r="E18" s="34" t="s">
        <v>29</v>
      </c>
      <c r="F18" s="18" t="s">
        <v>21</v>
      </c>
      <c r="G18" s="19">
        <v>3000</v>
      </c>
      <c r="H18" s="35">
        <v>145</v>
      </c>
      <c r="I18" s="31">
        <f t="shared" si="0"/>
        <v>435000</v>
      </c>
      <c r="J18" s="20"/>
    </row>
    <row r="19" spans="1:10" s="25" customFormat="1" ht="12.75" x14ac:dyDescent="0.2">
      <c r="A19" s="30">
        <v>10</v>
      </c>
      <c r="B19" s="18"/>
      <c r="C19" s="36" t="s">
        <v>18</v>
      </c>
      <c r="D19" s="36" t="s">
        <v>19</v>
      </c>
      <c r="E19" s="34" t="s">
        <v>30</v>
      </c>
      <c r="F19" s="18" t="s">
        <v>21</v>
      </c>
      <c r="G19" s="19">
        <v>4000</v>
      </c>
      <c r="H19" s="35">
        <v>115</v>
      </c>
      <c r="I19" s="31">
        <f t="shared" si="0"/>
        <v>460000</v>
      </c>
      <c r="J19" s="20"/>
    </row>
    <row r="20" spans="1:10" s="25" customFormat="1" ht="12.75" x14ac:dyDescent="0.2">
      <c r="A20" s="30">
        <v>11</v>
      </c>
      <c r="B20" s="18"/>
      <c r="C20" s="36" t="s">
        <v>18</v>
      </c>
      <c r="D20" s="36" t="s">
        <v>19</v>
      </c>
      <c r="E20" s="34" t="s">
        <v>31</v>
      </c>
      <c r="F20" s="18" t="s">
        <v>22</v>
      </c>
      <c r="G20" s="19">
        <v>50000</v>
      </c>
      <c r="H20" s="35">
        <v>11</v>
      </c>
      <c r="I20" s="35">
        <f t="shared" si="0"/>
        <v>550000</v>
      </c>
      <c r="J20" s="20"/>
    </row>
    <row r="21" spans="1:10" s="25" customFormat="1" ht="12.75" x14ac:dyDescent="0.2">
      <c r="A21" s="30">
        <v>12</v>
      </c>
      <c r="B21" s="18"/>
      <c r="C21" s="36" t="s">
        <v>18</v>
      </c>
      <c r="D21" s="36" t="s">
        <v>19</v>
      </c>
      <c r="E21" s="34" t="s">
        <v>32</v>
      </c>
      <c r="F21" s="18" t="s">
        <v>22</v>
      </c>
      <c r="G21" s="19">
        <v>15000</v>
      </c>
      <c r="H21" s="35">
        <v>42</v>
      </c>
      <c r="I21" s="35">
        <f t="shared" si="0"/>
        <v>630000</v>
      </c>
      <c r="J21" s="20"/>
    </row>
    <row r="22" spans="1:10" s="25" customFormat="1" ht="12.75" x14ac:dyDescent="0.2">
      <c r="A22" s="30">
        <v>13</v>
      </c>
      <c r="B22" s="18"/>
      <c r="C22" s="36" t="s">
        <v>18</v>
      </c>
      <c r="D22" s="36" t="s">
        <v>19</v>
      </c>
      <c r="E22" s="34" t="s">
        <v>33</v>
      </c>
      <c r="F22" s="18" t="s">
        <v>21</v>
      </c>
      <c r="G22" s="19">
        <v>300</v>
      </c>
      <c r="H22" s="35">
        <v>825</v>
      </c>
      <c r="I22" s="35">
        <f t="shared" si="0"/>
        <v>247500</v>
      </c>
      <c r="J22" s="20"/>
    </row>
    <row r="23" spans="1:10" s="25" customFormat="1" ht="12.75" x14ac:dyDescent="0.2">
      <c r="A23" s="30">
        <v>14</v>
      </c>
      <c r="B23" s="18"/>
      <c r="C23" s="36" t="s">
        <v>18</v>
      </c>
      <c r="D23" s="36" t="s">
        <v>19</v>
      </c>
      <c r="E23" s="34" t="s">
        <v>34</v>
      </c>
      <c r="F23" s="18" t="s">
        <v>21</v>
      </c>
      <c r="G23" s="19">
        <v>1000</v>
      </c>
      <c r="H23" s="35">
        <v>451</v>
      </c>
      <c r="I23" s="35">
        <f t="shared" si="0"/>
        <v>451000</v>
      </c>
      <c r="J23" s="20"/>
    </row>
    <row r="24" spans="1:10" s="25" customFormat="1" ht="12.75" x14ac:dyDescent="0.2">
      <c r="A24" s="30">
        <v>15</v>
      </c>
      <c r="B24" s="18"/>
      <c r="C24" s="36" t="s">
        <v>18</v>
      </c>
      <c r="D24" s="36" t="s">
        <v>19</v>
      </c>
      <c r="E24" s="34" t="s">
        <v>35</v>
      </c>
      <c r="F24" s="18" t="s">
        <v>22</v>
      </c>
      <c r="G24" s="19">
        <v>100000</v>
      </c>
      <c r="H24" s="35">
        <v>2.5499999999999998</v>
      </c>
      <c r="I24" s="35">
        <f t="shared" si="0"/>
        <v>254999.99999999997</v>
      </c>
      <c r="J24" s="20"/>
    </row>
    <row r="25" spans="1:10" s="25" customFormat="1" ht="12.75" x14ac:dyDescent="0.2">
      <c r="A25" s="30">
        <v>16</v>
      </c>
      <c r="B25" s="18"/>
      <c r="C25" s="36" t="s">
        <v>18</v>
      </c>
      <c r="D25" s="36" t="s">
        <v>19</v>
      </c>
      <c r="E25" s="34" t="s">
        <v>36</v>
      </c>
      <c r="F25" s="18" t="s">
        <v>21</v>
      </c>
      <c r="G25" s="19">
        <v>30000</v>
      </c>
      <c r="H25" s="35">
        <v>45</v>
      </c>
      <c r="I25" s="35">
        <f t="shared" si="0"/>
        <v>1350000</v>
      </c>
      <c r="J25" s="20"/>
    </row>
    <row r="26" spans="1:10" s="25" customFormat="1" ht="12.75" x14ac:dyDescent="0.2">
      <c r="A26" s="30">
        <v>17</v>
      </c>
      <c r="B26" s="18"/>
      <c r="C26" s="36" t="s">
        <v>18</v>
      </c>
      <c r="D26" s="36" t="s">
        <v>19</v>
      </c>
      <c r="E26" s="34" t="s">
        <v>37</v>
      </c>
      <c r="F26" s="18" t="s">
        <v>21</v>
      </c>
      <c r="G26" s="19">
        <v>30000</v>
      </c>
      <c r="H26" s="35">
        <v>45</v>
      </c>
      <c r="I26" s="35">
        <f t="shared" si="0"/>
        <v>1350000</v>
      </c>
      <c r="J26" s="20"/>
    </row>
    <row r="27" spans="1:10" s="25" customFormat="1" ht="12.75" x14ac:dyDescent="0.2">
      <c r="A27" s="30">
        <v>18</v>
      </c>
      <c r="B27" s="18"/>
      <c r="C27" s="36" t="s">
        <v>18</v>
      </c>
      <c r="D27" s="36" t="s">
        <v>19</v>
      </c>
      <c r="E27" s="34" t="s">
        <v>113</v>
      </c>
      <c r="F27" s="18" t="s">
        <v>20</v>
      </c>
      <c r="G27" s="19">
        <v>6000</v>
      </c>
      <c r="H27" s="35">
        <v>120</v>
      </c>
      <c r="I27" s="35">
        <f t="shared" si="0"/>
        <v>720000</v>
      </c>
      <c r="J27" s="20"/>
    </row>
    <row r="28" spans="1:10" s="25" customFormat="1" ht="12.75" x14ac:dyDescent="0.2">
      <c r="A28" s="30">
        <v>19</v>
      </c>
      <c r="B28" s="18"/>
      <c r="C28" s="36" t="s">
        <v>18</v>
      </c>
      <c r="D28" s="36" t="s">
        <v>19</v>
      </c>
      <c r="E28" s="34" t="s">
        <v>38</v>
      </c>
      <c r="F28" s="18" t="s">
        <v>21</v>
      </c>
      <c r="G28" s="19">
        <v>10000</v>
      </c>
      <c r="H28" s="35">
        <v>260</v>
      </c>
      <c r="I28" s="35">
        <f t="shared" si="0"/>
        <v>2600000</v>
      </c>
      <c r="J28" s="20"/>
    </row>
    <row r="29" spans="1:10" s="25" customFormat="1" ht="12.75" x14ac:dyDescent="0.2">
      <c r="A29" s="30">
        <v>20</v>
      </c>
      <c r="B29" s="18"/>
      <c r="C29" s="36" t="s">
        <v>18</v>
      </c>
      <c r="D29" s="36" t="s">
        <v>19</v>
      </c>
      <c r="E29" s="34" t="s">
        <v>39</v>
      </c>
      <c r="F29" s="18" t="s">
        <v>40</v>
      </c>
      <c r="G29" s="19">
        <v>50</v>
      </c>
      <c r="H29" s="35">
        <v>750</v>
      </c>
      <c r="I29" s="35">
        <f t="shared" si="0"/>
        <v>37500</v>
      </c>
      <c r="J29" s="20"/>
    </row>
    <row r="30" spans="1:10" s="25" customFormat="1" ht="12.75" x14ac:dyDescent="0.2">
      <c r="A30" s="30">
        <v>21</v>
      </c>
      <c r="B30" s="18"/>
      <c r="C30" s="36" t="s">
        <v>18</v>
      </c>
      <c r="D30" s="36" t="s">
        <v>19</v>
      </c>
      <c r="E30" s="34" t="s">
        <v>41</v>
      </c>
      <c r="F30" s="18" t="s">
        <v>20</v>
      </c>
      <c r="G30" s="19">
        <v>4000</v>
      </c>
      <c r="H30" s="35">
        <v>85</v>
      </c>
      <c r="I30" s="35">
        <f t="shared" si="0"/>
        <v>340000</v>
      </c>
      <c r="J30" s="20"/>
    </row>
    <row r="31" spans="1:10" s="25" customFormat="1" ht="12.75" x14ac:dyDescent="0.2">
      <c r="A31" s="30">
        <v>22</v>
      </c>
      <c r="B31" s="18"/>
      <c r="C31" s="36" t="s">
        <v>18</v>
      </c>
      <c r="D31" s="36" t="s">
        <v>19</v>
      </c>
      <c r="E31" s="34" t="s">
        <v>42</v>
      </c>
      <c r="F31" s="18" t="s">
        <v>22</v>
      </c>
      <c r="G31" s="19">
        <v>100000</v>
      </c>
      <c r="H31" s="35">
        <v>4.8</v>
      </c>
      <c r="I31" s="35">
        <f t="shared" si="0"/>
        <v>480000</v>
      </c>
      <c r="J31" s="20"/>
    </row>
    <row r="32" spans="1:10" s="25" customFormat="1" ht="12.75" x14ac:dyDescent="0.2">
      <c r="A32" s="30">
        <v>23</v>
      </c>
      <c r="B32" s="18"/>
      <c r="C32" s="36" t="s">
        <v>18</v>
      </c>
      <c r="D32" s="36" t="s">
        <v>19</v>
      </c>
      <c r="E32" s="34" t="s">
        <v>43</v>
      </c>
      <c r="F32" s="18" t="s">
        <v>21</v>
      </c>
      <c r="G32" s="19">
        <v>1000</v>
      </c>
      <c r="H32" s="35">
        <v>1950</v>
      </c>
      <c r="I32" s="35">
        <f t="shared" si="0"/>
        <v>1950000</v>
      </c>
      <c r="J32" s="20"/>
    </row>
    <row r="33" spans="1:10" s="25" customFormat="1" ht="12.75" x14ac:dyDescent="0.2">
      <c r="A33" s="30">
        <v>24</v>
      </c>
      <c r="B33" s="18"/>
      <c r="C33" s="36" t="s">
        <v>18</v>
      </c>
      <c r="D33" s="36" t="s">
        <v>19</v>
      </c>
      <c r="E33" s="34" t="s">
        <v>44</v>
      </c>
      <c r="F33" s="18" t="s">
        <v>22</v>
      </c>
      <c r="G33" s="19">
        <v>50000</v>
      </c>
      <c r="H33" s="35">
        <v>3.3</v>
      </c>
      <c r="I33" s="35">
        <f t="shared" si="0"/>
        <v>165000</v>
      </c>
      <c r="J33" s="20"/>
    </row>
    <row r="34" spans="1:10" s="25" customFormat="1" ht="12.75" x14ac:dyDescent="0.2">
      <c r="A34" s="30">
        <v>25</v>
      </c>
      <c r="B34" s="18"/>
      <c r="C34" s="36" t="s">
        <v>18</v>
      </c>
      <c r="D34" s="36" t="s">
        <v>19</v>
      </c>
      <c r="E34" s="34" t="s">
        <v>45</v>
      </c>
      <c r="F34" s="18" t="s">
        <v>21</v>
      </c>
      <c r="G34" s="19">
        <v>5000</v>
      </c>
      <c r="H34" s="35">
        <v>55</v>
      </c>
      <c r="I34" s="35">
        <f t="shared" si="0"/>
        <v>275000</v>
      </c>
      <c r="J34" s="20"/>
    </row>
    <row r="35" spans="1:10" s="25" customFormat="1" ht="12.75" x14ac:dyDescent="0.2">
      <c r="A35" s="30">
        <v>26</v>
      </c>
      <c r="B35" s="18"/>
      <c r="C35" s="36" t="s">
        <v>18</v>
      </c>
      <c r="D35" s="36" t="s">
        <v>19</v>
      </c>
      <c r="E35" s="34" t="s">
        <v>46</v>
      </c>
      <c r="F35" s="18" t="s">
        <v>40</v>
      </c>
      <c r="G35" s="19">
        <v>20</v>
      </c>
      <c r="H35" s="35">
        <v>640</v>
      </c>
      <c r="I35" s="35">
        <f t="shared" si="0"/>
        <v>12800</v>
      </c>
      <c r="J35" s="20"/>
    </row>
    <row r="36" spans="1:10" s="25" customFormat="1" ht="12.75" x14ac:dyDescent="0.2">
      <c r="A36" s="30">
        <v>27</v>
      </c>
      <c r="B36" s="18"/>
      <c r="C36" s="36" t="s">
        <v>18</v>
      </c>
      <c r="D36" s="36" t="s">
        <v>19</v>
      </c>
      <c r="E36" s="34" t="s">
        <v>47</v>
      </c>
      <c r="F36" s="18" t="s">
        <v>40</v>
      </c>
      <c r="G36" s="19">
        <v>1000</v>
      </c>
      <c r="H36" s="35">
        <v>110</v>
      </c>
      <c r="I36" s="35">
        <f t="shared" si="0"/>
        <v>110000</v>
      </c>
      <c r="J36" s="20"/>
    </row>
    <row r="37" spans="1:10" s="25" customFormat="1" ht="12.75" x14ac:dyDescent="0.2">
      <c r="A37" s="30">
        <v>28</v>
      </c>
      <c r="B37" s="18"/>
      <c r="C37" s="36" t="s">
        <v>18</v>
      </c>
      <c r="D37" s="36" t="s">
        <v>19</v>
      </c>
      <c r="E37" s="34" t="s">
        <v>48</v>
      </c>
      <c r="F37" s="18" t="s">
        <v>21</v>
      </c>
      <c r="G37" s="19">
        <v>100</v>
      </c>
      <c r="H37" s="35">
        <v>980</v>
      </c>
      <c r="I37" s="35">
        <f t="shared" si="0"/>
        <v>98000</v>
      </c>
      <c r="J37" s="20"/>
    </row>
    <row r="38" spans="1:10" s="25" customFormat="1" ht="12.75" x14ac:dyDescent="0.2">
      <c r="A38" s="30">
        <v>29</v>
      </c>
      <c r="B38" s="18"/>
      <c r="C38" s="36" t="s">
        <v>18</v>
      </c>
      <c r="D38" s="36" t="s">
        <v>19</v>
      </c>
      <c r="E38" s="34" t="s">
        <v>49</v>
      </c>
      <c r="F38" s="18" t="s">
        <v>20</v>
      </c>
      <c r="G38" s="19">
        <v>5000</v>
      </c>
      <c r="H38" s="35">
        <v>165</v>
      </c>
      <c r="I38" s="35">
        <f t="shared" si="0"/>
        <v>825000</v>
      </c>
      <c r="J38" s="20"/>
    </row>
    <row r="39" spans="1:10" s="25" customFormat="1" ht="12.75" x14ac:dyDescent="0.2">
      <c r="A39" s="30">
        <v>30</v>
      </c>
      <c r="B39" s="18"/>
      <c r="C39" s="36" t="s">
        <v>18</v>
      </c>
      <c r="D39" s="36" t="s">
        <v>19</v>
      </c>
      <c r="E39" s="34" t="s">
        <v>50</v>
      </c>
      <c r="F39" s="18" t="s">
        <v>22</v>
      </c>
      <c r="G39" s="19">
        <v>50000</v>
      </c>
      <c r="H39" s="35">
        <v>5.3</v>
      </c>
      <c r="I39" s="35">
        <f t="shared" si="0"/>
        <v>265000</v>
      </c>
      <c r="J39" s="20"/>
    </row>
    <row r="40" spans="1:10" s="25" customFormat="1" ht="12.75" x14ac:dyDescent="0.2">
      <c r="A40" s="30">
        <v>31</v>
      </c>
      <c r="B40" s="18"/>
      <c r="C40" s="36" t="s">
        <v>18</v>
      </c>
      <c r="D40" s="36" t="s">
        <v>19</v>
      </c>
      <c r="E40" s="34" t="s">
        <v>51</v>
      </c>
      <c r="F40" s="18" t="s">
        <v>40</v>
      </c>
      <c r="G40" s="19">
        <v>3000</v>
      </c>
      <c r="H40" s="35">
        <v>330</v>
      </c>
      <c r="I40" s="35">
        <f t="shared" si="0"/>
        <v>990000</v>
      </c>
      <c r="J40" s="20"/>
    </row>
    <row r="41" spans="1:10" s="25" customFormat="1" ht="12.75" x14ac:dyDescent="0.2">
      <c r="A41" s="30">
        <v>32</v>
      </c>
      <c r="B41" s="18"/>
      <c r="C41" s="36" t="s">
        <v>18</v>
      </c>
      <c r="D41" s="36" t="s">
        <v>19</v>
      </c>
      <c r="E41" s="34" t="s">
        <v>52</v>
      </c>
      <c r="F41" s="18" t="s">
        <v>21</v>
      </c>
      <c r="G41" s="19">
        <v>2000</v>
      </c>
      <c r="H41" s="35">
        <v>630</v>
      </c>
      <c r="I41" s="35">
        <f t="shared" si="0"/>
        <v>1260000</v>
      </c>
      <c r="J41" s="20"/>
    </row>
    <row r="42" spans="1:10" s="25" customFormat="1" ht="12.75" x14ac:dyDescent="0.2">
      <c r="A42" s="30">
        <v>33</v>
      </c>
      <c r="B42" s="18"/>
      <c r="C42" s="36" t="s">
        <v>18</v>
      </c>
      <c r="D42" s="36" t="s">
        <v>19</v>
      </c>
      <c r="E42" s="34" t="s">
        <v>53</v>
      </c>
      <c r="F42" s="18" t="s">
        <v>21</v>
      </c>
      <c r="G42" s="19">
        <v>500</v>
      </c>
      <c r="H42" s="35">
        <v>279</v>
      </c>
      <c r="I42" s="35">
        <f t="shared" si="0"/>
        <v>139500</v>
      </c>
      <c r="J42" s="20"/>
    </row>
    <row r="43" spans="1:10" s="25" customFormat="1" ht="12.75" x14ac:dyDescent="0.2">
      <c r="A43" s="30">
        <v>34</v>
      </c>
      <c r="B43" s="18"/>
      <c r="C43" s="36" t="s">
        <v>18</v>
      </c>
      <c r="D43" s="36" t="s">
        <v>19</v>
      </c>
      <c r="E43" s="34" t="s">
        <v>54</v>
      </c>
      <c r="F43" s="18" t="s">
        <v>21</v>
      </c>
      <c r="G43" s="19">
        <v>500</v>
      </c>
      <c r="H43" s="35">
        <v>56</v>
      </c>
      <c r="I43" s="35">
        <f t="shared" si="0"/>
        <v>28000</v>
      </c>
      <c r="J43" s="20"/>
    </row>
    <row r="44" spans="1:10" s="25" customFormat="1" ht="13.5" thickBot="1" x14ac:dyDescent="0.25">
      <c r="A44" s="30">
        <v>35</v>
      </c>
      <c r="B44" s="36"/>
      <c r="C44" s="36" t="s">
        <v>18</v>
      </c>
      <c r="D44" s="36" t="s">
        <v>19</v>
      </c>
      <c r="E44" s="37" t="s">
        <v>55</v>
      </c>
      <c r="F44" s="36" t="s">
        <v>21</v>
      </c>
      <c r="G44" s="21">
        <v>300</v>
      </c>
      <c r="H44" s="38">
        <v>988</v>
      </c>
      <c r="I44" s="38">
        <f t="shared" si="0"/>
        <v>296400</v>
      </c>
      <c r="J44" s="20"/>
    </row>
    <row r="45" spans="1:10" s="29" customFormat="1" ht="43.5" customHeight="1" thickBot="1" x14ac:dyDescent="0.25">
      <c r="A45" s="27"/>
      <c r="B45" s="24"/>
      <c r="C45" s="24"/>
      <c r="D45" s="24"/>
      <c r="E45" s="23" t="s">
        <v>56</v>
      </c>
      <c r="F45" s="24"/>
      <c r="G45" s="33"/>
      <c r="H45" s="26"/>
      <c r="I45" s="39">
        <f>+SUM(I10:I44)</f>
        <v>23083790</v>
      </c>
      <c r="J45" s="28"/>
    </row>
    <row r="46" spans="1:10" ht="15.75" thickBot="1" x14ac:dyDescent="0.3"/>
    <row r="47" spans="1:10" ht="149.25" customHeight="1" x14ac:dyDescent="0.25">
      <c r="C47" s="95" t="s">
        <v>94</v>
      </c>
      <c r="D47" s="140" t="s">
        <v>95</v>
      </c>
      <c r="E47" s="141"/>
    </row>
    <row r="48" spans="1:10" x14ac:dyDescent="0.25">
      <c r="C48" s="96"/>
      <c r="D48" s="97"/>
      <c r="E48" s="101"/>
    </row>
    <row r="49" spans="3:5" x14ac:dyDescent="0.25">
      <c r="C49" s="98" t="s">
        <v>96</v>
      </c>
      <c r="D49" s="134" t="s">
        <v>115</v>
      </c>
      <c r="E49" s="135"/>
    </row>
    <row r="50" spans="3:5" x14ac:dyDescent="0.25">
      <c r="C50" s="98"/>
      <c r="D50" s="97"/>
      <c r="E50" s="101"/>
    </row>
    <row r="51" spans="3:5" ht="27" customHeight="1" x14ac:dyDescent="0.25">
      <c r="C51" s="98" t="s">
        <v>97</v>
      </c>
      <c r="D51" s="134" t="s">
        <v>98</v>
      </c>
      <c r="E51" s="135"/>
    </row>
    <row r="52" spans="3:5" x14ac:dyDescent="0.25">
      <c r="C52" s="98"/>
      <c r="D52" s="97"/>
      <c r="E52" s="101"/>
    </row>
    <row r="53" spans="3:5" x14ac:dyDescent="0.25">
      <c r="C53" s="99" t="s">
        <v>99</v>
      </c>
      <c r="D53" s="102"/>
      <c r="E53" s="101"/>
    </row>
    <row r="54" spans="3:5" x14ac:dyDescent="0.25">
      <c r="C54" s="99"/>
      <c r="D54" s="102"/>
      <c r="E54" s="101"/>
    </row>
    <row r="55" spans="3:5" ht="15.75" thickBot="1" x14ac:dyDescent="0.3">
      <c r="C55" s="100" t="s">
        <v>100</v>
      </c>
      <c r="D55" s="136" t="s">
        <v>101</v>
      </c>
      <c r="E55" s="137"/>
    </row>
  </sheetData>
  <mergeCells count="9">
    <mergeCell ref="D51:E51"/>
    <mergeCell ref="D55:E55"/>
    <mergeCell ref="A7:B7"/>
    <mergeCell ref="A6:B6"/>
    <mergeCell ref="B2:H2"/>
    <mergeCell ref="A4:B4"/>
    <mergeCell ref="A5:B5"/>
    <mergeCell ref="D47:E47"/>
    <mergeCell ref="D49:E49"/>
  </mergeCells>
  <conditionalFormatting sqref="B1:B9 E1:E9">
    <cfRule type="duplicateValues" dxfId="9" priority="94"/>
  </conditionalFormatting>
  <conditionalFormatting sqref="E1:E9 B1:B9">
    <cfRule type="duplicateValues" dxfId="8" priority="95"/>
  </conditionalFormatting>
  <conditionalFormatting sqref="B1:B9">
    <cfRule type="duplicateValues" dxfId="7" priority="138"/>
  </conditionalFormatting>
  <conditionalFormatting sqref="E1:E9">
    <cfRule type="duplicateValues" dxfId="6" priority="139"/>
  </conditionalFormatting>
  <conditionalFormatting sqref="E1:E9">
    <cfRule type="duplicateValues" dxfId="5" priority="140"/>
    <cfRule type="duplicateValues" dxfId="4" priority="141"/>
  </conditionalFormatting>
  <conditionalFormatting sqref="C49:C55">
    <cfRule type="duplicateValues" dxfId="3" priority="1"/>
  </conditionalFormatting>
  <conditionalFormatting sqref="C49:C55">
    <cfRule type="duplicateValues" dxfId="2" priority="2"/>
  </conditionalFormatting>
  <conditionalFormatting sqref="C49:C55">
    <cfRule type="duplicateValues" dxfId="1" priority="3"/>
  </conditionalFormatting>
  <conditionalFormatting sqref="C49:C55"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8"/>
  <sheetViews>
    <sheetView topLeftCell="A25" workbookViewId="0">
      <selection activeCell="K21" sqref="K21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42" customWidth="1"/>
    <col min="8" max="8" width="9.28515625" customWidth="1"/>
    <col min="9" max="9" width="15.5703125" customWidth="1"/>
    <col min="10" max="10" width="14.7109375" style="127" customWidth="1"/>
    <col min="11" max="11" width="15.5703125" customWidth="1"/>
    <col min="13" max="13" width="15.5703125" style="128" bestFit="1" customWidth="1"/>
  </cols>
  <sheetData>
    <row r="1" spans="1:13" ht="30.75" thickBot="1" x14ac:dyDescent="0.3">
      <c r="A1" s="158" t="s">
        <v>57</v>
      </c>
      <c r="B1" s="158"/>
      <c r="C1" s="158"/>
      <c r="D1" s="158"/>
      <c r="E1" s="158"/>
      <c r="F1" s="158"/>
      <c r="G1" s="158"/>
      <c r="H1" s="158"/>
      <c r="I1" s="158"/>
      <c r="J1" s="120" t="s">
        <v>58</v>
      </c>
      <c r="K1" s="45" t="s">
        <v>106</v>
      </c>
    </row>
    <row r="2" spans="1:13" ht="16.5" thickBot="1" x14ac:dyDescent="0.3">
      <c r="A2" s="46"/>
      <c r="B2" s="47"/>
      <c r="C2" s="47"/>
      <c r="D2" s="48"/>
      <c r="E2" s="48"/>
      <c r="F2" s="48"/>
      <c r="G2" s="48"/>
      <c r="H2" s="48"/>
      <c r="I2" s="48"/>
      <c r="J2" s="121"/>
      <c r="K2" s="49"/>
    </row>
    <row r="3" spans="1:13" ht="16.5" thickBot="1" x14ac:dyDescent="0.3">
      <c r="A3" s="153" t="s">
        <v>59</v>
      </c>
      <c r="B3" s="153"/>
      <c r="C3" s="153"/>
      <c r="D3" s="154" t="str">
        <f>'SAF 011'!C4</f>
        <v>040 - MINISTERIO DE SALUD</v>
      </c>
      <c r="E3" s="154"/>
      <c r="F3" s="154"/>
      <c r="G3" s="154"/>
      <c r="H3" s="154"/>
      <c r="I3" s="154"/>
      <c r="J3" s="154"/>
      <c r="K3" s="154"/>
    </row>
    <row r="4" spans="1:13" ht="16.5" thickBot="1" x14ac:dyDescent="0.3">
      <c r="A4" s="155" t="s">
        <v>60</v>
      </c>
      <c r="B4" s="155"/>
      <c r="C4" s="155"/>
      <c r="D4" s="154" t="str">
        <f>'SAF 011'!C5</f>
        <v>011 - DIRECCION PROVINCIAL DE ADMINISTRACION - MINISTERIO DE SALUD</v>
      </c>
      <c r="E4" s="154"/>
      <c r="F4" s="154"/>
      <c r="G4" s="154"/>
      <c r="H4" s="154"/>
      <c r="I4" s="154"/>
      <c r="J4" s="154"/>
      <c r="K4" s="154"/>
    </row>
    <row r="5" spans="1:13" ht="16.5" thickBot="1" x14ac:dyDescent="0.3">
      <c r="A5" s="155" t="s">
        <v>61</v>
      </c>
      <c r="B5" s="155"/>
      <c r="C5" s="155"/>
      <c r="D5" s="154" t="s">
        <v>102</v>
      </c>
      <c r="E5" s="154"/>
      <c r="F5" s="154"/>
      <c r="G5" s="154"/>
      <c r="H5" s="154"/>
      <c r="I5" s="154"/>
      <c r="J5" s="154"/>
      <c r="K5" s="154"/>
    </row>
    <row r="6" spans="1:13" ht="16.5" thickBot="1" x14ac:dyDescent="0.3">
      <c r="A6" s="153" t="s">
        <v>62</v>
      </c>
      <c r="B6" s="153"/>
      <c r="C6" s="153"/>
      <c r="D6" s="154" t="s">
        <v>102</v>
      </c>
      <c r="E6" s="154"/>
      <c r="F6" s="154"/>
      <c r="G6" s="154"/>
      <c r="H6" s="154"/>
      <c r="I6" s="154"/>
      <c r="J6" s="154"/>
      <c r="K6" s="154"/>
    </row>
    <row r="7" spans="1:13" ht="16.5" thickBot="1" x14ac:dyDescent="0.3">
      <c r="A7" s="155" t="s">
        <v>63</v>
      </c>
      <c r="B7" s="155"/>
      <c r="C7" s="155"/>
      <c r="D7" s="154" t="s">
        <v>103</v>
      </c>
      <c r="E7" s="154"/>
      <c r="F7" s="154"/>
      <c r="G7" s="154"/>
      <c r="H7" s="154"/>
      <c r="I7" s="154"/>
      <c r="J7" s="154"/>
      <c r="K7" s="154"/>
    </row>
    <row r="8" spans="1:13" ht="40.5" customHeight="1" thickBot="1" x14ac:dyDescent="0.3">
      <c r="A8" s="156" t="s">
        <v>64</v>
      </c>
      <c r="B8" s="156"/>
      <c r="C8" s="156"/>
      <c r="D8" s="157" t="s">
        <v>107</v>
      </c>
      <c r="E8" s="157"/>
      <c r="F8" s="157"/>
      <c r="G8" s="157"/>
      <c r="H8" s="157"/>
      <c r="I8" s="157"/>
      <c r="J8" s="157"/>
      <c r="K8" s="157"/>
    </row>
    <row r="9" spans="1:13" ht="16.5" thickBot="1" x14ac:dyDescent="0.3">
      <c r="A9" s="50"/>
      <c r="B9" s="51"/>
      <c r="C9" s="51"/>
      <c r="D9" s="52"/>
      <c r="E9" s="52"/>
      <c r="F9" s="52"/>
      <c r="G9" s="52"/>
      <c r="H9" s="52"/>
      <c r="I9" s="52"/>
      <c r="J9" s="122"/>
      <c r="K9" s="53"/>
    </row>
    <row r="10" spans="1:13" ht="15.75" thickBot="1" x14ac:dyDescent="0.3">
      <c r="A10" s="152" t="s">
        <v>65</v>
      </c>
      <c r="B10" s="150" t="s">
        <v>66</v>
      </c>
      <c r="C10" s="150" t="s">
        <v>67</v>
      </c>
      <c r="D10" s="150"/>
      <c r="E10" s="150"/>
      <c r="F10" s="150"/>
      <c r="G10" s="150"/>
      <c r="H10" s="150" t="s">
        <v>68</v>
      </c>
      <c r="I10" s="150" t="s">
        <v>69</v>
      </c>
      <c r="J10" s="151" t="s">
        <v>70</v>
      </c>
      <c r="K10" s="148" t="s">
        <v>71</v>
      </c>
    </row>
    <row r="11" spans="1:13" ht="36.75" customHeight="1" thickBot="1" x14ac:dyDescent="0.3">
      <c r="A11" s="152"/>
      <c r="B11" s="150"/>
      <c r="C11" s="150"/>
      <c r="D11" s="150"/>
      <c r="E11" s="150"/>
      <c r="F11" s="150"/>
      <c r="G11" s="150"/>
      <c r="H11" s="150"/>
      <c r="I11" s="150"/>
      <c r="J11" s="151"/>
      <c r="K11" s="148"/>
    </row>
    <row r="12" spans="1:13" s="106" customFormat="1" x14ac:dyDescent="0.25">
      <c r="A12" s="107">
        <v>1</v>
      </c>
      <c r="B12" s="108"/>
      <c r="C12" s="149" t="str">
        <f>'SAF 011'!E10</f>
        <v>AMIKACINA 500 MG AMPOLLA</v>
      </c>
      <c r="D12" s="149"/>
      <c r="E12" s="149"/>
      <c r="F12" s="149"/>
      <c r="G12" s="149"/>
      <c r="H12" s="112" t="s">
        <v>108</v>
      </c>
      <c r="I12" s="113" t="str">
        <f>'SAF 011'!F10</f>
        <v>AMPOLLA</v>
      </c>
      <c r="J12" s="123">
        <v>93.17</v>
      </c>
      <c r="K12" s="114">
        <v>2000</v>
      </c>
      <c r="M12" s="128">
        <f>+J12*K12</f>
        <v>186340</v>
      </c>
    </row>
    <row r="13" spans="1:13" s="106" customFormat="1" ht="16.5" customHeight="1" x14ac:dyDescent="0.25">
      <c r="A13" s="109">
        <v>2</v>
      </c>
      <c r="B13" s="110"/>
      <c r="C13" s="144" t="str">
        <f>'SAF 011'!E11</f>
        <v xml:space="preserve">AMOXICILINA  400 MG + ACIDO CLAVULANICO 57 MG  SUSPENSIÓN x 70 ML </v>
      </c>
      <c r="D13" s="145"/>
      <c r="E13" s="145"/>
      <c r="F13" s="145"/>
      <c r="G13" s="146"/>
      <c r="H13" s="115" t="s">
        <v>108</v>
      </c>
      <c r="I13" s="116" t="str">
        <f>'SAF 011'!F11</f>
        <v>FRASCO</v>
      </c>
      <c r="J13" s="124">
        <v>340</v>
      </c>
      <c r="K13" s="117">
        <v>5000</v>
      </c>
      <c r="M13" s="128">
        <f t="shared" ref="M13:M46" si="0">+J13*K13</f>
        <v>1700000</v>
      </c>
    </row>
    <row r="14" spans="1:13" s="106" customFormat="1" ht="16.5" customHeight="1" x14ac:dyDescent="0.25">
      <c r="A14" s="109">
        <v>3</v>
      </c>
      <c r="B14" s="110"/>
      <c r="C14" s="144" t="str">
        <f>'SAF 011'!E12</f>
        <v>AMOXICILINA + CLAVULANICO 1 G COMPRIMIDO</v>
      </c>
      <c r="D14" s="145"/>
      <c r="E14" s="145"/>
      <c r="F14" s="145"/>
      <c r="G14" s="146"/>
      <c r="H14" s="115" t="s">
        <v>108</v>
      </c>
      <c r="I14" s="116" t="str">
        <f>'SAF 011'!F12</f>
        <v>COMPRIMIDO</v>
      </c>
      <c r="J14" s="124">
        <v>28</v>
      </c>
      <c r="K14" s="117">
        <v>100000</v>
      </c>
      <c r="M14" s="128">
        <f t="shared" si="0"/>
        <v>2800000</v>
      </c>
    </row>
    <row r="15" spans="1:13" s="106" customFormat="1" ht="16.5" customHeight="1" x14ac:dyDescent="0.25">
      <c r="A15" s="109">
        <v>4</v>
      </c>
      <c r="B15" s="110"/>
      <c r="C15" s="144" t="str">
        <f>'SAF 011'!E13</f>
        <v>AMOXICILINA 500 MG SUSPENSIÓN X 90 ML</v>
      </c>
      <c r="D15" s="145"/>
      <c r="E15" s="145"/>
      <c r="F15" s="145"/>
      <c r="G15" s="146"/>
      <c r="H15" s="115" t="s">
        <v>108</v>
      </c>
      <c r="I15" s="116" t="str">
        <f>'SAF 011'!F13</f>
        <v>FRASCO</v>
      </c>
      <c r="J15" s="124">
        <v>210</v>
      </c>
      <c r="K15" s="117">
        <v>3100</v>
      </c>
      <c r="M15" s="128">
        <f t="shared" si="0"/>
        <v>651000</v>
      </c>
    </row>
    <row r="16" spans="1:13" s="106" customFormat="1" ht="16.5" customHeight="1" x14ac:dyDescent="0.25">
      <c r="A16" s="109">
        <v>5</v>
      </c>
      <c r="B16" s="110"/>
      <c r="C16" s="144" t="str">
        <f>'SAF 011'!E14</f>
        <v>AMPICILINA 1G FCO AMPOLLA</v>
      </c>
      <c r="D16" s="145"/>
      <c r="E16" s="145"/>
      <c r="F16" s="145"/>
      <c r="G16" s="146"/>
      <c r="H16" s="115" t="s">
        <v>108</v>
      </c>
      <c r="I16" s="116" t="str">
        <f>'SAF 011'!F14</f>
        <v>AMPOLLA</v>
      </c>
      <c r="J16" s="124">
        <v>130</v>
      </c>
      <c r="K16" s="117">
        <v>4000</v>
      </c>
      <c r="M16" s="128">
        <f t="shared" si="0"/>
        <v>520000</v>
      </c>
    </row>
    <row r="17" spans="1:13" s="106" customFormat="1" ht="16.5" customHeight="1" x14ac:dyDescent="0.25">
      <c r="A17" s="109">
        <v>6</v>
      </c>
      <c r="B17" s="110"/>
      <c r="C17" s="144" t="str">
        <f>'SAF 011'!E15</f>
        <v>AZITROMICINA 200 MG / 5 ML SUSPENSIÓN x 15 ML</v>
      </c>
      <c r="D17" s="145"/>
      <c r="E17" s="145"/>
      <c r="F17" s="145"/>
      <c r="G17" s="146"/>
      <c r="H17" s="115" t="s">
        <v>108</v>
      </c>
      <c r="I17" s="116" t="str">
        <f>'SAF 011'!F15</f>
        <v>FRASCO</v>
      </c>
      <c r="J17" s="124">
        <v>213</v>
      </c>
      <c r="K17" s="117">
        <v>1000</v>
      </c>
      <c r="M17" s="128">
        <f t="shared" si="0"/>
        <v>213000</v>
      </c>
    </row>
    <row r="18" spans="1:13" s="106" customFormat="1" ht="16.5" customHeight="1" x14ac:dyDescent="0.25">
      <c r="A18" s="109">
        <v>7</v>
      </c>
      <c r="B18" s="110"/>
      <c r="C18" s="144" t="str">
        <f>'SAF 011'!E16</f>
        <v xml:space="preserve">AZITROMICINA 500 MG COMPRIMIDOS </v>
      </c>
      <c r="D18" s="145"/>
      <c r="E18" s="145"/>
      <c r="F18" s="145"/>
      <c r="G18" s="146"/>
      <c r="H18" s="115" t="s">
        <v>108</v>
      </c>
      <c r="I18" s="116" t="str">
        <f>'SAF 011'!F16</f>
        <v>COMPRIMIDO</v>
      </c>
      <c r="J18" s="124">
        <v>31.25</v>
      </c>
      <c r="K18" s="117">
        <v>15000</v>
      </c>
      <c r="M18" s="128">
        <f t="shared" si="0"/>
        <v>468750</v>
      </c>
    </row>
    <row r="19" spans="1:13" s="106" customFormat="1" ht="16.5" customHeight="1" x14ac:dyDescent="0.25">
      <c r="A19" s="109">
        <v>8</v>
      </c>
      <c r="B19" s="110"/>
      <c r="C19" s="144" t="str">
        <f>'SAF 011'!E17</f>
        <v xml:space="preserve">BUPIVACAINA 5 MG / ML  HIBERBARICA  AMPOLLA DE 4 ML CON AGUJA 27 G X 3 1/2 CON INTRODUCTOR </v>
      </c>
      <c r="D19" s="145"/>
      <c r="E19" s="145"/>
      <c r="F19" s="145"/>
      <c r="G19" s="146"/>
      <c r="H19" s="115" t="s">
        <v>108</v>
      </c>
      <c r="I19" s="116" t="str">
        <f>'SAF 011'!F17</f>
        <v>AMPOLLA</v>
      </c>
      <c r="J19" s="124">
        <v>1120</v>
      </c>
      <c r="K19" s="117">
        <v>200</v>
      </c>
      <c r="M19" s="128">
        <f t="shared" si="0"/>
        <v>224000</v>
      </c>
    </row>
    <row r="20" spans="1:13" s="106" customFormat="1" ht="16.5" customHeight="1" x14ac:dyDescent="0.25">
      <c r="A20" s="109">
        <v>9</v>
      </c>
      <c r="B20" s="110"/>
      <c r="C20" s="144" t="str">
        <f>'SAF 011'!E18</f>
        <v>CEFALOTINA 1 GR. AMP.</v>
      </c>
      <c r="D20" s="145"/>
      <c r="E20" s="145"/>
      <c r="F20" s="145"/>
      <c r="G20" s="146"/>
      <c r="H20" s="115" t="s">
        <v>108</v>
      </c>
      <c r="I20" s="116" t="str">
        <f>'SAF 011'!F18</f>
        <v>AMPOLLA</v>
      </c>
      <c r="J20" s="124">
        <v>145</v>
      </c>
      <c r="K20" s="117">
        <v>3000</v>
      </c>
      <c r="M20" s="128">
        <f t="shared" si="0"/>
        <v>435000</v>
      </c>
    </row>
    <row r="21" spans="1:13" s="106" customFormat="1" ht="16.5" customHeight="1" x14ac:dyDescent="0.25">
      <c r="A21" s="109">
        <v>10</v>
      </c>
      <c r="B21" s="110"/>
      <c r="C21" s="144" t="str">
        <f>'SAF 011'!E19</f>
        <v>CIPROFLOXACINA 200 MG AMPOLLA</v>
      </c>
      <c r="D21" s="145"/>
      <c r="E21" s="145"/>
      <c r="F21" s="145"/>
      <c r="G21" s="146"/>
      <c r="H21" s="115" t="s">
        <v>108</v>
      </c>
      <c r="I21" s="116" t="str">
        <f>'SAF 011'!F19</f>
        <v>AMPOLLA</v>
      </c>
      <c r="J21" s="124">
        <v>115</v>
      </c>
      <c r="K21" s="117">
        <v>4000</v>
      </c>
      <c r="M21" s="128">
        <f t="shared" si="0"/>
        <v>460000</v>
      </c>
    </row>
    <row r="22" spans="1:13" s="106" customFormat="1" ht="16.5" customHeight="1" x14ac:dyDescent="0.25">
      <c r="A22" s="109">
        <v>11</v>
      </c>
      <c r="B22" s="110"/>
      <c r="C22" s="144" t="str">
        <f>'SAF 011'!E20</f>
        <v>CIPROFLOXACINA 500 MG COMP</v>
      </c>
      <c r="D22" s="145"/>
      <c r="E22" s="145"/>
      <c r="F22" s="145"/>
      <c r="G22" s="146"/>
      <c r="H22" s="115" t="s">
        <v>108</v>
      </c>
      <c r="I22" s="116" t="str">
        <f>'SAF 011'!F20</f>
        <v>COMPRIMIDO</v>
      </c>
      <c r="J22" s="124">
        <v>11</v>
      </c>
      <c r="K22" s="117">
        <v>50000</v>
      </c>
      <c r="M22" s="128">
        <f t="shared" si="0"/>
        <v>550000</v>
      </c>
    </row>
    <row r="23" spans="1:13" s="106" customFormat="1" ht="16.5" customHeight="1" x14ac:dyDescent="0.25">
      <c r="A23" s="109">
        <v>12</v>
      </c>
      <c r="B23" s="110"/>
      <c r="C23" s="144" t="str">
        <f>'SAF 011'!E21</f>
        <v>CLARITROMICINA 500 MG COMPRIMIDO</v>
      </c>
      <c r="D23" s="145"/>
      <c r="E23" s="145"/>
      <c r="F23" s="145"/>
      <c r="G23" s="146"/>
      <c r="H23" s="115" t="s">
        <v>108</v>
      </c>
      <c r="I23" s="116" t="str">
        <f>'SAF 011'!F21</f>
        <v>COMPRIMIDO</v>
      </c>
      <c r="J23" s="124">
        <v>42</v>
      </c>
      <c r="K23" s="117">
        <v>15000</v>
      </c>
      <c r="M23" s="128">
        <f t="shared" si="0"/>
        <v>630000</v>
      </c>
    </row>
    <row r="24" spans="1:13" s="106" customFormat="1" ht="16.5" customHeight="1" x14ac:dyDescent="0.25">
      <c r="A24" s="109">
        <v>13</v>
      </c>
      <c r="B24" s="110"/>
      <c r="C24" s="144" t="str">
        <f>'SAF 011'!E22</f>
        <v>CLARITROMICINA 500 MG FRASCO AMPOLLA</v>
      </c>
      <c r="D24" s="145"/>
      <c r="E24" s="145"/>
      <c r="F24" s="145"/>
      <c r="G24" s="146"/>
      <c r="H24" s="115" t="s">
        <v>108</v>
      </c>
      <c r="I24" s="116" t="str">
        <f>'SAF 011'!F22</f>
        <v>AMPOLLA</v>
      </c>
      <c r="J24" s="124">
        <v>825</v>
      </c>
      <c r="K24" s="117">
        <v>300</v>
      </c>
      <c r="M24" s="128">
        <f t="shared" si="0"/>
        <v>247500</v>
      </c>
    </row>
    <row r="25" spans="1:13" s="106" customFormat="1" ht="16.5" customHeight="1" x14ac:dyDescent="0.25">
      <c r="A25" s="109">
        <v>14</v>
      </c>
      <c r="B25" s="110"/>
      <c r="C25" s="144" t="str">
        <f>'SAF 011'!E23</f>
        <v>COLISTINA 100 MG FCO AMPOLLA</v>
      </c>
      <c r="D25" s="145"/>
      <c r="E25" s="145"/>
      <c r="F25" s="145"/>
      <c r="G25" s="146"/>
      <c r="H25" s="115" t="s">
        <v>108</v>
      </c>
      <c r="I25" s="116" t="str">
        <f>'SAF 011'!F23</f>
        <v>AMPOLLA</v>
      </c>
      <c r="J25" s="124">
        <v>451</v>
      </c>
      <c r="K25" s="117">
        <v>1000</v>
      </c>
      <c r="M25" s="128">
        <f t="shared" si="0"/>
        <v>451000</v>
      </c>
    </row>
    <row r="26" spans="1:13" s="106" customFormat="1" ht="16.5" customHeight="1" x14ac:dyDescent="0.25">
      <c r="A26" s="109">
        <v>15</v>
      </c>
      <c r="B26" s="110"/>
      <c r="C26" s="144" t="str">
        <f>'SAF 011'!E24</f>
        <v>DICLOFENAC 75 MG COMPRIMIDOS</v>
      </c>
      <c r="D26" s="145"/>
      <c r="E26" s="145"/>
      <c r="F26" s="145"/>
      <c r="G26" s="146"/>
      <c r="H26" s="115" t="s">
        <v>108</v>
      </c>
      <c r="I26" s="116" t="str">
        <f>'SAF 011'!F24</f>
        <v>COMPRIMIDO</v>
      </c>
      <c r="J26" s="124">
        <v>2.5499999999999998</v>
      </c>
      <c r="K26" s="117">
        <v>100000</v>
      </c>
      <c r="M26" s="128">
        <f t="shared" si="0"/>
        <v>254999.99999999997</v>
      </c>
    </row>
    <row r="27" spans="1:13" s="106" customFormat="1" ht="16.5" customHeight="1" x14ac:dyDescent="0.25">
      <c r="A27" s="109">
        <v>16</v>
      </c>
      <c r="B27" s="110"/>
      <c r="C27" s="144" t="str">
        <f>'SAF 011'!E25</f>
        <v xml:space="preserve">DICLOFENAC 75 MG. AMPOLLA </v>
      </c>
      <c r="D27" s="145"/>
      <c r="E27" s="145"/>
      <c r="F27" s="145"/>
      <c r="G27" s="146"/>
      <c r="H27" s="115" t="s">
        <v>108</v>
      </c>
      <c r="I27" s="116" t="str">
        <f>'SAF 011'!F25</f>
        <v>AMPOLLA</v>
      </c>
      <c r="J27" s="124">
        <v>45</v>
      </c>
      <c r="K27" s="117">
        <v>30000</v>
      </c>
      <c r="M27" s="128">
        <f t="shared" si="0"/>
        <v>1350000</v>
      </c>
    </row>
    <row r="28" spans="1:13" s="106" customFormat="1" ht="16.5" customHeight="1" x14ac:dyDescent="0.25">
      <c r="A28" s="109">
        <v>17</v>
      </c>
      <c r="B28" s="110"/>
      <c r="C28" s="144" t="str">
        <f>'SAF 011'!E26</f>
        <v>DIPIRONA 1GR AMPOLLA</v>
      </c>
      <c r="D28" s="145"/>
      <c r="E28" s="145"/>
      <c r="F28" s="145"/>
      <c r="G28" s="146"/>
      <c r="H28" s="115" t="s">
        <v>108</v>
      </c>
      <c r="I28" s="116" t="str">
        <f>'SAF 011'!F26</f>
        <v>AMPOLLA</v>
      </c>
      <c r="J28" s="124">
        <v>45</v>
      </c>
      <c r="K28" s="117">
        <v>30000</v>
      </c>
      <c r="M28" s="128">
        <f t="shared" si="0"/>
        <v>1350000</v>
      </c>
    </row>
    <row r="29" spans="1:13" s="106" customFormat="1" ht="16.5" customHeight="1" x14ac:dyDescent="0.25">
      <c r="A29" s="109">
        <v>18</v>
      </c>
      <c r="B29" s="110"/>
      <c r="C29" s="144" t="str">
        <f>'SAF 011'!E27</f>
        <v>DIPIRONA JARABE X 120 ML</v>
      </c>
      <c r="D29" s="145"/>
      <c r="E29" s="145"/>
      <c r="F29" s="145"/>
      <c r="G29" s="146"/>
      <c r="H29" s="115" t="s">
        <v>108</v>
      </c>
      <c r="I29" s="116" t="str">
        <f>'SAF 011'!F27</f>
        <v>FRASCO</v>
      </c>
      <c r="J29" s="124">
        <v>120</v>
      </c>
      <c r="K29" s="117">
        <v>6000</v>
      </c>
      <c r="M29" s="128">
        <f t="shared" si="0"/>
        <v>720000</v>
      </c>
    </row>
    <row r="30" spans="1:13" s="106" customFormat="1" ht="16.5" customHeight="1" x14ac:dyDescent="0.25">
      <c r="A30" s="109">
        <v>19</v>
      </c>
      <c r="B30" s="110"/>
      <c r="C30" s="144" t="str">
        <f>'SAF 011'!E28</f>
        <v>FENTANILO 250 MCG INYECTABLE</v>
      </c>
      <c r="D30" s="145"/>
      <c r="E30" s="145"/>
      <c r="F30" s="145"/>
      <c r="G30" s="146"/>
      <c r="H30" s="115" t="s">
        <v>108</v>
      </c>
      <c r="I30" s="116" t="str">
        <f>'SAF 011'!F28</f>
        <v>AMPOLLA</v>
      </c>
      <c r="J30" s="124">
        <v>260</v>
      </c>
      <c r="K30" s="117">
        <v>10000</v>
      </c>
      <c r="M30" s="128">
        <f t="shared" si="0"/>
        <v>2600000</v>
      </c>
    </row>
    <row r="31" spans="1:13" s="106" customFormat="1" ht="16.5" customHeight="1" x14ac:dyDescent="0.25">
      <c r="A31" s="109">
        <v>20</v>
      </c>
      <c r="B31" s="110"/>
      <c r="C31" s="144" t="str">
        <f>'SAF 011'!E29</f>
        <v>FLUCONAZOL 200 MG SACHET 100 ML</v>
      </c>
      <c r="D31" s="145"/>
      <c r="E31" s="145"/>
      <c r="F31" s="145"/>
      <c r="G31" s="146"/>
      <c r="H31" s="115" t="s">
        <v>108</v>
      </c>
      <c r="I31" s="116" t="str">
        <f>'SAF 011'!F29</f>
        <v>ENVASE</v>
      </c>
      <c r="J31" s="124">
        <v>750</v>
      </c>
      <c r="K31" s="117">
        <v>50</v>
      </c>
      <c r="M31" s="128">
        <f t="shared" si="0"/>
        <v>37500</v>
      </c>
    </row>
    <row r="32" spans="1:13" s="106" customFormat="1" ht="16.5" customHeight="1" x14ac:dyDescent="0.25">
      <c r="A32" s="109">
        <v>21</v>
      </c>
      <c r="B32" s="110"/>
      <c r="C32" s="144" t="str">
        <f>'SAF 011'!E30</f>
        <v>IBUPROFENO 2% SUSPENSIÓN X 90 ML</v>
      </c>
      <c r="D32" s="145"/>
      <c r="E32" s="145"/>
      <c r="F32" s="145"/>
      <c r="G32" s="146"/>
      <c r="H32" s="115" t="s">
        <v>108</v>
      </c>
      <c r="I32" s="116" t="str">
        <f>'SAF 011'!F30</f>
        <v>FRASCO</v>
      </c>
      <c r="J32" s="124">
        <v>85</v>
      </c>
      <c r="K32" s="117">
        <v>4000</v>
      </c>
      <c r="M32" s="128">
        <f t="shared" si="0"/>
        <v>340000</v>
      </c>
    </row>
    <row r="33" spans="1:13" s="106" customFormat="1" ht="16.5" customHeight="1" x14ac:dyDescent="0.25">
      <c r="A33" s="109">
        <v>22</v>
      </c>
      <c r="B33" s="110"/>
      <c r="C33" s="144" t="str">
        <f>'SAF 011'!E31</f>
        <v>IBUPROFENO 400 MG COMPRIMIDO</v>
      </c>
      <c r="D33" s="145"/>
      <c r="E33" s="145"/>
      <c r="F33" s="145"/>
      <c r="G33" s="146"/>
      <c r="H33" s="115" t="s">
        <v>108</v>
      </c>
      <c r="I33" s="116" t="str">
        <f>'SAF 011'!F31</f>
        <v>COMPRIMIDO</v>
      </c>
      <c r="J33" s="124">
        <v>4.8</v>
      </c>
      <c r="K33" s="117">
        <v>100000</v>
      </c>
      <c r="M33" s="128">
        <f t="shared" si="0"/>
        <v>480000</v>
      </c>
    </row>
    <row r="34" spans="1:13" s="106" customFormat="1" ht="16.5" customHeight="1" x14ac:dyDescent="0.25">
      <c r="A34" s="109">
        <v>23</v>
      </c>
      <c r="B34" s="110"/>
      <c r="C34" s="144" t="str">
        <f>'SAF 011'!E32</f>
        <v>KETAMINA 50MG/ML FCO AMPOLLA</v>
      </c>
      <c r="D34" s="145"/>
      <c r="E34" s="145"/>
      <c r="F34" s="145"/>
      <c r="G34" s="146"/>
      <c r="H34" s="115" t="s">
        <v>108</v>
      </c>
      <c r="I34" s="116" t="str">
        <f>'SAF 011'!F32</f>
        <v>AMPOLLA</v>
      </c>
      <c r="J34" s="124">
        <v>1950</v>
      </c>
      <c r="K34" s="117">
        <v>1000</v>
      </c>
      <c r="M34" s="128">
        <f t="shared" si="0"/>
        <v>1950000</v>
      </c>
    </row>
    <row r="35" spans="1:13" s="106" customFormat="1" ht="16.5" customHeight="1" x14ac:dyDescent="0.25">
      <c r="A35" s="109">
        <v>24</v>
      </c>
      <c r="B35" s="110"/>
      <c r="C35" s="144" t="str">
        <f>'SAF 011'!E33</f>
        <v>KETOROLAC 10 MG COMPRIMIDO</v>
      </c>
      <c r="D35" s="145"/>
      <c r="E35" s="145"/>
      <c r="F35" s="145"/>
      <c r="G35" s="146"/>
      <c r="H35" s="115" t="s">
        <v>108</v>
      </c>
      <c r="I35" s="116" t="str">
        <f>'SAF 011'!F33</f>
        <v>COMPRIMIDO</v>
      </c>
      <c r="J35" s="124">
        <v>3.3</v>
      </c>
      <c r="K35" s="117">
        <v>50000</v>
      </c>
      <c r="M35" s="128">
        <f t="shared" si="0"/>
        <v>165000</v>
      </c>
    </row>
    <row r="36" spans="1:13" s="106" customFormat="1" ht="16.5" customHeight="1" x14ac:dyDescent="0.25">
      <c r="A36" s="109">
        <v>25</v>
      </c>
      <c r="B36" s="110"/>
      <c r="C36" s="144" t="str">
        <f>'SAF 011'!E34</f>
        <v>KETOROLAC 30 MG AMPOLLA</v>
      </c>
      <c r="D36" s="145"/>
      <c r="E36" s="145"/>
      <c r="F36" s="145"/>
      <c r="G36" s="146"/>
      <c r="H36" s="115" t="s">
        <v>108</v>
      </c>
      <c r="I36" s="116" t="str">
        <f>'SAF 011'!F34</f>
        <v>AMPOLLA</v>
      </c>
      <c r="J36" s="124">
        <v>55</v>
      </c>
      <c r="K36" s="117">
        <v>5000</v>
      </c>
      <c r="M36" s="128">
        <f t="shared" si="0"/>
        <v>275000</v>
      </c>
    </row>
    <row r="37" spans="1:13" s="106" customFormat="1" ht="16.5" customHeight="1" x14ac:dyDescent="0.25">
      <c r="A37" s="109">
        <v>26</v>
      </c>
      <c r="B37" s="110"/>
      <c r="C37" s="144" t="str">
        <f>'SAF 011'!E35</f>
        <v>LIDOCAINA AEROSOL</v>
      </c>
      <c r="D37" s="145"/>
      <c r="E37" s="145"/>
      <c r="F37" s="145"/>
      <c r="G37" s="146"/>
      <c r="H37" s="115" t="s">
        <v>108</v>
      </c>
      <c r="I37" s="116" t="str">
        <f>'SAF 011'!F35</f>
        <v>ENVASE</v>
      </c>
      <c r="J37" s="124">
        <v>640</v>
      </c>
      <c r="K37" s="117">
        <v>20</v>
      </c>
      <c r="M37" s="128">
        <f t="shared" si="0"/>
        <v>12800</v>
      </c>
    </row>
    <row r="38" spans="1:13" s="106" customFormat="1" ht="16.5" customHeight="1" x14ac:dyDescent="0.25">
      <c r="A38" s="109">
        <v>27</v>
      </c>
      <c r="B38" s="110"/>
      <c r="C38" s="144" t="str">
        <f>'SAF 011'!E36</f>
        <v>METRONIDAZOL 500 MG SACHET</v>
      </c>
      <c r="D38" s="145"/>
      <c r="E38" s="145"/>
      <c r="F38" s="145"/>
      <c r="G38" s="146"/>
      <c r="H38" s="115" t="s">
        <v>108</v>
      </c>
      <c r="I38" s="116" t="str">
        <f>'SAF 011'!F36</f>
        <v>ENVASE</v>
      </c>
      <c r="J38" s="124">
        <v>110</v>
      </c>
      <c r="K38" s="117">
        <v>1000</v>
      </c>
      <c r="M38" s="128">
        <f t="shared" si="0"/>
        <v>110000</v>
      </c>
    </row>
    <row r="39" spans="1:13" s="106" customFormat="1" ht="16.5" customHeight="1" x14ac:dyDescent="0.25">
      <c r="A39" s="109">
        <v>28</v>
      </c>
      <c r="B39" s="110"/>
      <c r="C39" s="144" t="str">
        <f>'SAF 011'!E37</f>
        <v>PARACETAMOL 1GR ML FRASCO AMPOLLA</v>
      </c>
      <c r="D39" s="145"/>
      <c r="E39" s="145"/>
      <c r="F39" s="145"/>
      <c r="G39" s="146"/>
      <c r="H39" s="115" t="s">
        <v>108</v>
      </c>
      <c r="I39" s="116" t="str">
        <f>'SAF 011'!F37</f>
        <v>AMPOLLA</v>
      </c>
      <c r="J39" s="124">
        <v>980</v>
      </c>
      <c r="K39" s="117">
        <v>100</v>
      </c>
      <c r="M39" s="128">
        <f t="shared" si="0"/>
        <v>98000</v>
      </c>
    </row>
    <row r="40" spans="1:13" s="106" customFormat="1" ht="16.5" customHeight="1" x14ac:dyDescent="0.25">
      <c r="A40" s="109">
        <v>29</v>
      </c>
      <c r="B40" s="110"/>
      <c r="C40" s="144" t="str">
        <f>'SAF 011'!E38</f>
        <v>PARACETAMOL 2% JARABE X 120 ML</v>
      </c>
      <c r="D40" s="145"/>
      <c r="E40" s="145"/>
      <c r="F40" s="145"/>
      <c r="G40" s="146"/>
      <c r="H40" s="115" t="s">
        <v>108</v>
      </c>
      <c r="I40" s="116" t="str">
        <f>'SAF 011'!F38</f>
        <v>FRASCO</v>
      </c>
      <c r="J40" s="124">
        <v>165</v>
      </c>
      <c r="K40" s="117">
        <v>5000</v>
      </c>
      <c r="M40" s="128">
        <f t="shared" si="0"/>
        <v>825000</v>
      </c>
    </row>
    <row r="41" spans="1:13" s="106" customFormat="1" ht="16.5" customHeight="1" x14ac:dyDescent="0.25">
      <c r="A41" s="109">
        <v>30</v>
      </c>
      <c r="B41" s="111"/>
      <c r="C41" s="144" t="str">
        <f>'SAF 011'!E39</f>
        <v>PARACETAMOL 500 MG COMPRIMIDO</v>
      </c>
      <c r="D41" s="145"/>
      <c r="E41" s="145"/>
      <c r="F41" s="145"/>
      <c r="G41" s="146"/>
      <c r="H41" s="115" t="s">
        <v>108</v>
      </c>
      <c r="I41" s="118" t="str">
        <f>'SAF 011'!F39</f>
        <v>COMPRIMIDO</v>
      </c>
      <c r="J41" s="125">
        <v>5.3</v>
      </c>
      <c r="K41" s="119">
        <v>50000</v>
      </c>
      <c r="M41" s="128">
        <f t="shared" si="0"/>
        <v>265000</v>
      </c>
    </row>
    <row r="42" spans="1:13" s="106" customFormat="1" ht="16.5" customHeight="1" x14ac:dyDescent="0.25">
      <c r="A42" s="109">
        <v>31</v>
      </c>
      <c r="B42" s="111"/>
      <c r="C42" s="144" t="str">
        <f>'SAF 011'!E40</f>
        <v>PERMETRINA LOCION</v>
      </c>
      <c r="D42" s="145"/>
      <c r="E42" s="145"/>
      <c r="F42" s="145"/>
      <c r="G42" s="146"/>
      <c r="H42" s="115" t="s">
        <v>108</v>
      </c>
      <c r="I42" s="118" t="str">
        <f>'SAF 011'!F40</f>
        <v>ENVASE</v>
      </c>
      <c r="J42" s="125">
        <v>330</v>
      </c>
      <c r="K42" s="119">
        <v>3000</v>
      </c>
      <c r="M42" s="128">
        <f t="shared" si="0"/>
        <v>990000</v>
      </c>
    </row>
    <row r="43" spans="1:13" s="106" customFormat="1" ht="16.5" customHeight="1" x14ac:dyDescent="0.25">
      <c r="A43" s="109">
        <v>32</v>
      </c>
      <c r="B43" s="111"/>
      <c r="C43" s="144" t="str">
        <f>'SAF 011'!E41</f>
        <v>PROPOFOL 1% AMPOLLAS X 20 ML</v>
      </c>
      <c r="D43" s="145"/>
      <c r="E43" s="145"/>
      <c r="F43" s="145"/>
      <c r="G43" s="146"/>
      <c r="H43" s="115" t="s">
        <v>108</v>
      </c>
      <c r="I43" s="118" t="str">
        <f>'SAF 011'!F41</f>
        <v>AMPOLLA</v>
      </c>
      <c r="J43" s="125">
        <v>630</v>
      </c>
      <c r="K43" s="119">
        <v>2000</v>
      </c>
      <c r="M43" s="128">
        <f t="shared" si="0"/>
        <v>1260000</v>
      </c>
    </row>
    <row r="44" spans="1:13" s="106" customFormat="1" ht="16.5" customHeight="1" x14ac:dyDescent="0.25">
      <c r="A44" s="109">
        <v>33</v>
      </c>
      <c r="B44" s="111"/>
      <c r="C44" s="144" t="str">
        <f>'SAF 011'!E42</f>
        <v>SUCCINILCOLINA 500 MG FCO AMP</v>
      </c>
      <c r="D44" s="145"/>
      <c r="E44" s="145"/>
      <c r="F44" s="145"/>
      <c r="G44" s="146"/>
      <c r="H44" s="115" t="s">
        <v>108</v>
      </c>
      <c r="I44" s="118" t="str">
        <f>'SAF 011'!F42</f>
        <v>AMPOLLA</v>
      </c>
      <c r="J44" s="125">
        <v>279</v>
      </c>
      <c r="K44" s="119">
        <v>500</v>
      </c>
      <c r="M44" s="128">
        <f t="shared" si="0"/>
        <v>139500</v>
      </c>
    </row>
    <row r="45" spans="1:13" s="106" customFormat="1" ht="16.5" customHeight="1" x14ac:dyDescent="0.25">
      <c r="A45" s="109">
        <v>34</v>
      </c>
      <c r="B45" s="111"/>
      <c r="C45" s="144" t="str">
        <f>'SAF 011'!E43</f>
        <v>TRAMADOL 50 MG AMPOLLA</v>
      </c>
      <c r="D45" s="145"/>
      <c r="E45" s="145"/>
      <c r="F45" s="145"/>
      <c r="G45" s="146"/>
      <c r="H45" s="115" t="s">
        <v>108</v>
      </c>
      <c r="I45" s="118" t="str">
        <f>'SAF 011'!F43</f>
        <v>AMPOLLA</v>
      </c>
      <c r="J45" s="125">
        <v>56</v>
      </c>
      <c r="K45" s="119">
        <v>500</v>
      </c>
      <c r="M45" s="128">
        <f t="shared" si="0"/>
        <v>28000</v>
      </c>
    </row>
    <row r="46" spans="1:13" s="106" customFormat="1" ht="15.75" customHeight="1" x14ac:dyDescent="0.25">
      <c r="A46" s="109">
        <v>35</v>
      </c>
      <c r="B46" s="111"/>
      <c r="C46" s="144" t="str">
        <f>'SAF 011'!E44</f>
        <v>VECURONIO BROMURO 10 MG AMPOLLA</v>
      </c>
      <c r="D46" s="145"/>
      <c r="E46" s="145"/>
      <c r="F46" s="145"/>
      <c r="G46" s="146"/>
      <c r="H46" s="115" t="s">
        <v>108</v>
      </c>
      <c r="I46" s="118" t="str">
        <f>'SAF 011'!F44</f>
        <v>AMPOLLA</v>
      </c>
      <c r="J46" s="125">
        <v>988</v>
      </c>
      <c r="K46" s="119">
        <v>300</v>
      </c>
      <c r="M46" s="128">
        <f t="shared" si="0"/>
        <v>296400</v>
      </c>
    </row>
    <row r="47" spans="1:13" ht="15.75" x14ac:dyDescent="0.25">
      <c r="A47" s="54"/>
      <c r="B47" s="55"/>
      <c r="C47" s="147"/>
      <c r="D47" s="147"/>
      <c r="E47" s="147"/>
      <c r="F47" s="147"/>
      <c r="G47" s="147"/>
      <c r="H47" s="56"/>
      <c r="I47" s="57"/>
      <c r="J47" s="126"/>
      <c r="K47" s="58"/>
    </row>
    <row r="48" spans="1:13" s="132" customFormat="1" ht="19.5" thickBot="1" x14ac:dyDescent="0.3">
      <c r="A48" s="142" t="s">
        <v>109</v>
      </c>
      <c r="B48" s="142"/>
      <c r="C48" s="142"/>
      <c r="D48" s="142"/>
      <c r="E48" s="142"/>
      <c r="F48" s="142"/>
      <c r="G48" s="142"/>
      <c r="H48" s="142"/>
      <c r="I48" s="142"/>
      <c r="J48" s="143">
        <f>+M48</f>
        <v>23083790</v>
      </c>
      <c r="K48" s="143"/>
      <c r="M48" s="133">
        <f>SUM(M12:M47)</f>
        <v>23083790</v>
      </c>
    </row>
  </sheetData>
  <mergeCells count="58">
    <mergeCell ref="C37:G37"/>
    <mergeCell ref="C38:G38"/>
    <mergeCell ref="C39:G39"/>
    <mergeCell ref="C32:G32"/>
    <mergeCell ref="C33:G33"/>
    <mergeCell ref="C34:G34"/>
    <mergeCell ref="C35:G35"/>
    <mergeCell ref="C36:G36"/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C44:G44"/>
    <mergeCell ref="A10:A11"/>
    <mergeCell ref="B10:B11"/>
    <mergeCell ref="C10:G11"/>
    <mergeCell ref="H10:H11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K10:K11"/>
    <mergeCell ref="C12:G12"/>
    <mergeCell ref="C41:G41"/>
    <mergeCell ref="C42:G42"/>
    <mergeCell ref="C43:G43"/>
    <mergeCell ref="I10:I11"/>
    <mergeCell ref="J10:J11"/>
    <mergeCell ref="C24:G24"/>
    <mergeCell ref="C25:G25"/>
    <mergeCell ref="C26:G26"/>
    <mergeCell ref="C27:G27"/>
    <mergeCell ref="C28:G28"/>
    <mergeCell ref="C29:G29"/>
    <mergeCell ref="C40:G40"/>
    <mergeCell ref="C30:G30"/>
    <mergeCell ref="C31:G31"/>
    <mergeCell ref="A48:I48"/>
    <mergeCell ref="J48:K48"/>
    <mergeCell ref="C45:G45"/>
    <mergeCell ref="C46:G46"/>
    <mergeCell ref="C47:G47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2"/>
  <sheetViews>
    <sheetView tabSelected="1" topLeftCell="A22" workbookViewId="0">
      <selection activeCell="A41" sqref="A41:Q42"/>
    </sheetView>
  </sheetViews>
  <sheetFormatPr baseColWidth="10" defaultRowHeight="15" x14ac:dyDescent="0.25"/>
  <cols>
    <col min="1" max="5" width="4.42578125" customWidth="1"/>
    <col min="6" max="6" width="7.85546875" customWidth="1"/>
    <col min="7" max="14" width="4.42578125" customWidth="1"/>
    <col min="15" max="16" width="14.85546875" customWidth="1"/>
    <col min="17" max="17" width="14.7109375" customWidth="1"/>
  </cols>
  <sheetData>
    <row r="1" spans="1:17" ht="15.75" thickBot="1" x14ac:dyDescent="0.3">
      <c r="A1" s="176" t="s">
        <v>5</v>
      </c>
      <c r="B1" s="176"/>
      <c r="C1" s="176"/>
      <c r="D1" s="177">
        <v>2022</v>
      </c>
      <c r="E1" s="177"/>
      <c r="F1" s="59"/>
      <c r="G1" s="59"/>
      <c r="H1" s="60"/>
      <c r="I1" s="60"/>
      <c r="J1" s="60"/>
      <c r="K1" s="60"/>
      <c r="L1" s="60"/>
      <c r="M1" s="60"/>
      <c r="N1" s="60"/>
      <c r="O1" s="61"/>
      <c r="P1" s="178" t="s">
        <v>72</v>
      </c>
      <c r="Q1" s="178"/>
    </row>
    <row r="2" spans="1:17" ht="15.75" thickBot="1" x14ac:dyDescent="0.3">
      <c r="A2" s="62"/>
      <c r="B2" s="63"/>
      <c r="C2" s="63"/>
      <c r="D2" s="63"/>
      <c r="E2" s="63"/>
      <c r="F2" s="63"/>
      <c r="G2" s="64"/>
      <c r="H2" s="65"/>
      <c r="I2" s="65"/>
      <c r="J2" s="65"/>
      <c r="K2" s="65"/>
      <c r="L2" s="65"/>
      <c r="M2" s="65"/>
      <c r="N2" s="65"/>
      <c r="O2" s="63"/>
      <c r="P2" s="178"/>
      <c r="Q2" s="178"/>
    </row>
    <row r="3" spans="1:17" ht="15.75" thickBot="1" x14ac:dyDescent="0.3">
      <c r="A3" s="62"/>
      <c r="B3" s="63"/>
      <c r="C3" s="63"/>
      <c r="D3" s="63"/>
      <c r="E3" s="63"/>
      <c r="F3" s="63"/>
      <c r="G3" s="64"/>
      <c r="H3" s="63"/>
      <c r="I3" s="63"/>
      <c r="J3" s="63"/>
      <c r="K3" s="63"/>
      <c r="L3" s="63"/>
      <c r="M3" s="63"/>
      <c r="N3" s="63"/>
      <c r="O3" s="63"/>
      <c r="P3" s="63"/>
      <c r="Q3" s="66"/>
    </row>
    <row r="4" spans="1:17" ht="15.75" thickBot="1" x14ac:dyDescent="0.3">
      <c r="A4" s="179" t="s">
        <v>73</v>
      </c>
      <c r="B4" s="179"/>
      <c r="C4" s="179"/>
      <c r="D4" s="179"/>
      <c r="E4" s="179"/>
      <c r="F4" s="179"/>
      <c r="G4" s="180" t="str">
        <f>NP!D3</f>
        <v>040 - MINISTERIO DE SALUD</v>
      </c>
      <c r="H4" s="180"/>
      <c r="I4" s="180"/>
      <c r="J4" s="180"/>
      <c r="K4" s="180"/>
      <c r="L4" s="180"/>
      <c r="M4" s="180"/>
      <c r="N4" s="180"/>
      <c r="O4" s="180"/>
      <c r="P4" s="180"/>
      <c r="Q4" s="180"/>
    </row>
    <row r="5" spans="1:17" ht="15.75" thickBot="1" x14ac:dyDescent="0.3">
      <c r="A5" s="181" t="s">
        <v>60</v>
      </c>
      <c r="B5" s="181"/>
      <c r="C5" s="181"/>
      <c r="D5" s="181"/>
      <c r="E5" s="181"/>
      <c r="F5" s="181"/>
      <c r="G5" s="180" t="str">
        <f>NP!D4</f>
        <v>011 - DIRECCION PROVINCIAL DE ADMINISTRACION - MINISTERIO DE SALUD</v>
      </c>
      <c r="H5" s="180"/>
      <c r="I5" s="180"/>
      <c r="J5" s="180"/>
      <c r="K5" s="180"/>
      <c r="L5" s="180"/>
      <c r="M5" s="180"/>
      <c r="N5" s="180"/>
      <c r="O5" s="180"/>
      <c r="P5" s="180"/>
      <c r="Q5" s="180"/>
    </row>
    <row r="6" spans="1:17" ht="15.75" thickBot="1" x14ac:dyDescent="0.3">
      <c r="A6" s="181" t="s">
        <v>61</v>
      </c>
      <c r="B6" s="181"/>
      <c r="C6" s="181"/>
      <c r="D6" s="181"/>
      <c r="E6" s="181"/>
      <c r="F6" s="181"/>
      <c r="G6" s="180" t="str">
        <f>NP!D5</f>
        <v>DIRECCION PROVINCIAL DE FARMACIA E INSUMOS</v>
      </c>
      <c r="H6" s="180"/>
      <c r="I6" s="180"/>
      <c r="J6" s="180"/>
      <c r="K6" s="180"/>
      <c r="L6" s="180"/>
      <c r="M6" s="180"/>
      <c r="N6" s="180"/>
      <c r="O6" s="180"/>
      <c r="P6" s="180"/>
      <c r="Q6" s="180"/>
    </row>
    <row r="7" spans="1:17" ht="15.75" thickBot="1" x14ac:dyDescent="0.3">
      <c r="A7" s="181" t="s">
        <v>62</v>
      </c>
      <c r="B7" s="181"/>
      <c r="C7" s="181"/>
      <c r="D7" s="181"/>
      <c r="E7" s="181"/>
      <c r="F7" s="181"/>
      <c r="G7" s="180" t="str">
        <f>NP!D6</f>
        <v>DIRECCION PROVINCIAL DE FARMACIA E INSUMOS</v>
      </c>
      <c r="H7" s="180"/>
      <c r="I7" s="180"/>
      <c r="J7" s="180"/>
      <c r="K7" s="180"/>
      <c r="L7" s="180"/>
      <c r="M7" s="180"/>
      <c r="N7" s="180"/>
      <c r="O7" s="180"/>
      <c r="P7" s="180"/>
      <c r="Q7" s="180"/>
    </row>
    <row r="8" spans="1:17" ht="15.75" thickBot="1" x14ac:dyDescent="0.3">
      <c r="A8" s="182" t="s">
        <v>74</v>
      </c>
      <c r="B8" s="182"/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</row>
    <row r="9" spans="1:17" ht="20.25" customHeight="1" x14ac:dyDescent="0.25">
      <c r="A9" s="175" t="s">
        <v>75</v>
      </c>
      <c r="B9" s="175"/>
      <c r="C9" s="175"/>
      <c r="D9" s="175"/>
      <c r="E9" s="175"/>
      <c r="F9" s="175"/>
      <c r="G9" s="175"/>
      <c r="H9" s="175"/>
      <c r="I9" s="175"/>
      <c r="J9" s="175"/>
      <c r="K9" s="175"/>
      <c r="L9" s="175"/>
      <c r="M9" s="175"/>
      <c r="N9" s="175"/>
      <c r="O9" s="175"/>
      <c r="P9" s="175"/>
      <c r="Q9" s="175"/>
    </row>
    <row r="10" spans="1:17" ht="69" customHeight="1" x14ac:dyDescent="0.25">
      <c r="A10" s="168" t="s">
        <v>110</v>
      </c>
      <c r="B10" s="168"/>
      <c r="C10" s="168"/>
      <c r="D10" s="168"/>
      <c r="E10" s="168"/>
      <c r="F10" s="168"/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68"/>
    </row>
    <row r="11" spans="1:17" ht="15.75" thickBot="1" x14ac:dyDescent="0.3">
      <c r="A11" s="67"/>
      <c r="B11" s="68"/>
      <c r="C11" s="68"/>
      <c r="D11" s="68"/>
      <c r="E11" s="68"/>
      <c r="F11" s="68"/>
      <c r="G11" s="69"/>
      <c r="H11" s="68"/>
      <c r="I11" s="68"/>
      <c r="J11" s="68"/>
      <c r="K11" s="68"/>
      <c r="L11" s="68"/>
      <c r="M11" s="68"/>
      <c r="N11" s="68"/>
      <c r="O11" s="68"/>
      <c r="P11" s="68"/>
      <c r="Q11" s="70"/>
    </row>
    <row r="12" spans="1:17" ht="15.75" thickBot="1" x14ac:dyDescent="0.3">
      <c r="A12" s="169" t="s">
        <v>76</v>
      </c>
      <c r="B12" s="169"/>
      <c r="C12" s="169"/>
      <c r="D12" s="169"/>
      <c r="E12" s="169"/>
      <c r="F12" s="169"/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</row>
    <row r="13" spans="1:17" ht="15.75" thickBot="1" x14ac:dyDescent="0.3">
      <c r="A13" s="170" t="s">
        <v>77</v>
      </c>
      <c r="B13" s="170"/>
      <c r="C13" s="170"/>
      <c r="D13" s="170"/>
      <c r="E13" s="170"/>
      <c r="F13" s="170"/>
      <c r="G13" s="170"/>
      <c r="H13" s="170"/>
      <c r="I13" s="170"/>
      <c r="J13" s="170"/>
      <c r="K13" s="170"/>
      <c r="L13" s="170"/>
      <c r="M13" s="170"/>
      <c r="N13" s="170"/>
      <c r="O13" s="171" t="s">
        <v>78</v>
      </c>
      <c r="P13" s="171"/>
      <c r="Q13" s="172" t="s">
        <v>79</v>
      </c>
    </row>
    <row r="14" spans="1:17" ht="15.75" thickBot="1" x14ac:dyDescent="0.3">
      <c r="A14" s="71" t="s">
        <v>80</v>
      </c>
      <c r="B14" s="72" t="s">
        <v>81</v>
      </c>
      <c r="C14" s="72" t="s">
        <v>82</v>
      </c>
      <c r="D14" s="72" t="s">
        <v>83</v>
      </c>
      <c r="E14" s="72" t="s">
        <v>84</v>
      </c>
      <c r="F14" s="72" t="s">
        <v>85</v>
      </c>
      <c r="G14" s="73" t="s">
        <v>86</v>
      </c>
      <c r="H14" s="72" t="s">
        <v>87</v>
      </c>
      <c r="I14" s="72" t="s">
        <v>88</v>
      </c>
      <c r="J14" s="72" t="s">
        <v>89</v>
      </c>
      <c r="K14" s="72" t="s">
        <v>89</v>
      </c>
      <c r="L14" s="72" t="s">
        <v>90</v>
      </c>
      <c r="M14" s="74" t="s">
        <v>91</v>
      </c>
      <c r="N14" s="75" t="s">
        <v>92</v>
      </c>
      <c r="O14" s="171"/>
      <c r="P14" s="171"/>
      <c r="Q14" s="172"/>
    </row>
    <row r="15" spans="1:17" ht="33.75" customHeight="1" x14ac:dyDescent="0.25">
      <c r="A15" s="76">
        <v>30</v>
      </c>
      <c r="B15" s="77"/>
      <c r="C15" s="77"/>
      <c r="D15" s="77">
        <v>1</v>
      </c>
      <c r="E15" s="77"/>
      <c r="F15" s="77">
        <v>4901</v>
      </c>
      <c r="G15" s="77">
        <v>3</v>
      </c>
      <c r="H15" s="77">
        <v>1</v>
      </c>
      <c r="I15" s="77">
        <v>2</v>
      </c>
      <c r="J15" s="77">
        <v>5</v>
      </c>
      <c r="K15" s="77">
        <v>2</v>
      </c>
      <c r="L15" s="77"/>
      <c r="M15" s="78">
        <v>1</v>
      </c>
      <c r="N15" s="77" t="s">
        <v>104</v>
      </c>
      <c r="O15" s="173" t="s">
        <v>105</v>
      </c>
      <c r="P15" s="173"/>
      <c r="Q15" s="79">
        <f>NP!M48</f>
        <v>23083790</v>
      </c>
    </row>
    <row r="16" spans="1:17" x14ac:dyDescent="0.25">
      <c r="A16" s="80"/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2"/>
      <c r="N16" s="83"/>
      <c r="O16" s="162"/>
      <c r="P16" s="162"/>
      <c r="Q16" s="84"/>
    </row>
    <row r="17" spans="1:17" x14ac:dyDescent="0.25">
      <c r="A17" s="80"/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2"/>
      <c r="N17" s="83"/>
      <c r="O17" s="174"/>
      <c r="P17" s="174"/>
      <c r="Q17" s="84"/>
    </row>
    <row r="18" spans="1:17" x14ac:dyDescent="0.25">
      <c r="A18" s="80"/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2"/>
      <c r="N18" s="83"/>
      <c r="O18" s="167"/>
      <c r="P18" s="167"/>
      <c r="Q18" s="84"/>
    </row>
    <row r="19" spans="1:17" x14ac:dyDescent="0.25">
      <c r="A19" s="80"/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2"/>
      <c r="N19" s="83"/>
      <c r="O19" s="167"/>
      <c r="P19" s="167"/>
      <c r="Q19" s="84"/>
    </row>
    <row r="20" spans="1:17" x14ac:dyDescent="0.25">
      <c r="A20" s="80"/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2"/>
      <c r="N20" s="83"/>
      <c r="O20" s="167"/>
      <c r="P20" s="167"/>
      <c r="Q20" s="84"/>
    </row>
    <row r="21" spans="1:17" x14ac:dyDescent="0.25">
      <c r="A21" s="80"/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2"/>
      <c r="N21" s="83"/>
      <c r="O21" s="167"/>
      <c r="P21" s="167"/>
      <c r="Q21" s="84"/>
    </row>
    <row r="22" spans="1:17" x14ac:dyDescent="0.25">
      <c r="A22" s="80"/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2"/>
      <c r="N22" s="83"/>
      <c r="O22" s="167"/>
      <c r="P22" s="167"/>
      <c r="Q22" s="84"/>
    </row>
    <row r="23" spans="1:17" x14ac:dyDescent="0.25">
      <c r="A23" s="80"/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2"/>
      <c r="N23" s="83"/>
      <c r="O23" s="167"/>
      <c r="P23" s="167"/>
      <c r="Q23" s="84"/>
    </row>
    <row r="24" spans="1:17" x14ac:dyDescent="0.25">
      <c r="A24" s="80"/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2"/>
      <c r="N24" s="83"/>
      <c r="O24" s="167"/>
      <c r="P24" s="167"/>
      <c r="Q24" s="84"/>
    </row>
    <row r="25" spans="1:17" x14ac:dyDescent="0.25">
      <c r="A25" s="80"/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2"/>
      <c r="N25" s="83"/>
      <c r="O25" s="167"/>
      <c r="P25" s="167"/>
      <c r="Q25" s="84"/>
    </row>
    <row r="26" spans="1:17" x14ac:dyDescent="0.25">
      <c r="A26" s="80"/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2"/>
      <c r="N26" s="83"/>
      <c r="O26" s="167"/>
      <c r="P26" s="167"/>
      <c r="Q26" s="84"/>
    </row>
    <row r="27" spans="1:17" x14ac:dyDescent="0.25">
      <c r="A27" s="80"/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2"/>
      <c r="N27" s="83"/>
      <c r="O27" s="167"/>
      <c r="P27" s="167"/>
      <c r="Q27" s="84"/>
    </row>
    <row r="28" spans="1:17" x14ac:dyDescent="0.25">
      <c r="A28" s="80"/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2"/>
      <c r="N28" s="83"/>
      <c r="O28" s="167"/>
      <c r="P28" s="167"/>
      <c r="Q28" s="84"/>
    </row>
    <row r="29" spans="1:17" x14ac:dyDescent="0.25">
      <c r="A29" s="80"/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2"/>
      <c r="N29" s="83"/>
      <c r="O29" s="167"/>
      <c r="P29" s="167"/>
      <c r="Q29" s="84"/>
    </row>
    <row r="30" spans="1:17" x14ac:dyDescent="0.25">
      <c r="A30" s="80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2"/>
      <c r="N30" s="83"/>
      <c r="O30" s="167"/>
      <c r="P30" s="167"/>
      <c r="Q30" s="84"/>
    </row>
    <row r="31" spans="1:17" x14ac:dyDescent="0.25">
      <c r="A31" s="80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2"/>
      <c r="N31" s="83"/>
      <c r="O31" s="167"/>
      <c r="P31" s="167"/>
      <c r="Q31" s="84"/>
    </row>
    <row r="32" spans="1:17" x14ac:dyDescent="0.25">
      <c r="A32" s="80"/>
      <c r="B32" s="81"/>
      <c r="C32" s="81"/>
      <c r="D32" s="81"/>
      <c r="E32" s="81"/>
      <c r="F32" s="83"/>
      <c r="G32" s="81"/>
      <c r="H32" s="81"/>
      <c r="I32" s="81"/>
      <c r="J32" s="81"/>
      <c r="K32" s="81"/>
      <c r="L32" s="81"/>
      <c r="M32" s="82"/>
      <c r="N32" s="83"/>
      <c r="O32" s="162"/>
      <c r="P32" s="162"/>
      <c r="Q32" s="84"/>
    </row>
    <row r="33" spans="1:17" x14ac:dyDescent="0.25">
      <c r="A33" s="80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2"/>
      <c r="N33" s="83"/>
      <c r="O33" s="162"/>
      <c r="P33" s="162"/>
      <c r="Q33" s="84"/>
    </row>
    <row r="34" spans="1:17" x14ac:dyDescent="0.25">
      <c r="A34" s="80"/>
      <c r="B34" s="81"/>
      <c r="C34" s="81"/>
      <c r="D34" s="81"/>
      <c r="E34" s="81"/>
      <c r="F34" s="83"/>
      <c r="G34" s="81"/>
      <c r="H34" s="81"/>
      <c r="I34" s="81"/>
      <c r="J34" s="81"/>
      <c r="K34" s="81"/>
      <c r="L34" s="81"/>
      <c r="M34" s="82"/>
      <c r="N34" s="83"/>
      <c r="O34" s="162"/>
      <c r="P34" s="162"/>
      <c r="Q34" s="84"/>
    </row>
    <row r="35" spans="1:17" x14ac:dyDescent="0.25">
      <c r="A35" s="80"/>
      <c r="B35" s="81"/>
      <c r="C35" s="81"/>
      <c r="D35" s="81"/>
      <c r="E35" s="81"/>
      <c r="F35" s="83"/>
      <c r="G35" s="81"/>
      <c r="H35" s="81"/>
      <c r="I35" s="81"/>
      <c r="J35" s="81"/>
      <c r="K35" s="81"/>
      <c r="L35" s="81"/>
      <c r="M35" s="82"/>
      <c r="N35" s="83"/>
      <c r="O35" s="162"/>
      <c r="P35" s="162"/>
      <c r="Q35" s="84"/>
    </row>
    <row r="36" spans="1:17" x14ac:dyDescent="0.25">
      <c r="A36" s="85"/>
      <c r="B36" s="86"/>
      <c r="C36" s="86"/>
      <c r="D36" s="86"/>
      <c r="E36" s="86"/>
      <c r="F36" s="87"/>
      <c r="G36" s="86"/>
      <c r="H36" s="86"/>
      <c r="I36" s="86"/>
      <c r="J36" s="86"/>
      <c r="K36" s="86"/>
      <c r="L36" s="86"/>
      <c r="M36" s="88"/>
      <c r="N36" s="89"/>
      <c r="O36" s="163"/>
      <c r="P36" s="163"/>
      <c r="Q36" s="84"/>
    </row>
    <row r="37" spans="1:17" ht="15.75" thickBot="1" x14ac:dyDescent="0.3">
      <c r="A37" s="90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2"/>
      <c r="N37" s="91"/>
      <c r="O37" s="164"/>
      <c r="P37" s="164"/>
      <c r="Q37" s="93"/>
    </row>
    <row r="38" spans="1:17" ht="37.5" customHeight="1" thickBot="1" x14ac:dyDescent="0.3">
      <c r="A38" s="165" t="s">
        <v>111</v>
      </c>
      <c r="B38" s="165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5"/>
      <c r="N38" s="165"/>
      <c r="O38" s="165"/>
      <c r="P38" s="165"/>
      <c r="Q38" s="94">
        <f>SUM(Q15:Q37)</f>
        <v>23083790</v>
      </c>
    </row>
    <row r="39" spans="1:17" ht="15.75" thickBot="1" x14ac:dyDescent="0.3">
      <c r="A39" s="166"/>
      <c r="B39" s="166"/>
      <c r="C39" s="166"/>
      <c r="D39" s="166"/>
      <c r="E39" s="166"/>
      <c r="F39" s="166"/>
      <c r="G39" s="166"/>
      <c r="H39" s="166"/>
      <c r="I39" s="166"/>
      <c r="J39" s="166"/>
      <c r="K39" s="166"/>
      <c r="L39" s="166"/>
      <c r="M39" s="166"/>
      <c r="N39" s="166"/>
      <c r="O39" s="166"/>
      <c r="P39" s="166"/>
      <c r="Q39" s="166"/>
    </row>
    <row r="40" spans="1:17" ht="15.75" thickBot="1" x14ac:dyDescent="0.3">
      <c r="A40" s="159" t="s">
        <v>93</v>
      </c>
      <c r="B40" s="159"/>
      <c r="C40" s="159"/>
      <c r="D40" s="159"/>
      <c r="E40" s="159"/>
      <c r="F40" s="159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</row>
    <row r="41" spans="1:17" ht="15.75" thickBot="1" x14ac:dyDescent="0.3">
      <c r="A41" s="161" t="str">
        <f>NP!D8</f>
        <v>ADQUISICION DEL RUBRO TERAPIA ANTIINFECCIOSA SISTEMICA/SUEROS INMUNES E INMUNOGLOBULINAS  Y MEDIOS DE CONTRASTES /ANALGESICOS ANTINFLAMATORIOS /MIORRELAJANTES/ANESTESICOS/ANALGESICOS OPIACIOS</v>
      </c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</row>
    <row r="42" spans="1:17" ht="36" customHeight="1" thickBot="1" x14ac:dyDescent="0.3">
      <c r="A42" s="161"/>
      <c r="B42" s="161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COMPRAR</cp:lastModifiedBy>
  <dcterms:created xsi:type="dcterms:W3CDTF">2021-12-21T17:55:07Z</dcterms:created>
  <dcterms:modified xsi:type="dcterms:W3CDTF">2022-02-08T13:27:31Z</dcterms:modified>
</cp:coreProperties>
</file>