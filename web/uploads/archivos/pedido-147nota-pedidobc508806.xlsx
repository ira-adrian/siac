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ELIAS QUINTAR\Downloads\"/>
    </mc:Choice>
  </mc:AlternateContent>
  <xr:revisionPtr revIDLastSave="0" documentId="8_{0EBF909C-34B1-4C1D-819A-07509F4BD756}" xr6:coauthVersionLast="47" xr6:coauthVersionMax="47" xr10:uidLastSave="{00000000-0000-0000-0000-000000000000}"/>
  <bookViews>
    <workbookView xWindow="-120" yWindow="-120" windowWidth="29040" windowHeight="15840" tabRatio="599" xr2:uid="{00000000-000D-0000-FFFF-FFFF00000000}"/>
  </bookViews>
  <sheets>
    <sheet name="Necesidades Trimestrales " sheetId="3" r:id="rId1"/>
    <sheet name=" NotaPedido FARMACIA" sheetId="4" r:id="rId2"/>
    <sheet name="APG FARMACIA " sheetId="5" r:id="rId3"/>
  </sheets>
  <definedNames>
    <definedName name="_xlnm._FilterDatabase" localSheetId="0" hidden="1">'Necesidades Trimestrales '!$A$9:$I$9</definedName>
    <definedName name="_xlnm.Print_Area" localSheetId="1">' NotaPedido FARMACIA'!$A$1:$K$43</definedName>
    <definedName name="_xlnm.Print_Area" localSheetId="2">'APG FARMACIA '!$A$1:$Q$25</definedName>
  </definedNames>
  <calcPr calcId="181029"/>
</workbook>
</file>

<file path=xl/calcChain.xml><?xml version="1.0" encoding="utf-8"?>
<calcChain xmlns="http://schemas.openxmlformats.org/spreadsheetml/2006/main">
  <c r="M13" i="4" l="1"/>
  <c r="M14" i="4"/>
  <c r="M15" i="4"/>
  <c r="M16" i="4"/>
  <c r="M17" i="4"/>
  <c r="M18" i="4"/>
  <c r="M19" i="4"/>
  <c r="M20" i="4"/>
  <c r="M21" i="4"/>
  <c r="M22" i="4"/>
  <c r="M23" i="4"/>
  <c r="M24" i="4"/>
  <c r="M25" i="4"/>
  <c r="M26" i="4"/>
  <c r="M27" i="4"/>
  <c r="M28" i="4"/>
  <c r="M29" i="4"/>
  <c r="M30" i="4"/>
  <c r="M31" i="4"/>
  <c r="M32" i="4"/>
  <c r="M33" i="4"/>
  <c r="M34" i="4"/>
  <c r="M35" i="4"/>
  <c r="M36" i="4"/>
  <c r="M37" i="4"/>
  <c r="M38" i="4"/>
  <c r="M12" i="4"/>
  <c r="J42" i="4" l="1"/>
  <c r="M39" i="4"/>
  <c r="M40" i="4"/>
  <c r="M41" i="4"/>
  <c r="I11" i="3"/>
  <c r="I12" i="3"/>
  <c r="I13" i="3"/>
  <c r="I14" i="3"/>
  <c r="I15" i="3"/>
  <c r="I16" i="3"/>
  <c r="I17" i="3"/>
  <c r="I18" i="3"/>
  <c r="I19" i="3"/>
  <c r="I20" i="3"/>
  <c r="I21" i="3"/>
  <c r="I22" i="3"/>
  <c r="I23" i="3"/>
  <c r="I24" i="3"/>
  <c r="I25" i="3"/>
  <c r="I26" i="3"/>
  <c r="I27" i="3"/>
  <c r="I28" i="3"/>
  <c r="I29" i="3"/>
  <c r="I30" i="3"/>
  <c r="I31" i="3"/>
  <c r="I32" i="3"/>
  <c r="I33" i="3"/>
  <c r="I34" i="3"/>
  <c r="I35" i="3"/>
  <c r="I36" i="3"/>
  <c r="I10" i="3" l="1"/>
  <c r="I37" i="3" s="1"/>
  <c r="Q15" i="5" l="1"/>
  <c r="Q21" i="5" s="1"/>
</calcChain>
</file>

<file path=xl/sharedStrings.xml><?xml version="1.0" encoding="utf-8"?>
<sst xmlns="http://schemas.openxmlformats.org/spreadsheetml/2006/main" count="356" uniqueCount="107">
  <si>
    <t>UNIDAD DE MEDIDA</t>
  </si>
  <si>
    <t>Pedido de Necesidades Trimestrales</t>
  </si>
  <si>
    <t>JURISDICCION:</t>
  </si>
  <si>
    <t>40 - MINISTERIO DE SALUD</t>
  </si>
  <si>
    <t xml:space="preserve">SAF N°: </t>
  </si>
  <si>
    <t>11 - DIRE PROV DE ADMINISTRACION - MINISTERIO DE SALUD</t>
  </si>
  <si>
    <t>EJERCICIO:</t>
  </si>
  <si>
    <t>TRIMESTRE:</t>
  </si>
  <si>
    <t>SEGUNDO TRIMESTRE</t>
  </si>
  <si>
    <t>ID</t>
  </si>
  <si>
    <t>CODIGO ITEM</t>
  </si>
  <si>
    <t>RUBRO DE COMPRA</t>
  </si>
  <si>
    <t xml:space="preserve">I.P.P. </t>
  </si>
  <si>
    <t>DESCRIPCION</t>
  </si>
  <si>
    <t>CANTIDAD TOTAL</t>
  </si>
  <si>
    <t>PRECIO UNITARIO ESTIMADO</t>
  </si>
  <si>
    <t xml:space="preserve">IMPORTE TOTAL ESTIMADO </t>
  </si>
  <si>
    <t>PROD. MEDICO/FARMACEUTICOS/LAB</t>
  </si>
  <si>
    <t>UNIDAD</t>
  </si>
  <si>
    <t>Plazos de entrega</t>
  </si>
  <si>
    <t>Lugar de Entrega:</t>
  </si>
  <si>
    <t>DIR. PROV. DE FARMACIA E INSUMOS - CHACABUCO N° 169 - en el horario de 8:00hs a 12:00hs de lunes a viernes</t>
  </si>
  <si>
    <t>Calidad Minima esperada</t>
  </si>
  <si>
    <t>Mantenimiento</t>
  </si>
  <si>
    <t>cuarenta y cinco (45) días</t>
  </si>
  <si>
    <t>NOTA DE PEDIDO</t>
  </si>
  <si>
    <t>N°</t>
  </si>
  <si>
    <t xml:space="preserve">JURISDICCIÓN: </t>
  </si>
  <si>
    <t>040 - Ministerio de Salud</t>
  </si>
  <si>
    <t>SAF:</t>
  </si>
  <si>
    <t>011 - Direccion Provincial de Administración - Ministerio de Salud</t>
  </si>
  <si>
    <t>UNIDAD EJECUTORA:</t>
  </si>
  <si>
    <t>469 - DIRECCION PROVINCIAL DE FARMACIA E INSUMOS</t>
  </si>
  <si>
    <t xml:space="preserve">DEPENDENCIA SOLICITANTE: </t>
  </si>
  <si>
    <t>PERIODO UTILIZACIÓN:</t>
  </si>
  <si>
    <t>2° TRIMESTRE</t>
  </si>
  <si>
    <t>OBJETO:</t>
  </si>
  <si>
    <t>Ítem</t>
  </si>
  <si>
    <t>Codigo Item</t>
  </si>
  <si>
    <t>DESCRIPCIÓN</t>
  </si>
  <si>
    <t>Adjunta Detalle Técnico</t>
  </si>
  <si>
    <t>Unidad Medida</t>
  </si>
  <si>
    <t>Precio Unitario Estimado</t>
  </si>
  <si>
    <t>Cantidad Solicitada</t>
  </si>
  <si>
    <t>SI</t>
  </si>
  <si>
    <t>AUTORIZACION PARA GASTAR</t>
  </si>
  <si>
    <t>JURISDICCIÓN:</t>
  </si>
  <si>
    <t>011- Dirección Provincial de Administración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</si>
  <si>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</si>
  <si>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</si>
  <si>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</si>
  <si>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</si>
  <si>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</si>
  <si>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</si>
  <si>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</si>
  <si>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</si>
  <si>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</si>
  <si>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</si>
  <si>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</si>
  <si>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</si>
  <si>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</si>
  <si>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</si>
  <si>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</si>
  <si>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</si>
  <si>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</si>
  <si>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</si>
  <si>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</si>
  <si>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</si>
  <si>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Productos Farmacéuticos y Medicinales</t>
  </si>
  <si>
    <t>JUSTIFICACIÓN:</t>
  </si>
  <si>
    <t>TOTAL</t>
  </si>
  <si>
    <t>DETALLE TECNICO Y ESPECIFICACIONES</t>
  </si>
  <si>
    <t>veinte (20) dias corridos</t>
  </si>
  <si>
    <t xml:space="preserve">FENOBARBITAL 15 MG COMPRIMIDO </t>
  </si>
  <si>
    <t>FENOBARBITAL 100MG COMPRIMIDO</t>
  </si>
  <si>
    <t>CLONAZEPAM 0,5 MG COMPRIMIDOS</t>
  </si>
  <si>
    <t>LORAZEPAM 2MG COMPRIMIDO</t>
  </si>
  <si>
    <t>LAMOTRIGINA 50 MG COMPRIMIDOS</t>
  </si>
  <si>
    <t>ARIPIPRAZOL 10 MG COMPRIMIDO</t>
  </si>
  <si>
    <t>TOPIRAMATO 100MG COMPRIMDO</t>
  </si>
  <si>
    <t>BIPIRIDENO 2 MG COMPRIMIDO</t>
  </si>
  <si>
    <t>LEVOMEPROMAZINA 25 MG COMPRIMIDO</t>
  </si>
  <si>
    <t>HALOPERIDOL 10 MG COMPRINIDO</t>
  </si>
  <si>
    <t>HALOPERIDOL DECANOATO 150MG AMPOLLA</t>
  </si>
  <si>
    <t>PAROXETINA 20MG COMPRIMIDO</t>
  </si>
  <si>
    <t>BUDESONIDE SOLUCION 0,1%</t>
  </si>
  <si>
    <t>MIDAZOLAM 15MG COMPRIMIDO</t>
  </si>
  <si>
    <t>DIFENHIDRAMINA 50MG COMPRIMIDO</t>
  </si>
  <si>
    <t>LEVONORGESTREL 0,75 MG</t>
  </si>
  <si>
    <t>VALERATO DE  ESTRADIOL 2MG COMPRIMIDO</t>
  </si>
  <si>
    <t>ACETATO DE CIPROSTERONA 50 MG COMPRIMIDO</t>
  </si>
  <si>
    <t>UNDECANOATO DE TESTOSTERONA 100MG/4ML</t>
  </si>
  <si>
    <t>NITROPRUSIATO DE SODIO 50MG  VIAL</t>
  </si>
  <si>
    <t>BUTIL BROMURO DE HIOSCINA 10 MG COMPRIMIDO</t>
  </si>
  <si>
    <t>RANITIDINA 50 MG AMPOLLA</t>
  </si>
  <si>
    <t xml:space="preserve"> DACARBAZINA, FORMA FARMACEUTICA: 1 AMPOLLA, PRESENTACION: 100 mGr</t>
  </si>
  <si>
    <t xml:space="preserve"> FOLINATO DE CALCIO, 50 mGr:   1 FRASCO-AMPOLLA </t>
  </si>
  <si>
    <t>TEMOZOLOMIDA,X 100 mGr  CAPSULA, x 5 u</t>
  </si>
  <si>
    <t>VINBLASTINA, FORMA FARMACEUTICA: 1 AMPOLLA, PRESENTACION: 10 mGr</t>
  </si>
  <si>
    <t xml:space="preserve"> VINORELBINE, FORMA FARMACEUTICA: AMPOLLA, PRESENTACION: 50 mGr</t>
  </si>
  <si>
    <t>CAJA</t>
  </si>
  <si>
    <t>Autorizo la realización de los  trámites correspondientes, a fin de proveer a  este Organismo los bienes que se detallan en Nota de pedido y Entrega N°34/2021,  afectando la erogación resultante a los créditos presupuestarios aprobados a favor de esta Unidad Ejecutora, conforme al siguiente detalle:</t>
  </si>
  <si>
    <t xml:space="preserve"> 34/2021</t>
  </si>
  <si>
    <t>Adquisicion de Medicamentos DESIERTOS Y FRACASADOS en el 2° TRIMESTRE</t>
  </si>
  <si>
    <t>Costo total estimado: CUATRO MILLONES QUINIENTOS SESENTA MIL DOSCIENTOS CINCUENTA CON 00/100</t>
  </si>
  <si>
    <t>TOTAL DE PESOS: CUATRO MILLONES QUINIENTOS SESENTA MIL DOSCIENTOS CINCUENTA CON 00/100</t>
  </si>
  <si>
    <t xml:space="preserve">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                                               5- En el caso de Medicamentos cuya forma farmaceutica Oral sea Comprimidos , y / o capsulas la presentacion del envase primario es decir los blister deberan contener la minima cantidad de comprimidos para poder realizar la administracion a pacientes ambulatorios, de acuerdo al tratamiento prescripto y considerando que se deben administrar blister completos .Podra ser el envase secundario de mayor tamaño sin probl ema, es decir una caja puede tener 100 comprimidos en blister de 10 comprimidos.-Existe la excepcion de algunos medicamentos que solo tienen una presentacion , que por supuesto debe ser esa.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</si>
</sst>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quot;$&quot;\ #,##0.00;&quot;$&quot;\ \-#,##0.00"/>
    <numFmt numFmtId="165" formatCode="_ &quot;$&quot;\ * #,##0.00_ ;_ &quot;$&quot;\ * \-#,##0.00_ ;_ &quot;$&quot;\ * &quot;-&quot;??_ ;_ @_ "/>
    <numFmt numFmtId="166" formatCode="&quot;$&quot;\ #,##0.00"/>
    <numFmt numFmtId="167" formatCode="_-* #,##0.00&quot; €&quot;_-;\-* #,##0.00&quot; €&quot;_-;_-* \-??&quot; €&quot;_-;_-@_-"/>
    <numFmt numFmtId="168" formatCode="_-[$$-2C0A]\ * #,##0.00_-;\-[$$-2C0A]\ * #,##0.00_-;_-[$$-2C0A]\ * &quot;-&quot;??_-;_-@_-"/>
    <numFmt numFmtId="169" formatCode="[$$-2C0A]\ #,##0.00"/>
    <numFmt numFmtId="170" formatCode="[$$-2C0A]#,##0.00"/>
    <numFmt numFmtId="171" formatCode="_(\$* #,##0.00_);_(\$* \(#,##0.00\);_(\$* \-??_);_(@_)"/>
    <numFmt numFmtId="172" formatCode="dd\-mm\-yy;@"/>
    <numFmt numFmtId="173" formatCode="[$$-2C0A]\ #,##0.00;[$$-2C0A]&quot; -&quot;#,##0.00"/>
    <numFmt numFmtId="174" formatCode="_ * #,##0.00_ ;_ * \-#,##0.00_ ;_ * &quot;-&quot;??_ ;_ @_ "/>
  </numFmts>
  <fonts count="32"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0"/>
      <name val="Arial"/>
      <charset val="1"/>
    </font>
    <font>
      <sz val="11"/>
      <name val="Arial"/>
      <family val="2"/>
    </font>
    <font>
      <sz val="11"/>
      <name val="Times New Roman"/>
      <family val="1"/>
    </font>
    <font>
      <sz val="10"/>
      <name val="Times New Roman"/>
      <family val="1"/>
    </font>
    <font>
      <b/>
      <sz val="20"/>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11"/>
      <color rgb="FF000000"/>
      <name val="Arial"/>
      <family val="2"/>
    </font>
    <font>
      <b/>
      <sz val="10"/>
      <name val="Times New Roman"/>
      <family val="1"/>
    </font>
    <font>
      <b/>
      <sz val="15"/>
      <color rgb="FF666699"/>
      <name val="Calibri"/>
      <family val="2"/>
      <charset val="1"/>
    </font>
    <font>
      <sz val="10"/>
      <name val="Arial"/>
      <family val="2"/>
      <charset val="1"/>
    </font>
    <font>
      <sz val="11"/>
      <color rgb="FF993300"/>
      <name val="Calibri"/>
      <family val="2"/>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sz val="10"/>
      <color theme="0"/>
      <name val="Arial"/>
      <family val="2"/>
      <charset val="1"/>
    </font>
    <font>
      <b/>
      <sz val="10"/>
      <name val="Arial"/>
      <family val="2"/>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99"/>
        <bgColor rgb="FFFFFFCC"/>
      </patternFill>
    </fill>
    <fill>
      <patternFill patternType="solid">
        <fgColor theme="0"/>
        <bgColor rgb="FFFFFF00"/>
      </patternFill>
    </fill>
  </fills>
  <borders count="52">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right style="medium">
        <color indexed="64"/>
      </right>
      <top style="thin">
        <color indexed="64"/>
      </top>
      <bottom style="thin">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style="medium">
        <color rgb="FF3D3D3D"/>
      </right>
      <top style="thin">
        <color rgb="FF3D3D3D"/>
      </top>
      <bottom style="thin">
        <color rgb="FF3D3D3D"/>
      </bottom>
      <diagonal/>
    </border>
  </borders>
  <cellStyleXfs count="25">
    <xf numFmtId="0" fontId="0" fillId="0" borderId="0"/>
    <xf numFmtId="0" fontId="2" fillId="0" borderId="0"/>
    <xf numFmtId="43" fontId="1" fillId="0" borderId="0" applyFont="0" applyFill="0" applyBorder="0" applyAlignment="0" applyProtection="0"/>
    <xf numFmtId="0" fontId="2" fillId="0" borderId="0"/>
    <xf numFmtId="0" fontId="2" fillId="0" borderId="0"/>
    <xf numFmtId="0" fontId="4" fillId="0" borderId="0"/>
    <xf numFmtId="167" fontId="2" fillId="0" borderId="0" applyBorder="0" applyProtection="0"/>
    <xf numFmtId="0" fontId="16" fillId="0" borderId="13" applyProtection="0"/>
    <xf numFmtId="0" fontId="16" fillId="0" borderId="13" applyProtection="0"/>
    <xf numFmtId="43" fontId="1" fillId="0" borderId="0" applyFont="0" applyFill="0" applyBorder="0" applyAlignment="0" applyProtection="0"/>
    <xf numFmtId="165" fontId="2" fillId="0" borderId="0" applyBorder="0" applyAlignment="0" applyProtection="0"/>
    <xf numFmtId="167" fontId="2" fillId="0" borderId="0" applyBorder="0" applyProtection="0"/>
    <xf numFmtId="167" fontId="2" fillId="0" borderId="0" applyBorder="0" applyProtection="0"/>
    <xf numFmtId="171" fontId="17" fillId="0" borderId="0" applyBorder="0" applyProtection="0"/>
    <xf numFmtId="0" fontId="18" fillId="3" borderId="0" applyBorder="0" applyProtection="0"/>
    <xf numFmtId="0" fontId="2" fillId="0" borderId="0"/>
    <xf numFmtId="0" fontId="2" fillId="0" borderId="0"/>
    <xf numFmtId="0" fontId="2" fillId="0" borderId="0"/>
    <xf numFmtId="0" fontId="1" fillId="0" borderId="0"/>
    <xf numFmtId="0" fontId="2" fillId="0" borderId="0"/>
    <xf numFmtId="0" fontId="1" fillId="0" borderId="0"/>
    <xf numFmtId="0" fontId="1" fillId="0" borderId="0"/>
    <xf numFmtId="0" fontId="2" fillId="0" borderId="0"/>
    <xf numFmtId="0" fontId="1" fillId="0" borderId="0"/>
    <xf numFmtId="0" fontId="2" fillId="0" borderId="0"/>
  </cellStyleXfs>
  <cellXfs count="188">
    <xf numFmtId="0" fontId="0" fillId="0" borderId="0" xfId="0"/>
    <xf numFmtId="3" fontId="5" fillId="2" borderId="2" xfId="5" applyNumberFormat="1" applyFont="1" applyFill="1" applyBorder="1" applyAlignment="1">
      <alignment horizontal="center" vertical="center" wrapText="1"/>
    </xf>
    <xf numFmtId="0" fontId="6" fillId="0" borderId="0" xfId="5" applyFont="1" applyAlignment="1">
      <alignment horizontal="center" wrapText="1"/>
    </xf>
    <xf numFmtId="0" fontId="7" fillId="0" borderId="0" xfId="5" applyFont="1" applyAlignment="1">
      <alignment horizontal="center" vertical="center"/>
    </xf>
    <xf numFmtId="0" fontId="7" fillId="0" borderId="0" xfId="5" applyFont="1" applyAlignment="1">
      <alignment horizontal="center"/>
    </xf>
    <xf numFmtId="0" fontId="7" fillId="0" borderId="0" xfId="5" applyFont="1" applyAlignment="1">
      <alignment horizontal="center" vertical="center" wrapText="1"/>
    </xf>
    <xf numFmtId="3" fontId="7" fillId="0" borderId="0" xfId="5" applyNumberFormat="1" applyFont="1" applyAlignment="1">
      <alignment horizontal="center" vertical="center"/>
    </xf>
    <xf numFmtId="166" fontId="5" fillId="0" borderId="0" xfId="6" applyNumberFormat="1" applyFont="1" applyAlignment="1">
      <alignment vertical="center"/>
    </xf>
    <xf numFmtId="168" fontId="7" fillId="0" borderId="0" xfId="5" applyNumberFormat="1" applyFont="1" applyAlignment="1">
      <alignment vertical="center"/>
    </xf>
    <xf numFmtId="0" fontId="7" fillId="0" borderId="0" xfId="5" applyFont="1"/>
    <xf numFmtId="0" fontId="11" fillId="0" borderId="0" xfId="5" applyFont="1" applyAlignment="1">
      <alignment horizontal="center" wrapText="1"/>
    </xf>
    <xf numFmtId="3" fontId="11" fillId="0" borderId="0" xfId="5" applyNumberFormat="1" applyFont="1" applyAlignment="1">
      <alignment horizontal="center" vertical="center" wrapText="1"/>
    </xf>
    <xf numFmtId="0" fontId="10" fillId="0" borderId="0" xfId="5" applyFont="1" applyFill="1" applyAlignment="1">
      <alignment horizontal="left" vertical="center" wrapText="1"/>
    </xf>
    <xf numFmtId="0" fontId="12" fillId="0" borderId="0" xfId="5" applyFont="1" applyFill="1" applyAlignment="1">
      <alignment horizontal="left" wrapText="1"/>
    </xf>
    <xf numFmtId="0" fontId="12" fillId="0" borderId="0" xfId="5" applyFont="1" applyFill="1" applyAlignment="1">
      <alignment horizontal="left" vertical="center" wrapText="1"/>
    </xf>
    <xf numFmtId="0" fontId="13" fillId="0" borderId="0" xfId="5" applyFont="1" applyAlignment="1">
      <alignment horizontal="center" wrapText="1"/>
    </xf>
    <xf numFmtId="0" fontId="11" fillId="0" borderId="0" xfId="5" applyFont="1" applyAlignment="1">
      <alignment horizontal="center" vertical="center" wrapText="1"/>
    </xf>
    <xf numFmtId="0" fontId="14" fillId="0" borderId="2" xfId="5" applyFont="1" applyBorder="1" applyAlignment="1">
      <alignment horizontal="center" vertical="center"/>
    </xf>
    <xf numFmtId="0" fontId="14" fillId="0" borderId="2" xfId="5" applyFont="1" applyBorder="1" applyAlignment="1">
      <alignment horizontal="center" vertical="center" wrapText="1"/>
    </xf>
    <xf numFmtId="3" fontId="14" fillId="0" borderId="2" xfId="5" applyNumberFormat="1" applyFont="1" applyBorder="1" applyAlignment="1">
      <alignment horizontal="center" vertical="center" wrapText="1"/>
    </xf>
    <xf numFmtId="166" fontId="5" fillId="0" borderId="2" xfId="6" applyNumberFormat="1" applyFont="1" applyBorder="1" applyAlignment="1">
      <alignment vertical="center" wrapText="1"/>
    </xf>
    <xf numFmtId="168" fontId="14" fillId="0" borderId="2" xfId="5" applyNumberFormat="1" applyFont="1" applyBorder="1" applyAlignment="1">
      <alignment vertical="center" wrapText="1"/>
    </xf>
    <xf numFmtId="0" fontId="15" fillId="0" borderId="0" xfId="5" applyFont="1" applyAlignment="1">
      <alignment wrapText="1"/>
    </xf>
    <xf numFmtId="0" fontId="6" fillId="2" borderId="2" xfId="5" applyFont="1" applyFill="1" applyBorder="1" applyAlignment="1">
      <alignment horizontal="center" wrapText="1"/>
    </xf>
    <xf numFmtId="170" fontId="7" fillId="2" borderId="0" xfId="5" applyNumberFormat="1" applyFont="1" applyFill="1"/>
    <xf numFmtId="0" fontId="7" fillId="2" borderId="0" xfId="5" applyFont="1" applyFill="1"/>
    <xf numFmtId="0" fontId="7" fillId="2" borderId="0" xfId="5" applyFont="1" applyFill="1" applyAlignment="1">
      <alignment horizontal="center" vertical="center"/>
    </xf>
    <xf numFmtId="0" fontId="7" fillId="2" borderId="0" xfId="5" applyFont="1" applyFill="1" applyAlignment="1">
      <alignment horizontal="center"/>
    </xf>
    <xf numFmtId="3" fontId="7" fillId="2" borderId="0" xfId="5" applyNumberFormat="1" applyFont="1" applyFill="1" applyAlignment="1">
      <alignment horizontal="center" vertical="center"/>
    </xf>
    <xf numFmtId="166" fontId="5" fillId="2" borderId="0" xfId="6" applyNumberFormat="1" applyFont="1" applyFill="1" applyAlignment="1">
      <alignment vertical="center"/>
    </xf>
    <xf numFmtId="168" fontId="7" fillId="2" borderId="0" xfId="5" applyNumberFormat="1" applyFont="1" applyFill="1" applyAlignment="1">
      <alignment vertical="center"/>
    </xf>
    <xf numFmtId="0" fontId="6" fillId="2" borderId="0" xfId="5" applyFont="1" applyFill="1" applyAlignment="1">
      <alignment horizontal="center" wrapText="1"/>
    </xf>
    <xf numFmtId="0" fontId="7" fillId="2" borderId="0" xfId="5" applyFont="1" applyFill="1" applyAlignment="1">
      <alignment horizontal="center" vertical="center" wrapText="1"/>
    </xf>
    <xf numFmtId="0" fontId="7" fillId="2" borderId="0" xfId="5" applyFont="1" applyFill="1" applyAlignment="1">
      <alignment horizontal="left" vertical="center"/>
    </xf>
    <xf numFmtId="0" fontId="7" fillId="0" borderId="0" xfId="5" applyFont="1" applyAlignment="1">
      <alignment horizontal="left" vertical="center"/>
    </xf>
    <xf numFmtId="0" fontId="19" fillId="0" borderId="14" xfId="24" applyFont="1" applyBorder="1" applyAlignment="1">
      <alignment horizontal="right" vertical="center"/>
    </xf>
    <xf numFmtId="17" fontId="20" fillId="4" borderId="15" xfId="24" applyNumberFormat="1" applyFont="1" applyFill="1" applyBorder="1" applyAlignment="1">
      <alignment horizontal="center" vertical="center"/>
    </xf>
    <xf numFmtId="0" fontId="17" fillId="0" borderId="0" xfId="24" applyFont="1" applyBorder="1" applyAlignment="1">
      <alignment vertical="center"/>
    </xf>
    <xf numFmtId="0" fontId="19" fillId="0" borderId="16" xfId="24" applyFont="1" applyBorder="1" applyAlignment="1">
      <alignment vertical="center"/>
    </xf>
    <xf numFmtId="0" fontId="19" fillId="0" borderId="0" xfId="24" applyFont="1" applyBorder="1" applyAlignment="1">
      <alignment vertical="center"/>
    </xf>
    <xf numFmtId="0" fontId="21" fillId="0" borderId="0" xfId="24" applyFont="1" applyBorder="1" applyAlignment="1">
      <alignment horizontal="left" vertical="center"/>
    </xf>
    <xf numFmtId="0" fontId="20" fillId="0" borderId="0" xfId="24" applyFont="1" applyBorder="1" applyAlignment="1">
      <alignment horizontal="left" vertical="center" wrapText="1" indent="1"/>
    </xf>
    <xf numFmtId="0" fontId="23" fillId="2" borderId="22" xfId="24" applyFont="1" applyFill="1" applyBorder="1" applyAlignment="1">
      <alignment horizontal="center" vertical="center"/>
    </xf>
    <xf numFmtId="0" fontId="23" fillId="2" borderId="22" xfId="24" applyFont="1" applyFill="1" applyBorder="1" applyAlignment="1">
      <alignment horizontal="left" vertical="center"/>
    </xf>
    <xf numFmtId="0" fontId="23" fillId="4" borderId="22" xfId="24" applyFont="1" applyFill="1" applyBorder="1" applyAlignment="1">
      <alignment horizontal="center" vertical="center"/>
    </xf>
    <xf numFmtId="44" fontId="24" fillId="2" borderId="0" xfId="24" applyNumberFormat="1" applyFont="1" applyFill="1" applyBorder="1" applyAlignment="1">
      <alignment vertical="center"/>
    </xf>
    <xf numFmtId="0" fontId="23" fillId="2" borderId="26" xfId="24" applyFont="1" applyFill="1" applyBorder="1" applyAlignment="1">
      <alignment horizontal="center" vertical="center"/>
    </xf>
    <xf numFmtId="0" fontId="23" fillId="2" borderId="26" xfId="24" applyFont="1" applyFill="1" applyBorder="1" applyAlignment="1">
      <alignment horizontal="left" vertical="center"/>
    </xf>
    <xf numFmtId="44" fontId="17" fillId="0" borderId="0" xfId="24" applyNumberFormat="1" applyFont="1" applyBorder="1" applyAlignment="1">
      <alignment vertical="center"/>
    </xf>
    <xf numFmtId="0" fontId="2" fillId="0" borderId="0" xfId="24"/>
    <xf numFmtId="44" fontId="2" fillId="0" borderId="0" xfId="24" applyNumberFormat="1"/>
    <xf numFmtId="3" fontId="26" fillId="0" borderId="0" xfId="24" applyNumberFormat="1" applyFont="1" applyBorder="1" applyAlignment="1"/>
    <xf numFmtId="172" fontId="2" fillId="0" borderId="0" xfId="24" applyNumberFormat="1" applyAlignment="1">
      <alignment horizontal="left"/>
    </xf>
    <xf numFmtId="0" fontId="2" fillId="0" borderId="0" xfId="24" applyAlignment="1">
      <alignment horizontal="left"/>
    </xf>
    <xf numFmtId="0" fontId="17" fillId="0" borderId="0" xfId="24" applyFont="1"/>
    <xf numFmtId="0" fontId="2" fillId="0" borderId="0" xfId="24" applyBorder="1"/>
    <xf numFmtId="0" fontId="2" fillId="0" borderId="14" xfId="24" applyBorder="1"/>
    <xf numFmtId="0" fontId="2" fillId="0" borderId="32" xfId="24" applyBorder="1"/>
    <xf numFmtId="0" fontId="2" fillId="0" borderId="16" xfId="24" applyBorder="1"/>
    <xf numFmtId="0" fontId="2" fillId="0" borderId="16" xfId="24" applyBorder="1" applyAlignment="1">
      <alignment horizontal="left"/>
    </xf>
    <xf numFmtId="0" fontId="2" fillId="0" borderId="33" xfId="24" applyBorder="1"/>
    <xf numFmtId="0" fontId="30" fillId="0" borderId="36" xfId="24" applyFont="1" applyBorder="1" applyAlignment="1">
      <alignment horizontal="center" vertical="center"/>
    </xf>
    <xf numFmtId="0" fontId="30" fillId="0" borderId="37" xfId="24" applyFont="1" applyBorder="1" applyAlignment="1">
      <alignment horizontal="center" vertical="center"/>
    </xf>
    <xf numFmtId="0" fontId="30" fillId="0" borderId="37" xfId="24" applyFont="1" applyBorder="1" applyAlignment="1">
      <alignment horizontal="left" vertical="center"/>
    </xf>
    <xf numFmtId="0" fontId="30" fillId="0" borderId="38" xfId="24" applyFont="1" applyBorder="1" applyAlignment="1">
      <alignment horizontal="center" vertical="center"/>
    </xf>
    <xf numFmtId="0" fontId="30" fillId="0" borderId="39" xfId="24" applyFont="1" applyBorder="1" applyAlignment="1">
      <alignment horizontal="center" vertical="center"/>
    </xf>
    <xf numFmtId="0" fontId="2" fillId="0" borderId="40" xfId="24" applyFont="1" applyBorder="1" applyAlignment="1">
      <alignment horizontal="center" vertical="center"/>
    </xf>
    <xf numFmtId="0" fontId="2" fillId="0" borderId="41" xfId="24" applyFont="1" applyBorder="1" applyAlignment="1">
      <alignment horizontal="center" vertical="center"/>
    </xf>
    <xf numFmtId="0" fontId="2" fillId="0" borderId="42" xfId="24" applyFont="1" applyBorder="1" applyAlignment="1">
      <alignment horizontal="center" vertical="center"/>
    </xf>
    <xf numFmtId="0" fontId="2" fillId="0" borderId="43" xfId="24" applyFont="1" applyBorder="1" applyAlignment="1">
      <alignment horizontal="center" vertical="center"/>
    </xf>
    <xf numFmtId="173" fontId="0" fillId="0" borderId="44" xfId="13" applyNumberFormat="1" applyFont="1" applyBorder="1" applyAlignment="1" applyProtection="1">
      <alignment horizontal="center" vertical="center"/>
    </xf>
    <xf numFmtId="0" fontId="28" fillId="0" borderId="40" xfId="24" applyFont="1" applyBorder="1" applyAlignment="1">
      <alignment horizontal="center" vertical="center"/>
    </xf>
    <xf numFmtId="0" fontId="28" fillId="0" borderId="41" xfId="24" applyFont="1" applyBorder="1" applyAlignment="1">
      <alignment horizontal="center" vertical="center"/>
    </xf>
    <xf numFmtId="0" fontId="2" fillId="0" borderId="43" xfId="24" applyBorder="1" applyAlignment="1">
      <alignment horizontal="center" vertical="center"/>
    </xf>
    <xf numFmtId="0" fontId="28" fillId="0" borderId="42" xfId="24" applyFont="1" applyBorder="1" applyAlignment="1">
      <alignment horizontal="center" vertical="center"/>
    </xf>
    <xf numFmtId="0" fontId="28" fillId="0" borderId="43" xfId="24" applyFont="1" applyBorder="1" applyAlignment="1">
      <alignment horizontal="center" vertical="center"/>
    </xf>
    <xf numFmtId="0" fontId="2" fillId="0" borderId="45" xfId="24" applyBorder="1" applyAlignment="1">
      <alignment horizontal="center" vertical="center"/>
    </xf>
    <xf numFmtId="0" fontId="2" fillId="0" borderId="46" xfId="24" applyBorder="1" applyAlignment="1">
      <alignment horizontal="center" vertical="center"/>
    </xf>
    <xf numFmtId="0" fontId="2" fillId="0" borderId="47" xfId="24" applyBorder="1" applyAlignment="1">
      <alignment horizontal="center" vertical="center"/>
    </xf>
    <xf numFmtId="173" fontId="0" fillId="0" borderId="48" xfId="13" applyNumberFormat="1" applyFont="1" applyBorder="1" applyAlignment="1" applyProtection="1">
      <alignment horizontal="center" vertical="center"/>
    </xf>
    <xf numFmtId="173" fontId="30" fillId="0" borderId="49" xfId="24" applyNumberFormat="1" applyFont="1" applyBorder="1" applyAlignment="1">
      <alignment horizontal="center" vertical="center"/>
    </xf>
    <xf numFmtId="168" fontId="15" fillId="2" borderId="2" xfId="5" applyNumberFormat="1" applyFont="1" applyFill="1" applyBorder="1" applyAlignment="1">
      <alignment vertical="center"/>
    </xf>
    <xf numFmtId="173" fontId="0" fillId="0" borderId="51" xfId="13" applyNumberFormat="1" applyFont="1" applyBorder="1" applyAlignment="1" applyProtection="1">
      <alignment horizontal="center" vertical="center"/>
    </xf>
    <xf numFmtId="0" fontId="2" fillId="0" borderId="2" xfId="24" applyFont="1" applyBorder="1" applyAlignment="1">
      <alignment horizontal="center" vertical="center"/>
    </xf>
    <xf numFmtId="0" fontId="13" fillId="2" borderId="2" xfId="5" applyFont="1" applyFill="1" applyBorder="1" applyAlignment="1">
      <alignment horizontal="center" vertical="center" wrapText="1"/>
    </xf>
    <xf numFmtId="0" fontId="31" fillId="2" borderId="1" xfId="5" applyFont="1" applyFill="1" applyBorder="1" applyAlignment="1">
      <alignment horizontal="center" vertical="center" wrapText="1"/>
    </xf>
    <xf numFmtId="3" fontId="31" fillId="2" borderId="2" xfId="5" applyNumberFormat="1" applyFont="1" applyFill="1" applyBorder="1" applyAlignment="1">
      <alignment horizontal="center" vertical="center" wrapText="1"/>
    </xf>
    <xf numFmtId="169" fontId="31" fillId="2" borderId="2" xfId="5" applyNumberFormat="1" applyFont="1" applyFill="1" applyBorder="1" applyAlignment="1">
      <alignment horizontal="center" vertical="center" wrapText="1"/>
    </xf>
    <xf numFmtId="3" fontId="31" fillId="2" borderId="8" xfId="24" applyNumberFormat="1" applyFont="1" applyFill="1" applyBorder="1" applyAlignment="1">
      <alignment horizontal="center" wrapText="1"/>
    </xf>
    <xf numFmtId="0" fontId="6" fillId="2" borderId="2" xfId="5" applyFont="1" applyFill="1" applyBorder="1" applyAlignment="1">
      <alignment horizontal="left" vertical="center" wrapText="1"/>
    </xf>
    <xf numFmtId="3" fontId="6" fillId="2" borderId="2" xfId="5" applyNumberFormat="1" applyFont="1" applyFill="1" applyBorder="1" applyAlignment="1">
      <alignment horizontal="center" vertical="center"/>
    </xf>
    <xf numFmtId="169" fontId="6" fillId="2" borderId="2" xfId="5" applyNumberFormat="1" applyFont="1" applyFill="1" applyBorder="1" applyAlignment="1">
      <alignment horizontal="center" vertical="center" wrapText="1"/>
    </xf>
    <xf numFmtId="0" fontId="6" fillId="2" borderId="2" xfId="5" applyFont="1" applyFill="1" applyBorder="1" applyAlignment="1">
      <alignment horizontal="center" vertical="center" wrapText="1"/>
    </xf>
    <xf numFmtId="3" fontId="31" fillId="2" borderId="2" xfId="0" applyNumberFormat="1" applyFont="1" applyFill="1" applyBorder="1" applyAlignment="1">
      <alignment horizontal="center" vertical="center"/>
    </xf>
    <xf numFmtId="0" fontId="31" fillId="2" borderId="2" xfId="5" applyFont="1" applyFill="1" applyBorder="1" applyAlignment="1">
      <alignment horizontal="left" vertical="center" wrapText="1"/>
    </xf>
    <xf numFmtId="0" fontId="6" fillId="2" borderId="2" xfId="5" applyFont="1" applyFill="1" applyBorder="1" applyAlignment="1">
      <alignment horizontal="center" vertical="center"/>
    </xf>
    <xf numFmtId="0" fontId="6" fillId="2" borderId="2" xfId="5" applyFont="1" applyFill="1" applyBorder="1" applyAlignment="1">
      <alignment horizontal="center"/>
    </xf>
    <xf numFmtId="0" fontId="6" fillId="2" borderId="1" xfId="24" applyFont="1" applyFill="1" applyBorder="1" applyAlignment="1">
      <alignment horizontal="left" vertical="center" wrapText="1"/>
    </xf>
    <xf numFmtId="3" fontId="6" fillId="2" borderId="1" xfId="24" applyNumberFormat="1" applyFont="1" applyFill="1" applyBorder="1" applyAlignment="1">
      <alignment horizontal="center" vertical="center" wrapText="1"/>
    </xf>
    <xf numFmtId="169" fontId="6" fillId="2" borderId="2" xfId="24" applyNumberFormat="1" applyFont="1" applyFill="1" applyBorder="1" applyAlignment="1">
      <alignment horizontal="center" vertical="center" wrapText="1"/>
    </xf>
    <xf numFmtId="168" fontId="6" fillId="2" borderId="2" xfId="5" applyNumberFormat="1" applyFont="1" applyFill="1" applyBorder="1" applyAlignment="1">
      <alignment vertical="center"/>
    </xf>
    <xf numFmtId="3" fontId="6" fillId="2" borderId="2" xfId="5" applyNumberFormat="1" applyFont="1" applyFill="1" applyBorder="1" applyAlignment="1">
      <alignment horizontal="center" vertical="center" wrapText="1"/>
    </xf>
    <xf numFmtId="0" fontId="6" fillId="2" borderId="2" xfId="5" applyFont="1" applyFill="1" applyBorder="1" applyAlignment="1">
      <alignment horizontal="left" vertical="center"/>
    </xf>
    <xf numFmtId="174" fontId="6" fillId="2" borderId="8" xfId="2" applyNumberFormat="1" applyFont="1" applyFill="1" applyBorder="1" applyAlignment="1">
      <alignment vertical="center" wrapText="1"/>
    </xf>
    <xf numFmtId="3" fontId="6" fillId="2" borderId="8" xfId="2" applyNumberFormat="1" applyFont="1" applyFill="1" applyBorder="1" applyAlignment="1">
      <alignment horizontal="center" vertical="center"/>
    </xf>
    <xf numFmtId="169" fontId="6" fillId="2" borderId="8" xfId="24" applyNumberFormat="1" applyFont="1" applyFill="1" applyBorder="1" applyAlignment="1">
      <alignment horizontal="center" vertical="center" wrapText="1"/>
    </xf>
    <xf numFmtId="3" fontId="6" fillId="2" borderId="2" xfId="5" applyNumberFormat="1" applyFont="1" applyFill="1" applyBorder="1" applyAlignment="1">
      <alignment horizontal="center"/>
    </xf>
    <xf numFmtId="0" fontId="6" fillId="2" borderId="12" xfId="5" applyFont="1" applyFill="1" applyBorder="1" applyAlignment="1">
      <alignment horizontal="left" vertical="center" wrapText="1"/>
    </xf>
    <xf numFmtId="0" fontId="31" fillId="2" borderId="2" xfId="0" applyFont="1" applyFill="1" applyBorder="1" applyAlignment="1">
      <alignment horizontal="left" vertical="center" wrapText="1"/>
    </xf>
    <xf numFmtId="169" fontId="6" fillId="2" borderId="2" xfId="0" applyNumberFormat="1" applyFont="1" applyFill="1" applyBorder="1" applyAlignment="1">
      <alignment horizontal="center"/>
    </xf>
    <xf numFmtId="0" fontId="6" fillId="2" borderId="2" xfId="5" applyFont="1" applyFill="1" applyBorder="1"/>
    <xf numFmtId="0" fontId="6" fillId="2" borderId="1" xfId="5" applyFont="1" applyFill="1" applyBorder="1" applyAlignment="1">
      <alignment vertical="center" wrapText="1"/>
    </xf>
    <xf numFmtId="0" fontId="6" fillId="2" borderId="2" xfId="24" applyFont="1" applyFill="1" applyBorder="1" applyAlignment="1">
      <alignment horizontal="left" vertical="center" wrapText="1"/>
    </xf>
    <xf numFmtId="3" fontId="6" fillId="2" borderId="2" xfId="24" applyNumberFormat="1" applyFont="1" applyFill="1" applyBorder="1" applyAlignment="1">
      <alignment horizontal="center" vertical="center"/>
    </xf>
    <xf numFmtId="169" fontId="6" fillId="2" borderId="2" xfId="5" applyNumberFormat="1" applyFont="1" applyFill="1" applyBorder="1" applyAlignment="1">
      <alignment horizontal="center"/>
    </xf>
    <xf numFmtId="169" fontId="31" fillId="2" borderId="8" xfId="24" applyNumberFormat="1" applyFont="1" applyFill="1" applyBorder="1" applyAlignment="1">
      <alignment horizontal="center" wrapText="1"/>
    </xf>
    <xf numFmtId="0" fontId="7" fillId="0" borderId="0" xfId="5" applyFont="1" applyAlignment="1">
      <alignment horizontal="left" vertical="center"/>
    </xf>
    <xf numFmtId="0" fontId="8" fillId="0" borderId="0" xfId="5" applyFont="1" applyBorder="1" applyAlignment="1">
      <alignment horizontal="center"/>
    </xf>
    <xf numFmtId="0" fontId="8" fillId="0" borderId="0" xfId="5" applyFont="1" applyBorder="1" applyAlignment="1">
      <alignment horizontal="center" vertical="center"/>
    </xf>
    <xf numFmtId="0" fontId="8" fillId="0" borderId="0" xfId="5" applyFont="1" applyBorder="1" applyAlignment="1">
      <alignment horizontal="right" vertical="center"/>
    </xf>
    <xf numFmtId="0" fontId="9" fillId="0" borderId="0" xfId="5" applyFont="1" applyBorder="1" applyAlignment="1">
      <alignment horizontal="left" vertical="center" wrapText="1"/>
    </xf>
    <xf numFmtId="0" fontId="10" fillId="0" borderId="0" xfId="5" applyFont="1" applyFill="1" applyBorder="1" applyAlignment="1">
      <alignment horizontal="left" wrapText="1"/>
    </xf>
    <xf numFmtId="0" fontId="7" fillId="2" borderId="0" xfId="5" applyFont="1" applyFill="1" applyAlignment="1">
      <alignment horizontal="left" vertical="center" wrapText="1"/>
    </xf>
    <xf numFmtId="0" fontId="7" fillId="2" borderId="0" xfId="5" applyFont="1" applyFill="1" applyAlignment="1">
      <alignment horizontal="left" vertical="center"/>
    </xf>
    <xf numFmtId="0" fontId="15" fillId="2" borderId="1" xfId="5" applyFont="1" applyFill="1" applyBorder="1" applyAlignment="1">
      <alignment horizontal="right" vertical="center"/>
    </xf>
    <xf numFmtId="0" fontId="15" fillId="2" borderId="5" xfId="5" applyFont="1" applyFill="1" applyBorder="1" applyAlignment="1">
      <alignment horizontal="right" vertical="center"/>
    </xf>
    <xf numFmtId="0" fontId="15" fillId="2" borderId="3" xfId="5" applyFont="1" applyFill="1" applyBorder="1" applyAlignment="1">
      <alignment horizontal="right" vertical="center"/>
    </xf>
    <xf numFmtId="0" fontId="6" fillId="2" borderId="10" xfId="5" applyFont="1" applyFill="1" applyBorder="1" applyAlignment="1">
      <alignment horizontal="center" vertical="center" wrapText="1"/>
    </xf>
    <xf numFmtId="0" fontId="2" fillId="2" borderId="27" xfId="5" applyFont="1" applyFill="1" applyBorder="1" applyAlignment="1">
      <alignment vertical="center" wrapText="1"/>
    </xf>
    <xf numFmtId="0" fontId="2" fillId="2" borderId="5" xfId="5" applyFont="1" applyFill="1" applyBorder="1" applyAlignment="1">
      <alignment vertical="center" wrapText="1"/>
    </xf>
    <xf numFmtId="0" fontId="2" fillId="2" borderId="28" xfId="5" applyFont="1" applyFill="1" applyBorder="1" applyAlignment="1">
      <alignment vertical="center" wrapText="1"/>
    </xf>
    <xf numFmtId="0" fontId="22" fillId="0" borderId="19" xfId="24" applyFont="1" applyBorder="1" applyAlignment="1">
      <alignment horizontal="center" vertical="center"/>
    </xf>
    <xf numFmtId="0" fontId="22" fillId="0" borderId="21" xfId="24" applyFont="1" applyBorder="1" applyAlignment="1">
      <alignment horizontal="center" vertical="center" wrapText="1"/>
    </xf>
    <xf numFmtId="0" fontId="22" fillId="2" borderId="21" xfId="24" applyFont="1" applyFill="1" applyBorder="1" applyAlignment="1">
      <alignment horizontal="left" vertical="center" wrapText="1"/>
    </xf>
    <xf numFmtId="0" fontId="2" fillId="2" borderId="23" xfId="5" applyFont="1" applyFill="1" applyBorder="1" applyAlignment="1">
      <alignment vertical="center" wrapText="1"/>
    </xf>
    <xf numFmtId="0" fontId="2" fillId="2" borderId="24" xfId="5" applyFont="1" applyFill="1" applyBorder="1" applyAlignment="1">
      <alignment vertical="center" wrapText="1"/>
    </xf>
    <xf numFmtId="0" fontId="2" fillId="2" borderId="25" xfId="5" applyFont="1" applyFill="1" applyBorder="1" applyAlignment="1">
      <alignment vertical="center" wrapText="1"/>
    </xf>
    <xf numFmtId="0" fontId="22" fillId="0" borderId="2" xfId="24" applyFont="1" applyBorder="1" applyAlignment="1">
      <alignment horizontal="center" vertical="center" wrapText="1"/>
    </xf>
    <xf numFmtId="0" fontId="22" fillId="0" borderId="50" xfId="24" applyFont="1" applyBorder="1" applyAlignment="1">
      <alignment horizontal="center" vertical="center" wrapText="1"/>
    </xf>
    <xf numFmtId="0" fontId="21" fillId="0" borderId="17" xfId="24" applyFont="1" applyBorder="1" applyAlignment="1">
      <alignment horizontal="left" vertical="center" wrapText="1"/>
    </xf>
    <xf numFmtId="0" fontId="20" fillId="0" borderId="9" xfId="24" applyFont="1" applyBorder="1" applyAlignment="1">
      <alignment horizontal="left" vertical="center" wrapText="1" indent="1"/>
    </xf>
    <xf numFmtId="0" fontId="21" fillId="0" borderId="18" xfId="24" applyFont="1" applyBorder="1" applyAlignment="1">
      <alignment horizontal="left" vertical="center" wrapText="1"/>
    </xf>
    <xf numFmtId="0" fontId="21" fillId="0" borderId="19" xfId="24" applyFont="1" applyBorder="1" applyAlignment="1">
      <alignment horizontal="left" vertical="center"/>
    </xf>
    <xf numFmtId="0" fontId="20" fillId="0" borderId="20" xfId="24" applyFont="1" applyBorder="1" applyAlignment="1">
      <alignment horizontal="left" vertical="center" wrapText="1" indent="1"/>
    </xf>
    <xf numFmtId="0" fontId="19" fillId="0" borderId="0" xfId="24" applyFont="1" applyBorder="1" applyAlignment="1">
      <alignment horizontal="center" vertical="center"/>
    </xf>
    <xf numFmtId="0" fontId="4" fillId="2" borderId="27" xfId="5" applyFill="1" applyBorder="1" applyAlignment="1">
      <alignment wrapText="1"/>
    </xf>
    <xf numFmtId="0" fontId="4" fillId="2" borderId="5" xfId="5" applyFill="1" applyBorder="1" applyAlignment="1">
      <alignment wrapText="1"/>
    </xf>
    <xf numFmtId="0" fontId="4" fillId="2" borderId="28" xfId="5" applyFill="1" applyBorder="1" applyAlignment="1">
      <alignment wrapText="1"/>
    </xf>
    <xf numFmtId="0" fontId="3" fillId="2" borderId="27" xfId="5" applyFont="1" applyFill="1" applyBorder="1" applyAlignment="1">
      <alignment vertical="center" wrapText="1"/>
    </xf>
    <xf numFmtId="0" fontId="3" fillId="2" borderId="5" xfId="5" applyFont="1" applyFill="1" applyBorder="1" applyAlignment="1">
      <alignment vertical="center" wrapText="1"/>
    </xf>
    <xf numFmtId="0" fontId="3" fillId="2" borderId="28" xfId="5" applyFont="1" applyFill="1" applyBorder="1" applyAlignment="1">
      <alignment vertical="center" wrapText="1"/>
    </xf>
    <xf numFmtId="44" fontId="15" fillId="0" borderId="6" xfId="24" applyNumberFormat="1" applyFont="1" applyBorder="1" applyAlignment="1">
      <alignment horizontal="center" vertical="center" wrapText="1"/>
    </xf>
    <xf numFmtId="164" fontId="15" fillId="0" borderId="4" xfId="24" applyNumberFormat="1" applyFont="1" applyBorder="1" applyAlignment="1">
      <alignment horizontal="center" vertical="center" wrapText="1"/>
    </xf>
    <xf numFmtId="0" fontId="20" fillId="0" borderId="0" xfId="24" applyFont="1" applyBorder="1" applyAlignment="1">
      <alignment horizontal="left" vertical="center" wrapText="1" indent="1"/>
    </xf>
    <xf numFmtId="169" fontId="21" fillId="0" borderId="0" xfId="24" applyNumberFormat="1" applyFont="1" applyBorder="1" applyAlignment="1">
      <alignment horizontal="center" vertical="center"/>
    </xf>
    <xf numFmtId="0" fontId="25" fillId="0" borderId="11" xfId="24" applyFont="1" applyBorder="1" applyAlignment="1">
      <alignment horizontal="left" vertical="center" wrapText="1"/>
    </xf>
    <xf numFmtId="0" fontId="25" fillId="0" borderId="6" xfId="24" applyFont="1" applyBorder="1" applyAlignment="1">
      <alignment horizontal="left" vertical="center" wrapText="1"/>
    </xf>
    <xf numFmtId="0" fontId="25" fillId="0" borderId="7" xfId="24" applyFont="1" applyBorder="1" applyAlignment="1">
      <alignment horizontal="left" vertical="center" wrapText="1"/>
    </xf>
    <xf numFmtId="0" fontId="28" fillId="0" borderId="31" xfId="24" applyFont="1" applyBorder="1"/>
    <xf numFmtId="0" fontId="2" fillId="0" borderId="11" xfId="24" applyFont="1" applyBorder="1" applyAlignment="1">
      <alignment horizontal="center"/>
    </xf>
    <xf numFmtId="0" fontId="26" fillId="0" borderId="7" xfId="24" applyNumberFormat="1" applyFont="1" applyBorder="1" applyAlignment="1">
      <alignment horizontal="center"/>
    </xf>
    <xf numFmtId="0" fontId="27" fillId="0" borderId="15" xfId="24" applyFont="1" applyBorder="1" applyAlignment="1">
      <alignment horizontal="center" vertical="center" wrapText="1"/>
    </xf>
    <xf numFmtId="0" fontId="17" fillId="0" borderId="15" xfId="24" applyFont="1" applyBorder="1"/>
    <xf numFmtId="0" fontId="28" fillId="0" borderId="15" xfId="24" applyFont="1" applyBorder="1" applyAlignment="1">
      <alignment horizontal="left" indent="1"/>
    </xf>
    <xf numFmtId="0" fontId="23" fillId="0" borderId="17" xfId="24" applyFont="1" applyBorder="1" applyAlignment="1">
      <alignment horizontal="left" vertical="center" wrapText="1"/>
    </xf>
    <xf numFmtId="0" fontId="23" fillId="0" borderId="29" xfId="24" applyFont="1" applyBorder="1" applyAlignment="1">
      <alignment horizontal="left" vertical="center" wrapText="1"/>
    </xf>
    <xf numFmtId="0" fontId="23" fillId="0" borderId="30" xfId="24" applyFont="1" applyBorder="1" applyAlignment="1">
      <alignment horizontal="left" vertical="center" wrapText="1"/>
    </xf>
    <xf numFmtId="0" fontId="29" fillId="0" borderId="15" xfId="24" applyFont="1" applyBorder="1" applyAlignment="1">
      <alignment horizontal="left"/>
    </xf>
    <xf numFmtId="0" fontId="2" fillId="0" borderId="46" xfId="24" applyBorder="1" applyAlignment="1">
      <alignment horizontal="left" vertical="center"/>
    </xf>
    <xf numFmtId="0" fontId="28" fillId="2" borderId="31" xfId="24" applyNumberFormat="1" applyFont="1" applyFill="1" applyBorder="1" applyAlignment="1">
      <alignment horizontal="left" vertical="justify" wrapText="1" indent="1"/>
    </xf>
    <xf numFmtId="0" fontId="28" fillId="2" borderId="0" xfId="24" applyNumberFormat="1" applyFont="1" applyFill="1" applyBorder="1" applyAlignment="1">
      <alignment horizontal="left" vertical="justify" wrapText="1" indent="1"/>
    </xf>
    <xf numFmtId="0" fontId="28" fillId="2" borderId="14" xfId="24" applyNumberFormat="1" applyFont="1" applyFill="1" applyBorder="1" applyAlignment="1">
      <alignment horizontal="left" vertical="justify" wrapText="1" indent="1"/>
    </xf>
    <xf numFmtId="0" fontId="30" fillId="0" borderId="34" xfId="24" applyFont="1" applyBorder="1" applyAlignment="1">
      <alignment horizontal="center" vertical="center"/>
    </xf>
    <xf numFmtId="0" fontId="30" fillId="0" borderId="15" xfId="24" applyFont="1" applyBorder="1" applyAlignment="1">
      <alignment horizontal="center" vertical="center"/>
    </xf>
    <xf numFmtId="0" fontId="30" fillId="0" borderId="34" xfId="24" applyFont="1" applyBorder="1" applyAlignment="1">
      <alignment horizontal="center" vertical="center" wrapText="1"/>
    </xf>
    <xf numFmtId="0" fontId="30" fillId="0" borderId="35" xfId="24" applyFont="1" applyBorder="1" applyAlignment="1">
      <alignment horizontal="center" vertical="center"/>
    </xf>
    <xf numFmtId="0" fontId="2" fillId="0" borderId="2" xfId="24" applyBorder="1" applyAlignment="1">
      <alignment horizontal="left" vertical="center" wrapText="1"/>
    </xf>
    <xf numFmtId="0" fontId="2" fillId="0" borderId="2" xfId="24" applyFont="1" applyBorder="1" applyAlignment="1">
      <alignment horizontal="left" vertical="center" wrapText="1"/>
    </xf>
    <xf numFmtId="0" fontId="2" fillId="0" borderId="41" xfId="24" applyFont="1" applyBorder="1" applyAlignment="1">
      <alignment horizontal="left" vertical="center"/>
    </xf>
    <xf numFmtId="0" fontId="2" fillId="0" borderId="43" xfId="24" applyFont="1" applyBorder="1" applyAlignment="1">
      <alignment horizontal="left" vertical="center"/>
    </xf>
    <xf numFmtId="0" fontId="2" fillId="0" borderId="43" xfId="24" applyBorder="1" applyAlignment="1">
      <alignment horizontal="left" vertical="center"/>
    </xf>
    <xf numFmtId="0" fontId="26" fillId="0" borderId="49" xfId="24" applyFont="1" applyBorder="1" applyAlignment="1">
      <alignment horizontal="left" vertical="center" wrapText="1"/>
    </xf>
    <xf numFmtId="0" fontId="2" fillId="0" borderId="34" xfId="24" applyBorder="1"/>
    <xf numFmtId="0" fontId="26" fillId="0" borderId="11" xfId="24" applyFont="1" applyBorder="1" applyAlignment="1">
      <alignment vertical="center" wrapText="1"/>
    </xf>
    <xf numFmtId="0" fontId="26" fillId="0" borderId="50" xfId="24" applyFont="1" applyBorder="1" applyAlignment="1">
      <alignment vertical="center" wrapText="1"/>
    </xf>
    <xf numFmtId="0" fontId="26" fillId="0" borderId="20" xfId="24" applyFont="1" applyBorder="1" applyAlignment="1">
      <alignment vertical="center" wrapText="1"/>
    </xf>
    <xf numFmtId="0" fontId="28" fillId="0" borderId="35" xfId="24" applyFont="1" applyBorder="1" applyAlignment="1">
      <alignment vertical="center" wrapText="1"/>
    </xf>
    <xf numFmtId="0" fontId="28" fillId="4" borderId="49" xfId="24" applyFont="1" applyFill="1" applyBorder="1" applyAlignment="1">
      <alignment horizontal="left" vertical="center" wrapText="1" indent="1"/>
    </xf>
  </cellXfs>
  <cellStyles count="25">
    <cellStyle name="Encabezado 1" xfId="7" xr:uid="{00000000-0005-0000-0000-000000000000}"/>
    <cellStyle name="Encabezado 1 2" xfId="8" xr:uid="{00000000-0005-0000-0000-000001000000}"/>
    <cellStyle name="Millares 2" xfId="2" xr:uid="{00000000-0005-0000-0000-000002000000}"/>
    <cellStyle name="Millares 2 2" xfId="9" xr:uid="{00000000-0005-0000-0000-000003000000}"/>
    <cellStyle name="Moneda 2" xfId="6" xr:uid="{00000000-0005-0000-0000-000004000000}"/>
    <cellStyle name="Moneda 2 2" xfId="10" xr:uid="{00000000-0005-0000-0000-000005000000}"/>
    <cellStyle name="Moneda 3" xfId="11" xr:uid="{00000000-0005-0000-0000-000006000000}"/>
    <cellStyle name="Moneda 4" xfId="12" xr:uid="{00000000-0005-0000-0000-000007000000}"/>
    <cellStyle name="Moneda_AUTORIZACION Y NOTA DE PEDIDO" xfId="13" xr:uid="{00000000-0005-0000-0000-000008000000}"/>
    <cellStyle name="Neutral 1" xfId="14" xr:uid="{00000000-0005-0000-0000-000009000000}"/>
    <cellStyle name="Normal" xfId="0" builtinId="0"/>
    <cellStyle name="Normal 2" xfId="3" xr:uid="{00000000-0005-0000-0000-00000B000000}"/>
    <cellStyle name="Normal 2 2" xfId="5" xr:uid="{00000000-0005-0000-0000-00000C000000}"/>
    <cellStyle name="Normal 2 2 2" xfId="24" xr:uid="{00000000-0005-0000-0000-00000D000000}"/>
    <cellStyle name="Normal 3" xfId="4" xr:uid="{00000000-0005-0000-0000-00000E000000}"/>
    <cellStyle name="Normal 3 2" xfId="15" xr:uid="{00000000-0005-0000-0000-00000F000000}"/>
    <cellStyle name="Normal 3 2 2" xfId="16" xr:uid="{00000000-0005-0000-0000-000010000000}"/>
    <cellStyle name="Normal 3 3" xfId="17" xr:uid="{00000000-0005-0000-0000-000011000000}"/>
    <cellStyle name="Normal 3 4" xfId="18" xr:uid="{00000000-0005-0000-0000-000012000000}"/>
    <cellStyle name="Normal 4" xfId="1" xr:uid="{00000000-0005-0000-0000-000013000000}"/>
    <cellStyle name="Normal 4 2" xfId="19" xr:uid="{00000000-0005-0000-0000-000014000000}"/>
    <cellStyle name="Normal 4 3" xfId="20" xr:uid="{00000000-0005-0000-0000-000015000000}"/>
    <cellStyle name="Normal 5" xfId="21" xr:uid="{00000000-0005-0000-0000-000016000000}"/>
    <cellStyle name="Normal 6" xfId="22" xr:uid="{00000000-0005-0000-0000-000017000000}"/>
    <cellStyle name="Normal 7" xfId="23" xr:uid="{00000000-0005-0000-0000-000018000000}"/>
  </cellStyles>
  <dxfs count="57">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72357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72357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72357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72357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zoomScale="90" zoomScaleNormal="90" workbookViewId="0">
      <selection activeCell="H38" sqref="H38"/>
    </sheetView>
  </sheetViews>
  <sheetFormatPr baseColWidth="10" defaultColWidth="11" defaultRowHeight="15" x14ac:dyDescent="0.25"/>
  <cols>
    <col min="1" max="1" width="6.42578125" style="3" customWidth="1"/>
    <col min="2" max="2" width="10.42578125" style="2" customWidth="1"/>
    <col min="3" max="3" width="35" style="3" customWidth="1"/>
    <col min="4" max="4" width="8.42578125" style="4" customWidth="1"/>
    <col min="5" max="5" width="39.5703125" style="5" customWidth="1"/>
    <col min="6" max="6" width="16.42578125" style="4" customWidth="1"/>
    <col min="7" max="7" width="16.42578125" style="6" customWidth="1"/>
    <col min="8" max="8" width="16.5703125" style="7" bestFit="1" customWidth="1"/>
    <col min="9" max="9" width="22.5703125" style="8" customWidth="1"/>
    <col min="10" max="10" width="23.5703125" style="9" customWidth="1"/>
    <col min="11" max="16384" width="11" style="9"/>
  </cols>
  <sheetData>
    <row r="1" spans="1:10" x14ac:dyDescent="0.25">
      <c r="A1" s="1">
        <v>2021</v>
      </c>
    </row>
    <row r="2" spans="1:10" ht="25.5" x14ac:dyDescent="0.35">
      <c r="B2" s="117" t="s">
        <v>1</v>
      </c>
      <c r="C2" s="117"/>
      <c r="D2" s="117"/>
      <c r="E2" s="117"/>
      <c r="F2" s="117"/>
      <c r="G2" s="118"/>
      <c r="H2" s="119"/>
    </row>
    <row r="4" spans="1:10" ht="18" customHeight="1" x14ac:dyDescent="0.25">
      <c r="A4" s="120" t="s">
        <v>2</v>
      </c>
      <c r="B4" s="120"/>
      <c r="C4" s="121" t="s">
        <v>3</v>
      </c>
      <c r="D4" s="121"/>
      <c r="E4" s="121"/>
      <c r="F4" s="10"/>
      <c r="G4" s="11"/>
    </row>
    <row r="5" spans="1:10" ht="18" customHeight="1" x14ac:dyDescent="0.25">
      <c r="A5" s="120" t="s">
        <v>4</v>
      </c>
      <c r="B5" s="120"/>
      <c r="C5" s="121" t="s">
        <v>5</v>
      </c>
      <c r="D5" s="121"/>
      <c r="E5" s="121"/>
      <c r="F5" s="10"/>
      <c r="G5" s="11"/>
    </row>
    <row r="6" spans="1:10" ht="16.5" customHeight="1" x14ac:dyDescent="0.2">
      <c r="A6" s="120" t="s">
        <v>6</v>
      </c>
      <c r="B6" s="120"/>
      <c r="C6" s="12">
        <v>2021</v>
      </c>
      <c r="D6" s="13"/>
      <c r="E6" s="14"/>
      <c r="F6" s="10"/>
      <c r="G6" s="11"/>
    </row>
    <row r="7" spans="1:10" ht="31.5" customHeight="1" x14ac:dyDescent="0.2">
      <c r="A7" s="120" t="s">
        <v>7</v>
      </c>
      <c r="B7" s="120"/>
      <c r="C7" s="12" t="s">
        <v>8</v>
      </c>
      <c r="D7" s="13"/>
      <c r="E7" s="14"/>
      <c r="F7" s="10"/>
      <c r="G7" s="11"/>
    </row>
    <row r="8" spans="1:10" ht="2.25" customHeight="1" x14ac:dyDescent="0.25">
      <c r="B8" s="15"/>
      <c r="C8" s="16"/>
      <c r="D8" s="10"/>
      <c r="E8" s="16"/>
      <c r="F8" s="10"/>
      <c r="G8" s="11"/>
    </row>
    <row r="9" spans="1:10" ht="42.75" x14ac:dyDescent="0.2">
      <c r="A9" s="17" t="s">
        <v>9</v>
      </c>
      <c r="B9" s="18" t="s">
        <v>10</v>
      </c>
      <c r="C9" s="18" t="s">
        <v>11</v>
      </c>
      <c r="D9" s="17" t="s">
        <v>12</v>
      </c>
      <c r="E9" s="18" t="s">
        <v>13</v>
      </c>
      <c r="F9" s="18" t="s">
        <v>0</v>
      </c>
      <c r="G9" s="19" t="s">
        <v>14</v>
      </c>
      <c r="H9" s="20" t="s">
        <v>15</v>
      </c>
      <c r="I9" s="21" t="s">
        <v>16</v>
      </c>
      <c r="J9" s="22"/>
    </row>
    <row r="10" spans="1:10" s="25" customFormat="1" ht="30" x14ac:dyDescent="0.25">
      <c r="A10" s="95">
        <v>1</v>
      </c>
      <c r="B10" s="23"/>
      <c r="C10" s="85" t="s">
        <v>17</v>
      </c>
      <c r="D10" s="96">
        <v>252</v>
      </c>
      <c r="E10" s="97" t="s">
        <v>90</v>
      </c>
      <c r="F10" s="96" t="s">
        <v>18</v>
      </c>
      <c r="G10" s="98">
        <v>400</v>
      </c>
      <c r="H10" s="99">
        <v>55</v>
      </c>
      <c r="I10" s="100">
        <f>+H10*G10</f>
        <v>22000</v>
      </c>
      <c r="J10" s="24"/>
    </row>
    <row r="11" spans="1:10" s="25" customFormat="1" ht="30" x14ac:dyDescent="0.25">
      <c r="A11" s="95">
        <v>2</v>
      </c>
      <c r="B11" s="23"/>
      <c r="C11" s="85" t="s">
        <v>17</v>
      </c>
      <c r="D11" s="96">
        <v>252</v>
      </c>
      <c r="E11" s="89" t="s">
        <v>78</v>
      </c>
      <c r="F11" s="96" t="s">
        <v>18</v>
      </c>
      <c r="G11" s="101">
        <v>2000</v>
      </c>
      <c r="H11" s="91">
        <v>52</v>
      </c>
      <c r="I11" s="100">
        <f t="shared" ref="I11:I36" si="0">+H11*G11</f>
        <v>104000</v>
      </c>
      <c r="J11" s="24"/>
    </row>
    <row r="12" spans="1:10" s="25" customFormat="1" ht="30" x14ac:dyDescent="0.25">
      <c r="A12" s="95">
        <v>3</v>
      </c>
      <c r="B12" s="23"/>
      <c r="C12" s="85" t="s">
        <v>17</v>
      </c>
      <c r="D12" s="96">
        <v>252</v>
      </c>
      <c r="E12" s="89" t="s">
        <v>80</v>
      </c>
      <c r="F12" s="96" t="s">
        <v>18</v>
      </c>
      <c r="G12" s="86">
        <v>4000</v>
      </c>
      <c r="H12" s="87">
        <v>4.62</v>
      </c>
      <c r="I12" s="100">
        <f t="shared" si="0"/>
        <v>18480</v>
      </c>
      <c r="J12" s="24"/>
    </row>
    <row r="13" spans="1:10" s="25" customFormat="1" ht="30" x14ac:dyDescent="0.25">
      <c r="A13" s="95">
        <v>4</v>
      </c>
      <c r="B13" s="23"/>
      <c r="C13" s="85" t="s">
        <v>17</v>
      </c>
      <c r="D13" s="96">
        <v>252</v>
      </c>
      <c r="E13" s="102" t="s">
        <v>85</v>
      </c>
      <c r="F13" s="96" t="s">
        <v>18</v>
      </c>
      <c r="G13" s="90">
        <v>100</v>
      </c>
      <c r="H13" s="91">
        <v>96</v>
      </c>
      <c r="I13" s="100">
        <f t="shared" si="0"/>
        <v>9600</v>
      </c>
      <c r="J13" s="24"/>
    </row>
    <row r="14" spans="1:10" s="25" customFormat="1" ht="30" x14ac:dyDescent="0.25">
      <c r="A14" s="95">
        <v>5</v>
      </c>
      <c r="B14" s="23"/>
      <c r="C14" s="85" t="s">
        <v>17</v>
      </c>
      <c r="D14" s="96">
        <v>252</v>
      </c>
      <c r="E14" s="103" t="s">
        <v>93</v>
      </c>
      <c r="F14" s="96" t="s">
        <v>18</v>
      </c>
      <c r="G14" s="104">
        <v>20000</v>
      </c>
      <c r="H14" s="105">
        <v>21.55</v>
      </c>
      <c r="I14" s="100">
        <f t="shared" si="0"/>
        <v>431000</v>
      </c>
      <c r="J14" s="24"/>
    </row>
    <row r="15" spans="1:10" s="25" customFormat="1" ht="30" x14ac:dyDescent="0.25">
      <c r="A15" s="95">
        <v>6</v>
      </c>
      <c r="B15" s="23"/>
      <c r="C15" s="85" t="s">
        <v>17</v>
      </c>
      <c r="D15" s="96">
        <v>252</v>
      </c>
      <c r="E15" s="89" t="s">
        <v>75</v>
      </c>
      <c r="F15" s="96" t="s">
        <v>18</v>
      </c>
      <c r="G15" s="101">
        <v>7000</v>
      </c>
      <c r="H15" s="91">
        <v>2.52</v>
      </c>
      <c r="I15" s="100">
        <f t="shared" si="0"/>
        <v>17640</v>
      </c>
      <c r="J15" s="24"/>
    </row>
    <row r="16" spans="1:10" s="25" customFormat="1" ht="45" x14ac:dyDescent="0.25">
      <c r="A16" s="95">
        <v>7</v>
      </c>
      <c r="B16" s="23"/>
      <c r="C16" s="85" t="s">
        <v>17</v>
      </c>
      <c r="D16" s="96">
        <v>252</v>
      </c>
      <c r="E16" s="89" t="s">
        <v>95</v>
      </c>
      <c r="F16" s="84" t="s">
        <v>18</v>
      </c>
      <c r="G16" s="90">
        <v>50</v>
      </c>
      <c r="H16" s="91">
        <v>675</v>
      </c>
      <c r="I16" s="100">
        <f t="shared" si="0"/>
        <v>33750</v>
      </c>
      <c r="J16" s="24"/>
    </row>
    <row r="17" spans="1:10" s="25" customFormat="1" ht="30" x14ac:dyDescent="0.25">
      <c r="A17" s="95">
        <v>8</v>
      </c>
      <c r="B17" s="23"/>
      <c r="C17" s="85" t="s">
        <v>17</v>
      </c>
      <c r="D17" s="96">
        <v>252</v>
      </c>
      <c r="E17" s="89" t="s">
        <v>87</v>
      </c>
      <c r="F17" s="96" t="s">
        <v>18</v>
      </c>
      <c r="G17" s="106">
        <v>20000</v>
      </c>
      <c r="H17" s="114">
        <v>2.62</v>
      </c>
      <c r="I17" s="100">
        <f t="shared" si="0"/>
        <v>52400</v>
      </c>
      <c r="J17" s="24"/>
    </row>
    <row r="18" spans="1:10" s="25" customFormat="1" ht="30" x14ac:dyDescent="0.25">
      <c r="A18" s="95">
        <v>9</v>
      </c>
      <c r="B18" s="23"/>
      <c r="C18" s="85" t="s">
        <v>17</v>
      </c>
      <c r="D18" s="96">
        <v>252</v>
      </c>
      <c r="E18" s="89" t="s">
        <v>73</v>
      </c>
      <c r="F18" s="96" t="s">
        <v>18</v>
      </c>
      <c r="G18" s="101">
        <v>11000</v>
      </c>
      <c r="H18" s="91">
        <v>13.55</v>
      </c>
      <c r="I18" s="100">
        <f t="shared" si="0"/>
        <v>149050</v>
      </c>
      <c r="J18" s="24"/>
    </row>
    <row r="19" spans="1:10" s="25" customFormat="1" ht="30" x14ac:dyDescent="0.25">
      <c r="A19" s="95">
        <v>10</v>
      </c>
      <c r="B19" s="23"/>
      <c r="C19" s="85" t="s">
        <v>17</v>
      </c>
      <c r="D19" s="96">
        <v>252</v>
      </c>
      <c r="E19" s="89" t="s">
        <v>74</v>
      </c>
      <c r="F19" s="96" t="s">
        <v>18</v>
      </c>
      <c r="G19" s="101">
        <v>10000</v>
      </c>
      <c r="H19" s="91">
        <v>6</v>
      </c>
      <c r="I19" s="100">
        <f t="shared" si="0"/>
        <v>60000</v>
      </c>
      <c r="J19" s="24"/>
    </row>
    <row r="20" spans="1:10" s="25" customFormat="1" ht="30" x14ac:dyDescent="0.25">
      <c r="A20" s="95">
        <v>11</v>
      </c>
      <c r="B20" s="23"/>
      <c r="C20" s="85" t="s">
        <v>17</v>
      </c>
      <c r="D20" s="96">
        <v>252</v>
      </c>
      <c r="E20" s="89" t="s">
        <v>96</v>
      </c>
      <c r="F20" s="92" t="s">
        <v>18</v>
      </c>
      <c r="G20" s="90">
        <v>50</v>
      </c>
      <c r="H20" s="91">
        <v>426</v>
      </c>
      <c r="I20" s="100">
        <f t="shared" si="0"/>
        <v>21300</v>
      </c>
      <c r="J20" s="24"/>
    </row>
    <row r="21" spans="1:10" s="25" customFormat="1" ht="30" x14ac:dyDescent="0.25">
      <c r="A21" s="95">
        <v>12</v>
      </c>
      <c r="B21" s="23"/>
      <c r="C21" s="85" t="s">
        <v>17</v>
      </c>
      <c r="D21" s="96">
        <v>252</v>
      </c>
      <c r="E21" s="107" t="s">
        <v>82</v>
      </c>
      <c r="F21" s="96" t="s">
        <v>18</v>
      </c>
      <c r="G21" s="101">
        <v>3000</v>
      </c>
      <c r="H21" s="91">
        <v>47</v>
      </c>
      <c r="I21" s="100">
        <f t="shared" si="0"/>
        <v>141000</v>
      </c>
      <c r="J21" s="24"/>
    </row>
    <row r="22" spans="1:10" s="25" customFormat="1" ht="30" x14ac:dyDescent="0.25">
      <c r="A22" s="95">
        <v>13</v>
      </c>
      <c r="B22" s="23"/>
      <c r="C22" s="85" t="s">
        <v>17</v>
      </c>
      <c r="D22" s="96">
        <v>252</v>
      </c>
      <c r="E22" s="89" t="s">
        <v>83</v>
      </c>
      <c r="F22" s="96" t="s">
        <v>18</v>
      </c>
      <c r="G22" s="101">
        <v>100</v>
      </c>
      <c r="H22" s="91">
        <v>103.5</v>
      </c>
      <c r="I22" s="100">
        <f t="shared" si="0"/>
        <v>10350</v>
      </c>
      <c r="J22" s="24"/>
    </row>
    <row r="23" spans="1:10" s="25" customFormat="1" ht="30" x14ac:dyDescent="0.25">
      <c r="A23" s="95">
        <v>14</v>
      </c>
      <c r="B23" s="23"/>
      <c r="C23" s="85" t="s">
        <v>17</v>
      </c>
      <c r="D23" s="96">
        <v>252</v>
      </c>
      <c r="E23" s="89" t="s">
        <v>77</v>
      </c>
      <c r="F23" s="96" t="s">
        <v>18</v>
      </c>
      <c r="G23" s="101">
        <v>5000</v>
      </c>
      <c r="H23" s="91">
        <v>6.97</v>
      </c>
      <c r="I23" s="100">
        <f t="shared" si="0"/>
        <v>34850</v>
      </c>
      <c r="J23" s="24"/>
    </row>
    <row r="24" spans="1:10" s="25" customFormat="1" ht="30" x14ac:dyDescent="0.25">
      <c r="A24" s="95">
        <v>15</v>
      </c>
      <c r="B24" s="23"/>
      <c r="C24" s="85" t="s">
        <v>17</v>
      </c>
      <c r="D24" s="96">
        <v>252</v>
      </c>
      <c r="E24" s="94" t="s">
        <v>81</v>
      </c>
      <c r="F24" s="96" t="s">
        <v>18</v>
      </c>
      <c r="G24" s="86">
        <v>8000</v>
      </c>
      <c r="H24" s="87">
        <v>5.98</v>
      </c>
      <c r="I24" s="100">
        <f t="shared" si="0"/>
        <v>47840</v>
      </c>
      <c r="J24" s="24"/>
    </row>
    <row r="25" spans="1:10" s="25" customFormat="1" ht="30" x14ac:dyDescent="0.25">
      <c r="A25" s="95">
        <v>16</v>
      </c>
      <c r="B25" s="23"/>
      <c r="C25" s="85" t="s">
        <v>17</v>
      </c>
      <c r="D25" s="96">
        <v>252</v>
      </c>
      <c r="E25" s="108" t="s">
        <v>88</v>
      </c>
      <c r="F25" s="96" t="s">
        <v>18</v>
      </c>
      <c r="G25" s="93">
        <v>10000</v>
      </c>
      <c r="H25" s="109">
        <v>190</v>
      </c>
      <c r="I25" s="100">
        <f t="shared" si="0"/>
        <v>1900000</v>
      </c>
      <c r="J25" s="24"/>
    </row>
    <row r="26" spans="1:10" s="25" customFormat="1" ht="30" x14ac:dyDescent="0.25">
      <c r="A26" s="95">
        <v>17</v>
      </c>
      <c r="B26" s="23"/>
      <c r="C26" s="85" t="s">
        <v>17</v>
      </c>
      <c r="D26" s="96">
        <v>252</v>
      </c>
      <c r="E26" s="89" t="s">
        <v>76</v>
      </c>
      <c r="F26" s="96" t="s">
        <v>18</v>
      </c>
      <c r="G26" s="101">
        <v>14000</v>
      </c>
      <c r="H26" s="91">
        <v>4.12</v>
      </c>
      <c r="I26" s="100">
        <f t="shared" si="0"/>
        <v>57680</v>
      </c>
      <c r="J26" s="24"/>
    </row>
    <row r="27" spans="1:10" s="25" customFormat="1" ht="30" x14ac:dyDescent="0.25">
      <c r="A27" s="95">
        <v>18</v>
      </c>
      <c r="B27" s="23"/>
      <c r="C27" s="85" t="s">
        <v>17</v>
      </c>
      <c r="D27" s="96">
        <v>252</v>
      </c>
      <c r="E27" s="102" t="s">
        <v>86</v>
      </c>
      <c r="F27" s="96" t="s">
        <v>18</v>
      </c>
      <c r="G27" s="90">
        <v>7000</v>
      </c>
      <c r="H27" s="91">
        <v>8.6999999999999993</v>
      </c>
      <c r="I27" s="100">
        <f t="shared" si="0"/>
        <v>60899.999999999993</v>
      </c>
      <c r="J27" s="24"/>
    </row>
    <row r="28" spans="1:10" s="25" customFormat="1" ht="30" x14ac:dyDescent="0.25">
      <c r="A28" s="95">
        <v>19</v>
      </c>
      <c r="B28" s="23"/>
      <c r="C28" s="85" t="s">
        <v>17</v>
      </c>
      <c r="D28" s="96">
        <v>252</v>
      </c>
      <c r="E28" s="89" t="s">
        <v>92</v>
      </c>
      <c r="F28" s="96" t="s">
        <v>18</v>
      </c>
      <c r="G28" s="106">
        <v>50</v>
      </c>
      <c r="H28" s="114">
        <v>520</v>
      </c>
      <c r="I28" s="100">
        <f t="shared" si="0"/>
        <v>26000</v>
      </c>
      <c r="J28" s="24"/>
    </row>
    <row r="29" spans="1:10" s="25" customFormat="1" ht="30" x14ac:dyDescent="0.25">
      <c r="A29" s="95">
        <v>20</v>
      </c>
      <c r="B29" s="23"/>
      <c r="C29" s="85" t="s">
        <v>17</v>
      </c>
      <c r="D29" s="96">
        <v>252</v>
      </c>
      <c r="E29" s="110" t="s">
        <v>84</v>
      </c>
      <c r="F29" s="96" t="s">
        <v>18</v>
      </c>
      <c r="G29" s="101">
        <v>3000</v>
      </c>
      <c r="H29" s="91">
        <v>6.61</v>
      </c>
      <c r="I29" s="100">
        <f t="shared" si="0"/>
        <v>19830</v>
      </c>
      <c r="J29" s="24"/>
    </row>
    <row r="30" spans="1:10" s="25" customFormat="1" ht="30" x14ac:dyDescent="0.25">
      <c r="A30" s="95">
        <v>21</v>
      </c>
      <c r="B30" s="23"/>
      <c r="C30" s="85" t="s">
        <v>17</v>
      </c>
      <c r="D30" s="96">
        <v>252</v>
      </c>
      <c r="E30" s="111" t="s">
        <v>94</v>
      </c>
      <c r="F30" s="96" t="s">
        <v>18</v>
      </c>
      <c r="G30" s="98">
        <v>15000</v>
      </c>
      <c r="H30" s="99">
        <v>47.2</v>
      </c>
      <c r="I30" s="100">
        <f t="shared" si="0"/>
        <v>708000</v>
      </c>
      <c r="J30" s="24"/>
    </row>
    <row r="31" spans="1:10" s="25" customFormat="1" ht="30" x14ac:dyDescent="0.25">
      <c r="A31" s="95">
        <v>22</v>
      </c>
      <c r="B31" s="23"/>
      <c r="C31" s="85" t="s">
        <v>17</v>
      </c>
      <c r="D31" s="96">
        <v>252</v>
      </c>
      <c r="E31" s="94" t="s">
        <v>97</v>
      </c>
      <c r="F31" s="92" t="s">
        <v>100</v>
      </c>
      <c r="G31" s="90">
        <v>5</v>
      </c>
      <c r="H31" s="91">
        <v>25000</v>
      </c>
      <c r="I31" s="100">
        <f t="shared" si="0"/>
        <v>125000</v>
      </c>
      <c r="J31" s="24"/>
    </row>
    <row r="32" spans="1:10" s="25" customFormat="1" ht="30" x14ac:dyDescent="0.25">
      <c r="A32" s="95">
        <v>23</v>
      </c>
      <c r="B32" s="23"/>
      <c r="C32" s="85" t="s">
        <v>17</v>
      </c>
      <c r="D32" s="96">
        <v>252</v>
      </c>
      <c r="E32" s="89" t="s">
        <v>79</v>
      </c>
      <c r="F32" s="96" t="s">
        <v>18</v>
      </c>
      <c r="G32" s="101">
        <v>4000</v>
      </c>
      <c r="H32" s="91">
        <v>42</v>
      </c>
      <c r="I32" s="100">
        <f t="shared" si="0"/>
        <v>168000</v>
      </c>
      <c r="J32" s="24"/>
    </row>
    <row r="33" spans="1:10" s="25" customFormat="1" ht="30" x14ac:dyDescent="0.25">
      <c r="A33" s="95">
        <v>24</v>
      </c>
      <c r="B33" s="23"/>
      <c r="C33" s="85" t="s">
        <v>17</v>
      </c>
      <c r="D33" s="96">
        <v>252</v>
      </c>
      <c r="E33" s="112" t="s">
        <v>91</v>
      </c>
      <c r="F33" s="96" t="s">
        <v>18</v>
      </c>
      <c r="G33" s="113">
        <v>40</v>
      </c>
      <c r="H33" s="99">
        <v>5000</v>
      </c>
      <c r="I33" s="100">
        <f t="shared" si="0"/>
        <v>200000</v>
      </c>
      <c r="J33" s="24"/>
    </row>
    <row r="34" spans="1:10" s="25" customFormat="1" ht="30" x14ac:dyDescent="0.25">
      <c r="A34" s="95">
        <v>25</v>
      </c>
      <c r="B34" s="23"/>
      <c r="C34" s="85" t="s">
        <v>17</v>
      </c>
      <c r="D34" s="96">
        <v>252</v>
      </c>
      <c r="E34" s="112" t="s">
        <v>89</v>
      </c>
      <c r="F34" s="96" t="s">
        <v>18</v>
      </c>
      <c r="G34" s="113">
        <v>5000</v>
      </c>
      <c r="H34" s="99">
        <v>16</v>
      </c>
      <c r="I34" s="100">
        <f t="shared" si="0"/>
        <v>80000</v>
      </c>
      <c r="J34" s="24"/>
    </row>
    <row r="35" spans="1:10" s="25" customFormat="1" ht="45" x14ac:dyDescent="0.25">
      <c r="A35" s="95">
        <v>26</v>
      </c>
      <c r="B35" s="23"/>
      <c r="C35" s="85" t="s">
        <v>17</v>
      </c>
      <c r="D35" s="96">
        <v>252</v>
      </c>
      <c r="E35" s="89" t="s">
        <v>98</v>
      </c>
      <c r="F35" s="92" t="s">
        <v>18</v>
      </c>
      <c r="G35" s="90">
        <v>10</v>
      </c>
      <c r="H35" s="91">
        <v>2999</v>
      </c>
      <c r="I35" s="100">
        <f t="shared" si="0"/>
        <v>29990</v>
      </c>
      <c r="J35" s="24"/>
    </row>
    <row r="36" spans="1:10" s="25" customFormat="1" ht="45" x14ac:dyDescent="0.25">
      <c r="A36" s="95">
        <v>27</v>
      </c>
      <c r="B36" s="23"/>
      <c r="C36" s="85" t="s">
        <v>17</v>
      </c>
      <c r="D36" s="96">
        <v>252</v>
      </c>
      <c r="E36" s="89" t="s">
        <v>99</v>
      </c>
      <c r="F36" s="92" t="s">
        <v>18</v>
      </c>
      <c r="G36" s="90">
        <v>5</v>
      </c>
      <c r="H36" s="91">
        <v>6318</v>
      </c>
      <c r="I36" s="100">
        <f t="shared" si="0"/>
        <v>31590</v>
      </c>
      <c r="J36" s="24"/>
    </row>
    <row r="37" spans="1:10" s="25" customFormat="1" ht="14.45" customHeight="1" x14ac:dyDescent="0.2">
      <c r="A37" s="124" t="s">
        <v>70</v>
      </c>
      <c r="B37" s="125"/>
      <c r="C37" s="125"/>
      <c r="D37" s="125"/>
      <c r="E37" s="125"/>
      <c r="F37" s="125"/>
      <c r="G37" s="125"/>
      <c r="H37" s="126"/>
      <c r="I37" s="81">
        <f>SUM(I10:I36)</f>
        <v>4560250</v>
      </c>
      <c r="J37" s="24"/>
    </row>
    <row r="38" spans="1:10" s="25" customFormat="1" ht="180" customHeight="1" x14ac:dyDescent="0.2">
      <c r="A38" s="127" t="s">
        <v>71</v>
      </c>
      <c r="B38" s="127"/>
      <c r="C38" s="122" t="s">
        <v>106</v>
      </c>
      <c r="D38" s="122"/>
      <c r="E38" s="122"/>
      <c r="F38" s="122"/>
      <c r="G38" s="28"/>
      <c r="H38" s="29"/>
      <c r="I38" s="30"/>
    </row>
    <row r="39" spans="1:10" s="25" customFormat="1" ht="30" x14ac:dyDescent="0.25">
      <c r="A39" s="26"/>
      <c r="B39" s="31" t="s">
        <v>19</v>
      </c>
      <c r="C39" s="33" t="s">
        <v>72</v>
      </c>
      <c r="D39" s="27"/>
      <c r="E39" s="32"/>
      <c r="F39" s="27"/>
      <c r="G39" s="28"/>
      <c r="H39" s="29"/>
      <c r="I39" s="30"/>
    </row>
    <row r="40" spans="1:10" s="25" customFormat="1" x14ac:dyDescent="0.25">
      <c r="A40" s="26"/>
      <c r="B40" s="31"/>
      <c r="C40" s="26"/>
      <c r="D40" s="27"/>
      <c r="E40" s="32"/>
      <c r="F40" s="27"/>
      <c r="G40" s="28"/>
      <c r="H40" s="29"/>
      <c r="I40" s="30"/>
    </row>
    <row r="41" spans="1:10" s="25" customFormat="1" ht="30" x14ac:dyDescent="0.25">
      <c r="A41" s="26"/>
      <c r="B41" s="31" t="s">
        <v>20</v>
      </c>
      <c r="C41" s="123" t="s">
        <v>21</v>
      </c>
      <c r="D41" s="123"/>
      <c r="E41" s="123"/>
      <c r="F41" s="123"/>
      <c r="G41" s="28"/>
      <c r="H41" s="29"/>
      <c r="I41" s="30"/>
    </row>
    <row r="42" spans="1:10" x14ac:dyDescent="0.25">
      <c r="C42" s="116"/>
      <c r="D42" s="116"/>
      <c r="E42" s="116"/>
      <c r="F42" s="116"/>
    </row>
    <row r="43" spans="1:10" ht="45" x14ac:dyDescent="0.25">
      <c r="B43" s="2" t="s">
        <v>22</v>
      </c>
    </row>
    <row r="45" spans="1:10" ht="30" x14ac:dyDescent="0.25">
      <c r="B45" s="2" t="s">
        <v>23</v>
      </c>
      <c r="C45" s="34" t="s">
        <v>24</v>
      </c>
    </row>
  </sheetData>
  <mergeCells count="12">
    <mergeCell ref="C42:F42"/>
    <mergeCell ref="B2:H2"/>
    <mergeCell ref="A4:B4"/>
    <mergeCell ref="C4:E4"/>
    <mergeCell ref="A5:B5"/>
    <mergeCell ref="C5:E5"/>
    <mergeCell ref="A6:B6"/>
    <mergeCell ref="A7:B7"/>
    <mergeCell ref="C38:F38"/>
    <mergeCell ref="C41:F41"/>
    <mergeCell ref="A37:H37"/>
    <mergeCell ref="A38:B38"/>
  </mergeCells>
  <conditionalFormatting sqref="B47:B1048576 B1:B36">
    <cfRule type="duplicateValues" dxfId="56" priority="70"/>
  </conditionalFormatting>
  <conditionalFormatting sqref="E47:E1048576 E1:E9">
    <cfRule type="duplicateValues" dxfId="55" priority="69"/>
  </conditionalFormatting>
  <conditionalFormatting sqref="E47:E1048576 E1:E9">
    <cfRule type="duplicateValues" dxfId="54" priority="71"/>
    <cfRule type="duplicateValues" dxfId="53" priority="72"/>
  </conditionalFormatting>
  <conditionalFormatting sqref="B47:B1048576 E1:E9 E47:E1048576 B1:B36">
    <cfRule type="duplicateValues" dxfId="52" priority="73"/>
  </conditionalFormatting>
  <conditionalFormatting sqref="B46">
    <cfRule type="duplicateValues" dxfId="51" priority="60"/>
  </conditionalFormatting>
  <conditionalFormatting sqref="E46">
    <cfRule type="duplicateValues" dxfId="50" priority="59"/>
  </conditionalFormatting>
  <conditionalFormatting sqref="E46 B46">
    <cfRule type="duplicateValues" dxfId="49" priority="61"/>
  </conditionalFormatting>
  <conditionalFormatting sqref="E46">
    <cfRule type="duplicateValues" dxfId="48" priority="62"/>
    <cfRule type="duplicateValues" dxfId="47" priority="63"/>
  </conditionalFormatting>
  <conditionalFormatting sqref="E43:E45 E39:E40">
    <cfRule type="duplicateValues" dxfId="46" priority="52"/>
  </conditionalFormatting>
  <conditionalFormatting sqref="E43:E45 B39:B45 A38 E39:E40">
    <cfRule type="duplicateValues" dxfId="45" priority="51"/>
  </conditionalFormatting>
  <conditionalFormatting sqref="E43:E45">
    <cfRule type="duplicateValues" dxfId="44" priority="49"/>
  </conditionalFormatting>
  <conditionalFormatting sqref="E43:E45 E39:E40">
    <cfRule type="duplicateValues" dxfId="43" priority="47"/>
    <cfRule type="duplicateValues" dxfId="42" priority="48"/>
  </conditionalFormatting>
  <conditionalFormatting sqref="B39:B45 A38">
    <cfRule type="duplicateValues" dxfId="41" priority="131"/>
  </conditionalFormatting>
  <conditionalFormatting sqref="E39:E45">
    <cfRule type="duplicateValues" dxfId="40" priority="134"/>
    <cfRule type="duplicateValues" dxfId="39" priority="135"/>
  </conditionalFormatting>
  <conditionalFormatting sqref="E39:E45">
    <cfRule type="duplicateValues" dxfId="38" priority="138"/>
  </conditionalFormatting>
  <conditionalFormatting sqref="E39:E45">
    <cfRule type="duplicateValues" dxfId="37" priority="140"/>
  </conditionalFormatting>
  <conditionalFormatting sqref="B39:B45 A38 E39:E45">
    <cfRule type="duplicateValues" dxfId="36" priority="142"/>
  </conditionalFormatting>
  <conditionalFormatting sqref="B39:B45 A38">
    <cfRule type="duplicateValues" dxfId="35" priority="147"/>
  </conditionalFormatting>
  <conditionalFormatting sqref="E25">
    <cfRule type="duplicateValues" dxfId="34" priority="20"/>
  </conditionalFormatting>
  <conditionalFormatting sqref="E25">
    <cfRule type="duplicateValues" dxfId="33" priority="21"/>
  </conditionalFormatting>
  <conditionalFormatting sqref="E25">
    <cfRule type="duplicateValues" dxfId="32" priority="22"/>
    <cfRule type="duplicateValues" dxfId="31" priority="23"/>
  </conditionalFormatting>
  <conditionalFormatting sqref="E28">
    <cfRule type="duplicateValues" dxfId="30" priority="16"/>
  </conditionalFormatting>
  <conditionalFormatting sqref="E28">
    <cfRule type="duplicateValues" dxfId="29" priority="17"/>
  </conditionalFormatting>
  <conditionalFormatting sqref="E28">
    <cfRule type="duplicateValues" dxfId="28" priority="18"/>
    <cfRule type="duplicateValues" dxfId="27" priority="19"/>
  </conditionalFormatting>
  <conditionalFormatting sqref="E36">
    <cfRule type="duplicateValues" dxfId="26" priority="5"/>
  </conditionalFormatting>
  <conditionalFormatting sqref="E36">
    <cfRule type="duplicateValues" dxfId="25" priority="6"/>
    <cfRule type="duplicateValues" dxfId="24" priority="7"/>
  </conditionalFormatting>
  <conditionalFormatting sqref="E33:E34 E10">
    <cfRule type="duplicateValues" dxfId="23" priority="186"/>
  </conditionalFormatting>
  <conditionalFormatting sqref="E33:E34 E10">
    <cfRule type="duplicateValues" dxfId="22" priority="188"/>
  </conditionalFormatting>
  <conditionalFormatting sqref="E33:E34 E10">
    <cfRule type="duplicateValues" dxfId="21" priority="190"/>
    <cfRule type="duplicateValues" dxfId="20" priority="191"/>
  </conditionalFormatting>
  <conditionalFormatting sqref="E32 E11:E13 E29 E26:E27 E15 E17:E19 E21:E24">
    <cfRule type="duplicateValues" dxfId="19" priority="348"/>
  </conditionalFormatting>
  <conditionalFormatting sqref="E32 E11:E13 E29 E26:E27 E15 E17:E19 E21:E24">
    <cfRule type="duplicateValues" dxfId="18" priority="354"/>
  </conditionalFormatting>
  <conditionalFormatting sqref="E32 E11:E13 E29 E26:E27 E15 E17:E19 E21:E24">
    <cfRule type="duplicateValues" dxfId="17" priority="360"/>
    <cfRule type="duplicateValues" dxfId="16" priority="361"/>
  </conditionalFormatting>
  <conditionalFormatting sqref="E35:E36 E20 E31 E16">
    <cfRule type="duplicateValues" dxfId="15" priority="400"/>
  </conditionalFormatting>
  <conditionalFormatting sqref="E35 E20 E31 E16">
    <cfRule type="duplicateValues" dxfId="14" priority="403"/>
  </conditionalFormatting>
  <conditionalFormatting sqref="E35 E20 E31 E16">
    <cfRule type="duplicateValues" dxfId="13" priority="406"/>
    <cfRule type="duplicateValues" dxfId="12" priority="407"/>
  </conditionalFormatting>
  <conditionalFormatting sqref="E30 E14">
    <cfRule type="duplicateValues" dxfId="11" priority="430"/>
  </conditionalFormatting>
  <conditionalFormatting sqref="E30 E14">
    <cfRule type="duplicateValues" dxfId="10" priority="432"/>
  </conditionalFormatting>
  <conditionalFormatting sqref="E30 E14">
    <cfRule type="duplicateValues" dxfId="9" priority="434"/>
    <cfRule type="duplicateValues" dxfId="8" priority="435"/>
  </conditionalFormatting>
  <pageMargins left="0.70866141732283472" right="0.70866141732283472" top="0.74803149606299213" bottom="0.74803149606299213" header="0.51181102362204722" footer="0.51181102362204722"/>
  <pageSetup paperSize="5" scale="8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92"/>
  <sheetViews>
    <sheetView zoomScale="80" zoomScaleNormal="80" workbookViewId="0">
      <selection activeCell="A42" sqref="A42:I42"/>
    </sheetView>
  </sheetViews>
  <sheetFormatPr baseColWidth="10" defaultColWidth="9.140625" defaultRowHeight="12.75" x14ac:dyDescent="0.2"/>
  <cols>
    <col min="1" max="1" width="5.5703125" style="37" customWidth="1"/>
    <col min="2" max="2" width="15.140625" style="37" customWidth="1"/>
    <col min="3" max="3" width="12" style="37" customWidth="1"/>
    <col min="4" max="4" width="26" style="37" customWidth="1"/>
    <col min="5" max="5" width="8" style="37" customWidth="1"/>
    <col min="6" max="6" width="7.85546875" style="37" customWidth="1"/>
    <col min="7" max="7" width="3.42578125" style="37" customWidth="1"/>
    <col min="8" max="8" width="9.28515625" style="37" customWidth="1"/>
    <col min="9" max="9" width="14.5703125" style="37" customWidth="1"/>
    <col min="10" max="10" width="16" style="37" customWidth="1"/>
    <col min="11" max="11" width="15.5703125" style="37" customWidth="1"/>
    <col min="12" max="12" width="5.85546875" style="37" customWidth="1"/>
    <col min="13" max="13" width="15.7109375" style="37" customWidth="1"/>
    <col min="14" max="14" width="5.85546875" style="37" customWidth="1"/>
    <col min="15" max="15" width="12.5703125" style="37" customWidth="1"/>
    <col min="16" max="1024" width="9.140625" style="37"/>
    <col min="1025" max="16384" width="9.140625" style="49"/>
  </cols>
  <sheetData>
    <row r="1" spans="1:13" ht="18" customHeight="1" thickBot="1" x14ac:dyDescent="0.25">
      <c r="A1" s="144" t="s">
        <v>25</v>
      </c>
      <c r="B1" s="144"/>
      <c r="C1" s="144"/>
      <c r="D1" s="144"/>
      <c r="E1" s="144"/>
      <c r="F1" s="144"/>
      <c r="G1" s="144"/>
      <c r="H1" s="144"/>
      <c r="I1" s="144"/>
      <c r="J1" s="35" t="s">
        <v>26</v>
      </c>
      <c r="K1" s="36" t="s">
        <v>102</v>
      </c>
    </row>
    <row r="2" spans="1:13" ht="18.75" customHeight="1" thickBot="1" x14ac:dyDescent="0.25">
      <c r="A2" s="38"/>
      <c r="B2" s="38"/>
      <c r="C2" s="38"/>
      <c r="D2" s="39"/>
      <c r="E2" s="39"/>
      <c r="F2" s="39"/>
      <c r="G2" s="39"/>
      <c r="H2" s="39"/>
      <c r="I2" s="39"/>
      <c r="J2" s="39"/>
      <c r="K2" s="39"/>
    </row>
    <row r="3" spans="1:13" ht="18.75" customHeight="1" thickBot="1" x14ac:dyDescent="0.25">
      <c r="A3" s="139" t="s">
        <v>27</v>
      </c>
      <c r="B3" s="139"/>
      <c r="C3" s="139"/>
      <c r="D3" s="140" t="s">
        <v>28</v>
      </c>
      <c r="E3" s="140"/>
      <c r="F3" s="140"/>
      <c r="G3" s="140"/>
      <c r="H3" s="140"/>
      <c r="I3" s="140"/>
      <c r="J3" s="140"/>
      <c r="K3" s="140"/>
    </row>
    <row r="4" spans="1:13" ht="18.75" customHeight="1" thickBot="1" x14ac:dyDescent="0.25">
      <c r="A4" s="141" t="s">
        <v>29</v>
      </c>
      <c r="B4" s="141"/>
      <c r="C4" s="141"/>
      <c r="D4" s="140" t="s">
        <v>30</v>
      </c>
      <c r="E4" s="140"/>
      <c r="F4" s="140"/>
      <c r="G4" s="140"/>
      <c r="H4" s="140"/>
      <c r="I4" s="140"/>
      <c r="J4" s="140"/>
      <c r="K4" s="140"/>
    </row>
    <row r="5" spans="1:13" ht="18.75" customHeight="1" thickBot="1" x14ac:dyDescent="0.25">
      <c r="A5" s="141" t="s">
        <v>31</v>
      </c>
      <c r="B5" s="141"/>
      <c r="C5" s="141"/>
      <c r="D5" s="140" t="s">
        <v>32</v>
      </c>
      <c r="E5" s="140"/>
      <c r="F5" s="140"/>
      <c r="G5" s="140"/>
      <c r="H5" s="140"/>
      <c r="I5" s="140"/>
      <c r="J5" s="140"/>
      <c r="K5" s="140"/>
    </row>
    <row r="6" spans="1:13" ht="16.5" customHeight="1" thickBot="1" x14ac:dyDescent="0.25">
      <c r="A6" s="139" t="s">
        <v>33</v>
      </c>
      <c r="B6" s="139"/>
      <c r="C6" s="139"/>
      <c r="D6" s="140" t="s">
        <v>32</v>
      </c>
      <c r="E6" s="140"/>
      <c r="F6" s="140"/>
      <c r="G6" s="140"/>
      <c r="H6" s="140"/>
      <c r="I6" s="140"/>
      <c r="J6" s="140"/>
      <c r="K6" s="140"/>
    </row>
    <row r="7" spans="1:13" ht="16.5" customHeight="1" thickBot="1" x14ac:dyDescent="0.25">
      <c r="A7" s="141" t="s">
        <v>34</v>
      </c>
      <c r="B7" s="141"/>
      <c r="C7" s="141"/>
      <c r="D7" s="140" t="s">
        <v>35</v>
      </c>
      <c r="E7" s="140"/>
      <c r="F7" s="140"/>
      <c r="G7" s="140"/>
      <c r="H7" s="140"/>
      <c r="I7" s="140"/>
      <c r="J7" s="140"/>
      <c r="K7" s="140"/>
    </row>
    <row r="8" spans="1:13" ht="36" customHeight="1" thickBot="1" x14ac:dyDescent="0.25">
      <c r="A8" s="142" t="s">
        <v>36</v>
      </c>
      <c r="B8" s="142"/>
      <c r="C8" s="142"/>
      <c r="D8" s="143" t="s">
        <v>103</v>
      </c>
      <c r="E8" s="143"/>
      <c r="F8" s="143"/>
      <c r="G8" s="143"/>
      <c r="H8" s="143"/>
      <c r="I8" s="143"/>
      <c r="J8" s="143"/>
      <c r="K8" s="143"/>
    </row>
    <row r="9" spans="1:13" ht="16.5" thickBot="1" x14ac:dyDescent="0.25">
      <c r="A9" s="40"/>
      <c r="B9" s="40"/>
      <c r="C9" s="40"/>
      <c r="D9" s="41"/>
      <c r="E9" s="41"/>
      <c r="F9" s="41"/>
      <c r="G9" s="41"/>
      <c r="H9" s="41"/>
      <c r="I9" s="41"/>
      <c r="J9" s="41"/>
      <c r="K9" s="41"/>
    </row>
    <row r="10" spans="1:13" ht="18.75" customHeight="1" thickBot="1" x14ac:dyDescent="0.25">
      <c r="A10" s="131" t="s">
        <v>37</v>
      </c>
      <c r="B10" s="132" t="s">
        <v>38</v>
      </c>
      <c r="C10" s="133" t="s">
        <v>39</v>
      </c>
      <c r="D10" s="133"/>
      <c r="E10" s="133"/>
      <c r="F10" s="133"/>
      <c r="G10" s="133"/>
      <c r="H10" s="132" t="s">
        <v>40</v>
      </c>
      <c r="I10" s="132" t="s">
        <v>41</v>
      </c>
      <c r="J10" s="138" t="s">
        <v>42</v>
      </c>
      <c r="K10" s="137" t="s">
        <v>43</v>
      </c>
    </row>
    <row r="11" spans="1:13" ht="24" customHeight="1" thickBot="1" x14ac:dyDescent="0.25">
      <c r="A11" s="131"/>
      <c r="B11" s="132"/>
      <c r="C11" s="133"/>
      <c r="D11" s="133"/>
      <c r="E11" s="133"/>
      <c r="F11" s="133"/>
      <c r="G11" s="133"/>
      <c r="H11" s="132"/>
      <c r="I11" s="132"/>
      <c r="J11" s="138"/>
      <c r="K11" s="137"/>
    </row>
    <row r="12" spans="1:13" s="37" customFormat="1" ht="32.25" customHeight="1" thickBot="1" x14ac:dyDescent="0.3">
      <c r="A12" s="42">
        <v>1</v>
      </c>
      <c r="B12" s="43"/>
      <c r="C12" s="134" t="s">
        <v>90</v>
      </c>
      <c r="D12" s="135" t="s">
        <v>90</v>
      </c>
      <c r="E12" s="135" t="s">
        <v>90</v>
      </c>
      <c r="F12" s="135" t="s">
        <v>90</v>
      </c>
      <c r="G12" s="136" t="s">
        <v>90</v>
      </c>
      <c r="H12" s="44" t="s">
        <v>44</v>
      </c>
      <c r="I12" s="96" t="s">
        <v>18</v>
      </c>
      <c r="J12" s="99">
        <v>55</v>
      </c>
      <c r="K12" s="98">
        <v>400</v>
      </c>
      <c r="M12" s="45">
        <f>+K12*J12</f>
        <v>22000</v>
      </c>
    </row>
    <row r="13" spans="1:13" s="37" customFormat="1" ht="32.25" customHeight="1" thickBot="1" x14ac:dyDescent="0.3">
      <c r="A13" s="46">
        <v>2</v>
      </c>
      <c r="B13" s="47"/>
      <c r="C13" s="128" t="s">
        <v>78</v>
      </c>
      <c r="D13" s="129" t="s">
        <v>78</v>
      </c>
      <c r="E13" s="129" t="s">
        <v>78</v>
      </c>
      <c r="F13" s="129" t="s">
        <v>78</v>
      </c>
      <c r="G13" s="130" t="s">
        <v>78</v>
      </c>
      <c r="H13" s="44" t="s">
        <v>44</v>
      </c>
      <c r="I13" s="96" t="s">
        <v>18</v>
      </c>
      <c r="J13" s="91">
        <v>52</v>
      </c>
      <c r="K13" s="101">
        <v>2000</v>
      </c>
      <c r="M13" s="45">
        <f t="shared" ref="M13:M38" si="0">+K13*J13</f>
        <v>104000</v>
      </c>
    </row>
    <row r="14" spans="1:13" s="37" customFormat="1" ht="32.25" customHeight="1" thickBot="1" x14ac:dyDescent="0.3">
      <c r="A14" s="42">
        <v>3</v>
      </c>
      <c r="B14" s="47"/>
      <c r="C14" s="128" t="s">
        <v>80</v>
      </c>
      <c r="D14" s="129" t="s">
        <v>80</v>
      </c>
      <c r="E14" s="129" t="s">
        <v>80</v>
      </c>
      <c r="F14" s="129" t="s">
        <v>80</v>
      </c>
      <c r="G14" s="130" t="s">
        <v>80</v>
      </c>
      <c r="H14" s="44" t="s">
        <v>44</v>
      </c>
      <c r="I14" s="96" t="s">
        <v>18</v>
      </c>
      <c r="J14" s="87">
        <v>4.62</v>
      </c>
      <c r="K14" s="86">
        <v>4000</v>
      </c>
      <c r="M14" s="45">
        <f t="shared" si="0"/>
        <v>18480</v>
      </c>
    </row>
    <row r="15" spans="1:13" s="37" customFormat="1" ht="32.25" customHeight="1" thickBot="1" x14ac:dyDescent="0.3">
      <c r="A15" s="42">
        <v>4</v>
      </c>
      <c r="B15" s="47"/>
      <c r="C15" s="128" t="s">
        <v>85</v>
      </c>
      <c r="D15" s="129" t="s">
        <v>85</v>
      </c>
      <c r="E15" s="129" t="s">
        <v>85</v>
      </c>
      <c r="F15" s="129" t="s">
        <v>85</v>
      </c>
      <c r="G15" s="130" t="s">
        <v>85</v>
      </c>
      <c r="H15" s="44" t="s">
        <v>44</v>
      </c>
      <c r="I15" s="96" t="s">
        <v>18</v>
      </c>
      <c r="J15" s="91">
        <v>96</v>
      </c>
      <c r="K15" s="90">
        <v>100</v>
      </c>
      <c r="M15" s="45">
        <f t="shared" si="0"/>
        <v>9600</v>
      </c>
    </row>
    <row r="16" spans="1:13" s="37" customFormat="1" ht="32.25" customHeight="1" thickBot="1" x14ac:dyDescent="0.3">
      <c r="A16" s="46">
        <v>5</v>
      </c>
      <c r="B16" s="47"/>
      <c r="C16" s="128" t="s">
        <v>93</v>
      </c>
      <c r="D16" s="129" t="s">
        <v>93</v>
      </c>
      <c r="E16" s="129" t="s">
        <v>93</v>
      </c>
      <c r="F16" s="129" t="s">
        <v>93</v>
      </c>
      <c r="G16" s="130" t="s">
        <v>93</v>
      </c>
      <c r="H16" s="44" t="s">
        <v>44</v>
      </c>
      <c r="I16" s="96" t="s">
        <v>18</v>
      </c>
      <c r="J16" s="105">
        <v>21.55</v>
      </c>
      <c r="K16" s="104">
        <v>20000</v>
      </c>
      <c r="M16" s="45">
        <f t="shared" si="0"/>
        <v>431000</v>
      </c>
    </row>
    <row r="17" spans="1:13" s="37" customFormat="1" ht="32.25" customHeight="1" thickBot="1" x14ac:dyDescent="0.3">
      <c r="A17" s="42">
        <v>6</v>
      </c>
      <c r="B17" s="47"/>
      <c r="C17" s="128" t="s">
        <v>75</v>
      </c>
      <c r="D17" s="129" t="s">
        <v>75</v>
      </c>
      <c r="E17" s="129" t="s">
        <v>75</v>
      </c>
      <c r="F17" s="129" t="s">
        <v>75</v>
      </c>
      <c r="G17" s="130" t="s">
        <v>75</v>
      </c>
      <c r="H17" s="44" t="s">
        <v>44</v>
      </c>
      <c r="I17" s="96" t="s">
        <v>18</v>
      </c>
      <c r="J17" s="91">
        <v>2.52</v>
      </c>
      <c r="K17" s="101">
        <v>7000</v>
      </c>
      <c r="M17" s="45">
        <f t="shared" si="0"/>
        <v>17640</v>
      </c>
    </row>
    <row r="18" spans="1:13" s="37" customFormat="1" ht="32.25" customHeight="1" thickBot="1" x14ac:dyDescent="0.3">
      <c r="A18" s="42">
        <v>7</v>
      </c>
      <c r="B18" s="47"/>
      <c r="C18" s="128" t="s">
        <v>95</v>
      </c>
      <c r="D18" s="129" t="s">
        <v>95</v>
      </c>
      <c r="E18" s="129" t="s">
        <v>95</v>
      </c>
      <c r="F18" s="129" t="s">
        <v>95</v>
      </c>
      <c r="G18" s="130" t="s">
        <v>95</v>
      </c>
      <c r="H18" s="44" t="s">
        <v>44</v>
      </c>
      <c r="I18" s="84" t="s">
        <v>18</v>
      </c>
      <c r="J18" s="91">
        <v>675</v>
      </c>
      <c r="K18" s="90">
        <v>50</v>
      </c>
      <c r="M18" s="45">
        <f t="shared" si="0"/>
        <v>33750</v>
      </c>
    </row>
    <row r="19" spans="1:13" s="37" customFormat="1" ht="32.25" customHeight="1" thickBot="1" x14ac:dyDescent="0.3">
      <c r="A19" s="46">
        <v>8</v>
      </c>
      <c r="B19" s="47"/>
      <c r="C19" s="128" t="s">
        <v>87</v>
      </c>
      <c r="D19" s="129" t="s">
        <v>87</v>
      </c>
      <c r="E19" s="129" t="s">
        <v>87</v>
      </c>
      <c r="F19" s="129" t="s">
        <v>87</v>
      </c>
      <c r="G19" s="130" t="s">
        <v>87</v>
      </c>
      <c r="H19" s="44" t="s">
        <v>44</v>
      </c>
      <c r="I19" s="96" t="s">
        <v>18</v>
      </c>
      <c r="J19" s="114">
        <v>2.62</v>
      </c>
      <c r="K19" s="106">
        <v>20000</v>
      </c>
      <c r="M19" s="45">
        <f t="shared" si="0"/>
        <v>52400</v>
      </c>
    </row>
    <row r="20" spans="1:13" s="37" customFormat="1" ht="32.25" customHeight="1" thickBot="1" x14ac:dyDescent="0.3">
      <c r="A20" s="42">
        <v>9</v>
      </c>
      <c r="B20" s="47"/>
      <c r="C20" s="128" t="s">
        <v>73</v>
      </c>
      <c r="D20" s="129" t="s">
        <v>73</v>
      </c>
      <c r="E20" s="129" t="s">
        <v>73</v>
      </c>
      <c r="F20" s="129" t="s">
        <v>73</v>
      </c>
      <c r="G20" s="130" t="s">
        <v>73</v>
      </c>
      <c r="H20" s="44" t="s">
        <v>44</v>
      </c>
      <c r="I20" s="96" t="s">
        <v>18</v>
      </c>
      <c r="J20" s="91">
        <v>13.55</v>
      </c>
      <c r="K20" s="101">
        <v>11000</v>
      </c>
      <c r="M20" s="45">
        <f t="shared" si="0"/>
        <v>149050</v>
      </c>
    </row>
    <row r="21" spans="1:13" s="37" customFormat="1" ht="32.25" customHeight="1" thickBot="1" x14ac:dyDescent="0.3">
      <c r="A21" s="42">
        <v>10</v>
      </c>
      <c r="B21" s="47"/>
      <c r="C21" s="128" t="s">
        <v>74</v>
      </c>
      <c r="D21" s="129" t="s">
        <v>74</v>
      </c>
      <c r="E21" s="129" t="s">
        <v>74</v>
      </c>
      <c r="F21" s="129" t="s">
        <v>74</v>
      </c>
      <c r="G21" s="130" t="s">
        <v>74</v>
      </c>
      <c r="H21" s="44" t="s">
        <v>44</v>
      </c>
      <c r="I21" s="96" t="s">
        <v>18</v>
      </c>
      <c r="J21" s="91">
        <v>6</v>
      </c>
      <c r="K21" s="101">
        <v>10000</v>
      </c>
      <c r="M21" s="45">
        <f t="shared" si="0"/>
        <v>60000</v>
      </c>
    </row>
    <row r="22" spans="1:13" s="37" customFormat="1" ht="32.25" customHeight="1" thickBot="1" x14ac:dyDescent="0.3">
      <c r="A22" s="46">
        <v>11</v>
      </c>
      <c r="B22" s="47"/>
      <c r="C22" s="128" t="s">
        <v>96</v>
      </c>
      <c r="D22" s="129" t="s">
        <v>96</v>
      </c>
      <c r="E22" s="129" t="s">
        <v>96</v>
      </c>
      <c r="F22" s="129" t="s">
        <v>96</v>
      </c>
      <c r="G22" s="130" t="s">
        <v>96</v>
      </c>
      <c r="H22" s="44" t="s">
        <v>44</v>
      </c>
      <c r="I22" s="92" t="s">
        <v>18</v>
      </c>
      <c r="J22" s="91">
        <v>426</v>
      </c>
      <c r="K22" s="90">
        <v>50</v>
      </c>
      <c r="M22" s="45">
        <f t="shared" si="0"/>
        <v>21300</v>
      </c>
    </row>
    <row r="23" spans="1:13" s="37" customFormat="1" ht="32.25" customHeight="1" thickBot="1" x14ac:dyDescent="0.3">
      <c r="A23" s="42">
        <v>12</v>
      </c>
      <c r="B23" s="47"/>
      <c r="C23" s="128" t="s">
        <v>82</v>
      </c>
      <c r="D23" s="129" t="s">
        <v>82</v>
      </c>
      <c r="E23" s="129" t="s">
        <v>82</v>
      </c>
      <c r="F23" s="129" t="s">
        <v>82</v>
      </c>
      <c r="G23" s="130" t="s">
        <v>82</v>
      </c>
      <c r="H23" s="44" t="s">
        <v>44</v>
      </c>
      <c r="I23" s="96" t="s">
        <v>18</v>
      </c>
      <c r="J23" s="91">
        <v>47</v>
      </c>
      <c r="K23" s="101">
        <v>3000</v>
      </c>
      <c r="M23" s="45">
        <f t="shared" si="0"/>
        <v>141000</v>
      </c>
    </row>
    <row r="24" spans="1:13" s="37" customFormat="1" ht="32.25" customHeight="1" thickBot="1" x14ac:dyDescent="0.3">
      <c r="A24" s="42">
        <v>13</v>
      </c>
      <c r="B24" s="47"/>
      <c r="C24" s="128" t="s">
        <v>83</v>
      </c>
      <c r="D24" s="129" t="s">
        <v>83</v>
      </c>
      <c r="E24" s="129" t="s">
        <v>83</v>
      </c>
      <c r="F24" s="129" t="s">
        <v>83</v>
      </c>
      <c r="G24" s="130" t="s">
        <v>83</v>
      </c>
      <c r="H24" s="44" t="s">
        <v>44</v>
      </c>
      <c r="I24" s="96" t="s">
        <v>18</v>
      </c>
      <c r="J24" s="91">
        <v>103.5</v>
      </c>
      <c r="K24" s="101">
        <v>100</v>
      </c>
      <c r="M24" s="45">
        <f t="shared" si="0"/>
        <v>10350</v>
      </c>
    </row>
    <row r="25" spans="1:13" s="37" customFormat="1" ht="32.25" customHeight="1" thickBot="1" x14ac:dyDescent="0.3">
      <c r="A25" s="46">
        <v>14</v>
      </c>
      <c r="B25" s="47"/>
      <c r="C25" s="128" t="s">
        <v>77</v>
      </c>
      <c r="D25" s="129" t="s">
        <v>77</v>
      </c>
      <c r="E25" s="129" t="s">
        <v>77</v>
      </c>
      <c r="F25" s="129" t="s">
        <v>77</v>
      </c>
      <c r="G25" s="130" t="s">
        <v>77</v>
      </c>
      <c r="H25" s="44" t="s">
        <v>44</v>
      </c>
      <c r="I25" s="96" t="s">
        <v>18</v>
      </c>
      <c r="J25" s="91">
        <v>6.97</v>
      </c>
      <c r="K25" s="101">
        <v>5000</v>
      </c>
      <c r="M25" s="45">
        <f t="shared" si="0"/>
        <v>34850</v>
      </c>
    </row>
    <row r="26" spans="1:13" s="37" customFormat="1" ht="32.25" customHeight="1" thickBot="1" x14ac:dyDescent="0.3">
      <c r="A26" s="42">
        <v>15</v>
      </c>
      <c r="B26" s="47"/>
      <c r="C26" s="128" t="s">
        <v>81</v>
      </c>
      <c r="D26" s="129" t="s">
        <v>81</v>
      </c>
      <c r="E26" s="129" t="s">
        <v>81</v>
      </c>
      <c r="F26" s="129" t="s">
        <v>81</v>
      </c>
      <c r="G26" s="130" t="s">
        <v>81</v>
      </c>
      <c r="H26" s="44" t="s">
        <v>44</v>
      </c>
      <c r="I26" s="96" t="s">
        <v>18</v>
      </c>
      <c r="J26" s="87">
        <v>5.98</v>
      </c>
      <c r="K26" s="86">
        <v>8000</v>
      </c>
      <c r="M26" s="45">
        <f t="shared" si="0"/>
        <v>47840</v>
      </c>
    </row>
    <row r="27" spans="1:13" s="37" customFormat="1" ht="32.25" customHeight="1" thickBot="1" x14ac:dyDescent="0.3">
      <c r="A27" s="42">
        <v>16</v>
      </c>
      <c r="B27" s="47"/>
      <c r="C27" s="128" t="s">
        <v>88</v>
      </c>
      <c r="D27" s="129" t="s">
        <v>88</v>
      </c>
      <c r="E27" s="129" t="s">
        <v>88</v>
      </c>
      <c r="F27" s="129" t="s">
        <v>88</v>
      </c>
      <c r="G27" s="130" t="s">
        <v>88</v>
      </c>
      <c r="H27" s="44" t="s">
        <v>44</v>
      </c>
      <c r="I27" s="96" t="s">
        <v>18</v>
      </c>
      <c r="J27" s="109">
        <v>190</v>
      </c>
      <c r="K27" s="93">
        <v>10000</v>
      </c>
      <c r="M27" s="45">
        <f t="shared" si="0"/>
        <v>1900000</v>
      </c>
    </row>
    <row r="28" spans="1:13" s="37" customFormat="1" ht="32.25" customHeight="1" thickBot="1" x14ac:dyDescent="0.3">
      <c r="A28" s="46">
        <v>17</v>
      </c>
      <c r="B28" s="47"/>
      <c r="C28" s="128" t="s">
        <v>76</v>
      </c>
      <c r="D28" s="129" t="s">
        <v>76</v>
      </c>
      <c r="E28" s="129" t="s">
        <v>76</v>
      </c>
      <c r="F28" s="129" t="s">
        <v>76</v>
      </c>
      <c r="G28" s="130" t="s">
        <v>76</v>
      </c>
      <c r="H28" s="44" t="s">
        <v>44</v>
      </c>
      <c r="I28" s="96" t="s">
        <v>18</v>
      </c>
      <c r="J28" s="91">
        <v>4.12</v>
      </c>
      <c r="K28" s="101">
        <v>14000</v>
      </c>
      <c r="M28" s="45">
        <f t="shared" si="0"/>
        <v>57680</v>
      </c>
    </row>
    <row r="29" spans="1:13" s="37" customFormat="1" ht="32.25" customHeight="1" thickBot="1" x14ac:dyDescent="0.3">
      <c r="A29" s="42">
        <v>18</v>
      </c>
      <c r="B29" s="47"/>
      <c r="C29" s="128" t="s">
        <v>86</v>
      </c>
      <c r="D29" s="129" t="s">
        <v>86</v>
      </c>
      <c r="E29" s="129" t="s">
        <v>86</v>
      </c>
      <c r="F29" s="129" t="s">
        <v>86</v>
      </c>
      <c r="G29" s="130" t="s">
        <v>86</v>
      </c>
      <c r="H29" s="44" t="s">
        <v>44</v>
      </c>
      <c r="I29" s="96" t="s">
        <v>18</v>
      </c>
      <c r="J29" s="91">
        <v>8.6999999999999993</v>
      </c>
      <c r="K29" s="90">
        <v>7000</v>
      </c>
      <c r="M29" s="45">
        <f t="shared" si="0"/>
        <v>60899.999999999993</v>
      </c>
    </row>
    <row r="30" spans="1:13" s="37" customFormat="1" ht="32.25" customHeight="1" thickBot="1" x14ac:dyDescent="0.3">
      <c r="A30" s="42">
        <v>19</v>
      </c>
      <c r="B30" s="47"/>
      <c r="C30" s="128" t="s">
        <v>92</v>
      </c>
      <c r="D30" s="129" t="s">
        <v>92</v>
      </c>
      <c r="E30" s="129" t="s">
        <v>92</v>
      </c>
      <c r="F30" s="129" t="s">
        <v>92</v>
      </c>
      <c r="G30" s="130" t="s">
        <v>92</v>
      </c>
      <c r="H30" s="44" t="s">
        <v>44</v>
      </c>
      <c r="I30" s="96" t="s">
        <v>18</v>
      </c>
      <c r="J30" s="114">
        <v>520</v>
      </c>
      <c r="K30" s="106">
        <v>50</v>
      </c>
      <c r="M30" s="45">
        <f t="shared" si="0"/>
        <v>26000</v>
      </c>
    </row>
    <row r="31" spans="1:13" s="37" customFormat="1" ht="32.25" customHeight="1" thickBot="1" x14ac:dyDescent="0.3">
      <c r="A31" s="46">
        <v>20</v>
      </c>
      <c r="B31" s="47"/>
      <c r="C31" s="148" t="s">
        <v>84</v>
      </c>
      <c r="D31" s="149" t="s">
        <v>84</v>
      </c>
      <c r="E31" s="149" t="s">
        <v>84</v>
      </c>
      <c r="F31" s="149" t="s">
        <v>84</v>
      </c>
      <c r="G31" s="150" t="s">
        <v>84</v>
      </c>
      <c r="H31" s="44" t="s">
        <v>44</v>
      </c>
      <c r="I31" s="96" t="s">
        <v>18</v>
      </c>
      <c r="J31" s="91">
        <v>6.61</v>
      </c>
      <c r="K31" s="101">
        <v>3000</v>
      </c>
      <c r="M31" s="45">
        <f t="shared" si="0"/>
        <v>19830</v>
      </c>
    </row>
    <row r="32" spans="1:13" s="37" customFormat="1" ht="32.25" customHeight="1" thickBot="1" x14ac:dyDescent="0.3">
      <c r="A32" s="42">
        <v>21</v>
      </c>
      <c r="B32" s="47"/>
      <c r="C32" s="148" t="s">
        <v>94</v>
      </c>
      <c r="D32" s="149" t="s">
        <v>94</v>
      </c>
      <c r="E32" s="149" t="s">
        <v>94</v>
      </c>
      <c r="F32" s="149" t="s">
        <v>94</v>
      </c>
      <c r="G32" s="150" t="s">
        <v>94</v>
      </c>
      <c r="H32" s="44" t="s">
        <v>44</v>
      </c>
      <c r="I32" s="96" t="s">
        <v>18</v>
      </c>
      <c r="J32" s="99">
        <v>47.2</v>
      </c>
      <c r="K32" s="98">
        <v>15000</v>
      </c>
      <c r="M32" s="45">
        <f t="shared" si="0"/>
        <v>708000</v>
      </c>
    </row>
    <row r="33" spans="1:13" s="37" customFormat="1" ht="32.25" customHeight="1" thickBot="1" x14ac:dyDescent="0.3">
      <c r="A33" s="42">
        <v>22</v>
      </c>
      <c r="B33" s="47"/>
      <c r="C33" s="128" t="s">
        <v>97</v>
      </c>
      <c r="D33" s="129" t="s">
        <v>97</v>
      </c>
      <c r="E33" s="129" t="s">
        <v>97</v>
      </c>
      <c r="F33" s="129" t="s">
        <v>97</v>
      </c>
      <c r="G33" s="130" t="s">
        <v>97</v>
      </c>
      <c r="H33" s="44" t="s">
        <v>44</v>
      </c>
      <c r="I33" s="92" t="s">
        <v>100</v>
      </c>
      <c r="J33" s="91">
        <v>25000</v>
      </c>
      <c r="K33" s="90">
        <v>5</v>
      </c>
      <c r="M33" s="45">
        <f t="shared" si="0"/>
        <v>125000</v>
      </c>
    </row>
    <row r="34" spans="1:13" s="37" customFormat="1" ht="32.25" customHeight="1" thickBot="1" x14ac:dyDescent="0.3">
      <c r="A34" s="46">
        <v>23</v>
      </c>
      <c r="B34" s="47"/>
      <c r="C34" s="128" t="s">
        <v>79</v>
      </c>
      <c r="D34" s="129" t="s">
        <v>79</v>
      </c>
      <c r="E34" s="129" t="s">
        <v>79</v>
      </c>
      <c r="F34" s="129" t="s">
        <v>79</v>
      </c>
      <c r="G34" s="130" t="s">
        <v>79</v>
      </c>
      <c r="H34" s="44" t="s">
        <v>44</v>
      </c>
      <c r="I34" s="96" t="s">
        <v>18</v>
      </c>
      <c r="J34" s="91">
        <v>42</v>
      </c>
      <c r="K34" s="101">
        <v>4000</v>
      </c>
      <c r="M34" s="45">
        <f t="shared" si="0"/>
        <v>168000</v>
      </c>
    </row>
    <row r="35" spans="1:13" s="37" customFormat="1" ht="32.25" customHeight="1" thickBot="1" x14ac:dyDescent="0.3">
      <c r="A35" s="42">
        <v>24</v>
      </c>
      <c r="B35" s="47"/>
      <c r="C35" s="128" t="s">
        <v>91</v>
      </c>
      <c r="D35" s="129" t="s">
        <v>91</v>
      </c>
      <c r="E35" s="129" t="s">
        <v>91</v>
      </c>
      <c r="F35" s="129" t="s">
        <v>91</v>
      </c>
      <c r="G35" s="130" t="s">
        <v>91</v>
      </c>
      <c r="H35" s="44" t="s">
        <v>44</v>
      </c>
      <c r="I35" s="96" t="s">
        <v>18</v>
      </c>
      <c r="J35" s="99">
        <v>5000</v>
      </c>
      <c r="K35" s="113">
        <v>40</v>
      </c>
      <c r="M35" s="45">
        <f t="shared" si="0"/>
        <v>200000</v>
      </c>
    </row>
    <row r="36" spans="1:13" s="37" customFormat="1" ht="32.25" customHeight="1" thickBot="1" x14ac:dyDescent="0.3">
      <c r="A36" s="42">
        <v>25</v>
      </c>
      <c r="B36" s="47"/>
      <c r="C36" s="128" t="s">
        <v>89</v>
      </c>
      <c r="D36" s="129" t="s">
        <v>89</v>
      </c>
      <c r="E36" s="129" t="s">
        <v>89</v>
      </c>
      <c r="F36" s="129" t="s">
        <v>89</v>
      </c>
      <c r="G36" s="130" t="s">
        <v>89</v>
      </c>
      <c r="H36" s="44" t="s">
        <v>44</v>
      </c>
      <c r="I36" s="96" t="s">
        <v>18</v>
      </c>
      <c r="J36" s="99">
        <v>16</v>
      </c>
      <c r="K36" s="113">
        <v>5000</v>
      </c>
      <c r="M36" s="45">
        <f t="shared" si="0"/>
        <v>80000</v>
      </c>
    </row>
    <row r="37" spans="1:13" s="37" customFormat="1" ht="32.25" customHeight="1" thickBot="1" x14ac:dyDescent="0.3">
      <c r="A37" s="46">
        <v>26</v>
      </c>
      <c r="B37" s="47"/>
      <c r="C37" s="128" t="s">
        <v>98</v>
      </c>
      <c r="D37" s="129" t="s">
        <v>98</v>
      </c>
      <c r="E37" s="129" t="s">
        <v>98</v>
      </c>
      <c r="F37" s="129" t="s">
        <v>98</v>
      </c>
      <c r="G37" s="130" t="s">
        <v>98</v>
      </c>
      <c r="H37" s="44" t="s">
        <v>44</v>
      </c>
      <c r="I37" s="92" t="s">
        <v>18</v>
      </c>
      <c r="J37" s="91">
        <v>2999</v>
      </c>
      <c r="K37" s="90">
        <v>10</v>
      </c>
      <c r="M37" s="45">
        <f t="shared" si="0"/>
        <v>29990</v>
      </c>
    </row>
    <row r="38" spans="1:13" s="37" customFormat="1" ht="32.25" customHeight="1" thickBot="1" x14ac:dyDescent="0.3">
      <c r="A38" s="42">
        <v>27</v>
      </c>
      <c r="B38" s="47"/>
      <c r="C38" s="128" t="s">
        <v>99</v>
      </c>
      <c r="D38" s="129" t="s">
        <v>99</v>
      </c>
      <c r="E38" s="129" t="s">
        <v>99</v>
      </c>
      <c r="F38" s="129" t="s">
        <v>99</v>
      </c>
      <c r="G38" s="130" t="s">
        <v>99</v>
      </c>
      <c r="H38" s="44" t="s">
        <v>44</v>
      </c>
      <c r="I38" s="92" t="s">
        <v>18</v>
      </c>
      <c r="J38" s="91">
        <v>6318</v>
      </c>
      <c r="K38" s="90">
        <v>5</v>
      </c>
      <c r="M38" s="45">
        <f t="shared" si="0"/>
        <v>31590</v>
      </c>
    </row>
    <row r="39" spans="1:13" s="37" customFormat="1" ht="32.25" customHeight="1" thickBot="1" x14ac:dyDescent="0.3">
      <c r="A39" s="42"/>
      <c r="B39" s="47"/>
      <c r="C39" s="128"/>
      <c r="D39" s="129"/>
      <c r="E39" s="129"/>
      <c r="F39" s="129"/>
      <c r="G39" s="130"/>
      <c r="H39" s="44"/>
      <c r="I39" s="92"/>
      <c r="J39" s="91"/>
      <c r="K39" s="90"/>
      <c r="M39" s="45">
        <f t="shared" ref="M39:M41" si="1">+K39*J39</f>
        <v>0</v>
      </c>
    </row>
    <row r="40" spans="1:13" s="37" customFormat="1" ht="32.25" customHeight="1" thickBot="1" x14ac:dyDescent="0.25">
      <c r="A40" s="46"/>
      <c r="B40" s="47"/>
      <c r="C40" s="145"/>
      <c r="D40" s="146"/>
      <c r="E40" s="146"/>
      <c r="F40" s="146"/>
      <c r="G40" s="147"/>
      <c r="H40" s="44"/>
      <c r="I40" s="92"/>
      <c r="J40" s="91"/>
      <c r="K40" s="90"/>
      <c r="M40" s="45">
        <f t="shared" si="1"/>
        <v>0</v>
      </c>
    </row>
    <row r="41" spans="1:13" s="37" customFormat="1" ht="32.25" customHeight="1" thickBot="1" x14ac:dyDescent="0.3">
      <c r="A41" s="42"/>
      <c r="B41" s="47"/>
      <c r="C41" s="145"/>
      <c r="D41" s="146"/>
      <c r="E41" s="146"/>
      <c r="F41" s="146"/>
      <c r="G41" s="147"/>
      <c r="H41" s="44"/>
      <c r="I41" s="96"/>
      <c r="J41" s="115"/>
      <c r="K41" s="88"/>
      <c r="M41" s="45">
        <f t="shared" si="1"/>
        <v>0</v>
      </c>
    </row>
    <row r="42" spans="1:13" s="37" customFormat="1" ht="30.75" customHeight="1" thickBot="1" x14ac:dyDescent="0.3">
      <c r="A42" s="155" t="s">
        <v>104</v>
      </c>
      <c r="B42" s="156"/>
      <c r="C42" s="156"/>
      <c r="D42" s="156"/>
      <c r="E42" s="156"/>
      <c r="F42" s="156"/>
      <c r="G42" s="156"/>
      <c r="H42" s="156"/>
      <c r="I42" s="157"/>
      <c r="J42" s="151">
        <f>SUM(M12:M38)</f>
        <v>4560250</v>
      </c>
      <c r="K42" s="152"/>
      <c r="M42" s="48"/>
    </row>
    <row r="43" spans="1:13" s="37" customFormat="1" ht="15.95" customHeight="1" x14ac:dyDescent="0.25">
      <c r="A43" s="153"/>
      <c r="B43" s="153"/>
      <c r="C43" s="153"/>
      <c r="D43" s="153"/>
      <c r="E43" s="153"/>
      <c r="F43" s="153"/>
      <c r="G43" s="153"/>
      <c r="H43" s="153"/>
      <c r="I43" s="153"/>
      <c r="J43" s="154"/>
      <c r="K43" s="154"/>
      <c r="M43" s="48"/>
    </row>
    <row r="44" spans="1:13" s="37" customFormat="1" ht="15.95" customHeight="1" x14ac:dyDescent="0.25">
      <c r="M44" s="48"/>
    </row>
    <row r="45" spans="1:13" s="37" customFormat="1" ht="15.95" customHeight="1" x14ac:dyDescent="0.25">
      <c r="M45" s="48"/>
    </row>
    <row r="46" spans="1:13" s="37" customFormat="1" ht="15.95" customHeight="1" x14ac:dyDescent="0.25">
      <c r="M46" s="48"/>
    </row>
    <row r="47" spans="1:13" s="37" customFormat="1" ht="15.95" customHeight="1" x14ac:dyDescent="0.25">
      <c r="M47" s="48"/>
    </row>
    <row r="48" spans="1:13" s="37" customFormat="1" ht="15.95" customHeight="1" x14ac:dyDescent="0.25">
      <c r="M48" s="48"/>
    </row>
    <row r="49" spans="13:13" s="37" customFormat="1" ht="15.95" customHeight="1" x14ac:dyDescent="0.25">
      <c r="M49" s="48"/>
    </row>
    <row r="50" spans="13:13" s="37" customFormat="1" ht="15.95" customHeight="1" x14ac:dyDescent="0.25">
      <c r="M50" s="48"/>
    </row>
    <row r="51" spans="13:13" s="37" customFormat="1" ht="15.95" customHeight="1" x14ac:dyDescent="0.25">
      <c r="M51" s="48"/>
    </row>
    <row r="52" spans="13:13" s="37" customFormat="1" ht="15.95" customHeight="1" x14ac:dyDescent="0.25">
      <c r="M52" s="48"/>
    </row>
    <row r="53" spans="13:13" s="37" customFormat="1" ht="15.95" customHeight="1" x14ac:dyDescent="0.25">
      <c r="M53" s="48"/>
    </row>
    <row r="54" spans="13:13" s="37" customFormat="1" ht="15.95" customHeight="1" x14ac:dyDescent="0.25">
      <c r="M54" s="48"/>
    </row>
    <row r="55" spans="13:13" s="37" customFormat="1" ht="15.95" customHeight="1" x14ac:dyDescent="0.25">
      <c r="M55" s="48"/>
    </row>
    <row r="56" spans="13:13" s="37" customFormat="1" ht="15.95" customHeight="1" x14ac:dyDescent="0.25">
      <c r="M56" s="48"/>
    </row>
    <row r="57" spans="13:13" s="37" customFormat="1" ht="15.95" customHeight="1" x14ac:dyDescent="0.25">
      <c r="M57" s="48"/>
    </row>
    <row r="58" spans="13:13" s="37" customFormat="1" ht="15.95" customHeight="1" x14ac:dyDescent="0.25">
      <c r="M58" s="48"/>
    </row>
    <row r="59" spans="13:13" s="37" customFormat="1" ht="15.95" customHeight="1" x14ac:dyDescent="0.25">
      <c r="M59" s="48"/>
    </row>
    <row r="60" spans="13:13" s="37" customFormat="1" ht="15.95" customHeight="1" x14ac:dyDescent="0.25">
      <c r="M60" s="48"/>
    </row>
    <row r="61" spans="13:13" s="37" customFormat="1" ht="15.95" customHeight="1" x14ac:dyDescent="0.25">
      <c r="M61" s="48"/>
    </row>
    <row r="62" spans="13:13" s="37" customFormat="1" ht="15.95" customHeight="1" x14ac:dyDescent="0.25">
      <c r="M62" s="48"/>
    </row>
    <row r="63" spans="13:13" s="37" customFormat="1" ht="15.95" customHeight="1" x14ac:dyDescent="0.25">
      <c r="M63" s="48"/>
    </row>
    <row r="64" spans="13:13" s="37" customFormat="1" ht="15.95" customHeight="1" x14ac:dyDescent="0.25">
      <c r="M64" s="48"/>
    </row>
    <row r="65" spans="12:1024" s="37" customFormat="1" ht="15.95" customHeight="1" x14ac:dyDescent="0.25">
      <c r="M65" s="48"/>
    </row>
    <row r="66" spans="12:1024" s="37" customFormat="1" ht="15.95" customHeight="1" x14ac:dyDescent="0.25">
      <c r="M66" s="48"/>
    </row>
    <row r="67" spans="12:1024" s="37" customFormat="1" ht="15.95" customHeight="1" x14ac:dyDescent="0.25">
      <c r="M67" s="48"/>
    </row>
    <row r="68" spans="12:1024" s="37" customFormat="1" ht="15.95" customHeight="1" x14ac:dyDescent="0.25">
      <c r="M68" s="48"/>
    </row>
    <row r="69" spans="12:1024" s="37" customFormat="1" ht="15.95" customHeight="1" x14ac:dyDescent="0.25">
      <c r="M69" s="48"/>
    </row>
    <row r="70" spans="12:1024" s="37" customFormat="1" ht="15.95" customHeight="1" x14ac:dyDescent="0.25">
      <c r="M70" s="48"/>
    </row>
    <row r="71" spans="12:1024" s="37" customFormat="1" ht="15.95" customHeight="1" x14ac:dyDescent="0.25">
      <c r="M71" s="48"/>
    </row>
    <row r="72" spans="12:1024" s="37" customFormat="1" ht="15.95" customHeight="1" x14ac:dyDescent="0.25">
      <c r="M72" s="48"/>
    </row>
    <row r="73" spans="12:1024" s="37" customFormat="1" ht="15.95" customHeight="1" x14ac:dyDescent="0.25">
      <c r="M73" s="48"/>
    </row>
    <row r="74" spans="12:1024" s="37" customFormat="1" ht="15.95" customHeight="1" x14ac:dyDescent="0.25">
      <c r="M74" s="48"/>
    </row>
    <row r="75" spans="12:1024" s="37" customFormat="1" ht="15.95" customHeight="1" x14ac:dyDescent="0.25">
      <c r="M75" s="48"/>
    </row>
    <row r="76" spans="12:1024" s="37" customFormat="1" ht="15.95" customHeight="1" x14ac:dyDescent="0.25">
      <c r="M76" s="48"/>
    </row>
    <row r="77" spans="12:1024" ht="15.95" customHeight="1" x14ac:dyDescent="0.2">
      <c r="M77" s="48"/>
    </row>
    <row r="78" spans="12:1024" ht="15.95" customHeight="1" x14ac:dyDescent="0.2">
      <c r="M78" s="48"/>
    </row>
    <row r="79" spans="12:1024" ht="15.95" customHeight="1" x14ac:dyDescent="0.2">
      <c r="M79" s="48"/>
    </row>
    <row r="80" spans="12:1024" ht="15.95" customHeight="1" x14ac:dyDescent="0.2">
      <c r="L80" s="49"/>
      <c r="M80" s="50"/>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49"/>
      <c r="EJ80" s="49"/>
      <c r="EK80" s="49"/>
      <c r="EL80" s="49"/>
      <c r="EM80" s="49"/>
      <c r="EN80" s="49"/>
      <c r="EO80" s="49"/>
      <c r="EP80" s="49"/>
      <c r="EQ80" s="49"/>
      <c r="ER80" s="49"/>
      <c r="ES80" s="49"/>
      <c r="ET80" s="49"/>
      <c r="EU80" s="49"/>
      <c r="EV80" s="49"/>
      <c r="EW80" s="49"/>
      <c r="EX80" s="49"/>
      <c r="EY80" s="49"/>
      <c r="EZ80" s="49"/>
      <c r="FA80" s="49"/>
      <c r="FB80" s="49"/>
      <c r="FC80" s="49"/>
      <c r="FD80" s="49"/>
      <c r="FE80" s="49"/>
      <c r="FF80" s="49"/>
      <c r="FG80" s="49"/>
      <c r="FH80" s="49"/>
      <c r="FI80" s="49"/>
      <c r="FJ80" s="49"/>
      <c r="FK80" s="49"/>
      <c r="FL80" s="49"/>
      <c r="FM80" s="49"/>
      <c r="FN80" s="49"/>
      <c r="FO80" s="49"/>
      <c r="FP80" s="49"/>
      <c r="FQ80" s="49"/>
      <c r="FR80" s="49"/>
      <c r="FS80" s="49"/>
      <c r="FT80" s="49"/>
      <c r="FU80" s="49"/>
      <c r="FV80" s="49"/>
      <c r="FW80" s="49"/>
      <c r="FX80" s="49"/>
      <c r="FY80" s="49"/>
      <c r="FZ80" s="49"/>
      <c r="GA80" s="49"/>
      <c r="GB80" s="49"/>
      <c r="GC80" s="49"/>
      <c r="GD80" s="49"/>
      <c r="GE80" s="49"/>
      <c r="GF80" s="49"/>
      <c r="GG80" s="49"/>
      <c r="GH80" s="49"/>
      <c r="GI80" s="49"/>
      <c r="GJ80" s="49"/>
      <c r="GK80" s="49"/>
      <c r="GL80" s="49"/>
      <c r="GM80" s="49"/>
      <c r="GN80" s="49"/>
      <c r="GO80" s="49"/>
      <c r="GP80" s="49"/>
      <c r="GQ80" s="49"/>
      <c r="GR80" s="49"/>
      <c r="GS80" s="49"/>
      <c r="GT80" s="49"/>
      <c r="GU80" s="49"/>
      <c r="GV80" s="49"/>
      <c r="GW80" s="49"/>
      <c r="GX80" s="49"/>
      <c r="GY80" s="49"/>
      <c r="GZ80" s="49"/>
      <c r="HA80" s="49"/>
      <c r="HB80" s="49"/>
      <c r="HC80" s="49"/>
      <c r="HD80" s="49"/>
      <c r="HE80" s="49"/>
      <c r="HF80" s="49"/>
      <c r="HG80" s="49"/>
      <c r="HH80" s="49"/>
      <c r="HI80" s="49"/>
      <c r="HJ80" s="49"/>
      <c r="HK80" s="49"/>
      <c r="HL80" s="49"/>
      <c r="HM80" s="49"/>
      <c r="HN80" s="49"/>
      <c r="HO80" s="49"/>
      <c r="HP80" s="49"/>
      <c r="HQ80" s="49"/>
      <c r="HR80" s="49"/>
      <c r="HS80" s="49"/>
      <c r="HT80" s="49"/>
      <c r="HU80" s="49"/>
      <c r="HV80" s="49"/>
      <c r="HW80" s="49"/>
      <c r="HX80" s="49"/>
      <c r="HY80" s="49"/>
      <c r="HZ80" s="49"/>
      <c r="IA80" s="49"/>
      <c r="IB80" s="49"/>
      <c r="IC80" s="49"/>
      <c r="ID80" s="49"/>
      <c r="IE80" s="49"/>
      <c r="IF80" s="49"/>
      <c r="IG80" s="49"/>
      <c r="IH80" s="49"/>
      <c r="II80" s="49"/>
      <c r="IJ80" s="49"/>
      <c r="IK80" s="49"/>
      <c r="IL80" s="49"/>
      <c r="IM80" s="49"/>
      <c r="IN80" s="49"/>
      <c r="IO80" s="49"/>
      <c r="IP80" s="49"/>
      <c r="IQ80" s="49"/>
      <c r="IR80" s="49"/>
      <c r="IS80" s="49"/>
      <c r="IT80" s="49"/>
      <c r="IU80" s="49"/>
      <c r="IV80" s="49"/>
      <c r="IW80" s="49"/>
      <c r="IX80" s="49"/>
      <c r="IY80" s="49"/>
      <c r="IZ80" s="49"/>
      <c r="JA80" s="49"/>
      <c r="JB80" s="49"/>
      <c r="JC80" s="49"/>
      <c r="JD80" s="49"/>
      <c r="JE80" s="49"/>
      <c r="JF80" s="49"/>
      <c r="JG80" s="49"/>
      <c r="JH80" s="49"/>
      <c r="JI80" s="49"/>
      <c r="JJ80" s="49"/>
      <c r="JK80" s="49"/>
      <c r="JL80" s="49"/>
      <c r="JM80" s="49"/>
      <c r="JN80" s="49"/>
      <c r="JO80" s="49"/>
      <c r="JP80" s="49"/>
      <c r="JQ80" s="49"/>
      <c r="JR80" s="49"/>
      <c r="JS80" s="49"/>
      <c r="JT80" s="49"/>
      <c r="JU80" s="49"/>
      <c r="JV80" s="49"/>
      <c r="JW80" s="49"/>
      <c r="JX80" s="49"/>
      <c r="JY80" s="49"/>
      <c r="JZ80" s="49"/>
      <c r="KA80" s="49"/>
      <c r="KB80" s="49"/>
      <c r="KC80" s="49"/>
      <c r="KD80" s="49"/>
      <c r="KE80" s="49"/>
      <c r="KF80" s="49"/>
      <c r="KG80" s="49"/>
      <c r="KH80" s="49"/>
      <c r="KI80" s="49"/>
      <c r="KJ80" s="49"/>
      <c r="KK80" s="49"/>
      <c r="KL80" s="49"/>
      <c r="KM80" s="49"/>
      <c r="KN80" s="49"/>
      <c r="KO80" s="49"/>
      <c r="KP80" s="49"/>
      <c r="KQ80" s="49"/>
      <c r="KR80" s="49"/>
      <c r="KS80" s="49"/>
      <c r="KT80" s="49"/>
      <c r="KU80" s="49"/>
      <c r="KV80" s="49"/>
      <c r="KW80" s="49"/>
      <c r="KX80" s="49"/>
      <c r="KY80" s="49"/>
      <c r="KZ80" s="49"/>
      <c r="LA80" s="49"/>
      <c r="LB80" s="49"/>
      <c r="LC80" s="49"/>
      <c r="LD80" s="49"/>
      <c r="LE80" s="49"/>
      <c r="LF80" s="49"/>
      <c r="LG80" s="49"/>
      <c r="LH80" s="49"/>
      <c r="LI80" s="49"/>
      <c r="LJ80" s="49"/>
      <c r="LK80" s="49"/>
      <c r="LL80" s="49"/>
      <c r="LM80" s="49"/>
      <c r="LN80" s="49"/>
      <c r="LO80" s="49"/>
      <c r="LP80" s="49"/>
      <c r="LQ80" s="49"/>
      <c r="LR80" s="49"/>
      <c r="LS80" s="49"/>
      <c r="LT80" s="49"/>
      <c r="LU80" s="49"/>
      <c r="LV80" s="49"/>
      <c r="LW80" s="49"/>
      <c r="LX80" s="49"/>
      <c r="LY80" s="49"/>
      <c r="LZ80" s="49"/>
      <c r="MA80" s="49"/>
      <c r="MB80" s="49"/>
      <c r="MC80" s="49"/>
      <c r="MD80" s="49"/>
      <c r="ME80" s="49"/>
      <c r="MF80" s="49"/>
      <c r="MG80" s="49"/>
      <c r="MH80" s="49"/>
      <c r="MI80" s="49"/>
      <c r="MJ80" s="49"/>
      <c r="MK80" s="49"/>
      <c r="ML80" s="49"/>
      <c r="MM80" s="49"/>
      <c r="MN80" s="49"/>
      <c r="MO80" s="49"/>
      <c r="MP80" s="49"/>
      <c r="MQ80" s="49"/>
      <c r="MR80" s="49"/>
      <c r="MS80" s="49"/>
      <c r="MT80" s="49"/>
      <c r="MU80" s="49"/>
      <c r="MV80" s="49"/>
      <c r="MW80" s="49"/>
      <c r="MX80" s="49"/>
      <c r="MY80" s="49"/>
      <c r="MZ80" s="49"/>
      <c r="NA80" s="49"/>
      <c r="NB80" s="49"/>
      <c r="NC80" s="49"/>
      <c r="ND80" s="49"/>
      <c r="NE80" s="49"/>
      <c r="NF80" s="49"/>
      <c r="NG80" s="49"/>
      <c r="NH80" s="49"/>
      <c r="NI80" s="49"/>
      <c r="NJ80" s="49"/>
      <c r="NK80" s="49"/>
      <c r="NL80" s="49"/>
      <c r="NM80" s="49"/>
      <c r="NN80" s="49"/>
      <c r="NO80" s="49"/>
      <c r="NP80" s="49"/>
      <c r="NQ80" s="49"/>
      <c r="NR80" s="49"/>
      <c r="NS80" s="49"/>
      <c r="NT80" s="49"/>
      <c r="NU80" s="49"/>
      <c r="NV80" s="49"/>
      <c r="NW80" s="49"/>
      <c r="NX80" s="49"/>
      <c r="NY80" s="49"/>
      <c r="NZ80" s="49"/>
      <c r="OA80" s="49"/>
      <c r="OB80" s="49"/>
      <c r="OC80" s="49"/>
      <c r="OD80" s="49"/>
      <c r="OE80" s="49"/>
      <c r="OF80" s="49"/>
      <c r="OG80" s="49"/>
      <c r="OH80" s="49"/>
      <c r="OI80" s="49"/>
      <c r="OJ80" s="49"/>
      <c r="OK80" s="49"/>
      <c r="OL80" s="49"/>
      <c r="OM80" s="49"/>
      <c r="ON80" s="49"/>
      <c r="OO80" s="49"/>
      <c r="OP80" s="49"/>
      <c r="OQ80" s="49"/>
      <c r="OR80" s="49"/>
      <c r="OS80" s="49"/>
      <c r="OT80" s="49"/>
      <c r="OU80" s="49"/>
      <c r="OV80" s="49"/>
      <c r="OW80" s="49"/>
      <c r="OX80" s="49"/>
      <c r="OY80" s="49"/>
      <c r="OZ80" s="49"/>
      <c r="PA80" s="49"/>
      <c r="PB80" s="49"/>
      <c r="PC80" s="49"/>
      <c r="PD80" s="49"/>
      <c r="PE80" s="49"/>
      <c r="PF80" s="49"/>
      <c r="PG80" s="49"/>
      <c r="PH80" s="49"/>
      <c r="PI80" s="49"/>
      <c r="PJ80" s="49"/>
      <c r="PK80" s="49"/>
      <c r="PL80" s="49"/>
      <c r="PM80" s="49"/>
      <c r="PN80" s="49"/>
      <c r="PO80" s="49"/>
      <c r="PP80" s="49"/>
      <c r="PQ80" s="49"/>
      <c r="PR80" s="49"/>
      <c r="PS80" s="49"/>
      <c r="PT80" s="49"/>
      <c r="PU80" s="49"/>
      <c r="PV80" s="49"/>
      <c r="PW80" s="49"/>
      <c r="PX80" s="49"/>
      <c r="PY80" s="49"/>
      <c r="PZ80" s="49"/>
      <c r="QA80" s="49"/>
      <c r="QB80" s="49"/>
      <c r="QC80" s="49"/>
      <c r="QD80" s="49"/>
      <c r="QE80" s="49"/>
      <c r="QF80" s="49"/>
      <c r="QG80" s="49"/>
      <c r="QH80" s="49"/>
      <c r="QI80" s="49"/>
      <c r="QJ80" s="49"/>
      <c r="QK80" s="49"/>
      <c r="QL80" s="49"/>
      <c r="QM80" s="49"/>
      <c r="QN80" s="49"/>
      <c r="QO80" s="49"/>
      <c r="QP80" s="49"/>
      <c r="QQ80" s="49"/>
      <c r="QR80" s="49"/>
      <c r="QS80" s="49"/>
      <c r="QT80" s="49"/>
      <c r="QU80" s="49"/>
      <c r="QV80" s="49"/>
      <c r="QW80" s="49"/>
      <c r="QX80" s="49"/>
      <c r="QY80" s="49"/>
      <c r="QZ80" s="49"/>
      <c r="RA80" s="49"/>
      <c r="RB80" s="49"/>
      <c r="RC80" s="49"/>
      <c r="RD80" s="49"/>
      <c r="RE80" s="49"/>
      <c r="RF80" s="49"/>
      <c r="RG80" s="49"/>
      <c r="RH80" s="49"/>
      <c r="RI80" s="49"/>
      <c r="RJ80" s="49"/>
      <c r="RK80" s="49"/>
      <c r="RL80" s="49"/>
      <c r="RM80" s="49"/>
      <c r="RN80" s="49"/>
      <c r="RO80" s="49"/>
      <c r="RP80" s="49"/>
      <c r="RQ80" s="49"/>
      <c r="RR80" s="49"/>
      <c r="RS80" s="49"/>
      <c r="RT80" s="49"/>
      <c r="RU80" s="49"/>
      <c r="RV80" s="49"/>
      <c r="RW80" s="49"/>
      <c r="RX80" s="49"/>
      <c r="RY80" s="49"/>
      <c r="RZ80" s="49"/>
      <c r="SA80" s="49"/>
      <c r="SB80" s="49"/>
      <c r="SC80" s="49"/>
      <c r="SD80" s="49"/>
      <c r="SE80" s="49"/>
      <c r="SF80" s="49"/>
      <c r="SG80" s="49"/>
      <c r="SH80" s="49"/>
      <c r="SI80" s="49"/>
      <c r="SJ80" s="49"/>
      <c r="SK80" s="49"/>
      <c r="SL80" s="49"/>
      <c r="SM80" s="49"/>
      <c r="SN80" s="49"/>
      <c r="SO80" s="49"/>
      <c r="SP80" s="49"/>
      <c r="SQ80" s="49"/>
      <c r="SR80" s="49"/>
      <c r="SS80" s="49"/>
      <c r="ST80" s="49"/>
      <c r="SU80" s="49"/>
      <c r="SV80" s="49"/>
      <c r="SW80" s="49"/>
      <c r="SX80" s="49"/>
      <c r="SY80" s="49"/>
      <c r="SZ80" s="49"/>
      <c r="TA80" s="49"/>
      <c r="TB80" s="49"/>
      <c r="TC80" s="49"/>
      <c r="TD80" s="49"/>
      <c r="TE80" s="49"/>
      <c r="TF80" s="49"/>
      <c r="TG80" s="49"/>
      <c r="TH80" s="49"/>
      <c r="TI80" s="49"/>
      <c r="TJ80" s="49"/>
      <c r="TK80" s="49"/>
      <c r="TL80" s="49"/>
      <c r="TM80" s="49"/>
      <c r="TN80" s="49"/>
      <c r="TO80" s="49"/>
      <c r="TP80" s="49"/>
      <c r="TQ80" s="49"/>
      <c r="TR80" s="49"/>
      <c r="TS80" s="49"/>
      <c r="TT80" s="49"/>
      <c r="TU80" s="49"/>
      <c r="TV80" s="49"/>
      <c r="TW80" s="49"/>
      <c r="TX80" s="49"/>
      <c r="TY80" s="49"/>
      <c r="TZ80" s="49"/>
      <c r="UA80" s="49"/>
      <c r="UB80" s="49"/>
      <c r="UC80" s="49"/>
      <c r="UD80" s="49"/>
      <c r="UE80" s="49"/>
      <c r="UF80" s="49"/>
      <c r="UG80" s="49"/>
      <c r="UH80" s="49"/>
      <c r="UI80" s="49"/>
      <c r="UJ80" s="49"/>
      <c r="UK80" s="49"/>
      <c r="UL80" s="49"/>
      <c r="UM80" s="49"/>
      <c r="UN80" s="49"/>
      <c r="UO80" s="49"/>
      <c r="UP80" s="49"/>
      <c r="UQ80" s="49"/>
      <c r="UR80" s="49"/>
      <c r="US80" s="49"/>
      <c r="UT80" s="49"/>
      <c r="UU80" s="49"/>
      <c r="UV80" s="49"/>
      <c r="UW80" s="49"/>
      <c r="UX80" s="49"/>
      <c r="UY80" s="49"/>
      <c r="UZ80" s="49"/>
      <c r="VA80" s="49"/>
      <c r="VB80" s="49"/>
      <c r="VC80" s="49"/>
      <c r="VD80" s="49"/>
      <c r="VE80" s="49"/>
      <c r="VF80" s="49"/>
      <c r="VG80" s="49"/>
      <c r="VH80" s="49"/>
      <c r="VI80" s="49"/>
      <c r="VJ80" s="49"/>
      <c r="VK80" s="49"/>
      <c r="VL80" s="49"/>
      <c r="VM80" s="49"/>
      <c r="VN80" s="49"/>
      <c r="VO80" s="49"/>
      <c r="VP80" s="49"/>
      <c r="VQ80" s="49"/>
      <c r="VR80" s="49"/>
      <c r="VS80" s="49"/>
      <c r="VT80" s="49"/>
      <c r="VU80" s="49"/>
      <c r="VV80" s="49"/>
      <c r="VW80" s="49"/>
      <c r="VX80" s="49"/>
      <c r="VY80" s="49"/>
      <c r="VZ80" s="49"/>
      <c r="WA80" s="49"/>
      <c r="WB80" s="49"/>
      <c r="WC80" s="49"/>
      <c r="WD80" s="49"/>
      <c r="WE80" s="49"/>
      <c r="WF80" s="49"/>
      <c r="WG80" s="49"/>
      <c r="WH80" s="49"/>
      <c r="WI80" s="49"/>
      <c r="WJ80" s="49"/>
      <c r="WK80" s="49"/>
      <c r="WL80" s="49"/>
      <c r="WM80" s="49"/>
      <c r="WN80" s="49"/>
      <c r="WO80" s="49"/>
      <c r="WP80" s="49"/>
      <c r="WQ80" s="49"/>
      <c r="WR80" s="49"/>
      <c r="WS80" s="49"/>
      <c r="WT80" s="49"/>
      <c r="WU80" s="49"/>
      <c r="WV80" s="49"/>
      <c r="WW80" s="49"/>
      <c r="WX80" s="49"/>
      <c r="WY80" s="49"/>
      <c r="WZ80" s="49"/>
      <c r="XA80" s="49"/>
      <c r="XB80" s="49"/>
      <c r="XC80" s="49"/>
      <c r="XD80" s="49"/>
      <c r="XE80" s="49"/>
      <c r="XF80" s="49"/>
      <c r="XG80" s="49"/>
      <c r="XH80" s="49"/>
      <c r="XI80" s="49"/>
      <c r="XJ80" s="49"/>
      <c r="XK80" s="49"/>
      <c r="XL80" s="49"/>
      <c r="XM80" s="49"/>
      <c r="XN80" s="49"/>
      <c r="XO80" s="49"/>
      <c r="XP80" s="49"/>
      <c r="XQ80" s="49"/>
      <c r="XR80" s="49"/>
      <c r="XS80" s="49"/>
      <c r="XT80" s="49"/>
      <c r="XU80" s="49"/>
      <c r="XV80" s="49"/>
      <c r="XW80" s="49"/>
      <c r="XX80" s="49"/>
      <c r="XY80" s="49"/>
      <c r="XZ80" s="49"/>
      <c r="YA80" s="49"/>
      <c r="YB80" s="49"/>
      <c r="YC80" s="49"/>
      <c r="YD80" s="49"/>
      <c r="YE80" s="49"/>
      <c r="YF80" s="49"/>
      <c r="YG80" s="49"/>
      <c r="YH80" s="49"/>
      <c r="YI80" s="49"/>
      <c r="YJ80" s="49"/>
      <c r="YK80" s="49"/>
      <c r="YL80" s="49"/>
      <c r="YM80" s="49"/>
      <c r="YN80" s="49"/>
      <c r="YO80" s="49"/>
      <c r="YP80" s="49"/>
      <c r="YQ80" s="49"/>
      <c r="YR80" s="49"/>
      <c r="YS80" s="49"/>
      <c r="YT80" s="49"/>
      <c r="YU80" s="49"/>
      <c r="YV80" s="49"/>
      <c r="YW80" s="49"/>
      <c r="YX80" s="49"/>
      <c r="YY80" s="49"/>
      <c r="YZ80" s="49"/>
      <c r="ZA80" s="49"/>
      <c r="ZB80" s="49"/>
      <c r="ZC80" s="49"/>
      <c r="ZD80" s="49"/>
      <c r="ZE80" s="49"/>
      <c r="ZF80" s="49"/>
      <c r="ZG80" s="49"/>
      <c r="ZH80" s="49"/>
      <c r="ZI80" s="49"/>
      <c r="ZJ80" s="49"/>
      <c r="ZK80" s="49"/>
      <c r="ZL80" s="49"/>
      <c r="ZM80" s="49"/>
      <c r="ZN80" s="49"/>
      <c r="ZO80" s="49"/>
      <c r="ZP80" s="49"/>
      <c r="ZQ80" s="49"/>
      <c r="ZR80" s="49"/>
      <c r="ZS80" s="49"/>
      <c r="ZT80" s="49"/>
      <c r="ZU80" s="49"/>
      <c r="ZV80" s="49"/>
      <c r="ZW80" s="49"/>
      <c r="ZX80" s="49"/>
      <c r="ZY80" s="49"/>
      <c r="ZZ80" s="49"/>
      <c r="AAA80" s="49"/>
      <c r="AAB80" s="49"/>
      <c r="AAC80" s="49"/>
      <c r="AAD80" s="49"/>
      <c r="AAE80" s="49"/>
      <c r="AAF80" s="49"/>
      <c r="AAG80" s="49"/>
      <c r="AAH80" s="49"/>
      <c r="AAI80" s="49"/>
      <c r="AAJ80" s="49"/>
      <c r="AAK80" s="49"/>
      <c r="AAL80" s="49"/>
      <c r="AAM80" s="49"/>
      <c r="AAN80" s="49"/>
      <c r="AAO80" s="49"/>
      <c r="AAP80" s="49"/>
      <c r="AAQ80" s="49"/>
      <c r="AAR80" s="49"/>
      <c r="AAS80" s="49"/>
      <c r="AAT80" s="49"/>
      <c r="AAU80" s="49"/>
      <c r="AAV80" s="49"/>
      <c r="AAW80" s="49"/>
      <c r="AAX80" s="49"/>
      <c r="AAY80" s="49"/>
      <c r="AAZ80" s="49"/>
      <c r="ABA80" s="49"/>
      <c r="ABB80" s="49"/>
      <c r="ABC80" s="49"/>
      <c r="ABD80" s="49"/>
      <c r="ABE80" s="49"/>
      <c r="ABF80" s="49"/>
      <c r="ABG80" s="49"/>
      <c r="ABH80" s="49"/>
      <c r="ABI80" s="49"/>
      <c r="ABJ80" s="49"/>
      <c r="ABK80" s="49"/>
      <c r="ABL80" s="49"/>
      <c r="ABM80" s="49"/>
      <c r="ABN80" s="49"/>
      <c r="ABO80" s="49"/>
      <c r="ABP80" s="49"/>
      <c r="ABQ80" s="49"/>
      <c r="ABR80" s="49"/>
      <c r="ABS80" s="49"/>
      <c r="ABT80" s="49"/>
      <c r="ABU80" s="49"/>
      <c r="ABV80" s="49"/>
      <c r="ABW80" s="49"/>
      <c r="ABX80" s="49"/>
      <c r="ABY80" s="49"/>
      <c r="ABZ80" s="49"/>
      <c r="ACA80" s="49"/>
      <c r="ACB80" s="49"/>
      <c r="ACC80" s="49"/>
      <c r="ACD80" s="49"/>
      <c r="ACE80" s="49"/>
      <c r="ACF80" s="49"/>
      <c r="ACG80" s="49"/>
      <c r="ACH80" s="49"/>
      <c r="ACI80" s="49"/>
      <c r="ACJ80" s="49"/>
      <c r="ACK80" s="49"/>
      <c r="ACL80" s="49"/>
      <c r="ACM80" s="49"/>
      <c r="ACN80" s="49"/>
      <c r="ACO80" s="49"/>
      <c r="ACP80" s="49"/>
      <c r="ACQ80" s="49"/>
      <c r="ACR80" s="49"/>
      <c r="ACS80" s="49"/>
      <c r="ACT80" s="49"/>
      <c r="ACU80" s="49"/>
      <c r="ACV80" s="49"/>
      <c r="ACW80" s="49"/>
      <c r="ACX80" s="49"/>
      <c r="ACY80" s="49"/>
      <c r="ACZ80" s="49"/>
      <c r="ADA80" s="49"/>
      <c r="ADB80" s="49"/>
      <c r="ADC80" s="49"/>
      <c r="ADD80" s="49"/>
      <c r="ADE80" s="49"/>
      <c r="ADF80" s="49"/>
      <c r="ADG80" s="49"/>
      <c r="ADH80" s="49"/>
      <c r="ADI80" s="49"/>
      <c r="ADJ80" s="49"/>
      <c r="ADK80" s="49"/>
      <c r="ADL80" s="49"/>
      <c r="ADM80" s="49"/>
      <c r="ADN80" s="49"/>
      <c r="ADO80" s="49"/>
      <c r="ADP80" s="49"/>
      <c r="ADQ80" s="49"/>
      <c r="ADR80" s="49"/>
      <c r="ADS80" s="49"/>
      <c r="ADT80" s="49"/>
      <c r="ADU80" s="49"/>
      <c r="ADV80" s="49"/>
      <c r="ADW80" s="49"/>
      <c r="ADX80" s="49"/>
      <c r="ADY80" s="49"/>
      <c r="ADZ80" s="49"/>
      <c r="AEA80" s="49"/>
      <c r="AEB80" s="49"/>
      <c r="AEC80" s="49"/>
      <c r="AED80" s="49"/>
      <c r="AEE80" s="49"/>
      <c r="AEF80" s="49"/>
      <c r="AEG80" s="49"/>
      <c r="AEH80" s="49"/>
      <c r="AEI80" s="49"/>
      <c r="AEJ80" s="49"/>
      <c r="AEK80" s="49"/>
      <c r="AEL80" s="49"/>
      <c r="AEM80" s="49"/>
      <c r="AEN80" s="49"/>
      <c r="AEO80" s="49"/>
      <c r="AEP80" s="49"/>
      <c r="AEQ80" s="49"/>
      <c r="AER80" s="49"/>
      <c r="AES80" s="49"/>
      <c r="AET80" s="49"/>
      <c r="AEU80" s="49"/>
      <c r="AEV80" s="49"/>
      <c r="AEW80" s="49"/>
      <c r="AEX80" s="49"/>
      <c r="AEY80" s="49"/>
      <c r="AEZ80" s="49"/>
      <c r="AFA80" s="49"/>
      <c r="AFB80" s="49"/>
      <c r="AFC80" s="49"/>
      <c r="AFD80" s="49"/>
      <c r="AFE80" s="49"/>
      <c r="AFF80" s="49"/>
      <c r="AFG80" s="49"/>
      <c r="AFH80" s="49"/>
      <c r="AFI80" s="49"/>
      <c r="AFJ80" s="49"/>
      <c r="AFK80" s="49"/>
      <c r="AFL80" s="49"/>
      <c r="AFM80" s="49"/>
      <c r="AFN80" s="49"/>
      <c r="AFO80" s="49"/>
      <c r="AFP80" s="49"/>
      <c r="AFQ80" s="49"/>
      <c r="AFR80" s="49"/>
      <c r="AFS80" s="49"/>
      <c r="AFT80" s="49"/>
      <c r="AFU80" s="49"/>
      <c r="AFV80" s="49"/>
      <c r="AFW80" s="49"/>
      <c r="AFX80" s="49"/>
      <c r="AFY80" s="49"/>
      <c r="AFZ80" s="49"/>
      <c r="AGA80" s="49"/>
      <c r="AGB80" s="49"/>
      <c r="AGC80" s="49"/>
      <c r="AGD80" s="49"/>
      <c r="AGE80" s="49"/>
      <c r="AGF80" s="49"/>
      <c r="AGG80" s="49"/>
      <c r="AGH80" s="49"/>
      <c r="AGI80" s="49"/>
      <c r="AGJ80" s="49"/>
      <c r="AGK80" s="49"/>
      <c r="AGL80" s="49"/>
      <c r="AGM80" s="49"/>
      <c r="AGN80" s="49"/>
      <c r="AGO80" s="49"/>
      <c r="AGP80" s="49"/>
      <c r="AGQ80" s="49"/>
      <c r="AGR80" s="49"/>
      <c r="AGS80" s="49"/>
      <c r="AGT80" s="49"/>
      <c r="AGU80" s="49"/>
      <c r="AGV80" s="49"/>
      <c r="AGW80" s="49"/>
      <c r="AGX80" s="49"/>
      <c r="AGY80" s="49"/>
      <c r="AGZ80" s="49"/>
      <c r="AHA80" s="49"/>
      <c r="AHB80" s="49"/>
      <c r="AHC80" s="49"/>
      <c r="AHD80" s="49"/>
      <c r="AHE80" s="49"/>
      <c r="AHF80" s="49"/>
      <c r="AHG80" s="49"/>
      <c r="AHH80" s="49"/>
      <c r="AHI80" s="49"/>
      <c r="AHJ80" s="49"/>
      <c r="AHK80" s="49"/>
      <c r="AHL80" s="49"/>
      <c r="AHM80" s="49"/>
      <c r="AHN80" s="49"/>
      <c r="AHO80" s="49"/>
      <c r="AHP80" s="49"/>
      <c r="AHQ80" s="49"/>
      <c r="AHR80" s="49"/>
      <c r="AHS80" s="49"/>
      <c r="AHT80" s="49"/>
      <c r="AHU80" s="49"/>
      <c r="AHV80" s="49"/>
      <c r="AHW80" s="49"/>
      <c r="AHX80" s="49"/>
      <c r="AHY80" s="49"/>
      <c r="AHZ80" s="49"/>
      <c r="AIA80" s="49"/>
      <c r="AIB80" s="49"/>
      <c r="AIC80" s="49"/>
      <c r="AID80" s="49"/>
      <c r="AIE80" s="49"/>
      <c r="AIF80" s="49"/>
      <c r="AIG80" s="49"/>
      <c r="AIH80" s="49"/>
      <c r="AII80" s="49"/>
      <c r="AIJ80" s="49"/>
      <c r="AIK80" s="49"/>
      <c r="AIL80" s="49"/>
      <c r="AIM80" s="49"/>
      <c r="AIN80" s="49"/>
      <c r="AIO80" s="49"/>
      <c r="AIP80" s="49"/>
      <c r="AIQ80" s="49"/>
      <c r="AIR80" s="49"/>
      <c r="AIS80" s="49"/>
      <c r="AIT80" s="49"/>
      <c r="AIU80" s="49"/>
      <c r="AIV80" s="49"/>
      <c r="AIW80" s="49"/>
      <c r="AIX80" s="49"/>
      <c r="AIY80" s="49"/>
      <c r="AIZ80" s="49"/>
      <c r="AJA80" s="49"/>
      <c r="AJB80" s="49"/>
      <c r="AJC80" s="49"/>
      <c r="AJD80" s="49"/>
      <c r="AJE80" s="49"/>
      <c r="AJF80" s="49"/>
      <c r="AJG80" s="49"/>
      <c r="AJH80" s="49"/>
      <c r="AJI80" s="49"/>
      <c r="AJJ80" s="49"/>
      <c r="AJK80" s="49"/>
      <c r="AJL80" s="49"/>
      <c r="AJM80" s="49"/>
      <c r="AJN80" s="49"/>
      <c r="AJO80" s="49"/>
      <c r="AJP80" s="49"/>
      <c r="AJQ80" s="49"/>
      <c r="AJR80" s="49"/>
      <c r="AJS80" s="49"/>
      <c r="AJT80" s="49"/>
      <c r="AJU80" s="49"/>
      <c r="AJV80" s="49"/>
      <c r="AJW80" s="49"/>
      <c r="AJX80" s="49"/>
      <c r="AJY80" s="49"/>
      <c r="AJZ80" s="49"/>
      <c r="AKA80" s="49"/>
      <c r="AKB80" s="49"/>
      <c r="AKC80" s="49"/>
      <c r="AKD80" s="49"/>
      <c r="AKE80" s="49"/>
      <c r="AKF80" s="49"/>
      <c r="AKG80" s="49"/>
      <c r="AKH80" s="49"/>
      <c r="AKI80" s="49"/>
      <c r="AKJ80" s="49"/>
      <c r="AKK80" s="49"/>
      <c r="AKL80" s="49"/>
      <c r="AKM80" s="49"/>
      <c r="AKN80" s="49"/>
      <c r="AKO80" s="49"/>
      <c r="AKP80" s="49"/>
      <c r="AKQ80" s="49"/>
      <c r="AKR80" s="49"/>
      <c r="AKS80" s="49"/>
      <c r="AKT80" s="49"/>
      <c r="AKU80" s="49"/>
      <c r="AKV80" s="49"/>
      <c r="AKW80" s="49"/>
      <c r="AKX80" s="49"/>
      <c r="AKY80" s="49"/>
      <c r="AKZ80" s="49"/>
      <c r="ALA80" s="49"/>
      <c r="ALB80" s="49"/>
      <c r="ALC80" s="49"/>
      <c r="ALD80" s="49"/>
      <c r="ALE80" s="49"/>
      <c r="ALF80" s="49"/>
      <c r="ALG80" s="49"/>
      <c r="ALH80" s="49"/>
      <c r="ALI80" s="49"/>
      <c r="ALJ80" s="49"/>
      <c r="ALK80" s="49"/>
      <c r="ALL80" s="49"/>
      <c r="ALM80" s="49"/>
      <c r="ALN80" s="49"/>
      <c r="ALO80" s="49"/>
      <c r="ALP80" s="49"/>
      <c r="ALQ80" s="49"/>
      <c r="ALR80" s="49"/>
      <c r="ALS80" s="49"/>
      <c r="ALT80" s="49"/>
      <c r="ALU80" s="49"/>
      <c r="ALV80" s="49"/>
      <c r="ALW80" s="49"/>
      <c r="ALX80" s="49"/>
      <c r="ALY80" s="49"/>
      <c r="ALZ80" s="49"/>
      <c r="AMA80" s="49"/>
      <c r="AMB80" s="49"/>
      <c r="AMC80" s="49"/>
      <c r="AMD80" s="49"/>
      <c r="AME80" s="49"/>
      <c r="AMF80" s="49"/>
      <c r="AMG80" s="49"/>
      <c r="AMH80" s="49"/>
      <c r="AMI80" s="49"/>
      <c r="AMJ80" s="49"/>
    </row>
    <row r="81" spans="12:1024" ht="15.95" customHeight="1" x14ac:dyDescent="0.2">
      <c r="L81" s="49"/>
      <c r="M81" s="50"/>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49"/>
      <c r="EJ81" s="49"/>
      <c r="EK81" s="49"/>
      <c r="EL81" s="49"/>
      <c r="EM81" s="49"/>
      <c r="EN81" s="49"/>
      <c r="EO81" s="49"/>
      <c r="EP81" s="49"/>
      <c r="EQ81" s="49"/>
      <c r="ER81" s="49"/>
      <c r="ES81" s="49"/>
      <c r="ET81" s="49"/>
      <c r="EU81" s="49"/>
      <c r="EV81" s="49"/>
      <c r="EW81" s="49"/>
      <c r="EX81" s="49"/>
      <c r="EY81" s="49"/>
      <c r="EZ81" s="49"/>
      <c r="FA81" s="49"/>
      <c r="FB81" s="49"/>
      <c r="FC81" s="49"/>
      <c r="FD81" s="49"/>
      <c r="FE81" s="49"/>
      <c r="FF81" s="49"/>
      <c r="FG81" s="49"/>
      <c r="FH81" s="49"/>
      <c r="FI81" s="49"/>
      <c r="FJ81" s="49"/>
      <c r="FK81" s="49"/>
      <c r="FL81" s="49"/>
      <c r="FM81" s="49"/>
      <c r="FN81" s="49"/>
      <c r="FO81" s="49"/>
      <c r="FP81" s="49"/>
      <c r="FQ81" s="49"/>
      <c r="FR81" s="49"/>
      <c r="FS81" s="49"/>
      <c r="FT81" s="49"/>
      <c r="FU81" s="49"/>
      <c r="FV81" s="49"/>
      <c r="FW81" s="49"/>
      <c r="FX81" s="49"/>
      <c r="FY81" s="49"/>
      <c r="FZ81" s="49"/>
      <c r="GA81" s="49"/>
      <c r="GB81" s="49"/>
      <c r="GC81" s="49"/>
      <c r="GD81" s="49"/>
      <c r="GE81" s="49"/>
      <c r="GF81" s="49"/>
      <c r="GG81" s="49"/>
      <c r="GH81" s="49"/>
      <c r="GI81" s="49"/>
      <c r="GJ81" s="49"/>
      <c r="GK81" s="49"/>
      <c r="GL81" s="49"/>
      <c r="GM81" s="49"/>
      <c r="GN81" s="49"/>
      <c r="GO81" s="49"/>
      <c r="GP81" s="49"/>
      <c r="GQ81" s="49"/>
      <c r="GR81" s="49"/>
      <c r="GS81" s="49"/>
      <c r="GT81" s="49"/>
      <c r="GU81" s="49"/>
      <c r="GV81" s="49"/>
      <c r="GW81" s="49"/>
      <c r="GX81" s="49"/>
      <c r="GY81" s="49"/>
      <c r="GZ81" s="49"/>
      <c r="HA81" s="49"/>
      <c r="HB81" s="49"/>
      <c r="HC81" s="49"/>
      <c r="HD81" s="49"/>
      <c r="HE81" s="49"/>
      <c r="HF81" s="49"/>
      <c r="HG81" s="49"/>
      <c r="HH81" s="49"/>
      <c r="HI81" s="49"/>
      <c r="HJ81" s="49"/>
      <c r="HK81" s="49"/>
      <c r="HL81" s="49"/>
      <c r="HM81" s="49"/>
      <c r="HN81" s="49"/>
      <c r="HO81" s="49"/>
      <c r="HP81" s="49"/>
      <c r="HQ81" s="49"/>
      <c r="HR81" s="49"/>
      <c r="HS81" s="49"/>
      <c r="HT81" s="49"/>
      <c r="HU81" s="49"/>
      <c r="HV81" s="49"/>
      <c r="HW81" s="49"/>
      <c r="HX81" s="49"/>
      <c r="HY81" s="49"/>
      <c r="HZ81" s="49"/>
      <c r="IA81" s="49"/>
      <c r="IB81" s="49"/>
      <c r="IC81" s="49"/>
      <c r="ID81" s="49"/>
      <c r="IE81" s="49"/>
      <c r="IF81" s="49"/>
      <c r="IG81" s="49"/>
      <c r="IH81" s="49"/>
      <c r="II81" s="49"/>
      <c r="IJ81" s="49"/>
      <c r="IK81" s="49"/>
      <c r="IL81" s="49"/>
      <c r="IM81" s="49"/>
      <c r="IN81" s="49"/>
      <c r="IO81" s="49"/>
      <c r="IP81" s="49"/>
      <c r="IQ81" s="49"/>
      <c r="IR81" s="49"/>
      <c r="IS81" s="49"/>
      <c r="IT81" s="49"/>
      <c r="IU81" s="49"/>
      <c r="IV81" s="49"/>
      <c r="IW81" s="49"/>
      <c r="IX81" s="49"/>
      <c r="IY81" s="49"/>
      <c r="IZ81" s="49"/>
      <c r="JA81" s="49"/>
      <c r="JB81" s="49"/>
      <c r="JC81" s="49"/>
      <c r="JD81" s="49"/>
      <c r="JE81" s="49"/>
      <c r="JF81" s="49"/>
      <c r="JG81" s="49"/>
      <c r="JH81" s="49"/>
      <c r="JI81" s="49"/>
      <c r="JJ81" s="49"/>
      <c r="JK81" s="49"/>
      <c r="JL81" s="49"/>
      <c r="JM81" s="49"/>
      <c r="JN81" s="49"/>
      <c r="JO81" s="49"/>
      <c r="JP81" s="49"/>
      <c r="JQ81" s="49"/>
      <c r="JR81" s="49"/>
      <c r="JS81" s="49"/>
      <c r="JT81" s="49"/>
      <c r="JU81" s="49"/>
      <c r="JV81" s="49"/>
      <c r="JW81" s="49"/>
      <c r="JX81" s="49"/>
      <c r="JY81" s="49"/>
      <c r="JZ81" s="49"/>
      <c r="KA81" s="49"/>
      <c r="KB81" s="49"/>
      <c r="KC81" s="49"/>
      <c r="KD81" s="49"/>
      <c r="KE81" s="49"/>
      <c r="KF81" s="49"/>
      <c r="KG81" s="49"/>
      <c r="KH81" s="49"/>
      <c r="KI81" s="49"/>
      <c r="KJ81" s="49"/>
      <c r="KK81" s="49"/>
      <c r="KL81" s="49"/>
      <c r="KM81" s="49"/>
      <c r="KN81" s="49"/>
      <c r="KO81" s="49"/>
      <c r="KP81" s="49"/>
      <c r="KQ81" s="49"/>
      <c r="KR81" s="49"/>
      <c r="KS81" s="49"/>
      <c r="KT81" s="49"/>
      <c r="KU81" s="49"/>
      <c r="KV81" s="49"/>
      <c r="KW81" s="49"/>
      <c r="KX81" s="49"/>
      <c r="KY81" s="49"/>
      <c r="KZ81" s="49"/>
      <c r="LA81" s="49"/>
      <c r="LB81" s="49"/>
      <c r="LC81" s="49"/>
      <c r="LD81" s="49"/>
      <c r="LE81" s="49"/>
      <c r="LF81" s="49"/>
      <c r="LG81" s="49"/>
      <c r="LH81" s="49"/>
      <c r="LI81" s="49"/>
      <c r="LJ81" s="49"/>
      <c r="LK81" s="49"/>
      <c r="LL81" s="49"/>
      <c r="LM81" s="49"/>
      <c r="LN81" s="49"/>
      <c r="LO81" s="49"/>
      <c r="LP81" s="49"/>
      <c r="LQ81" s="49"/>
      <c r="LR81" s="49"/>
      <c r="LS81" s="49"/>
      <c r="LT81" s="49"/>
      <c r="LU81" s="49"/>
      <c r="LV81" s="49"/>
      <c r="LW81" s="49"/>
      <c r="LX81" s="49"/>
      <c r="LY81" s="49"/>
      <c r="LZ81" s="49"/>
      <c r="MA81" s="49"/>
      <c r="MB81" s="49"/>
      <c r="MC81" s="49"/>
      <c r="MD81" s="49"/>
      <c r="ME81" s="49"/>
      <c r="MF81" s="49"/>
      <c r="MG81" s="49"/>
      <c r="MH81" s="49"/>
      <c r="MI81" s="49"/>
      <c r="MJ81" s="49"/>
      <c r="MK81" s="49"/>
      <c r="ML81" s="49"/>
      <c r="MM81" s="49"/>
      <c r="MN81" s="49"/>
      <c r="MO81" s="49"/>
      <c r="MP81" s="49"/>
      <c r="MQ81" s="49"/>
      <c r="MR81" s="49"/>
      <c r="MS81" s="49"/>
      <c r="MT81" s="49"/>
      <c r="MU81" s="49"/>
      <c r="MV81" s="49"/>
      <c r="MW81" s="49"/>
      <c r="MX81" s="49"/>
      <c r="MY81" s="49"/>
      <c r="MZ81" s="49"/>
      <c r="NA81" s="49"/>
      <c r="NB81" s="49"/>
      <c r="NC81" s="49"/>
      <c r="ND81" s="49"/>
      <c r="NE81" s="49"/>
      <c r="NF81" s="49"/>
      <c r="NG81" s="49"/>
      <c r="NH81" s="49"/>
      <c r="NI81" s="49"/>
      <c r="NJ81" s="49"/>
      <c r="NK81" s="49"/>
      <c r="NL81" s="49"/>
      <c r="NM81" s="49"/>
      <c r="NN81" s="49"/>
      <c r="NO81" s="49"/>
      <c r="NP81" s="49"/>
      <c r="NQ81" s="49"/>
      <c r="NR81" s="49"/>
      <c r="NS81" s="49"/>
      <c r="NT81" s="49"/>
      <c r="NU81" s="49"/>
      <c r="NV81" s="49"/>
      <c r="NW81" s="49"/>
      <c r="NX81" s="49"/>
      <c r="NY81" s="49"/>
      <c r="NZ81" s="49"/>
      <c r="OA81" s="49"/>
      <c r="OB81" s="49"/>
      <c r="OC81" s="49"/>
      <c r="OD81" s="49"/>
      <c r="OE81" s="49"/>
      <c r="OF81" s="49"/>
      <c r="OG81" s="49"/>
      <c r="OH81" s="49"/>
      <c r="OI81" s="49"/>
      <c r="OJ81" s="49"/>
      <c r="OK81" s="49"/>
      <c r="OL81" s="49"/>
      <c r="OM81" s="49"/>
      <c r="ON81" s="49"/>
      <c r="OO81" s="49"/>
      <c r="OP81" s="49"/>
      <c r="OQ81" s="49"/>
      <c r="OR81" s="49"/>
      <c r="OS81" s="49"/>
      <c r="OT81" s="49"/>
      <c r="OU81" s="49"/>
      <c r="OV81" s="49"/>
      <c r="OW81" s="49"/>
      <c r="OX81" s="49"/>
      <c r="OY81" s="49"/>
      <c r="OZ81" s="49"/>
      <c r="PA81" s="49"/>
      <c r="PB81" s="49"/>
      <c r="PC81" s="49"/>
      <c r="PD81" s="49"/>
      <c r="PE81" s="49"/>
      <c r="PF81" s="49"/>
      <c r="PG81" s="49"/>
      <c r="PH81" s="49"/>
      <c r="PI81" s="49"/>
      <c r="PJ81" s="49"/>
      <c r="PK81" s="49"/>
      <c r="PL81" s="49"/>
      <c r="PM81" s="49"/>
      <c r="PN81" s="49"/>
      <c r="PO81" s="49"/>
      <c r="PP81" s="49"/>
      <c r="PQ81" s="49"/>
      <c r="PR81" s="49"/>
      <c r="PS81" s="49"/>
      <c r="PT81" s="49"/>
      <c r="PU81" s="49"/>
      <c r="PV81" s="49"/>
      <c r="PW81" s="49"/>
      <c r="PX81" s="49"/>
      <c r="PY81" s="49"/>
      <c r="PZ81" s="49"/>
      <c r="QA81" s="49"/>
      <c r="QB81" s="49"/>
      <c r="QC81" s="49"/>
      <c r="QD81" s="49"/>
      <c r="QE81" s="49"/>
      <c r="QF81" s="49"/>
      <c r="QG81" s="49"/>
      <c r="QH81" s="49"/>
      <c r="QI81" s="49"/>
      <c r="QJ81" s="49"/>
      <c r="QK81" s="49"/>
      <c r="QL81" s="49"/>
      <c r="QM81" s="49"/>
      <c r="QN81" s="49"/>
      <c r="QO81" s="49"/>
      <c r="QP81" s="49"/>
      <c r="QQ81" s="49"/>
      <c r="QR81" s="49"/>
      <c r="QS81" s="49"/>
      <c r="QT81" s="49"/>
      <c r="QU81" s="49"/>
      <c r="QV81" s="49"/>
      <c r="QW81" s="49"/>
      <c r="QX81" s="49"/>
      <c r="QY81" s="49"/>
      <c r="QZ81" s="49"/>
      <c r="RA81" s="49"/>
      <c r="RB81" s="49"/>
      <c r="RC81" s="49"/>
      <c r="RD81" s="49"/>
      <c r="RE81" s="49"/>
      <c r="RF81" s="49"/>
      <c r="RG81" s="49"/>
      <c r="RH81" s="49"/>
      <c r="RI81" s="49"/>
      <c r="RJ81" s="49"/>
      <c r="RK81" s="49"/>
      <c r="RL81" s="49"/>
      <c r="RM81" s="49"/>
      <c r="RN81" s="49"/>
      <c r="RO81" s="49"/>
      <c r="RP81" s="49"/>
      <c r="RQ81" s="49"/>
      <c r="RR81" s="49"/>
      <c r="RS81" s="49"/>
      <c r="RT81" s="49"/>
      <c r="RU81" s="49"/>
      <c r="RV81" s="49"/>
      <c r="RW81" s="49"/>
      <c r="RX81" s="49"/>
      <c r="RY81" s="49"/>
      <c r="RZ81" s="49"/>
      <c r="SA81" s="49"/>
      <c r="SB81" s="49"/>
      <c r="SC81" s="49"/>
      <c r="SD81" s="49"/>
      <c r="SE81" s="49"/>
      <c r="SF81" s="49"/>
      <c r="SG81" s="49"/>
      <c r="SH81" s="49"/>
      <c r="SI81" s="49"/>
      <c r="SJ81" s="49"/>
      <c r="SK81" s="49"/>
      <c r="SL81" s="49"/>
      <c r="SM81" s="49"/>
      <c r="SN81" s="49"/>
      <c r="SO81" s="49"/>
      <c r="SP81" s="49"/>
      <c r="SQ81" s="49"/>
      <c r="SR81" s="49"/>
      <c r="SS81" s="49"/>
      <c r="ST81" s="49"/>
      <c r="SU81" s="49"/>
      <c r="SV81" s="49"/>
      <c r="SW81" s="49"/>
      <c r="SX81" s="49"/>
      <c r="SY81" s="49"/>
      <c r="SZ81" s="49"/>
      <c r="TA81" s="49"/>
      <c r="TB81" s="49"/>
      <c r="TC81" s="49"/>
      <c r="TD81" s="49"/>
      <c r="TE81" s="49"/>
      <c r="TF81" s="49"/>
      <c r="TG81" s="49"/>
      <c r="TH81" s="49"/>
      <c r="TI81" s="49"/>
      <c r="TJ81" s="49"/>
      <c r="TK81" s="49"/>
      <c r="TL81" s="49"/>
      <c r="TM81" s="49"/>
      <c r="TN81" s="49"/>
      <c r="TO81" s="49"/>
      <c r="TP81" s="49"/>
      <c r="TQ81" s="49"/>
      <c r="TR81" s="49"/>
      <c r="TS81" s="49"/>
      <c r="TT81" s="49"/>
      <c r="TU81" s="49"/>
      <c r="TV81" s="49"/>
      <c r="TW81" s="49"/>
      <c r="TX81" s="49"/>
      <c r="TY81" s="49"/>
      <c r="TZ81" s="49"/>
      <c r="UA81" s="49"/>
      <c r="UB81" s="49"/>
      <c r="UC81" s="49"/>
      <c r="UD81" s="49"/>
      <c r="UE81" s="49"/>
      <c r="UF81" s="49"/>
      <c r="UG81" s="49"/>
      <c r="UH81" s="49"/>
      <c r="UI81" s="49"/>
      <c r="UJ81" s="49"/>
      <c r="UK81" s="49"/>
      <c r="UL81" s="49"/>
      <c r="UM81" s="49"/>
      <c r="UN81" s="49"/>
      <c r="UO81" s="49"/>
      <c r="UP81" s="49"/>
      <c r="UQ81" s="49"/>
      <c r="UR81" s="49"/>
      <c r="US81" s="49"/>
      <c r="UT81" s="49"/>
      <c r="UU81" s="49"/>
      <c r="UV81" s="49"/>
      <c r="UW81" s="49"/>
      <c r="UX81" s="49"/>
      <c r="UY81" s="49"/>
      <c r="UZ81" s="49"/>
      <c r="VA81" s="49"/>
      <c r="VB81" s="49"/>
      <c r="VC81" s="49"/>
      <c r="VD81" s="49"/>
      <c r="VE81" s="49"/>
      <c r="VF81" s="49"/>
      <c r="VG81" s="49"/>
      <c r="VH81" s="49"/>
      <c r="VI81" s="49"/>
      <c r="VJ81" s="49"/>
      <c r="VK81" s="49"/>
      <c r="VL81" s="49"/>
      <c r="VM81" s="49"/>
      <c r="VN81" s="49"/>
      <c r="VO81" s="49"/>
      <c r="VP81" s="49"/>
      <c r="VQ81" s="49"/>
      <c r="VR81" s="49"/>
      <c r="VS81" s="49"/>
      <c r="VT81" s="49"/>
      <c r="VU81" s="49"/>
      <c r="VV81" s="49"/>
      <c r="VW81" s="49"/>
      <c r="VX81" s="49"/>
      <c r="VY81" s="49"/>
      <c r="VZ81" s="49"/>
      <c r="WA81" s="49"/>
      <c r="WB81" s="49"/>
      <c r="WC81" s="49"/>
      <c r="WD81" s="49"/>
      <c r="WE81" s="49"/>
      <c r="WF81" s="49"/>
      <c r="WG81" s="49"/>
      <c r="WH81" s="49"/>
      <c r="WI81" s="49"/>
      <c r="WJ81" s="49"/>
      <c r="WK81" s="49"/>
      <c r="WL81" s="49"/>
      <c r="WM81" s="49"/>
      <c r="WN81" s="49"/>
      <c r="WO81" s="49"/>
      <c r="WP81" s="49"/>
      <c r="WQ81" s="49"/>
      <c r="WR81" s="49"/>
      <c r="WS81" s="49"/>
      <c r="WT81" s="49"/>
      <c r="WU81" s="49"/>
      <c r="WV81" s="49"/>
      <c r="WW81" s="49"/>
      <c r="WX81" s="49"/>
      <c r="WY81" s="49"/>
      <c r="WZ81" s="49"/>
      <c r="XA81" s="49"/>
      <c r="XB81" s="49"/>
      <c r="XC81" s="49"/>
      <c r="XD81" s="49"/>
      <c r="XE81" s="49"/>
      <c r="XF81" s="49"/>
      <c r="XG81" s="49"/>
      <c r="XH81" s="49"/>
      <c r="XI81" s="49"/>
      <c r="XJ81" s="49"/>
      <c r="XK81" s="49"/>
      <c r="XL81" s="49"/>
      <c r="XM81" s="49"/>
      <c r="XN81" s="49"/>
      <c r="XO81" s="49"/>
      <c r="XP81" s="49"/>
      <c r="XQ81" s="49"/>
      <c r="XR81" s="49"/>
      <c r="XS81" s="49"/>
      <c r="XT81" s="49"/>
      <c r="XU81" s="49"/>
      <c r="XV81" s="49"/>
      <c r="XW81" s="49"/>
      <c r="XX81" s="49"/>
      <c r="XY81" s="49"/>
      <c r="XZ81" s="49"/>
      <c r="YA81" s="49"/>
      <c r="YB81" s="49"/>
      <c r="YC81" s="49"/>
      <c r="YD81" s="49"/>
      <c r="YE81" s="49"/>
      <c r="YF81" s="49"/>
      <c r="YG81" s="49"/>
      <c r="YH81" s="49"/>
      <c r="YI81" s="49"/>
      <c r="YJ81" s="49"/>
      <c r="YK81" s="49"/>
      <c r="YL81" s="49"/>
      <c r="YM81" s="49"/>
      <c r="YN81" s="49"/>
      <c r="YO81" s="49"/>
      <c r="YP81" s="49"/>
      <c r="YQ81" s="49"/>
      <c r="YR81" s="49"/>
      <c r="YS81" s="49"/>
      <c r="YT81" s="49"/>
      <c r="YU81" s="49"/>
      <c r="YV81" s="49"/>
      <c r="YW81" s="49"/>
      <c r="YX81" s="49"/>
      <c r="YY81" s="49"/>
      <c r="YZ81" s="49"/>
      <c r="ZA81" s="49"/>
      <c r="ZB81" s="49"/>
      <c r="ZC81" s="49"/>
      <c r="ZD81" s="49"/>
      <c r="ZE81" s="49"/>
      <c r="ZF81" s="49"/>
      <c r="ZG81" s="49"/>
      <c r="ZH81" s="49"/>
      <c r="ZI81" s="49"/>
      <c r="ZJ81" s="49"/>
      <c r="ZK81" s="49"/>
      <c r="ZL81" s="49"/>
      <c r="ZM81" s="49"/>
      <c r="ZN81" s="49"/>
      <c r="ZO81" s="49"/>
      <c r="ZP81" s="49"/>
      <c r="ZQ81" s="49"/>
      <c r="ZR81" s="49"/>
      <c r="ZS81" s="49"/>
      <c r="ZT81" s="49"/>
      <c r="ZU81" s="49"/>
      <c r="ZV81" s="49"/>
      <c r="ZW81" s="49"/>
      <c r="ZX81" s="49"/>
      <c r="ZY81" s="49"/>
      <c r="ZZ81" s="49"/>
      <c r="AAA81" s="49"/>
      <c r="AAB81" s="49"/>
      <c r="AAC81" s="49"/>
      <c r="AAD81" s="49"/>
      <c r="AAE81" s="49"/>
      <c r="AAF81" s="49"/>
      <c r="AAG81" s="49"/>
      <c r="AAH81" s="49"/>
      <c r="AAI81" s="49"/>
      <c r="AAJ81" s="49"/>
      <c r="AAK81" s="49"/>
      <c r="AAL81" s="49"/>
      <c r="AAM81" s="49"/>
      <c r="AAN81" s="49"/>
      <c r="AAO81" s="49"/>
      <c r="AAP81" s="49"/>
      <c r="AAQ81" s="49"/>
      <c r="AAR81" s="49"/>
      <c r="AAS81" s="49"/>
      <c r="AAT81" s="49"/>
      <c r="AAU81" s="49"/>
      <c r="AAV81" s="49"/>
      <c r="AAW81" s="49"/>
      <c r="AAX81" s="49"/>
      <c r="AAY81" s="49"/>
      <c r="AAZ81" s="49"/>
      <c r="ABA81" s="49"/>
      <c r="ABB81" s="49"/>
      <c r="ABC81" s="49"/>
      <c r="ABD81" s="49"/>
      <c r="ABE81" s="49"/>
      <c r="ABF81" s="49"/>
      <c r="ABG81" s="49"/>
      <c r="ABH81" s="49"/>
      <c r="ABI81" s="49"/>
      <c r="ABJ81" s="49"/>
      <c r="ABK81" s="49"/>
      <c r="ABL81" s="49"/>
      <c r="ABM81" s="49"/>
      <c r="ABN81" s="49"/>
      <c r="ABO81" s="49"/>
      <c r="ABP81" s="49"/>
      <c r="ABQ81" s="49"/>
      <c r="ABR81" s="49"/>
      <c r="ABS81" s="49"/>
      <c r="ABT81" s="49"/>
      <c r="ABU81" s="49"/>
      <c r="ABV81" s="49"/>
      <c r="ABW81" s="49"/>
      <c r="ABX81" s="49"/>
      <c r="ABY81" s="49"/>
      <c r="ABZ81" s="49"/>
      <c r="ACA81" s="49"/>
      <c r="ACB81" s="49"/>
      <c r="ACC81" s="49"/>
      <c r="ACD81" s="49"/>
      <c r="ACE81" s="49"/>
      <c r="ACF81" s="49"/>
      <c r="ACG81" s="49"/>
      <c r="ACH81" s="49"/>
      <c r="ACI81" s="49"/>
      <c r="ACJ81" s="49"/>
      <c r="ACK81" s="49"/>
      <c r="ACL81" s="49"/>
      <c r="ACM81" s="49"/>
      <c r="ACN81" s="49"/>
      <c r="ACO81" s="49"/>
      <c r="ACP81" s="49"/>
      <c r="ACQ81" s="49"/>
      <c r="ACR81" s="49"/>
      <c r="ACS81" s="49"/>
      <c r="ACT81" s="49"/>
      <c r="ACU81" s="49"/>
      <c r="ACV81" s="49"/>
      <c r="ACW81" s="49"/>
      <c r="ACX81" s="49"/>
      <c r="ACY81" s="49"/>
      <c r="ACZ81" s="49"/>
      <c r="ADA81" s="49"/>
      <c r="ADB81" s="49"/>
      <c r="ADC81" s="49"/>
      <c r="ADD81" s="49"/>
      <c r="ADE81" s="49"/>
      <c r="ADF81" s="49"/>
      <c r="ADG81" s="49"/>
      <c r="ADH81" s="49"/>
      <c r="ADI81" s="49"/>
      <c r="ADJ81" s="49"/>
      <c r="ADK81" s="49"/>
      <c r="ADL81" s="49"/>
      <c r="ADM81" s="49"/>
      <c r="ADN81" s="49"/>
      <c r="ADO81" s="49"/>
      <c r="ADP81" s="49"/>
      <c r="ADQ81" s="49"/>
      <c r="ADR81" s="49"/>
      <c r="ADS81" s="49"/>
      <c r="ADT81" s="49"/>
      <c r="ADU81" s="49"/>
      <c r="ADV81" s="49"/>
      <c r="ADW81" s="49"/>
      <c r="ADX81" s="49"/>
      <c r="ADY81" s="49"/>
      <c r="ADZ81" s="49"/>
      <c r="AEA81" s="49"/>
      <c r="AEB81" s="49"/>
      <c r="AEC81" s="49"/>
      <c r="AED81" s="49"/>
      <c r="AEE81" s="49"/>
      <c r="AEF81" s="49"/>
      <c r="AEG81" s="49"/>
      <c r="AEH81" s="49"/>
      <c r="AEI81" s="49"/>
      <c r="AEJ81" s="49"/>
      <c r="AEK81" s="49"/>
      <c r="AEL81" s="49"/>
      <c r="AEM81" s="49"/>
      <c r="AEN81" s="49"/>
      <c r="AEO81" s="49"/>
      <c r="AEP81" s="49"/>
      <c r="AEQ81" s="49"/>
      <c r="AER81" s="49"/>
      <c r="AES81" s="49"/>
      <c r="AET81" s="49"/>
      <c r="AEU81" s="49"/>
      <c r="AEV81" s="49"/>
      <c r="AEW81" s="49"/>
      <c r="AEX81" s="49"/>
      <c r="AEY81" s="49"/>
      <c r="AEZ81" s="49"/>
      <c r="AFA81" s="49"/>
      <c r="AFB81" s="49"/>
      <c r="AFC81" s="49"/>
      <c r="AFD81" s="49"/>
      <c r="AFE81" s="49"/>
      <c r="AFF81" s="49"/>
      <c r="AFG81" s="49"/>
      <c r="AFH81" s="49"/>
      <c r="AFI81" s="49"/>
      <c r="AFJ81" s="49"/>
      <c r="AFK81" s="49"/>
      <c r="AFL81" s="49"/>
      <c r="AFM81" s="49"/>
      <c r="AFN81" s="49"/>
      <c r="AFO81" s="49"/>
      <c r="AFP81" s="49"/>
      <c r="AFQ81" s="49"/>
      <c r="AFR81" s="49"/>
      <c r="AFS81" s="49"/>
      <c r="AFT81" s="49"/>
      <c r="AFU81" s="49"/>
      <c r="AFV81" s="49"/>
      <c r="AFW81" s="49"/>
      <c r="AFX81" s="49"/>
      <c r="AFY81" s="49"/>
      <c r="AFZ81" s="49"/>
      <c r="AGA81" s="49"/>
      <c r="AGB81" s="49"/>
      <c r="AGC81" s="49"/>
      <c r="AGD81" s="49"/>
      <c r="AGE81" s="49"/>
      <c r="AGF81" s="49"/>
      <c r="AGG81" s="49"/>
      <c r="AGH81" s="49"/>
      <c r="AGI81" s="49"/>
      <c r="AGJ81" s="49"/>
      <c r="AGK81" s="49"/>
      <c r="AGL81" s="49"/>
      <c r="AGM81" s="49"/>
      <c r="AGN81" s="49"/>
      <c r="AGO81" s="49"/>
      <c r="AGP81" s="49"/>
      <c r="AGQ81" s="49"/>
      <c r="AGR81" s="49"/>
      <c r="AGS81" s="49"/>
      <c r="AGT81" s="49"/>
      <c r="AGU81" s="49"/>
      <c r="AGV81" s="49"/>
      <c r="AGW81" s="49"/>
      <c r="AGX81" s="49"/>
      <c r="AGY81" s="49"/>
      <c r="AGZ81" s="49"/>
      <c r="AHA81" s="49"/>
      <c r="AHB81" s="49"/>
      <c r="AHC81" s="49"/>
      <c r="AHD81" s="49"/>
      <c r="AHE81" s="49"/>
      <c r="AHF81" s="49"/>
      <c r="AHG81" s="49"/>
      <c r="AHH81" s="49"/>
      <c r="AHI81" s="49"/>
      <c r="AHJ81" s="49"/>
      <c r="AHK81" s="49"/>
      <c r="AHL81" s="49"/>
      <c r="AHM81" s="49"/>
      <c r="AHN81" s="49"/>
      <c r="AHO81" s="49"/>
      <c r="AHP81" s="49"/>
      <c r="AHQ81" s="49"/>
      <c r="AHR81" s="49"/>
      <c r="AHS81" s="49"/>
      <c r="AHT81" s="49"/>
      <c r="AHU81" s="49"/>
      <c r="AHV81" s="49"/>
      <c r="AHW81" s="49"/>
      <c r="AHX81" s="49"/>
      <c r="AHY81" s="49"/>
      <c r="AHZ81" s="49"/>
      <c r="AIA81" s="49"/>
      <c r="AIB81" s="49"/>
      <c r="AIC81" s="49"/>
      <c r="AID81" s="49"/>
      <c r="AIE81" s="49"/>
      <c r="AIF81" s="49"/>
      <c r="AIG81" s="49"/>
      <c r="AIH81" s="49"/>
      <c r="AII81" s="49"/>
      <c r="AIJ81" s="49"/>
      <c r="AIK81" s="49"/>
      <c r="AIL81" s="49"/>
      <c r="AIM81" s="49"/>
      <c r="AIN81" s="49"/>
      <c r="AIO81" s="49"/>
      <c r="AIP81" s="49"/>
      <c r="AIQ81" s="49"/>
      <c r="AIR81" s="49"/>
      <c r="AIS81" s="49"/>
      <c r="AIT81" s="49"/>
      <c r="AIU81" s="49"/>
      <c r="AIV81" s="49"/>
      <c r="AIW81" s="49"/>
      <c r="AIX81" s="49"/>
      <c r="AIY81" s="49"/>
      <c r="AIZ81" s="49"/>
      <c r="AJA81" s="49"/>
      <c r="AJB81" s="49"/>
      <c r="AJC81" s="49"/>
      <c r="AJD81" s="49"/>
      <c r="AJE81" s="49"/>
      <c r="AJF81" s="49"/>
      <c r="AJG81" s="49"/>
      <c r="AJH81" s="49"/>
      <c r="AJI81" s="49"/>
      <c r="AJJ81" s="49"/>
      <c r="AJK81" s="49"/>
      <c r="AJL81" s="49"/>
      <c r="AJM81" s="49"/>
      <c r="AJN81" s="49"/>
      <c r="AJO81" s="49"/>
      <c r="AJP81" s="49"/>
      <c r="AJQ81" s="49"/>
      <c r="AJR81" s="49"/>
      <c r="AJS81" s="49"/>
      <c r="AJT81" s="49"/>
      <c r="AJU81" s="49"/>
      <c r="AJV81" s="49"/>
      <c r="AJW81" s="49"/>
      <c r="AJX81" s="49"/>
      <c r="AJY81" s="49"/>
      <c r="AJZ81" s="49"/>
      <c r="AKA81" s="49"/>
      <c r="AKB81" s="49"/>
      <c r="AKC81" s="49"/>
      <c r="AKD81" s="49"/>
      <c r="AKE81" s="49"/>
      <c r="AKF81" s="49"/>
      <c r="AKG81" s="49"/>
      <c r="AKH81" s="49"/>
      <c r="AKI81" s="49"/>
      <c r="AKJ81" s="49"/>
      <c r="AKK81" s="49"/>
      <c r="AKL81" s="49"/>
      <c r="AKM81" s="49"/>
      <c r="AKN81" s="49"/>
      <c r="AKO81" s="49"/>
      <c r="AKP81" s="49"/>
      <c r="AKQ81" s="49"/>
      <c r="AKR81" s="49"/>
      <c r="AKS81" s="49"/>
      <c r="AKT81" s="49"/>
      <c r="AKU81" s="49"/>
      <c r="AKV81" s="49"/>
      <c r="AKW81" s="49"/>
      <c r="AKX81" s="49"/>
      <c r="AKY81" s="49"/>
      <c r="AKZ81" s="49"/>
      <c r="ALA81" s="49"/>
      <c r="ALB81" s="49"/>
      <c r="ALC81" s="49"/>
      <c r="ALD81" s="49"/>
      <c r="ALE81" s="49"/>
      <c r="ALF81" s="49"/>
      <c r="ALG81" s="49"/>
      <c r="ALH81" s="49"/>
      <c r="ALI81" s="49"/>
      <c r="ALJ81" s="49"/>
      <c r="ALK81" s="49"/>
      <c r="ALL81" s="49"/>
      <c r="ALM81" s="49"/>
      <c r="ALN81" s="49"/>
      <c r="ALO81" s="49"/>
      <c r="ALP81" s="49"/>
      <c r="ALQ81" s="49"/>
      <c r="ALR81" s="49"/>
      <c r="ALS81" s="49"/>
      <c r="ALT81" s="49"/>
      <c r="ALU81" s="49"/>
      <c r="ALV81" s="49"/>
      <c r="ALW81" s="49"/>
      <c r="ALX81" s="49"/>
      <c r="ALY81" s="49"/>
      <c r="ALZ81" s="49"/>
      <c r="AMA81" s="49"/>
      <c r="AMB81" s="49"/>
      <c r="AMC81" s="49"/>
      <c r="AMD81" s="49"/>
      <c r="AME81" s="49"/>
      <c r="AMF81" s="49"/>
      <c r="AMG81" s="49"/>
      <c r="AMH81" s="49"/>
      <c r="AMI81" s="49"/>
      <c r="AMJ81" s="49"/>
    </row>
    <row r="82" spans="12:1024" ht="15.95" customHeight="1" x14ac:dyDescent="0.2">
      <c r="L82" s="49"/>
      <c r="M82" s="50"/>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49"/>
      <c r="EJ82" s="49"/>
      <c r="EK82" s="49"/>
      <c r="EL82" s="49"/>
      <c r="EM82" s="49"/>
      <c r="EN82" s="49"/>
      <c r="EO82" s="49"/>
      <c r="EP82" s="49"/>
      <c r="EQ82" s="49"/>
      <c r="ER82" s="49"/>
      <c r="ES82" s="49"/>
      <c r="ET82" s="49"/>
      <c r="EU82" s="49"/>
      <c r="EV82" s="49"/>
      <c r="EW82" s="49"/>
      <c r="EX82" s="49"/>
      <c r="EY82" s="49"/>
      <c r="EZ82" s="49"/>
      <c r="FA82" s="49"/>
      <c r="FB82" s="49"/>
      <c r="FC82" s="49"/>
      <c r="FD82" s="49"/>
      <c r="FE82" s="49"/>
      <c r="FF82" s="49"/>
      <c r="FG82" s="49"/>
      <c r="FH82" s="49"/>
      <c r="FI82" s="49"/>
      <c r="FJ82" s="49"/>
      <c r="FK82" s="49"/>
      <c r="FL82" s="49"/>
      <c r="FM82" s="49"/>
      <c r="FN82" s="49"/>
      <c r="FO82" s="49"/>
      <c r="FP82" s="49"/>
      <c r="FQ82" s="49"/>
      <c r="FR82" s="49"/>
      <c r="FS82" s="49"/>
      <c r="FT82" s="49"/>
      <c r="FU82" s="49"/>
      <c r="FV82" s="49"/>
      <c r="FW82" s="49"/>
      <c r="FX82" s="49"/>
      <c r="FY82" s="49"/>
      <c r="FZ82" s="49"/>
      <c r="GA82" s="49"/>
      <c r="GB82" s="49"/>
      <c r="GC82" s="49"/>
      <c r="GD82" s="49"/>
      <c r="GE82" s="49"/>
      <c r="GF82" s="49"/>
      <c r="GG82" s="49"/>
      <c r="GH82" s="49"/>
      <c r="GI82" s="49"/>
      <c r="GJ82" s="49"/>
      <c r="GK82" s="49"/>
      <c r="GL82" s="49"/>
      <c r="GM82" s="49"/>
      <c r="GN82" s="49"/>
      <c r="GO82" s="49"/>
      <c r="GP82" s="49"/>
      <c r="GQ82" s="49"/>
      <c r="GR82" s="49"/>
      <c r="GS82" s="49"/>
      <c r="GT82" s="49"/>
      <c r="GU82" s="49"/>
      <c r="GV82" s="49"/>
      <c r="GW82" s="49"/>
      <c r="GX82" s="49"/>
      <c r="GY82" s="49"/>
      <c r="GZ82" s="49"/>
      <c r="HA82" s="49"/>
      <c r="HB82" s="49"/>
      <c r="HC82" s="49"/>
      <c r="HD82" s="49"/>
      <c r="HE82" s="49"/>
      <c r="HF82" s="49"/>
      <c r="HG82" s="49"/>
      <c r="HH82" s="49"/>
      <c r="HI82" s="49"/>
      <c r="HJ82" s="49"/>
      <c r="HK82" s="49"/>
      <c r="HL82" s="49"/>
      <c r="HM82" s="49"/>
      <c r="HN82" s="49"/>
      <c r="HO82" s="49"/>
      <c r="HP82" s="49"/>
      <c r="HQ82" s="49"/>
      <c r="HR82" s="49"/>
      <c r="HS82" s="49"/>
      <c r="HT82" s="49"/>
      <c r="HU82" s="49"/>
      <c r="HV82" s="49"/>
      <c r="HW82" s="49"/>
      <c r="HX82" s="49"/>
      <c r="HY82" s="49"/>
      <c r="HZ82" s="49"/>
      <c r="IA82" s="49"/>
      <c r="IB82" s="49"/>
      <c r="IC82" s="49"/>
      <c r="ID82" s="49"/>
      <c r="IE82" s="49"/>
      <c r="IF82" s="49"/>
      <c r="IG82" s="49"/>
      <c r="IH82" s="49"/>
      <c r="II82" s="49"/>
      <c r="IJ82" s="49"/>
      <c r="IK82" s="49"/>
      <c r="IL82" s="49"/>
      <c r="IM82" s="49"/>
      <c r="IN82" s="49"/>
      <c r="IO82" s="49"/>
      <c r="IP82" s="49"/>
      <c r="IQ82" s="49"/>
      <c r="IR82" s="49"/>
      <c r="IS82" s="49"/>
      <c r="IT82" s="49"/>
      <c r="IU82" s="49"/>
      <c r="IV82" s="49"/>
      <c r="IW82" s="49"/>
      <c r="IX82" s="49"/>
      <c r="IY82" s="49"/>
      <c r="IZ82" s="49"/>
      <c r="JA82" s="49"/>
      <c r="JB82" s="49"/>
      <c r="JC82" s="49"/>
      <c r="JD82" s="49"/>
      <c r="JE82" s="49"/>
      <c r="JF82" s="49"/>
      <c r="JG82" s="49"/>
      <c r="JH82" s="49"/>
      <c r="JI82" s="49"/>
      <c r="JJ82" s="49"/>
      <c r="JK82" s="49"/>
      <c r="JL82" s="49"/>
      <c r="JM82" s="49"/>
      <c r="JN82" s="49"/>
      <c r="JO82" s="49"/>
      <c r="JP82" s="49"/>
      <c r="JQ82" s="49"/>
      <c r="JR82" s="49"/>
      <c r="JS82" s="49"/>
      <c r="JT82" s="49"/>
      <c r="JU82" s="49"/>
      <c r="JV82" s="49"/>
      <c r="JW82" s="49"/>
      <c r="JX82" s="49"/>
      <c r="JY82" s="49"/>
      <c r="JZ82" s="49"/>
      <c r="KA82" s="49"/>
      <c r="KB82" s="49"/>
      <c r="KC82" s="49"/>
      <c r="KD82" s="49"/>
      <c r="KE82" s="49"/>
      <c r="KF82" s="49"/>
      <c r="KG82" s="49"/>
      <c r="KH82" s="49"/>
      <c r="KI82" s="49"/>
      <c r="KJ82" s="49"/>
      <c r="KK82" s="49"/>
      <c r="KL82" s="49"/>
      <c r="KM82" s="49"/>
      <c r="KN82" s="49"/>
      <c r="KO82" s="49"/>
      <c r="KP82" s="49"/>
      <c r="KQ82" s="49"/>
      <c r="KR82" s="49"/>
      <c r="KS82" s="49"/>
      <c r="KT82" s="49"/>
      <c r="KU82" s="49"/>
      <c r="KV82" s="49"/>
      <c r="KW82" s="49"/>
      <c r="KX82" s="49"/>
      <c r="KY82" s="49"/>
      <c r="KZ82" s="49"/>
      <c r="LA82" s="49"/>
      <c r="LB82" s="49"/>
      <c r="LC82" s="49"/>
      <c r="LD82" s="49"/>
      <c r="LE82" s="49"/>
      <c r="LF82" s="49"/>
      <c r="LG82" s="49"/>
      <c r="LH82" s="49"/>
      <c r="LI82" s="49"/>
      <c r="LJ82" s="49"/>
      <c r="LK82" s="49"/>
      <c r="LL82" s="49"/>
      <c r="LM82" s="49"/>
      <c r="LN82" s="49"/>
      <c r="LO82" s="49"/>
      <c r="LP82" s="49"/>
      <c r="LQ82" s="49"/>
      <c r="LR82" s="49"/>
      <c r="LS82" s="49"/>
      <c r="LT82" s="49"/>
      <c r="LU82" s="49"/>
      <c r="LV82" s="49"/>
      <c r="LW82" s="49"/>
      <c r="LX82" s="49"/>
      <c r="LY82" s="49"/>
      <c r="LZ82" s="49"/>
      <c r="MA82" s="49"/>
      <c r="MB82" s="49"/>
      <c r="MC82" s="49"/>
      <c r="MD82" s="49"/>
      <c r="ME82" s="49"/>
      <c r="MF82" s="49"/>
      <c r="MG82" s="49"/>
      <c r="MH82" s="49"/>
      <c r="MI82" s="49"/>
      <c r="MJ82" s="49"/>
      <c r="MK82" s="49"/>
      <c r="ML82" s="49"/>
      <c r="MM82" s="49"/>
      <c r="MN82" s="49"/>
      <c r="MO82" s="49"/>
      <c r="MP82" s="49"/>
      <c r="MQ82" s="49"/>
      <c r="MR82" s="49"/>
      <c r="MS82" s="49"/>
      <c r="MT82" s="49"/>
      <c r="MU82" s="49"/>
      <c r="MV82" s="49"/>
      <c r="MW82" s="49"/>
      <c r="MX82" s="49"/>
      <c r="MY82" s="49"/>
      <c r="MZ82" s="49"/>
      <c r="NA82" s="49"/>
      <c r="NB82" s="49"/>
      <c r="NC82" s="49"/>
      <c r="ND82" s="49"/>
      <c r="NE82" s="49"/>
      <c r="NF82" s="49"/>
      <c r="NG82" s="49"/>
      <c r="NH82" s="49"/>
      <c r="NI82" s="49"/>
      <c r="NJ82" s="49"/>
      <c r="NK82" s="49"/>
      <c r="NL82" s="49"/>
      <c r="NM82" s="49"/>
      <c r="NN82" s="49"/>
      <c r="NO82" s="49"/>
      <c r="NP82" s="49"/>
      <c r="NQ82" s="49"/>
      <c r="NR82" s="49"/>
      <c r="NS82" s="49"/>
      <c r="NT82" s="49"/>
      <c r="NU82" s="49"/>
      <c r="NV82" s="49"/>
      <c r="NW82" s="49"/>
      <c r="NX82" s="49"/>
      <c r="NY82" s="49"/>
      <c r="NZ82" s="49"/>
      <c r="OA82" s="49"/>
      <c r="OB82" s="49"/>
      <c r="OC82" s="49"/>
      <c r="OD82" s="49"/>
      <c r="OE82" s="49"/>
      <c r="OF82" s="49"/>
      <c r="OG82" s="49"/>
      <c r="OH82" s="49"/>
      <c r="OI82" s="49"/>
      <c r="OJ82" s="49"/>
      <c r="OK82" s="49"/>
      <c r="OL82" s="49"/>
      <c r="OM82" s="49"/>
      <c r="ON82" s="49"/>
      <c r="OO82" s="49"/>
      <c r="OP82" s="49"/>
      <c r="OQ82" s="49"/>
      <c r="OR82" s="49"/>
      <c r="OS82" s="49"/>
      <c r="OT82" s="49"/>
      <c r="OU82" s="49"/>
      <c r="OV82" s="49"/>
      <c r="OW82" s="49"/>
      <c r="OX82" s="49"/>
      <c r="OY82" s="49"/>
      <c r="OZ82" s="49"/>
      <c r="PA82" s="49"/>
      <c r="PB82" s="49"/>
      <c r="PC82" s="49"/>
      <c r="PD82" s="49"/>
      <c r="PE82" s="49"/>
      <c r="PF82" s="49"/>
      <c r="PG82" s="49"/>
      <c r="PH82" s="49"/>
      <c r="PI82" s="49"/>
      <c r="PJ82" s="49"/>
      <c r="PK82" s="49"/>
      <c r="PL82" s="49"/>
      <c r="PM82" s="49"/>
      <c r="PN82" s="49"/>
      <c r="PO82" s="49"/>
      <c r="PP82" s="49"/>
      <c r="PQ82" s="49"/>
      <c r="PR82" s="49"/>
      <c r="PS82" s="49"/>
      <c r="PT82" s="49"/>
      <c r="PU82" s="49"/>
      <c r="PV82" s="49"/>
      <c r="PW82" s="49"/>
      <c r="PX82" s="49"/>
      <c r="PY82" s="49"/>
      <c r="PZ82" s="49"/>
      <c r="QA82" s="49"/>
      <c r="QB82" s="49"/>
      <c r="QC82" s="49"/>
      <c r="QD82" s="49"/>
      <c r="QE82" s="49"/>
      <c r="QF82" s="49"/>
      <c r="QG82" s="49"/>
      <c r="QH82" s="49"/>
      <c r="QI82" s="49"/>
      <c r="QJ82" s="49"/>
      <c r="QK82" s="49"/>
      <c r="QL82" s="49"/>
      <c r="QM82" s="49"/>
      <c r="QN82" s="49"/>
      <c r="QO82" s="49"/>
      <c r="QP82" s="49"/>
      <c r="QQ82" s="49"/>
      <c r="QR82" s="49"/>
      <c r="QS82" s="49"/>
      <c r="QT82" s="49"/>
      <c r="QU82" s="49"/>
      <c r="QV82" s="49"/>
      <c r="QW82" s="49"/>
      <c r="QX82" s="49"/>
      <c r="QY82" s="49"/>
      <c r="QZ82" s="49"/>
      <c r="RA82" s="49"/>
      <c r="RB82" s="49"/>
      <c r="RC82" s="49"/>
      <c r="RD82" s="49"/>
      <c r="RE82" s="49"/>
      <c r="RF82" s="49"/>
      <c r="RG82" s="49"/>
      <c r="RH82" s="49"/>
      <c r="RI82" s="49"/>
      <c r="RJ82" s="49"/>
      <c r="RK82" s="49"/>
      <c r="RL82" s="49"/>
      <c r="RM82" s="49"/>
      <c r="RN82" s="49"/>
      <c r="RO82" s="49"/>
      <c r="RP82" s="49"/>
      <c r="RQ82" s="49"/>
      <c r="RR82" s="49"/>
      <c r="RS82" s="49"/>
      <c r="RT82" s="49"/>
      <c r="RU82" s="49"/>
      <c r="RV82" s="49"/>
      <c r="RW82" s="49"/>
      <c r="RX82" s="49"/>
      <c r="RY82" s="49"/>
      <c r="RZ82" s="49"/>
      <c r="SA82" s="49"/>
      <c r="SB82" s="49"/>
      <c r="SC82" s="49"/>
      <c r="SD82" s="49"/>
      <c r="SE82" s="49"/>
      <c r="SF82" s="49"/>
      <c r="SG82" s="49"/>
      <c r="SH82" s="49"/>
      <c r="SI82" s="49"/>
      <c r="SJ82" s="49"/>
      <c r="SK82" s="49"/>
      <c r="SL82" s="49"/>
      <c r="SM82" s="49"/>
      <c r="SN82" s="49"/>
      <c r="SO82" s="49"/>
      <c r="SP82" s="49"/>
      <c r="SQ82" s="49"/>
      <c r="SR82" s="49"/>
      <c r="SS82" s="49"/>
      <c r="ST82" s="49"/>
      <c r="SU82" s="49"/>
      <c r="SV82" s="49"/>
      <c r="SW82" s="49"/>
      <c r="SX82" s="49"/>
      <c r="SY82" s="49"/>
      <c r="SZ82" s="49"/>
      <c r="TA82" s="49"/>
      <c r="TB82" s="49"/>
      <c r="TC82" s="49"/>
      <c r="TD82" s="49"/>
      <c r="TE82" s="49"/>
      <c r="TF82" s="49"/>
      <c r="TG82" s="49"/>
      <c r="TH82" s="49"/>
      <c r="TI82" s="49"/>
      <c r="TJ82" s="49"/>
      <c r="TK82" s="49"/>
      <c r="TL82" s="49"/>
      <c r="TM82" s="49"/>
      <c r="TN82" s="49"/>
      <c r="TO82" s="49"/>
      <c r="TP82" s="49"/>
      <c r="TQ82" s="49"/>
      <c r="TR82" s="49"/>
      <c r="TS82" s="49"/>
      <c r="TT82" s="49"/>
      <c r="TU82" s="49"/>
      <c r="TV82" s="49"/>
      <c r="TW82" s="49"/>
      <c r="TX82" s="49"/>
      <c r="TY82" s="49"/>
      <c r="TZ82" s="49"/>
      <c r="UA82" s="49"/>
      <c r="UB82" s="49"/>
      <c r="UC82" s="49"/>
      <c r="UD82" s="49"/>
      <c r="UE82" s="49"/>
      <c r="UF82" s="49"/>
      <c r="UG82" s="49"/>
      <c r="UH82" s="49"/>
      <c r="UI82" s="49"/>
      <c r="UJ82" s="49"/>
      <c r="UK82" s="49"/>
      <c r="UL82" s="49"/>
      <c r="UM82" s="49"/>
      <c r="UN82" s="49"/>
      <c r="UO82" s="49"/>
      <c r="UP82" s="49"/>
      <c r="UQ82" s="49"/>
      <c r="UR82" s="49"/>
      <c r="US82" s="49"/>
      <c r="UT82" s="49"/>
      <c r="UU82" s="49"/>
      <c r="UV82" s="49"/>
      <c r="UW82" s="49"/>
      <c r="UX82" s="49"/>
      <c r="UY82" s="49"/>
      <c r="UZ82" s="49"/>
      <c r="VA82" s="49"/>
      <c r="VB82" s="49"/>
      <c r="VC82" s="49"/>
      <c r="VD82" s="49"/>
      <c r="VE82" s="49"/>
      <c r="VF82" s="49"/>
      <c r="VG82" s="49"/>
      <c r="VH82" s="49"/>
      <c r="VI82" s="49"/>
      <c r="VJ82" s="49"/>
      <c r="VK82" s="49"/>
      <c r="VL82" s="49"/>
      <c r="VM82" s="49"/>
      <c r="VN82" s="49"/>
      <c r="VO82" s="49"/>
      <c r="VP82" s="49"/>
      <c r="VQ82" s="49"/>
      <c r="VR82" s="49"/>
      <c r="VS82" s="49"/>
      <c r="VT82" s="49"/>
      <c r="VU82" s="49"/>
      <c r="VV82" s="49"/>
      <c r="VW82" s="49"/>
      <c r="VX82" s="49"/>
      <c r="VY82" s="49"/>
      <c r="VZ82" s="49"/>
      <c r="WA82" s="49"/>
      <c r="WB82" s="49"/>
      <c r="WC82" s="49"/>
      <c r="WD82" s="49"/>
      <c r="WE82" s="49"/>
      <c r="WF82" s="49"/>
      <c r="WG82" s="49"/>
      <c r="WH82" s="49"/>
      <c r="WI82" s="49"/>
      <c r="WJ82" s="49"/>
      <c r="WK82" s="49"/>
      <c r="WL82" s="49"/>
      <c r="WM82" s="49"/>
      <c r="WN82" s="49"/>
      <c r="WO82" s="49"/>
      <c r="WP82" s="49"/>
      <c r="WQ82" s="49"/>
      <c r="WR82" s="49"/>
      <c r="WS82" s="49"/>
      <c r="WT82" s="49"/>
      <c r="WU82" s="49"/>
      <c r="WV82" s="49"/>
      <c r="WW82" s="49"/>
      <c r="WX82" s="49"/>
      <c r="WY82" s="49"/>
      <c r="WZ82" s="49"/>
      <c r="XA82" s="49"/>
      <c r="XB82" s="49"/>
      <c r="XC82" s="49"/>
      <c r="XD82" s="49"/>
      <c r="XE82" s="49"/>
      <c r="XF82" s="49"/>
      <c r="XG82" s="49"/>
      <c r="XH82" s="49"/>
      <c r="XI82" s="49"/>
      <c r="XJ82" s="49"/>
      <c r="XK82" s="49"/>
      <c r="XL82" s="49"/>
      <c r="XM82" s="49"/>
      <c r="XN82" s="49"/>
      <c r="XO82" s="49"/>
      <c r="XP82" s="49"/>
      <c r="XQ82" s="49"/>
      <c r="XR82" s="49"/>
      <c r="XS82" s="49"/>
      <c r="XT82" s="49"/>
      <c r="XU82" s="49"/>
      <c r="XV82" s="49"/>
      <c r="XW82" s="49"/>
      <c r="XX82" s="49"/>
      <c r="XY82" s="49"/>
      <c r="XZ82" s="49"/>
      <c r="YA82" s="49"/>
      <c r="YB82" s="49"/>
      <c r="YC82" s="49"/>
      <c r="YD82" s="49"/>
      <c r="YE82" s="49"/>
      <c r="YF82" s="49"/>
      <c r="YG82" s="49"/>
      <c r="YH82" s="49"/>
      <c r="YI82" s="49"/>
      <c r="YJ82" s="49"/>
      <c r="YK82" s="49"/>
      <c r="YL82" s="49"/>
      <c r="YM82" s="49"/>
      <c r="YN82" s="49"/>
      <c r="YO82" s="49"/>
      <c r="YP82" s="49"/>
      <c r="YQ82" s="49"/>
      <c r="YR82" s="49"/>
      <c r="YS82" s="49"/>
      <c r="YT82" s="49"/>
      <c r="YU82" s="49"/>
      <c r="YV82" s="49"/>
      <c r="YW82" s="49"/>
      <c r="YX82" s="49"/>
      <c r="YY82" s="49"/>
      <c r="YZ82" s="49"/>
      <c r="ZA82" s="49"/>
      <c r="ZB82" s="49"/>
      <c r="ZC82" s="49"/>
      <c r="ZD82" s="49"/>
      <c r="ZE82" s="49"/>
      <c r="ZF82" s="49"/>
      <c r="ZG82" s="49"/>
      <c r="ZH82" s="49"/>
      <c r="ZI82" s="49"/>
      <c r="ZJ82" s="49"/>
      <c r="ZK82" s="49"/>
      <c r="ZL82" s="49"/>
      <c r="ZM82" s="49"/>
      <c r="ZN82" s="49"/>
      <c r="ZO82" s="49"/>
      <c r="ZP82" s="49"/>
      <c r="ZQ82" s="49"/>
      <c r="ZR82" s="49"/>
      <c r="ZS82" s="49"/>
      <c r="ZT82" s="49"/>
      <c r="ZU82" s="49"/>
      <c r="ZV82" s="49"/>
      <c r="ZW82" s="49"/>
      <c r="ZX82" s="49"/>
      <c r="ZY82" s="49"/>
      <c r="ZZ82" s="49"/>
      <c r="AAA82" s="49"/>
      <c r="AAB82" s="49"/>
      <c r="AAC82" s="49"/>
      <c r="AAD82" s="49"/>
      <c r="AAE82" s="49"/>
      <c r="AAF82" s="49"/>
      <c r="AAG82" s="49"/>
      <c r="AAH82" s="49"/>
      <c r="AAI82" s="49"/>
      <c r="AAJ82" s="49"/>
      <c r="AAK82" s="49"/>
      <c r="AAL82" s="49"/>
      <c r="AAM82" s="49"/>
      <c r="AAN82" s="49"/>
      <c r="AAO82" s="49"/>
      <c r="AAP82" s="49"/>
      <c r="AAQ82" s="49"/>
      <c r="AAR82" s="49"/>
      <c r="AAS82" s="49"/>
      <c r="AAT82" s="49"/>
      <c r="AAU82" s="49"/>
      <c r="AAV82" s="49"/>
      <c r="AAW82" s="49"/>
      <c r="AAX82" s="49"/>
      <c r="AAY82" s="49"/>
      <c r="AAZ82" s="49"/>
      <c r="ABA82" s="49"/>
      <c r="ABB82" s="49"/>
      <c r="ABC82" s="49"/>
      <c r="ABD82" s="49"/>
      <c r="ABE82" s="49"/>
      <c r="ABF82" s="49"/>
      <c r="ABG82" s="49"/>
      <c r="ABH82" s="49"/>
      <c r="ABI82" s="49"/>
      <c r="ABJ82" s="49"/>
      <c r="ABK82" s="49"/>
      <c r="ABL82" s="49"/>
      <c r="ABM82" s="49"/>
      <c r="ABN82" s="49"/>
      <c r="ABO82" s="49"/>
      <c r="ABP82" s="49"/>
      <c r="ABQ82" s="49"/>
      <c r="ABR82" s="49"/>
      <c r="ABS82" s="49"/>
      <c r="ABT82" s="49"/>
      <c r="ABU82" s="49"/>
      <c r="ABV82" s="49"/>
      <c r="ABW82" s="49"/>
      <c r="ABX82" s="49"/>
      <c r="ABY82" s="49"/>
      <c r="ABZ82" s="49"/>
      <c r="ACA82" s="49"/>
      <c r="ACB82" s="49"/>
      <c r="ACC82" s="49"/>
      <c r="ACD82" s="49"/>
      <c r="ACE82" s="49"/>
      <c r="ACF82" s="49"/>
      <c r="ACG82" s="49"/>
      <c r="ACH82" s="49"/>
      <c r="ACI82" s="49"/>
      <c r="ACJ82" s="49"/>
      <c r="ACK82" s="49"/>
      <c r="ACL82" s="49"/>
      <c r="ACM82" s="49"/>
      <c r="ACN82" s="49"/>
      <c r="ACO82" s="49"/>
      <c r="ACP82" s="49"/>
      <c r="ACQ82" s="49"/>
      <c r="ACR82" s="49"/>
      <c r="ACS82" s="49"/>
      <c r="ACT82" s="49"/>
      <c r="ACU82" s="49"/>
      <c r="ACV82" s="49"/>
      <c r="ACW82" s="49"/>
      <c r="ACX82" s="49"/>
      <c r="ACY82" s="49"/>
      <c r="ACZ82" s="49"/>
      <c r="ADA82" s="49"/>
      <c r="ADB82" s="49"/>
      <c r="ADC82" s="49"/>
      <c r="ADD82" s="49"/>
      <c r="ADE82" s="49"/>
      <c r="ADF82" s="49"/>
      <c r="ADG82" s="49"/>
      <c r="ADH82" s="49"/>
      <c r="ADI82" s="49"/>
      <c r="ADJ82" s="49"/>
      <c r="ADK82" s="49"/>
      <c r="ADL82" s="49"/>
      <c r="ADM82" s="49"/>
      <c r="ADN82" s="49"/>
      <c r="ADO82" s="49"/>
      <c r="ADP82" s="49"/>
      <c r="ADQ82" s="49"/>
      <c r="ADR82" s="49"/>
      <c r="ADS82" s="49"/>
      <c r="ADT82" s="49"/>
      <c r="ADU82" s="49"/>
      <c r="ADV82" s="49"/>
      <c r="ADW82" s="49"/>
      <c r="ADX82" s="49"/>
      <c r="ADY82" s="49"/>
      <c r="ADZ82" s="49"/>
      <c r="AEA82" s="49"/>
      <c r="AEB82" s="49"/>
      <c r="AEC82" s="49"/>
      <c r="AED82" s="49"/>
      <c r="AEE82" s="49"/>
      <c r="AEF82" s="49"/>
      <c r="AEG82" s="49"/>
      <c r="AEH82" s="49"/>
      <c r="AEI82" s="49"/>
      <c r="AEJ82" s="49"/>
      <c r="AEK82" s="49"/>
      <c r="AEL82" s="49"/>
      <c r="AEM82" s="49"/>
      <c r="AEN82" s="49"/>
      <c r="AEO82" s="49"/>
      <c r="AEP82" s="49"/>
      <c r="AEQ82" s="49"/>
      <c r="AER82" s="49"/>
      <c r="AES82" s="49"/>
      <c r="AET82" s="49"/>
      <c r="AEU82" s="49"/>
      <c r="AEV82" s="49"/>
      <c r="AEW82" s="49"/>
      <c r="AEX82" s="49"/>
      <c r="AEY82" s="49"/>
      <c r="AEZ82" s="49"/>
      <c r="AFA82" s="49"/>
      <c r="AFB82" s="49"/>
      <c r="AFC82" s="49"/>
      <c r="AFD82" s="49"/>
      <c r="AFE82" s="49"/>
      <c r="AFF82" s="49"/>
      <c r="AFG82" s="49"/>
      <c r="AFH82" s="49"/>
      <c r="AFI82" s="49"/>
      <c r="AFJ82" s="49"/>
      <c r="AFK82" s="49"/>
      <c r="AFL82" s="49"/>
      <c r="AFM82" s="49"/>
      <c r="AFN82" s="49"/>
      <c r="AFO82" s="49"/>
      <c r="AFP82" s="49"/>
      <c r="AFQ82" s="49"/>
      <c r="AFR82" s="49"/>
      <c r="AFS82" s="49"/>
      <c r="AFT82" s="49"/>
      <c r="AFU82" s="49"/>
      <c r="AFV82" s="49"/>
      <c r="AFW82" s="49"/>
      <c r="AFX82" s="49"/>
      <c r="AFY82" s="49"/>
      <c r="AFZ82" s="49"/>
      <c r="AGA82" s="49"/>
      <c r="AGB82" s="49"/>
      <c r="AGC82" s="49"/>
      <c r="AGD82" s="49"/>
      <c r="AGE82" s="49"/>
      <c r="AGF82" s="49"/>
      <c r="AGG82" s="49"/>
      <c r="AGH82" s="49"/>
      <c r="AGI82" s="49"/>
      <c r="AGJ82" s="49"/>
      <c r="AGK82" s="49"/>
      <c r="AGL82" s="49"/>
      <c r="AGM82" s="49"/>
      <c r="AGN82" s="49"/>
      <c r="AGO82" s="49"/>
      <c r="AGP82" s="49"/>
      <c r="AGQ82" s="49"/>
      <c r="AGR82" s="49"/>
      <c r="AGS82" s="49"/>
      <c r="AGT82" s="49"/>
      <c r="AGU82" s="49"/>
      <c r="AGV82" s="49"/>
      <c r="AGW82" s="49"/>
      <c r="AGX82" s="49"/>
      <c r="AGY82" s="49"/>
      <c r="AGZ82" s="49"/>
      <c r="AHA82" s="49"/>
      <c r="AHB82" s="49"/>
      <c r="AHC82" s="49"/>
      <c r="AHD82" s="49"/>
      <c r="AHE82" s="49"/>
      <c r="AHF82" s="49"/>
      <c r="AHG82" s="49"/>
      <c r="AHH82" s="49"/>
      <c r="AHI82" s="49"/>
      <c r="AHJ82" s="49"/>
      <c r="AHK82" s="49"/>
      <c r="AHL82" s="49"/>
      <c r="AHM82" s="49"/>
      <c r="AHN82" s="49"/>
      <c r="AHO82" s="49"/>
      <c r="AHP82" s="49"/>
      <c r="AHQ82" s="49"/>
      <c r="AHR82" s="49"/>
      <c r="AHS82" s="49"/>
      <c r="AHT82" s="49"/>
      <c r="AHU82" s="49"/>
      <c r="AHV82" s="49"/>
      <c r="AHW82" s="49"/>
      <c r="AHX82" s="49"/>
      <c r="AHY82" s="49"/>
      <c r="AHZ82" s="49"/>
      <c r="AIA82" s="49"/>
      <c r="AIB82" s="49"/>
      <c r="AIC82" s="49"/>
      <c r="AID82" s="49"/>
      <c r="AIE82" s="49"/>
      <c r="AIF82" s="49"/>
      <c r="AIG82" s="49"/>
      <c r="AIH82" s="49"/>
      <c r="AII82" s="49"/>
      <c r="AIJ82" s="49"/>
      <c r="AIK82" s="49"/>
      <c r="AIL82" s="49"/>
      <c r="AIM82" s="49"/>
      <c r="AIN82" s="49"/>
      <c r="AIO82" s="49"/>
      <c r="AIP82" s="49"/>
      <c r="AIQ82" s="49"/>
      <c r="AIR82" s="49"/>
      <c r="AIS82" s="49"/>
      <c r="AIT82" s="49"/>
      <c r="AIU82" s="49"/>
      <c r="AIV82" s="49"/>
      <c r="AIW82" s="49"/>
      <c r="AIX82" s="49"/>
      <c r="AIY82" s="49"/>
      <c r="AIZ82" s="49"/>
      <c r="AJA82" s="49"/>
      <c r="AJB82" s="49"/>
      <c r="AJC82" s="49"/>
      <c r="AJD82" s="49"/>
      <c r="AJE82" s="49"/>
      <c r="AJF82" s="49"/>
      <c r="AJG82" s="49"/>
      <c r="AJH82" s="49"/>
      <c r="AJI82" s="49"/>
      <c r="AJJ82" s="49"/>
      <c r="AJK82" s="49"/>
      <c r="AJL82" s="49"/>
      <c r="AJM82" s="49"/>
      <c r="AJN82" s="49"/>
      <c r="AJO82" s="49"/>
      <c r="AJP82" s="49"/>
      <c r="AJQ82" s="49"/>
      <c r="AJR82" s="49"/>
      <c r="AJS82" s="49"/>
      <c r="AJT82" s="49"/>
      <c r="AJU82" s="49"/>
      <c r="AJV82" s="49"/>
      <c r="AJW82" s="49"/>
      <c r="AJX82" s="49"/>
      <c r="AJY82" s="49"/>
      <c r="AJZ82" s="49"/>
      <c r="AKA82" s="49"/>
      <c r="AKB82" s="49"/>
      <c r="AKC82" s="49"/>
      <c r="AKD82" s="49"/>
      <c r="AKE82" s="49"/>
      <c r="AKF82" s="49"/>
      <c r="AKG82" s="49"/>
      <c r="AKH82" s="49"/>
      <c r="AKI82" s="49"/>
      <c r="AKJ82" s="49"/>
      <c r="AKK82" s="49"/>
      <c r="AKL82" s="49"/>
      <c r="AKM82" s="49"/>
      <c r="AKN82" s="49"/>
      <c r="AKO82" s="49"/>
      <c r="AKP82" s="49"/>
      <c r="AKQ82" s="49"/>
      <c r="AKR82" s="49"/>
      <c r="AKS82" s="49"/>
      <c r="AKT82" s="49"/>
      <c r="AKU82" s="49"/>
      <c r="AKV82" s="49"/>
      <c r="AKW82" s="49"/>
      <c r="AKX82" s="49"/>
      <c r="AKY82" s="49"/>
      <c r="AKZ82" s="49"/>
      <c r="ALA82" s="49"/>
      <c r="ALB82" s="49"/>
      <c r="ALC82" s="49"/>
      <c r="ALD82" s="49"/>
      <c r="ALE82" s="49"/>
      <c r="ALF82" s="49"/>
      <c r="ALG82" s="49"/>
      <c r="ALH82" s="49"/>
      <c r="ALI82" s="49"/>
      <c r="ALJ82" s="49"/>
      <c r="ALK82" s="49"/>
      <c r="ALL82" s="49"/>
      <c r="ALM82" s="49"/>
      <c r="ALN82" s="49"/>
      <c r="ALO82" s="49"/>
      <c r="ALP82" s="49"/>
      <c r="ALQ82" s="49"/>
      <c r="ALR82" s="49"/>
      <c r="ALS82" s="49"/>
      <c r="ALT82" s="49"/>
      <c r="ALU82" s="49"/>
      <c r="ALV82" s="49"/>
      <c r="ALW82" s="49"/>
      <c r="ALX82" s="49"/>
      <c r="ALY82" s="49"/>
      <c r="ALZ82" s="49"/>
      <c r="AMA82" s="49"/>
      <c r="AMB82" s="49"/>
      <c r="AMC82" s="49"/>
      <c r="AMD82" s="49"/>
      <c r="AME82" s="49"/>
      <c r="AMF82" s="49"/>
      <c r="AMG82" s="49"/>
      <c r="AMH82" s="49"/>
      <c r="AMI82" s="49"/>
      <c r="AMJ82" s="49"/>
    </row>
    <row r="83" spans="12:1024" ht="15.95" customHeight="1" x14ac:dyDescent="0.2">
      <c r="L83" s="49"/>
      <c r="M83" s="50"/>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49"/>
      <c r="EJ83" s="49"/>
      <c r="EK83" s="49"/>
      <c r="EL83" s="49"/>
      <c r="EM83" s="49"/>
      <c r="EN83" s="49"/>
      <c r="EO83" s="49"/>
      <c r="EP83" s="49"/>
      <c r="EQ83" s="49"/>
      <c r="ER83" s="49"/>
      <c r="ES83" s="49"/>
      <c r="ET83" s="49"/>
      <c r="EU83" s="49"/>
      <c r="EV83" s="49"/>
      <c r="EW83" s="49"/>
      <c r="EX83" s="49"/>
      <c r="EY83" s="49"/>
      <c r="EZ83" s="49"/>
      <c r="FA83" s="49"/>
      <c r="FB83" s="49"/>
      <c r="FC83" s="49"/>
      <c r="FD83" s="49"/>
      <c r="FE83" s="49"/>
      <c r="FF83" s="49"/>
      <c r="FG83" s="49"/>
      <c r="FH83" s="49"/>
      <c r="FI83" s="49"/>
      <c r="FJ83" s="49"/>
      <c r="FK83" s="49"/>
      <c r="FL83" s="49"/>
      <c r="FM83" s="49"/>
      <c r="FN83" s="49"/>
      <c r="FO83" s="49"/>
      <c r="FP83" s="49"/>
      <c r="FQ83" s="49"/>
      <c r="FR83" s="49"/>
      <c r="FS83" s="49"/>
      <c r="FT83" s="49"/>
      <c r="FU83" s="49"/>
      <c r="FV83" s="49"/>
      <c r="FW83" s="49"/>
      <c r="FX83" s="49"/>
      <c r="FY83" s="49"/>
      <c r="FZ83" s="49"/>
      <c r="GA83" s="49"/>
      <c r="GB83" s="49"/>
      <c r="GC83" s="49"/>
      <c r="GD83" s="49"/>
      <c r="GE83" s="49"/>
      <c r="GF83" s="49"/>
      <c r="GG83" s="49"/>
      <c r="GH83" s="49"/>
      <c r="GI83" s="49"/>
      <c r="GJ83" s="49"/>
      <c r="GK83" s="49"/>
      <c r="GL83" s="49"/>
      <c r="GM83" s="49"/>
      <c r="GN83" s="49"/>
      <c r="GO83" s="49"/>
      <c r="GP83" s="49"/>
      <c r="GQ83" s="49"/>
      <c r="GR83" s="49"/>
      <c r="GS83" s="49"/>
      <c r="GT83" s="49"/>
      <c r="GU83" s="49"/>
      <c r="GV83" s="49"/>
      <c r="GW83" s="49"/>
      <c r="GX83" s="49"/>
      <c r="GY83" s="49"/>
      <c r="GZ83" s="49"/>
      <c r="HA83" s="49"/>
      <c r="HB83" s="49"/>
      <c r="HC83" s="49"/>
      <c r="HD83" s="49"/>
      <c r="HE83" s="49"/>
      <c r="HF83" s="49"/>
      <c r="HG83" s="49"/>
      <c r="HH83" s="49"/>
      <c r="HI83" s="49"/>
      <c r="HJ83" s="49"/>
      <c r="HK83" s="49"/>
      <c r="HL83" s="49"/>
      <c r="HM83" s="49"/>
      <c r="HN83" s="49"/>
      <c r="HO83" s="49"/>
      <c r="HP83" s="49"/>
      <c r="HQ83" s="49"/>
      <c r="HR83" s="49"/>
      <c r="HS83" s="49"/>
      <c r="HT83" s="49"/>
      <c r="HU83" s="49"/>
      <c r="HV83" s="49"/>
      <c r="HW83" s="49"/>
      <c r="HX83" s="49"/>
      <c r="HY83" s="49"/>
      <c r="HZ83" s="49"/>
      <c r="IA83" s="49"/>
      <c r="IB83" s="49"/>
      <c r="IC83" s="49"/>
      <c r="ID83" s="49"/>
      <c r="IE83" s="49"/>
      <c r="IF83" s="49"/>
      <c r="IG83" s="49"/>
      <c r="IH83" s="49"/>
      <c r="II83" s="49"/>
      <c r="IJ83" s="49"/>
      <c r="IK83" s="49"/>
      <c r="IL83" s="49"/>
      <c r="IM83" s="49"/>
      <c r="IN83" s="49"/>
      <c r="IO83" s="49"/>
      <c r="IP83" s="49"/>
      <c r="IQ83" s="49"/>
      <c r="IR83" s="49"/>
      <c r="IS83" s="49"/>
      <c r="IT83" s="49"/>
      <c r="IU83" s="49"/>
      <c r="IV83" s="49"/>
      <c r="IW83" s="49"/>
      <c r="IX83" s="49"/>
      <c r="IY83" s="49"/>
      <c r="IZ83" s="49"/>
      <c r="JA83" s="49"/>
      <c r="JB83" s="49"/>
      <c r="JC83" s="49"/>
      <c r="JD83" s="49"/>
      <c r="JE83" s="49"/>
      <c r="JF83" s="49"/>
      <c r="JG83" s="49"/>
      <c r="JH83" s="49"/>
      <c r="JI83" s="49"/>
      <c r="JJ83" s="49"/>
      <c r="JK83" s="49"/>
      <c r="JL83" s="49"/>
      <c r="JM83" s="49"/>
      <c r="JN83" s="49"/>
      <c r="JO83" s="49"/>
      <c r="JP83" s="49"/>
      <c r="JQ83" s="49"/>
      <c r="JR83" s="49"/>
      <c r="JS83" s="49"/>
      <c r="JT83" s="49"/>
      <c r="JU83" s="49"/>
      <c r="JV83" s="49"/>
      <c r="JW83" s="49"/>
      <c r="JX83" s="49"/>
      <c r="JY83" s="49"/>
      <c r="JZ83" s="49"/>
      <c r="KA83" s="49"/>
      <c r="KB83" s="49"/>
      <c r="KC83" s="49"/>
      <c r="KD83" s="49"/>
      <c r="KE83" s="49"/>
      <c r="KF83" s="49"/>
      <c r="KG83" s="49"/>
      <c r="KH83" s="49"/>
      <c r="KI83" s="49"/>
      <c r="KJ83" s="49"/>
      <c r="KK83" s="49"/>
      <c r="KL83" s="49"/>
      <c r="KM83" s="49"/>
      <c r="KN83" s="49"/>
      <c r="KO83" s="49"/>
      <c r="KP83" s="49"/>
      <c r="KQ83" s="49"/>
      <c r="KR83" s="49"/>
      <c r="KS83" s="49"/>
      <c r="KT83" s="49"/>
      <c r="KU83" s="49"/>
      <c r="KV83" s="49"/>
      <c r="KW83" s="49"/>
      <c r="KX83" s="49"/>
      <c r="KY83" s="49"/>
      <c r="KZ83" s="49"/>
      <c r="LA83" s="49"/>
      <c r="LB83" s="49"/>
      <c r="LC83" s="49"/>
      <c r="LD83" s="49"/>
      <c r="LE83" s="49"/>
      <c r="LF83" s="49"/>
      <c r="LG83" s="49"/>
      <c r="LH83" s="49"/>
      <c r="LI83" s="49"/>
      <c r="LJ83" s="49"/>
      <c r="LK83" s="49"/>
      <c r="LL83" s="49"/>
      <c r="LM83" s="49"/>
      <c r="LN83" s="49"/>
      <c r="LO83" s="49"/>
      <c r="LP83" s="49"/>
      <c r="LQ83" s="49"/>
      <c r="LR83" s="49"/>
      <c r="LS83" s="49"/>
      <c r="LT83" s="49"/>
      <c r="LU83" s="49"/>
      <c r="LV83" s="49"/>
      <c r="LW83" s="49"/>
      <c r="LX83" s="49"/>
      <c r="LY83" s="49"/>
      <c r="LZ83" s="49"/>
      <c r="MA83" s="49"/>
      <c r="MB83" s="49"/>
      <c r="MC83" s="49"/>
      <c r="MD83" s="49"/>
      <c r="ME83" s="49"/>
      <c r="MF83" s="49"/>
      <c r="MG83" s="49"/>
      <c r="MH83" s="49"/>
      <c r="MI83" s="49"/>
      <c r="MJ83" s="49"/>
      <c r="MK83" s="49"/>
      <c r="ML83" s="49"/>
      <c r="MM83" s="49"/>
      <c r="MN83" s="49"/>
      <c r="MO83" s="49"/>
      <c r="MP83" s="49"/>
      <c r="MQ83" s="49"/>
      <c r="MR83" s="49"/>
      <c r="MS83" s="49"/>
      <c r="MT83" s="49"/>
      <c r="MU83" s="49"/>
      <c r="MV83" s="49"/>
      <c r="MW83" s="49"/>
      <c r="MX83" s="49"/>
      <c r="MY83" s="49"/>
      <c r="MZ83" s="49"/>
      <c r="NA83" s="49"/>
      <c r="NB83" s="49"/>
      <c r="NC83" s="49"/>
      <c r="ND83" s="49"/>
      <c r="NE83" s="49"/>
      <c r="NF83" s="49"/>
      <c r="NG83" s="49"/>
      <c r="NH83" s="49"/>
      <c r="NI83" s="49"/>
      <c r="NJ83" s="49"/>
      <c r="NK83" s="49"/>
      <c r="NL83" s="49"/>
      <c r="NM83" s="49"/>
      <c r="NN83" s="49"/>
      <c r="NO83" s="49"/>
      <c r="NP83" s="49"/>
      <c r="NQ83" s="49"/>
      <c r="NR83" s="49"/>
      <c r="NS83" s="49"/>
      <c r="NT83" s="49"/>
      <c r="NU83" s="49"/>
      <c r="NV83" s="49"/>
      <c r="NW83" s="49"/>
      <c r="NX83" s="49"/>
      <c r="NY83" s="49"/>
      <c r="NZ83" s="49"/>
      <c r="OA83" s="49"/>
      <c r="OB83" s="49"/>
      <c r="OC83" s="49"/>
      <c r="OD83" s="49"/>
      <c r="OE83" s="49"/>
      <c r="OF83" s="49"/>
      <c r="OG83" s="49"/>
      <c r="OH83" s="49"/>
      <c r="OI83" s="49"/>
      <c r="OJ83" s="49"/>
      <c r="OK83" s="49"/>
      <c r="OL83" s="49"/>
      <c r="OM83" s="49"/>
      <c r="ON83" s="49"/>
      <c r="OO83" s="49"/>
      <c r="OP83" s="49"/>
      <c r="OQ83" s="49"/>
      <c r="OR83" s="49"/>
      <c r="OS83" s="49"/>
      <c r="OT83" s="49"/>
      <c r="OU83" s="49"/>
      <c r="OV83" s="49"/>
      <c r="OW83" s="49"/>
      <c r="OX83" s="49"/>
      <c r="OY83" s="49"/>
      <c r="OZ83" s="49"/>
      <c r="PA83" s="49"/>
      <c r="PB83" s="49"/>
      <c r="PC83" s="49"/>
      <c r="PD83" s="49"/>
      <c r="PE83" s="49"/>
      <c r="PF83" s="49"/>
      <c r="PG83" s="49"/>
      <c r="PH83" s="49"/>
      <c r="PI83" s="49"/>
      <c r="PJ83" s="49"/>
      <c r="PK83" s="49"/>
      <c r="PL83" s="49"/>
      <c r="PM83" s="49"/>
      <c r="PN83" s="49"/>
      <c r="PO83" s="49"/>
      <c r="PP83" s="49"/>
      <c r="PQ83" s="49"/>
      <c r="PR83" s="49"/>
      <c r="PS83" s="49"/>
      <c r="PT83" s="49"/>
      <c r="PU83" s="49"/>
      <c r="PV83" s="49"/>
      <c r="PW83" s="49"/>
      <c r="PX83" s="49"/>
      <c r="PY83" s="49"/>
      <c r="PZ83" s="49"/>
      <c r="QA83" s="49"/>
      <c r="QB83" s="49"/>
      <c r="QC83" s="49"/>
      <c r="QD83" s="49"/>
      <c r="QE83" s="49"/>
      <c r="QF83" s="49"/>
      <c r="QG83" s="49"/>
      <c r="QH83" s="49"/>
      <c r="QI83" s="49"/>
      <c r="QJ83" s="49"/>
      <c r="QK83" s="49"/>
      <c r="QL83" s="49"/>
      <c r="QM83" s="49"/>
      <c r="QN83" s="49"/>
      <c r="QO83" s="49"/>
      <c r="QP83" s="49"/>
      <c r="QQ83" s="49"/>
      <c r="QR83" s="49"/>
      <c r="QS83" s="49"/>
      <c r="QT83" s="49"/>
      <c r="QU83" s="49"/>
      <c r="QV83" s="49"/>
      <c r="QW83" s="49"/>
      <c r="QX83" s="49"/>
      <c r="QY83" s="49"/>
      <c r="QZ83" s="49"/>
      <c r="RA83" s="49"/>
      <c r="RB83" s="49"/>
      <c r="RC83" s="49"/>
      <c r="RD83" s="49"/>
      <c r="RE83" s="49"/>
      <c r="RF83" s="49"/>
      <c r="RG83" s="49"/>
      <c r="RH83" s="49"/>
      <c r="RI83" s="49"/>
      <c r="RJ83" s="49"/>
      <c r="RK83" s="49"/>
      <c r="RL83" s="49"/>
      <c r="RM83" s="49"/>
      <c r="RN83" s="49"/>
      <c r="RO83" s="49"/>
      <c r="RP83" s="49"/>
      <c r="RQ83" s="49"/>
      <c r="RR83" s="49"/>
      <c r="RS83" s="49"/>
      <c r="RT83" s="49"/>
      <c r="RU83" s="49"/>
      <c r="RV83" s="49"/>
      <c r="RW83" s="49"/>
      <c r="RX83" s="49"/>
      <c r="RY83" s="49"/>
      <c r="RZ83" s="49"/>
      <c r="SA83" s="49"/>
      <c r="SB83" s="49"/>
      <c r="SC83" s="49"/>
      <c r="SD83" s="49"/>
      <c r="SE83" s="49"/>
      <c r="SF83" s="49"/>
      <c r="SG83" s="49"/>
      <c r="SH83" s="49"/>
      <c r="SI83" s="49"/>
      <c r="SJ83" s="49"/>
      <c r="SK83" s="49"/>
      <c r="SL83" s="49"/>
      <c r="SM83" s="49"/>
      <c r="SN83" s="49"/>
      <c r="SO83" s="49"/>
      <c r="SP83" s="49"/>
      <c r="SQ83" s="49"/>
      <c r="SR83" s="49"/>
      <c r="SS83" s="49"/>
      <c r="ST83" s="49"/>
      <c r="SU83" s="49"/>
      <c r="SV83" s="49"/>
      <c r="SW83" s="49"/>
      <c r="SX83" s="49"/>
      <c r="SY83" s="49"/>
      <c r="SZ83" s="49"/>
      <c r="TA83" s="49"/>
      <c r="TB83" s="49"/>
      <c r="TC83" s="49"/>
      <c r="TD83" s="49"/>
      <c r="TE83" s="49"/>
      <c r="TF83" s="49"/>
      <c r="TG83" s="49"/>
      <c r="TH83" s="49"/>
      <c r="TI83" s="49"/>
      <c r="TJ83" s="49"/>
      <c r="TK83" s="49"/>
      <c r="TL83" s="49"/>
      <c r="TM83" s="49"/>
      <c r="TN83" s="49"/>
      <c r="TO83" s="49"/>
      <c r="TP83" s="49"/>
      <c r="TQ83" s="49"/>
      <c r="TR83" s="49"/>
      <c r="TS83" s="49"/>
      <c r="TT83" s="49"/>
      <c r="TU83" s="49"/>
      <c r="TV83" s="49"/>
      <c r="TW83" s="49"/>
      <c r="TX83" s="49"/>
      <c r="TY83" s="49"/>
      <c r="TZ83" s="49"/>
      <c r="UA83" s="49"/>
      <c r="UB83" s="49"/>
      <c r="UC83" s="49"/>
      <c r="UD83" s="49"/>
      <c r="UE83" s="49"/>
      <c r="UF83" s="49"/>
      <c r="UG83" s="49"/>
      <c r="UH83" s="49"/>
      <c r="UI83" s="49"/>
      <c r="UJ83" s="49"/>
      <c r="UK83" s="49"/>
      <c r="UL83" s="49"/>
      <c r="UM83" s="49"/>
      <c r="UN83" s="49"/>
      <c r="UO83" s="49"/>
      <c r="UP83" s="49"/>
      <c r="UQ83" s="49"/>
      <c r="UR83" s="49"/>
      <c r="US83" s="49"/>
      <c r="UT83" s="49"/>
      <c r="UU83" s="49"/>
      <c r="UV83" s="49"/>
      <c r="UW83" s="49"/>
      <c r="UX83" s="49"/>
      <c r="UY83" s="49"/>
      <c r="UZ83" s="49"/>
      <c r="VA83" s="49"/>
      <c r="VB83" s="49"/>
      <c r="VC83" s="49"/>
      <c r="VD83" s="49"/>
      <c r="VE83" s="49"/>
      <c r="VF83" s="49"/>
      <c r="VG83" s="49"/>
      <c r="VH83" s="49"/>
      <c r="VI83" s="49"/>
      <c r="VJ83" s="49"/>
      <c r="VK83" s="49"/>
      <c r="VL83" s="49"/>
      <c r="VM83" s="49"/>
      <c r="VN83" s="49"/>
      <c r="VO83" s="49"/>
      <c r="VP83" s="49"/>
      <c r="VQ83" s="49"/>
      <c r="VR83" s="49"/>
      <c r="VS83" s="49"/>
      <c r="VT83" s="49"/>
      <c r="VU83" s="49"/>
      <c r="VV83" s="49"/>
      <c r="VW83" s="49"/>
      <c r="VX83" s="49"/>
      <c r="VY83" s="49"/>
      <c r="VZ83" s="49"/>
      <c r="WA83" s="49"/>
      <c r="WB83" s="49"/>
      <c r="WC83" s="49"/>
      <c r="WD83" s="49"/>
      <c r="WE83" s="49"/>
      <c r="WF83" s="49"/>
      <c r="WG83" s="49"/>
      <c r="WH83" s="49"/>
      <c r="WI83" s="49"/>
      <c r="WJ83" s="49"/>
      <c r="WK83" s="49"/>
      <c r="WL83" s="49"/>
      <c r="WM83" s="49"/>
      <c r="WN83" s="49"/>
      <c r="WO83" s="49"/>
      <c r="WP83" s="49"/>
      <c r="WQ83" s="49"/>
      <c r="WR83" s="49"/>
      <c r="WS83" s="49"/>
      <c r="WT83" s="49"/>
      <c r="WU83" s="49"/>
      <c r="WV83" s="49"/>
      <c r="WW83" s="49"/>
      <c r="WX83" s="49"/>
      <c r="WY83" s="49"/>
      <c r="WZ83" s="49"/>
      <c r="XA83" s="49"/>
      <c r="XB83" s="49"/>
      <c r="XC83" s="49"/>
      <c r="XD83" s="49"/>
      <c r="XE83" s="49"/>
      <c r="XF83" s="49"/>
      <c r="XG83" s="49"/>
      <c r="XH83" s="49"/>
      <c r="XI83" s="49"/>
      <c r="XJ83" s="49"/>
      <c r="XK83" s="49"/>
      <c r="XL83" s="49"/>
      <c r="XM83" s="49"/>
      <c r="XN83" s="49"/>
      <c r="XO83" s="49"/>
      <c r="XP83" s="49"/>
      <c r="XQ83" s="49"/>
      <c r="XR83" s="49"/>
      <c r="XS83" s="49"/>
      <c r="XT83" s="49"/>
      <c r="XU83" s="49"/>
      <c r="XV83" s="49"/>
      <c r="XW83" s="49"/>
      <c r="XX83" s="49"/>
      <c r="XY83" s="49"/>
      <c r="XZ83" s="49"/>
      <c r="YA83" s="49"/>
      <c r="YB83" s="49"/>
      <c r="YC83" s="49"/>
      <c r="YD83" s="49"/>
      <c r="YE83" s="49"/>
      <c r="YF83" s="49"/>
      <c r="YG83" s="49"/>
      <c r="YH83" s="49"/>
      <c r="YI83" s="49"/>
      <c r="YJ83" s="49"/>
      <c r="YK83" s="49"/>
      <c r="YL83" s="49"/>
      <c r="YM83" s="49"/>
      <c r="YN83" s="49"/>
      <c r="YO83" s="49"/>
      <c r="YP83" s="49"/>
      <c r="YQ83" s="49"/>
      <c r="YR83" s="49"/>
      <c r="YS83" s="49"/>
      <c r="YT83" s="49"/>
      <c r="YU83" s="49"/>
      <c r="YV83" s="49"/>
      <c r="YW83" s="49"/>
      <c r="YX83" s="49"/>
      <c r="YY83" s="49"/>
      <c r="YZ83" s="49"/>
      <c r="ZA83" s="49"/>
      <c r="ZB83" s="49"/>
      <c r="ZC83" s="49"/>
      <c r="ZD83" s="49"/>
      <c r="ZE83" s="49"/>
      <c r="ZF83" s="49"/>
      <c r="ZG83" s="49"/>
      <c r="ZH83" s="49"/>
      <c r="ZI83" s="49"/>
      <c r="ZJ83" s="49"/>
      <c r="ZK83" s="49"/>
      <c r="ZL83" s="49"/>
      <c r="ZM83" s="49"/>
      <c r="ZN83" s="49"/>
      <c r="ZO83" s="49"/>
      <c r="ZP83" s="49"/>
      <c r="ZQ83" s="49"/>
      <c r="ZR83" s="49"/>
      <c r="ZS83" s="49"/>
      <c r="ZT83" s="49"/>
      <c r="ZU83" s="49"/>
      <c r="ZV83" s="49"/>
      <c r="ZW83" s="49"/>
      <c r="ZX83" s="49"/>
      <c r="ZY83" s="49"/>
      <c r="ZZ83" s="49"/>
      <c r="AAA83" s="49"/>
      <c r="AAB83" s="49"/>
      <c r="AAC83" s="49"/>
      <c r="AAD83" s="49"/>
      <c r="AAE83" s="49"/>
      <c r="AAF83" s="49"/>
      <c r="AAG83" s="49"/>
      <c r="AAH83" s="49"/>
      <c r="AAI83" s="49"/>
      <c r="AAJ83" s="49"/>
      <c r="AAK83" s="49"/>
      <c r="AAL83" s="49"/>
      <c r="AAM83" s="49"/>
      <c r="AAN83" s="49"/>
      <c r="AAO83" s="49"/>
      <c r="AAP83" s="49"/>
      <c r="AAQ83" s="49"/>
      <c r="AAR83" s="49"/>
      <c r="AAS83" s="49"/>
      <c r="AAT83" s="49"/>
      <c r="AAU83" s="49"/>
      <c r="AAV83" s="49"/>
      <c r="AAW83" s="49"/>
      <c r="AAX83" s="49"/>
      <c r="AAY83" s="49"/>
      <c r="AAZ83" s="49"/>
      <c r="ABA83" s="49"/>
      <c r="ABB83" s="49"/>
      <c r="ABC83" s="49"/>
      <c r="ABD83" s="49"/>
      <c r="ABE83" s="49"/>
      <c r="ABF83" s="49"/>
      <c r="ABG83" s="49"/>
      <c r="ABH83" s="49"/>
      <c r="ABI83" s="49"/>
      <c r="ABJ83" s="49"/>
      <c r="ABK83" s="49"/>
      <c r="ABL83" s="49"/>
      <c r="ABM83" s="49"/>
      <c r="ABN83" s="49"/>
      <c r="ABO83" s="49"/>
      <c r="ABP83" s="49"/>
      <c r="ABQ83" s="49"/>
      <c r="ABR83" s="49"/>
      <c r="ABS83" s="49"/>
      <c r="ABT83" s="49"/>
      <c r="ABU83" s="49"/>
      <c r="ABV83" s="49"/>
      <c r="ABW83" s="49"/>
      <c r="ABX83" s="49"/>
      <c r="ABY83" s="49"/>
      <c r="ABZ83" s="49"/>
      <c r="ACA83" s="49"/>
      <c r="ACB83" s="49"/>
      <c r="ACC83" s="49"/>
      <c r="ACD83" s="49"/>
      <c r="ACE83" s="49"/>
      <c r="ACF83" s="49"/>
      <c r="ACG83" s="49"/>
      <c r="ACH83" s="49"/>
      <c r="ACI83" s="49"/>
      <c r="ACJ83" s="49"/>
      <c r="ACK83" s="49"/>
      <c r="ACL83" s="49"/>
      <c r="ACM83" s="49"/>
      <c r="ACN83" s="49"/>
      <c r="ACO83" s="49"/>
      <c r="ACP83" s="49"/>
      <c r="ACQ83" s="49"/>
      <c r="ACR83" s="49"/>
      <c r="ACS83" s="49"/>
      <c r="ACT83" s="49"/>
      <c r="ACU83" s="49"/>
      <c r="ACV83" s="49"/>
      <c r="ACW83" s="49"/>
      <c r="ACX83" s="49"/>
      <c r="ACY83" s="49"/>
      <c r="ACZ83" s="49"/>
      <c r="ADA83" s="49"/>
      <c r="ADB83" s="49"/>
      <c r="ADC83" s="49"/>
      <c r="ADD83" s="49"/>
      <c r="ADE83" s="49"/>
      <c r="ADF83" s="49"/>
      <c r="ADG83" s="49"/>
      <c r="ADH83" s="49"/>
      <c r="ADI83" s="49"/>
      <c r="ADJ83" s="49"/>
      <c r="ADK83" s="49"/>
      <c r="ADL83" s="49"/>
      <c r="ADM83" s="49"/>
      <c r="ADN83" s="49"/>
      <c r="ADO83" s="49"/>
      <c r="ADP83" s="49"/>
      <c r="ADQ83" s="49"/>
      <c r="ADR83" s="49"/>
      <c r="ADS83" s="49"/>
      <c r="ADT83" s="49"/>
      <c r="ADU83" s="49"/>
      <c r="ADV83" s="49"/>
      <c r="ADW83" s="49"/>
      <c r="ADX83" s="49"/>
      <c r="ADY83" s="49"/>
      <c r="ADZ83" s="49"/>
      <c r="AEA83" s="49"/>
      <c r="AEB83" s="49"/>
      <c r="AEC83" s="49"/>
      <c r="AED83" s="49"/>
      <c r="AEE83" s="49"/>
      <c r="AEF83" s="49"/>
      <c r="AEG83" s="49"/>
      <c r="AEH83" s="49"/>
      <c r="AEI83" s="49"/>
      <c r="AEJ83" s="49"/>
      <c r="AEK83" s="49"/>
      <c r="AEL83" s="49"/>
      <c r="AEM83" s="49"/>
      <c r="AEN83" s="49"/>
      <c r="AEO83" s="49"/>
      <c r="AEP83" s="49"/>
      <c r="AEQ83" s="49"/>
      <c r="AER83" s="49"/>
      <c r="AES83" s="49"/>
      <c r="AET83" s="49"/>
      <c r="AEU83" s="49"/>
      <c r="AEV83" s="49"/>
      <c r="AEW83" s="49"/>
      <c r="AEX83" s="49"/>
      <c r="AEY83" s="49"/>
      <c r="AEZ83" s="49"/>
      <c r="AFA83" s="49"/>
      <c r="AFB83" s="49"/>
      <c r="AFC83" s="49"/>
      <c r="AFD83" s="49"/>
      <c r="AFE83" s="49"/>
      <c r="AFF83" s="49"/>
      <c r="AFG83" s="49"/>
      <c r="AFH83" s="49"/>
      <c r="AFI83" s="49"/>
      <c r="AFJ83" s="49"/>
      <c r="AFK83" s="49"/>
      <c r="AFL83" s="49"/>
      <c r="AFM83" s="49"/>
      <c r="AFN83" s="49"/>
      <c r="AFO83" s="49"/>
      <c r="AFP83" s="49"/>
      <c r="AFQ83" s="49"/>
      <c r="AFR83" s="49"/>
      <c r="AFS83" s="49"/>
      <c r="AFT83" s="49"/>
      <c r="AFU83" s="49"/>
      <c r="AFV83" s="49"/>
      <c r="AFW83" s="49"/>
      <c r="AFX83" s="49"/>
      <c r="AFY83" s="49"/>
      <c r="AFZ83" s="49"/>
      <c r="AGA83" s="49"/>
      <c r="AGB83" s="49"/>
      <c r="AGC83" s="49"/>
      <c r="AGD83" s="49"/>
      <c r="AGE83" s="49"/>
      <c r="AGF83" s="49"/>
      <c r="AGG83" s="49"/>
      <c r="AGH83" s="49"/>
      <c r="AGI83" s="49"/>
      <c r="AGJ83" s="49"/>
      <c r="AGK83" s="49"/>
      <c r="AGL83" s="49"/>
      <c r="AGM83" s="49"/>
      <c r="AGN83" s="49"/>
      <c r="AGO83" s="49"/>
      <c r="AGP83" s="49"/>
      <c r="AGQ83" s="49"/>
      <c r="AGR83" s="49"/>
      <c r="AGS83" s="49"/>
      <c r="AGT83" s="49"/>
      <c r="AGU83" s="49"/>
      <c r="AGV83" s="49"/>
      <c r="AGW83" s="49"/>
      <c r="AGX83" s="49"/>
      <c r="AGY83" s="49"/>
      <c r="AGZ83" s="49"/>
      <c r="AHA83" s="49"/>
      <c r="AHB83" s="49"/>
      <c r="AHC83" s="49"/>
      <c r="AHD83" s="49"/>
      <c r="AHE83" s="49"/>
      <c r="AHF83" s="49"/>
      <c r="AHG83" s="49"/>
      <c r="AHH83" s="49"/>
      <c r="AHI83" s="49"/>
      <c r="AHJ83" s="49"/>
      <c r="AHK83" s="49"/>
      <c r="AHL83" s="49"/>
      <c r="AHM83" s="49"/>
      <c r="AHN83" s="49"/>
      <c r="AHO83" s="49"/>
      <c r="AHP83" s="49"/>
      <c r="AHQ83" s="49"/>
      <c r="AHR83" s="49"/>
      <c r="AHS83" s="49"/>
      <c r="AHT83" s="49"/>
      <c r="AHU83" s="49"/>
      <c r="AHV83" s="49"/>
      <c r="AHW83" s="49"/>
      <c r="AHX83" s="49"/>
      <c r="AHY83" s="49"/>
      <c r="AHZ83" s="49"/>
      <c r="AIA83" s="49"/>
      <c r="AIB83" s="49"/>
      <c r="AIC83" s="49"/>
      <c r="AID83" s="49"/>
      <c r="AIE83" s="49"/>
      <c r="AIF83" s="49"/>
      <c r="AIG83" s="49"/>
      <c r="AIH83" s="49"/>
      <c r="AII83" s="49"/>
      <c r="AIJ83" s="49"/>
      <c r="AIK83" s="49"/>
      <c r="AIL83" s="49"/>
      <c r="AIM83" s="49"/>
      <c r="AIN83" s="49"/>
      <c r="AIO83" s="49"/>
      <c r="AIP83" s="49"/>
      <c r="AIQ83" s="49"/>
      <c r="AIR83" s="49"/>
      <c r="AIS83" s="49"/>
      <c r="AIT83" s="49"/>
      <c r="AIU83" s="49"/>
      <c r="AIV83" s="49"/>
      <c r="AIW83" s="49"/>
      <c r="AIX83" s="49"/>
      <c r="AIY83" s="49"/>
      <c r="AIZ83" s="49"/>
      <c r="AJA83" s="49"/>
      <c r="AJB83" s="49"/>
      <c r="AJC83" s="49"/>
      <c r="AJD83" s="49"/>
      <c r="AJE83" s="49"/>
      <c r="AJF83" s="49"/>
      <c r="AJG83" s="49"/>
      <c r="AJH83" s="49"/>
      <c r="AJI83" s="49"/>
      <c r="AJJ83" s="49"/>
      <c r="AJK83" s="49"/>
      <c r="AJL83" s="49"/>
      <c r="AJM83" s="49"/>
      <c r="AJN83" s="49"/>
      <c r="AJO83" s="49"/>
      <c r="AJP83" s="49"/>
      <c r="AJQ83" s="49"/>
      <c r="AJR83" s="49"/>
      <c r="AJS83" s="49"/>
      <c r="AJT83" s="49"/>
      <c r="AJU83" s="49"/>
      <c r="AJV83" s="49"/>
      <c r="AJW83" s="49"/>
      <c r="AJX83" s="49"/>
      <c r="AJY83" s="49"/>
      <c r="AJZ83" s="49"/>
      <c r="AKA83" s="49"/>
      <c r="AKB83" s="49"/>
      <c r="AKC83" s="49"/>
      <c r="AKD83" s="49"/>
      <c r="AKE83" s="49"/>
      <c r="AKF83" s="49"/>
      <c r="AKG83" s="49"/>
      <c r="AKH83" s="49"/>
      <c r="AKI83" s="49"/>
      <c r="AKJ83" s="49"/>
      <c r="AKK83" s="49"/>
      <c r="AKL83" s="49"/>
      <c r="AKM83" s="49"/>
      <c r="AKN83" s="49"/>
      <c r="AKO83" s="49"/>
      <c r="AKP83" s="49"/>
      <c r="AKQ83" s="49"/>
      <c r="AKR83" s="49"/>
      <c r="AKS83" s="49"/>
      <c r="AKT83" s="49"/>
      <c r="AKU83" s="49"/>
      <c r="AKV83" s="49"/>
      <c r="AKW83" s="49"/>
      <c r="AKX83" s="49"/>
      <c r="AKY83" s="49"/>
      <c r="AKZ83" s="49"/>
      <c r="ALA83" s="49"/>
      <c r="ALB83" s="49"/>
      <c r="ALC83" s="49"/>
      <c r="ALD83" s="49"/>
      <c r="ALE83" s="49"/>
      <c r="ALF83" s="49"/>
      <c r="ALG83" s="49"/>
      <c r="ALH83" s="49"/>
      <c r="ALI83" s="49"/>
      <c r="ALJ83" s="49"/>
      <c r="ALK83" s="49"/>
      <c r="ALL83" s="49"/>
      <c r="ALM83" s="49"/>
      <c r="ALN83" s="49"/>
      <c r="ALO83" s="49"/>
      <c r="ALP83" s="49"/>
      <c r="ALQ83" s="49"/>
      <c r="ALR83" s="49"/>
      <c r="ALS83" s="49"/>
      <c r="ALT83" s="49"/>
      <c r="ALU83" s="49"/>
      <c r="ALV83" s="49"/>
      <c r="ALW83" s="49"/>
      <c r="ALX83" s="49"/>
      <c r="ALY83" s="49"/>
      <c r="ALZ83" s="49"/>
      <c r="AMA83" s="49"/>
      <c r="AMB83" s="49"/>
      <c r="AMC83" s="49"/>
      <c r="AMD83" s="49"/>
      <c r="AME83" s="49"/>
      <c r="AMF83" s="49"/>
      <c r="AMG83" s="49"/>
      <c r="AMH83" s="49"/>
      <c r="AMI83" s="49"/>
      <c r="AMJ83" s="49"/>
    </row>
    <row r="84" spans="12:1024" ht="15.95" customHeight="1" x14ac:dyDescent="0.2">
      <c r="L84" s="49"/>
      <c r="M84" s="50"/>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49"/>
      <c r="EN84" s="49"/>
      <c r="EO84" s="49"/>
      <c r="EP84" s="49"/>
      <c r="EQ84" s="49"/>
      <c r="ER84" s="49"/>
      <c r="ES84" s="49"/>
      <c r="ET84" s="49"/>
      <c r="EU84" s="49"/>
      <c r="EV84" s="49"/>
      <c r="EW84" s="49"/>
      <c r="EX84" s="49"/>
      <c r="EY84" s="49"/>
      <c r="EZ84" s="49"/>
      <c r="FA84" s="49"/>
      <c r="FB84" s="49"/>
      <c r="FC84" s="49"/>
      <c r="FD84" s="49"/>
      <c r="FE84" s="49"/>
      <c r="FF84" s="49"/>
      <c r="FG84" s="49"/>
      <c r="FH84" s="49"/>
      <c r="FI84" s="49"/>
      <c r="FJ84" s="49"/>
      <c r="FK84" s="49"/>
      <c r="FL84" s="49"/>
      <c r="FM84" s="49"/>
      <c r="FN84" s="49"/>
      <c r="FO84" s="49"/>
      <c r="FP84" s="49"/>
      <c r="FQ84" s="49"/>
      <c r="FR84" s="49"/>
      <c r="FS84" s="49"/>
      <c r="FT84" s="49"/>
      <c r="FU84" s="49"/>
      <c r="FV84" s="49"/>
      <c r="FW84" s="49"/>
      <c r="FX84" s="49"/>
      <c r="FY84" s="49"/>
      <c r="FZ84" s="49"/>
      <c r="GA84" s="49"/>
      <c r="GB84" s="49"/>
      <c r="GC84" s="49"/>
      <c r="GD84" s="49"/>
      <c r="GE84" s="49"/>
      <c r="GF84" s="49"/>
      <c r="GG84" s="49"/>
      <c r="GH84" s="49"/>
      <c r="GI84" s="49"/>
      <c r="GJ84" s="49"/>
      <c r="GK84" s="49"/>
      <c r="GL84" s="49"/>
      <c r="GM84" s="49"/>
      <c r="GN84" s="49"/>
      <c r="GO84" s="49"/>
      <c r="GP84" s="49"/>
      <c r="GQ84" s="49"/>
      <c r="GR84" s="49"/>
      <c r="GS84" s="49"/>
      <c r="GT84" s="49"/>
      <c r="GU84" s="49"/>
      <c r="GV84" s="49"/>
      <c r="GW84" s="49"/>
      <c r="GX84" s="49"/>
      <c r="GY84" s="49"/>
      <c r="GZ84" s="49"/>
      <c r="HA84" s="49"/>
      <c r="HB84" s="49"/>
      <c r="HC84" s="49"/>
      <c r="HD84" s="49"/>
      <c r="HE84" s="49"/>
      <c r="HF84" s="49"/>
      <c r="HG84" s="49"/>
      <c r="HH84" s="49"/>
      <c r="HI84" s="49"/>
      <c r="HJ84" s="49"/>
      <c r="HK84" s="49"/>
      <c r="HL84" s="49"/>
      <c r="HM84" s="49"/>
      <c r="HN84" s="49"/>
      <c r="HO84" s="49"/>
      <c r="HP84" s="49"/>
      <c r="HQ84" s="49"/>
      <c r="HR84" s="49"/>
      <c r="HS84" s="49"/>
      <c r="HT84" s="49"/>
      <c r="HU84" s="49"/>
      <c r="HV84" s="49"/>
      <c r="HW84" s="49"/>
      <c r="HX84" s="49"/>
      <c r="HY84" s="49"/>
      <c r="HZ84" s="49"/>
      <c r="IA84" s="49"/>
      <c r="IB84" s="49"/>
      <c r="IC84" s="49"/>
      <c r="ID84" s="49"/>
      <c r="IE84" s="49"/>
      <c r="IF84" s="49"/>
      <c r="IG84" s="49"/>
      <c r="IH84" s="49"/>
      <c r="II84" s="49"/>
      <c r="IJ84" s="49"/>
      <c r="IK84" s="49"/>
      <c r="IL84" s="49"/>
      <c r="IM84" s="49"/>
      <c r="IN84" s="49"/>
      <c r="IO84" s="49"/>
      <c r="IP84" s="49"/>
      <c r="IQ84" s="49"/>
      <c r="IR84" s="49"/>
      <c r="IS84" s="49"/>
      <c r="IT84" s="49"/>
      <c r="IU84" s="49"/>
      <c r="IV84" s="49"/>
      <c r="IW84" s="49"/>
      <c r="IX84" s="49"/>
      <c r="IY84" s="49"/>
      <c r="IZ84" s="49"/>
      <c r="JA84" s="49"/>
      <c r="JB84" s="49"/>
      <c r="JC84" s="49"/>
      <c r="JD84" s="49"/>
      <c r="JE84" s="49"/>
      <c r="JF84" s="49"/>
      <c r="JG84" s="49"/>
      <c r="JH84" s="49"/>
      <c r="JI84" s="49"/>
      <c r="JJ84" s="49"/>
      <c r="JK84" s="49"/>
      <c r="JL84" s="49"/>
      <c r="JM84" s="49"/>
      <c r="JN84" s="49"/>
      <c r="JO84" s="49"/>
      <c r="JP84" s="49"/>
      <c r="JQ84" s="49"/>
      <c r="JR84" s="49"/>
      <c r="JS84" s="49"/>
      <c r="JT84" s="49"/>
      <c r="JU84" s="49"/>
      <c r="JV84" s="49"/>
      <c r="JW84" s="49"/>
      <c r="JX84" s="49"/>
      <c r="JY84" s="49"/>
      <c r="JZ84" s="49"/>
      <c r="KA84" s="49"/>
      <c r="KB84" s="49"/>
      <c r="KC84" s="49"/>
      <c r="KD84" s="49"/>
      <c r="KE84" s="49"/>
      <c r="KF84" s="49"/>
      <c r="KG84" s="49"/>
      <c r="KH84" s="49"/>
      <c r="KI84" s="49"/>
      <c r="KJ84" s="49"/>
      <c r="KK84" s="49"/>
      <c r="KL84" s="49"/>
      <c r="KM84" s="49"/>
      <c r="KN84" s="49"/>
      <c r="KO84" s="49"/>
      <c r="KP84" s="49"/>
      <c r="KQ84" s="49"/>
      <c r="KR84" s="49"/>
      <c r="KS84" s="49"/>
      <c r="KT84" s="49"/>
      <c r="KU84" s="49"/>
      <c r="KV84" s="49"/>
      <c r="KW84" s="49"/>
      <c r="KX84" s="49"/>
      <c r="KY84" s="49"/>
      <c r="KZ84" s="49"/>
      <c r="LA84" s="49"/>
      <c r="LB84" s="49"/>
      <c r="LC84" s="49"/>
      <c r="LD84" s="49"/>
      <c r="LE84" s="49"/>
      <c r="LF84" s="49"/>
      <c r="LG84" s="49"/>
      <c r="LH84" s="49"/>
      <c r="LI84" s="49"/>
      <c r="LJ84" s="49"/>
      <c r="LK84" s="49"/>
      <c r="LL84" s="49"/>
      <c r="LM84" s="49"/>
      <c r="LN84" s="49"/>
      <c r="LO84" s="49"/>
      <c r="LP84" s="49"/>
      <c r="LQ84" s="49"/>
      <c r="LR84" s="49"/>
      <c r="LS84" s="49"/>
      <c r="LT84" s="49"/>
      <c r="LU84" s="49"/>
      <c r="LV84" s="49"/>
      <c r="LW84" s="49"/>
      <c r="LX84" s="49"/>
      <c r="LY84" s="49"/>
      <c r="LZ84" s="49"/>
      <c r="MA84" s="49"/>
      <c r="MB84" s="49"/>
      <c r="MC84" s="49"/>
      <c r="MD84" s="49"/>
      <c r="ME84" s="49"/>
      <c r="MF84" s="49"/>
      <c r="MG84" s="49"/>
      <c r="MH84" s="49"/>
      <c r="MI84" s="49"/>
      <c r="MJ84" s="49"/>
      <c r="MK84" s="49"/>
      <c r="ML84" s="49"/>
      <c r="MM84" s="49"/>
      <c r="MN84" s="49"/>
      <c r="MO84" s="49"/>
      <c r="MP84" s="49"/>
      <c r="MQ84" s="49"/>
      <c r="MR84" s="49"/>
      <c r="MS84" s="49"/>
      <c r="MT84" s="49"/>
      <c r="MU84" s="49"/>
      <c r="MV84" s="49"/>
      <c r="MW84" s="49"/>
      <c r="MX84" s="49"/>
      <c r="MY84" s="49"/>
      <c r="MZ84" s="49"/>
      <c r="NA84" s="49"/>
      <c r="NB84" s="49"/>
      <c r="NC84" s="49"/>
      <c r="ND84" s="49"/>
      <c r="NE84" s="49"/>
      <c r="NF84" s="49"/>
      <c r="NG84" s="49"/>
      <c r="NH84" s="49"/>
      <c r="NI84" s="49"/>
      <c r="NJ84" s="49"/>
      <c r="NK84" s="49"/>
      <c r="NL84" s="49"/>
      <c r="NM84" s="49"/>
      <c r="NN84" s="49"/>
      <c r="NO84" s="49"/>
      <c r="NP84" s="49"/>
      <c r="NQ84" s="49"/>
      <c r="NR84" s="49"/>
      <c r="NS84" s="49"/>
      <c r="NT84" s="49"/>
      <c r="NU84" s="49"/>
      <c r="NV84" s="49"/>
      <c r="NW84" s="49"/>
      <c r="NX84" s="49"/>
      <c r="NY84" s="49"/>
      <c r="NZ84" s="49"/>
      <c r="OA84" s="49"/>
      <c r="OB84" s="49"/>
      <c r="OC84" s="49"/>
      <c r="OD84" s="49"/>
      <c r="OE84" s="49"/>
      <c r="OF84" s="49"/>
      <c r="OG84" s="49"/>
      <c r="OH84" s="49"/>
      <c r="OI84" s="49"/>
      <c r="OJ84" s="49"/>
      <c r="OK84" s="49"/>
      <c r="OL84" s="49"/>
      <c r="OM84" s="49"/>
      <c r="ON84" s="49"/>
      <c r="OO84" s="49"/>
      <c r="OP84" s="49"/>
      <c r="OQ84" s="49"/>
      <c r="OR84" s="49"/>
      <c r="OS84" s="49"/>
      <c r="OT84" s="49"/>
      <c r="OU84" s="49"/>
      <c r="OV84" s="49"/>
      <c r="OW84" s="49"/>
      <c r="OX84" s="49"/>
      <c r="OY84" s="49"/>
      <c r="OZ84" s="49"/>
      <c r="PA84" s="49"/>
      <c r="PB84" s="49"/>
      <c r="PC84" s="49"/>
      <c r="PD84" s="49"/>
      <c r="PE84" s="49"/>
      <c r="PF84" s="49"/>
      <c r="PG84" s="49"/>
      <c r="PH84" s="49"/>
      <c r="PI84" s="49"/>
      <c r="PJ84" s="49"/>
      <c r="PK84" s="49"/>
      <c r="PL84" s="49"/>
      <c r="PM84" s="49"/>
      <c r="PN84" s="49"/>
      <c r="PO84" s="49"/>
      <c r="PP84" s="49"/>
      <c r="PQ84" s="49"/>
      <c r="PR84" s="49"/>
      <c r="PS84" s="49"/>
      <c r="PT84" s="49"/>
      <c r="PU84" s="49"/>
      <c r="PV84" s="49"/>
      <c r="PW84" s="49"/>
      <c r="PX84" s="49"/>
      <c r="PY84" s="49"/>
      <c r="PZ84" s="49"/>
      <c r="QA84" s="49"/>
      <c r="QB84" s="49"/>
      <c r="QC84" s="49"/>
      <c r="QD84" s="49"/>
      <c r="QE84" s="49"/>
      <c r="QF84" s="49"/>
      <c r="QG84" s="49"/>
      <c r="QH84" s="49"/>
      <c r="QI84" s="49"/>
      <c r="QJ84" s="49"/>
      <c r="QK84" s="49"/>
      <c r="QL84" s="49"/>
      <c r="QM84" s="49"/>
      <c r="QN84" s="49"/>
      <c r="QO84" s="49"/>
      <c r="QP84" s="49"/>
      <c r="QQ84" s="49"/>
      <c r="QR84" s="49"/>
      <c r="QS84" s="49"/>
      <c r="QT84" s="49"/>
      <c r="QU84" s="49"/>
      <c r="QV84" s="49"/>
      <c r="QW84" s="49"/>
      <c r="QX84" s="49"/>
      <c r="QY84" s="49"/>
      <c r="QZ84" s="49"/>
      <c r="RA84" s="49"/>
      <c r="RB84" s="49"/>
      <c r="RC84" s="49"/>
      <c r="RD84" s="49"/>
      <c r="RE84" s="49"/>
      <c r="RF84" s="49"/>
      <c r="RG84" s="49"/>
      <c r="RH84" s="49"/>
      <c r="RI84" s="49"/>
      <c r="RJ84" s="49"/>
      <c r="RK84" s="49"/>
      <c r="RL84" s="49"/>
      <c r="RM84" s="49"/>
      <c r="RN84" s="49"/>
      <c r="RO84" s="49"/>
      <c r="RP84" s="49"/>
      <c r="RQ84" s="49"/>
      <c r="RR84" s="49"/>
      <c r="RS84" s="49"/>
      <c r="RT84" s="49"/>
      <c r="RU84" s="49"/>
      <c r="RV84" s="49"/>
      <c r="RW84" s="49"/>
      <c r="RX84" s="49"/>
      <c r="RY84" s="49"/>
      <c r="RZ84" s="49"/>
      <c r="SA84" s="49"/>
      <c r="SB84" s="49"/>
      <c r="SC84" s="49"/>
      <c r="SD84" s="49"/>
      <c r="SE84" s="49"/>
      <c r="SF84" s="49"/>
      <c r="SG84" s="49"/>
      <c r="SH84" s="49"/>
      <c r="SI84" s="49"/>
      <c r="SJ84" s="49"/>
      <c r="SK84" s="49"/>
      <c r="SL84" s="49"/>
      <c r="SM84" s="49"/>
      <c r="SN84" s="49"/>
      <c r="SO84" s="49"/>
      <c r="SP84" s="49"/>
      <c r="SQ84" s="49"/>
      <c r="SR84" s="49"/>
      <c r="SS84" s="49"/>
      <c r="ST84" s="49"/>
      <c r="SU84" s="49"/>
      <c r="SV84" s="49"/>
      <c r="SW84" s="49"/>
      <c r="SX84" s="49"/>
      <c r="SY84" s="49"/>
      <c r="SZ84" s="49"/>
      <c r="TA84" s="49"/>
      <c r="TB84" s="49"/>
      <c r="TC84" s="49"/>
      <c r="TD84" s="49"/>
      <c r="TE84" s="49"/>
      <c r="TF84" s="49"/>
      <c r="TG84" s="49"/>
      <c r="TH84" s="49"/>
      <c r="TI84" s="49"/>
      <c r="TJ84" s="49"/>
      <c r="TK84" s="49"/>
      <c r="TL84" s="49"/>
      <c r="TM84" s="49"/>
      <c r="TN84" s="49"/>
      <c r="TO84" s="49"/>
      <c r="TP84" s="49"/>
      <c r="TQ84" s="49"/>
      <c r="TR84" s="49"/>
      <c r="TS84" s="49"/>
      <c r="TT84" s="49"/>
      <c r="TU84" s="49"/>
      <c r="TV84" s="49"/>
      <c r="TW84" s="49"/>
      <c r="TX84" s="49"/>
      <c r="TY84" s="49"/>
      <c r="TZ84" s="49"/>
      <c r="UA84" s="49"/>
      <c r="UB84" s="49"/>
      <c r="UC84" s="49"/>
      <c r="UD84" s="49"/>
      <c r="UE84" s="49"/>
      <c r="UF84" s="49"/>
      <c r="UG84" s="49"/>
      <c r="UH84" s="49"/>
      <c r="UI84" s="49"/>
      <c r="UJ84" s="49"/>
      <c r="UK84" s="49"/>
      <c r="UL84" s="49"/>
      <c r="UM84" s="49"/>
      <c r="UN84" s="49"/>
      <c r="UO84" s="49"/>
      <c r="UP84" s="49"/>
      <c r="UQ84" s="49"/>
      <c r="UR84" s="49"/>
      <c r="US84" s="49"/>
      <c r="UT84" s="49"/>
      <c r="UU84" s="49"/>
      <c r="UV84" s="49"/>
      <c r="UW84" s="49"/>
      <c r="UX84" s="49"/>
      <c r="UY84" s="49"/>
      <c r="UZ84" s="49"/>
      <c r="VA84" s="49"/>
      <c r="VB84" s="49"/>
      <c r="VC84" s="49"/>
      <c r="VD84" s="49"/>
      <c r="VE84" s="49"/>
      <c r="VF84" s="49"/>
      <c r="VG84" s="49"/>
      <c r="VH84" s="49"/>
      <c r="VI84" s="49"/>
      <c r="VJ84" s="49"/>
      <c r="VK84" s="49"/>
      <c r="VL84" s="49"/>
      <c r="VM84" s="49"/>
      <c r="VN84" s="49"/>
      <c r="VO84" s="49"/>
      <c r="VP84" s="49"/>
      <c r="VQ84" s="49"/>
      <c r="VR84" s="49"/>
      <c r="VS84" s="49"/>
      <c r="VT84" s="49"/>
      <c r="VU84" s="49"/>
      <c r="VV84" s="49"/>
      <c r="VW84" s="49"/>
      <c r="VX84" s="49"/>
      <c r="VY84" s="49"/>
      <c r="VZ84" s="49"/>
      <c r="WA84" s="49"/>
      <c r="WB84" s="49"/>
      <c r="WC84" s="49"/>
      <c r="WD84" s="49"/>
      <c r="WE84" s="49"/>
      <c r="WF84" s="49"/>
      <c r="WG84" s="49"/>
      <c r="WH84" s="49"/>
      <c r="WI84" s="49"/>
      <c r="WJ84" s="49"/>
      <c r="WK84" s="49"/>
      <c r="WL84" s="49"/>
      <c r="WM84" s="49"/>
      <c r="WN84" s="49"/>
      <c r="WO84" s="49"/>
      <c r="WP84" s="49"/>
      <c r="WQ84" s="49"/>
      <c r="WR84" s="49"/>
      <c r="WS84" s="49"/>
      <c r="WT84" s="49"/>
      <c r="WU84" s="49"/>
      <c r="WV84" s="49"/>
      <c r="WW84" s="49"/>
      <c r="WX84" s="49"/>
      <c r="WY84" s="49"/>
      <c r="WZ84" s="49"/>
      <c r="XA84" s="49"/>
      <c r="XB84" s="49"/>
      <c r="XC84" s="49"/>
      <c r="XD84" s="49"/>
      <c r="XE84" s="49"/>
      <c r="XF84" s="49"/>
      <c r="XG84" s="49"/>
      <c r="XH84" s="49"/>
      <c r="XI84" s="49"/>
      <c r="XJ84" s="49"/>
      <c r="XK84" s="49"/>
      <c r="XL84" s="49"/>
      <c r="XM84" s="49"/>
      <c r="XN84" s="49"/>
      <c r="XO84" s="49"/>
      <c r="XP84" s="49"/>
      <c r="XQ84" s="49"/>
      <c r="XR84" s="49"/>
      <c r="XS84" s="49"/>
      <c r="XT84" s="49"/>
      <c r="XU84" s="49"/>
      <c r="XV84" s="49"/>
      <c r="XW84" s="49"/>
      <c r="XX84" s="49"/>
      <c r="XY84" s="49"/>
      <c r="XZ84" s="49"/>
      <c r="YA84" s="49"/>
      <c r="YB84" s="49"/>
      <c r="YC84" s="49"/>
      <c r="YD84" s="49"/>
      <c r="YE84" s="49"/>
      <c r="YF84" s="49"/>
      <c r="YG84" s="49"/>
      <c r="YH84" s="49"/>
      <c r="YI84" s="49"/>
      <c r="YJ84" s="49"/>
      <c r="YK84" s="49"/>
      <c r="YL84" s="49"/>
      <c r="YM84" s="49"/>
      <c r="YN84" s="49"/>
      <c r="YO84" s="49"/>
      <c r="YP84" s="49"/>
      <c r="YQ84" s="49"/>
      <c r="YR84" s="49"/>
      <c r="YS84" s="49"/>
      <c r="YT84" s="49"/>
      <c r="YU84" s="49"/>
      <c r="YV84" s="49"/>
      <c r="YW84" s="49"/>
      <c r="YX84" s="49"/>
      <c r="YY84" s="49"/>
      <c r="YZ84" s="49"/>
      <c r="ZA84" s="49"/>
      <c r="ZB84" s="49"/>
      <c r="ZC84" s="49"/>
      <c r="ZD84" s="49"/>
      <c r="ZE84" s="49"/>
      <c r="ZF84" s="49"/>
      <c r="ZG84" s="49"/>
      <c r="ZH84" s="49"/>
      <c r="ZI84" s="49"/>
      <c r="ZJ84" s="49"/>
      <c r="ZK84" s="49"/>
      <c r="ZL84" s="49"/>
      <c r="ZM84" s="49"/>
      <c r="ZN84" s="49"/>
      <c r="ZO84" s="49"/>
      <c r="ZP84" s="49"/>
      <c r="ZQ84" s="49"/>
      <c r="ZR84" s="49"/>
      <c r="ZS84" s="49"/>
      <c r="ZT84" s="49"/>
      <c r="ZU84" s="49"/>
      <c r="ZV84" s="49"/>
      <c r="ZW84" s="49"/>
      <c r="ZX84" s="49"/>
      <c r="ZY84" s="49"/>
      <c r="ZZ84" s="49"/>
      <c r="AAA84" s="49"/>
      <c r="AAB84" s="49"/>
      <c r="AAC84" s="49"/>
      <c r="AAD84" s="49"/>
      <c r="AAE84" s="49"/>
      <c r="AAF84" s="49"/>
      <c r="AAG84" s="49"/>
      <c r="AAH84" s="49"/>
      <c r="AAI84" s="49"/>
      <c r="AAJ84" s="49"/>
      <c r="AAK84" s="49"/>
      <c r="AAL84" s="49"/>
      <c r="AAM84" s="49"/>
      <c r="AAN84" s="49"/>
      <c r="AAO84" s="49"/>
      <c r="AAP84" s="49"/>
      <c r="AAQ84" s="49"/>
      <c r="AAR84" s="49"/>
      <c r="AAS84" s="49"/>
      <c r="AAT84" s="49"/>
      <c r="AAU84" s="49"/>
      <c r="AAV84" s="49"/>
      <c r="AAW84" s="49"/>
      <c r="AAX84" s="49"/>
      <c r="AAY84" s="49"/>
      <c r="AAZ84" s="49"/>
      <c r="ABA84" s="49"/>
      <c r="ABB84" s="49"/>
      <c r="ABC84" s="49"/>
      <c r="ABD84" s="49"/>
      <c r="ABE84" s="49"/>
      <c r="ABF84" s="49"/>
      <c r="ABG84" s="49"/>
      <c r="ABH84" s="49"/>
      <c r="ABI84" s="49"/>
      <c r="ABJ84" s="49"/>
      <c r="ABK84" s="49"/>
      <c r="ABL84" s="49"/>
      <c r="ABM84" s="49"/>
      <c r="ABN84" s="49"/>
      <c r="ABO84" s="49"/>
      <c r="ABP84" s="49"/>
      <c r="ABQ84" s="49"/>
      <c r="ABR84" s="49"/>
      <c r="ABS84" s="49"/>
      <c r="ABT84" s="49"/>
      <c r="ABU84" s="49"/>
      <c r="ABV84" s="49"/>
      <c r="ABW84" s="49"/>
      <c r="ABX84" s="49"/>
      <c r="ABY84" s="49"/>
      <c r="ABZ84" s="49"/>
      <c r="ACA84" s="49"/>
      <c r="ACB84" s="49"/>
      <c r="ACC84" s="49"/>
      <c r="ACD84" s="49"/>
      <c r="ACE84" s="49"/>
      <c r="ACF84" s="49"/>
      <c r="ACG84" s="49"/>
      <c r="ACH84" s="49"/>
      <c r="ACI84" s="49"/>
      <c r="ACJ84" s="49"/>
      <c r="ACK84" s="49"/>
      <c r="ACL84" s="49"/>
      <c r="ACM84" s="49"/>
      <c r="ACN84" s="49"/>
      <c r="ACO84" s="49"/>
      <c r="ACP84" s="49"/>
      <c r="ACQ84" s="49"/>
      <c r="ACR84" s="49"/>
      <c r="ACS84" s="49"/>
      <c r="ACT84" s="49"/>
      <c r="ACU84" s="49"/>
      <c r="ACV84" s="49"/>
      <c r="ACW84" s="49"/>
      <c r="ACX84" s="49"/>
      <c r="ACY84" s="49"/>
      <c r="ACZ84" s="49"/>
      <c r="ADA84" s="49"/>
      <c r="ADB84" s="49"/>
      <c r="ADC84" s="49"/>
      <c r="ADD84" s="49"/>
      <c r="ADE84" s="49"/>
      <c r="ADF84" s="49"/>
      <c r="ADG84" s="49"/>
      <c r="ADH84" s="49"/>
      <c r="ADI84" s="49"/>
      <c r="ADJ84" s="49"/>
      <c r="ADK84" s="49"/>
      <c r="ADL84" s="49"/>
      <c r="ADM84" s="49"/>
      <c r="ADN84" s="49"/>
      <c r="ADO84" s="49"/>
      <c r="ADP84" s="49"/>
      <c r="ADQ84" s="49"/>
      <c r="ADR84" s="49"/>
      <c r="ADS84" s="49"/>
      <c r="ADT84" s="49"/>
      <c r="ADU84" s="49"/>
      <c r="ADV84" s="49"/>
      <c r="ADW84" s="49"/>
      <c r="ADX84" s="49"/>
      <c r="ADY84" s="49"/>
      <c r="ADZ84" s="49"/>
      <c r="AEA84" s="49"/>
      <c r="AEB84" s="49"/>
      <c r="AEC84" s="49"/>
      <c r="AED84" s="49"/>
      <c r="AEE84" s="49"/>
      <c r="AEF84" s="49"/>
      <c r="AEG84" s="49"/>
      <c r="AEH84" s="49"/>
      <c r="AEI84" s="49"/>
      <c r="AEJ84" s="49"/>
      <c r="AEK84" s="49"/>
      <c r="AEL84" s="49"/>
      <c r="AEM84" s="49"/>
      <c r="AEN84" s="49"/>
      <c r="AEO84" s="49"/>
      <c r="AEP84" s="49"/>
      <c r="AEQ84" s="49"/>
      <c r="AER84" s="49"/>
      <c r="AES84" s="49"/>
      <c r="AET84" s="49"/>
      <c r="AEU84" s="49"/>
      <c r="AEV84" s="49"/>
      <c r="AEW84" s="49"/>
      <c r="AEX84" s="49"/>
      <c r="AEY84" s="49"/>
      <c r="AEZ84" s="49"/>
      <c r="AFA84" s="49"/>
      <c r="AFB84" s="49"/>
      <c r="AFC84" s="49"/>
      <c r="AFD84" s="49"/>
      <c r="AFE84" s="49"/>
      <c r="AFF84" s="49"/>
      <c r="AFG84" s="49"/>
      <c r="AFH84" s="49"/>
      <c r="AFI84" s="49"/>
      <c r="AFJ84" s="49"/>
      <c r="AFK84" s="49"/>
      <c r="AFL84" s="49"/>
      <c r="AFM84" s="49"/>
      <c r="AFN84" s="49"/>
      <c r="AFO84" s="49"/>
      <c r="AFP84" s="49"/>
      <c r="AFQ84" s="49"/>
      <c r="AFR84" s="49"/>
      <c r="AFS84" s="49"/>
      <c r="AFT84" s="49"/>
      <c r="AFU84" s="49"/>
      <c r="AFV84" s="49"/>
      <c r="AFW84" s="49"/>
      <c r="AFX84" s="49"/>
      <c r="AFY84" s="49"/>
      <c r="AFZ84" s="49"/>
      <c r="AGA84" s="49"/>
      <c r="AGB84" s="49"/>
      <c r="AGC84" s="49"/>
      <c r="AGD84" s="49"/>
      <c r="AGE84" s="49"/>
      <c r="AGF84" s="49"/>
      <c r="AGG84" s="49"/>
      <c r="AGH84" s="49"/>
      <c r="AGI84" s="49"/>
      <c r="AGJ84" s="49"/>
      <c r="AGK84" s="49"/>
      <c r="AGL84" s="49"/>
      <c r="AGM84" s="49"/>
      <c r="AGN84" s="49"/>
      <c r="AGO84" s="49"/>
      <c r="AGP84" s="49"/>
      <c r="AGQ84" s="49"/>
      <c r="AGR84" s="49"/>
      <c r="AGS84" s="49"/>
      <c r="AGT84" s="49"/>
      <c r="AGU84" s="49"/>
      <c r="AGV84" s="49"/>
      <c r="AGW84" s="49"/>
      <c r="AGX84" s="49"/>
      <c r="AGY84" s="49"/>
      <c r="AGZ84" s="49"/>
      <c r="AHA84" s="49"/>
      <c r="AHB84" s="49"/>
      <c r="AHC84" s="49"/>
      <c r="AHD84" s="49"/>
      <c r="AHE84" s="49"/>
      <c r="AHF84" s="49"/>
      <c r="AHG84" s="49"/>
      <c r="AHH84" s="49"/>
      <c r="AHI84" s="49"/>
      <c r="AHJ84" s="49"/>
      <c r="AHK84" s="49"/>
      <c r="AHL84" s="49"/>
      <c r="AHM84" s="49"/>
      <c r="AHN84" s="49"/>
      <c r="AHO84" s="49"/>
      <c r="AHP84" s="49"/>
      <c r="AHQ84" s="49"/>
      <c r="AHR84" s="49"/>
      <c r="AHS84" s="49"/>
      <c r="AHT84" s="49"/>
      <c r="AHU84" s="49"/>
      <c r="AHV84" s="49"/>
      <c r="AHW84" s="49"/>
      <c r="AHX84" s="49"/>
      <c r="AHY84" s="49"/>
      <c r="AHZ84" s="49"/>
      <c r="AIA84" s="49"/>
      <c r="AIB84" s="49"/>
      <c r="AIC84" s="49"/>
      <c r="AID84" s="49"/>
      <c r="AIE84" s="49"/>
      <c r="AIF84" s="49"/>
      <c r="AIG84" s="49"/>
      <c r="AIH84" s="49"/>
      <c r="AII84" s="49"/>
      <c r="AIJ84" s="49"/>
      <c r="AIK84" s="49"/>
      <c r="AIL84" s="49"/>
      <c r="AIM84" s="49"/>
      <c r="AIN84" s="49"/>
      <c r="AIO84" s="49"/>
      <c r="AIP84" s="49"/>
      <c r="AIQ84" s="49"/>
      <c r="AIR84" s="49"/>
      <c r="AIS84" s="49"/>
      <c r="AIT84" s="49"/>
      <c r="AIU84" s="49"/>
      <c r="AIV84" s="49"/>
      <c r="AIW84" s="49"/>
      <c r="AIX84" s="49"/>
      <c r="AIY84" s="49"/>
      <c r="AIZ84" s="49"/>
      <c r="AJA84" s="49"/>
      <c r="AJB84" s="49"/>
      <c r="AJC84" s="49"/>
      <c r="AJD84" s="49"/>
      <c r="AJE84" s="49"/>
      <c r="AJF84" s="49"/>
      <c r="AJG84" s="49"/>
      <c r="AJH84" s="49"/>
      <c r="AJI84" s="49"/>
      <c r="AJJ84" s="49"/>
      <c r="AJK84" s="49"/>
      <c r="AJL84" s="49"/>
      <c r="AJM84" s="49"/>
      <c r="AJN84" s="49"/>
      <c r="AJO84" s="49"/>
      <c r="AJP84" s="49"/>
      <c r="AJQ84" s="49"/>
      <c r="AJR84" s="49"/>
      <c r="AJS84" s="49"/>
      <c r="AJT84" s="49"/>
      <c r="AJU84" s="49"/>
      <c r="AJV84" s="49"/>
      <c r="AJW84" s="49"/>
      <c r="AJX84" s="49"/>
      <c r="AJY84" s="49"/>
      <c r="AJZ84" s="49"/>
      <c r="AKA84" s="49"/>
      <c r="AKB84" s="49"/>
      <c r="AKC84" s="49"/>
      <c r="AKD84" s="49"/>
      <c r="AKE84" s="49"/>
      <c r="AKF84" s="49"/>
      <c r="AKG84" s="49"/>
      <c r="AKH84" s="49"/>
      <c r="AKI84" s="49"/>
      <c r="AKJ84" s="49"/>
      <c r="AKK84" s="49"/>
      <c r="AKL84" s="49"/>
      <c r="AKM84" s="49"/>
      <c r="AKN84" s="49"/>
      <c r="AKO84" s="49"/>
      <c r="AKP84" s="49"/>
      <c r="AKQ84" s="49"/>
      <c r="AKR84" s="49"/>
      <c r="AKS84" s="49"/>
      <c r="AKT84" s="49"/>
      <c r="AKU84" s="49"/>
      <c r="AKV84" s="49"/>
      <c r="AKW84" s="49"/>
      <c r="AKX84" s="49"/>
      <c r="AKY84" s="49"/>
      <c r="AKZ84" s="49"/>
      <c r="ALA84" s="49"/>
      <c r="ALB84" s="49"/>
      <c r="ALC84" s="49"/>
      <c r="ALD84" s="49"/>
      <c r="ALE84" s="49"/>
      <c r="ALF84" s="49"/>
      <c r="ALG84" s="49"/>
      <c r="ALH84" s="49"/>
      <c r="ALI84" s="49"/>
      <c r="ALJ84" s="49"/>
      <c r="ALK84" s="49"/>
      <c r="ALL84" s="49"/>
      <c r="ALM84" s="49"/>
      <c r="ALN84" s="49"/>
      <c r="ALO84" s="49"/>
      <c r="ALP84" s="49"/>
      <c r="ALQ84" s="49"/>
      <c r="ALR84" s="49"/>
      <c r="ALS84" s="49"/>
      <c r="ALT84" s="49"/>
      <c r="ALU84" s="49"/>
      <c r="ALV84" s="49"/>
      <c r="ALW84" s="49"/>
      <c r="ALX84" s="49"/>
      <c r="ALY84" s="49"/>
      <c r="ALZ84" s="49"/>
      <c r="AMA84" s="49"/>
      <c r="AMB84" s="49"/>
      <c r="AMC84" s="49"/>
      <c r="AMD84" s="49"/>
      <c r="AME84" s="49"/>
      <c r="AMF84" s="49"/>
      <c r="AMG84" s="49"/>
      <c r="AMH84" s="49"/>
      <c r="AMI84" s="49"/>
      <c r="AMJ84" s="49"/>
    </row>
    <row r="85" spans="12:1024" ht="15.95" customHeight="1" x14ac:dyDescent="0.2">
      <c r="L85" s="49"/>
      <c r="M85" s="50"/>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49"/>
      <c r="EJ85" s="49"/>
      <c r="EK85" s="49"/>
      <c r="EL85" s="49"/>
      <c r="EM85" s="49"/>
      <c r="EN85" s="49"/>
      <c r="EO85" s="49"/>
      <c r="EP85" s="49"/>
      <c r="EQ85" s="49"/>
      <c r="ER85" s="49"/>
      <c r="ES85" s="49"/>
      <c r="ET85" s="49"/>
      <c r="EU85" s="49"/>
      <c r="EV85" s="49"/>
      <c r="EW85" s="49"/>
      <c r="EX85" s="49"/>
      <c r="EY85" s="49"/>
      <c r="EZ85" s="49"/>
      <c r="FA85" s="49"/>
      <c r="FB85" s="49"/>
      <c r="FC85" s="49"/>
      <c r="FD85" s="49"/>
      <c r="FE85" s="49"/>
      <c r="FF85" s="49"/>
      <c r="FG85" s="49"/>
      <c r="FH85" s="49"/>
      <c r="FI85" s="49"/>
      <c r="FJ85" s="49"/>
      <c r="FK85" s="49"/>
      <c r="FL85" s="49"/>
      <c r="FM85" s="49"/>
      <c r="FN85" s="49"/>
      <c r="FO85" s="49"/>
      <c r="FP85" s="49"/>
      <c r="FQ85" s="49"/>
      <c r="FR85" s="49"/>
      <c r="FS85" s="49"/>
      <c r="FT85" s="49"/>
      <c r="FU85" s="49"/>
      <c r="FV85" s="49"/>
      <c r="FW85" s="49"/>
      <c r="FX85" s="49"/>
      <c r="FY85" s="49"/>
      <c r="FZ85" s="49"/>
      <c r="GA85" s="49"/>
      <c r="GB85" s="49"/>
      <c r="GC85" s="49"/>
      <c r="GD85" s="49"/>
      <c r="GE85" s="49"/>
      <c r="GF85" s="49"/>
      <c r="GG85" s="49"/>
      <c r="GH85" s="49"/>
      <c r="GI85" s="49"/>
      <c r="GJ85" s="49"/>
      <c r="GK85" s="49"/>
      <c r="GL85" s="49"/>
      <c r="GM85" s="49"/>
      <c r="GN85" s="49"/>
      <c r="GO85" s="49"/>
      <c r="GP85" s="49"/>
      <c r="GQ85" s="49"/>
      <c r="GR85" s="49"/>
      <c r="GS85" s="49"/>
      <c r="GT85" s="49"/>
      <c r="GU85" s="49"/>
      <c r="GV85" s="49"/>
      <c r="GW85" s="49"/>
      <c r="GX85" s="49"/>
      <c r="GY85" s="49"/>
      <c r="GZ85" s="49"/>
      <c r="HA85" s="49"/>
      <c r="HB85" s="49"/>
      <c r="HC85" s="49"/>
      <c r="HD85" s="49"/>
      <c r="HE85" s="49"/>
      <c r="HF85" s="49"/>
      <c r="HG85" s="49"/>
      <c r="HH85" s="49"/>
      <c r="HI85" s="49"/>
      <c r="HJ85" s="49"/>
      <c r="HK85" s="49"/>
      <c r="HL85" s="49"/>
      <c r="HM85" s="49"/>
      <c r="HN85" s="49"/>
      <c r="HO85" s="49"/>
      <c r="HP85" s="49"/>
      <c r="HQ85" s="49"/>
      <c r="HR85" s="49"/>
      <c r="HS85" s="49"/>
      <c r="HT85" s="49"/>
      <c r="HU85" s="49"/>
      <c r="HV85" s="49"/>
      <c r="HW85" s="49"/>
      <c r="HX85" s="49"/>
      <c r="HY85" s="49"/>
      <c r="HZ85" s="49"/>
      <c r="IA85" s="49"/>
      <c r="IB85" s="49"/>
      <c r="IC85" s="49"/>
      <c r="ID85" s="49"/>
      <c r="IE85" s="49"/>
      <c r="IF85" s="49"/>
      <c r="IG85" s="49"/>
      <c r="IH85" s="49"/>
      <c r="II85" s="49"/>
      <c r="IJ85" s="49"/>
      <c r="IK85" s="49"/>
      <c r="IL85" s="49"/>
      <c r="IM85" s="49"/>
      <c r="IN85" s="49"/>
      <c r="IO85" s="49"/>
      <c r="IP85" s="49"/>
      <c r="IQ85" s="49"/>
      <c r="IR85" s="49"/>
      <c r="IS85" s="49"/>
      <c r="IT85" s="49"/>
      <c r="IU85" s="49"/>
      <c r="IV85" s="49"/>
      <c r="IW85" s="49"/>
      <c r="IX85" s="49"/>
      <c r="IY85" s="49"/>
      <c r="IZ85" s="49"/>
      <c r="JA85" s="49"/>
      <c r="JB85" s="49"/>
      <c r="JC85" s="49"/>
      <c r="JD85" s="49"/>
      <c r="JE85" s="49"/>
      <c r="JF85" s="49"/>
      <c r="JG85" s="49"/>
      <c r="JH85" s="49"/>
      <c r="JI85" s="49"/>
      <c r="JJ85" s="49"/>
      <c r="JK85" s="49"/>
      <c r="JL85" s="49"/>
      <c r="JM85" s="49"/>
      <c r="JN85" s="49"/>
      <c r="JO85" s="49"/>
      <c r="JP85" s="49"/>
      <c r="JQ85" s="49"/>
      <c r="JR85" s="49"/>
      <c r="JS85" s="49"/>
      <c r="JT85" s="49"/>
      <c r="JU85" s="49"/>
      <c r="JV85" s="49"/>
      <c r="JW85" s="49"/>
      <c r="JX85" s="49"/>
      <c r="JY85" s="49"/>
      <c r="JZ85" s="49"/>
      <c r="KA85" s="49"/>
      <c r="KB85" s="49"/>
      <c r="KC85" s="49"/>
      <c r="KD85" s="49"/>
      <c r="KE85" s="49"/>
      <c r="KF85" s="49"/>
      <c r="KG85" s="49"/>
      <c r="KH85" s="49"/>
      <c r="KI85" s="49"/>
      <c r="KJ85" s="49"/>
      <c r="KK85" s="49"/>
      <c r="KL85" s="49"/>
      <c r="KM85" s="49"/>
      <c r="KN85" s="49"/>
      <c r="KO85" s="49"/>
      <c r="KP85" s="49"/>
      <c r="KQ85" s="49"/>
      <c r="KR85" s="49"/>
      <c r="KS85" s="49"/>
      <c r="KT85" s="49"/>
      <c r="KU85" s="49"/>
      <c r="KV85" s="49"/>
      <c r="KW85" s="49"/>
      <c r="KX85" s="49"/>
      <c r="KY85" s="49"/>
      <c r="KZ85" s="49"/>
      <c r="LA85" s="49"/>
      <c r="LB85" s="49"/>
      <c r="LC85" s="49"/>
      <c r="LD85" s="49"/>
      <c r="LE85" s="49"/>
      <c r="LF85" s="49"/>
      <c r="LG85" s="49"/>
      <c r="LH85" s="49"/>
      <c r="LI85" s="49"/>
      <c r="LJ85" s="49"/>
      <c r="LK85" s="49"/>
      <c r="LL85" s="49"/>
      <c r="LM85" s="49"/>
      <c r="LN85" s="49"/>
      <c r="LO85" s="49"/>
      <c r="LP85" s="49"/>
      <c r="LQ85" s="49"/>
      <c r="LR85" s="49"/>
      <c r="LS85" s="49"/>
      <c r="LT85" s="49"/>
      <c r="LU85" s="49"/>
      <c r="LV85" s="49"/>
      <c r="LW85" s="49"/>
      <c r="LX85" s="49"/>
      <c r="LY85" s="49"/>
      <c r="LZ85" s="49"/>
      <c r="MA85" s="49"/>
      <c r="MB85" s="49"/>
      <c r="MC85" s="49"/>
      <c r="MD85" s="49"/>
      <c r="ME85" s="49"/>
      <c r="MF85" s="49"/>
      <c r="MG85" s="49"/>
      <c r="MH85" s="49"/>
      <c r="MI85" s="49"/>
      <c r="MJ85" s="49"/>
      <c r="MK85" s="49"/>
      <c r="ML85" s="49"/>
      <c r="MM85" s="49"/>
      <c r="MN85" s="49"/>
      <c r="MO85" s="49"/>
      <c r="MP85" s="49"/>
      <c r="MQ85" s="49"/>
      <c r="MR85" s="49"/>
      <c r="MS85" s="49"/>
      <c r="MT85" s="49"/>
      <c r="MU85" s="49"/>
      <c r="MV85" s="49"/>
      <c r="MW85" s="49"/>
      <c r="MX85" s="49"/>
      <c r="MY85" s="49"/>
      <c r="MZ85" s="49"/>
      <c r="NA85" s="49"/>
      <c r="NB85" s="49"/>
      <c r="NC85" s="49"/>
      <c r="ND85" s="49"/>
      <c r="NE85" s="49"/>
      <c r="NF85" s="49"/>
      <c r="NG85" s="49"/>
      <c r="NH85" s="49"/>
      <c r="NI85" s="49"/>
      <c r="NJ85" s="49"/>
      <c r="NK85" s="49"/>
      <c r="NL85" s="49"/>
      <c r="NM85" s="49"/>
      <c r="NN85" s="49"/>
      <c r="NO85" s="49"/>
      <c r="NP85" s="49"/>
      <c r="NQ85" s="49"/>
      <c r="NR85" s="49"/>
      <c r="NS85" s="49"/>
      <c r="NT85" s="49"/>
      <c r="NU85" s="49"/>
      <c r="NV85" s="49"/>
      <c r="NW85" s="49"/>
      <c r="NX85" s="49"/>
      <c r="NY85" s="49"/>
      <c r="NZ85" s="49"/>
      <c r="OA85" s="49"/>
      <c r="OB85" s="49"/>
      <c r="OC85" s="49"/>
      <c r="OD85" s="49"/>
      <c r="OE85" s="49"/>
      <c r="OF85" s="49"/>
      <c r="OG85" s="49"/>
      <c r="OH85" s="49"/>
      <c r="OI85" s="49"/>
      <c r="OJ85" s="49"/>
      <c r="OK85" s="49"/>
      <c r="OL85" s="49"/>
      <c r="OM85" s="49"/>
      <c r="ON85" s="49"/>
      <c r="OO85" s="49"/>
      <c r="OP85" s="49"/>
      <c r="OQ85" s="49"/>
      <c r="OR85" s="49"/>
      <c r="OS85" s="49"/>
      <c r="OT85" s="49"/>
      <c r="OU85" s="49"/>
      <c r="OV85" s="49"/>
      <c r="OW85" s="49"/>
      <c r="OX85" s="49"/>
      <c r="OY85" s="49"/>
      <c r="OZ85" s="49"/>
      <c r="PA85" s="49"/>
      <c r="PB85" s="49"/>
      <c r="PC85" s="49"/>
      <c r="PD85" s="49"/>
      <c r="PE85" s="49"/>
      <c r="PF85" s="49"/>
      <c r="PG85" s="49"/>
      <c r="PH85" s="49"/>
      <c r="PI85" s="49"/>
      <c r="PJ85" s="49"/>
      <c r="PK85" s="49"/>
      <c r="PL85" s="49"/>
      <c r="PM85" s="49"/>
      <c r="PN85" s="49"/>
      <c r="PO85" s="49"/>
      <c r="PP85" s="49"/>
      <c r="PQ85" s="49"/>
      <c r="PR85" s="49"/>
      <c r="PS85" s="49"/>
      <c r="PT85" s="49"/>
      <c r="PU85" s="49"/>
      <c r="PV85" s="49"/>
      <c r="PW85" s="49"/>
      <c r="PX85" s="49"/>
      <c r="PY85" s="49"/>
      <c r="PZ85" s="49"/>
      <c r="QA85" s="49"/>
      <c r="QB85" s="49"/>
      <c r="QC85" s="49"/>
      <c r="QD85" s="49"/>
      <c r="QE85" s="49"/>
      <c r="QF85" s="49"/>
      <c r="QG85" s="49"/>
      <c r="QH85" s="49"/>
      <c r="QI85" s="49"/>
      <c r="QJ85" s="49"/>
      <c r="QK85" s="49"/>
      <c r="QL85" s="49"/>
      <c r="QM85" s="49"/>
      <c r="QN85" s="49"/>
      <c r="QO85" s="49"/>
      <c r="QP85" s="49"/>
      <c r="QQ85" s="49"/>
      <c r="QR85" s="49"/>
      <c r="QS85" s="49"/>
      <c r="QT85" s="49"/>
      <c r="QU85" s="49"/>
      <c r="QV85" s="49"/>
      <c r="QW85" s="49"/>
      <c r="QX85" s="49"/>
      <c r="QY85" s="49"/>
      <c r="QZ85" s="49"/>
      <c r="RA85" s="49"/>
      <c r="RB85" s="49"/>
      <c r="RC85" s="49"/>
      <c r="RD85" s="49"/>
      <c r="RE85" s="49"/>
      <c r="RF85" s="49"/>
      <c r="RG85" s="49"/>
      <c r="RH85" s="49"/>
      <c r="RI85" s="49"/>
      <c r="RJ85" s="49"/>
      <c r="RK85" s="49"/>
      <c r="RL85" s="49"/>
      <c r="RM85" s="49"/>
      <c r="RN85" s="49"/>
      <c r="RO85" s="49"/>
      <c r="RP85" s="49"/>
      <c r="RQ85" s="49"/>
      <c r="RR85" s="49"/>
      <c r="RS85" s="49"/>
      <c r="RT85" s="49"/>
      <c r="RU85" s="49"/>
      <c r="RV85" s="49"/>
      <c r="RW85" s="49"/>
      <c r="RX85" s="49"/>
      <c r="RY85" s="49"/>
      <c r="RZ85" s="49"/>
      <c r="SA85" s="49"/>
      <c r="SB85" s="49"/>
      <c r="SC85" s="49"/>
      <c r="SD85" s="49"/>
      <c r="SE85" s="49"/>
      <c r="SF85" s="49"/>
      <c r="SG85" s="49"/>
      <c r="SH85" s="49"/>
      <c r="SI85" s="49"/>
      <c r="SJ85" s="49"/>
      <c r="SK85" s="49"/>
      <c r="SL85" s="49"/>
      <c r="SM85" s="49"/>
      <c r="SN85" s="49"/>
      <c r="SO85" s="49"/>
      <c r="SP85" s="49"/>
      <c r="SQ85" s="49"/>
      <c r="SR85" s="49"/>
      <c r="SS85" s="49"/>
      <c r="ST85" s="49"/>
      <c r="SU85" s="49"/>
      <c r="SV85" s="49"/>
      <c r="SW85" s="49"/>
      <c r="SX85" s="49"/>
      <c r="SY85" s="49"/>
      <c r="SZ85" s="49"/>
      <c r="TA85" s="49"/>
      <c r="TB85" s="49"/>
      <c r="TC85" s="49"/>
      <c r="TD85" s="49"/>
      <c r="TE85" s="49"/>
      <c r="TF85" s="49"/>
      <c r="TG85" s="49"/>
      <c r="TH85" s="49"/>
      <c r="TI85" s="49"/>
      <c r="TJ85" s="49"/>
      <c r="TK85" s="49"/>
      <c r="TL85" s="49"/>
      <c r="TM85" s="49"/>
      <c r="TN85" s="49"/>
      <c r="TO85" s="49"/>
      <c r="TP85" s="49"/>
      <c r="TQ85" s="49"/>
      <c r="TR85" s="49"/>
      <c r="TS85" s="49"/>
      <c r="TT85" s="49"/>
      <c r="TU85" s="49"/>
      <c r="TV85" s="49"/>
      <c r="TW85" s="49"/>
      <c r="TX85" s="49"/>
      <c r="TY85" s="49"/>
      <c r="TZ85" s="49"/>
      <c r="UA85" s="49"/>
      <c r="UB85" s="49"/>
      <c r="UC85" s="49"/>
      <c r="UD85" s="49"/>
      <c r="UE85" s="49"/>
      <c r="UF85" s="49"/>
      <c r="UG85" s="49"/>
      <c r="UH85" s="49"/>
      <c r="UI85" s="49"/>
      <c r="UJ85" s="49"/>
      <c r="UK85" s="49"/>
      <c r="UL85" s="49"/>
      <c r="UM85" s="49"/>
      <c r="UN85" s="49"/>
      <c r="UO85" s="49"/>
      <c r="UP85" s="49"/>
      <c r="UQ85" s="49"/>
      <c r="UR85" s="49"/>
      <c r="US85" s="49"/>
      <c r="UT85" s="49"/>
      <c r="UU85" s="49"/>
      <c r="UV85" s="49"/>
      <c r="UW85" s="49"/>
      <c r="UX85" s="49"/>
      <c r="UY85" s="49"/>
      <c r="UZ85" s="49"/>
      <c r="VA85" s="49"/>
      <c r="VB85" s="49"/>
      <c r="VC85" s="49"/>
      <c r="VD85" s="49"/>
      <c r="VE85" s="49"/>
      <c r="VF85" s="49"/>
      <c r="VG85" s="49"/>
      <c r="VH85" s="49"/>
      <c r="VI85" s="49"/>
      <c r="VJ85" s="49"/>
      <c r="VK85" s="49"/>
      <c r="VL85" s="49"/>
      <c r="VM85" s="49"/>
      <c r="VN85" s="49"/>
      <c r="VO85" s="49"/>
      <c r="VP85" s="49"/>
      <c r="VQ85" s="49"/>
      <c r="VR85" s="49"/>
      <c r="VS85" s="49"/>
      <c r="VT85" s="49"/>
      <c r="VU85" s="49"/>
      <c r="VV85" s="49"/>
      <c r="VW85" s="49"/>
      <c r="VX85" s="49"/>
      <c r="VY85" s="49"/>
      <c r="VZ85" s="49"/>
      <c r="WA85" s="49"/>
      <c r="WB85" s="49"/>
      <c r="WC85" s="49"/>
      <c r="WD85" s="49"/>
      <c r="WE85" s="49"/>
      <c r="WF85" s="49"/>
      <c r="WG85" s="49"/>
      <c r="WH85" s="49"/>
      <c r="WI85" s="49"/>
      <c r="WJ85" s="49"/>
      <c r="WK85" s="49"/>
      <c r="WL85" s="49"/>
      <c r="WM85" s="49"/>
      <c r="WN85" s="49"/>
      <c r="WO85" s="49"/>
      <c r="WP85" s="49"/>
      <c r="WQ85" s="49"/>
      <c r="WR85" s="49"/>
      <c r="WS85" s="49"/>
      <c r="WT85" s="49"/>
      <c r="WU85" s="49"/>
      <c r="WV85" s="49"/>
      <c r="WW85" s="49"/>
      <c r="WX85" s="49"/>
      <c r="WY85" s="49"/>
      <c r="WZ85" s="49"/>
      <c r="XA85" s="49"/>
      <c r="XB85" s="49"/>
      <c r="XC85" s="49"/>
      <c r="XD85" s="49"/>
      <c r="XE85" s="49"/>
      <c r="XF85" s="49"/>
      <c r="XG85" s="49"/>
      <c r="XH85" s="49"/>
      <c r="XI85" s="49"/>
      <c r="XJ85" s="49"/>
      <c r="XK85" s="49"/>
      <c r="XL85" s="49"/>
      <c r="XM85" s="49"/>
      <c r="XN85" s="49"/>
      <c r="XO85" s="49"/>
      <c r="XP85" s="49"/>
      <c r="XQ85" s="49"/>
      <c r="XR85" s="49"/>
      <c r="XS85" s="49"/>
      <c r="XT85" s="49"/>
      <c r="XU85" s="49"/>
      <c r="XV85" s="49"/>
      <c r="XW85" s="49"/>
      <c r="XX85" s="49"/>
      <c r="XY85" s="49"/>
      <c r="XZ85" s="49"/>
      <c r="YA85" s="49"/>
      <c r="YB85" s="49"/>
      <c r="YC85" s="49"/>
      <c r="YD85" s="49"/>
      <c r="YE85" s="49"/>
      <c r="YF85" s="49"/>
      <c r="YG85" s="49"/>
      <c r="YH85" s="49"/>
      <c r="YI85" s="49"/>
      <c r="YJ85" s="49"/>
      <c r="YK85" s="49"/>
      <c r="YL85" s="49"/>
      <c r="YM85" s="49"/>
      <c r="YN85" s="49"/>
      <c r="YO85" s="49"/>
      <c r="YP85" s="49"/>
      <c r="YQ85" s="49"/>
      <c r="YR85" s="49"/>
      <c r="YS85" s="49"/>
      <c r="YT85" s="49"/>
      <c r="YU85" s="49"/>
      <c r="YV85" s="49"/>
      <c r="YW85" s="49"/>
      <c r="YX85" s="49"/>
      <c r="YY85" s="49"/>
      <c r="YZ85" s="49"/>
      <c r="ZA85" s="49"/>
      <c r="ZB85" s="49"/>
      <c r="ZC85" s="49"/>
      <c r="ZD85" s="49"/>
      <c r="ZE85" s="49"/>
      <c r="ZF85" s="49"/>
      <c r="ZG85" s="49"/>
      <c r="ZH85" s="49"/>
      <c r="ZI85" s="49"/>
      <c r="ZJ85" s="49"/>
      <c r="ZK85" s="49"/>
      <c r="ZL85" s="49"/>
      <c r="ZM85" s="49"/>
      <c r="ZN85" s="49"/>
      <c r="ZO85" s="49"/>
      <c r="ZP85" s="49"/>
      <c r="ZQ85" s="49"/>
      <c r="ZR85" s="49"/>
      <c r="ZS85" s="49"/>
      <c r="ZT85" s="49"/>
      <c r="ZU85" s="49"/>
      <c r="ZV85" s="49"/>
      <c r="ZW85" s="49"/>
      <c r="ZX85" s="49"/>
      <c r="ZY85" s="49"/>
      <c r="ZZ85" s="49"/>
      <c r="AAA85" s="49"/>
      <c r="AAB85" s="49"/>
      <c r="AAC85" s="49"/>
      <c r="AAD85" s="49"/>
      <c r="AAE85" s="49"/>
      <c r="AAF85" s="49"/>
      <c r="AAG85" s="49"/>
      <c r="AAH85" s="49"/>
      <c r="AAI85" s="49"/>
      <c r="AAJ85" s="49"/>
      <c r="AAK85" s="49"/>
      <c r="AAL85" s="49"/>
      <c r="AAM85" s="49"/>
      <c r="AAN85" s="49"/>
      <c r="AAO85" s="49"/>
      <c r="AAP85" s="49"/>
      <c r="AAQ85" s="49"/>
      <c r="AAR85" s="49"/>
      <c r="AAS85" s="49"/>
      <c r="AAT85" s="49"/>
      <c r="AAU85" s="49"/>
      <c r="AAV85" s="49"/>
      <c r="AAW85" s="49"/>
      <c r="AAX85" s="49"/>
      <c r="AAY85" s="49"/>
      <c r="AAZ85" s="49"/>
      <c r="ABA85" s="49"/>
      <c r="ABB85" s="49"/>
      <c r="ABC85" s="49"/>
      <c r="ABD85" s="49"/>
      <c r="ABE85" s="49"/>
      <c r="ABF85" s="49"/>
      <c r="ABG85" s="49"/>
      <c r="ABH85" s="49"/>
      <c r="ABI85" s="49"/>
      <c r="ABJ85" s="49"/>
      <c r="ABK85" s="49"/>
      <c r="ABL85" s="49"/>
      <c r="ABM85" s="49"/>
      <c r="ABN85" s="49"/>
      <c r="ABO85" s="49"/>
      <c r="ABP85" s="49"/>
      <c r="ABQ85" s="49"/>
      <c r="ABR85" s="49"/>
      <c r="ABS85" s="49"/>
      <c r="ABT85" s="49"/>
      <c r="ABU85" s="49"/>
      <c r="ABV85" s="49"/>
      <c r="ABW85" s="49"/>
      <c r="ABX85" s="49"/>
      <c r="ABY85" s="49"/>
      <c r="ABZ85" s="49"/>
      <c r="ACA85" s="49"/>
      <c r="ACB85" s="49"/>
      <c r="ACC85" s="49"/>
      <c r="ACD85" s="49"/>
      <c r="ACE85" s="49"/>
      <c r="ACF85" s="49"/>
      <c r="ACG85" s="49"/>
      <c r="ACH85" s="49"/>
      <c r="ACI85" s="49"/>
      <c r="ACJ85" s="49"/>
      <c r="ACK85" s="49"/>
      <c r="ACL85" s="49"/>
      <c r="ACM85" s="49"/>
      <c r="ACN85" s="49"/>
      <c r="ACO85" s="49"/>
      <c r="ACP85" s="49"/>
      <c r="ACQ85" s="49"/>
      <c r="ACR85" s="49"/>
      <c r="ACS85" s="49"/>
      <c r="ACT85" s="49"/>
      <c r="ACU85" s="49"/>
      <c r="ACV85" s="49"/>
      <c r="ACW85" s="49"/>
      <c r="ACX85" s="49"/>
      <c r="ACY85" s="49"/>
      <c r="ACZ85" s="49"/>
      <c r="ADA85" s="49"/>
      <c r="ADB85" s="49"/>
      <c r="ADC85" s="49"/>
      <c r="ADD85" s="49"/>
      <c r="ADE85" s="49"/>
      <c r="ADF85" s="49"/>
      <c r="ADG85" s="49"/>
      <c r="ADH85" s="49"/>
      <c r="ADI85" s="49"/>
      <c r="ADJ85" s="49"/>
      <c r="ADK85" s="49"/>
      <c r="ADL85" s="49"/>
      <c r="ADM85" s="49"/>
      <c r="ADN85" s="49"/>
      <c r="ADO85" s="49"/>
      <c r="ADP85" s="49"/>
      <c r="ADQ85" s="49"/>
      <c r="ADR85" s="49"/>
      <c r="ADS85" s="49"/>
      <c r="ADT85" s="49"/>
      <c r="ADU85" s="49"/>
      <c r="ADV85" s="49"/>
      <c r="ADW85" s="49"/>
      <c r="ADX85" s="49"/>
      <c r="ADY85" s="49"/>
      <c r="ADZ85" s="49"/>
      <c r="AEA85" s="49"/>
      <c r="AEB85" s="49"/>
      <c r="AEC85" s="49"/>
      <c r="AED85" s="49"/>
      <c r="AEE85" s="49"/>
      <c r="AEF85" s="49"/>
      <c r="AEG85" s="49"/>
      <c r="AEH85" s="49"/>
      <c r="AEI85" s="49"/>
      <c r="AEJ85" s="49"/>
      <c r="AEK85" s="49"/>
      <c r="AEL85" s="49"/>
      <c r="AEM85" s="49"/>
      <c r="AEN85" s="49"/>
      <c r="AEO85" s="49"/>
      <c r="AEP85" s="49"/>
      <c r="AEQ85" s="49"/>
      <c r="AER85" s="49"/>
      <c r="AES85" s="49"/>
      <c r="AET85" s="49"/>
      <c r="AEU85" s="49"/>
      <c r="AEV85" s="49"/>
      <c r="AEW85" s="49"/>
      <c r="AEX85" s="49"/>
      <c r="AEY85" s="49"/>
      <c r="AEZ85" s="49"/>
      <c r="AFA85" s="49"/>
      <c r="AFB85" s="49"/>
      <c r="AFC85" s="49"/>
      <c r="AFD85" s="49"/>
      <c r="AFE85" s="49"/>
      <c r="AFF85" s="49"/>
      <c r="AFG85" s="49"/>
      <c r="AFH85" s="49"/>
      <c r="AFI85" s="49"/>
      <c r="AFJ85" s="49"/>
      <c r="AFK85" s="49"/>
      <c r="AFL85" s="49"/>
      <c r="AFM85" s="49"/>
      <c r="AFN85" s="49"/>
      <c r="AFO85" s="49"/>
      <c r="AFP85" s="49"/>
      <c r="AFQ85" s="49"/>
      <c r="AFR85" s="49"/>
      <c r="AFS85" s="49"/>
      <c r="AFT85" s="49"/>
      <c r="AFU85" s="49"/>
      <c r="AFV85" s="49"/>
      <c r="AFW85" s="49"/>
      <c r="AFX85" s="49"/>
      <c r="AFY85" s="49"/>
      <c r="AFZ85" s="49"/>
      <c r="AGA85" s="49"/>
      <c r="AGB85" s="49"/>
      <c r="AGC85" s="49"/>
      <c r="AGD85" s="49"/>
      <c r="AGE85" s="49"/>
      <c r="AGF85" s="49"/>
      <c r="AGG85" s="49"/>
      <c r="AGH85" s="49"/>
      <c r="AGI85" s="49"/>
      <c r="AGJ85" s="49"/>
      <c r="AGK85" s="49"/>
      <c r="AGL85" s="49"/>
      <c r="AGM85" s="49"/>
      <c r="AGN85" s="49"/>
      <c r="AGO85" s="49"/>
      <c r="AGP85" s="49"/>
      <c r="AGQ85" s="49"/>
      <c r="AGR85" s="49"/>
      <c r="AGS85" s="49"/>
      <c r="AGT85" s="49"/>
      <c r="AGU85" s="49"/>
      <c r="AGV85" s="49"/>
      <c r="AGW85" s="49"/>
      <c r="AGX85" s="49"/>
      <c r="AGY85" s="49"/>
      <c r="AGZ85" s="49"/>
      <c r="AHA85" s="49"/>
      <c r="AHB85" s="49"/>
      <c r="AHC85" s="49"/>
      <c r="AHD85" s="49"/>
      <c r="AHE85" s="49"/>
      <c r="AHF85" s="49"/>
      <c r="AHG85" s="49"/>
      <c r="AHH85" s="49"/>
      <c r="AHI85" s="49"/>
      <c r="AHJ85" s="49"/>
      <c r="AHK85" s="49"/>
      <c r="AHL85" s="49"/>
      <c r="AHM85" s="49"/>
      <c r="AHN85" s="49"/>
      <c r="AHO85" s="49"/>
      <c r="AHP85" s="49"/>
      <c r="AHQ85" s="49"/>
      <c r="AHR85" s="49"/>
      <c r="AHS85" s="49"/>
      <c r="AHT85" s="49"/>
      <c r="AHU85" s="49"/>
      <c r="AHV85" s="49"/>
      <c r="AHW85" s="49"/>
      <c r="AHX85" s="49"/>
      <c r="AHY85" s="49"/>
      <c r="AHZ85" s="49"/>
      <c r="AIA85" s="49"/>
      <c r="AIB85" s="49"/>
      <c r="AIC85" s="49"/>
      <c r="AID85" s="49"/>
      <c r="AIE85" s="49"/>
      <c r="AIF85" s="49"/>
      <c r="AIG85" s="49"/>
      <c r="AIH85" s="49"/>
      <c r="AII85" s="49"/>
      <c r="AIJ85" s="49"/>
      <c r="AIK85" s="49"/>
      <c r="AIL85" s="49"/>
      <c r="AIM85" s="49"/>
      <c r="AIN85" s="49"/>
      <c r="AIO85" s="49"/>
      <c r="AIP85" s="49"/>
      <c r="AIQ85" s="49"/>
      <c r="AIR85" s="49"/>
      <c r="AIS85" s="49"/>
      <c r="AIT85" s="49"/>
      <c r="AIU85" s="49"/>
      <c r="AIV85" s="49"/>
      <c r="AIW85" s="49"/>
      <c r="AIX85" s="49"/>
      <c r="AIY85" s="49"/>
      <c r="AIZ85" s="49"/>
      <c r="AJA85" s="49"/>
      <c r="AJB85" s="49"/>
      <c r="AJC85" s="49"/>
      <c r="AJD85" s="49"/>
      <c r="AJE85" s="49"/>
      <c r="AJF85" s="49"/>
      <c r="AJG85" s="49"/>
      <c r="AJH85" s="49"/>
      <c r="AJI85" s="49"/>
      <c r="AJJ85" s="49"/>
      <c r="AJK85" s="49"/>
      <c r="AJL85" s="49"/>
      <c r="AJM85" s="49"/>
      <c r="AJN85" s="49"/>
      <c r="AJO85" s="49"/>
      <c r="AJP85" s="49"/>
      <c r="AJQ85" s="49"/>
      <c r="AJR85" s="49"/>
      <c r="AJS85" s="49"/>
      <c r="AJT85" s="49"/>
      <c r="AJU85" s="49"/>
      <c r="AJV85" s="49"/>
      <c r="AJW85" s="49"/>
      <c r="AJX85" s="49"/>
      <c r="AJY85" s="49"/>
      <c r="AJZ85" s="49"/>
      <c r="AKA85" s="49"/>
      <c r="AKB85" s="49"/>
      <c r="AKC85" s="49"/>
      <c r="AKD85" s="49"/>
      <c r="AKE85" s="49"/>
      <c r="AKF85" s="49"/>
      <c r="AKG85" s="49"/>
      <c r="AKH85" s="49"/>
      <c r="AKI85" s="49"/>
      <c r="AKJ85" s="49"/>
      <c r="AKK85" s="49"/>
      <c r="AKL85" s="49"/>
      <c r="AKM85" s="49"/>
      <c r="AKN85" s="49"/>
      <c r="AKO85" s="49"/>
      <c r="AKP85" s="49"/>
      <c r="AKQ85" s="49"/>
      <c r="AKR85" s="49"/>
      <c r="AKS85" s="49"/>
      <c r="AKT85" s="49"/>
      <c r="AKU85" s="49"/>
      <c r="AKV85" s="49"/>
      <c r="AKW85" s="49"/>
      <c r="AKX85" s="49"/>
      <c r="AKY85" s="49"/>
      <c r="AKZ85" s="49"/>
      <c r="ALA85" s="49"/>
      <c r="ALB85" s="49"/>
      <c r="ALC85" s="49"/>
      <c r="ALD85" s="49"/>
      <c r="ALE85" s="49"/>
      <c r="ALF85" s="49"/>
      <c r="ALG85" s="49"/>
      <c r="ALH85" s="49"/>
      <c r="ALI85" s="49"/>
      <c r="ALJ85" s="49"/>
      <c r="ALK85" s="49"/>
      <c r="ALL85" s="49"/>
      <c r="ALM85" s="49"/>
      <c r="ALN85" s="49"/>
      <c r="ALO85" s="49"/>
      <c r="ALP85" s="49"/>
      <c r="ALQ85" s="49"/>
      <c r="ALR85" s="49"/>
      <c r="ALS85" s="49"/>
      <c r="ALT85" s="49"/>
      <c r="ALU85" s="49"/>
      <c r="ALV85" s="49"/>
      <c r="ALW85" s="49"/>
      <c r="ALX85" s="49"/>
      <c r="ALY85" s="49"/>
      <c r="ALZ85" s="49"/>
      <c r="AMA85" s="49"/>
      <c r="AMB85" s="49"/>
      <c r="AMC85" s="49"/>
      <c r="AMD85" s="49"/>
      <c r="AME85" s="49"/>
      <c r="AMF85" s="49"/>
      <c r="AMG85" s="49"/>
      <c r="AMH85" s="49"/>
      <c r="AMI85" s="49"/>
      <c r="AMJ85" s="49"/>
    </row>
    <row r="86" spans="12:1024" ht="15.95" customHeight="1" x14ac:dyDescent="0.2">
      <c r="L86" s="49"/>
      <c r="M86" s="50"/>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49"/>
      <c r="EJ86" s="49"/>
      <c r="EK86" s="49"/>
      <c r="EL86" s="49"/>
      <c r="EM86" s="49"/>
      <c r="EN86" s="49"/>
      <c r="EO86" s="49"/>
      <c r="EP86" s="49"/>
      <c r="EQ86" s="49"/>
      <c r="ER86" s="49"/>
      <c r="ES86" s="49"/>
      <c r="ET86" s="49"/>
      <c r="EU86" s="49"/>
      <c r="EV86" s="49"/>
      <c r="EW86" s="49"/>
      <c r="EX86" s="49"/>
      <c r="EY86" s="49"/>
      <c r="EZ86" s="49"/>
      <c r="FA86" s="49"/>
      <c r="FB86" s="49"/>
      <c r="FC86" s="49"/>
      <c r="FD86" s="49"/>
      <c r="FE86" s="49"/>
      <c r="FF86" s="49"/>
      <c r="FG86" s="49"/>
      <c r="FH86" s="49"/>
      <c r="FI86" s="49"/>
      <c r="FJ86" s="49"/>
      <c r="FK86" s="49"/>
      <c r="FL86" s="49"/>
      <c r="FM86" s="49"/>
      <c r="FN86" s="49"/>
      <c r="FO86" s="49"/>
      <c r="FP86" s="49"/>
      <c r="FQ86" s="49"/>
      <c r="FR86" s="49"/>
      <c r="FS86" s="49"/>
      <c r="FT86" s="49"/>
      <c r="FU86" s="49"/>
      <c r="FV86" s="49"/>
      <c r="FW86" s="49"/>
      <c r="FX86" s="49"/>
      <c r="FY86" s="49"/>
      <c r="FZ86" s="49"/>
      <c r="GA86" s="49"/>
      <c r="GB86" s="49"/>
      <c r="GC86" s="49"/>
      <c r="GD86" s="49"/>
      <c r="GE86" s="49"/>
      <c r="GF86" s="49"/>
      <c r="GG86" s="49"/>
      <c r="GH86" s="49"/>
      <c r="GI86" s="49"/>
      <c r="GJ86" s="49"/>
      <c r="GK86" s="49"/>
      <c r="GL86" s="49"/>
      <c r="GM86" s="49"/>
      <c r="GN86" s="49"/>
      <c r="GO86" s="49"/>
      <c r="GP86" s="49"/>
      <c r="GQ86" s="49"/>
      <c r="GR86" s="49"/>
      <c r="GS86" s="49"/>
      <c r="GT86" s="49"/>
      <c r="GU86" s="49"/>
      <c r="GV86" s="49"/>
      <c r="GW86" s="49"/>
      <c r="GX86" s="49"/>
      <c r="GY86" s="49"/>
      <c r="GZ86" s="49"/>
      <c r="HA86" s="49"/>
      <c r="HB86" s="49"/>
      <c r="HC86" s="49"/>
      <c r="HD86" s="49"/>
      <c r="HE86" s="49"/>
      <c r="HF86" s="49"/>
      <c r="HG86" s="49"/>
      <c r="HH86" s="49"/>
      <c r="HI86" s="49"/>
      <c r="HJ86" s="49"/>
      <c r="HK86" s="49"/>
      <c r="HL86" s="49"/>
      <c r="HM86" s="49"/>
      <c r="HN86" s="49"/>
      <c r="HO86" s="49"/>
      <c r="HP86" s="49"/>
      <c r="HQ86" s="49"/>
      <c r="HR86" s="49"/>
      <c r="HS86" s="49"/>
      <c r="HT86" s="49"/>
      <c r="HU86" s="49"/>
      <c r="HV86" s="49"/>
      <c r="HW86" s="49"/>
      <c r="HX86" s="49"/>
      <c r="HY86" s="49"/>
      <c r="HZ86" s="49"/>
      <c r="IA86" s="49"/>
      <c r="IB86" s="49"/>
      <c r="IC86" s="49"/>
      <c r="ID86" s="49"/>
      <c r="IE86" s="49"/>
      <c r="IF86" s="49"/>
      <c r="IG86" s="49"/>
      <c r="IH86" s="49"/>
      <c r="II86" s="49"/>
      <c r="IJ86" s="49"/>
      <c r="IK86" s="49"/>
      <c r="IL86" s="49"/>
      <c r="IM86" s="49"/>
      <c r="IN86" s="49"/>
      <c r="IO86" s="49"/>
      <c r="IP86" s="49"/>
      <c r="IQ86" s="49"/>
      <c r="IR86" s="49"/>
      <c r="IS86" s="49"/>
      <c r="IT86" s="49"/>
      <c r="IU86" s="49"/>
      <c r="IV86" s="49"/>
      <c r="IW86" s="49"/>
      <c r="IX86" s="49"/>
      <c r="IY86" s="49"/>
      <c r="IZ86" s="49"/>
      <c r="JA86" s="49"/>
      <c r="JB86" s="49"/>
      <c r="JC86" s="49"/>
      <c r="JD86" s="49"/>
      <c r="JE86" s="49"/>
      <c r="JF86" s="49"/>
      <c r="JG86" s="49"/>
      <c r="JH86" s="49"/>
      <c r="JI86" s="49"/>
      <c r="JJ86" s="49"/>
      <c r="JK86" s="49"/>
      <c r="JL86" s="49"/>
      <c r="JM86" s="49"/>
      <c r="JN86" s="49"/>
      <c r="JO86" s="49"/>
      <c r="JP86" s="49"/>
      <c r="JQ86" s="49"/>
      <c r="JR86" s="49"/>
      <c r="JS86" s="49"/>
      <c r="JT86" s="49"/>
      <c r="JU86" s="49"/>
      <c r="JV86" s="49"/>
      <c r="JW86" s="49"/>
      <c r="JX86" s="49"/>
      <c r="JY86" s="49"/>
      <c r="JZ86" s="49"/>
      <c r="KA86" s="49"/>
      <c r="KB86" s="49"/>
      <c r="KC86" s="49"/>
      <c r="KD86" s="49"/>
      <c r="KE86" s="49"/>
      <c r="KF86" s="49"/>
      <c r="KG86" s="49"/>
      <c r="KH86" s="49"/>
      <c r="KI86" s="49"/>
      <c r="KJ86" s="49"/>
      <c r="KK86" s="49"/>
      <c r="KL86" s="49"/>
      <c r="KM86" s="49"/>
      <c r="KN86" s="49"/>
      <c r="KO86" s="49"/>
      <c r="KP86" s="49"/>
      <c r="KQ86" s="49"/>
      <c r="KR86" s="49"/>
      <c r="KS86" s="49"/>
      <c r="KT86" s="49"/>
      <c r="KU86" s="49"/>
      <c r="KV86" s="49"/>
      <c r="KW86" s="49"/>
      <c r="KX86" s="49"/>
      <c r="KY86" s="49"/>
      <c r="KZ86" s="49"/>
      <c r="LA86" s="49"/>
      <c r="LB86" s="49"/>
      <c r="LC86" s="49"/>
      <c r="LD86" s="49"/>
      <c r="LE86" s="49"/>
      <c r="LF86" s="49"/>
      <c r="LG86" s="49"/>
      <c r="LH86" s="49"/>
      <c r="LI86" s="49"/>
      <c r="LJ86" s="49"/>
      <c r="LK86" s="49"/>
      <c r="LL86" s="49"/>
      <c r="LM86" s="49"/>
      <c r="LN86" s="49"/>
      <c r="LO86" s="49"/>
      <c r="LP86" s="49"/>
      <c r="LQ86" s="49"/>
      <c r="LR86" s="49"/>
      <c r="LS86" s="49"/>
      <c r="LT86" s="49"/>
      <c r="LU86" s="49"/>
      <c r="LV86" s="49"/>
      <c r="LW86" s="49"/>
      <c r="LX86" s="49"/>
      <c r="LY86" s="49"/>
      <c r="LZ86" s="49"/>
      <c r="MA86" s="49"/>
      <c r="MB86" s="49"/>
      <c r="MC86" s="49"/>
      <c r="MD86" s="49"/>
      <c r="ME86" s="49"/>
      <c r="MF86" s="49"/>
      <c r="MG86" s="49"/>
      <c r="MH86" s="49"/>
      <c r="MI86" s="49"/>
      <c r="MJ86" s="49"/>
      <c r="MK86" s="49"/>
      <c r="ML86" s="49"/>
      <c r="MM86" s="49"/>
      <c r="MN86" s="49"/>
      <c r="MO86" s="49"/>
      <c r="MP86" s="49"/>
      <c r="MQ86" s="49"/>
      <c r="MR86" s="49"/>
      <c r="MS86" s="49"/>
      <c r="MT86" s="49"/>
      <c r="MU86" s="49"/>
      <c r="MV86" s="49"/>
      <c r="MW86" s="49"/>
      <c r="MX86" s="49"/>
      <c r="MY86" s="49"/>
      <c r="MZ86" s="49"/>
      <c r="NA86" s="49"/>
      <c r="NB86" s="49"/>
      <c r="NC86" s="49"/>
      <c r="ND86" s="49"/>
      <c r="NE86" s="49"/>
      <c r="NF86" s="49"/>
      <c r="NG86" s="49"/>
      <c r="NH86" s="49"/>
      <c r="NI86" s="49"/>
      <c r="NJ86" s="49"/>
      <c r="NK86" s="49"/>
      <c r="NL86" s="49"/>
      <c r="NM86" s="49"/>
      <c r="NN86" s="49"/>
      <c r="NO86" s="49"/>
      <c r="NP86" s="49"/>
      <c r="NQ86" s="49"/>
      <c r="NR86" s="49"/>
      <c r="NS86" s="49"/>
      <c r="NT86" s="49"/>
      <c r="NU86" s="49"/>
      <c r="NV86" s="49"/>
      <c r="NW86" s="49"/>
      <c r="NX86" s="49"/>
      <c r="NY86" s="49"/>
      <c r="NZ86" s="49"/>
      <c r="OA86" s="49"/>
      <c r="OB86" s="49"/>
      <c r="OC86" s="49"/>
      <c r="OD86" s="49"/>
      <c r="OE86" s="49"/>
      <c r="OF86" s="49"/>
      <c r="OG86" s="49"/>
      <c r="OH86" s="49"/>
      <c r="OI86" s="49"/>
      <c r="OJ86" s="49"/>
      <c r="OK86" s="49"/>
      <c r="OL86" s="49"/>
      <c r="OM86" s="49"/>
      <c r="ON86" s="49"/>
      <c r="OO86" s="49"/>
      <c r="OP86" s="49"/>
      <c r="OQ86" s="49"/>
      <c r="OR86" s="49"/>
      <c r="OS86" s="49"/>
      <c r="OT86" s="49"/>
      <c r="OU86" s="49"/>
      <c r="OV86" s="49"/>
      <c r="OW86" s="49"/>
      <c r="OX86" s="49"/>
      <c r="OY86" s="49"/>
      <c r="OZ86" s="49"/>
      <c r="PA86" s="49"/>
      <c r="PB86" s="49"/>
      <c r="PC86" s="49"/>
      <c r="PD86" s="49"/>
      <c r="PE86" s="49"/>
      <c r="PF86" s="49"/>
      <c r="PG86" s="49"/>
      <c r="PH86" s="49"/>
      <c r="PI86" s="49"/>
      <c r="PJ86" s="49"/>
      <c r="PK86" s="49"/>
      <c r="PL86" s="49"/>
      <c r="PM86" s="49"/>
      <c r="PN86" s="49"/>
      <c r="PO86" s="49"/>
      <c r="PP86" s="49"/>
      <c r="PQ86" s="49"/>
      <c r="PR86" s="49"/>
      <c r="PS86" s="49"/>
      <c r="PT86" s="49"/>
      <c r="PU86" s="49"/>
      <c r="PV86" s="49"/>
      <c r="PW86" s="49"/>
      <c r="PX86" s="49"/>
      <c r="PY86" s="49"/>
      <c r="PZ86" s="49"/>
      <c r="QA86" s="49"/>
      <c r="QB86" s="49"/>
      <c r="QC86" s="49"/>
      <c r="QD86" s="49"/>
      <c r="QE86" s="49"/>
      <c r="QF86" s="49"/>
      <c r="QG86" s="49"/>
      <c r="QH86" s="49"/>
      <c r="QI86" s="49"/>
      <c r="QJ86" s="49"/>
      <c r="QK86" s="49"/>
      <c r="QL86" s="49"/>
      <c r="QM86" s="49"/>
      <c r="QN86" s="49"/>
      <c r="QO86" s="49"/>
      <c r="QP86" s="49"/>
      <c r="QQ86" s="49"/>
      <c r="QR86" s="49"/>
      <c r="QS86" s="49"/>
      <c r="QT86" s="49"/>
      <c r="QU86" s="49"/>
      <c r="QV86" s="49"/>
      <c r="QW86" s="49"/>
      <c r="QX86" s="49"/>
      <c r="QY86" s="49"/>
      <c r="QZ86" s="49"/>
      <c r="RA86" s="49"/>
      <c r="RB86" s="49"/>
      <c r="RC86" s="49"/>
      <c r="RD86" s="49"/>
      <c r="RE86" s="49"/>
      <c r="RF86" s="49"/>
      <c r="RG86" s="49"/>
      <c r="RH86" s="49"/>
      <c r="RI86" s="49"/>
      <c r="RJ86" s="49"/>
      <c r="RK86" s="49"/>
      <c r="RL86" s="49"/>
      <c r="RM86" s="49"/>
      <c r="RN86" s="49"/>
      <c r="RO86" s="49"/>
      <c r="RP86" s="49"/>
      <c r="RQ86" s="49"/>
      <c r="RR86" s="49"/>
      <c r="RS86" s="49"/>
      <c r="RT86" s="49"/>
      <c r="RU86" s="49"/>
      <c r="RV86" s="49"/>
      <c r="RW86" s="49"/>
      <c r="RX86" s="49"/>
      <c r="RY86" s="49"/>
      <c r="RZ86" s="49"/>
      <c r="SA86" s="49"/>
      <c r="SB86" s="49"/>
      <c r="SC86" s="49"/>
      <c r="SD86" s="49"/>
      <c r="SE86" s="49"/>
      <c r="SF86" s="49"/>
      <c r="SG86" s="49"/>
      <c r="SH86" s="49"/>
      <c r="SI86" s="49"/>
      <c r="SJ86" s="49"/>
      <c r="SK86" s="49"/>
      <c r="SL86" s="49"/>
      <c r="SM86" s="49"/>
      <c r="SN86" s="49"/>
      <c r="SO86" s="49"/>
      <c r="SP86" s="49"/>
      <c r="SQ86" s="49"/>
      <c r="SR86" s="49"/>
      <c r="SS86" s="49"/>
      <c r="ST86" s="49"/>
      <c r="SU86" s="49"/>
      <c r="SV86" s="49"/>
      <c r="SW86" s="49"/>
      <c r="SX86" s="49"/>
      <c r="SY86" s="49"/>
      <c r="SZ86" s="49"/>
      <c r="TA86" s="49"/>
      <c r="TB86" s="49"/>
      <c r="TC86" s="49"/>
      <c r="TD86" s="49"/>
      <c r="TE86" s="49"/>
      <c r="TF86" s="49"/>
      <c r="TG86" s="49"/>
      <c r="TH86" s="49"/>
      <c r="TI86" s="49"/>
      <c r="TJ86" s="49"/>
      <c r="TK86" s="49"/>
      <c r="TL86" s="49"/>
      <c r="TM86" s="49"/>
      <c r="TN86" s="49"/>
      <c r="TO86" s="49"/>
      <c r="TP86" s="49"/>
      <c r="TQ86" s="49"/>
      <c r="TR86" s="49"/>
      <c r="TS86" s="49"/>
      <c r="TT86" s="49"/>
      <c r="TU86" s="49"/>
      <c r="TV86" s="49"/>
      <c r="TW86" s="49"/>
      <c r="TX86" s="49"/>
      <c r="TY86" s="49"/>
      <c r="TZ86" s="49"/>
      <c r="UA86" s="49"/>
      <c r="UB86" s="49"/>
      <c r="UC86" s="49"/>
      <c r="UD86" s="49"/>
      <c r="UE86" s="49"/>
      <c r="UF86" s="49"/>
      <c r="UG86" s="49"/>
      <c r="UH86" s="49"/>
      <c r="UI86" s="49"/>
      <c r="UJ86" s="49"/>
      <c r="UK86" s="49"/>
      <c r="UL86" s="49"/>
      <c r="UM86" s="49"/>
      <c r="UN86" s="49"/>
      <c r="UO86" s="49"/>
      <c r="UP86" s="49"/>
      <c r="UQ86" s="49"/>
      <c r="UR86" s="49"/>
      <c r="US86" s="49"/>
      <c r="UT86" s="49"/>
      <c r="UU86" s="49"/>
      <c r="UV86" s="49"/>
      <c r="UW86" s="49"/>
      <c r="UX86" s="49"/>
      <c r="UY86" s="49"/>
      <c r="UZ86" s="49"/>
      <c r="VA86" s="49"/>
      <c r="VB86" s="49"/>
      <c r="VC86" s="49"/>
      <c r="VD86" s="49"/>
      <c r="VE86" s="49"/>
      <c r="VF86" s="49"/>
      <c r="VG86" s="49"/>
      <c r="VH86" s="49"/>
      <c r="VI86" s="49"/>
      <c r="VJ86" s="49"/>
      <c r="VK86" s="49"/>
      <c r="VL86" s="49"/>
      <c r="VM86" s="49"/>
      <c r="VN86" s="49"/>
      <c r="VO86" s="49"/>
      <c r="VP86" s="49"/>
      <c r="VQ86" s="49"/>
      <c r="VR86" s="49"/>
      <c r="VS86" s="49"/>
      <c r="VT86" s="49"/>
      <c r="VU86" s="49"/>
      <c r="VV86" s="49"/>
      <c r="VW86" s="49"/>
      <c r="VX86" s="49"/>
      <c r="VY86" s="49"/>
      <c r="VZ86" s="49"/>
      <c r="WA86" s="49"/>
      <c r="WB86" s="49"/>
      <c r="WC86" s="49"/>
      <c r="WD86" s="49"/>
      <c r="WE86" s="49"/>
      <c r="WF86" s="49"/>
      <c r="WG86" s="49"/>
      <c r="WH86" s="49"/>
      <c r="WI86" s="49"/>
      <c r="WJ86" s="49"/>
      <c r="WK86" s="49"/>
      <c r="WL86" s="49"/>
      <c r="WM86" s="49"/>
      <c r="WN86" s="49"/>
      <c r="WO86" s="49"/>
      <c r="WP86" s="49"/>
      <c r="WQ86" s="49"/>
      <c r="WR86" s="49"/>
      <c r="WS86" s="49"/>
      <c r="WT86" s="49"/>
      <c r="WU86" s="49"/>
      <c r="WV86" s="49"/>
      <c r="WW86" s="49"/>
      <c r="WX86" s="49"/>
      <c r="WY86" s="49"/>
      <c r="WZ86" s="49"/>
      <c r="XA86" s="49"/>
      <c r="XB86" s="49"/>
      <c r="XC86" s="49"/>
      <c r="XD86" s="49"/>
      <c r="XE86" s="49"/>
      <c r="XF86" s="49"/>
      <c r="XG86" s="49"/>
      <c r="XH86" s="49"/>
      <c r="XI86" s="49"/>
      <c r="XJ86" s="49"/>
      <c r="XK86" s="49"/>
      <c r="XL86" s="49"/>
      <c r="XM86" s="49"/>
      <c r="XN86" s="49"/>
      <c r="XO86" s="49"/>
      <c r="XP86" s="49"/>
      <c r="XQ86" s="49"/>
      <c r="XR86" s="49"/>
      <c r="XS86" s="49"/>
      <c r="XT86" s="49"/>
      <c r="XU86" s="49"/>
      <c r="XV86" s="49"/>
      <c r="XW86" s="49"/>
      <c r="XX86" s="49"/>
      <c r="XY86" s="49"/>
      <c r="XZ86" s="49"/>
      <c r="YA86" s="49"/>
      <c r="YB86" s="49"/>
      <c r="YC86" s="49"/>
      <c r="YD86" s="49"/>
      <c r="YE86" s="49"/>
      <c r="YF86" s="49"/>
      <c r="YG86" s="49"/>
      <c r="YH86" s="49"/>
      <c r="YI86" s="49"/>
      <c r="YJ86" s="49"/>
      <c r="YK86" s="49"/>
      <c r="YL86" s="49"/>
      <c r="YM86" s="49"/>
      <c r="YN86" s="49"/>
      <c r="YO86" s="49"/>
      <c r="YP86" s="49"/>
      <c r="YQ86" s="49"/>
      <c r="YR86" s="49"/>
      <c r="YS86" s="49"/>
      <c r="YT86" s="49"/>
      <c r="YU86" s="49"/>
      <c r="YV86" s="49"/>
      <c r="YW86" s="49"/>
      <c r="YX86" s="49"/>
      <c r="YY86" s="49"/>
      <c r="YZ86" s="49"/>
      <c r="ZA86" s="49"/>
      <c r="ZB86" s="49"/>
      <c r="ZC86" s="49"/>
      <c r="ZD86" s="49"/>
      <c r="ZE86" s="49"/>
      <c r="ZF86" s="49"/>
      <c r="ZG86" s="49"/>
      <c r="ZH86" s="49"/>
      <c r="ZI86" s="49"/>
      <c r="ZJ86" s="49"/>
      <c r="ZK86" s="49"/>
      <c r="ZL86" s="49"/>
      <c r="ZM86" s="49"/>
      <c r="ZN86" s="49"/>
      <c r="ZO86" s="49"/>
      <c r="ZP86" s="49"/>
      <c r="ZQ86" s="49"/>
      <c r="ZR86" s="49"/>
      <c r="ZS86" s="49"/>
      <c r="ZT86" s="49"/>
      <c r="ZU86" s="49"/>
      <c r="ZV86" s="49"/>
      <c r="ZW86" s="49"/>
      <c r="ZX86" s="49"/>
      <c r="ZY86" s="49"/>
      <c r="ZZ86" s="49"/>
      <c r="AAA86" s="49"/>
      <c r="AAB86" s="49"/>
      <c r="AAC86" s="49"/>
      <c r="AAD86" s="49"/>
      <c r="AAE86" s="49"/>
      <c r="AAF86" s="49"/>
      <c r="AAG86" s="49"/>
      <c r="AAH86" s="49"/>
      <c r="AAI86" s="49"/>
      <c r="AAJ86" s="49"/>
      <c r="AAK86" s="49"/>
      <c r="AAL86" s="49"/>
      <c r="AAM86" s="49"/>
      <c r="AAN86" s="49"/>
      <c r="AAO86" s="49"/>
      <c r="AAP86" s="49"/>
      <c r="AAQ86" s="49"/>
      <c r="AAR86" s="49"/>
      <c r="AAS86" s="49"/>
      <c r="AAT86" s="49"/>
      <c r="AAU86" s="49"/>
      <c r="AAV86" s="49"/>
      <c r="AAW86" s="49"/>
      <c r="AAX86" s="49"/>
      <c r="AAY86" s="49"/>
      <c r="AAZ86" s="49"/>
      <c r="ABA86" s="49"/>
      <c r="ABB86" s="49"/>
      <c r="ABC86" s="49"/>
      <c r="ABD86" s="49"/>
      <c r="ABE86" s="49"/>
      <c r="ABF86" s="49"/>
      <c r="ABG86" s="49"/>
      <c r="ABH86" s="49"/>
      <c r="ABI86" s="49"/>
      <c r="ABJ86" s="49"/>
      <c r="ABK86" s="49"/>
      <c r="ABL86" s="49"/>
      <c r="ABM86" s="49"/>
      <c r="ABN86" s="49"/>
      <c r="ABO86" s="49"/>
      <c r="ABP86" s="49"/>
      <c r="ABQ86" s="49"/>
      <c r="ABR86" s="49"/>
      <c r="ABS86" s="49"/>
      <c r="ABT86" s="49"/>
      <c r="ABU86" s="49"/>
      <c r="ABV86" s="49"/>
      <c r="ABW86" s="49"/>
      <c r="ABX86" s="49"/>
      <c r="ABY86" s="49"/>
      <c r="ABZ86" s="49"/>
      <c r="ACA86" s="49"/>
      <c r="ACB86" s="49"/>
      <c r="ACC86" s="49"/>
      <c r="ACD86" s="49"/>
      <c r="ACE86" s="49"/>
      <c r="ACF86" s="49"/>
      <c r="ACG86" s="49"/>
      <c r="ACH86" s="49"/>
      <c r="ACI86" s="49"/>
      <c r="ACJ86" s="49"/>
      <c r="ACK86" s="49"/>
      <c r="ACL86" s="49"/>
      <c r="ACM86" s="49"/>
      <c r="ACN86" s="49"/>
      <c r="ACO86" s="49"/>
      <c r="ACP86" s="49"/>
      <c r="ACQ86" s="49"/>
      <c r="ACR86" s="49"/>
      <c r="ACS86" s="49"/>
      <c r="ACT86" s="49"/>
      <c r="ACU86" s="49"/>
      <c r="ACV86" s="49"/>
      <c r="ACW86" s="49"/>
      <c r="ACX86" s="49"/>
      <c r="ACY86" s="49"/>
      <c r="ACZ86" s="49"/>
      <c r="ADA86" s="49"/>
      <c r="ADB86" s="49"/>
      <c r="ADC86" s="49"/>
      <c r="ADD86" s="49"/>
      <c r="ADE86" s="49"/>
      <c r="ADF86" s="49"/>
      <c r="ADG86" s="49"/>
      <c r="ADH86" s="49"/>
      <c r="ADI86" s="49"/>
      <c r="ADJ86" s="49"/>
      <c r="ADK86" s="49"/>
      <c r="ADL86" s="49"/>
      <c r="ADM86" s="49"/>
      <c r="ADN86" s="49"/>
      <c r="ADO86" s="49"/>
      <c r="ADP86" s="49"/>
      <c r="ADQ86" s="49"/>
      <c r="ADR86" s="49"/>
      <c r="ADS86" s="49"/>
      <c r="ADT86" s="49"/>
      <c r="ADU86" s="49"/>
      <c r="ADV86" s="49"/>
      <c r="ADW86" s="49"/>
      <c r="ADX86" s="49"/>
      <c r="ADY86" s="49"/>
      <c r="ADZ86" s="49"/>
      <c r="AEA86" s="49"/>
      <c r="AEB86" s="49"/>
      <c r="AEC86" s="49"/>
      <c r="AED86" s="49"/>
      <c r="AEE86" s="49"/>
      <c r="AEF86" s="49"/>
      <c r="AEG86" s="49"/>
      <c r="AEH86" s="49"/>
      <c r="AEI86" s="49"/>
      <c r="AEJ86" s="49"/>
      <c r="AEK86" s="49"/>
      <c r="AEL86" s="49"/>
      <c r="AEM86" s="49"/>
      <c r="AEN86" s="49"/>
      <c r="AEO86" s="49"/>
      <c r="AEP86" s="49"/>
      <c r="AEQ86" s="49"/>
      <c r="AER86" s="49"/>
      <c r="AES86" s="49"/>
      <c r="AET86" s="49"/>
      <c r="AEU86" s="49"/>
      <c r="AEV86" s="49"/>
      <c r="AEW86" s="49"/>
      <c r="AEX86" s="49"/>
      <c r="AEY86" s="49"/>
      <c r="AEZ86" s="49"/>
      <c r="AFA86" s="49"/>
      <c r="AFB86" s="49"/>
      <c r="AFC86" s="49"/>
      <c r="AFD86" s="49"/>
      <c r="AFE86" s="49"/>
      <c r="AFF86" s="49"/>
      <c r="AFG86" s="49"/>
      <c r="AFH86" s="49"/>
      <c r="AFI86" s="49"/>
      <c r="AFJ86" s="49"/>
      <c r="AFK86" s="49"/>
      <c r="AFL86" s="49"/>
      <c r="AFM86" s="49"/>
      <c r="AFN86" s="49"/>
      <c r="AFO86" s="49"/>
      <c r="AFP86" s="49"/>
      <c r="AFQ86" s="49"/>
      <c r="AFR86" s="49"/>
      <c r="AFS86" s="49"/>
      <c r="AFT86" s="49"/>
      <c r="AFU86" s="49"/>
      <c r="AFV86" s="49"/>
      <c r="AFW86" s="49"/>
      <c r="AFX86" s="49"/>
      <c r="AFY86" s="49"/>
      <c r="AFZ86" s="49"/>
      <c r="AGA86" s="49"/>
      <c r="AGB86" s="49"/>
      <c r="AGC86" s="49"/>
      <c r="AGD86" s="49"/>
      <c r="AGE86" s="49"/>
      <c r="AGF86" s="49"/>
      <c r="AGG86" s="49"/>
      <c r="AGH86" s="49"/>
      <c r="AGI86" s="49"/>
      <c r="AGJ86" s="49"/>
      <c r="AGK86" s="49"/>
      <c r="AGL86" s="49"/>
      <c r="AGM86" s="49"/>
      <c r="AGN86" s="49"/>
      <c r="AGO86" s="49"/>
      <c r="AGP86" s="49"/>
      <c r="AGQ86" s="49"/>
      <c r="AGR86" s="49"/>
      <c r="AGS86" s="49"/>
      <c r="AGT86" s="49"/>
      <c r="AGU86" s="49"/>
      <c r="AGV86" s="49"/>
      <c r="AGW86" s="49"/>
      <c r="AGX86" s="49"/>
      <c r="AGY86" s="49"/>
      <c r="AGZ86" s="49"/>
      <c r="AHA86" s="49"/>
      <c r="AHB86" s="49"/>
      <c r="AHC86" s="49"/>
      <c r="AHD86" s="49"/>
      <c r="AHE86" s="49"/>
      <c r="AHF86" s="49"/>
      <c r="AHG86" s="49"/>
      <c r="AHH86" s="49"/>
      <c r="AHI86" s="49"/>
      <c r="AHJ86" s="49"/>
      <c r="AHK86" s="49"/>
      <c r="AHL86" s="49"/>
      <c r="AHM86" s="49"/>
      <c r="AHN86" s="49"/>
      <c r="AHO86" s="49"/>
      <c r="AHP86" s="49"/>
      <c r="AHQ86" s="49"/>
      <c r="AHR86" s="49"/>
      <c r="AHS86" s="49"/>
      <c r="AHT86" s="49"/>
      <c r="AHU86" s="49"/>
      <c r="AHV86" s="49"/>
      <c r="AHW86" s="49"/>
      <c r="AHX86" s="49"/>
      <c r="AHY86" s="49"/>
      <c r="AHZ86" s="49"/>
      <c r="AIA86" s="49"/>
      <c r="AIB86" s="49"/>
      <c r="AIC86" s="49"/>
      <c r="AID86" s="49"/>
      <c r="AIE86" s="49"/>
      <c r="AIF86" s="49"/>
      <c r="AIG86" s="49"/>
      <c r="AIH86" s="49"/>
      <c r="AII86" s="49"/>
      <c r="AIJ86" s="49"/>
      <c r="AIK86" s="49"/>
      <c r="AIL86" s="49"/>
      <c r="AIM86" s="49"/>
      <c r="AIN86" s="49"/>
      <c r="AIO86" s="49"/>
      <c r="AIP86" s="49"/>
      <c r="AIQ86" s="49"/>
      <c r="AIR86" s="49"/>
      <c r="AIS86" s="49"/>
      <c r="AIT86" s="49"/>
      <c r="AIU86" s="49"/>
      <c r="AIV86" s="49"/>
      <c r="AIW86" s="49"/>
      <c r="AIX86" s="49"/>
      <c r="AIY86" s="49"/>
      <c r="AIZ86" s="49"/>
      <c r="AJA86" s="49"/>
      <c r="AJB86" s="49"/>
      <c r="AJC86" s="49"/>
      <c r="AJD86" s="49"/>
      <c r="AJE86" s="49"/>
      <c r="AJF86" s="49"/>
      <c r="AJG86" s="49"/>
      <c r="AJH86" s="49"/>
      <c r="AJI86" s="49"/>
      <c r="AJJ86" s="49"/>
      <c r="AJK86" s="49"/>
      <c r="AJL86" s="49"/>
      <c r="AJM86" s="49"/>
      <c r="AJN86" s="49"/>
      <c r="AJO86" s="49"/>
      <c r="AJP86" s="49"/>
      <c r="AJQ86" s="49"/>
      <c r="AJR86" s="49"/>
      <c r="AJS86" s="49"/>
      <c r="AJT86" s="49"/>
      <c r="AJU86" s="49"/>
      <c r="AJV86" s="49"/>
      <c r="AJW86" s="49"/>
      <c r="AJX86" s="49"/>
      <c r="AJY86" s="49"/>
      <c r="AJZ86" s="49"/>
      <c r="AKA86" s="49"/>
      <c r="AKB86" s="49"/>
      <c r="AKC86" s="49"/>
      <c r="AKD86" s="49"/>
      <c r="AKE86" s="49"/>
      <c r="AKF86" s="49"/>
      <c r="AKG86" s="49"/>
      <c r="AKH86" s="49"/>
      <c r="AKI86" s="49"/>
      <c r="AKJ86" s="49"/>
      <c r="AKK86" s="49"/>
      <c r="AKL86" s="49"/>
      <c r="AKM86" s="49"/>
      <c r="AKN86" s="49"/>
      <c r="AKO86" s="49"/>
      <c r="AKP86" s="49"/>
      <c r="AKQ86" s="49"/>
      <c r="AKR86" s="49"/>
      <c r="AKS86" s="49"/>
      <c r="AKT86" s="49"/>
      <c r="AKU86" s="49"/>
      <c r="AKV86" s="49"/>
      <c r="AKW86" s="49"/>
      <c r="AKX86" s="49"/>
      <c r="AKY86" s="49"/>
      <c r="AKZ86" s="49"/>
      <c r="ALA86" s="49"/>
      <c r="ALB86" s="49"/>
      <c r="ALC86" s="49"/>
      <c r="ALD86" s="49"/>
      <c r="ALE86" s="49"/>
      <c r="ALF86" s="49"/>
      <c r="ALG86" s="49"/>
      <c r="ALH86" s="49"/>
      <c r="ALI86" s="49"/>
      <c r="ALJ86" s="49"/>
      <c r="ALK86" s="49"/>
      <c r="ALL86" s="49"/>
      <c r="ALM86" s="49"/>
      <c r="ALN86" s="49"/>
      <c r="ALO86" s="49"/>
      <c r="ALP86" s="49"/>
      <c r="ALQ86" s="49"/>
      <c r="ALR86" s="49"/>
      <c r="ALS86" s="49"/>
      <c r="ALT86" s="49"/>
      <c r="ALU86" s="49"/>
      <c r="ALV86" s="49"/>
      <c r="ALW86" s="49"/>
      <c r="ALX86" s="49"/>
      <c r="ALY86" s="49"/>
      <c r="ALZ86" s="49"/>
      <c r="AMA86" s="49"/>
      <c r="AMB86" s="49"/>
      <c r="AMC86" s="49"/>
      <c r="AMD86" s="49"/>
      <c r="AME86" s="49"/>
      <c r="AMF86" s="49"/>
      <c r="AMG86" s="49"/>
      <c r="AMH86" s="49"/>
      <c r="AMI86" s="49"/>
      <c r="AMJ86" s="49"/>
    </row>
    <row r="87" spans="12:1024" ht="15.95" customHeight="1" x14ac:dyDescent="0.2">
      <c r="L87" s="49"/>
      <c r="M87" s="50"/>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c r="GW87" s="49"/>
      <c r="GX87" s="49"/>
      <c r="GY87" s="49"/>
      <c r="GZ87" s="49"/>
      <c r="HA87" s="49"/>
      <c r="HB87" s="49"/>
      <c r="HC87" s="49"/>
      <c r="HD87" s="49"/>
      <c r="HE87" s="49"/>
      <c r="HF87" s="49"/>
      <c r="HG87" s="49"/>
      <c r="HH87" s="49"/>
      <c r="HI87" s="49"/>
      <c r="HJ87" s="49"/>
      <c r="HK87" s="49"/>
      <c r="HL87" s="49"/>
      <c r="HM87" s="49"/>
      <c r="HN87" s="49"/>
      <c r="HO87" s="49"/>
      <c r="HP87" s="49"/>
      <c r="HQ87" s="49"/>
      <c r="HR87" s="49"/>
      <c r="HS87" s="49"/>
      <c r="HT87" s="49"/>
      <c r="HU87" s="49"/>
      <c r="HV87" s="49"/>
      <c r="HW87" s="49"/>
      <c r="HX87" s="49"/>
      <c r="HY87" s="49"/>
      <c r="HZ87" s="49"/>
      <c r="IA87" s="49"/>
      <c r="IB87" s="49"/>
      <c r="IC87" s="49"/>
      <c r="ID87" s="49"/>
      <c r="IE87" s="49"/>
      <c r="IF87" s="49"/>
      <c r="IG87" s="49"/>
      <c r="IH87" s="49"/>
      <c r="II87" s="49"/>
      <c r="IJ87" s="49"/>
      <c r="IK87" s="49"/>
      <c r="IL87" s="49"/>
      <c r="IM87" s="49"/>
      <c r="IN87" s="49"/>
      <c r="IO87" s="49"/>
      <c r="IP87" s="49"/>
      <c r="IQ87" s="49"/>
      <c r="IR87" s="49"/>
      <c r="IS87" s="49"/>
      <c r="IT87" s="49"/>
      <c r="IU87" s="49"/>
      <c r="IV87" s="49"/>
      <c r="IW87" s="49"/>
      <c r="IX87" s="49"/>
      <c r="IY87" s="49"/>
      <c r="IZ87" s="49"/>
      <c r="JA87" s="49"/>
      <c r="JB87" s="49"/>
      <c r="JC87" s="49"/>
      <c r="JD87" s="49"/>
      <c r="JE87" s="49"/>
      <c r="JF87" s="49"/>
      <c r="JG87" s="49"/>
      <c r="JH87" s="49"/>
      <c r="JI87" s="49"/>
      <c r="JJ87" s="49"/>
      <c r="JK87" s="49"/>
      <c r="JL87" s="49"/>
      <c r="JM87" s="49"/>
      <c r="JN87" s="49"/>
      <c r="JO87" s="49"/>
      <c r="JP87" s="49"/>
      <c r="JQ87" s="49"/>
      <c r="JR87" s="49"/>
      <c r="JS87" s="49"/>
      <c r="JT87" s="49"/>
      <c r="JU87" s="49"/>
      <c r="JV87" s="49"/>
      <c r="JW87" s="49"/>
      <c r="JX87" s="49"/>
      <c r="JY87" s="49"/>
      <c r="JZ87" s="49"/>
      <c r="KA87" s="49"/>
      <c r="KB87" s="49"/>
      <c r="KC87" s="49"/>
      <c r="KD87" s="49"/>
      <c r="KE87" s="49"/>
      <c r="KF87" s="49"/>
      <c r="KG87" s="49"/>
      <c r="KH87" s="49"/>
      <c r="KI87" s="49"/>
      <c r="KJ87" s="49"/>
      <c r="KK87" s="49"/>
      <c r="KL87" s="49"/>
      <c r="KM87" s="49"/>
      <c r="KN87" s="49"/>
      <c r="KO87" s="49"/>
      <c r="KP87" s="49"/>
      <c r="KQ87" s="49"/>
      <c r="KR87" s="49"/>
      <c r="KS87" s="49"/>
      <c r="KT87" s="49"/>
      <c r="KU87" s="49"/>
      <c r="KV87" s="49"/>
      <c r="KW87" s="49"/>
      <c r="KX87" s="49"/>
      <c r="KY87" s="49"/>
      <c r="KZ87" s="49"/>
      <c r="LA87" s="49"/>
      <c r="LB87" s="49"/>
      <c r="LC87" s="49"/>
      <c r="LD87" s="49"/>
      <c r="LE87" s="49"/>
      <c r="LF87" s="49"/>
      <c r="LG87" s="49"/>
      <c r="LH87" s="49"/>
      <c r="LI87" s="49"/>
      <c r="LJ87" s="49"/>
      <c r="LK87" s="49"/>
      <c r="LL87" s="49"/>
      <c r="LM87" s="49"/>
      <c r="LN87" s="49"/>
      <c r="LO87" s="49"/>
      <c r="LP87" s="49"/>
      <c r="LQ87" s="49"/>
      <c r="LR87" s="49"/>
      <c r="LS87" s="49"/>
      <c r="LT87" s="49"/>
      <c r="LU87" s="49"/>
      <c r="LV87" s="49"/>
      <c r="LW87" s="49"/>
      <c r="LX87" s="49"/>
      <c r="LY87" s="49"/>
      <c r="LZ87" s="49"/>
      <c r="MA87" s="49"/>
      <c r="MB87" s="49"/>
      <c r="MC87" s="49"/>
      <c r="MD87" s="49"/>
      <c r="ME87" s="49"/>
      <c r="MF87" s="49"/>
      <c r="MG87" s="49"/>
      <c r="MH87" s="49"/>
      <c r="MI87" s="49"/>
      <c r="MJ87" s="49"/>
      <c r="MK87" s="49"/>
      <c r="ML87" s="49"/>
      <c r="MM87" s="49"/>
      <c r="MN87" s="49"/>
      <c r="MO87" s="49"/>
      <c r="MP87" s="49"/>
      <c r="MQ87" s="49"/>
      <c r="MR87" s="49"/>
      <c r="MS87" s="49"/>
      <c r="MT87" s="49"/>
      <c r="MU87" s="49"/>
      <c r="MV87" s="49"/>
      <c r="MW87" s="49"/>
      <c r="MX87" s="49"/>
      <c r="MY87" s="49"/>
      <c r="MZ87" s="49"/>
      <c r="NA87" s="49"/>
      <c r="NB87" s="49"/>
      <c r="NC87" s="49"/>
      <c r="ND87" s="49"/>
      <c r="NE87" s="49"/>
      <c r="NF87" s="49"/>
      <c r="NG87" s="49"/>
      <c r="NH87" s="49"/>
      <c r="NI87" s="49"/>
      <c r="NJ87" s="49"/>
      <c r="NK87" s="49"/>
      <c r="NL87" s="49"/>
      <c r="NM87" s="49"/>
      <c r="NN87" s="49"/>
      <c r="NO87" s="49"/>
      <c r="NP87" s="49"/>
      <c r="NQ87" s="49"/>
      <c r="NR87" s="49"/>
      <c r="NS87" s="49"/>
      <c r="NT87" s="49"/>
      <c r="NU87" s="49"/>
      <c r="NV87" s="49"/>
      <c r="NW87" s="49"/>
      <c r="NX87" s="49"/>
      <c r="NY87" s="49"/>
      <c r="NZ87" s="49"/>
      <c r="OA87" s="49"/>
      <c r="OB87" s="49"/>
      <c r="OC87" s="49"/>
      <c r="OD87" s="49"/>
      <c r="OE87" s="49"/>
      <c r="OF87" s="49"/>
      <c r="OG87" s="49"/>
      <c r="OH87" s="49"/>
      <c r="OI87" s="49"/>
      <c r="OJ87" s="49"/>
      <c r="OK87" s="49"/>
      <c r="OL87" s="49"/>
      <c r="OM87" s="49"/>
      <c r="ON87" s="49"/>
      <c r="OO87" s="49"/>
      <c r="OP87" s="49"/>
      <c r="OQ87" s="49"/>
      <c r="OR87" s="49"/>
      <c r="OS87" s="49"/>
      <c r="OT87" s="49"/>
      <c r="OU87" s="49"/>
      <c r="OV87" s="49"/>
      <c r="OW87" s="49"/>
      <c r="OX87" s="49"/>
      <c r="OY87" s="49"/>
      <c r="OZ87" s="49"/>
      <c r="PA87" s="49"/>
      <c r="PB87" s="49"/>
      <c r="PC87" s="49"/>
      <c r="PD87" s="49"/>
      <c r="PE87" s="49"/>
      <c r="PF87" s="49"/>
      <c r="PG87" s="49"/>
      <c r="PH87" s="49"/>
      <c r="PI87" s="49"/>
      <c r="PJ87" s="49"/>
      <c r="PK87" s="49"/>
      <c r="PL87" s="49"/>
      <c r="PM87" s="49"/>
      <c r="PN87" s="49"/>
      <c r="PO87" s="49"/>
      <c r="PP87" s="49"/>
      <c r="PQ87" s="49"/>
      <c r="PR87" s="49"/>
      <c r="PS87" s="49"/>
      <c r="PT87" s="49"/>
      <c r="PU87" s="49"/>
      <c r="PV87" s="49"/>
      <c r="PW87" s="49"/>
      <c r="PX87" s="49"/>
      <c r="PY87" s="49"/>
      <c r="PZ87" s="49"/>
      <c r="QA87" s="49"/>
      <c r="QB87" s="49"/>
      <c r="QC87" s="49"/>
      <c r="QD87" s="49"/>
      <c r="QE87" s="49"/>
      <c r="QF87" s="49"/>
      <c r="QG87" s="49"/>
      <c r="QH87" s="49"/>
      <c r="QI87" s="49"/>
      <c r="QJ87" s="49"/>
      <c r="QK87" s="49"/>
      <c r="QL87" s="49"/>
      <c r="QM87" s="49"/>
      <c r="QN87" s="49"/>
      <c r="QO87" s="49"/>
      <c r="QP87" s="49"/>
      <c r="QQ87" s="49"/>
      <c r="QR87" s="49"/>
      <c r="QS87" s="49"/>
      <c r="QT87" s="49"/>
      <c r="QU87" s="49"/>
      <c r="QV87" s="49"/>
      <c r="QW87" s="49"/>
      <c r="QX87" s="49"/>
      <c r="QY87" s="49"/>
      <c r="QZ87" s="49"/>
      <c r="RA87" s="49"/>
      <c r="RB87" s="49"/>
      <c r="RC87" s="49"/>
      <c r="RD87" s="49"/>
      <c r="RE87" s="49"/>
      <c r="RF87" s="49"/>
      <c r="RG87" s="49"/>
      <c r="RH87" s="49"/>
      <c r="RI87" s="49"/>
      <c r="RJ87" s="49"/>
      <c r="RK87" s="49"/>
      <c r="RL87" s="49"/>
      <c r="RM87" s="49"/>
      <c r="RN87" s="49"/>
      <c r="RO87" s="49"/>
      <c r="RP87" s="49"/>
      <c r="RQ87" s="49"/>
      <c r="RR87" s="49"/>
      <c r="RS87" s="49"/>
      <c r="RT87" s="49"/>
      <c r="RU87" s="49"/>
      <c r="RV87" s="49"/>
      <c r="RW87" s="49"/>
      <c r="RX87" s="49"/>
      <c r="RY87" s="49"/>
      <c r="RZ87" s="49"/>
      <c r="SA87" s="49"/>
      <c r="SB87" s="49"/>
      <c r="SC87" s="49"/>
      <c r="SD87" s="49"/>
      <c r="SE87" s="49"/>
      <c r="SF87" s="49"/>
      <c r="SG87" s="49"/>
      <c r="SH87" s="49"/>
      <c r="SI87" s="49"/>
      <c r="SJ87" s="49"/>
      <c r="SK87" s="49"/>
      <c r="SL87" s="49"/>
      <c r="SM87" s="49"/>
      <c r="SN87" s="49"/>
      <c r="SO87" s="49"/>
      <c r="SP87" s="49"/>
      <c r="SQ87" s="49"/>
      <c r="SR87" s="49"/>
      <c r="SS87" s="49"/>
      <c r="ST87" s="49"/>
      <c r="SU87" s="49"/>
      <c r="SV87" s="49"/>
      <c r="SW87" s="49"/>
      <c r="SX87" s="49"/>
      <c r="SY87" s="49"/>
      <c r="SZ87" s="49"/>
      <c r="TA87" s="49"/>
      <c r="TB87" s="49"/>
      <c r="TC87" s="49"/>
      <c r="TD87" s="49"/>
      <c r="TE87" s="49"/>
      <c r="TF87" s="49"/>
      <c r="TG87" s="49"/>
      <c r="TH87" s="49"/>
      <c r="TI87" s="49"/>
      <c r="TJ87" s="49"/>
      <c r="TK87" s="49"/>
      <c r="TL87" s="49"/>
      <c r="TM87" s="49"/>
      <c r="TN87" s="49"/>
      <c r="TO87" s="49"/>
      <c r="TP87" s="49"/>
      <c r="TQ87" s="49"/>
      <c r="TR87" s="49"/>
      <c r="TS87" s="49"/>
      <c r="TT87" s="49"/>
      <c r="TU87" s="49"/>
      <c r="TV87" s="49"/>
      <c r="TW87" s="49"/>
      <c r="TX87" s="49"/>
      <c r="TY87" s="49"/>
      <c r="TZ87" s="49"/>
      <c r="UA87" s="49"/>
      <c r="UB87" s="49"/>
      <c r="UC87" s="49"/>
      <c r="UD87" s="49"/>
      <c r="UE87" s="49"/>
      <c r="UF87" s="49"/>
      <c r="UG87" s="49"/>
      <c r="UH87" s="49"/>
      <c r="UI87" s="49"/>
      <c r="UJ87" s="49"/>
      <c r="UK87" s="49"/>
      <c r="UL87" s="49"/>
      <c r="UM87" s="49"/>
      <c r="UN87" s="49"/>
      <c r="UO87" s="49"/>
      <c r="UP87" s="49"/>
      <c r="UQ87" s="49"/>
      <c r="UR87" s="49"/>
      <c r="US87" s="49"/>
      <c r="UT87" s="49"/>
      <c r="UU87" s="49"/>
      <c r="UV87" s="49"/>
      <c r="UW87" s="49"/>
      <c r="UX87" s="49"/>
      <c r="UY87" s="49"/>
      <c r="UZ87" s="49"/>
      <c r="VA87" s="49"/>
      <c r="VB87" s="49"/>
      <c r="VC87" s="49"/>
      <c r="VD87" s="49"/>
      <c r="VE87" s="49"/>
      <c r="VF87" s="49"/>
      <c r="VG87" s="49"/>
      <c r="VH87" s="49"/>
      <c r="VI87" s="49"/>
      <c r="VJ87" s="49"/>
      <c r="VK87" s="49"/>
      <c r="VL87" s="49"/>
      <c r="VM87" s="49"/>
      <c r="VN87" s="49"/>
      <c r="VO87" s="49"/>
      <c r="VP87" s="49"/>
      <c r="VQ87" s="49"/>
      <c r="VR87" s="49"/>
      <c r="VS87" s="49"/>
      <c r="VT87" s="49"/>
      <c r="VU87" s="49"/>
      <c r="VV87" s="49"/>
      <c r="VW87" s="49"/>
      <c r="VX87" s="49"/>
      <c r="VY87" s="49"/>
      <c r="VZ87" s="49"/>
      <c r="WA87" s="49"/>
      <c r="WB87" s="49"/>
      <c r="WC87" s="49"/>
      <c r="WD87" s="49"/>
      <c r="WE87" s="49"/>
      <c r="WF87" s="49"/>
      <c r="WG87" s="49"/>
      <c r="WH87" s="49"/>
      <c r="WI87" s="49"/>
      <c r="WJ87" s="49"/>
      <c r="WK87" s="49"/>
      <c r="WL87" s="49"/>
      <c r="WM87" s="49"/>
      <c r="WN87" s="49"/>
      <c r="WO87" s="49"/>
      <c r="WP87" s="49"/>
      <c r="WQ87" s="49"/>
      <c r="WR87" s="49"/>
      <c r="WS87" s="49"/>
      <c r="WT87" s="49"/>
      <c r="WU87" s="49"/>
      <c r="WV87" s="49"/>
      <c r="WW87" s="49"/>
      <c r="WX87" s="49"/>
      <c r="WY87" s="49"/>
      <c r="WZ87" s="49"/>
      <c r="XA87" s="49"/>
      <c r="XB87" s="49"/>
      <c r="XC87" s="49"/>
      <c r="XD87" s="49"/>
      <c r="XE87" s="49"/>
      <c r="XF87" s="49"/>
      <c r="XG87" s="49"/>
      <c r="XH87" s="49"/>
      <c r="XI87" s="49"/>
      <c r="XJ87" s="49"/>
      <c r="XK87" s="49"/>
      <c r="XL87" s="49"/>
      <c r="XM87" s="49"/>
      <c r="XN87" s="49"/>
      <c r="XO87" s="49"/>
      <c r="XP87" s="49"/>
      <c r="XQ87" s="49"/>
      <c r="XR87" s="49"/>
      <c r="XS87" s="49"/>
      <c r="XT87" s="49"/>
      <c r="XU87" s="49"/>
      <c r="XV87" s="49"/>
      <c r="XW87" s="49"/>
      <c r="XX87" s="49"/>
      <c r="XY87" s="49"/>
      <c r="XZ87" s="49"/>
      <c r="YA87" s="49"/>
      <c r="YB87" s="49"/>
      <c r="YC87" s="49"/>
      <c r="YD87" s="49"/>
      <c r="YE87" s="49"/>
      <c r="YF87" s="49"/>
      <c r="YG87" s="49"/>
      <c r="YH87" s="49"/>
      <c r="YI87" s="49"/>
      <c r="YJ87" s="49"/>
      <c r="YK87" s="49"/>
      <c r="YL87" s="49"/>
      <c r="YM87" s="49"/>
      <c r="YN87" s="49"/>
      <c r="YO87" s="49"/>
      <c r="YP87" s="49"/>
      <c r="YQ87" s="49"/>
      <c r="YR87" s="49"/>
      <c r="YS87" s="49"/>
      <c r="YT87" s="49"/>
      <c r="YU87" s="49"/>
      <c r="YV87" s="49"/>
      <c r="YW87" s="49"/>
      <c r="YX87" s="49"/>
      <c r="YY87" s="49"/>
      <c r="YZ87" s="49"/>
      <c r="ZA87" s="49"/>
      <c r="ZB87" s="49"/>
      <c r="ZC87" s="49"/>
      <c r="ZD87" s="49"/>
      <c r="ZE87" s="49"/>
      <c r="ZF87" s="49"/>
      <c r="ZG87" s="49"/>
      <c r="ZH87" s="49"/>
      <c r="ZI87" s="49"/>
      <c r="ZJ87" s="49"/>
      <c r="ZK87" s="49"/>
      <c r="ZL87" s="49"/>
      <c r="ZM87" s="49"/>
      <c r="ZN87" s="49"/>
      <c r="ZO87" s="49"/>
      <c r="ZP87" s="49"/>
      <c r="ZQ87" s="49"/>
      <c r="ZR87" s="49"/>
      <c r="ZS87" s="49"/>
      <c r="ZT87" s="49"/>
      <c r="ZU87" s="49"/>
      <c r="ZV87" s="49"/>
      <c r="ZW87" s="49"/>
      <c r="ZX87" s="49"/>
      <c r="ZY87" s="49"/>
      <c r="ZZ87" s="49"/>
      <c r="AAA87" s="49"/>
      <c r="AAB87" s="49"/>
      <c r="AAC87" s="49"/>
      <c r="AAD87" s="49"/>
      <c r="AAE87" s="49"/>
      <c r="AAF87" s="49"/>
      <c r="AAG87" s="49"/>
      <c r="AAH87" s="49"/>
      <c r="AAI87" s="49"/>
      <c r="AAJ87" s="49"/>
      <c r="AAK87" s="49"/>
      <c r="AAL87" s="49"/>
      <c r="AAM87" s="49"/>
      <c r="AAN87" s="49"/>
      <c r="AAO87" s="49"/>
      <c r="AAP87" s="49"/>
      <c r="AAQ87" s="49"/>
      <c r="AAR87" s="49"/>
      <c r="AAS87" s="49"/>
      <c r="AAT87" s="49"/>
      <c r="AAU87" s="49"/>
      <c r="AAV87" s="49"/>
      <c r="AAW87" s="49"/>
      <c r="AAX87" s="49"/>
      <c r="AAY87" s="49"/>
      <c r="AAZ87" s="49"/>
      <c r="ABA87" s="49"/>
      <c r="ABB87" s="49"/>
      <c r="ABC87" s="49"/>
      <c r="ABD87" s="49"/>
      <c r="ABE87" s="49"/>
      <c r="ABF87" s="49"/>
      <c r="ABG87" s="49"/>
      <c r="ABH87" s="49"/>
      <c r="ABI87" s="49"/>
      <c r="ABJ87" s="49"/>
      <c r="ABK87" s="49"/>
      <c r="ABL87" s="49"/>
      <c r="ABM87" s="49"/>
      <c r="ABN87" s="49"/>
      <c r="ABO87" s="49"/>
      <c r="ABP87" s="49"/>
      <c r="ABQ87" s="49"/>
      <c r="ABR87" s="49"/>
      <c r="ABS87" s="49"/>
      <c r="ABT87" s="49"/>
      <c r="ABU87" s="49"/>
      <c r="ABV87" s="49"/>
      <c r="ABW87" s="49"/>
      <c r="ABX87" s="49"/>
      <c r="ABY87" s="49"/>
      <c r="ABZ87" s="49"/>
      <c r="ACA87" s="49"/>
      <c r="ACB87" s="49"/>
      <c r="ACC87" s="49"/>
      <c r="ACD87" s="49"/>
      <c r="ACE87" s="49"/>
      <c r="ACF87" s="49"/>
      <c r="ACG87" s="49"/>
      <c r="ACH87" s="49"/>
      <c r="ACI87" s="49"/>
      <c r="ACJ87" s="49"/>
      <c r="ACK87" s="49"/>
      <c r="ACL87" s="49"/>
      <c r="ACM87" s="49"/>
      <c r="ACN87" s="49"/>
      <c r="ACO87" s="49"/>
      <c r="ACP87" s="49"/>
      <c r="ACQ87" s="49"/>
      <c r="ACR87" s="49"/>
      <c r="ACS87" s="49"/>
      <c r="ACT87" s="49"/>
      <c r="ACU87" s="49"/>
      <c r="ACV87" s="49"/>
      <c r="ACW87" s="49"/>
      <c r="ACX87" s="49"/>
      <c r="ACY87" s="49"/>
      <c r="ACZ87" s="49"/>
      <c r="ADA87" s="49"/>
      <c r="ADB87" s="49"/>
      <c r="ADC87" s="49"/>
      <c r="ADD87" s="49"/>
      <c r="ADE87" s="49"/>
      <c r="ADF87" s="49"/>
      <c r="ADG87" s="49"/>
      <c r="ADH87" s="49"/>
      <c r="ADI87" s="49"/>
      <c r="ADJ87" s="49"/>
      <c r="ADK87" s="49"/>
      <c r="ADL87" s="49"/>
      <c r="ADM87" s="49"/>
      <c r="ADN87" s="49"/>
      <c r="ADO87" s="49"/>
      <c r="ADP87" s="49"/>
      <c r="ADQ87" s="49"/>
      <c r="ADR87" s="49"/>
      <c r="ADS87" s="49"/>
      <c r="ADT87" s="49"/>
      <c r="ADU87" s="49"/>
      <c r="ADV87" s="49"/>
      <c r="ADW87" s="49"/>
      <c r="ADX87" s="49"/>
      <c r="ADY87" s="49"/>
      <c r="ADZ87" s="49"/>
      <c r="AEA87" s="49"/>
      <c r="AEB87" s="49"/>
      <c r="AEC87" s="49"/>
      <c r="AED87" s="49"/>
      <c r="AEE87" s="49"/>
      <c r="AEF87" s="49"/>
      <c r="AEG87" s="49"/>
      <c r="AEH87" s="49"/>
      <c r="AEI87" s="49"/>
      <c r="AEJ87" s="49"/>
      <c r="AEK87" s="49"/>
      <c r="AEL87" s="49"/>
      <c r="AEM87" s="49"/>
      <c r="AEN87" s="49"/>
      <c r="AEO87" s="49"/>
      <c r="AEP87" s="49"/>
      <c r="AEQ87" s="49"/>
      <c r="AER87" s="49"/>
      <c r="AES87" s="49"/>
      <c r="AET87" s="49"/>
      <c r="AEU87" s="49"/>
      <c r="AEV87" s="49"/>
      <c r="AEW87" s="49"/>
      <c r="AEX87" s="49"/>
      <c r="AEY87" s="49"/>
      <c r="AEZ87" s="49"/>
      <c r="AFA87" s="49"/>
      <c r="AFB87" s="49"/>
      <c r="AFC87" s="49"/>
      <c r="AFD87" s="49"/>
      <c r="AFE87" s="49"/>
      <c r="AFF87" s="49"/>
      <c r="AFG87" s="49"/>
      <c r="AFH87" s="49"/>
      <c r="AFI87" s="49"/>
      <c r="AFJ87" s="49"/>
      <c r="AFK87" s="49"/>
      <c r="AFL87" s="49"/>
      <c r="AFM87" s="49"/>
      <c r="AFN87" s="49"/>
      <c r="AFO87" s="49"/>
      <c r="AFP87" s="49"/>
      <c r="AFQ87" s="49"/>
      <c r="AFR87" s="49"/>
      <c r="AFS87" s="49"/>
      <c r="AFT87" s="49"/>
      <c r="AFU87" s="49"/>
      <c r="AFV87" s="49"/>
      <c r="AFW87" s="49"/>
      <c r="AFX87" s="49"/>
      <c r="AFY87" s="49"/>
      <c r="AFZ87" s="49"/>
      <c r="AGA87" s="49"/>
      <c r="AGB87" s="49"/>
      <c r="AGC87" s="49"/>
      <c r="AGD87" s="49"/>
      <c r="AGE87" s="49"/>
      <c r="AGF87" s="49"/>
      <c r="AGG87" s="49"/>
      <c r="AGH87" s="49"/>
      <c r="AGI87" s="49"/>
      <c r="AGJ87" s="49"/>
      <c r="AGK87" s="49"/>
      <c r="AGL87" s="49"/>
      <c r="AGM87" s="49"/>
      <c r="AGN87" s="49"/>
      <c r="AGO87" s="49"/>
      <c r="AGP87" s="49"/>
      <c r="AGQ87" s="49"/>
      <c r="AGR87" s="49"/>
      <c r="AGS87" s="49"/>
      <c r="AGT87" s="49"/>
      <c r="AGU87" s="49"/>
      <c r="AGV87" s="49"/>
      <c r="AGW87" s="49"/>
      <c r="AGX87" s="49"/>
      <c r="AGY87" s="49"/>
      <c r="AGZ87" s="49"/>
      <c r="AHA87" s="49"/>
      <c r="AHB87" s="49"/>
      <c r="AHC87" s="49"/>
      <c r="AHD87" s="49"/>
      <c r="AHE87" s="49"/>
      <c r="AHF87" s="49"/>
      <c r="AHG87" s="49"/>
      <c r="AHH87" s="49"/>
      <c r="AHI87" s="49"/>
      <c r="AHJ87" s="49"/>
      <c r="AHK87" s="49"/>
      <c r="AHL87" s="49"/>
      <c r="AHM87" s="49"/>
      <c r="AHN87" s="49"/>
      <c r="AHO87" s="49"/>
      <c r="AHP87" s="49"/>
      <c r="AHQ87" s="49"/>
      <c r="AHR87" s="49"/>
      <c r="AHS87" s="49"/>
      <c r="AHT87" s="49"/>
      <c r="AHU87" s="49"/>
      <c r="AHV87" s="49"/>
      <c r="AHW87" s="49"/>
      <c r="AHX87" s="49"/>
      <c r="AHY87" s="49"/>
      <c r="AHZ87" s="49"/>
      <c r="AIA87" s="49"/>
      <c r="AIB87" s="49"/>
      <c r="AIC87" s="49"/>
      <c r="AID87" s="49"/>
      <c r="AIE87" s="49"/>
      <c r="AIF87" s="49"/>
      <c r="AIG87" s="49"/>
      <c r="AIH87" s="49"/>
      <c r="AII87" s="49"/>
      <c r="AIJ87" s="49"/>
      <c r="AIK87" s="49"/>
      <c r="AIL87" s="49"/>
      <c r="AIM87" s="49"/>
      <c r="AIN87" s="49"/>
      <c r="AIO87" s="49"/>
      <c r="AIP87" s="49"/>
      <c r="AIQ87" s="49"/>
      <c r="AIR87" s="49"/>
      <c r="AIS87" s="49"/>
      <c r="AIT87" s="49"/>
      <c r="AIU87" s="49"/>
      <c r="AIV87" s="49"/>
      <c r="AIW87" s="49"/>
      <c r="AIX87" s="49"/>
      <c r="AIY87" s="49"/>
      <c r="AIZ87" s="49"/>
      <c r="AJA87" s="49"/>
      <c r="AJB87" s="49"/>
      <c r="AJC87" s="49"/>
      <c r="AJD87" s="49"/>
      <c r="AJE87" s="49"/>
      <c r="AJF87" s="49"/>
      <c r="AJG87" s="49"/>
      <c r="AJH87" s="49"/>
      <c r="AJI87" s="49"/>
      <c r="AJJ87" s="49"/>
      <c r="AJK87" s="49"/>
      <c r="AJL87" s="49"/>
      <c r="AJM87" s="49"/>
      <c r="AJN87" s="49"/>
      <c r="AJO87" s="49"/>
      <c r="AJP87" s="49"/>
      <c r="AJQ87" s="49"/>
      <c r="AJR87" s="49"/>
      <c r="AJS87" s="49"/>
      <c r="AJT87" s="49"/>
      <c r="AJU87" s="49"/>
      <c r="AJV87" s="49"/>
      <c r="AJW87" s="49"/>
      <c r="AJX87" s="49"/>
      <c r="AJY87" s="49"/>
      <c r="AJZ87" s="49"/>
      <c r="AKA87" s="49"/>
      <c r="AKB87" s="49"/>
      <c r="AKC87" s="49"/>
      <c r="AKD87" s="49"/>
      <c r="AKE87" s="49"/>
      <c r="AKF87" s="49"/>
      <c r="AKG87" s="49"/>
      <c r="AKH87" s="49"/>
      <c r="AKI87" s="49"/>
      <c r="AKJ87" s="49"/>
      <c r="AKK87" s="49"/>
      <c r="AKL87" s="49"/>
      <c r="AKM87" s="49"/>
      <c r="AKN87" s="49"/>
      <c r="AKO87" s="49"/>
      <c r="AKP87" s="49"/>
      <c r="AKQ87" s="49"/>
      <c r="AKR87" s="49"/>
      <c r="AKS87" s="49"/>
      <c r="AKT87" s="49"/>
      <c r="AKU87" s="49"/>
      <c r="AKV87" s="49"/>
      <c r="AKW87" s="49"/>
      <c r="AKX87" s="49"/>
      <c r="AKY87" s="49"/>
      <c r="AKZ87" s="49"/>
      <c r="ALA87" s="49"/>
      <c r="ALB87" s="49"/>
      <c r="ALC87" s="49"/>
      <c r="ALD87" s="49"/>
      <c r="ALE87" s="49"/>
      <c r="ALF87" s="49"/>
      <c r="ALG87" s="49"/>
      <c r="ALH87" s="49"/>
      <c r="ALI87" s="49"/>
      <c r="ALJ87" s="49"/>
      <c r="ALK87" s="49"/>
      <c r="ALL87" s="49"/>
      <c r="ALM87" s="49"/>
      <c r="ALN87" s="49"/>
      <c r="ALO87" s="49"/>
      <c r="ALP87" s="49"/>
      <c r="ALQ87" s="49"/>
      <c r="ALR87" s="49"/>
      <c r="ALS87" s="49"/>
      <c r="ALT87" s="49"/>
      <c r="ALU87" s="49"/>
      <c r="ALV87" s="49"/>
      <c r="ALW87" s="49"/>
      <c r="ALX87" s="49"/>
      <c r="ALY87" s="49"/>
      <c r="ALZ87" s="49"/>
      <c r="AMA87" s="49"/>
      <c r="AMB87" s="49"/>
      <c r="AMC87" s="49"/>
      <c r="AMD87" s="49"/>
      <c r="AME87" s="49"/>
      <c r="AMF87" s="49"/>
      <c r="AMG87" s="49"/>
      <c r="AMH87" s="49"/>
      <c r="AMI87" s="49"/>
      <c r="AMJ87" s="49"/>
    </row>
    <row r="88" spans="12:1024" ht="15.95" customHeight="1" x14ac:dyDescent="0.2">
      <c r="L88" s="49"/>
      <c r="M88" s="50"/>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49"/>
      <c r="EJ88" s="49"/>
      <c r="EK88" s="49"/>
      <c r="EL88" s="49"/>
      <c r="EM88" s="49"/>
      <c r="EN88" s="49"/>
      <c r="EO88" s="49"/>
      <c r="EP88" s="49"/>
      <c r="EQ88" s="49"/>
      <c r="ER88" s="49"/>
      <c r="ES88" s="49"/>
      <c r="ET88" s="49"/>
      <c r="EU88" s="49"/>
      <c r="EV88" s="49"/>
      <c r="EW88" s="49"/>
      <c r="EX88" s="49"/>
      <c r="EY88" s="49"/>
      <c r="EZ88" s="49"/>
      <c r="FA88" s="49"/>
      <c r="FB88" s="49"/>
      <c r="FC88" s="49"/>
      <c r="FD88" s="49"/>
      <c r="FE88" s="49"/>
      <c r="FF88" s="49"/>
      <c r="FG88" s="49"/>
      <c r="FH88" s="49"/>
      <c r="FI88" s="49"/>
      <c r="FJ88" s="49"/>
      <c r="FK88" s="49"/>
      <c r="FL88" s="49"/>
      <c r="FM88" s="49"/>
      <c r="FN88" s="49"/>
      <c r="FO88" s="49"/>
      <c r="FP88" s="49"/>
      <c r="FQ88" s="49"/>
      <c r="FR88" s="49"/>
      <c r="FS88" s="49"/>
      <c r="FT88" s="49"/>
      <c r="FU88" s="49"/>
      <c r="FV88" s="49"/>
      <c r="FW88" s="49"/>
      <c r="FX88" s="49"/>
      <c r="FY88" s="49"/>
      <c r="FZ88" s="49"/>
      <c r="GA88" s="49"/>
      <c r="GB88" s="49"/>
      <c r="GC88" s="49"/>
      <c r="GD88" s="49"/>
      <c r="GE88" s="49"/>
      <c r="GF88" s="49"/>
      <c r="GG88" s="49"/>
      <c r="GH88" s="49"/>
      <c r="GI88" s="49"/>
      <c r="GJ88" s="49"/>
      <c r="GK88" s="49"/>
      <c r="GL88" s="49"/>
      <c r="GM88" s="49"/>
      <c r="GN88" s="49"/>
      <c r="GO88" s="49"/>
      <c r="GP88" s="49"/>
      <c r="GQ88" s="49"/>
      <c r="GR88" s="49"/>
      <c r="GS88" s="49"/>
      <c r="GT88" s="49"/>
      <c r="GU88" s="49"/>
      <c r="GV88" s="49"/>
      <c r="GW88" s="49"/>
      <c r="GX88" s="49"/>
      <c r="GY88" s="49"/>
      <c r="GZ88" s="49"/>
      <c r="HA88" s="49"/>
      <c r="HB88" s="49"/>
      <c r="HC88" s="49"/>
      <c r="HD88" s="49"/>
      <c r="HE88" s="49"/>
      <c r="HF88" s="49"/>
      <c r="HG88" s="49"/>
      <c r="HH88" s="49"/>
      <c r="HI88" s="49"/>
      <c r="HJ88" s="49"/>
      <c r="HK88" s="49"/>
      <c r="HL88" s="49"/>
      <c r="HM88" s="49"/>
      <c r="HN88" s="49"/>
      <c r="HO88" s="49"/>
      <c r="HP88" s="49"/>
      <c r="HQ88" s="49"/>
      <c r="HR88" s="49"/>
      <c r="HS88" s="49"/>
      <c r="HT88" s="49"/>
      <c r="HU88" s="49"/>
      <c r="HV88" s="49"/>
      <c r="HW88" s="49"/>
      <c r="HX88" s="49"/>
      <c r="HY88" s="49"/>
      <c r="HZ88" s="49"/>
      <c r="IA88" s="49"/>
      <c r="IB88" s="49"/>
      <c r="IC88" s="49"/>
      <c r="ID88" s="49"/>
      <c r="IE88" s="49"/>
      <c r="IF88" s="49"/>
      <c r="IG88" s="49"/>
      <c r="IH88" s="49"/>
      <c r="II88" s="49"/>
      <c r="IJ88" s="49"/>
      <c r="IK88" s="49"/>
      <c r="IL88" s="49"/>
      <c r="IM88" s="49"/>
      <c r="IN88" s="49"/>
      <c r="IO88" s="49"/>
      <c r="IP88" s="49"/>
      <c r="IQ88" s="49"/>
      <c r="IR88" s="49"/>
      <c r="IS88" s="49"/>
      <c r="IT88" s="49"/>
      <c r="IU88" s="49"/>
      <c r="IV88" s="49"/>
      <c r="IW88" s="49"/>
      <c r="IX88" s="49"/>
      <c r="IY88" s="49"/>
      <c r="IZ88" s="49"/>
      <c r="JA88" s="49"/>
      <c r="JB88" s="49"/>
      <c r="JC88" s="49"/>
      <c r="JD88" s="49"/>
      <c r="JE88" s="49"/>
      <c r="JF88" s="49"/>
      <c r="JG88" s="49"/>
      <c r="JH88" s="49"/>
      <c r="JI88" s="49"/>
      <c r="JJ88" s="49"/>
      <c r="JK88" s="49"/>
      <c r="JL88" s="49"/>
      <c r="JM88" s="49"/>
      <c r="JN88" s="49"/>
      <c r="JO88" s="49"/>
      <c r="JP88" s="49"/>
      <c r="JQ88" s="49"/>
      <c r="JR88" s="49"/>
      <c r="JS88" s="49"/>
      <c r="JT88" s="49"/>
      <c r="JU88" s="49"/>
      <c r="JV88" s="49"/>
      <c r="JW88" s="49"/>
      <c r="JX88" s="49"/>
      <c r="JY88" s="49"/>
      <c r="JZ88" s="49"/>
      <c r="KA88" s="49"/>
      <c r="KB88" s="49"/>
      <c r="KC88" s="49"/>
      <c r="KD88" s="49"/>
      <c r="KE88" s="49"/>
      <c r="KF88" s="49"/>
      <c r="KG88" s="49"/>
      <c r="KH88" s="49"/>
      <c r="KI88" s="49"/>
      <c r="KJ88" s="49"/>
      <c r="KK88" s="49"/>
      <c r="KL88" s="49"/>
      <c r="KM88" s="49"/>
      <c r="KN88" s="49"/>
      <c r="KO88" s="49"/>
      <c r="KP88" s="49"/>
      <c r="KQ88" s="49"/>
      <c r="KR88" s="49"/>
      <c r="KS88" s="49"/>
      <c r="KT88" s="49"/>
      <c r="KU88" s="49"/>
      <c r="KV88" s="49"/>
      <c r="KW88" s="49"/>
      <c r="KX88" s="49"/>
      <c r="KY88" s="49"/>
      <c r="KZ88" s="49"/>
      <c r="LA88" s="49"/>
      <c r="LB88" s="49"/>
      <c r="LC88" s="49"/>
      <c r="LD88" s="49"/>
      <c r="LE88" s="49"/>
      <c r="LF88" s="49"/>
      <c r="LG88" s="49"/>
      <c r="LH88" s="49"/>
      <c r="LI88" s="49"/>
      <c r="LJ88" s="49"/>
      <c r="LK88" s="49"/>
      <c r="LL88" s="49"/>
      <c r="LM88" s="49"/>
      <c r="LN88" s="49"/>
      <c r="LO88" s="49"/>
      <c r="LP88" s="49"/>
      <c r="LQ88" s="49"/>
      <c r="LR88" s="49"/>
      <c r="LS88" s="49"/>
      <c r="LT88" s="49"/>
      <c r="LU88" s="49"/>
      <c r="LV88" s="49"/>
      <c r="LW88" s="49"/>
      <c r="LX88" s="49"/>
      <c r="LY88" s="49"/>
      <c r="LZ88" s="49"/>
      <c r="MA88" s="49"/>
      <c r="MB88" s="49"/>
      <c r="MC88" s="49"/>
      <c r="MD88" s="49"/>
      <c r="ME88" s="49"/>
      <c r="MF88" s="49"/>
      <c r="MG88" s="49"/>
      <c r="MH88" s="49"/>
      <c r="MI88" s="49"/>
      <c r="MJ88" s="49"/>
      <c r="MK88" s="49"/>
      <c r="ML88" s="49"/>
      <c r="MM88" s="49"/>
      <c r="MN88" s="49"/>
      <c r="MO88" s="49"/>
      <c r="MP88" s="49"/>
      <c r="MQ88" s="49"/>
      <c r="MR88" s="49"/>
      <c r="MS88" s="49"/>
      <c r="MT88" s="49"/>
      <c r="MU88" s="49"/>
      <c r="MV88" s="49"/>
      <c r="MW88" s="49"/>
      <c r="MX88" s="49"/>
      <c r="MY88" s="49"/>
      <c r="MZ88" s="49"/>
      <c r="NA88" s="49"/>
      <c r="NB88" s="49"/>
      <c r="NC88" s="49"/>
      <c r="ND88" s="49"/>
      <c r="NE88" s="49"/>
      <c r="NF88" s="49"/>
      <c r="NG88" s="49"/>
      <c r="NH88" s="49"/>
      <c r="NI88" s="49"/>
      <c r="NJ88" s="49"/>
      <c r="NK88" s="49"/>
      <c r="NL88" s="49"/>
      <c r="NM88" s="49"/>
      <c r="NN88" s="49"/>
      <c r="NO88" s="49"/>
      <c r="NP88" s="49"/>
      <c r="NQ88" s="49"/>
      <c r="NR88" s="49"/>
      <c r="NS88" s="49"/>
      <c r="NT88" s="49"/>
      <c r="NU88" s="49"/>
      <c r="NV88" s="49"/>
      <c r="NW88" s="49"/>
      <c r="NX88" s="49"/>
      <c r="NY88" s="49"/>
      <c r="NZ88" s="49"/>
      <c r="OA88" s="49"/>
      <c r="OB88" s="49"/>
      <c r="OC88" s="49"/>
      <c r="OD88" s="49"/>
      <c r="OE88" s="49"/>
      <c r="OF88" s="49"/>
      <c r="OG88" s="49"/>
      <c r="OH88" s="49"/>
      <c r="OI88" s="49"/>
      <c r="OJ88" s="49"/>
      <c r="OK88" s="49"/>
      <c r="OL88" s="49"/>
      <c r="OM88" s="49"/>
      <c r="ON88" s="49"/>
      <c r="OO88" s="49"/>
      <c r="OP88" s="49"/>
      <c r="OQ88" s="49"/>
      <c r="OR88" s="49"/>
      <c r="OS88" s="49"/>
      <c r="OT88" s="49"/>
      <c r="OU88" s="49"/>
      <c r="OV88" s="49"/>
      <c r="OW88" s="49"/>
      <c r="OX88" s="49"/>
      <c r="OY88" s="49"/>
      <c r="OZ88" s="49"/>
      <c r="PA88" s="49"/>
      <c r="PB88" s="49"/>
      <c r="PC88" s="49"/>
      <c r="PD88" s="49"/>
      <c r="PE88" s="49"/>
      <c r="PF88" s="49"/>
      <c r="PG88" s="49"/>
      <c r="PH88" s="49"/>
      <c r="PI88" s="49"/>
      <c r="PJ88" s="49"/>
      <c r="PK88" s="49"/>
      <c r="PL88" s="49"/>
      <c r="PM88" s="49"/>
      <c r="PN88" s="49"/>
      <c r="PO88" s="49"/>
      <c r="PP88" s="49"/>
      <c r="PQ88" s="49"/>
      <c r="PR88" s="49"/>
      <c r="PS88" s="49"/>
      <c r="PT88" s="49"/>
      <c r="PU88" s="49"/>
      <c r="PV88" s="49"/>
      <c r="PW88" s="49"/>
      <c r="PX88" s="49"/>
      <c r="PY88" s="49"/>
      <c r="PZ88" s="49"/>
      <c r="QA88" s="49"/>
      <c r="QB88" s="49"/>
      <c r="QC88" s="49"/>
      <c r="QD88" s="49"/>
      <c r="QE88" s="49"/>
      <c r="QF88" s="49"/>
      <c r="QG88" s="49"/>
      <c r="QH88" s="49"/>
      <c r="QI88" s="49"/>
      <c r="QJ88" s="49"/>
      <c r="QK88" s="49"/>
      <c r="QL88" s="49"/>
      <c r="QM88" s="49"/>
      <c r="QN88" s="49"/>
      <c r="QO88" s="49"/>
      <c r="QP88" s="49"/>
      <c r="QQ88" s="49"/>
      <c r="QR88" s="49"/>
      <c r="QS88" s="49"/>
      <c r="QT88" s="49"/>
      <c r="QU88" s="49"/>
      <c r="QV88" s="49"/>
      <c r="QW88" s="49"/>
      <c r="QX88" s="49"/>
      <c r="QY88" s="49"/>
      <c r="QZ88" s="49"/>
      <c r="RA88" s="49"/>
      <c r="RB88" s="49"/>
      <c r="RC88" s="49"/>
      <c r="RD88" s="49"/>
      <c r="RE88" s="49"/>
      <c r="RF88" s="49"/>
      <c r="RG88" s="49"/>
      <c r="RH88" s="49"/>
      <c r="RI88" s="49"/>
      <c r="RJ88" s="49"/>
      <c r="RK88" s="49"/>
      <c r="RL88" s="49"/>
      <c r="RM88" s="49"/>
      <c r="RN88" s="49"/>
      <c r="RO88" s="49"/>
      <c r="RP88" s="49"/>
      <c r="RQ88" s="49"/>
      <c r="RR88" s="49"/>
      <c r="RS88" s="49"/>
      <c r="RT88" s="49"/>
      <c r="RU88" s="49"/>
      <c r="RV88" s="49"/>
      <c r="RW88" s="49"/>
      <c r="RX88" s="49"/>
      <c r="RY88" s="49"/>
      <c r="RZ88" s="49"/>
      <c r="SA88" s="49"/>
      <c r="SB88" s="49"/>
      <c r="SC88" s="49"/>
      <c r="SD88" s="49"/>
      <c r="SE88" s="49"/>
      <c r="SF88" s="49"/>
      <c r="SG88" s="49"/>
      <c r="SH88" s="49"/>
      <c r="SI88" s="49"/>
      <c r="SJ88" s="49"/>
      <c r="SK88" s="49"/>
      <c r="SL88" s="49"/>
      <c r="SM88" s="49"/>
      <c r="SN88" s="49"/>
      <c r="SO88" s="49"/>
      <c r="SP88" s="49"/>
      <c r="SQ88" s="49"/>
      <c r="SR88" s="49"/>
      <c r="SS88" s="49"/>
      <c r="ST88" s="49"/>
      <c r="SU88" s="49"/>
      <c r="SV88" s="49"/>
      <c r="SW88" s="49"/>
      <c r="SX88" s="49"/>
      <c r="SY88" s="49"/>
      <c r="SZ88" s="49"/>
      <c r="TA88" s="49"/>
      <c r="TB88" s="49"/>
      <c r="TC88" s="49"/>
      <c r="TD88" s="49"/>
      <c r="TE88" s="49"/>
      <c r="TF88" s="49"/>
      <c r="TG88" s="49"/>
      <c r="TH88" s="49"/>
      <c r="TI88" s="49"/>
      <c r="TJ88" s="49"/>
      <c r="TK88" s="49"/>
      <c r="TL88" s="49"/>
      <c r="TM88" s="49"/>
      <c r="TN88" s="49"/>
      <c r="TO88" s="49"/>
      <c r="TP88" s="49"/>
      <c r="TQ88" s="49"/>
      <c r="TR88" s="49"/>
      <c r="TS88" s="49"/>
      <c r="TT88" s="49"/>
      <c r="TU88" s="49"/>
      <c r="TV88" s="49"/>
      <c r="TW88" s="49"/>
      <c r="TX88" s="49"/>
      <c r="TY88" s="49"/>
      <c r="TZ88" s="49"/>
      <c r="UA88" s="49"/>
      <c r="UB88" s="49"/>
      <c r="UC88" s="49"/>
      <c r="UD88" s="49"/>
      <c r="UE88" s="49"/>
      <c r="UF88" s="49"/>
      <c r="UG88" s="49"/>
      <c r="UH88" s="49"/>
      <c r="UI88" s="49"/>
      <c r="UJ88" s="49"/>
      <c r="UK88" s="49"/>
      <c r="UL88" s="49"/>
      <c r="UM88" s="49"/>
      <c r="UN88" s="49"/>
      <c r="UO88" s="49"/>
      <c r="UP88" s="49"/>
      <c r="UQ88" s="49"/>
      <c r="UR88" s="49"/>
      <c r="US88" s="49"/>
      <c r="UT88" s="49"/>
      <c r="UU88" s="49"/>
      <c r="UV88" s="49"/>
      <c r="UW88" s="49"/>
      <c r="UX88" s="49"/>
      <c r="UY88" s="49"/>
      <c r="UZ88" s="49"/>
      <c r="VA88" s="49"/>
      <c r="VB88" s="49"/>
      <c r="VC88" s="49"/>
      <c r="VD88" s="49"/>
      <c r="VE88" s="49"/>
      <c r="VF88" s="49"/>
      <c r="VG88" s="49"/>
      <c r="VH88" s="49"/>
      <c r="VI88" s="49"/>
      <c r="VJ88" s="49"/>
      <c r="VK88" s="49"/>
      <c r="VL88" s="49"/>
      <c r="VM88" s="49"/>
      <c r="VN88" s="49"/>
      <c r="VO88" s="49"/>
      <c r="VP88" s="49"/>
      <c r="VQ88" s="49"/>
      <c r="VR88" s="49"/>
      <c r="VS88" s="49"/>
      <c r="VT88" s="49"/>
      <c r="VU88" s="49"/>
      <c r="VV88" s="49"/>
      <c r="VW88" s="49"/>
      <c r="VX88" s="49"/>
      <c r="VY88" s="49"/>
      <c r="VZ88" s="49"/>
      <c r="WA88" s="49"/>
      <c r="WB88" s="49"/>
      <c r="WC88" s="49"/>
      <c r="WD88" s="49"/>
      <c r="WE88" s="49"/>
      <c r="WF88" s="49"/>
      <c r="WG88" s="49"/>
      <c r="WH88" s="49"/>
      <c r="WI88" s="49"/>
      <c r="WJ88" s="49"/>
      <c r="WK88" s="49"/>
      <c r="WL88" s="49"/>
      <c r="WM88" s="49"/>
      <c r="WN88" s="49"/>
      <c r="WO88" s="49"/>
      <c r="WP88" s="49"/>
      <c r="WQ88" s="49"/>
      <c r="WR88" s="49"/>
      <c r="WS88" s="49"/>
      <c r="WT88" s="49"/>
      <c r="WU88" s="49"/>
      <c r="WV88" s="49"/>
      <c r="WW88" s="49"/>
      <c r="WX88" s="49"/>
      <c r="WY88" s="49"/>
      <c r="WZ88" s="49"/>
      <c r="XA88" s="49"/>
      <c r="XB88" s="49"/>
      <c r="XC88" s="49"/>
      <c r="XD88" s="49"/>
      <c r="XE88" s="49"/>
      <c r="XF88" s="49"/>
      <c r="XG88" s="49"/>
      <c r="XH88" s="49"/>
      <c r="XI88" s="49"/>
      <c r="XJ88" s="49"/>
      <c r="XK88" s="49"/>
      <c r="XL88" s="49"/>
      <c r="XM88" s="49"/>
      <c r="XN88" s="49"/>
      <c r="XO88" s="49"/>
      <c r="XP88" s="49"/>
      <c r="XQ88" s="49"/>
      <c r="XR88" s="49"/>
      <c r="XS88" s="49"/>
      <c r="XT88" s="49"/>
      <c r="XU88" s="49"/>
      <c r="XV88" s="49"/>
      <c r="XW88" s="49"/>
      <c r="XX88" s="49"/>
      <c r="XY88" s="49"/>
      <c r="XZ88" s="49"/>
      <c r="YA88" s="49"/>
      <c r="YB88" s="49"/>
      <c r="YC88" s="49"/>
      <c r="YD88" s="49"/>
      <c r="YE88" s="49"/>
      <c r="YF88" s="49"/>
      <c r="YG88" s="49"/>
      <c r="YH88" s="49"/>
      <c r="YI88" s="49"/>
      <c r="YJ88" s="49"/>
      <c r="YK88" s="49"/>
      <c r="YL88" s="49"/>
      <c r="YM88" s="49"/>
      <c r="YN88" s="49"/>
      <c r="YO88" s="49"/>
      <c r="YP88" s="49"/>
      <c r="YQ88" s="49"/>
      <c r="YR88" s="49"/>
      <c r="YS88" s="49"/>
      <c r="YT88" s="49"/>
      <c r="YU88" s="49"/>
      <c r="YV88" s="49"/>
      <c r="YW88" s="49"/>
      <c r="YX88" s="49"/>
      <c r="YY88" s="49"/>
      <c r="YZ88" s="49"/>
      <c r="ZA88" s="49"/>
      <c r="ZB88" s="49"/>
      <c r="ZC88" s="49"/>
      <c r="ZD88" s="49"/>
      <c r="ZE88" s="49"/>
      <c r="ZF88" s="49"/>
      <c r="ZG88" s="49"/>
      <c r="ZH88" s="49"/>
      <c r="ZI88" s="49"/>
      <c r="ZJ88" s="49"/>
      <c r="ZK88" s="49"/>
      <c r="ZL88" s="49"/>
      <c r="ZM88" s="49"/>
      <c r="ZN88" s="49"/>
      <c r="ZO88" s="49"/>
      <c r="ZP88" s="49"/>
      <c r="ZQ88" s="49"/>
      <c r="ZR88" s="49"/>
      <c r="ZS88" s="49"/>
      <c r="ZT88" s="49"/>
      <c r="ZU88" s="49"/>
      <c r="ZV88" s="49"/>
      <c r="ZW88" s="49"/>
      <c r="ZX88" s="49"/>
      <c r="ZY88" s="49"/>
      <c r="ZZ88" s="49"/>
      <c r="AAA88" s="49"/>
      <c r="AAB88" s="49"/>
      <c r="AAC88" s="49"/>
      <c r="AAD88" s="49"/>
      <c r="AAE88" s="49"/>
      <c r="AAF88" s="49"/>
      <c r="AAG88" s="49"/>
      <c r="AAH88" s="49"/>
      <c r="AAI88" s="49"/>
      <c r="AAJ88" s="49"/>
      <c r="AAK88" s="49"/>
      <c r="AAL88" s="49"/>
      <c r="AAM88" s="49"/>
      <c r="AAN88" s="49"/>
      <c r="AAO88" s="49"/>
      <c r="AAP88" s="49"/>
      <c r="AAQ88" s="49"/>
      <c r="AAR88" s="49"/>
      <c r="AAS88" s="49"/>
      <c r="AAT88" s="49"/>
      <c r="AAU88" s="49"/>
      <c r="AAV88" s="49"/>
      <c r="AAW88" s="49"/>
      <c r="AAX88" s="49"/>
      <c r="AAY88" s="49"/>
      <c r="AAZ88" s="49"/>
      <c r="ABA88" s="49"/>
      <c r="ABB88" s="49"/>
      <c r="ABC88" s="49"/>
      <c r="ABD88" s="49"/>
      <c r="ABE88" s="49"/>
      <c r="ABF88" s="49"/>
      <c r="ABG88" s="49"/>
      <c r="ABH88" s="49"/>
      <c r="ABI88" s="49"/>
      <c r="ABJ88" s="49"/>
      <c r="ABK88" s="49"/>
      <c r="ABL88" s="49"/>
      <c r="ABM88" s="49"/>
      <c r="ABN88" s="49"/>
      <c r="ABO88" s="49"/>
      <c r="ABP88" s="49"/>
      <c r="ABQ88" s="49"/>
      <c r="ABR88" s="49"/>
      <c r="ABS88" s="49"/>
      <c r="ABT88" s="49"/>
      <c r="ABU88" s="49"/>
      <c r="ABV88" s="49"/>
      <c r="ABW88" s="49"/>
      <c r="ABX88" s="49"/>
      <c r="ABY88" s="49"/>
      <c r="ABZ88" s="49"/>
      <c r="ACA88" s="49"/>
      <c r="ACB88" s="49"/>
      <c r="ACC88" s="49"/>
      <c r="ACD88" s="49"/>
      <c r="ACE88" s="49"/>
      <c r="ACF88" s="49"/>
      <c r="ACG88" s="49"/>
      <c r="ACH88" s="49"/>
      <c r="ACI88" s="49"/>
      <c r="ACJ88" s="49"/>
      <c r="ACK88" s="49"/>
      <c r="ACL88" s="49"/>
      <c r="ACM88" s="49"/>
      <c r="ACN88" s="49"/>
      <c r="ACO88" s="49"/>
      <c r="ACP88" s="49"/>
      <c r="ACQ88" s="49"/>
      <c r="ACR88" s="49"/>
      <c r="ACS88" s="49"/>
      <c r="ACT88" s="49"/>
      <c r="ACU88" s="49"/>
      <c r="ACV88" s="49"/>
      <c r="ACW88" s="49"/>
      <c r="ACX88" s="49"/>
      <c r="ACY88" s="49"/>
      <c r="ACZ88" s="49"/>
      <c r="ADA88" s="49"/>
      <c r="ADB88" s="49"/>
      <c r="ADC88" s="49"/>
      <c r="ADD88" s="49"/>
      <c r="ADE88" s="49"/>
      <c r="ADF88" s="49"/>
      <c r="ADG88" s="49"/>
      <c r="ADH88" s="49"/>
      <c r="ADI88" s="49"/>
      <c r="ADJ88" s="49"/>
      <c r="ADK88" s="49"/>
      <c r="ADL88" s="49"/>
      <c r="ADM88" s="49"/>
      <c r="ADN88" s="49"/>
      <c r="ADO88" s="49"/>
      <c r="ADP88" s="49"/>
      <c r="ADQ88" s="49"/>
      <c r="ADR88" s="49"/>
      <c r="ADS88" s="49"/>
      <c r="ADT88" s="49"/>
      <c r="ADU88" s="49"/>
      <c r="ADV88" s="49"/>
      <c r="ADW88" s="49"/>
      <c r="ADX88" s="49"/>
      <c r="ADY88" s="49"/>
      <c r="ADZ88" s="49"/>
      <c r="AEA88" s="49"/>
      <c r="AEB88" s="49"/>
      <c r="AEC88" s="49"/>
      <c r="AED88" s="49"/>
      <c r="AEE88" s="49"/>
      <c r="AEF88" s="49"/>
      <c r="AEG88" s="49"/>
      <c r="AEH88" s="49"/>
      <c r="AEI88" s="49"/>
      <c r="AEJ88" s="49"/>
      <c r="AEK88" s="49"/>
      <c r="AEL88" s="49"/>
      <c r="AEM88" s="49"/>
      <c r="AEN88" s="49"/>
      <c r="AEO88" s="49"/>
      <c r="AEP88" s="49"/>
      <c r="AEQ88" s="49"/>
      <c r="AER88" s="49"/>
      <c r="AES88" s="49"/>
      <c r="AET88" s="49"/>
      <c r="AEU88" s="49"/>
      <c r="AEV88" s="49"/>
      <c r="AEW88" s="49"/>
      <c r="AEX88" s="49"/>
      <c r="AEY88" s="49"/>
      <c r="AEZ88" s="49"/>
      <c r="AFA88" s="49"/>
      <c r="AFB88" s="49"/>
      <c r="AFC88" s="49"/>
      <c r="AFD88" s="49"/>
      <c r="AFE88" s="49"/>
      <c r="AFF88" s="49"/>
      <c r="AFG88" s="49"/>
      <c r="AFH88" s="49"/>
      <c r="AFI88" s="49"/>
      <c r="AFJ88" s="49"/>
      <c r="AFK88" s="49"/>
      <c r="AFL88" s="49"/>
      <c r="AFM88" s="49"/>
      <c r="AFN88" s="49"/>
      <c r="AFO88" s="49"/>
      <c r="AFP88" s="49"/>
      <c r="AFQ88" s="49"/>
      <c r="AFR88" s="49"/>
      <c r="AFS88" s="49"/>
      <c r="AFT88" s="49"/>
      <c r="AFU88" s="49"/>
      <c r="AFV88" s="49"/>
      <c r="AFW88" s="49"/>
      <c r="AFX88" s="49"/>
      <c r="AFY88" s="49"/>
      <c r="AFZ88" s="49"/>
      <c r="AGA88" s="49"/>
      <c r="AGB88" s="49"/>
      <c r="AGC88" s="49"/>
      <c r="AGD88" s="49"/>
      <c r="AGE88" s="49"/>
      <c r="AGF88" s="49"/>
      <c r="AGG88" s="49"/>
      <c r="AGH88" s="49"/>
      <c r="AGI88" s="49"/>
      <c r="AGJ88" s="49"/>
      <c r="AGK88" s="49"/>
      <c r="AGL88" s="49"/>
      <c r="AGM88" s="49"/>
      <c r="AGN88" s="49"/>
      <c r="AGO88" s="49"/>
      <c r="AGP88" s="49"/>
      <c r="AGQ88" s="49"/>
      <c r="AGR88" s="49"/>
      <c r="AGS88" s="49"/>
      <c r="AGT88" s="49"/>
      <c r="AGU88" s="49"/>
      <c r="AGV88" s="49"/>
      <c r="AGW88" s="49"/>
      <c r="AGX88" s="49"/>
      <c r="AGY88" s="49"/>
      <c r="AGZ88" s="49"/>
      <c r="AHA88" s="49"/>
      <c r="AHB88" s="49"/>
      <c r="AHC88" s="49"/>
      <c r="AHD88" s="49"/>
      <c r="AHE88" s="49"/>
      <c r="AHF88" s="49"/>
      <c r="AHG88" s="49"/>
      <c r="AHH88" s="49"/>
      <c r="AHI88" s="49"/>
      <c r="AHJ88" s="49"/>
      <c r="AHK88" s="49"/>
      <c r="AHL88" s="49"/>
      <c r="AHM88" s="49"/>
      <c r="AHN88" s="49"/>
      <c r="AHO88" s="49"/>
      <c r="AHP88" s="49"/>
      <c r="AHQ88" s="49"/>
      <c r="AHR88" s="49"/>
      <c r="AHS88" s="49"/>
      <c r="AHT88" s="49"/>
      <c r="AHU88" s="49"/>
      <c r="AHV88" s="49"/>
      <c r="AHW88" s="49"/>
      <c r="AHX88" s="49"/>
      <c r="AHY88" s="49"/>
      <c r="AHZ88" s="49"/>
      <c r="AIA88" s="49"/>
      <c r="AIB88" s="49"/>
      <c r="AIC88" s="49"/>
      <c r="AID88" s="49"/>
      <c r="AIE88" s="49"/>
      <c r="AIF88" s="49"/>
      <c r="AIG88" s="49"/>
      <c r="AIH88" s="49"/>
      <c r="AII88" s="49"/>
      <c r="AIJ88" s="49"/>
      <c r="AIK88" s="49"/>
      <c r="AIL88" s="49"/>
      <c r="AIM88" s="49"/>
      <c r="AIN88" s="49"/>
      <c r="AIO88" s="49"/>
      <c r="AIP88" s="49"/>
      <c r="AIQ88" s="49"/>
      <c r="AIR88" s="49"/>
      <c r="AIS88" s="49"/>
      <c r="AIT88" s="49"/>
      <c r="AIU88" s="49"/>
      <c r="AIV88" s="49"/>
      <c r="AIW88" s="49"/>
      <c r="AIX88" s="49"/>
      <c r="AIY88" s="49"/>
      <c r="AIZ88" s="49"/>
      <c r="AJA88" s="49"/>
      <c r="AJB88" s="49"/>
      <c r="AJC88" s="49"/>
      <c r="AJD88" s="49"/>
      <c r="AJE88" s="49"/>
      <c r="AJF88" s="49"/>
      <c r="AJG88" s="49"/>
      <c r="AJH88" s="49"/>
      <c r="AJI88" s="49"/>
      <c r="AJJ88" s="49"/>
      <c r="AJK88" s="49"/>
      <c r="AJL88" s="49"/>
      <c r="AJM88" s="49"/>
      <c r="AJN88" s="49"/>
      <c r="AJO88" s="49"/>
      <c r="AJP88" s="49"/>
      <c r="AJQ88" s="49"/>
      <c r="AJR88" s="49"/>
      <c r="AJS88" s="49"/>
      <c r="AJT88" s="49"/>
      <c r="AJU88" s="49"/>
      <c r="AJV88" s="49"/>
      <c r="AJW88" s="49"/>
      <c r="AJX88" s="49"/>
      <c r="AJY88" s="49"/>
      <c r="AJZ88" s="49"/>
      <c r="AKA88" s="49"/>
      <c r="AKB88" s="49"/>
      <c r="AKC88" s="49"/>
      <c r="AKD88" s="49"/>
      <c r="AKE88" s="49"/>
      <c r="AKF88" s="49"/>
      <c r="AKG88" s="49"/>
      <c r="AKH88" s="49"/>
      <c r="AKI88" s="49"/>
      <c r="AKJ88" s="49"/>
      <c r="AKK88" s="49"/>
      <c r="AKL88" s="49"/>
      <c r="AKM88" s="49"/>
      <c r="AKN88" s="49"/>
      <c r="AKO88" s="49"/>
      <c r="AKP88" s="49"/>
      <c r="AKQ88" s="49"/>
      <c r="AKR88" s="49"/>
      <c r="AKS88" s="49"/>
      <c r="AKT88" s="49"/>
      <c r="AKU88" s="49"/>
      <c r="AKV88" s="49"/>
      <c r="AKW88" s="49"/>
      <c r="AKX88" s="49"/>
      <c r="AKY88" s="49"/>
      <c r="AKZ88" s="49"/>
      <c r="ALA88" s="49"/>
      <c r="ALB88" s="49"/>
      <c r="ALC88" s="49"/>
      <c r="ALD88" s="49"/>
      <c r="ALE88" s="49"/>
      <c r="ALF88" s="49"/>
      <c r="ALG88" s="49"/>
      <c r="ALH88" s="49"/>
      <c r="ALI88" s="49"/>
      <c r="ALJ88" s="49"/>
      <c r="ALK88" s="49"/>
      <c r="ALL88" s="49"/>
      <c r="ALM88" s="49"/>
      <c r="ALN88" s="49"/>
      <c r="ALO88" s="49"/>
      <c r="ALP88" s="49"/>
      <c r="ALQ88" s="49"/>
      <c r="ALR88" s="49"/>
      <c r="ALS88" s="49"/>
      <c r="ALT88" s="49"/>
      <c r="ALU88" s="49"/>
      <c r="ALV88" s="49"/>
      <c r="ALW88" s="49"/>
      <c r="ALX88" s="49"/>
      <c r="ALY88" s="49"/>
      <c r="ALZ88" s="49"/>
      <c r="AMA88" s="49"/>
      <c r="AMB88" s="49"/>
      <c r="AMC88" s="49"/>
      <c r="AMD88" s="49"/>
      <c r="AME88" s="49"/>
      <c r="AMF88" s="49"/>
      <c r="AMG88" s="49"/>
      <c r="AMH88" s="49"/>
      <c r="AMI88" s="49"/>
      <c r="AMJ88" s="49"/>
    </row>
    <row r="89" spans="12:1024" ht="15.95" customHeight="1" x14ac:dyDescent="0.2">
      <c r="L89" s="49"/>
      <c r="M89" s="50"/>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49"/>
      <c r="EJ89" s="49"/>
      <c r="EK89" s="49"/>
      <c r="EL89" s="49"/>
      <c r="EM89" s="49"/>
      <c r="EN89" s="49"/>
      <c r="EO89" s="49"/>
      <c r="EP89" s="49"/>
      <c r="EQ89" s="49"/>
      <c r="ER89" s="49"/>
      <c r="ES89" s="49"/>
      <c r="ET89" s="49"/>
      <c r="EU89" s="49"/>
      <c r="EV89" s="49"/>
      <c r="EW89" s="49"/>
      <c r="EX89" s="49"/>
      <c r="EY89" s="49"/>
      <c r="EZ89" s="49"/>
      <c r="FA89" s="49"/>
      <c r="FB89" s="49"/>
      <c r="FC89" s="49"/>
      <c r="FD89" s="49"/>
      <c r="FE89" s="49"/>
      <c r="FF89" s="49"/>
      <c r="FG89" s="49"/>
      <c r="FH89" s="49"/>
      <c r="FI89" s="49"/>
      <c r="FJ89" s="49"/>
      <c r="FK89" s="49"/>
      <c r="FL89" s="49"/>
      <c r="FM89" s="49"/>
      <c r="FN89" s="49"/>
      <c r="FO89" s="49"/>
      <c r="FP89" s="49"/>
      <c r="FQ89" s="49"/>
      <c r="FR89" s="49"/>
      <c r="FS89" s="49"/>
      <c r="FT89" s="49"/>
      <c r="FU89" s="49"/>
      <c r="FV89" s="49"/>
      <c r="FW89" s="49"/>
      <c r="FX89" s="49"/>
      <c r="FY89" s="49"/>
      <c r="FZ89" s="49"/>
      <c r="GA89" s="49"/>
      <c r="GB89" s="49"/>
      <c r="GC89" s="49"/>
      <c r="GD89" s="49"/>
      <c r="GE89" s="49"/>
      <c r="GF89" s="49"/>
      <c r="GG89" s="49"/>
      <c r="GH89" s="49"/>
      <c r="GI89" s="49"/>
      <c r="GJ89" s="49"/>
      <c r="GK89" s="49"/>
      <c r="GL89" s="49"/>
      <c r="GM89" s="49"/>
      <c r="GN89" s="49"/>
      <c r="GO89" s="49"/>
      <c r="GP89" s="49"/>
      <c r="GQ89" s="49"/>
      <c r="GR89" s="49"/>
      <c r="GS89" s="49"/>
      <c r="GT89" s="49"/>
      <c r="GU89" s="49"/>
      <c r="GV89" s="49"/>
      <c r="GW89" s="49"/>
      <c r="GX89" s="49"/>
      <c r="GY89" s="49"/>
      <c r="GZ89" s="49"/>
      <c r="HA89" s="49"/>
      <c r="HB89" s="49"/>
      <c r="HC89" s="49"/>
      <c r="HD89" s="49"/>
      <c r="HE89" s="49"/>
      <c r="HF89" s="49"/>
      <c r="HG89" s="49"/>
      <c r="HH89" s="49"/>
      <c r="HI89" s="49"/>
      <c r="HJ89" s="49"/>
      <c r="HK89" s="49"/>
      <c r="HL89" s="49"/>
      <c r="HM89" s="49"/>
      <c r="HN89" s="49"/>
      <c r="HO89" s="49"/>
      <c r="HP89" s="49"/>
      <c r="HQ89" s="49"/>
      <c r="HR89" s="49"/>
      <c r="HS89" s="49"/>
      <c r="HT89" s="49"/>
      <c r="HU89" s="49"/>
      <c r="HV89" s="49"/>
      <c r="HW89" s="49"/>
      <c r="HX89" s="49"/>
      <c r="HY89" s="49"/>
      <c r="HZ89" s="49"/>
      <c r="IA89" s="49"/>
      <c r="IB89" s="49"/>
      <c r="IC89" s="49"/>
      <c r="ID89" s="49"/>
      <c r="IE89" s="49"/>
      <c r="IF89" s="49"/>
      <c r="IG89" s="49"/>
      <c r="IH89" s="49"/>
      <c r="II89" s="49"/>
      <c r="IJ89" s="49"/>
      <c r="IK89" s="49"/>
      <c r="IL89" s="49"/>
      <c r="IM89" s="49"/>
      <c r="IN89" s="49"/>
      <c r="IO89" s="49"/>
      <c r="IP89" s="49"/>
      <c r="IQ89" s="49"/>
      <c r="IR89" s="49"/>
      <c r="IS89" s="49"/>
      <c r="IT89" s="49"/>
      <c r="IU89" s="49"/>
      <c r="IV89" s="49"/>
      <c r="IW89" s="49"/>
      <c r="IX89" s="49"/>
      <c r="IY89" s="49"/>
      <c r="IZ89" s="49"/>
      <c r="JA89" s="49"/>
      <c r="JB89" s="49"/>
      <c r="JC89" s="49"/>
      <c r="JD89" s="49"/>
      <c r="JE89" s="49"/>
      <c r="JF89" s="49"/>
      <c r="JG89" s="49"/>
      <c r="JH89" s="49"/>
      <c r="JI89" s="49"/>
      <c r="JJ89" s="49"/>
      <c r="JK89" s="49"/>
      <c r="JL89" s="49"/>
      <c r="JM89" s="49"/>
      <c r="JN89" s="49"/>
      <c r="JO89" s="49"/>
      <c r="JP89" s="49"/>
      <c r="JQ89" s="49"/>
      <c r="JR89" s="49"/>
      <c r="JS89" s="49"/>
      <c r="JT89" s="49"/>
      <c r="JU89" s="49"/>
      <c r="JV89" s="49"/>
      <c r="JW89" s="49"/>
      <c r="JX89" s="49"/>
      <c r="JY89" s="49"/>
      <c r="JZ89" s="49"/>
      <c r="KA89" s="49"/>
      <c r="KB89" s="49"/>
      <c r="KC89" s="49"/>
      <c r="KD89" s="49"/>
      <c r="KE89" s="49"/>
      <c r="KF89" s="49"/>
      <c r="KG89" s="49"/>
      <c r="KH89" s="49"/>
      <c r="KI89" s="49"/>
      <c r="KJ89" s="49"/>
      <c r="KK89" s="49"/>
      <c r="KL89" s="49"/>
      <c r="KM89" s="49"/>
      <c r="KN89" s="49"/>
      <c r="KO89" s="49"/>
      <c r="KP89" s="49"/>
      <c r="KQ89" s="49"/>
      <c r="KR89" s="49"/>
      <c r="KS89" s="49"/>
      <c r="KT89" s="49"/>
      <c r="KU89" s="49"/>
      <c r="KV89" s="49"/>
      <c r="KW89" s="49"/>
      <c r="KX89" s="49"/>
      <c r="KY89" s="49"/>
      <c r="KZ89" s="49"/>
      <c r="LA89" s="49"/>
      <c r="LB89" s="49"/>
      <c r="LC89" s="49"/>
      <c r="LD89" s="49"/>
      <c r="LE89" s="49"/>
      <c r="LF89" s="49"/>
      <c r="LG89" s="49"/>
      <c r="LH89" s="49"/>
      <c r="LI89" s="49"/>
      <c r="LJ89" s="49"/>
      <c r="LK89" s="49"/>
      <c r="LL89" s="49"/>
      <c r="LM89" s="49"/>
      <c r="LN89" s="49"/>
      <c r="LO89" s="49"/>
      <c r="LP89" s="49"/>
      <c r="LQ89" s="49"/>
      <c r="LR89" s="49"/>
      <c r="LS89" s="49"/>
      <c r="LT89" s="49"/>
      <c r="LU89" s="49"/>
      <c r="LV89" s="49"/>
      <c r="LW89" s="49"/>
      <c r="LX89" s="49"/>
      <c r="LY89" s="49"/>
      <c r="LZ89" s="49"/>
      <c r="MA89" s="49"/>
      <c r="MB89" s="49"/>
      <c r="MC89" s="49"/>
      <c r="MD89" s="49"/>
      <c r="ME89" s="49"/>
      <c r="MF89" s="49"/>
      <c r="MG89" s="49"/>
      <c r="MH89" s="49"/>
      <c r="MI89" s="49"/>
      <c r="MJ89" s="49"/>
      <c r="MK89" s="49"/>
      <c r="ML89" s="49"/>
      <c r="MM89" s="49"/>
      <c r="MN89" s="49"/>
      <c r="MO89" s="49"/>
      <c r="MP89" s="49"/>
      <c r="MQ89" s="49"/>
      <c r="MR89" s="49"/>
      <c r="MS89" s="49"/>
      <c r="MT89" s="49"/>
      <c r="MU89" s="49"/>
      <c r="MV89" s="49"/>
      <c r="MW89" s="49"/>
      <c r="MX89" s="49"/>
      <c r="MY89" s="49"/>
      <c r="MZ89" s="49"/>
      <c r="NA89" s="49"/>
      <c r="NB89" s="49"/>
      <c r="NC89" s="49"/>
      <c r="ND89" s="49"/>
      <c r="NE89" s="49"/>
      <c r="NF89" s="49"/>
      <c r="NG89" s="49"/>
      <c r="NH89" s="49"/>
      <c r="NI89" s="49"/>
      <c r="NJ89" s="49"/>
      <c r="NK89" s="49"/>
      <c r="NL89" s="49"/>
      <c r="NM89" s="49"/>
      <c r="NN89" s="49"/>
      <c r="NO89" s="49"/>
      <c r="NP89" s="49"/>
      <c r="NQ89" s="49"/>
      <c r="NR89" s="49"/>
      <c r="NS89" s="49"/>
      <c r="NT89" s="49"/>
      <c r="NU89" s="49"/>
      <c r="NV89" s="49"/>
      <c r="NW89" s="49"/>
      <c r="NX89" s="49"/>
      <c r="NY89" s="49"/>
      <c r="NZ89" s="49"/>
      <c r="OA89" s="49"/>
      <c r="OB89" s="49"/>
      <c r="OC89" s="49"/>
      <c r="OD89" s="49"/>
      <c r="OE89" s="49"/>
      <c r="OF89" s="49"/>
      <c r="OG89" s="49"/>
      <c r="OH89" s="49"/>
      <c r="OI89" s="49"/>
      <c r="OJ89" s="49"/>
      <c r="OK89" s="49"/>
      <c r="OL89" s="49"/>
      <c r="OM89" s="49"/>
      <c r="ON89" s="49"/>
      <c r="OO89" s="49"/>
      <c r="OP89" s="49"/>
      <c r="OQ89" s="49"/>
      <c r="OR89" s="49"/>
      <c r="OS89" s="49"/>
      <c r="OT89" s="49"/>
      <c r="OU89" s="49"/>
      <c r="OV89" s="49"/>
      <c r="OW89" s="49"/>
      <c r="OX89" s="49"/>
      <c r="OY89" s="49"/>
      <c r="OZ89" s="49"/>
      <c r="PA89" s="49"/>
      <c r="PB89" s="49"/>
      <c r="PC89" s="49"/>
      <c r="PD89" s="49"/>
      <c r="PE89" s="49"/>
      <c r="PF89" s="49"/>
      <c r="PG89" s="49"/>
      <c r="PH89" s="49"/>
      <c r="PI89" s="49"/>
      <c r="PJ89" s="49"/>
      <c r="PK89" s="49"/>
      <c r="PL89" s="49"/>
      <c r="PM89" s="49"/>
      <c r="PN89" s="49"/>
      <c r="PO89" s="49"/>
      <c r="PP89" s="49"/>
      <c r="PQ89" s="49"/>
      <c r="PR89" s="49"/>
      <c r="PS89" s="49"/>
      <c r="PT89" s="49"/>
      <c r="PU89" s="49"/>
      <c r="PV89" s="49"/>
      <c r="PW89" s="49"/>
      <c r="PX89" s="49"/>
      <c r="PY89" s="49"/>
      <c r="PZ89" s="49"/>
      <c r="QA89" s="49"/>
      <c r="QB89" s="49"/>
      <c r="QC89" s="49"/>
      <c r="QD89" s="49"/>
      <c r="QE89" s="49"/>
      <c r="QF89" s="49"/>
      <c r="QG89" s="49"/>
      <c r="QH89" s="49"/>
      <c r="QI89" s="49"/>
      <c r="QJ89" s="49"/>
      <c r="QK89" s="49"/>
      <c r="QL89" s="49"/>
      <c r="QM89" s="49"/>
      <c r="QN89" s="49"/>
      <c r="QO89" s="49"/>
      <c r="QP89" s="49"/>
      <c r="QQ89" s="49"/>
      <c r="QR89" s="49"/>
      <c r="QS89" s="49"/>
      <c r="QT89" s="49"/>
      <c r="QU89" s="49"/>
      <c r="QV89" s="49"/>
      <c r="QW89" s="49"/>
      <c r="QX89" s="49"/>
      <c r="QY89" s="49"/>
      <c r="QZ89" s="49"/>
      <c r="RA89" s="49"/>
      <c r="RB89" s="49"/>
      <c r="RC89" s="49"/>
      <c r="RD89" s="49"/>
      <c r="RE89" s="49"/>
      <c r="RF89" s="49"/>
      <c r="RG89" s="49"/>
      <c r="RH89" s="49"/>
      <c r="RI89" s="49"/>
      <c r="RJ89" s="49"/>
      <c r="RK89" s="49"/>
      <c r="RL89" s="49"/>
      <c r="RM89" s="49"/>
      <c r="RN89" s="49"/>
      <c r="RO89" s="49"/>
      <c r="RP89" s="49"/>
      <c r="RQ89" s="49"/>
      <c r="RR89" s="49"/>
      <c r="RS89" s="49"/>
      <c r="RT89" s="49"/>
      <c r="RU89" s="49"/>
      <c r="RV89" s="49"/>
      <c r="RW89" s="49"/>
      <c r="RX89" s="49"/>
      <c r="RY89" s="49"/>
      <c r="RZ89" s="49"/>
      <c r="SA89" s="49"/>
      <c r="SB89" s="49"/>
      <c r="SC89" s="49"/>
      <c r="SD89" s="49"/>
      <c r="SE89" s="49"/>
      <c r="SF89" s="49"/>
      <c r="SG89" s="49"/>
      <c r="SH89" s="49"/>
      <c r="SI89" s="49"/>
      <c r="SJ89" s="49"/>
      <c r="SK89" s="49"/>
      <c r="SL89" s="49"/>
      <c r="SM89" s="49"/>
      <c r="SN89" s="49"/>
      <c r="SO89" s="49"/>
      <c r="SP89" s="49"/>
      <c r="SQ89" s="49"/>
      <c r="SR89" s="49"/>
      <c r="SS89" s="49"/>
      <c r="ST89" s="49"/>
      <c r="SU89" s="49"/>
      <c r="SV89" s="49"/>
      <c r="SW89" s="49"/>
      <c r="SX89" s="49"/>
      <c r="SY89" s="49"/>
      <c r="SZ89" s="49"/>
      <c r="TA89" s="49"/>
      <c r="TB89" s="49"/>
      <c r="TC89" s="49"/>
      <c r="TD89" s="49"/>
      <c r="TE89" s="49"/>
      <c r="TF89" s="49"/>
      <c r="TG89" s="49"/>
      <c r="TH89" s="49"/>
      <c r="TI89" s="49"/>
      <c r="TJ89" s="49"/>
      <c r="TK89" s="49"/>
      <c r="TL89" s="49"/>
      <c r="TM89" s="49"/>
      <c r="TN89" s="49"/>
      <c r="TO89" s="49"/>
      <c r="TP89" s="49"/>
      <c r="TQ89" s="49"/>
      <c r="TR89" s="49"/>
      <c r="TS89" s="49"/>
      <c r="TT89" s="49"/>
      <c r="TU89" s="49"/>
      <c r="TV89" s="49"/>
      <c r="TW89" s="49"/>
      <c r="TX89" s="49"/>
      <c r="TY89" s="49"/>
      <c r="TZ89" s="49"/>
      <c r="UA89" s="49"/>
      <c r="UB89" s="49"/>
      <c r="UC89" s="49"/>
      <c r="UD89" s="49"/>
      <c r="UE89" s="49"/>
      <c r="UF89" s="49"/>
      <c r="UG89" s="49"/>
      <c r="UH89" s="49"/>
      <c r="UI89" s="49"/>
      <c r="UJ89" s="49"/>
      <c r="UK89" s="49"/>
      <c r="UL89" s="49"/>
      <c r="UM89" s="49"/>
      <c r="UN89" s="49"/>
      <c r="UO89" s="49"/>
      <c r="UP89" s="49"/>
      <c r="UQ89" s="49"/>
      <c r="UR89" s="49"/>
      <c r="US89" s="49"/>
      <c r="UT89" s="49"/>
      <c r="UU89" s="49"/>
      <c r="UV89" s="49"/>
      <c r="UW89" s="49"/>
      <c r="UX89" s="49"/>
      <c r="UY89" s="49"/>
      <c r="UZ89" s="49"/>
      <c r="VA89" s="49"/>
      <c r="VB89" s="49"/>
      <c r="VC89" s="49"/>
      <c r="VD89" s="49"/>
      <c r="VE89" s="49"/>
      <c r="VF89" s="49"/>
      <c r="VG89" s="49"/>
      <c r="VH89" s="49"/>
      <c r="VI89" s="49"/>
      <c r="VJ89" s="49"/>
      <c r="VK89" s="49"/>
      <c r="VL89" s="49"/>
      <c r="VM89" s="49"/>
      <c r="VN89" s="49"/>
      <c r="VO89" s="49"/>
      <c r="VP89" s="49"/>
      <c r="VQ89" s="49"/>
      <c r="VR89" s="49"/>
      <c r="VS89" s="49"/>
      <c r="VT89" s="49"/>
      <c r="VU89" s="49"/>
      <c r="VV89" s="49"/>
      <c r="VW89" s="49"/>
      <c r="VX89" s="49"/>
      <c r="VY89" s="49"/>
      <c r="VZ89" s="49"/>
      <c r="WA89" s="49"/>
      <c r="WB89" s="49"/>
      <c r="WC89" s="49"/>
      <c r="WD89" s="49"/>
      <c r="WE89" s="49"/>
      <c r="WF89" s="49"/>
      <c r="WG89" s="49"/>
      <c r="WH89" s="49"/>
      <c r="WI89" s="49"/>
      <c r="WJ89" s="49"/>
      <c r="WK89" s="49"/>
      <c r="WL89" s="49"/>
      <c r="WM89" s="49"/>
      <c r="WN89" s="49"/>
      <c r="WO89" s="49"/>
      <c r="WP89" s="49"/>
      <c r="WQ89" s="49"/>
      <c r="WR89" s="49"/>
      <c r="WS89" s="49"/>
      <c r="WT89" s="49"/>
      <c r="WU89" s="49"/>
      <c r="WV89" s="49"/>
      <c r="WW89" s="49"/>
      <c r="WX89" s="49"/>
      <c r="WY89" s="49"/>
      <c r="WZ89" s="49"/>
      <c r="XA89" s="49"/>
      <c r="XB89" s="49"/>
      <c r="XC89" s="49"/>
      <c r="XD89" s="49"/>
      <c r="XE89" s="49"/>
      <c r="XF89" s="49"/>
      <c r="XG89" s="49"/>
      <c r="XH89" s="49"/>
      <c r="XI89" s="49"/>
      <c r="XJ89" s="49"/>
      <c r="XK89" s="49"/>
      <c r="XL89" s="49"/>
      <c r="XM89" s="49"/>
      <c r="XN89" s="49"/>
      <c r="XO89" s="49"/>
      <c r="XP89" s="49"/>
      <c r="XQ89" s="49"/>
      <c r="XR89" s="49"/>
      <c r="XS89" s="49"/>
      <c r="XT89" s="49"/>
      <c r="XU89" s="49"/>
      <c r="XV89" s="49"/>
      <c r="XW89" s="49"/>
      <c r="XX89" s="49"/>
      <c r="XY89" s="49"/>
      <c r="XZ89" s="49"/>
      <c r="YA89" s="49"/>
      <c r="YB89" s="49"/>
      <c r="YC89" s="49"/>
      <c r="YD89" s="49"/>
      <c r="YE89" s="49"/>
      <c r="YF89" s="49"/>
      <c r="YG89" s="49"/>
      <c r="YH89" s="49"/>
      <c r="YI89" s="49"/>
      <c r="YJ89" s="49"/>
      <c r="YK89" s="49"/>
      <c r="YL89" s="49"/>
      <c r="YM89" s="49"/>
      <c r="YN89" s="49"/>
      <c r="YO89" s="49"/>
      <c r="YP89" s="49"/>
      <c r="YQ89" s="49"/>
      <c r="YR89" s="49"/>
      <c r="YS89" s="49"/>
      <c r="YT89" s="49"/>
      <c r="YU89" s="49"/>
      <c r="YV89" s="49"/>
      <c r="YW89" s="49"/>
      <c r="YX89" s="49"/>
      <c r="YY89" s="49"/>
      <c r="YZ89" s="49"/>
      <c r="ZA89" s="49"/>
      <c r="ZB89" s="49"/>
      <c r="ZC89" s="49"/>
      <c r="ZD89" s="49"/>
      <c r="ZE89" s="49"/>
      <c r="ZF89" s="49"/>
      <c r="ZG89" s="49"/>
      <c r="ZH89" s="49"/>
      <c r="ZI89" s="49"/>
      <c r="ZJ89" s="49"/>
      <c r="ZK89" s="49"/>
      <c r="ZL89" s="49"/>
      <c r="ZM89" s="49"/>
      <c r="ZN89" s="49"/>
      <c r="ZO89" s="49"/>
      <c r="ZP89" s="49"/>
      <c r="ZQ89" s="49"/>
      <c r="ZR89" s="49"/>
      <c r="ZS89" s="49"/>
      <c r="ZT89" s="49"/>
      <c r="ZU89" s="49"/>
      <c r="ZV89" s="49"/>
      <c r="ZW89" s="49"/>
      <c r="ZX89" s="49"/>
      <c r="ZY89" s="49"/>
      <c r="ZZ89" s="49"/>
      <c r="AAA89" s="49"/>
      <c r="AAB89" s="49"/>
      <c r="AAC89" s="49"/>
      <c r="AAD89" s="49"/>
      <c r="AAE89" s="49"/>
      <c r="AAF89" s="49"/>
      <c r="AAG89" s="49"/>
      <c r="AAH89" s="49"/>
      <c r="AAI89" s="49"/>
      <c r="AAJ89" s="49"/>
      <c r="AAK89" s="49"/>
      <c r="AAL89" s="49"/>
      <c r="AAM89" s="49"/>
      <c r="AAN89" s="49"/>
      <c r="AAO89" s="49"/>
      <c r="AAP89" s="49"/>
      <c r="AAQ89" s="49"/>
      <c r="AAR89" s="49"/>
      <c r="AAS89" s="49"/>
      <c r="AAT89" s="49"/>
      <c r="AAU89" s="49"/>
      <c r="AAV89" s="49"/>
      <c r="AAW89" s="49"/>
      <c r="AAX89" s="49"/>
      <c r="AAY89" s="49"/>
      <c r="AAZ89" s="49"/>
      <c r="ABA89" s="49"/>
      <c r="ABB89" s="49"/>
      <c r="ABC89" s="49"/>
      <c r="ABD89" s="49"/>
      <c r="ABE89" s="49"/>
      <c r="ABF89" s="49"/>
      <c r="ABG89" s="49"/>
      <c r="ABH89" s="49"/>
      <c r="ABI89" s="49"/>
      <c r="ABJ89" s="49"/>
      <c r="ABK89" s="49"/>
      <c r="ABL89" s="49"/>
      <c r="ABM89" s="49"/>
      <c r="ABN89" s="49"/>
      <c r="ABO89" s="49"/>
      <c r="ABP89" s="49"/>
      <c r="ABQ89" s="49"/>
      <c r="ABR89" s="49"/>
      <c r="ABS89" s="49"/>
      <c r="ABT89" s="49"/>
      <c r="ABU89" s="49"/>
      <c r="ABV89" s="49"/>
      <c r="ABW89" s="49"/>
      <c r="ABX89" s="49"/>
      <c r="ABY89" s="49"/>
      <c r="ABZ89" s="49"/>
      <c r="ACA89" s="49"/>
      <c r="ACB89" s="49"/>
      <c r="ACC89" s="49"/>
      <c r="ACD89" s="49"/>
      <c r="ACE89" s="49"/>
      <c r="ACF89" s="49"/>
      <c r="ACG89" s="49"/>
      <c r="ACH89" s="49"/>
      <c r="ACI89" s="49"/>
      <c r="ACJ89" s="49"/>
      <c r="ACK89" s="49"/>
      <c r="ACL89" s="49"/>
      <c r="ACM89" s="49"/>
      <c r="ACN89" s="49"/>
      <c r="ACO89" s="49"/>
      <c r="ACP89" s="49"/>
      <c r="ACQ89" s="49"/>
      <c r="ACR89" s="49"/>
      <c r="ACS89" s="49"/>
      <c r="ACT89" s="49"/>
      <c r="ACU89" s="49"/>
      <c r="ACV89" s="49"/>
      <c r="ACW89" s="49"/>
      <c r="ACX89" s="49"/>
      <c r="ACY89" s="49"/>
      <c r="ACZ89" s="49"/>
      <c r="ADA89" s="49"/>
      <c r="ADB89" s="49"/>
      <c r="ADC89" s="49"/>
      <c r="ADD89" s="49"/>
      <c r="ADE89" s="49"/>
      <c r="ADF89" s="49"/>
      <c r="ADG89" s="49"/>
      <c r="ADH89" s="49"/>
      <c r="ADI89" s="49"/>
      <c r="ADJ89" s="49"/>
      <c r="ADK89" s="49"/>
      <c r="ADL89" s="49"/>
      <c r="ADM89" s="49"/>
      <c r="ADN89" s="49"/>
      <c r="ADO89" s="49"/>
      <c r="ADP89" s="49"/>
      <c r="ADQ89" s="49"/>
      <c r="ADR89" s="49"/>
      <c r="ADS89" s="49"/>
      <c r="ADT89" s="49"/>
      <c r="ADU89" s="49"/>
      <c r="ADV89" s="49"/>
      <c r="ADW89" s="49"/>
      <c r="ADX89" s="49"/>
      <c r="ADY89" s="49"/>
      <c r="ADZ89" s="49"/>
      <c r="AEA89" s="49"/>
      <c r="AEB89" s="49"/>
      <c r="AEC89" s="49"/>
      <c r="AED89" s="49"/>
      <c r="AEE89" s="49"/>
      <c r="AEF89" s="49"/>
      <c r="AEG89" s="49"/>
      <c r="AEH89" s="49"/>
      <c r="AEI89" s="49"/>
      <c r="AEJ89" s="49"/>
      <c r="AEK89" s="49"/>
      <c r="AEL89" s="49"/>
      <c r="AEM89" s="49"/>
      <c r="AEN89" s="49"/>
      <c r="AEO89" s="49"/>
      <c r="AEP89" s="49"/>
      <c r="AEQ89" s="49"/>
      <c r="AER89" s="49"/>
      <c r="AES89" s="49"/>
      <c r="AET89" s="49"/>
      <c r="AEU89" s="49"/>
      <c r="AEV89" s="49"/>
      <c r="AEW89" s="49"/>
      <c r="AEX89" s="49"/>
      <c r="AEY89" s="49"/>
      <c r="AEZ89" s="49"/>
      <c r="AFA89" s="49"/>
      <c r="AFB89" s="49"/>
      <c r="AFC89" s="49"/>
      <c r="AFD89" s="49"/>
      <c r="AFE89" s="49"/>
      <c r="AFF89" s="49"/>
      <c r="AFG89" s="49"/>
      <c r="AFH89" s="49"/>
      <c r="AFI89" s="49"/>
      <c r="AFJ89" s="49"/>
      <c r="AFK89" s="49"/>
      <c r="AFL89" s="49"/>
      <c r="AFM89" s="49"/>
      <c r="AFN89" s="49"/>
      <c r="AFO89" s="49"/>
      <c r="AFP89" s="49"/>
      <c r="AFQ89" s="49"/>
      <c r="AFR89" s="49"/>
      <c r="AFS89" s="49"/>
      <c r="AFT89" s="49"/>
      <c r="AFU89" s="49"/>
      <c r="AFV89" s="49"/>
      <c r="AFW89" s="49"/>
      <c r="AFX89" s="49"/>
      <c r="AFY89" s="49"/>
      <c r="AFZ89" s="49"/>
      <c r="AGA89" s="49"/>
      <c r="AGB89" s="49"/>
      <c r="AGC89" s="49"/>
      <c r="AGD89" s="49"/>
      <c r="AGE89" s="49"/>
      <c r="AGF89" s="49"/>
      <c r="AGG89" s="49"/>
      <c r="AGH89" s="49"/>
      <c r="AGI89" s="49"/>
      <c r="AGJ89" s="49"/>
      <c r="AGK89" s="49"/>
      <c r="AGL89" s="49"/>
      <c r="AGM89" s="49"/>
      <c r="AGN89" s="49"/>
      <c r="AGO89" s="49"/>
      <c r="AGP89" s="49"/>
      <c r="AGQ89" s="49"/>
      <c r="AGR89" s="49"/>
      <c r="AGS89" s="49"/>
      <c r="AGT89" s="49"/>
      <c r="AGU89" s="49"/>
      <c r="AGV89" s="49"/>
      <c r="AGW89" s="49"/>
      <c r="AGX89" s="49"/>
      <c r="AGY89" s="49"/>
      <c r="AGZ89" s="49"/>
      <c r="AHA89" s="49"/>
      <c r="AHB89" s="49"/>
      <c r="AHC89" s="49"/>
      <c r="AHD89" s="49"/>
      <c r="AHE89" s="49"/>
      <c r="AHF89" s="49"/>
      <c r="AHG89" s="49"/>
      <c r="AHH89" s="49"/>
      <c r="AHI89" s="49"/>
      <c r="AHJ89" s="49"/>
      <c r="AHK89" s="49"/>
      <c r="AHL89" s="49"/>
      <c r="AHM89" s="49"/>
      <c r="AHN89" s="49"/>
      <c r="AHO89" s="49"/>
      <c r="AHP89" s="49"/>
      <c r="AHQ89" s="49"/>
      <c r="AHR89" s="49"/>
      <c r="AHS89" s="49"/>
      <c r="AHT89" s="49"/>
      <c r="AHU89" s="49"/>
      <c r="AHV89" s="49"/>
      <c r="AHW89" s="49"/>
      <c r="AHX89" s="49"/>
      <c r="AHY89" s="49"/>
      <c r="AHZ89" s="49"/>
      <c r="AIA89" s="49"/>
      <c r="AIB89" s="49"/>
      <c r="AIC89" s="49"/>
      <c r="AID89" s="49"/>
      <c r="AIE89" s="49"/>
      <c r="AIF89" s="49"/>
      <c r="AIG89" s="49"/>
      <c r="AIH89" s="49"/>
      <c r="AII89" s="49"/>
      <c r="AIJ89" s="49"/>
      <c r="AIK89" s="49"/>
      <c r="AIL89" s="49"/>
      <c r="AIM89" s="49"/>
      <c r="AIN89" s="49"/>
      <c r="AIO89" s="49"/>
      <c r="AIP89" s="49"/>
      <c r="AIQ89" s="49"/>
      <c r="AIR89" s="49"/>
      <c r="AIS89" s="49"/>
      <c r="AIT89" s="49"/>
      <c r="AIU89" s="49"/>
      <c r="AIV89" s="49"/>
      <c r="AIW89" s="49"/>
      <c r="AIX89" s="49"/>
      <c r="AIY89" s="49"/>
      <c r="AIZ89" s="49"/>
      <c r="AJA89" s="49"/>
      <c r="AJB89" s="49"/>
      <c r="AJC89" s="49"/>
      <c r="AJD89" s="49"/>
      <c r="AJE89" s="49"/>
      <c r="AJF89" s="49"/>
      <c r="AJG89" s="49"/>
      <c r="AJH89" s="49"/>
      <c r="AJI89" s="49"/>
      <c r="AJJ89" s="49"/>
      <c r="AJK89" s="49"/>
      <c r="AJL89" s="49"/>
      <c r="AJM89" s="49"/>
      <c r="AJN89" s="49"/>
      <c r="AJO89" s="49"/>
      <c r="AJP89" s="49"/>
      <c r="AJQ89" s="49"/>
      <c r="AJR89" s="49"/>
      <c r="AJS89" s="49"/>
      <c r="AJT89" s="49"/>
      <c r="AJU89" s="49"/>
      <c r="AJV89" s="49"/>
      <c r="AJW89" s="49"/>
      <c r="AJX89" s="49"/>
      <c r="AJY89" s="49"/>
      <c r="AJZ89" s="49"/>
      <c r="AKA89" s="49"/>
      <c r="AKB89" s="49"/>
      <c r="AKC89" s="49"/>
      <c r="AKD89" s="49"/>
      <c r="AKE89" s="49"/>
      <c r="AKF89" s="49"/>
      <c r="AKG89" s="49"/>
      <c r="AKH89" s="49"/>
      <c r="AKI89" s="49"/>
      <c r="AKJ89" s="49"/>
      <c r="AKK89" s="49"/>
      <c r="AKL89" s="49"/>
      <c r="AKM89" s="49"/>
      <c r="AKN89" s="49"/>
      <c r="AKO89" s="49"/>
      <c r="AKP89" s="49"/>
      <c r="AKQ89" s="49"/>
      <c r="AKR89" s="49"/>
      <c r="AKS89" s="49"/>
      <c r="AKT89" s="49"/>
      <c r="AKU89" s="49"/>
      <c r="AKV89" s="49"/>
      <c r="AKW89" s="49"/>
      <c r="AKX89" s="49"/>
      <c r="AKY89" s="49"/>
      <c r="AKZ89" s="49"/>
      <c r="ALA89" s="49"/>
      <c r="ALB89" s="49"/>
      <c r="ALC89" s="49"/>
      <c r="ALD89" s="49"/>
      <c r="ALE89" s="49"/>
      <c r="ALF89" s="49"/>
      <c r="ALG89" s="49"/>
      <c r="ALH89" s="49"/>
      <c r="ALI89" s="49"/>
      <c r="ALJ89" s="49"/>
      <c r="ALK89" s="49"/>
      <c r="ALL89" s="49"/>
      <c r="ALM89" s="49"/>
      <c r="ALN89" s="49"/>
      <c r="ALO89" s="49"/>
      <c r="ALP89" s="49"/>
      <c r="ALQ89" s="49"/>
      <c r="ALR89" s="49"/>
      <c r="ALS89" s="49"/>
      <c r="ALT89" s="49"/>
      <c r="ALU89" s="49"/>
      <c r="ALV89" s="49"/>
      <c r="ALW89" s="49"/>
      <c r="ALX89" s="49"/>
      <c r="ALY89" s="49"/>
      <c r="ALZ89" s="49"/>
      <c r="AMA89" s="49"/>
      <c r="AMB89" s="49"/>
      <c r="AMC89" s="49"/>
      <c r="AMD89" s="49"/>
      <c r="AME89" s="49"/>
      <c r="AMF89" s="49"/>
      <c r="AMG89" s="49"/>
      <c r="AMH89" s="49"/>
      <c r="AMI89" s="49"/>
      <c r="AMJ89" s="49"/>
    </row>
    <row r="90" spans="12:1024" ht="15.95" customHeight="1" x14ac:dyDescent="0.2">
      <c r="L90" s="49"/>
      <c r="M90" s="50"/>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49"/>
      <c r="EO90" s="49"/>
      <c r="EP90" s="49"/>
      <c r="EQ90" s="49"/>
      <c r="ER90" s="49"/>
      <c r="ES90" s="49"/>
      <c r="ET90" s="49"/>
      <c r="EU90" s="49"/>
      <c r="EV90" s="49"/>
      <c r="EW90" s="49"/>
      <c r="EX90" s="49"/>
      <c r="EY90" s="49"/>
      <c r="EZ90" s="49"/>
      <c r="FA90" s="49"/>
      <c r="FB90" s="49"/>
      <c r="FC90" s="49"/>
      <c r="FD90" s="49"/>
      <c r="FE90" s="49"/>
      <c r="FF90" s="49"/>
      <c r="FG90" s="49"/>
      <c r="FH90" s="49"/>
      <c r="FI90" s="49"/>
      <c r="FJ90" s="49"/>
      <c r="FK90" s="49"/>
      <c r="FL90" s="49"/>
      <c r="FM90" s="49"/>
      <c r="FN90" s="49"/>
      <c r="FO90" s="49"/>
      <c r="FP90" s="49"/>
      <c r="FQ90" s="49"/>
      <c r="FR90" s="49"/>
      <c r="FS90" s="49"/>
      <c r="FT90" s="49"/>
      <c r="FU90" s="49"/>
      <c r="FV90" s="49"/>
      <c r="FW90" s="49"/>
      <c r="FX90" s="49"/>
      <c r="FY90" s="49"/>
      <c r="FZ90" s="49"/>
      <c r="GA90" s="49"/>
      <c r="GB90" s="49"/>
      <c r="GC90" s="49"/>
      <c r="GD90" s="49"/>
      <c r="GE90" s="49"/>
      <c r="GF90" s="49"/>
      <c r="GG90" s="49"/>
      <c r="GH90" s="49"/>
      <c r="GI90" s="49"/>
      <c r="GJ90" s="49"/>
      <c r="GK90" s="49"/>
      <c r="GL90" s="49"/>
      <c r="GM90" s="49"/>
      <c r="GN90" s="49"/>
      <c r="GO90" s="49"/>
      <c r="GP90" s="49"/>
      <c r="GQ90" s="49"/>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c r="IO90" s="49"/>
      <c r="IP90" s="49"/>
      <c r="IQ90" s="49"/>
      <c r="IR90" s="49"/>
      <c r="IS90" s="49"/>
      <c r="IT90" s="49"/>
      <c r="IU90" s="49"/>
      <c r="IV90" s="49"/>
      <c r="IW90" s="49"/>
      <c r="IX90" s="49"/>
      <c r="IY90" s="49"/>
      <c r="IZ90" s="49"/>
      <c r="JA90" s="49"/>
      <c r="JB90" s="49"/>
      <c r="JC90" s="49"/>
      <c r="JD90" s="49"/>
      <c r="JE90" s="49"/>
      <c r="JF90" s="49"/>
      <c r="JG90" s="49"/>
      <c r="JH90" s="49"/>
      <c r="JI90" s="49"/>
      <c r="JJ90" s="49"/>
      <c r="JK90" s="49"/>
      <c r="JL90" s="49"/>
      <c r="JM90" s="49"/>
      <c r="JN90" s="49"/>
      <c r="JO90" s="49"/>
      <c r="JP90" s="49"/>
      <c r="JQ90" s="49"/>
      <c r="JR90" s="49"/>
      <c r="JS90" s="49"/>
      <c r="JT90" s="49"/>
      <c r="JU90" s="49"/>
      <c r="JV90" s="49"/>
      <c r="JW90" s="49"/>
      <c r="JX90" s="49"/>
      <c r="JY90" s="49"/>
      <c r="JZ90" s="49"/>
      <c r="KA90" s="49"/>
      <c r="KB90" s="49"/>
      <c r="KC90" s="49"/>
      <c r="KD90" s="49"/>
      <c r="KE90" s="49"/>
      <c r="KF90" s="49"/>
      <c r="KG90" s="49"/>
      <c r="KH90" s="49"/>
      <c r="KI90" s="49"/>
      <c r="KJ90" s="49"/>
      <c r="KK90" s="49"/>
      <c r="KL90" s="49"/>
      <c r="KM90" s="49"/>
      <c r="KN90" s="49"/>
      <c r="KO90" s="49"/>
      <c r="KP90" s="49"/>
      <c r="KQ90" s="49"/>
      <c r="KR90" s="49"/>
      <c r="KS90" s="49"/>
      <c r="KT90" s="49"/>
      <c r="KU90" s="49"/>
      <c r="KV90" s="49"/>
      <c r="KW90" s="49"/>
      <c r="KX90" s="49"/>
      <c r="KY90" s="49"/>
      <c r="KZ90" s="49"/>
      <c r="LA90" s="49"/>
      <c r="LB90" s="49"/>
      <c r="LC90" s="49"/>
      <c r="LD90" s="49"/>
      <c r="LE90" s="49"/>
      <c r="LF90" s="49"/>
      <c r="LG90" s="49"/>
      <c r="LH90" s="49"/>
      <c r="LI90" s="49"/>
      <c r="LJ90" s="49"/>
      <c r="LK90" s="49"/>
      <c r="LL90" s="49"/>
      <c r="LM90" s="49"/>
      <c r="LN90" s="49"/>
      <c r="LO90" s="49"/>
      <c r="LP90" s="49"/>
      <c r="LQ90" s="49"/>
      <c r="LR90" s="49"/>
      <c r="LS90" s="49"/>
      <c r="LT90" s="49"/>
      <c r="LU90" s="49"/>
      <c r="LV90" s="49"/>
      <c r="LW90" s="49"/>
      <c r="LX90" s="49"/>
      <c r="LY90" s="49"/>
      <c r="LZ90" s="49"/>
      <c r="MA90" s="49"/>
      <c r="MB90" s="49"/>
      <c r="MC90" s="49"/>
      <c r="MD90" s="49"/>
      <c r="ME90" s="49"/>
      <c r="MF90" s="49"/>
      <c r="MG90" s="49"/>
      <c r="MH90" s="49"/>
      <c r="MI90" s="49"/>
      <c r="MJ90" s="49"/>
      <c r="MK90" s="49"/>
      <c r="ML90" s="49"/>
      <c r="MM90" s="49"/>
      <c r="MN90" s="49"/>
      <c r="MO90" s="49"/>
      <c r="MP90" s="49"/>
      <c r="MQ90" s="49"/>
      <c r="MR90" s="49"/>
      <c r="MS90" s="49"/>
      <c r="MT90" s="49"/>
      <c r="MU90" s="49"/>
      <c r="MV90" s="49"/>
      <c r="MW90" s="49"/>
      <c r="MX90" s="49"/>
      <c r="MY90" s="49"/>
      <c r="MZ90" s="49"/>
      <c r="NA90" s="49"/>
      <c r="NB90" s="49"/>
      <c r="NC90" s="49"/>
      <c r="ND90" s="49"/>
      <c r="NE90" s="49"/>
      <c r="NF90" s="49"/>
      <c r="NG90" s="49"/>
      <c r="NH90" s="49"/>
      <c r="NI90" s="49"/>
      <c r="NJ90" s="49"/>
      <c r="NK90" s="49"/>
      <c r="NL90" s="49"/>
      <c r="NM90" s="49"/>
      <c r="NN90" s="49"/>
      <c r="NO90" s="49"/>
      <c r="NP90" s="49"/>
      <c r="NQ90" s="49"/>
      <c r="NR90" s="49"/>
      <c r="NS90" s="49"/>
      <c r="NT90" s="49"/>
      <c r="NU90" s="49"/>
      <c r="NV90" s="49"/>
      <c r="NW90" s="49"/>
      <c r="NX90" s="49"/>
      <c r="NY90" s="49"/>
      <c r="NZ90" s="49"/>
      <c r="OA90" s="49"/>
      <c r="OB90" s="49"/>
      <c r="OC90" s="49"/>
      <c r="OD90" s="49"/>
      <c r="OE90" s="49"/>
      <c r="OF90" s="49"/>
      <c r="OG90" s="49"/>
      <c r="OH90" s="49"/>
      <c r="OI90" s="49"/>
      <c r="OJ90" s="49"/>
      <c r="OK90" s="49"/>
      <c r="OL90" s="49"/>
      <c r="OM90" s="49"/>
      <c r="ON90" s="49"/>
      <c r="OO90" s="49"/>
      <c r="OP90" s="49"/>
      <c r="OQ90" s="49"/>
      <c r="OR90" s="49"/>
      <c r="OS90" s="49"/>
      <c r="OT90" s="49"/>
      <c r="OU90" s="49"/>
      <c r="OV90" s="49"/>
      <c r="OW90" s="49"/>
      <c r="OX90" s="49"/>
      <c r="OY90" s="49"/>
      <c r="OZ90" s="49"/>
      <c r="PA90" s="49"/>
      <c r="PB90" s="49"/>
      <c r="PC90" s="49"/>
      <c r="PD90" s="49"/>
      <c r="PE90" s="49"/>
      <c r="PF90" s="49"/>
      <c r="PG90" s="49"/>
      <c r="PH90" s="49"/>
      <c r="PI90" s="49"/>
      <c r="PJ90" s="49"/>
      <c r="PK90" s="49"/>
      <c r="PL90" s="49"/>
      <c r="PM90" s="49"/>
      <c r="PN90" s="49"/>
      <c r="PO90" s="49"/>
      <c r="PP90" s="49"/>
      <c r="PQ90" s="49"/>
      <c r="PR90" s="49"/>
      <c r="PS90" s="49"/>
      <c r="PT90" s="49"/>
      <c r="PU90" s="49"/>
      <c r="PV90" s="49"/>
      <c r="PW90" s="49"/>
      <c r="PX90" s="49"/>
      <c r="PY90" s="49"/>
      <c r="PZ90" s="49"/>
      <c r="QA90" s="49"/>
      <c r="QB90" s="49"/>
      <c r="QC90" s="49"/>
      <c r="QD90" s="49"/>
      <c r="QE90" s="49"/>
      <c r="QF90" s="49"/>
      <c r="QG90" s="49"/>
      <c r="QH90" s="49"/>
      <c r="QI90" s="49"/>
      <c r="QJ90" s="49"/>
      <c r="QK90" s="49"/>
      <c r="QL90" s="49"/>
      <c r="QM90" s="49"/>
      <c r="QN90" s="49"/>
      <c r="QO90" s="49"/>
      <c r="QP90" s="49"/>
      <c r="QQ90" s="49"/>
      <c r="QR90" s="49"/>
      <c r="QS90" s="49"/>
      <c r="QT90" s="49"/>
      <c r="QU90" s="49"/>
      <c r="QV90" s="49"/>
      <c r="QW90" s="49"/>
      <c r="QX90" s="49"/>
      <c r="QY90" s="49"/>
      <c r="QZ90" s="49"/>
      <c r="RA90" s="49"/>
      <c r="RB90" s="49"/>
      <c r="RC90" s="49"/>
      <c r="RD90" s="49"/>
      <c r="RE90" s="49"/>
      <c r="RF90" s="49"/>
      <c r="RG90" s="49"/>
      <c r="RH90" s="49"/>
      <c r="RI90" s="49"/>
      <c r="RJ90" s="49"/>
      <c r="RK90" s="49"/>
      <c r="RL90" s="49"/>
      <c r="RM90" s="49"/>
      <c r="RN90" s="49"/>
      <c r="RO90" s="49"/>
      <c r="RP90" s="49"/>
      <c r="RQ90" s="49"/>
      <c r="RR90" s="49"/>
      <c r="RS90" s="49"/>
      <c r="RT90" s="49"/>
      <c r="RU90" s="49"/>
      <c r="RV90" s="49"/>
      <c r="RW90" s="49"/>
      <c r="RX90" s="49"/>
      <c r="RY90" s="49"/>
      <c r="RZ90" s="49"/>
      <c r="SA90" s="49"/>
      <c r="SB90" s="49"/>
      <c r="SC90" s="49"/>
      <c r="SD90" s="49"/>
      <c r="SE90" s="49"/>
      <c r="SF90" s="49"/>
      <c r="SG90" s="49"/>
      <c r="SH90" s="49"/>
      <c r="SI90" s="49"/>
      <c r="SJ90" s="49"/>
      <c r="SK90" s="49"/>
      <c r="SL90" s="49"/>
      <c r="SM90" s="49"/>
      <c r="SN90" s="49"/>
      <c r="SO90" s="49"/>
      <c r="SP90" s="49"/>
      <c r="SQ90" s="49"/>
      <c r="SR90" s="49"/>
      <c r="SS90" s="49"/>
      <c r="ST90" s="49"/>
      <c r="SU90" s="49"/>
      <c r="SV90" s="49"/>
      <c r="SW90" s="49"/>
      <c r="SX90" s="49"/>
      <c r="SY90" s="49"/>
      <c r="SZ90" s="49"/>
      <c r="TA90" s="49"/>
      <c r="TB90" s="49"/>
      <c r="TC90" s="49"/>
      <c r="TD90" s="49"/>
      <c r="TE90" s="49"/>
      <c r="TF90" s="49"/>
      <c r="TG90" s="49"/>
      <c r="TH90" s="49"/>
      <c r="TI90" s="49"/>
      <c r="TJ90" s="49"/>
      <c r="TK90" s="49"/>
      <c r="TL90" s="49"/>
      <c r="TM90" s="49"/>
      <c r="TN90" s="49"/>
      <c r="TO90" s="49"/>
      <c r="TP90" s="49"/>
      <c r="TQ90" s="49"/>
      <c r="TR90" s="49"/>
      <c r="TS90" s="49"/>
      <c r="TT90" s="49"/>
      <c r="TU90" s="49"/>
      <c r="TV90" s="49"/>
      <c r="TW90" s="49"/>
      <c r="TX90" s="49"/>
      <c r="TY90" s="49"/>
      <c r="TZ90" s="49"/>
      <c r="UA90" s="49"/>
      <c r="UB90" s="49"/>
      <c r="UC90" s="49"/>
      <c r="UD90" s="49"/>
      <c r="UE90" s="49"/>
      <c r="UF90" s="49"/>
      <c r="UG90" s="49"/>
      <c r="UH90" s="49"/>
      <c r="UI90" s="49"/>
      <c r="UJ90" s="49"/>
      <c r="UK90" s="49"/>
      <c r="UL90" s="49"/>
      <c r="UM90" s="49"/>
      <c r="UN90" s="49"/>
      <c r="UO90" s="49"/>
      <c r="UP90" s="49"/>
      <c r="UQ90" s="49"/>
      <c r="UR90" s="49"/>
      <c r="US90" s="49"/>
      <c r="UT90" s="49"/>
      <c r="UU90" s="49"/>
      <c r="UV90" s="49"/>
      <c r="UW90" s="49"/>
      <c r="UX90" s="49"/>
      <c r="UY90" s="49"/>
      <c r="UZ90" s="49"/>
      <c r="VA90" s="49"/>
      <c r="VB90" s="49"/>
      <c r="VC90" s="49"/>
      <c r="VD90" s="49"/>
      <c r="VE90" s="49"/>
      <c r="VF90" s="49"/>
      <c r="VG90" s="49"/>
      <c r="VH90" s="49"/>
      <c r="VI90" s="49"/>
      <c r="VJ90" s="49"/>
      <c r="VK90" s="49"/>
      <c r="VL90" s="49"/>
      <c r="VM90" s="49"/>
      <c r="VN90" s="49"/>
      <c r="VO90" s="49"/>
      <c r="VP90" s="49"/>
      <c r="VQ90" s="49"/>
      <c r="VR90" s="49"/>
      <c r="VS90" s="49"/>
      <c r="VT90" s="49"/>
      <c r="VU90" s="49"/>
      <c r="VV90" s="49"/>
      <c r="VW90" s="49"/>
      <c r="VX90" s="49"/>
      <c r="VY90" s="49"/>
      <c r="VZ90" s="49"/>
      <c r="WA90" s="49"/>
      <c r="WB90" s="49"/>
      <c r="WC90" s="49"/>
      <c r="WD90" s="49"/>
      <c r="WE90" s="49"/>
      <c r="WF90" s="49"/>
      <c r="WG90" s="49"/>
      <c r="WH90" s="49"/>
      <c r="WI90" s="49"/>
      <c r="WJ90" s="49"/>
      <c r="WK90" s="49"/>
      <c r="WL90" s="49"/>
      <c r="WM90" s="49"/>
      <c r="WN90" s="49"/>
      <c r="WO90" s="49"/>
      <c r="WP90" s="49"/>
      <c r="WQ90" s="49"/>
      <c r="WR90" s="49"/>
      <c r="WS90" s="49"/>
      <c r="WT90" s="49"/>
      <c r="WU90" s="49"/>
      <c r="WV90" s="49"/>
      <c r="WW90" s="49"/>
      <c r="WX90" s="49"/>
      <c r="WY90" s="49"/>
      <c r="WZ90" s="49"/>
      <c r="XA90" s="49"/>
      <c r="XB90" s="49"/>
      <c r="XC90" s="49"/>
      <c r="XD90" s="49"/>
      <c r="XE90" s="49"/>
      <c r="XF90" s="49"/>
      <c r="XG90" s="49"/>
      <c r="XH90" s="49"/>
      <c r="XI90" s="49"/>
      <c r="XJ90" s="49"/>
      <c r="XK90" s="49"/>
      <c r="XL90" s="49"/>
      <c r="XM90" s="49"/>
      <c r="XN90" s="49"/>
      <c r="XO90" s="49"/>
      <c r="XP90" s="49"/>
      <c r="XQ90" s="49"/>
      <c r="XR90" s="49"/>
      <c r="XS90" s="49"/>
      <c r="XT90" s="49"/>
      <c r="XU90" s="49"/>
      <c r="XV90" s="49"/>
      <c r="XW90" s="49"/>
      <c r="XX90" s="49"/>
      <c r="XY90" s="49"/>
      <c r="XZ90" s="49"/>
      <c r="YA90" s="49"/>
      <c r="YB90" s="49"/>
      <c r="YC90" s="49"/>
      <c r="YD90" s="49"/>
      <c r="YE90" s="49"/>
      <c r="YF90" s="49"/>
      <c r="YG90" s="49"/>
      <c r="YH90" s="49"/>
      <c r="YI90" s="49"/>
      <c r="YJ90" s="49"/>
      <c r="YK90" s="49"/>
      <c r="YL90" s="49"/>
      <c r="YM90" s="49"/>
      <c r="YN90" s="49"/>
      <c r="YO90" s="49"/>
      <c r="YP90" s="49"/>
      <c r="YQ90" s="49"/>
      <c r="YR90" s="49"/>
      <c r="YS90" s="49"/>
      <c r="YT90" s="49"/>
      <c r="YU90" s="49"/>
      <c r="YV90" s="49"/>
      <c r="YW90" s="49"/>
      <c r="YX90" s="49"/>
      <c r="YY90" s="49"/>
      <c r="YZ90" s="49"/>
      <c r="ZA90" s="49"/>
      <c r="ZB90" s="49"/>
      <c r="ZC90" s="49"/>
      <c r="ZD90" s="49"/>
      <c r="ZE90" s="49"/>
      <c r="ZF90" s="49"/>
      <c r="ZG90" s="49"/>
      <c r="ZH90" s="49"/>
      <c r="ZI90" s="49"/>
      <c r="ZJ90" s="49"/>
      <c r="ZK90" s="49"/>
      <c r="ZL90" s="49"/>
      <c r="ZM90" s="49"/>
      <c r="ZN90" s="49"/>
      <c r="ZO90" s="49"/>
      <c r="ZP90" s="49"/>
      <c r="ZQ90" s="49"/>
      <c r="ZR90" s="49"/>
      <c r="ZS90" s="49"/>
      <c r="ZT90" s="49"/>
      <c r="ZU90" s="49"/>
      <c r="ZV90" s="49"/>
      <c r="ZW90" s="49"/>
      <c r="ZX90" s="49"/>
      <c r="ZY90" s="49"/>
      <c r="ZZ90" s="49"/>
      <c r="AAA90" s="49"/>
      <c r="AAB90" s="49"/>
      <c r="AAC90" s="49"/>
      <c r="AAD90" s="49"/>
      <c r="AAE90" s="49"/>
      <c r="AAF90" s="49"/>
      <c r="AAG90" s="49"/>
      <c r="AAH90" s="49"/>
      <c r="AAI90" s="49"/>
      <c r="AAJ90" s="49"/>
      <c r="AAK90" s="49"/>
      <c r="AAL90" s="49"/>
      <c r="AAM90" s="49"/>
      <c r="AAN90" s="49"/>
      <c r="AAO90" s="49"/>
      <c r="AAP90" s="49"/>
      <c r="AAQ90" s="49"/>
      <c r="AAR90" s="49"/>
      <c r="AAS90" s="49"/>
      <c r="AAT90" s="49"/>
      <c r="AAU90" s="49"/>
      <c r="AAV90" s="49"/>
      <c r="AAW90" s="49"/>
      <c r="AAX90" s="49"/>
      <c r="AAY90" s="49"/>
      <c r="AAZ90" s="49"/>
      <c r="ABA90" s="49"/>
      <c r="ABB90" s="49"/>
      <c r="ABC90" s="49"/>
      <c r="ABD90" s="49"/>
      <c r="ABE90" s="49"/>
      <c r="ABF90" s="49"/>
      <c r="ABG90" s="49"/>
      <c r="ABH90" s="49"/>
      <c r="ABI90" s="49"/>
      <c r="ABJ90" s="49"/>
      <c r="ABK90" s="49"/>
      <c r="ABL90" s="49"/>
      <c r="ABM90" s="49"/>
      <c r="ABN90" s="49"/>
      <c r="ABO90" s="49"/>
      <c r="ABP90" s="49"/>
      <c r="ABQ90" s="49"/>
      <c r="ABR90" s="49"/>
      <c r="ABS90" s="49"/>
      <c r="ABT90" s="49"/>
      <c r="ABU90" s="49"/>
      <c r="ABV90" s="49"/>
      <c r="ABW90" s="49"/>
      <c r="ABX90" s="49"/>
      <c r="ABY90" s="49"/>
      <c r="ABZ90" s="49"/>
      <c r="ACA90" s="49"/>
      <c r="ACB90" s="49"/>
      <c r="ACC90" s="49"/>
      <c r="ACD90" s="49"/>
      <c r="ACE90" s="49"/>
      <c r="ACF90" s="49"/>
      <c r="ACG90" s="49"/>
      <c r="ACH90" s="49"/>
      <c r="ACI90" s="49"/>
      <c r="ACJ90" s="49"/>
      <c r="ACK90" s="49"/>
      <c r="ACL90" s="49"/>
      <c r="ACM90" s="49"/>
      <c r="ACN90" s="49"/>
      <c r="ACO90" s="49"/>
      <c r="ACP90" s="49"/>
      <c r="ACQ90" s="49"/>
      <c r="ACR90" s="49"/>
      <c r="ACS90" s="49"/>
      <c r="ACT90" s="49"/>
      <c r="ACU90" s="49"/>
      <c r="ACV90" s="49"/>
      <c r="ACW90" s="49"/>
      <c r="ACX90" s="49"/>
      <c r="ACY90" s="49"/>
      <c r="ACZ90" s="49"/>
      <c r="ADA90" s="49"/>
      <c r="ADB90" s="49"/>
      <c r="ADC90" s="49"/>
      <c r="ADD90" s="49"/>
      <c r="ADE90" s="49"/>
      <c r="ADF90" s="49"/>
      <c r="ADG90" s="49"/>
      <c r="ADH90" s="49"/>
      <c r="ADI90" s="49"/>
      <c r="ADJ90" s="49"/>
      <c r="ADK90" s="49"/>
      <c r="ADL90" s="49"/>
      <c r="ADM90" s="49"/>
      <c r="ADN90" s="49"/>
      <c r="ADO90" s="49"/>
      <c r="ADP90" s="49"/>
      <c r="ADQ90" s="49"/>
      <c r="ADR90" s="49"/>
      <c r="ADS90" s="49"/>
      <c r="ADT90" s="49"/>
      <c r="ADU90" s="49"/>
      <c r="ADV90" s="49"/>
      <c r="ADW90" s="49"/>
      <c r="ADX90" s="49"/>
      <c r="ADY90" s="49"/>
      <c r="ADZ90" s="49"/>
      <c r="AEA90" s="49"/>
      <c r="AEB90" s="49"/>
      <c r="AEC90" s="49"/>
      <c r="AED90" s="49"/>
      <c r="AEE90" s="49"/>
      <c r="AEF90" s="49"/>
      <c r="AEG90" s="49"/>
      <c r="AEH90" s="49"/>
      <c r="AEI90" s="49"/>
      <c r="AEJ90" s="49"/>
      <c r="AEK90" s="49"/>
      <c r="AEL90" s="49"/>
      <c r="AEM90" s="49"/>
      <c r="AEN90" s="49"/>
      <c r="AEO90" s="49"/>
      <c r="AEP90" s="49"/>
      <c r="AEQ90" s="49"/>
      <c r="AER90" s="49"/>
      <c r="AES90" s="49"/>
      <c r="AET90" s="49"/>
      <c r="AEU90" s="49"/>
      <c r="AEV90" s="49"/>
      <c r="AEW90" s="49"/>
      <c r="AEX90" s="49"/>
      <c r="AEY90" s="49"/>
      <c r="AEZ90" s="49"/>
      <c r="AFA90" s="49"/>
      <c r="AFB90" s="49"/>
      <c r="AFC90" s="49"/>
      <c r="AFD90" s="49"/>
      <c r="AFE90" s="49"/>
      <c r="AFF90" s="49"/>
      <c r="AFG90" s="49"/>
      <c r="AFH90" s="49"/>
      <c r="AFI90" s="49"/>
      <c r="AFJ90" s="49"/>
      <c r="AFK90" s="49"/>
      <c r="AFL90" s="49"/>
      <c r="AFM90" s="49"/>
      <c r="AFN90" s="49"/>
      <c r="AFO90" s="49"/>
      <c r="AFP90" s="49"/>
      <c r="AFQ90" s="49"/>
      <c r="AFR90" s="49"/>
      <c r="AFS90" s="49"/>
      <c r="AFT90" s="49"/>
      <c r="AFU90" s="49"/>
      <c r="AFV90" s="49"/>
      <c r="AFW90" s="49"/>
      <c r="AFX90" s="49"/>
      <c r="AFY90" s="49"/>
      <c r="AFZ90" s="49"/>
      <c r="AGA90" s="49"/>
      <c r="AGB90" s="49"/>
      <c r="AGC90" s="49"/>
      <c r="AGD90" s="49"/>
      <c r="AGE90" s="49"/>
      <c r="AGF90" s="49"/>
      <c r="AGG90" s="49"/>
      <c r="AGH90" s="49"/>
      <c r="AGI90" s="49"/>
      <c r="AGJ90" s="49"/>
      <c r="AGK90" s="49"/>
      <c r="AGL90" s="49"/>
      <c r="AGM90" s="49"/>
      <c r="AGN90" s="49"/>
      <c r="AGO90" s="49"/>
      <c r="AGP90" s="49"/>
      <c r="AGQ90" s="49"/>
      <c r="AGR90" s="49"/>
      <c r="AGS90" s="49"/>
      <c r="AGT90" s="49"/>
      <c r="AGU90" s="49"/>
      <c r="AGV90" s="49"/>
      <c r="AGW90" s="49"/>
      <c r="AGX90" s="49"/>
      <c r="AGY90" s="49"/>
      <c r="AGZ90" s="49"/>
      <c r="AHA90" s="49"/>
      <c r="AHB90" s="49"/>
      <c r="AHC90" s="49"/>
      <c r="AHD90" s="49"/>
      <c r="AHE90" s="49"/>
      <c r="AHF90" s="49"/>
      <c r="AHG90" s="49"/>
      <c r="AHH90" s="49"/>
      <c r="AHI90" s="49"/>
      <c r="AHJ90" s="49"/>
      <c r="AHK90" s="49"/>
      <c r="AHL90" s="49"/>
      <c r="AHM90" s="49"/>
      <c r="AHN90" s="49"/>
      <c r="AHO90" s="49"/>
      <c r="AHP90" s="49"/>
      <c r="AHQ90" s="49"/>
      <c r="AHR90" s="49"/>
      <c r="AHS90" s="49"/>
      <c r="AHT90" s="49"/>
      <c r="AHU90" s="49"/>
      <c r="AHV90" s="49"/>
      <c r="AHW90" s="49"/>
      <c r="AHX90" s="49"/>
      <c r="AHY90" s="49"/>
      <c r="AHZ90" s="49"/>
      <c r="AIA90" s="49"/>
      <c r="AIB90" s="49"/>
      <c r="AIC90" s="49"/>
      <c r="AID90" s="49"/>
      <c r="AIE90" s="49"/>
      <c r="AIF90" s="49"/>
      <c r="AIG90" s="49"/>
      <c r="AIH90" s="49"/>
      <c r="AII90" s="49"/>
      <c r="AIJ90" s="49"/>
      <c r="AIK90" s="49"/>
      <c r="AIL90" s="49"/>
      <c r="AIM90" s="49"/>
      <c r="AIN90" s="49"/>
      <c r="AIO90" s="49"/>
      <c r="AIP90" s="49"/>
      <c r="AIQ90" s="49"/>
      <c r="AIR90" s="49"/>
      <c r="AIS90" s="49"/>
      <c r="AIT90" s="49"/>
      <c r="AIU90" s="49"/>
      <c r="AIV90" s="49"/>
      <c r="AIW90" s="49"/>
      <c r="AIX90" s="49"/>
      <c r="AIY90" s="49"/>
      <c r="AIZ90" s="49"/>
      <c r="AJA90" s="49"/>
      <c r="AJB90" s="49"/>
      <c r="AJC90" s="49"/>
      <c r="AJD90" s="49"/>
      <c r="AJE90" s="49"/>
      <c r="AJF90" s="49"/>
      <c r="AJG90" s="49"/>
      <c r="AJH90" s="49"/>
      <c r="AJI90" s="49"/>
      <c r="AJJ90" s="49"/>
      <c r="AJK90" s="49"/>
      <c r="AJL90" s="49"/>
      <c r="AJM90" s="49"/>
      <c r="AJN90" s="49"/>
      <c r="AJO90" s="49"/>
      <c r="AJP90" s="49"/>
      <c r="AJQ90" s="49"/>
      <c r="AJR90" s="49"/>
      <c r="AJS90" s="49"/>
      <c r="AJT90" s="49"/>
      <c r="AJU90" s="49"/>
      <c r="AJV90" s="49"/>
      <c r="AJW90" s="49"/>
      <c r="AJX90" s="49"/>
      <c r="AJY90" s="49"/>
      <c r="AJZ90" s="49"/>
      <c r="AKA90" s="49"/>
      <c r="AKB90" s="49"/>
      <c r="AKC90" s="49"/>
      <c r="AKD90" s="49"/>
      <c r="AKE90" s="49"/>
      <c r="AKF90" s="49"/>
      <c r="AKG90" s="49"/>
      <c r="AKH90" s="49"/>
      <c r="AKI90" s="49"/>
      <c r="AKJ90" s="49"/>
      <c r="AKK90" s="49"/>
      <c r="AKL90" s="49"/>
      <c r="AKM90" s="49"/>
      <c r="AKN90" s="49"/>
      <c r="AKO90" s="49"/>
      <c r="AKP90" s="49"/>
      <c r="AKQ90" s="49"/>
      <c r="AKR90" s="49"/>
      <c r="AKS90" s="49"/>
      <c r="AKT90" s="49"/>
      <c r="AKU90" s="49"/>
      <c r="AKV90" s="49"/>
      <c r="AKW90" s="49"/>
      <c r="AKX90" s="49"/>
      <c r="AKY90" s="49"/>
      <c r="AKZ90" s="49"/>
      <c r="ALA90" s="49"/>
      <c r="ALB90" s="49"/>
      <c r="ALC90" s="49"/>
      <c r="ALD90" s="49"/>
      <c r="ALE90" s="49"/>
      <c r="ALF90" s="49"/>
      <c r="ALG90" s="49"/>
      <c r="ALH90" s="49"/>
      <c r="ALI90" s="49"/>
      <c r="ALJ90" s="49"/>
      <c r="ALK90" s="49"/>
      <c r="ALL90" s="49"/>
      <c r="ALM90" s="49"/>
      <c r="ALN90" s="49"/>
      <c r="ALO90" s="49"/>
      <c r="ALP90" s="49"/>
      <c r="ALQ90" s="49"/>
      <c r="ALR90" s="49"/>
      <c r="ALS90" s="49"/>
      <c r="ALT90" s="49"/>
      <c r="ALU90" s="49"/>
      <c r="ALV90" s="49"/>
      <c r="ALW90" s="49"/>
      <c r="ALX90" s="49"/>
      <c r="ALY90" s="49"/>
      <c r="ALZ90" s="49"/>
      <c r="AMA90" s="49"/>
      <c r="AMB90" s="49"/>
      <c r="AMC90" s="49"/>
      <c r="AMD90" s="49"/>
      <c r="AME90" s="49"/>
      <c r="AMF90" s="49"/>
      <c r="AMG90" s="49"/>
      <c r="AMH90" s="49"/>
      <c r="AMI90" s="49"/>
      <c r="AMJ90" s="49"/>
    </row>
    <row r="91" spans="12:1024" ht="15.95" customHeight="1" x14ac:dyDescent="0.2">
      <c r="L91" s="49"/>
      <c r="M91" s="50"/>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49"/>
      <c r="EJ91" s="49"/>
      <c r="EK91" s="49"/>
      <c r="EL91" s="49"/>
      <c r="EM91" s="49"/>
      <c r="EN91" s="49"/>
      <c r="EO91" s="49"/>
      <c r="EP91" s="49"/>
      <c r="EQ91" s="49"/>
      <c r="ER91" s="49"/>
      <c r="ES91" s="49"/>
      <c r="ET91" s="49"/>
      <c r="EU91" s="49"/>
      <c r="EV91" s="49"/>
      <c r="EW91" s="49"/>
      <c r="EX91" s="49"/>
      <c r="EY91" s="49"/>
      <c r="EZ91" s="49"/>
      <c r="FA91" s="49"/>
      <c r="FB91" s="49"/>
      <c r="FC91" s="49"/>
      <c r="FD91" s="49"/>
      <c r="FE91" s="49"/>
      <c r="FF91" s="49"/>
      <c r="FG91" s="49"/>
      <c r="FH91" s="49"/>
      <c r="FI91" s="49"/>
      <c r="FJ91" s="49"/>
      <c r="FK91" s="49"/>
      <c r="FL91" s="49"/>
      <c r="FM91" s="49"/>
      <c r="FN91" s="49"/>
      <c r="FO91" s="49"/>
      <c r="FP91" s="49"/>
      <c r="FQ91" s="49"/>
      <c r="FR91" s="49"/>
      <c r="FS91" s="49"/>
      <c r="FT91" s="49"/>
      <c r="FU91" s="49"/>
      <c r="FV91" s="49"/>
      <c r="FW91" s="49"/>
      <c r="FX91" s="49"/>
      <c r="FY91" s="49"/>
      <c r="FZ91" s="49"/>
      <c r="GA91" s="49"/>
      <c r="GB91" s="49"/>
      <c r="GC91" s="49"/>
      <c r="GD91" s="49"/>
      <c r="GE91" s="49"/>
      <c r="GF91" s="49"/>
      <c r="GG91" s="49"/>
      <c r="GH91" s="49"/>
      <c r="GI91" s="49"/>
      <c r="GJ91" s="49"/>
      <c r="GK91" s="49"/>
      <c r="GL91" s="49"/>
      <c r="GM91" s="49"/>
      <c r="GN91" s="49"/>
      <c r="GO91" s="49"/>
      <c r="GP91" s="49"/>
      <c r="GQ91" s="49"/>
      <c r="GR91" s="49"/>
      <c r="GS91" s="49"/>
      <c r="GT91" s="49"/>
      <c r="GU91" s="49"/>
      <c r="GV91" s="49"/>
      <c r="GW91" s="49"/>
      <c r="GX91" s="49"/>
      <c r="GY91" s="49"/>
      <c r="GZ91" s="49"/>
      <c r="HA91" s="49"/>
      <c r="HB91" s="49"/>
      <c r="HC91" s="49"/>
      <c r="HD91" s="49"/>
      <c r="HE91" s="49"/>
      <c r="HF91" s="49"/>
      <c r="HG91" s="49"/>
      <c r="HH91" s="49"/>
      <c r="HI91" s="49"/>
      <c r="HJ91" s="49"/>
      <c r="HK91" s="49"/>
      <c r="HL91" s="49"/>
      <c r="HM91" s="49"/>
      <c r="HN91" s="49"/>
      <c r="HO91" s="49"/>
      <c r="HP91" s="49"/>
      <c r="HQ91" s="49"/>
      <c r="HR91" s="49"/>
      <c r="HS91" s="49"/>
      <c r="HT91" s="49"/>
      <c r="HU91" s="49"/>
      <c r="HV91" s="49"/>
      <c r="HW91" s="49"/>
      <c r="HX91" s="49"/>
      <c r="HY91" s="49"/>
      <c r="HZ91" s="49"/>
      <c r="IA91" s="49"/>
      <c r="IB91" s="49"/>
      <c r="IC91" s="49"/>
      <c r="ID91" s="49"/>
      <c r="IE91" s="49"/>
      <c r="IF91" s="49"/>
      <c r="IG91" s="49"/>
      <c r="IH91" s="49"/>
      <c r="II91" s="49"/>
      <c r="IJ91" s="49"/>
      <c r="IK91" s="49"/>
      <c r="IL91" s="49"/>
      <c r="IM91" s="49"/>
      <c r="IN91" s="49"/>
      <c r="IO91" s="49"/>
      <c r="IP91" s="49"/>
      <c r="IQ91" s="49"/>
      <c r="IR91" s="49"/>
      <c r="IS91" s="49"/>
      <c r="IT91" s="49"/>
      <c r="IU91" s="49"/>
      <c r="IV91" s="49"/>
      <c r="IW91" s="49"/>
      <c r="IX91" s="49"/>
      <c r="IY91" s="49"/>
      <c r="IZ91" s="49"/>
      <c r="JA91" s="49"/>
      <c r="JB91" s="49"/>
      <c r="JC91" s="49"/>
      <c r="JD91" s="49"/>
      <c r="JE91" s="49"/>
      <c r="JF91" s="49"/>
      <c r="JG91" s="49"/>
      <c r="JH91" s="49"/>
      <c r="JI91" s="49"/>
      <c r="JJ91" s="49"/>
      <c r="JK91" s="49"/>
      <c r="JL91" s="49"/>
      <c r="JM91" s="49"/>
      <c r="JN91" s="49"/>
      <c r="JO91" s="49"/>
      <c r="JP91" s="49"/>
      <c r="JQ91" s="49"/>
      <c r="JR91" s="49"/>
      <c r="JS91" s="49"/>
      <c r="JT91" s="49"/>
      <c r="JU91" s="49"/>
      <c r="JV91" s="49"/>
      <c r="JW91" s="49"/>
      <c r="JX91" s="49"/>
      <c r="JY91" s="49"/>
      <c r="JZ91" s="49"/>
      <c r="KA91" s="49"/>
      <c r="KB91" s="49"/>
      <c r="KC91" s="49"/>
      <c r="KD91" s="49"/>
      <c r="KE91" s="49"/>
      <c r="KF91" s="49"/>
      <c r="KG91" s="49"/>
      <c r="KH91" s="49"/>
      <c r="KI91" s="49"/>
      <c r="KJ91" s="49"/>
      <c r="KK91" s="49"/>
      <c r="KL91" s="49"/>
      <c r="KM91" s="49"/>
      <c r="KN91" s="49"/>
      <c r="KO91" s="49"/>
      <c r="KP91" s="49"/>
      <c r="KQ91" s="49"/>
      <c r="KR91" s="49"/>
      <c r="KS91" s="49"/>
      <c r="KT91" s="49"/>
      <c r="KU91" s="49"/>
      <c r="KV91" s="49"/>
      <c r="KW91" s="49"/>
      <c r="KX91" s="49"/>
      <c r="KY91" s="49"/>
      <c r="KZ91" s="49"/>
      <c r="LA91" s="49"/>
      <c r="LB91" s="49"/>
      <c r="LC91" s="49"/>
      <c r="LD91" s="49"/>
      <c r="LE91" s="49"/>
      <c r="LF91" s="49"/>
      <c r="LG91" s="49"/>
      <c r="LH91" s="49"/>
      <c r="LI91" s="49"/>
      <c r="LJ91" s="49"/>
      <c r="LK91" s="49"/>
      <c r="LL91" s="49"/>
      <c r="LM91" s="49"/>
      <c r="LN91" s="49"/>
      <c r="LO91" s="49"/>
      <c r="LP91" s="49"/>
      <c r="LQ91" s="49"/>
      <c r="LR91" s="49"/>
      <c r="LS91" s="49"/>
      <c r="LT91" s="49"/>
      <c r="LU91" s="49"/>
      <c r="LV91" s="49"/>
      <c r="LW91" s="49"/>
      <c r="LX91" s="49"/>
      <c r="LY91" s="49"/>
      <c r="LZ91" s="49"/>
      <c r="MA91" s="49"/>
      <c r="MB91" s="49"/>
      <c r="MC91" s="49"/>
      <c r="MD91" s="49"/>
      <c r="ME91" s="49"/>
      <c r="MF91" s="49"/>
      <c r="MG91" s="49"/>
      <c r="MH91" s="49"/>
      <c r="MI91" s="49"/>
      <c r="MJ91" s="49"/>
      <c r="MK91" s="49"/>
      <c r="ML91" s="49"/>
      <c r="MM91" s="49"/>
      <c r="MN91" s="49"/>
      <c r="MO91" s="49"/>
      <c r="MP91" s="49"/>
      <c r="MQ91" s="49"/>
      <c r="MR91" s="49"/>
      <c r="MS91" s="49"/>
      <c r="MT91" s="49"/>
      <c r="MU91" s="49"/>
      <c r="MV91" s="49"/>
      <c r="MW91" s="49"/>
      <c r="MX91" s="49"/>
      <c r="MY91" s="49"/>
      <c r="MZ91" s="49"/>
      <c r="NA91" s="49"/>
      <c r="NB91" s="49"/>
      <c r="NC91" s="49"/>
      <c r="ND91" s="49"/>
      <c r="NE91" s="49"/>
      <c r="NF91" s="49"/>
      <c r="NG91" s="49"/>
      <c r="NH91" s="49"/>
      <c r="NI91" s="49"/>
      <c r="NJ91" s="49"/>
      <c r="NK91" s="49"/>
      <c r="NL91" s="49"/>
      <c r="NM91" s="49"/>
      <c r="NN91" s="49"/>
      <c r="NO91" s="49"/>
      <c r="NP91" s="49"/>
      <c r="NQ91" s="49"/>
      <c r="NR91" s="49"/>
      <c r="NS91" s="49"/>
      <c r="NT91" s="49"/>
      <c r="NU91" s="49"/>
      <c r="NV91" s="49"/>
      <c r="NW91" s="49"/>
      <c r="NX91" s="49"/>
      <c r="NY91" s="49"/>
      <c r="NZ91" s="49"/>
      <c r="OA91" s="49"/>
      <c r="OB91" s="49"/>
      <c r="OC91" s="49"/>
      <c r="OD91" s="49"/>
      <c r="OE91" s="49"/>
      <c r="OF91" s="49"/>
      <c r="OG91" s="49"/>
      <c r="OH91" s="49"/>
      <c r="OI91" s="49"/>
      <c r="OJ91" s="49"/>
      <c r="OK91" s="49"/>
      <c r="OL91" s="49"/>
      <c r="OM91" s="49"/>
      <c r="ON91" s="49"/>
      <c r="OO91" s="49"/>
      <c r="OP91" s="49"/>
      <c r="OQ91" s="49"/>
      <c r="OR91" s="49"/>
      <c r="OS91" s="49"/>
      <c r="OT91" s="49"/>
      <c r="OU91" s="49"/>
      <c r="OV91" s="49"/>
      <c r="OW91" s="49"/>
      <c r="OX91" s="49"/>
      <c r="OY91" s="49"/>
      <c r="OZ91" s="49"/>
      <c r="PA91" s="49"/>
      <c r="PB91" s="49"/>
      <c r="PC91" s="49"/>
      <c r="PD91" s="49"/>
      <c r="PE91" s="49"/>
      <c r="PF91" s="49"/>
      <c r="PG91" s="49"/>
      <c r="PH91" s="49"/>
      <c r="PI91" s="49"/>
      <c r="PJ91" s="49"/>
      <c r="PK91" s="49"/>
      <c r="PL91" s="49"/>
      <c r="PM91" s="49"/>
      <c r="PN91" s="49"/>
      <c r="PO91" s="49"/>
      <c r="PP91" s="49"/>
      <c r="PQ91" s="49"/>
      <c r="PR91" s="49"/>
      <c r="PS91" s="49"/>
      <c r="PT91" s="49"/>
      <c r="PU91" s="49"/>
      <c r="PV91" s="49"/>
      <c r="PW91" s="49"/>
      <c r="PX91" s="49"/>
      <c r="PY91" s="49"/>
      <c r="PZ91" s="49"/>
      <c r="QA91" s="49"/>
      <c r="QB91" s="49"/>
      <c r="QC91" s="49"/>
      <c r="QD91" s="49"/>
      <c r="QE91" s="49"/>
      <c r="QF91" s="49"/>
      <c r="QG91" s="49"/>
      <c r="QH91" s="49"/>
      <c r="QI91" s="49"/>
      <c r="QJ91" s="49"/>
      <c r="QK91" s="49"/>
      <c r="QL91" s="49"/>
      <c r="QM91" s="49"/>
      <c r="QN91" s="49"/>
      <c r="QO91" s="49"/>
      <c r="QP91" s="49"/>
      <c r="QQ91" s="49"/>
      <c r="QR91" s="49"/>
      <c r="QS91" s="49"/>
      <c r="QT91" s="49"/>
      <c r="QU91" s="49"/>
      <c r="QV91" s="49"/>
      <c r="QW91" s="49"/>
      <c r="QX91" s="49"/>
      <c r="QY91" s="49"/>
      <c r="QZ91" s="49"/>
      <c r="RA91" s="49"/>
      <c r="RB91" s="49"/>
      <c r="RC91" s="49"/>
      <c r="RD91" s="49"/>
      <c r="RE91" s="49"/>
      <c r="RF91" s="49"/>
      <c r="RG91" s="49"/>
      <c r="RH91" s="49"/>
      <c r="RI91" s="49"/>
      <c r="RJ91" s="49"/>
      <c r="RK91" s="49"/>
      <c r="RL91" s="49"/>
      <c r="RM91" s="49"/>
      <c r="RN91" s="49"/>
      <c r="RO91" s="49"/>
      <c r="RP91" s="49"/>
      <c r="RQ91" s="49"/>
      <c r="RR91" s="49"/>
      <c r="RS91" s="49"/>
      <c r="RT91" s="49"/>
      <c r="RU91" s="49"/>
      <c r="RV91" s="49"/>
      <c r="RW91" s="49"/>
      <c r="RX91" s="49"/>
      <c r="RY91" s="49"/>
      <c r="RZ91" s="49"/>
      <c r="SA91" s="49"/>
      <c r="SB91" s="49"/>
      <c r="SC91" s="49"/>
      <c r="SD91" s="49"/>
      <c r="SE91" s="49"/>
      <c r="SF91" s="49"/>
      <c r="SG91" s="49"/>
      <c r="SH91" s="49"/>
      <c r="SI91" s="49"/>
      <c r="SJ91" s="49"/>
      <c r="SK91" s="49"/>
      <c r="SL91" s="49"/>
      <c r="SM91" s="49"/>
      <c r="SN91" s="49"/>
      <c r="SO91" s="49"/>
      <c r="SP91" s="49"/>
      <c r="SQ91" s="49"/>
      <c r="SR91" s="49"/>
      <c r="SS91" s="49"/>
      <c r="ST91" s="49"/>
      <c r="SU91" s="49"/>
      <c r="SV91" s="49"/>
      <c r="SW91" s="49"/>
      <c r="SX91" s="49"/>
      <c r="SY91" s="49"/>
      <c r="SZ91" s="49"/>
      <c r="TA91" s="49"/>
      <c r="TB91" s="49"/>
      <c r="TC91" s="49"/>
      <c r="TD91" s="49"/>
      <c r="TE91" s="49"/>
      <c r="TF91" s="49"/>
      <c r="TG91" s="49"/>
      <c r="TH91" s="49"/>
      <c r="TI91" s="49"/>
      <c r="TJ91" s="49"/>
      <c r="TK91" s="49"/>
      <c r="TL91" s="49"/>
      <c r="TM91" s="49"/>
      <c r="TN91" s="49"/>
      <c r="TO91" s="49"/>
      <c r="TP91" s="49"/>
      <c r="TQ91" s="49"/>
      <c r="TR91" s="49"/>
      <c r="TS91" s="49"/>
      <c r="TT91" s="49"/>
      <c r="TU91" s="49"/>
      <c r="TV91" s="49"/>
      <c r="TW91" s="49"/>
      <c r="TX91" s="49"/>
      <c r="TY91" s="49"/>
      <c r="TZ91" s="49"/>
      <c r="UA91" s="49"/>
      <c r="UB91" s="49"/>
      <c r="UC91" s="49"/>
      <c r="UD91" s="49"/>
      <c r="UE91" s="49"/>
      <c r="UF91" s="49"/>
      <c r="UG91" s="49"/>
      <c r="UH91" s="49"/>
      <c r="UI91" s="49"/>
      <c r="UJ91" s="49"/>
      <c r="UK91" s="49"/>
      <c r="UL91" s="49"/>
      <c r="UM91" s="49"/>
      <c r="UN91" s="49"/>
      <c r="UO91" s="49"/>
      <c r="UP91" s="49"/>
      <c r="UQ91" s="49"/>
      <c r="UR91" s="49"/>
      <c r="US91" s="49"/>
      <c r="UT91" s="49"/>
      <c r="UU91" s="49"/>
      <c r="UV91" s="49"/>
      <c r="UW91" s="49"/>
      <c r="UX91" s="49"/>
      <c r="UY91" s="49"/>
      <c r="UZ91" s="49"/>
      <c r="VA91" s="49"/>
      <c r="VB91" s="49"/>
      <c r="VC91" s="49"/>
      <c r="VD91" s="49"/>
      <c r="VE91" s="49"/>
      <c r="VF91" s="49"/>
      <c r="VG91" s="49"/>
      <c r="VH91" s="49"/>
      <c r="VI91" s="49"/>
      <c r="VJ91" s="49"/>
      <c r="VK91" s="49"/>
      <c r="VL91" s="49"/>
      <c r="VM91" s="49"/>
      <c r="VN91" s="49"/>
      <c r="VO91" s="49"/>
      <c r="VP91" s="49"/>
      <c r="VQ91" s="49"/>
      <c r="VR91" s="49"/>
      <c r="VS91" s="49"/>
      <c r="VT91" s="49"/>
      <c r="VU91" s="49"/>
      <c r="VV91" s="49"/>
      <c r="VW91" s="49"/>
      <c r="VX91" s="49"/>
      <c r="VY91" s="49"/>
      <c r="VZ91" s="49"/>
      <c r="WA91" s="49"/>
      <c r="WB91" s="49"/>
      <c r="WC91" s="49"/>
      <c r="WD91" s="49"/>
      <c r="WE91" s="49"/>
      <c r="WF91" s="49"/>
      <c r="WG91" s="49"/>
      <c r="WH91" s="49"/>
      <c r="WI91" s="49"/>
      <c r="WJ91" s="49"/>
      <c r="WK91" s="49"/>
      <c r="WL91" s="49"/>
      <c r="WM91" s="49"/>
      <c r="WN91" s="49"/>
      <c r="WO91" s="49"/>
      <c r="WP91" s="49"/>
      <c r="WQ91" s="49"/>
      <c r="WR91" s="49"/>
      <c r="WS91" s="49"/>
      <c r="WT91" s="49"/>
      <c r="WU91" s="49"/>
      <c r="WV91" s="49"/>
      <c r="WW91" s="49"/>
      <c r="WX91" s="49"/>
      <c r="WY91" s="49"/>
      <c r="WZ91" s="49"/>
      <c r="XA91" s="49"/>
      <c r="XB91" s="49"/>
      <c r="XC91" s="49"/>
      <c r="XD91" s="49"/>
      <c r="XE91" s="49"/>
      <c r="XF91" s="49"/>
      <c r="XG91" s="49"/>
      <c r="XH91" s="49"/>
      <c r="XI91" s="49"/>
      <c r="XJ91" s="49"/>
      <c r="XK91" s="49"/>
      <c r="XL91" s="49"/>
      <c r="XM91" s="49"/>
      <c r="XN91" s="49"/>
      <c r="XO91" s="49"/>
      <c r="XP91" s="49"/>
      <c r="XQ91" s="49"/>
      <c r="XR91" s="49"/>
      <c r="XS91" s="49"/>
      <c r="XT91" s="49"/>
      <c r="XU91" s="49"/>
      <c r="XV91" s="49"/>
      <c r="XW91" s="49"/>
      <c r="XX91" s="49"/>
      <c r="XY91" s="49"/>
      <c r="XZ91" s="49"/>
      <c r="YA91" s="49"/>
      <c r="YB91" s="49"/>
      <c r="YC91" s="49"/>
      <c r="YD91" s="49"/>
      <c r="YE91" s="49"/>
      <c r="YF91" s="49"/>
      <c r="YG91" s="49"/>
      <c r="YH91" s="49"/>
      <c r="YI91" s="49"/>
      <c r="YJ91" s="49"/>
      <c r="YK91" s="49"/>
      <c r="YL91" s="49"/>
      <c r="YM91" s="49"/>
      <c r="YN91" s="49"/>
      <c r="YO91" s="49"/>
      <c r="YP91" s="49"/>
      <c r="YQ91" s="49"/>
      <c r="YR91" s="49"/>
      <c r="YS91" s="49"/>
      <c r="YT91" s="49"/>
      <c r="YU91" s="49"/>
      <c r="YV91" s="49"/>
      <c r="YW91" s="49"/>
      <c r="YX91" s="49"/>
      <c r="YY91" s="49"/>
      <c r="YZ91" s="49"/>
      <c r="ZA91" s="49"/>
      <c r="ZB91" s="49"/>
      <c r="ZC91" s="49"/>
      <c r="ZD91" s="49"/>
      <c r="ZE91" s="49"/>
      <c r="ZF91" s="49"/>
      <c r="ZG91" s="49"/>
      <c r="ZH91" s="49"/>
      <c r="ZI91" s="49"/>
      <c r="ZJ91" s="49"/>
      <c r="ZK91" s="49"/>
      <c r="ZL91" s="49"/>
      <c r="ZM91" s="49"/>
      <c r="ZN91" s="49"/>
      <c r="ZO91" s="49"/>
      <c r="ZP91" s="49"/>
      <c r="ZQ91" s="49"/>
      <c r="ZR91" s="49"/>
      <c r="ZS91" s="49"/>
      <c r="ZT91" s="49"/>
      <c r="ZU91" s="49"/>
      <c r="ZV91" s="49"/>
      <c r="ZW91" s="49"/>
      <c r="ZX91" s="49"/>
      <c r="ZY91" s="49"/>
      <c r="ZZ91" s="49"/>
      <c r="AAA91" s="49"/>
      <c r="AAB91" s="49"/>
      <c r="AAC91" s="49"/>
      <c r="AAD91" s="49"/>
      <c r="AAE91" s="49"/>
      <c r="AAF91" s="49"/>
      <c r="AAG91" s="49"/>
      <c r="AAH91" s="49"/>
      <c r="AAI91" s="49"/>
      <c r="AAJ91" s="49"/>
      <c r="AAK91" s="49"/>
      <c r="AAL91" s="49"/>
      <c r="AAM91" s="49"/>
      <c r="AAN91" s="49"/>
      <c r="AAO91" s="49"/>
      <c r="AAP91" s="49"/>
      <c r="AAQ91" s="49"/>
      <c r="AAR91" s="49"/>
      <c r="AAS91" s="49"/>
      <c r="AAT91" s="49"/>
      <c r="AAU91" s="49"/>
      <c r="AAV91" s="49"/>
      <c r="AAW91" s="49"/>
      <c r="AAX91" s="49"/>
      <c r="AAY91" s="49"/>
      <c r="AAZ91" s="49"/>
      <c r="ABA91" s="49"/>
      <c r="ABB91" s="49"/>
      <c r="ABC91" s="49"/>
      <c r="ABD91" s="49"/>
      <c r="ABE91" s="49"/>
      <c r="ABF91" s="49"/>
      <c r="ABG91" s="49"/>
      <c r="ABH91" s="49"/>
      <c r="ABI91" s="49"/>
      <c r="ABJ91" s="49"/>
      <c r="ABK91" s="49"/>
      <c r="ABL91" s="49"/>
      <c r="ABM91" s="49"/>
      <c r="ABN91" s="49"/>
      <c r="ABO91" s="49"/>
      <c r="ABP91" s="49"/>
      <c r="ABQ91" s="49"/>
      <c r="ABR91" s="49"/>
      <c r="ABS91" s="49"/>
      <c r="ABT91" s="49"/>
      <c r="ABU91" s="49"/>
      <c r="ABV91" s="49"/>
      <c r="ABW91" s="49"/>
      <c r="ABX91" s="49"/>
      <c r="ABY91" s="49"/>
      <c r="ABZ91" s="49"/>
      <c r="ACA91" s="49"/>
      <c r="ACB91" s="49"/>
      <c r="ACC91" s="49"/>
      <c r="ACD91" s="49"/>
      <c r="ACE91" s="49"/>
      <c r="ACF91" s="49"/>
      <c r="ACG91" s="49"/>
      <c r="ACH91" s="49"/>
      <c r="ACI91" s="49"/>
      <c r="ACJ91" s="49"/>
      <c r="ACK91" s="49"/>
      <c r="ACL91" s="49"/>
      <c r="ACM91" s="49"/>
      <c r="ACN91" s="49"/>
      <c r="ACO91" s="49"/>
      <c r="ACP91" s="49"/>
      <c r="ACQ91" s="49"/>
      <c r="ACR91" s="49"/>
      <c r="ACS91" s="49"/>
      <c r="ACT91" s="49"/>
      <c r="ACU91" s="49"/>
      <c r="ACV91" s="49"/>
      <c r="ACW91" s="49"/>
      <c r="ACX91" s="49"/>
      <c r="ACY91" s="49"/>
      <c r="ACZ91" s="49"/>
      <c r="ADA91" s="49"/>
      <c r="ADB91" s="49"/>
      <c r="ADC91" s="49"/>
      <c r="ADD91" s="49"/>
      <c r="ADE91" s="49"/>
      <c r="ADF91" s="49"/>
      <c r="ADG91" s="49"/>
      <c r="ADH91" s="49"/>
      <c r="ADI91" s="49"/>
      <c r="ADJ91" s="49"/>
      <c r="ADK91" s="49"/>
      <c r="ADL91" s="49"/>
      <c r="ADM91" s="49"/>
      <c r="ADN91" s="49"/>
      <c r="ADO91" s="49"/>
      <c r="ADP91" s="49"/>
      <c r="ADQ91" s="49"/>
      <c r="ADR91" s="49"/>
      <c r="ADS91" s="49"/>
      <c r="ADT91" s="49"/>
      <c r="ADU91" s="49"/>
      <c r="ADV91" s="49"/>
      <c r="ADW91" s="49"/>
      <c r="ADX91" s="49"/>
      <c r="ADY91" s="49"/>
      <c r="ADZ91" s="49"/>
      <c r="AEA91" s="49"/>
      <c r="AEB91" s="49"/>
      <c r="AEC91" s="49"/>
      <c r="AED91" s="49"/>
      <c r="AEE91" s="49"/>
      <c r="AEF91" s="49"/>
      <c r="AEG91" s="49"/>
      <c r="AEH91" s="49"/>
      <c r="AEI91" s="49"/>
      <c r="AEJ91" s="49"/>
      <c r="AEK91" s="49"/>
      <c r="AEL91" s="49"/>
      <c r="AEM91" s="49"/>
      <c r="AEN91" s="49"/>
      <c r="AEO91" s="49"/>
      <c r="AEP91" s="49"/>
      <c r="AEQ91" s="49"/>
      <c r="AER91" s="49"/>
      <c r="AES91" s="49"/>
      <c r="AET91" s="49"/>
      <c r="AEU91" s="49"/>
      <c r="AEV91" s="49"/>
      <c r="AEW91" s="49"/>
      <c r="AEX91" s="49"/>
      <c r="AEY91" s="49"/>
      <c r="AEZ91" s="49"/>
      <c r="AFA91" s="49"/>
      <c r="AFB91" s="49"/>
      <c r="AFC91" s="49"/>
      <c r="AFD91" s="49"/>
      <c r="AFE91" s="49"/>
      <c r="AFF91" s="49"/>
      <c r="AFG91" s="49"/>
      <c r="AFH91" s="49"/>
      <c r="AFI91" s="49"/>
      <c r="AFJ91" s="49"/>
      <c r="AFK91" s="49"/>
      <c r="AFL91" s="49"/>
      <c r="AFM91" s="49"/>
      <c r="AFN91" s="49"/>
      <c r="AFO91" s="49"/>
      <c r="AFP91" s="49"/>
      <c r="AFQ91" s="49"/>
      <c r="AFR91" s="49"/>
      <c r="AFS91" s="49"/>
      <c r="AFT91" s="49"/>
      <c r="AFU91" s="49"/>
      <c r="AFV91" s="49"/>
      <c r="AFW91" s="49"/>
      <c r="AFX91" s="49"/>
      <c r="AFY91" s="49"/>
      <c r="AFZ91" s="49"/>
      <c r="AGA91" s="49"/>
      <c r="AGB91" s="49"/>
      <c r="AGC91" s="49"/>
      <c r="AGD91" s="49"/>
      <c r="AGE91" s="49"/>
      <c r="AGF91" s="49"/>
      <c r="AGG91" s="49"/>
      <c r="AGH91" s="49"/>
      <c r="AGI91" s="49"/>
      <c r="AGJ91" s="49"/>
      <c r="AGK91" s="49"/>
      <c r="AGL91" s="49"/>
      <c r="AGM91" s="49"/>
      <c r="AGN91" s="49"/>
      <c r="AGO91" s="49"/>
      <c r="AGP91" s="49"/>
      <c r="AGQ91" s="49"/>
      <c r="AGR91" s="49"/>
      <c r="AGS91" s="49"/>
      <c r="AGT91" s="49"/>
      <c r="AGU91" s="49"/>
      <c r="AGV91" s="49"/>
      <c r="AGW91" s="49"/>
      <c r="AGX91" s="49"/>
      <c r="AGY91" s="49"/>
      <c r="AGZ91" s="49"/>
      <c r="AHA91" s="49"/>
      <c r="AHB91" s="49"/>
      <c r="AHC91" s="49"/>
      <c r="AHD91" s="49"/>
      <c r="AHE91" s="49"/>
      <c r="AHF91" s="49"/>
      <c r="AHG91" s="49"/>
      <c r="AHH91" s="49"/>
      <c r="AHI91" s="49"/>
      <c r="AHJ91" s="49"/>
      <c r="AHK91" s="49"/>
      <c r="AHL91" s="49"/>
      <c r="AHM91" s="49"/>
      <c r="AHN91" s="49"/>
      <c r="AHO91" s="49"/>
      <c r="AHP91" s="49"/>
      <c r="AHQ91" s="49"/>
      <c r="AHR91" s="49"/>
      <c r="AHS91" s="49"/>
      <c r="AHT91" s="49"/>
      <c r="AHU91" s="49"/>
      <c r="AHV91" s="49"/>
      <c r="AHW91" s="49"/>
      <c r="AHX91" s="49"/>
      <c r="AHY91" s="49"/>
      <c r="AHZ91" s="49"/>
      <c r="AIA91" s="49"/>
      <c r="AIB91" s="49"/>
      <c r="AIC91" s="49"/>
      <c r="AID91" s="49"/>
      <c r="AIE91" s="49"/>
      <c r="AIF91" s="49"/>
      <c r="AIG91" s="49"/>
      <c r="AIH91" s="49"/>
      <c r="AII91" s="49"/>
      <c r="AIJ91" s="49"/>
      <c r="AIK91" s="49"/>
      <c r="AIL91" s="49"/>
      <c r="AIM91" s="49"/>
      <c r="AIN91" s="49"/>
      <c r="AIO91" s="49"/>
      <c r="AIP91" s="49"/>
      <c r="AIQ91" s="49"/>
      <c r="AIR91" s="49"/>
      <c r="AIS91" s="49"/>
      <c r="AIT91" s="49"/>
      <c r="AIU91" s="49"/>
      <c r="AIV91" s="49"/>
      <c r="AIW91" s="49"/>
      <c r="AIX91" s="49"/>
      <c r="AIY91" s="49"/>
      <c r="AIZ91" s="49"/>
      <c r="AJA91" s="49"/>
      <c r="AJB91" s="49"/>
      <c r="AJC91" s="49"/>
      <c r="AJD91" s="49"/>
      <c r="AJE91" s="49"/>
      <c r="AJF91" s="49"/>
      <c r="AJG91" s="49"/>
      <c r="AJH91" s="49"/>
      <c r="AJI91" s="49"/>
      <c r="AJJ91" s="49"/>
      <c r="AJK91" s="49"/>
      <c r="AJL91" s="49"/>
      <c r="AJM91" s="49"/>
      <c r="AJN91" s="49"/>
      <c r="AJO91" s="49"/>
      <c r="AJP91" s="49"/>
      <c r="AJQ91" s="49"/>
      <c r="AJR91" s="49"/>
      <c r="AJS91" s="49"/>
      <c r="AJT91" s="49"/>
      <c r="AJU91" s="49"/>
      <c r="AJV91" s="49"/>
      <c r="AJW91" s="49"/>
      <c r="AJX91" s="49"/>
      <c r="AJY91" s="49"/>
      <c r="AJZ91" s="49"/>
      <c r="AKA91" s="49"/>
      <c r="AKB91" s="49"/>
      <c r="AKC91" s="49"/>
      <c r="AKD91" s="49"/>
      <c r="AKE91" s="49"/>
      <c r="AKF91" s="49"/>
      <c r="AKG91" s="49"/>
      <c r="AKH91" s="49"/>
      <c r="AKI91" s="49"/>
      <c r="AKJ91" s="49"/>
      <c r="AKK91" s="49"/>
      <c r="AKL91" s="49"/>
      <c r="AKM91" s="49"/>
      <c r="AKN91" s="49"/>
      <c r="AKO91" s="49"/>
      <c r="AKP91" s="49"/>
      <c r="AKQ91" s="49"/>
      <c r="AKR91" s="49"/>
      <c r="AKS91" s="49"/>
      <c r="AKT91" s="49"/>
      <c r="AKU91" s="49"/>
      <c r="AKV91" s="49"/>
      <c r="AKW91" s="49"/>
      <c r="AKX91" s="49"/>
      <c r="AKY91" s="49"/>
      <c r="AKZ91" s="49"/>
      <c r="ALA91" s="49"/>
      <c r="ALB91" s="49"/>
      <c r="ALC91" s="49"/>
      <c r="ALD91" s="49"/>
      <c r="ALE91" s="49"/>
      <c r="ALF91" s="49"/>
      <c r="ALG91" s="49"/>
      <c r="ALH91" s="49"/>
      <c r="ALI91" s="49"/>
      <c r="ALJ91" s="49"/>
      <c r="ALK91" s="49"/>
      <c r="ALL91" s="49"/>
      <c r="ALM91" s="49"/>
      <c r="ALN91" s="49"/>
      <c r="ALO91" s="49"/>
      <c r="ALP91" s="49"/>
      <c r="ALQ91" s="49"/>
      <c r="ALR91" s="49"/>
      <c r="ALS91" s="49"/>
      <c r="ALT91" s="49"/>
      <c r="ALU91" s="49"/>
      <c r="ALV91" s="49"/>
      <c r="ALW91" s="49"/>
      <c r="ALX91" s="49"/>
      <c r="ALY91" s="49"/>
      <c r="ALZ91" s="49"/>
      <c r="AMA91" s="49"/>
      <c r="AMB91" s="49"/>
      <c r="AMC91" s="49"/>
      <c r="AMD91" s="49"/>
      <c r="AME91" s="49"/>
      <c r="AMF91" s="49"/>
      <c r="AMG91" s="49"/>
      <c r="AMH91" s="49"/>
      <c r="AMI91" s="49"/>
      <c r="AMJ91" s="49"/>
    </row>
    <row r="92" spans="12:1024" ht="20.25" customHeight="1" x14ac:dyDescent="0.2">
      <c r="L92" s="49"/>
      <c r="M92" s="50"/>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49"/>
      <c r="EJ92" s="49"/>
      <c r="EK92" s="49"/>
      <c r="EL92" s="49"/>
      <c r="EM92" s="49"/>
      <c r="EN92" s="49"/>
      <c r="EO92" s="49"/>
      <c r="EP92" s="49"/>
      <c r="EQ92" s="49"/>
      <c r="ER92" s="49"/>
      <c r="ES92" s="49"/>
      <c r="ET92" s="49"/>
      <c r="EU92" s="49"/>
      <c r="EV92" s="49"/>
      <c r="EW92" s="49"/>
      <c r="EX92" s="49"/>
      <c r="EY92" s="49"/>
      <c r="EZ92" s="49"/>
      <c r="FA92" s="49"/>
      <c r="FB92" s="49"/>
      <c r="FC92" s="49"/>
      <c r="FD92" s="49"/>
      <c r="FE92" s="49"/>
      <c r="FF92" s="49"/>
      <c r="FG92" s="49"/>
      <c r="FH92" s="49"/>
      <c r="FI92" s="49"/>
      <c r="FJ92" s="49"/>
      <c r="FK92" s="49"/>
      <c r="FL92" s="49"/>
      <c r="FM92" s="49"/>
      <c r="FN92" s="49"/>
      <c r="FO92" s="49"/>
      <c r="FP92" s="49"/>
      <c r="FQ92" s="49"/>
      <c r="FR92" s="49"/>
      <c r="FS92" s="49"/>
      <c r="FT92" s="49"/>
      <c r="FU92" s="49"/>
      <c r="FV92" s="49"/>
      <c r="FW92" s="49"/>
      <c r="FX92" s="49"/>
      <c r="FY92" s="49"/>
      <c r="FZ92" s="49"/>
      <c r="GA92" s="49"/>
      <c r="GB92" s="49"/>
      <c r="GC92" s="49"/>
      <c r="GD92" s="49"/>
      <c r="GE92" s="49"/>
      <c r="GF92" s="49"/>
      <c r="GG92" s="49"/>
      <c r="GH92" s="49"/>
      <c r="GI92" s="49"/>
      <c r="GJ92" s="49"/>
      <c r="GK92" s="49"/>
      <c r="GL92" s="49"/>
      <c r="GM92" s="49"/>
      <c r="GN92" s="49"/>
      <c r="GO92" s="49"/>
      <c r="GP92" s="49"/>
      <c r="GQ92" s="49"/>
      <c r="GR92" s="49"/>
      <c r="GS92" s="49"/>
      <c r="GT92" s="49"/>
      <c r="GU92" s="49"/>
      <c r="GV92" s="49"/>
      <c r="GW92" s="49"/>
      <c r="GX92" s="49"/>
      <c r="GY92" s="49"/>
      <c r="GZ92" s="49"/>
      <c r="HA92" s="49"/>
      <c r="HB92" s="49"/>
      <c r="HC92" s="49"/>
      <c r="HD92" s="49"/>
      <c r="HE92" s="49"/>
      <c r="HF92" s="49"/>
      <c r="HG92" s="49"/>
      <c r="HH92" s="49"/>
      <c r="HI92" s="49"/>
      <c r="HJ92" s="49"/>
      <c r="HK92" s="49"/>
      <c r="HL92" s="49"/>
      <c r="HM92" s="49"/>
      <c r="HN92" s="49"/>
      <c r="HO92" s="49"/>
      <c r="HP92" s="49"/>
      <c r="HQ92" s="49"/>
      <c r="HR92" s="49"/>
      <c r="HS92" s="49"/>
      <c r="HT92" s="49"/>
      <c r="HU92" s="49"/>
      <c r="HV92" s="49"/>
      <c r="HW92" s="49"/>
      <c r="HX92" s="49"/>
      <c r="HY92" s="49"/>
      <c r="HZ92" s="49"/>
      <c r="IA92" s="49"/>
      <c r="IB92" s="49"/>
      <c r="IC92" s="49"/>
      <c r="ID92" s="49"/>
      <c r="IE92" s="49"/>
      <c r="IF92" s="49"/>
      <c r="IG92" s="49"/>
      <c r="IH92" s="49"/>
      <c r="II92" s="49"/>
      <c r="IJ92" s="49"/>
      <c r="IK92" s="49"/>
      <c r="IL92" s="49"/>
      <c r="IM92" s="49"/>
      <c r="IN92" s="49"/>
      <c r="IO92" s="49"/>
      <c r="IP92" s="49"/>
      <c r="IQ92" s="49"/>
      <c r="IR92" s="49"/>
      <c r="IS92" s="49"/>
      <c r="IT92" s="49"/>
      <c r="IU92" s="49"/>
      <c r="IV92" s="49"/>
      <c r="IW92" s="49"/>
      <c r="IX92" s="49"/>
      <c r="IY92" s="49"/>
      <c r="IZ92" s="49"/>
      <c r="JA92" s="49"/>
      <c r="JB92" s="49"/>
      <c r="JC92" s="49"/>
      <c r="JD92" s="49"/>
      <c r="JE92" s="49"/>
      <c r="JF92" s="49"/>
      <c r="JG92" s="49"/>
      <c r="JH92" s="49"/>
      <c r="JI92" s="49"/>
      <c r="JJ92" s="49"/>
      <c r="JK92" s="49"/>
      <c r="JL92" s="49"/>
      <c r="JM92" s="49"/>
      <c r="JN92" s="49"/>
      <c r="JO92" s="49"/>
      <c r="JP92" s="49"/>
      <c r="JQ92" s="49"/>
      <c r="JR92" s="49"/>
      <c r="JS92" s="49"/>
      <c r="JT92" s="49"/>
      <c r="JU92" s="49"/>
      <c r="JV92" s="49"/>
      <c r="JW92" s="49"/>
      <c r="JX92" s="49"/>
      <c r="JY92" s="49"/>
      <c r="JZ92" s="49"/>
      <c r="KA92" s="49"/>
      <c r="KB92" s="49"/>
      <c r="KC92" s="49"/>
      <c r="KD92" s="49"/>
      <c r="KE92" s="49"/>
      <c r="KF92" s="49"/>
      <c r="KG92" s="49"/>
      <c r="KH92" s="49"/>
      <c r="KI92" s="49"/>
      <c r="KJ92" s="49"/>
      <c r="KK92" s="49"/>
      <c r="KL92" s="49"/>
      <c r="KM92" s="49"/>
      <c r="KN92" s="49"/>
      <c r="KO92" s="49"/>
      <c r="KP92" s="49"/>
      <c r="KQ92" s="49"/>
      <c r="KR92" s="49"/>
      <c r="KS92" s="49"/>
      <c r="KT92" s="49"/>
      <c r="KU92" s="49"/>
      <c r="KV92" s="49"/>
      <c r="KW92" s="49"/>
      <c r="KX92" s="49"/>
      <c r="KY92" s="49"/>
      <c r="KZ92" s="49"/>
      <c r="LA92" s="49"/>
      <c r="LB92" s="49"/>
      <c r="LC92" s="49"/>
      <c r="LD92" s="49"/>
      <c r="LE92" s="49"/>
      <c r="LF92" s="49"/>
      <c r="LG92" s="49"/>
      <c r="LH92" s="49"/>
      <c r="LI92" s="49"/>
      <c r="LJ92" s="49"/>
      <c r="LK92" s="49"/>
      <c r="LL92" s="49"/>
      <c r="LM92" s="49"/>
      <c r="LN92" s="49"/>
      <c r="LO92" s="49"/>
      <c r="LP92" s="49"/>
      <c r="LQ92" s="49"/>
      <c r="LR92" s="49"/>
      <c r="LS92" s="49"/>
      <c r="LT92" s="49"/>
      <c r="LU92" s="49"/>
      <c r="LV92" s="49"/>
      <c r="LW92" s="49"/>
      <c r="LX92" s="49"/>
      <c r="LY92" s="49"/>
      <c r="LZ92" s="49"/>
      <c r="MA92" s="49"/>
      <c r="MB92" s="49"/>
      <c r="MC92" s="49"/>
      <c r="MD92" s="49"/>
      <c r="ME92" s="49"/>
      <c r="MF92" s="49"/>
      <c r="MG92" s="49"/>
      <c r="MH92" s="49"/>
      <c r="MI92" s="49"/>
      <c r="MJ92" s="49"/>
      <c r="MK92" s="49"/>
      <c r="ML92" s="49"/>
      <c r="MM92" s="49"/>
      <c r="MN92" s="49"/>
      <c r="MO92" s="49"/>
      <c r="MP92" s="49"/>
      <c r="MQ92" s="49"/>
      <c r="MR92" s="49"/>
      <c r="MS92" s="49"/>
      <c r="MT92" s="49"/>
      <c r="MU92" s="49"/>
      <c r="MV92" s="49"/>
      <c r="MW92" s="49"/>
      <c r="MX92" s="49"/>
      <c r="MY92" s="49"/>
      <c r="MZ92" s="49"/>
      <c r="NA92" s="49"/>
      <c r="NB92" s="49"/>
      <c r="NC92" s="49"/>
      <c r="ND92" s="49"/>
      <c r="NE92" s="49"/>
      <c r="NF92" s="49"/>
      <c r="NG92" s="49"/>
      <c r="NH92" s="49"/>
      <c r="NI92" s="49"/>
      <c r="NJ92" s="49"/>
      <c r="NK92" s="49"/>
      <c r="NL92" s="49"/>
      <c r="NM92" s="49"/>
      <c r="NN92" s="49"/>
      <c r="NO92" s="49"/>
      <c r="NP92" s="49"/>
      <c r="NQ92" s="49"/>
      <c r="NR92" s="49"/>
      <c r="NS92" s="49"/>
      <c r="NT92" s="49"/>
      <c r="NU92" s="49"/>
      <c r="NV92" s="49"/>
      <c r="NW92" s="49"/>
      <c r="NX92" s="49"/>
      <c r="NY92" s="49"/>
      <c r="NZ92" s="49"/>
      <c r="OA92" s="49"/>
      <c r="OB92" s="49"/>
      <c r="OC92" s="49"/>
      <c r="OD92" s="49"/>
      <c r="OE92" s="49"/>
      <c r="OF92" s="49"/>
      <c r="OG92" s="49"/>
      <c r="OH92" s="49"/>
      <c r="OI92" s="49"/>
      <c r="OJ92" s="49"/>
      <c r="OK92" s="49"/>
      <c r="OL92" s="49"/>
      <c r="OM92" s="49"/>
      <c r="ON92" s="49"/>
      <c r="OO92" s="49"/>
      <c r="OP92" s="49"/>
      <c r="OQ92" s="49"/>
      <c r="OR92" s="49"/>
      <c r="OS92" s="49"/>
      <c r="OT92" s="49"/>
      <c r="OU92" s="49"/>
      <c r="OV92" s="49"/>
      <c r="OW92" s="49"/>
      <c r="OX92" s="49"/>
      <c r="OY92" s="49"/>
      <c r="OZ92" s="49"/>
      <c r="PA92" s="49"/>
      <c r="PB92" s="49"/>
      <c r="PC92" s="49"/>
      <c r="PD92" s="49"/>
      <c r="PE92" s="49"/>
      <c r="PF92" s="49"/>
      <c r="PG92" s="49"/>
      <c r="PH92" s="49"/>
      <c r="PI92" s="49"/>
      <c r="PJ92" s="49"/>
      <c r="PK92" s="49"/>
      <c r="PL92" s="49"/>
      <c r="PM92" s="49"/>
      <c r="PN92" s="49"/>
      <c r="PO92" s="49"/>
      <c r="PP92" s="49"/>
      <c r="PQ92" s="49"/>
      <c r="PR92" s="49"/>
      <c r="PS92" s="49"/>
      <c r="PT92" s="49"/>
      <c r="PU92" s="49"/>
      <c r="PV92" s="49"/>
      <c r="PW92" s="49"/>
      <c r="PX92" s="49"/>
      <c r="PY92" s="49"/>
      <c r="PZ92" s="49"/>
      <c r="QA92" s="49"/>
      <c r="QB92" s="49"/>
      <c r="QC92" s="49"/>
      <c r="QD92" s="49"/>
      <c r="QE92" s="49"/>
      <c r="QF92" s="49"/>
      <c r="QG92" s="49"/>
      <c r="QH92" s="49"/>
      <c r="QI92" s="49"/>
      <c r="QJ92" s="49"/>
      <c r="QK92" s="49"/>
      <c r="QL92" s="49"/>
      <c r="QM92" s="49"/>
      <c r="QN92" s="49"/>
      <c r="QO92" s="49"/>
      <c r="QP92" s="49"/>
      <c r="QQ92" s="49"/>
      <c r="QR92" s="49"/>
      <c r="QS92" s="49"/>
      <c r="QT92" s="49"/>
      <c r="QU92" s="49"/>
      <c r="QV92" s="49"/>
      <c r="QW92" s="49"/>
      <c r="QX92" s="49"/>
      <c r="QY92" s="49"/>
      <c r="QZ92" s="49"/>
      <c r="RA92" s="49"/>
      <c r="RB92" s="49"/>
      <c r="RC92" s="49"/>
      <c r="RD92" s="49"/>
      <c r="RE92" s="49"/>
      <c r="RF92" s="49"/>
      <c r="RG92" s="49"/>
      <c r="RH92" s="49"/>
      <c r="RI92" s="49"/>
      <c r="RJ92" s="49"/>
      <c r="RK92" s="49"/>
      <c r="RL92" s="49"/>
      <c r="RM92" s="49"/>
      <c r="RN92" s="49"/>
      <c r="RO92" s="49"/>
      <c r="RP92" s="49"/>
      <c r="RQ92" s="49"/>
      <c r="RR92" s="49"/>
      <c r="RS92" s="49"/>
      <c r="RT92" s="49"/>
      <c r="RU92" s="49"/>
      <c r="RV92" s="49"/>
      <c r="RW92" s="49"/>
      <c r="RX92" s="49"/>
      <c r="RY92" s="49"/>
      <c r="RZ92" s="49"/>
      <c r="SA92" s="49"/>
      <c r="SB92" s="49"/>
      <c r="SC92" s="49"/>
      <c r="SD92" s="49"/>
      <c r="SE92" s="49"/>
      <c r="SF92" s="49"/>
      <c r="SG92" s="49"/>
      <c r="SH92" s="49"/>
      <c r="SI92" s="49"/>
      <c r="SJ92" s="49"/>
      <c r="SK92" s="49"/>
      <c r="SL92" s="49"/>
      <c r="SM92" s="49"/>
      <c r="SN92" s="49"/>
      <c r="SO92" s="49"/>
      <c r="SP92" s="49"/>
      <c r="SQ92" s="49"/>
      <c r="SR92" s="49"/>
      <c r="SS92" s="49"/>
      <c r="ST92" s="49"/>
      <c r="SU92" s="49"/>
      <c r="SV92" s="49"/>
      <c r="SW92" s="49"/>
      <c r="SX92" s="49"/>
      <c r="SY92" s="49"/>
      <c r="SZ92" s="49"/>
      <c r="TA92" s="49"/>
      <c r="TB92" s="49"/>
      <c r="TC92" s="49"/>
      <c r="TD92" s="49"/>
      <c r="TE92" s="49"/>
      <c r="TF92" s="49"/>
      <c r="TG92" s="49"/>
      <c r="TH92" s="49"/>
      <c r="TI92" s="49"/>
      <c r="TJ92" s="49"/>
      <c r="TK92" s="49"/>
      <c r="TL92" s="49"/>
      <c r="TM92" s="49"/>
      <c r="TN92" s="49"/>
      <c r="TO92" s="49"/>
      <c r="TP92" s="49"/>
      <c r="TQ92" s="49"/>
      <c r="TR92" s="49"/>
      <c r="TS92" s="49"/>
      <c r="TT92" s="49"/>
      <c r="TU92" s="49"/>
      <c r="TV92" s="49"/>
      <c r="TW92" s="49"/>
      <c r="TX92" s="49"/>
      <c r="TY92" s="49"/>
      <c r="TZ92" s="49"/>
      <c r="UA92" s="49"/>
      <c r="UB92" s="49"/>
      <c r="UC92" s="49"/>
      <c r="UD92" s="49"/>
      <c r="UE92" s="49"/>
      <c r="UF92" s="49"/>
      <c r="UG92" s="49"/>
      <c r="UH92" s="49"/>
      <c r="UI92" s="49"/>
      <c r="UJ92" s="49"/>
      <c r="UK92" s="49"/>
      <c r="UL92" s="49"/>
      <c r="UM92" s="49"/>
      <c r="UN92" s="49"/>
      <c r="UO92" s="49"/>
      <c r="UP92" s="49"/>
      <c r="UQ92" s="49"/>
      <c r="UR92" s="49"/>
      <c r="US92" s="49"/>
      <c r="UT92" s="49"/>
      <c r="UU92" s="49"/>
      <c r="UV92" s="49"/>
      <c r="UW92" s="49"/>
      <c r="UX92" s="49"/>
      <c r="UY92" s="49"/>
      <c r="UZ92" s="49"/>
      <c r="VA92" s="49"/>
      <c r="VB92" s="49"/>
      <c r="VC92" s="49"/>
      <c r="VD92" s="49"/>
      <c r="VE92" s="49"/>
      <c r="VF92" s="49"/>
      <c r="VG92" s="49"/>
      <c r="VH92" s="49"/>
      <c r="VI92" s="49"/>
      <c r="VJ92" s="49"/>
      <c r="VK92" s="49"/>
      <c r="VL92" s="49"/>
      <c r="VM92" s="49"/>
      <c r="VN92" s="49"/>
      <c r="VO92" s="49"/>
      <c r="VP92" s="49"/>
      <c r="VQ92" s="49"/>
      <c r="VR92" s="49"/>
      <c r="VS92" s="49"/>
      <c r="VT92" s="49"/>
      <c r="VU92" s="49"/>
      <c r="VV92" s="49"/>
      <c r="VW92" s="49"/>
      <c r="VX92" s="49"/>
      <c r="VY92" s="49"/>
      <c r="VZ92" s="49"/>
      <c r="WA92" s="49"/>
      <c r="WB92" s="49"/>
      <c r="WC92" s="49"/>
      <c r="WD92" s="49"/>
      <c r="WE92" s="49"/>
      <c r="WF92" s="49"/>
      <c r="WG92" s="49"/>
      <c r="WH92" s="49"/>
      <c r="WI92" s="49"/>
      <c r="WJ92" s="49"/>
      <c r="WK92" s="49"/>
      <c r="WL92" s="49"/>
      <c r="WM92" s="49"/>
      <c r="WN92" s="49"/>
      <c r="WO92" s="49"/>
      <c r="WP92" s="49"/>
      <c r="WQ92" s="49"/>
      <c r="WR92" s="49"/>
      <c r="WS92" s="49"/>
      <c r="WT92" s="49"/>
      <c r="WU92" s="49"/>
      <c r="WV92" s="49"/>
      <c r="WW92" s="49"/>
      <c r="WX92" s="49"/>
      <c r="WY92" s="49"/>
      <c r="WZ92" s="49"/>
      <c r="XA92" s="49"/>
      <c r="XB92" s="49"/>
      <c r="XC92" s="49"/>
      <c r="XD92" s="49"/>
      <c r="XE92" s="49"/>
      <c r="XF92" s="49"/>
      <c r="XG92" s="49"/>
      <c r="XH92" s="49"/>
      <c r="XI92" s="49"/>
      <c r="XJ92" s="49"/>
      <c r="XK92" s="49"/>
      <c r="XL92" s="49"/>
      <c r="XM92" s="49"/>
      <c r="XN92" s="49"/>
      <c r="XO92" s="49"/>
      <c r="XP92" s="49"/>
      <c r="XQ92" s="49"/>
      <c r="XR92" s="49"/>
      <c r="XS92" s="49"/>
      <c r="XT92" s="49"/>
      <c r="XU92" s="49"/>
      <c r="XV92" s="49"/>
      <c r="XW92" s="49"/>
      <c r="XX92" s="49"/>
      <c r="XY92" s="49"/>
      <c r="XZ92" s="49"/>
      <c r="YA92" s="49"/>
      <c r="YB92" s="49"/>
      <c r="YC92" s="49"/>
      <c r="YD92" s="49"/>
      <c r="YE92" s="49"/>
      <c r="YF92" s="49"/>
      <c r="YG92" s="49"/>
      <c r="YH92" s="49"/>
      <c r="YI92" s="49"/>
      <c r="YJ92" s="49"/>
      <c r="YK92" s="49"/>
      <c r="YL92" s="49"/>
      <c r="YM92" s="49"/>
      <c r="YN92" s="49"/>
      <c r="YO92" s="49"/>
      <c r="YP92" s="49"/>
      <c r="YQ92" s="49"/>
      <c r="YR92" s="49"/>
      <c r="YS92" s="49"/>
      <c r="YT92" s="49"/>
      <c r="YU92" s="49"/>
      <c r="YV92" s="49"/>
      <c r="YW92" s="49"/>
      <c r="YX92" s="49"/>
      <c r="YY92" s="49"/>
      <c r="YZ92" s="49"/>
      <c r="ZA92" s="49"/>
      <c r="ZB92" s="49"/>
      <c r="ZC92" s="49"/>
      <c r="ZD92" s="49"/>
      <c r="ZE92" s="49"/>
      <c r="ZF92" s="49"/>
      <c r="ZG92" s="49"/>
      <c r="ZH92" s="49"/>
      <c r="ZI92" s="49"/>
      <c r="ZJ92" s="49"/>
      <c r="ZK92" s="49"/>
      <c r="ZL92" s="49"/>
      <c r="ZM92" s="49"/>
      <c r="ZN92" s="49"/>
      <c r="ZO92" s="49"/>
      <c r="ZP92" s="49"/>
      <c r="ZQ92" s="49"/>
      <c r="ZR92" s="49"/>
      <c r="ZS92" s="49"/>
      <c r="ZT92" s="49"/>
      <c r="ZU92" s="49"/>
      <c r="ZV92" s="49"/>
      <c r="ZW92" s="49"/>
      <c r="ZX92" s="49"/>
      <c r="ZY92" s="49"/>
      <c r="ZZ92" s="49"/>
      <c r="AAA92" s="49"/>
      <c r="AAB92" s="49"/>
      <c r="AAC92" s="49"/>
      <c r="AAD92" s="49"/>
      <c r="AAE92" s="49"/>
      <c r="AAF92" s="49"/>
      <c r="AAG92" s="49"/>
      <c r="AAH92" s="49"/>
      <c r="AAI92" s="49"/>
      <c r="AAJ92" s="49"/>
      <c r="AAK92" s="49"/>
      <c r="AAL92" s="49"/>
      <c r="AAM92" s="49"/>
      <c r="AAN92" s="49"/>
      <c r="AAO92" s="49"/>
      <c r="AAP92" s="49"/>
      <c r="AAQ92" s="49"/>
      <c r="AAR92" s="49"/>
      <c r="AAS92" s="49"/>
      <c r="AAT92" s="49"/>
      <c r="AAU92" s="49"/>
      <c r="AAV92" s="49"/>
      <c r="AAW92" s="49"/>
      <c r="AAX92" s="49"/>
      <c r="AAY92" s="49"/>
      <c r="AAZ92" s="49"/>
      <c r="ABA92" s="49"/>
      <c r="ABB92" s="49"/>
      <c r="ABC92" s="49"/>
      <c r="ABD92" s="49"/>
      <c r="ABE92" s="49"/>
      <c r="ABF92" s="49"/>
      <c r="ABG92" s="49"/>
      <c r="ABH92" s="49"/>
      <c r="ABI92" s="49"/>
      <c r="ABJ92" s="49"/>
      <c r="ABK92" s="49"/>
      <c r="ABL92" s="49"/>
      <c r="ABM92" s="49"/>
      <c r="ABN92" s="49"/>
      <c r="ABO92" s="49"/>
      <c r="ABP92" s="49"/>
      <c r="ABQ92" s="49"/>
      <c r="ABR92" s="49"/>
      <c r="ABS92" s="49"/>
      <c r="ABT92" s="49"/>
      <c r="ABU92" s="49"/>
      <c r="ABV92" s="49"/>
      <c r="ABW92" s="49"/>
      <c r="ABX92" s="49"/>
      <c r="ABY92" s="49"/>
      <c r="ABZ92" s="49"/>
      <c r="ACA92" s="49"/>
      <c r="ACB92" s="49"/>
      <c r="ACC92" s="49"/>
      <c r="ACD92" s="49"/>
      <c r="ACE92" s="49"/>
      <c r="ACF92" s="49"/>
      <c r="ACG92" s="49"/>
      <c r="ACH92" s="49"/>
      <c r="ACI92" s="49"/>
      <c r="ACJ92" s="49"/>
      <c r="ACK92" s="49"/>
      <c r="ACL92" s="49"/>
      <c r="ACM92" s="49"/>
      <c r="ACN92" s="49"/>
      <c r="ACO92" s="49"/>
      <c r="ACP92" s="49"/>
      <c r="ACQ92" s="49"/>
      <c r="ACR92" s="49"/>
      <c r="ACS92" s="49"/>
      <c r="ACT92" s="49"/>
      <c r="ACU92" s="49"/>
      <c r="ACV92" s="49"/>
      <c r="ACW92" s="49"/>
      <c r="ACX92" s="49"/>
      <c r="ACY92" s="49"/>
      <c r="ACZ92" s="49"/>
      <c r="ADA92" s="49"/>
      <c r="ADB92" s="49"/>
      <c r="ADC92" s="49"/>
      <c r="ADD92" s="49"/>
      <c r="ADE92" s="49"/>
      <c r="ADF92" s="49"/>
      <c r="ADG92" s="49"/>
      <c r="ADH92" s="49"/>
      <c r="ADI92" s="49"/>
      <c r="ADJ92" s="49"/>
      <c r="ADK92" s="49"/>
      <c r="ADL92" s="49"/>
      <c r="ADM92" s="49"/>
      <c r="ADN92" s="49"/>
      <c r="ADO92" s="49"/>
      <c r="ADP92" s="49"/>
      <c r="ADQ92" s="49"/>
      <c r="ADR92" s="49"/>
      <c r="ADS92" s="49"/>
      <c r="ADT92" s="49"/>
      <c r="ADU92" s="49"/>
      <c r="ADV92" s="49"/>
      <c r="ADW92" s="49"/>
      <c r="ADX92" s="49"/>
      <c r="ADY92" s="49"/>
      <c r="ADZ92" s="49"/>
      <c r="AEA92" s="49"/>
      <c r="AEB92" s="49"/>
      <c r="AEC92" s="49"/>
      <c r="AED92" s="49"/>
      <c r="AEE92" s="49"/>
      <c r="AEF92" s="49"/>
      <c r="AEG92" s="49"/>
      <c r="AEH92" s="49"/>
      <c r="AEI92" s="49"/>
      <c r="AEJ92" s="49"/>
      <c r="AEK92" s="49"/>
      <c r="AEL92" s="49"/>
      <c r="AEM92" s="49"/>
      <c r="AEN92" s="49"/>
      <c r="AEO92" s="49"/>
      <c r="AEP92" s="49"/>
      <c r="AEQ92" s="49"/>
      <c r="AER92" s="49"/>
      <c r="AES92" s="49"/>
      <c r="AET92" s="49"/>
      <c r="AEU92" s="49"/>
      <c r="AEV92" s="49"/>
      <c r="AEW92" s="49"/>
      <c r="AEX92" s="49"/>
      <c r="AEY92" s="49"/>
      <c r="AEZ92" s="49"/>
      <c r="AFA92" s="49"/>
      <c r="AFB92" s="49"/>
      <c r="AFC92" s="49"/>
      <c r="AFD92" s="49"/>
      <c r="AFE92" s="49"/>
      <c r="AFF92" s="49"/>
      <c r="AFG92" s="49"/>
      <c r="AFH92" s="49"/>
      <c r="AFI92" s="49"/>
      <c r="AFJ92" s="49"/>
      <c r="AFK92" s="49"/>
      <c r="AFL92" s="49"/>
      <c r="AFM92" s="49"/>
      <c r="AFN92" s="49"/>
      <c r="AFO92" s="49"/>
      <c r="AFP92" s="49"/>
      <c r="AFQ92" s="49"/>
      <c r="AFR92" s="49"/>
      <c r="AFS92" s="49"/>
      <c r="AFT92" s="49"/>
      <c r="AFU92" s="49"/>
      <c r="AFV92" s="49"/>
      <c r="AFW92" s="49"/>
      <c r="AFX92" s="49"/>
      <c r="AFY92" s="49"/>
      <c r="AFZ92" s="49"/>
      <c r="AGA92" s="49"/>
      <c r="AGB92" s="49"/>
      <c r="AGC92" s="49"/>
      <c r="AGD92" s="49"/>
      <c r="AGE92" s="49"/>
      <c r="AGF92" s="49"/>
      <c r="AGG92" s="49"/>
      <c r="AGH92" s="49"/>
      <c r="AGI92" s="49"/>
      <c r="AGJ92" s="49"/>
      <c r="AGK92" s="49"/>
      <c r="AGL92" s="49"/>
      <c r="AGM92" s="49"/>
      <c r="AGN92" s="49"/>
      <c r="AGO92" s="49"/>
      <c r="AGP92" s="49"/>
      <c r="AGQ92" s="49"/>
      <c r="AGR92" s="49"/>
      <c r="AGS92" s="49"/>
      <c r="AGT92" s="49"/>
      <c r="AGU92" s="49"/>
      <c r="AGV92" s="49"/>
      <c r="AGW92" s="49"/>
      <c r="AGX92" s="49"/>
      <c r="AGY92" s="49"/>
      <c r="AGZ92" s="49"/>
      <c r="AHA92" s="49"/>
      <c r="AHB92" s="49"/>
      <c r="AHC92" s="49"/>
      <c r="AHD92" s="49"/>
      <c r="AHE92" s="49"/>
      <c r="AHF92" s="49"/>
      <c r="AHG92" s="49"/>
      <c r="AHH92" s="49"/>
      <c r="AHI92" s="49"/>
      <c r="AHJ92" s="49"/>
      <c r="AHK92" s="49"/>
      <c r="AHL92" s="49"/>
      <c r="AHM92" s="49"/>
      <c r="AHN92" s="49"/>
      <c r="AHO92" s="49"/>
      <c r="AHP92" s="49"/>
      <c r="AHQ92" s="49"/>
      <c r="AHR92" s="49"/>
      <c r="AHS92" s="49"/>
      <c r="AHT92" s="49"/>
      <c r="AHU92" s="49"/>
      <c r="AHV92" s="49"/>
      <c r="AHW92" s="49"/>
      <c r="AHX92" s="49"/>
      <c r="AHY92" s="49"/>
      <c r="AHZ92" s="49"/>
      <c r="AIA92" s="49"/>
      <c r="AIB92" s="49"/>
      <c r="AIC92" s="49"/>
      <c r="AID92" s="49"/>
      <c r="AIE92" s="49"/>
      <c r="AIF92" s="49"/>
      <c r="AIG92" s="49"/>
      <c r="AIH92" s="49"/>
      <c r="AII92" s="49"/>
      <c r="AIJ92" s="49"/>
      <c r="AIK92" s="49"/>
      <c r="AIL92" s="49"/>
      <c r="AIM92" s="49"/>
      <c r="AIN92" s="49"/>
      <c r="AIO92" s="49"/>
      <c r="AIP92" s="49"/>
      <c r="AIQ92" s="49"/>
      <c r="AIR92" s="49"/>
      <c r="AIS92" s="49"/>
      <c r="AIT92" s="49"/>
      <c r="AIU92" s="49"/>
      <c r="AIV92" s="49"/>
      <c r="AIW92" s="49"/>
      <c r="AIX92" s="49"/>
      <c r="AIY92" s="49"/>
      <c r="AIZ92" s="49"/>
      <c r="AJA92" s="49"/>
      <c r="AJB92" s="49"/>
      <c r="AJC92" s="49"/>
      <c r="AJD92" s="49"/>
      <c r="AJE92" s="49"/>
      <c r="AJF92" s="49"/>
      <c r="AJG92" s="49"/>
      <c r="AJH92" s="49"/>
      <c r="AJI92" s="49"/>
      <c r="AJJ92" s="49"/>
      <c r="AJK92" s="49"/>
      <c r="AJL92" s="49"/>
      <c r="AJM92" s="49"/>
      <c r="AJN92" s="49"/>
      <c r="AJO92" s="49"/>
      <c r="AJP92" s="49"/>
      <c r="AJQ92" s="49"/>
      <c r="AJR92" s="49"/>
      <c r="AJS92" s="49"/>
      <c r="AJT92" s="49"/>
      <c r="AJU92" s="49"/>
      <c r="AJV92" s="49"/>
      <c r="AJW92" s="49"/>
      <c r="AJX92" s="49"/>
      <c r="AJY92" s="49"/>
      <c r="AJZ92" s="49"/>
      <c r="AKA92" s="49"/>
      <c r="AKB92" s="49"/>
      <c r="AKC92" s="49"/>
      <c r="AKD92" s="49"/>
      <c r="AKE92" s="49"/>
      <c r="AKF92" s="49"/>
      <c r="AKG92" s="49"/>
      <c r="AKH92" s="49"/>
      <c r="AKI92" s="49"/>
      <c r="AKJ92" s="49"/>
      <c r="AKK92" s="49"/>
      <c r="AKL92" s="49"/>
      <c r="AKM92" s="49"/>
      <c r="AKN92" s="49"/>
      <c r="AKO92" s="49"/>
      <c r="AKP92" s="49"/>
      <c r="AKQ92" s="49"/>
      <c r="AKR92" s="49"/>
      <c r="AKS92" s="49"/>
      <c r="AKT92" s="49"/>
      <c r="AKU92" s="49"/>
      <c r="AKV92" s="49"/>
      <c r="AKW92" s="49"/>
      <c r="AKX92" s="49"/>
      <c r="AKY92" s="49"/>
      <c r="AKZ92" s="49"/>
      <c r="ALA92" s="49"/>
      <c r="ALB92" s="49"/>
      <c r="ALC92" s="49"/>
      <c r="ALD92" s="49"/>
      <c r="ALE92" s="49"/>
      <c r="ALF92" s="49"/>
      <c r="ALG92" s="49"/>
      <c r="ALH92" s="49"/>
      <c r="ALI92" s="49"/>
      <c r="ALJ92" s="49"/>
      <c r="ALK92" s="49"/>
      <c r="ALL92" s="49"/>
      <c r="ALM92" s="49"/>
      <c r="ALN92" s="49"/>
      <c r="ALO92" s="49"/>
      <c r="ALP92" s="49"/>
      <c r="ALQ92" s="49"/>
      <c r="ALR92" s="49"/>
      <c r="ALS92" s="49"/>
      <c r="ALT92" s="49"/>
      <c r="ALU92" s="49"/>
      <c r="ALV92" s="49"/>
      <c r="ALW92" s="49"/>
      <c r="ALX92" s="49"/>
      <c r="ALY92" s="49"/>
      <c r="ALZ92" s="49"/>
      <c r="AMA92" s="49"/>
      <c r="AMB92" s="49"/>
      <c r="AMC92" s="49"/>
      <c r="AMD92" s="49"/>
      <c r="AME92" s="49"/>
      <c r="AMF92" s="49"/>
      <c r="AMG92" s="49"/>
      <c r="AMH92" s="49"/>
      <c r="AMI92" s="49"/>
      <c r="AMJ92" s="49"/>
    </row>
  </sheetData>
  <mergeCells count="54">
    <mergeCell ref="J42:K42"/>
    <mergeCell ref="A43:I43"/>
    <mergeCell ref="J43:K43"/>
    <mergeCell ref="A42:I42"/>
    <mergeCell ref="C41:G41"/>
    <mergeCell ref="C40:G40"/>
    <mergeCell ref="C29:G29"/>
    <mergeCell ref="C30:G30"/>
    <mergeCell ref="C31:G31"/>
    <mergeCell ref="C32:G32"/>
    <mergeCell ref="C33:G33"/>
    <mergeCell ref="C34:G34"/>
    <mergeCell ref="C35:G35"/>
    <mergeCell ref="C36:G36"/>
    <mergeCell ref="C37:G37"/>
    <mergeCell ref="C38:G38"/>
    <mergeCell ref="C39:G39"/>
    <mergeCell ref="C28:G28"/>
    <mergeCell ref="C17:G17"/>
    <mergeCell ref="C18:G18"/>
    <mergeCell ref="C19:G19"/>
    <mergeCell ref="C20:G20"/>
    <mergeCell ref="C21:G21"/>
    <mergeCell ref="C22:G22"/>
    <mergeCell ref="C23:G23"/>
    <mergeCell ref="C24:G24"/>
    <mergeCell ref="C25:G25"/>
    <mergeCell ref="C26:G26"/>
    <mergeCell ref="C27:G27"/>
    <mergeCell ref="A5:C5"/>
    <mergeCell ref="D5:K5"/>
    <mergeCell ref="A1:I1"/>
    <mergeCell ref="A3:C3"/>
    <mergeCell ref="D3:K3"/>
    <mergeCell ref="A4:C4"/>
    <mergeCell ref="D4:K4"/>
    <mergeCell ref="H10:H11"/>
    <mergeCell ref="K10:K11"/>
    <mergeCell ref="J10:J11"/>
    <mergeCell ref="A6:C6"/>
    <mergeCell ref="D6:K6"/>
    <mergeCell ref="A7:C7"/>
    <mergeCell ref="D7:K7"/>
    <mergeCell ref="A8:C8"/>
    <mergeCell ref="D8:K8"/>
    <mergeCell ref="I10:I11"/>
    <mergeCell ref="C13:G13"/>
    <mergeCell ref="C16:G16"/>
    <mergeCell ref="A10:A11"/>
    <mergeCell ref="B10:B11"/>
    <mergeCell ref="C10:G11"/>
    <mergeCell ref="C14:G14"/>
    <mergeCell ref="C15:G15"/>
    <mergeCell ref="C12:G12"/>
  </mergeCells>
  <conditionalFormatting sqref="C12:C17">
    <cfRule type="duplicateValues" dxfId="7" priority="13"/>
  </conditionalFormatting>
  <conditionalFormatting sqref="C12:C17">
    <cfRule type="duplicateValues" dxfId="6" priority="14"/>
    <cfRule type="duplicateValues" dxfId="5" priority="15"/>
  </conditionalFormatting>
  <conditionalFormatting sqref="C12:C17">
    <cfRule type="duplicateValues" dxfId="4" priority="16"/>
  </conditionalFormatting>
  <conditionalFormatting sqref="C12:C41">
    <cfRule type="duplicateValues" dxfId="3" priority="408"/>
  </conditionalFormatting>
  <conditionalFormatting sqref="C12:C41">
    <cfRule type="duplicateValues" dxfId="2" priority="409"/>
  </conditionalFormatting>
  <conditionalFormatting sqref="C12:C41">
    <cfRule type="duplicateValues" dxfId="1" priority="410"/>
    <cfRule type="duplicateValues" dxfId="0" priority="411"/>
  </conditionalFormatting>
  <printOptions horizontalCentered="1"/>
  <pageMargins left="0.19685039370078741" right="0.19685039370078741" top="0.39370078740157483" bottom="0.59055118110236227" header="0.51181102362204722" footer="0.51181102362204722"/>
  <pageSetup paperSize="5"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workbookViewId="0">
      <selection activeCell="A21" sqref="A21:P21"/>
    </sheetView>
  </sheetViews>
  <sheetFormatPr baseColWidth="10" defaultColWidth="11" defaultRowHeight="12.75" x14ac:dyDescent="0.2"/>
  <cols>
    <col min="1" max="5" width="4.42578125" style="49" customWidth="1"/>
    <col min="6" max="6" width="5.5703125" style="49" customWidth="1"/>
    <col min="7" max="7" width="4.42578125" style="53" customWidth="1"/>
    <col min="8" max="14" width="4.42578125" style="49" customWidth="1"/>
    <col min="15" max="16" width="14.85546875" style="49" customWidth="1"/>
    <col min="17" max="17" width="18.140625" style="49" customWidth="1"/>
    <col min="18" max="16384" width="11" style="49"/>
  </cols>
  <sheetData>
    <row r="1" spans="1:17" ht="15.75" customHeight="1" thickBot="1" x14ac:dyDescent="0.3">
      <c r="A1" s="159" t="s">
        <v>6</v>
      </c>
      <c r="B1" s="159"/>
      <c r="C1" s="159"/>
      <c r="D1" s="160">
        <v>2021</v>
      </c>
      <c r="E1" s="160"/>
      <c r="F1" s="51"/>
      <c r="G1" s="51"/>
      <c r="H1" s="52"/>
      <c r="I1" s="52"/>
      <c r="J1" s="52"/>
      <c r="K1" s="52"/>
      <c r="L1" s="52"/>
      <c r="M1" s="52"/>
      <c r="N1" s="52"/>
      <c r="P1" s="161" t="s">
        <v>45</v>
      </c>
      <c r="Q1" s="161"/>
    </row>
    <row r="2" spans="1:17" ht="15.75" customHeight="1" thickBot="1" x14ac:dyDescent="0.25">
      <c r="H2" s="52"/>
      <c r="I2" s="52"/>
      <c r="J2" s="52"/>
      <c r="K2" s="52"/>
      <c r="L2" s="52"/>
      <c r="M2" s="52"/>
      <c r="N2" s="52"/>
      <c r="P2" s="161"/>
      <c r="Q2" s="161"/>
    </row>
    <row r="4" spans="1:17" s="54" customFormat="1" ht="18" customHeight="1" thickBot="1" x14ac:dyDescent="0.25">
      <c r="A4" s="162" t="s">
        <v>46</v>
      </c>
      <c r="B4" s="162"/>
      <c r="C4" s="162"/>
      <c r="D4" s="162"/>
      <c r="E4" s="162"/>
      <c r="F4" s="162"/>
      <c r="G4" s="163" t="s">
        <v>28</v>
      </c>
      <c r="H4" s="163"/>
      <c r="I4" s="163"/>
      <c r="J4" s="163"/>
      <c r="K4" s="163"/>
      <c r="L4" s="163"/>
      <c r="M4" s="163"/>
      <c r="N4" s="163"/>
      <c r="O4" s="163"/>
      <c r="P4" s="163"/>
      <c r="Q4" s="163"/>
    </row>
    <row r="5" spans="1:17" s="54" customFormat="1" ht="18" customHeight="1" thickBot="1" x14ac:dyDescent="0.25">
      <c r="A5" s="164" t="s">
        <v>29</v>
      </c>
      <c r="B5" s="165"/>
      <c r="C5" s="165"/>
      <c r="D5" s="165"/>
      <c r="E5" s="165"/>
      <c r="F5" s="166"/>
      <c r="G5" s="163" t="s">
        <v>47</v>
      </c>
      <c r="H5" s="163"/>
      <c r="I5" s="163"/>
      <c r="J5" s="163"/>
      <c r="K5" s="163"/>
      <c r="L5" s="163"/>
      <c r="M5" s="163"/>
      <c r="N5" s="163"/>
      <c r="O5" s="163"/>
      <c r="P5" s="163"/>
      <c r="Q5" s="163"/>
    </row>
    <row r="6" spans="1:17" s="54" customFormat="1" ht="18" customHeight="1" thickBot="1" x14ac:dyDescent="0.25">
      <c r="A6" s="164" t="s">
        <v>31</v>
      </c>
      <c r="B6" s="165"/>
      <c r="C6" s="165"/>
      <c r="D6" s="165"/>
      <c r="E6" s="165"/>
      <c r="F6" s="166"/>
      <c r="G6" s="163" t="s">
        <v>32</v>
      </c>
      <c r="H6" s="163"/>
      <c r="I6" s="163"/>
      <c r="J6" s="163"/>
      <c r="K6" s="163"/>
      <c r="L6" s="163"/>
      <c r="M6" s="163"/>
      <c r="N6" s="163"/>
      <c r="O6" s="163"/>
      <c r="P6" s="163"/>
      <c r="Q6" s="163"/>
    </row>
    <row r="7" spans="1:17" s="54" customFormat="1" ht="18" customHeight="1" thickBot="1" x14ac:dyDescent="0.25">
      <c r="A7" s="164" t="s">
        <v>33</v>
      </c>
      <c r="B7" s="165"/>
      <c r="C7" s="165"/>
      <c r="D7" s="165"/>
      <c r="E7" s="165"/>
      <c r="F7" s="166"/>
      <c r="G7" s="163" t="s">
        <v>32</v>
      </c>
      <c r="H7" s="163"/>
      <c r="I7" s="163"/>
      <c r="J7" s="163"/>
      <c r="K7" s="163"/>
      <c r="L7" s="163"/>
      <c r="M7" s="163"/>
      <c r="N7" s="163"/>
      <c r="O7" s="163"/>
      <c r="P7" s="163"/>
      <c r="Q7" s="163"/>
    </row>
    <row r="8" spans="1:17" ht="18" customHeight="1" thickBot="1" x14ac:dyDescent="0.25">
      <c r="A8" s="167" t="s">
        <v>48</v>
      </c>
      <c r="B8" s="167"/>
      <c r="C8" s="167"/>
      <c r="D8" s="167"/>
      <c r="E8" s="167"/>
      <c r="F8" s="167"/>
      <c r="G8" s="167"/>
      <c r="H8" s="167"/>
      <c r="I8" s="167"/>
      <c r="J8" s="167"/>
      <c r="K8" s="167"/>
      <c r="L8" s="167"/>
      <c r="M8" s="167"/>
      <c r="N8" s="167"/>
      <c r="O8" s="167"/>
      <c r="P8" s="167"/>
      <c r="Q8" s="167"/>
    </row>
    <row r="9" spans="1:17" ht="18" customHeight="1" x14ac:dyDescent="0.2">
      <c r="A9" s="158" t="s">
        <v>49</v>
      </c>
      <c r="B9" s="158"/>
      <c r="C9" s="158"/>
      <c r="D9" s="158"/>
      <c r="E9" s="158"/>
      <c r="F9" s="158"/>
      <c r="G9" s="158"/>
      <c r="H9" s="158"/>
      <c r="I9" s="158"/>
      <c r="J9" s="158"/>
      <c r="K9" s="158"/>
      <c r="L9" s="158"/>
      <c r="M9" s="158"/>
      <c r="N9" s="158"/>
      <c r="O9" s="55"/>
      <c r="P9" s="55"/>
      <c r="Q9" s="56"/>
    </row>
    <row r="10" spans="1:17" ht="57" customHeight="1" x14ac:dyDescent="0.2">
      <c r="A10" s="169" t="s">
        <v>101</v>
      </c>
      <c r="B10" s="170"/>
      <c r="C10" s="170"/>
      <c r="D10" s="170"/>
      <c r="E10" s="170"/>
      <c r="F10" s="170"/>
      <c r="G10" s="170"/>
      <c r="H10" s="170"/>
      <c r="I10" s="170"/>
      <c r="J10" s="170"/>
      <c r="K10" s="170"/>
      <c r="L10" s="170"/>
      <c r="M10" s="170"/>
      <c r="N10" s="170"/>
      <c r="O10" s="170"/>
      <c r="P10" s="170"/>
      <c r="Q10" s="171"/>
    </row>
    <row r="11" spans="1:17" ht="9" customHeight="1" thickBot="1" x14ac:dyDescent="0.25">
      <c r="A11" s="57"/>
      <c r="B11" s="58"/>
      <c r="C11" s="58"/>
      <c r="D11" s="58"/>
      <c r="E11" s="58"/>
      <c r="F11" s="58"/>
      <c r="G11" s="59"/>
      <c r="H11" s="58"/>
      <c r="I11" s="58"/>
      <c r="J11" s="58"/>
      <c r="K11" s="58"/>
      <c r="L11" s="58"/>
      <c r="M11" s="58"/>
      <c r="N11" s="58"/>
      <c r="O11" s="58"/>
      <c r="P11" s="58"/>
      <c r="Q11" s="60"/>
    </row>
    <row r="12" spans="1:17" ht="15.75" customHeight="1" thickBot="1" x14ac:dyDescent="0.25">
      <c r="A12" s="172" t="s">
        <v>50</v>
      </c>
      <c r="B12" s="172"/>
      <c r="C12" s="172"/>
      <c r="D12" s="172"/>
      <c r="E12" s="172"/>
      <c r="F12" s="172"/>
      <c r="G12" s="172"/>
      <c r="H12" s="172"/>
      <c r="I12" s="172"/>
      <c r="J12" s="172"/>
      <c r="K12" s="172"/>
      <c r="L12" s="172"/>
      <c r="M12" s="172"/>
      <c r="N12" s="172"/>
      <c r="O12" s="172"/>
      <c r="P12" s="172"/>
      <c r="Q12" s="172"/>
    </row>
    <row r="13" spans="1:17" ht="15.75" customHeight="1" thickBot="1" x14ac:dyDescent="0.25">
      <c r="A13" s="173" t="s">
        <v>51</v>
      </c>
      <c r="B13" s="173"/>
      <c r="C13" s="173"/>
      <c r="D13" s="173"/>
      <c r="E13" s="173"/>
      <c r="F13" s="173"/>
      <c r="G13" s="173"/>
      <c r="H13" s="173"/>
      <c r="I13" s="173"/>
      <c r="J13" s="173"/>
      <c r="K13" s="173"/>
      <c r="L13" s="173"/>
      <c r="M13" s="173"/>
      <c r="N13" s="173"/>
      <c r="O13" s="174" t="s">
        <v>52</v>
      </c>
      <c r="P13" s="174"/>
      <c r="Q13" s="175" t="s">
        <v>53</v>
      </c>
    </row>
    <row r="14" spans="1:17" ht="15.75" customHeight="1" x14ac:dyDescent="0.2">
      <c r="A14" s="61" t="s">
        <v>54</v>
      </c>
      <c r="B14" s="62" t="s">
        <v>55</v>
      </c>
      <c r="C14" s="62" t="s">
        <v>56</v>
      </c>
      <c r="D14" s="62" t="s">
        <v>57</v>
      </c>
      <c r="E14" s="62" t="s">
        <v>58</v>
      </c>
      <c r="F14" s="62" t="s">
        <v>59</v>
      </c>
      <c r="G14" s="63" t="s">
        <v>60</v>
      </c>
      <c r="H14" s="62" t="s">
        <v>61</v>
      </c>
      <c r="I14" s="62" t="s">
        <v>62</v>
      </c>
      <c r="J14" s="62" t="s">
        <v>63</v>
      </c>
      <c r="K14" s="62" t="s">
        <v>63</v>
      </c>
      <c r="L14" s="62" t="s">
        <v>64</v>
      </c>
      <c r="M14" s="64" t="s">
        <v>65</v>
      </c>
      <c r="N14" s="65" t="s">
        <v>66</v>
      </c>
      <c r="O14" s="174"/>
      <c r="P14" s="174"/>
      <c r="Q14" s="175"/>
    </row>
    <row r="15" spans="1:17" ht="29.25" customHeight="1" x14ac:dyDescent="0.2">
      <c r="A15" s="83">
        <v>30</v>
      </c>
      <c r="B15" s="83"/>
      <c r="C15" s="83"/>
      <c r="D15" s="83">
        <v>1</v>
      </c>
      <c r="E15" s="83"/>
      <c r="F15" s="83">
        <v>4901</v>
      </c>
      <c r="G15" s="83">
        <v>3</v>
      </c>
      <c r="H15" s="83">
        <v>1</v>
      </c>
      <c r="I15" s="83">
        <v>2</v>
      </c>
      <c r="J15" s="83">
        <v>5</v>
      </c>
      <c r="K15" s="83">
        <v>2</v>
      </c>
      <c r="L15" s="83"/>
      <c r="M15" s="83">
        <v>1</v>
      </c>
      <c r="N15" s="83" t="s">
        <v>67</v>
      </c>
      <c r="O15" s="176" t="s">
        <v>68</v>
      </c>
      <c r="P15" s="177"/>
      <c r="Q15" s="82">
        <f>+'Necesidades Trimestrales '!I37</f>
        <v>4560250</v>
      </c>
    </row>
    <row r="16" spans="1:17" ht="17.25" customHeight="1" x14ac:dyDescent="0.2">
      <c r="A16" s="66"/>
      <c r="B16" s="67"/>
      <c r="C16" s="67"/>
      <c r="D16" s="67"/>
      <c r="E16" s="67"/>
      <c r="F16" s="67"/>
      <c r="G16" s="67"/>
      <c r="H16" s="67"/>
      <c r="I16" s="67"/>
      <c r="J16" s="67"/>
      <c r="K16" s="67"/>
      <c r="L16" s="67"/>
      <c r="M16" s="68"/>
      <c r="N16" s="67"/>
      <c r="O16" s="178"/>
      <c r="P16" s="178"/>
      <c r="Q16" s="70"/>
    </row>
    <row r="17" spans="1:18" ht="17.25" customHeight="1" x14ac:dyDescent="0.2">
      <c r="A17" s="66"/>
      <c r="B17" s="67"/>
      <c r="C17" s="67"/>
      <c r="D17" s="67"/>
      <c r="E17" s="67"/>
      <c r="F17" s="69"/>
      <c r="G17" s="67"/>
      <c r="H17" s="67"/>
      <c r="I17" s="67"/>
      <c r="J17" s="67"/>
      <c r="K17" s="67"/>
      <c r="L17" s="67"/>
      <c r="M17" s="68"/>
      <c r="N17" s="69"/>
      <c r="O17" s="179"/>
      <c r="P17" s="179"/>
      <c r="Q17" s="70"/>
    </row>
    <row r="18" spans="1:18" ht="17.25" customHeight="1" x14ac:dyDescent="0.2">
      <c r="A18" s="66"/>
      <c r="B18" s="67"/>
      <c r="C18" s="67"/>
      <c r="D18" s="67"/>
      <c r="E18" s="67"/>
      <c r="F18" s="69"/>
      <c r="G18" s="67"/>
      <c r="H18" s="67"/>
      <c r="I18" s="67"/>
      <c r="J18" s="67"/>
      <c r="K18" s="67"/>
      <c r="L18" s="67"/>
      <c r="M18" s="68"/>
      <c r="N18" s="69"/>
      <c r="O18" s="179"/>
      <c r="P18" s="179"/>
      <c r="Q18" s="70"/>
    </row>
    <row r="19" spans="1:18" ht="17.25" customHeight="1" x14ac:dyDescent="0.2">
      <c r="A19" s="71"/>
      <c r="B19" s="72"/>
      <c r="C19" s="72"/>
      <c r="D19" s="72"/>
      <c r="E19" s="72"/>
      <c r="F19" s="73"/>
      <c r="G19" s="72"/>
      <c r="H19" s="72"/>
      <c r="I19" s="72"/>
      <c r="J19" s="72"/>
      <c r="K19" s="72"/>
      <c r="L19" s="72"/>
      <c r="M19" s="74"/>
      <c r="N19" s="75"/>
      <c r="O19" s="180"/>
      <c r="P19" s="180"/>
      <c r="Q19" s="70"/>
      <c r="R19" s="55"/>
    </row>
    <row r="20" spans="1:18" ht="17.25" customHeight="1" thickBot="1" x14ac:dyDescent="0.25">
      <c r="A20" s="76"/>
      <c r="B20" s="77"/>
      <c r="C20" s="77"/>
      <c r="D20" s="77"/>
      <c r="E20" s="77"/>
      <c r="F20" s="77"/>
      <c r="G20" s="77"/>
      <c r="H20" s="77"/>
      <c r="I20" s="77"/>
      <c r="J20" s="77"/>
      <c r="K20" s="77"/>
      <c r="L20" s="77"/>
      <c r="M20" s="78"/>
      <c r="N20" s="77"/>
      <c r="O20" s="168"/>
      <c r="P20" s="168"/>
      <c r="Q20" s="79"/>
    </row>
    <row r="21" spans="1:18" ht="36" customHeight="1" thickBot="1" x14ac:dyDescent="0.25">
      <c r="A21" s="181" t="s">
        <v>105</v>
      </c>
      <c r="B21" s="181"/>
      <c r="C21" s="181"/>
      <c r="D21" s="181"/>
      <c r="E21" s="181"/>
      <c r="F21" s="181"/>
      <c r="G21" s="181"/>
      <c r="H21" s="181"/>
      <c r="I21" s="181"/>
      <c r="J21" s="181"/>
      <c r="K21" s="181"/>
      <c r="L21" s="181"/>
      <c r="M21" s="181"/>
      <c r="N21" s="181"/>
      <c r="O21" s="181"/>
      <c r="P21" s="181"/>
      <c r="Q21" s="80">
        <f>SUM(Q15:Q20)</f>
        <v>4560250</v>
      </c>
    </row>
    <row r="22" spans="1:18" ht="18" customHeight="1" thickBot="1" x14ac:dyDescent="0.25">
      <c r="A22" s="182"/>
      <c r="B22" s="182"/>
      <c r="C22" s="182"/>
      <c r="D22" s="182"/>
      <c r="E22" s="182"/>
      <c r="F22" s="182"/>
      <c r="G22" s="182"/>
      <c r="H22" s="182"/>
      <c r="I22" s="182"/>
      <c r="J22" s="182"/>
      <c r="K22" s="182"/>
      <c r="L22" s="182"/>
      <c r="M22" s="182"/>
      <c r="N22" s="182"/>
      <c r="O22" s="182"/>
      <c r="P22" s="182"/>
      <c r="Q22" s="182"/>
    </row>
    <row r="23" spans="1:18" ht="17.25" customHeight="1" thickBot="1" x14ac:dyDescent="0.25">
      <c r="A23" s="183" t="s">
        <v>69</v>
      </c>
      <c r="B23" s="184"/>
      <c r="C23" s="184"/>
      <c r="D23" s="184"/>
      <c r="E23" s="184"/>
      <c r="F23" s="185"/>
      <c r="G23" s="186"/>
      <c r="H23" s="186"/>
      <c r="I23" s="186"/>
      <c r="J23" s="186"/>
      <c r="K23" s="186"/>
      <c r="L23" s="186"/>
      <c r="M23" s="186"/>
      <c r="N23" s="186"/>
      <c r="O23" s="186"/>
      <c r="P23" s="186"/>
      <c r="Q23" s="186"/>
    </row>
    <row r="24" spans="1:18" ht="18" customHeight="1" thickBot="1" x14ac:dyDescent="0.25">
      <c r="A24" s="187" t="s">
        <v>103</v>
      </c>
      <c r="B24" s="187"/>
      <c r="C24" s="187"/>
      <c r="D24" s="187"/>
      <c r="E24" s="187"/>
      <c r="F24" s="187"/>
      <c r="G24" s="187"/>
      <c r="H24" s="187"/>
      <c r="I24" s="187"/>
      <c r="J24" s="187"/>
      <c r="K24" s="187"/>
      <c r="L24" s="187"/>
      <c r="M24" s="187"/>
      <c r="N24" s="187"/>
      <c r="O24" s="187"/>
      <c r="P24" s="187"/>
      <c r="Q24" s="187"/>
    </row>
    <row r="25" spans="1:18" ht="28.5" customHeight="1" thickBot="1" x14ac:dyDescent="0.25">
      <c r="A25" s="187"/>
      <c r="B25" s="187"/>
      <c r="C25" s="187"/>
      <c r="D25" s="187"/>
      <c r="E25" s="187"/>
      <c r="F25" s="187"/>
      <c r="G25" s="187"/>
      <c r="H25" s="187"/>
      <c r="I25" s="187"/>
      <c r="J25" s="187"/>
      <c r="K25" s="187"/>
      <c r="L25" s="187"/>
      <c r="M25" s="187"/>
      <c r="N25" s="187"/>
      <c r="O25" s="187"/>
      <c r="P25" s="187"/>
      <c r="Q25" s="187"/>
    </row>
  </sheetData>
  <mergeCells count="29">
    <mergeCell ref="A21:P21"/>
    <mergeCell ref="A22:Q22"/>
    <mergeCell ref="A23:F23"/>
    <mergeCell ref="G23:Q23"/>
    <mergeCell ref="A24:Q25"/>
    <mergeCell ref="O20:P20"/>
    <mergeCell ref="A10:Q10"/>
    <mergeCell ref="A12:Q12"/>
    <mergeCell ref="A13:N13"/>
    <mergeCell ref="O13:P14"/>
    <mergeCell ref="Q13:Q14"/>
    <mergeCell ref="O15:P15"/>
    <mergeCell ref="O16:P16"/>
    <mergeCell ref="O17:P17"/>
    <mergeCell ref="O18:P18"/>
    <mergeCell ref="O19:P19"/>
    <mergeCell ref="A9:N9"/>
    <mergeCell ref="A1:C1"/>
    <mergeCell ref="D1:E1"/>
    <mergeCell ref="P1:Q2"/>
    <mergeCell ref="A4:F4"/>
    <mergeCell ref="G4:Q4"/>
    <mergeCell ref="A5:F5"/>
    <mergeCell ref="G5:Q5"/>
    <mergeCell ref="A6:F6"/>
    <mergeCell ref="G6:Q6"/>
    <mergeCell ref="A7:F7"/>
    <mergeCell ref="G7:Q7"/>
    <mergeCell ref="A8:Q8"/>
  </mergeCells>
  <printOptions horizontalCentered="1"/>
  <pageMargins left="0.39370078740157483" right="0.39370078740157483" top="0.98425196850393704" bottom="0.98425196850393704" header="0.51181102362204722" footer="0.51181102362204722"/>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 </vt:lpstr>
      <vt:lpstr> NotaPedido FARMACIA</vt:lpstr>
      <vt:lpstr>APG FARMACIA </vt:lpstr>
      <vt:lpstr>' NotaPedido FARMACIA'!Área_de_impresión</vt:lpstr>
      <vt:lpstr>'APG FARMACIA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RASGIDO</dc:creator>
  <cp:lastModifiedBy>ELIAS QUINTAR</cp:lastModifiedBy>
  <cp:lastPrinted>2021-03-10T12:22:00Z</cp:lastPrinted>
  <dcterms:created xsi:type="dcterms:W3CDTF">2020-01-09T12:08:46Z</dcterms:created>
  <dcterms:modified xsi:type="dcterms:W3CDTF">2021-08-12T12:43:00Z</dcterms:modified>
</cp:coreProperties>
</file>