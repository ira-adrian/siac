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IDSP\Productos Agroforestales\"/>
    </mc:Choice>
  </mc:AlternateContent>
  <xr:revisionPtr revIDLastSave="0" documentId="8_{4A123A21-32CE-41B0-ABF9-C26ABCDF72F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3" r:id="rId1"/>
    <sheet name=" NotaPedido" sheetId="1" r:id="rId2"/>
    <sheet name="Autor Gastar" sheetId="2" r:id="rId3"/>
  </sheets>
  <definedNames>
    <definedName name="_xlnm._FilterDatabase" localSheetId="0" hidden="1">'Necesidades Trimestrales'!$B$16:$B$16</definedName>
    <definedName name="_xlnm.Print_Area" localSheetId="1">' NotaPedido'!$A$1:$K$13</definedName>
    <definedName name="_xlnm.Print_Area" localSheetId="2">'Autor Gastar'!$A$1:$Q$32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1" i="3" l="1"/>
  <c r="Q28" i="2" l="1"/>
</calcChain>
</file>

<file path=xl/sharedStrings.xml><?xml version="1.0" encoding="utf-8"?>
<sst xmlns="http://schemas.openxmlformats.org/spreadsheetml/2006/main" count="92" uniqueCount="82">
  <si>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</si>
  <si>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</si>
  <si>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</si>
  <si>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</si>
  <si>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</si>
  <si>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</si>
  <si>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</si>
  <si>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</si>
  <si>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</si>
  <si>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</si>
  <si>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</si>
  <si>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</si>
  <si>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</si>
  <si>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</si>
  <si>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</si>
  <si>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</si>
  <si>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</si>
  <si>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</si>
  <si>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</si>
  <si>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</si>
  <si>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</si>
  <si>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</si>
  <si>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</si>
  <si>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</si>
  <si>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</si>
  <si>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</si>
  <si>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</si>
  <si>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</si>
  <si>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</si>
  <si>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</si>
  <si>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</si>
  <si>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</si>
  <si>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</si>
  <si>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</si>
  <si>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</si>
  <si>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</si>
  <si>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</si>
  <si>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</si>
  <si>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</si>
  <si>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</si>
  <si>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</si>
  <si>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</si>
  <si>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</si>
  <si>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</si>
  <si>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</si>
  <si>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</si>
  <si>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</si>
  <si>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IMPORTE TOTRAL ESTIMADO</t>
  </si>
  <si>
    <t>Especialidades item N° 1</t>
  </si>
  <si>
    <t>Descripcion Técnica</t>
  </si>
  <si>
    <t>Plazos y lugares de entrega:</t>
  </si>
  <si>
    <t>Garantia</t>
  </si>
  <si>
    <t>UNIDAD</t>
  </si>
  <si>
    <t>IMPORTE TOTAL ESTIMADO</t>
  </si>
  <si>
    <t xml:space="preserve">Pedido de Necesidades Trimestrales </t>
  </si>
  <si>
    <t>EJERCICIO: 2022</t>
  </si>
  <si>
    <t>Cantidad Minima esperada</t>
  </si>
  <si>
    <t>Mantenimiento</t>
  </si>
  <si>
    <t>JURISDICCION : 62- MINISTERIO DE INCLUSION DIGITAL Y SISTEMAS PRODUCTIVOS</t>
  </si>
  <si>
    <t>62-  MINISTERIO DE INCLUSION DIGITAL Y SISTEMAS PRODUCTIVOS</t>
  </si>
  <si>
    <t>33- DIRECCION PROVINCIAL DE ADMINISTRACION GENERAL</t>
  </si>
  <si>
    <t xml:space="preserve"> MINISTERIO DE INCLUSION DIGITAL Y SISTEMAS PRODUCTIVOS</t>
  </si>
  <si>
    <t>62- MINISTERIO DE INCLUSION DIGITAL Y SISTEMAS PRODUCTIVOS</t>
  </si>
  <si>
    <t>Autorizo la realización de los  trámites correspondientes, a fin de (proveer a  este Organismo los bienes, servicios o ejecución de obras públicas que se detallan en Nota  de Pedido N° .... / 2022 otorgar la transferencia de fondos autorizada por Acto Administrativo Nº ....) afectando la erogación resultante a los créditos presupuestarios aprobados a favor de esta Unidad Ejecutora, conforme al siguiente detalle:</t>
  </si>
  <si>
    <t xml:space="preserve">UNIDAD  </t>
  </si>
  <si>
    <t>2.1.4</t>
  </si>
  <si>
    <t>SAF N°: 33- DIRECCION PROVINCIAL DE ADMINISTRACION GENERAL</t>
  </si>
  <si>
    <t>AGRIC,GANADERIA,CAZA,SILVICULT</t>
  </si>
  <si>
    <t>SI</t>
  </si>
  <si>
    <t>PRODUCTOS 
AGROFORESTALES</t>
  </si>
  <si>
    <t>TOTAL DE PESOS: ONCE MILLONES QUINIENTOS DIEZ MIL CON 00/100</t>
  </si>
  <si>
    <t>ADQUISICION DE INSUMOS PARA DIRECCION PROVINCIAL DE AGRICULTURA</t>
  </si>
  <si>
    <t>2.1.4-9442.44</t>
  </si>
  <si>
    <t>De Primera Calidad</t>
  </si>
  <si>
    <t>30 DIAS</t>
  </si>
  <si>
    <t>a)  FORMA DE LA ENTREGA   : Presentar  Remito que deberá cumplimentar lo dispuesto por la R.G. AFIP 1415/03, sin excepción en las oficinas del Área Compras del Ministerio de Inclusion Digital y Sistemas Productivos en donde conste la entrega de las plantas en el Predio Anexo de la Viñita, Ruta 38 Kilometro 575 la Viñita .- Fletes y Acarreos a cargo del proveedor.
b)  PLAZO DE ENTREGA: El Oferente deberá establecer plazo de entrega del bien cotizado, debiendo ser expresado en días hábiles; que no podrá ser superior a  Diez 10 días hábiles contados a partir de la recepción de la comunicación prevista en el Artículo 80° de del Reglamento Parcial N° 2 de la ley 4938. -</t>
  </si>
  <si>
    <t xml:space="preserve">Plantas de 2 años de edad, variedad hass. </t>
  </si>
  <si>
    <t>ADQUISICION DE PLANTAS DE PALTA PARA DIRECCION PROVINCIAL DE AGRICULTURA</t>
  </si>
  <si>
    <t>4 - TRIMESTRE 2022</t>
  </si>
  <si>
    <t>TRIMESTRE:04</t>
  </si>
  <si>
    <t>Costo total estimado: CUATRO MILLONES CUATROCIENTOS CUARENTA MIL CON 00/100</t>
  </si>
  <si>
    <t>ARBOLES; TIPO: PALTA, VARIEDAD: HASS, EDAD: 2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</si>
</sst>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€&quot;_-;\-* #,##0.00\ &quot;€&quot;_-;_-* &quot;-&quot;??\ &quot;€&quot;_-;_-@_-"/>
    <numFmt numFmtId="165" formatCode="_(\$* #,##0.00_);_(\$* \(#,##0.00\);_(\$* \-??_);_(@_)"/>
    <numFmt numFmtId="166" formatCode="[$$-2C0A]\ #,##0.00"/>
    <numFmt numFmtId="167" formatCode="dd\-mm\-yy;@"/>
    <numFmt numFmtId="168" formatCode="[$$-2C0A]\ #,##0.00;[$$-2C0A]&quot; -&quot;#,##0.00"/>
    <numFmt numFmtId="169" formatCode="&quot;$&quot;#,##0.00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color rgb="FF333333"/>
      <name val="Arial"/>
      <family val="2"/>
    </font>
    <font>
      <b/>
      <sz val="11"/>
      <name val="Arial"/>
      <family val="2"/>
    </font>
    <font>
      <sz val="10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0" fontId="4" fillId="0" borderId="1" applyProtection="0"/>
    <xf numFmtId="165" fontId="5" fillId="0" borderId="0" applyBorder="0" applyProtection="0"/>
    <xf numFmtId="0" fontId="6" fillId="2" borderId="0" applyBorder="0" applyProtection="0"/>
    <xf numFmtId="0" fontId="3" fillId="0" borderId="0"/>
    <xf numFmtId="164" fontId="27" fillId="0" borderId="0" applyFont="0" applyFill="0" applyBorder="0" applyAlignment="0" applyProtection="0"/>
    <xf numFmtId="0" fontId="2" fillId="0" borderId="0"/>
  </cellStyleXfs>
  <cellXfs count="131">
    <xf numFmtId="0" fontId="0" fillId="0" borderId="0" xfId="0"/>
    <xf numFmtId="0" fontId="5" fillId="0" borderId="0" xfId="0" applyFont="1" applyAlignment="1">
      <alignment vertical="center"/>
    </xf>
    <xf numFmtId="0" fontId="8" fillId="0" borderId="3" xfId="0" applyFont="1" applyBorder="1" applyAlignment="1">
      <alignment horizontal="right" vertical="center"/>
    </xf>
    <xf numFmtId="0" fontId="9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0" fontId="10" fillId="0" borderId="1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 indent="1"/>
    </xf>
    <xf numFmtId="0" fontId="9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4" fillId="0" borderId="19" xfId="0" applyNumberFormat="1" applyFont="1" applyBorder="1"/>
    <xf numFmtId="167" fontId="0" fillId="0" borderId="19" xfId="0" applyNumberFormat="1" applyBorder="1" applyAlignment="1">
      <alignment horizontal="left"/>
    </xf>
    <xf numFmtId="0" fontId="0" fillId="0" borderId="19" xfId="0" applyBorder="1"/>
    <xf numFmtId="0" fontId="0" fillId="0" borderId="12" xfId="0" applyBorder="1"/>
    <xf numFmtId="167" fontId="0" fillId="0" borderId="0" xfId="0" applyNumberFormat="1" applyAlignment="1">
      <alignment horizontal="left"/>
    </xf>
    <xf numFmtId="0" fontId="0" fillId="0" borderId="7" xfId="0" applyBorder="1"/>
    <xf numFmtId="0" fontId="5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5" xfId="0" applyBorder="1"/>
    <xf numFmtId="0" fontId="18" fillId="0" borderId="28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29" xfId="0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8" fontId="0" fillId="0" borderId="36" xfId="2" applyNumberFormat="1" applyFont="1" applyBorder="1" applyAlignment="1" applyProtection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8" fontId="0" fillId="0" borderId="40" xfId="2" applyNumberFormat="1" applyFont="1" applyBorder="1" applyAlignment="1" applyProtection="1">
      <alignment horizontal="center" vertical="center"/>
    </xf>
    <xf numFmtId="168" fontId="18" fillId="0" borderId="42" xfId="0" applyNumberFormat="1" applyFont="1" applyBorder="1" applyAlignment="1">
      <alignment horizontal="center" vertical="center"/>
    </xf>
    <xf numFmtId="0" fontId="20" fillId="0" borderId="0" xfId="0" applyFont="1"/>
    <xf numFmtId="0" fontId="26" fillId="0" borderId="15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66" fontId="20" fillId="0" borderId="53" xfId="5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4" xfId="0" applyBorder="1"/>
    <xf numFmtId="0" fontId="22" fillId="0" borderId="12" xfId="0" applyFont="1" applyBorder="1"/>
    <xf numFmtId="0" fontId="22" fillId="0" borderId="0" xfId="0" applyFont="1"/>
    <xf numFmtId="0" fontId="23" fillId="0" borderId="0" xfId="0" applyFont="1"/>
    <xf numFmtId="0" fontId="21" fillId="0" borderId="0" xfId="0" applyFont="1"/>
    <xf numFmtId="0" fontId="0" fillId="0" borderId="45" xfId="0" applyBorder="1"/>
    <xf numFmtId="0" fontId="22" fillId="0" borderId="46" xfId="0" applyFont="1" applyBorder="1"/>
    <xf numFmtId="0" fontId="0" fillId="0" borderId="46" xfId="0" applyBorder="1"/>
    <xf numFmtId="0" fontId="0" fillId="0" borderId="47" xfId="0" applyBorder="1"/>
    <xf numFmtId="0" fontId="0" fillId="0" borderId="53" xfId="0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 wrapText="1"/>
    </xf>
    <xf numFmtId="3" fontId="0" fillId="0" borderId="53" xfId="0" applyNumberFormat="1" applyBorder="1" applyAlignment="1">
      <alignment horizontal="center" vertical="center"/>
    </xf>
    <xf numFmtId="169" fontId="0" fillId="0" borderId="53" xfId="0" applyNumberForma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166" fontId="20" fillId="4" borderId="0" xfId="0" applyNumberFormat="1" applyFont="1" applyFill="1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" fillId="0" borderId="0" xfId="4" applyFont="1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30" fillId="0" borderId="53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vertical="top" wrapText="1"/>
    </xf>
    <xf numFmtId="0" fontId="23" fillId="0" borderId="7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23" fillId="0" borderId="0" xfId="0" applyFont="1" applyAlignment="1">
      <alignment horizontal="left" vertical="top"/>
    </xf>
    <xf numFmtId="0" fontId="13" fillId="0" borderId="16" xfId="0" applyFont="1" applyBorder="1" applyAlignment="1">
      <alignment horizontal="left" vertical="center" wrapText="1" indent="1"/>
    </xf>
    <xf numFmtId="166" fontId="10" fillId="0" borderId="16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9" fillId="3" borderId="56" xfId="0" applyFont="1" applyFill="1" applyBorder="1" applyAlignment="1">
      <alignment horizontal="left" vertical="center" wrapText="1" indent="1"/>
    </xf>
    <xf numFmtId="0" fontId="9" fillId="3" borderId="43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left" vertical="center" wrapText="1" indent="1"/>
    </xf>
    <xf numFmtId="0" fontId="11" fillId="0" borderId="2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25" fillId="0" borderId="43" xfId="0" applyFont="1" applyBorder="1" applyAlignment="1">
      <alignment vertical="center"/>
    </xf>
    <xf numFmtId="0" fontId="25" fillId="0" borderId="48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 indent="1"/>
    </xf>
    <xf numFmtId="0" fontId="9" fillId="0" borderId="43" xfId="0" applyFont="1" applyBorder="1" applyAlignment="1">
      <alignment horizontal="left" vertical="center" wrapText="1" indent="1"/>
    </xf>
    <xf numFmtId="0" fontId="9" fillId="0" borderId="18" xfId="0" applyFont="1" applyBorder="1" applyAlignment="1">
      <alignment horizontal="left" vertical="center" wrapText="1" indent="1"/>
    </xf>
    <xf numFmtId="0" fontId="10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 indent="1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14" fillId="0" borderId="9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29" fillId="0" borderId="16" xfId="0" applyFont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14" fillId="0" borderId="41" xfId="0" applyFont="1" applyBorder="1" applyAlignment="1">
      <alignment horizontal="left" vertical="center" wrapText="1"/>
    </xf>
    <xf numFmtId="0" fontId="0" fillId="0" borderId="23" xfId="0" applyBorder="1"/>
    <xf numFmtId="0" fontId="23" fillId="0" borderId="35" xfId="0" applyFont="1" applyBorder="1" applyAlignment="1">
      <alignment vertical="center"/>
    </xf>
    <xf numFmtId="0" fontId="17" fillId="0" borderId="22" xfId="0" applyFont="1" applyBorder="1" applyAlignment="1">
      <alignment horizontal="left"/>
    </xf>
    <xf numFmtId="0" fontId="16" fillId="0" borderId="23" xfId="0" applyFont="1" applyBorder="1" applyAlignment="1">
      <alignment horizontal="left"/>
    </xf>
    <xf numFmtId="49" fontId="16" fillId="0" borderId="24" xfId="0" applyNumberFormat="1" applyFont="1" applyBorder="1" applyAlignment="1">
      <alignment horizontal="justify" vertical="center" wrapText="1"/>
    </xf>
    <xf numFmtId="0" fontId="18" fillId="0" borderId="23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/>
    </xf>
    <xf numFmtId="0" fontId="12" fillId="0" borderId="20" xfId="0" applyFont="1" applyBorder="1" applyAlignment="1">
      <alignment horizontal="left" vertical="center" wrapText="1"/>
    </xf>
    <xf numFmtId="0" fontId="19" fillId="0" borderId="21" xfId="0" applyFont="1" applyBorder="1" applyAlignment="1">
      <alignment horizontal="left" indent="1"/>
    </xf>
    <xf numFmtId="0" fontId="0" fillId="0" borderId="17" xfId="0" applyBorder="1" applyAlignment="1">
      <alignment horizontal="center"/>
    </xf>
    <xf numFmtId="3" fontId="14" fillId="0" borderId="18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 vertical="center" wrapText="1"/>
    </xf>
    <xf numFmtId="0" fontId="5" fillId="0" borderId="20" xfId="0" applyFont="1" applyBorder="1"/>
    <xf numFmtId="0" fontId="25" fillId="0" borderId="57" xfId="0" applyFont="1" applyBorder="1" applyAlignment="1">
      <alignment vertical="center" wrapText="1"/>
    </xf>
  </cellXfs>
  <cellStyles count="7">
    <cellStyle name="Encabezado 1" xfId="1" xr:uid="{00000000-0005-0000-0000-000000000000}"/>
    <cellStyle name="Moneda" xfId="5" builtinId="4"/>
    <cellStyle name="Moneda_AUTORIZACION Y NOTA DE PEDIDO" xfId="2" xr:uid="{00000000-0005-0000-0000-000002000000}"/>
    <cellStyle name="Neutral 1" xfId="3" xr:uid="{00000000-0005-0000-0000-000003000000}"/>
    <cellStyle name="Normal" xfId="0" builtinId="0"/>
    <cellStyle name="Normal 2" xfId="4" xr:uid="{00000000-0005-0000-0000-000005000000}"/>
    <cellStyle name="Normal 3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9"/>
  <sheetViews>
    <sheetView tabSelected="1" workbookViewId="0">
      <selection activeCell="E11" sqref="E11"/>
    </sheetView>
  </sheetViews>
  <sheetFormatPr baseColWidth="10" defaultColWidth="10.7109375" defaultRowHeight="12.75" x14ac:dyDescent="0.2"/>
  <cols>
    <col min="1" max="1" width="5.5703125" customWidth="1"/>
    <col min="2" max="2" width="20.5703125" customWidth="1"/>
    <col min="3" max="3" width="23.140625" customWidth="1"/>
    <col min="5" max="5" width="31" customWidth="1"/>
    <col min="7" max="7" width="13.42578125" customWidth="1"/>
    <col min="8" max="8" width="11.5703125" bestFit="1" customWidth="1"/>
    <col min="9" max="9" width="15.7109375" hidden="1" customWidth="1"/>
    <col min="10" max="10" width="17.140625" customWidth="1"/>
  </cols>
  <sheetData>
    <row r="2" spans="1:10" ht="18" x14ac:dyDescent="0.2">
      <c r="B2" s="82" t="s">
        <v>54</v>
      </c>
      <c r="C2" s="82"/>
      <c r="D2" s="82"/>
      <c r="E2" s="82"/>
      <c r="F2" s="82"/>
      <c r="G2" s="82"/>
      <c r="H2" s="82"/>
      <c r="I2" s="82"/>
      <c r="J2" s="50"/>
    </row>
    <row r="4" spans="1:10" x14ac:dyDescent="0.2">
      <c r="A4" s="43" t="s">
        <v>58</v>
      </c>
      <c r="B4" s="43"/>
      <c r="C4" s="43"/>
      <c r="D4" s="43"/>
      <c r="E4" s="43"/>
      <c r="F4" s="43"/>
      <c r="G4" s="43"/>
      <c r="H4" s="43"/>
      <c r="I4" s="43"/>
      <c r="J4" s="43"/>
    </row>
    <row r="5" spans="1:10" x14ac:dyDescent="0.2">
      <c r="A5" s="43" t="s">
        <v>66</v>
      </c>
      <c r="B5" s="43"/>
      <c r="C5" s="43"/>
      <c r="D5" s="43"/>
      <c r="E5" s="43"/>
      <c r="F5" s="43"/>
      <c r="G5" s="43"/>
      <c r="H5" s="43"/>
      <c r="I5" s="43"/>
      <c r="J5" s="43"/>
    </row>
    <row r="6" spans="1:10" x14ac:dyDescent="0.2">
      <c r="A6" s="43" t="s">
        <v>55</v>
      </c>
      <c r="B6" s="43"/>
      <c r="C6" s="43"/>
      <c r="D6" s="43"/>
      <c r="E6" s="43"/>
      <c r="F6" s="43"/>
      <c r="G6" s="43"/>
      <c r="H6" s="43"/>
      <c r="I6" s="43"/>
      <c r="J6" s="43"/>
    </row>
    <row r="7" spans="1:10" x14ac:dyDescent="0.2">
      <c r="A7" s="43" t="s">
        <v>79</v>
      </c>
      <c r="B7" s="43"/>
      <c r="C7" s="43"/>
      <c r="D7" s="43"/>
      <c r="E7" s="43"/>
      <c r="F7" s="43"/>
      <c r="G7" s="43"/>
      <c r="H7" s="43"/>
      <c r="I7" s="43"/>
      <c r="J7" s="43"/>
    </row>
    <row r="8" spans="1:10" x14ac:dyDescent="0.2">
      <c r="A8" s="43"/>
      <c r="B8" s="43"/>
      <c r="C8" s="43"/>
      <c r="D8" s="43"/>
      <c r="E8" s="43"/>
      <c r="F8" s="43"/>
      <c r="G8" s="43"/>
      <c r="H8" s="43"/>
      <c r="I8" s="43"/>
      <c r="J8" s="43"/>
    </row>
    <row r="9" spans="1:10" ht="13.5" thickBot="1" x14ac:dyDescent="0.25">
      <c r="A9" s="43"/>
      <c r="B9" s="43"/>
      <c r="C9" s="43"/>
      <c r="D9" s="43"/>
      <c r="E9" s="43"/>
      <c r="F9" s="43"/>
      <c r="G9" s="43"/>
      <c r="H9" s="43"/>
      <c r="I9" s="43"/>
      <c r="J9" s="43"/>
    </row>
    <row r="10" spans="1:10" ht="38.25" customHeight="1" x14ac:dyDescent="0.2">
      <c r="A10" s="65" t="s">
        <v>39</v>
      </c>
      <c r="B10" s="47" t="s">
        <v>40</v>
      </c>
      <c r="C10" s="45" t="s">
        <v>41</v>
      </c>
      <c r="D10" s="45" t="s">
        <v>42</v>
      </c>
      <c r="E10" s="45" t="s">
        <v>43</v>
      </c>
      <c r="F10" s="48" t="s">
        <v>44</v>
      </c>
      <c r="G10" s="45" t="s">
        <v>45</v>
      </c>
      <c r="H10" s="48" t="s">
        <v>46</v>
      </c>
      <c r="I10" s="49" t="s">
        <v>47</v>
      </c>
      <c r="J10" s="66" t="s">
        <v>53</v>
      </c>
    </row>
    <row r="11" spans="1:10" ht="59.25" customHeight="1" x14ac:dyDescent="0.2">
      <c r="A11" s="62">
        <v>1</v>
      </c>
      <c r="B11" s="69" t="s">
        <v>72</v>
      </c>
      <c r="C11" s="63" t="s">
        <v>67</v>
      </c>
      <c r="D11" s="64" t="s">
        <v>65</v>
      </c>
      <c r="E11" s="78" t="s">
        <v>81</v>
      </c>
      <c r="F11" s="64" t="s">
        <v>52</v>
      </c>
      <c r="G11" s="67">
        <v>2000</v>
      </c>
      <c r="H11" s="68">
        <v>2220</v>
      </c>
      <c r="I11" s="68"/>
      <c r="J11" s="51">
        <f>H11*G11</f>
        <v>4440000</v>
      </c>
    </row>
    <row r="12" spans="1:10" ht="15" x14ac:dyDescent="0.2">
      <c r="A12" s="71"/>
      <c r="B12" s="71"/>
      <c r="C12" s="73"/>
      <c r="D12" s="74"/>
      <c r="E12" s="75"/>
      <c r="F12" s="74"/>
      <c r="G12" s="76"/>
      <c r="H12" s="77"/>
      <c r="I12" s="77"/>
      <c r="J12" s="72"/>
    </row>
    <row r="13" spans="1:10" x14ac:dyDescent="0.2">
      <c r="J13" s="70"/>
    </row>
    <row r="14" spans="1:10" ht="13.5" thickBot="1" x14ac:dyDescent="0.25"/>
    <row r="15" spans="1:10" x14ac:dyDescent="0.2">
      <c r="B15" s="52"/>
      <c r="C15" s="15"/>
      <c r="D15" s="15"/>
      <c r="E15" s="15"/>
      <c r="F15" s="15"/>
      <c r="G15" s="15"/>
      <c r="H15" s="15"/>
      <c r="I15" s="53"/>
      <c r="J15" s="53"/>
    </row>
    <row r="16" spans="1:10" x14ac:dyDescent="0.2">
      <c r="B16" s="54" t="s">
        <v>48</v>
      </c>
      <c r="I16" s="18"/>
      <c r="J16" s="18"/>
    </row>
    <row r="17" spans="2:10" x14ac:dyDescent="0.2">
      <c r="B17" s="16"/>
      <c r="I17" s="18"/>
      <c r="J17" s="18"/>
    </row>
    <row r="18" spans="2:10" x14ac:dyDescent="0.2">
      <c r="B18" s="16"/>
      <c r="C18" s="55" t="s">
        <v>49</v>
      </c>
      <c r="D18" s="85" t="s">
        <v>76</v>
      </c>
      <c r="E18" s="85"/>
      <c r="F18" s="85"/>
      <c r="G18" s="85"/>
      <c r="H18" s="85"/>
      <c r="I18" s="85"/>
      <c r="J18" s="86"/>
    </row>
    <row r="19" spans="2:10" x14ac:dyDescent="0.2">
      <c r="B19" s="16"/>
      <c r="D19" s="85"/>
      <c r="E19" s="85"/>
      <c r="F19" s="85"/>
      <c r="G19" s="85"/>
      <c r="H19" s="85"/>
      <c r="I19" s="85"/>
      <c r="J19" s="86"/>
    </row>
    <row r="20" spans="2:10" x14ac:dyDescent="0.2">
      <c r="B20" s="16"/>
      <c r="D20" s="56"/>
      <c r="I20" s="18"/>
      <c r="J20" s="18"/>
    </row>
    <row r="21" spans="2:10" x14ac:dyDescent="0.2">
      <c r="B21" s="16"/>
      <c r="C21" s="55"/>
      <c r="D21" s="56"/>
      <c r="I21" s="18"/>
      <c r="J21" s="18"/>
    </row>
    <row r="22" spans="2:10" x14ac:dyDescent="0.2">
      <c r="B22" s="16"/>
      <c r="D22" s="56"/>
      <c r="I22" s="18"/>
      <c r="J22" s="18"/>
    </row>
    <row r="23" spans="2:10" x14ac:dyDescent="0.2">
      <c r="B23" s="16"/>
      <c r="C23" s="55" t="s">
        <v>50</v>
      </c>
      <c r="I23" s="18"/>
      <c r="J23" s="18"/>
    </row>
    <row r="24" spans="2:10" x14ac:dyDescent="0.2">
      <c r="B24" s="16"/>
      <c r="C24" s="57"/>
      <c r="D24" s="83" t="s">
        <v>75</v>
      </c>
      <c r="E24" s="83"/>
      <c r="F24" s="83"/>
      <c r="G24" s="83"/>
      <c r="H24" s="83"/>
      <c r="I24" s="83"/>
      <c r="J24" s="84"/>
    </row>
    <row r="25" spans="2:10" ht="66.75" customHeight="1" x14ac:dyDescent="0.2">
      <c r="B25" s="16"/>
      <c r="C25" s="57"/>
      <c r="D25" s="83"/>
      <c r="E25" s="83"/>
      <c r="F25" s="83"/>
      <c r="G25" s="83"/>
      <c r="H25" s="83"/>
      <c r="I25" s="83"/>
      <c r="J25" s="84"/>
    </row>
    <row r="26" spans="2:10" x14ac:dyDescent="0.2">
      <c r="B26" s="16"/>
      <c r="C26" s="57"/>
      <c r="I26" s="18"/>
      <c r="J26" s="18"/>
    </row>
    <row r="27" spans="2:10" x14ac:dyDescent="0.2">
      <c r="B27" s="16"/>
      <c r="C27" s="55" t="s">
        <v>56</v>
      </c>
      <c r="D27" s="87" t="s">
        <v>73</v>
      </c>
      <c r="E27" s="87"/>
      <c r="I27" s="18"/>
      <c r="J27" s="18"/>
    </row>
    <row r="28" spans="2:10" x14ac:dyDescent="0.2">
      <c r="B28" s="16"/>
      <c r="C28" s="55" t="s">
        <v>57</v>
      </c>
      <c r="D28" s="56" t="s">
        <v>74</v>
      </c>
      <c r="I28" s="18"/>
      <c r="J28" s="18"/>
    </row>
    <row r="29" spans="2:10" ht="13.5" thickBot="1" x14ac:dyDescent="0.25">
      <c r="B29" s="58"/>
      <c r="C29" s="59" t="s">
        <v>51</v>
      </c>
      <c r="D29" s="60"/>
      <c r="E29" s="60"/>
      <c r="F29" s="60"/>
      <c r="G29" s="60"/>
      <c r="H29" s="60"/>
      <c r="I29" s="61"/>
      <c r="J29" s="61"/>
    </row>
  </sheetData>
  <mergeCells count="4">
    <mergeCell ref="B2:I2"/>
    <mergeCell ref="D24:J25"/>
    <mergeCell ref="D18:J19"/>
    <mergeCell ref="D27:E27"/>
  </mergeCells>
  <pageMargins left="0.7" right="0.7" top="0.75" bottom="0.75" header="0.3" footer="0.3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zoomScaleNormal="100" workbookViewId="0">
      <selection activeCell="A13" sqref="A13:I13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101" t="s">
        <v>0</v>
      </c>
      <c r="B1" s="101"/>
      <c r="C1" s="101"/>
      <c r="D1" s="101"/>
      <c r="E1" s="101"/>
      <c r="F1" s="101"/>
      <c r="G1" s="101"/>
      <c r="H1" s="101"/>
      <c r="I1" s="101"/>
      <c r="J1" s="2" t="s">
        <v>1</v>
      </c>
      <c r="K1" s="3"/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102" t="s">
        <v>2</v>
      </c>
      <c r="B3" s="102"/>
      <c r="C3" s="102"/>
      <c r="D3" s="103" t="s">
        <v>62</v>
      </c>
      <c r="E3" s="104"/>
      <c r="F3" s="104"/>
      <c r="G3" s="104"/>
      <c r="H3" s="104"/>
      <c r="I3" s="104"/>
      <c r="J3" s="104"/>
      <c r="K3" s="105"/>
    </row>
    <row r="4" spans="1:11" ht="18.75" customHeight="1" thickBot="1" x14ac:dyDescent="0.25">
      <c r="A4" s="106" t="s">
        <v>3</v>
      </c>
      <c r="B4" s="106"/>
      <c r="C4" s="106"/>
      <c r="D4" s="103" t="s">
        <v>60</v>
      </c>
      <c r="E4" s="104"/>
      <c r="F4" s="104"/>
      <c r="G4" s="104"/>
      <c r="H4" s="104"/>
      <c r="I4" s="104"/>
      <c r="J4" s="104"/>
      <c r="K4" s="105"/>
    </row>
    <row r="5" spans="1:11" ht="18.75" customHeight="1" thickBot="1" x14ac:dyDescent="0.25">
      <c r="A5" s="106" t="s">
        <v>4</v>
      </c>
      <c r="B5" s="106"/>
      <c r="C5" s="106"/>
      <c r="D5" s="103" t="s">
        <v>61</v>
      </c>
      <c r="E5" s="104"/>
      <c r="F5" s="104"/>
      <c r="G5" s="104"/>
      <c r="H5" s="104"/>
      <c r="I5" s="104"/>
      <c r="J5" s="104"/>
      <c r="K5" s="105"/>
    </row>
    <row r="6" spans="1:11" ht="16.5" customHeight="1" thickBot="1" x14ac:dyDescent="0.25">
      <c r="A6" s="102" t="s">
        <v>5</v>
      </c>
      <c r="B6" s="102"/>
      <c r="C6" s="102"/>
      <c r="D6" s="103" t="s">
        <v>61</v>
      </c>
      <c r="E6" s="104"/>
      <c r="F6" s="104"/>
      <c r="G6" s="104"/>
      <c r="H6" s="104"/>
      <c r="I6" s="104"/>
      <c r="J6" s="104"/>
      <c r="K6" s="105"/>
    </row>
    <row r="7" spans="1:11" ht="16.5" customHeight="1" thickBot="1" x14ac:dyDescent="0.25">
      <c r="A7" s="106" t="s">
        <v>6</v>
      </c>
      <c r="B7" s="106"/>
      <c r="C7" s="106"/>
      <c r="D7" s="107" t="s">
        <v>78</v>
      </c>
      <c r="E7" s="107"/>
      <c r="F7" s="107"/>
      <c r="G7" s="107"/>
      <c r="H7" s="107"/>
      <c r="I7" s="107"/>
      <c r="J7" s="107"/>
      <c r="K7" s="107"/>
    </row>
    <row r="8" spans="1:11" ht="40.5" customHeight="1" thickBot="1" x14ac:dyDescent="0.25">
      <c r="A8" s="90" t="s">
        <v>7</v>
      </c>
      <c r="B8" s="90"/>
      <c r="C8" s="90"/>
      <c r="D8" s="91" t="s">
        <v>77</v>
      </c>
      <c r="E8" s="92"/>
      <c r="F8" s="92"/>
      <c r="G8" s="92"/>
      <c r="H8" s="92"/>
      <c r="I8" s="92"/>
      <c r="J8" s="92"/>
      <c r="K8" s="93"/>
    </row>
    <row r="9" spans="1:11" ht="16.5" thickBot="1" x14ac:dyDescent="0.25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1" ht="18.75" customHeight="1" thickBot="1" x14ac:dyDescent="0.25">
      <c r="A10" s="94" t="s">
        <v>8</v>
      </c>
      <c r="B10" s="95" t="s">
        <v>9</v>
      </c>
      <c r="C10" s="96" t="s">
        <v>10</v>
      </c>
      <c r="D10" s="97"/>
      <c r="E10" s="97"/>
      <c r="F10" s="97"/>
      <c r="G10" s="97"/>
      <c r="H10" s="97" t="s">
        <v>11</v>
      </c>
      <c r="I10" s="97" t="s">
        <v>12</v>
      </c>
      <c r="J10" s="97" t="s">
        <v>13</v>
      </c>
      <c r="K10" s="98" t="s">
        <v>14</v>
      </c>
    </row>
    <row r="11" spans="1:11" ht="24" customHeight="1" thickBot="1" x14ac:dyDescent="0.25">
      <c r="A11" s="94"/>
      <c r="B11" s="95"/>
      <c r="C11" s="96"/>
      <c r="D11" s="97"/>
      <c r="E11" s="97"/>
      <c r="F11" s="97"/>
      <c r="G11" s="97"/>
      <c r="H11" s="97"/>
      <c r="I11" s="97"/>
      <c r="J11" s="97"/>
      <c r="K11" s="98"/>
    </row>
    <row r="12" spans="1:11" ht="30" customHeight="1" thickBot="1" x14ac:dyDescent="0.25">
      <c r="A12" s="62">
        <v>1</v>
      </c>
      <c r="B12" s="69" t="s">
        <v>72</v>
      </c>
      <c r="C12" s="130" t="s">
        <v>81</v>
      </c>
      <c r="D12" s="99"/>
      <c r="E12" s="99"/>
      <c r="F12" s="99"/>
      <c r="G12" s="100"/>
      <c r="H12" s="44" t="s">
        <v>68</v>
      </c>
      <c r="I12" s="46" t="s">
        <v>64</v>
      </c>
      <c r="J12" s="68">
        <v>2220</v>
      </c>
      <c r="K12" s="67">
        <v>2000</v>
      </c>
    </row>
    <row r="13" spans="1:11" ht="19.5" thickBot="1" x14ac:dyDescent="0.25">
      <c r="A13" s="88" t="s">
        <v>80</v>
      </c>
      <c r="B13" s="88"/>
      <c r="C13" s="88"/>
      <c r="D13" s="88"/>
      <c r="E13" s="88"/>
      <c r="F13" s="88"/>
      <c r="G13" s="88"/>
      <c r="H13" s="88"/>
      <c r="I13" s="88"/>
      <c r="J13" s="89">
        <v>4440000</v>
      </c>
      <c r="K13" s="89"/>
    </row>
  </sheetData>
  <mergeCells count="23"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2"/>
  <sheetViews>
    <sheetView topLeftCell="A16" zoomScale="110" zoomScaleNormal="110" workbookViewId="0">
      <selection activeCell="O16" sqref="O16:P16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1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6" t="s">
        <v>15</v>
      </c>
      <c r="B1" s="126"/>
      <c r="C1" s="126"/>
      <c r="D1" s="127">
        <v>2022</v>
      </c>
      <c r="E1" s="127"/>
      <c r="F1" s="13"/>
      <c r="G1" s="13"/>
      <c r="H1" s="14"/>
      <c r="I1" s="14"/>
      <c r="J1" s="14"/>
      <c r="K1" s="14"/>
      <c r="L1" s="14"/>
      <c r="M1" s="14"/>
      <c r="N1" s="14"/>
      <c r="O1" s="15"/>
      <c r="P1" s="128" t="s">
        <v>16</v>
      </c>
      <c r="Q1" s="128"/>
    </row>
    <row r="2" spans="1:17" ht="15.75" customHeight="1" x14ac:dyDescent="0.2">
      <c r="A2" s="16"/>
      <c r="H2" s="17"/>
      <c r="I2" s="17"/>
      <c r="J2" s="17"/>
      <c r="K2" s="17"/>
      <c r="L2" s="17"/>
      <c r="M2" s="17"/>
      <c r="N2" s="17"/>
      <c r="P2" s="128"/>
      <c r="Q2" s="128"/>
    </row>
    <row r="3" spans="1:17" x14ac:dyDescent="0.2">
      <c r="A3" s="16"/>
      <c r="Q3" s="18"/>
    </row>
    <row r="4" spans="1:17" s="19" customFormat="1" ht="18" customHeight="1" x14ac:dyDescent="0.2">
      <c r="A4" s="129" t="s">
        <v>17</v>
      </c>
      <c r="B4" s="129"/>
      <c r="C4" s="129"/>
      <c r="D4" s="129"/>
      <c r="E4" s="129"/>
      <c r="F4" s="129"/>
      <c r="G4" s="125" t="s">
        <v>59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</row>
    <row r="5" spans="1:17" s="19" customFormat="1" ht="18" customHeight="1" x14ac:dyDescent="0.2">
      <c r="A5" s="124" t="s">
        <v>3</v>
      </c>
      <c r="B5" s="124"/>
      <c r="C5" s="124"/>
      <c r="D5" s="124"/>
      <c r="E5" s="124"/>
      <c r="F5" s="124"/>
      <c r="G5" s="125" t="s">
        <v>60</v>
      </c>
      <c r="H5" s="125"/>
      <c r="I5" s="125"/>
      <c r="J5" s="125"/>
      <c r="K5" s="125"/>
      <c r="L5" s="125"/>
      <c r="M5" s="125"/>
      <c r="N5" s="125"/>
      <c r="O5" s="125"/>
      <c r="P5" s="125"/>
      <c r="Q5" s="125"/>
    </row>
    <row r="6" spans="1:17" s="19" customFormat="1" ht="18" customHeight="1" x14ac:dyDescent="0.2">
      <c r="A6" s="124" t="s">
        <v>4</v>
      </c>
      <c r="B6" s="124"/>
      <c r="C6" s="124"/>
      <c r="D6" s="124"/>
      <c r="E6" s="124"/>
      <c r="F6" s="124"/>
      <c r="G6" s="125" t="s">
        <v>61</v>
      </c>
      <c r="H6" s="125"/>
      <c r="I6" s="125"/>
      <c r="J6" s="125"/>
      <c r="K6" s="125"/>
      <c r="L6" s="125"/>
      <c r="M6" s="125"/>
      <c r="N6" s="125"/>
      <c r="O6" s="125"/>
      <c r="P6" s="125"/>
      <c r="Q6" s="125"/>
    </row>
    <row r="7" spans="1:17" s="19" customFormat="1" ht="22.5" customHeight="1" x14ac:dyDescent="0.2">
      <c r="A7" s="124" t="s">
        <v>5</v>
      </c>
      <c r="B7" s="124"/>
      <c r="C7" s="124"/>
      <c r="D7" s="124"/>
      <c r="E7" s="124"/>
      <c r="F7" s="124"/>
      <c r="G7" s="125" t="s">
        <v>61</v>
      </c>
      <c r="H7" s="125"/>
      <c r="I7" s="125"/>
      <c r="J7" s="125"/>
      <c r="K7" s="125"/>
      <c r="L7" s="125"/>
      <c r="M7" s="125"/>
      <c r="N7" s="125"/>
      <c r="O7" s="125"/>
      <c r="P7" s="125"/>
      <c r="Q7" s="125"/>
    </row>
    <row r="8" spans="1:17" ht="18" customHeight="1" x14ac:dyDescent="0.2">
      <c r="A8" s="117" t="s">
        <v>18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</row>
    <row r="9" spans="1:17" ht="18" customHeight="1" x14ac:dyDescent="0.2">
      <c r="A9" s="118" t="s">
        <v>19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</row>
    <row r="10" spans="1:17" ht="66" customHeight="1" x14ac:dyDescent="0.2">
      <c r="A10" s="119" t="s">
        <v>63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</row>
    <row r="11" spans="1:17" ht="9" customHeight="1" x14ac:dyDescent="0.2">
      <c r="A11" s="20"/>
      <c r="B11" s="21"/>
      <c r="C11" s="21"/>
      <c r="D11" s="21"/>
      <c r="E11" s="21"/>
      <c r="F11" s="21"/>
      <c r="G11" s="22"/>
      <c r="H11" s="21"/>
      <c r="I11" s="21"/>
      <c r="J11" s="21"/>
      <c r="K11" s="21"/>
      <c r="L11" s="21"/>
      <c r="M11" s="21"/>
      <c r="N11" s="21"/>
      <c r="O11" s="21"/>
      <c r="P11" s="21"/>
      <c r="Q11" s="23"/>
    </row>
    <row r="12" spans="1:17" ht="15.75" customHeight="1" x14ac:dyDescent="0.2">
      <c r="A12" s="120" t="s">
        <v>20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</row>
    <row r="13" spans="1:17" ht="15.75" customHeight="1" x14ac:dyDescent="0.2">
      <c r="A13" s="121" t="s">
        <v>21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2" t="s">
        <v>22</v>
      </c>
      <c r="P13" s="122"/>
      <c r="Q13" s="123" t="s">
        <v>23</v>
      </c>
    </row>
    <row r="14" spans="1:17" ht="15.75" customHeight="1" x14ac:dyDescent="0.2">
      <c r="A14" s="24" t="s">
        <v>24</v>
      </c>
      <c r="B14" s="25" t="s">
        <v>25</v>
      </c>
      <c r="C14" s="25" t="s">
        <v>26</v>
      </c>
      <c r="D14" s="25" t="s">
        <v>27</v>
      </c>
      <c r="E14" s="25" t="s">
        <v>28</v>
      </c>
      <c r="F14" s="25" t="s">
        <v>29</v>
      </c>
      <c r="G14" s="26" t="s">
        <v>30</v>
      </c>
      <c r="H14" s="25" t="s">
        <v>31</v>
      </c>
      <c r="I14" s="25" t="s">
        <v>32</v>
      </c>
      <c r="J14" s="25" t="s">
        <v>33</v>
      </c>
      <c r="K14" s="25" t="s">
        <v>33</v>
      </c>
      <c r="L14" s="25" t="s">
        <v>34</v>
      </c>
      <c r="M14" s="27" t="s">
        <v>35</v>
      </c>
      <c r="N14" s="28" t="s">
        <v>36</v>
      </c>
      <c r="O14" s="122"/>
      <c r="P14" s="122"/>
      <c r="Q14" s="123"/>
    </row>
    <row r="15" spans="1:17" ht="22.5" customHeight="1" x14ac:dyDescent="0.2">
      <c r="A15" s="79">
        <v>1</v>
      </c>
      <c r="B15" s="80">
        <v>0</v>
      </c>
      <c r="C15" s="80">
        <v>0</v>
      </c>
      <c r="D15" s="80">
        <v>1</v>
      </c>
      <c r="E15" s="80">
        <v>0</v>
      </c>
      <c r="F15" s="80">
        <v>4901</v>
      </c>
      <c r="G15" s="80">
        <v>1</v>
      </c>
      <c r="H15" s="80">
        <v>3</v>
      </c>
      <c r="I15" s="80">
        <v>2</v>
      </c>
      <c r="J15" s="80">
        <v>1</v>
      </c>
      <c r="K15" s="80">
        <v>4</v>
      </c>
      <c r="L15" s="80">
        <v>0</v>
      </c>
      <c r="M15" s="81">
        <v>1</v>
      </c>
      <c r="N15" s="80" t="s">
        <v>38</v>
      </c>
      <c r="O15" s="116" t="s">
        <v>69</v>
      </c>
      <c r="P15" s="116"/>
      <c r="Q15" s="33">
        <v>4440000</v>
      </c>
    </row>
    <row r="16" spans="1:17" ht="17.25" customHeight="1" x14ac:dyDescent="0.2">
      <c r="A16" s="2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1"/>
      <c r="N16" s="32"/>
      <c r="O16" s="108"/>
      <c r="P16" s="108"/>
      <c r="Q16" s="33"/>
    </row>
    <row r="17" spans="1:17" ht="17.25" customHeight="1" x14ac:dyDescent="0.2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1"/>
      <c r="N17" s="32"/>
      <c r="O17" s="108"/>
      <c r="P17" s="108"/>
      <c r="Q17" s="33"/>
    </row>
    <row r="18" spans="1:17" ht="17.25" customHeight="1" x14ac:dyDescent="0.2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1"/>
      <c r="N18" s="32"/>
      <c r="O18" s="108"/>
      <c r="P18" s="108"/>
      <c r="Q18" s="33"/>
    </row>
    <row r="19" spans="1:17" ht="17.25" customHeight="1" x14ac:dyDescent="0.2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1"/>
      <c r="N19" s="32"/>
      <c r="O19" s="108"/>
      <c r="P19" s="108"/>
      <c r="Q19" s="33"/>
    </row>
    <row r="20" spans="1:17" ht="17.25" customHeight="1" x14ac:dyDescent="0.2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1"/>
      <c r="N20" s="32"/>
      <c r="O20" s="108"/>
      <c r="P20" s="108"/>
      <c r="Q20" s="33"/>
    </row>
    <row r="21" spans="1:17" ht="17.25" customHeight="1" x14ac:dyDescent="0.2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1"/>
      <c r="N21" s="32"/>
      <c r="O21" s="108"/>
      <c r="P21" s="108"/>
      <c r="Q21" s="33"/>
    </row>
    <row r="22" spans="1:17" ht="17.25" customHeight="1" x14ac:dyDescent="0.2">
      <c r="A22" s="29"/>
      <c r="B22" s="30"/>
      <c r="C22" s="30"/>
      <c r="D22" s="30"/>
      <c r="E22" s="30"/>
      <c r="F22" s="32"/>
      <c r="G22" s="30"/>
      <c r="H22" s="30"/>
      <c r="I22" s="30"/>
      <c r="J22" s="30"/>
      <c r="K22" s="30"/>
      <c r="L22" s="30"/>
      <c r="M22" s="31"/>
      <c r="N22" s="32"/>
      <c r="O22" s="109"/>
      <c r="P22" s="109"/>
      <c r="Q22" s="33"/>
    </row>
    <row r="23" spans="1:17" ht="17.25" customHeight="1" x14ac:dyDescent="0.2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1"/>
      <c r="N23" s="32"/>
      <c r="O23" s="109"/>
      <c r="P23" s="109"/>
      <c r="Q23" s="33"/>
    </row>
    <row r="24" spans="1:17" ht="17.25" customHeight="1" x14ac:dyDescent="0.2">
      <c r="A24" s="29"/>
      <c r="B24" s="30"/>
      <c r="C24" s="30"/>
      <c r="D24" s="30"/>
      <c r="E24" s="30"/>
      <c r="F24" s="32"/>
      <c r="G24" s="30"/>
      <c r="H24" s="30"/>
      <c r="I24" s="30"/>
      <c r="J24" s="30"/>
      <c r="K24" s="30"/>
      <c r="L24" s="30"/>
      <c r="M24" s="31"/>
      <c r="N24" s="32"/>
      <c r="O24" s="109"/>
      <c r="P24" s="109"/>
      <c r="Q24" s="33"/>
    </row>
    <row r="25" spans="1:17" ht="17.25" customHeight="1" x14ac:dyDescent="0.2">
      <c r="A25" s="29"/>
      <c r="B25" s="30"/>
      <c r="C25" s="30"/>
      <c r="D25" s="30"/>
      <c r="E25" s="30"/>
      <c r="F25" s="32"/>
      <c r="G25" s="30"/>
      <c r="H25" s="30"/>
      <c r="I25" s="30"/>
      <c r="J25" s="30"/>
      <c r="K25" s="30"/>
      <c r="L25" s="30"/>
      <c r="M25" s="31"/>
      <c r="N25" s="32"/>
      <c r="O25" s="109"/>
      <c r="P25" s="109"/>
      <c r="Q25" s="33"/>
    </row>
    <row r="26" spans="1:17" ht="17.25" customHeight="1" x14ac:dyDescent="0.2">
      <c r="A26" s="34"/>
      <c r="B26" s="35"/>
      <c r="C26" s="35"/>
      <c r="D26" s="35"/>
      <c r="E26" s="35"/>
      <c r="F26" s="32"/>
      <c r="G26" s="35"/>
      <c r="H26" s="35"/>
      <c r="I26" s="35"/>
      <c r="J26" s="35"/>
      <c r="K26" s="35"/>
      <c r="L26" s="35"/>
      <c r="M26" s="36"/>
      <c r="N26" s="37"/>
      <c r="O26" s="109"/>
      <c r="P26" s="109"/>
      <c r="Q26" s="33"/>
    </row>
    <row r="27" spans="1:17" ht="17.25" customHeight="1" x14ac:dyDescent="0.2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40"/>
      <c r="N27" s="39"/>
      <c r="O27" s="113"/>
      <c r="P27" s="113"/>
      <c r="Q27" s="41"/>
    </row>
    <row r="28" spans="1:17" ht="20.25" customHeight="1" x14ac:dyDescent="0.2">
      <c r="A28" s="114" t="s">
        <v>70</v>
      </c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42">
        <f>SUM(Q15:Q27)</f>
        <v>4440000</v>
      </c>
    </row>
    <row r="29" spans="1:17" ht="18" customHeight="1" x14ac:dyDescent="0.2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</row>
    <row r="30" spans="1:17" ht="17.25" customHeight="1" x14ac:dyDescent="0.2">
      <c r="A30" s="110" t="s">
        <v>37</v>
      </c>
      <c r="B30" s="110"/>
      <c r="C30" s="110"/>
      <c r="D30" s="110"/>
      <c r="E30" s="110"/>
      <c r="F30" s="110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</row>
    <row r="31" spans="1:17" s="43" customFormat="1" ht="18" customHeight="1" x14ac:dyDescent="0.2">
      <c r="A31" s="112" t="s">
        <v>71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</row>
    <row r="32" spans="1:17" s="43" customFormat="1" ht="63.75" customHeight="1" x14ac:dyDescent="0.2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</row>
  </sheetData>
  <mergeCells count="36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O16:P16"/>
    <mergeCell ref="O17:P17"/>
    <mergeCell ref="O18:P18"/>
    <mergeCell ref="O19:P19"/>
    <mergeCell ref="O15:P15"/>
    <mergeCell ref="A30:F30"/>
    <mergeCell ref="G30:Q30"/>
    <mergeCell ref="A31:Q32"/>
    <mergeCell ref="O25:P25"/>
    <mergeCell ref="O26:P26"/>
    <mergeCell ref="O27:P27"/>
    <mergeCell ref="A28:P28"/>
    <mergeCell ref="A29:Q29"/>
    <mergeCell ref="O20:P20"/>
    <mergeCell ref="O21:P21"/>
    <mergeCell ref="O22:P22"/>
    <mergeCell ref="O23:P23"/>
    <mergeCell ref="O24:P2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COMPRAR</cp:lastModifiedBy>
  <cp:revision>3</cp:revision>
  <cp:lastPrinted>2022-02-11T13:34:44Z</cp:lastPrinted>
  <dcterms:created xsi:type="dcterms:W3CDTF">2020-07-17T23:44:49Z</dcterms:created>
  <dcterms:modified xsi:type="dcterms:W3CDTF">2022-10-24T14:36:57Z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