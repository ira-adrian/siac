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6FC08A57-F2F5-4DB0-9CA6-B34F0A0D59E7}" xr6:coauthVersionLast="46" xr6:coauthVersionMax="46" xr10:uidLastSave="{00000000-0000-0000-0000-000000000000}"/>
  <bookViews>
    <workbookView xWindow="-120" yWindow="-120" windowWidth="29040" windowHeight="15840" tabRatio="488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Trimestrales'!$A$9:$I$53</definedName>
    <definedName name="_xlnm.Print_Area" localSheetId="1">' NotaPedido'!$A$1:$K$56</definedName>
    <definedName name="_xlnm.Print_Area" localSheetId="2">'Autor Gastar'!$A$1:$Q$25</definedName>
    <definedName name="_xlnm.Print_Area" localSheetId="0">'Necesidades Trimestrales'!$E$9:$E$53</definedName>
  </definedNames>
  <calcPr calcId="181029"/>
</workbook>
</file>

<file path=xl/calcChain.xml><?xml version="1.0" encoding="utf-8"?>
<calcChain xmlns="http://schemas.openxmlformats.org/spreadsheetml/2006/main">
  <c r="Q21" i="3" l="1"/>
  <c r="K42" i="2" l="1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J47" i="2"/>
  <c r="J48" i="2"/>
  <c r="J49" i="2"/>
  <c r="J50" i="2"/>
  <c r="J51" i="2"/>
  <c r="J52" i="2"/>
  <c r="J53" i="2"/>
  <c r="J54" i="2"/>
  <c r="J55" i="2"/>
  <c r="I46" i="2"/>
  <c r="I47" i="2"/>
  <c r="I48" i="2"/>
  <c r="I49" i="2"/>
  <c r="I50" i="2"/>
  <c r="I51" i="2"/>
  <c r="I52" i="2"/>
  <c r="I53" i="2"/>
  <c r="I54" i="2"/>
  <c r="I55" i="2"/>
  <c r="C50" i="2"/>
  <c r="C51" i="2"/>
  <c r="C52" i="2"/>
  <c r="C53" i="2"/>
  <c r="C54" i="2"/>
  <c r="C55" i="2"/>
  <c r="I48" i="1"/>
  <c r="I49" i="1"/>
  <c r="I50" i="1"/>
  <c r="I51" i="1"/>
  <c r="I52" i="1"/>
  <c r="I53" i="1"/>
  <c r="C48" i="2" l="1"/>
  <c r="C49" i="2"/>
  <c r="I46" i="1"/>
  <c r="I47" i="1"/>
  <c r="K32" i="2" l="1"/>
  <c r="K33" i="2"/>
  <c r="K34" i="2"/>
  <c r="K35" i="2"/>
  <c r="K36" i="2"/>
  <c r="K37" i="2"/>
  <c r="K38" i="2"/>
  <c r="K39" i="2"/>
  <c r="K40" i="2"/>
  <c r="K4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32" i="2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56" i="2" l="1"/>
</calcChain>
</file>

<file path=xl/sharedStrings.xml><?xml version="1.0" encoding="utf-8"?>
<sst xmlns="http://schemas.openxmlformats.org/spreadsheetml/2006/main" count="250" uniqueCount="113">
  <si>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</si>
  <si>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</si>
  <si>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</si>
  <si>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</si>
  <si>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</si>
  <si>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</si>
  <si>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</si>
  <si>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</si>
  <si>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</si>
  <si>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</si>
  <si>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</si>
  <si>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</si>
  <si>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</si>
  <si>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</si>
  <si>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</si>
  <si>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</si>
  <si>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</si>
  <si>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</si>
  <si>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</si>
  <si>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</si>
  <si>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</si>
  <si>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</si>
  <si>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</si>
  <si>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</si>
  <si>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</si>
  <si>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</si>
  <si>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</si>
  <si>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</si>
  <si>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</si>
  <si>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</si>
  <si>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</si>
  <si>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</si>
  <si>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</si>
  <si>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</si>
  <si>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</si>
  <si>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</si>
  <si>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</si>
  <si>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</si>
  <si>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</si>
  <si>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</si>
  <si>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</si>
  <si>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</si>
  <si>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</si>
  <si>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</si>
  <si>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</si>
  <si>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</si>
  <si>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</si>
  <si>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</si>
  <si>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</si>
  <si>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</si>
  <si>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</si>
  <si>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</si>
  <si>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</si>
  <si>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</si>
  <si>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</si>
  <si>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</si>
  <si>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Servicio de Farmacia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</si>
  <si>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</si>
  <si>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</si>
  <si>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</si>
  <si>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 xml:space="preserve">: 45 dias habiles </t>
    </r>
  </si>
  <si>
    <t>PROD. MEDICO/FARMACEUTICOS/LAB</t>
  </si>
  <si>
    <t>AMOXICILINA 500 MG COMPRIMIDO</t>
  </si>
  <si>
    <t>AMOXICILINA 500 MG SUSPENSIÓN X 90 ML</t>
  </si>
  <si>
    <t>AMPICILINA 1G FCO AMPOLLA</t>
  </si>
  <si>
    <t>BACLOFENO 10 MG COMPRIMIDO</t>
  </si>
  <si>
    <t>BARIO SULFATO TIPO EZ-CAT  SUSPENSION ORAL X 225 ML</t>
  </si>
  <si>
    <t>BARIO SULFATO TIPO GASTROPAQUE  F SUSPENSION PARA ENEMA x 500 ml</t>
  </si>
  <si>
    <t>BARIO SULFATO TIPO GASTROPAQUE F SUSPENSION ORAL X 300 ML</t>
  </si>
  <si>
    <t>BUPIVACAINA  0,5% C/EPINEFRINA FRASCO X 20 ML</t>
  </si>
  <si>
    <t>BUPIVACAINA  0,5% S/EPINEFRINA  FRASCO X 20 ML</t>
  </si>
  <si>
    <t xml:space="preserve">BUPIVACAINA 5 MG / ML  HIBERBARICA  AMPOLLA DE 4 ML CON AGUJA 27 G X 3 1/2 CON INTRODUCTOR </t>
  </si>
  <si>
    <t>CEFALEXINA 500 MG SUSPENSIÓN X 90 ML</t>
  </si>
  <si>
    <t>CEFAZOLINA 1GR FCO AMPOLLA</t>
  </si>
  <si>
    <t>CIPROFLOXACINA 500 MG COMP</t>
  </si>
  <si>
    <t>CLARITROMICINA AMPOLLA</t>
  </si>
  <si>
    <t>CLINDAMICINA 300MG CAPSULAS</t>
  </si>
  <si>
    <t>CONTRASTE NO IONICO X 300 MG X 50 ML(IOPRAMIDA,IOVITRIDOL,IODIXANOL,IOHEXOL,IOVERSOL)</t>
  </si>
  <si>
    <t>DIATRISOATO DE DEMEGLUMINA +DIATRISOATO DE SODIO (TIPO TRIYOSOM GY/TEMISTAC) X 120 ML</t>
  </si>
  <si>
    <t xml:space="preserve">DICLOFENAC 75 MG. AMPOLLA </t>
  </si>
  <si>
    <t>DICLOFENAC POTASICO 500MG/100ML JARABE X 120</t>
  </si>
  <si>
    <t>DIPIRONA 1GR AMPOLLA</t>
  </si>
  <si>
    <t>DIPIRONA JARABE</t>
  </si>
  <si>
    <t xml:space="preserve">GAMMAGLOBULINA + TOXOIDE 250 MG </t>
  </si>
  <si>
    <t xml:space="preserve">GAMMAGLOBULINA + TOXOIDE 500 MG </t>
  </si>
  <si>
    <t>IBUPROFENO 400 MG AMPOLLA</t>
  </si>
  <si>
    <t>INMUNOGLOBULINA HUMANA INESPECIFICA 10 GRS</t>
  </si>
  <si>
    <t>INMUNOGLOBULINA HUMANA INESPECIFICA 2,5 GRS</t>
  </si>
  <si>
    <t>INMUNOGLOBULINA HUMANA INESPECIFICA 5 GRS</t>
  </si>
  <si>
    <t>KETOROLAC 30 MG AMPOLLA</t>
  </si>
  <si>
    <t>LIDOCAINA 2% CON EPINEFRINA X 20 ML</t>
  </si>
  <si>
    <t>LIDOCAINA 2%SIN EPINEFRINA X 20 ML</t>
  </si>
  <si>
    <t>LIDOCAINA AEROSOL</t>
  </si>
  <si>
    <t>LIDOCAINA JALEA</t>
  </si>
  <si>
    <t>METRONIDAZOL 25MG/ML SUSPENSION X 120 ML</t>
  </si>
  <si>
    <t>NALBUFINA 10 MG AMPOLLA</t>
  </si>
  <si>
    <t>ORNIDAZOL 1GR AMPOLLA</t>
  </si>
  <si>
    <t>PARACETAMOL SUSPENSIÓN</t>
  </si>
  <si>
    <t>PENICILINA BENZATINICA 2.400.000 FCO AMPOLLA</t>
  </si>
  <si>
    <t>PENICILINA G SODICA 1.000.000 FCO AMPOLLA</t>
  </si>
  <si>
    <t>PENICILINA G SODICA 3.000.000 UI FCO AMPOLLA</t>
  </si>
  <si>
    <t>POLIETILENGLICO 3350  SOBRES X 30 TIPO OSTILAX</t>
  </si>
  <si>
    <t>RIFAMPICINA 20 MG/ML SUSPENSIÓN</t>
  </si>
  <si>
    <t xml:space="preserve">RIFAMPICINA 300 MG CAPSULAS </t>
  </si>
  <si>
    <t>RIFAMPICINA 600 MG VIAL</t>
  </si>
  <si>
    <t>SEVOFLUORANO X 250 ML TIPO ABBOTT</t>
  </si>
  <si>
    <t>Para la adquisición de Insumos relacionados a la Terapia Antiinfecciosa Sistemica - Sueros Inmunes E Iinmunoglobulinas destinados al Servicio de Farmacia del Hospital Interzonal de Niños Eva Peron, para el normal funcionamiento del organismo.</t>
  </si>
  <si>
    <t>097/2021</t>
  </si>
  <si>
    <t>Terapia Antiinfecciosa Sistemica - Sueros Inmunes E Iinmunoglobulinas</t>
  </si>
  <si>
    <t>PRODUCTOS FARMACEUTICOS Y MEDICINALES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</si>
  <si>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veinte (20) días corridos de notificada la Orden de Compra</t>
    </r>
  </si>
  <si>
    <t>Costo total estimado: Diecinueve Millones Ciento Cincuenta Y Nueve Mil Quinientos Treinta Con 50/100.</t>
  </si>
  <si>
    <t>TOTAL DE PESOS: DIECINUEVE MILLONES CIENTO CINCUENTA Y NUEVE MIL QUINIENTOS TREINTA CON 50/100.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</si>
</sst>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[$$-2C0A]\ * #,##0.00_-;\-[$$-2C0A]\ * #,##0.00_-;_-[$$-2C0A]\ * &quot;-&quot;??_-;_-@_-"/>
  </numFmts>
  <fonts count="30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rgb="FF333333"/>
      <name val="Times New Roman"/>
      <family val="1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</cellStyleXfs>
  <cellXfs count="149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15" fillId="0" borderId="38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0" fontId="17" fillId="0" borderId="5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0" borderId="0" xfId="0" applyFont="1" applyBorder="1"/>
    <xf numFmtId="166" fontId="17" fillId="0" borderId="0" xfId="0" applyNumberFormat="1" applyFont="1"/>
    <xf numFmtId="0" fontId="7" fillId="3" borderId="12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14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6" fillId="3" borderId="4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6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69" fontId="22" fillId="0" borderId="0" xfId="0" applyNumberFormat="1" applyFont="1"/>
    <xf numFmtId="169" fontId="23" fillId="0" borderId="0" xfId="0" applyNumberFormat="1" applyFont="1" applyAlignment="1">
      <alignment horizontal="left" wrapText="1"/>
    </xf>
    <xf numFmtId="167" fontId="4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8" xfId="0" applyFont="1" applyBorder="1" applyAlignment="1">
      <alignment horizontal="left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56" xfId="0" applyBorder="1"/>
    <xf numFmtId="0" fontId="22" fillId="0" borderId="57" xfId="0" applyFont="1" applyBorder="1" applyAlignment="1">
      <alignment horizontal="center" vertical="center"/>
    </xf>
    <xf numFmtId="166" fontId="22" fillId="4" borderId="58" xfId="1" applyNumberFormat="1" applyFont="1" applyFill="1" applyBorder="1" applyAlignment="1" applyProtection="1">
      <alignment horizontal="right" vertical="center" wrapText="1"/>
    </xf>
    <xf numFmtId="0" fontId="6" fillId="3" borderId="57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left" vertical="center"/>
    </xf>
    <xf numFmtId="3" fontId="6" fillId="3" borderId="58" xfId="0" applyNumberFormat="1" applyFont="1" applyFill="1" applyBorder="1" applyAlignment="1">
      <alignment horizontal="center" vertical="center"/>
    </xf>
    <xf numFmtId="166" fontId="6" fillId="3" borderId="56" xfId="1" applyNumberFormat="1" applyFont="1" applyFill="1" applyBorder="1" applyAlignment="1" applyProtection="1">
      <alignment horizontal="right" vertical="center" wrapText="1"/>
    </xf>
    <xf numFmtId="0" fontId="6" fillId="4" borderId="56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169" fontId="26" fillId="0" borderId="16" xfId="0" applyNumberFormat="1" applyFont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left" vertical="center"/>
    </xf>
    <xf numFmtId="0" fontId="22" fillId="0" borderId="42" xfId="0" applyFont="1" applyBorder="1" applyAlignment="1">
      <alignment horizontal="center" vertical="center"/>
    </xf>
    <xf numFmtId="0" fontId="0" fillId="0" borderId="2" xfId="0" applyBorder="1"/>
    <xf numFmtId="166" fontId="22" fillId="4" borderId="3" xfId="1" applyNumberFormat="1" applyFont="1" applyFill="1" applyBorder="1" applyAlignment="1" applyProtection="1">
      <alignment horizontal="right" vertical="center" wrapText="1"/>
    </xf>
    <xf numFmtId="0" fontId="24" fillId="0" borderId="4" xfId="0" applyFont="1" applyBorder="1" applyAlignment="1">
      <alignment horizontal="left" indent="3"/>
    </xf>
    <xf numFmtId="0" fontId="20" fillId="0" borderId="60" xfId="0" applyFont="1" applyBorder="1" applyAlignment="1">
      <alignment horizontal="left" vertical="center" wrapText="1"/>
    </xf>
    <xf numFmtId="0" fontId="20" fillId="0" borderId="60" xfId="0" applyFont="1" applyFill="1" applyBorder="1" applyAlignment="1">
      <alignment horizontal="center" vertical="center" wrapText="1"/>
    </xf>
    <xf numFmtId="0" fontId="20" fillId="0" borderId="60" xfId="0" applyFont="1" applyFill="1" applyBorder="1" applyAlignment="1">
      <alignment horizontal="left" vertical="center" wrapText="1"/>
    </xf>
    <xf numFmtId="0" fontId="28" fillId="0" borderId="61" xfId="0" applyFont="1" applyFill="1" applyBorder="1" applyAlignment="1">
      <alignment horizontal="center" vertical="center" wrapText="1"/>
    </xf>
    <xf numFmtId="0" fontId="17" fillId="0" borderId="60" xfId="0" applyFont="1" applyBorder="1" applyAlignment="1">
      <alignment horizontal="center" vertical="center"/>
    </xf>
    <xf numFmtId="0" fontId="20" fillId="0" borderId="56" xfId="0" applyFont="1" applyBorder="1" applyAlignment="1">
      <alignment horizontal="left" vertical="center" wrapText="1"/>
    </xf>
    <xf numFmtId="0" fontId="28" fillId="0" borderId="62" xfId="0" applyFont="1" applyFill="1" applyBorder="1" applyAlignment="1">
      <alignment horizontal="center" vertical="center" wrapText="1"/>
    </xf>
    <xf numFmtId="3" fontId="17" fillId="0" borderId="56" xfId="0" applyNumberFormat="1" applyFont="1" applyFill="1" applyBorder="1" applyAlignment="1">
      <alignment horizontal="center" vertical="center"/>
    </xf>
    <xf numFmtId="0" fontId="20" fillId="0" borderId="56" xfId="0" applyFont="1" applyFill="1" applyBorder="1" applyAlignment="1">
      <alignment horizontal="left" vertical="center" wrapText="1"/>
    </xf>
    <xf numFmtId="0" fontId="17" fillId="0" borderId="56" xfId="0" applyFont="1" applyBorder="1" applyAlignment="1">
      <alignment horizontal="center" vertical="center"/>
    </xf>
    <xf numFmtId="0" fontId="20" fillId="0" borderId="56" xfId="0" applyFont="1" applyFill="1" applyBorder="1" applyAlignment="1">
      <alignment horizontal="left" vertical="center"/>
    </xf>
    <xf numFmtId="0" fontId="29" fillId="0" borderId="56" xfId="0" applyFont="1" applyBorder="1" applyAlignment="1">
      <alignment horizontal="center" vertical="center"/>
    </xf>
    <xf numFmtId="0" fontId="24" fillId="0" borderId="9" xfId="0" applyFont="1" applyBorder="1" applyAlignment="1"/>
    <xf numFmtId="0" fontId="17" fillId="0" borderId="10" xfId="0" applyFont="1" applyBorder="1" applyAlignment="1">
      <alignment horizontal="center" wrapText="1"/>
    </xf>
    <xf numFmtId="0" fontId="17" fillId="0" borderId="10" xfId="0" applyFont="1" applyFill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170" fontId="17" fillId="3" borderId="56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7" fillId="4" borderId="7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center"/>
    </xf>
    <xf numFmtId="0" fontId="25" fillId="4" borderId="0" xfId="0" applyFont="1" applyFill="1" applyBorder="1" applyAlignment="1">
      <alignment horizontal="left" wrapText="1" indent="1"/>
    </xf>
    <xf numFmtId="0" fontId="8" fillId="3" borderId="16" xfId="0" applyFont="1" applyFill="1" applyBorder="1" applyAlignment="1">
      <alignment horizontal="left" vertical="center" wrapText="1" indent="1"/>
    </xf>
    <xf numFmtId="167" fontId="9" fillId="3" borderId="1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59" xfId="0" applyFont="1" applyFill="1" applyBorder="1" applyAlignment="1">
      <alignment horizontal="left" vertical="center" wrapText="1"/>
    </xf>
    <xf numFmtId="0" fontId="6" fillId="3" borderId="56" xfId="0" applyFont="1" applyFill="1" applyBorder="1" applyAlignment="1">
      <alignment horizontal="left" vertical="center" wrapText="1"/>
    </xf>
    <xf numFmtId="0" fontId="8" fillId="4" borderId="19" xfId="0" applyFont="1" applyFill="1" applyBorder="1" applyAlignment="1">
      <alignment horizontal="left" vertical="center" wrapText="1" indent="1"/>
    </xf>
    <xf numFmtId="0" fontId="10" fillId="3" borderId="18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13" fillId="4" borderId="38" xfId="0" applyFont="1" applyFill="1" applyBorder="1" applyAlignment="1">
      <alignment horizontal="left" vertical="center" wrapText="1" indent="1"/>
    </xf>
    <xf numFmtId="0" fontId="0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1" fillId="0" borderId="38" xfId="0" applyFont="1" applyBorder="1" applyAlignment="1">
      <alignment horizontal="left" vertical="center" wrapText="1"/>
    </xf>
    <xf numFmtId="0" fontId="0" fillId="0" borderId="23" xfId="0" applyBorder="1"/>
    <xf numFmtId="0" fontId="27" fillId="0" borderId="30" xfId="0" applyFont="1" applyFill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/>
    </xf>
    <xf numFmtId="0" fontId="11" fillId="0" borderId="21" xfId="0" applyFont="1" applyBorder="1" applyAlignment="1">
      <alignment vertical="center" wrapText="1"/>
    </xf>
    <xf numFmtId="0" fontId="11" fillId="0" borderId="3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3" fillId="0" borderId="28" xfId="0" applyFont="1" applyBorder="1" applyAlignment="1">
      <alignment vertical="center" wrapText="1"/>
    </xf>
    <xf numFmtId="0" fontId="13" fillId="0" borderId="24" xfId="0" applyFont="1" applyBorder="1"/>
    <xf numFmtId="0" fontId="13" fillId="0" borderId="25" xfId="0" applyFont="1" applyBorder="1" applyAlignment="1">
      <alignment horizontal="left" vertical="center" wrapText="1" indent="1"/>
    </xf>
    <xf numFmtId="0" fontId="15" fillId="0" borderId="23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indent="1"/>
    </xf>
    <xf numFmtId="0" fontId="14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1" fillId="0" borderId="22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center" wrapText="1"/>
    </xf>
    <xf numFmtId="0" fontId="4" fillId="0" borderId="13" xfId="0" applyFont="1" applyBorder="1"/>
  </cellXfs>
  <cellStyles count="8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60"/>
  <sheetViews>
    <sheetView tabSelected="1" zoomScale="93" zoomScaleNormal="93" workbookViewId="0">
      <selection activeCell="C62" sqref="C62"/>
    </sheetView>
  </sheetViews>
  <sheetFormatPr baseColWidth="10" defaultColWidth="11" defaultRowHeight="12.75" x14ac:dyDescent="0.2"/>
  <cols>
    <col min="1" max="1" width="6.42578125" style="26" customWidth="1"/>
    <col min="2" max="2" width="11.1406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1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02" t="s">
        <v>0</v>
      </c>
      <c r="C2" s="102"/>
      <c r="D2" s="102"/>
      <c r="E2" s="102"/>
      <c r="F2" s="102"/>
      <c r="G2" s="102"/>
      <c r="H2" s="102"/>
    </row>
    <row r="3" spans="1:10" ht="12" customHeight="1" x14ac:dyDescent="0.2"/>
    <row r="4" spans="1:10" ht="18" customHeight="1" x14ac:dyDescent="0.25">
      <c r="A4" s="98" t="s">
        <v>1</v>
      </c>
      <c r="B4" s="98"/>
      <c r="C4" s="103" t="s">
        <v>52</v>
      </c>
      <c r="D4" s="103"/>
      <c r="E4" s="103"/>
      <c r="F4" s="27"/>
      <c r="G4" s="28"/>
      <c r="H4" s="52"/>
    </row>
    <row r="5" spans="1:10" ht="18" customHeight="1" x14ac:dyDescent="0.25">
      <c r="A5" s="98" t="s">
        <v>2</v>
      </c>
      <c r="B5" s="98"/>
      <c r="C5" s="103" t="s">
        <v>51</v>
      </c>
      <c r="D5" s="103"/>
      <c r="E5" s="103"/>
      <c r="F5" s="27"/>
      <c r="G5" s="28" t="s">
        <v>55</v>
      </c>
      <c r="H5" s="52"/>
    </row>
    <row r="6" spans="1:10" ht="16.5" customHeight="1" x14ac:dyDescent="0.25">
      <c r="A6" s="98" t="s">
        <v>3</v>
      </c>
      <c r="B6" s="98"/>
      <c r="C6" s="42">
        <v>2021</v>
      </c>
      <c r="D6" s="43"/>
      <c r="E6" s="43"/>
      <c r="F6" s="27"/>
      <c r="G6" s="28"/>
      <c r="H6" s="52"/>
    </row>
    <row r="7" spans="1:10" ht="16.5" customHeight="1" x14ac:dyDescent="0.25">
      <c r="A7" s="98" t="s">
        <v>4</v>
      </c>
      <c r="B7" s="98"/>
      <c r="C7" s="42">
        <v>3</v>
      </c>
      <c r="D7" s="43"/>
      <c r="E7" s="43"/>
      <c r="F7" s="27"/>
      <c r="G7" s="28"/>
      <c r="H7" s="52"/>
    </row>
    <row r="8" spans="1:10" ht="13.5" thickBot="1" x14ac:dyDescent="0.25">
      <c r="B8" s="27"/>
      <c r="C8" s="28"/>
      <c r="D8" s="27"/>
      <c r="E8" s="27"/>
      <c r="F8" s="27"/>
      <c r="G8" s="28"/>
      <c r="H8" s="52"/>
      <c r="J8" s="50"/>
    </row>
    <row r="9" spans="1:10" ht="36.75" thickBot="1" x14ac:dyDescent="0.25">
      <c r="A9" s="74" t="s">
        <v>5</v>
      </c>
      <c r="B9" s="74" t="s">
        <v>6</v>
      </c>
      <c r="C9" s="74" t="s">
        <v>7</v>
      </c>
      <c r="D9" s="74" t="s">
        <v>8</v>
      </c>
      <c r="E9" s="74" t="s">
        <v>9</v>
      </c>
      <c r="F9" s="74" t="s">
        <v>10</v>
      </c>
      <c r="G9" s="74" t="s">
        <v>11</v>
      </c>
      <c r="H9" s="75" t="s">
        <v>12</v>
      </c>
      <c r="I9" s="74" t="s">
        <v>13</v>
      </c>
    </row>
    <row r="10" spans="1:10" ht="25.5" x14ac:dyDescent="0.2">
      <c r="A10" s="77">
        <v>1</v>
      </c>
      <c r="B10" s="78"/>
      <c r="C10" s="81" t="s">
        <v>61</v>
      </c>
      <c r="D10" s="82">
        <v>252</v>
      </c>
      <c r="E10" s="83" t="s">
        <v>62</v>
      </c>
      <c r="F10" s="84" t="s">
        <v>57</v>
      </c>
      <c r="G10" s="85">
        <v>4000</v>
      </c>
      <c r="H10" s="97">
        <v>9.34</v>
      </c>
      <c r="I10" s="79">
        <f>+G10*H10</f>
        <v>37360</v>
      </c>
    </row>
    <row r="11" spans="1:10" ht="25.5" x14ac:dyDescent="0.2">
      <c r="A11" s="66">
        <v>2</v>
      </c>
      <c r="B11" s="65"/>
      <c r="C11" s="86" t="s">
        <v>61</v>
      </c>
      <c r="D11" s="82">
        <v>252</v>
      </c>
      <c r="E11" s="86" t="s">
        <v>63</v>
      </c>
      <c r="F11" s="87" t="s">
        <v>57</v>
      </c>
      <c r="G11" s="88">
        <v>500</v>
      </c>
      <c r="H11" s="97">
        <v>250</v>
      </c>
      <c r="I11" s="67">
        <f t="shared" ref="I11:I53" si="0">+G11*H11</f>
        <v>125000</v>
      </c>
    </row>
    <row r="12" spans="1:10" ht="25.5" x14ac:dyDescent="0.2">
      <c r="A12" s="66">
        <v>3</v>
      </c>
      <c r="B12" s="65"/>
      <c r="C12" s="86" t="s">
        <v>61</v>
      </c>
      <c r="D12" s="82">
        <v>252</v>
      </c>
      <c r="E12" s="89" t="s">
        <v>64</v>
      </c>
      <c r="F12" s="87" t="s">
        <v>57</v>
      </c>
      <c r="G12" s="90">
        <v>1000</v>
      </c>
      <c r="H12" s="97">
        <v>127.5</v>
      </c>
      <c r="I12" s="67">
        <f t="shared" si="0"/>
        <v>127500</v>
      </c>
    </row>
    <row r="13" spans="1:10" ht="25.5" x14ac:dyDescent="0.2">
      <c r="A13" s="66">
        <v>4</v>
      </c>
      <c r="B13" s="65"/>
      <c r="C13" s="86" t="s">
        <v>61</v>
      </c>
      <c r="D13" s="82">
        <v>252</v>
      </c>
      <c r="E13" s="89" t="s">
        <v>65</v>
      </c>
      <c r="F13" s="87" t="s">
        <v>57</v>
      </c>
      <c r="G13" s="90">
        <v>2000</v>
      </c>
      <c r="H13" s="97">
        <v>6.66</v>
      </c>
      <c r="I13" s="67">
        <f t="shared" si="0"/>
        <v>13320</v>
      </c>
    </row>
    <row r="14" spans="1:10" ht="25.5" x14ac:dyDescent="0.2">
      <c r="A14" s="66">
        <v>5</v>
      </c>
      <c r="B14" s="65"/>
      <c r="C14" s="86" t="s">
        <v>61</v>
      </c>
      <c r="D14" s="82">
        <v>252</v>
      </c>
      <c r="E14" s="89" t="s">
        <v>66</v>
      </c>
      <c r="F14" s="87" t="s">
        <v>57</v>
      </c>
      <c r="G14" s="90">
        <v>40</v>
      </c>
      <c r="H14" s="97">
        <v>4735</v>
      </c>
      <c r="I14" s="67">
        <f t="shared" si="0"/>
        <v>189400</v>
      </c>
    </row>
    <row r="15" spans="1:10" ht="25.5" x14ac:dyDescent="0.2">
      <c r="A15" s="66">
        <v>6</v>
      </c>
      <c r="B15" s="65"/>
      <c r="C15" s="86" t="s">
        <v>61</v>
      </c>
      <c r="D15" s="82">
        <v>252</v>
      </c>
      <c r="E15" s="89" t="s">
        <v>67</v>
      </c>
      <c r="F15" s="87" t="s">
        <v>57</v>
      </c>
      <c r="G15" s="92">
        <v>40</v>
      </c>
      <c r="H15" s="97">
        <v>7332</v>
      </c>
      <c r="I15" s="67">
        <f t="shared" si="0"/>
        <v>293280</v>
      </c>
    </row>
    <row r="16" spans="1:10" ht="25.5" x14ac:dyDescent="0.2">
      <c r="A16" s="66">
        <v>7</v>
      </c>
      <c r="B16" s="65"/>
      <c r="C16" s="86" t="s">
        <v>61</v>
      </c>
      <c r="D16" s="82">
        <v>252</v>
      </c>
      <c r="E16" s="89" t="s">
        <v>68</v>
      </c>
      <c r="F16" s="87" t="s">
        <v>57</v>
      </c>
      <c r="G16" s="90">
        <v>40</v>
      </c>
      <c r="H16" s="97">
        <v>4735</v>
      </c>
      <c r="I16" s="67">
        <f t="shared" si="0"/>
        <v>189400</v>
      </c>
    </row>
    <row r="17" spans="1:9" ht="25.5" x14ac:dyDescent="0.2">
      <c r="A17" s="66">
        <v>8</v>
      </c>
      <c r="B17" s="65"/>
      <c r="C17" s="86" t="s">
        <v>61</v>
      </c>
      <c r="D17" s="82">
        <v>252</v>
      </c>
      <c r="E17" s="89" t="s">
        <v>69</v>
      </c>
      <c r="F17" s="87" t="s">
        <v>57</v>
      </c>
      <c r="G17" s="90">
        <v>100</v>
      </c>
      <c r="H17" s="97">
        <v>350</v>
      </c>
      <c r="I17" s="67">
        <f t="shared" si="0"/>
        <v>35000</v>
      </c>
    </row>
    <row r="18" spans="1:9" ht="25.5" x14ac:dyDescent="0.2">
      <c r="A18" s="66">
        <v>9</v>
      </c>
      <c r="B18" s="65"/>
      <c r="C18" s="86" t="s">
        <v>61</v>
      </c>
      <c r="D18" s="82">
        <v>252</v>
      </c>
      <c r="E18" s="91" t="s">
        <v>70</v>
      </c>
      <c r="F18" s="87" t="s">
        <v>57</v>
      </c>
      <c r="G18" s="90">
        <v>200</v>
      </c>
      <c r="H18" s="97">
        <v>197.6</v>
      </c>
      <c r="I18" s="67">
        <f t="shared" si="0"/>
        <v>39520</v>
      </c>
    </row>
    <row r="19" spans="1:9" ht="25.5" x14ac:dyDescent="0.2">
      <c r="A19" s="66">
        <v>10</v>
      </c>
      <c r="B19" s="65"/>
      <c r="C19" s="81" t="s">
        <v>61</v>
      </c>
      <c r="D19" s="82">
        <v>252</v>
      </c>
      <c r="E19" s="83" t="s">
        <v>71</v>
      </c>
      <c r="F19" s="84" t="s">
        <v>57</v>
      </c>
      <c r="G19" s="85">
        <v>50</v>
      </c>
      <c r="H19" s="97">
        <v>1038</v>
      </c>
      <c r="I19" s="67">
        <f t="shared" si="0"/>
        <v>51900</v>
      </c>
    </row>
    <row r="20" spans="1:9" ht="25.5" x14ac:dyDescent="0.2">
      <c r="A20" s="66">
        <v>11</v>
      </c>
      <c r="B20" s="65"/>
      <c r="C20" s="86" t="s">
        <v>61</v>
      </c>
      <c r="D20" s="82">
        <v>252</v>
      </c>
      <c r="E20" s="86" t="s">
        <v>72</v>
      </c>
      <c r="F20" s="87" t="s">
        <v>57</v>
      </c>
      <c r="G20" s="88">
        <v>300</v>
      </c>
      <c r="H20" s="97">
        <v>268.2</v>
      </c>
      <c r="I20" s="67">
        <f t="shared" si="0"/>
        <v>80460</v>
      </c>
    </row>
    <row r="21" spans="1:9" ht="25.5" x14ac:dyDescent="0.2">
      <c r="A21" s="66">
        <v>12</v>
      </c>
      <c r="B21" s="65"/>
      <c r="C21" s="86" t="s">
        <v>61</v>
      </c>
      <c r="D21" s="82">
        <v>252</v>
      </c>
      <c r="E21" s="89" t="s">
        <v>73</v>
      </c>
      <c r="F21" s="87" t="s">
        <v>57</v>
      </c>
      <c r="G21" s="90">
        <v>200</v>
      </c>
      <c r="H21" s="97">
        <v>250</v>
      </c>
      <c r="I21" s="67">
        <f t="shared" si="0"/>
        <v>50000</v>
      </c>
    </row>
    <row r="22" spans="1:9" ht="25.5" x14ac:dyDescent="0.2">
      <c r="A22" s="66">
        <v>13</v>
      </c>
      <c r="B22" s="65"/>
      <c r="C22" s="81" t="s">
        <v>61</v>
      </c>
      <c r="D22" s="82">
        <v>252</v>
      </c>
      <c r="E22" s="83" t="s">
        <v>74</v>
      </c>
      <c r="F22" s="84" t="s">
        <v>57</v>
      </c>
      <c r="G22" s="85">
        <v>1000</v>
      </c>
      <c r="H22" s="97">
        <v>10.65</v>
      </c>
      <c r="I22" s="67">
        <f t="shared" si="0"/>
        <v>10650</v>
      </c>
    </row>
    <row r="23" spans="1:9" ht="25.5" x14ac:dyDescent="0.2">
      <c r="A23" s="66">
        <v>14</v>
      </c>
      <c r="B23" s="65"/>
      <c r="C23" s="86" t="s">
        <v>61</v>
      </c>
      <c r="D23" s="82">
        <v>252</v>
      </c>
      <c r="E23" s="86" t="s">
        <v>75</v>
      </c>
      <c r="F23" s="87" t="s">
        <v>57</v>
      </c>
      <c r="G23" s="88">
        <v>1000</v>
      </c>
      <c r="H23" s="97">
        <v>666.1</v>
      </c>
      <c r="I23" s="67">
        <f t="shared" si="0"/>
        <v>666100</v>
      </c>
    </row>
    <row r="24" spans="1:9" ht="25.5" x14ac:dyDescent="0.2">
      <c r="A24" s="66">
        <v>15</v>
      </c>
      <c r="B24" s="65"/>
      <c r="C24" s="86" t="s">
        <v>61</v>
      </c>
      <c r="D24" s="82">
        <v>252</v>
      </c>
      <c r="E24" s="89" t="s">
        <v>76</v>
      </c>
      <c r="F24" s="87" t="s">
        <v>57</v>
      </c>
      <c r="G24" s="90">
        <v>200</v>
      </c>
      <c r="H24" s="97">
        <v>24.2</v>
      </c>
      <c r="I24" s="67">
        <f t="shared" si="0"/>
        <v>4840</v>
      </c>
    </row>
    <row r="25" spans="1:9" ht="25.5" x14ac:dyDescent="0.2">
      <c r="A25" s="66">
        <v>16</v>
      </c>
      <c r="B25" s="65"/>
      <c r="C25" s="86" t="s">
        <v>61</v>
      </c>
      <c r="D25" s="82">
        <v>252</v>
      </c>
      <c r="E25" s="89" t="s">
        <v>77</v>
      </c>
      <c r="F25" s="87" t="s">
        <v>57</v>
      </c>
      <c r="G25" s="90">
        <v>600</v>
      </c>
      <c r="H25" s="97">
        <v>1600</v>
      </c>
      <c r="I25" s="67">
        <f t="shared" si="0"/>
        <v>960000</v>
      </c>
    </row>
    <row r="26" spans="1:9" ht="25.5" x14ac:dyDescent="0.2">
      <c r="A26" s="66">
        <v>17</v>
      </c>
      <c r="B26" s="65"/>
      <c r="C26" s="86" t="s">
        <v>61</v>
      </c>
      <c r="D26" s="82">
        <v>252</v>
      </c>
      <c r="E26" s="89" t="s">
        <v>78</v>
      </c>
      <c r="F26" s="87" t="s">
        <v>57</v>
      </c>
      <c r="G26" s="90">
        <v>20</v>
      </c>
      <c r="H26" s="97">
        <v>2500</v>
      </c>
      <c r="I26" s="67">
        <f t="shared" si="0"/>
        <v>50000</v>
      </c>
    </row>
    <row r="27" spans="1:9" ht="25.5" x14ac:dyDescent="0.2">
      <c r="A27" s="66">
        <v>18</v>
      </c>
      <c r="B27" s="65"/>
      <c r="C27" s="86" t="s">
        <v>61</v>
      </c>
      <c r="D27" s="82">
        <v>252</v>
      </c>
      <c r="E27" s="89" t="s">
        <v>79</v>
      </c>
      <c r="F27" s="87" t="s">
        <v>57</v>
      </c>
      <c r="G27" s="90">
        <v>5000</v>
      </c>
      <c r="H27" s="97">
        <v>33</v>
      </c>
      <c r="I27" s="67">
        <f t="shared" si="0"/>
        <v>165000</v>
      </c>
    </row>
    <row r="28" spans="1:9" ht="25.5" x14ac:dyDescent="0.2">
      <c r="A28" s="66">
        <v>19</v>
      </c>
      <c r="B28" s="65"/>
      <c r="C28" s="86" t="s">
        <v>61</v>
      </c>
      <c r="D28" s="82">
        <v>252</v>
      </c>
      <c r="E28" s="89" t="s">
        <v>80</v>
      </c>
      <c r="F28" s="87" t="s">
        <v>57</v>
      </c>
      <c r="G28" s="90">
        <v>100</v>
      </c>
      <c r="H28" s="97">
        <v>443.2</v>
      </c>
      <c r="I28" s="67">
        <f t="shared" si="0"/>
        <v>44320</v>
      </c>
    </row>
    <row r="29" spans="1:9" ht="25.5" x14ac:dyDescent="0.2">
      <c r="A29" s="66">
        <v>20</v>
      </c>
      <c r="B29" s="65"/>
      <c r="C29" s="86" t="s">
        <v>61</v>
      </c>
      <c r="D29" s="82">
        <v>252</v>
      </c>
      <c r="E29" s="89" t="s">
        <v>81</v>
      </c>
      <c r="F29" s="87" t="s">
        <v>57</v>
      </c>
      <c r="G29" s="90">
        <v>7000</v>
      </c>
      <c r="H29" s="97">
        <v>27.3</v>
      </c>
      <c r="I29" s="67">
        <f t="shared" si="0"/>
        <v>191100</v>
      </c>
    </row>
    <row r="30" spans="1:9" ht="25.5" x14ac:dyDescent="0.2">
      <c r="A30" s="66">
        <v>21</v>
      </c>
      <c r="B30" s="65"/>
      <c r="C30" s="86" t="s">
        <v>61</v>
      </c>
      <c r="D30" s="82">
        <v>252</v>
      </c>
      <c r="E30" s="89" t="s">
        <v>82</v>
      </c>
      <c r="F30" s="87" t="s">
        <v>57</v>
      </c>
      <c r="G30" s="90">
        <v>200</v>
      </c>
      <c r="H30" s="97">
        <v>125.44</v>
      </c>
      <c r="I30" s="67">
        <f t="shared" si="0"/>
        <v>25088</v>
      </c>
    </row>
    <row r="31" spans="1:9" ht="25.5" x14ac:dyDescent="0.2">
      <c r="A31" s="66">
        <v>22</v>
      </c>
      <c r="B31" s="65"/>
      <c r="C31" s="86" t="s">
        <v>61</v>
      </c>
      <c r="D31" s="82">
        <v>252</v>
      </c>
      <c r="E31" s="89" t="s">
        <v>83</v>
      </c>
      <c r="F31" s="87" t="s">
        <v>57</v>
      </c>
      <c r="G31" s="90">
        <v>100</v>
      </c>
      <c r="H31" s="97">
        <v>2476</v>
      </c>
      <c r="I31" s="67">
        <f t="shared" si="0"/>
        <v>247600</v>
      </c>
    </row>
    <row r="32" spans="1:9" ht="25.5" x14ac:dyDescent="0.2">
      <c r="A32" s="66">
        <v>23</v>
      </c>
      <c r="B32" s="65"/>
      <c r="C32" s="86" t="s">
        <v>61</v>
      </c>
      <c r="D32" s="82">
        <v>252</v>
      </c>
      <c r="E32" s="89" t="s">
        <v>84</v>
      </c>
      <c r="F32" s="87" t="s">
        <v>57</v>
      </c>
      <c r="G32" s="90">
        <v>100</v>
      </c>
      <c r="H32" s="97">
        <v>4793</v>
      </c>
      <c r="I32" s="67">
        <f t="shared" si="0"/>
        <v>479300</v>
      </c>
    </row>
    <row r="33" spans="1:9" ht="25.5" x14ac:dyDescent="0.2">
      <c r="A33" s="66">
        <v>24</v>
      </c>
      <c r="B33" s="65"/>
      <c r="C33" s="86" t="s">
        <v>61</v>
      </c>
      <c r="D33" s="82">
        <v>252</v>
      </c>
      <c r="E33" s="89" t="s">
        <v>85</v>
      </c>
      <c r="F33" s="87" t="s">
        <v>57</v>
      </c>
      <c r="G33" s="90">
        <v>200</v>
      </c>
      <c r="H33" s="97">
        <v>45.47</v>
      </c>
      <c r="I33" s="67">
        <f t="shared" si="0"/>
        <v>9094</v>
      </c>
    </row>
    <row r="34" spans="1:9" ht="25.5" x14ac:dyDescent="0.2">
      <c r="A34" s="66">
        <v>25</v>
      </c>
      <c r="B34" s="65"/>
      <c r="C34" s="86" t="s">
        <v>61</v>
      </c>
      <c r="D34" s="82">
        <v>252</v>
      </c>
      <c r="E34" s="89" t="s">
        <v>86</v>
      </c>
      <c r="F34" s="87" t="s">
        <v>57</v>
      </c>
      <c r="G34" s="90">
        <v>70</v>
      </c>
      <c r="H34" s="97">
        <v>89000</v>
      </c>
      <c r="I34" s="67">
        <f t="shared" si="0"/>
        <v>6230000</v>
      </c>
    </row>
    <row r="35" spans="1:9" ht="25.5" x14ac:dyDescent="0.2">
      <c r="A35" s="66">
        <v>26</v>
      </c>
      <c r="B35" s="65"/>
      <c r="C35" s="86" t="s">
        <v>61</v>
      </c>
      <c r="D35" s="82">
        <v>252</v>
      </c>
      <c r="E35" s="89" t="s">
        <v>87</v>
      </c>
      <c r="F35" s="87" t="s">
        <v>57</v>
      </c>
      <c r="G35" s="90">
        <v>100</v>
      </c>
      <c r="H35" s="97">
        <v>22213</v>
      </c>
      <c r="I35" s="67">
        <f t="shared" si="0"/>
        <v>2221300</v>
      </c>
    </row>
    <row r="36" spans="1:9" ht="25.5" x14ac:dyDescent="0.2">
      <c r="A36" s="66">
        <v>27</v>
      </c>
      <c r="B36" s="65"/>
      <c r="C36" s="86" t="s">
        <v>61</v>
      </c>
      <c r="D36" s="82">
        <v>252</v>
      </c>
      <c r="E36" s="89" t="s">
        <v>88</v>
      </c>
      <c r="F36" s="87" t="s">
        <v>57</v>
      </c>
      <c r="G36" s="90">
        <v>100</v>
      </c>
      <c r="H36" s="97">
        <v>44425</v>
      </c>
      <c r="I36" s="67">
        <f t="shared" si="0"/>
        <v>4442500</v>
      </c>
    </row>
    <row r="37" spans="1:9" ht="25.5" x14ac:dyDescent="0.2">
      <c r="A37" s="66">
        <v>28</v>
      </c>
      <c r="B37" s="65"/>
      <c r="C37" s="86" t="s">
        <v>61</v>
      </c>
      <c r="D37" s="82">
        <v>252</v>
      </c>
      <c r="E37" s="89" t="s">
        <v>89</v>
      </c>
      <c r="F37" s="87" t="s">
        <v>57</v>
      </c>
      <c r="G37" s="90">
        <v>500</v>
      </c>
      <c r="H37" s="97">
        <v>29.4</v>
      </c>
      <c r="I37" s="67">
        <f t="shared" si="0"/>
        <v>14700</v>
      </c>
    </row>
    <row r="38" spans="1:9" ht="25.5" x14ac:dyDescent="0.2">
      <c r="A38" s="66">
        <v>29</v>
      </c>
      <c r="B38" s="65"/>
      <c r="C38" s="86" t="s">
        <v>61</v>
      </c>
      <c r="D38" s="82">
        <v>252</v>
      </c>
      <c r="E38" s="89" t="s">
        <v>90</v>
      </c>
      <c r="F38" s="87" t="s">
        <v>57</v>
      </c>
      <c r="G38" s="90">
        <v>50</v>
      </c>
      <c r="H38" s="97">
        <v>280</v>
      </c>
      <c r="I38" s="67">
        <f t="shared" si="0"/>
        <v>14000</v>
      </c>
    </row>
    <row r="39" spans="1:9" ht="25.5" x14ac:dyDescent="0.2">
      <c r="A39" s="66">
        <v>30</v>
      </c>
      <c r="B39" s="65"/>
      <c r="C39" s="86" t="s">
        <v>61</v>
      </c>
      <c r="D39" s="82">
        <v>252</v>
      </c>
      <c r="E39" s="89" t="s">
        <v>91</v>
      </c>
      <c r="F39" s="87" t="s">
        <v>57</v>
      </c>
      <c r="G39" s="90">
        <v>400</v>
      </c>
      <c r="H39" s="97">
        <v>330</v>
      </c>
      <c r="I39" s="67">
        <f t="shared" si="0"/>
        <v>132000</v>
      </c>
    </row>
    <row r="40" spans="1:9" ht="25.5" x14ac:dyDescent="0.2">
      <c r="A40" s="66">
        <v>31</v>
      </c>
      <c r="B40" s="65"/>
      <c r="C40" s="86" t="s">
        <v>61</v>
      </c>
      <c r="D40" s="82">
        <v>252</v>
      </c>
      <c r="E40" s="89" t="s">
        <v>92</v>
      </c>
      <c r="F40" s="87" t="s">
        <v>57</v>
      </c>
      <c r="G40" s="90">
        <v>50</v>
      </c>
      <c r="H40" s="97">
        <v>385</v>
      </c>
      <c r="I40" s="67">
        <f t="shared" si="0"/>
        <v>19250</v>
      </c>
    </row>
    <row r="41" spans="1:9" ht="25.5" x14ac:dyDescent="0.2">
      <c r="A41" s="66">
        <v>32</v>
      </c>
      <c r="B41" s="65"/>
      <c r="C41" s="86" t="s">
        <v>61</v>
      </c>
      <c r="D41" s="82">
        <v>252</v>
      </c>
      <c r="E41" s="91" t="s">
        <v>93</v>
      </c>
      <c r="F41" s="87" t="s">
        <v>57</v>
      </c>
      <c r="G41" s="92">
        <v>200</v>
      </c>
      <c r="H41" s="97">
        <v>130</v>
      </c>
      <c r="I41" s="67">
        <f t="shared" si="0"/>
        <v>26000</v>
      </c>
    </row>
    <row r="42" spans="1:9" ht="25.5" x14ac:dyDescent="0.2">
      <c r="A42" s="66">
        <v>33</v>
      </c>
      <c r="B42" s="65"/>
      <c r="C42" s="86" t="s">
        <v>61</v>
      </c>
      <c r="D42" s="82">
        <v>252</v>
      </c>
      <c r="E42" s="89" t="s">
        <v>94</v>
      </c>
      <c r="F42" s="87" t="s">
        <v>57</v>
      </c>
      <c r="G42" s="90">
        <v>50</v>
      </c>
      <c r="H42" s="97">
        <v>724.8</v>
      </c>
      <c r="I42" s="67">
        <f t="shared" si="0"/>
        <v>36240</v>
      </c>
    </row>
    <row r="43" spans="1:9" ht="25.5" x14ac:dyDescent="0.2">
      <c r="A43" s="66">
        <v>34</v>
      </c>
      <c r="B43" s="65"/>
      <c r="C43" s="86" t="s">
        <v>61</v>
      </c>
      <c r="D43" s="82">
        <v>252</v>
      </c>
      <c r="E43" s="89" t="s">
        <v>95</v>
      </c>
      <c r="F43" s="87" t="s">
        <v>57</v>
      </c>
      <c r="G43" s="90">
        <v>200</v>
      </c>
      <c r="H43" s="97">
        <v>246</v>
      </c>
      <c r="I43" s="67">
        <f t="shared" si="0"/>
        <v>49200</v>
      </c>
    </row>
    <row r="44" spans="1:9" ht="25.5" x14ac:dyDescent="0.2">
      <c r="A44" s="66">
        <v>35</v>
      </c>
      <c r="B44" s="65"/>
      <c r="C44" s="86" t="s">
        <v>61</v>
      </c>
      <c r="D44" s="82">
        <v>252</v>
      </c>
      <c r="E44" s="91" t="s">
        <v>96</v>
      </c>
      <c r="F44" s="87" t="s">
        <v>57</v>
      </c>
      <c r="G44" s="90">
        <v>300</v>
      </c>
      <c r="H44" s="97">
        <v>865.15</v>
      </c>
      <c r="I44" s="67">
        <f t="shared" si="0"/>
        <v>259545</v>
      </c>
    </row>
    <row r="45" spans="1:9" ht="25.5" x14ac:dyDescent="0.2">
      <c r="A45" s="66">
        <v>36</v>
      </c>
      <c r="B45" s="65"/>
      <c r="C45" s="81" t="s">
        <v>61</v>
      </c>
      <c r="D45" s="82">
        <v>252</v>
      </c>
      <c r="E45" s="83" t="s">
        <v>97</v>
      </c>
      <c r="F45" s="87" t="s">
        <v>57</v>
      </c>
      <c r="G45" s="85">
        <v>200</v>
      </c>
      <c r="H45" s="97">
        <v>330</v>
      </c>
      <c r="I45" s="67">
        <f t="shared" si="0"/>
        <v>66000</v>
      </c>
    </row>
    <row r="46" spans="1:9" ht="25.5" x14ac:dyDescent="0.2">
      <c r="A46" s="66">
        <v>37</v>
      </c>
      <c r="B46" s="65"/>
      <c r="C46" s="86" t="s">
        <v>61</v>
      </c>
      <c r="D46" s="82">
        <v>252</v>
      </c>
      <c r="E46" s="86" t="s">
        <v>98</v>
      </c>
      <c r="F46" s="87" t="s">
        <v>57</v>
      </c>
      <c r="G46" s="88">
        <v>200</v>
      </c>
      <c r="H46" s="97">
        <v>160</v>
      </c>
      <c r="I46" s="67">
        <f t="shared" si="0"/>
        <v>32000</v>
      </c>
    </row>
    <row r="47" spans="1:9" ht="25.5" x14ac:dyDescent="0.2">
      <c r="A47" s="66">
        <v>38</v>
      </c>
      <c r="B47" s="65"/>
      <c r="C47" s="86" t="s">
        <v>61</v>
      </c>
      <c r="D47" s="82">
        <v>252</v>
      </c>
      <c r="E47" s="89" t="s">
        <v>99</v>
      </c>
      <c r="F47" s="87" t="s">
        <v>57</v>
      </c>
      <c r="G47" s="90">
        <v>300</v>
      </c>
      <c r="H47" s="97">
        <v>151</v>
      </c>
      <c r="I47" s="67">
        <f t="shared" si="0"/>
        <v>45300</v>
      </c>
    </row>
    <row r="48" spans="1:9" ht="25.5" x14ac:dyDescent="0.2">
      <c r="A48" s="66">
        <v>39</v>
      </c>
      <c r="B48" s="65"/>
      <c r="C48" s="86" t="s">
        <v>61</v>
      </c>
      <c r="D48" s="82">
        <v>252</v>
      </c>
      <c r="E48" s="89" t="s">
        <v>100</v>
      </c>
      <c r="F48" s="87" t="s">
        <v>57</v>
      </c>
      <c r="G48" s="90">
        <v>300</v>
      </c>
      <c r="H48" s="97">
        <v>196.54</v>
      </c>
      <c r="I48" s="67">
        <f t="shared" si="0"/>
        <v>58962</v>
      </c>
    </row>
    <row r="49" spans="1:9" ht="25.5" x14ac:dyDescent="0.2">
      <c r="A49" s="66">
        <v>40</v>
      </c>
      <c r="B49" s="65"/>
      <c r="C49" s="86" t="s">
        <v>61</v>
      </c>
      <c r="D49" s="82">
        <v>252</v>
      </c>
      <c r="E49" s="89" t="s">
        <v>101</v>
      </c>
      <c r="F49" s="87" t="s">
        <v>57</v>
      </c>
      <c r="G49" s="90">
        <v>3</v>
      </c>
      <c r="H49" s="97">
        <v>3906</v>
      </c>
      <c r="I49" s="67">
        <f t="shared" si="0"/>
        <v>11718</v>
      </c>
    </row>
    <row r="50" spans="1:9" ht="25.5" x14ac:dyDescent="0.2">
      <c r="A50" s="66">
        <v>41</v>
      </c>
      <c r="B50" s="65"/>
      <c r="C50" s="86" t="s">
        <v>61</v>
      </c>
      <c r="D50" s="82">
        <v>252</v>
      </c>
      <c r="E50" s="91" t="s">
        <v>102</v>
      </c>
      <c r="F50" s="87" t="s">
        <v>57</v>
      </c>
      <c r="G50" s="92">
        <v>5</v>
      </c>
      <c r="H50" s="97">
        <v>452.2</v>
      </c>
      <c r="I50" s="67">
        <f t="shared" si="0"/>
        <v>2261</v>
      </c>
    </row>
    <row r="51" spans="1:9" ht="25.5" x14ac:dyDescent="0.2">
      <c r="A51" s="66">
        <v>42</v>
      </c>
      <c r="B51" s="65"/>
      <c r="C51" s="86" t="s">
        <v>61</v>
      </c>
      <c r="D51" s="82">
        <v>252</v>
      </c>
      <c r="E51" s="89" t="s">
        <v>103</v>
      </c>
      <c r="F51" s="87" t="s">
        <v>57</v>
      </c>
      <c r="G51" s="90">
        <v>40</v>
      </c>
      <c r="H51" s="97">
        <v>82</v>
      </c>
      <c r="I51" s="67">
        <f t="shared" si="0"/>
        <v>3280</v>
      </c>
    </row>
    <row r="52" spans="1:9" ht="25.5" x14ac:dyDescent="0.2">
      <c r="A52" s="66">
        <v>43</v>
      </c>
      <c r="B52" s="65"/>
      <c r="C52" s="86" t="s">
        <v>61</v>
      </c>
      <c r="D52" s="82">
        <v>252</v>
      </c>
      <c r="E52" s="89" t="s">
        <v>104</v>
      </c>
      <c r="F52" s="87" t="s">
        <v>57</v>
      </c>
      <c r="G52" s="90">
        <v>25</v>
      </c>
      <c r="H52" s="97">
        <v>1297.7</v>
      </c>
      <c r="I52" s="67">
        <f t="shared" si="0"/>
        <v>32442.5</v>
      </c>
    </row>
    <row r="53" spans="1:9" ht="25.5" x14ac:dyDescent="0.2">
      <c r="A53" s="66">
        <v>44</v>
      </c>
      <c r="B53" s="65"/>
      <c r="C53" s="86" t="s">
        <v>61</v>
      </c>
      <c r="D53" s="82">
        <v>252</v>
      </c>
      <c r="E53" s="91" t="s">
        <v>105</v>
      </c>
      <c r="F53" s="87" t="s">
        <v>57</v>
      </c>
      <c r="G53" s="90">
        <v>200</v>
      </c>
      <c r="H53" s="97">
        <v>6888</v>
      </c>
      <c r="I53" s="67">
        <f t="shared" si="0"/>
        <v>1377600</v>
      </c>
    </row>
    <row r="54" spans="1:9" ht="13.5" thickBot="1" x14ac:dyDescent="0.25">
      <c r="I54" s="33"/>
    </row>
    <row r="55" spans="1:9" x14ac:dyDescent="0.2">
      <c r="B55" s="80" t="s">
        <v>58</v>
      </c>
      <c r="C55" s="29"/>
      <c r="D55" s="29"/>
      <c r="E55" s="30"/>
      <c r="I55" s="33"/>
    </row>
    <row r="56" spans="1:9" ht="13.5" customHeight="1" x14ac:dyDescent="0.2">
      <c r="B56" s="99" t="s">
        <v>59</v>
      </c>
      <c r="C56" s="100"/>
      <c r="D56" s="100"/>
      <c r="E56" s="101"/>
    </row>
    <row r="57" spans="1:9" ht="25.5" customHeight="1" x14ac:dyDescent="0.2">
      <c r="B57" s="99"/>
      <c r="C57" s="100"/>
      <c r="D57" s="100"/>
      <c r="E57" s="101"/>
      <c r="F57" s="31"/>
      <c r="G57" s="32"/>
    </row>
    <row r="58" spans="1:9" ht="13.5" customHeight="1" x14ac:dyDescent="0.2">
      <c r="B58" s="99" t="s">
        <v>110</v>
      </c>
      <c r="C58" s="100"/>
      <c r="D58" s="100"/>
      <c r="E58" s="101"/>
      <c r="F58" s="31"/>
      <c r="G58" s="32"/>
    </row>
    <row r="59" spans="1:9" ht="15" customHeight="1" thickBot="1" x14ac:dyDescent="0.25">
      <c r="B59" s="93" t="s">
        <v>60</v>
      </c>
      <c r="C59" s="94"/>
      <c r="D59" s="95"/>
      <c r="E59" s="96"/>
      <c r="F59" s="31"/>
      <c r="G59" s="32"/>
    </row>
    <row r="60" spans="1:9" ht="12" customHeight="1" x14ac:dyDescent="0.2"/>
  </sheetData>
  <autoFilter ref="A9:I53" xr:uid="{00000000-0009-0000-0000-000000000000}"/>
  <mergeCells count="9">
    <mergeCell ref="A6:B6"/>
    <mergeCell ref="A7:B7"/>
    <mergeCell ref="B56:E57"/>
    <mergeCell ref="B58:E58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6"/>
  <sheetViews>
    <sheetView topLeftCell="A52" zoomScale="80" zoomScaleNormal="80" workbookViewId="0">
      <selection activeCell="A56" sqref="A56:I56"/>
    </sheetView>
  </sheetViews>
  <sheetFormatPr baseColWidth="10" defaultColWidth="9.140625" defaultRowHeight="12.75" x14ac:dyDescent="0.2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48.57031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3" width="5.85546875" style="36" customWidth="1"/>
    <col min="14" max="14" width="14.140625" style="36" customWidth="1"/>
    <col min="15" max="15" width="12.5703125" style="36" customWidth="1"/>
    <col min="16" max="1024" width="9.140625" style="36"/>
    <col min="1025" max="16384" width="9.140625" style="37"/>
  </cols>
  <sheetData>
    <row r="1" spans="1:11" ht="18" customHeight="1" x14ac:dyDescent="0.2">
      <c r="A1" s="114" t="s">
        <v>14</v>
      </c>
      <c r="B1" s="114"/>
      <c r="C1" s="114"/>
      <c r="D1" s="114"/>
      <c r="E1" s="114"/>
      <c r="F1" s="114"/>
      <c r="G1" s="114"/>
      <c r="H1" s="114"/>
      <c r="I1" s="114"/>
      <c r="J1" s="34" t="s">
        <v>15</v>
      </c>
      <c r="K1" s="35" t="s">
        <v>107</v>
      </c>
    </row>
    <row r="2" spans="1:11" ht="18.75" customHeight="1" thickBot="1" x14ac:dyDescent="0.25">
      <c r="A2" s="38"/>
      <c r="B2" s="38"/>
      <c r="C2" s="38"/>
      <c r="D2" s="39"/>
      <c r="E2" s="39"/>
      <c r="F2" s="39"/>
      <c r="G2" s="39"/>
      <c r="H2" s="39"/>
      <c r="I2" s="39"/>
      <c r="J2" s="39"/>
      <c r="K2" s="39"/>
    </row>
    <row r="3" spans="1:11" ht="18.75" customHeight="1" thickBot="1" x14ac:dyDescent="0.25">
      <c r="A3" s="115" t="s">
        <v>48</v>
      </c>
      <c r="B3" s="115"/>
      <c r="C3" s="115"/>
      <c r="D3" s="104" t="str">
        <f>'Necesidades Trimestrales'!C4</f>
        <v>040 - Ministerio de Salud</v>
      </c>
      <c r="E3" s="104"/>
      <c r="F3" s="104"/>
      <c r="G3" s="104"/>
      <c r="H3" s="104"/>
      <c r="I3" s="104"/>
      <c r="J3" s="104"/>
      <c r="K3" s="104"/>
    </row>
    <row r="4" spans="1:11" ht="18.75" customHeight="1" thickBot="1" x14ac:dyDescent="0.25">
      <c r="A4" s="116" t="s">
        <v>49</v>
      </c>
      <c r="B4" s="116"/>
      <c r="C4" s="116"/>
      <c r="D4" s="104" t="str">
        <f>'Necesidades Trimestrales'!C5</f>
        <v>024 - Hospital Interzonal de Niños</v>
      </c>
      <c r="E4" s="104"/>
      <c r="F4" s="104"/>
      <c r="G4" s="104"/>
      <c r="H4" s="104"/>
      <c r="I4" s="104"/>
      <c r="J4" s="104"/>
      <c r="K4" s="104"/>
    </row>
    <row r="5" spans="1:11" ht="18.75" customHeight="1" thickBot="1" x14ac:dyDescent="0.25">
      <c r="A5" s="116" t="s">
        <v>27</v>
      </c>
      <c r="B5" s="116"/>
      <c r="C5" s="116"/>
      <c r="D5" s="104" t="s">
        <v>51</v>
      </c>
      <c r="E5" s="104"/>
      <c r="F5" s="104"/>
      <c r="G5" s="104"/>
      <c r="H5" s="104"/>
      <c r="I5" s="104"/>
      <c r="J5" s="104"/>
      <c r="K5" s="104"/>
    </row>
    <row r="6" spans="1:11" ht="16.5" customHeight="1" thickBot="1" x14ac:dyDescent="0.25">
      <c r="A6" s="115" t="s">
        <v>50</v>
      </c>
      <c r="B6" s="115"/>
      <c r="C6" s="115"/>
      <c r="D6" s="104" t="s">
        <v>56</v>
      </c>
      <c r="E6" s="104"/>
      <c r="F6" s="104"/>
      <c r="G6" s="104"/>
      <c r="H6" s="104"/>
      <c r="I6" s="104"/>
      <c r="J6" s="104"/>
      <c r="K6" s="104"/>
    </row>
    <row r="7" spans="1:11" ht="16.5" customHeight="1" x14ac:dyDescent="0.2">
      <c r="A7" s="116" t="s">
        <v>16</v>
      </c>
      <c r="B7" s="116"/>
      <c r="C7" s="116"/>
      <c r="D7" s="104" t="str">
        <f>'Necesidades Trimestrales'!C7 &amp; "° Trimestre - Año " &amp; 'Necesidades Trimestrales'!C6</f>
        <v>3° Trimestre - Año 2021</v>
      </c>
      <c r="E7" s="104"/>
      <c r="F7" s="104"/>
      <c r="G7" s="104"/>
      <c r="H7" s="104"/>
      <c r="I7" s="104"/>
      <c r="J7" s="104"/>
      <c r="K7" s="104"/>
    </row>
    <row r="8" spans="1:11" ht="16.5" customHeight="1" x14ac:dyDescent="0.2">
      <c r="A8" s="113" t="s">
        <v>17</v>
      </c>
      <c r="B8" s="113"/>
      <c r="C8" s="113"/>
      <c r="D8" s="109" t="s">
        <v>108</v>
      </c>
      <c r="E8" s="109"/>
      <c r="F8" s="109"/>
      <c r="G8" s="109"/>
      <c r="H8" s="109"/>
      <c r="I8" s="109"/>
      <c r="J8" s="109"/>
      <c r="K8" s="109"/>
    </row>
    <row r="9" spans="1:11" ht="15.75" x14ac:dyDescent="0.2">
      <c r="A9" s="40"/>
      <c r="B9" s="40"/>
      <c r="C9" s="40"/>
      <c r="D9" s="41"/>
      <c r="E9" s="41"/>
      <c r="F9" s="41"/>
      <c r="G9" s="41"/>
      <c r="H9" s="41"/>
      <c r="I9" s="41"/>
      <c r="J9" s="41"/>
      <c r="K9" s="41"/>
    </row>
    <row r="10" spans="1:11" ht="18.75" customHeight="1" x14ac:dyDescent="0.2">
      <c r="A10" s="110" t="s">
        <v>18</v>
      </c>
      <c r="B10" s="111" t="s">
        <v>19</v>
      </c>
      <c r="C10" s="111" t="s">
        <v>20</v>
      </c>
      <c r="D10" s="111"/>
      <c r="E10" s="111"/>
      <c r="F10" s="111"/>
      <c r="G10" s="111"/>
      <c r="H10" s="111" t="s">
        <v>21</v>
      </c>
      <c r="I10" s="111" t="s">
        <v>22</v>
      </c>
      <c r="J10" s="111" t="s">
        <v>23</v>
      </c>
      <c r="K10" s="112" t="s">
        <v>24</v>
      </c>
    </row>
    <row r="11" spans="1:11" ht="24" customHeight="1" thickBot="1" x14ac:dyDescent="0.25">
      <c r="A11" s="110"/>
      <c r="B11" s="111"/>
      <c r="C11" s="111"/>
      <c r="D11" s="111"/>
      <c r="E11" s="111"/>
      <c r="F11" s="111"/>
      <c r="G11" s="111"/>
      <c r="H11" s="111"/>
      <c r="I11" s="111"/>
      <c r="J11" s="111"/>
      <c r="K11" s="112"/>
    </row>
    <row r="12" spans="1:11" ht="27.75" customHeight="1" x14ac:dyDescent="0.2">
      <c r="A12" s="44">
        <v>1</v>
      </c>
      <c r="B12" s="45"/>
      <c r="C12" s="106" t="str">
        <f>'Necesidades Trimestrales'!E10</f>
        <v>AMOXICILINA 500 MG COMPRIMIDO</v>
      </c>
      <c r="D12" s="106"/>
      <c r="E12" s="106"/>
      <c r="F12" s="106"/>
      <c r="G12" s="106"/>
      <c r="H12" s="46" t="s">
        <v>54</v>
      </c>
      <c r="I12" s="47" t="str">
        <f>'Necesidades Trimestrales'!F10</f>
        <v>UNIDAD</v>
      </c>
      <c r="J12" s="48">
        <f>'Necesidades Trimestrales'!H10</f>
        <v>9.34</v>
      </c>
      <c r="K12" s="49">
        <f>'Necesidades Trimestrales'!G10</f>
        <v>4000</v>
      </c>
    </row>
    <row r="13" spans="1:11" ht="27.75" customHeight="1" x14ac:dyDescent="0.2">
      <c r="A13" s="68">
        <v>2</v>
      </c>
      <c r="B13" s="69"/>
      <c r="C13" s="107" t="str">
        <f>'Necesidades Trimestrales'!E11</f>
        <v>AMOXICILINA 500 MG SUSPENSIÓN X 90 ML</v>
      </c>
      <c r="D13" s="107"/>
      <c r="E13" s="107"/>
      <c r="F13" s="107"/>
      <c r="G13" s="107"/>
      <c r="H13" s="72" t="s">
        <v>54</v>
      </c>
      <c r="I13" s="73" t="str">
        <f>'Necesidades Trimestrales'!F11</f>
        <v>UNIDAD</v>
      </c>
      <c r="J13" s="71">
        <f>'Necesidades Trimestrales'!H11</f>
        <v>250</v>
      </c>
      <c r="K13" s="70">
        <f>'Necesidades Trimestrales'!G11</f>
        <v>500</v>
      </c>
    </row>
    <row r="14" spans="1:11" ht="27.75" customHeight="1" x14ac:dyDescent="0.2">
      <c r="A14" s="68">
        <v>3</v>
      </c>
      <c r="B14" s="69"/>
      <c r="C14" s="108" t="str">
        <f>'Necesidades Trimestrales'!E12</f>
        <v>AMPICILINA 1G FCO AMPOLLA</v>
      </c>
      <c r="D14" s="108"/>
      <c r="E14" s="108"/>
      <c r="F14" s="108"/>
      <c r="G14" s="108"/>
      <c r="H14" s="72" t="s">
        <v>54</v>
      </c>
      <c r="I14" s="73" t="str">
        <f>'Necesidades Trimestrales'!F12</f>
        <v>UNIDAD</v>
      </c>
      <c r="J14" s="71">
        <f>'Necesidades Trimestrales'!H12</f>
        <v>127.5</v>
      </c>
      <c r="K14" s="70">
        <f>'Necesidades Trimestrales'!G12</f>
        <v>1000</v>
      </c>
    </row>
    <row r="15" spans="1:11" ht="27.75" customHeight="1" x14ac:dyDescent="0.2">
      <c r="A15" s="68">
        <v>4</v>
      </c>
      <c r="B15" s="69"/>
      <c r="C15" s="108" t="str">
        <f>'Necesidades Trimestrales'!E13</f>
        <v>BACLOFENO 10 MG COMPRIMIDO</v>
      </c>
      <c r="D15" s="108"/>
      <c r="E15" s="108"/>
      <c r="F15" s="108"/>
      <c r="G15" s="108"/>
      <c r="H15" s="72" t="s">
        <v>54</v>
      </c>
      <c r="I15" s="73" t="str">
        <f>'Necesidades Trimestrales'!F13</f>
        <v>UNIDAD</v>
      </c>
      <c r="J15" s="71">
        <f>'Necesidades Trimestrales'!H13</f>
        <v>6.66</v>
      </c>
      <c r="K15" s="70">
        <f>'Necesidades Trimestrales'!G13</f>
        <v>2000</v>
      </c>
    </row>
    <row r="16" spans="1:11" ht="27.75" customHeight="1" x14ac:dyDescent="0.2">
      <c r="A16" s="68">
        <v>5</v>
      </c>
      <c r="B16" s="69"/>
      <c r="C16" s="108" t="str">
        <f>'Necesidades Trimestrales'!E14</f>
        <v>BARIO SULFATO TIPO EZ-CAT  SUSPENSION ORAL X 225 ML</v>
      </c>
      <c r="D16" s="108"/>
      <c r="E16" s="108"/>
      <c r="F16" s="108"/>
      <c r="G16" s="108"/>
      <c r="H16" s="72" t="s">
        <v>54</v>
      </c>
      <c r="I16" s="73" t="str">
        <f>'Necesidades Trimestrales'!F14</f>
        <v>UNIDAD</v>
      </c>
      <c r="J16" s="71">
        <f>'Necesidades Trimestrales'!H14</f>
        <v>4735</v>
      </c>
      <c r="K16" s="70">
        <f>'Necesidades Trimestrales'!G14</f>
        <v>40</v>
      </c>
    </row>
    <row r="17" spans="1:11" ht="27.75" customHeight="1" x14ac:dyDescent="0.2">
      <c r="A17" s="68">
        <v>6</v>
      </c>
      <c r="B17" s="69"/>
      <c r="C17" s="108" t="str">
        <f>'Necesidades Trimestrales'!E15</f>
        <v>BARIO SULFATO TIPO GASTROPAQUE  F SUSPENSION PARA ENEMA x 500 ml</v>
      </c>
      <c r="D17" s="108"/>
      <c r="E17" s="108"/>
      <c r="F17" s="108"/>
      <c r="G17" s="108"/>
      <c r="H17" s="72" t="s">
        <v>54</v>
      </c>
      <c r="I17" s="73" t="str">
        <f>'Necesidades Trimestrales'!F15</f>
        <v>UNIDAD</v>
      </c>
      <c r="J17" s="71">
        <f>'Necesidades Trimestrales'!H15</f>
        <v>7332</v>
      </c>
      <c r="K17" s="70">
        <f>'Necesidades Trimestrales'!G15</f>
        <v>40</v>
      </c>
    </row>
    <row r="18" spans="1:11" ht="27.75" customHeight="1" x14ac:dyDescent="0.2">
      <c r="A18" s="68">
        <v>7</v>
      </c>
      <c r="B18" s="69"/>
      <c r="C18" s="108" t="str">
        <f>'Necesidades Trimestrales'!E16</f>
        <v>BARIO SULFATO TIPO GASTROPAQUE F SUSPENSION ORAL X 300 ML</v>
      </c>
      <c r="D18" s="108"/>
      <c r="E18" s="108"/>
      <c r="F18" s="108"/>
      <c r="G18" s="108"/>
      <c r="H18" s="72" t="s">
        <v>54</v>
      </c>
      <c r="I18" s="73" t="str">
        <f>'Necesidades Trimestrales'!F16</f>
        <v>UNIDAD</v>
      </c>
      <c r="J18" s="71">
        <f>'Necesidades Trimestrales'!H16</f>
        <v>4735</v>
      </c>
      <c r="K18" s="70">
        <f>'Necesidades Trimestrales'!G16</f>
        <v>40</v>
      </c>
    </row>
    <row r="19" spans="1:11" ht="27.75" customHeight="1" x14ac:dyDescent="0.2">
      <c r="A19" s="68">
        <v>8</v>
      </c>
      <c r="B19" s="69"/>
      <c r="C19" s="108" t="str">
        <f>'Necesidades Trimestrales'!E17</f>
        <v>BUPIVACAINA  0,5% C/EPINEFRINA FRASCO X 20 ML</v>
      </c>
      <c r="D19" s="108"/>
      <c r="E19" s="108"/>
      <c r="F19" s="108"/>
      <c r="G19" s="108"/>
      <c r="H19" s="72" t="s">
        <v>54</v>
      </c>
      <c r="I19" s="73" t="str">
        <f>'Necesidades Trimestrales'!F17</f>
        <v>UNIDAD</v>
      </c>
      <c r="J19" s="71">
        <f>'Necesidades Trimestrales'!H17</f>
        <v>350</v>
      </c>
      <c r="K19" s="70">
        <f>'Necesidades Trimestrales'!G17</f>
        <v>100</v>
      </c>
    </row>
    <row r="20" spans="1:11" ht="27.75" customHeight="1" x14ac:dyDescent="0.2">
      <c r="A20" s="68">
        <v>9</v>
      </c>
      <c r="B20" s="69"/>
      <c r="C20" s="108" t="str">
        <f>'Necesidades Trimestrales'!E18</f>
        <v>BUPIVACAINA  0,5% S/EPINEFRINA  FRASCO X 20 ML</v>
      </c>
      <c r="D20" s="108"/>
      <c r="E20" s="108"/>
      <c r="F20" s="108"/>
      <c r="G20" s="108"/>
      <c r="H20" s="72" t="s">
        <v>54</v>
      </c>
      <c r="I20" s="73" t="str">
        <f>'Necesidades Trimestrales'!F18</f>
        <v>UNIDAD</v>
      </c>
      <c r="J20" s="71">
        <f>'Necesidades Trimestrales'!H18</f>
        <v>197.6</v>
      </c>
      <c r="K20" s="70">
        <f>'Necesidades Trimestrales'!G18</f>
        <v>200</v>
      </c>
    </row>
    <row r="21" spans="1:11" ht="27.75" customHeight="1" x14ac:dyDescent="0.2">
      <c r="A21" s="68">
        <v>10</v>
      </c>
      <c r="B21" s="69"/>
      <c r="C21" s="108" t="str">
        <f>'Necesidades Trimestrales'!E19</f>
        <v xml:space="preserve">BUPIVACAINA 5 MG / ML  HIBERBARICA  AMPOLLA DE 4 ML CON AGUJA 27 G X 3 1/2 CON INTRODUCTOR </v>
      </c>
      <c r="D21" s="108"/>
      <c r="E21" s="108"/>
      <c r="F21" s="108"/>
      <c r="G21" s="108"/>
      <c r="H21" s="72" t="s">
        <v>54</v>
      </c>
      <c r="I21" s="73" t="str">
        <f>'Necesidades Trimestrales'!F19</f>
        <v>UNIDAD</v>
      </c>
      <c r="J21" s="71">
        <f>'Necesidades Trimestrales'!H19</f>
        <v>1038</v>
      </c>
      <c r="K21" s="70">
        <f>'Necesidades Trimestrales'!G19</f>
        <v>50</v>
      </c>
    </row>
    <row r="22" spans="1:11" ht="27.75" customHeight="1" x14ac:dyDescent="0.2">
      <c r="A22" s="68">
        <v>11</v>
      </c>
      <c r="B22" s="69"/>
      <c r="C22" s="108" t="str">
        <f>'Necesidades Trimestrales'!E20</f>
        <v>CEFALEXINA 500 MG SUSPENSIÓN X 90 ML</v>
      </c>
      <c r="D22" s="108"/>
      <c r="E22" s="108"/>
      <c r="F22" s="108"/>
      <c r="G22" s="108"/>
      <c r="H22" s="72" t="s">
        <v>54</v>
      </c>
      <c r="I22" s="73" t="str">
        <f>'Necesidades Trimestrales'!F20</f>
        <v>UNIDAD</v>
      </c>
      <c r="J22" s="71">
        <f>'Necesidades Trimestrales'!H20</f>
        <v>268.2</v>
      </c>
      <c r="K22" s="70">
        <f>'Necesidades Trimestrales'!G20</f>
        <v>300</v>
      </c>
    </row>
    <row r="23" spans="1:11" ht="27.75" customHeight="1" x14ac:dyDescent="0.2">
      <c r="A23" s="68">
        <v>12</v>
      </c>
      <c r="B23" s="69"/>
      <c r="C23" s="108" t="str">
        <f>'Necesidades Trimestrales'!E21</f>
        <v>CEFAZOLINA 1GR FCO AMPOLLA</v>
      </c>
      <c r="D23" s="108"/>
      <c r="E23" s="108"/>
      <c r="F23" s="108"/>
      <c r="G23" s="108"/>
      <c r="H23" s="72" t="s">
        <v>54</v>
      </c>
      <c r="I23" s="73" t="str">
        <f>'Necesidades Trimestrales'!F21</f>
        <v>UNIDAD</v>
      </c>
      <c r="J23" s="71">
        <f>'Necesidades Trimestrales'!H21</f>
        <v>250</v>
      </c>
      <c r="K23" s="70">
        <f>'Necesidades Trimestrales'!G21</f>
        <v>200</v>
      </c>
    </row>
    <row r="24" spans="1:11" ht="27.75" customHeight="1" x14ac:dyDescent="0.2">
      <c r="A24" s="68">
        <v>13</v>
      </c>
      <c r="B24" s="69"/>
      <c r="C24" s="108" t="str">
        <f>'Necesidades Trimestrales'!E22</f>
        <v>CIPROFLOXACINA 500 MG COMP</v>
      </c>
      <c r="D24" s="108"/>
      <c r="E24" s="108"/>
      <c r="F24" s="108"/>
      <c r="G24" s="108"/>
      <c r="H24" s="72" t="s">
        <v>54</v>
      </c>
      <c r="I24" s="73" t="str">
        <f>'Necesidades Trimestrales'!F22</f>
        <v>UNIDAD</v>
      </c>
      <c r="J24" s="71">
        <f>'Necesidades Trimestrales'!H22</f>
        <v>10.65</v>
      </c>
      <c r="K24" s="70">
        <f>'Necesidades Trimestrales'!G22</f>
        <v>1000</v>
      </c>
    </row>
    <row r="25" spans="1:11" ht="27.75" customHeight="1" x14ac:dyDescent="0.2">
      <c r="A25" s="68">
        <v>14</v>
      </c>
      <c r="B25" s="69"/>
      <c r="C25" s="108" t="str">
        <f>'Necesidades Trimestrales'!E23</f>
        <v>CLARITROMICINA AMPOLLA</v>
      </c>
      <c r="D25" s="108"/>
      <c r="E25" s="108"/>
      <c r="F25" s="108"/>
      <c r="G25" s="108"/>
      <c r="H25" s="72" t="s">
        <v>54</v>
      </c>
      <c r="I25" s="73" t="str">
        <f>'Necesidades Trimestrales'!F23</f>
        <v>UNIDAD</v>
      </c>
      <c r="J25" s="71">
        <f>'Necesidades Trimestrales'!H23</f>
        <v>666.1</v>
      </c>
      <c r="K25" s="70">
        <f>'Necesidades Trimestrales'!G23</f>
        <v>1000</v>
      </c>
    </row>
    <row r="26" spans="1:11" ht="27.75" customHeight="1" x14ac:dyDescent="0.2">
      <c r="A26" s="68">
        <v>15</v>
      </c>
      <c r="B26" s="69"/>
      <c r="C26" s="108" t="str">
        <f>'Necesidades Trimestrales'!E24</f>
        <v>CLINDAMICINA 300MG CAPSULAS</v>
      </c>
      <c r="D26" s="108"/>
      <c r="E26" s="108"/>
      <c r="F26" s="108"/>
      <c r="G26" s="108"/>
      <c r="H26" s="72" t="s">
        <v>54</v>
      </c>
      <c r="I26" s="73" t="str">
        <f>'Necesidades Trimestrales'!F24</f>
        <v>UNIDAD</v>
      </c>
      <c r="J26" s="71">
        <f>'Necesidades Trimestrales'!H24</f>
        <v>24.2</v>
      </c>
      <c r="K26" s="70">
        <f>'Necesidades Trimestrales'!G24</f>
        <v>200</v>
      </c>
    </row>
    <row r="27" spans="1:11" ht="27.75" customHeight="1" x14ac:dyDescent="0.2">
      <c r="A27" s="68">
        <v>16</v>
      </c>
      <c r="B27" s="69"/>
      <c r="C27" s="108" t="str">
        <f>'Necesidades Trimestrales'!E25</f>
        <v>CONTRASTE NO IONICO X 300 MG X 50 ML(IOPRAMIDA,IOVITRIDOL,IODIXANOL,IOHEXOL,IOVERSOL)</v>
      </c>
      <c r="D27" s="108"/>
      <c r="E27" s="108"/>
      <c r="F27" s="108"/>
      <c r="G27" s="108"/>
      <c r="H27" s="72" t="s">
        <v>54</v>
      </c>
      <c r="I27" s="73" t="str">
        <f>'Necesidades Trimestrales'!F25</f>
        <v>UNIDAD</v>
      </c>
      <c r="J27" s="71">
        <f>'Necesidades Trimestrales'!H25</f>
        <v>1600</v>
      </c>
      <c r="K27" s="70">
        <f>'Necesidades Trimestrales'!G25</f>
        <v>600</v>
      </c>
    </row>
    <row r="28" spans="1:11" ht="27.75" customHeight="1" x14ac:dyDescent="0.2">
      <c r="A28" s="68">
        <v>17</v>
      </c>
      <c r="B28" s="69"/>
      <c r="C28" s="108" t="str">
        <f>'Necesidades Trimestrales'!E26</f>
        <v>DIATRISOATO DE DEMEGLUMINA +DIATRISOATO DE SODIO (TIPO TRIYOSOM GY/TEMISTAC) X 120 ML</v>
      </c>
      <c r="D28" s="108"/>
      <c r="E28" s="108"/>
      <c r="F28" s="108"/>
      <c r="G28" s="108"/>
      <c r="H28" s="72" t="s">
        <v>54</v>
      </c>
      <c r="I28" s="73" t="str">
        <f>'Necesidades Trimestrales'!F26</f>
        <v>UNIDAD</v>
      </c>
      <c r="J28" s="71">
        <f>'Necesidades Trimestrales'!H26</f>
        <v>2500</v>
      </c>
      <c r="K28" s="70">
        <f>'Necesidades Trimestrales'!G26</f>
        <v>20</v>
      </c>
    </row>
    <row r="29" spans="1:11" ht="27.75" customHeight="1" x14ac:dyDescent="0.2">
      <c r="A29" s="68">
        <v>18</v>
      </c>
      <c r="B29" s="69"/>
      <c r="C29" s="108" t="str">
        <f>'Necesidades Trimestrales'!E27</f>
        <v xml:space="preserve">DICLOFENAC 75 MG. AMPOLLA </v>
      </c>
      <c r="D29" s="108"/>
      <c r="E29" s="108"/>
      <c r="F29" s="108"/>
      <c r="G29" s="108"/>
      <c r="H29" s="72" t="s">
        <v>54</v>
      </c>
      <c r="I29" s="73" t="str">
        <f>'Necesidades Trimestrales'!F27</f>
        <v>UNIDAD</v>
      </c>
      <c r="J29" s="71">
        <f>'Necesidades Trimestrales'!H27</f>
        <v>33</v>
      </c>
      <c r="K29" s="70">
        <f>'Necesidades Trimestrales'!G27</f>
        <v>5000</v>
      </c>
    </row>
    <row r="30" spans="1:11" ht="27.75" customHeight="1" x14ac:dyDescent="0.2">
      <c r="A30" s="68">
        <v>19</v>
      </c>
      <c r="B30" s="69"/>
      <c r="C30" s="108" t="str">
        <f>'Necesidades Trimestrales'!E28</f>
        <v>DICLOFENAC POTASICO 500MG/100ML JARABE X 120</v>
      </c>
      <c r="D30" s="108"/>
      <c r="E30" s="108"/>
      <c r="F30" s="108"/>
      <c r="G30" s="108"/>
      <c r="H30" s="72" t="s">
        <v>54</v>
      </c>
      <c r="I30" s="73" t="str">
        <f>'Necesidades Trimestrales'!F28</f>
        <v>UNIDAD</v>
      </c>
      <c r="J30" s="71">
        <f>'Necesidades Trimestrales'!H28</f>
        <v>443.2</v>
      </c>
      <c r="K30" s="70">
        <f>'Necesidades Trimestrales'!G28</f>
        <v>100</v>
      </c>
    </row>
    <row r="31" spans="1:11" ht="27.75" customHeight="1" x14ac:dyDescent="0.2">
      <c r="A31" s="68">
        <v>20</v>
      </c>
      <c r="B31" s="69"/>
      <c r="C31" s="108" t="str">
        <f>'Necesidades Trimestrales'!E29</f>
        <v>DIPIRONA 1GR AMPOLLA</v>
      </c>
      <c r="D31" s="108"/>
      <c r="E31" s="108"/>
      <c r="F31" s="108"/>
      <c r="G31" s="108"/>
      <c r="H31" s="72" t="s">
        <v>54</v>
      </c>
      <c r="I31" s="73" t="str">
        <f>'Necesidades Trimestrales'!F29</f>
        <v>UNIDAD</v>
      </c>
      <c r="J31" s="71">
        <f>'Necesidades Trimestrales'!H29</f>
        <v>27.3</v>
      </c>
      <c r="K31" s="70">
        <f>'Necesidades Trimestrales'!G29</f>
        <v>7000</v>
      </c>
    </row>
    <row r="32" spans="1:11" ht="27.75" customHeight="1" x14ac:dyDescent="0.2">
      <c r="A32" s="68">
        <v>21</v>
      </c>
      <c r="B32" s="76"/>
      <c r="C32" s="108" t="str">
        <f>'Necesidades Trimestrales'!E30</f>
        <v>DIPIRONA JARABE</v>
      </c>
      <c r="D32" s="108"/>
      <c r="E32" s="108"/>
      <c r="F32" s="108"/>
      <c r="G32" s="108"/>
      <c r="H32" s="72" t="s">
        <v>54</v>
      </c>
      <c r="I32" s="73" t="str">
        <f>'Necesidades Trimestrales'!F30</f>
        <v>UNIDAD</v>
      </c>
      <c r="J32" s="71">
        <f>'Necesidades Trimestrales'!H30</f>
        <v>125.44</v>
      </c>
      <c r="K32" s="70">
        <f>'Necesidades Trimestrales'!G30</f>
        <v>200</v>
      </c>
    </row>
    <row r="33" spans="1:14" ht="27.75" customHeight="1" x14ac:dyDescent="0.2">
      <c r="A33" s="68">
        <v>22</v>
      </c>
      <c r="B33" s="76"/>
      <c r="C33" s="108" t="str">
        <f>'Necesidades Trimestrales'!E31</f>
        <v xml:space="preserve">GAMMAGLOBULINA + TOXOIDE 250 MG </v>
      </c>
      <c r="D33" s="108"/>
      <c r="E33" s="108"/>
      <c r="F33" s="108"/>
      <c r="G33" s="108"/>
      <c r="H33" s="72" t="s">
        <v>54</v>
      </c>
      <c r="I33" s="73" t="str">
        <f>'Necesidades Trimestrales'!F31</f>
        <v>UNIDAD</v>
      </c>
      <c r="J33" s="71">
        <f>'Necesidades Trimestrales'!H31</f>
        <v>2476</v>
      </c>
      <c r="K33" s="70">
        <f>'Necesidades Trimestrales'!G31</f>
        <v>100</v>
      </c>
    </row>
    <row r="34" spans="1:14" ht="27.75" customHeight="1" x14ac:dyDescent="0.2">
      <c r="A34" s="68">
        <v>23</v>
      </c>
      <c r="B34" s="76"/>
      <c r="C34" s="108" t="str">
        <f>'Necesidades Trimestrales'!E32</f>
        <v xml:space="preserve">GAMMAGLOBULINA + TOXOIDE 500 MG </v>
      </c>
      <c r="D34" s="108"/>
      <c r="E34" s="108"/>
      <c r="F34" s="108"/>
      <c r="G34" s="108"/>
      <c r="H34" s="72" t="s">
        <v>54</v>
      </c>
      <c r="I34" s="73" t="str">
        <f>'Necesidades Trimestrales'!F32</f>
        <v>UNIDAD</v>
      </c>
      <c r="J34" s="71">
        <f>'Necesidades Trimestrales'!H32</f>
        <v>4793</v>
      </c>
      <c r="K34" s="70">
        <f>'Necesidades Trimestrales'!G32</f>
        <v>100</v>
      </c>
    </row>
    <row r="35" spans="1:14" ht="27.75" customHeight="1" x14ac:dyDescent="0.2">
      <c r="A35" s="68">
        <v>24</v>
      </c>
      <c r="B35" s="76"/>
      <c r="C35" s="108" t="str">
        <f>'Necesidades Trimestrales'!E33</f>
        <v>IBUPROFENO 400 MG AMPOLLA</v>
      </c>
      <c r="D35" s="108"/>
      <c r="E35" s="108"/>
      <c r="F35" s="108"/>
      <c r="G35" s="108"/>
      <c r="H35" s="72" t="s">
        <v>54</v>
      </c>
      <c r="I35" s="73" t="str">
        <f>'Necesidades Trimestrales'!F33</f>
        <v>UNIDAD</v>
      </c>
      <c r="J35" s="71">
        <f>'Necesidades Trimestrales'!H33</f>
        <v>45.47</v>
      </c>
      <c r="K35" s="70">
        <f>'Necesidades Trimestrales'!G33</f>
        <v>200</v>
      </c>
    </row>
    <row r="36" spans="1:14" ht="27.75" customHeight="1" x14ac:dyDescent="0.2">
      <c r="A36" s="68">
        <v>25</v>
      </c>
      <c r="B36" s="76"/>
      <c r="C36" s="108" t="str">
        <f>'Necesidades Trimestrales'!E34</f>
        <v>INMUNOGLOBULINA HUMANA INESPECIFICA 10 GRS</v>
      </c>
      <c r="D36" s="108"/>
      <c r="E36" s="108"/>
      <c r="F36" s="108"/>
      <c r="G36" s="108"/>
      <c r="H36" s="72" t="s">
        <v>54</v>
      </c>
      <c r="I36" s="73" t="str">
        <f>'Necesidades Trimestrales'!F34</f>
        <v>UNIDAD</v>
      </c>
      <c r="J36" s="71">
        <f>'Necesidades Trimestrales'!H34</f>
        <v>89000</v>
      </c>
      <c r="K36" s="70">
        <f>'Necesidades Trimestrales'!G34</f>
        <v>70</v>
      </c>
    </row>
    <row r="37" spans="1:14" ht="27.75" customHeight="1" x14ac:dyDescent="0.2">
      <c r="A37" s="68">
        <v>26</v>
      </c>
      <c r="B37" s="76"/>
      <c r="C37" s="108" t="str">
        <f>'Necesidades Trimestrales'!E35</f>
        <v>INMUNOGLOBULINA HUMANA INESPECIFICA 2,5 GRS</v>
      </c>
      <c r="D37" s="108"/>
      <c r="E37" s="108"/>
      <c r="F37" s="108"/>
      <c r="G37" s="108"/>
      <c r="H37" s="72" t="s">
        <v>54</v>
      </c>
      <c r="I37" s="73" t="str">
        <f>'Necesidades Trimestrales'!F35</f>
        <v>UNIDAD</v>
      </c>
      <c r="J37" s="71">
        <f>'Necesidades Trimestrales'!H35</f>
        <v>22213</v>
      </c>
      <c r="K37" s="70">
        <f>'Necesidades Trimestrales'!G35</f>
        <v>100</v>
      </c>
    </row>
    <row r="38" spans="1:14" ht="27.75" customHeight="1" x14ac:dyDescent="0.2">
      <c r="A38" s="68">
        <v>27</v>
      </c>
      <c r="B38" s="76"/>
      <c r="C38" s="108" t="str">
        <f>'Necesidades Trimestrales'!E36</f>
        <v>INMUNOGLOBULINA HUMANA INESPECIFICA 5 GRS</v>
      </c>
      <c r="D38" s="108"/>
      <c r="E38" s="108"/>
      <c r="F38" s="108"/>
      <c r="G38" s="108"/>
      <c r="H38" s="72" t="s">
        <v>54</v>
      </c>
      <c r="I38" s="73" t="str">
        <f>'Necesidades Trimestrales'!F36</f>
        <v>UNIDAD</v>
      </c>
      <c r="J38" s="71">
        <f>'Necesidades Trimestrales'!H36</f>
        <v>44425</v>
      </c>
      <c r="K38" s="70">
        <f>'Necesidades Trimestrales'!G36</f>
        <v>100</v>
      </c>
    </row>
    <row r="39" spans="1:14" ht="27.75" customHeight="1" x14ac:dyDescent="0.2">
      <c r="A39" s="68">
        <v>28</v>
      </c>
      <c r="B39" s="76"/>
      <c r="C39" s="108" t="str">
        <f>'Necesidades Trimestrales'!E37</f>
        <v>KETOROLAC 30 MG AMPOLLA</v>
      </c>
      <c r="D39" s="108"/>
      <c r="E39" s="108"/>
      <c r="F39" s="108"/>
      <c r="G39" s="108"/>
      <c r="H39" s="72" t="s">
        <v>54</v>
      </c>
      <c r="I39" s="73" t="str">
        <f>'Necesidades Trimestrales'!F37</f>
        <v>UNIDAD</v>
      </c>
      <c r="J39" s="71">
        <f>'Necesidades Trimestrales'!H37</f>
        <v>29.4</v>
      </c>
      <c r="K39" s="70">
        <f>'Necesidades Trimestrales'!G37</f>
        <v>500</v>
      </c>
    </row>
    <row r="40" spans="1:14" ht="27.75" customHeight="1" x14ac:dyDescent="0.2">
      <c r="A40" s="68">
        <v>29</v>
      </c>
      <c r="B40" s="76"/>
      <c r="C40" s="108" t="str">
        <f>'Necesidades Trimestrales'!E38</f>
        <v>LIDOCAINA 2% CON EPINEFRINA X 20 ML</v>
      </c>
      <c r="D40" s="108"/>
      <c r="E40" s="108"/>
      <c r="F40" s="108"/>
      <c r="G40" s="108"/>
      <c r="H40" s="72" t="s">
        <v>54</v>
      </c>
      <c r="I40" s="73" t="str">
        <f>'Necesidades Trimestrales'!F38</f>
        <v>UNIDAD</v>
      </c>
      <c r="J40" s="71">
        <f>'Necesidades Trimestrales'!H38</f>
        <v>280</v>
      </c>
      <c r="K40" s="70">
        <f>'Necesidades Trimestrales'!G38</f>
        <v>50</v>
      </c>
    </row>
    <row r="41" spans="1:14" ht="27.75" customHeight="1" x14ac:dyDescent="0.2">
      <c r="A41" s="68">
        <v>30</v>
      </c>
      <c r="B41" s="76"/>
      <c r="C41" s="108" t="str">
        <f>'Necesidades Trimestrales'!E39</f>
        <v>LIDOCAINA 2%SIN EPINEFRINA X 20 ML</v>
      </c>
      <c r="D41" s="108"/>
      <c r="E41" s="108"/>
      <c r="F41" s="108"/>
      <c r="G41" s="108"/>
      <c r="H41" s="72" t="s">
        <v>54</v>
      </c>
      <c r="I41" s="73" t="str">
        <f>'Necesidades Trimestrales'!F39</f>
        <v>UNIDAD</v>
      </c>
      <c r="J41" s="71">
        <f>'Necesidades Trimestrales'!H39</f>
        <v>330</v>
      </c>
      <c r="K41" s="70">
        <f>'Necesidades Trimestrales'!G39</f>
        <v>400</v>
      </c>
    </row>
    <row r="42" spans="1:14" ht="27.75" customHeight="1" x14ac:dyDescent="0.2">
      <c r="A42" s="68">
        <v>31</v>
      </c>
      <c r="B42" s="76"/>
      <c r="C42" s="108" t="str">
        <f>'Necesidades Trimestrales'!E40</f>
        <v>LIDOCAINA AEROSOL</v>
      </c>
      <c r="D42" s="108"/>
      <c r="E42" s="108"/>
      <c r="F42" s="108"/>
      <c r="G42" s="108"/>
      <c r="H42" s="72" t="s">
        <v>54</v>
      </c>
      <c r="I42" s="73" t="str">
        <f>'Necesidades Trimestrales'!F40</f>
        <v>UNIDAD</v>
      </c>
      <c r="J42" s="71">
        <f>'Necesidades Trimestrales'!H40</f>
        <v>385</v>
      </c>
      <c r="K42" s="70">
        <f>'Necesidades Trimestrales'!G40</f>
        <v>50</v>
      </c>
    </row>
    <row r="43" spans="1:14" ht="27.75" customHeight="1" x14ac:dyDescent="0.2">
      <c r="A43" s="68">
        <v>32</v>
      </c>
      <c r="B43" s="76"/>
      <c r="C43" s="108" t="str">
        <f>'Necesidades Trimestrales'!E41</f>
        <v>LIDOCAINA JALEA</v>
      </c>
      <c r="D43" s="108"/>
      <c r="E43" s="108"/>
      <c r="F43" s="108"/>
      <c r="G43" s="108"/>
      <c r="H43" s="72" t="s">
        <v>54</v>
      </c>
      <c r="I43" s="73" t="str">
        <f>'Necesidades Trimestrales'!F41</f>
        <v>UNIDAD</v>
      </c>
      <c r="J43" s="71">
        <f>'Necesidades Trimestrales'!H41</f>
        <v>130</v>
      </c>
      <c r="K43" s="70">
        <f>'Necesidades Trimestrales'!G41</f>
        <v>200</v>
      </c>
    </row>
    <row r="44" spans="1:14" ht="27.75" customHeight="1" x14ac:dyDescent="0.2">
      <c r="A44" s="68">
        <v>33</v>
      </c>
      <c r="B44" s="76"/>
      <c r="C44" s="108" t="str">
        <f>'Necesidades Trimestrales'!E42</f>
        <v>METRONIDAZOL 25MG/ML SUSPENSION X 120 ML</v>
      </c>
      <c r="D44" s="108"/>
      <c r="E44" s="108"/>
      <c r="F44" s="108"/>
      <c r="G44" s="108"/>
      <c r="H44" s="72" t="s">
        <v>54</v>
      </c>
      <c r="I44" s="73" t="str">
        <f>'Necesidades Trimestrales'!F42</f>
        <v>UNIDAD</v>
      </c>
      <c r="J44" s="71">
        <f>'Necesidades Trimestrales'!H42</f>
        <v>724.8</v>
      </c>
      <c r="K44" s="70">
        <f>'Necesidades Trimestrales'!G42</f>
        <v>50</v>
      </c>
    </row>
    <row r="45" spans="1:14" ht="27.75" customHeight="1" x14ac:dyDescent="0.2">
      <c r="A45" s="68">
        <v>34</v>
      </c>
      <c r="B45" s="76"/>
      <c r="C45" s="108" t="str">
        <f>'Necesidades Trimestrales'!E43</f>
        <v>NALBUFINA 10 MG AMPOLLA</v>
      </c>
      <c r="D45" s="108"/>
      <c r="E45" s="108"/>
      <c r="F45" s="108"/>
      <c r="G45" s="108"/>
      <c r="H45" s="72" t="s">
        <v>54</v>
      </c>
      <c r="I45" s="73" t="str">
        <f>'Necesidades Trimestrales'!F43</f>
        <v>UNIDAD</v>
      </c>
      <c r="J45" s="71">
        <f>'Necesidades Trimestrales'!H43</f>
        <v>246</v>
      </c>
      <c r="K45" s="70">
        <f>'Necesidades Trimestrales'!G43</f>
        <v>200</v>
      </c>
    </row>
    <row r="46" spans="1:14" ht="27.75" customHeight="1" x14ac:dyDescent="0.2">
      <c r="A46" s="68">
        <v>35</v>
      </c>
      <c r="B46" s="76"/>
      <c r="C46" s="108" t="str">
        <f>'Necesidades Trimestrales'!E44</f>
        <v>ORNIDAZOL 1GR AMPOLLA</v>
      </c>
      <c r="D46" s="108"/>
      <c r="E46" s="108"/>
      <c r="F46" s="108"/>
      <c r="G46" s="108"/>
      <c r="H46" s="72" t="s">
        <v>54</v>
      </c>
      <c r="I46" s="73" t="str">
        <f>'Necesidades Trimestrales'!F44</f>
        <v>UNIDAD</v>
      </c>
      <c r="J46" s="71">
        <f>'Necesidades Trimestrales'!H44</f>
        <v>865.15</v>
      </c>
      <c r="K46" s="70">
        <f>'Necesidades Trimestrales'!G44</f>
        <v>300</v>
      </c>
    </row>
    <row r="47" spans="1:14" ht="27.75" customHeight="1" x14ac:dyDescent="0.2">
      <c r="A47" s="68">
        <v>36</v>
      </c>
      <c r="B47" s="76"/>
      <c r="C47" s="108" t="str">
        <f>'Necesidades Trimestrales'!E45</f>
        <v>PARACETAMOL SUSPENSIÓN</v>
      </c>
      <c r="D47" s="108"/>
      <c r="E47" s="108"/>
      <c r="F47" s="108"/>
      <c r="G47" s="108"/>
      <c r="H47" s="72" t="s">
        <v>54</v>
      </c>
      <c r="I47" s="73" t="str">
        <f>'Necesidades Trimestrales'!F45</f>
        <v>UNIDAD</v>
      </c>
      <c r="J47" s="71">
        <f>'Necesidades Trimestrales'!H45</f>
        <v>330</v>
      </c>
      <c r="K47" s="70">
        <f>'Necesidades Trimestrales'!G45</f>
        <v>200</v>
      </c>
      <c r="N47" s="36" t="s">
        <v>55</v>
      </c>
    </row>
    <row r="48" spans="1:14" ht="27.75" customHeight="1" x14ac:dyDescent="0.2">
      <c r="A48" s="68">
        <v>37</v>
      </c>
      <c r="B48" s="76"/>
      <c r="C48" s="108" t="str">
        <f>'Necesidades Trimestrales'!E46</f>
        <v>PENICILINA BENZATINICA 2.400.000 FCO AMPOLLA</v>
      </c>
      <c r="D48" s="108"/>
      <c r="E48" s="108"/>
      <c r="F48" s="108"/>
      <c r="G48" s="108"/>
      <c r="H48" s="72" t="s">
        <v>54</v>
      </c>
      <c r="I48" s="73" t="str">
        <f>'Necesidades Trimestrales'!F46</f>
        <v>UNIDAD</v>
      </c>
      <c r="J48" s="71">
        <f>'Necesidades Trimestrales'!H46</f>
        <v>160</v>
      </c>
      <c r="K48" s="70">
        <f>'Necesidades Trimestrales'!G46</f>
        <v>200</v>
      </c>
    </row>
    <row r="49" spans="1:14" ht="27.75" customHeight="1" x14ac:dyDescent="0.2">
      <c r="A49" s="68">
        <v>38</v>
      </c>
      <c r="B49" s="76"/>
      <c r="C49" s="108" t="str">
        <f>'Necesidades Trimestrales'!E47</f>
        <v>PENICILINA G SODICA 1.000.000 FCO AMPOLLA</v>
      </c>
      <c r="D49" s="108"/>
      <c r="E49" s="108"/>
      <c r="F49" s="108"/>
      <c r="G49" s="108"/>
      <c r="H49" s="72" t="s">
        <v>54</v>
      </c>
      <c r="I49" s="73" t="str">
        <f>'Necesidades Trimestrales'!F47</f>
        <v>UNIDAD</v>
      </c>
      <c r="J49" s="71">
        <f>'Necesidades Trimestrales'!H47</f>
        <v>151</v>
      </c>
      <c r="K49" s="70">
        <f>'Necesidades Trimestrales'!G47</f>
        <v>300</v>
      </c>
    </row>
    <row r="50" spans="1:14" ht="27.75" customHeight="1" x14ac:dyDescent="0.2">
      <c r="A50" s="68">
        <v>39</v>
      </c>
      <c r="B50" s="76"/>
      <c r="C50" s="108" t="str">
        <f>'Necesidades Trimestrales'!E48</f>
        <v>PENICILINA G SODICA 3.000.000 UI FCO AMPOLLA</v>
      </c>
      <c r="D50" s="108"/>
      <c r="E50" s="108"/>
      <c r="F50" s="108"/>
      <c r="G50" s="108"/>
      <c r="H50" s="72" t="s">
        <v>54</v>
      </c>
      <c r="I50" s="73" t="str">
        <f>'Necesidades Trimestrales'!F48</f>
        <v>UNIDAD</v>
      </c>
      <c r="J50" s="71">
        <f>'Necesidades Trimestrales'!H48</f>
        <v>196.54</v>
      </c>
      <c r="K50" s="70">
        <f>'Necesidades Trimestrales'!G48</f>
        <v>300</v>
      </c>
    </row>
    <row r="51" spans="1:14" ht="27.75" customHeight="1" x14ac:dyDescent="0.2">
      <c r="A51" s="68">
        <v>40</v>
      </c>
      <c r="B51" s="76"/>
      <c r="C51" s="108" t="str">
        <f>'Necesidades Trimestrales'!E49</f>
        <v>POLIETILENGLICO 3350  SOBRES X 30 TIPO OSTILAX</v>
      </c>
      <c r="D51" s="108"/>
      <c r="E51" s="108"/>
      <c r="F51" s="108"/>
      <c r="G51" s="108"/>
      <c r="H51" s="72" t="s">
        <v>54</v>
      </c>
      <c r="I51" s="73" t="str">
        <f>'Necesidades Trimestrales'!F49</f>
        <v>UNIDAD</v>
      </c>
      <c r="J51" s="71">
        <f>'Necesidades Trimestrales'!H49</f>
        <v>3906</v>
      </c>
      <c r="K51" s="70">
        <f>'Necesidades Trimestrales'!G49</f>
        <v>3</v>
      </c>
    </row>
    <row r="52" spans="1:14" ht="27.75" customHeight="1" x14ac:dyDescent="0.2">
      <c r="A52" s="68">
        <v>41</v>
      </c>
      <c r="B52" s="76"/>
      <c r="C52" s="108" t="str">
        <f>'Necesidades Trimestrales'!E50</f>
        <v>RIFAMPICINA 20 MG/ML SUSPENSIÓN</v>
      </c>
      <c r="D52" s="108"/>
      <c r="E52" s="108"/>
      <c r="F52" s="108"/>
      <c r="G52" s="108"/>
      <c r="H52" s="72" t="s">
        <v>54</v>
      </c>
      <c r="I52" s="73" t="str">
        <f>'Necesidades Trimestrales'!F50</f>
        <v>UNIDAD</v>
      </c>
      <c r="J52" s="71">
        <f>'Necesidades Trimestrales'!H50</f>
        <v>452.2</v>
      </c>
      <c r="K52" s="70">
        <f>'Necesidades Trimestrales'!G50</f>
        <v>5</v>
      </c>
    </row>
    <row r="53" spans="1:14" ht="27.75" customHeight="1" x14ac:dyDescent="0.2">
      <c r="A53" s="68">
        <v>42</v>
      </c>
      <c r="B53" s="76"/>
      <c r="C53" s="108" t="str">
        <f>'Necesidades Trimestrales'!E51</f>
        <v xml:space="preserve">RIFAMPICINA 300 MG CAPSULAS </v>
      </c>
      <c r="D53" s="108"/>
      <c r="E53" s="108"/>
      <c r="F53" s="108"/>
      <c r="G53" s="108"/>
      <c r="H53" s="72" t="s">
        <v>54</v>
      </c>
      <c r="I53" s="73" t="str">
        <f>'Necesidades Trimestrales'!F51</f>
        <v>UNIDAD</v>
      </c>
      <c r="J53" s="71">
        <f>'Necesidades Trimestrales'!H51</f>
        <v>82</v>
      </c>
      <c r="K53" s="70">
        <f>'Necesidades Trimestrales'!G51</f>
        <v>40</v>
      </c>
    </row>
    <row r="54" spans="1:14" ht="27.75" customHeight="1" x14ac:dyDescent="0.2">
      <c r="A54" s="68">
        <v>43</v>
      </c>
      <c r="B54" s="76"/>
      <c r="C54" s="108" t="str">
        <f>'Necesidades Trimestrales'!E52</f>
        <v>RIFAMPICINA 600 MG VIAL</v>
      </c>
      <c r="D54" s="108"/>
      <c r="E54" s="108"/>
      <c r="F54" s="108"/>
      <c r="G54" s="108"/>
      <c r="H54" s="72" t="s">
        <v>54</v>
      </c>
      <c r="I54" s="73" t="str">
        <f>'Necesidades Trimestrales'!F52</f>
        <v>UNIDAD</v>
      </c>
      <c r="J54" s="71">
        <f>'Necesidades Trimestrales'!H52</f>
        <v>1297.7</v>
      </c>
      <c r="K54" s="70">
        <f>'Necesidades Trimestrales'!G52</f>
        <v>25</v>
      </c>
    </row>
    <row r="55" spans="1:14" ht="27.75" customHeight="1" thickBot="1" x14ac:dyDescent="0.25">
      <c r="A55" s="68">
        <v>44</v>
      </c>
      <c r="B55" s="76"/>
      <c r="C55" s="108" t="str">
        <f>'Necesidades Trimestrales'!E53</f>
        <v>SEVOFLUORANO X 250 ML TIPO ABBOTT</v>
      </c>
      <c r="D55" s="108"/>
      <c r="E55" s="108"/>
      <c r="F55" s="108"/>
      <c r="G55" s="108"/>
      <c r="H55" s="72" t="s">
        <v>54</v>
      </c>
      <c r="I55" s="73" t="str">
        <f>'Necesidades Trimestrales'!F53</f>
        <v>UNIDAD</v>
      </c>
      <c r="J55" s="71">
        <f>'Necesidades Trimestrales'!H53</f>
        <v>6888</v>
      </c>
      <c r="K55" s="70">
        <f>'Necesidades Trimestrales'!G53</f>
        <v>200</v>
      </c>
    </row>
    <row r="56" spans="1:14" ht="20.25" customHeight="1" thickBot="1" x14ac:dyDescent="0.25">
      <c r="A56" s="104" t="s">
        <v>111</v>
      </c>
      <c r="B56" s="104"/>
      <c r="C56" s="104"/>
      <c r="D56" s="104"/>
      <c r="E56" s="104"/>
      <c r="F56" s="104"/>
      <c r="G56" s="104"/>
      <c r="H56" s="104"/>
      <c r="I56" s="104"/>
      <c r="J56" s="105">
        <f>SUMPRODUCT(J12:J55,K12:K55)</f>
        <v>19159530.5</v>
      </c>
      <c r="K56" s="105"/>
      <c r="N56" s="53"/>
    </row>
  </sheetData>
  <mergeCells count="66">
    <mergeCell ref="C53:G53"/>
    <mergeCell ref="C54:G54"/>
    <mergeCell ref="C55:G55"/>
    <mergeCell ref="C48:G48"/>
    <mergeCell ref="C49:G49"/>
    <mergeCell ref="C50:G50"/>
    <mergeCell ref="C51:G51"/>
    <mergeCell ref="C52:G52"/>
    <mergeCell ref="C46:G46"/>
    <mergeCell ref="C47:G47"/>
    <mergeCell ref="C41:G41"/>
    <mergeCell ref="C42:G42"/>
    <mergeCell ref="C43:G43"/>
    <mergeCell ref="C44:G44"/>
    <mergeCell ref="C45:G45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5:G35"/>
    <mergeCell ref="C36:G36"/>
    <mergeCell ref="C31:G31"/>
    <mergeCell ref="C26:G26"/>
    <mergeCell ref="C27:G27"/>
    <mergeCell ref="C28:G28"/>
    <mergeCell ref="C29:G29"/>
    <mergeCell ref="C30:G30"/>
    <mergeCell ref="C38:G38"/>
    <mergeCell ref="C39:G39"/>
    <mergeCell ref="C40:G40"/>
    <mergeCell ref="D8:K8"/>
    <mergeCell ref="A10:A11"/>
    <mergeCell ref="B10:B11"/>
    <mergeCell ref="C10:G11"/>
    <mergeCell ref="H10:H11"/>
    <mergeCell ref="I10:I11"/>
    <mergeCell ref="J10:J11"/>
    <mergeCell ref="K10:K11"/>
    <mergeCell ref="C37:G37"/>
    <mergeCell ref="A8:C8"/>
    <mergeCell ref="C32:G32"/>
    <mergeCell ref="C33:G33"/>
    <mergeCell ref="C34:G34"/>
    <mergeCell ref="A56:I56"/>
    <mergeCell ref="J56:K5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opLeftCell="A7" zoomScale="130" zoomScaleNormal="130" workbookViewId="0">
      <selection activeCell="A22" sqref="A22:Q22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5" t="s">
        <v>3</v>
      </c>
      <c r="B1" s="145"/>
      <c r="C1" s="145"/>
      <c r="D1" s="146">
        <f>'Necesidades Trimestrales'!C6</f>
        <v>2021</v>
      </c>
      <c r="E1" s="146"/>
      <c r="F1" s="3"/>
      <c r="G1" s="3"/>
      <c r="H1" s="4"/>
      <c r="I1" s="4"/>
      <c r="J1" s="4"/>
      <c r="K1" s="4"/>
      <c r="L1" s="4"/>
      <c r="M1" s="4"/>
      <c r="N1" s="4"/>
      <c r="P1" s="147" t="s">
        <v>25</v>
      </c>
      <c r="Q1" s="147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47"/>
      <c r="Q2" s="147"/>
    </row>
    <row r="4" spans="1:17" s="5" customFormat="1" ht="18" customHeight="1" thickBot="1" x14ac:dyDescent="0.25">
      <c r="A4" s="148" t="s">
        <v>26</v>
      </c>
      <c r="B4" s="148"/>
      <c r="C4" s="148"/>
      <c r="D4" s="148"/>
      <c r="E4" s="148"/>
      <c r="F4" s="148"/>
      <c r="G4" s="143" t="str">
        <f>' NotaPedido'!D3</f>
        <v>040 - Ministerio de Salud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</row>
    <row r="5" spans="1:17" s="5" customFormat="1" ht="18" customHeight="1" thickBot="1" x14ac:dyDescent="0.25">
      <c r="A5" s="140" t="s">
        <v>49</v>
      </c>
      <c r="B5" s="141"/>
      <c r="C5" s="141"/>
      <c r="D5" s="141"/>
      <c r="E5" s="141"/>
      <c r="F5" s="142"/>
      <c r="G5" s="143" t="str">
        <f>' NotaPedido'!D4</f>
        <v>024 - Hospital Interzonal de Niños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7" s="5" customFormat="1" ht="18" customHeight="1" thickBot="1" x14ac:dyDescent="0.25">
      <c r="A6" s="140" t="s">
        <v>27</v>
      </c>
      <c r="B6" s="141"/>
      <c r="C6" s="141"/>
      <c r="D6" s="141"/>
      <c r="E6" s="141"/>
      <c r="F6" s="142"/>
      <c r="G6" s="143" t="str">
        <f>' NotaPedido'!D5</f>
        <v>024 - Hospital Interzonal de Niños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17" s="5" customFormat="1" ht="18" customHeight="1" thickBot="1" x14ac:dyDescent="0.25">
      <c r="A7" s="140" t="s">
        <v>50</v>
      </c>
      <c r="B7" s="141"/>
      <c r="C7" s="141"/>
      <c r="D7" s="141"/>
      <c r="E7" s="141"/>
      <c r="F7" s="142"/>
      <c r="G7" s="143" t="s">
        <v>56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17" ht="18" customHeight="1" thickBot="1" x14ac:dyDescent="0.25">
      <c r="A8" s="144" t="s">
        <v>28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ht="18" customHeight="1" x14ac:dyDescent="0.2">
      <c r="A9" s="129" t="s">
        <v>29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"/>
      <c r="P9" s="1"/>
      <c r="Q9" s="6"/>
    </row>
    <row r="10" spans="1:17" ht="54.75" customHeight="1" x14ac:dyDescent="0.2">
      <c r="A10" s="13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097/2021,  afectando la erogación resultante a los créditos presupuestarios aprobados a favor de esta Unidad Ejecutora, conforme al siguiente detalle:</v>
      </c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31" t="s">
        <v>30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</row>
    <row r="13" spans="1:17" ht="15.75" customHeight="1" thickBot="1" x14ac:dyDescent="0.25">
      <c r="A13" s="132" t="s">
        <v>31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4" t="s">
        <v>32</v>
      </c>
      <c r="P13" s="135"/>
      <c r="Q13" s="138" t="s">
        <v>33</v>
      </c>
    </row>
    <row r="14" spans="1:17" ht="15.75" customHeight="1" thickBot="1" x14ac:dyDescent="0.25">
      <c r="A14" s="58" t="s">
        <v>34</v>
      </c>
      <c r="B14" s="59" t="s">
        <v>35</v>
      </c>
      <c r="C14" s="59" t="s">
        <v>36</v>
      </c>
      <c r="D14" s="59" t="s">
        <v>37</v>
      </c>
      <c r="E14" s="59" t="s">
        <v>38</v>
      </c>
      <c r="F14" s="59" t="s">
        <v>39</v>
      </c>
      <c r="G14" s="60" t="s">
        <v>40</v>
      </c>
      <c r="H14" s="59" t="s">
        <v>41</v>
      </c>
      <c r="I14" s="59" t="s">
        <v>42</v>
      </c>
      <c r="J14" s="59" t="s">
        <v>43</v>
      </c>
      <c r="K14" s="59" t="s">
        <v>43</v>
      </c>
      <c r="L14" s="59" t="s">
        <v>44</v>
      </c>
      <c r="M14" s="61" t="s">
        <v>45</v>
      </c>
      <c r="N14" s="62" t="s">
        <v>46</v>
      </c>
      <c r="O14" s="136"/>
      <c r="P14" s="137"/>
      <c r="Q14" s="139"/>
    </row>
    <row r="15" spans="1:17" ht="26.25" customHeight="1" x14ac:dyDescent="0.2">
      <c r="A15" s="54">
        <v>36</v>
      </c>
      <c r="B15" s="55"/>
      <c r="C15" s="55"/>
      <c r="D15" s="55">
        <v>1</v>
      </c>
      <c r="E15" s="55"/>
      <c r="F15" s="55">
        <v>4901</v>
      </c>
      <c r="G15" s="55">
        <v>3</v>
      </c>
      <c r="H15" s="55">
        <v>310</v>
      </c>
      <c r="I15" s="55">
        <v>2</v>
      </c>
      <c r="J15" s="55">
        <v>5</v>
      </c>
      <c r="K15" s="55">
        <v>2</v>
      </c>
      <c r="L15" s="55"/>
      <c r="M15" s="56">
        <v>1</v>
      </c>
      <c r="N15" s="57" t="s">
        <v>53</v>
      </c>
      <c r="O15" s="123" t="s">
        <v>109</v>
      </c>
      <c r="P15" s="123"/>
      <c r="Q15" s="63">
        <v>19159530.5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4"/>
      <c r="O16" s="124"/>
      <c r="P16" s="118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18"/>
      <c r="P17" s="118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18"/>
      <c r="P18" s="118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19"/>
      <c r="P19" s="119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20"/>
      <c r="P20" s="120"/>
      <c r="Q20" s="24"/>
    </row>
    <row r="21" spans="1:18" ht="29.25" customHeight="1" x14ac:dyDescent="0.2">
      <c r="A21" s="121" t="s">
        <v>112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25">
        <f>SUM(Q15:Q20)</f>
        <v>19159530.5</v>
      </c>
    </row>
    <row r="22" spans="1:18" ht="18" customHeight="1" thickBot="1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</row>
    <row r="23" spans="1:18" ht="17.25" customHeight="1" thickBot="1" x14ac:dyDescent="0.25">
      <c r="A23" s="125" t="s">
        <v>47</v>
      </c>
      <c r="B23" s="126"/>
      <c r="C23" s="126"/>
      <c r="D23" s="126"/>
      <c r="E23" s="126"/>
      <c r="F23" s="127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</row>
    <row r="24" spans="1:18" ht="18" customHeight="1" thickBot="1" x14ac:dyDescent="0.25">
      <c r="A24" s="117" t="s">
        <v>106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</row>
    <row r="25" spans="1:18" ht="26.25" customHeight="1" thickBot="1" x14ac:dyDescent="0.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</row>
  </sheetData>
  <mergeCells count="29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3:F23"/>
    <mergeCell ref="G23:Q23"/>
    <mergeCell ref="A24:Q25"/>
    <mergeCell ref="O18:P18"/>
    <mergeCell ref="O19:P19"/>
    <mergeCell ref="O20:P20"/>
    <mergeCell ref="A21:P21"/>
    <mergeCell ref="A22:Q2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2021-08-12T16:35:28Z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